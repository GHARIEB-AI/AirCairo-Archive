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comments4.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comments5.xml" ContentType="application/vnd.openxmlformats-officedocument.spreadsheetml.comments+xml"/>
  <Override PartName="/xl/tables/table9.xml" ContentType="application/vnd.openxmlformats-officedocument.spreadsheetml.table+xml"/>
  <Override PartName="/xl/comments6.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comments7.xml" ContentType="application/vnd.openxmlformats-officedocument.spreadsheetml.comments+xml"/>
  <Override PartName="/xl/tables/table12.xml" ContentType="application/vnd.openxmlformats-officedocument.spreadsheetml.table+xml"/>
  <Override PartName="/xl/comments8.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9.xml" ContentType="application/vnd.openxmlformats-officedocument.spreadsheetml.comments+xml"/>
  <Override PartName="/xl/tables/table15.xml" ContentType="application/vnd.openxmlformats-officedocument.spreadsheetml.table+xml"/>
  <Override PartName="/xl/comments10.xml" ContentType="application/vnd.openxmlformats-officedocument.spreadsheetml.comments+xml"/>
  <Override PartName="/xl/tables/table16.xml" ContentType="application/vnd.openxmlformats-officedocument.spreadsheetml.table+xml"/>
  <Override PartName="/xl/tables/table17.xml" ContentType="application/vnd.openxmlformats-officedocument.spreadsheetml.table+xml"/>
  <Override PartName="/xl/comments11.xml" ContentType="application/vnd.openxmlformats-officedocument.spreadsheetml.comments+xml"/>
  <Override PartName="/xl/tables/table18.xml" ContentType="application/vnd.openxmlformats-officedocument.spreadsheetml.table+xml"/>
  <Override PartName="/xl/comments12.xml" ContentType="application/vnd.openxmlformats-officedocument.spreadsheetml.comments+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omments13.xml" ContentType="application/vnd.openxmlformats-officedocument.spreadsheetml.comments+xml"/>
  <Override PartName="/xl/tables/table23.xml" ContentType="application/vnd.openxmlformats-officedocument.spreadsheetml.table+xml"/>
  <Override PartName="/xl/comments14.xml" ContentType="application/vnd.openxmlformats-officedocument.spreadsheetml.comments+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omments15.xml" ContentType="application/vnd.openxmlformats-officedocument.spreadsheetml.comments+xml"/>
  <Override PartName="/xl/tables/table28.xml" ContentType="application/vnd.openxmlformats-officedocument.spreadsheetml.table+xml"/>
  <Override PartName="/xl/comments16.xml" ContentType="application/vnd.openxmlformats-officedocument.spreadsheetml.comments+xml"/>
  <Override PartName="/xl/tables/table29.xml" ContentType="application/vnd.openxmlformats-officedocument.spreadsheetml.table+xml"/>
  <Override PartName="/xl/tables/table30.xml" ContentType="application/vnd.openxmlformats-officedocument.spreadsheetml.table+xml"/>
  <Override PartName="/xl/comments17.xml" ContentType="application/vnd.openxmlformats-officedocument.spreadsheetml.comments+xml"/>
  <Override PartName="/xl/tables/table31.xml" ContentType="application/vnd.openxmlformats-officedocument.spreadsheetml.table+xml"/>
  <Override PartName="/xl/comments18.xml" ContentType="application/vnd.openxmlformats-officedocument.spreadsheetml.comments+xml"/>
  <Override PartName="/xl/tables/table32.xml" ContentType="application/vnd.openxmlformats-officedocument.spreadsheetml.table+xml"/>
  <Override PartName="/xl/tables/table33.xml" ContentType="application/vnd.openxmlformats-officedocument.spreadsheetml.table+xml"/>
  <Override PartName="/xl/comments19.xml" ContentType="application/vnd.openxmlformats-officedocument.spreadsheetml.comments+xml"/>
  <Override PartName="/xl/tables/table34.xml" ContentType="application/vnd.openxmlformats-officedocument.spreadsheetml.table+xml"/>
  <Override PartName="/xl/comments20.xml" ContentType="application/vnd.openxmlformats-officedocument.spreadsheetml.comments+xml"/>
  <Override PartName="/xl/tables/table35.xml" ContentType="application/vnd.openxmlformats-officedocument.spreadsheetml.table+xml"/>
  <Override PartName="/xl/tables/table36.xml" ContentType="application/vnd.openxmlformats-officedocument.spreadsheetml.table+xml"/>
  <Override PartName="/xl/comments21.xml" ContentType="application/vnd.openxmlformats-officedocument.spreadsheetml.comments+xml"/>
  <Override PartName="/xl/tables/table37.xml" ContentType="application/vnd.openxmlformats-officedocument.spreadsheetml.table+xml"/>
  <Override PartName="/xl/comments22.xml" ContentType="application/vnd.openxmlformats-officedocument.spreadsheetml.comments+xml"/>
  <Override PartName="/xl/tables/table38.xml" ContentType="application/vnd.openxmlformats-officedocument.spreadsheetml.table+xml"/>
  <Override PartName="/xl/tables/table39.xml" ContentType="application/vnd.openxmlformats-officedocument.spreadsheetml.table+xml"/>
  <Override PartName="/xl/comments23.xml" ContentType="application/vnd.openxmlformats-officedocument.spreadsheetml.comments+xml"/>
  <Override PartName="/xl/tables/table40.xml" ContentType="application/vnd.openxmlformats-officedocument.spreadsheetml.table+xml"/>
  <Override PartName="/xl/comments24.xml" ContentType="application/vnd.openxmlformats-officedocument.spreadsheetml.comments+xml"/>
  <Override PartName="/xl/tables/table41.xml" ContentType="application/vnd.openxmlformats-officedocument.spreadsheetml.table+xml"/>
  <Override PartName="/xl/tables/table42.xml" ContentType="application/vnd.openxmlformats-officedocument.spreadsheetml.table+xml"/>
  <Override PartName="/xl/comments25.xml" ContentType="application/vnd.openxmlformats-officedocument.spreadsheetml.comments+xml"/>
  <Override PartName="/xl/tables/table43.xml" ContentType="application/vnd.openxmlformats-officedocument.spreadsheetml.table+xml"/>
  <Override PartName="/xl/comments26.xml" ContentType="application/vnd.openxmlformats-officedocument.spreadsheetml.comments+xml"/>
  <Override PartName="/xl/tables/table44.xml" ContentType="application/vnd.openxmlformats-officedocument.spreadsheetml.table+xml"/>
  <Override PartName="/xl/tables/table45.xml" ContentType="application/vnd.openxmlformats-officedocument.spreadsheetml.table+xml"/>
  <Override PartName="/xl/comments27.xml" ContentType="application/vnd.openxmlformats-officedocument.spreadsheetml.comments+xml"/>
  <Override PartName="/xl/tables/table46.xml" ContentType="application/vnd.openxmlformats-officedocument.spreadsheetml.table+xml"/>
  <Override PartName="/xl/comments28.xml" ContentType="application/vnd.openxmlformats-officedocument.spreadsheetml.comments+xml"/>
  <Override PartName="/xl/tables/table47.xml" ContentType="application/vnd.openxmlformats-officedocument.spreadsheetml.table+xml"/>
  <Override PartName="/xl/tables/table48.xml" ContentType="application/vnd.openxmlformats-officedocument.spreadsheetml.table+xml"/>
  <Override PartName="/xl/comments29.xml" ContentType="application/vnd.openxmlformats-officedocument.spreadsheetml.comments+xml"/>
  <Override PartName="/xl/tables/table49.xml" ContentType="application/vnd.openxmlformats-officedocument.spreadsheetml.table+xml"/>
  <Override PartName="/xl/comments30.xml" ContentType="application/vnd.openxmlformats-officedocument.spreadsheetml.comments+xml"/>
  <Override PartName="/xl/tables/table50.xml" ContentType="application/vnd.openxmlformats-officedocument.spreadsheetml.table+xml"/>
  <Override PartName="/xl/tables/table51.xml" ContentType="application/vnd.openxmlformats-officedocument.spreadsheetml.table+xml"/>
  <Override PartName="/xl/comments31.xml" ContentType="application/vnd.openxmlformats-officedocument.spreadsheetml.comments+xml"/>
  <Override PartName="/xl/tables/table52.xml" ContentType="application/vnd.openxmlformats-officedocument.spreadsheetml.table+xml"/>
  <Override PartName="/xl/comments32.xml" ContentType="application/vnd.openxmlformats-officedocument.spreadsheetml.comments+xml"/>
  <Override PartName="/xl/tables/table53.xml" ContentType="application/vnd.openxmlformats-officedocument.spreadsheetml.table+xml"/>
  <Override PartName="/xl/tables/table54.xml" ContentType="application/vnd.openxmlformats-officedocument.spreadsheetml.table+xml"/>
  <Override PartName="/xl/comments33.xml" ContentType="application/vnd.openxmlformats-officedocument.spreadsheetml.comments+xml"/>
  <Override PartName="/xl/tables/table55.xml" ContentType="application/vnd.openxmlformats-officedocument.spreadsheetml.table+xml"/>
  <Override PartName="/xl/comments34.xml" ContentType="application/vnd.openxmlformats-officedocument.spreadsheetml.comments+xml"/>
  <Override PartName="/xl/tables/table56.xml" ContentType="application/vnd.openxmlformats-officedocument.spreadsheetml.table+xml"/>
  <Override PartName="/xl/tables/table57.xml" ContentType="application/vnd.openxmlformats-officedocument.spreadsheetml.table+xml"/>
  <Override PartName="/xl/comments35.xml" ContentType="application/vnd.openxmlformats-officedocument.spreadsheetml.comments+xml"/>
  <Override PartName="/xl/tables/table58.xml" ContentType="application/vnd.openxmlformats-officedocument.spreadsheetml.table+xml"/>
  <Override PartName="/xl/comments36.xml" ContentType="application/vnd.openxmlformats-officedocument.spreadsheetml.comments+xml"/>
  <Override PartName="/xl/tables/table59.xml" ContentType="application/vnd.openxmlformats-officedocument.spreadsheetml.table+xml"/>
  <Override PartName="/xl/tables/table60.xml" ContentType="application/vnd.openxmlformats-officedocument.spreadsheetml.table+xml"/>
  <Override PartName="/xl/comments37.xml" ContentType="application/vnd.openxmlformats-officedocument.spreadsheetml.comments+xml"/>
  <Override PartName="/xl/tables/table61.xml" ContentType="application/vnd.openxmlformats-officedocument.spreadsheetml.table+xml"/>
  <Override PartName="/xl/comments38.xml" ContentType="application/vnd.openxmlformats-officedocument.spreadsheetml.comments+xml"/>
  <Override PartName="/xl/tables/table6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D7A56AB8-A22B-4B52-97DE-9BDDC6BC4618}" xr6:coauthVersionLast="47" xr6:coauthVersionMax="47" xr10:uidLastSave="{00000000-0000-0000-0000-000000000000}"/>
  <bookViews>
    <workbookView xWindow="-108" yWindow="-108" windowWidth="23256" windowHeight="12456" xr2:uid="{00000000-000D-0000-FFFF-FFFF00000000}"/>
  </bookViews>
  <sheets>
    <sheet name="CAI-MED" sheetId="1" r:id="rId1"/>
    <sheet name="CAI-MED LF LEGACY" sheetId="2" r:id="rId2"/>
    <sheet name="CAI-MED - FOCUS MODE" sheetId="3" r:id="rId3"/>
    <sheet name="CAI-MED - OAL Threats Alert" sheetId="4" r:id="rId4"/>
    <sheet name="HBE-MED" sheetId="5" r:id="rId5"/>
    <sheet name="HBE-MED LF LEGACY" sheetId="6" r:id="rId6"/>
    <sheet name="HBE-MED - FOCUS MODE" sheetId="7" r:id="rId7"/>
    <sheet name="HBE-MED - OAL Threats Alert" sheetId="8" r:id="rId8"/>
    <sheet name="ATZ-MED" sheetId="9" r:id="rId9"/>
    <sheet name="ATZ-MED LF LEGACY" sheetId="10" r:id="rId10"/>
    <sheet name="ATZ-MED - FOCUS MODE" sheetId="11" r:id="rId11"/>
    <sheet name="ATZ-MED - OAL Threats Alert" sheetId="12" r:id="rId12"/>
    <sheet name="CAI-JED" sheetId="13" r:id="rId13"/>
    <sheet name="CAI-JED LF LEGACY" sheetId="14" r:id="rId14"/>
    <sheet name="CAI-JED - FOCUS MODE" sheetId="15" r:id="rId15"/>
    <sheet name="CAI-JED - OAL Threats Alert" sheetId="16" r:id="rId16"/>
    <sheet name="HBE-JED" sheetId="17" r:id="rId17"/>
    <sheet name="HBE-JED LF LEGACY" sheetId="18" r:id="rId18"/>
    <sheet name="HBE-JED - FOCUS MODE" sheetId="19" r:id="rId19"/>
    <sheet name="HBE-JED - OAL Threats Alert" sheetId="20" r:id="rId20"/>
    <sheet name="ATZ-JED" sheetId="21" r:id="rId21"/>
    <sheet name="ATZ-JED LF LEGACY" sheetId="22" r:id="rId22"/>
    <sheet name="ATZ-JED - FOCUS MODE" sheetId="23" r:id="rId23"/>
    <sheet name="ATZ-JED - OAL Threats Alert" sheetId="24" r:id="rId24"/>
    <sheet name="LXR-JED" sheetId="25" r:id="rId25"/>
    <sheet name="LXR-JED LF LEGACY" sheetId="26" r:id="rId26"/>
    <sheet name="LXR-JED - FOCUS MODE" sheetId="27" r:id="rId27"/>
    <sheet name="LXR-JED - OAL Threats Alert" sheetId="28" r:id="rId28"/>
    <sheet name="ASW-JED" sheetId="29" r:id="rId29"/>
    <sheet name="ASW-JED LF LEGACY" sheetId="30" r:id="rId30"/>
    <sheet name="ASW-JED - FOCUS MODE" sheetId="31" r:id="rId31"/>
    <sheet name="ASW-JED - OAL Threats Alert" sheetId="32" r:id="rId32"/>
    <sheet name="SSH-JED" sheetId="33" r:id="rId33"/>
    <sheet name="SSH-JED LF LEGACY" sheetId="34" r:id="rId34"/>
    <sheet name="SSH-JED - FOCUS MODE" sheetId="35" r:id="rId35"/>
    <sheet name="SSH-JED - OAL Threats Alert" sheetId="36" r:id="rId36"/>
    <sheet name="HRG-JED" sheetId="37" r:id="rId37"/>
    <sheet name="HRG-JED LF LEGACY" sheetId="38" r:id="rId38"/>
    <sheet name="HRG-JED - FOCUS MODE" sheetId="39" r:id="rId39"/>
    <sheet name="HRG-JED - OAL Threats Alert" sheetId="40" r:id="rId40"/>
    <sheet name="CAI-RUH" sheetId="41" r:id="rId41"/>
    <sheet name="CAI-RUH LF LEGACY" sheetId="42" r:id="rId42"/>
    <sheet name="CAI-RUH - FOCUS MODE" sheetId="43" r:id="rId43"/>
    <sheet name="CAI-RUH - OAL Threats Alert" sheetId="44" r:id="rId44"/>
    <sheet name="ATZ-RUH" sheetId="45" r:id="rId45"/>
    <sheet name="ATZ-RUH LF LEGACY" sheetId="46" r:id="rId46"/>
    <sheet name="ATZ-RUH - FOCUS MODE" sheetId="47" r:id="rId47"/>
    <sheet name="ATZ-RUH - OAL Threats Alert" sheetId="48" r:id="rId48"/>
    <sheet name="CAI-DMM" sheetId="49" r:id="rId49"/>
    <sheet name="CAI-DMM LF LEGACY" sheetId="50" r:id="rId50"/>
    <sheet name="CAI-DMM - FOCUS MODE" sheetId="51" r:id="rId51"/>
    <sheet name="CAI-DMM - OAL Threats Alert" sheetId="52" r:id="rId52"/>
    <sheet name="ATZ-DMM" sheetId="53" r:id="rId53"/>
    <sheet name="ATZ-DMM LF LEGACY" sheetId="54" r:id="rId54"/>
    <sheet name="ATZ-DMM - FOCUS MODE" sheetId="55" r:id="rId55"/>
    <sheet name="ATZ-DMM - OAL Threats Alert" sheetId="56" r:id="rId56"/>
    <sheet name="CAI-TUU" sheetId="57" r:id="rId57"/>
    <sheet name="CAI-TUU LF LEGACY" sheetId="58" r:id="rId58"/>
    <sheet name="CAI-TUU - FOCUS MODE" sheetId="59" r:id="rId59"/>
    <sheet name="CAI-TUU - OAL Threats Alert" sheetId="60" r:id="rId60"/>
    <sheet name="ATZ-TUU" sheetId="61" r:id="rId61"/>
    <sheet name="ATZ-TUU LF LEGACY" sheetId="62" r:id="rId62"/>
    <sheet name="ATZ-TUU - FOCUS MODE" sheetId="63" r:id="rId63"/>
    <sheet name="ATZ-TUU - OAL Threats Alert" sheetId="64" r:id="rId64"/>
    <sheet name="CAI-AJF" sheetId="65" r:id="rId65"/>
    <sheet name="CAI-AJF LF LEGACY" sheetId="66" r:id="rId66"/>
    <sheet name="CAI-AJF - FOCUS MODE" sheetId="67" r:id="rId67"/>
    <sheet name="CAI-AJF - OAL Threats Alert" sheetId="68" r:id="rId68"/>
    <sheet name="ATZ-AJF" sheetId="69" r:id="rId69"/>
    <sheet name="ATZ-AJF LF LEGACY" sheetId="70" r:id="rId70"/>
    <sheet name="ATZ-AJF - FOCUS MODE" sheetId="71" r:id="rId71"/>
    <sheet name="ATZ-AJF - OAL Threats Alert" sheetId="72" r:id="rId72"/>
    <sheet name="CAI-YNB" sheetId="73" r:id="rId73"/>
    <sheet name="CAI-YNB LF LEGACY" sheetId="74" r:id="rId74"/>
    <sheet name="CAI-YNB - FOCUS MODE" sheetId="75" r:id="rId75"/>
    <sheet name="CAI-YNB - OAL Threats Alert" sheetId="76" r:id="rId76"/>
    <sheet name="CAI-AHB" sheetId="77" r:id="rId77"/>
    <sheet name="CAI-AHB LF LEGACY" sheetId="78" r:id="rId78"/>
    <sheet name="CAI-AHB - FOCUS MODE" sheetId="79" r:id="rId79"/>
    <sheet name="CAI-AHB - OAL Threats Alert" sheetId="80" r:id="rId80"/>
    <sheet name="ATZ-AHB" sheetId="81" r:id="rId81"/>
    <sheet name="ATZ-AHB LF LEGACY" sheetId="82" r:id="rId82"/>
    <sheet name="ATZ-AHB - FOCUS MODE" sheetId="83" r:id="rId83"/>
    <sheet name="ATZ-AHB - OAL Threats Alert" sheetId="84" r:id="rId84"/>
    <sheet name="CAI-ELQ" sheetId="85" r:id="rId85"/>
    <sheet name="CAI-ELQ LF LEGACY" sheetId="86" r:id="rId86"/>
    <sheet name="CAI-ELQ - FOCUS MODE" sheetId="87" r:id="rId87"/>
    <sheet name="CAI-ELQ - OAL Threats Alert" sheetId="88" r:id="rId88"/>
    <sheet name="ATZ-ELQ" sheetId="89" r:id="rId89"/>
    <sheet name="ATZ-ELQ LF LEGACY" sheetId="90" r:id="rId90"/>
    <sheet name="ATZ-ELQ - FOCUS MODE" sheetId="91" r:id="rId91"/>
    <sheet name="ATZ-ELQ - OAL Threats Alert" sheetId="92" r:id="rId92"/>
    <sheet name="CAI-GIZ" sheetId="93" r:id="rId93"/>
    <sheet name="CAI-GIZ LF LEGACY" sheetId="94" r:id="rId94"/>
    <sheet name="CAI-GIZ - FOCUS MODE" sheetId="95" r:id="rId95"/>
    <sheet name="CAI-GIZ - OAL Threats Alert" sheetId="96" r:id="rId96"/>
    <sheet name="EGY_TO_KSA_ALL_ROUTES" sheetId="97" r:id="rId9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94" l="1"/>
  <c r="E4" i="94"/>
  <c r="G4" i="94"/>
  <c r="H4" i="94"/>
  <c r="I4" i="94"/>
  <c r="J4" i="94"/>
  <c r="M4" i="94"/>
  <c r="N4" i="94"/>
  <c r="O4" i="94"/>
  <c r="Q4" i="94"/>
  <c r="R4" i="94"/>
  <c r="S4" i="94"/>
  <c r="T4" i="94"/>
  <c r="U4" i="94"/>
  <c r="V4" i="94"/>
  <c r="W4" i="94"/>
  <c r="X4" i="94"/>
  <c r="Y4" i="94"/>
  <c r="Z4" i="94"/>
  <c r="AA4" i="94"/>
  <c r="AB4" i="94"/>
  <c r="AC4" i="94"/>
  <c r="AD4" i="94"/>
  <c r="AE4" i="94"/>
  <c r="AF4" i="94"/>
  <c r="AG4" i="94"/>
  <c r="AH4" i="94"/>
  <c r="AI4" i="94"/>
  <c r="AJ4" i="94"/>
  <c r="C3" i="90"/>
  <c r="E3" i="90"/>
  <c r="G3" i="90"/>
  <c r="H3" i="90"/>
  <c r="I3" i="90"/>
  <c r="J3" i="90"/>
  <c r="M3" i="90"/>
  <c r="N3" i="90"/>
  <c r="O3" i="90"/>
  <c r="Q3" i="90"/>
  <c r="R3" i="90"/>
  <c r="S3" i="90"/>
  <c r="T3" i="90"/>
  <c r="U3" i="90"/>
  <c r="V3" i="90"/>
  <c r="W3" i="90"/>
  <c r="X3" i="90"/>
  <c r="Y3" i="90"/>
  <c r="Z3" i="90"/>
  <c r="AA3" i="90"/>
  <c r="AB3" i="90"/>
  <c r="AC3" i="90"/>
  <c r="AD3" i="90"/>
  <c r="AE3" i="90"/>
  <c r="AF3" i="90"/>
  <c r="AG3" i="90"/>
  <c r="AH3" i="90"/>
  <c r="AI3" i="90"/>
  <c r="AJ3" i="90"/>
  <c r="C4" i="86"/>
  <c r="E4" i="86"/>
  <c r="G4" i="86"/>
  <c r="H4" i="86"/>
  <c r="I4" i="86"/>
  <c r="J4" i="86"/>
  <c r="M4" i="86"/>
  <c r="N4" i="86"/>
  <c r="O4" i="86"/>
  <c r="Q4" i="86"/>
  <c r="R4" i="86"/>
  <c r="S4" i="86"/>
  <c r="T4" i="86"/>
  <c r="U4" i="86"/>
  <c r="V4" i="86"/>
  <c r="W4" i="86"/>
  <c r="X4" i="86"/>
  <c r="Y4" i="86"/>
  <c r="Z4" i="86"/>
  <c r="AA4" i="86"/>
  <c r="AB4" i="86"/>
  <c r="AC4" i="86"/>
  <c r="AD4" i="86"/>
  <c r="AE4" i="86"/>
  <c r="AF4" i="86"/>
  <c r="AG4" i="86"/>
  <c r="AH4" i="86"/>
  <c r="AI4" i="86"/>
  <c r="AJ4" i="86"/>
  <c r="C3" i="82"/>
  <c r="E3" i="82"/>
  <c r="G3" i="82"/>
  <c r="H3" i="82"/>
  <c r="I3" i="82"/>
  <c r="J3" i="82"/>
  <c r="M3" i="82"/>
  <c r="N3" i="82"/>
  <c r="O3" i="82"/>
  <c r="Q3" i="82"/>
  <c r="R3" i="82"/>
  <c r="S3" i="82"/>
  <c r="T3" i="82"/>
  <c r="U3" i="82"/>
  <c r="V3" i="82"/>
  <c r="W3" i="82"/>
  <c r="X3" i="82"/>
  <c r="Y3" i="82"/>
  <c r="Z3" i="82"/>
  <c r="AA3" i="82"/>
  <c r="AB3" i="82"/>
  <c r="AC3" i="82"/>
  <c r="AD3" i="82"/>
  <c r="AE3" i="82"/>
  <c r="AF3" i="82"/>
  <c r="AG3" i="82"/>
  <c r="AH3" i="82"/>
  <c r="AI3" i="82"/>
  <c r="AJ3" i="82"/>
  <c r="C4" i="78"/>
  <c r="E4" i="78"/>
  <c r="G4" i="78"/>
  <c r="H4" i="78"/>
  <c r="I4" i="78"/>
  <c r="J4" i="78"/>
  <c r="M4" i="78"/>
  <c r="N4" i="78"/>
  <c r="O4" i="78"/>
  <c r="Q4" i="78"/>
  <c r="R4" i="78"/>
  <c r="S4" i="78"/>
  <c r="T4" i="78"/>
  <c r="U4" i="78"/>
  <c r="V4" i="78"/>
  <c r="W4" i="78"/>
  <c r="X4" i="78"/>
  <c r="Y4" i="78"/>
  <c r="Z4" i="78"/>
  <c r="AA4" i="78"/>
  <c r="AB4" i="78"/>
  <c r="AC4" i="78"/>
  <c r="AD4" i="78"/>
  <c r="AE4" i="78"/>
  <c r="AF4" i="78"/>
  <c r="AG4" i="78"/>
  <c r="AH4" i="78"/>
  <c r="AI4" i="78"/>
  <c r="AJ4" i="78"/>
  <c r="C5" i="74"/>
  <c r="E5" i="74"/>
  <c r="G5" i="74"/>
  <c r="H5" i="74"/>
  <c r="I5" i="74"/>
  <c r="J5" i="74"/>
  <c r="M5" i="74"/>
  <c r="N5" i="74"/>
  <c r="O5" i="74"/>
  <c r="Q5" i="74"/>
  <c r="R5" i="74"/>
  <c r="S5" i="74"/>
  <c r="T5" i="74"/>
  <c r="U5" i="74"/>
  <c r="V5" i="74"/>
  <c r="W5" i="74"/>
  <c r="X5" i="74"/>
  <c r="Y5" i="74"/>
  <c r="Z5" i="74"/>
  <c r="AA5" i="74"/>
  <c r="AB5" i="74"/>
  <c r="AC5" i="74"/>
  <c r="AD5" i="74"/>
  <c r="AE5" i="74"/>
  <c r="AF5" i="74"/>
  <c r="AG5" i="74"/>
  <c r="AH5" i="74"/>
  <c r="AI5" i="74"/>
  <c r="AJ5" i="74"/>
  <c r="C3" i="70"/>
  <c r="E3" i="70"/>
  <c r="G3" i="70"/>
  <c r="H3" i="70"/>
  <c r="I3" i="70"/>
  <c r="J3" i="70"/>
  <c r="M3" i="70"/>
  <c r="N3" i="70"/>
  <c r="O3" i="70"/>
  <c r="Q3" i="70"/>
  <c r="R3" i="70"/>
  <c r="S3" i="70"/>
  <c r="T3" i="70"/>
  <c r="U3" i="70"/>
  <c r="V3" i="70"/>
  <c r="W3" i="70"/>
  <c r="X3" i="70"/>
  <c r="Y3" i="70"/>
  <c r="Z3" i="70"/>
  <c r="AA3" i="70"/>
  <c r="AB3" i="70"/>
  <c r="AC3" i="70"/>
  <c r="AD3" i="70"/>
  <c r="AE3" i="70"/>
  <c r="AF3" i="70"/>
  <c r="AG3" i="70"/>
  <c r="AH3" i="70"/>
  <c r="AI3" i="70"/>
  <c r="AJ3" i="70"/>
  <c r="C4" i="66"/>
  <c r="E4" i="66"/>
  <c r="G4" i="66"/>
  <c r="H4" i="66"/>
  <c r="I4" i="66"/>
  <c r="J4" i="66"/>
  <c r="M4" i="66"/>
  <c r="N4" i="66"/>
  <c r="O4" i="66"/>
  <c r="Q4" i="66"/>
  <c r="R4" i="66"/>
  <c r="S4" i="66"/>
  <c r="T4" i="66"/>
  <c r="U4" i="66"/>
  <c r="V4" i="66"/>
  <c r="W4" i="66"/>
  <c r="X4" i="66"/>
  <c r="Y4" i="66"/>
  <c r="Z4" i="66"/>
  <c r="AA4" i="66"/>
  <c r="AB4" i="66"/>
  <c r="AC4" i="66"/>
  <c r="AD4" i="66"/>
  <c r="AE4" i="66"/>
  <c r="AF4" i="66"/>
  <c r="AG4" i="66"/>
  <c r="AH4" i="66"/>
  <c r="AI4" i="66"/>
  <c r="AJ4" i="66"/>
  <c r="C3" i="62"/>
  <c r="E3" i="62"/>
  <c r="G3" i="62"/>
  <c r="H3" i="62"/>
  <c r="I3" i="62"/>
  <c r="J3" i="62"/>
  <c r="M3" i="62"/>
  <c r="N3" i="62"/>
  <c r="O3" i="62"/>
  <c r="Q3" i="62"/>
  <c r="R3" i="62"/>
  <c r="S3" i="62"/>
  <c r="T3" i="62"/>
  <c r="U3" i="62"/>
  <c r="V3" i="62"/>
  <c r="W3" i="62"/>
  <c r="X3" i="62"/>
  <c r="Y3" i="62"/>
  <c r="Z3" i="62"/>
  <c r="AA3" i="62"/>
  <c r="AB3" i="62"/>
  <c r="AC3" i="62"/>
  <c r="AD3" i="62"/>
  <c r="AE3" i="62"/>
  <c r="AF3" i="62"/>
  <c r="AG3" i="62"/>
  <c r="AH3" i="62"/>
  <c r="AI3" i="62"/>
  <c r="AJ3" i="62"/>
  <c r="C4" i="58"/>
  <c r="E4" i="58"/>
  <c r="G4" i="58"/>
  <c r="H4" i="58"/>
  <c r="I4" i="58"/>
  <c r="J4" i="58"/>
  <c r="M4" i="58"/>
  <c r="N4" i="58"/>
  <c r="O4" i="58"/>
  <c r="Q4" i="58"/>
  <c r="R4" i="58"/>
  <c r="S4" i="58"/>
  <c r="T4" i="58"/>
  <c r="U4" i="58"/>
  <c r="V4" i="58"/>
  <c r="W4" i="58"/>
  <c r="X4" i="58"/>
  <c r="Y4" i="58"/>
  <c r="Z4" i="58"/>
  <c r="AA4" i="58"/>
  <c r="AB4" i="58"/>
  <c r="AC4" i="58"/>
  <c r="AD4" i="58"/>
  <c r="AE4" i="58"/>
  <c r="AF4" i="58"/>
  <c r="AG4" i="58"/>
  <c r="AH4" i="58"/>
  <c r="AI4" i="58"/>
  <c r="AJ4" i="58"/>
  <c r="C3" i="54"/>
  <c r="E3" i="54"/>
  <c r="G3" i="54"/>
  <c r="H3" i="54"/>
  <c r="I3" i="54"/>
  <c r="J3" i="54"/>
  <c r="M3" i="54"/>
  <c r="N3" i="54"/>
  <c r="O3" i="54"/>
  <c r="Q3" i="54"/>
  <c r="R3" i="54"/>
  <c r="S3" i="54"/>
  <c r="T3" i="54"/>
  <c r="U3" i="54"/>
  <c r="V3" i="54"/>
  <c r="W3" i="54"/>
  <c r="X3" i="54"/>
  <c r="Y3" i="54"/>
  <c r="Z3" i="54"/>
  <c r="AA3" i="54"/>
  <c r="AB3" i="54"/>
  <c r="AC3" i="54"/>
  <c r="AD3" i="54"/>
  <c r="AE3" i="54"/>
  <c r="AF3" i="54"/>
  <c r="AG3" i="54"/>
  <c r="AH3" i="54"/>
  <c r="AI3" i="54"/>
  <c r="AJ3" i="54"/>
  <c r="C5" i="50"/>
  <c r="E5" i="50"/>
  <c r="G5" i="50"/>
  <c r="H5" i="50"/>
  <c r="I5" i="50"/>
  <c r="J5" i="50"/>
  <c r="M5" i="50"/>
  <c r="N5" i="50"/>
  <c r="O5" i="50"/>
  <c r="Q5" i="50"/>
  <c r="R5" i="50"/>
  <c r="S5" i="50"/>
  <c r="T5" i="50"/>
  <c r="U5" i="50"/>
  <c r="V5" i="50"/>
  <c r="W5" i="50"/>
  <c r="X5" i="50"/>
  <c r="Y5" i="50"/>
  <c r="Z5" i="50"/>
  <c r="AA5" i="50"/>
  <c r="AB5" i="50"/>
  <c r="AC5" i="50"/>
  <c r="AD5" i="50"/>
  <c r="AE5" i="50"/>
  <c r="AF5" i="50"/>
  <c r="AG5" i="50"/>
  <c r="AH5" i="50"/>
  <c r="AI5" i="50"/>
  <c r="AJ5" i="50"/>
  <c r="C6" i="42"/>
  <c r="E6" i="42"/>
  <c r="G6" i="42"/>
  <c r="H6" i="42"/>
  <c r="I6" i="42"/>
  <c r="J6" i="42"/>
  <c r="M6" i="42"/>
  <c r="N6" i="42"/>
  <c r="O6" i="42"/>
  <c r="Q6" i="42"/>
  <c r="R6" i="42"/>
  <c r="S6" i="42"/>
  <c r="T6" i="42"/>
  <c r="U6" i="42"/>
  <c r="V6" i="42"/>
  <c r="W6" i="42"/>
  <c r="X6" i="42"/>
  <c r="Y6" i="42"/>
  <c r="Z6" i="42"/>
  <c r="AA6" i="42"/>
  <c r="AB6" i="42"/>
  <c r="AC6" i="42"/>
  <c r="AD6" i="42"/>
  <c r="AE6" i="42"/>
  <c r="AF6" i="42"/>
  <c r="AG6" i="42"/>
  <c r="AH6" i="42"/>
  <c r="AI6" i="42"/>
  <c r="AJ6" i="42"/>
  <c r="C7" i="22"/>
  <c r="E7" i="22"/>
  <c r="G7" i="22"/>
  <c r="H7" i="22"/>
  <c r="I7" i="22"/>
  <c r="J7" i="22"/>
  <c r="M7" i="22"/>
  <c r="N7" i="22"/>
  <c r="O7" i="22"/>
  <c r="Q7" i="22"/>
  <c r="R7" i="22"/>
  <c r="S7" i="22"/>
  <c r="T7" i="22"/>
  <c r="U7" i="22"/>
  <c r="V7" i="22"/>
  <c r="W7" i="22"/>
  <c r="X7" i="22"/>
  <c r="Y7" i="22"/>
  <c r="Z7" i="22"/>
  <c r="AA7" i="22"/>
  <c r="AB7" i="22"/>
  <c r="AC7" i="22"/>
  <c r="AD7" i="22"/>
  <c r="AE7" i="22"/>
  <c r="AF7" i="22"/>
  <c r="AG7" i="22"/>
  <c r="AH7" i="22"/>
  <c r="AI7" i="22"/>
  <c r="AJ7" i="22"/>
  <c r="C6" i="18"/>
  <c r="E6" i="18"/>
  <c r="G6" i="18"/>
  <c r="H6" i="18"/>
  <c r="I6" i="18"/>
  <c r="J6" i="18"/>
  <c r="M6" i="18"/>
  <c r="N6" i="18"/>
  <c r="O6" i="18"/>
  <c r="Q6" i="18"/>
  <c r="R6" i="18"/>
  <c r="S6" i="18"/>
  <c r="T6" i="18"/>
  <c r="U6" i="18"/>
  <c r="V6" i="18"/>
  <c r="W6" i="18"/>
  <c r="X6" i="18"/>
  <c r="Y6" i="18"/>
  <c r="Z6" i="18"/>
  <c r="AA6" i="18"/>
  <c r="AB6" i="18"/>
  <c r="AC6" i="18"/>
  <c r="AD6" i="18"/>
  <c r="AE6" i="18"/>
  <c r="AF6" i="18"/>
  <c r="AG6" i="18"/>
  <c r="AH6" i="18"/>
  <c r="AI6" i="18"/>
  <c r="AJ6" i="18"/>
  <c r="C17" i="14"/>
  <c r="E17" i="14"/>
  <c r="G17" i="14"/>
  <c r="H17" i="14"/>
  <c r="I17" i="14"/>
  <c r="J17" i="14"/>
  <c r="M17" i="14"/>
  <c r="N17" i="14"/>
  <c r="O17" i="14"/>
  <c r="Q17" i="14"/>
  <c r="R17" i="14"/>
  <c r="S17" i="14"/>
  <c r="T17" i="14"/>
  <c r="U17" i="14"/>
  <c r="V17" i="14"/>
  <c r="W17" i="14"/>
  <c r="X17" i="14"/>
  <c r="Y17" i="14"/>
  <c r="Z17" i="14"/>
  <c r="AA17" i="14"/>
  <c r="AB17" i="14"/>
  <c r="AC17" i="14"/>
  <c r="AD17" i="14"/>
  <c r="AE17" i="14"/>
  <c r="AF17" i="14"/>
  <c r="AG17" i="14"/>
  <c r="AH17" i="14"/>
  <c r="AI17" i="14"/>
  <c r="AJ17" i="14"/>
  <c r="C3" i="10"/>
  <c r="E3" i="10"/>
  <c r="G3" i="10"/>
  <c r="H3" i="10"/>
  <c r="I3" i="10"/>
  <c r="J3" i="10"/>
  <c r="M3" i="10"/>
  <c r="N3" i="10"/>
  <c r="O3" i="10"/>
  <c r="Q3" i="10"/>
  <c r="R3" i="10"/>
  <c r="S3" i="10"/>
  <c r="T3" i="10"/>
  <c r="U3" i="10"/>
  <c r="V3" i="10"/>
  <c r="W3" i="10"/>
  <c r="X3" i="10"/>
  <c r="Y3" i="10"/>
  <c r="Z3" i="10"/>
  <c r="AA3" i="10"/>
  <c r="AB3" i="10"/>
  <c r="AC3" i="10"/>
  <c r="AD3" i="10"/>
  <c r="AE3" i="10"/>
  <c r="AF3" i="10"/>
  <c r="AG3" i="10"/>
  <c r="AH3" i="10"/>
  <c r="AI3" i="10"/>
  <c r="AJ3" i="10"/>
  <c r="C3" i="6"/>
  <c r="E3" i="6"/>
  <c r="G3" i="6"/>
  <c r="H3" i="6"/>
  <c r="I3" i="6"/>
  <c r="J3" i="6"/>
  <c r="M3" i="6"/>
  <c r="N3" i="6"/>
  <c r="O3" i="6"/>
  <c r="Q3" i="6"/>
  <c r="R3" i="6"/>
  <c r="S3" i="6"/>
  <c r="T3" i="6"/>
  <c r="U3" i="6"/>
  <c r="V3" i="6"/>
  <c r="W3" i="6"/>
  <c r="X3" i="6"/>
  <c r="Y3" i="6"/>
  <c r="Z3" i="6"/>
  <c r="AA3" i="6"/>
  <c r="AB3" i="6"/>
  <c r="AC3" i="6"/>
  <c r="AD3" i="6"/>
  <c r="AE3" i="6"/>
  <c r="AF3" i="6"/>
  <c r="AG3" i="6"/>
  <c r="AH3" i="6"/>
  <c r="AI3" i="6"/>
  <c r="AJ3" i="6"/>
  <c r="C4" i="2"/>
  <c r="E4" i="2"/>
  <c r="G4" i="2"/>
  <c r="H4" i="2"/>
  <c r="I4" i="2"/>
  <c r="J4" i="2"/>
  <c r="M4" i="2"/>
  <c r="N4" i="2"/>
  <c r="O4" i="2"/>
  <c r="Q4" i="2"/>
  <c r="R4" i="2"/>
  <c r="S4" i="2"/>
  <c r="T4" i="2"/>
  <c r="U4" i="2"/>
  <c r="V4" i="2"/>
  <c r="W4" i="2"/>
  <c r="X4" i="2"/>
  <c r="Y4" i="2"/>
  <c r="Z4" i="2"/>
  <c r="AA4" i="2"/>
  <c r="AB4" i="2"/>
  <c r="AC4" i="2"/>
  <c r="AD4" i="2"/>
  <c r="AE4" i="2"/>
  <c r="AF4" i="2"/>
  <c r="AG4" i="2"/>
  <c r="AH4" i="2"/>
  <c r="AI4" i="2"/>
  <c r="AJ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7" authorId="0" shapeId="0" xr:uid="{A69D0A2E-6CE9-4A1D-87DB-F24EDC4D101B}">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B17" authorId="0" shapeId="0" xr:uid="{39FF9AFC-C7DB-4109-AD1C-6EBF9772BBEC}">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C17" authorId="0" shapeId="0" xr:uid="{DB5BBB2D-C797-4647-BDFE-8157EFC59A94}">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D17" authorId="0" shapeId="0" xr:uid="{124A63EA-B59F-45B5-AFF3-EB7607CC3AB0}">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E17" authorId="0" shapeId="0" xr:uid="{27EE954D-29BE-4179-8035-ED2FD3E5FF88}">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F17" authorId="0" shapeId="0" xr:uid="{50DA1DE8-6A6D-471E-A2B0-65B623B6FA35}">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G17" authorId="0" shapeId="0" xr:uid="{41E6DEF7-3BF3-42AD-A40E-83CDAB888AE4}">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H17" authorId="0" shapeId="0" xr:uid="{172582BB-8AF0-43B3-AC7B-D7B2A914DAEC}">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A50" authorId="0" shapeId="0" xr:uid="{726A8DC2-EBDC-43F3-8DB1-326CDD4A5698}">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B50" authorId="0" shapeId="0" xr:uid="{91B89E0B-881D-4137-9D52-3A3DC85DF514}">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C50" authorId="0" shapeId="0" xr:uid="{D880E196-F7AF-4620-A7E0-C5A440C5FF69}">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D50" authorId="0" shapeId="0" xr:uid="{A3DA9DCF-2360-4F33-A926-A44E6A3055B1}">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E50" authorId="0" shapeId="0" xr:uid="{CDA2BF61-9EF0-4812-8CA5-6BE8A164CAFA}">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F50" authorId="0" shapeId="0" xr:uid="{5E4638AC-D22B-4B43-8BB1-5FE188DF9A6A}">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G50" authorId="0" shapeId="0" xr:uid="{324E22FC-97B5-4950-A4F3-8E1F62940806}">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H50" authorId="0" shapeId="0" xr:uid="{B2A9FE05-529C-40A7-B7AB-E402BA4FBEFE}">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63B54726-D105-4C7E-BFF9-64B2E41FBA97}">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B2" authorId="0" shapeId="0" xr:uid="{E09A3F42-B02C-4DD8-8E76-6C701913E408}">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C2" authorId="0" shapeId="0" xr:uid="{189822B2-6820-4DDA-BB3D-38422A04EC93}">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D2" authorId="0" shapeId="0" xr:uid="{A50006D0-EFDC-4B75-B8BD-1D0A6E3F9DF5}">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E2" authorId="0" shapeId="0" xr:uid="{F61BB3DC-2BA6-487F-94C2-E96093D0A222}">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F2" authorId="0" shapeId="0" xr:uid="{3B00E85F-3466-4743-85F5-D4FCDEBC0C85}">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G2" authorId="0" shapeId="0" xr:uid="{CF27D3E7-A478-4B47-873B-76D0083E769D}">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H2" authorId="0" shapeId="0" xr:uid="{2F484544-2AE8-4790-9D84-282D7B260CAC}">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A19" authorId="0" shapeId="0" xr:uid="{CBA4CBDE-ABF6-46AE-83A7-90D24BB699EF}">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B19" authorId="0" shapeId="0" xr:uid="{29468AFD-93F9-4D9F-8858-2B14E12F911B}">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C19" authorId="0" shapeId="0" xr:uid="{895251B0-EA50-449C-A776-F57EA2BF8F44}">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D19" authorId="0" shapeId="0" xr:uid="{E1A58B33-40A6-4927-8C8E-E0346A8C5FA3}">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E19" authorId="0" shapeId="0" xr:uid="{02135DFC-0700-4D88-AEAF-13D514D80D2B}">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F19" authorId="0" shapeId="0" xr:uid="{6EB9D99C-A64B-41A0-836C-EE95EC1A9B78}">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G19" authorId="0" shapeId="0" xr:uid="{9A912B4F-A997-4A9C-A50C-7DE6A9CF5CF7}">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H19" authorId="0" shapeId="0" xr:uid="{7BE34E12-9256-4FAD-8EE4-26533DFA9E14}">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DF1DEE65-A02B-4826-8226-48C5705A5A55}">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B2" authorId="0" shapeId="0" xr:uid="{338E44B4-D297-4782-822A-E646266FC828}">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C2" authorId="0" shapeId="0" xr:uid="{AE0835E0-389B-40A9-BD51-5456755DE328}">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D2" authorId="0" shapeId="0" xr:uid="{76332456-5668-4339-8E58-340C661C3963}">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E2" authorId="0" shapeId="0" xr:uid="{B7CC8F1D-D977-4792-80B5-995822F1B1F9}">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F2" authorId="0" shapeId="0" xr:uid="{FA35C5D2-89B7-4239-AB4C-7D32B794C307}">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G2" authorId="0" shapeId="0" xr:uid="{F8F86E27-BC83-4CB7-91F1-197B43BE4B02}">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H2" authorId="0" shapeId="0" xr:uid="{DD6DB4D7-D5E7-435E-8067-169918D79CF2}">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7FB9CFC7-68C1-45A1-ADCF-0029DADDD0DE}">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B2" authorId="0" shapeId="0" xr:uid="{8DB5A586-FDA4-4437-BBD2-96CFBF0A1F2B}">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C2" authorId="0" shapeId="0" xr:uid="{AC8F95C1-E3B7-469C-9D53-D1E58C38068F}">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D2" authorId="0" shapeId="0" xr:uid="{BEC026A7-EAA8-4E48-85B3-CD876B44D795}">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E2" authorId="0" shapeId="0" xr:uid="{CE864F3C-FA16-4400-81DD-350ED50FACE6}">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F2" authorId="0" shapeId="0" xr:uid="{4AEDD0F7-8A7C-419D-A503-405AA9DD8F53}">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G2" authorId="0" shapeId="0" xr:uid="{EF68D00C-3640-471C-97D6-F65F8A4F1D29}">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H2" authorId="0" shapeId="0" xr:uid="{857E43F8-9E58-44E7-8E70-B3DE490BEA2B}">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4" authorId="0" shapeId="0" xr:uid="{B205BF1A-D16D-4F89-AC1F-ABAD69283D59}">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B24" authorId="0" shapeId="0" xr:uid="{B8198239-8A18-488F-95DA-91919A5CC6FA}">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C24" authorId="0" shapeId="0" xr:uid="{7A94D4A0-D710-4D27-B82E-F94ACE9684EC}">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D24" authorId="0" shapeId="0" xr:uid="{6A58E86A-F004-461F-B4FB-676F5853458D}">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E24" authorId="0" shapeId="0" xr:uid="{D97F9EAB-2066-42ED-B392-1928BA1BDB25}">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F24" authorId="0" shapeId="0" xr:uid="{70771BB8-34A1-4EC0-8742-A12C448481F6}">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G24" authorId="0" shapeId="0" xr:uid="{3BE1072E-464B-499D-8F60-E470BB84602E}">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H24" authorId="0" shapeId="0" xr:uid="{2900488D-6992-40A7-AF81-3FC90E02587E}">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4" authorId="0" shapeId="0" xr:uid="{F5A2FB34-8EBB-460A-868E-70271C6F4244}">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B24" authorId="0" shapeId="0" xr:uid="{C280DD98-EB09-41D7-B377-ECCABB0F819C}">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C24" authorId="0" shapeId="0" xr:uid="{07E50AC7-7BBE-4B9F-BBDA-034CAE588E63}">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D24" authorId="0" shapeId="0" xr:uid="{ED36C6AD-4A93-4295-818F-3F6058FDDA8A}">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E24" authorId="0" shapeId="0" xr:uid="{3251CD19-3D7F-4CAC-AFB7-AA3689A8D792}">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F24" authorId="0" shapeId="0" xr:uid="{0993436F-0CAA-4CB9-AEC9-F122E015753B}">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G24" authorId="0" shapeId="0" xr:uid="{A35BC731-C7BF-457B-8053-D09511C0F34C}">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H24" authorId="0" shapeId="0" xr:uid="{943ACAAA-8CEC-4709-86AD-C12CF04313C7}">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1" authorId="0" shapeId="0" xr:uid="{1AD53FF4-12EA-4233-9857-3243721FE5C7}">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B21" authorId="0" shapeId="0" xr:uid="{E076A522-1A6E-404C-A7D2-5393C89D5574}">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C21" authorId="0" shapeId="0" xr:uid="{8D3EA286-F8D4-43E4-8080-AE924BA4F307}">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D21" authorId="0" shapeId="0" xr:uid="{D6EA4242-F523-40EF-9092-8FD7D96359EF}">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E21" authorId="0" shapeId="0" xr:uid="{9F312305-DEC4-483E-A716-39601BEE51F3}">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F21" authorId="0" shapeId="0" xr:uid="{90EBEC42-7B63-4203-8A86-8019DABB33FF}">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G21" authorId="0" shapeId="0" xr:uid="{B0526FFD-5B23-476D-81C7-0E2854C51325}">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H21" authorId="0" shapeId="0" xr:uid="{58A1EEF1-ACAA-42D0-88E6-CE2E15929267}">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A22" authorId="0" shapeId="0" xr:uid="{8D2EE11E-A021-459D-9B22-0BD91E512170}">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B22" authorId="0" shapeId="0" xr:uid="{55E766C7-1614-4594-99B9-A49C510C5AE6}">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C22" authorId="0" shapeId="0" xr:uid="{DEC0F4FB-DD2A-4125-B312-89FE32FA296A}">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D22" authorId="0" shapeId="0" xr:uid="{1478110A-9E85-412E-B506-E7E0656C2DF9}">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E22" authorId="0" shapeId="0" xr:uid="{852EF51D-D38F-486C-A50E-5FB4B269184D}">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F22" authorId="0" shapeId="0" xr:uid="{7E23B5AA-DC5C-47E9-9F1F-0EABACDC4101}">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G22" authorId="0" shapeId="0" xr:uid="{7A5E4D4B-A46E-4A19-A3C4-F3664936E73E}">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H22" authorId="0" shapeId="0" xr:uid="{1D3B54AC-A374-43A3-90DA-8D5D91B091AA}">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A23" authorId="0" shapeId="0" xr:uid="{5D3DBDC1-435B-4EB4-8E60-F6A432F316A6}">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B23" authorId="0" shapeId="0" xr:uid="{4C313F7B-CD1F-42C4-9301-08E73DAA7529}">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C23" authorId="0" shapeId="0" xr:uid="{0CFC0A75-F2AA-42BF-9CCF-FA5D5BE72089}">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D23" authorId="0" shapeId="0" xr:uid="{A9C068C0-DB47-4DD7-8E2D-7B7E1BE384AD}">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E23" authorId="0" shapeId="0" xr:uid="{D0E4B77F-7BA2-4061-9559-236F3E9B76CF}">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F23" authorId="0" shapeId="0" xr:uid="{B2D1C0A6-05D0-4AEA-A411-6FE58DB6D210}">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G23" authorId="0" shapeId="0" xr:uid="{9DE10D18-082E-438C-BAF5-5C35CD75C488}">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H23" authorId="0" shapeId="0" xr:uid="{AA8EC19E-04DD-43EA-8444-37C7790FA851}">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A30" authorId="0" shapeId="0" xr:uid="{36C2AC12-48AD-41B5-A04C-8EF6B7D225AB}">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B30" authorId="0" shapeId="0" xr:uid="{406EBDFF-154F-4648-A4E6-576AA0A163DC}">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C30" authorId="0" shapeId="0" xr:uid="{348B2D84-1200-4761-B5D2-87FAA292C36E}">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D30" authorId="0" shapeId="0" xr:uid="{5E1DB3BD-9B21-4F87-A5FD-605D75D7B850}">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E30" authorId="0" shapeId="0" xr:uid="{9A3033C4-8FAB-408A-960C-D5E33D1B1FEE}">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F30" authorId="0" shapeId="0" xr:uid="{CCCBA5E1-A0C3-465D-86F2-82F74A625E5C}">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G30" authorId="0" shapeId="0" xr:uid="{B505C926-0543-4BBA-A03F-969376976753}">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H30" authorId="0" shapeId="0" xr:uid="{8F164AE0-B928-4177-9560-EF49AA09D80E}">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A61" authorId="0" shapeId="0" xr:uid="{F7D9EFA3-E15E-4059-AFE0-755E87264146}">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B61" authorId="0" shapeId="0" xr:uid="{E8FB9D29-5710-4A47-8CF1-2470F57DC9BC}">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C61" authorId="0" shapeId="0" xr:uid="{753DAC5B-9BAB-475A-B7E7-B0D7131F1DD8}">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D61" authorId="0" shapeId="0" xr:uid="{C5B891A4-6759-49A9-8DFE-BD94B046B4ED}">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E61" authorId="0" shapeId="0" xr:uid="{497CE27E-0153-4BD1-A4C0-FA4DA2BB5CC6}">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F61" authorId="0" shapeId="0" xr:uid="{B6B304C4-B40D-4F2D-BE6D-FFD1EED8542A}">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G61" authorId="0" shapeId="0" xr:uid="{E990E3CC-6BA2-4B26-B2E6-CA749FF1A2F5}">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H61" authorId="0" shapeId="0" xr:uid="{6C10656B-F10B-41C1-AE9F-054654C5BC41}">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A62" authorId="0" shapeId="0" xr:uid="{16AE3EDB-F1EB-4269-82C8-6148891D155C}">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B62" authorId="0" shapeId="0" xr:uid="{CF134B09-627D-4088-BFCD-CFAB01F4C2F7}">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C62" authorId="0" shapeId="0" xr:uid="{2306DEB9-05AE-4F87-8A9F-C47D835CF2C2}">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D62" authorId="0" shapeId="0" xr:uid="{D1E872D1-8EDE-4D70-9D11-FD29EE771DBB}">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E62" authorId="0" shapeId="0" xr:uid="{82C21706-72BA-4520-883E-9D4CA4E8EC8D}">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F62" authorId="0" shapeId="0" xr:uid="{80B6E911-7EE5-46CE-961A-69951FCAD3B2}">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G62" authorId="0" shapeId="0" xr:uid="{688D9982-2F99-44BF-87F3-8DFC3FD8C125}">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H62" authorId="0" shapeId="0" xr:uid="{E1ED46E3-ABDD-42CC-9966-ADDE88AD30AE}">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A84" authorId="0" shapeId="0" xr:uid="{F75D8371-8564-4CCE-A994-0A35479E53E6}">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B84" authorId="0" shapeId="0" xr:uid="{CD7E1467-E447-4129-9E11-5DEE5DA6B53A}">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C84" authorId="0" shapeId="0" xr:uid="{F901A3D2-3C4F-4728-8227-B7C770AD9261}">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D84" authorId="0" shapeId="0" xr:uid="{4918CF29-3B62-457A-AA89-60A0954D2C08}">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E84" authorId="0" shapeId="0" xr:uid="{24C5B2F3-DDA5-4C54-AB90-383139487AF6}">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F84" authorId="0" shapeId="0" xr:uid="{04165E10-6313-4760-9CC4-E34C7B54F51A}">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G84" authorId="0" shapeId="0" xr:uid="{2F0A3D2F-BB37-457C-8CBA-AE10AD5E1236}">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H84" authorId="0" shapeId="0" xr:uid="{0C73A893-DC65-472C-975C-A2AF4FB2589C}">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A85" authorId="0" shapeId="0" xr:uid="{5DE50F88-56B0-42A5-9532-F4888BBC64F8}">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B85" authorId="0" shapeId="0" xr:uid="{F53BA6A0-2C80-481B-B77A-25EA09689D30}">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C85" authorId="0" shapeId="0" xr:uid="{3258BE4A-8E84-4135-AED1-A10F223628F9}">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D85" authorId="0" shapeId="0" xr:uid="{EEADD7C5-C4C5-4463-ABF6-7570C65834AD}">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E85" authorId="0" shapeId="0" xr:uid="{E3D3EA7D-66AD-45CA-BCEF-9A73EB5F3EC4}">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F85" authorId="0" shapeId="0" xr:uid="{75CF394E-04B3-4012-98D0-567ED2EA056F}">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G85" authorId="0" shapeId="0" xr:uid="{8D771DB8-5047-4B8C-B70C-C6FECDB8B988}">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H85" authorId="0" shapeId="0" xr:uid="{788F8953-5BDA-4454-86A0-98B2F5D77260}">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A86" authorId="0" shapeId="0" xr:uid="{B0E00221-24B0-4B90-AE1B-FD52AC06646F}">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B86" authorId="0" shapeId="0" xr:uid="{9FCE5DE7-145F-4018-B497-B3CC4D46A4C8}">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C86" authorId="0" shapeId="0" xr:uid="{44884045-700D-49E0-B783-7779C5C629F9}">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D86" authorId="0" shapeId="0" xr:uid="{4EDDACC9-734A-4601-820B-BB93A815898A}">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E86" authorId="0" shapeId="0" xr:uid="{120CF86A-5CC2-4E85-B195-B5BBAF894CFB}">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F86" authorId="0" shapeId="0" xr:uid="{490118C3-75CF-40E4-90C2-41BAB683E005}">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G86" authorId="0" shapeId="0" xr:uid="{7698D777-C0E4-4C3C-802C-532E45D26544}">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H86" authorId="0" shapeId="0" xr:uid="{45AAD82F-2A3A-45F0-A68B-0E4FC56F3145}">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A87" authorId="0" shapeId="0" xr:uid="{FC1D5B08-25C2-4F9C-9F27-6CB50BE8AFF5}">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B87" authorId="0" shapeId="0" xr:uid="{867B959D-8B25-46E0-9A1B-9ECE810F48DB}">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C87" authorId="0" shapeId="0" xr:uid="{6D474F62-A77B-4E6D-9E6D-B1988BE1029C}">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D87" authorId="0" shapeId="0" xr:uid="{1A8D0AE2-2AB1-4C0A-8BFA-07D6DB7D194A}">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E87" authorId="0" shapeId="0" xr:uid="{93DDCDE5-DD0E-4BE1-9A46-F7254BA5178C}">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F87" authorId="0" shapeId="0" xr:uid="{C79DB050-FFCD-4B56-BD7F-80C51C22672D}">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G87" authorId="0" shapeId="0" xr:uid="{1769B825-689B-4738-A5D7-D2DD8FA8A91B}">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H87" authorId="0" shapeId="0" xr:uid="{8FD155C8-D259-4974-A2E4-A6369674311A}">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A88" authorId="0" shapeId="0" xr:uid="{3F34C335-2E45-4276-B5DE-D90BC8EF8C3C}">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B88" authorId="0" shapeId="0" xr:uid="{934BF483-6909-4F8B-BCBE-70C073892184}">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C88" authorId="0" shapeId="0" xr:uid="{051090C8-D663-447D-9DC9-8AAB31DAD3B2}">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D88" authorId="0" shapeId="0" xr:uid="{F3F546A1-B56F-4B65-927D-470808784E42}">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E88" authorId="0" shapeId="0" xr:uid="{67816E4F-2FEC-4B3F-9F2B-4244C4758979}">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F88" authorId="0" shapeId="0" xr:uid="{0213F210-E4F6-4765-BA34-DDD077F94EA5}">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G88" authorId="0" shapeId="0" xr:uid="{BB7EB409-9776-4050-A9C5-2E3F6D906EA8}">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H88" authorId="0" shapeId="0" xr:uid="{8428EFAB-BFF4-45E9-A43D-70A4C9ED689C}">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A144" authorId="0" shapeId="0" xr:uid="{ADB54D79-5960-4559-B292-46A06ED6435D}">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B144" authorId="0" shapeId="0" xr:uid="{65AE5C19-4021-4451-A264-6CDDB8CB9F26}">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C144" authorId="0" shapeId="0" xr:uid="{F1A7D5C0-9717-4C56-A9B8-E2A7A66AC68F}">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D144" authorId="0" shapeId="0" xr:uid="{B416B804-811A-442C-9A81-8CC4A557033D}">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E144" authorId="0" shapeId="0" xr:uid="{95FF66EE-88EE-4427-9D4B-62E47A571C71}">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F144" authorId="0" shapeId="0" xr:uid="{6D04D64E-0DA0-4639-8EB3-0E5133624965}">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G144" authorId="0" shapeId="0" xr:uid="{06726AEE-8DA7-4303-8E0B-17060BC43269}">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H144" authorId="0" shapeId="0" xr:uid="{4FFC9C81-6310-4362-B306-822A0C423916}">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A145" authorId="0" shapeId="0" xr:uid="{A795367A-56C8-4AEF-8454-32E28FE7E366}">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B145" authorId="0" shapeId="0" xr:uid="{46018B35-91C5-4885-B495-C5715124461F}">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C145" authorId="0" shapeId="0" xr:uid="{DBC47311-304E-418D-A252-DAE0D1FC21C9}">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D145" authorId="0" shapeId="0" xr:uid="{7BB3C716-76D3-44EC-94EE-7AE03B1573EA}">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E145" authorId="0" shapeId="0" xr:uid="{A8872AE3-BA81-4BDD-8C0E-3E7324765D91}">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F145" authorId="0" shapeId="0" xr:uid="{FBFBCA24-6573-4046-BA86-0672B065E893}">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G145" authorId="0" shapeId="0" xr:uid="{60CADC73-F31D-47A4-803E-AD73D8DA0E50}">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H145" authorId="0" shapeId="0" xr:uid="{88210341-3CB2-4A11-985E-04CCA210C25B}">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A154" authorId="0" shapeId="0" xr:uid="{4FFCA44F-27DE-4820-ADE7-BE9841A8532B}">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B154" authorId="0" shapeId="0" xr:uid="{A3EC891C-1B7A-4B60-8E56-901D006AB532}">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C154" authorId="0" shapeId="0" xr:uid="{202ACE18-9AD6-4AC8-A315-CB2B4FB2C090}">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D154" authorId="0" shapeId="0" xr:uid="{253FBEA8-A570-49B2-AA0F-C8C68E4D94AE}">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E154" authorId="0" shapeId="0" xr:uid="{21BD3AEB-01E2-4EAA-9AD0-ABF84E8C8F81}">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F154" authorId="0" shapeId="0" xr:uid="{D931155B-358A-417D-8222-7EA86C72148F}">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G154" authorId="0" shapeId="0" xr:uid="{69C64D10-4256-428A-943B-439EED194446}">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H154" authorId="0" shapeId="0" xr:uid="{5D628BFD-3336-4E3A-AC5D-A31868D2C957}">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A202" authorId="0" shapeId="0" xr:uid="{00B73334-0EA1-419B-A0A8-1D1F458A7DD8}">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B202" authorId="0" shapeId="0" xr:uid="{534F4623-032E-4494-BED3-4CC5B1F7758C}">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C202" authorId="0" shapeId="0" xr:uid="{CA20BD14-124F-452B-89E6-186F6814BB6C}">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D202" authorId="0" shapeId="0" xr:uid="{3857975A-5634-4D68-9226-159E72EA2C62}">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E202" authorId="0" shapeId="0" xr:uid="{C1D51A8C-F873-4FAE-AFDF-6B1941401EB9}">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F202" authorId="0" shapeId="0" xr:uid="{E88077E4-4099-414A-8E78-25E0F09A9CE5}">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G202" authorId="0" shapeId="0" xr:uid="{793D7199-09E9-49E1-B1B1-DC6B834B0AC2}">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H202" authorId="0" shapeId="0" xr:uid="{5A823681-849A-4732-B86C-09240288295D}">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BCF8E25C-BACB-4404-9D8A-CF71927A8731}">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B3" authorId="0" shapeId="0" xr:uid="{E98DC9BC-9693-4DFA-8091-EEEB4FD41AF3}">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C3" authorId="0" shapeId="0" xr:uid="{D44BDFDA-0A4D-43F1-8B04-692D25AB8694}">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D3" authorId="0" shapeId="0" xr:uid="{DC0B01C2-8DD9-480C-8031-35188AD151C0}">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E3" authorId="0" shapeId="0" xr:uid="{6E6F0816-8593-4AF0-939E-3F21B8D75146}">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F3" authorId="0" shapeId="0" xr:uid="{CD1E85D8-DE2F-4359-A1B2-5522136BFD59}">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G3" authorId="0" shapeId="0" xr:uid="{BAB28A8E-B024-4DF6-B1A5-4A4AEFD9E0CF}">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H3" authorId="0" shapeId="0" xr:uid="{AC6B933E-6596-4224-920D-5BC9D71E7B67}">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A4" authorId="0" shapeId="0" xr:uid="{36C8B1D5-0A53-4B9F-B77C-9E1119CF00C1}">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B4" authorId="0" shapeId="0" xr:uid="{56FADCEF-3263-4F51-B8C7-61D0C66562F1}">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C4" authorId="0" shapeId="0" xr:uid="{326A684A-1FF6-411C-A170-C67C0ED1DECC}">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D4" authorId="0" shapeId="0" xr:uid="{D7023263-AD80-4514-A275-5EF2500E7724}">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E4" authorId="0" shapeId="0" xr:uid="{56B95986-640D-47B6-899E-B7AE6529AF07}">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F4" authorId="0" shapeId="0" xr:uid="{499D54AD-B519-4893-8A63-5A395AA1CFCC}">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G4" authorId="0" shapeId="0" xr:uid="{1066EE3C-12A1-4178-A063-1769B2AC5CE5}">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H4" authorId="0" shapeId="0" xr:uid="{F4398B00-8D65-4E9F-95A4-99A5A603B063}">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A5" authorId="0" shapeId="0" xr:uid="{2EBD948E-ED3A-40B6-9932-713761787604}">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B5" authorId="0" shapeId="0" xr:uid="{BC0936A6-66E0-4A13-87A8-4449B162B51D}">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C5" authorId="0" shapeId="0" xr:uid="{3B5915F2-E3BA-4B62-9229-27FF6E3E1245}">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D5" authorId="0" shapeId="0" xr:uid="{078AF12E-278D-4C34-AD82-8667A5EBF59C}">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E5" authorId="0" shapeId="0" xr:uid="{9F7D5F67-0E4C-4FAD-89CC-B7620ABBD515}">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F5" authorId="0" shapeId="0" xr:uid="{E4FBA0F6-F478-40B9-93F8-ACC4A37A7A5A}">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G5" authorId="0" shapeId="0" xr:uid="{63C27ECC-C7F2-4635-A037-85E468351B16}">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H5" authorId="0" shapeId="0" xr:uid="{87EE05E2-AEB5-4D56-AF11-FEEE39DF9564}">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A6" authorId="0" shapeId="0" xr:uid="{97234445-7762-449C-8652-38B1D77376DD}">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B6" authorId="0" shapeId="0" xr:uid="{C55A318C-FC20-430C-8A72-8A91C8093F60}">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C6" authorId="0" shapeId="0" xr:uid="{455A086E-9EA7-4CF1-B22F-5A774A014B18}">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D6" authorId="0" shapeId="0" xr:uid="{C0707603-DDBA-492B-8338-012215C55E19}">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E6" authorId="0" shapeId="0" xr:uid="{12514F7D-C1AC-4261-BA14-D16FB0C2FF4E}">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F6" authorId="0" shapeId="0" xr:uid="{431D6EF6-5120-471A-BA15-007288A7CA1B}">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G6" authorId="0" shapeId="0" xr:uid="{50B6D90B-0BA5-4F92-8913-0F88C0025014}">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H6" authorId="0" shapeId="0" xr:uid="{45AE3BC6-71B7-40DA-9EA2-24D7994ACF2A}">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A8" authorId="0" shapeId="0" xr:uid="{CB6CBDFB-1396-453F-A6B4-D2E5395BDC84}">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B8" authorId="0" shapeId="0" xr:uid="{79A56B83-6FE4-4CE4-ADD2-ECA2E6D3F635}">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C8" authorId="0" shapeId="0" xr:uid="{DEB8F68F-9144-4216-983B-F2480AF0B587}">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D8" authorId="0" shapeId="0" xr:uid="{CF3BE9FC-0C0F-48A8-8C4A-519061317000}">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E8" authorId="0" shapeId="0" xr:uid="{F9ADF8F8-2709-4738-A3AC-9F54763D81E8}">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F8" authorId="0" shapeId="0" xr:uid="{06C5D02E-F1CD-471E-ABE5-5A670BA5B321}">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G8" authorId="0" shapeId="0" xr:uid="{03B83621-46B1-4782-B580-3995976DDC8F}">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H8" authorId="0" shapeId="0" xr:uid="{E7490B70-1E23-4E46-B49A-66FB7F1B4263}">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A9" authorId="0" shapeId="0" xr:uid="{2B6A6702-01DB-4457-B076-3182F992784A}">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B9" authorId="0" shapeId="0" xr:uid="{6C65B689-66E7-4A91-846D-CCFDE78EAF15}">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C9" authorId="0" shapeId="0" xr:uid="{60045628-086E-4DDA-9A7A-64654EC143EA}">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D9" authorId="0" shapeId="0" xr:uid="{EF5FFEE5-238B-4024-986F-E5A6FF6FE50B}">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E9" authorId="0" shapeId="0" xr:uid="{223A79D9-C61A-4754-A81A-00B96D736360}">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F9" authorId="0" shapeId="0" xr:uid="{A414E1D2-3143-47C0-8121-36FFACC2936A}">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G9" authorId="0" shapeId="0" xr:uid="{F4DAEFE9-F635-4F6C-9074-D54BFB7E27E1}">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H9" authorId="0" shapeId="0" xr:uid="{14A926E0-CFAE-4D04-A9FD-76D42CA86D5C}">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A10" authorId="0" shapeId="0" xr:uid="{817DB0A4-3321-40A7-AF23-710BCF7D6B8F}">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B10" authorId="0" shapeId="0" xr:uid="{43D38486-461D-4534-8F41-7EA11841108B}">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C10" authorId="0" shapeId="0" xr:uid="{720EDB99-4ED6-4A5F-AD1B-C05D41ED17D8}">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D10" authorId="0" shapeId="0" xr:uid="{DE64A536-B2CA-4038-8B77-082D6472442C}">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E10" authorId="0" shapeId="0" xr:uid="{2A4F2A9C-02A4-40DC-9DDD-84C5B19084F9}">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F10" authorId="0" shapeId="0" xr:uid="{3DA81701-CE52-475C-8DAF-F58FE0385431}">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G10" authorId="0" shapeId="0" xr:uid="{DA6936DA-82FB-4C3C-B468-5A942A41FD7E}">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H10" authorId="0" shapeId="0" xr:uid="{F9C8D828-22B0-4831-8FBC-DACAE6F6D57B}">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A11" authorId="0" shapeId="0" xr:uid="{0F86A13F-9F02-45D7-9080-6AF9C58E97AC}">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B11" authorId="0" shapeId="0" xr:uid="{22852729-04DF-4D9A-891A-686743FCE1D6}">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C11" authorId="0" shapeId="0" xr:uid="{B784009B-42EB-42D6-A924-4CCEA2064044}">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D11" authorId="0" shapeId="0" xr:uid="{8D19C637-B3D7-4749-84F4-7C8C8978D45C}">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E11" authorId="0" shapeId="0" xr:uid="{FA62C09C-ABF0-43D3-B4E8-5D3E23101C12}">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F11" authorId="0" shapeId="0" xr:uid="{204539D8-2469-49AB-B16C-FE100B00B7C9}">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G11" authorId="0" shapeId="0" xr:uid="{0E307E97-5584-4FE4-A602-96869A11B3CA}">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H11" authorId="0" shapeId="0" xr:uid="{7B65C61F-DF7D-4D29-BCB9-A406745BAE73}">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A12" authorId="0" shapeId="0" xr:uid="{201EDCD7-1B6A-4446-AB1C-A14E29FB5704}">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B12" authorId="0" shapeId="0" xr:uid="{D4EFF140-A1BC-4DD9-A313-3B717697B74B}">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C12" authorId="0" shapeId="0" xr:uid="{125E81F8-5A28-4D2A-BDA9-00062A783B3E}">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D12" authorId="0" shapeId="0" xr:uid="{170AE350-081F-40C5-A88B-23D437DFEC8E}">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E12" authorId="0" shapeId="0" xr:uid="{17A41B9D-8CC2-4521-9DD4-DD99D74DEF56}">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F12" authorId="0" shapeId="0" xr:uid="{154AF1A1-2232-4E0A-8320-0567E520512D}">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G12" authorId="0" shapeId="0" xr:uid="{8D91396A-DE84-4D8B-B057-E09F2F4F1975}">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H12" authorId="0" shapeId="0" xr:uid="{50188187-CB7A-472F-B1C2-47570DFB4D71}">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A13" authorId="0" shapeId="0" xr:uid="{B9714FDA-A14A-40DB-935B-3E579D0DF96F}">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B13" authorId="0" shapeId="0" xr:uid="{62B12FFC-8DC2-4AD3-951A-E85353B93BF7}">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C13" authorId="0" shapeId="0" xr:uid="{87BF95C2-2244-4468-AB0B-270835BE464B}">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D13" authorId="0" shapeId="0" xr:uid="{C9F57182-04A4-4463-BC21-668B8BB1C3D1}">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E13" authorId="0" shapeId="0" xr:uid="{C1329177-DDAA-4EC3-ADC1-A9F4C30BD827}">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F13" authorId="0" shapeId="0" xr:uid="{5227EDCF-C88F-4332-BCAB-48226CC7AE84}">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G13" authorId="0" shapeId="0" xr:uid="{E921C97B-80EA-47D9-838B-F9C761F07BDA}">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H13" authorId="0" shapeId="0" xr:uid="{62C33454-7E51-418F-98D5-B07AE9FEB117}">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A14" authorId="0" shapeId="0" xr:uid="{06ABF396-C311-49AF-B5C5-F0CF0D371518}">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B14" authorId="0" shapeId="0" xr:uid="{4F9F137D-8752-49CB-BD4B-235CC3D7393F}">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C14" authorId="0" shapeId="0" xr:uid="{BAB774ED-8D89-49CA-A127-C40ADB342622}">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D14" authorId="0" shapeId="0" xr:uid="{0CC7D7F1-C7AF-45D6-9C3C-AF582B96E7AC}">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E14" authorId="0" shapeId="0" xr:uid="{4D77C6D3-9820-4D97-8676-5818E6EE68A8}">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F14" authorId="0" shapeId="0" xr:uid="{87F4990C-0260-4ABE-BAE5-592C247BA55E}">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G14" authorId="0" shapeId="0" xr:uid="{4977EEEF-2747-427A-AF01-FCCA6037E9C3}">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H14" authorId="0" shapeId="0" xr:uid="{3A21E652-AF18-4482-8701-C420A003A2CF}">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A15" authorId="0" shapeId="0" xr:uid="{45620FF2-0599-4244-8132-C23E164D29E0}">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B15" authorId="0" shapeId="0" xr:uid="{A18C7443-9B02-41C2-955F-491488AAF94D}">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C15" authorId="0" shapeId="0" xr:uid="{2307E46C-3F0C-4988-816A-315A091CABAE}">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D15" authorId="0" shapeId="0" xr:uid="{BDD36486-AE84-40EB-956F-7B6DCCEB4F26}">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E15" authorId="0" shapeId="0" xr:uid="{80612E78-CE31-4996-93D6-E6C3332BC0B6}">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F15" authorId="0" shapeId="0" xr:uid="{32FEE99D-A439-4051-8E2A-34C7402595B8}">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G15" authorId="0" shapeId="0" xr:uid="{5D6305E0-056A-42C9-830E-3F648AA90D92}">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H15" authorId="0" shapeId="0" xr:uid="{28A1C581-E776-4968-965C-8DD6C21A58E4}">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A16" authorId="0" shapeId="0" xr:uid="{20FF422A-C903-44D4-96C9-7FE80ECE8545}">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B16" authorId="0" shapeId="0" xr:uid="{2E04925A-C748-4A62-9427-9D6EEEB9A46E}">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C16" authorId="0" shapeId="0" xr:uid="{49B1F774-CAA6-45EA-84FD-AE4AE194DCB9}">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D16" authorId="0" shapeId="0" xr:uid="{A3A81D60-F2B7-4B7D-A34B-AB31FD2A4F75}">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E16" authorId="0" shapeId="0" xr:uid="{D1B4FD9E-927F-4A4B-8FA3-F6435E368F64}">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F16" authorId="0" shapeId="0" xr:uid="{38ECA092-2DA5-4412-AAD8-A11094E5DC9D}">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G16" authorId="0" shapeId="0" xr:uid="{49E4DD0F-BAE9-47CB-8D16-20C953424018}">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H16" authorId="0" shapeId="0" xr:uid="{7202D0CB-5A7F-4F7A-9ACB-C29B4438EDCA}">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A17" authorId="0" shapeId="0" xr:uid="{0C88E88D-3CCC-42D9-B628-D23D92AC1006}">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B17" authorId="0" shapeId="0" xr:uid="{989B0A18-880E-4C63-A82F-E1FD388C2EC4}">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C17" authorId="0" shapeId="0" xr:uid="{5BE375E3-D6FC-4639-B2B0-438451DC8854}">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D17" authorId="0" shapeId="0" xr:uid="{E72CCFD2-8E48-42A2-BD51-7ECC329D3427}">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E17" authorId="0" shapeId="0" xr:uid="{17836209-F7E3-4FF8-8F98-2B4162AEF5DB}">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F17" authorId="0" shapeId="0" xr:uid="{8D20C8DB-B614-411D-AC5F-D3C856236573}">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G17" authorId="0" shapeId="0" xr:uid="{14E7C8CD-E2A0-4A04-AD1E-4BE64EE10560}">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H17" authorId="0" shapeId="0" xr:uid="{3F97F971-6AEB-47AE-9EBA-39049652539D}">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A18" authorId="0" shapeId="0" xr:uid="{C240383A-0D48-4035-A96F-C783F6C61803}">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B18" authorId="0" shapeId="0" xr:uid="{859FA737-946D-4810-9253-E09E887B67CE}">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C18" authorId="0" shapeId="0" xr:uid="{EC02A5DD-60D3-478D-8122-E1E3DC1B2278}">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D18" authorId="0" shapeId="0" xr:uid="{5C6FB809-ADFC-4233-AF18-04F237070E40}">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E18" authorId="0" shapeId="0" xr:uid="{EA396875-2409-4472-AB02-86BECB0CDA68}">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F18" authorId="0" shapeId="0" xr:uid="{BD1334CE-97C4-44A2-AC79-E187A32D7720}">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G18" authorId="0" shapeId="0" xr:uid="{98E3F200-9A3D-42C8-82AC-197B237FBCBA}">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H18" authorId="0" shapeId="0" xr:uid="{FBC8E2FD-616C-4F17-9067-8239C3A24BBC}">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7" authorId="0" shapeId="0" xr:uid="{DD81B2CC-6004-4677-863D-B7AA3F7FA835}">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B7" authorId="0" shapeId="0" xr:uid="{BEB910F1-19F5-47DE-A7A9-8FDC2FBD5AD0}">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C7" authorId="0" shapeId="0" xr:uid="{D5835176-E295-4E55-A481-4C677F8FCD1D}">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D7" authorId="0" shapeId="0" xr:uid="{6810DF0E-EF59-49CD-944B-686FE5007A27}">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E7" authorId="0" shapeId="0" xr:uid="{FEF55C7C-8244-4CFD-8EFE-7B31CB65F46E}">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F7" authorId="0" shapeId="0" xr:uid="{90C29CDC-01E3-46FB-A7C5-804709E74E39}">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G7" authorId="0" shapeId="0" xr:uid="{459E67D7-F10A-4FF9-8FD4-25B28C3047BE}">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H7" authorId="0" shapeId="0" xr:uid="{B0EDA4DC-C033-4F50-B72F-D782F89A0DA1}">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A20" authorId="0" shapeId="0" xr:uid="{0A9DAA16-D28F-4227-95C9-78935774C611}">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B20" authorId="0" shapeId="0" xr:uid="{82D0886D-1ECA-4985-9683-117709A6523D}">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C20" authorId="0" shapeId="0" xr:uid="{6D775BDB-F9E1-425B-AFD0-1593B3F4C4BA}">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D20" authorId="0" shapeId="0" xr:uid="{3489D1AC-673D-4203-8371-3D73DE50A372}">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E20" authorId="0" shapeId="0" xr:uid="{40753CBD-3242-4E8C-B883-E8C316F31567}">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F20" authorId="0" shapeId="0" xr:uid="{91F154A7-22B9-4908-886D-BE29CEE812BE}">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G20" authorId="0" shapeId="0" xr:uid="{8DC8E719-0A98-4A51-B7D4-D6C1F1AEC16C}">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H20" authorId="0" shapeId="0" xr:uid="{FEE612F4-8321-4163-BC57-9640557F1265}">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A37" authorId="0" shapeId="0" xr:uid="{5059CED2-1CB9-4DE8-AD1E-55B7EA0FE953}">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B37" authorId="0" shapeId="0" xr:uid="{694021F1-38C5-4731-992C-9FB3A5E85E10}">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C37" authorId="0" shapeId="0" xr:uid="{511D7589-FEB6-44DC-8F19-3DD7498BB23F}">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D37" authorId="0" shapeId="0" xr:uid="{19BDBB43-26C5-425B-BE25-F021244E3729}">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E37" authorId="0" shapeId="0" xr:uid="{C2F16C17-1640-4B0F-88D8-B92FD22829C4}">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F37" authorId="0" shapeId="0" xr:uid="{F4AC3FBB-AD44-47B2-8848-B904BF1A56E4}">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G37" authorId="0" shapeId="0" xr:uid="{3A5DF3EB-290E-4E81-ADC2-4A0D3DFFD123}">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H37" authorId="0" shapeId="0" xr:uid="{FA719283-2EB0-4BCD-BBC9-41BB325392EF}">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A39" authorId="0" shapeId="0" xr:uid="{D5DF9699-60AB-40F0-A985-22C6F7EE1DB1}">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B39" authorId="0" shapeId="0" xr:uid="{C0947A74-3247-4A39-9FD1-4DFA5327283B}">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C39" authorId="0" shapeId="0" xr:uid="{60657E3A-B5E2-4C81-8C1E-89762D0F2CED}">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D39" authorId="0" shapeId="0" xr:uid="{E26761FB-C41C-45C2-BDAF-59CC0FA9FEBB}">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E39" authorId="0" shapeId="0" xr:uid="{359B67CD-4B72-4DA1-9961-8E372397AE85}">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F39" authorId="0" shapeId="0" xr:uid="{AFD9C514-1806-4C8E-B8A2-CF84ACEE8AF1}">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G39" authorId="0" shapeId="0" xr:uid="{AC9FDFD8-16F4-49EA-A59C-DDDC077194F5}">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H39" authorId="0" shapeId="0" xr:uid="{9C704F6F-D2A3-47F4-BC24-DCCD234584E4}">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8F885D12-2EC7-475B-8AD0-7789F1B8A15F}">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B2" authorId="0" shapeId="0" xr:uid="{5DF218B6-1945-4E1D-9C71-284E91F47144}">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C2" authorId="0" shapeId="0" xr:uid="{CF7A1013-6D3B-4F3A-A9FE-2373F5DF49C5}">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D2" authorId="0" shapeId="0" xr:uid="{67B0C7EA-1DD1-44E4-AC76-F375F9BB7DB3}">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E2" authorId="0" shapeId="0" xr:uid="{162CC93D-6CA9-48F4-B7E6-EFAC2E71C67C}">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F2" authorId="0" shapeId="0" xr:uid="{FC30DA11-213C-489F-94E3-DB6231F7A932}">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G2" authorId="0" shapeId="0" xr:uid="{B95D64A6-A63B-4E20-B48B-FFD9202A2F40}">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H2" authorId="0" shapeId="0" xr:uid="{2F918852-E0A8-4FE6-9D81-E83EA0AF39D1}">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A14" authorId="0" shapeId="0" xr:uid="{3BC8B8AA-041F-42CD-B0F2-C1BEA88FBF99}">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B14" authorId="0" shapeId="0" xr:uid="{1B7EF26C-7B13-42E6-9193-A6FAE80F5C62}">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C14" authorId="0" shapeId="0" xr:uid="{16310D4F-DC0E-4D22-A6AC-C2D9F5BE13C2}">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D14" authorId="0" shapeId="0" xr:uid="{8DEA151E-B458-4F88-BA6F-FD17C1CF7B5E}">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E14" authorId="0" shapeId="0" xr:uid="{14727E60-8A9A-4B94-A199-12B1628A3A04}">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F14" authorId="0" shapeId="0" xr:uid="{6C3245F2-021D-4E8E-A4C0-7F9C14BB32F6}">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G14" authorId="0" shapeId="0" xr:uid="{E6DCD971-4490-4275-BA7F-E53C68068D69}">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H14" authorId="0" shapeId="0" xr:uid="{56B498A5-9C1F-49C7-8ACF-B3DA50C1BA1B}">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A26" authorId="0" shapeId="0" xr:uid="{5EC2EA32-E4FF-4A3D-A1E6-004599F70B05}">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B26" authorId="0" shapeId="0" xr:uid="{8C76C40D-D185-439E-AE02-058BA0E3F93D}">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C26" authorId="0" shapeId="0" xr:uid="{577BE423-7581-46FB-BFC9-90B6E244B86D}">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D26" authorId="0" shapeId="0" xr:uid="{7F379239-3AA6-4E99-A272-EDF3FE13DB58}">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E26" authorId="0" shapeId="0" xr:uid="{A2AF723B-48A7-464E-910A-0E380D96A5AE}">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F26" authorId="0" shapeId="0" xr:uid="{1FA93AE3-7481-45D8-AD7A-C0A922CEEA79}">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G26" authorId="0" shapeId="0" xr:uid="{D4AA3FD1-DF01-42CF-8AA5-31B48449D180}">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H26" authorId="0" shapeId="0" xr:uid="{3ABAF902-F011-4D8D-8D97-CDBAF4B35437}">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A27" authorId="0" shapeId="0" xr:uid="{1A2ABACB-A171-4071-9718-5A3323FBBDB6}">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B27" authorId="0" shapeId="0" xr:uid="{5557C4B8-0A8C-4E82-AB63-79F6390B9A7D}">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C27" authorId="0" shapeId="0" xr:uid="{6DFE901A-1F4A-406F-A5EF-E2CE9EF361DA}">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D27" authorId="0" shapeId="0" xr:uid="{18EE0636-CA97-4E6F-94E4-E36EE23FC12D}">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E27" authorId="0" shapeId="0" xr:uid="{8185746B-5418-49C2-B00E-E7A8E021D9F4}">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F27" authorId="0" shapeId="0" xr:uid="{17D1AE89-963E-493C-BCC2-FA81BEF87E61}">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G27" authorId="0" shapeId="0" xr:uid="{F4D3DB56-F242-46F6-9596-B88B93D8A97F}">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H27" authorId="0" shapeId="0" xr:uid="{1D6B523E-BA65-44C5-980A-DF598C734B75}">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C8104117-F744-4680-B5A6-A6E2B4DC255E}">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B2" authorId="0" shapeId="0" xr:uid="{B051EA7E-53BB-4F32-8D00-754637C0E0A6}">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C2" authorId="0" shapeId="0" xr:uid="{EF7D3354-5C51-412D-A8B5-773539CF200C}">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D2" authorId="0" shapeId="0" xr:uid="{29996E69-EAB5-4642-97A7-4F3C351BB6EA}">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E2" authorId="0" shapeId="0" xr:uid="{B5B03124-0AC7-4EF3-A4A0-AE3563F21749}">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F2" authorId="0" shapeId="0" xr:uid="{E4AC05E0-91F1-409A-BA7B-0C3572688049}">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G2" authorId="0" shapeId="0" xr:uid="{ED328F44-5782-46A4-B300-BA9B70D6C56C}">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H2" authorId="0" shapeId="0" xr:uid="{EDAC9B1C-64FA-4534-AABF-71A0B888E2B7}">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A3" authorId="0" shapeId="0" xr:uid="{F8F09718-7900-452E-958B-A49F72B0E523}">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B3" authorId="0" shapeId="0" xr:uid="{3C1AFEEB-71D5-423E-A95A-3A9EF029E1CF}">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C3" authorId="0" shapeId="0" xr:uid="{A0327F3A-1C15-4130-8F58-36707925CE9E}">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D3" authorId="0" shapeId="0" xr:uid="{B5E43AE5-606D-41C9-9640-FD3FC2F5808B}">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E3" authorId="0" shapeId="0" xr:uid="{5A1E6F7E-1C51-4FC4-9595-110FFBB7B516}">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F3" authorId="0" shapeId="0" xr:uid="{FD4DB1CD-1E47-4922-AA81-B934014B4B7E}">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G3" authorId="0" shapeId="0" xr:uid="{3F89D67F-5878-4DE7-96BE-6036570B19FF}">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H3" authorId="0" shapeId="0" xr:uid="{ED3392EF-35C7-41E4-99BF-A5C1140AAD16}">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A16" authorId="0" shapeId="0" xr:uid="{C09927E2-F382-4B32-B397-4B21BCB2F75A}">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B16" authorId="0" shapeId="0" xr:uid="{4806CB61-7535-412E-BAB5-B32AFDB08751}">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C16" authorId="0" shapeId="0" xr:uid="{B45CA2FE-4E9E-4E1E-9941-3FCC1742BB5F}">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D16" authorId="0" shapeId="0" xr:uid="{B967F12D-1012-4A52-82C2-B938F26A0C09}">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E16" authorId="0" shapeId="0" xr:uid="{0200DBEF-E727-46FE-8766-D3761196D280}">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F16" authorId="0" shapeId="0" xr:uid="{CD251BAE-4E86-4862-964A-B3622D48983C}">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G16" authorId="0" shapeId="0" xr:uid="{21C52E03-0DB3-47E2-85A2-63AF21991201}">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H16" authorId="0" shapeId="0" xr:uid="{8145AEDE-5390-4614-A762-DCB82598E969}">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A28" authorId="0" shapeId="0" xr:uid="{00230B2F-63E8-4C0D-96AB-1971EEA2E77C}">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B28" authorId="0" shapeId="0" xr:uid="{F48E93D4-B72D-4797-BCF6-3A3B837EB8FA}">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C28" authorId="0" shapeId="0" xr:uid="{06550E23-52DC-4809-8C1F-0B59A5BA13E8}">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D28" authorId="0" shapeId="0" xr:uid="{9F980EA4-755B-4423-A758-9CB2E8585692}">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E28" authorId="0" shapeId="0" xr:uid="{2981EA89-C74D-426A-B008-534CC1714AB9}">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F28" authorId="0" shapeId="0" xr:uid="{4426F002-C727-44E4-AEAF-895FF159006D}">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G28" authorId="0" shapeId="0" xr:uid="{5A39A4A1-2430-46FE-9811-EE1D40FEB669}">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H28" authorId="0" shapeId="0" xr:uid="{F1CB76CD-BFAA-41EB-8FFE-AB2C0143DB71}">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A30" authorId="0" shapeId="0" xr:uid="{EF7095B3-935B-4C4A-B6C4-1EF1ECF5DE8D}">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B30" authorId="0" shapeId="0" xr:uid="{1C6319BB-111B-46F7-8805-CE080315ABFC}">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C30" authorId="0" shapeId="0" xr:uid="{79392769-C37F-40C7-BECF-ED740640BE61}">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D30" authorId="0" shapeId="0" xr:uid="{90CA6D7A-E532-48BA-9C47-6CE5BB8E7465}">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E30" authorId="0" shapeId="0" xr:uid="{67E12FE4-4DDE-48EB-B7D1-300846DD4498}">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F30" authorId="0" shapeId="0" xr:uid="{BDF3B9C1-C957-42AB-A4F3-E3535B46E51D}">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G30" authorId="0" shapeId="0" xr:uid="{39F3EBB4-BBB8-4087-9FDE-49FE2964A443}">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H30" authorId="0" shapeId="0" xr:uid="{94ADF32D-5B8D-4F06-A455-CF9CD12BF630}">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EC3CCE68-2661-43A3-A352-980EC386273B}">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B2" authorId="0" shapeId="0" xr:uid="{0D49CB69-EBD9-4290-BF66-9FA391EA23C4}">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C2" authorId="0" shapeId="0" xr:uid="{D087DFB6-F032-45D8-BE3B-10AFB47941E4}">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D2" authorId="0" shapeId="0" xr:uid="{7435CBCF-CE1A-42FD-990F-19991381062E}">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E2" authorId="0" shapeId="0" xr:uid="{66937226-916D-4081-9429-F4D8572DCB74}">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F2" authorId="0" shapeId="0" xr:uid="{C0FFD77A-9933-407E-B1C7-DE1390518C81}">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G2" authorId="0" shapeId="0" xr:uid="{D1537512-D920-47D7-B768-06C2D45DBD48}">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H2" authorId="0" shapeId="0" xr:uid="{75C6424A-7899-4F2E-B428-45D281FD3E52}">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A3" authorId="0" shapeId="0" xr:uid="{5C71D5D3-E2F2-40A8-8DD1-ED854F03E6BF}">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B3" authorId="0" shapeId="0" xr:uid="{7EA6C60D-7F12-40EB-A525-24506FDE9987}">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C3" authorId="0" shapeId="0" xr:uid="{7682C275-0225-4E32-91D8-920B246AC071}">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D3" authorId="0" shapeId="0" xr:uid="{CF1D89F6-1AFD-4AA2-8E4F-FB272E443F93}">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E3" authorId="0" shapeId="0" xr:uid="{F3935553-DD85-4FF1-A9B8-80B1271BCF62}">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F3" authorId="0" shapeId="0" xr:uid="{E1E7D57B-5C72-4430-8D21-9B2A25220BA2}">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G3" authorId="0" shapeId="0" xr:uid="{705D8354-9994-405E-B8C2-7B4EBD6CE1DA}">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H3" authorId="0" shapeId="0" xr:uid="{1A53EBB0-E703-4240-BB72-9B4B17CD3DC8}">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A15" authorId="0" shapeId="0" xr:uid="{D0F2DA2D-6335-4B34-B43E-F5CB550DA055}">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B15" authorId="0" shapeId="0" xr:uid="{3379DA08-B215-4FCD-A2EE-4A7A5A499081}">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C15" authorId="0" shapeId="0" xr:uid="{41425528-EFED-4293-BF08-CA31A0C033DA}">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D15" authorId="0" shapeId="0" xr:uid="{202E84D6-40F7-47CD-9DE1-082122966EE8}">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E15" authorId="0" shapeId="0" xr:uid="{E14F733E-AC4F-4957-BBCA-A90F51FACCFF}">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F15" authorId="0" shapeId="0" xr:uid="{14338342-3591-4ACB-9D54-8523B07EC87E}">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G15" authorId="0" shapeId="0" xr:uid="{10A1A448-AE99-422C-9B76-FE3BF3641926}">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H15" authorId="0" shapeId="0" xr:uid="{89BFD799-871A-4E51-92D5-462284BCFC07}">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A27" authorId="0" shapeId="0" xr:uid="{6E1CFFEB-E280-45C0-9057-C0BAEE674EEE}">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B27" authorId="0" shapeId="0" xr:uid="{7C99DD4C-ED19-4A75-B65F-465296BAADA0}">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C27" authorId="0" shapeId="0" xr:uid="{E43AC029-DCD2-4F57-9D50-61D62ACDC5C3}">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D27" authorId="0" shapeId="0" xr:uid="{FE70882C-B043-4405-BA6A-993D4902FF84}">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E27" authorId="0" shapeId="0" xr:uid="{9C684038-6DEE-4265-896D-05E3A920E4A5}">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F27" authorId="0" shapeId="0" xr:uid="{13C1DA10-315C-451D-9B13-CF2776B28D55}">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G27" authorId="0" shapeId="0" xr:uid="{432057B7-D76A-4EEC-8CDA-57489E7AECD8}">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H27" authorId="0" shapeId="0" xr:uid="{001814B2-2A4F-4530-BD70-C22B109AC398}">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A28" authorId="0" shapeId="0" xr:uid="{35277B60-3DE4-4CE3-878A-3281AE0E7848}">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B28" authorId="0" shapeId="0" xr:uid="{6B46CD01-FD45-435E-A762-96CFAE2B5E81}">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C28" authorId="0" shapeId="0" xr:uid="{18A82B16-F98C-46F9-BFF6-63E11231B97F}">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D28" authorId="0" shapeId="0" xr:uid="{81EBC8BD-4924-4DAA-A42E-2D68B2A1A15C}">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E28" authorId="0" shapeId="0" xr:uid="{7B861D7A-E213-429D-99DD-9028E4AEC020}">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F28" authorId="0" shapeId="0" xr:uid="{C3328CA3-2C43-4EA0-8CAD-82A2184AD912}">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G28" authorId="0" shapeId="0" xr:uid="{EE4EFDE4-B26F-4C2B-9114-6941EEE682BE}">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H28" authorId="0" shapeId="0" xr:uid="{6D38DCE9-23DC-4E2C-BBCD-AECE2E39639F}">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8" authorId="0" shapeId="0" xr:uid="{14F22A18-484D-4F93-B83F-49E789A47D7E}">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B18" authorId="0" shapeId="0" xr:uid="{D86174BC-D5C2-4DC5-94DF-BE058DCA410A}">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C18" authorId="0" shapeId="0" xr:uid="{DD7CE137-56EF-42A9-A10C-C0E7AF39730B}">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D18" authorId="0" shapeId="0" xr:uid="{D5057818-92C1-4363-B6C6-75F989F78C26}">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E18" authorId="0" shapeId="0" xr:uid="{DFA48BB6-4638-44D6-9CD8-6DC369C5AE69}">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F18" authorId="0" shapeId="0" xr:uid="{93CAE3BD-D5FE-4DB8-9379-6E3E4384BFEA}">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G18" authorId="0" shapeId="0" xr:uid="{8148EF09-E19F-48DD-88FD-A5725E42774C}">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H18" authorId="0" shapeId="0" xr:uid="{992EAC2A-6C67-4444-A2F6-4F8592390665}">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A67" authorId="0" shapeId="0" xr:uid="{8A0EF74D-0C31-4774-9CCA-9C057484C60F}">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B67" authorId="0" shapeId="0" xr:uid="{3E6BF029-3D33-4F9F-AE3E-34C1A13322C0}">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C67" authorId="0" shapeId="0" xr:uid="{34FBE54D-7271-4E5F-B595-E284AD4A91DE}">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D67" authorId="0" shapeId="0" xr:uid="{928AAA6D-E361-4353-B359-95F5455CF809}">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E67" authorId="0" shapeId="0" xr:uid="{F0275952-76BF-4C68-8CAB-500A88605950}">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F67" authorId="0" shapeId="0" xr:uid="{38308517-7215-4D36-965D-C0FF3C6C5858}">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G67" authorId="0" shapeId="0" xr:uid="{946C87E4-F07E-4C49-B499-83DFC76D551B}">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H67" authorId="0" shapeId="0" xr:uid="{30A4D24D-3B39-42ED-8509-9F0299D07FEF}">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A68" authorId="0" shapeId="0" xr:uid="{8DE79583-F177-45ED-AA3E-97ECEB7A025A}">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B68" authorId="0" shapeId="0" xr:uid="{FA811282-587A-428C-BE16-36796B629B69}">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C68" authorId="0" shapeId="0" xr:uid="{FA0B1DA2-C87A-4064-BC4D-8663DDE84CCA}">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D68" authorId="0" shapeId="0" xr:uid="{3661932B-07D4-4F74-9136-5BFB1FE9C903}">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E68" authorId="0" shapeId="0" xr:uid="{D806E66B-F060-4C05-A8CC-22422211F637}">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F68" authorId="0" shapeId="0" xr:uid="{87457E77-38DD-42B9-8AAE-22FEC8622618}">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G68" authorId="0" shapeId="0" xr:uid="{D177DF39-3BA5-4912-B601-0A8281469165}">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H68" authorId="0" shapeId="0" xr:uid="{5CD24ADE-3832-4B09-AE21-66E7ECFD2BB3}">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A105" authorId="0" shapeId="0" xr:uid="{F855C86E-9B25-4767-9D79-B043770FA662}">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B105" authorId="0" shapeId="0" xr:uid="{0B746E7A-B049-407E-B2CC-9E2BE1B0AC30}">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C105" authorId="0" shapeId="0" xr:uid="{A8E9E18D-BB2C-4EFB-81F2-F9CC0554408C}">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D105" authorId="0" shapeId="0" xr:uid="{FD5D6081-3F0F-4E84-9C86-37448F0B412B}">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E105" authorId="0" shapeId="0" xr:uid="{02EA9E6E-3A39-413E-9EC1-BFC932C280B7}">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F105" authorId="0" shapeId="0" xr:uid="{E3A93121-EFC5-4A54-9382-92E7CC703CE9}">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G105" authorId="0" shapeId="0" xr:uid="{57DD736B-4977-4C5F-A1AA-40C4CFE3CA0B}">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H105" authorId="0" shapeId="0" xr:uid="{43FACBF5-93B8-4960-B129-09136FB72056}">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4" authorId="0" shapeId="0" xr:uid="{899C8DAF-6C80-43A9-9774-867A12EADE8D}">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B4" authorId="0" shapeId="0" xr:uid="{C2B507D9-FF50-46F1-997E-E4EC32AB1B7A}">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C4" authorId="0" shapeId="0" xr:uid="{916D810A-99B5-4F88-BF1C-81B8FDF246DA}">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D4" authorId="0" shapeId="0" xr:uid="{94F9E668-1A97-4810-8A3F-9E1EEEE50D0A}">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E4" authorId="0" shapeId="0" xr:uid="{562BA7E4-EF89-4BE4-B3A9-1D68514F0A6C}">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F4" authorId="0" shapeId="0" xr:uid="{5243F63E-1FA4-4FF6-960C-E830E30A64F4}">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G4" authorId="0" shapeId="0" xr:uid="{D93B3C1B-BFF0-4674-A149-09E314060BD7}">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H4" authorId="0" shapeId="0" xr:uid="{792C6E31-DBF8-48D4-9154-84EF644AC325}">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A10" authorId="0" shapeId="0" xr:uid="{11ECCFF1-F686-4D82-BF05-50093E9D8C96}">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B10" authorId="0" shapeId="0" xr:uid="{03BC9773-31D5-4A7D-83AE-CEBCB1FA56D0}">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C10" authorId="0" shapeId="0" xr:uid="{FB096A95-2871-4755-B88F-F6E89D6D9015}">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D10" authorId="0" shapeId="0" xr:uid="{47E5BB47-88F3-4972-A845-9473B76527B4}">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E10" authorId="0" shapeId="0" xr:uid="{21B07F12-2EB4-404E-8789-326680D5DEE9}">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F10" authorId="0" shapeId="0" xr:uid="{0C8FB9D3-B2AB-4E56-994C-0F9E0216631A}">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G10" authorId="0" shapeId="0" xr:uid="{12A0DCE0-41CC-49F2-9630-6C710A3D34E1}">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H10" authorId="0" shapeId="0" xr:uid="{C82DE3C8-07D0-4C82-85D9-610216C9ECC5}">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A11" authorId="0" shapeId="0" xr:uid="{BBC02417-17E6-4901-B393-92FF4E56622D}">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B11" authorId="0" shapeId="0" xr:uid="{2B83D8D0-D273-402D-8158-318304BA0619}">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C11" authorId="0" shapeId="0" xr:uid="{E0FAA911-083F-434F-BBCC-6FF3FF8E497A}">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D11" authorId="0" shapeId="0" xr:uid="{BC1AE35F-6177-42EF-A81E-F667B463AA61}">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E11" authorId="0" shapeId="0" xr:uid="{68A34AF4-DD92-49EA-AC09-A74255F49049}">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F11" authorId="0" shapeId="0" xr:uid="{F6FF4F70-89FC-4D68-B448-E989F1ED8AAD}">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G11" authorId="0" shapeId="0" xr:uid="{E4BA68E1-E039-470E-927E-B7A3EB76DF4C}">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H11" authorId="0" shapeId="0" xr:uid="{BCF6C7CB-03D1-47AE-8B78-BD790C7A3AC6}">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A14" authorId="0" shapeId="0" xr:uid="{95013E99-ABEA-4EFA-82CC-4A2526FAB756}">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B14" authorId="0" shapeId="0" xr:uid="{79DE7720-9A19-4F7F-A1E4-92BB88C639F1}">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C14" authorId="0" shapeId="0" xr:uid="{5BD87DB3-E7EC-4B8F-84DA-CB106EBF6E99}">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D14" authorId="0" shapeId="0" xr:uid="{5FFAB0D5-8284-4BB0-8AA0-A5C18DA5081B}">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E14" authorId="0" shapeId="0" xr:uid="{04DEEE3D-D13A-4C58-8650-B56A757156A9}">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F14" authorId="0" shapeId="0" xr:uid="{02CDC394-CB9C-4D90-9CC3-23EA6ED97002}">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G14" authorId="0" shapeId="0" xr:uid="{1E194479-420F-4405-9A13-5E31A3C38C1F}">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H14" authorId="0" shapeId="0" xr:uid="{9DB3D9FA-8075-403B-B38C-0A03D45CB4E5}">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3" authorId="0" shapeId="0" xr:uid="{2B33E959-1FD2-418D-9534-34EB2AC317B8}">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B13" authorId="0" shapeId="0" xr:uid="{6D36DF13-8489-4F58-AB2B-B8F29B33D634}">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C13" authorId="0" shapeId="0" xr:uid="{2EE3ACB9-EF58-49CF-B9AC-089C119EA814}">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D13" authorId="0" shapeId="0" xr:uid="{9FC62860-79BC-4340-8470-DBDE48E28528}">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E13" authorId="0" shapeId="0" xr:uid="{73AC466F-2FCB-45F5-87F6-62F8A6B22324}">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F13" authorId="0" shapeId="0" xr:uid="{637D2051-8D26-4E3E-B3D5-1C474DCDD53C}">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G13" authorId="0" shapeId="0" xr:uid="{1A05CD80-3E5B-4AA0-9B39-0F26B6BBE6A8}">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H13" authorId="0" shapeId="0" xr:uid="{8AC98CC9-983F-4FD2-B7F8-53424651A5A5}">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A24" authorId="0" shapeId="0" xr:uid="{09BA8F87-8F86-4ECD-8033-B6459B09A76C}">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B24" authorId="0" shapeId="0" xr:uid="{A1F2E27D-CE48-491C-B6D3-5C282C8A261C}">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C24" authorId="0" shapeId="0" xr:uid="{6D6B65B2-C1E3-4A75-842D-7896A4C77453}">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D24" authorId="0" shapeId="0" xr:uid="{326545B6-5FF5-4A2B-A79C-632BE4C98278}">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E24" authorId="0" shapeId="0" xr:uid="{FDCB421E-61BB-4E6D-A932-A3E3494CD887}">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F24" authorId="0" shapeId="0" xr:uid="{3F50BADF-8CB7-4A17-AA1A-F98018F3850F}">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G24" authorId="0" shapeId="0" xr:uid="{34879A0E-618E-4DEE-842D-CC79F42523F7}">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H24" authorId="0" shapeId="0" xr:uid="{1BA94AC0-D1EF-441C-8A95-FD3BE16B7509}">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A35" authorId="0" shapeId="0" xr:uid="{163A7ED8-1C80-453E-817C-4E767CB661F6}">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B35" authorId="0" shapeId="0" xr:uid="{277ED8C1-0128-4B79-8F46-3B34E32C38E2}">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C35" authorId="0" shapeId="0" xr:uid="{6D8E361E-89F9-4F33-8D49-6089F4427BC0}">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D35" authorId="0" shapeId="0" xr:uid="{987B7734-A0DD-4158-B1AE-DFED12142449}">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E35" authorId="0" shapeId="0" xr:uid="{55BCA3D0-CF8E-464B-AF77-68E453C056B8}">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F35" authorId="0" shapeId="0" xr:uid="{E09D3721-F923-42C4-93E3-4F9676C9D0BF}">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G35" authorId="0" shapeId="0" xr:uid="{8C4079BB-7C62-432D-B677-B2E75FC6AA87}">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H35" authorId="0" shapeId="0" xr:uid="{2ED9C397-9D24-44A4-A7E4-E8CA7DBEEDBA}">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09C36EC4-544F-4940-B268-A1C3F58C6D45}">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B2" authorId="0" shapeId="0" xr:uid="{5CC7F913-66B9-4B5E-9C40-51D2B058C4B1}">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C2" authorId="0" shapeId="0" xr:uid="{5B8E1AB8-13D9-4D1F-B943-88B6705D39E8}">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D2" authorId="0" shapeId="0" xr:uid="{7174D720-66AB-4180-A9BD-D98A2C11BC36}">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E2" authorId="0" shapeId="0" xr:uid="{D9748D3F-6A35-42A8-96A8-26234295C7D7}">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F2" authorId="0" shapeId="0" xr:uid="{688DCDEB-32D2-46C6-8A1D-C38680F83A17}">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G2" authorId="0" shapeId="0" xr:uid="{7CC0C0DB-19E0-4A48-9196-F44A7358B0C5}">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H2" authorId="0" shapeId="0" xr:uid="{A2F00E5E-61D8-4C50-84EE-DCAB523E5BBC}">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A3" authorId="0" shapeId="0" xr:uid="{71A5A82E-6A38-4EA0-A93C-446D60AF9C90}">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B3" authorId="0" shapeId="0" xr:uid="{D35E9204-F3C6-4E7E-B60D-E8AF0E857FB4}">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C3" authorId="0" shapeId="0" xr:uid="{B6353EEF-67E9-40B6-8945-9B2401D9CD3A}">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D3" authorId="0" shapeId="0" xr:uid="{25EC53FE-48AE-4830-ACAC-4FB16C785650}">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E3" authorId="0" shapeId="0" xr:uid="{45FB53B7-CF92-4A75-A282-BE8364473BCF}">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F3" authorId="0" shapeId="0" xr:uid="{46861F4D-A6B3-483D-A1A7-0762E274C3F2}">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G3" authorId="0" shapeId="0" xr:uid="{6588B08E-D615-437C-8A22-8B6EABC76EFD}">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H3" authorId="0" shapeId="0" xr:uid="{50E128FE-1F9F-4ABD-BF2B-4BDBD9FE5067}">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A4" authorId="0" shapeId="0" xr:uid="{F0B8C88A-EF9C-4C09-95F8-34D9044F9B88}">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B4" authorId="0" shapeId="0" xr:uid="{C8185383-552B-48DE-9CF2-AB309FFE8BFB}">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C4" authorId="0" shapeId="0" xr:uid="{8952ABF4-0617-46F7-9E2B-0248621C6DB3}">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D4" authorId="0" shapeId="0" xr:uid="{56478953-F2C3-4DEA-85C6-F3F64AB787B1}">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E4" authorId="0" shapeId="0" xr:uid="{D44C3434-8E74-49E7-8A60-0A4837C0B4CF}">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F4" authorId="0" shapeId="0" xr:uid="{B6B66F83-EFE8-4F8E-B72C-49486FB825E4}">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G4" authorId="0" shapeId="0" xr:uid="{9798AAE8-3B4B-4D61-A4B7-5D71AE2594F6}">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H4" authorId="0" shapeId="0" xr:uid="{4F6A6724-9EFB-4B20-B6BE-10C3AF98E36F}">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3" authorId="0" shapeId="0" xr:uid="{27404719-1A16-4C22-BF76-80089F21ECC4}">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B13" authorId="0" shapeId="0" xr:uid="{5F660956-1A00-40DE-A440-317137C847C1}">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C13" authorId="0" shapeId="0" xr:uid="{D8A70DC7-8FFE-42CC-ADF8-5D923A196577}">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D13" authorId="0" shapeId="0" xr:uid="{5CB2F9C5-3DCC-44F1-88BE-93D1E3A878D9}">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E13" authorId="0" shapeId="0" xr:uid="{BDB4125B-DD79-48F5-9729-B7FBE8D6CAF1}">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F13" authorId="0" shapeId="0" xr:uid="{899E528B-D702-4E5C-8298-F6518A4B101A}">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G13" authorId="0" shapeId="0" xr:uid="{9FD9A9ED-8F37-4216-B74C-4CBAB9502645}">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H13" authorId="0" shapeId="0" xr:uid="{14E53776-13F5-4D0E-B70E-6D0CF2ABEBE9}">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3" authorId="0" shapeId="0" xr:uid="{78123AD0-A287-4EC7-9D30-200F23A223E0}">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B13" authorId="0" shapeId="0" xr:uid="{67562F85-2B5D-43B6-A481-A6805926F058}">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C13" authorId="0" shapeId="0" xr:uid="{CD6F704C-D38E-4DD8-ACEA-99F957EE9934}">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D13" authorId="0" shapeId="0" xr:uid="{6256D038-96C6-42CD-95C7-619B767F0E75}">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E13" authorId="0" shapeId="0" xr:uid="{2A8D706E-15C0-4AE2-907D-CE3F4976F57C}">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F13" authorId="0" shapeId="0" xr:uid="{C6ECBF0B-A21A-4C77-90B5-5752369886D5}">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G13" authorId="0" shapeId="0" xr:uid="{3239F875-1CB8-4118-877A-17A3F452CAC4}">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H13" authorId="0" shapeId="0" xr:uid="{5AD75BF1-158C-498C-98BE-7F1381E9682F}">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9B4581AB-2689-443F-AEA2-9B6CB00ACB0A}">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B3" authorId="0" shapeId="0" xr:uid="{923F4DB9-598A-4310-802A-B69B13DA9614}">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C3" authorId="0" shapeId="0" xr:uid="{15FF0A48-A3F8-46EC-8C0E-3EE8DBE1CFF6}">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D3" authorId="0" shapeId="0" xr:uid="{B3AF15E7-91DC-4F25-AF11-028ACBE65F3D}">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E3" authorId="0" shapeId="0" xr:uid="{D5F409C9-B9ED-48DD-A7C4-F065B538F16B}">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F3" authorId="0" shapeId="0" xr:uid="{8B8B0862-A11D-4E95-BD73-5E42A6ADB24E}">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G3" authorId="0" shapeId="0" xr:uid="{8BBDCDA1-9258-4BD4-B6E7-8C336AF80BB4}">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H3" authorId="0" shapeId="0" xr:uid="{6E4E6EDB-C266-4BE8-A3B8-0E81E5B11455}">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A10" authorId="0" shapeId="0" xr:uid="{9277A864-798A-4DAF-952C-044E26FB4B42}">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B10" authorId="0" shapeId="0" xr:uid="{F4C257E6-CB29-4A85-A5BB-27D4B0FF8C57}">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C10" authorId="0" shapeId="0" xr:uid="{B46B2EF9-DF0C-457B-BA8F-7A0D2B86E096}">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D10" authorId="0" shapeId="0" xr:uid="{8DCA6BE8-8BF1-4FE5-9719-B4E820E330B8}">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E10" authorId="0" shapeId="0" xr:uid="{C5BD75F3-F97B-4BCB-961D-7FE9CD3B177C}">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F10" authorId="0" shapeId="0" xr:uid="{2C47B8E8-CCCC-4EC1-892B-EF90A7D47CAB}">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G10" authorId="0" shapeId="0" xr:uid="{91E62878-ADB2-4AF1-A983-854609B4ECAA}">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H10" authorId="0" shapeId="0" xr:uid="{AAD2CDA7-A32E-4278-BE8B-5C12145CB43D}">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36A78F74-F28F-418D-95E2-B58033DC7EED}">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B3" authorId="0" shapeId="0" xr:uid="{36A1D3BD-5202-45C1-8014-D149FEF1C6D6}">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C3" authorId="0" shapeId="0" xr:uid="{7C1FE845-F59B-4BF2-B9BE-C21E75B2025E}">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D3" authorId="0" shapeId="0" xr:uid="{A029DEE1-3F1E-4B60-92FC-4284073EB765}">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E3" authorId="0" shapeId="0" xr:uid="{217C7A78-01A0-4763-9C04-166185804756}">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F3" authorId="0" shapeId="0" xr:uid="{DBBCBA47-8F59-413F-8B0B-5F206F2D8CF3}">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G3" authorId="0" shapeId="0" xr:uid="{C3AFBF8E-D435-45AB-8175-5EEF5F1D7695}">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H3" authorId="0" shapeId="0" xr:uid="{CE911E5D-C943-4028-8BEB-70094A49BEDC}">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A9" authorId="0" shapeId="0" xr:uid="{1F675D66-9395-4416-8D87-6FC817760980}">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B9" authorId="0" shapeId="0" xr:uid="{86201E75-BFE0-4F6B-8E2D-60269AFF12C3}">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C9" authorId="0" shapeId="0" xr:uid="{A8412608-32B7-494C-9CC1-74CC39BD9272}">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D9" authorId="0" shapeId="0" xr:uid="{765B2F9D-0EF6-4598-A97C-77A9803BBEB7}">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E9" authorId="0" shapeId="0" xr:uid="{21B046EE-0DD0-400B-9AE5-E323010DE354}">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F9" authorId="0" shapeId="0" xr:uid="{5E545A09-489D-4745-B019-7AE99F9668E7}">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G9" authorId="0" shapeId="0" xr:uid="{00DBB9BA-C41C-4D87-9372-379757182930}">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H9" authorId="0" shapeId="0" xr:uid="{B2A6A34D-D9E7-430D-9139-3CCC04756D5A}">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6" authorId="0" shapeId="0" xr:uid="{9647353A-0E4C-40FA-BDFA-52EDF7DD368E}">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B6" authorId="0" shapeId="0" xr:uid="{164ABF8E-79FC-4275-8008-6A6FA377861C}">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C6" authorId="0" shapeId="0" xr:uid="{5C4FA6D9-D4C3-4267-9347-A57AD47629E0}">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D6" authorId="0" shapeId="0" xr:uid="{E71B2BC2-8904-4703-99B8-44D805D71AC1}">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E6" authorId="0" shapeId="0" xr:uid="{4F48E7E9-9B81-4D8F-A531-583FCC5E1EE6}">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F6" authorId="0" shapeId="0" xr:uid="{DC126CDE-6937-462C-9D39-EA73191BC626}">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G6" authorId="0" shapeId="0" xr:uid="{183A6B9C-40A5-4757-8DFE-52F2B93CA0CE}">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H6" authorId="0" shapeId="0" xr:uid="{B969AD0E-58E3-4405-8792-22222A25E6BB}">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6" authorId="0" shapeId="0" xr:uid="{8279802E-42A4-447C-AC2F-FCEE3617EE95}">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B6" authorId="0" shapeId="0" xr:uid="{ECB9FF04-AEEE-458B-A920-1C6586DFCA69}">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C6" authorId="0" shapeId="0" xr:uid="{D3B066C0-CB67-4E2E-9E80-A61277915ACF}">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D6" authorId="0" shapeId="0" xr:uid="{949777E4-50D5-4B74-BDD8-CF15879A644A}">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E6" authorId="0" shapeId="0" xr:uid="{85483D45-A208-4D00-A71F-32212F3E1967}">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F6" authorId="0" shapeId="0" xr:uid="{7913DE53-9F60-4795-BC43-CA4E64E18D80}">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G6" authorId="0" shapeId="0" xr:uid="{A7F8444A-C357-42AA-8FA7-0900E89AF6BF}">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H6" authorId="0" shapeId="0" xr:uid="{E95872CC-A526-4B4B-B97D-60174B170A6E}">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ECEE7020-1BBF-4145-AD73-D4B841798409}">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B3" authorId="0" shapeId="0" xr:uid="{BB7295A9-546C-4C70-A1E7-12BD6D72414B}">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C3" authorId="0" shapeId="0" xr:uid="{F00736E8-E152-49AC-A479-4D4C21E4912F}">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D3" authorId="0" shapeId="0" xr:uid="{8B3BE2A2-2692-4A12-956A-68BBFAB3533A}">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E3" authorId="0" shapeId="0" xr:uid="{B79981F6-F7E9-4763-85E2-1258D7DCDD87}">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F3" authorId="0" shapeId="0" xr:uid="{F697AEB5-0132-4DC6-A2CC-513212135D40}">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G3" authorId="0" shapeId="0" xr:uid="{4B84025B-C4D1-460C-80CA-5C9D6858306E}">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H3" authorId="0" shapeId="0" xr:uid="{0C307BEC-CDE7-48DB-A834-E132294EFF55}">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A4" authorId="0" shapeId="0" xr:uid="{D8145E6B-1C3C-405E-8922-83433DC69F57}">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B4" authorId="0" shapeId="0" xr:uid="{75FEAA57-595B-45B3-B64D-DC10A363AE33}">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C4" authorId="0" shapeId="0" xr:uid="{74966B25-4B1F-4A14-85B2-7A1467E474C0}">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D4" authorId="0" shapeId="0" xr:uid="{6A9A3F5D-0EC8-448C-AF79-D0CC9CC6C54E}">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E4" authorId="0" shapeId="0" xr:uid="{1E541CC0-A43B-4D52-B51D-40E40EECE59B}">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F4" authorId="0" shapeId="0" xr:uid="{6722810C-97CD-47AB-B101-A00562E7131D}">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G4" authorId="0" shapeId="0" xr:uid="{9F3AC9B5-6F31-4482-9813-6064F0DCBAC8}">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H4" authorId="0" shapeId="0" xr:uid="{E7E25FB2-D6F4-4574-AAF8-FFF9769CF814}">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817A917A-DA16-4E2A-92A7-A030D680D998}">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B2" authorId="0" shapeId="0" xr:uid="{0B00A6EC-D93A-48EE-AA05-235B0B903F49}">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C2" authorId="0" shapeId="0" xr:uid="{7943E23D-5077-45D3-915A-1DE84F6A81D2}">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D2" authorId="0" shapeId="0" xr:uid="{73D5621D-CC3F-499A-A789-1ADB762C6E67}">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E2" authorId="0" shapeId="0" xr:uid="{826581EF-24D6-4E81-ADE2-23E6E7FE03B5}">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F2" authorId="0" shapeId="0" xr:uid="{C4C64C46-B6E6-42DD-8F74-0E63440A56B7}">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G2" authorId="0" shapeId="0" xr:uid="{6FF8556C-FD99-4B30-866E-E0C7B2583BA4}">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H2" authorId="0" shapeId="0" xr:uid="{5A55DA75-8923-4613-9A3D-6D6016A9F98F}">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A3" authorId="0" shapeId="0" xr:uid="{435C6163-A825-43E4-BA65-C2367826D41D}">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B3" authorId="0" shapeId="0" xr:uid="{B3D88D58-A25A-4C66-B63E-3943B3A38435}">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C3" authorId="0" shapeId="0" xr:uid="{BC7A07B2-F97A-4725-B7B9-9EB890F7FA25}">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D3" authorId="0" shapeId="0" xr:uid="{E29276F6-039B-4F0F-B3F8-E5CC8D2AC482}">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E3" authorId="0" shapeId="0" xr:uid="{352620F5-24BD-4F06-9C60-05027E00AC49}">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F3" authorId="0" shapeId="0" xr:uid="{4698335C-DA42-4F19-85DE-53696D2CFFA3}">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G3" authorId="0" shapeId="0" xr:uid="{5A169659-F8C3-4A02-BC83-8344FBF465F5}">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H3" authorId="0" shapeId="0" xr:uid="{DE31990F-C15D-4F21-82D3-C4FF4C64581D}">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5" authorId="0" shapeId="0" xr:uid="{577A5C87-FC9F-48E5-A917-C017737C6729}">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B5" authorId="0" shapeId="0" xr:uid="{AA0C337C-A395-4463-B4F7-4052BD306C7D}">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C5" authorId="0" shapeId="0" xr:uid="{7BEF7E78-A451-4F68-B568-B822D2681E58}">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D5" authorId="0" shapeId="0" xr:uid="{B45313D5-EFA9-4D18-A0E0-2EC7D194678A}">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E5" authorId="0" shapeId="0" xr:uid="{2ABB872E-1F5D-4DC6-9ED8-A1E66E0F748E}">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F5" authorId="0" shapeId="0" xr:uid="{3916A77A-C208-4AA3-9FBF-8FE92F2D07C4}">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G5" authorId="0" shapeId="0" xr:uid="{C717615B-8638-4557-B105-3631161B5D3C}">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H5" authorId="0" shapeId="0" xr:uid="{1D5C19A6-8B98-4D97-B04C-F7899DD8D929}">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5" authorId="0" shapeId="0" xr:uid="{424105F1-B5C4-46EA-9E71-8F5E4DA28A34}">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B5" authorId="0" shapeId="0" xr:uid="{BF99458F-6E8F-4D87-A74E-1B69148869DA}">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C5" authorId="0" shapeId="0" xr:uid="{84315442-AEEC-4512-8C12-62BC4114B463}">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D5" authorId="0" shapeId="0" xr:uid="{92508205-082B-4A7B-9E9C-7A2D7466CAC8}">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E5" authorId="0" shapeId="0" xr:uid="{99C8999E-143A-4C8E-A2D9-10D4BF2EC67B}">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F5" authorId="0" shapeId="0" xr:uid="{3F3171D8-BE66-4DD6-8074-1420E985216D}">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G5" authorId="0" shapeId="0" xr:uid="{81033E62-09E5-4F87-B6E4-F491EE7CF8E3}">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H5" authorId="0" shapeId="0" xr:uid="{6557E36C-2DB6-4AED-9D4C-DD5FA08298F7}">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459C4AFE-A968-4EBA-B1A0-2C0CAF469AB0}">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B2" authorId="0" shapeId="0" xr:uid="{979EBA9D-69BA-4E25-82E1-6FC5DFA10AB0}">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C2" authorId="0" shapeId="0" xr:uid="{5284880E-2487-4BD8-A5E1-4F4254718A77}">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D2" authorId="0" shapeId="0" xr:uid="{39F870D8-C153-493F-A48A-25240235530A}">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E2" authorId="0" shapeId="0" xr:uid="{B2DA4AAF-8907-4A43-B31A-6FE2F687A447}">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F2" authorId="0" shapeId="0" xr:uid="{B0A75CCB-4C8C-4974-AC4B-98CDBD4EC84C}">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G2" authorId="0" shapeId="0" xr:uid="{A29EA273-D1E8-48D6-962E-286CDC52CA34}">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H2" authorId="0" shapeId="0" xr:uid="{129248AF-8412-4000-B86D-77EC61B2B74C}">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A4" authorId="0" shapeId="0" xr:uid="{8572B6A4-A094-40CE-B475-BEB6FCF9CD67}">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B4" authorId="0" shapeId="0" xr:uid="{98FACA37-D08F-49EB-9FC8-6D86319940F8}">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C4" authorId="0" shapeId="0" xr:uid="{E4D112B5-0485-4FEC-8AD9-5AE70AF1E315}">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D4" authorId="0" shapeId="0" xr:uid="{75B57A60-FBDD-4442-B595-803C848DB9A5}">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E4" authorId="0" shapeId="0" xr:uid="{75823E2E-D484-4EF1-8ED9-C08188A9023E}">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F4" authorId="0" shapeId="0" xr:uid="{B27F834C-FA9A-49CF-B8ED-B6E236788904}">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G4" authorId="0" shapeId="0" xr:uid="{42E2CC65-8676-493B-88CB-5509CB08E6AD}">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H4" authorId="0" shapeId="0" xr:uid="{6C87B364-A3BF-4189-B874-8DD30D48A93F}">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A5" authorId="0" shapeId="0" xr:uid="{8F7E77A8-E14C-4471-BAB6-57A4EA8DAF55}">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B5" authorId="0" shapeId="0" xr:uid="{35B3D607-73CE-41E7-9C7B-26D73C14AEE6}">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C5" authorId="0" shapeId="0" xr:uid="{26B01A4F-F98D-42DC-BBB8-2FF9ACE38B30}">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D5" authorId="0" shapeId="0" xr:uid="{6382210F-47D7-4AF0-BD2C-3DBEDC87D353}">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E5" authorId="0" shapeId="0" xr:uid="{17FD4049-074A-49D6-9CD9-6E12BEECA5B4}">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F5" authorId="0" shapeId="0" xr:uid="{E6E0D8B1-B946-4ADE-A02B-38F9C86B5517}">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G5" authorId="0" shapeId="0" xr:uid="{4E4B87C7-FF7D-4FDD-A961-F3E44AEE6474}">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H5" authorId="0" shapeId="0" xr:uid="{11A31FEE-5099-43E5-96F1-AD00E8B7CB75}">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B2E27A9C-B916-482D-B335-77430E7455C2}">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B2" authorId="0" shapeId="0" xr:uid="{3B5FF4FE-6B46-4C65-BA03-8892F93D8C24}">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C2" authorId="0" shapeId="0" xr:uid="{593FE79B-92BB-4DF7-9354-05960DFE0672}">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D2" authorId="0" shapeId="0" xr:uid="{FA0808F7-093C-4503-814D-24433058320C}">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E2" authorId="0" shapeId="0" xr:uid="{3D1E67C9-4C4C-4706-A9C5-A1A174229396}">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F2" authorId="0" shapeId="0" xr:uid="{7F0ED71B-E2CF-49D4-8BC2-1042BD8725E9}">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G2" authorId="0" shapeId="0" xr:uid="{338BBF53-4212-471A-9192-29D0A40C478C}">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H2" authorId="0" shapeId="0" xr:uid="{82086816-8C4C-4C35-8A0E-28AB801462BC}">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A3" authorId="0" shapeId="0" xr:uid="{CA93AFFF-8737-4141-A0FA-0A9FABB25C67}">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B3" authorId="0" shapeId="0" xr:uid="{CE72AABE-CB2F-4214-B7DD-056760FCFDEE}">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C3" authorId="0" shapeId="0" xr:uid="{21C38817-7CCB-4F74-A849-0DE5E1D26043}">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D3" authorId="0" shapeId="0" xr:uid="{3C0BDE38-DA89-4D80-8848-B8BB9A6C2716}">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E3" authorId="0" shapeId="0" xr:uid="{63126EA5-8A1F-4D99-ADC8-FD07A134C876}">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F3" authorId="0" shapeId="0" xr:uid="{BB43E319-91AD-456D-B4FE-B180C984E844}">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G3" authorId="0" shapeId="0" xr:uid="{1F0EEF5E-01CB-4A61-AC68-11251993AA80}">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H3" authorId="0" shapeId="0" xr:uid="{69992924-CBF6-46CD-989A-61D4F0DAC943}">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A4" authorId="0" shapeId="0" xr:uid="{A4A13C3F-9B93-4433-89F8-9069F8DC52D2}">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B4" authorId="0" shapeId="0" xr:uid="{01D01646-96FE-495E-8CBD-993A1FC9CFFF}">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C4" authorId="0" shapeId="0" xr:uid="{C2E3468C-D6AC-48D8-B98F-A9DF517F0ECF}">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D4" authorId="0" shapeId="0" xr:uid="{886A9453-18EF-4F43-9669-7C7CC67AA0AA}">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E4" authorId="0" shapeId="0" xr:uid="{30587247-1102-4074-B545-035E48D4AD43}">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F4" authorId="0" shapeId="0" xr:uid="{FAD6AC1C-3410-4704-A8E1-BDA1EC8B2214}">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G4" authorId="0" shapeId="0" xr:uid="{DD992954-E894-435C-B8EA-240727456215}">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H4" authorId="0" shapeId="0" xr:uid="{F52F742F-0439-44F9-BFAB-3DEE4A703427}">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4FDAB196-5A7C-4E0B-8EC5-1F110C184D3F}">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B3" authorId="0" shapeId="0" xr:uid="{1736C8D5-A8F1-4A11-9E1C-58F3A3F7A8E8}">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C3" authorId="0" shapeId="0" xr:uid="{187B742F-9FF4-4E98-8D4E-AFC5B89A5628}">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D3" authorId="0" shapeId="0" xr:uid="{2AB5BD74-AED1-4ADD-92E6-2EFCCB1BB0FA}">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E3" authorId="0" shapeId="0" xr:uid="{F1F67E86-B7A5-4767-8E90-E07FADE41021}">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F3" authorId="0" shapeId="0" xr:uid="{6812D897-6094-4C7B-BB63-1D84E76400C7}">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G3" authorId="0" shapeId="0" xr:uid="{ABD3C9E0-D47A-46D7-A099-CB881DC4B825}">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H3" authorId="0" shapeId="0" xr:uid="{B412EA79-DF97-40AA-861C-D8DCBC606F6E}">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A5" authorId="0" shapeId="0" xr:uid="{6CFC9883-AF0A-47CF-8BEF-587C92DAB3F2}">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B5" authorId="0" shapeId="0" xr:uid="{09C1DA67-4049-4DE3-AA04-BDACA4CEBFAB}">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C5" authorId="0" shapeId="0" xr:uid="{623363D1-0DB2-43E0-916A-AFAD098C5032}">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D5" authorId="0" shapeId="0" xr:uid="{C2F7835D-7B04-49EE-B090-01E8B6AB5879}">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E5" authorId="0" shapeId="0" xr:uid="{45B1DBA7-7128-413C-9C02-569486BDF8E2}">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F5" authorId="0" shapeId="0" xr:uid="{7F8CF447-9514-4B2C-8FDF-FD3FBF894854}">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G5" authorId="0" shapeId="0" xr:uid="{D10429AE-334C-44A2-8772-CDD6825BAE4D}">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H5" authorId="0" shapeId="0" xr:uid="{C0842000-BE3D-4BE4-9FC6-78C061A376DA}">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363C800D-8F31-4C81-A88C-97A5F14BE92B}">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B2" authorId="0" shapeId="0" xr:uid="{5BBEEAAB-20E3-4FF6-BE4F-C82D05B4395B}">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C2" authorId="0" shapeId="0" xr:uid="{BC213527-8F0A-46D6-B281-08ACBD345911}">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D2" authorId="0" shapeId="0" xr:uid="{012B07FE-DB5B-4B57-B6C0-3AC3741D304E}">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E2" authorId="0" shapeId="0" xr:uid="{653C7433-AE97-430C-B232-C182D3954006}">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F2" authorId="0" shapeId="0" xr:uid="{AABE9ADF-266F-42C2-85EC-E004823AAB47}">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G2" authorId="0" shapeId="0" xr:uid="{2FB4912B-0B4F-478B-9557-0C54389B45D8}">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H2" authorId="0" shapeId="0" xr:uid="{93A50CAC-000C-469B-9C00-ABF6CD717017}">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A3" authorId="0" shapeId="0" xr:uid="{52AAB40E-14A9-43DF-ADE3-1A9FC5557749}">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B3" authorId="0" shapeId="0" xr:uid="{BC6B5661-CA86-485A-A45F-EC24117EB8D9}">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C3" authorId="0" shapeId="0" xr:uid="{6C44659D-B887-4582-B32B-AC85A00D5D00}">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D3" authorId="0" shapeId="0" xr:uid="{C422AE3C-6DFC-4D0B-BDC6-0C7178622C66}">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E3" authorId="0" shapeId="0" xr:uid="{6B2CAECF-6711-4BA4-8A36-F04331DAAC96}">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F3" authorId="0" shapeId="0" xr:uid="{B13A9283-6702-4A5F-9049-D91AF199C941}">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G3" authorId="0" shapeId="0" xr:uid="{0BB47E0E-7CF0-4D7C-862A-3143B67FF927}">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H3" authorId="0" shapeId="0" xr:uid="{EFB7580E-9E01-4E6D-A140-376E9A5B9310}">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5" authorId="0" shapeId="0" xr:uid="{9DB8E53F-13B6-481B-BCF0-0BF22170E4C2}">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B5" authorId="0" shapeId="0" xr:uid="{E127B2F4-E98B-4838-948C-0B3CB248E8C8}">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C5" authorId="0" shapeId="0" xr:uid="{D6E36ABA-A8C2-47B3-8D9B-CCA25F2B3DAA}">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D5" authorId="0" shapeId="0" xr:uid="{CC197CA4-6538-408D-BC25-44E97585CAD3}">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E5" authorId="0" shapeId="0" xr:uid="{BD30ED43-53E2-4B31-8D60-75AD4B8A25B6}">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F5" authorId="0" shapeId="0" xr:uid="{B46282A7-DD67-4BB9-B6B9-DE1C02E2C31B}">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G5" authorId="0" shapeId="0" xr:uid="{21865878-7D13-4DAE-8106-01BB61975E3B}">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H5" authorId="0" shapeId="0" xr:uid="{0CC6B7D9-5772-4135-AF71-79A9E9ED4ECB}">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5" authorId="0" shapeId="0" xr:uid="{F0123DAA-DFB4-46DA-AFE8-2634F632A49C}">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B5" authorId="0" shapeId="0" xr:uid="{CE551794-FCE8-4AF2-829A-863EFB95DB12}">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C5" authorId="0" shapeId="0" xr:uid="{0C36007F-E7C3-432A-BC1D-5A6E0DDFC314}">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D5" authorId="0" shapeId="0" xr:uid="{405374E7-F1C8-4A55-A69A-DF58D753039E}">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E5" authorId="0" shapeId="0" xr:uid="{C6487DCB-8691-41A0-8C1E-D03997E1029A}">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F5" authorId="0" shapeId="0" xr:uid="{C52B0067-C034-4B2E-86CB-A57CFECED179}">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G5" authorId="0" shapeId="0" xr:uid="{D1C9EFAF-4353-4574-B15E-41FD321875C7}">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H5" authorId="0" shapeId="0" xr:uid="{D58DC61D-3A49-4FA7-93F2-556F575767DC}">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4" authorId="0" shapeId="0" xr:uid="{1736A0A8-61D7-41D1-B01B-59D1FACBAFCF}">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B4" authorId="0" shapeId="0" xr:uid="{F21FAD98-9488-4EC8-9259-86B6F9EFA2B8}">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C4" authorId="0" shapeId="0" xr:uid="{67A898C5-45AB-479F-AABF-03FB60F1CBD0}">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D4" authorId="0" shapeId="0" xr:uid="{1D806B61-86BD-4130-B0BD-CDC4349EEB02}">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E4" authorId="0" shapeId="0" xr:uid="{D94D1378-3319-4C7D-A9F5-3B2FC15FE487}">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F4" authorId="0" shapeId="0" xr:uid="{4AA009B3-1D01-4B66-9303-3B0FE22CB75D}">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G4" authorId="0" shapeId="0" xr:uid="{D0247687-572B-442C-B697-582CA35B3C82}">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H4" authorId="0" shapeId="0" xr:uid="{3460EC8D-A4B1-4143-AE7E-ECD4D3D3FADD}">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A9" authorId="0" shapeId="0" xr:uid="{3AA3BABA-F623-4085-AE6E-08D9323031A4}">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B9" authorId="0" shapeId="0" xr:uid="{CA153CD6-192B-4FEC-B462-912654797A54}">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C9" authorId="0" shapeId="0" xr:uid="{89B7CEA6-443D-4EBB-AFD2-886258D038F6}">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D9" authorId="0" shapeId="0" xr:uid="{DA5192CD-3968-4245-997A-736F542044C5}">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E9" authorId="0" shapeId="0" xr:uid="{B6519D2B-725B-4C88-802B-3AE3ED0CB62D}">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F9" authorId="0" shapeId="0" xr:uid="{32333FD7-F44E-4A5B-AA96-B5A26F5065E9}">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G9" authorId="0" shapeId="0" xr:uid="{8E046102-7658-498A-B24A-A19651209B6C}">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H9" authorId="0" shapeId="0" xr:uid="{5C2A0505-FC1A-416D-A55E-A439D41AE77D}">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31AFAC3A-1513-4BFF-993C-61E62E43E3B9}">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B2" authorId="0" shapeId="0" xr:uid="{B7767E6E-EE3D-4EDA-80F5-3ABBA64959D9}">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C2" authorId="0" shapeId="0" xr:uid="{0DFE6F72-1E17-4DF8-90C9-3BB5FFE6C61D}">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D2" authorId="0" shapeId="0" xr:uid="{E28D4AF3-4B5E-461F-A25D-3B8BB600809A}">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E2" authorId="0" shapeId="0" xr:uid="{CC77B4B8-5FAB-49C8-8B07-912AB8099872}">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F2" authorId="0" shapeId="0" xr:uid="{6A96D094-FE33-4D6B-BFE3-DBAE4CCA15BE}">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G2" authorId="0" shapeId="0" xr:uid="{20353729-62BF-445D-9B55-307FBEE66162}">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H2" authorId="0" shapeId="0" xr:uid="{78A2FA3F-4EC2-427C-9158-76F9E7C61B25}">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A3" authorId="0" shapeId="0" xr:uid="{D4FA8AD0-D1FE-4A91-BB4B-D271ADC65F6C}">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B3" authorId="0" shapeId="0" xr:uid="{45DDA077-2910-4E2B-A855-C050A2BA0BF7}">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C3" authorId="0" shapeId="0" xr:uid="{7A536864-F862-460D-807D-065249F23C44}">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D3" authorId="0" shapeId="0" xr:uid="{9563555D-7FC3-4947-8837-34F527B1CA60}">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E3" authorId="0" shapeId="0" xr:uid="{75C3334D-FA2B-4AD3-B481-43ECEBA9CF66}">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F3" authorId="0" shapeId="0" xr:uid="{0D1FC95C-C341-4469-99A3-B12FE425D8E0}">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G3" authorId="0" shapeId="0" xr:uid="{3CFD5235-7AF4-4443-B39C-80AE08F669D4}">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H3" authorId="0" shapeId="0" xr:uid="{93E2BFCC-3579-4DA2-A49F-B9F7382033EF}">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4" authorId="0" shapeId="0" xr:uid="{24CFC575-876C-4D07-BA4B-061106CD1A4C}">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B14" authorId="0" shapeId="0" xr:uid="{F5CD5070-BCF2-4BED-8759-C8DE56CF7938}">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C14" authorId="0" shapeId="0" xr:uid="{EFC3CFF4-E025-4DB0-9326-C2FFC23AE00E}">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D14" authorId="0" shapeId="0" xr:uid="{F3B52AA3-9223-41A3-95F0-521F34E67866}">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E14" authorId="0" shapeId="0" xr:uid="{A24C1DF1-2D71-4B27-918A-638D0D278A36}">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F14" authorId="0" shapeId="0" xr:uid="{F1D3E3F2-5DBC-41CE-B231-5CE81498EFE2}">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G14" authorId="0" shapeId="0" xr:uid="{2D65BB01-05B7-43D6-90B9-1C39EB4BC93D}">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H14" authorId="0" shapeId="0" xr:uid="{6E47C857-804C-4FE4-B0F2-EA29530E2003}">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4" authorId="0" shapeId="0" xr:uid="{05898A72-E7AB-4837-80DE-1CA106A4B46E}">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B14" authorId="0" shapeId="0" xr:uid="{7F2459A4-2177-4C5B-A95A-70F3049C0E8D}">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C14" authorId="0" shapeId="0" xr:uid="{7D6C2B39-A9E3-441C-BF5A-C9C8524A57CD}">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D14" authorId="0" shapeId="0" xr:uid="{CEC07EE8-E5E4-499B-9DD3-EE4A68637B66}">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E14" authorId="0" shapeId="0" xr:uid="{9007908A-126F-43A7-985B-29AA4FE63E58}">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F14" authorId="0" shapeId="0" xr:uid="{56FFB929-FBB5-45F1-A61E-98BEAF51CDD6}">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G14" authorId="0" shapeId="0" xr:uid="{22D6485F-5547-453E-92FD-9F7BA0A9F897}">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H14" authorId="0" shapeId="0" xr:uid="{F91E941B-F4F0-4632-B04B-8DF3938E88BC}">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4" authorId="0" shapeId="0" xr:uid="{424E78CB-7B9E-4F88-8E57-8064626B3C10}">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B4" authorId="0" shapeId="0" xr:uid="{71A5A0F0-25C4-406E-83E7-02C135504C63}">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C4" authorId="0" shapeId="0" xr:uid="{5E126020-D72C-44C6-BB11-2100B598D9DC}">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D4" authorId="0" shapeId="0" xr:uid="{C8121EBB-8971-41C9-8542-9604285F0AF5}">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E4" authorId="0" shapeId="0" xr:uid="{617B74C9-7DA9-447C-BC91-63699DD9A821}">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F4" authorId="0" shapeId="0" xr:uid="{D0915B94-EDF0-4BCB-AD3F-06C015DEE474}">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G4" authorId="0" shapeId="0" xr:uid="{FBD2E92F-CA8D-40F7-84CF-A0A5F8232D4D}">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H4" authorId="0" shapeId="0" xr:uid="{E347DBE2-0393-469C-856C-5B9F5707DEA4}">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A7" authorId="0" shapeId="0" xr:uid="{81B2B40E-44F6-44C4-BC9E-EC0F472C7E07}">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B7" authorId="0" shapeId="0" xr:uid="{C90E21F7-ED2A-42A0-9DE2-A1B89BCACC47}">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C7" authorId="0" shapeId="0" xr:uid="{747203F5-1808-4038-A3AF-B387A66ADCDF}">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D7" authorId="0" shapeId="0" xr:uid="{ED1DCBDA-F7B0-482B-BE41-CEF2F700BCC0}">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E7" authorId="0" shapeId="0" xr:uid="{5D59C290-4865-4A1F-B22B-F5DA71BABCD7}">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F7" authorId="0" shapeId="0" xr:uid="{ED4EA802-0198-4670-B674-252D1A3DBB72}">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G7" authorId="0" shapeId="0" xr:uid="{19DC2755-4403-4CBC-BA54-AB5CF5B69236}">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H7" authorId="0" shapeId="0" xr:uid="{D959D741-132B-4C5B-89F3-41E4193F111E}">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0A432964-939C-436B-8DF9-976B711B10C6}">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B2" authorId="0" shapeId="0" xr:uid="{DF3C7F78-284A-4623-917E-C0889BB2200B}">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C2" authorId="0" shapeId="0" xr:uid="{D053C051-D400-45D4-B103-9D8202708C60}">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D2" authorId="0" shapeId="0" xr:uid="{AC914119-8484-46AB-B47A-FCC731F99468}">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E2" authorId="0" shapeId="0" xr:uid="{7D37B5B6-27EC-496C-A236-1866F5268AB4}">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F2" authorId="0" shapeId="0" xr:uid="{51C6A70F-5975-4DA6-BA6B-7F3566852033}">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G2" authorId="0" shapeId="0" xr:uid="{EB4C3D6F-305E-4255-A629-4BC8650C9F12}">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H2" authorId="0" shapeId="0" xr:uid="{A38F1085-F76F-464A-B54E-BAD4A7913358}">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A3" authorId="0" shapeId="0" xr:uid="{2E8B6B5E-934F-4315-913E-65EAB4DF3DD0}">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B3" authorId="0" shapeId="0" xr:uid="{EC140140-6E98-4888-BA22-F749FEB733D7}">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C3" authorId="0" shapeId="0" xr:uid="{19E5CD7A-4C20-4C6B-8836-C00D8F56FCB5}">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D3" authorId="0" shapeId="0" xr:uid="{E52DA937-A502-4135-A484-E4D3886D6C9E}">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E3" authorId="0" shapeId="0" xr:uid="{E4B4F9DE-0D8A-41B0-8209-AED46366F835}">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F3" authorId="0" shapeId="0" xr:uid="{A5F61B87-6D1C-49F0-ADEB-C0FE942C7FBD}">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G3" authorId="0" shapeId="0" xr:uid="{8B46FB88-1E9C-4DD8-B433-960925E2F884}">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H3" authorId="0" shapeId="0" xr:uid="{B6CB34F1-1647-4290-961F-261636FB1E42}">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List>
</comments>
</file>

<file path=xl/sharedStrings.xml><?xml version="1.0" encoding="utf-8"?>
<sst xmlns="http://schemas.openxmlformats.org/spreadsheetml/2006/main" count="13113" uniqueCount="944">
  <si>
    <t>COMPREHENSIVE REPORT</t>
  </si>
  <si>
    <t>CAI-MED</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</si>
  <si>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</si>
  <si>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</si>
  <si>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</si>
  <si>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</si>
  <si>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</si>
  <si>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</si>
  <si>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</si>
  <si>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</si>
  <si>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</si>
  <si>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</si>
  <si>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</si>
  <si>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</si>
  <si>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</si>
  <si>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</si>
  <si>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</si>
  <si>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</si>
  <si>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</si>
  <si>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</si>
  <si>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</si>
  <si>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</si>
  <si>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</si>
  <si>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</si>
  <si>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</si>
  <si>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</si>
  <si>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</si>
  <si>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F3-770</t>
  </si>
  <si>
    <t>Check-in: 15 KG</t>
  </si>
  <si>
    <r>
      <rPr>
        <b/>
        <i/>
        <sz val="13"/>
        <color rgb="FFBC0000"/>
        <rFont val="Calibri"/>
        <family val="2"/>
      </rPr>
      <t>7</t>
    </r>
    <r>
      <rPr>
        <b/>
        <i/>
        <sz val="10"/>
        <color rgb="FFBC0000"/>
        <rFont val="Calibri"/>
        <family val="2"/>
      </rPr>
      <t xml:space="preserve"> FOR SAME CLASS</t>
    </r>
  </si>
  <si>
    <t>7,414 EGP</t>
  </si>
  <si>
    <t>Cabin: 10 KG / Check-in: 25 KG</t>
  </si>
  <si>
    <r>
      <rPr>
        <i/>
        <sz val="13"/>
        <rFont val="Calibri"/>
        <family val="2"/>
      </rPr>
      <t>7</t>
    </r>
    <r>
      <rPr>
        <i/>
        <sz val="10"/>
        <rFont val="Calibri"/>
        <family val="2"/>
      </rPr>
      <t xml:space="preserve"> FOR SAME CLASS</t>
    </r>
  </si>
  <si>
    <t>9,335 EGP</t>
  </si>
  <si>
    <t>Cabin: 10 KG / Check-in: 2 x 40 KG</t>
  </si>
  <si>
    <t>10,872 EGP</t>
  </si>
  <si>
    <t>flynas</t>
  </si>
  <si>
    <t>XY-794</t>
  </si>
  <si>
    <t>Cabin: 7 KG / Check-in: 20 KG</t>
  </si>
  <si>
    <r>
      <rPr>
        <b/>
        <i/>
        <sz val="13"/>
        <color rgb="FFBC0000"/>
        <rFont val="Calibri"/>
        <family val="2"/>
      </rPr>
      <t>9</t>
    </r>
    <r>
      <rPr>
        <b/>
        <i/>
        <sz val="10"/>
        <color rgb="FFBC0000"/>
        <rFont val="Calibri"/>
        <family val="2"/>
      </rPr>
      <t xml:space="preserve"> FOR SAME CLASS</t>
    </r>
  </si>
  <si>
    <t>7,542 EGP</t>
  </si>
  <si>
    <t>Cabin: 7 KG / Check-in: 30 KG</t>
  </si>
  <si>
    <r>
      <rPr>
        <i/>
        <sz val="13"/>
        <rFont val="Calibri"/>
        <family val="2"/>
      </rPr>
      <t>9</t>
    </r>
    <r>
      <rPr>
        <i/>
        <sz val="10"/>
        <rFont val="Calibri"/>
        <family val="2"/>
      </rPr>
      <t xml:space="preserve"> FOR SAME CLASS</t>
    </r>
  </si>
  <si>
    <t>8,823 EGP</t>
  </si>
  <si>
    <t>Cabin: 7 KG / Check-in: 2 x 40 KG</t>
  </si>
  <si>
    <t>9,975 EGP</t>
  </si>
  <si>
    <t>XY-575</t>
  </si>
  <si>
    <r>
      <rPr>
        <b/>
        <i/>
        <sz val="13"/>
        <rFont val="Calibri"/>
        <family val="2"/>
      </rPr>
      <t>6</t>
    </r>
    <r>
      <rPr>
        <b/>
        <i/>
        <sz val="10"/>
        <rFont val="Calibri"/>
        <family val="2"/>
      </rPr>
      <t xml:space="preserve"> FOR SAME CLASS</t>
    </r>
  </si>
  <si>
    <t>8,182 EGP</t>
  </si>
  <si>
    <r>
      <rPr>
        <i/>
        <sz val="13"/>
        <rFont val="Calibri"/>
        <family val="2"/>
      </rPr>
      <t>6</t>
    </r>
    <r>
      <rPr>
        <i/>
        <sz val="10"/>
        <rFont val="Calibri"/>
        <family val="2"/>
      </rPr>
      <t xml:space="preserve"> FOR SAME CLASS</t>
    </r>
  </si>
  <si>
    <t>9,463 EGP</t>
  </si>
  <si>
    <t>10,616 EGP</t>
  </si>
  <si>
    <t>Saudia</t>
  </si>
  <si>
    <t>SV-390</t>
  </si>
  <si>
    <t>Cabin: 7 KG / Check-in: 23 KG</t>
  </si>
  <si>
    <r>
      <rPr>
        <b/>
        <i/>
        <sz val="13"/>
        <color rgb="FFBC0000"/>
        <rFont val="Calibri"/>
        <family val="2"/>
      </rPr>
      <t>+9</t>
    </r>
    <r>
      <rPr>
        <b/>
        <i/>
        <sz val="10"/>
        <color rgb="FFBC0000"/>
        <rFont val="Calibri"/>
        <family val="2"/>
      </rPr>
      <t xml:space="preserve"> FOR SAME CLASS</t>
    </r>
  </si>
  <si>
    <t>11,033 EGP</t>
  </si>
  <si>
    <t>Cabin: 7 KG / Check-in: 2 x 46 KG</t>
  </si>
  <si>
    <r>
      <rPr>
        <i/>
        <sz val="13"/>
        <rFont val="Calibri"/>
        <family val="2"/>
      </rPr>
      <t>+9</t>
    </r>
    <r>
      <rPr>
        <i/>
        <sz val="10"/>
        <rFont val="Calibri"/>
        <family val="2"/>
      </rPr>
      <t xml:space="preserve"> FOR SAME CLASS</t>
    </r>
  </si>
  <si>
    <t>11,686 EGP</t>
  </si>
  <si>
    <t>SV-6904</t>
  </si>
  <si>
    <r>
      <rPr>
        <b/>
        <i/>
        <sz val="13"/>
        <rFont val="Calibri"/>
        <family val="2"/>
      </rPr>
      <t>4</t>
    </r>
    <r>
      <rPr>
        <b/>
        <i/>
        <sz val="10"/>
        <rFont val="Calibri"/>
        <family val="2"/>
      </rPr>
      <t xml:space="preserve"> FOR SAME CLASS</t>
    </r>
  </si>
  <si>
    <t>17,871 EGP</t>
  </si>
  <si>
    <t>SV-318</t>
  </si>
  <si>
    <t>20,419 EGP</t>
  </si>
  <si>
    <t>SV-380</t>
  </si>
  <si>
    <r>
      <rPr>
        <b/>
        <i/>
        <sz val="13"/>
        <rFont val="Calibri"/>
        <family val="2"/>
      </rPr>
      <t>3</t>
    </r>
    <r>
      <rPr>
        <b/>
        <i/>
        <sz val="10"/>
        <rFont val="Calibri"/>
        <family val="2"/>
      </rPr>
      <t xml:space="preserve"> FOR SAME CLASS</t>
    </r>
  </si>
  <si>
    <t>22,532 EGP</t>
  </si>
  <si>
    <t>EgyptAir</t>
  </si>
  <si>
    <t>MS-695</t>
  </si>
  <si>
    <t>Cabin: 7 KG | Check-in: 2 PIECE</t>
  </si>
  <si>
    <r>
      <rPr>
        <b/>
        <i/>
        <sz val="13"/>
        <color rgb="FFBC0000"/>
        <rFont val="Calibri"/>
        <family val="2"/>
      </rPr>
      <t>2</t>
    </r>
    <r>
      <rPr>
        <b/>
        <i/>
        <sz val="10"/>
        <color rgb="FFBC0000"/>
        <rFont val="Calibri"/>
        <family val="2"/>
      </rPr>
      <t xml:space="preserve"> FOR SAME CLASS</t>
    </r>
  </si>
  <si>
    <t>23,096 EGP</t>
  </si>
  <si>
    <t>Air Cairo</t>
  </si>
  <si>
    <t>SM493</t>
  </si>
  <si>
    <t>30KG + 7KG CABIN</t>
  </si>
  <si>
    <t>FULLY BOOKED</t>
  </si>
  <si>
    <t>2025-11-17T00:00:00</t>
  </si>
  <si>
    <t>CLOSED</t>
  </si>
  <si>
    <t>V3 &amp; S2 &amp; X10 &amp; U11 &amp; O11 &amp; I10 &amp; P130 &amp; N7</t>
  </si>
  <si>
    <r>
      <rPr>
        <b/>
        <i/>
        <sz val="13"/>
        <color rgb="FFBC0000"/>
        <rFont val="Calibri"/>
        <family val="2"/>
      </rPr>
      <t>6</t>
    </r>
    <r>
      <rPr>
        <b/>
        <i/>
        <sz val="10"/>
        <color rgb="FFBC0000"/>
        <rFont val="Calibri"/>
        <family val="2"/>
      </rPr>
      <t xml:space="preserve"> FOR SAME CLASS</t>
    </r>
  </si>
  <si>
    <r>
      <rPr>
        <b/>
        <i/>
        <sz val="13"/>
        <color rgb="FFBC0000"/>
        <rFont val="Calibri"/>
        <family val="2"/>
      </rPr>
      <t>1</t>
    </r>
    <r>
      <rPr>
        <b/>
        <i/>
        <sz val="10"/>
        <color rgb="FFBC0000"/>
        <rFont val="Calibri"/>
        <family val="2"/>
      </rPr>
      <t xml:space="preserve"> FOR SAME CLASS</t>
    </r>
  </si>
  <si>
    <r>
      <rPr>
        <i/>
        <sz val="13"/>
        <rFont val="Calibri"/>
        <family val="2"/>
      </rPr>
      <t>1</t>
    </r>
    <r>
      <rPr>
        <i/>
        <sz val="10"/>
        <rFont val="Calibri"/>
        <family val="2"/>
      </rPr>
      <t xml:space="preserve"> FOR SAME CLASS</t>
    </r>
  </si>
  <si>
    <t>MS-675</t>
  </si>
  <si>
    <t>9,893 EGP</t>
  </si>
  <si>
    <t>MS-677</t>
  </si>
  <si>
    <r>
      <rPr>
        <b/>
        <i/>
        <sz val="13"/>
        <rFont val="Calibri"/>
        <family val="2"/>
      </rPr>
      <t>+9</t>
    </r>
    <r>
      <rPr>
        <b/>
        <i/>
        <sz val="10"/>
        <rFont val="Calibri"/>
        <family val="2"/>
      </rPr>
      <t xml:space="preserve"> FOR SAME CLASS</t>
    </r>
  </si>
  <si>
    <t>13,427 EGP</t>
  </si>
  <si>
    <t>MS-639</t>
  </si>
  <si>
    <t>14,964 EGP</t>
  </si>
  <si>
    <t>MS-693</t>
  </si>
  <si>
    <t>15,323 EGP</t>
  </si>
  <si>
    <r>
      <rPr>
        <b/>
        <i/>
        <sz val="13"/>
        <color rgb="FFBC0000"/>
        <rFont val="Calibri"/>
        <family val="2"/>
      </rPr>
      <t>15</t>
    </r>
    <r>
      <rPr>
        <b/>
        <i/>
        <sz val="10"/>
        <color rgb="FFBC0000"/>
        <rFont val="Calibri"/>
        <family val="2"/>
      </rPr>
      <t xml:space="preserve"> FOR SAME CLASS</t>
    </r>
  </si>
  <si>
    <t>6,774 EGP</t>
  </si>
  <si>
    <r>
      <rPr>
        <i/>
        <sz val="13"/>
        <rFont val="Calibri"/>
        <family val="2"/>
      </rPr>
      <t>15</t>
    </r>
    <r>
      <rPr>
        <i/>
        <sz val="10"/>
        <rFont val="Calibri"/>
        <family val="2"/>
      </rPr>
      <t xml:space="preserve"> FOR SAME CLASS</t>
    </r>
  </si>
  <si>
    <t>8,695 EGP</t>
  </si>
  <si>
    <r>
      <rPr>
        <i/>
        <sz val="13"/>
        <rFont val="Calibri"/>
        <family val="2"/>
      </rPr>
      <t>4</t>
    </r>
    <r>
      <rPr>
        <i/>
        <sz val="10"/>
        <rFont val="Calibri"/>
        <family val="2"/>
      </rPr>
      <t xml:space="preserve"> FOR SAME CLASS</t>
    </r>
  </si>
  <si>
    <t>11,071 EGP</t>
  </si>
  <si>
    <t>12,249 EGP</t>
  </si>
  <si>
    <t>SM-493</t>
  </si>
  <si>
    <t>Cabin: 7 KG | Check-in: 30 KG</t>
  </si>
  <si>
    <r>
      <rPr>
        <b/>
        <i/>
        <sz val="13"/>
        <color rgb="FFBC0000"/>
        <rFont val="Calibri"/>
        <family val="2"/>
      </rPr>
      <t>3</t>
    </r>
    <r>
      <rPr>
        <b/>
        <i/>
        <sz val="10"/>
        <color rgb="FFBC0000"/>
        <rFont val="Calibri"/>
        <family val="2"/>
      </rPr>
      <t xml:space="preserve"> FOR SAME CLASS</t>
    </r>
  </si>
  <si>
    <t>12,339 EGP</t>
  </si>
  <si>
    <t>2025-11-18T00:00:00</t>
  </si>
  <si>
    <t>V3</t>
  </si>
  <si>
    <t>E45 &amp; P131</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</si>
  <si>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</si>
  <si>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</si>
  <si>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</si>
  <si>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</si>
  <si>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</si>
  <si>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</si>
  <si>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</si>
  <si>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</si>
  <si>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</si>
  <si>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</si>
  <si>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</si>
  <si>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</si>
  <si>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</si>
  <si>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</si>
  <si>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</si>
  <si>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</si>
  <si>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</si>
  <si>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</si>
  <si>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</si>
  <si>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</si>
  <si>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</si>
  <si>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</si>
  <si>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</si>
  <si>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</si>
  <si>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</si>
  <si>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</si>
  <si>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</si>
  <si>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</si>
  <si>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</si>
  <si>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</si>
  <si>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09:10</t>
  </si>
  <si>
    <t>320</t>
  </si>
  <si>
    <t>UPCOMING</t>
  </si>
  <si>
    <t>S2</t>
  </si>
  <si>
    <t>X10</t>
  </si>
  <si>
    <t>U11</t>
  </si>
  <si>
    <t>O11</t>
  </si>
  <si>
    <t>I10</t>
  </si>
  <si>
    <t>P130</t>
  </si>
  <si>
    <t>N7</t>
  </si>
  <si>
    <t>SATURDAY</t>
  </si>
  <si>
    <t>05:40</t>
  </si>
  <si>
    <t>E45</t>
  </si>
  <si>
    <t>P131</t>
  </si>
  <si>
    <t>DATE</t>
  </si>
  <si>
    <t>ROUTE</t>
  </si>
  <si>
    <t>2025-11-20</t>
  </si>
  <si>
    <t>05:30</t>
  </si>
  <si>
    <t>10:25</t>
  </si>
  <si>
    <t>14:35</t>
  </si>
  <si>
    <t>04:25</t>
  </si>
  <si>
    <t>08:30</t>
  </si>
  <si>
    <t>21:30</t>
  </si>
  <si>
    <t>06:55</t>
  </si>
  <si>
    <t>HBE-MED</t>
  </si>
  <si>
    <t>SM-485</t>
  </si>
  <si>
    <t>14,990 EGP</t>
  </si>
  <si>
    <t>SM485</t>
  </si>
  <si>
    <t>2025-11-13T00:00:00</t>
  </si>
  <si>
    <t>Q2</t>
  </si>
  <si>
    <t>Q3 &amp; L3 &amp; S17 &amp; X2 &amp; O7 &amp; I10 &amp; E45 &amp; P90</t>
  </si>
  <si>
    <t>Indirect competition route CAI – MED - diversion ratio &amp; passenger leakage</t>
  </si>
  <si>
    <t>7 FOR SAME CLASS</t>
  </si>
  <si>
    <t>9 FOR SAME CLASS</t>
  </si>
  <si>
    <t>6 FOR SAME CLASS</t>
  </si>
  <si>
    <t>+9 FOR SAME CLASS</t>
  </si>
  <si>
    <t>MS-679</t>
  </si>
  <si>
    <t>20,445 EGP</t>
  </si>
  <si>
    <t>1 FOR SAME CLASS</t>
  </si>
  <si>
    <t>22:35</t>
  </si>
  <si>
    <t>16:45</t>
  </si>
  <si>
    <t>11:30</t>
  </si>
  <si>
    <t>Q3</t>
  </si>
  <si>
    <t>L3</t>
  </si>
  <si>
    <t>S17</t>
  </si>
  <si>
    <t>X2</t>
  </si>
  <si>
    <t>O7</t>
  </si>
  <si>
    <t>P90</t>
  </si>
  <si>
    <t>CAI-MED AS ALTERNATIVE ROUTE</t>
  </si>
  <si>
    <t>ATZ-MED</t>
  </si>
  <si>
    <t>SM-487</t>
  </si>
  <si>
    <t>7,101 EGP</t>
  </si>
  <si>
    <t>SM487</t>
  </si>
  <si>
    <t>U1</t>
  </si>
  <si>
    <t>S7 &amp; W1 &amp; T5 &amp; X15 &amp; U11 &amp; O9 &amp; I9 &amp; P105</t>
  </si>
  <si>
    <t>15 FOR SAME CLASS</t>
  </si>
  <si>
    <t>4 FOR SAME CLASS</t>
  </si>
  <si>
    <t>08:05</t>
  </si>
  <si>
    <t>22:45</t>
  </si>
  <si>
    <t>01:35</t>
  </si>
  <si>
    <t>19:15</t>
  </si>
  <si>
    <t>S7</t>
  </si>
  <si>
    <t>W1</t>
  </si>
  <si>
    <t>T5</t>
  </si>
  <si>
    <t>X15</t>
  </si>
  <si>
    <t>O9</t>
  </si>
  <si>
    <t>I9</t>
  </si>
  <si>
    <t>P105</t>
  </si>
  <si>
    <t>2025-11-21</t>
  </si>
  <si>
    <t>2025-11-22</t>
  </si>
  <si>
    <t>CAI-JED</t>
  </si>
  <si>
    <t>F3-764</t>
  </si>
  <si>
    <t>6,133 EGP</t>
  </si>
  <si>
    <r>
      <rPr>
        <i/>
        <sz val="13"/>
        <rFont val="Calibri"/>
        <family val="2"/>
      </rPr>
      <t>2</t>
    </r>
    <r>
      <rPr>
        <i/>
        <sz val="10"/>
        <rFont val="Calibri"/>
        <family val="2"/>
      </rPr>
      <t xml:space="preserve"> FOR SAME CLASS</t>
    </r>
  </si>
  <si>
    <t>8,054 EGP</t>
  </si>
  <si>
    <t>F3-754</t>
  </si>
  <si>
    <r>
      <rPr>
        <b/>
        <i/>
        <sz val="13"/>
        <rFont val="Calibri"/>
        <family val="2"/>
      </rPr>
      <t>11</t>
    </r>
    <r>
      <rPr>
        <b/>
        <i/>
        <sz val="10"/>
        <rFont val="Calibri"/>
        <family val="2"/>
      </rPr>
      <t xml:space="preserve"> FOR SAME CLASS</t>
    </r>
  </si>
  <si>
    <t>6,518 EGP</t>
  </si>
  <si>
    <r>
      <rPr>
        <i/>
        <sz val="13"/>
        <rFont val="Calibri"/>
        <family val="2"/>
      </rPr>
      <t>11</t>
    </r>
    <r>
      <rPr>
        <i/>
        <sz val="10"/>
        <rFont val="Calibri"/>
        <family val="2"/>
      </rPr>
      <t xml:space="preserve"> FOR SAME CLASS</t>
    </r>
  </si>
  <si>
    <t>8,439 EGP</t>
  </si>
  <si>
    <t>F3-762</t>
  </si>
  <si>
    <r>
      <rPr>
        <b/>
        <i/>
        <sz val="13"/>
        <rFont val="Calibri"/>
        <family val="2"/>
      </rPr>
      <t>9</t>
    </r>
    <r>
      <rPr>
        <b/>
        <i/>
        <sz val="10"/>
        <rFont val="Calibri"/>
        <family val="2"/>
      </rPr>
      <t xml:space="preserve"> FOR SAME CLASS</t>
    </r>
  </si>
  <si>
    <t>F3-756</t>
  </si>
  <si>
    <r>
      <rPr>
        <b/>
        <i/>
        <sz val="13"/>
        <rFont val="Calibri"/>
        <family val="2"/>
      </rPr>
      <t>17</t>
    </r>
    <r>
      <rPr>
        <b/>
        <i/>
        <sz val="10"/>
        <rFont val="Calibri"/>
        <family val="2"/>
      </rPr>
      <t xml:space="preserve"> FOR SAME CLASS</t>
    </r>
  </si>
  <si>
    <t>7,030 EGP</t>
  </si>
  <si>
    <r>
      <rPr>
        <i/>
        <sz val="13"/>
        <rFont val="Calibri"/>
        <family val="2"/>
      </rPr>
      <t>17</t>
    </r>
    <r>
      <rPr>
        <i/>
        <sz val="10"/>
        <rFont val="Calibri"/>
        <family val="2"/>
      </rPr>
      <t xml:space="preserve"> FOR SAME CLASS</t>
    </r>
  </si>
  <si>
    <t>8,951 EGP</t>
  </si>
  <si>
    <t>15,354 EGP</t>
  </si>
  <si>
    <t>XY-568</t>
  </si>
  <si>
    <t>9,847 EGP</t>
  </si>
  <si>
    <t>XY-574</t>
  </si>
  <si>
    <r>
      <rPr>
        <b/>
        <i/>
        <sz val="13"/>
        <rFont val="Calibri"/>
        <family val="2"/>
      </rPr>
      <t>7</t>
    </r>
    <r>
      <rPr>
        <b/>
        <i/>
        <sz val="10"/>
        <rFont val="Calibri"/>
        <family val="2"/>
      </rPr>
      <t xml:space="preserve"> FOR SAME CLASS</t>
    </r>
  </si>
  <si>
    <t>XY-566</t>
  </si>
  <si>
    <t>10,487 EGP</t>
  </si>
  <si>
    <t>XY-570</t>
  </si>
  <si>
    <r>
      <rPr>
        <b/>
        <i/>
        <sz val="13"/>
        <rFont val="Calibri"/>
        <family val="2"/>
      </rPr>
      <t>1</t>
    </r>
    <r>
      <rPr>
        <b/>
        <i/>
        <sz val="10"/>
        <rFont val="Calibri"/>
        <family val="2"/>
      </rPr>
      <t xml:space="preserve"> FOR SAME CLASS</t>
    </r>
  </si>
  <si>
    <t>XY-572</t>
  </si>
  <si>
    <r>
      <rPr>
        <b/>
        <i/>
        <sz val="13"/>
        <rFont val="Calibri"/>
        <family val="2"/>
      </rPr>
      <t>2</t>
    </r>
    <r>
      <rPr>
        <b/>
        <i/>
        <sz val="10"/>
        <rFont val="Calibri"/>
        <family val="2"/>
      </rPr>
      <t xml:space="preserve"> FOR SAME CLASS</t>
    </r>
  </si>
  <si>
    <t>XY-578</t>
  </si>
  <si>
    <r>
      <rPr>
        <b/>
        <i/>
        <sz val="13"/>
        <rFont val="Calibri"/>
        <family val="2"/>
      </rPr>
      <t>5</t>
    </r>
    <r>
      <rPr>
        <b/>
        <i/>
        <sz val="10"/>
        <rFont val="Calibri"/>
        <family val="2"/>
      </rPr>
      <t xml:space="preserve"> FOR SAME CLASS</t>
    </r>
  </si>
  <si>
    <r>
      <rPr>
        <i/>
        <sz val="13"/>
        <rFont val="Calibri"/>
        <family val="2"/>
      </rPr>
      <t>5</t>
    </r>
    <r>
      <rPr>
        <i/>
        <sz val="10"/>
        <rFont val="Calibri"/>
        <family val="2"/>
      </rPr>
      <t xml:space="preserve"> FOR SAME CLASS</t>
    </r>
  </si>
  <si>
    <t>XY-584</t>
  </si>
  <si>
    <t>XY-590</t>
  </si>
  <si>
    <t>Nile Air</t>
  </si>
  <si>
    <t>NP-127</t>
  </si>
  <si>
    <t>8,080 EGP</t>
  </si>
  <si>
    <t>SM-431</t>
  </si>
  <si>
    <t>8,989 EGP</t>
  </si>
  <si>
    <t>SM431</t>
  </si>
  <si>
    <t>S6</t>
  </si>
  <si>
    <t>L1 &amp; S4 &amp; W10 &amp; T10 &amp; X10 &amp; U10 &amp; O15 &amp; I10 &amp; P92 &amp; N2</t>
  </si>
  <si>
    <t>SM-449</t>
  </si>
  <si>
    <t>SM449</t>
  </si>
  <si>
    <t>S5</t>
  </si>
  <si>
    <t>S6 &amp; W12 &amp; T11 &amp; X11 &amp; U12 &amp; O11 &amp; I31 &amp; E34 &amp; P40</t>
  </si>
  <si>
    <t>SM-475</t>
  </si>
  <si>
    <t>SM475</t>
  </si>
  <si>
    <t>2025-11-19T00:00:00</t>
  </si>
  <si>
    <t>S3</t>
  </si>
  <si>
    <t>G1 &amp; S8 &amp; W12 &amp; T11 &amp; X11 &amp; U12 &amp; O11 &amp; I40 &amp; P46</t>
  </si>
  <si>
    <t>SM-423</t>
  </si>
  <si>
    <t>9,770 EGP</t>
  </si>
  <si>
    <t>SM423</t>
  </si>
  <si>
    <t>G9</t>
  </si>
  <si>
    <t>G1 &amp; S12 &amp; W11 &amp; T11 &amp; X11 &amp; U12 &amp; O11 &amp; I50 &amp; E29 &amp; N1</t>
  </si>
  <si>
    <t>SM477</t>
  </si>
  <si>
    <t>2025-11-11T00:00:00</t>
  </si>
  <si>
    <t>S11 &amp; X2 &amp; O4 &amp; I17 &amp; P142 &amp; N6</t>
  </si>
  <si>
    <t>SM479</t>
  </si>
  <si>
    <t>S7 &amp; T4 &amp; X9 &amp; U10 &amp; O5 &amp; I5 &amp; P137</t>
  </si>
  <si>
    <t>Air Arabia Egypt</t>
  </si>
  <si>
    <t>E5-327</t>
  </si>
  <si>
    <t>Cabin: 10 KG / Check-in: 30 KG</t>
  </si>
  <si>
    <r>
      <rPr>
        <b/>
        <i/>
        <sz val="13"/>
        <color rgb="FFBC0000"/>
        <rFont val="Calibri"/>
        <family val="2"/>
      </rPr>
      <t>5</t>
    </r>
    <r>
      <rPr>
        <b/>
        <i/>
        <sz val="10"/>
        <color rgb="FFBC0000"/>
        <rFont val="Calibri"/>
        <family val="2"/>
      </rPr>
      <t xml:space="preserve"> FOR SAME CLASS</t>
    </r>
  </si>
  <si>
    <t>9,848 EGP</t>
  </si>
  <si>
    <t>11,485 EGP</t>
  </si>
  <si>
    <t>SV-388</t>
  </si>
  <si>
    <t>14,176 EGP</t>
  </si>
  <si>
    <t>SV-6665</t>
  </si>
  <si>
    <t>14,662 EGP</t>
  </si>
  <si>
    <t>SV-6892</t>
  </si>
  <si>
    <t>SV-6894</t>
  </si>
  <si>
    <t>SV-6896</t>
  </si>
  <si>
    <t>SV-302</t>
  </si>
  <si>
    <t>20,578 EGP</t>
  </si>
  <si>
    <t>SV-304</t>
  </si>
  <si>
    <t>SV-308</t>
  </si>
  <si>
    <t>SV-330</t>
  </si>
  <si>
    <t>SV-382</t>
  </si>
  <si>
    <t>MS-669</t>
  </si>
  <si>
    <t>14,419 EGP</t>
  </si>
  <si>
    <t>MS-663</t>
  </si>
  <si>
    <r>
      <rPr>
        <b/>
        <i/>
        <sz val="13"/>
        <rFont val="Calibri"/>
        <family val="2"/>
      </rPr>
      <t>8</t>
    </r>
    <r>
      <rPr>
        <b/>
        <i/>
        <sz val="10"/>
        <rFont val="Calibri"/>
        <family val="2"/>
      </rPr>
      <t xml:space="preserve"> FOR SAME CLASS</t>
    </r>
  </si>
  <si>
    <t>20,860 EGP</t>
  </si>
  <si>
    <t>MS-665</t>
  </si>
  <si>
    <t>MS-671</t>
  </si>
  <si>
    <t>MS-643</t>
  </si>
  <si>
    <t>20,911 EGP</t>
  </si>
  <si>
    <t>MS-673</t>
  </si>
  <si>
    <t>Cabin: 0 KG | Check-in: 15 KG</t>
  </si>
  <si>
    <r>
      <rPr>
        <b/>
        <i/>
        <sz val="13"/>
        <rFont val="Calibri"/>
        <family val="2"/>
      </rPr>
      <t>15</t>
    </r>
    <r>
      <rPr>
        <b/>
        <i/>
        <sz val="10"/>
        <rFont val="Calibri"/>
        <family val="2"/>
      </rPr>
      <t xml:space="preserve"> FOR SAME CLASS</t>
    </r>
  </si>
  <si>
    <t>Cabin: 7 KG | Check-in: 20 KG</t>
  </si>
  <si>
    <r>
      <rPr>
        <b/>
        <i/>
        <sz val="13"/>
        <color rgb="FFBC0000"/>
        <rFont val="Calibri"/>
        <family val="2"/>
      </rPr>
      <t>4</t>
    </r>
    <r>
      <rPr>
        <b/>
        <i/>
        <sz val="10"/>
        <color rgb="FFBC0000"/>
        <rFont val="Calibri"/>
        <family val="2"/>
      </rPr>
      <t xml:space="preserve"> FOR SAME CLASS</t>
    </r>
  </si>
  <si>
    <t>NP-227</t>
  </si>
  <si>
    <t>SM-459</t>
  </si>
  <si>
    <t>8,208 EGP</t>
  </si>
  <si>
    <t>SM459</t>
  </si>
  <si>
    <t>W9</t>
  </si>
  <si>
    <t>W9 &amp; T25 &amp; X37 &amp; U12 &amp; O17 &amp; I33</t>
  </si>
  <si>
    <t>SM-471</t>
  </si>
  <si>
    <t>SM471</t>
  </si>
  <si>
    <t>W10 &amp; T12 &amp; X26 &amp; U11 &amp; O20 &amp; I30</t>
  </si>
  <si>
    <t>W3</t>
  </si>
  <si>
    <t>S5 &amp; W9 &amp; T30 &amp; X10 &amp; U12 &amp; O18 &amp; I29</t>
  </si>
  <si>
    <t>SM-477</t>
  </si>
  <si>
    <t>S1 &amp; W6 &amp; T25 &amp; X33 &amp; U12 &amp; O15 &amp; I10 &amp; P41</t>
  </si>
  <si>
    <t>SM-479</t>
  </si>
  <si>
    <t>W9 &amp; T10 &amp; X10 &amp; U10 &amp; O10 &amp; I15 &amp; P50</t>
  </si>
  <si>
    <t>Cabin: 10 KG | Check-in: 30 KG</t>
  </si>
  <si>
    <t>9,202 EGP</t>
  </si>
  <si>
    <t>12,203 EGP</t>
  </si>
  <si>
    <t>E5-321</t>
  </si>
  <si>
    <t>9,776 EGP</t>
  </si>
  <si>
    <r>
      <rPr>
        <i/>
        <sz val="13"/>
        <rFont val="Calibri"/>
        <family val="2"/>
      </rPr>
      <t>3</t>
    </r>
    <r>
      <rPr>
        <i/>
        <sz val="10"/>
        <rFont val="Calibri"/>
        <family val="2"/>
      </rPr>
      <t xml:space="preserve"> FOR SAME CLASS</t>
    </r>
  </si>
  <si>
    <t>9,778 EGP</t>
  </si>
  <si>
    <t>12,779 EGP</t>
  </si>
  <si>
    <t>10,884 EGP</t>
  </si>
  <si>
    <t>10,936 EGP</t>
  </si>
  <si>
    <t>MS-661</t>
  </si>
  <si>
    <t>11,960 EGP</t>
  </si>
  <si>
    <t>SV-386</t>
  </si>
  <si>
    <t>SV-300</t>
  </si>
  <si>
    <r>
      <rPr>
        <b/>
        <i/>
        <sz val="13"/>
        <rFont val="Calibri"/>
        <family val="2"/>
      </rPr>
      <t>10</t>
    </r>
    <r>
      <rPr>
        <b/>
        <i/>
        <sz val="10"/>
        <rFont val="Calibri"/>
        <family val="2"/>
      </rPr>
      <t xml:space="preserve"> FOR SAME CLASS</t>
    </r>
  </si>
  <si>
    <t>7,670 EGP</t>
  </si>
  <si>
    <r>
      <rPr>
        <i/>
        <sz val="13"/>
        <rFont val="Calibri"/>
        <family val="2"/>
      </rPr>
      <t>10</t>
    </r>
    <r>
      <rPr>
        <i/>
        <sz val="10"/>
        <rFont val="Calibri"/>
        <family val="2"/>
      </rPr>
      <t xml:space="preserve"> FOR SAME CLASS</t>
    </r>
  </si>
  <si>
    <t>9,591 EGP</t>
  </si>
  <si>
    <t>7,491 EGP</t>
  </si>
  <si>
    <t>T1</t>
  </si>
  <si>
    <t>S1 &amp; W9 &amp; T33 &amp; X11 &amp; U11 &amp; O11 &amp; I33 &amp; P45 &amp; N1</t>
  </si>
  <si>
    <t>S1 &amp; T7 &amp; X12 &amp; U12 &amp; O12 &amp; I22 &amp; E49 &amp; P64</t>
  </si>
  <si>
    <t>W2</t>
  </si>
  <si>
    <t>S1 &amp; W8 &amp; T11 &amp; X11 &amp; U12 &amp; O11 &amp; I25 &amp; P94 &amp; N2</t>
  </si>
  <si>
    <t>2025-11-16T00:00:00</t>
  </si>
  <si>
    <t>G1 &amp; S1 &amp; X9 &amp; U12 &amp; O15 &amp; I15 &amp; P125 &amp; N1</t>
  </si>
  <si>
    <t>9,079 EGP</t>
  </si>
  <si>
    <t>10,359 EGP</t>
  </si>
  <si>
    <t>11,512 EGP</t>
  </si>
  <si>
    <t>8,628 EGP</t>
  </si>
  <si>
    <t>11,629 EGP</t>
  </si>
  <si>
    <t>E5-361</t>
  </si>
  <si>
    <t>MS-667</t>
  </si>
  <si>
    <t>17,313 EGP</t>
  </si>
  <si>
    <t>15,853 EGP</t>
  </si>
  <si>
    <t>16,288 EGP</t>
  </si>
  <si>
    <t>25,521 EGP</t>
  </si>
  <si>
    <t>W12</t>
  </si>
  <si>
    <t>T11</t>
  </si>
  <si>
    <t>X11</t>
  </si>
  <si>
    <t>U12</t>
  </si>
  <si>
    <t>I31</t>
  </si>
  <si>
    <t>E34</t>
  </si>
  <si>
    <t>P40</t>
  </si>
  <si>
    <t>03:45</t>
  </si>
  <si>
    <t>G1</t>
  </si>
  <si>
    <t>S8</t>
  </si>
  <si>
    <t>I40</t>
  </si>
  <si>
    <t>P46</t>
  </si>
  <si>
    <t>04:30</t>
  </si>
  <si>
    <t>L1</t>
  </si>
  <si>
    <t>S4</t>
  </si>
  <si>
    <t>W10</t>
  </si>
  <si>
    <t>T10</t>
  </si>
  <si>
    <t>U10</t>
  </si>
  <si>
    <t>O15</t>
  </si>
  <si>
    <t>P92</t>
  </si>
  <si>
    <t>N2</t>
  </si>
  <si>
    <t>09:45</t>
  </si>
  <si>
    <t>S11</t>
  </si>
  <si>
    <t>O4</t>
  </si>
  <si>
    <t>I17</t>
  </si>
  <si>
    <t>P142</t>
  </si>
  <si>
    <t>N6</t>
  </si>
  <si>
    <t>13:30</t>
  </si>
  <si>
    <t>T4</t>
  </si>
  <si>
    <t>X9</t>
  </si>
  <si>
    <t>O5</t>
  </si>
  <si>
    <t>I5</t>
  </si>
  <si>
    <t>P137</t>
  </si>
  <si>
    <t>22:30</t>
  </si>
  <si>
    <t>S12</t>
  </si>
  <si>
    <t>W11</t>
  </si>
  <si>
    <t>I50</t>
  </si>
  <si>
    <t>E29</t>
  </si>
  <si>
    <t>N1</t>
  </si>
  <si>
    <t>FRIDAY</t>
  </si>
  <si>
    <t>03:25</t>
  </si>
  <si>
    <t>T30</t>
  </si>
  <si>
    <t>O18</t>
  </si>
  <si>
    <t>I29</t>
  </si>
  <si>
    <t>06:45</t>
  </si>
  <si>
    <t>S1</t>
  </si>
  <si>
    <t>W6</t>
  </si>
  <si>
    <t>T25</t>
  </si>
  <si>
    <t>X33</t>
  </si>
  <si>
    <t>P41</t>
  </si>
  <si>
    <t>10:30</t>
  </si>
  <si>
    <t>O10</t>
  </si>
  <si>
    <t>I15</t>
  </si>
  <si>
    <t>P50</t>
  </si>
  <si>
    <t>13:25</t>
  </si>
  <si>
    <t>T12</t>
  </si>
  <si>
    <t>X26</t>
  </si>
  <si>
    <t>O20</t>
  </si>
  <si>
    <t>I30</t>
  </si>
  <si>
    <t>18:15</t>
  </si>
  <si>
    <t>X37</t>
  </si>
  <si>
    <t>O17</t>
  </si>
  <si>
    <t>I33</t>
  </si>
  <si>
    <t>01:10</t>
  </si>
  <si>
    <t>T7</t>
  </si>
  <si>
    <t>X12</t>
  </si>
  <si>
    <t>O12</t>
  </si>
  <si>
    <t>I22</t>
  </si>
  <si>
    <t>E49</t>
  </si>
  <si>
    <t>P64</t>
  </si>
  <si>
    <t>W8</t>
  </si>
  <si>
    <t>I25</t>
  </si>
  <si>
    <t>P94</t>
  </si>
  <si>
    <t>12:05</t>
  </si>
  <si>
    <t>P125</t>
  </si>
  <si>
    <t>21:45</t>
  </si>
  <si>
    <t>T33</t>
  </si>
  <si>
    <t>P45</t>
  </si>
  <si>
    <t>23:45</t>
  </si>
  <si>
    <t>09:35</t>
  </si>
  <si>
    <t>21:20</t>
  </si>
  <si>
    <t>11:45</t>
  </si>
  <si>
    <t>23:50</t>
  </si>
  <si>
    <t>22:40</t>
  </si>
  <si>
    <t>08:20</t>
  </si>
  <si>
    <t>18:00</t>
  </si>
  <si>
    <t>20:05</t>
  </si>
  <si>
    <t>11:40</t>
  </si>
  <si>
    <t>09:25</t>
  </si>
  <si>
    <t>11:50</t>
  </si>
  <si>
    <t>HBE-JED</t>
  </si>
  <si>
    <t>E5-325</t>
  </si>
  <si>
    <t>Cabin: 10 KG</t>
  </si>
  <si>
    <t>9,932 EGP</t>
  </si>
  <si>
    <t>Cabin: 10 KG / Check-in: 20 KG</t>
  </si>
  <si>
    <t>11,023 EGP</t>
  </si>
  <si>
    <t>11,712 EGP</t>
  </si>
  <si>
    <t>SV-332</t>
  </si>
  <si>
    <t>19,183 EGP</t>
  </si>
  <si>
    <t>SV-410</t>
  </si>
  <si>
    <t>SM451</t>
  </si>
  <si>
    <t>S3 &amp; T12 &amp; X13 &amp; U3 &amp; O2 &amp; I17 &amp; P130</t>
  </si>
  <si>
    <t>Indirect competition route CAI – JED - diversion ratio &amp; passenger leakage</t>
  </si>
  <si>
    <t>2 FOR SAME CLASS</t>
  </si>
  <si>
    <t>11 FOR SAME CLASS</t>
  </si>
  <si>
    <t>17 FOR SAME CLASS</t>
  </si>
  <si>
    <t>E5-391</t>
  </si>
  <si>
    <t>8,319 EGP</t>
  </si>
  <si>
    <t>9,180 EGP</t>
  </si>
  <si>
    <t>11,478 EGP</t>
  </si>
  <si>
    <t>SM-451</t>
  </si>
  <si>
    <t>L2 &amp; G1 &amp; S17 &amp; W18 &amp; T9 &amp; X27 &amp; U5 &amp; O5 &amp; I5 &amp; P45</t>
  </si>
  <si>
    <t>F3-774</t>
  </si>
  <si>
    <t>Hand baggage only</t>
  </si>
  <si>
    <t>6,646 EGP</t>
  </si>
  <si>
    <t>7,401 EGP</t>
  </si>
  <si>
    <t>7,709 EGP</t>
  </si>
  <si>
    <t>Cabin: 10 KG / Check-in: 32 KG</t>
  </si>
  <si>
    <t>SM-457</t>
  </si>
  <si>
    <t>SM457</t>
  </si>
  <si>
    <t>S7 &amp; W3 &amp; T14 &amp; X15 &amp; U5 &amp; P127</t>
  </si>
  <si>
    <t>W7</t>
  </si>
  <si>
    <t>S11 &amp; W8 &amp; T15 &amp; X15 &amp; U10 &amp; O10 &amp; P90</t>
  </si>
  <si>
    <t>8,680 EGP</t>
  </si>
  <si>
    <t>9,541 EGP</t>
  </si>
  <si>
    <t>11,838 EGP</t>
  </si>
  <si>
    <t>8,938 EGP</t>
  </si>
  <si>
    <t>10,744 EGP</t>
  </si>
  <si>
    <t>12,165 EGP</t>
  </si>
  <si>
    <t>MS-655</t>
  </si>
  <si>
    <t>13,382 EGP</t>
  </si>
  <si>
    <t>3 FOR SAME CLASS</t>
  </si>
  <si>
    <t>10 FOR SAME CLASS</t>
  </si>
  <si>
    <t>02:05</t>
  </si>
  <si>
    <t>X13</t>
  </si>
  <si>
    <t>U3</t>
  </si>
  <si>
    <t>O2</t>
  </si>
  <si>
    <t>L2</t>
  </si>
  <si>
    <t>W18</t>
  </si>
  <si>
    <t>T9</t>
  </si>
  <si>
    <t>X27</t>
  </si>
  <si>
    <t>U5</t>
  </si>
  <si>
    <t>06:30</t>
  </si>
  <si>
    <t>T14</t>
  </si>
  <si>
    <t>P127</t>
  </si>
  <si>
    <t>14:30</t>
  </si>
  <si>
    <t>T15</t>
  </si>
  <si>
    <t>08:40</t>
  </si>
  <si>
    <t>10:50</t>
  </si>
  <si>
    <t>19:40</t>
  </si>
  <si>
    <t>CAI-JED AS ALTERNATIVE ROUTE</t>
  </si>
  <si>
    <t>ATZ-JED</t>
  </si>
  <si>
    <t>SM-455</t>
  </si>
  <si>
    <t>7,158 EGP</t>
  </si>
  <si>
    <t>SM455</t>
  </si>
  <si>
    <t>S23 &amp; W29 &amp; P95</t>
  </si>
  <si>
    <t>SM-453</t>
  </si>
  <si>
    <t>7,657 EGP</t>
  </si>
  <si>
    <t>SM453</t>
  </si>
  <si>
    <t>S9 &amp; W24 &amp; X1 &amp; E47 &amp; P86</t>
  </si>
  <si>
    <t>MS-8223</t>
  </si>
  <si>
    <t>10,692 EGP</t>
  </si>
  <si>
    <t>SM-491</t>
  </si>
  <si>
    <t>SM491</t>
  </si>
  <si>
    <t>G5 &amp; S18 &amp; W17 &amp; T18 &amp; X18 &amp; U18 &amp; O18 &amp; I18</t>
  </si>
  <si>
    <t>6,671 EGP</t>
  </si>
  <si>
    <t>S2 &amp; W11 &amp; T9 &amp; X10 &amp; U24 &amp; O5 &amp; I5 &amp; P90</t>
  </si>
  <si>
    <t>Y1 &amp; S5 &amp; W12 &amp; T11 &amp; X17 &amp; U31 &amp; I2 &amp; P100</t>
  </si>
  <si>
    <t>9,309 EGP</t>
  </si>
  <si>
    <t>07:55</t>
  </si>
  <si>
    <t>S9</t>
  </si>
  <si>
    <t>W24</t>
  </si>
  <si>
    <t>X1</t>
  </si>
  <si>
    <t>E47</t>
  </si>
  <si>
    <t>P86</t>
  </si>
  <si>
    <t>13:10</t>
  </si>
  <si>
    <t>S23</t>
  </si>
  <si>
    <t>W29</t>
  </si>
  <si>
    <t>P95</t>
  </si>
  <si>
    <t>03:15</t>
  </si>
  <si>
    <t>G5</t>
  </si>
  <si>
    <t>S18</t>
  </si>
  <si>
    <t>W17</t>
  </si>
  <si>
    <t>T18</t>
  </si>
  <si>
    <t>X18</t>
  </si>
  <si>
    <t>U18</t>
  </si>
  <si>
    <t>I18</t>
  </si>
  <si>
    <t>07:15</t>
  </si>
  <si>
    <t>U24</t>
  </si>
  <si>
    <t>12:40</t>
  </si>
  <si>
    <t>Y1</t>
  </si>
  <si>
    <t>X17</t>
  </si>
  <si>
    <t>U31</t>
  </si>
  <si>
    <t>I2</t>
  </si>
  <si>
    <t>P100</t>
  </si>
  <si>
    <t>LXR-JED</t>
  </si>
  <si>
    <t>ASW-JED</t>
  </si>
  <si>
    <t>SSH-JED</t>
  </si>
  <si>
    <t>SV-326</t>
  </si>
  <si>
    <t>11,602 EGP</t>
  </si>
  <si>
    <t>17,057 EGP</t>
  </si>
  <si>
    <t>16:35</t>
  </si>
  <si>
    <t>HRG-JED</t>
  </si>
  <si>
    <t>CAI-RUH</t>
  </si>
  <si>
    <t>F3-606</t>
  </si>
  <si>
    <r>
      <rPr>
        <b/>
        <i/>
        <sz val="13"/>
        <color rgb="FFBC0000"/>
        <rFont val="Calibri"/>
        <family val="2"/>
      </rPr>
      <t>28</t>
    </r>
    <r>
      <rPr>
        <b/>
        <i/>
        <sz val="10"/>
        <color rgb="FFBC0000"/>
        <rFont val="Calibri"/>
        <family val="2"/>
      </rPr>
      <t xml:space="preserve"> FOR SAME CLASS</t>
    </r>
  </si>
  <si>
    <t>4,213 EGP</t>
  </si>
  <si>
    <r>
      <rPr>
        <i/>
        <sz val="13"/>
        <rFont val="Calibri"/>
        <family val="2"/>
      </rPr>
      <t>28</t>
    </r>
    <r>
      <rPr>
        <i/>
        <sz val="10"/>
        <rFont val="Calibri"/>
        <family val="2"/>
      </rPr>
      <t xml:space="preserve"> FOR SAME CLASS</t>
    </r>
  </si>
  <si>
    <t>12,152 EGP</t>
  </si>
  <si>
    <t>F3-608</t>
  </si>
  <si>
    <r>
      <rPr>
        <b/>
        <i/>
        <sz val="13"/>
        <rFont val="Calibri"/>
        <family val="2"/>
      </rPr>
      <t>27</t>
    </r>
    <r>
      <rPr>
        <b/>
        <i/>
        <sz val="10"/>
        <rFont val="Calibri"/>
        <family val="2"/>
      </rPr>
      <t xml:space="preserve"> FOR SAME CLASS</t>
    </r>
  </si>
  <si>
    <r>
      <rPr>
        <i/>
        <sz val="13"/>
        <rFont val="Calibri"/>
        <family val="2"/>
      </rPr>
      <t>27</t>
    </r>
    <r>
      <rPr>
        <i/>
        <sz val="10"/>
        <rFont val="Calibri"/>
        <family val="2"/>
      </rPr>
      <t xml:space="preserve"> FOR SAME CLASS</t>
    </r>
  </si>
  <si>
    <t>F3-612</t>
  </si>
  <si>
    <r>
      <rPr>
        <b/>
        <i/>
        <sz val="13"/>
        <rFont val="Calibri"/>
        <family val="2"/>
      </rPr>
      <t>53</t>
    </r>
    <r>
      <rPr>
        <b/>
        <i/>
        <sz val="10"/>
        <rFont val="Calibri"/>
        <family val="2"/>
      </rPr>
      <t xml:space="preserve"> FOR SAME CLASS</t>
    </r>
  </si>
  <si>
    <r>
      <rPr>
        <i/>
        <sz val="13"/>
        <rFont val="Calibri"/>
        <family val="2"/>
      </rPr>
      <t>53</t>
    </r>
    <r>
      <rPr>
        <i/>
        <sz val="10"/>
        <rFont val="Calibri"/>
        <family val="2"/>
      </rPr>
      <t xml:space="preserve"> FOR SAME CLASS</t>
    </r>
  </si>
  <si>
    <t>F3-616</t>
  </si>
  <si>
    <r>
      <rPr>
        <b/>
        <i/>
        <sz val="13"/>
        <rFont val="Calibri"/>
        <family val="2"/>
      </rPr>
      <t>49</t>
    </r>
    <r>
      <rPr>
        <b/>
        <i/>
        <sz val="10"/>
        <rFont val="Calibri"/>
        <family val="2"/>
      </rPr>
      <t xml:space="preserve"> FOR SAME CLASS</t>
    </r>
  </si>
  <si>
    <r>
      <rPr>
        <i/>
        <sz val="13"/>
        <rFont val="Calibri"/>
        <family val="2"/>
      </rPr>
      <t>49</t>
    </r>
    <r>
      <rPr>
        <i/>
        <sz val="10"/>
        <rFont val="Calibri"/>
        <family val="2"/>
      </rPr>
      <t xml:space="preserve"> FOR SAME CLASS</t>
    </r>
  </si>
  <si>
    <t>XY-266</t>
  </si>
  <si>
    <t>4,469 EGP</t>
  </si>
  <si>
    <t>5,749 EGP</t>
  </si>
  <si>
    <t>6,902 EGP</t>
  </si>
  <si>
    <t>XY-268</t>
  </si>
  <si>
    <t>XY-270</t>
  </si>
  <si>
    <t>XY-272</t>
  </si>
  <si>
    <t>XY-276</t>
  </si>
  <si>
    <t>XY-264</t>
  </si>
  <si>
    <t>4,981 EGP</t>
  </si>
  <si>
    <t>6,262 EGP</t>
  </si>
  <si>
    <t>XY-274</t>
  </si>
  <si>
    <t>NP-151</t>
  </si>
  <si>
    <t>4,622 EGP</t>
  </si>
  <si>
    <t>NP-351</t>
  </si>
  <si>
    <t>NP-251</t>
  </si>
  <si>
    <t>5,685 EGP</t>
  </si>
  <si>
    <t>Nesma Airlines</t>
  </si>
  <si>
    <t>NE-160</t>
  </si>
  <si>
    <t>4,661 EGP</t>
  </si>
  <si>
    <t>NE-164</t>
  </si>
  <si>
    <t>5,698 EGP</t>
  </si>
  <si>
    <t>SM-461</t>
  </si>
  <si>
    <t>5,724 EGP</t>
  </si>
  <si>
    <t>SM461</t>
  </si>
  <si>
    <t>T3 &amp; X30 &amp; U20 &amp; O15 &amp; I34</t>
  </si>
  <si>
    <t>E5-410</t>
  </si>
  <si>
    <t>7,381 EGP</t>
  </si>
  <si>
    <t>9,018 EGP</t>
  </si>
  <si>
    <t>MS-649</t>
  </si>
  <si>
    <t>7,837 EGP</t>
  </si>
  <si>
    <t>MS-651</t>
  </si>
  <si>
    <t>MS-647</t>
  </si>
  <si>
    <t>18,696 EGP</t>
  </si>
  <si>
    <t>SV-320</t>
  </si>
  <si>
    <t>8,887 EGP</t>
  </si>
  <si>
    <t>10,641 EGP</t>
  </si>
  <si>
    <t>SV-6632</t>
  </si>
  <si>
    <t>13,497 EGP</t>
  </si>
  <si>
    <t>SV-6693</t>
  </si>
  <si>
    <t>SV-6905</t>
  </si>
  <si>
    <t>SV-310</t>
  </si>
  <si>
    <t>13,650 EGP</t>
  </si>
  <si>
    <t>SV-312</t>
  </si>
  <si>
    <t>SV-418</t>
  </si>
  <si>
    <r>
      <rPr>
        <b/>
        <i/>
        <sz val="13"/>
        <rFont val="Calibri"/>
        <family val="2"/>
      </rPr>
      <t>23</t>
    </r>
    <r>
      <rPr>
        <b/>
        <i/>
        <sz val="10"/>
        <rFont val="Calibri"/>
        <family val="2"/>
      </rPr>
      <t xml:space="preserve"> FOR SAME CLASS</t>
    </r>
  </si>
  <si>
    <r>
      <rPr>
        <i/>
        <sz val="13"/>
        <rFont val="Calibri"/>
        <family val="2"/>
      </rPr>
      <t>23</t>
    </r>
    <r>
      <rPr>
        <i/>
        <sz val="10"/>
        <rFont val="Calibri"/>
        <family val="2"/>
      </rPr>
      <t xml:space="preserve"> FOR SAME CLASS</t>
    </r>
  </si>
  <si>
    <r>
      <rPr>
        <b/>
        <i/>
        <sz val="13"/>
        <rFont val="Calibri"/>
        <family val="2"/>
      </rPr>
      <t>16</t>
    </r>
    <r>
      <rPr>
        <b/>
        <i/>
        <sz val="10"/>
        <rFont val="Calibri"/>
        <family val="2"/>
      </rPr>
      <t xml:space="preserve"> FOR SAME CLASS</t>
    </r>
  </si>
  <si>
    <t>4,597 EGP</t>
  </si>
  <si>
    <r>
      <rPr>
        <i/>
        <sz val="13"/>
        <rFont val="Calibri"/>
        <family val="2"/>
      </rPr>
      <t>16</t>
    </r>
    <r>
      <rPr>
        <i/>
        <sz val="10"/>
        <rFont val="Calibri"/>
        <family val="2"/>
      </rPr>
      <t xml:space="preserve"> FOR SAME CLASS</t>
    </r>
  </si>
  <si>
    <r>
      <rPr>
        <b/>
        <i/>
        <sz val="13"/>
        <rFont val="Calibri"/>
        <family val="2"/>
      </rPr>
      <t>34</t>
    </r>
    <r>
      <rPr>
        <b/>
        <i/>
        <sz val="10"/>
        <rFont val="Calibri"/>
        <family val="2"/>
      </rPr>
      <t xml:space="preserve"> FOR SAME CLASS</t>
    </r>
  </si>
  <si>
    <r>
      <rPr>
        <i/>
        <sz val="13"/>
        <rFont val="Calibri"/>
        <family val="2"/>
      </rPr>
      <t>34</t>
    </r>
    <r>
      <rPr>
        <i/>
        <sz val="10"/>
        <rFont val="Calibri"/>
        <family val="2"/>
      </rPr>
      <t xml:space="preserve"> FOR SAME CLASS</t>
    </r>
  </si>
  <si>
    <r>
      <rPr>
        <i/>
        <sz val="13"/>
        <rFont val="Calibri"/>
        <family val="2"/>
      </rPr>
      <t>8</t>
    </r>
    <r>
      <rPr>
        <i/>
        <sz val="10"/>
        <rFont val="Calibri"/>
        <family val="2"/>
      </rPr>
      <t xml:space="preserve"> FOR SAME CLASS</t>
    </r>
  </si>
  <si>
    <t>5,621 EGP</t>
  </si>
  <si>
    <t>S2 &amp; W4 &amp; T14 &amp; X20 &amp; U10 &amp; O17 &amp; I28</t>
  </si>
  <si>
    <t>SM-469</t>
  </si>
  <si>
    <t>SM469</t>
  </si>
  <si>
    <t>W4 &amp; T14 &amp; X10 &amp; U14 &amp; O10 &amp; I26</t>
  </si>
  <si>
    <t>20,425 EGP</t>
  </si>
  <si>
    <t>13,983 EGP</t>
  </si>
  <si>
    <t>5,493 EGP</t>
  </si>
  <si>
    <t>18,299 EGP</t>
  </si>
  <si>
    <r>
      <rPr>
        <b/>
        <i/>
        <sz val="13"/>
        <rFont val="Calibri"/>
        <family val="2"/>
      </rPr>
      <t>12</t>
    </r>
    <r>
      <rPr>
        <b/>
        <i/>
        <sz val="10"/>
        <rFont val="Calibri"/>
        <family val="2"/>
      </rPr>
      <t xml:space="preserve"> FOR SAME CLASS</t>
    </r>
  </si>
  <si>
    <t>5,877 EGP</t>
  </si>
  <si>
    <r>
      <rPr>
        <i/>
        <sz val="13"/>
        <rFont val="Calibri"/>
        <family val="2"/>
      </rPr>
      <t>12</t>
    </r>
    <r>
      <rPr>
        <i/>
        <sz val="10"/>
        <rFont val="Calibri"/>
        <family val="2"/>
      </rPr>
      <t xml:space="preserve"> FOR SAME CLASS</t>
    </r>
  </si>
  <si>
    <t>7,798 EGP</t>
  </si>
  <si>
    <t>8,567 EGP</t>
  </si>
  <si>
    <t>8,310 EGP</t>
  </si>
  <si>
    <t>10,231 EGP</t>
  </si>
  <si>
    <t>11,128 EGP</t>
  </si>
  <si>
    <t>S4 &amp; W10 &amp; T18 &amp; X10 &amp; U17 &amp; O10 &amp; I35</t>
  </si>
  <si>
    <t>6,338 EGP</t>
  </si>
  <si>
    <t>NP-353</t>
  </si>
  <si>
    <t>7,388 EGP</t>
  </si>
  <si>
    <t>7,888 EGP</t>
  </si>
  <si>
    <t>10,705 EGP</t>
  </si>
  <si>
    <t>13,599 EGP</t>
  </si>
  <si>
    <t>14,752 EGP</t>
  </si>
  <si>
    <t>16,045 EGP</t>
  </si>
  <si>
    <t>17,492 EGP</t>
  </si>
  <si>
    <t>20,092 EGP</t>
  </si>
  <si>
    <t>09:55</t>
  </si>
  <si>
    <t>T3</t>
  </si>
  <si>
    <t>X30</t>
  </si>
  <si>
    <t>U20</t>
  </si>
  <si>
    <t>I34</t>
  </si>
  <si>
    <t>W4</t>
  </si>
  <si>
    <t>X20</t>
  </si>
  <si>
    <t>I28</t>
  </si>
  <si>
    <t>17:25</t>
  </si>
  <si>
    <t>U14</t>
  </si>
  <si>
    <t>I26</t>
  </si>
  <si>
    <t>U17</t>
  </si>
  <si>
    <t>I35</t>
  </si>
  <si>
    <t>13:50</t>
  </si>
  <si>
    <t>15:05</t>
  </si>
  <si>
    <t>23:00</t>
  </si>
  <si>
    <t>15:10</t>
  </si>
  <si>
    <t>04:05</t>
  </si>
  <si>
    <t>02:10</t>
  </si>
  <si>
    <t>12:10</t>
  </si>
  <si>
    <t>14:45</t>
  </si>
  <si>
    <t>ATZ-RUH</t>
  </si>
  <si>
    <t>XY-284</t>
  </si>
  <si>
    <t>Cabin: 7 KG</t>
  </si>
  <si>
    <t>8,579 EGP</t>
  </si>
  <si>
    <t>9,706 EGP</t>
  </si>
  <si>
    <t>10,769 EGP</t>
  </si>
  <si>
    <t>Indirect competition route CAI – RUH - diversion ratio &amp; passenger leakage</t>
  </si>
  <si>
    <t>28 FOR SAME CLASS</t>
  </si>
  <si>
    <t>27 FOR SAME CLASS</t>
  </si>
  <si>
    <t>53 FOR SAME CLASS</t>
  </si>
  <si>
    <t>49 FOR SAME CLASS</t>
  </si>
  <si>
    <t>12,011 EGP</t>
  </si>
  <si>
    <t>13,074 EGP</t>
  </si>
  <si>
    <t>12 FOR SAME CLASS</t>
  </si>
  <si>
    <t>5 FOR SAME CLASS</t>
  </si>
  <si>
    <t>CAI-RUH AS ALTERNATIVE ROUTE</t>
  </si>
  <si>
    <t>CAI-DMM</t>
  </si>
  <si>
    <t>XY-855</t>
  </si>
  <si>
    <t>5,109 EGP</t>
  </si>
  <si>
    <t>6,390 EGP</t>
  </si>
  <si>
    <t>XY-895</t>
  </si>
  <si>
    <t>7,926 EGP</t>
  </si>
  <si>
    <t>F3-912</t>
  </si>
  <si>
    <t>5,365 EGP</t>
  </si>
  <si>
    <t>7,286 EGP</t>
  </si>
  <si>
    <t>12,792 EGP</t>
  </si>
  <si>
    <t>NP-331</t>
  </si>
  <si>
    <t>7,132 EGP</t>
  </si>
  <si>
    <t>NP-131</t>
  </si>
  <si>
    <t>7,747 EGP</t>
  </si>
  <si>
    <t>MS-681</t>
  </si>
  <si>
    <t>7,504 EGP</t>
  </si>
  <si>
    <t>MS-683</t>
  </si>
  <si>
    <t>10,103 EGP</t>
  </si>
  <si>
    <t>MS-687</t>
  </si>
  <si>
    <t>14,163 EGP</t>
  </si>
  <si>
    <t>SM-433</t>
  </si>
  <si>
    <t>SM433</t>
  </si>
  <si>
    <t>V2 &amp; L7 &amp; G10 &amp; S27 &amp; U36 &amp; O3 &amp; I4</t>
  </si>
  <si>
    <t>SV-6447</t>
  </si>
  <si>
    <t>14,035 EGP</t>
  </si>
  <si>
    <t>NE-150</t>
  </si>
  <si>
    <t>6,543 EGP</t>
  </si>
  <si>
    <t>NE-154</t>
  </si>
  <si>
    <t>6,953 EGP</t>
  </si>
  <si>
    <t>17,915 EGP</t>
  </si>
  <si>
    <t>NP-231</t>
  </si>
  <si>
    <t>8,131 EGP</t>
  </si>
  <si>
    <t>L6</t>
  </si>
  <si>
    <t>V1 &amp; L4 &amp; G10 &amp; S10 &amp; W10 &amp; T10 &amp; X20 &amp; O25 &amp; I5</t>
  </si>
  <si>
    <t>19,810 EGP</t>
  </si>
  <si>
    <t>12,024 EGP</t>
  </si>
  <si>
    <t>V5 &amp; L14 &amp; G46 &amp; S3 &amp; W1 &amp; T6 &amp; X8 &amp; U22 &amp; O3 &amp; I6</t>
  </si>
  <si>
    <t>E5-315</t>
  </si>
  <si>
    <t>9,664 EGP</t>
  </si>
  <si>
    <t>12,665 EGP</t>
  </si>
  <si>
    <t>16,890 EGP</t>
  </si>
  <si>
    <t>17:20</t>
  </si>
  <si>
    <t>V2</t>
  </si>
  <si>
    <t>L7</t>
  </si>
  <si>
    <t>G10</t>
  </si>
  <si>
    <t>S27</t>
  </si>
  <si>
    <t>U36</t>
  </si>
  <si>
    <t>O3</t>
  </si>
  <si>
    <t>I4</t>
  </si>
  <si>
    <t>V1</t>
  </si>
  <si>
    <t>L4</t>
  </si>
  <si>
    <t>S10</t>
  </si>
  <si>
    <t>O25</t>
  </si>
  <si>
    <t>V5</t>
  </si>
  <si>
    <t>L14</t>
  </si>
  <si>
    <t>G46</t>
  </si>
  <si>
    <t>T6</t>
  </si>
  <si>
    <t>X8</t>
  </si>
  <si>
    <t>U22</t>
  </si>
  <si>
    <t>I6</t>
  </si>
  <si>
    <t>10:45</t>
  </si>
  <si>
    <t>23:20</t>
  </si>
  <si>
    <t>18:10</t>
  </si>
  <si>
    <t>ATZ-DMM</t>
  </si>
  <si>
    <t>SM437</t>
  </si>
  <si>
    <t>Y1 &amp; V10 &amp; L11 &amp; G20 &amp; S20 &amp; W31 &amp; T16 &amp; X19 &amp; U30 &amp; O19</t>
  </si>
  <si>
    <t>Indirect competition route CAI – DMM - diversion ratio &amp; passenger leakage</t>
  </si>
  <si>
    <t>00:10</t>
  </si>
  <si>
    <t>23:10</t>
  </si>
  <si>
    <t>19:20</t>
  </si>
  <si>
    <t>01:45</t>
  </si>
  <si>
    <t>V10</t>
  </si>
  <si>
    <t>L11</t>
  </si>
  <si>
    <t>G20</t>
  </si>
  <si>
    <t>S20</t>
  </si>
  <si>
    <t>W31</t>
  </si>
  <si>
    <t>T16</t>
  </si>
  <si>
    <t>X19</t>
  </si>
  <si>
    <t>U30</t>
  </si>
  <si>
    <t>O19</t>
  </si>
  <si>
    <t>CAI-DMM AS ALTERNATIVE ROUTE</t>
  </si>
  <si>
    <t>SM-437</t>
  </si>
  <si>
    <t>CAI-TUU</t>
  </si>
  <si>
    <t>NP-107</t>
  </si>
  <si>
    <t>6,633 EGP</t>
  </si>
  <si>
    <t>SM-325</t>
  </si>
  <si>
    <t>SM325</t>
  </si>
  <si>
    <t>S2 &amp; U4 &amp; O3 &amp; I56</t>
  </si>
  <si>
    <t>MS-811</t>
  </si>
  <si>
    <t>6,966 EGP</t>
  </si>
  <si>
    <t>E5-599</t>
  </si>
  <si>
    <t>6,527 EGP</t>
  </si>
  <si>
    <t>9,528 EGP</t>
  </si>
  <si>
    <t>NE-120</t>
  </si>
  <si>
    <t>NP-117</t>
  </si>
  <si>
    <t>7,094 EGP</t>
  </si>
  <si>
    <t>S3 &amp; U4 &amp; O11 &amp; I55</t>
  </si>
  <si>
    <t>17:05</t>
  </si>
  <si>
    <t>U4</t>
  </si>
  <si>
    <t>I56</t>
  </si>
  <si>
    <t>E90</t>
  </si>
  <si>
    <t>I55</t>
  </si>
  <si>
    <t>ATZ-TUU</t>
  </si>
  <si>
    <t>SM-327</t>
  </si>
  <si>
    <t>7,017 EGP</t>
  </si>
  <si>
    <t>SM327</t>
  </si>
  <si>
    <t>I75</t>
  </si>
  <si>
    <t>Indirect competition route CAI – TUU - diversion ratio &amp; passenger leakage</t>
  </si>
  <si>
    <t>11:55</t>
  </si>
  <si>
    <t>23:40</t>
  </si>
  <si>
    <t>23:35</t>
  </si>
  <si>
    <t>09:05</t>
  </si>
  <si>
    <t>CAI-TUU AS ALTERNATIVE ROUTE</t>
  </si>
  <si>
    <t>CAI-AJF</t>
  </si>
  <si>
    <t>NP-119</t>
  </si>
  <si>
    <t>6,095 EGP</t>
  </si>
  <si>
    <t>SM-321</t>
  </si>
  <si>
    <t>6,454 EGP</t>
  </si>
  <si>
    <t>SM321</t>
  </si>
  <si>
    <t>S15 &amp; X22 &amp; U11 &amp; O3 &amp; I1</t>
  </si>
  <si>
    <t>7,081 EGP</t>
  </si>
  <si>
    <t>G4 &amp; S74 &amp; X7 &amp; I17</t>
  </si>
  <si>
    <t>18:25</t>
  </si>
  <si>
    <t>S15</t>
  </si>
  <si>
    <t>X22</t>
  </si>
  <si>
    <t>I1</t>
  </si>
  <si>
    <t>17:15</t>
  </si>
  <si>
    <t>G4</t>
  </si>
  <si>
    <t>S74</t>
  </si>
  <si>
    <t>X7</t>
  </si>
  <si>
    <t>16:50</t>
  </si>
  <si>
    <t>ATZ-AJF</t>
  </si>
  <si>
    <t>SM-323</t>
  </si>
  <si>
    <t>6,492 EGP</t>
  </si>
  <si>
    <t>SM323</t>
  </si>
  <si>
    <t>X1 &amp; U10 &amp; O31 &amp; I50</t>
  </si>
  <si>
    <t>O31</t>
  </si>
  <si>
    <t>CAI-AJF AS ALTERNATIVE ROUTE</t>
  </si>
  <si>
    <t>CAI-YNB</t>
  </si>
  <si>
    <t>SM-441</t>
  </si>
  <si>
    <r>
      <rPr>
        <b/>
        <i/>
        <sz val="13"/>
        <color rgb="FFBC0000"/>
        <rFont val="Calibri"/>
        <family val="2"/>
      </rPr>
      <t>8</t>
    </r>
    <r>
      <rPr>
        <b/>
        <i/>
        <sz val="10"/>
        <color rgb="FFBC0000"/>
        <rFont val="Calibri"/>
        <family val="2"/>
      </rPr>
      <t xml:space="preserve"> FOR SAME CLASS</t>
    </r>
  </si>
  <si>
    <t>8,784 EGP</t>
  </si>
  <si>
    <t>SM441</t>
  </si>
  <si>
    <t>G1 &amp; S7 &amp; W35 &amp; T6 &amp; X17 &amp; U4 &amp; P91</t>
  </si>
  <si>
    <t>NP-103</t>
  </si>
  <si>
    <t>15,392 EGP</t>
  </si>
  <si>
    <t>9,950 EGP</t>
  </si>
  <si>
    <t>L1 &amp; G13 &amp; S14 &amp; W15 &amp; T20 &amp; X21 &amp; U19 &amp; P41</t>
  </si>
  <si>
    <t>V6 &amp; S3 &amp; W3 &amp; T8 &amp; X12 &amp; P146 &amp; N1</t>
  </si>
  <si>
    <t>W35</t>
  </si>
  <si>
    <t>P91</t>
  </si>
  <si>
    <t>04:00</t>
  </si>
  <si>
    <t>G13</t>
  </si>
  <si>
    <t>S14</t>
  </si>
  <si>
    <t>W15</t>
  </si>
  <si>
    <t>T20</t>
  </si>
  <si>
    <t>X21</t>
  </si>
  <si>
    <t>U19</t>
  </si>
  <si>
    <t>03:00</t>
  </si>
  <si>
    <t>V6</t>
  </si>
  <si>
    <t>T8</t>
  </si>
  <si>
    <t>P146</t>
  </si>
  <si>
    <t>CAI-AHB</t>
  </si>
  <si>
    <t>NP-143</t>
  </si>
  <si>
    <t>13,932 EGP</t>
  </si>
  <si>
    <t>SM-443</t>
  </si>
  <si>
    <t>14,380 EGP</t>
  </si>
  <si>
    <t>SM443</t>
  </si>
  <si>
    <t>M1</t>
  </si>
  <si>
    <t>B2 &amp; M8 &amp; H18 &amp; Q18 &amp; K18 &amp; V18 &amp; L23 &amp; G12 &amp; S8 &amp; W4 &amp; T16 &amp; X9 &amp; U9 &amp; O7 &amp; I2</t>
  </si>
  <si>
    <t>NP-243</t>
  </si>
  <si>
    <t>M9</t>
  </si>
  <si>
    <t>H15 &amp; Q15 &amp; K15 &amp; V15 &amp; L24 &amp; G13 &amp; S4 &amp; W2 &amp; T17 &amp; X8 &amp; U6 &amp; O11 &amp; I5</t>
  </si>
  <si>
    <t>B2</t>
  </si>
  <si>
    <t>M8</t>
  </si>
  <si>
    <t>H18</t>
  </si>
  <si>
    <t>Q18</t>
  </si>
  <si>
    <t>K18</t>
  </si>
  <si>
    <t>V18</t>
  </si>
  <si>
    <t>L23</t>
  </si>
  <si>
    <t>G12</t>
  </si>
  <si>
    <t>U9</t>
  </si>
  <si>
    <t>H15</t>
  </si>
  <si>
    <t>Q15</t>
  </si>
  <si>
    <t>K15</t>
  </si>
  <si>
    <t>V15</t>
  </si>
  <si>
    <t>L24</t>
  </si>
  <si>
    <t>T17</t>
  </si>
  <si>
    <t>U6</t>
  </si>
  <si>
    <t>22:00</t>
  </si>
  <si>
    <t>ATZ-AHB</t>
  </si>
  <si>
    <t>SM-445</t>
  </si>
  <si>
    <t>9,809 EGP</t>
  </si>
  <si>
    <t>SM445</t>
  </si>
  <si>
    <t>L9</t>
  </si>
  <si>
    <t>L4 &amp; G18 &amp; S18 &amp; W49 &amp; T13 &amp; X17 &amp; U18 &amp; O28</t>
  </si>
  <si>
    <t>14:00</t>
  </si>
  <si>
    <t>G18</t>
  </si>
  <si>
    <t>W49</t>
  </si>
  <si>
    <t>T13</t>
  </si>
  <si>
    <t>O28</t>
  </si>
  <si>
    <t>CAI-AHB AS ALTERNATIVE ROUTE</t>
  </si>
  <si>
    <t>CAI-ELQ</t>
  </si>
  <si>
    <t>NP-105</t>
  </si>
  <si>
    <t>NE-140</t>
  </si>
  <si>
    <t>6,659 EGP</t>
  </si>
  <si>
    <t>SM-427</t>
  </si>
  <si>
    <t>7,273 EGP</t>
  </si>
  <si>
    <t>SM427</t>
  </si>
  <si>
    <t>G6 &amp; S10 &amp; W47 &amp; U1 &amp; O6 &amp; I34</t>
  </si>
  <si>
    <t>E5-591</t>
  </si>
  <si>
    <t>7,440 EGP</t>
  </si>
  <si>
    <t>9,077 EGP</t>
  </si>
  <si>
    <t>MS-633</t>
  </si>
  <si>
    <t>8,170 EGP</t>
  </si>
  <si>
    <t>G2 &amp; S17 &amp; W38 &amp; O5 &amp; I17</t>
  </si>
  <si>
    <t>7,978 EGP</t>
  </si>
  <si>
    <t>8,861 EGP</t>
  </si>
  <si>
    <t>NP-115</t>
  </si>
  <si>
    <t>9,540 EGP</t>
  </si>
  <si>
    <t>G6</t>
  </si>
  <si>
    <t>W47</t>
  </si>
  <si>
    <t>O6</t>
  </si>
  <si>
    <t>19:55</t>
  </si>
  <si>
    <t>G2</t>
  </si>
  <si>
    <t>W38</t>
  </si>
  <si>
    <t>10:55</t>
  </si>
  <si>
    <t>ATZ-ELQ</t>
  </si>
  <si>
    <t>SM-435</t>
  </si>
  <si>
    <t>SM435</t>
  </si>
  <si>
    <t>L1 &amp; G17 &amp; S4 &amp; W3 &amp; T2 &amp; X20 &amp; U13 &amp; O12 &amp; I15</t>
  </si>
  <si>
    <t>Indirect competition route CAI – ELQ - diversion ratio &amp; passenger leakage</t>
  </si>
  <si>
    <t>19:30</t>
  </si>
  <si>
    <t>20:55</t>
  </si>
  <si>
    <t>G17</t>
  </si>
  <si>
    <t>T2</t>
  </si>
  <si>
    <t>U13</t>
  </si>
  <si>
    <t>CAI-ELQ AS ALTERNATIVE ROUTE</t>
  </si>
  <si>
    <t>20:50</t>
  </si>
  <si>
    <t>CAI-GIZ</t>
  </si>
  <si>
    <t>NP-141</t>
  </si>
  <si>
    <t>7,683 EGP</t>
  </si>
  <si>
    <t>E5-585</t>
  </si>
  <si>
    <t>8,323 EGP</t>
  </si>
  <si>
    <t>9,959 EGP</t>
  </si>
  <si>
    <t>SM-329</t>
  </si>
  <si>
    <t>8,605 EGP</t>
  </si>
  <si>
    <t>SM329</t>
  </si>
  <si>
    <t>S8 &amp; W1 &amp; T1 &amp; X57 &amp; U38 &amp; O22 &amp; I1</t>
  </si>
  <si>
    <t>8,631 EGP</t>
  </si>
  <si>
    <t>9,796 EGP</t>
  </si>
  <si>
    <t>W10 &amp; T8 &amp; X93 &amp; U11 &amp; O11 &amp; I5</t>
  </si>
  <si>
    <t>X57</t>
  </si>
  <si>
    <t>U38</t>
  </si>
  <si>
    <t>O22</t>
  </si>
  <si>
    <t>X93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</si>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</sst>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6" formatCode="yyyy\-mm\-dd\ h:mm:ss"/>
    <numFmt numFmtId="167" formatCode="dddd\,\ mmmm\ dd\,\ yyyy"/>
    <numFmt numFmtId="168" formatCode="h:mm;@"/>
    <numFmt numFmtId="169" formatCode="0.0%"/>
    <numFmt numFmtId="170" formatCode="[$-409]dddd"/>
    <numFmt numFmtId="171" formatCode="dd\-mmm\-yy"/>
    <numFmt numFmtId="172" formatCode="hh:mm"/>
  </numFmts>
  <fonts count="38" x14ac:knownFonts="1">
    <font>
      <sz val="11"/>
      <color theme="1"/>
      <name val="Calibri"/>
      <family val="2"/>
      <scheme val="minor"/>
    </font>
    <font>
      <b/>
      <i/>
      <sz val="22"/>
      <color rgb="FFFFFFFF"/>
      <name val="Calibri"/>
      <family val="2"/>
    </font>
    <font>
      <b/>
      <i/>
      <sz val="16"/>
      <color rgb="FFED7D31"/>
      <name val="Calibri"/>
      <family val="2"/>
    </font>
    <font>
      <b/>
      <i/>
      <u/>
      <sz val="18"/>
      <name val="Calibri"/>
      <family val="2"/>
    </font>
    <font>
      <i/>
      <sz val="13"/>
      <name val="Calibri"/>
      <family val="2"/>
    </font>
    <font>
      <b/>
      <i/>
      <sz val="20"/>
      <color rgb="FFFFFFFF"/>
      <name val="Calibri"/>
      <family val="2"/>
    </font>
    <font>
      <b/>
      <i/>
      <sz val="20"/>
      <name val="Calibri"/>
      <family val="2"/>
    </font>
    <font>
      <b/>
      <i/>
      <sz val="18"/>
      <color rgb="FFFFFFFF"/>
      <name val="Calibri"/>
      <family val="2"/>
    </font>
    <font>
      <b/>
      <i/>
      <sz val="14"/>
      <color rgb="FF000000"/>
      <name val="Calibri"/>
      <family val="2"/>
    </font>
    <font>
      <b/>
      <i/>
      <sz val="16"/>
      <color rgb="FF000000"/>
      <name val="Calibri"/>
      <family val="2"/>
    </font>
    <font>
      <b/>
      <i/>
      <sz val="12"/>
      <color rgb="FFBC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name val="Calibri"/>
      <family val="2"/>
    </font>
    <font>
      <b/>
      <i/>
      <sz val="13"/>
      <color rgb="FF006100"/>
      <name val="Calibri"/>
      <family val="2"/>
    </font>
    <font>
      <b/>
      <i/>
      <sz val="14"/>
      <name val="Calibri"/>
      <family val="2"/>
    </font>
    <font>
      <sz val="12"/>
      <color theme="1"/>
      <name val="Calibri"/>
      <family val="2"/>
    </font>
    <font>
      <b/>
      <i/>
      <sz val="18"/>
      <name val="Calibri"/>
      <family val="2"/>
    </font>
    <font>
      <i/>
      <sz val="18"/>
      <color rgb="FFFF0000"/>
      <name val="Calibri"/>
      <family val="2"/>
    </font>
    <font>
      <b/>
      <sz val="14"/>
      <color rgb="FFFFFFFF"/>
      <name val="Calibri"/>
      <family val="2"/>
    </font>
    <font>
      <i/>
      <sz val="12"/>
      <color rgb="FF494529"/>
      <name val="Calibri"/>
      <family val="2"/>
    </font>
    <font>
      <b/>
      <sz val="12"/>
      <color rgb="FF000000"/>
      <name val="Calibri"/>
      <family val="2"/>
    </font>
    <font>
      <b/>
      <i/>
      <sz val="12"/>
      <color rgb="FF0070C0"/>
      <name val="Calibri"/>
      <family val="2"/>
    </font>
    <font>
      <i/>
      <sz val="11"/>
      <name val="Calibri"/>
      <family val="2"/>
    </font>
    <font>
      <b/>
      <i/>
      <sz val="13"/>
      <color rgb="FF9C0006"/>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10"/>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D8E4BC"/>
      </patternFill>
    </fill>
    <fill>
      <patternFill patternType="solid">
        <fgColor rgb="FFCCCCCC"/>
        <bgColor rgb="FFCCCCCC"/>
      </patternFill>
    </fill>
    <fill>
      <patternFill patternType="solid">
        <fgColor rgb="FFC7FFFF"/>
      </patternFill>
    </fill>
    <fill>
      <patternFill patternType="solid">
        <fgColor rgb="FF366092"/>
      </patternFill>
    </fill>
    <fill>
      <patternFill patternType="solid">
        <fgColor rgb="FFF2CA93"/>
      </patternFill>
    </fill>
    <fill>
      <patternFill patternType="solid">
        <fgColor rgb="FFFFFFCC"/>
      </patternFill>
    </fill>
    <fill>
      <patternFill patternType="solid">
        <fgColor rgb="FFC5D9F1"/>
      </patternFill>
    </fill>
    <fill>
      <patternFill patternType="solid">
        <fgColor rgb="FFE6D5E6"/>
      </patternFill>
    </fill>
    <fill>
      <patternFill patternType="solid">
        <fgColor rgb="FFFFE4B5"/>
      </patternFill>
    </fill>
    <fill>
      <patternFill patternType="solid">
        <fgColor rgb="FFB5E7D3"/>
      </patternFill>
    </fill>
    <fill>
      <patternFill patternType="solid">
        <fgColor rgb="FF365492"/>
        <bgColor indexed="64"/>
      </patternFill>
    </fill>
  </fills>
  <borders count="3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288">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5" xfId="0" applyFont="1" applyFill="1" applyBorder="1" applyAlignment="1">
      <alignment horizontal="center" vertical="center"/>
    </xf>
    <xf numFmtId="49" fontId="10" fillId="0" borderId="6" xfId="0" applyNumberFormat="1" applyFont="1" applyBorder="1" applyAlignment="1">
      <alignment horizontal="center" vertical="center"/>
    </xf>
    <xf numFmtId="168" fontId="10" fillId="0" borderId="6" xfId="0" applyNumberFormat="1"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2" fillId="0" borderId="9"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9" fontId="13" fillId="0" borderId="11" xfId="0" applyNumberFormat="1" applyFont="1" applyBorder="1" applyAlignment="1">
      <alignment horizontal="center" vertical="center"/>
    </xf>
    <xf numFmtId="168" fontId="13" fillId="0" borderId="11" xfId="0" applyNumberFormat="1" applyFont="1" applyBorder="1" applyAlignment="1">
      <alignment horizontal="center" vertical="center"/>
    </xf>
    <xf numFmtId="49" fontId="10" fillId="0" borderId="11" xfId="0" applyNumberFormat="1" applyFont="1" applyBorder="1" applyAlignment="1">
      <alignment horizontal="center" vertical="center"/>
    </xf>
    <xf numFmtId="168" fontId="10" fillId="0" borderId="11" xfId="0" applyNumberFormat="1" applyFont="1" applyBorder="1" applyAlignment="1">
      <alignment horizontal="center" vertical="center"/>
    </xf>
    <xf numFmtId="49" fontId="14" fillId="0" borderId="11" xfId="0" applyNumberFormat="1" applyFont="1" applyBorder="1" applyAlignment="1">
      <alignment horizontal="center" vertical="center"/>
    </xf>
    <xf numFmtId="168" fontId="14" fillId="0" borderId="11" xfId="0" applyNumberFormat="1" applyFont="1" applyBorder="1" applyAlignment="1">
      <alignment horizontal="center" vertical="center"/>
    </xf>
    <xf numFmtId="49" fontId="10" fillId="8" borderId="13" xfId="0" applyNumberFormat="1" applyFont="1" applyFill="1" applyBorder="1" applyAlignment="1">
      <alignment horizontal="center" vertical="center"/>
    </xf>
    <xf numFmtId="168" fontId="10" fillId="8" borderId="13" xfId="0" applyNumberFormat="1" applyFont="1" applyFill="1" applyBorder="1" applyAlignment="1">
      <alignment horizontal="center" vertical="center"/>
    </xf>
    <xf numFmtId="0" fontId="10" fillId="8" borderId="13" xfId="0" applyFont="1" applyFill="1" applyBorder="1" applyAlignment="1">
      <alignment horizontal="center" vertical="center"/>
    </xf>
    <xf numFmtId="49" fontId="15" fillId="8" borderId="15" xfId="0" applyNumberFormat="1" applyFont="1" applyFill="1" applyBorder="1" applyAlignment="1">
      <alignment horizontal="center" vertical="center"/>
    </xf>
    <xf numFmtId="169" fontId="16" fillId="8" borderId="16" xfId="0" applyNumberFormat="1" applyFont="1" applyFill="1" applyBorder="1" applyAlignment="1">
      <alignment horizontal="center" vertical="center"/>
    </xf>
    <xf numFmtId="1" fontId="15" fillId="8" borderId="16" xfId="0" applyNumberFormat="1" applyFont="1" applyFill="1" applyBorder="1" applyAlignment="1">
      <alignment horizontal="center" vertical="center"/>
    </xf>
    <xf numFmtId="16" fontId="15" fillId="8" borderId="16" xfId="0" applyNumberFormat="1" applyFont="1" applyFill="1" applyBorder="1" applyAlignment="1">
      <alignment horizontal="center" vertical="center"/>
    </xf>
    <xf numFmtId="49" fontId="17" fillId="8" borderId="16" xfId="0" applyNumberFormat="1" applyFont="1" applyFill="1" applyBorder="1" applyAlignment="1">
      <alignment horizontal="center" vertical="center"/>
    </xf>
    <xf numFmtId="168" fontId="15" fillId="8" borderId="16" xfId="0" applyNumberFormat="1" applyFont="1" applyFill="1" applyBorder="1" applyAlignment="1">
      <alignment horizontal="center" vertical="center"/>
    </xf>
    <xf numFmtId="49" fontId="15" fillId="8" borderId="17" xfId="0" applyNumberFormat="1" applyFont="1" applyFill="1" applyBorder="1" applyAlignment="1">
      <alignment horizontal="center" vertical="center"/>
    </xf>
    <xf numFmtId="167" fontId="19"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5" xfId="0" applyNumberFormat="1" applyFont="1" applyFill="1" applyBorder="1" applyAlignment="1">
      <alignment horizontal="center" vertical="center"/>
    </xf>
    <xf numFmtId="169"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49" fontId="14" fillId="0" borderId="13" xfId="0" applyNumberFormat="1" applyFont="1" applyBorder="1" applyAlignment="1">
      <alignment horizontal="center" vertical="center"/>
    </xf>
    <xf numFmtId="168" fontId="14" fillId="0" borderId="13" xfId="0" applyNumberFormat="1" applyFont="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2" fillId="0" borderId="19"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49" fontId="10" fillId="10" borderId="13" xfId="0" applyNumberFormat="1" applyFont="1" applyFill="1" applyBorder="1" applyAlignment="1">
      <alignment horizontal="center" vertical="center"/>
    </xf>
    <xf numFmtId="168" fontId="10" fillId="10" borderId="13" xfId="0" applyNumberFormat="1" applyFont="1" applyFill="1" applyBorder="1" applyAlignment="1">
      <alignment horizontal="center" vertical="center"/>
    </xf>
    <xf numFmtId="49" fontId="15" fillId="10" borderId="15" xfId="0" applyNumberFormat="1" applyFont="1" applyFill="1" applyBorder="1" applyAlignment="1">
      <alignment horizontal="center" vertical="center"/>
    </xf>
    <xf numFmtId="169" fontId="16" fillId="10" borderId="16" xfId="0" applyNumberFormat="1" applyFont="1" applyFill="1" applyBorder="1" applyAlignment="1">
      <alignment horizontal="center" vertical="center"/>
    </xf>
    <xf numFmtId="1" fontId="15" fillId="10" borderId="16" xfId="0" applyNumberFormat="1" applyFont="1" applyFill="1" applyBorder="1" applyAlignment="1">
      <alignment horizontal="center" vertical="center"/>
    </xf>
    <xf numFmtId="16" fontId="15" fillId="10" borderId="16" xfId="0" applyNumberFormat="1" applyFont="1" applyFill="1" applyBorder="1" applyAlignment="1">
      <alignment horizontal="center" vertical="center"/>
    </xf>
    <xf numFmtId="49" fontId="17" fillId="10" borderId="16" xfId="0" applyNumberFormat="1" applyFont="1" applyFill="1" applyBorder="1" applyAlignment="1">
      <alignment horizontal="center" vertical="center"/>
    </xf>
    <xf numFmtId="168" fontId="15" fillId="10" borderId="16" xfId="0" applyNumberFormat="1" applyFont="1" applyFill="1" applyBorder="1" applyAlignment="1">
      <alignment horizontal="center" vertical="center"/>
    </xf>
    <xf numFmtId="49" fontId="15" fillId="10" borderId="17" xfId="0" applyNumberFormat="1" applyFont="1" applyFill="1" applyBorder="1" applyAlignment="1">
      <alignment horizontal="center" vertical="center"/>
    </xf>
    <xf numFmtId="0" fontId="0" fillId="0" borderId="0" xfId="0" applyAlignment="1">
      <alignment horizontal="center" vertical="center"/>
    </xf>
    <xf numFmtId="0" fontId="21" fillId="11" borderId="21" xfId="0" applyFont="1" applyFill="1" applyBorder="1" applyAlignment="1">
      <alignment horizontal="center" vertical="center"/>
    </xf>
    <xf numFmtId="0" fontId="21" fillId="11" borderId="22" xfId="0" applyFont="1" applyFill="1" applyBorder="1" applyAlignment="1">
      <alignment horizontal="center" vertical="center"/>
    </xf>
    <xf numFmtId="0" fontId="21" fillId="11" borderId="23" xfId="0" applyFont="1" applyFill="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49" fontId="22" fillId="0" borderId="25" xfId="0" applyNumberFormat="1" applyFont="1" applyBorder="1" applyAlignment="1">
      <alignment horizontal="center" vertical="center"/>
    </xf>
    <xf numFmtId="1" fontId="22" fillId="0" borderId="25" xfId="0" applyNumberFormat="1" applyFont="1" applyBorder="1" applyAlignment="1">
      <alignment horizontal="center" vertical="center"/>
    </xf>
    <xf numFmtId="0" fontId="22" fillId="0" borderId="26" xfId="0" applyFont="1" applyBorder="1" applyAlignment="1">
      <alignment horizontal="center" vertical="center"/>
    </xf>
    <xf numFmtId="0" fontId="23" fillId="0" borderId="27" xfId="0" applyFont="1" applyBorder="1" applyAlignment="1">
      <alignment horizontal="center" vertical="center"/>
    </xf>
    <xf numFmtId="0" fontId="23" fillId="0" borderId="28" xfId="0" applyFont="1" applyBorder="1" applyAlignment="1">
      <alignment horizontal="center" vertical="center"/>
    </xf>
    <xf numFmtId="49" fontId="23" fillId="0" borderId="28" xfId="0" applyNumberFormat="1" applyFont="1" applyBorder="1" applyAlignment="1">
      <alignment horizontal="center" vertical="center"/>
    </xf>
    <xf numFmtId="0" fontId="23" fillId="0" borderId="29" xfId="0" applyFont="1" applyBorder="1" applyAlignment="1">
      <alignment horizontal="center" vertical="center"/>
    </xf>
    <xf numFmtId="171" fontId="22" fillId="0" borderId="24" xfId="0" applyNumberFormat="1" applyFont="1" applyBorder="1" applyAlignment="1">
      <alignment horizontal="center" vertical="center"/>
    </xf>
    <xf numFmtId="172" fontId="22" fillId="0" borderId="25" xfId="0" applyNumberFormat="1" applyFont="1" applyBorder="1" applyAlignment="1">
      <alignment horizontal="center" vertical="center"/>
    </xf>
    <xf numFmtId="171" fontId="22" fillId="0" borderId="27" xfId="0" applyNumberFormat="1" applyFont="1" applyBorder="1" applyAlignment="1">
      <alignment horizontal="center" vertical="center"/>
    </xf>
    <xf numFmtId="0" fontId="22" fillId="0" borderId="28" xfId="0" applyFont="1" applyBorder="1" applyAlignment="1">
      <alignment horizontal="center" vertical="center"/>
    </xf>
    <xf numFmtId="49" fontId="22" fillId="0" borderId="28" xfId="0" applyNumberFormat="1" applyFont="1" applyBorder="1" applyAlignment="1">
      <alignment horizontal="center" vertical="center"/>
    </xf>
    <xf numFmtId="172" fontId="22" fillId="0" borderId="28" xfId="0" applyNumberFormat="1" applyFont="1" applyBorder="1" applyAlignment="1">
      <alignment horizontal="center" vertical="center"/>
    </xf>
    <xf numFmtId="1" fontId="22" fillId="0" borderId="28" xfId="0" applyNumberFormat="1" applyFont="1" applyBorder="1" applyAlignment="1">
      <alignment horizontal="center" vertical="center"/>
    </xf>
    <xf numFmtId="0" fontId="22" fillId="0" borderId="29" xfId="0" applyFont="1" applyBorder="1" applyAlignment="1">
      <alignment horizontal="center" vertical="center"/>
    </xf>
    <xf numFmtId="171" fontId="23" fillId="0" borderId="24" xfId="0" applyNumberFormat="1" applyFont="1" applyBorder="1" applyAlignment="1">
      <alignment horizontal="center" vertical="center"/>
    </xf>
    <xf numFmtId="0" fontId="23" fillId="0" borderId="25" xfId="0" applyFont="1" applyBorder="1" applyAlignment="1">
      <alignment horizontal="center" vertical="center"/>
    </xf>
    <xf numFmtId="49" fontId="23" fillId="0" borderId="25" xfId="0" applyNumberFormat="1" applyFont="1" applyBorder="1" applyAlignment="1">
      <alignment horizontal="center" vertical="center"/>
    </xf>
    <xf numFmtId="172" fontId="23" fillId="0" borderId="25" xfId="0" applyNumberFormat="1" applyFont="1" applyBorder="1" applyAlignment="1">
      <alignment horizontal="center" vertical="center"/>
    </xf>
    <xf numFmtId="1" fontId="23" fillId="0" borderId="25" xfId="0" applyNumberFormat="1" applyFont="1" applyBorder="1" applyAlignment="1">
      <alignment horizontal="center" vertical="center"/>
    </xf>
    <xf numFmtId="0" fontId="23" fillId="0" borderId="26" xfId="0" applyFont="1" applyBorder="1" applyAlignment="1">
      <alignment horizontal="center" vertical="center"/>
    </xf>
    <xf numFmtId="171" fontId="23" fillId="0" borderId="27" xfId="0" applyNumberFormat="1" applyFont="1" applyBorder="1" applyAlignment="1">
      <alignment horizontal="center" vertical="center"/>
    </xf>
    <xf numFmtId="172" fontId="23" fillId="0" borderId="28" xfId="0" applyNumberFormat="1" applyFont="1" applyBorder="1" applyAlignment="1">
      <alignment horizontal="center" vertical="center"/>
    </xf>
    <xf numFmtId="1" fontId="23" fillId="0" borderId="28" xfId="0" applyNumberFormat="1" applyFont="1" applyBorder="1" applyAlignment="1">
      <alignment horizontal="center" vertical="center"/>
    </xf>
    <xf numFmtId="49" fontId="10" fillId="12" borderId="2" xfId="0" applyNumberFormat="1" applyFont="1" applyFill="1" applyBorder="1" applyAlignment="1">
      <alignment horizontal="center" vertical="center"/>
    </xf>
    <xf numFmtId="168" fontId="10" fillId="12" borderId="2" xfId="0" applyNumberFormat="1" applyFont="1" applyFill="1" applyBorder="1" applyAlignment="1">
      <alignment horizontal="center" vertical="center"/>
    </xf>
    <xf numFmtId="49" fontId="15" fillId="12" borderId="30" xfId="0" applyNumberFormat="1" applyFont="1" applyFill="1" applyBorder="1" applyAlignment="1">
      <alignment horizontal="center" vertical="center"/>
    </xf>
    <xf numFmtId="169" fontId="16" fillId="12" borderId="31" xfId="0" applyNumberFormat="1" applyFont="1" applyFill="1" applyBorder="1" applyAlignment="1">
      <alignment horizontal="center" vertical="center"/>
    </xf>
    <xf numFmtId="1" fontId="15" fillId="12" borderId="31" xfId="0" applyNumberFormat="1" applyFont="1" applyFill="1" applyBorder="1" applyAlignment="1">
      <alignment horizontal="center" vertical="center"/>
    </xf>
    <xf numFmtId="16" fontId="15" fillId="12" borderId="31" xfId="0" applyNumberFormat="1" applyFont="1" applyFill="1" applyBorder="1" applyAlignment="1">
      <alignment horizontal="center" vertical="center"/>
    </xf>
    <xf numFmtId="49" fontId="17" fillId="12" borderId="31" xfId="0" applyNumberFormat="1" applyFont="1" applyFill="1" applyBorder="1" applyAlignment="1">
      <alignment horizontal="center" vertical="center"/>
    </xf>
    <xf numFmtId="168" fontId="15" fillId="12" borderId="31" xfId="0" applyNumberFormat="1" applyFont="1" applyFill="1" applyBorder="1" applyAlignment="1">
      <alignment horizontal="center" vertical="center"/>
    </xf>
    <xf numFmtId="49" fontId="15" fillId="12" borderId="32" xfId="0" applyNumberFormat="1" applyFont="1" applyFill="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16" xfId="0" applyFont="1" applyBorder="1" applyAlignment="1">
      <alignment horizontal="center" vertical="center"/>
    </xf>
    <xf numFmtId="0" fontId="12" fillId="0" borderId="16" xfId="0" applyFont="1" applyBorder="1" applyAlignment="1">
      <alignment horizontal="center" vertical="center"/>
    </xf>
    <xf numFmtId="0" fontId="0" fillId="0" borderId="16" xfId="0" applyBorder="1" applyAlignment="1">
      <alignment horizontal="center" vertical="center"/>
    </xf>
    <xf numFmtId="0" fontId="23" fillId="0" borderId="24" xfId="0" applyFont="1" applyBorder="1" applyAlignment="1">
      <alignment horizontal="center" vertical="center"/>
    </xf>
    <xf numFmtId="0" fontId="0" fillId="0" borderId="24" xfId="0" applyBorder="1"/>
    <xf numFmtId="0" fontId="0" fillId="0" borderId="25" xfId="0" applyBorder="1"/>
    <xf numFmtId="0" fontId="24" fillId="0" borderId="25" xfId="0" applyFont="1" applyBorder="1" applyAlignment="1">
      <alignment horizontal="center" vertical="center"/>
    </xf>
    <xf numFmtId="0" fontId="0" fillId="0" borderId="26" xfId="0" applyBorder="1"/>
    <xf numFmtId="49" fontId="10" fillId="13" borderId="2" xfId="0" applyNumberFormat="1" applyFont="1" applyFill="1" applyBorder="1" applyAlignment="1">
      <alignment horizontal="center" vertical="center"/>
    </xf>
    <xf numFmtId="168" fontId="10" fillId="13" borderId="2" xfId="0" applyNumberFormat="1" applyFont="1" applyFill="1" applyBorder="1" applyAlignment="1">
      <alignment horizontal="center" vertical="center"/>
    </xf>
    <xf numFmtId="49" fontId="15" fillId="13" borderId="30" xfId="0" applyNumberFormat="1" applyFont="1" applyFill="1" applyBorder="1" applyAlignment="1">
      <alignment horizontal="center" vertical="center"/>
    </xf>
    <xf numFmtId="169" fontId="16" fillId="13" borderId="31" xfId="0" applyNumberFormat="1" applyFont="1" applyFill="1" applyBorder="1" applyAlignment="1">
      <alignment horizontal="center" vertical="center"/>
    </xf>
    <xf numFmtId="1" fontId="15" fillId="13" borderId="31" xfId="0" applyNumberFormat="1" applyFont="1" applyFill="1" applyBorder="1" applyAlignment="1">
      <alignment horizontal="center" vertical="center"/>
    </xf>
    <xf numFmtId="16" fontId="15" fillId="13" borderId="31" xfId="0" applyNumberFormat="1" applyFont="1" applyFill="1" applyBorder="1" applyAlignment="1">
      <alignment horizontal="center" vertical="center"/>
    </xf>
    <xf numFmtId="49" fontId="17" fillId="13" borderId="31" xfId="0" applyNumberFormat="1" applyFont="1" applyFill="1" applyBorder="1" applyAlignment="1">
      <alignment horizontal="center" vertical="center"/>
    </xf>
    <xf numFmtId="168" fontId="15" fillId="13" borderId="31" xfId="0" applyNumberFormat="1" applyFont="1" applyFill="1" applyBorder="1" applyAlignment="1">
      <alignment horizontal="center" vertical="center"/>
    </xf>
    <xf numFmtId="49" fontId="15" fillId="13" borderId="32" xfId="0" applyNumberFormat="1" applyFont="1" applyFill="1" applyBorder="1" applyAlignment="1">
      <alignment horizontal="center" vertical="center"/>
    </xf>
    <xf numFmtId="0" fontId="22" fillId="0" borderId="27" xfId="0" applyFont="1" applyBorder="1" applyAlignment="1">
      <alignment horizontal="center" vertical="center"/>
    </xf>
    <xf numFmtId="49" fontId="10" fillId="8" borderId="2" xfId="0" applyNumberFormat="1" applyFont="1" applyFill="1" applyBorder="1" applyAlignment="1">
      <alignment horizontal="center" vertical="center"/>
    </xf>
    <xf numFmtId="168" fontId="10" fillId="8" borderId="2" xfId="0" applyNumberFormat="1" applyFont="1" applyFill="1" applyBorder="1" applyAlignment="1">
      <alignment horizontal="center" vertical="center"/>
    </xf>
    <xf numFmtId="49" fontId="15" fillId="8" borderId="30" xfId="0" applyNumberFormat="1" applyFont="1" applyFill="1" applyBorder="1" applyAlignment="1">
      <alignment horizontal="center" vertical="center"/>
    </xf>
    <xf numFmtId="169" fontId="16" fillId="8" borderId="31" xfId="0" applyNumberFormat="1" applyFont="1" applyFill="1" applyBorder="1" applyAlignment="1">
      <alignment horizontal="center" vertical="center"/>
    </xf>
    <xf numFmtId="1" fontId="15" fillId="8" borderId="31" xfId="0" applyNumberFormat="1" applyFont="1" applyFill="1" applyBorder="1" applyAlignment="1">
      <alignment horizontal="center" vertical="center"/>
    </xf>
    <xf numFmtId="16" fontId="15" fillId="8" borderId="31" xfId="0" applyNumberFormat="1" applyFont="1" applyFill="1" applyBorder="1" applyAlignment="1">
      <alignment horizontal="center" vertical="center"/>
    </xf>
    <xf numFmtId="49" fontId="17" fillId="8" borderId="31" xfId="0" applyNumberFormat="1" applyFont="1" applyFill="1" applyBorder="1" applyAlignment="1">
      <alignment horizontal="center" vertical="center"/>
    </xf>
    <xf numFmtId="168" fontId="15" fillId="8" borderId="31" xfId="0" applyNumberFormat="1" applyFont="1" applyFill="1" applyBorder="1" applyAlignment="1">
      <alignment horizontal="center" vertical="center"/>
    </xf>
    <xf numFmtId="49" fontId="15" fillId="8" borderId="32" xfId="0" applyNumberFormat="1" applyFont="1" applyFill="1" applyBorder="1" applyAlignment="1">
      <alignment horizontal="center" vertical="center"/>
    </xf>
    <xf numFmtId="49" fontId="14" fillId="14" borderId="2" xfId="0" applyNumberFormat="1" applyFont="1" applyFill="1" applyBorder="1" applyAlignment="1">
      <alignment horizontal="center" vertical="center"/>
    </xf>
    <xf numFmtId="168" fontId="14" fillId="14" borderId="2" xfId="0" applyNumberFormat="1" applyFont="1" applyFill="1" applyBorder="1" applyAlignment="1">
      <alignment horizontal="center" vertical="center"/>
    </xf>
    <xf numFmtId="49" fontId="15" fillId="14" borderId="30" xfId="0" applyNumberFormat="1" applyFont="1" applyFill="1" applyBorder="1" applyAlignment="1">
      <alignment horizontal="center" vertical="center"/>
    </xf>
    <xf numFmtId="169" fontId="16" fillId="14" borderId="31" xfId="0" applyNumberFormat="1" applyFont="1" applyFill="1" applyBorder="1" applyAlignment="1">
      <alignment horizontal="center" vertical="center"/>
    </xf>
    <xf numFmtId="1" fontId="15" fillId="14" borderId="31" xfId="0" applyNumberFormat="1" applyFont="1" applyFill="1" applyBorder="1" applyAlignment="1">
      <alignment horizontal="center" vertical="center"/>
    </xf>
    <xf numFmtId="16" fontId="15" fillId="14" borderId="31" xfId="0" applyNumberFormat="1" applyFont="1" applyFill="1" applyBorder="1" applyAlignment="1">
      <alignment horizontal="center" vertical="center"/>
    </xf>
    <xf numFmtId="49" fontId="17" fillId="14" borderId="31" xfId="0" applyNumberFormat="1" applyFont="1" applyFill="1" applyBorder="1" applyAlignment="1">
      <alignment horizontal="center" vertical="center"/>
    </xf>
    <xf numFmtId="168" fontId="15" fillId="14" borderId="31" xfId="0" applyNumberFormat="1" applyFont="1" applyFill="1" applyBorder="1" applyAlignment="1">
      <alignment horizontal="center" vertical="center"/>
    </xf>
    <xf numFmtId="49" fontId="15" fillId="14" borderId="32" xfId="0" applyNumberFormat="1" applyFont="1" applyFill="1" applyBorder="1" applyAlignment="1">
      <alignment horizontal="center" vertical="center"/>
    </xf>
    <xf numFmtId="49" fontId="14" fillId="13" borderId="2" xfId="0" applyNumberFormat="1" applyFont="1" applyFill="1" applyBorder="1" applyAlignment="1">
      <alignment horizontal="center" vertical="center"/>
    </xf>
    <xf numFmtId="168" fontId="14" fillId="13" borderId="2" xfId="0" applyNumberFormat="1" applyFont="1" applyFill="1" applyBorder="1" applyAlignment="1">
      <alignment horizontal="center" vertical="center"/>
    </xf>
    <xf numFmtId="169" fontId="15" fillId="13" borderId="31" xfId="0" applyNumberFormat="1" applyFont="1" applyFill="1" applyBorder="1" applyAlignment="1">
      <alignment horizontal="center" vertical="center"/>
    </xf>
    <xf numFmtId="49" fontId="14" fillId="10" borderId="2" xfId="0" applyNumberFormat="1" applyFont="1" applyFill="1" applyBorder="1" applyAlignment="1">
      <alignment horizontal="center" vertical="center"/>
    </xf>
    <xf numFmtId="168" fontId="14" fillId="10" borderId="2" xfId="0" applyNumberFormat="1" applyFont="1" applyFill="1" applyBorder="1" applyAlignment="1">
      <alignment horizontal="center" vertical="center"/>
    </xf>
    <xf numFmtId="49" fontId="15" fillId="10" borderId="30" xfId="0" applyNumberFormat="1" applyFont="1" applyFill="1" applyBorder="1" applyAlignment="1">
      <alignment horizontal="center" vertical="center"/>
    </xf>
    <xf numFmtId="169" fontId="15" fillId="10" borderId="31" xfId="0" applyNumberFormat="1" applyFont="1" applyFill="1" applyBorder="1" applyAlignment="1">
      <alignment horizontal="center" vertical="center"/>
    </xf>
    <xf numFmtId="1" fontId="15" fillId="10" borderId="31" xfId="0" applyNumberFormat="1" applyFont="1" applyFill="1" applyBorder="1" applyAlignment="1">
      <alignment horizontal="center" vertical="center"/>
    </xf>
    <xf numFmtId="16" fontId="15" fillId="10" borderId="31" xfId="0" applyNumberFormat="1" applyFont="1" applyFill="1" applyBorder="1" applyAlignment="1">
      <alignment horizontal="center" vertical="center"/>
    </xf>
    <xf numFmtId="49" fontId="17" fillId="10" borderId="31" xfId="0" applyNumberFormat="1" applyFont="1" applyFill="1" applyBorder="1" applyAlignment="1">
      <alignment horizontal="center" vertical="center"/>
    </xf>
    <xf numFmtId="168" fontId="15" fillId="10" borderId="31" xfId="0" applyNumberFormat="1" applyFont="1" applyFill="1" applyBorder="1" applyAlignment="1">
      <alignment horizontal="center" vertical="center"/>
    </xf>
    <xf numFmtId="49" fontId="15" fillId="10" borderId="32" xfId="0" applyNumberFormat="1" applyFont="1" applyFill="1" applyBorder="1" applyAlignment="1">
      <alignment horizontal="center" vertical="center"/>
    </xf>
    <xf numFmtId="0" fontId="14" fillId="13" borderId="2" xfId="0" applyFont="1" applyFill="1" applyBorder="1" applyAlignment="1">
      <alignment horizontal="center" vertical="center"/>
    </xf>
    <xf numFmtId="49" fontId="14" fillId="8" borderId="2" xfId="0" applyNumberFormat="1" applyFont="1" applyFill="1" applyBorder="1" applyAlignment="1">
      <alignment horizontal="center" vertical="center"/>
    </xf>
    <xf numFmtId="168" fontId="14" fillId="8" borderId="2" xfId="0" applyNumberFormat="1" applyFont="1" applyFill="1" applyBorder="1" applyAlignment="1">
      <alignment horizontal="center" vertical="center"/>
    </xf>
    <xf numFmtId="0" fontId="14" fillId="8" borderId="2" xfId="0" applyFont="1" applyFill="1" applyBorder="1" applyAlignment="1">
      <alignment horizontal="center" vertical="center"/>
    </xf>
    <xf numFmtId="49" fontId="10" fillId="10" borderId="2" xfId="0" applyNumberFormat="1" applyFont="1" applyFill="1" applyBorder="1" applyAlignment="1">
      <alignment horizontal="center" vertical="center"/>
    </xf>
    <xf numFmtId="168" fontId="10" fillId="10" borderId="2" xfId="0" applyNumberFormat="1" applyFont="1" applyFill="1" applyBorder="1" applyAlignment="1">
      <alignment horizontal="center" vertical="center"/>
    </xf>
    <xf numFmtId="49" fontId="14" fillId="15" borderId="2" xfId="0" applyNumberFormat="1" applyFont="1" applyFill="1" applyBorder="1" applyAlignment="1">
      <alignment horizontal="center" vertical="center"/>
    </xf>
    <xf numFmtId="168" fontId="14" fillId="15" borderId="2" xfId="0" applyNumberFormat="1" applyFont="1" applyFill="1" applyBorder="1" applyAlignment="1">
      <alignment horizontal="center" vertical="center"/>
    </xf>
    <xf numFmtId="49" fontId="15" fillId="15" borderId="30" xfId="0" applyNumberFormat="1" applyFont="1" applyFill="1" applyBorder="1" applyAlignment="1">
      <alignment horizontal="center" vertical="center"/>
    </xf>
    <xf numFmtId="169" fontId="15" fillId="15" borderId="31" xfId="0" applyNumberFormat="1" applyFont="1" applyFill="1" applyBorder="1" applyAlignment="1">
      <alignment horizontal="center" vertical="center"/>
    </xf>
    <xf numFmtId="1" fontId="15" fillId="15" borderId="31" xfId="0" applyNumberFormat="1" applyFont="1" applyFill="1" applyBorder="1" applyAlignment="1">
      <alignment horizontal="center" vertical="center"/>
    </xf>
    <xf numFmtId="16" fontId="15" fillId="15" borderId="31" xfId="0" applyNumberFormat="1" applyFont="1" applyFill="1" applyBorder="1" applyAlignment="1">
      <alignment horizontal="center" vertical="center"/>
    </xf>
    <xf numFmtId="49" fontId="17" fillId="15" borderId="31" xfId="0" applyNumberFormat="1" applyFont="1" applyFill="1" applyBorder="1" applyAlignment="1">
      <alignment horizontal="center" vertical="center"/>
    </xf>
    <xf numFmtId="168" fontId="15" fillId="15" borderId="31" xfId="0" applyNumberFormat="1" applyFont="1" applyFill="1" applyBorder="1" applyAlignment="1">
      <alignment horizontal="center" vertical="center"/>
    </xf>
    <xf numFmtId="49" fontId="15" fillId="15" borderId="32" xfId="0" applyNumberFormat="1" applyFont="1" applyFill="1" applyBorder="1" applyAlignment="1">
      <alignment horizontal="center" vertical="center"/>
    </xf>
    <xf numFmtId="49" fontId="14" fillId="12" borderId="2" xfId="0" applyNumberFormat="1" applyFont="1" applyFill="1" applyBorder="1" applyAlignment="1">
      <alignment horizontal="center" vertical="center"/>
    </xf>
    <xf numFmtId="168" fontId="14" fillId="12" borderId="2" xfId="0" applyNumberFormat="1" applyFont="1" applyFill="1" applyBorder="1" applyAlignment="1">
      <alignment horizontal="center" vertical="center"/>
    </xf>
    <xf numFmtId="169" fontId="15" fillId="12" borderId="31" xfId="0" applyNumberFormat="1" applyFont="1" applyFill="1" applyBorder="1" applyAlignment="1">
      <alignment horizontal="center" vertical="center"/>
    </xf>
    <xf numFmtId="49" fontId="14" fillId="16" borderId="2" xfId="0" applyNumberFormat="1" applyFont="1" applyFill="1" applyBorder="1" applyAlignment="1">
      <alignment horizontal="center" vertical="center"/>
    </xf>
    <xf numFmtId="168" fontId="14" fillId="16" borderId="2" xfId="0" applyNumberFormat="1" applyFont="1" applyFill="1" applyBorder="1" applyAlignment="1">
      <alignment horizontal="center" vertical="center"/>
    </xf>
    <xf numFmtId="49" fontId="15" fillId="16" borderId="30" xfId="0" applyNumberFormat="1" applyFont="1" applyFill="1" applyBorder="1" applyAlignment="1">
      <alignment horizontal="center" vertical="center"/>
    </xf>
    <xf numFmtId="169" fontId="15" fillId="16" borderId="31" xfId="0" applyNumberFormat="1" applyFont="1" applyFill="1" applyBorder="1" applyAlignment="1">
      <alignment horizontal="center" vertical="center"/>
    </xf>
    <xf numFmtId="1" fontId="15" fillId="16" borderId="31" xfId="0" applyNumberFormat="1" applyFont="1" applyFill="1" applyBorder="1" applyAlignment="1">
      <alignment horizontal="center" vertical="center"/>
    </xf>
    <xf numFmtId="16" fontId="15" fillId="16" borderId="31" xfId="0" applyNumberFormat="1" applyFont="1" applyFill="1" applyBorder="1" applyAlignment="1">
      <alignment horizontal="center" vertical="center"/>
    </xf>
    <xf numFmtId="49" fontId="17" fillId="16" borderId="31" xfId="0" applyNumberFormat="1" applyFont="1" applyFill="1" applyBorder="1" applyAlignment="1">
      <alignment horizontal="center" vertical="center"/>
    </xf>
    <xf numFmtId="168" fontId="15" fillId="16" borderId="31" xfId="0" applyNumberFormat="1" applyFont="1" applyFill="1" applyBorder="1" applyAlignment="1">
      <alignment horizontal="center" vertical="center"/>
    </xf>
    <xf numFmtId="49" fontId="15" fillId="16" borderId="32" xfId="0" applyNumberFormat="1" applyFont="1" applyFill="1" applyBorder="1" applyAlignment="1">
      <alignment horizontal="center" vertical="center"/>
    </xf>
    <xf numFmtId="49" fontId="13" fillId="0" borderId="13" xfId="0" applyNumberFormat="1" applyFont="1" applyBorder="1" applyAlignment="1">
      <alignment horizontal="center" vertical="center"/>
    </xf>
    <xf numFmtId="168" fontId="13" fillId="0" borderId="13" xfId="0" applyNumberFormat="1" applyFont="1" applyBorder="1" applyAlignment="1">
      <alignment horizontal="center" vertical="center"/>
    </xf>
    <xf numFmtId="49" fontId="10" fillId="14" borderId="2" xfId="0" applyNumberFormat="1" applyFont="1" applyFill="1" applyBorder="1" applyAlignment="1">
      <alignment horizontal="center" vertical="center"/>
    </xf>
    <xf numFmtId="168" fontId="10" fillId="14" borderId="2" xfId="0" applyNumberFormat="1" applyFont="1" applyFill="1" applyBorder="1" applyAlignment="1">
      <alignment horizontal="center" vertical="center"/>
    </xf>
    <xf numFmtId="169" fontId="16" fillId="10" borderId="31" xfId="0" applyNumberFormat="1" applyFont="1" applyFill="1" applyBorder="1" applyAlignment="1">
      <alignment horizontal="center" vertical="center"/>
    </xf>
    <xf numFmtId="0" fontId="14" fillId="10" borderId="2" xfId="0" applyFont="1" applyFill="1" applyBorder="1" applyAlignment="1">
      <alignment horizontal="center" vertical="center"/>
    </xf>
    <xf numFmtId="0" fontId="10" fillId="8" borderId="2" xfId="0" applyFont="1" applyFill="1" applyBorder="1" applyAlignment="1">
      <alignment horizontal="center" vertical="center"/>
    </xf>
    <xf numFmtId="49" fontId="10" fillId="17" borderId="2" xfId="0" applyNumberFormat="1" applyFont="1" applyFill="1" applyBorder="1" applyAlignment="1">
      <alignment horizontal="center" vertical="center"/>
    </xf>
    <xf numFmtId="168" fontId="10" fillId="17" borderId="2" xfId="0" applyNumberFormat="1" applyFont="1" applyFill="1" applyBorder="1" applyAlignment="1">
      <alignment horizontal="center" vertical="center"/>
    </xf>
    <xf numFmtId="49" fontId="15" fillId="17" borderId="30" xfId="0" applyNumberFormat="1" applyFont="1" applyFill="1" applyBorder="1" applyAlignment="1">
      <alignment horizontal="center" vertical="center"/>
    </xf>
    <xf numFmtId="169" fontId="15" fillId="17" borderId="31" xfId="0" applyNumberFormat="1" applyFont="1" applyFill="1" applyBorder="1" applyAlignment="1">
      <alignment horizontal="center" vertical="center"/>
    </xf>
    <xf numFmtId="1" fontId="15" fillId="17" borderId="31" xfId="0" applyNumberFormat="1" applyFont="1" applyFill="1" applyBorder="1" applyAlignment="1">
      <alignment horizontal="center" vertical="center"/>
    </xf>
    <xf numFmtId="16" fontId="15" fillId="17" borderId="31" xfId="0" applyNumberFormat="1" applyFont="1" applyFill="1" applyBorder="1" applyAlignment="1">
      <alignment horizontal="center" vertical="center"/>
    </xf>
    <xf numFmtId="49" fontId="17" fillId="17" borderId="31" xfId="0" applyNumberFormat="1" applyFont="1" applyFill="1" applyBorder="1" applyAlignment="1">
      <alignment horizontal="center" vertical="center"/>
    </xf>
    <xf numFmtId="168" fontId="15" fillId="17" borderId="31" xfId="0" applyNumberFormat="1" applyFont="1" applyFill="1" applyBorder="1" applyAlignment="1">
      <alignment horizontal="center" vertical="center"/>
    </xf>
    <xf numFmtId="49" fontId="15" fillId="17" borderId="32" xfId="0" applyNumberFormat="1" applyFont="1" applyFill="1" applyBorder="1" applyAlignment="1">
      <alignment horizontal="center" vertical="center"/>
    </xf>
    <xf numFmtId="49" fontId="10" fillId="15" borderId="2" xfId="0" applyNumberFormat="1" applyFont="1" applyFill="1" applyBorder="1" applyAlignment="1">
      <alignment horizontal="center" vertical="center"/>
    </xf>
    <xf numFmtId="168" fontId="10" fillId="15" borderId="2" xfId="0" applyNumberFormat="1" applyFont="1" applyFill="1" applyBorder="1" applyAlignment="1">
      <alignment horizontal="center" vertical="center"/>
    </xf>
    <xf numFmtId="169" fontId="16" fillId="15" borderId="31" xfId="0" applyNumberFormat="1" applyFont="1" applyFill="1" applyBorder="1" applyAlignment="1">
      <alignment horizontal="center" vertical="center"/>
    </xf>
    <xf numFmtId="169" fontId="15" fillId="8" borderId="31" xfId="0" applyNumberFormat="1" applyFont="1" applyFill="1" applyBorder="1" applyAlignment="1">
      <alignment horizontal="center" vertical="center"/>
    </xf>
    <xf numFmtId="0" fontId="6" fillId="0" borderId="0" xfId="0" applyFont="1"/>
    <xf numFmtId="0" fontId="19" fillId="0" borderId="0" xfId="0" applyFont="1"/>
    <xf numFmtId="0" fontId="25" fillId="0" borderId="0" xfId="0" applyFont="1"/>
    <xf numFmtId="0" fontId="21" fillId="11" borderId="5" xfId="0" applyFont="1" applyFill="1" applyBorder="1" applyAlignment="1">
      <alignment horizontal="center" vertical="center"/>
    </xf>
    <xf numFmtId="49" fontId="10" fillId="0" borderId="2" xfId="0" applyNumberFormat="1" applyFont="1" applyBorder="1" applyAlignment="1">
      <alignment horizontal="center" vertical="center"/>
    </xf>
    <xf numFmtId="168" fontId="10" fillId="0" borderId="2" xfId="0" applyNumberFormat="1" applyFont="1" applyBorder="1" applyAlignment="1">
      <alignment horizontal="center" vertical="center"/>
    </xf>
    <xf numFmtId="169" fontId="26" fillId="10" borderId="31" xfId="0" applyNumberFormat="1" applyFont="1" applyFill="1" applyBorder="1" applyAlignment="1">
      <alignment horizontal="center" vertical="center"/>
    </xf>
    <xf numFmtId="169" fontId="26" fillId="13" borderId="31" xfId="0" applyNumberFormat="1" applyFont="1" applyFill="1" applyBorder="1" applyAlignment="1">
      <alignment horizontal="center" vertical="center"/>
    </xf>
    <xf numFmtId="49" fontId="10" fillId="0" borderId="13" xfId="0" applyNumberFormat="1" applyFont="1" applyBorder="1" applyAlignment="1">
      <alignment horizontal="center" vertical="center"/>
    </xf>
    <xf numFmtId="168" fontId="10" fillId="0" borderId="13" xfId="0" applyNumberFormat="1" applyFont="1" applyBorder="1" applyAlignment="1">
      <alignment horizontal="center" vertical="center"/>
    </xf>
    <xf numFmtId="169" fontId="26" fillId="12" borderId="31" xfId="0" applyNumberFormat="1" applyFont="1" applyFill="1" applyBorder="1" applyAlignment="1">
      <alignment horizontal="center" vertical="center"/>
    </xf>
    <xf numFmtId="49" fontId="10" fillId="16" borderId="2" xfId="0" applyNumberFormat="1" applyFont="1" applyFill="1" applyBorder="1" applyAlignment="1">
      <alignment horizontal="center" vertical="center"/>
    </xf>
    <xf numFmtId="168" fontId="10" fillId="16" borderId="2" xfId="0" applyNumberFormat="1" applyFont="1" applyFill="1" applyBorder="1" applyAlignment="1">
      <alignment horizontal="center" vertical="center"/>
    </xf>
    <xf numFmtId="0" fontId="10" fillId="15" borderId="2" xfId="0" applyFont="1" applyFill="1" applyBorder="1" applyAlignment="1">
      <alignment horizontal="center" vertical="center"/>
    </xf>
    <xf numFmtId="169" fontId="26" fillId="16" borderId="31" xfId="0" applyNumberFormat="1" applyFont="1" applyFill="1" applyBorder="1" applyAlignment="1">
      <alignment horizontal="center" vertical="center"/>
    </xf>
    <xf numFmtId="169" fontId="26" fillId="15" borderId="31" xfId="0" applyNumberFormat="1" applyFont="1" applyFill="1" applyBorder="1" applyAlignment="1">
      <alignment horizontal="center" vertical="center"/>
    </xf>
    <xf numFmtId="49" fontId="10" fillId="12" borderId="13" xfId="0" applyNumberFormat="1" applyFont="1" applyFill="1" applyBorder="1" applyAlignment="1">
      <alignment horizontal="center" vertical="center"/>
    </xf>
    <xf numFmtId="168" fontId="10" fillId="12" borderId="13" xfId="0" applyNumberFormat="1" applyFont="1" applyFill="1" applyBorder="1" applyAlignment="1">
      <alignment horizontal="center" vertical="center"/>
    </xf>
    <xf numFmtId="49" fontId="15" fillId="12" borderId="15" xfId="0" applyNumberFormat="1" applyFont="1" applyFill="1" applyBorder="1" applyAlignment="1">
      <alignment horizontal="center" vertical="center"/>
    </xf>
    <xf numFmtId="169" fontId="26" fillId="12" borderId="16" xfId="0" applyNumberFormat="1" applyFont="1" applyFill="1" applyBorder="1" applyAlignment="1">
      <alignment horizontal="center" vertical="center"/>
    </xf>
    <xf numFmtId="1" fontId="15" fillId="12" borderId="16" xfId="0" applyNumberFormat="1" applyFont="1" applyFill="1" applyBorder="1" applyAlignment="1">
      <alignment horizontal="center" vertical="center"/>
    </xf>
    <xf numFmtId="16" fontId="15" fillId="12" borderId="16" xfId="0" applyNumberFormat="1" applyFont="1" applyFill="1" applyBorder="1" applyAlignment="1">
      <alignment horizontal="center" vertical="center"/>
    </xf>
    <xf numFmtId="49" fontId="17" fillId="12" borderId="16" xfId="0" applyNumberFormat="1" applyFont="1" applyFill="1" applyBorder="1" applyAlignment="1">
      <alignment horizontal="center" vertical="center"/>
    </xf>
    <xf numFmtId="168" fontId="15" fillId="12" borderId="16" xfId="0" applyNumberFormat="1" applyFont="1" applyFill="1" applyBorder="1" applyAlignment="1">
      <alignment horizontal="center" vertical="center"/>
    </xf>
    <xf numFmtId="49" fontId="15" fillId="12" borderId="17" xfId="0" applyNumberFormat="1" applyFont="1" applyFill="1" applyBorder="1" applyAlignment="1">
      <alignment horizontal="center" vertical="center"/>
    </xf>
    <xf numFmtId="49" fontId="15" fillId="14" borderId="15" xfId="0" applyNumberFormat="1" applyFont="1" applyFill="1" applyBorder="1" applyAlignment="1">
      <alignment horizontal="center" vertical="center"/>
    </xf>
    <xf numFmtId="169" fontId="15" fillId="14" borderId="16" xfId="0" applyNumberFormat="1" applyFont="1" applyFill="1" applyBorder="1" applyAlignment="1">
      <alignment horizontal="center" vertical="center"/>
    </xf>
    <xf numFmtId="1" fontId="15" fillId="14" borderId="16" xfId="0" applyNumberFormat="1" applyFont="1" applyFill="1" applyBorder="1" applyAlignment="1">
      <alignment horizontal="center" vertical="center"/>
    </xf>
    <xf numFmtId="16" fontId="15" fillId="14" borderId="16" xfId="0" applyNumberFormat="1" applyFont="1" applyFill="1" applyBorder="1" applyAlignment="1">
      <alignment horizontal="center" vertical="center"/>
    </xf>
    <xf numFmtId="49" fontId="17" fillId="14" borderId="16" xfId="0" applyNumberFormat="1" applyFont="1" applyFill="1" applyBorder="1" applyAlignment="1">
      <alignment horizontal="center" vertical="center"/>
    </xf>
    <xf numFmtId="168" fontId="15" fillId="14" borderId="16" xfId="0" applyNumberFormat="1" applyFont="1" applyFill="1" applyBorder="1" applyAlignment="1">
      <alignment horizontal="center" vertical="center"/>
    </xf>
    <xf numFmtId="49" fontId="15" fillId="14" borderId="17" xfId="0" applyNumberFormat="1" applyFont="1" applyFill="1" applyBorder="1" applyAlignment="1">
      <alignment horizontal="center" vertical="center"/>
    </xf>
    <xf numFmtId="169" fontId="26" fillId="10" borderId="16" xfId="0" applyNumberFormat="1" applyFont="1" applyFill="1" applyBorder="1" applyAlignment="1">
      <alignment horizontal="center" vertical="center"/>
    </xf>
    <xf numFmtId="49" fontId="15" fillId="17" borderId="15" xfId="0" applyNumberFormat="1" applyFont="1" applyFill="1" applyBorder="1" applyAlignment="1">
      <alignment horizontal="center" vertical="center"/>
    </xf>
    <xf numFmtId="169" fontId="15" fillId="17" borderId="16" xfId="0" applyNumberFormat="1" applyFont="1" applyFill="1" applyBorder="1" applyAlignment="1">
      <alignment horizontal="center" vertical="center"/>
    </xf>
    <xf numFmtId="1" fontId="15" fillId="17" borderId="16" xfId="0" applyNumberFormat="1" applyFont="1" applyFill="1" applyBorder="1" applyAlignment="1">
      <alignment horizontal="center" vertical="center"/>
    </xf>
    <xf numFmtId="16" fontId="15" fillId="17" borderId="16" xfId="0" applyNumberFormat="1" applyFont="1" applyFill="1" applyBorder="1" applyAlignment="1">
      <alignment horizontal="center" vertical="center"/>
    </xf>
    <xf numFmtId="49" fontId="17" fillId="17" borderId="16" xfId="0" applyNumberFormat="1" applyFont="1" applyFill="1" applyBorder="1" applyAlignment="1">
      <alignment horizontal="center" vertical="center"/>
    </xf>
    <xf numFmtId="168" fontId="15" fillId="17" borderId="16" xfId="0" applyNumberFormat="1" applyFont="1" applyFill="1" applyBorder="1" applyAlignment="1">
      <alignment horizontal="center" vertical="center"/>
    </xf>
    <xf numFmtId="49" fontId="15" fillId="17" borderId="17" xfId="0" applyNumberFormat="1" applyFont="1" applyFill="1" applyBorder="1" applyAlignment="1">
      <alignment horizontal="center" vertical="center"/>
    </xf>
    <xf numFmtId="0" fontId="10" fillId="13" borderId="2" xfId="0" applyFont="1" applyFill="1" applyBorder="1" applyAlignment="1">
      <alignment horizontal="center" vertical="center"/>
    </xf>
    <xf numFmtId="49" fontId="15" fillId="13" borderId="15" xfId="0" applyNumberFormat="1" applyFont="1" applyFill="1" applyBorder="1" applyAlignment="1">
      <alignment horizontal="center" vertical="center"/>
    </xf>
    <xf numFmtId="169" fontId="16" fillId="13" borderId="16" xfId="0" applyNumberFormat="1" applyFont="1" applyFill="1" applyBorder="1" applyAlignment="1">
      <alignment horizontal="center" vertical="center"/>
    </xf>
    <xf numFmtId="1" fontId="15" fillId="13" borderId="16" xfId="0" applyNumberFormat="1" applyFont="1" applyFill="1" applyBorder="1" applyAlignment="1">
      <alignment horizontal="center" vertical="center"/>
    </xf>
    <xf numFmtId="16" fontId="15" fillId="13" borderId="16" xfId="0" applyNumberFormat="1" applyFont="1" applyFill="1" applyBorder="1" applyAlignment="1">
      <alignment horizontal="center" vertical="center"/>
    </xf>
    <xf numFmtId="49" fontId="17" fillId="13" borderId="16" xfId="0" applyNumberFormat="1" applyFont="1" applyFill="1" applyBorder="1" applyAlignment="1">
      <alignment horizontal="center" vertical="center"/>
    </xf>
    <xf numFmtId="168" fontId="15" fillId="13" borderId="16" xfId="0" applyNumberFormat="1" applyFont="1" applyFill="1" applyBorder="1" applyAlignment="1">
      <alignment horizontal="center" vertical="center"/>
    </xf>
    <xf numFmtId="49" fontId="15" fillId="13" borderId="17" xfId="0" applyNumberFormat="1" applyFont="1" applyFill="1" applyBorder="1" applyAlignment="1">
      <alignment horizontal="center" vertical="center"/>
    </xf>
    <xf numFmtId="49" fontId="10" fillId="17" borderId="13" xfId="0" applyNumberFormat="1" applyFont="1" applyFill="1" applyBorder="1" applyAlignment="1">
      <alignment horizontal="center" vertical="center"/>
    </xf>
    <xf numFmtId="168" fontId="10" fillId="17" borderId="13" xfId="0" applyNumberFormat="1" applyFont="1" applyFill="1" applyBorder="1" applyAlignment="1">
      <alignment horizontal="center" vertical="center"/>
    </xf>
    <xf numFmtId="169" fontId="16" fillId="17" borderId="16" xfId="0" applyNumberFormat="1" applyFont="1" applyFill="1" applyBorder="1" applyAlignment="1">
      <alignment horizontal="center" vertical="center"/>
    </xf>
    <xf numFmtId="169" fontId="16" fillId="12" borderId="16" xfId="0" applyNumberFormat="1" applyFont="1" applyFill="1" applyBorder="1" applyAlignment="1">
      <alignment horizontal="center" vertical="center"/>
    </xf>
    <xf numFmtId="169" fontId="15" fillId="14" borderId="31" xfId="0" applyNumberFormat="1" applyFont="1" applyFill="1" applyBorder="1" applyAlignment="1">
      <alignment horizontal="center" vertical="center"/>
    </xf>
    <xf numFmtId="169" fontId="26" fillId="8" borderId="31" xfId="0" applyNumberFormat="1" applyFont="1" applyFill="1" applyBorder="1" applyAlignment="1">
      <alignment horizontal="center" vertical="center"/>
    </xf>
    <xf numFmtId="169" fontId="26" fillId="17" borderId="31" xfId="0" applyNumberFormat="1" applyFont="1" applyFill="1" applyBorder="1" applyAlignment="1">
      <alignment horizontal="center" vertical="center"/>
    </xf>
    <xf numFmtId="169" fontId="15" fillId="8" borderId="16" xfId="0" applyNumberFormat="1" applyFont="1" applyFill="1" applyBorder="1" applyAlignment="1">
      <alignment horizontal="center" vertical="center"/>
    </xf>
    <xf numFmtId="49" fontId="10" fillId="14" borderId="13" xfId="0" applyNumberFormat="1" applyFont="1" applyFill="1" applyBorder="1" applyAlignment="1">
      <alignment horizontal="center" vertical="center"/>
    </xf>
    <xf numFmtId="168" fontId="10" fillId="14" borderId="13" xfId="0" applyNumberFormat="1" applyFont="1" applyFill="1" applyBorder="1" applyAlignment="1">
      <alignment horizontal="center" vertical="center"/>
    </xf>
    <xf numFmtId="166" fontId="0" fillId="0" borderId="0" xfId="0" applyNumberFormat="1"/>
    <xf numFmtId="49" fontId="7" fillId="4" borderId="2" xfId="0" applyNumberFormat="1" applyFont="1" applyFill="1" applyBorder="1" applyAlignment="1">
      <alignment horizontal="center" vertical="center"/>
    </xf>
    <xf numFmtId="0" fontId="0" fillId="0" borderId="3" xfId="0" applyBorder="1"/>
    <xf numFmtId="0" fontId="0" fillId="0" borderId="4" xfId="0" applyBorder="1"/>
    <xf numFmtId="0" fontId="3" fillId="3" borderId="0" xfId="0" applyFont="1" applyFill="1" applyAlignment="1">
      <alignment horizontal="right" vertical="center"/>
    </xf>
    <xf numFmtId="0" fontId="0" fillId="0" borderId="0" xfId="0"/>
    <xf numFmtId="0" fontId="4" fillId="0" borderId="0" xfId="0" applyFont="1" applyAlignment="1">
      <alignment horizontal="right" vertical="center" readingOrder="2"/>
    </xf>
    <xf numFmtId="0" fontId="20" fillId="0" borderId="7" xfId="0" applyFont="1" applyBorder="1"/>
    <xf numFmtId="0" fontId="0" fillId="0" borderId="12" xfId="0" applyBorder="1"/>
    <xf numFmtId="0" fontId="0" fillId="0" borderId="14" xfId="0" applyBorder="1"/>
    <xf numFmtId="49" fontId="5" fillId="4" borderId="2" xfId="0" applyNumberFormat="1" applyFont="1" applyFill="1" applyBorder="1" applyAlignment="1">
      <alignment horizontal="center" vertical="center"/>
    </xf>
    <xf numFmtId="165" fontId="2" fillId="2" borderId="0" xfId="0" applyNumberFormat="1" applyFont="1" applyFill="1" applyAlignment="1">
      <alignment horizontal="center" vertical="center"/>
    </xf>
    <xf numFmtId="0" fontId="1" fillId="2" borderId="0" xfId="0" applyFont="1" applyFill="1" applyAlignment="1">
      <alignment horizontal="center" vertical="center"/>
    </xf>
    <xf numFmtId="167" fontId="3" fillId="3"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5" fillId="4" borderId="2" xfId="0" applyFont="1" applyFill="1" applyBorder="1" applyAlignment="1">
      <alignment horizontal="center" vertical="center"/>
    </xf>
    <xf numFmtId="0" fontId="0" fillId="0" borderId="7" xfId="0" applyBorder="1"/>
    <xf numFmtId="0" fontId="7" fillId="4" borderId="2" xfId="0" applyFont="1" applyFill="1" applyBorder="1" applyAlignment="1">
      <alignment horizontal="center" vertical="center"/>
    </xf>
    <xf numFmtId="165" fontId="2" fillId="2" borderId="0" xfId="0" applyNumberFormat="1" applyFont="1" applyFill="1" applyAlignment="1">
      <alignment horizontal="left" vertical="center"/>
    </xf>
    <xf numFmtId="49" fontId="24" fillId="0" borderId="33" xfId="0" applyNumberFormat="1" applyFont="1" applyBorder="1" applyAlignment="1">
      <alignment horizontal="center" vertical="center"/>
    </xf>
    <xf numFmtId="0" fontId="0" fillId="0" borderId="34" xfId="0" applyBorder="1"/>
    <xf numFmtId="0" fontId="0" fillId="0" borderId="35" xfId="0" applyBorder="1"/>
    <xf numFmtId="0" fontId="31" fillId="0" borderId="0" xfId="0" applyFont="1" applyAlignment="1">
      <alignment horizontal="center" vertical="center"/>
    </xf>
    <xf numFmtId="0" fontId="31" fillId="0" borderId="0" xfId="0" applyFont="1"/>
    <xf numFmtId="170" fontId="31" fillId="0" borderId="0" xfId="0" applyNumberFormat="1" applyFont="1" applyAlignment="1">
      <alignment horizontal="center" vertical="center"/>
    </xf>
    <xf numFmtId="15" fontId="31" fillId="0" borderId="0" xfId="0" applyNumberFormat="1" applyFont="1" applyAlignment="1">
      <alignment horizontal="center" vertical="center"/>
    </xf>
    <xf numFmtId="49" fontId="31" fillId="0" borderId="0" xfId="0" applyNumberFormat="1" applyFont="1" applyAlignment="1">
      <alignment horizontal="center" vertical="center"/>
    </xf>
    <xf numFmtId="168" fontId="31" fillId="0" borderId="0" xfId="0" applyNumberFormat="1" applyFont="1" applyAlignment="1">
      <alignment horizontal="center" vertical="center"/>
    </xf>
    <xf numFmtId="169" fontId="31" fillId="0" borderId="0" xfId="0" applyNumberFormat="1" applyFont="1" applyAlignment="1">
      <alignment horizontal="center" vertical="center"/>
    </xf>
    <xf numFmtId="1" fontId="31" fillId="0" borderId="0" xfId="0" applyNumberFormat="1" applyFont="1" applyAlignment="1">
      <alignment horizontal="center" vertical="center"/>
    </xf>
    <xf numFmtId="16" fontId="31" fillId="0" borderId="0" xfId="0" applyNumberFormat="1" applyFont="1" applyAlignment="1">
      <alignment horizontal="center" vertical="center"/>
    </xf>
    <xf numFmtId="0" fontId="32" fillId="18" borderId="0" xfId="0" applyFont="1" applyFill="1" applyAlignment="1">
      <alignment horizontal="center" vertical="center"/>
    </xf>
    <xf numFmtId="15" fontId="32" fillId="18" borderId="0" xfId="0" applyNumberFormat="1" applyFont="1" applyFill="1" applyAlignment="1">
      <alignment horizontal="center" vertical="center"/>
    </xf>
    <xf numFmtId="169" fontId="32" fillId="18" borderId="0" xfId="0" applyNumberFormat="1" applyFont="1" applyFill="1" applyAlignment="1">
      <alignment horizontal="center" vertical="center"/>
    </xf>
    <xf numFmtId="1" fontId="32" fillId="18" borderId="0" xfId="0" applyNumberFormat="1" applyFont="1" applyFill="1" applyAlignment="1">
      <alignment horizontal="center" vertical="center"/>
    </xf>
    <xf numFmtId="0" fontId="32" fillId="18" borderId="0" xfId="0" applyNumberFormat="1" applyFont="1" applyFill="1" applyAlignment="1">
      <alignment horizontal="center" vertical="center"/>
    </xf>
    <xf numFmtId="0" fontId="18" fillId="9" borderId="36" xfId="0" applyFont="1" applyFill="1" applyBorder="1" applyAlignment="1">
      <alignment horizontal="center" vertical="center"/>
    </xf>
    <xf numFmtId="0" fontId="18" fillId="9" borderId="37" xfId="0" applyFont="1" applyFill="1" applyBorder="1" applyAlignment="1">
      <alignment horizontal="center" vertical="center"/>
    </xf>
    <xf numFmtId="0" fontId="18" fillId="9" borderId="38" xfId="0" applyFont="1" applyFill="1" applyBorder="1" applyAlignment="1">
      <alignment horizontal="center" vertical="center"/>
    </xf>
  </cellXfs>
  <cellStyles count="1">
    <cellStyle name="Normal" xfId="0" builtinId="0"/>
  </cellStyles>
  <dxfs count="1425">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styles" Target="styles.xml"/><Relationship Id="rId10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theme" Target="theme/theme1.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I_MED_LF_LEGACY" displayName="CAI_MED_LF_LEGACY" ref="A1:AJ4" totalsRowCount="1" headerRowDxfId="1424" dataDxfId="1387" totalsRowDxfId="1350">
  <tableColumns count="36">
    <tableColumn id="1" xr3:uid="{00000000-0010-0000-0000-000001000000}" name="Day" totalsRowLabel="TOTAL" dataDxfId="1423" totalsRowDxfId="1386"/>
    <tableColumn id="2" xr3:uid="{00000000-0010-0000-0000-000002000000}" name="Flt Dt" dataDxfId="1422" totalsRowDxfId="1385"/>
    <tableColumn id="3" xr3:uid="{00000000-0010-0000-0000-000003000000}" name="Flt" totalsRowFunction="count" dataDxfId="1421" totalsRowDxfId="1384"/>
    <tableColumn id="4" xr3:uid="{00000000-0010-0000-0000-000004000000}" name="DEP" dataDxfId="1420" totalsRowDxfId="1383"/>
    <tableColumn id="5" xr3:uid="{00000000-0010-0000-0000-000005000000}" name="Brd-Off" totalsRowFunction="count" dataDxfId="1419" totalsRowDxfId="1382"/>
    <tableColumn id="6" xr3:uid="{00000000-0010-0000-0000-000006000000}" name="Eqp" dataDxfId="1418" totalsRowDxfId="1381"/>
    <tableColumn id="7" xr3:uid="{00000000-0010-0000-0000-000007000000}" name="LF%" totalsRowFunction="average" dataDxfId="1417" totalsRowDxfId="1380"/>
    <tableColumn id="8" xr3:uid="{00000000-0010-0000-0000-000008000000}" name="CAP" totalsRowFunction="sum" dataDxfId="1416" totalsRowDxfId="1379"/>
    <tableColumn id="9" xr3:uid="{00000000-0010-0000-0000-000009000000}" name="BKG(Y)" totalsRowFunction="sum" dataDxfId="1415" totalsRowDxfId="1378"/>
    <tableColumn id="10" xr3:uid="{00000000-0010-0000-0000-00000A000000}" name="GRP(Y)" totalsRowFunction="sum" dataDxfId="1414" totalsRowDxfId="1377"/>
    <tableColumn id="11" xr3:uid="{00000000-0010-0000-0000-00000B000000}" name="FLT ST" dataDxfId="1413" totalsRowDxfId="1376"/>
    <tableColumn id="12" xr3:uid="{00000000-0010-0000-0000-00000C000000}" name="LST-SOLD" dataDxfId="1412" totalsRowDxfId="1375"/>
    <tableColumn id="13" xr3:uid="{00000000-0010-0000-0000-00000D000000}" name="TO-DAY" totalsRowFunction="sum" dataDxfId="1411" totalsRowDxfId="1374"/>
    <tableColumn id="14" xr3:uid="{00000000-0010-0000-0000-00000E000000}" name="Y-DAY" totalsRowFunction="sum" dataDxfId="1410" totalsRowDxfId="1373"/>
    <tableColumn id="15" xr3:uid="{00000000-0010-0000-0000-00000F000000}" name="WEEKLY" totalsRowFunction="sum" dataDxfId="1409" totalsRowDxfId="1372"/>
    <tableColumn id="16" xr3:uid="{00000000-0010-0000-0000-000010000000}" name="LOWEST AVAIL" dataDxfId="1408" totalsRowDxfId="1371"/>
    <tableColumn id="17" xr3:uid="{00000000-0010-0000-0000-000011000000}" name="Y" totalsRowFunction="sum" dataDxfId="1407" totalsRowDxfId="1370"/>
    <tableColumn id="18" xr3:uid="{00000000-0010-0000-0000-000012000000}" name="B" totalsRowFunction="sum" dataDxfId="1406" totalsRowDxfId="1369"/>
    <tableColumn id="19" xr3:uid="{00000000-0010-0000-0000-000013000000}" name="M" totalsRowFunction="sum" dataDxfId="1405" totalsRowDxfId="1368"/>
    <tableColumn id="20" xr3:uid="{00000000-0010-0000-0000-000014000000}" name="H" totalsRowFunction="sum" dataDxfId="1404" totalsRowDxfId="1367"/>
    <tableColumn id="21" xr3:uid="{00000000-0010-0000-0000-000015000000}" name="Q" totalsRowFunction="sum" dataDxfId="1403" totalsRowDxfId="1366"/>
    <tableColumn id="22" xr3:uid="{00000000-0010-0000-0000-000016000000}" name="K" totalsRowFunction="sum" dataDxfId="1402" totalsRowDxfId="1365"/>
    <tableColumn id="23" xr3:uid="{00000000-0010-0000-0000-000017000000}" name="V" totalsRowFunction="sum" dataDxfId="1401" totalsRowDxfId="1364"/>
    <tableColumn id="24" xr3:uid="{00000000-0010-0000-0000-000018000000}" name="L" totalsRowFunction="sum" dataDxfId="1400" totalsRowDxfId="1363"/>
    <tableColumn id="25" xr3:uid="{00000000-0010-0000-0000-000019000000}" name="G" totalsRowFunction="sum" dataDxfId="1399" totalsRowDxfId="1362"/>
    <tableColumn id="26" xr3:uid="{00000000-0010-0000-0000-00001A000000}" name="S" totalsRowFunction="sum" dataDxfId="1398" totalsRowDxfId="1361"/>
    <tableColumn id="27" xr3:uid="{00000000-0010-0000-0000-00001B000000}" name="W" totalsRowFunction="sum" dataDxfId="1397" totalsRowDxfId="1360"/>
    <tableColumn id="28" xr3:uid="{00000000-0010-0000-0000-00001C000000}" name="T" totalsRowFunction="sum" dataDxfId="1396" totalsRowDxfId="1359"/>
    <tableColumn id="29" xr3:uid="{00000000-0010-0000-0000-00001D000000}" name="X" totalsRowFunction="sum" dataDxfId="1395" totalsRowDxfId="1358"/>
    <tableColumn id="30" xr3:uid="{00000000-0010-0000-0000-00001E000000}" name="U" totalsRowFunction="sum" dataDxfId="1394" totalsRowDxfId="1357"/>
    <tableColumn id="31" xr3:uid="{00000000-0010-0000-0000-00001F000000}" name="O" totalsRowFunction="sum" dataDxfId="1393" totalsRowDxfId="1356"/>
    <tableColumn id="32" xr3:uid="{00000000-0010-0000-0000-000020000000}" name="I" totalsRowFunction="sum" dataDxfId="1392" totalsRowDxfId="1355"/>
    <tableColumn id="33" xr3:uid="{00000000-0010-0000-0000-000021000000}" name="E" totalsRowFunction="sum" dataDxfId="1391" totalsRowDxfId="1354"/>
    <tableColumn id="34" xr3:uid="{00000000-0010-0000-0000-000022000000}" name="A" totalsRowFunction="sum" dataDxfId="1390" totalsRowDxfId="1353"/>
    <tableColumn id="35" xr3:uid="{00000000-0010-0000-0000-000023000000}" name="P" totalsRowFunction="sum" dataDxfId="1389" totalsRowDxfId="1352"/>
    <tableColumn id="36" xr3:uid="{00000000-0010-0000-0000-000024000000}" name="N" totalsRowFunction="count" dataDxfId="1388" totalsRowDxfId="13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CAI_MED" displayName="FocusMode_CAI_MED" ref="A1:H53" totalsRowShown="0">
  <autoFilter ref="A1:H53"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CAI_MED" displayName="ThreatsAlert_CAI_MED" ref="A1:H19" totalsRowShown="0">
  <autoFilter ref="A1:H19"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HBE_MED_LF_LEGACY" displayName="HBE_MED_LF_LEGACY" ref="A1:AJ3" totalsRowCount="1" headerRowDxfId="1349" dataDxfId="1312" totalsRowDxfId="1275">
  <tableColumns count="36">
    <tableColumn id="1" xr3:uid="{00000000-0010-0000-0300-000001000000}" name="Day" totalsRowLabel="TOTAL" dataDxfId="1348" totalsRowDxfId="1311"/>
    <tableColumn id="2" xr3:uid="{00000000-0010-0000-0300-000002000000}" name="Flt Dt" dataDxfId="1347" totalsRowDxfId="1310"/>
    <tableColumn id="3" xr3:uid="{00000000-0010-0000-0300-000003000000}" name="Flt" totalsRowFunction="count" dataDxfId="1346" totalsRowDxfId="1309"/>
    <tableColumn id="4" xr3:uid="{00000000-0010-0000-0300-000004000000}" name="DEP" dataDxfId="1345" totalsRowDxfId="1308"/>
    <tableColumn id="5" xr3:uid="{00000000-0010-0000-0300-000005000000}" name="Brd-Off" totalsRowFunction="count" dataDxfId="1344" totalsRowDxfId="1307"/>
    <tableColumn id="6" xr3:uid="{00000000-0010-0000-0300-000006000000}" name="Eqp" dataDxfId="1343" totalsRowDxfId="1306"/>
    <tableColumn id="7" xr3:uid="{00000000-0010-0000-0300-000007000000}" name="LF%" totalsRowFunction="average" dataDxfId="1342" totalsRowDxfId="1305"/>
    <tableColumn id="8" xr3:uid="{00000000-0010-0000-0300-000008000000}" name="CAP" totalsRowFunction="sum" dataDxfId="1341" totalsRowDxfId="1304"/>
    <tableColumn id="9" xr3:uid="{00000000-0010-0000-0300-000009000000}" name="BKG(Y)" totalsRowFunction="sum" dataDxfId="1340" totalsRowDxfId="1303"/>
    <tableColumn id="10" xr3:uid="{00000000-0010-0000-0300-00000A000000}" name="GRP(Y)" totalsRowFunction="sum" dataDxfId="1339" totalsRowDxfId="1302"/>
    <tableColumn id="11" xr3:uid="{00000000-0010-0000-0300-00000B000000}" name="FLT ST" dataDxfId="1338" totalsRowDxfId="1301"/>
    <tableColumn id="12" xr3:uid="{00000000-0010-0000-0300-00000C000000}" name="LST-SOLD" dataDxfId="1337" totalsRowDxfId="1300"/>
    <tableColumn id="13" xr3:uid="{00000000-0010-0000-0300-00000D000000}" name="TO-DAY" totalsRowFunction="sum" dataDxfId="1336" totalsRowDxfId="1299"/>
    <tableColumn id="14" xr3:uid="{00000000-0010-0000-0300-00000E000000}" name="Y-DAY" totalsRowFunction="sum" dataDxfId="1335" totalsRowDxfId="1298"/>
    <tableColumn id="15" xr3:uid="{00000000-0010-0000-0300-00000F000000}" name="WEEKLY" totalsRowFunction="sum" dataDxfId="1334" totalsRowDxfId="1297"/>
    <tableColumn id="16" xr3:uid="{00000000-0010-0000-0300-000010000000}" name="LOWEST AVAIL" dataDxfId="1333" totalsRowDxfId="1296"/>
    <tableColumn id="17" xr3:uid="{00000000-0010-0000-0300-000011000000}" name="Y" totalsRowFunction="sum" dataDxfId="1332" totalsRowDxfId="1295"/>
    <tableColumn id="18" xr3:uid="{00000000-0010-0000-0300-000012000000}" name="B" totalsRowFunction="sum" dataDxfId="1331" totalsRowDxfId="1294"/>
    <tableColumn id="19" xr3:uid="{00000000-0010-0000-0300-000013000000}" name="M" totalsRowFunction="sum" dataDxfId="1330" totalsRowDxfId="1293"/>
    <tableColumn id="20" xr3:uid="{00000000-0010-0000-0300-000014000000}" name="H" totalsRowFunction="sum" dataDxfId="1329" totalsRowDxfId="1292"/>
    <tableColumn id="21" xr3:uid="{00000000-0010-0000-0300-000015000000}" name="Q" totalsRowFunction="sum" dataDxfId="1328" totalsRowDxfId="1291"/>
    <tableColumn id="22" xr3:uid="{00000000-0010-0000-0300-000016000000}" name="K" totalsRowFunction="sum" dataDxfId="1327" totalsRowDxfId="1290"/>
    <tableColumn id="23" xr3:uid="{00000000-0010-0000-0300-000017000000}" name="V" totalsRowFunction="sum" dataDxfId="1326" totalsRowDxfId="1289"/>
    <tableColumn id="24" xr3:uid="{00000000-0010-0000-0300-000018000000}" name="L" totalsRowFunction="sum" dataDxfId="1325" totalsRowDxfId="1288"/>
    <tableColumn id="25" xr3:uid="{00000000-0010-0000-0300-000019000000}" name="G" totalsRowFunction="sum" dataDxfId="1324" totalsRowDxfId="1287"/>
    <tableColumn id="26" xr3:uid="{00000000-0010-0000-0300-00001A000000}" name="S" totalsRowFunction="sum" dataDxfId="1323" totalsRowDxfId="1286"/>
    <tableColumn id="27" xr3:uid="{00000000-0010-0000-0300-00001B000000}" name="W" totalsRowFunction="sum" dataDxfId="1322" totalsRowDxfId="1285"/>
    <tableColumn id="28" xr3:uid="{00000000-0010-0000-0300-00001C000000}" name="T" totalsRowFunction="sum" dataDxfId="1321" totalsRowDxfId="1284"/>
    <tableColumn id="29" xr3:uid="{00000000-0010-0000-0300-00001D000000}" name="X" totalsRowFunction="sum" dataDxfId="1320" totalsRowDxfId="1283"/>
    <tableColumn id="30" xr3:uid="{00000000-0010-0000-0300-00001E000000}" name="U" totalsRowFunction="sum" dataDxfId="1319" totalsRowDxfId="1282"/>
    <tableColumn id="31" xr3:uid="{00000000-0010-0000-0300-00001F000000}" name="O" totalsRowFunction="sum" dataDxfId="1318" totalsRowDxfId="1281"/>
    <tableColumn id="32" xr3:uid="{00000000-0010-0000-0300-000020000000}" name="I" totalsRowFunction="sum" dataDxfId="1317" totalsRowDxfId="1280"/>
    <tableColumn id="33" xr3:uid="{00000000-0010-0000-0300-000021000000}" name="E" totalsRowFunction="sum" dataDxfId="1316" totalsRowDxfId="1279"/>
    <tableColumn id="34" xr3:uid="{00000000-0010-0000-0300-000022000000}" name="A" totalsRowFunction="sum" dataDxfId="1315" totalsRowDxfId="1278"/>
    <tableColumn id="35" xr3:uid="{00000000-0010-0000-0300-000023000000}" name="P" totalsRowFunction="sum" dataDxfId="1314" totalsRowDxfId="1277"/>
    <tableColumn id="36" xr3:uid="{00000000-0010-0000-0300-000024000000}" name="N" totalsRowFunction="count" dataDxfId="1313" totalsRowDxfId="127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HBE_MED" displayName="FocusMode_HBE_MED" ref="A1:H36" totalsRowShown="0">
  <autoFilter ref="A1:H36"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hreatsAlert_HBE_MED" displayName="ThreatsAlert_HBE_MED" ref="A1:H36" totalsRowShown="0">
  <autoFilter ref="A1:H36"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TZ_MED_LF_LEGACY" displayName="ATZ_MED_LF_LEGACY" ref="A1:AJ3" totalsRowCount="1" headerRowDxfId="1274" dataDxfId="1237" totalsRowDxfId="1200">
  <tableColumns count="36">
    <tableColumn id="1" xr3:uid="{00000000-0010-0000-0600-000001000000}" name="Day" totalsRowLabel="TOTAL" dataDxfId="1273" totalsRowDxfId="1236"/>
    <tableColumn id="2" xr3:uid="{00000000-0010-0000-0600-000002000000}" name="Flt Dt" dataDxfId="1272" totalsRowDxfId="1235"/>
    <tableColumn id="3" xr3:uid="{00000000-0010-0000-0600-000003000000}" name="Flt" totalsRowFunction="count" dataDxfId="1271" totalsRowDxfId="1234"/>
    <tableColumn id="4" xr3:uid="{00000000-0010-0000-0600-000004000000}" name="DEP" dataDxfId="1270" totalsRowDxfId="1233"/>
    <tableColumn id="5" xr3:uid="{00000000-0010-0000-0600-000005000000}" name="Brd-Off" totalsRowFunction="count" dataDxfId="1269" totalsRowDxfId="1232"/>
    <tableColumn id="6" xr3:uid="{00000000-0010-0000-0600-000006000000}" name="Eqp" dataDxfId="1268" totalsRowDxfId="1231"/>
    <tableColumn id="7" xr3:uid="{00000000-0010-0000-0600-000007000000}" name="LF%" totalsRowFunction="average" dataDxfId="1267" totalsRowDxfId="1230"/>
    <tableColumn id="8" xr3:uid="{00000000-0010-0000-0600-000008000000}" name="CAP" totalsRowFunction="sum" dataDxfId="1266" totalsRowDxfId="1229"/>
    <tableColumn id="9" xr3:uid="{00000000-0010-0000-0600-000009000000}" name="BKG(Y)" totalsRowFunction="sum" dataDxfId="1265" totalsRowDxfId="1228"/>
    <tableColumn id="10" xr3:uid="{00000000-0010-0000-0600-00000A000000}" name="GRP(Y)" totalsRowFunction="sum" dataDxfId="1264" totalsRowDxfId="1227"/>
    <tableColumn id="11" xr3:uid="{00000000-0010-0000-0600-00000B000000}" name="FLT ST" dataDxfId="1263" totalsRowDxfId="1226"/>
    <tableColumn id="12" xr3:uid="{00000000-0010-0000-0600-00000C000000}" name="LST-SOLD" dataDxfId="1262" totalsRowDxfId="1225"/>
    <tableColumn id="13" xr3:uid="{00000000-0010-0000-0600-00000D000000}" name="TO-DAY" totalsRowFunction="sum" dataDxfId="1261" totalsRowDxfId="1224"/>
    <tableColumn id="14" xr3:uid="{00000000-0010-0000-0600-00000E000000}" name="Y-DAY" totalsRowFunction="sum" dataDxfId="1260" totalsRowDxfId="1223"/>
    <tableColumn id="15" xr3:uid="{00000000-0010-0000-0600-00000F000000}" name="WEEKLY" totalsRowFunction="sum" dataDxfId="1259" totalsRowDxfId="1222"/>
    <tableColumn id="16" xr3:uid="{00000000-0010-0000-0600-000010000000}" name="LOWEST AVAIL" dataDxfId="1258" totalsRowDxfId="1221"/>
    <tableColumn id="17" xr3:uid="{00000000-0010-0000-0600-000011000000}" name="Y" totalsRowFunction="sum" dataDxfId="1257" totalsRowDxfId="1220"/>
    <tableColumn id="18" xr3:uid="{00000000-0010-0000-0600-000012000000}" name="B" totalsRowFunction="sum" dataDxfId="1256" totalsRowDxfId="1219"/>
    <tableColumn id="19" xr3:uid="{00000000-0010-0000-0600-000013000000}" name="M" totalsRowFunction="sum" dataDxfId="1255" totalsRowDxfId="1218"/>
    <tableColumn id="20" xr3:uid="{00000000-0010-0000-0600-000014000000}" name="H" totalsRowFunction="sum" dataDxfId="1254" totalsRowDxfId="1217"/>
    <tableColumn id="21" xr3:uid="{00000000-0010-0000-0600-000015000000}" name="Q" totalsRowFunction="sum" dataDxfId="1253" totalsRowDxfId="1216"/>
    <tableColumn id="22" xr3:uid="{00000000-0010-0000-0600-000016000000}" name="K" totalsRowFunction="sum" dataDxfId="1252" totalsRowDxfId="1215"/>
    <tableColumn id="23" xr3:uid="{00000000-0010-0000-0600-000017000000}" name="V" totalsRowFunction="sum" dataDxfId="1251" totalsRowDxfId="1214"/>
    <tableColumn id="24" xr3:uid="{00000000-0010-0000-0600-000018000000}" name="L" totalsRowFunction="sum" dataDxfId="1250" totalsRowDxfId="1213"/>
    <tableColumn id="25" xr3:uid="{00000000-0010-0000-0600-000019000000}" name="G" totalsRowFunction="sum" dataDxfId="1249" totalsRowDxfId="1212"/>
    <tableColumn id="26" xr3:uid="{00000000-0010-0000-0600-00001A000000}" name="S" totalsRowFunction="sum" dataDxfId="1248" totalsRowDxfId="1211"/>
    <tableColumn id="27" xr3:uid="{00000000-0010-0000-0600-00001B000000}" name="W" totalsRowFunction="sum" dataDxfId="1247" totalsRowDxfId="1210"/>
    <tableColumn id="28" xr3:uid="{00000000-0010-0000-0600-00001C000000}" name="T" totalsRowFunction="sum" dataDxfId="1246" totalsRowDxfId="1209"/>
    <tableColumn id="29" xr3:uid="{00000000-0010-0000-0600-00001D000000}" name="X" totalsRowFunction="sum" dataDxfId="1245" totalsRowDxfId="1208"/>
    <tableColumn id="30" xr3:uid="{00000000-0010-0000-0600-00001E000000}" name="U" totalsRowFunction="sum" dataDxfId="1244" totalsRowDxfId="1207"/>
    <tableColumn id="31" xr3:uid="{00000000-0010-0000-0600-00001F000000}" name="O" totalsRowFunction="sum" dataDxfId="1243" totalsRowDxfId="1206"/>
    <tableColumn id="32" xr3:uid="{00000000-0010-0000-0600-000020000000}" name="I" totalsRowFunction="sum" dataDxfId="1242" totalsRowDxfId="1205"/>
    <tableColumn id="33" xr3:uid="{00000000-0010-0000-0600-000021000000}" name="E" totalsRowFunction="sum" dataDxfId="1241" totalsRowDxfId="1204"/>
    <tableColumn id="34" xr3:uid="{00000000-0010-0000-0600-000022000000}" name="A" totalsRowFunction="sum" dataDxfId="1240" totalsRowDxfId="1203"/>
    <tableColumn id="35" xr3:uid="{00000000-0010-0000-0600-000023000000}" name="P" totalsRowFunction="sum" dataDxfId="1239" totalsRowDxfId="1202"/>
    <tableColumn id="36" xr3:uid="{00000000-0010-0000-0600-000024000000}" name="N" totalsRowFunction="count" dataDxfId="1238" totalsRowDxfId="120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ATZ_MED" displayName="FocusMode_ATZ_MED" ref="A1:H35" totalsRowShown="0">
  <autoFilter ref="A1:H35"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hreatsAlert_ATZ_MED" displayName="ThreatsAlert_ATZ_MED" ref="A1:H35" totalsRowShown="0">
  <autoFilter ref="A1:H35"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AI_JED_LF_LEGACY" displayName="CAI_JED_LF_LEGACY" ref="A1:AJ17" totalsRowCount="1" headerRowDxfId="1199" dataDxfId="1162" totalsRowDxfId="1125">
  <tableColumns count="36">
    <tableColumn id="1" xr3:uid="{00000000-0010-0000-0900-000001000000}" name="Day" totalsRowLabel="TOTAL" dataDxfId="1198" totalsRowDxfId="1161"/>
    <tableColumn id="2" xr3:uid="{00000000-0010-0000-0900-000002000000}" name="Flt Dt" dataDxfId="1197" totalsRowDxfId="1160"/>
    <tableColumn id="3" xr3:uid="{00000000-0010-0000-0900-000003000000}" name="Flt" totalsRowFunction="count" dataDxfId="1196" totalsRowDxfId="1159"/>
    <tableColumn id="4" xr3:uid="{00000000-0010-0000-0900-000004000000}" name="DEP" dataDxfId="1195" totalsRowDxfId="1158"/>
    <tableColumn id="5" xr3:uid="{00000000-0010-0000-0900-000005000000}" name="Brd-Off" totalsRowFunction="count" dataDxfId="1194" totalsRowDxfId="1157"/>
    <tableColumn id="6" xr3:uid="{00000000-0010-0000-0900-000006000000}" name="Eqp" dataDxfId="1193" totalsRowDxfId="1156"/>
    <tableColumn id="7" xr3:uid="{00000000-0010-0000-0900-000007000000}" name="LF%" totalsRowFunction="average" dataDxfId="1192" totalsRowDxfId="1155"/>
    <tableColumn id="8" xr3:uid="{00000000-0010-0000-0900-000008000000}" name="CAP" totalsRowFunction="sum" dataDxfId="1191" totalsRowDxfId="1154"/>
    <tableColumn id="9" xr3:uid="{00000000-0010-0000-0900-000009000000}" name="BKG(Y)" totalsRowFunction="sum" dataDxfId="1190" totalsRowDxfId="1153"/>
    <tableColumn id="10" xr3:uid="{00000000-0010-0000-0900-00000A000000}" name="GRP(Y)" totalsRowFunction="sum" dataDxfId="1189" totalsRowDxfId="1152"/>
    <tableColumn id="11" xr3:uid="{00000000-0010-0000-0900-00000B000000}" name="FLT ST" dataDxfId="1188" totalsRowDxfId="1151"/>
    <tableColumn id="12" xr3:uid="{00000000-0010-0000-0900-00000C000000}" name="LST-SOLD" dataDxfId="1187" totalsRowDxfId="1150"/>
    <tableColumn id="13" xr3:uid="{00000000-0010-0000-0900-00000D000000}" name="TO-DAY" totalsRowFunction="sum" dataDxfId="1186" totalsRowDxfId="1149"/>
    <tableColumn id="14" xr3:uid="{00000000-0010-0000-0900-00000E000000}" name="Y-DAY" totalsRowFunction="sum" dataDxfId="1185" totalsRowDxfId="1148"/>
    <tableColumn id="15" xr3:uid="{00000000-0010-0000-0900-00000F000000}" name="WEEKLY" totalsRowFunction="sum" dataDxfId="1184" totalsRowDxfId="1147"/>
    <tableColumn id="16" xr3:uid="{00000000-0010-0000-0900-000010000000}" name="LOWEST AVAIL" dataDxfId="1183" totalsRowDxfId="1146"/>
    <tableColumn id="17" xr3:uid="{00000000-0010-0000-0900-000011000000}" name="Y" totalsRowFunction="sum" dataDxfId="1182" totalsRowDxfId="1145"/>
    <tableColumn id="18" xr3:uid="{00000000-0010-0000-0900-000012000000}" name="B" totalsRowFunction="sum" dataDxfId="1181" totalsRowDxfId="1144"/>
    <tableColumn id="19" xr3:uid="{00000000-0010-0000-0900-000013000000}" name="M" totalsRowFunction="sum" dataDxfId="1180" totalsRowDxfId="1143"/>
    <tableColumn id="20" xr3:uid="{00000000-0010-0000-0900-000014000000}" name="H" totalsRowFunction="sum" dataDxfId="1179" totalsRowDxfId="1142"/>
    <tableColumn id="21" xr3:uid="{00000000-0010-0000-0900-000015000000}" name="Q" totalsRowFunction="sum" dataDxfId="1178" totalsRowDxfId="1141"/>
    <tableColumn id="22" xr3:uid="{00000000-0010-0000-0900-000016000000}" name="K" totalsRowFunction="sum" dataDxfId="1177" totalsRowDxfId="1140"/>
    <tableColumn id="23" xr3:uid="{00000000-0010-0000-0900-000017000000}" name="V" totalsRowFunction="sum" dataDxfId="1176" totalsRowDxfId="1139"/>
    <tableColumn id="24" xr3:uid="{00000000-0010-0000-0900-000018000000}" name="L" totalsRowFunction="sum" dataDxfId="1175" totalsRowDxfId="1138"/>
    <tableColumn id="25" xr3:uid="{00000000-0010-0000-0900-000019000000}" name="G" totalsRowFunction="sum" dataDxfId="1174" totalsRowDxfId="1137"/>
    <tableColumn id="26" xr3:uid="{00000000-0010-0000-0900-00001A000000}" name="S" totalsRowFunction="sum" dataDxfId="1173" totalsRowDxfId="1136"/>
    <tableColumn id="27" xr3:uid="{00000000-0010-0000-0900-00001B000000}" name="W" totalsRowFunction="sum" dataDxfId="1172" totalsRowDxfId="1135"/>
    <tableColumn id="28" xr3:uid="{00000000-0010-0000-0900-00001C000000}" name="T" totalsRowFunction="sum" dataDxfId="1171" totalsRowDxfId="1134"/>
    <tableColumn id="29" xr3:uid="{00000000-0010-0000-0900-00001D000000}" name="X" totalsRowFunction="sum" dataDxfId="1170" totalsRowDxfId="1133"/>
    <tableColumn id="30" xr3:uid="{00000000-0010-0000-0900-00001E000000}" name="U" totalsRowFunction="sum" dataDxfId="1169" totalsRowDxfId="1132"/>
    <tableColumn id="31" xr3:uid="{00000000-0010-0000-0900-00001F000000}" name="O" totalsRowFunction="sum" dataDxfId="1168" totalsRowDxfId="1131"/>
    <tableColumn id="32" xr3:uid="{00000000-0010-0000-0900-000020000000}" name="I" totalsRowFunction="sum" dataDxfId="1167" totalsRowDxfId="1130"/>
    <tableColumn id="33" xr3:uid="{00000000-0010-0000-0900-000021000000}" name="E" totalsRowFunction="sum" dataDxfId="1166" totalsRowDxfId="1129"/>
    <tableColumn id="34" xr3:uid="{00000000-0010-0000-0900-000022000000}" name="A" totalsRowFunction="sum" dataDxfId="1165" totalsRowDxfId="1128"/>
    <tableColumn id="35" xr3:uid="{00000000-0010-0000-0900-000023000000}" name="P" totalsRowFunction="sum" dataDxfId="1164" totalsRowDxfId="1127"/>
    <tableColumn id="36" xr3:uid="{00000000-0010-0000-0900-000024000000}" name="N" totalsRowFunction="count" dataDxfId="1163" totalsRowDxfId="112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cusMode_CAI_JED" displayName="FocusMode_CAI_JED" ref="A1:H202" totalsRowShown="0">
  <autoFilter ref="A1:H202" xr:uid="{00000000-0009-0000-0100-00000B000000}"/>
  <tableColumns count="8">
    <tableColumn id="1" xr3:uid="{00000000-0010-0000-0A00-000001000000}" name="DATE"/>
    <tableColumn id="2" xr3:uid="{00000000-0010-0000-0A00-000002000000}" name="AIRLINE"/>
    <tableColumn id="3" xr3:uid="{00000000-0010-0000-0A00-000003000000}" name="FLIGHT NUM"/>
    <tableColumn id="4" xr3:uid="{00000000-0010-0000-0A00-000004000000}" name="ROUTE"/>
    <tableColumn id="5" xr3:uid="{00000000-0010-0000-0A00-000005000000}" name="DEPARTURE"/>
    <tableColumn id="6" xr3:uid="{00000000-0010-0000-0A00-000006000000}" name="BAGGAGE"/>
    <tableColumn id="7" xr3:uid="{00000000-0010-0000-0A00-000007000000}" name="AVAILABILITY"/>
    <tableColumn id="8" xr3:uid="{00000000-0010-0000-0A00-000008000000}" name="PUBLISHED FA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hreatsAlert_CAI_JED" displayName="ThreatsAlert_CAI_JED" ref="A1:H18" totalsRowShown="0">
  <autoFilter ref="A1:H18"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HBE_JED_LF_LEGACY" displayName="HBE_JED_LF_LEGACY" ref="A1:AJ6" totalsRowCount="1" headerRowDxfId="1124" dataDxfId="1087" totalsRowDxfId="1050">
  <tableColumns count="36">
    <tableColumn id="1" xr3:uid="{00000000-0010-0000-0C00-000001000000}" name="Day" totalsRowLabel="TOTAL" dataDxfId="1123" totalsRowDxfId="1086"/>
    <tableColumn id="2" xr3:uid="{00000000-0010-0000-0C00-000002000000}" name="Flt Dt" dataDxfId="1122" totalsRowDxfId="1085"/>
    <tableColumn id="3" xr3:uid="{00000000-0010-0000-0C00-000003000000}" name="Flt" totalsRowFunction="count" dataDxfId="1121" totalsRowDxfId="1084"/>
    <tableColumn id="4" xr3:uid="{00000000-0010-0000-0C00-000004000000}" name="DEP" dataDxfId="1120" totalsRowDxfId="1083"/>
    <tableColumn id="5" xr3:uid="{00000000-0010-0000-0C00-000005000000}" name="Brd-Off" totalsRowFunction="count" dataDxfId="1119" totalsRowDxfId="1082"/>
    <tableColumn id="6" xr3:uid="{00000000-0010-0000-0C00-000006000000}" name="Eqp" dataDxfId="1118" totalsRowDxfId="1081"/>
    <tableColumn id="7" xr3:uid="{00000000-0010-0000-0C00-000007000000}" name="LF%" totalsRowFunction="average" dataDxfId="1117" totalsRowDxfId="1080"/>
    <tableColumn id="8" xr3:uid="{00000000-0010-0000-0C00-000008000000}" name="CAP" totalsRowFunction="sum" dataDxfId="1116" totalsRowDxfId="1079"/>
    <tableColumn id="9" xr3:uid="{00000000-0010-0000-0C00-000009000000}" name="BKG(Y)" totalsRowFunction="sum" dataDxfId="1115" totalsRowDxfId="1078"/>
    <tableColumn id="10" xr3:uid="{00000000-0010-0000-0C00-00000A000000}" name="GRP(Y)" totalsRowFunction="sum" dataDxfId="1114" totalsRowDxfId="1077"/>
    <tableColumn id="11" xr3:uid="{00000000-0010-0000-0C00-00000B000000}" name="FLT ST" dataDxfId="1113" totalsRowDxfId="1076"/>
    <tableColumn id="12" xr3:uid="{00000000-0010-0000-0C00-00000C000000}" name="LST-SOLD" dataDxfId="1112" totalsRowDxfId="1075"/>
    <tableColumn id="13" xr3:uid="{00000000-0010-0000-0C00-00000D000000}" name="TO-DAY" totalsRowFunction="sum" dataDxfId="1111" totalsRowDxfId="1074"/>
    <tableColumn id="14" xr3:uid="{00000000-0010-0000-0C00-00000E000000}" name="Y-DAY" totalsRowFunction="sum" dataDxfId="1110" totalsRowDxfId="1073"/>
    <tableColumn id="15" xr3:uid="{00000000-0010-0000-0C00-00000F000000}" name="WEEKLY" totalsRowFunction="sum" dataDxfId="1109" totalsRowDxfId="1072"/>
    <tableColumn id="16" xr3:uid="{00000000-0010-0000-0C00-000010000000}" name="LOWEST AVAIL" dataDxfId="1108" totalsRowDxfId="1071"/>
    <tableColumn id="17" xr3:uid="{00000000-0010-0000-0C00-000011000000}" name="Y" totalsRowFunction="sum" dataDxfId="1107" totalsRowDxfId="1070"/>
    <tableColumn id="18" xr3:uid="{00000000-0010-0000-0C00-000012000000}" name="B" totalsRowFunction="sum" dataDxfId="1106" totalsRowDxfId="1069"/>
    <tableColumn id="19" xr3:uid="{00000000-0010-0000-0C00-000013000000}" name="M" totalsRowFunction="sum" dataDxfId="1105" totalsRowDxfId="1068"/>
    <tableColumn id="20" xr3:uid="{00000000-0010-0000-0C00-000014000000}" name="H" totalsRowFunction="sum" dataDxfId="1104" totalsRowDxfId="1067"/>
    <tableColumn id="21" xr3:uid="{00000000-0010-0000-0C00-000015000000}" name="Q" totalsRowFunction="sum" dataDxfId="1103" totalsRowDxfId="1066"/>
    <tableColumn id="22" xr3:uid="{00000000-0010-0000-0C00-000016000000}" name="K" totalsRowFunction="sum" dataDxfId="1102" totalsRowDxfId="1065"/>
    <tableColumn id="23" xr3:uid="{00000000-0010-0000-0C00-000017000000}" name="V" totalsRowFunction="sum" dataDxfId="1101" totalsRowDxfId="1064"/>
    <tableColumn id="24" xr3:uid="{00000000-0010-0000-0C00-000018000000}" name="L" totalsRowFunction="sum" dataDxfId="1100" totalsRowDxfId="1063"/>
    <tableColumn id="25" xr3:uid="{00000000-0010-0000-0C00-000019000000}" name="G" totalsRowFunction="sum" dataDxfId="1099" totalsRowDxfId="1062"/>
    <tableColumn id="26" xr3:uid="{00000000-0010-0000-0C00-00001A000000}" name="S" totalsRowFunction="sum" dataDxfId="1098" totalsRowDxfId="1061"/>
    <tableColumn id="27" xr3:uid="{00000000-0010-0000-0C00-00001B000000}" name="W" totalsRowFunction="sum" dataDxfId="1097" totalsRowDxfId="1060"/>
    <tableColumn id="28" xr3:uid="{00000000-0010-0000-0C00-00001C000000}" name="T" totalsRowFunction="sum" dataDxfId="1096" totalsRowDxfId="1059"/>
    <tableColumn id="29" xr3:uid="{00000000-0010-0000-0C00-00001D000000}" name="X" totalsRowFunction="sum" dataDxfId="1095" totalsRowDxfId="1058"/>
    <tableColumn id="30" xr3:uid="{00000000-0010-0000-0C00-00001E000000}" name="U" totalsRowFunction="sum" dataDxfId="1094" totalsRowDxfId="1057"/>
    <tableColumn id="31" xr3:uid="{00000000-0010-0000-0C00-00001F000000}" name="O" totalsRowFunction="sum" dataDxfId="1093" totalsRowDxfId="1056"/>
    <tableColumn id="32" xr3:uid="{00000000-0010-0000-0C00-000020000000}" name="I" totalsRowFunction="sum" dataDxfId="1092" totalsRowDxfId="1055"/>
    <tableColumn id="33" xr3:uid="{00000000-0010-0000-0C00-000021000000}" name="E" totalsRowFunction="sum" dataDxfId="1091" totalsRowDxfId="1054"/>
    <tableColumn id="34" xr3:uid="{00000000-0010-0000-0C00-000022000000}" name="A" totalsRowFunction="sum" dataDxfId="1090" totalsRowDxfId="1053"/>
    <tableColumn id="35" xr3:uid="{00000000-0010-0000-0C00-000023000000}" name="P" totalsRowFunction="sum" dataDxfId="1089" totalsRowDxfId="1052"/>
    <tableColumn id="36" xr3:uid="{00000000-0010-0000-0C00-000024000000}" name="N" totalsRowFunction="count" dataDxfId="1088" totalsRowDxfId="1051"/>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HBE_JED" displayName="FocusMode_HBE_JED" ref="A1:H58" totalsRowShown="0">
  <autoFilter ref="A1:H58"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hreatsAlert_HBE_JED" displayName="ThreatsAlert_HBE_JED" ref="A1:H38" totalsRowShown="0">
  <autoFilter ref="A1:H38"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ATZ_JED_LF_LEGACY" displayName="ATZ_JED_LF_LEGACY" ref="A1:AJ7" totalsRowCount="1" headerRowDxfId="1049" dataDxfId="1012" totalsRowDxfId="975">
  <tableColumns count="36">
    <tableColumn id="1" xr3:uid="{00000000-0010-0000-0F00-000001000000}" name="Day" totalsRowLabel="TOTAL" dataDxfId="1048" totalsRowDxfId="1011"/>
    <tableColumn id="2" xr3:uid="{00000000-0010-0000-0F00-000002000000}" name="Flt Dt" dataDxfId="1047" totalsRowDxfId="1010"/>
    <tableColumn id="3" xr3:uid="{00000000-0010-0000-0F00-000003000000}" name="Flt" totalsRowFunction="count" dataDxfId="1046" totalsRowDxfId="1009"/>
    <tableColumn id="4" xr3:uid="{00000000-0010-0000-0F00-000004000000}" name="DEP" dataDxfId="1045" totalsRowDxfId="1008"/>
    <tableColumn id="5" xr3:uid="{00000000-0010-0000-0F00-000005000000}" name="Brd-Off" totalsRowFunction="count" dataDxfId="1044" totalsRowDxfId="1007"/>
    <tableColumn id="6" xr3:uid="{00000000-0010-0000-0F00-000006000000}" name="Eqp" dataDxfId="1043" totalsRowDxfId="1006"/>
    <tableColumn id="7" xr3:uid="{00000000-0010-0000-0F00-000007000000}" name="LF%" totalsRowFunction="average" dataDxfId="1042" totalsRowDxfId="1005"/>
    <tableColumn id="8" xr3:uid="{00000000-0010-0000-0F00-000008000000}" name="CAP" totalsRowFunction="sum" dataDxfId="1041" totalsRowDxfId="1004"/>
    <tableColumn id="9" xr3:uid="{00000000-0010-0000-0F00-000009000000}" name="BKG(Y)" totalsRowFunction="sum" dataDxfId="1040" totalsRowDxfId="1003"/>
    <tableColumn id="10" xr3:uid="{00000000-0010-0000-0F00-00000A000000}" name="GRP(Y)" totalsRowFunction="sum" dataDxfId="1039" totalsRowDxfId="1002"/>
    <tableColumn id="11" xr3:uid="{00000000-0010-0000-0F00-00000B000000}" name="FLT ST" dataDxfId="1038" totalsRowDxfId="1001"/>
    <tableColumn id="12" xr3:uid="{00000000-0010-0000-0F00-00000C000000}" name="LST-SOLD" dataDxfId="1037" totalsRowDxfId="1000"/>
    <tableColumn id="13" xr3:uid="{00000000-0010-0000-0F00-00000D000000}" name="TO-DAY" totalsRowFunction="sum" dataDxfId="1036" totalsRowDxfId="999"/>
    <tableColumn id="14" xr3:uid="{00000000-0010-0000-0F00-00000E000000}" name="Y-DAY" totalsRowFunction="sum" dataDxfId="1035" totalsRowDxfId="998"/>
    <tableColumn id="15" xr3:uid="{00000000-0010-0000-0F00-00000F000000}" name="WEEKLY" totalsRowFunction="sum" dataDxfId="1034" totalsRowDxfId="997"/>
    <tableColumn id="16" xr3:uid="{00000000-0010-0000-0F00-000010000000}" name="LOWEST AVAIL" dataDxfId="1033" totalsRowDxfId="996"/>
    <tableColumn id="17" xr3:uid="{00000000-0010-0000-0F00-000011000000}" name="Y" totalsRowFunction="sum" dataDxfId="1032" totalsRowDxfId="995"/>
    <tableColumn id="18" xr3:uid="{00000000-0010-0000-0F00-000012000000}" name="B" totalsRowFunction="sum" dataDxfId="1031" totalsRowDxfId="994"/>
    <tableColumn id="19" xr3:uid="{00000000-0010-0000-0F00-000013000000}" name="M" totalsRowFunction="sum" dataDxfId="1030" totalsRowDxfId="993"/>
    <tableColumn id="20" xr3:uid="{00000000-0010-0000-0F00-000014000000}" name="H" totalsRowFunction="sum" dataDxfId="1029" totalsRowDxfId="992"/>
    <tableColumn id="21" xr3:uid="{00000000-0010-0000-0F00-000015000000}" name="Q" totalsRowFunction="sum" dataDxfId="1028" totalsRowDxfId="991"/>
    <tableColumn id="22" xr3:uid="{00000000-0010-0000-0F00-000016000000}" name="K" totalsRowFunction="sum" dataDxfId="1027" totalsRowDxfId="990"/>
    <tableColumn id="23" xr3:uid="{00000000-0010-0000-0F00-000017000000}" name="V" totalsRowFunction="sum" dataDxfId="1026" totalsRowDxfId="989"/>
    <tableColumn id="24" xr3:uid="{00000000-0010-0000-0F00-000018000000}" name="L" totalsRowFunction="sum" dataDxfId="1025" totalsRowDxfId="988"/>
    <tableColumn id="25" xr3:uid="{00000000-0010-0000-0F00-000019000000}" name="G" totalsRowFunction="sum" dataDxfId="1024" totalsRowDxfId="987"/>
    <tableColumn id="26" xr3:uid="{00000000-0010-0000-0F00-00001A000000}" name="S" totalsRowFunction="sum" dataDxfId="1023" totalsRowDxfId="986"/>
    <tableColumn id="27" xr3:uid="{00000000-0010-0000-0F00-00001B000000}" name="W" totalsRowFunction="sum" dataDxfId="1022" totalsRowDxfId="985"/>
    <tableColumn id="28" xr3:uid="{00000000-0010-0000-0F00-00001C000000}" name="T" totalsRowFunction="sum" dataDxfId="1021" totalsRowDxfId="984"/>
    <tableColumn id="29" xr3:uid="{00000000-0010-0000-0F00-00001D000000}" name="X" totalsRowFunction="sum" dataDxfId="1020" totalsRowDxfId="983"/>
    <tableColumn id="30" xr3:uid="{00000000-0010-0000-0F00-00001E000000}" name="U" totalsRowFunction="sum" dataDxfId="1019" totalsRowDxfId="982"/>
    <tableColumn id="31" xr3:uid="{00000000-0010-0000-0F00-00001F000000}" name="O" totalsRowFunction="sum" dataDxfId="1018" totalsRowDxfId="981"/>
    <tableColumn id="32" xr3:uid="{00000000-0010-0000-0F00-000020000000}" name="I" totalsRowFunction="sum" dataDxfId="1017" totalsRowDxfId="980"/>
    <tableColumn id="33" xr3:uid="{00000000-0010-0000-0F00-000021000000}" name="E" totalsRowFunction="sum" dataDxfId="1016" totalsRowDxfId="979"/>
    <tableColumn id="34" xr3:uid="{00000000-0010-0000-0F00-000022000000}" name="A" totalsRowFunction="sum" dataDxfId="1015" totalsRowDxfId="978"/>
    <tableColumn id="35" xr3:uid="{00000000-0010-0000-0F00-000023000000}" name="P" totalsRowFunction="sum" dataDxfId="1014" totalsRowDxfId="977"/>
    <tableColumn id="36" xr3:uid="{00000000-0010-0000-0F00-000024000000}" name="N" totalsRowFunction="count" dataDxfId="1013" totalsRowDxfId="976"/>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ATZ_JED" displayName="FocusMode_ATZ_JED" ref="A1:H41" totalsRowShown="0">
  <autoFilter ref="A1:H41"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hreatsAlert_ATZ_JED" displayName="ThreatsAlert_ATZ_JED" ref="A1:H39" totalsRowShown="0">
  <autoFilter ref="A1:H39"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SSH_JED" displayName="FocusMode_SSH_JED" ref="A1:H4" totalsRowShown="0">
  <autoFilter ref="A1:H4"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hreatsAlert_SSH_JED" displayName="ThreatsAlert_SSH_JED" ref="A1:H4" totalsRowShown="0">
  <autoFilter ref="A1:H4"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CAI_RUH_LF_LEGACY" displayName="CAI_RUH_LF_LEGACY" ref="A1:AJ6" totalsRowCount="1" headerRowDxfId="974" dataDxfId="937" totalsRowDxfId="900">
  <tableColumns count="36">
    <tableColumn id="1" xr3:uid="{00000000-0010-0000-1400-000001000000}" name="Day" totalsRowLabel="TOTAL" dataDxfId="973" totalsRowDxfId="936"/>
    <tableColumn id="2" xr3:uid="{00000000-0010-0000-1400-000002000000}" name="Flt Dt" dataDxfId="972" totalsRowDxfId="935"/>
    <tableColumn id="3" xr3:uid="{00000000-0010-0000-1400-000003000000}" name="Flt" totalsRowFunction="count" dataDxfId="971" totalsRowDxfId="934"/>
    <tableColumn id="4" xr3:uid="{00000000-0010-0000-1400-000004000000}" name="DEP" dataDxfId="970" totalsRowDxfId="933"/>
    <tableColumn id="5" xr3:uid="{00000000-0010-0000-1400-000005000000}" name="Brd-Off" totalsRowFunction="count" dataDxfId="969" totalsRowDxfId="932"/>
    <tableColumn id="6" xr3:uid="{00000000-0010-0000-1400-000006000000}" name="Eqp" dataDxfId="968" totalsRowDxfId="931"/>
    <tableColumn id="7" xr3:uid="{00000000-0010-0000-1400-000007000000}" name="LF%" totalsRowFunction="average" dataDxfId="967" totalsRowDxfId="930"/>
    <tableColumn id="8" xr3:uid="{00000000-0010-0000-1400-000008000000}" name="CAP" totalsRowFunction="sum" dataDxfId="966" totalsRowDxfId="929"/>
    <tableColumn id="9" xr3:uid="{00000000-0010-0000-1400-000009000000}" name="BKG(Y)" totalsRowFunction="sum" dataDxfId="965" totalsRowDxfId="928"/>
    <tableColumn id="10" xr3:uid="{00000000-0010-0000-1400-00000A000000}" name="GRP(Y)" totalsRowFunction="sum" dataDxfId="964" totalsRowDxfId="927"/>
    <tableColumn id="11" xr3:uid="{00000000-0010-0000-1400-00000B000000}" name="FLT ST" dataDxfId="963" totalsRowDxfId="926"/>
    <tableColumn id="12" xr3:uid="{00000000-0010-0000-1400-00000C000000}" name="LST-SOLD" dataDxfId="962" totalsRowDxfId="925"/>
    <tableColumn id="13" xr3:uid="{00000000-0010-0000-1400-00000D000000}" name="TO-DAY" totalsRowFunction="sum" dataDxfId="961" totalsRowDxfId="924"/>
    <tableColumn id="14" xr3:uid="{00000000-0010-0000-1400-00000E000000}" name="Y-DAY" totalsRowFunction="sum" dataDxfId="960" totalsRowDxfId="923"/>
    <tableColumn id="15" xr3:uid="{00000000-0010-0000-1400-00000F000000}" name="WEEKLY" totalsRowFunction="sum" dataDxfId="959" totalsRowDxfId="922"/>
    <tableColumn id="16" xr3:uid="{00000000-0010-0000-1400-000010000000}" name="LOWEST AVAIL" dataDxfId="958" totalsRowDxfId="921"/>
    <tableColumn id="17" xr3:uid="{00000000-0010-0000-1400-000011000000}" name="Y" totalsRowFunction="sum" dataDxfId="957" totalsRowDxfId="920"/>
    <tableColumn id="18" xr3:uid="{00000000-0010-0000-1400-000012000000}" name="B" totalsRowFunction="sum" dataDxfId="956" totalsRowDxfId="919"/>
    <tableColumn id="19" xr3:uid="{00000000-0010-0000-1400-000013000000}" name="M" totalsRowFunction="sum" dataDxfId="955" totalsRowDxfId="918"/>
    <tableColumn id="20" xr3:uid="{00000000-0010-0000-1400-000014000000}" name="H" totalsRowFunction="sum" dataDxfId="954" totalsRowDxfId="917"/>
    <tableColumn id="21" xr3:uid="{00000000-0010-0000-1400-000015000000}" name="Q" totalsRowFunction="sum" dataDxfId="953" totalsRowDxfId="916"/>
    <tableColumn id="22" xr3:uid="{00000000-0010-0000-1400-000016000000}" name="K" totalsRowFunction="sum" dataDxfId="952" totalsRowDxfId="915"/>
    <tableColumn id="23" xr3:uid="{00000000-0010-0000-1400-000017000000}" name="V" totalsRowFunction="sum" dataDxfId="951" totalsRowDxfId="914"/>
    <tableColumn id="24" xr3:uid="{00000000-0010-0000-1400-000018000000}" name="L" totalsRowFunction="sum" dataDxfId="950" totalsRowDxfId="913"/>
    <tableColumn id="25" xr3:uid="{00000000-0010-0000-1400-000019000000}" name="G" totalsRowFunction="sum" dataDxfId="949" totalsRowDxfId="912"/>
    <tableColumn id="26" xr3:uid="{00000000-0010-0000-1400-00001A000000}" name="S" totalsRowFunction="sum" dataDxfId="948" totalsRowDxfId="911"/>
    <tableColumn id="27" xr3:uid="{00000000-0010-0000-1400-00001B000000}" name="W" totalsRowFunction="sum" dataDxfId="947" totalsRowDxfId="910"/>
    <tableColumn id="28" xr3:uid="{00000000-0010-0000-1400-00001C000000}" name="T" totalsRowFunction="sum" dataDxfId="946" totalsRowDxfId="909"/>
    <tableColumn id="29" xr3:uid="{00000000-0010-0000-1400-00001D000000}" name="X" totalsRowFunction="sum" dataDxfId="945" totalsRowDxfId="908"/>
    <tableColumn id="30" xr3:uid="{00000000-0010-0000-1400-00001E000000}" name="U" totalsRowFunction="sum" dataDxfId="944" totalsRowDxfId="907"/>
    <tableColumn id="31" xr3:uid="{00000000-0010-0000-1400-00001F000000}" name="O" totalsRowFunction="sum" dataDxfId="943" totalsRowDxfId="906"/>
    <tableColumn id="32" xr3:uid="{00000000-0010-0000-1400-000020000000}" name="I" totalsRowFunction="sum" dataDxfId="942" totalsRowDxfId="905"/>
    <tableColumn id="33" xr3:uid="{00000000-0010-0000-1400-000021000000}" name="E" totalsRowFunction="sum" dataDxfId="941" totalsRowDxfId="904"/>
    <tableColumn id="34" xr3:uid="{00000000-0010-0000-1400-000022000000}" name="A" totalsRowFunction="sum" dataDxfId="940" totalsRowDxfId="903"/>
    <tableColumn id="35" xr3:uid="{00000000-0010-0000-1400-000023000000}" name="P" totalsRowFunction="sum" dataDxfId="939" totalsRowDxfId="902"/>
    <tableColumn id="36" xr3:uid="{00000000-0010-0000-1400-000024000000}" name="N" totalsRowFunction="count" dataDxfId="938" totalsRowDxfId="901"/>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CAI_RUH" displayName="FocusMode_CAI_RUH" ref="A1:H148" totalsRowShown="0">
  <autoFilter ref="A1:H148"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hreatsAlert_CAI_RUH" displayName="ThreatsAlert_CAI_RUH" ref="A1:H14" totalsRowShown="0">
  <autoFilter ref="A1:H14" xr:uid="{00000000-0009-0000-0100-000017000000}"/>
  <tableColumns count="8">
    <tableColumn id="1" xr3:uid="{00000000-0010-0000-1600-000001000000}" name="DATE"/>
    <tableColumn id="2" xr3:uid="{00000000-0010-0000-1600-000002000000}" name="AIRLINE"/>
    <tableColumn id="3" xr3:uid="{00000000-0010-0000-1600-000003000000}" name="FLIGHT NUM"/>
    <tableColumn id="4" xr3:uid="{00000000-0010-0000-1600-000004000000}" name="ROUTE"/>
    <tableColumn id="5" xr3:uid="{00000000-0010-0000-1600-000005000000}" name="DEPARTURE"/>
    <tableColumn id="6" xr3:uid="{00000000-0010-0000-1600-000006000000}" name="BAGGAGE"/>
    <tableColumn id="7" xr3:uid="{00000000-0010-0000-1600-000007000000}" name="AVAILABILITY"/>
    <tableColumn id="8" xr3:uid="{00000000-0010-0000-1600-000008000000}" name="PUBLISHED FARE"/>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ocusMode_ATZ_RUH" displayName="FocusMode_ATZ_RUH" ref="A1:H40" totalsRowShown="0">
  <autoFilter ref="A1:H40" xr:uid="{00000000-0009-0000-0100-000018000000}"/>
  <tableColumns count="8">
    <tableColumn id="1" xr3:uid="{00000000-0010-0000-1700-000001000000}" name="DATE"/>
    <tableColumn id="2" xr3:uid="{00000000-0010-0000-1700-000002000000}" name="AIRLINE"/>
    <tableColumn id="3" xr3:uid="{00000000-0010-0000-1700-000003000000}" name="FLIGHT NUM"/>
    <tableColumn id="4" xr3:uid="{00000000-0010-0000-1700-000004000000}" name="ROUTE"/>
    <tableColumn id="5" xr3:uid="{00000000-0010-0000-1700-000005000000}" name="DEPARTURE"/>
    <tableColumn id="6" xr3:uid="{00000000-0010-0000-1700-000006000000}" name="BAGGAGE"/>
    <tableColumn id="7" xr3:uid="{00000000-0010-0000-1700-000007000000}" name="AVAILABILITY"/>
    <tableColumn id="8" xr3:uid="{00000000-0010-0000-1700-000008000000}" name="PUBLISHED FAR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hreatsAlert_ATZ_RUH" displayName="ThreatsAlert_ATZ_RUH" ref="A1:H40" totalsRowShown="0">
  <autoFilter ref="A1:H40" xr:uid="{00000000-0009-0000-0100-000019000000}"/>
  <tableColumns count="8">
    <tableColumn id="1" xr3:uid="{00000000-0010-0000-1800-000001000000}" name="DATE"/>
    <tableColumn id="2" xr3:uid="{00000000-0010-0000-1800-000002000000}" name="AIRLINE"/>
    <tableColumn id="3" xr3:uid="{00000000-0010-0000-1800-000003000000}" name="FLIGHT NUM"/>
    <tableColumn id="4" xr3:uid="{00000000-0010-0000-1800-000004000000}" name="ROUTE"/>
    <tableColumn id="5" xr3:uid="{00000000-0010-0000-1800-000005000000}" name="DEPARTURE"/>
    <tableColumn id="6" xr3:uid="{00000000-0010-0000-1800-000006000000}" name="BAGGAGE"/>
    <tableColumn id="7" xr3:uid="{00000000-0010-0000-1800-000007000000}" name="AVAILABILITY"/>
    <tableColumn id="8" xr3:uid="{00000000-0010-0000-1800-000008000000}" name="PUBLISHED FAR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CAI_DMM_LF_LEGACY" displayName="CAI_DMM_LF_LEGACY" ref="A1:AJ5" totalsRowCount="1" headerRowDxfId="899" dataDxfId="862" totalsRowDxfId="825">
  <tableColumns count="36">
    <tableColumn id="1" xr3:uid="{00000000-0010-0000-1900-000001000000}" name="Day" totalsRowLabel="TOTAL" dataDxfId="898" totalsRowDxfId="861"/>
    <tableColumn id="2" xr3:uid="{00000000-0010-0000-1900-000002000000}" name="Flt Dt" dataDxfId="897" totalsRowDxfId="860"/>
    <tableColumn id="3" xr3:uid="{00000000-0010-0000-1900-000003000000}" name="Flt" totalsRowFunction="count" dataDxfId="896" totalsRowDxfId="859"/>
    <tableColumn id="4" xr3:uid="{00000000-0010-0000-1900-000004000000}" name="DEP" dataDxfId="895" totalsRowDxfId="858"/>
    <tableColumn id="5" xr3:uid="{00000000-0010-0000-1900-000005000000}" name="Brd-Off" totalsRowFunction="count" dataDxfId="894" totalsRowDxfId="857"/>
    <tableColumn id="6" xr3:uid="{00000000-0010-0000-1900-000006000000}" name="Eqp" dataDxfId="893" totalsRowDxfId="856"/>
    <tableColumn id="7" xr3:uid="{00000000-0010-0000-1900-000007000000}" name="LF%" totalsRowFunction="average" dataDxfId="892" totalsRowDxfId="855"/>
    <tableColumn id="8" xr3:uid="{00000000-0010-0000-1900-000008000000}" name="CAP" totalsRowFunction="sum" dataDxfId="891" totalsRowDxfId="854"/>
    <tableColumn id="9" xr3:uid="{00000000-0010-0000-1900-000009000000}" name="BKG(Y)" totalsRowFunction="sum" dataDxfId="890" totalsRowDxfId="853"/>
    <tableColumn id="10" xr3:uid="{00000000-0010-0000-1900-00000A000000}" name="GRP(Y)" totalsRowFunction="sum" dataDxfId="889" totalsRowDxfId="852"/>
    <tableColumn id="11" xr3:uid="{00000000-0010-0000-1900-00000B000000}" name="FLT ST" dataDxfId="888" totalsRowDxfId="851"/>
    <tableColumn id="12" xr3:uid="{00000000-0010-0000-1900-00000C000000}" name="LST-SOLD" dataDxfId="887" totalsRowDxfId="850"/>
    <tableColumn id="13" xr3:uid="{00000000-0010-0000-1900-00000D000000}" name="TO-DAY" totalsRowFunction="sum" dataDxfId="886" totalsRowDxfId="849"/>
    <tableColumn id="14" xr3:uid="{00000000-0010-0000-1900-00000E000000}" name="Y-DAY" totalsRowFunction="sum" dataDxfId="885" totalsRowDxfId="848"/>
    <tableColumn id="15" xr3:uid="{00000000-0010-0000-1900-00000F000000}" name="WEEKLY" totalsRowFunction="sum" dataDxfId="884" totalsRowDxfId="847"/>
    <tableColumn id="16" xr3:uid="{00000000-0010-0000-1900-000010000000}" name="LOWEST AVAIL" dataDxfId="883" totalsRowDxfId="846"/>
    <tableColumn id="17" xr3:uid="{00000000-0010-0000-1900-000011000000}" name="Y" totalsRowFunction="sum" dataDxfId="882" totalsRowDxfId="845"/>
    <tableColumn id="18" xr3:uid="{00000000-0010-0000-1900-000012000000}" name="B" totalsRowFunction="sum" dataDxfId="881" totalsRowDxfId="844"/>
    <tableColumn id="19" xr3:uid="{00000000-0010-0000-1900-000013000000}" name="M" totalsRowFunction="sum" dataDxfId="880" totalsRowDxfId="843"/>
    <tableColumn id="20" xr3:uid="{00000000-0010-0000-1900-000014000000}" name="H" totalsRowFunction="sum" dataDxfId="879" totalsRowDxfId="842"/>
    <tableColumn id="21" xr3:uid="{00000000-0010-0000-1900-000015000000}" name="Q" totalsRowFunction="sum" dataDxfId="878" totalsRowDxfId="841"/>
    <tableColumn id="22" xr3:uid="{00000000-0010-0000-1900-000016000000}" name="K" totalsRowFunction="sum" dataDxfId="877" totalsRowDxfId="840"/>
    <tableColumn id="23" xr3:uid="{00000000-0010-0000-1900-000017000000}" name="V" totalsRowFunction="sum" dataDxfId="876" totalsRowDxfId="839"/>
    <tableColumn id="24" xr3:uid="{00000000-0010-0000-1900-000018000000}" name="L" totalsRowFunction="sum" dataDxfId="875" totalsRowDxfId="838"/>
    <tableColumn id="25" xr3:uid="{00000000-0010-0000-1900-000019000000}" name="G" totalsRowFunction="sum" dataDxfId="874" totalsRowDxfId="837"/>
    <tableColumn id="26" xr3:uid="{00000000-0010-0000-1900-00001A000000}" name="S" totalsRowFunction="sum" dataDxfId="873" totalsRowDxfId="836"/>
    <tableColumn id="27" xr3:uid="{00000000-0010-0000-1900-00001B000000}" name="W" totalsRowFunction="sum" dataDxfId="872" totalsRowDxfId="835"/>
    <tableColumn id="28" xr3:uid="{00000000-0010-0000-1900-00001C000000}" name="T" totalsRowFunction="sum" dataDxfId="871" totalsRowDxfId="834"/>
    <tableColumn id="29" xr3:uid="{00000000-0010-0000-1900-00001D000000}" name="X" totalsRowFunction="sum" dataDxfId="870" totalsRowDxfId="833"/>
    <tableColumn id="30" xr3:uid="{00000000-0010-0000-1900-00001E000000}" name="U" totalsRowFunction="sum" dataDxfId="869" totalsRowDxfId="832"/>
    <tableColumn id="31" xr3:uid="{00000000-0010-0000-1900-00001F000000}" name="O" totalsRowFunction="sum" dataDxfId="868" totalsRowDxfId="831"/>
    <tableColumn id="32" xr3:uid="{00000000-0010-0000-1900-000020000000}" name="I" totalsRowFunction="sum" dataDxfId="867" totalsRowDxfId="830"/>
    <tableColumn id="33" xr3:uid="{00000000-0010-0000-1900-000021000000}" name="E" totalsRowFunction="sum" dataDxfId="866" totalsRowDxfId="829"/>
    <tableColumn id="34" xr3:uid="{00000000-0010-0000-1900-000022000000}" name="A" totalsRowFunction="sum" dataDxfId="865" totalsRowDxfId="828"/>
    <tableColumn id="35" xr3:uid="{00000000-0010-0000-1900-000023000000}" name="P" totalsRowFunction="sum" dataDxfId="864" totalsRowDxfId="827"/>
    <tableColumn id="36" xr3:uid="{00000000-0010-0000-1900-000024000000}" name="N" totalsRowFunction="count" dataDxfId="863" totalsRowDxfId="826"/>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FocusMode_CAI_DMM" displayName="FocusMode_CAI_DMM" ref="A1:H46" totalsRowShown="0">
  <autoFilter ref="A1:H46" xr:uid="{00000000-0009-0000-0100-00001B000000}"/>
  <tableColumns count="8">
    <tableColumn id="1" xr3:uid="{00000000-0010-0000-1A00-000001000000}" name="DATE"/>
    <tableColumn id="2" xr3:uid="{00000000-0010-0000-1A00-000002000000}" name="AIRLINE"/>
    <tableColumn id="3" xr3:uid="{00000000-0010-0000-1A00-000003000000}" name="FLIGHT NUM"/>
    <tableColumn id="4" xr3:uid="{00000000-0010-0000-1A00-000004000000}" name="ROUTE"/>
    <tableColumn id="5" xr3:uid="{00000000-0010-0000-1A00-000005000000}" name="DEPARTURE"/>
    <tableColumn id="6" xr3:uid="{00000000-0010-0000-1A00-000006000000}" name="BAGGAGE"/>
    <tableColumn id="7" xr3:uid="{00000000-0010-0000-1A00-000007000000}" name="AVAILABILITY"/>
    <tableColumn id="8" xr3:uid="{00000000-0010-0000-1A00-000008000000}" name="PUBLISHED FAR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hreatsAlert_CAI_DMM" displayName="ThreatsAlert_CAI_DMM" ref="A1:H4" totalsRowShown="0">
  <autoFilter ref="A1:H4" xr:uid="{00000000-0009-0000-0100-00001C000000}"/>
  <tableColumns count="8">
    <tableColumn id="1" xr3:uid="{00000000-0010-0000-1B00-000001000000}" name="DATE"/>
    <tableColumn id="2" xr3:uid="{00000000-0010-0000-1B00-000002000000}" name="AIRLINE"/>
    <tableColumn id="3" xr3:uid="{00000000-0010-0000-1B00-000003000000}" name="FLIGHT NUM"/>
    <tableColumn id="4" xr3:uid="{00000000-0010-0000-1B00-000004000000}" name="ROUTE"/>
    <tableColumn id="5" xr3:uid="{00000000-0010-0000-1B00-000005000000}" name="DEPARTURE"/>
    <tableColumn id="6" xr3:uid="{00000000-0010-0000-1B00-000006000000}" name="BAGGAGE"/>
    <tableColumn id="7" xr3:uid="{00000000-0010-0000-1B00-000007000000}" name="AVAILABILITY"/>
    <tableColumn id="8" xr3:uid="{00000000-0010-0000-1B00-000008000000}" name="PUBLISHED FARE"/>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ATZ_DMM_LF_LEGACY" displayName="ATZ_DMM_LF_LEGACY" ref="A1:AJ3" totalsRowCount="1" headerRowDxfId="824" dataDxfId="787" totalsRowDxfId="750">
  <tableColumns count="36">
    <tableColumn id="1" xr3:uid="{00000000-0010-0000-1C00-000001000000}" name="Day" totalsRowLabel="TOTAL" dataDxfId="823" totalsRowDxfId="786"/>
    <tableColumn id="2" xr3:uid="{00000000-0010-0000-1C00-000002000000}" name="Flt Dt" dataDxfId="822" totalsRowDxfId="785"/>
    <tableColumn id="3" xr3:uid="{00000000-0010-0000-1C00-000003000000}" name="Flt" totalsRowFunction="count" dataDxfId="821" totalsRowDxfId="784"/>
    <tableColumn id="4" xr3:uid="{00000000-0010-0000-1C00-000004000000}" name="DEP" dataDxfId="820" totalsRowDxfId="783"/>
    <tableColumn id="5" xr3:uid="{00000000-0010-0000-1C00-000005000000}" name="Brd-Off" totalsRowFunction="count" dataDxfId="819" totalsRowDxfId="782"/>
    <tableColumn id="6" xr3:uid="{00000000-0010-0000-1C00-000006000000}" name="Eqp" dataDxfId="818" totalsRowDxfId="781"/>
    <tableColumn id="7" xr3:uid="{00000000-0010-0000-1C00-000007000000}" name="LF%" totalsRowFunction="average" dataDxfId="817" totalsRowDxfId="780"/>
    <tableColumn id="8" xr3:uid="{00000000-0010-0000-1C00-000008000000}" name="CAP" totalsRowFunction="sum" dataDxfId="816" totalsRowDxfId="779"/>
    <tableColumn id="9" xr3:uid="{00000000-0010-0000-1C00-000009000000}" name="BKG(Y)" totalsRowFunction="sum" dataDxfId="815" totalsRowDxfId="778"/>
    <tableColumn id="10" xr3:uid="{00000000-0010-0000-1C00-00000A000000}" name="GRP(Y)" totalsRowFunction="sum" dataDxfId="814" totalsRowDxfId="777"/>
    <tableColumn id="11" xr3:uid="{00000000-0010-0000-1C00-00000B000000}" name="FLT ST" dataDxfId="813" totalsRowDxfId="776"/>
    <tableColumn id="12" xr3:uid="{00000000-0010-0000-1C00-00000C000000}" name="LST-SOLD" dataDxfId="812" totalsRowDxfId="775"/>
    <tableColumn id="13" xr3:uid="{00000000-0010-0000-1C00-00000D000000}" name="TO-DAY" totalsRowFunction="sum" dataDxfId="811" totalsRowDxfId="774"/>
    <tableColumn id="14" xr3:uid="{00000000-0010-0000-1C00-00000E000000}" name="Y-DAY" totalsRowFunction="sum" dataDxfId="810" totalsRowDxfId="773"/>
    <tableColumn id="15" xr3:uid="{00000000-0010-0000-1C00-00000F000000}" name="WEEKLY" totalsRowFunction="sum" dataDxfId="809" totalsRowDxfId="772"/>
    <tableColumn id="16" xr3:uid="{00000000-0010-0000-1C00-000010000000}" name="LOWEST AVAIL" dataDxfId="808" totalsRowDxfId="771"/>
    <tableColumn id="17" xr3:uid="{00000000-0010-0000-1C00-000011000000}" name="Y" totalsRowFunction="sum" dataDxfId="807" totalsRowDxfId="770"/>
    <tableColumn id="18" xr3:uid="{00000000-0010-0000-1C00-000012000000}" name="B" totalsRowFunction="sum" dataDxfId="806" totalsRowDxfId="769"/>
    <tableColumn id="19" xr3:uid="{00000000-0010-0000-1C00-000013000000}" name="M" totalsRowFunction="sum" dataDxfId="805" totalsRowDxfId="768"/>
    <tableColumn id="20" xr3:uid="{00000000-0010-0000-1C00-000014000000}" name="H" totalsRowFunction="sum" dataDxfId="804" totalsRowDxfId="767"/>
    <tableColumn id="21" xr3:uid="{00000000-0010-0000-1C00-000015000000}" name="Q" totalsRowFunction="sum" dataDxfId="803" totalsRowDxfId="766"/>
    <tableColumn id="22" xr3:uid="{00000000-0010-0000-1C00-000016000000}" name="K" totalsRowFunction="sum" dataDxfId="802" totalsRowDxfId="765"/>
    <tableColumn id="23" xr3:uid="{00000000-0010-0000-1C00-000017000000}" name="V" totalsRowFunction="sum" dataDxfId="801" totalsRowDxfId="764"/>
    <tableColumn id="24" xr3:uid="{00000000-0010-0000-1C00-000018000000}" name="L" totalsRowFunction="sum" dataDxfId="800" totalsRowDxfId="763"/>
    <tableColumn id="25" xr3:uid="{00000000-0010-0000-1C00-000019000000}" name="G" totalsRowFunction="sum" dataDxfId="799" totalsRowDxfId="762"/>
    <tableColumn id="26" xr3:uid="{00000000-0010-0000-1C00-00001A000000}" name="S" totalsRowFunction="sum" dataDxfId="798" totalsRowDxfId="761"/>
    <tableColumn id="27" xr3:uid="{00000000-0010-0000-1C00-00001B000000}" name="W" totalsRowFunction="sum" dataDxfId="797" totalsRowDxfId="760"/>
    <tableColumn id="28" xr3:uid="{00000000-0010-0000-1C00-00001C000000}" name="T" totalsRowFunction="sum" dataDxfId="796" totalsRowDxfId="759"/>
    <tableColumn id="29" xr3:uid="{00000000-0010-0000-1C00-00001D000000}" name="X" totalsRowFunction="sum" dataDxfId="795" totalsRowDxfId="758"/>
    <tableColumn id="30" xr3:uid="{00000000-0010-0000-1C00-00001E000000}" name="U" totalsRowFunction="sum" dataDxfId="794" totalsRowDxfId="757"/>
    <tableColumn id="31" xr3:uid="{00000000-0010-0000-1C00-00001F000000}" name="O" totalsRowFunction="sum" dataDxfId="793" totalsRowDxfId="756"/>
    <tableColumn id="32" xr3:uid="{00000000-0010-0000-1C00-000020000000}" name="I" totalsRowFunction="sum" dataDxfId="792" totalsRowDxfId="755"/>
    <tableColumn id="33" xr3:uid="{00000000-0010-0000-1C00-000021000000}" name="E" totalsRowFunction="sum" dataDxfId="791" totalsRowDxfId="754"/>
    <tableColumn id="34" xr3:uid="{00000000-0010-0000-1C00-000022000000}" name="A" totalsRowFunction="sum" dataDxfId="790" totalsRowDxfId="753"/>
    <tableColumn id="35" xr3:uid="{00000000-0010-0000-1C00-000023000000}" name="P" totalsRowFunction="sum" dataDxfId="789" totalsRowDxfId="752"/>
    <tableColumn id="36" xr3:uid="{00000000-0010-0000-1C00-000024000000}" name="N" totalsRowFunction="count" dataDxfId="788" totalsRowDxfId="751"/>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FocusMode_ATZ_DMM" displayName="FocusMode_ATZ_DMM" ref="A1:H35" totalsRowShown="0">
  <autoFilter ref="A1:H35" xr:uid="{00000000-0009-0000-0100-00001E000000}"/>
  <tableColumns count="8">
    <tableColumn id="1" xr3:uid="{00000000-0010-0000-1D00-000001000000}" name="DATE"/>
    <tableColumn id="2" xr3:uid="{00000000-0010-0000-1D00-000002000000}" name="AIRLINE"/>
    <tableColumn id="3" xr3:uid="{00000000-0010-0000-1D00-000003000000}" name="FLIGHT NUM"/>
    <tableColumn id="4" xr3:uid="{00000000-0010-0000-1D00-000004000000}" name="ROUTE"/>
    <tableColumn id="5" xr3:uid="{00000000-0010-0000-1D00-000005000000}" name="DEPARTURE"/>
    <tableColumn id="6" xr3:uid="{00000000-0010-0000-1D00-000006000000}" name="BAGGAGE"/>
    <tableColumn id="7" xr3:uid="{00000000-0010-0000-1D00-000007000000}" name="AVAILABILITY"/>
    <tableColumn id="8" xr3:uid="{00000000-0010-0000-1D00-000008000000}" name="PUBLISHED FARE"/>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hreatsAlert_ATZ_DMM" displayName="ThreatsAlert_ATZ_DMM" ref="A1:H35" totalsRowShown="0">
  <autoFilter ref="A1:H35" xr:uid="{00000000-0009-0000-0100-00001F000000}"/>
  <tableColumns count="8">
    <tableColumn id="1" xr3:uid="{00000000-0010-0000-1E00-000001000000}" name="DATE"/>
    <tableColumn id="2" xr3:uid="{00000000-0010-0000-1E00-000002000000}" name="AIRLINE"/>
    <tableColumn id="3" xr3:uid="{00000000-0010-0000-1E00-000003000000}" name="FLIGHT NUM"/>
    <tableColumn id="4" xr3:uid="{00000000-0010-0000-1E00-000004000000}" name="ROUTE"/>
    <tableColumn id="5" xr3:uid="{00000000-0010-0000-1E00-000005000000}" name="DEPARTURE"/>
    <tableColumn id="6" xr3:uid="{00000000-0010-0000-1E00-000006000000}" name="BAGGAGE"/>
    <tableColumn id="7" xr3:uid="{00000000-0010-0000-1E00-000007000000}" name="AVAILABILITY"/>
    <tableColumn id="8" xr3:uid="{00000000-0010-0000-1E00-000008000000}" name="PUBLISHED FAR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CAI_TUU_LF_LEGACY" displayName="CAI_TUU_LF_LEGACY" ref="A1:AJ4" totalsRowCount="1" headerRowDxfId="749" dataDxfId="712" totalsRowDxfId="675">
  <tableColumns count="36">
    <tableColumn id="1" xr3:uid="{00000000-0010-0000-1F00-000001000000}" name="Day" totalsRowLabel="TOTAL" dataDxfId="748" totalsRowDxfId="711"/>
    <tableColumn id="2" xr3:uid="{00000000-0010-0000-1F00-000002000000}" name="Flt Dt" dataDxfId="747" totalsRowDxfId="710"/>
    <tableColumn id="3" xr3:uid="{00000000-0010-0000-1F00-000003000000}" name="Flt" totalsRowFunction="count" dataDxfId="746" totalsRowDxfId="709"/>
    <tableColumn id="4" xr3:uid="{00000000-0010-0000-1F00-000004000000}" name="DEP" dataDxfId="745" totalsRowDxfId="708"/>
    <tableColumn id="5" xr3:uid="{00000000-0010-0000-1F00-000005000000}" name="Brd-Off" totalsRowFunction="count" dataDxfId="744" totalsRowDxfId="707"/>
    <tableColumn id="6" xr3:uid="{00000000-0010-0000-1F00-000006000000}" name="Eqp" dataDxfId="743" totalsRowDxfId="706"/>
    <tableColumn id="7" xr3:uid="{00000000-0010-0000-1F00-000007000000}" name="LF%" totalsRowFunction="average" dataDxfId="742" totalsRowDxfId="705"/>
    <tableColumn id="8" xr3:uid="{00000000-0010-0000-1F00-000008000000}" name="CAP" totalsRowFunction="sum" dataDxfId="741" totalsRowDxfId="704"/>
    <tableColumn id="9" xr3:uid="{00000000-0010-0000-1F00-000009000000}" name="BKG(Y)" totalsRowFunction="sum" dataDxfId="740" totalsRowDxfId="703"/>
    <tableColumn id="10" xr3:uid="{00000000-0010-0000-1F00-00000A000000}" name="GRP(Y)" totalsRowFunction="sum" dataDxfId="739" totalsRowDxfId="702"/>
    <tableColumn id="11" xr3:uid="{00000000-0010-0000-1F00-00000B000000}" name="FLT ST" dataDxfId="738" totalsRowDxfId="701"/>
    <tableColumn id="12" xr3:uid="{00000000-0010-0000-1F00-00000C000000}" name="LST-SOLD" dataDxfId="737" totalsRowDxfId="700"/>
    <tableColumn id="13" xr3:uid="{00000000-0010-0000-1F00-00000D000000}" name="TO-DAY" totalsRowFunction="sum" dataDxfId="736" totalsRowDxfId="699"/>
    <tableColumn id="14" xr3:uid="{00000000-0010-0000-1F00-00000E000000}" name="Y-DAY" totalsRowFunction="sum" dataDxfId="735" totalsRowDxfId="698"/>
    <tableColumn id="15" xr3:uid="{00000000-0010-0000-1F00-00000F000000}" name="WEEKLY" totalsRowFunction="sum" dataDxfId="734" totalsRowDxfId="697"/>
    <tableColumn id="16" xr3:uid="{00000000-0010-0000-1F00-000010000000}" name="LOWEST AVAIL" dataDxfId="733" totalsRowDxfId="696"/>
    <tableColumn id="17" xr3:uid="{00000000-0010-0000-1F00-000011000000}" name="Y" totalsRowFunction="sum" dataDxfId="732" totalsRowDxfId="695"/>
    <tableColumn id="18" xr3:uid="{00000000-0010-0000-1F00-000012000000}" name="B" totalsRowFunction="sum" dataDxfId="731" totalsRowDxfId="694"/>
    <tableColumn id="19" xr3:uid="{00000000-0010-0000-1F00-000013000000}" name="M" totalsRowFunction="sum" dataDxfId="730" totalsRowDxfId="693"/>
    <tableColumn id="20" xr3:uid="{00000000-0010-0000-1F00-000014000000}" name="H" totalsRowFunction="sum" dataDxfId="729" totalsRowDxfId="692"/>
    <tableColumn id="21" xr3:uid="{00000000-0010-0000-1F00-000015000000}" name="Q" totalsRowFunction="sum" dataDxfId="728" totalsRowDxfId="691"/>
    <tableColumn id="22" xr3:uid="{00000000-0010-0000-1F00-000016000000}" name="K" totalsRowFunction="sum" dataDxfId="727" totalsRowDxfId="690"/>
    <tableColumn id="23" xr3:uid="{00000000-0010-0000-1F00-000017000000}" name="V" totalsRowFunction="sum" dataDxfId="726" totalsRowDxfId="689"/>
    <tableColumn id="24" xr3:uid="{00000000-0010-0000-1F00-000018000000}" name="L" totalsRowFunction="sum" dataDxfId="725" totalsRowDxfId="688"/>
    <tableColumn id="25" xr3:uid="{00000000-0010-0000-1F00-000019000000}" name="G" totalsRowFunction="sum" dataDxfId="724" totalsRowDxfId="687"/>
    <tableColumn id="26" xr3:uid="{00000000-0010-0000-1F00-00001A000000}" name="S" totalsRowFunction="sum" dataDxfId="723" totalsRowDxfId="686"/>
    <tableColumn id="27" xr3:uid="{00000000-0010-0000-1F00-00001B000000}" name="W" totalsRowFunction="sum" dataDxfId="722" totalsRowDxfId="685"/>
    <tableColumn id="28" xr3:uid="{00000000-0010-0000-1F00-00001C000000}" name="T" totalsRowFunction="sum" dataDxfId="721" totalsRowDxfId="684"/>
    <tableColumn id="29" xr3:uid="{00000000-0010-0000-1F00-00001D000000}" name="X" totalsRowFunction="sum" dataDxfId="720" totalsRowDxfId="683"/>
    <tableColumn id="30" xr3:uid="{00000000-0010-0000-1F00-00001E000000}" name="U" totalsRowFunction="sum" dataDxfId="719" totalsRowDxfId="682"/>
    <tableColumn id="31" xr3:uid="{00000000-0010-0000-1F00-00001F000000}" name="O" totalsRowFunction="sum" dataDxfId="718" totalsRowDxfId="681"/>
    <tableColumn id="32" xr3:uid="{00000000-0010-0000-1F00-000020000000}" name="I" totalsRowFunction="sum" dataDxfId="717" totalsRowDxfId="680"/>
    <tableColumn id="33" xr3:uid="{00000000-0010-0000-1F00-000021000000}" name="E" totalsRowFunction="sum" dataDxfId="716" totalsRowDxfId="679"/>
    <tableColumn id="34" xr3:uid="{00000000-0010-0000-1F00-000022000000}" name="A" totalsRowFunction="sum" dataDxfId="715" totalsRowDxfId="678"/>
    <tableColumn id="35" xr3:uid="{00000000-0010-0000-1F00-000023000000}" name="P" totalsRowFunction="sum" dataDxfId="714" totalsRowDxfId="677"/>
    <tableColumn id="36" xr3:uid="{00000000-0010-0000-1F00-000024000000}" name="N" totalsRowFunction="count" dataDxfId="713" totalsRowDxfId="676"/>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FocusMode_CAI_TUU" displayName="FocusMode_CAI_TUU" ref="A1:H11" totalsRowShown="0">
  <autoFilter ref="A1:H11" xr:uid="{00000000-0009-0000-0100-000021000000}"/>
  <tableColumns count="8">
    <tableColumn id="1" xr3:uid="{00000000-0010-0000-2000-000001000000}" name="DATE"/>
    <tableColumn id="2" xr3:uid="{00000000-0010-0000-2000-000002000000}" name="AIRLINE"/>
    <tableColumn id="3" xr3:uid="{00000000-0010-0000-2000-000003000000}" name="FLIGHT NUM"/>
    <tableColumn id="4" xr3:uid="{00000000-0010-0000-2000-000004000000}" name="ROUTE"/>
    <tableColumn id="5" xr3:uid="{00000000-0010-0000-2000-000005000000}" name="DEPARTURE"/>
    <tableColumn id="6" xr3:uid="{00000000-0010-0000-2000-000006000000}" name="BAGGAGE"/>
    <tableColumn id="7" xr3:uid="{00000000-0010-0000-2000-000007000000}" name="AVAILABILITY"/>
    <tableColumn id="8" xr3:uid="{00000000-0010-0000-2000-000008000000}" name="PUBLISHED FARE"/>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hreatsAlert_CAI_TUU" displayName="ThreatsAlert_CAI_TUU" ref="A1:H9" totalsRowShown="0">
  <autoFilter ref="A1:H9" xr:uid="{00000000-0009-0000-0100-000022000000}"/>
  <tableColumns count="8">
    <tableColumn id="1" xr3:uid="{00000000-0010-0000-2100-000001000000}" name="DATE"/>
    <tableColumn id="2" xr3:uid="{00000000-0010-0000-2100-000002000000}" name="AIRLINE"/>
    <tableColumn id="3" xr3:uid="{00000000-0010-0000-2100-000003000000}" name="FLIGHT NUM"/>
    <tableColumn id="4" xr3:uid="{00000000-0010-0000-2100-000004000000}" name="ROUTE"/>
    <tableColumn id="5" xr3:uid="{00000000-0010-0000-2100-000005000000}" name="DEPARTURE"/>
    <tableColumn id="6" xr3:uid="{00000000-0010-0000-2100-000006000000}" name="BAGGAGE"/>
    <tableColumn id="7" xr3:uid="{00000000-0010-0000-2100-000007000000}" name="AVAILABILITY"/>
    <tableColumn id="8" xr3:uid="{00000000-0010-0000-2100-000008000000}" name="PUBLISHED FARE"/>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ATZ_TUU_LF_LEGACY" displayName="ATZ_TUU_LF_LEGACY" ref="A1:AJ3" totalsRowCount="1" headerRowDxfId="674" dataDxfId="637" totalsRowDxfId="600">
  <tableColumns count="36">
    <tableColumn id="1" xr3:uid="{00000000-0010-0000-2200-000001000000}" name="Day" totalsRowLabel="TOTAL" dataDxfId="673" totalsRowDxfId="636"/>
    <tableColumn id="2" xr3:uid="{00000000-0010-0000-2200-000002000000}" name="Flt Dt" dataDxfId="672" totalsRowDxfId="635"/>
    <tableColumn id="3" xr3:uid="{00000000-0010-0000-2200-000003000000}" name="Flt" totalsRowFunction="count" dataDxfId="671" totalsRowDxfId="634"/>
    <tableColumn id="4" xr3:uid="{00000000-0010-0000-2200-000004000000}" name="DEP" dataDxfId="670" totalsRowDxfId="633"/>
    <tableColumn id="5" xr3:uid="{00000000-0010-0000-2200-000005000000}" name="Brd-Off" totalsRowFunction="count" dataDxfId="669" totalsRowDxfId="632"/>
    <tableColumn id="6" xr3:uid="{00000000-0010-0000-2200-000006000000}" name="Eqp" dataDxfId="668" totalsRowDxfId="631"/>
    <tableColumn id="7" xr3:uid="{00000000-0010-0000-2200-000007000000}" name="LF%" totalsRowFunction="average" dataDxfId="667" totalsRowDxfId="630"/>
    <tableColumn id="8" xr3:uid="{00000000-0010-0000-2200-000008000000}" name="CAP" totalsRowFunction="sum" dataDxfId="666" totalsRowDxfId="629"/>
    <tableColumn id="9" xr3:uid="{00000000-0010-0000-2200-000009000000}" name="BKG(Y)" totalsRowFunction="sum" dataDxfId="665" totalsRowDxfId="628"/>
    <tableColumn id="10" xr3:uid="{00000000-0010-0000-2200-00000A000000}" name="GRP(Y)" totalsRowFunction="sum" dataDxfId="664" totalsRowDxfId="627"/>
    <tableColumn id="11" xr3:uid="{00000000-0010-0000-2200-00000B000000}" name="FLT ST" dataDxfId="663" totalsRowDxfId="626"/>
    <tableColumn id="12" xr3:uid="{00000000-0010-0000-2200-00000C000000}" name="LST-SOLD" dataDxfId="662" totalsRowDxfId="625"/>
    <tableColumn id="13" xr3:uid="{00000000-0010-0000-2200-00000D000000}" name="TO-DAY" totalsRowFunction="sum" dataDxfId="661" totalsRowDxfId="624"/>
    <tableColumn id="14" xr3:uid="{00000000-0010-0000-2200-00000E000000}" name="Y-DAY" totalsRowFunction="sum" dataDxfId="660" totalsRowDxfId="623"/>
    <tableColumn id="15" xr3:uid="{00000000-0010-0000-2200-00000F000000}" name="WEEKLY" totalsRowFunction="sum" dataDxfId="659" totalsRowDxfId="622"/>
    <tableColumn id="16" xr3:uid="{00000000-0010-0000-2200-000010000000}" name="LOWEST AVAIL" dataDxfId="658" totalsRowDxfId="621"/>
    <tableColumn id="17" xr3:uid="{00000000-0010-0000-2200-000011000000}" name="Y" totalsRowFunction="sum" dataDxfId="657" totalsRowDxfId="620"/>
    <tableColumn id="18" xr3:uid="{00000000-0010-0000-2200-000012000000}" name="B" totalsRowFunction="sum" dataDxfId="656" totalsRowDxfId="619"/>
    <tableColumn id="19" xr3:uid="{00000000-0010-0000-2200-000013000000}" name="M" totalsRowFunction="sum" dataDxfId="655" totalsRowDxfId="618"/>
    <tableColumn id="20" xr3:uid="{00000000-0010-0000-2200-000014000000}" name="H" totalsRowFunction="sum" dataDxfId="654" totalsRowDxfId="617"/>
    <tableColumn id="21" xr3:uid="{00000000-0010-0000-2200-000015000000}" name="Q" totalsRowFunction="sum" dataDxfId="653" totalsRowDxfId="616"/>
    <tableColumn id="22" xr3:uid="{00000000-0010-0000-2200-000016000000}" name="K" totalsRowFunction="sum" dataDxfId="652" totalsRowDxfId="615"/>
    <tableColumn id="23" xr3:uid="{00000000-0010-0000-2200-000017000000}" name="V" totalsRowFunction="sum" dataDxfId="651" totalsRowDxfId="614"/>
    <tableColumn id="24" xr3:uid="{00000000-0010-0000-2200-000018000000}" name="L" totalsRowFunction="sum" dataDxfId="650" totalsRowDxfId="613"/>
    <tableColumn id="25" xr3:uid="{00000000-0010-0000-2200-000019000000}" name="G" totalsRowFunction="sum" dataDxfId="649" totalsRowDxfId="612"/>
    <tableColumn id="26" xr3:uid="{00000000-0010-0000-2200-00001A000000}" name="S" totalsRowFunction="sum" dataDxfId="648" totalsRowDxfId="611"/>
    <tableColumn id="27" xr3:uid="{00000000-0010-0000-2200-00001B000000}" name="W" totalsRowFunction="sum" dataDxfId="647" totalsRowDxfId="610"/>
    <tableColumn id="28" xr3:uid="{00000000-0010-0000-2200-00001C000000}" name="T" totalsRowFunction="sum" dataDxfId="646" totalsRowDxfId="609"/>
    <tableColumn id="29" xr3:uid="{00000000-0010-0000-2200-00001D000000}" name="X" totalsRowFunction="sum" dataDxfId="645" totalsRowDxfId="608"/>
    <tableColumn id="30" xr3:uid="{00000000-0010-0000-2200-00001E000000}" name="U" totalsRowFunction="sum" dataDxfId="644" totalsRowDxfId="607"/>
    <tableColumn id="31" xr3:uid="{00000000-0010-0000-2200-00001F000000}" name="O" totalsRowFunction="sum" dataDxfId="643" totalsRowDxfId="606"/>
    <tableColumn id="32" xr3:uid="{00000000-0010-0000-2200-000020000000}" name="I" totalsRowFunction="sum" dataDxfId="642" totalsRowDxfId="605"/>
    <tableColumn id="33" xr3:uid="{00000000-0010-0000-2200-000021000000}" name="E" totalsRowFunction="sum" dataDxfId="641" totalsRowDxfId="604"/>
    <tableColumn id="34" xr3:uid="{00000000-0010-0000-2200-000022000000}" name="A" totalsRowFunction="sum" dataDxfId="640" totalsRowDxfId="603"/>
    <tableColumn id="35" xr3:uid="{00000000-0010-0000-2200-000023000000}" name="P" totalsRowFunction="sum" dataDxfId="639" totalsRowDxfId="602"/>
    <tableColumn id="36" xr3:uid="{00000000-0010-0000-2200-000024000000}" name="N" totalsRowFunction="count" dataDxfId="638" totalsRowDxfId="601"/>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FocusMode_ATZ_TUU" displayName="FocusMode_ATZ_TUU" ref="A1:H15" totalsRowShown="0">
  <autoFilter ref="A1:H15" xr:uid="{00000000-0009-0000-0100-000024000000}"/>
  <tableColumns count="8">
    <tableColumn id="1" xr3:uid="{00000000-0010-0000-2300-000001000000}" name="DATE"/>
    <tableColumn id="2" xr3:uid="{00000000-0010-0000-2300-000002000000}" name="AIRLINE"/>
    <tableColumn id="3" xr3:uid="{00000000-0010-0000-2300-000003000000}" name="FLIGHT NUM"/>
    <tableColumn id="4" xr3:uid="{00000000-0010-0000-2300-000004000000}" name="ROUTE"/>
    <tableColumn id="5" xr3:uid="{00000000-0010-0000-2300-000005000000}" name="DEPARTURE"/>
    <tableColumn id="6" xr3:uid="{00000000-0010-0000-2300-000006000000}" name="BAGGAGE"/>
    <tableColumn id="7" xr3:uid="{00000000-0010-0000-2300-000007000000}" name="AVAILABILITY"/>
    <tableColumn id="8" xr3:uid="{00000000-0010-0000-2300-000008000000}" name="PUBLISHED FAR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hreatsAlert_ATZ_TUU" displayName="ThreatsAlert_ATZ_TUU" ref="A1:H15" totalsRowShown="0">
  <autoFilter ref="A1:H15" xr:uid="{00000000-0009-0000-0100-000025000000}"/>
  <tableColumns count="8">
    <tableColumn id="1" xr3:uid="{00000000-0010-0000-2400-000001000000}" name="DATE"/>
    <tableColumn id="2" xr3:uid="{00000000-0010-0000-2400-000002000000}" name="AIRLINE"/>
    <tableColumn id="3" xr3:uid="{00000000-0010-0000-2400-000003000000}" name="FLIGHT NUM"/>
    <tableColumn id="4" xr3:uid="{00000000-0010-0000-2400-000004000000}" name="ROUTE"/>
    <tableColumn id="5" xr3:uid="{00000000-0010-0000-2400-000005000000}" name="DEPARTURE"/>
    <tableColumn id="6" xr3:uid="{00000000-0010-0000-2400-000006000000}" name="BAGGAGE"/>
    <tableColumn id="7" xr3:uid="{00000000-0010-0000-2400-000007000000}" name="AVAILABILITY"/>
    <tableColumn id="8" xr3:uid="{00000000-0010-0000-2400-000008000000}" name="PUBLISHED FARE"/>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CAI_AJF_LF_LEGACY" displayName="CAI_AJF_LF_LEGACY" ref="A1:AJ4" totalsRowCount="1" headerRowDxfId="599" dataDxfId="562" totalsRowDxfId="525">
  <tableColumns count="36">
    <tableColumn id="1" xr3:uid="{00000000-0010-0000-2500-000001000000}" name="Day" totalsRowLabel="TOTAL" dataDxfId="598" totalsRowDxfId="561"/>
    <tableColumn id="2" xr3:uid="{00000000-0010-0000-2500-000002000000}" name="Flt Dt" dataDxfId="597" totalsRowDxfId="560"/>
    <tableColumn id="3" xr3:uid="{00000000-0010-0000-2500-000003000000}" name="Flt" totalsRowFunction="count" dataDxfId="596" totalsRowDxfId="559"/>
    <tableColumn id="4" xr3:uid="{00000000-0010-0000-2500-000004000000}" name="DEP" dataDxfId="595" totalsRowDxfId="558"/>
    <tableColumn id="5" xr3:uid="{00000000-0010-0000-2500-000005000000}" name="Brd-Off" totalsRowFunction="count" dataDxfId="594" totalsRowDxfId="557"/>
    <tableColumn id="6" xr3:uid="{00000000-0010-0000-2500-000006000000}" name="Eqp" dataDxfId="593" totalsRowDxfId="556"/>
    <tableColumn id="7" xr3:uid="{00000000-0010-0000-2500-000007000000}" name="LF%" totalsRowFunction="average" dataDxfId="592" totalsRowDxfId="555"/>
    <tableColumn id="8" xr3:uid="{00000000-0010-0000-2500-000008000000}" name="CAP" totalsRowFunction="sum" dataDxfId="591" totalsRowDxfId="554"/>
    <tableColumn id="9" xr3:uid="{00000000-0010-0000-2500-000009000000}" name="BKG(Y)" totalsRowFunction="sum" dataDxfId="590" totalsRowDxfId="553"/>
    <tableColumn id="10" xr3:uid="{00000000-0010-0000-2500-00000A000000}" name="GRP(Y)" totalsRowFunction="sum" dataDxfId="589" totalsRowDxfId="552"/>
    <tableColumn id="11" xr3:uid="{00000000-0010-0000-2500-00000B000000}" name="FLT ST" dataDxfId="588" totalsRowDxfId="551"/>
    <tableColumn id="12" xr3:uid="{00000000-0010-0000-2500-00000C000000}" name="LST-SOLD" dataDxfId="587" totalsRowDxfId="550"/>
    <tableColumn id="13" xr3:uid="{00000000-0010-0000-2500-00000D000000}" name="TO-DAY" totalsRowFunction="sum" dataDxfId="586" totalsRowDxfId="549"/>
    <tableColumn id="14" xr3:uid="{00000000-0010-0000-2500-00000E000000}" name="Y-DAY" totalsRowFunction="sum" dataDxfId="585" totalsRowDxfId="548"/>
    <tableColumn id="15" xr3:uid="{00000000-0010-0000-2500-00000F000000}" name="WEEKLY" totalsRowFunction="sum" dataDxfId="584" totalsRowDxfId="547"/>
    <tableColumn id="16" xr3:uid="{00000000-0010-0000-2500-000010000000}" name="LOWEST AVAIL" dataDxfId="583" totalsRowDxfId="546"/>
    <tableColumn id="17" xr3:uid="{00000000-0010-0000-2500-000011000000}" name="Y" totalsRowFunction="sum" dataDxfId="582" totalsRowDxfId="545"/>
    <tableColumn id="18" xr3:uid="{00000000-0010-0000-2500-000012000000}" name="B" totalsRowFunction="sum" dataDxfId="581" totalsRowDxfId="544"/>
    <tableColumn id="19" xr3:uid="{00000000-0010-0000-2500-000013000000}" name="M" totalsRowFunction="sum" dataDxfId="580" totalsRowDxfId="543"/>
    <tableColumn id="20" xr3:uid="{00000000-0010-0000-2500-000014000000}" name="H" totalsRowFunction="sum" dataDxfId="579" totalsRowDxfId="542"/>
    <tableColumn id="21" xr3:uid="{00000000-0010-0000-2500-000015000000}" name="Q" totalsRowFunction="sum" dataDxfId="578" totalsRowDxfId="541"/>
    <tableColumn id="22" xr3:uid="{00000000-0010-0000-2500-000016000000}" name="K" totalsRowFunction="sum" dataDxfId="577" totalsRowDxfId="540"/>
    <tableColumn id="23" xr3:uid="{00000000-0010-0000-2500-000017000000}" name="V" totalsRowFunction="sum" dataDxfId="576" totalsRowDxfId="539"/>
    <tableColumn id="24" xr3:uid="{00000000-0010-0000-2500-000018000000}" name="L" totalsRowFunction="sum" dataDxfId="575" totalsRowDxfId="538"/>
    <tableColumn id="25" xr3:uid="{00000000-0010-0000-2500-000019000000}" name="G" totalsRowFunction="sum" dataDxfId="574" totalsRowDxfId="537"/>
    <tableColumn id="26" xr3:uid="{00000000-0010-0000-2500-00001A000000}" name="S" totalsRowFunction="sum" dataDxfId="573" totalsRowDxfId="536"/>
    <tableColumn id="27" xr3:uid="{00000000-0010-0000-2500-00001B000000}" name="W" totalsRowFunction="sum" dataDxfId="572" totalsRowDxfId="535"/>
    <tableColumn id="28" xr3:uid="{00000000-0010-0000-2500-00001C000000}" name="T" totalsRowFunction="sum" dataDxfId="571" totalsRowDxfId="534"/>
    <tableColumn id="29" xr3:uid="{00000000-0010-0000-2500-00001D000000}" name="X" totalsRowFunction="sum" dataDxfId="570" totalsRowDxfId="533"/>
    <tableColumn id="30" xr3:uid="{00000000-0010-0000-2500-00001E000000}" name="U" totalsRowFunction="sum" dataDxfId="569" totalsRowDxfId="532"/>
    <tableColumn id="31" xr3:uid="{00000000-0010-0000-2500-00001F000000}" name="O" totalsRowFunction="sum" dataDxfId="568" totalsRowDxfId="531"/>
    <tableColumn id="32" xr3:uid="{00000000-0010-0000-2500-000020000000}" name="I" totalsRowFunction="sum" dataDxfId="567" totalsRowDxfId="530"/>
    <tableColumn id="33" xr3:uid="{00000000-0010-0000-2500-000021000000}" name="E" totalsRowFunction="sum" dataDxfId="566" totalsRowDxfId="529"/>
    <tableColumn id="34" xr3:uid="{00000000-0010-0000-2500-000022000000}" name="A" totalsRowFunction="sum" dataDxfId="565" totalsRowDxfId="528"/>
    <tableColumn id="35" xr3:uid="{00000000-0010-0000-2500-000023000000}" name="P" totalsRowFunction="sum" dataDxfId="564" totalsRowDxfId="527"/>
    <tableColumn id="36" xr3:uid="{00000000-0010-0000-2500-000024000000}" name="N" totalsRowFunction="count" dataDxfId="563" totalsRowDxfId="526"/>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FocusMode_CAI_AJF" displayName="FocusMode_CAI_AJF" ref="A1:H4" totalsRowShown="0">
  <autoFilter ref="A1:H4" xr:uid="{00000000-0009-0000-0100-000027000000}"/>
  <tableColumns count="8">
    <tableColumn id="1" xr3:uid="{00000000-0010-0000-2600-000001000000}" name="DATE"/>
    <tableColumn id="2" xr3:uid="{00000000-0010-0000-2600-000002000000}" name="AIRLINE"/>
    <tableColumn id="3" xr3:uid="{00000000-0010-0000-2600-000003000000}" name="FLIGHT NUM"/>
    <tableColumn id="4" xr3:uid="{00000000-0010-0000-2600-000004000000}" name="ROUTE"/>
    <tableColumn id="5" xr3:uid="{00000000-0010-0000-2600-000005000000}" name="DEPARTURE"/>
    <tableColumn id="6" xr3:uid="{00000000-0010-0000-2600-000006000000}" name="BAGGAGE"/>
    <tableColumn id="7" xr3:uid="{00000000-0010-0000-2600-000007000000}" name="AVAILABILITY"/>
    <tableColumn id="8" xr3:uid="{00000000-0010-0000-2600-000008000000}" name="PUBLISHED FA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hreatsAlert_CAI_AJF" displayName="ThreatsAlert_CAI_AJF" ref="A1:H3" totalsRowShown="0">
  <autoFilter ref="A1:H3" xr:uid="{00000000-0009-0000-0100-000028000000}"/>
  <tableColumns count="8">
    <tableColumn id="1" xr3:uid="{00000000-0010-0000-2700-000001000000}" name="DATE"/>
    <tableColumn id="2" xr3:uid="{00000000-0010-0000-2700-000002000000}" name="AIRLINE"/>
    <tableColumn id="3" xr3:uid="{00000000-0010-0000-2700-000003000000}" name="FLIGHT NUM"/>
    <tableColumn id="4" xr3:uid="{00000000-0010-0000-2700-000004000000}" name="ROUTE"/>
    <tableColumn id="5" xr3:uid="{00000000-0010-0000-2700-000005000000}" name="DEPARTURE"/>
    <tableColumn id="6" xr3:uid="{00000000-0010-0000-2700-000006000000}" name="BAGGAGE"/>
    <tableColumn id="7" xr3:uid="{00000000-0010-0000-2700-000007000000}" name="AVAILABILITY"/>
    <tableColumn id="8" xr3:uid="{00000000-0010-0000-2700-000008000000}" name="PUBLISHED FARE"/>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ATZ_AJF_LF_LEGACY" displayName="ATZ_AJF_LF_LEGACY" ref="A1:AJ3" totalsRowCount="1" headerRowDxfId="524" dataDxfId="487" totalsRowDxfId="450">
  <tableColumns count="36">
    <tableColumn id="1" xr3:uid="{00000000-0010-0000-2800-000001000000}" name="Day" totalsRowLabel="TOTAL" dataDxfId="523" totalsRowDxfId="486"/>
    <tableColumn id="2" xr3:uid="{00000000-0010-0000-2800-000002000000}" name="Flt Dt" dataDxfId="522" totalsRowDxfId="485"/>
    <tableColumn id="3" xr3:uid="{00000000-0010-0000-2800-000003000000}" name="Flt" totalsRowFunction="count" dataDxfId="521" totalsRowDxfId="484"/>
    <tableColumn id="4" xr3:uid="{00000000-0010-0000-2800-000004000000}" name="DEP" dataDxfId="520" totalsRowDxfId="483"/>
    <tableColumn id="5" xr3:uid="{00000000-0010-0000-2800-000005000000}" name="Brd-Off" totalsRowFunction="count" dataDxfId="519" totalsRowDxfId="482"/>
    <tableColumn id="6" xr3:uid="{00000000-0010-0000-2800-000006000000}" name="Eqp" dataDxfId="518" totalsRowDxfId="481"/>
    <tableColumn id="7" xr3:uid="{00000000-0010-0000-2800-000007000000}" name="LF%" totalsRowFunction="average" dataDxfId="517" totalsRowDxfId="480"/>
    <tableColumn id="8" xr3:uid="{00000000-0010-0000-2800-000008000000}" name="CAP" totalsRowFunction="sum" dataDxfId="516" totalsRowDxfId="479"/>
    <tableColumn id="9" xr3:uid="{00000000-0010-0000-2800-000009000000}" name="BKG(Y)" totalsRowFunction="sum" dataDxfId="515" totalsRowDxfId="478"/>
    <tableColumn id="10" xr3:uid="{00000000-0010-0000-2800-00000A000000}" name="GRP(Y)" totalsRowFunction="sum" dataDxfId="514" totalsRowDxfId="477"/>
    <tableColumn id="11" xr3:uid="{00000000-0010-0000-2800-00000B000000}" name="FLT ST" dataDxfId="513" totalsRowDxfId="476"/>
    <tableColumn id="12" xr3:uid="{00000000-0010-0000-2800-00000C000000}" name="LST-SOLD" dataDxfId="512" totalsRowDxfId="475"/>
    <tableColumn id="13" xr3:uid="{00000000-0010-0000-2800-00000D000000}" name="TO-DAY" totalsRowFunction="sum" dataDxfId="511" totalsRowDxfId="474"/>
    <tableColumn id="14" xr3:uid="{00000000-0010-0000-2800-00000E000000}" name="Y-DAY" totalsRowFunction="sum" dataDxfId="510" totalsRowDxfId="473"/>
    <tableColumn id="15" xr3:uid="{00000000-0010-0000-2800-00000F000000}" name="WEEKLY" totalsRowFunction="sum" dataDxfId="509" totalsRowDxfId="472"/>
    <tableColumn id="16" xr3:uid="{00000000-0010-0000-2800-000010000000}" name="LOWEST AVAIL" dataDxfId="508" totalsRowDxfId="471"/>
    <tableColumn id="17" xr3:uid="{00000000-0010-0000-2800-000011000000}" name="Y" totalsRowFunction="sum" dataDxfId="507" totalsRowDxfId="470"/>
    <tableColumn id="18" xr3:uid="{00000000-0010-0000-2800-000012000000}" name="B" totalsRowFunction="sum" dataDxfId="506" totalsRowDxfId="469"/>
    <tableColumn id="19" xr3:uid="{00000000-0010-0000-2800-000013000000}" name="M" totalsRowFunction="sum" dataDxfId="505" totalsRowDxfId="468"/>
    <tableColumn id="20" xr3:uid="{00000000-0010-0000-2800-000014000000}" name="H" totalsRowFunction="sum" dataDxfId="504" totalsRowDxfId="467"/>
    <tableColumn id="21" xr3:uid="{00000000-0010-0000-2800-000015000000}" name="Q" totalsRowFunction="sum" dataDxfId="503" totalsRowDxfId="466"/>
    <tableColumn id="22" xr3:uid="{00000000-0010-0000-2800-000016000000}" name="K" totalsRowFunction="sum" dataDxfId="502" totalsRowDxfId="465"/>
    <tableColumn id="23" xr3:uid="{00000000-0010-0000-2800-000017000000}" name="V" totalsRowFunction="sum" dataDxfId="501" totalsRowDxfId="464"/>
    <tableColumn id="24" xr3:uid="{00000000-0010-0000-2800-000018000000}" name="L" totalsRowFunction="sum" dataDxfId="500" totalsRowDxfId="463"/>
    <tableColumn id="25" xr3:uid="{00000000-0010-0000-2800-000019000000}" name="G" totalsRowFunction="sum" dataDxfId="499" totalsRowDxfId="462"/>
    <tableColumn id="26" xr3:uid="{00000000-0010-0000-2800-00001A000000}" name="S" totalsRowFunction="sum" dataDxfId="498" totalsRowDxfId="461"/>
    <tableColumn id="27" xr3:uid="{00000000-0010-0000-2800-00001B000000}" name="W" totalsRowFunction="sum" dataDxfId="497" totalsRowDxfId="460"/>
    <tableColumn id="28" xr3:uid="{00000000-0010-0000-2800-00001C000000}" name="T" totalsRowFunction="sum" dataDxfId="496" totalsRowDxfId="459"/>
    <tableColumn id="29" xr3:uid="{00000000-0010-0000-2800-00001D000000}" name="X" totalsRowFunction="sum" dataDxfId="495" totalsRowDxfId="458"/>
    <tableColumn id="30" xr3:uid="{00000000-0010-0000-2800-00001E000000}" name="U" totalsRowFunction="sum" dataDxfId="494" totalsRowDxfId="457"/>
    <tableColumn id="31" xr3:uid="{00000000-0010-0000-2800-00001F000000}" name="O" totalsRowFunction="sum" dataDxfId="493" totalsRowDxfId="456"/>
    <tableColumn id="32" xr3:uid="{00000000-0010-0000-2800-000020000000}" name="I" totalsRowFunction="sum" dataDxfId="492" totalsRowDxfId="455"/>
    <tableColumn id="33" xr3:uid="{00000000-0010-0000-2800-000021000000}" name="E" totalsRowFunction="sum" dataDxfId="491" totalsRowDxfId="454"/>
    <tableColumn id="34" xr3:uid="{00000000-0010-0000-2800-000022000000}" name="A" totalsRowFunction="sum" dataDxfId="490" totalsRowDxfId="453"/>
    <tableColumn id="35" xr3:uid="{00000000-0010-0000-2800-000023000000}" name="P" totalsRowFunction="sum" dataDxfId="489" totalsRowDxfId="452"/>
    <tableColumn id="36" xr3:uid="{00000000-0010-0000-2800-000024000000}" name="N" totalsRowFunction="count" dataDxfId="488" totalsRowDxfId="451"/>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FocusMode_ATZ_AJF" displayName="FocusMode_ATZ_AJF" ref="A1:H7" totalsRowShown="0">
  <autoFilter ref="A1:H7" xr:uid="{00000000-0009-0000-0100-00002A000000}"/>
  <tableColumns count="8">
    <tableColumn id="1" xr3:uid="{00000000-0010-0000-2900-000001000000}" name="DATE"/>
    <tableColumn id="2" xr3:uid="{00000000-0010-0000-2900-000002000000}" name="AIRLINE"/>
    <tableColumn id="3" xr3:uid="{00000000-0010-0000-2900-000003000000}" name="FLIGHT NUM"/>
    <tableColumn id="4" xr3:uid="{00000000-0010-0000-2900-000004000000}" name="ROUTE"/>
    <tableColumn id="5" xr3:uid="{00000000-0010-0000-2900-000005000000}" name="DEPARTURE"/>
    <tableColumn id="6" xr3:uid="{00000000-0010-0000-2900-000006000000}" name="BAGGAGE"/>
    <tableColumn id="7" xr3:uid="{00000000-0010-0000-2900-000007000000}" name="AVAILABILITY"/>
    <tableColumn id="8" xr3:uid="{00000000-0010-0000-2900-000008000000}" name="PUBLISHED FAR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hreatsAlert_ATZ_AJF" displayName="ThreatsAlert_ATZ_AJF" ref="A1:H7" totalsRowShown="0">
  <autoFilter ref="A1:H7" xr:uid="{00000000-0009-0000-0100-00002B000000}"/>
  <tableColumns count="8">
    <tableColumn id="1" xr3:uid="{00000000-0010-0000-2A00-000001000000}" name="DATE"/>
    <tableColumn id="2" xr3:uid="{00000000-0010-0000-2A00-000002000000}" name="AIRLINE"/>
    <tableColumn id="3" xr3:uid="{00000000-0010-0000-2A00-000003000000}" name="FLIGHT NUM"/>
    <tableColumn id="4" xr3:uid="{00000000-0010-0000-2A00-000004000000}" name="ROUTE"/>
    <tableColumn id="5" xr3:uid="{00000000-0010-0000-2A00-000005000000}" name="DEPARTURE"/>
    <tableColumn id="6" xr3:uid="{00000000-0010-0000-2A00-000006000000}" name="BAGGAGE"/>
    <tableColumn id="7" xr3:uid="{00000000-0010-0000-2A00-000007000000}" name="AVAILABILITY"/>
    <tableColumn id="8" xr3:uid="{00000000-0010-0000-2A00-000008000000}" name="PUBLISHED FARE"/>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CAI_YNB_LF_LEGACY" displayName="CAI_YNB_LF_LEGACY" ref="A1:AJ5" totalsRowCount="1" headerRowDxfId="449" dataDxfId="412" totalsRowDxfId="375">
  <tableColumns count="36">
    <tableColumn id="1" xr3:uid="{00000000-0010-0000-2B00-000001000000}" name="Day" totalsRowLabel="TOTAL" dataDxfId="448" totalsRowDxfId="411"/>
    <tableColumn id="2" xr3:uid="{00000000-0010-0000-2B00-000002000000}" name="Flt Dt" dataDxfId="447" totalsRowDxfId="410"/>
    <tableColumn id="3" xr3:uid="{00000000-0010-0000-2B00-000003000000}" name="Flt" totalsRowFunction="count" dataDxfId="446" totalsRowDxfId="409"/>
    <tableColumn id="4" xr3:uid="{00000000-0010-0000-2B00-000004000000}" name="DEP" dataDxfId="445" totalsRowDxfId="408"/>
    <tableColumn id="5" xr3:uid="{00000000-0010-0000-2B00-000005000000}" name="Brd-Off" totalsRowFunction="count" dataDxfId="444" totalsRowDxfId="407"/>
    <tableColumn id="6" xr3:uid="{00000000-0010-0000-2B00-000006000000}" name="Eqp" dataDxfId="443" totalsRowDxfId="406"/>
    <tableColumn id="7" xr3:uid="{00000000-0010-0000-2B00-000007000000}" name="LF%" totalsRowFunction="average" dataDxfId="442" totalsRowDxfId="405"/>
    <tableColumn id="8" xr3:uid="{00000000-0010-0000-2B00-000008000000}" name="CAP" totalsRowFunction="sum" dataDxfId="441" totalsRowDxfId="404"/>
    <tableColumn id="9" xr3:uid="{00000000-0010-0000-2B00-000009000000}" name="BKG(Y)" totalsRowFunction="sum" dataDxfId="440" totalsRowDxfId="403"/>
    <tableColumn id="10" xr3:uid="{00000000-0010-0000-2B00-00000A000000}" name="GRP(Y)" totalsRowFunction="sum" dataDxfId="439" totalsRowDxfId="402"/>
    <tableColumn id="11" xr3:uid="{00000000-0010-0000-2B00-00000B000000}" name="FLT ST" dataDxfId="438" totalsRowDxfId="401"/>
    <tableColumn id="12" xr3:uid="{00000000-0010-0000-2B00-00000C000000}" name="LST-SOLD" dataDxfId="437" totalsRowDxfId="400"/>
    <tableColumn id="13" xr3:uid="{00000000-0010-0000-2B00-00000D000000}" name="TO-DAY" totalsRowFunction="sum" dataDxfId="436" totalsRowDxfId="399"/>
    <tableColumn id="14" xr3:uid="{00000000-0010-0000-2B00-00000E000000}" name="Y-DAY" totalsRowFunction="sum" dataDxfId="435" totalsRowDxfId="398"/>
    <tableColumn id="15" xr3:uid="{00000000-0010-0000-2B00-00000F000000}" name="WEEKLY" totalsRowFunction="sum" dataDxfId="434" totalsRowDxfId="397"/>
    <tableColumn id="16" xr3:uid="{00000000-0010-0000-2B00-000010000000}" name="LOWEST AVAIL" dataDxfId="433" totalsRowDxfId="396"/>
    <tableColumn id="17" xr3:uid="{00000000-0010-0000-2B00-000011000000}" name="Y" totalsRowFunction="sum" dataDxfId="432" totalsRowDxfId="395"/>
    <tableColumn id="18" xr3:uid="{00000000-0010-0000-2B00-000012000000}" name="B" totalsRowFunction="sum" dataDxfId="431" totalsRowDxfId="394"/>
    <tableColumn id="19" xr3:uid="{00000000-0010-0000-2B00-000013000000}" name="M" totalsRowFunction="sum" dataDxfId="430" totalsRowDxfId="393"/>
    <tableColumn id="20" xr3:uid="{00000000-0010-0000-2B00-000014000000}" name="H" totalsRowFunction="sum" dataDxfId="429" totalsRowDxfId="392"/>
    <tableColumn id="21" xr3:uid="{00000000-0010-0000-2B00-000015000000}" name="Q" totalsRowFunction="sum" dataDxfId="428" totalsRowDxfId="391"/>
    <tableColumn id="22" xr3:uid="{00000000-0010-0000-2B00-000016000000}" name="K" totalsRowFunction="sum" dataDxfId="427" totalsRowDxfId="390"/>
    <tableColumn id="23" xr3:uid="{00000000-0010-0000-2B00-000017000000}" name="V" totalsRowFunction="sum" dataDxfId="426" totalsRowDxfId="389"/>
    <tableColumn id="24" xr3:uid="{00000000-0010-0000-2B00-000018000000}" name="L" totalsRowFunction="sum" dataDxfId="425" totalsRowDxfId="388"/>
    <tableColumn id="25" xr3:uid="{00000000-0010-0000-2B00-000019000000}" name="G" totalsRowFunction="sum" dataDxfId="424" totalsRowDxfId="387"/>
    <tableColumn id="26" xr3:uid="{00000000-0010-0000-2B00-00001A000000}" name="S" totalsRowFunction="sum" dataDxfId="423" totalsRowDxfId="386"/>
    <tableColumn id="27" xr3:uid="{00000000-0010-0000-2B00-00001B000000}" name="W" totalsRowFunction="sum" dataDxfId="422" totalsRowDxfId="385"/>
    <tableColumn id="28" xr3:uid="{00000000-0010-0000-2B00-00001C000000}" name="T" totalsRowFunction="sum" dataDxfId="421" totalsRowDxfId="384"/>
    <tableColumn id="29" xr3:uid="{00000000-0010-0000-2B00-00001D000000}" name="X" totalsRowFunction="sum" dataDxfId="420" totalsRowDxfId="383"/>
    <tableColumn id="30" xr3:uid="{00000000-0010-0000-2B00-00001E000000}" name="U" totalsRowFunction="sum" dataDxfId="419" totalsRowDxfId="382"/>
    <tableColumn id="31" xr3:uid="{00000000-0010-0000-2B00-00001F000000}" name="O" totalsRowFunction="sum" dataDxfId="418" totalsRowDxfId="381"/>
    <tableColumn id="32" xr3:uid="{00000000-0010-0000-2B00-000020000000}" name="I" totalsRowFunction="sum" dataDxfId="417" totalsRowDxfId="380"/>
    <tableColumn id="33" xr3:uid="{00000000-0010-0000-2B00-000021000000}" name="E" totalsRowFunction="sum" dataDxfId="416" totalsRowDxfId="379"/>
    <tableColumn id="34" xr3:uid="{00000000-0010-0000-2B00-000022000000}" name="A" totalsRowFunction="sum" dataDxfId="415" totalsRowDxfId="378"/>
    <tableColumn id="35" xr3:uid="{00000000-0010-0000-2B00-000023000000}" name="P" totalsRowFunction="sum" dataDxfId="414" totalsRowDxfId="377"/>
    <tableColumn id="36" xr3:uid="{00000000-0010-0000-2B00-000024000000}" name="N" totalsRowFunction="count" dataDxfId="413" totalsRowDxfId="37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FocusMode_CAI_YNB" displayName="FocusMode_CAI_YNB" ref="A1:H5" totalsRowShown="0">
  <autoFilter ref="A1:H5" xr:uid="{00000000-0009-0000-0100-00002D000000}"/>
  <tableColumns count="8">
    <tableColumn id="1" xr3:uid="{00000000-0010-0000-2C00-000001000000}" name="DATE"/>
    <tableColumn id="2" xr3:uid="{00000000-0010-0000-2C00-000002000000}" name="AIRLINE"/>
    <tableColumn id="3" xr3:uid="{00000000-0010-0000-2C00-000003000000}" name="FLIGHT NUM"/>
    <tableColumn id="4" xr3:uid="{00000000-0010-0000-2C00-000004000000}" name="ROUTE"/>
    <tableColumn id="5" xr3:uid="{00000000-0010-0000-2C00-000005000000}" name="DEPARTURE"/>
    <tableColumn id="6" xr3:uid="{00000000-0010-0000-2C00-000006000000}" name="BAGGAGE"/>
    <tableColumn id="7" xr3:uid="{00000000-0010-0000-2C00-000007000000}" name="AVAILABILITY"/>
    <tableColumn id="8" xr3:uid="{00000000-0010-0000-2C00-000008000000}" name="PUBLISHED FAR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hreatsAlert_CAI_YNB" displayName="ThreatsAlert_CAI_YNB" ref="A1:H4" totalsRowShown="0">
  <autoFilter ref="A1:H4" xr:uid="{00000000-0009-0000-0100-00002E000000}"/>
  <tableColumns count="8">
    <tableColumn id="1" xr3:uid="{00000000-0010-0000-2D00-000001000000}" name="DATE"/>
    <tableColumn id="2" xr3:uid="{00000000-0010-0000-2D00-000002000000}" name="AIRLINE"/>
    <tableColumn id="3" xr3:uid="{00000000-0010-0000-2D00-000003000000}" name="FLIGHT NUM"/>
    <tableColumn id="4" xr3:uid="{00000000-0010-0000-2D00-000004000000}" name="ROUTE"/>
    <tableColumn id="5" xr3:uid="{00000000-0010-0000-2D00-000005000000}" name="DEPARTURE"/>
    <tableColumn id="6" xr3:uid="{00000000-0010-0000-2D00-000006000000}" name="BAGGAGE"/>
    <tableColumn id="7" xr3:uid="{00000000-0010-0000-2D00-000007000000}" name="AVAILABILITY"/>
    <tableColumn id="8" xr3:uid="{00000000-0010-0000-2D00-000008000000}" name="PUBLISHED FARE"/>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CAI_AHB_LF_LEGACY" displayName="CAI_AHB_LF_LEGACY" ref="A1:AJ4" totalsRowCount="1" headerRowDxfId="374" dataDxfId="337" totalsRowDxfId="300">
  <tableColumns count="36">
    <tableColumn id="1" xr3:uid="{00000000-0010-0000-2E00-000001000000}" name="Day" totalsRowLabel="TOTAL" dataDxfId="373" totalsRowDxfId="336"/>
    <tableColumn id="2" xr3:uid="{00000000-0010-0000-2E00-000002000000}" name="Flt Dt" dataDxfId="372" totalsRowDxfId="335"/>
    <tableColumn id="3" xr3:uid="{00000000-0010-0000-2E00-000003000000}" name="Flt" totalsRowFunction="count" dataDxfId="371" totalsRowDxfId="334"/>
    <tableColumn id="4" xr3:uid="{00000000-0010-0000-2E00-000004000000}" name="DEP" dataDxfId="370" totalsRowDxfId="333"/>
    <tableColumn id="5" xr3:uid="{00000000-0010-0000-2E00-000005000000}" name="Brd-Off" totalsRowFunction="count" dataDxfId="369" totalsRowDxfId="332"/>
    <tableColumn id="6" xr3:uid="{00000000-0010-0000-2E00-000006000000}" name="Eqp" dataDxfId="368" totalsRowDxfId="331"/>
    <tableColumn id="7" xr3:uid="{00000000-0010-0000-2E00-000007000000}" name="LF%" totalsRowFunction="average" dataDxfId="367" totalsRowDxfId="330"/>
    <tableColumn id="8" xr3:uid="{00000000-0010-0000-2E00-000008000000}" name="CAP" totalsRowFunction="sum" dataDxfId="366" totalsRowDxfId="329"/>
    <tableColumn id="9" xr3:uid="{00000000-0010-0000-2E00-000009000000}" name="BKG(Y)" totalsRowFunction="sum" dataDxfId="365" totalsRowDxfId="328"/>
    <tableColumn id="10" xr3:uid="{00000000-0010-0000-2E00-00000A000000}" name="GRP(Y)" totalsRowFunction="sum" dataDxfId="364" totalsRowDxfId="327"/>
    <tableColumn id="11" xr3:uid="{00000000-0010-0000-2E00-00000B000000}" name="FLT ST" dataDxfId="363" totalsRowDxfId="326"/>
    <tableColumn id="12" xr3:uid="{00000000-0010-0000-2E00-00000C000000}" name="LST-SOLD" dataDxfId="362" totalsRowDxfId="325"/>
    <tableColumn id="13" xr3:uid="{00000000-0010-0000-2E00-00000D000000}" name="TO-DAY" totalsRowFunction="sum" dataDxfId="361" totalsRowDxfId="324"/>
    <tableColumn id="14" xr3:uid="{00000000-0010-0000-2E00-00000E000000}" name="Y-DAY" totalsRowFunction="sum" dataDxfId="360" totalsRowDxfId="323"/>
    <tableColumn id="15" xr3:uid="{00000000-0010-0000-2E00-00000F000000}" name="WEEKLY" totalsRowFunction="sum" dataDxfId="359" totalsRowDxfId="322"/>
    <tableColumn id="16" xr3:uid="{00000000-0010-0000-2E00-000010000000}" name="LOWEST AVAIL" dataDxfId="358" totalsRowDxfId="321"/>
    <tableColumn id="17" xr3:uid="{00000000-0010-0000-2E00-000011000000}" name="Y" totalsRowFunction="sum" dataDxfId="357" totalsRowDxfId="320"/>
    <tableColumn id="18" xr3:uid="{00000000-0010-0000-2E00-000012000000}" name="B" totalsRowFunction="sum" dataDxfId="356" totalsRowDxfId="319"/>
    <tableColumn id="19" xr3:uid="{00000000-0010-0000-2E00-000013000000}" name="M" totalsRowFunction="sum" dataDxfId="355" totalsRowDxfId="318"/>
    <tableColumn id="20" xr3:uid="{00000000-0010-0000-2E00-000014000000}" name="H" totalsRowFunction="sum" dataDxfId="354" totalsRowDxfId="317"/>
    <tableColumn id="21" xr3:uid="{00000000-0010-0000-2E00-000015000000}" name="Q" totalsRowFunction="sum" dataDxfId="353" totalsRowDxfId="316"/>
    <tableColumn id="22" xr3:uid="{00000000-0010-0000-2E00-000016000000}" name="K" totalsRowFunction="sum" dataDxfId="352" totalsRowDxfId="315"/>
    <tableColumn id="23" xr3:uid="{00000000-0010-0000-2E00-000017000000}" name="V" totalsRowFunction="sum" dataDxfId="351" totalsRowDxfId="314"/>
    <tableColumn id="24" xr3:uid="{00000000-0010-0000-2E00-000018000000}" name="L" totalsRowFunction="sum" dataDxfId="350" totalsRowDxfId="313"/>
    <tableColumn id="25" xr3:uid="{00000000-0010-0000-2E00-000019000000}" name="G" totalsRowFunction="sum" dataDxfId="349" totalsRowDxfId="312"/>
    <tableColumn id="26" xr3:uid="{00000000-0010-0000-2E00-00001A000000}" name="S" totalsRowFunction="sum" dataDxfId="348" totalsRowDxfId="311"/>
    <tableColumn id="27" xr3:uid="{00000000-0010-0000-2E00-00001B000000}" name="W" totalsRowFunction="sum" dataDxfId="347" totalsRowDxfId="310"/>
    <tableColumn id="28" xr3:uid="{00000000-0010-0000-2E00-00001C000000}" name="T" totalsRowFunction="sum" dataDxfId="346" totalsRowDxfId="309"/>
    <tableColumn id="29" xr3:uid="{00000000-0010-0000-2E00-00001D000000}" name="X" totalsRowFunction="sum" dataDxfId="345" totalsRowDxfId="308"/>
    <tableColumn id="30" xr3:uid="{00000000-0010-0000-2E00-00001E000000}" name="U" totalsRowFunction="sum" dataDxfId="344" totalsRowDxfId="307"/>
    <tableColumn id="31" xr3:uid="{00000000-0010-0000-2E00-00001F000000}" name="O" totalsRowFunction="sum" dataDxfId="343" totalsRowDxfId="306"/>
    <tableColumn id="32" xr3:uid="{00000000-0010-0000-2E00-000020000000}" name="I" totalsRowFunction="sum" dataDxfId="342" totalsRowDxfId="305"/>
    <tableColumn id="33" xr3:uid="{00000000-0010-0000-2E00-000021000000}" name="E" totalsRowFunction="sum" dataDxfId="341" totalsRowDxfId="304"/>
    <tableColumn id="34" xr3:uid="{00000000-0010-0000-2E00-000022000000}" name="A" totalsRowFunction="sum" dataDxfId="340" totalsRowDxfId="303"/>
    <tableColumn id="35" xr3:uid="{00000000-0010-0000-2E00-000023000000}" name="P" totalsRowFunction="sum" dataDxfId="339" totalsRowDxfId="302"/>
    <tableColumn id="36" xr3:uid="{00000000-0010-0000-2E00-000024000000}" name="N" totalsRowFunction="count" dataDxfId="338" totalsRowDxfId="30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FocusMode_CAI_AHB" displayName="FocusMode_CAI_AHB" ref="A1:H5" totalsRowShown="0">
  <autoFilter ref="A1:H5" xr:uid="{00000000-0009-0000-0100-000030000000}"/>
  <tableColumns count="8">
    <tableColumn id="1" xr3:uid="{00000000-0010-0000-2F00-000001000000}" name="DATE"/>
    <tableColumn id="2" xr3:uid="{00000000-0010-0000-2F00-000002000000}" name="AIRLINE"/>
    <tableColumn id="3" xr3:uid="{00000000-0010-0000-2F00-000003000000}" name="FLIGHT NUM"/>
    <tableColumn id="4" xr3:uid="{00000000-0010-0000-2F00-000004000000}" name="ROUTE"/>
    <tableColumn id="5" xr3:uid="{00000000-0010-0000-2F00-000005000000}" name="DEPARTURE"/>
    <tableColumn id="6" xr3:uid="{00000000-0010-0000-2F00-000006000000}" name="BAGGAGE"/>
    <tableColumn id="7" xr3:uid="{00000000-0010-0000-2F00-000007000000}" name="AVAILABILITY"/>
    <tableColumn id="8" xr3:uid="{00000000-0010-0000-2F00-000008000000}" name="PUBLISHED FAR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hreatsAlert_CAI_AHB" displayName="ThreatsAlert_CAI_AHB" ref="A1:H3" totalsRowShown="0">
  <autoFilter ref="A1:H3" xr:uid="{00000000-0009-0000-0100-000031000000}"/>
  <tableColumns count="8">
    <tableColumn id="1" xr3:uid="{00000000-0010-0000-3000-000001000000}" name="DATE"/>
    <tableColumn id="2" xr3:uid="{00000000-0010-0000-3000-000002000000}" name="AIRLINE"/>
    <tableColumn id="3" xr3:uid="{00000000-0010-0000-3000-000003000000}" name="FLIGHT NUM"/>
    <tableColumn id="4" xr3:uid="{00000000-0010-0000-3000-000004000000}" name="ROUTE"/>
    <tableColumn id="5" xr3:uid="{00000000-0010-0000-3000-000005000000}" name="DEPARTURE"/>
    <tableColumn id="6" xr3:uid="{00000000-0010-0000-3000-000006000000}" name="BAGGAGE"/>
    <tableColumn id="7" xr3:uid="{00000000-0010-0000-3000-000007000000}" name="AVAILABILITY"/>
    <tableColumn id="8" xr3:uid="{00000000-0010-0000-3000-000008000000}" name="PUBLISHED FAR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ATZ_AHB_LF_LEGACY" displayName="ATZ_AHB_LF_LEGACY" ref="A1:AJ3" totalsRowCount="1" headerRowDxfId="299" dataDxfId="262" totalsRowDxfId="225">
  <tableColumns count="36">
    <tableColumn id="1" xr3:uid="{00000000-0010-0000-3100-000001000000}" name="Day" totalsRowLabel="TOTAL" dataDxfId="298" totalsRowDxfId="261"/>
    <tableColumn id="2" xr3:uid="{00000000-0010-0000-3100-000002000000}" name="Flt Dt" dataDxfId="297" totalsRowDxfId="260"/>
    <tableColumn id="3" xr3:uid="{00000000-0010-0000-3100-000003000000}" name="Flt" totalsRowFunction="count" dataDxfId="296" totalsRowDxfId="259"/>
    <tableColumn id="4" xr3:uid="{00000000-0010-0000-3100-000004000000}" name="DEP" dataDxfId="295" totalsRowDxfId="258"/>
    <tableColumn id="5" xr3:uid="{00000000-0010-0000-3100-000005000000}" name="Brd-Off" totalsRowFunction="count" dataDxfId="294" totalsRowDxfId="257"/>
    <tableColumn id="6" xr3:uid="{00000000-0010-0000-3100-000006000000}" name="Eqp" dataDxfId="293" totalsRowDxfId="256"/>
    <tableColumn id="7" xr3:uid="{00000000-0010-0000-3100-000007000000}" name="LF%" totalsRowFunction="average" dataDxfId="292" totalsRowDxfId="255"/>
    <tableColumn id="8" xr3:uid="{00000000-0010-0000-3100-000008000000}" name="CAP" totalsRowFunction="sum" dataDxfId="291" totalsRowDxfId="254"/>
    <tableColumn id="9" xr3:uid="{00000000-0010-0000-3100-000009000000}" name="BKG(Y)" totalsRowFunction="sum" dataDxfId="290" totalsRowDxfId="253"/>
    <tableColumn id="10" xr3:uid="{00000000-0010-0000-3100-00000A000000}" name="GRP(Y)" totalsRowFunction="sum" dataDxfId="289" totalsRowDxfId="252"/>
    <tableColumn id="11" xr3:uid="{00000000-0010-0000-3100-00000B000000}" name="FLT ST" dataDxfId="288" totalsRowDxfId="251"/>
    <tableColumn id="12" xr3:uid="{00000000-0010-0000-3100-00000C000000}" name="LST-SOLD" dataDxfId="287" totalsRowDxfId="250"/>
    <tableColumn id="13" xr3:uid="{00000000-0010-0000-3100-00000D000000}" name="TO-DAY" totalsRowFunction="sum" dataDxfId="286" totalsRowDxfId="249"/>
    <tableColumn id="14" xr3:uid="{00000000-0010-0000-3100-00000E000000}" name="Y-DAY" totalsRowFunction="sum" dataDxfId="285" totalsRowDxfId="248"/>
    <tableColumn id="15" xr3:uid="{00000000-0010-0000-3100-00000F000000}" name="WEEKLY" totalsRowFunction="sum" dataDxfId="284" totalsRowDxfId="247"/>
    <tableColumn id="16" xr3:uid="{00000000-0010-0000-3100-000010000000}" name="LOWEST AVAIL" dataDxfId="283" totalsRowDxfId="246"/>
    <tableColumn id="17" xr3:uid="{00000000-0010-0000-3100-000011000000}" name="Y" totalsRowFunction="sum" dataDxfId="282" totalsRowDxfId="245"/>
    <tableColumn id="18" xr3:uid="{00000000-0010-0000-3100-000012000000}" name="B" totalsRowFunction="sum" dataDxfId="281" totalsRowDxfId="244"/>
    <tableColumn id="19" xr3:uid="{00000000-0010-0000-3100-000013000000}" name="M" totalsRowFunction="sum" dataDxfId="280" totalsRowDxfId="243"/>
    <tableColumn id="20" xr3:uid="{00000000-0010-0000-3100-000014000000}" name="H" totalsRowFunction="sum" dataDxfId="279" totalsRowDxfId="242"/>
    <tableColumn id="21" xr3:uid="{00000000-0010-0000-3100-000015000000}" name="Q" totalsRowFunction="sum" dataDxfId="278" totalsRowDxfId="241"/>
    <tableColumn id="22" xr3:uid="{00000000-0010-0000-3100-000016000000}" name="K" totalsRowFunction="sum" dataDxfId="277" totalsRowDxfId="240"/>
    <tableColumn id="23" xr3:uid="{00000000-0010-0000-3100-000017000000}" name="V" totalsRowFunction="sum" dataDxfId="276" totalsRowDxfId="239"/>
    <tableColumn id="24" xr3:uid="{00000000-0010-0000-3100-000018000000}" name="L" totalsRowFunction="sum" dataDxfId="275" totalsRowDxfId="238"/>
    <tableColumn id="25" xr3:uid="{00000000-0010-0000-3100-000019000000}" name="G" totalsRowFunction="sum" dataDxfId="274" totalsRowDxfId="237"/>
    <tableColumn id="26" xr3:uid="{00000000-0010-0000-3100-00001A000000}" name="S" totalsRowFunction="sum" dataDxfId="273" totalsRowDxfId="236"/>
    <tableColumn id="27" xr3:uid="{00000000-0010-0000-3100-00001B000000}" name="W" totalsRowFunction="sum" dataDxfId="272" totalsRowDxfId="235"/>
    <tableColumn id="28" xr3:uid="{00000000-0010-0000-3100-00001C000000}" name="T" totalsRowFunction="sum" dataDxfId="271" totalsRowDxfId="234"/>
    <tableColumn id="29" xr3:uid="{00000000-0010-0000-3100-00001D000000}" name="X" totalsRowFunction="sum" dataDxfId="270" totalsRowDxfId="233"/>
    <tableColumn id="30" xr3:uid="{00000000-0010-0000-3100-00001E000000}" name="U" totalsRowFunction="sum" dataDxfId="269" totalsRowDxfId="232"/>
    <tableColumn id="31" xr3:uid="{00000000-0010-0000-3100-00001F000000}" name="O" totalsRowFunction="sum" dataDxfId="268" totalsRowDxfId="231"/>
    <tableColumn id="32" xr3:uid="{00000000-0010-0000-3100-000020000000}" name="I" totalsRowFunction="sum" dataDxfId="267" totalsRowDxfId="230"/>
    <tableColumn id="33" xr3:uid="{00000000-0010-0000-3100-000021000000}" name="E" totalsRowFunction="sum" dataDxfId="266" totalsRowDxfId="229"/>
    <tableColumn id="34" xr3:uid="{00000000-0010-0000-3100-000022000000}" name="A" totalsRowFunction="sum" dataDxfId="265" totalsRowDxfId="228"/>
    <tableColumn id="35" xr3:uid="{00000000-0010-0000-3100-000023000000}" name="P" totalsRowFunction="sum" dataDxfId="264" totalsRowDxfId="227"/>
    <tableColumn id="36" xr3:uid="{00000000-0010-0000-3100-000024000000}" name="N" totalsRowFunction="count" dataDxfId="263" totalsRowDxfId="226"/>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FocusMode_ATZ_AHB" displayName="FocusMode_ATZ_AHB" ref="A1:H8" totalsRowShown="0">
  <autoFilter ref="A1:H8" xr:uid="{00000000-0009-0000-0100-000033000000}"/>
  <tableColumns count="8">
    <tableColumn id="1" xr3:uid="{00000000-0010-0000-3200-000001000000}" name="DATE"/>
    <tableColumn id="2" xr3:uid="{00000000-0010-0000-3200-000002000000}" name="AIRLINE"/>
    <tableColumn id="3" xr3:uid="{00000000-0010-0000-3200-000003000000}" name="FLIGHT NUM"/>
    <tableColumn id="4" xr3:uid="{00000000-0010-0000-3200-000004000000}" name="ROUTE"/>
    <tableColumn id="5" xr3:uid="{00000000-0010-0000-3200-000005000000}" name="DEPARTURE"/>
    <tableColumn id="6" xr3:uid="{00000000-0010-0000-3200-000006000000}" name="BAGGAGE"/>
    <tableColumn id="7" xr3:uid="{00000000-0010-0000-3200-000007000000}" name="AVAILABILITY"/>
    <tableColumn id="8" xr3:uid="{00000000-0010-0000-3200-000008000000}" name="PUBLISHED FARE"/>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hreatsAlert_ATZ_AHB" displayName="ThreatsAlert_ATZ_AHB" ref="A1:H8" totalsRowShown="0">
  <autoFilter ref="A1:H8" xr:uid="{00000000-0009-0000-0100-000034000000}"/>
  <tableColumns count="8">
    <tableColumn id="1" xr3:uid="{00000000-0010-0000-3300-000001000000}" name="DATE"/>
    <tableColumn id="2" xr3:uid="{00000000-0010-0000-3300-000002000000}" name="AIRLINE"/>
    <tableColumn id="3" xr3:uid="{00000000-0010-0000-3300-000003000000}" name="FLIGHT NUM"/>
    <tableColumn id="4" xr3:uid="{00000000-0010-0000-3300-000004000000}" name="ROUTE"/>
    <tableColumn id="5" xr3:uid="{00000000-0010-0000-3300-000005000000}" name="DEPARTURE"/>
    <tableColumn id="6" xr3:uid="{00000000-0010-0000-3300-000006000000}" name="BAGGAGE"/>
    <tableColumn id="7" xr3:uid="{00000000-0010-0000-3300-000007000000}" name="AVAILABILITY"/>
    <tableColumn id="8" xr3:uid="{00000000-0010-0000-3300-000008000000}" name="PUBLISHED FAR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CAI_ELQ_LF_LEGACY" displayName="CAI_ELQ_LF_LEGACY" ref="A1:AJ4" totalsRowCount="1" headerRowDxfId="224" dataDxfId="187" totalsRowDxfId="150">
  <tableColumns count="36">
    <tableColumn id="1" xr3:uid="{00000000-0010-0000-3400-000001000000}" name="Day" totalsRowLabel="TOTAL" dataDxfId="223" totalsRowDxfId="186"/>
    <tableColumn id="2" xr3:uid="{00000000-0010-0000-3400-000002000000}" name="Flt Dt" dataDxfId="222" totalsRowDxfId="185"/>
    <tableColumn id="3" xr3:uid="{00000000-0010-0000-3400-000003000000}" name="Flt" totalsRowFunction="count" dataDxfId="221" totalsRowDxfId="184"/>
    <tableColumn id="4" xr3:uid="{00000000-0010-0000-3400-000004000000}" name="DEP" dataDxfId="220" totalsRowDxfId="183"/>
    <tableColumn id="5" xr3:uid="{00000000-0010-0000-3400-000005000000}" name="Brd-Off" totalsRowFunction="count" dataDxfId="219" totalsRowDxfId="182"/>
    <tableColumn id="6" xr3:uid="{00000000-0010-0000-3400-000006000000}" name="Eqp" dataDxfId="218" totalsRowDxfId="181"/>
    <tableColumn id="7" xr3:uid="{00000000-0010-0000-3400-000007000000}" name="LF%" totalsRowFunction="average" dataDxfId="217" totalsRowDxfId="180"/>
    <tableColumn id="8" xr3:uid="{00000000-0010-0000-3400-000008000000}" name="CAP" totalsRowFunction="sum" dataDxfId="216" totalsRowDxfId="179"/>
    <tableColumn id="9" xr3:uid="{00000000-0010-0000-3400-000009000000}" name="BKG(Y)" totalsRowFunction="sum" dataDxfId="215" totalsRowDxfId="178"/>
    <tableColumn id="10" xr3:uid="{00000000-0010-0000-3400-00000A000000}" name="GRP(Y)" totalsRowFunction="sum" dataDxfId="214" totalsRowDxfId="177"/>
    <tableColumn id="11" xr3:uid="{00000000-0010-0000-3400-00000B000000}" name="FLT ST" dataDxfId="213" totalsRowDxfId="176"/>
    <tableColumn id="12" xr3:uid="{00000000-0010-0000-3400-00000C000000}" name="LST-SOLD" dataDxfId="212" totalsRowDxfId="175"/>
    <tableColumn id="13" xr3:uid="{00000000-0010-0000-3400-00000D000000}" name="TO-DAY" totalsRowFunction="sum" dataDxfId="211" totalsRowDxfId="174"/>
    <tableColumn id="14" xr3:uid="{00000000-0010-0000-3400-00000E000000}" name="Y-DAY" totalsRowFunction="sum" dataDxfId="210" totalsRowDxfId="173"/>
    <tableColumn id="15" xr3:uid="{00000000-0010-0000-3400-00000F000000}" name="WEEKLY" totalsRowFunction="sum" dataDxfId="209" totalsRowDxfId="172"/>
    <tableColumn id="16" xr3:uid="{00000000-0010-0000-3400-000010000000}" name="LOWEST AVAIL" dataDxfId="208" totalsRowDxfId="171"/>
    <tableColumn id="17" xr3:uid="{00000000-0010-0000-3400-000011000000}" name="Y" totalsRowFunction="sum" dataDxfId="207" totalsRowDxfId="170"/>
    <tableColumn id="18" xr3:uid="{00000000-0010-0000-3400-000012000000}" name="B" totalsRowFunction="sum" dataDxfId="206" totalsRowDxfId="169"/>
    <tableColumn id="19" xr3:uid="{00000000-0010-0000-3400-000013000000}" name="M" totalsRowFunction="sum" dataDxfId="205" totalsRowDxfId="168"/>
    <tableColumn id="20" xr3:uid="{00000000-0010-0000-3400-000014000000}" name="H" totalsRowFunction="sum" dataDxfId="204" totalsRowDxfId="167"/>
    <tableColumn id="21" xr3:uid="{00000000-0010-0000-3400-000015000000}" name="Q" totalsRowFunction="sum" dataDxfId="203" totalsRowDxfId="166"/>
    <tableColumn id="22" xr3:uid="{00000000-0010-0000-3400-000016000000}" name="K" totalsRowFunction="sum" dataDxfId="202" totalsRowDxfId="165"/>
    <tableColumn id="23" xr3:uid="{00000000-0010-0000-3400-000017000000}" name="V" totalsRowFunction="sum" dataDxfId="201" totalsRowDxfId="164"/>
    <tableColumn id="24" xr3:uid="{00000000-0010-0000-3400-000018000000}" name="L" totalsRowFunction="sum" dataDxfId="200" totalsRowDxfId="163"/>
    <tableColumn id="25" xr3:uid="{00000000-0010-0000-3400-000019000000}" name="G" totalsRowFunction="sum" dataDxfId="199" totalsRowDxfId="162"/>
    <tableColumn id="26" xr3:uid="{00000000-0010-0000-3400-00001A000000}" name="S" totalsRowFunction="sum" dataDxfId="198" totalsRowDxfId="161"/>
    <tableColumn id="27" xr3:uid="{00000000-0010-0000-3400-00001B000000}" name="W" totalsRowFunction="sum" dataDxfId="197" totalsRowDxfId="160"/>
    <tableColumn id="28" xr3:uid="{00000000-0010-0000-3400-00001C000000}" name="T" totalsRowFunction="sum" dataDxfId="196" totalsRowDxfId="159"/>
    <tableColumn id="29" xr3:uid="{00000000-0010-0000-3400-00001D000000}" name="X" totalsRowFunction="sum" dataDxfId="195" totalsRowDxfId="158"/>
    <tableColumn id="30" xr3:uid="{00000000-0010-0000-3400-00001E000000}" name="U" totalsRowFunction="sum" dataDxfId="194" totalsRowDxfId="157"/>
    <tableColumn id="31" xr3:uid="{00000000-0010-0000-3400-00001F000000}" name="O" totalsRowFunction="sum" dataDxfId="193" totalsRowDxfId="156"/>
    <tableColumn id="32" xr3:uid="{00000000-0010-0000-3400-000020000000}" name="I" totalsRowFunction="sum" dataDxfId="192" totalsRowDxfId="155"/>
    <tableColumn id="33" xr3:uid="{00000000-0010-0000-3400-000021000000}" name="E" totalsRowFunction="sum" dataDxfId="191" totalsRowDxfId="154"/>
    <tableColumn id="34" xr3:uid="{00000000-0010-0000-3400-000022000000}" name="A" totalsRowFunction="sum" dataDxfId="190" totalsRowDxfId="153"/>
    <tableColumn id="35" xr3:uid="{00000000-0010-0000-3400-000023000000}" name="P" totalsRowFunction="sum" dataDxfId="189" totalsRowDxfId="152"/>
    <tableColumn id="36" xr3:uid="{00000000-0010-0000-3400-000024000000}" name="N" totalsRowFunction="count" dataDxfId="188" totalsRowDxfId="151"/>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FocusMode_CAI_ELQ" displayName="FocusMode_CAI_ELQ" ref="A1:H14" totalsRowShown="0">
  <autoFilter ref="A1:H14" xr:uid="{00000000-0009-0000-0100-000036000000}"/>
  <tableColumns count="8">
    <tableColumn id="1" xr3:uid="{00000000-0010-0000-3500-000001000000}" name="DATE"/>
    <tableColumn id="2" xr3:uid="{00000000-0010-0000-3500-000002000000}" name="AIRLINE"/>
    <tableColumn id="3" xr3:uid="{00000000-0010-0000-3500-000003000000}" name="FLIGHT NUM"/>
    <tableColumn id="4" xr3:uid="{00000000-0010-0000-3500-000004000000}" name="ROUTE"/>
    <tableColumn id="5" xr3:uid="{00000000-0010-0000-3500-000005000000}" name="DEPARTURE"/>
    <tableColumn id="6" xr3:uid="{00000000-0010-0000-3500-000006000000}" name="BAGGAGE"/>
    <tableColumn id="7" xr3:uid="{00000000-0010-0000-3500-000007000000}" name="AVAILABILITY"/>
    <tableColumn id="8" xr3:uid="{00000000-0010-0000-3500-000008000000}" name="PUBLISHED FARE"/>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hreatsAlert_CAI_ELQ" displayName="ThreatsAlert_CAI_ELQ" ref="A1:H6" totalsRowShown="0">
  <autoFilter ref="A1:H6" xr:uid="{00000000-0009-0000-0100-000037000000}"/>
  <tableColumns count="8">
    <tableColumn id="1" xr3:uid="{00000000-0010-0000-3600-000001000000}" name="DATE"/>
    <tableColumn id="2" xr3:uid="{00000000-0010-0000-3600-000002000000}" name="AIRLINE"/>
    <tableColumn id="3" xr3:uid="{00000000-0010-0000-3600-000003000000}" name="FLIGHT NUM"/>
    <tableColumn id="4" xr3:uid="{00000000-0010-0000-3600-000004000000}" name="ROUTE"/>
    <tableColumn id="5" xr3:uid="{00000000-0010-0000-3600-000005000000}" name="DEPARTURE"/>
    <tableColumn id="6" xr3:uid="{00000000-0010-0000-3600-000006000000}" name="BAGGAGE"/>
    <tableColumn id="7" xr3:uid="{00000000-0010-0000-3600-000007000000}" name="AVAILABILITY"/>
    <tableColumn id="8" xr3:uid="{00000000-0010-0000-3600-000008000000}" name="PUBLISHED FARE"/>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ATZ_ELQ_LF_LEGACY" displayName="ATZ_ELQ_LF_LEGACY" ref="A1:AJ3" totalsRowCount="1" headerRowDxfId="149" dataDxfId="112" totalsRowDxfId="75">
  <tableColumns count="36">
    <tableColumn id="1" xr3:uid="{00000000-0010-0000-3700-000001000000}" name="Day" totalsRowLabel="TOTAL" dataDxfId="148" totalsRowDxfId="111"/>
    <tableColumn id="2" xr3:uid="{00000000-0010-0000-3700-000002000000}" name="Flt Dt" dataDxfId="147" totalsRowDxfId="110"/>
    <tableColumn id="3" xr3:uid="{00000000-0010-0000-3700-000003000000}" name="Flt" totalsRowFunction="count" dataDxfId="146" totalsRowDxfId="109"/>
    <tableColumn id="4" xr3:uid="{00000000-0010-0000-3700-000004000000}" name="DEP" dataDxfId="145" totalsRowDxfId="108"/>
    <tableColumn id="5" xr3:uid="{00000000-0010-0000-3700-000005000000}" name="Brd-Off" totalsRowFunction="count" dataDxfId="144" totalsRowDxfId="107"/>
    <tableColumn id="6" xr3:uid="{00000000-0010-0000-3700-000006000000}" name="Eqp" dataDxfId="143" totalsRowDxfId="106"/>
    <tableColumn id="7" xr3:uid="{00000000-0010-0000-3700-000007000000}" name="LF%" totalsRowFunction="average" dataDxfId="142" totalsRowDxfId="105"/>
    <tableColumn id="8" xr3:uid="{00000000-0010-0000-3700-000008000000}" name="CAP" totalsRowFunction="sum" dataDxfId="141" totalsRowDxfId="104"/>
    <tableColumn id="9" xr3:uid="{00000000-0010-0000-3700-000009000000}" name="BKG(Y)" totalsRowFunction="sum" dataDxfId="140" totalsRowDxfId="103"/>
    <tableColumn id="10" xr3:uid="{00000000-0010-0000-3700-00000A000000}" name="GRP(Y)" totalsRowFunction="sum" dataDxfId="139" totalsRowDxfId="102"/>
    <tableColumn id="11" xr3:uid="{00000000-0010-0000-3700-00000B000000}" name="FLT ST" dataDxfId="138" totalsRowDxfId="101"/>
    <tableColumn id="12" xr3:uid="{00000000-0010-0000-3700-00000C000000}" name="LST-SOLD" dataDxfId="137" totalsRowDxfId="100"/>
    <tableColumn id="13" xr3:uid="{00000000-0010-0000-3700-00000D000000}" name="TO-DAY" totalsRowFunction="sum" dataDxfId="136" totalsRowDxfId="99"/>
    <tableColumn id="14" xr3:uid="{00000000-0010-0000-3700-00000E000000}" name="Y-DAY" totalsRowFunction="sum" dataDxfId="135" totalsRowDxfId="98"/>
    <tableColumn id="15" xr3:uid="{00000000-0010-0000-3700-00000F000000}" name="WEEKLY" totalsRowFunction="sum" dataDxfId="134" totalsRowDxfId="97"/>
    <tableColumn id="16" xr3:uid="{00000000-0010-0000-3700-000010000000}" name="LOWEST AVAIL" dataDxfId="133" totalsRowDxfId="96"/>
    <tableColumn id="17" xr3:uid="{00000000-0010-0000-3700-000011000000}" name="Y" totalsRowFunction="sum" dataDxfId="132" totalsRowDxfId="95"/>
    <tableColumn id="18" xr3:uid="{00000000-0010-0000-3700-000012000000}" name="B" totalsRowFunction="sum" dataDxfId="131" totalsRowDxfId="94"/>
    <tableColumn id="19" xr3:uid="{00000000-0010-0000-3700-000013000000}" name="M" totalsRowFunction="sum" dataDxfId="130" totalsRowDxfId="93"/>
    <tableColumn id="20" xr3:uid="{00000000-0010-0000-3700-000014000000}" name="H" totalsRowFunction="sum" dataDxfId="129" totalsRowDxfId="92"/>
    <tableColumn id="21" xr3:uid="{00000000-0010-0000-3700-000015000000}" name="Q" totalsRowFunction="sum" dataDxfId="128" totalsRowDxfId="91"/>
    <tableColumn id="22" xr3:uid="{00000000-0010-0000-3700-000016000000}" name="K" totalsRowFunction="sum" dataDxfId="127" totalsRowDxfId="90"/>
    <tableColumn id="23" xr3:uid="{00000000-0010-0000-3700-000017000000}" name="V" totalsRowFunction="sum" dataDxfId="126" totalsRowDxfId="89"/>
    <tableColumn id="24" xr3:uid="{00000000-0010-0000-3700-000018000000}" name="L" totalsRowFunction="sum" dataDxfId="125" totalsRowDxfId="88"/>
    <tableColumn id="25" xr3:uid="{00000000-0010-0000-3700-000019000000}" name="G" totalsRowFunction="sum" dataDxfId="124" totalsRowDxfId="87"/>
    <tableColumn id="26" xr3:uid="{00000000-0010-0000-3700-00001A000000}" name="S" totalsRowFunction="sum" dataDxfId="123" totalsRowDxfId="86"/>
    <tableColumn id="27" xr3:uid="{00000000-0010-0000-3700-00001B000000}" name="W" totalsRowFunction="sum" dataDxfId="122" totalsRowDxfId="85"/>
    <tableColumn id="28" xr3:uid="{00000000-0010-0000-3700-00001C000000}" name="T" totalsRowFunction="sum" dataDxfId="121" totalsRowDxfId="84"/>
    <tableColumn id="29" xr3:uid="{00000000-0010-0000-3700-00001D000000}" name="X" totalsRowFunction="sum" dataDxfId="120" totalsRowDxfId="83"/>
    <tableColumn id="30" xr3:uid="{00000000-0010-0000-3700-00001E000000}" name="U" totalsRowFunction="sum" dataDxfId="119" totalsRowDxfId="82"/>
    <tableColumn id="31" xr3:uid="{00000000-0010-0000-3700-00001F000000}" name="O" totalsRowFunction="sum" dataDxfId="118" totalsRowDxfId="81"/>
    <tableColumn id="32" xr3:uid="{00000000-0010-0000-3700-000020000000}" name="I" totalsRowFunction="sum" dataDxfId="117" totalsRowDxfId="80"/>
    <tableColumn id="33" xr3:uid="{00000000-0010-0000-3700-000021000000}" name="E" totalsRowFunction="sum" dataDxfId="116" totalsRowDxfId="79"/>
    <tableColumn id="34" xr3:uid="{00000000-0010-0000-3700-000022000000}" name="A" totalsRowFunction="sum" dataDxfId="115" totalsRowDxfId="78"/>
    <tableColumn id="35" xr3:uid="{00000000-0010-0000-3700-000023000000}" name="P" totalsRowFunction="sum" dataDxfId="114" totalsRowDxfId="77"/>
    <tableColumn id="36" xr3:uid="{00000000-0010-0000-3700-000024000000}" name="N" totalsRowFunction="count" dataDxfId="113" totalsRowDxfId="76"/>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FocusMode_ATZ_ELQ" displayName="FocusMode_ATZ_ELQ" ref="A1:H18" totalsRowShown="0">
  <autoFilter ref="A1:H18" xr:uid="{00000000-0009-0000-0100-000039000000}"/>
  <tableColumns count="8">
    <tableColumn id="1" xr3:uid="{00000000-0010-0000-3800-000001000000}" name="DATE"/>
    <tableColumn id="2" xr3:uid="{00000000-0010-0000-3800-000002000000}" name="AIRLINE"/>
    <tableColumn id="3" xr3:uid="{00000000-0010-0000-3800-000003000000}" name="FLIGHT NUM"/>
    <tableColumn id="4" xr3:uid="{00000000-0010-0000-3800-000004000000}" name="ROUTE"/>
    <tableColumn id="5" xr3:uid="{00000000-0010-0000-3800-000005000000}" name="DEPARTURE"/>
    <tableColumn id="6" xr3:uid="{00000000-0010-0000-3800-000006000000}" name="BAGGAGE"/>
    <tableColumn id="7" xr3:uid="{00000000-0010-0000-3800-000007000000}" name="AVAILABILITY"/>
    <tableColumn id="8" xr3:uid="{00000000-0010-0000-3800-000008000000}" name="PUBLISHED FARE"/>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hreatsAlert_ATZ_ELQ" displayName="ThreatsAlert_ATZ_ELQ" ref="A1:H18" totalsRowShown="0">
  <autoFilter ref="A1:H18" xr:uid="{00000000-0009-0000-0100-00003A000000}"/>
  <tableColumns count="8">
    <tableColumn id="1" xr3:uid="{00000000-0010-0000-3900-000001000000}" name="DATE"/>
    <tableColumn id="2" xr3:uid="{00000000-0010-0000-3900-000002000000}" name="AIRLINE"/>
    <tableColumn id="3" xr3:uid="{00000000-0010-0000-3900-000003000000}" name="FLIGHT NUM"/>
    <tableColumn id="4" xr3:uid="{00000000-0010-0000-3900-000004000000}" name="ROUTE"/>
    <tableColumn id="5" xr3:uid="{00000000-0010-0000-3900-000005000000}" name="DEPARTURE"/>
    <tableColumn id="6" xr3:uid="{00000000-0010-0000-3900-000006000000}" name="BAGGAGE"/>
    <tableColumn id="7" xr3:uid="{00000000-0010-0000-3900-000007000000}" name="AVAILABILITY"/>
    <tableColumn id="8" xr3:uid="{00000000-0010-0000-3900-000008000000}" name="PUBLISHED FARE"/>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CAI_GIZ_LF_LEGACY" displayName="CAI_GIZ_LF_LEGACY" ref="A1:AJ4" totalsRowCount="1" headerRowDxfId="74" dataDxfId="37" totalsRowDxfId="0">
  <tableColumns count="36">
    <tableColumn id="1" xr3:uid="{00000000-0010-0000-3A00-000001000000}" name="Day" totalsRowLabel="TOTAL" dataDxfId="73" totalsRowDxfId="36"/>
    <tableColumn id="2" xr3:uid="{00000000-0010-0000-3A00-000002000000}" name="Flt Dt" dataDxfId="72" totalsRowDxfId="35"/>
    <tableColumn id="3" xr3:uid="{00000000-0010-0000-3A00-000003000000}" name="Flt" totalsRowFunction="count" dataDxfId="71" totalsRowDxfId="34"/>
    <tableColumn id="4" xr3:uid="{00000000-0010-0000-3A00-000004000000}" name="DEP" dataDxfId="70" totalsRowDxfId="33"/>
    <tableColumn id="5" xr3:uid="{00000000-0010-0000-3A00-000005000000}" name="Brd-Off" totalsRowFunction="count" dataDxfId="69" totalsRowDxfId="32"/>
    <tableColumn id="6" xr3:uid="{00000000-0010-0000-3A00-000006000000}" name="Eqp" dataDxfId="68" totalsRowDxfId="31"/>
    <tableColumn id="7" xr3:uid="{00000000-0010-0000-3A00-000007000000}" name="LF%" totalsRowFunction="average" dataDxfId="67" totalsRowDxfId="30"/>
    <tableColumn id="8" xr3:uid="{00000000-0010-0000-3A00-000008000000}" name="CAP" totalsRowFunction="sum" dataDxfId="66" totalsRowDxfId="29"/>
    <tableColumn id="9" xr3:uid="{00000000-0010-0000-3A00-000009000000}" name="BKG(Y)" totalsRowFunction="sum" dataDxfId="65" totalsRowDxfId="28"/>
    <tableColumn id="10" xr3:uid="{00000000-0010-0000-3A00-00000A000000}" name="GRP(Y)" totalsRowFunction="sum" dataDxfId="64" totalsRowDxfId="27"/>
    <tableColumn id="11" xr3:uid="{00000000-0010-0000-3A00-00000B000000}" name="FLT ST" dataDxfId="63" totalsRowDxfId="26"/>
    <tableColumn id="12" xr3:uid="{00000000-0010-0000-3A00-00000C000000}" name="LST-SOLD" dataDxfId="62" totalsRowDxfId="25"/>
    <tableColumn id="13" xr3:uid="{00000000-0010-0000-3A00-00000D000000}" name="TO-DAY" totalsRowFunction="sum" dataDxfId="61" totalsRowDxfId="24"/>
    <tableColumn id="14" xr3:uid="{00000000-0010-0000-3A00-00000E000000}" name="Y-DAY" totalsRowFunction="sum" dataDxfId="60" totalsRowDxfId="23"/>
    <tableColumn id="15" xr3:uid="{00000000-0010-0000-3A00-00000F000000}" name="WEEKLY" totalsRowFunction="sum" dataDxfId="59" totalsRowDxfId="22"/>
    <tableColumn id="16" xr3:uid="{00000000-0010-0000-3A00-000010000000}" name="LOWEST AVAIL" dataDxfId="58" totalsRowDxfId="21"/>
    <tableColumn id="17" xr3:uid="{00000000-0010-0000-3A00-000011000000}" name="Y" totalsRowFunction="sum" dataDxfId="57" totalsRowDxfId="20"/>
    <tableColumn id="18" xr3:uid="{00000000-0010-0000-3A00-000012000000}" name="B" totalsRowFunction="sum" dataDxfId="56" totalsRowDxfId="19"/>
    <tableColumn id="19" xr3:uid="{00000000-0010-0000-3A00-000013000000}" name="M" totalsRowFunction="sum" dataDxfId="55" totalsRowDxfId="18"/>
    <tableColumn id="20" xr3:uid="{00000000-0010-0000-3A00-000014000000}" name="H" totalsRowFunction="sum" dataDxfId="54" totalsRowDxfId="17"/>
    <tableColumn id="21" xr3:uid="{00000000-0010-0000-3A00-000015000000}" name="Q" totalsRowFunction="sum" dataDxfId="53" totalsRowDxfId="16"/>
    <tableColumn id="22" xr3:uid="{00000000-0010-0000-3A00-000016000000}" name="K" totalsRowFunction="sum" dataDxfId="52" totalsRowDxfId="15"/>
    <tableColumn id="23" xr3:uid="{00000000-0010-0000-3A00-000017000000}" name="V" totalsRowFunction="sum" dataDxfId="51" totalsRowDxfId="14"/>
    <tableColumn id="24" xr3:uid="{00000000-0010-0000-3A00-000018000000}" name="L" totalsRowFunction="sum" dataDxfId="50" totalsRowDxfId="13"/>
    <tableColumn id="25" xr3:uid="{00000000-0010-0000-3A00-000019000000}" name="G" totalsRowFunction="sum" dataDxfId="49" totalsRowDxfId="12"/>
    <tableColumn id="26" xr3:uid="{00000000-0010-0000-3A00-00001A000000}" name="S" totalsRowFunction="sum" dataDxfId="48" totalsRowDxfId="11"/>
    <tableColumn id="27" xr3:uid="{00000000-0010-0000-3A00-00001B000000}" name="W" totalsRowFunction="sum" dataDxfId="47" totalsRowDxfId="10"/>
    <tableColumn id="28" xr3:uid="{00000000-0010-0000-3A00-00001C000000}" name="T" totalsRowFunction="sum" dataDxfId="46" totalsRowDxfId="9"/>
    <tableColumn id="29" xr3:uid="{00000000-0010-0000-3A00-00001D000000}" name="X" totalsRowFunction="sum" dataDxfId="45" totalsRowDxfId="8"/>
    <tableColumn id="30" xr3:uid="{00000000-0010-0000-3A00-00001E000000}" name="U" totalsRowFunction="sum" dataDxfId="44" totalsRowDxfId="7"/>
    <tableColumn id="31" xr3:uid="{00000000-0010-0000-3A00-00001F000000}" name="O" totalsRowFunction="sum" dataDxfId="43" totalsRowDxfId="6"/>
    <tableColumn id="32" xr3:uid="{00000000-0010-0000-3A00-000020000000}" name="I" totalsRowFunction="sum" dataDxfId="42" totalsRowDxfId="5"/>
    <tableColumn id="33" xr3:uid="{00000000-0010-0000-3A00-000021000000}" name="E" totalsRowFunction="sum" dataDxfId="41" totalsRowDxfId="4"/>
    <tableColumn id="34" xr3:uid="{00000000-0010-0000-3A00-000022000000}" name="A" totalsRowFunction="sum" dataDxfId="40" totalsRowDxfId="3"/>
    <tableColumn id="35" xr3:uid="{00000000-0010-0000-3A00-000023000000}" name="P" totalsRowFunction="sum" dataDxfId="39" totalsRowDxfId="2"/>
    <tableColumn id="36" xr3:uid="{00000000-0010-0000-3A00-000024000000}" name="N" totalsRowFunction="count" dataDxfId="38" totalsRowDxfId="1"/>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FocusMode_CAI_GIZ" displayName="FocusMode_CAI_GIZ" ref="A1:H7" totalsRowShown="0">
  <autoFilter ref="A1:H7" xr:uid="{00000000-0009-0000-0100-00003C000000}"/>
  <tableColumns count="8">
    <tableColumn id="1" xr3:uid="{00000000-0010-0000-3B00-000001000000}" name="DATE"/>
    <tableColumn id="2" xr3:uid="{00000000-0010-0000-3B00-000002000000}" name="AIRLINE"/>
    <tableColumn id="3" xr3:uid="{00000000-0010-0000-3B00-000003000000}" name="FLIGHT NUM"/>
    <tableColumn id="4" xr3:uid="{00000000-0010-0000-3B00-000004000000}" name="ROUTE"/>
    <tableColumn id="5" xr3:uid="{00000000-0010-0000-3B00-000005000000}" name="DEPARTURE"/>
    <tableColumn id="6" xr3:uid="{00000000-0010-0000-3B00-000006000000}" name="BAGGAGE"/>
    <tableColumn id="7" xr3:uid="{00000000-0010-0000-3B00-000007000000}" name="AVAILABILITY"/>
    <tableColumn id="8" xr3:uid="{00000000-0010-0000-3B00-000008000000}" name="PUBLISHED FARE"/>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ThreatsAlert_CAI_GIZ" displayName="ThreatsAlert_CAI_GIZ" ref="A1:H3" totalsRowShown="0">
  <autoFilter ref="A1:H3" xr:uid="{00000000-0009-0000-0100-00003D000000}"/>
  <tableColumns count="8">
    <tableColumn id="1" xr3:uid="{00000000-0010-0000-3C00-000001000000}" name="DATE"/>
    <tableColumn id="2" xr3:uid="{00000000-0010-0000-3C00-000002000000}" name="AIRLINE"/>
    <tableColumn id="3" xr3:uid="{00000000-0010-0000-3C00-000003000000}" name="FLIGHT NUM"/>
    <tableColumn id="4" xr3:uid="{00000000-0010-0000-3C00-000004000000}" name="ROUTE"/>
    <tableColumn id="5" xr3:uid="{00000000-0010-0000-3C00-000005000000}" name="DEPARTURE"/>
    <tableColumn id="6" xr3:uid="{00000000-0010-0000-3C00-000006000000}" name="BAGGAGE"/>
    <tableColumn id="7" xr3:uid="{00000000-0010-0000-3C00-000007000000}" name="AVAILABILITY"/>
    <tableColumn id="8" xr3:uid="{00000000-0010-0000-3C00-000008000000}" name="PUBLISHED FARE"/>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EGY_TO_KSA_ALL_ROUTES" displayName="EGY_TO_KSA_ALL_ROUTES" ref="A1:AJ54" totalsRowShown="0">
  <tableColumns count="36">
    <tableColumn id="1" xr3:uid="{00000000-0010-0000-3D00-000001000000}" name="Day" totalsRowLabel="TOTAL"/>
    <tableColumn id="2" xr3:uid="{00000000-0010-0000-3D00-000002000000}" name="Flt Dt"/>
    <tableColumn id="3" xr3:uid="{00000000-0010-0000-3D00-000003000000}" name="Flt" totalsRowFunction="count"/>
    <tableColumn id="4" xr3:uid="{00000000-0010-0000-3D00-000004000000}" name="DEP"/>
    <tableColumn id="5" xr3:uid="{00000000-0010-0000-3D00-000005000000}" name="Brd-Off" totalsRowFunction="count"/>
    <tableColumn id="6" xr3:uid="{00000000-0010-0000-3D00-000006000000}" name="Eqp"/>
    <tableColumn id="7" xr3:uid="{00000000-0010-0000-3D00-000007000000}" name="LF%" totalsRowFunction="average"/>
    <tableColumn id="8" xr3:uid="{00000000-0010-0000-3D00-000008000000}" name="CAP" totalsRowFunction="sum"/>
    <tableColumn id="9" xr3:uid="{00000000-0010-0000-3D00-000009000000}" name="BKG(Y)" totalsRowFunction="sum"/>
    <tableColumn id="10" xr3:uid="{00000000-0010-0000-3D00-00000A000000}" name="GRP(Y)" totalsRowFunction="sum"/>
    <tableColumn id="11" xr3:uid="{00000000-0010-0000-3D00-00000B000000}" name="FLT ST"/>
    <tableColumn id="12" xr3:uid="{00000000-0010-0000-3D00-00000C000000}" name="LST-SOLD"/>
    <tableColumn id="13" xr3:uid="{00000000-0010-0000-3D00-00000D000000}" name="TO-DAY" totalsRowFunction="sum"/>
    <tableColumn id="14" xr3:uid="{00000000-0010-0000-3D00-00000E000000}" name="Y-DAY" totalsRowFunction="sum"/>
    <tableColumn id="15" xr3:uid="{00000000-0010-0000-3D00-00000F000000}" name="WEEKLY" totalsRowFunction="sum"/>
    <tableColumn id="16" xr3:uid="{00000000-0010-0000-3D00-000010000000}" name="LOWEST AVAIL" totalsRowFunction="sum"/>
    <tableColumn id="17" xr3:uid="{00000000-0010-0000-3D00-000011000000}" name="Y" totalsRowFunction="sum"/>
    <tableColumn id="18" xr3:uid="{00000000-0010-0000-3D00-000012000000}" name="B" totalsRowFunction="sum"/>
    <tableColumn id="19" xr3:uid="{00000000-0010-0000-3D00-000013000000}" name="M" totalsRowFunction="sum"/>
    <tableColumn id="20" xr3:uid="{00000000-0010-0000-3D00-000014000000}" name="H" totalsRowFunction="sum"/>
    <tableColumn id="21" xr3:uid="{00000000-0010-0000-3D00-000015000000}" name="Q" totalsRowFunction="sum"/>
    <tableColumn id="22" xr3:uid="{00000000-0010-0000-3D00-000016000000}" name="K" totalsRowFunction="sum"/>
    <tableColumn id="23" xr3:uid="{00000000-0010-0000-3D00-000017000000}" name="V" totalsRowFunction="sum"/>
    <tableColumn id="24" xr3:uid="{00000000-0010-0000-3D00-000018000000}" name="L" totalsRowFunction="sum"/>
    <tableColumn id="25" xr3:uid="{00000000-0010-0000-3D00-000019000000}" name="G" totalsRowFunction="sum"/>
    <tableColumn id="26" xr3:uid="{00000000-0010-0000-3D00-00001A000000}" name="S" totalsRowFunction="sum"/>
    <tableColumn id="27" xr3:uid="{00000000-0010-0000-3D00-00001B000000}" name="W" totalsRowFunction="sum"/>
    <tableColumn id="28" xr3:uid="{00000000-0010-0000-3D00-00001C000000}" name="T" totalsRowFunction="sum"/>
    <tableColumn id="29" xr3:uid="{00000000-0010-0000-3D00-00001D000000}" name="X" totalsRowFunction="sum"/>
    <tableColumn id="30" xr3:uid="{00000000-0010-0000-3D00-00001E000000}" name="U" totalsRowFunction="sum"/>
    <tableColumn id="31" xr3:uid="{00000000-0010-0000-3D00-00001F000000}" name="O" totalsRowFunction="sum"/>
    <tableColumn id="32" xr3:uid="{00000000-0010-0000-3D00-000020000000}" name="I" totalsRowFunction="sum"/>
    <tableColumn id="33" xr3:uid="{00000000-0010-0000-3D00-000021000000}" name="E" totalsRowFunction="sum"/>
    <tableColumn id="34" xr3:uid="{00000000-0010-0000-3D00-000022000000}" name="A" totalsRowFunction="sum"/>
    <tableColumn id="35" xr3:uid="{00000000-0010-0000-3D00-000023000000}" name="P" totalsRowFunction="sum"/>
    <tableColumn id="36" xr3:uid="{00000000-0010-0000-3D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6.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8.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9.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1.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2.xml"/><Relationship Id="rId1"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4.xml"/><Relationship Id="rId1" Type="http://schemas.openxmlformats.org/officeDocument/2006/relationships/vmlDrawing" Target="../drawings/vmlDrawing9.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5.xml"/><Relationship Id="rId1" Type="http://schemas.openxmlformats.org/officeDocument/2006/relationships/vmlDrawing" Target="../drawings/vmlDrawing10.v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17.xml"/><Relationship Id="rId1" Type="http://schemas.openxmlformats.org/officeDocument/2006/relationships/vmlDrawing" Target="../drawings/vmlDrawing11.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8.xml"/><Relationship Id="rId1" Type="http://schemas.openxmlformats.org/officeDocument/2006/relationships/vmlDrawing" Target="../drawings/vmlDrawing12.vml"/></Relationships>
</file>

<file path=xl/worksheets/_rels/sheet35.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2.xml"/><Relationship Id="rId1" Type="http://schemas.openxmlformats.org/officeDocument/2006/relationships/vmlDrawing" Target="../drawings/vmlDrawing13.vml"/></Relationships>
</file>

<file path=xl/worksheets/_rels/sheet4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3.xml"/><Relationship Id="rId1" Type="http://schemas.openxmlformats.org/officeDocument/2006/relationships/vmlDrawing" Target="../drawings/vmlDrawing14.vml"/></Relationships>
</file>

<file path=xl/worksheets/_rels/sheet4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5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7.xml"/><Relationship Id="rId1" Type="http://schemas.openxmlformats.org/officeDocument/2006/relationships/vmlDrawing" Target="../drawings/vmlDrawing15.vml"/></Relationships>
</file>

<file path=xl/worksheets/_rels/sheet5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8.xml"/><Relationship Id="rId1" Type="http://schemas.openxmlformats.org/officeDocument/2006/relationships/vmlDrawing" Target="../drawings/vmlDrawing16.vml"/></Relationships>
</file>

<file path=xl/worksheets/_rels/sheet54.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55.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30.xml"/><Relationship Id="rId1" Type="http://schemas.openxmlformats.org/officeDocument/2006/relationships/vmlDrawing" Target="../drawings/vmlDrawing17.vml"/></Relationships>
</file>

<file path=xl/worksheets/_rels/sheet5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31.xml"/><Relationship Id="rId1" Type="http://schemas.openxmlformats.org/officeDocument/2006/relationships/vmlDrawing" Target="../drawings/vmlDrawing18.vml"/></Relationships>
</file>

<file path=xl/worksheets/_rels/sheet58.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5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33.xml"/><Relationship Id="rId1" Type="http://schemas.openxmlformats.org/officeDocument/2006/relationships/vmlDrawing" Target="../drawings/vmlDrawing19.vml"/></Relationships>
</file>

<file path=xl/worksheets/_rels/sheet6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34.xml"/><Relationship Id="rId1" Type="http://schemas.openxmlformats.org/officeDocument/2006/relationships/vmlDrawing" Target="../drawings/vmlDrawing20.vml"/></Relationships>
</file>

<file path=xl/worksheets/_rels/sheet62.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36.xml"/><Relationship Id="rId1" Type="http://schemas.openxmlformats.org/officeDocument/2006/relationships/vmlDrawing" Target="../drawings/vmlDrawing21.vml"/></Relationships>
</file>

<file path=xl/worksheets/_rels/sheet6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table" Target="../tables/table37.xml"/><Relationship Id="rId1" Type="http://schemas.openxmlformats.org/officeDocument/2006/relationships/vmlDrawing" Target="../drawings/vmlDrawing22.vml"/></Relationships>
</file>

<file path=xl/worksheets/_rels/sheet66.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table" Target="../tables/table39.xml"/><Relationship Id="rId1" Type="http://schemas.openxmlformats.org/officeDocument/2006/relationships/vmlDrawing" Target="../drawings/vmlDrawing23.vml"/></Relationships>
</file>

<file path=xl/worksheets/_rels/sheet68.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40.xml"/><Relationship Id="rId1" Type="http://schemas.openxmlformats.org/officeDocument/2006/relationships/vmlDrawing" Target="../drawings/vmlDrawing24.vml"/></Relationships>
</file>

<file path=xl/worksheets/_rels/sheet70.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table" Target="../tables/table42.xml"/><Relationship Id="rId1" Type="http://schemas.openxmlformats.org/officeDocument/2006/relationships/vmlDrawing" Target="../drawings/vmlDrawing25.vml"/></Relationships>
</file>

<file path=xl/worksheets/_rels/sheet72.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table" Target="../tables/table43.xml"/><Relationship Id="rId1" Type="http://schemas.openxmlformats.org/officeDocument/2006/relationships/vmlDrawing" Target="../drawings/vmlDrawing26.vml"/></Relationships>
</file>

<file path=xl/worksheets/_rels/sheet74.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75.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45.xml"/><Relationship Id="rId1" Type="http://schemas.openxmlformats.org/officeDocument/2006/relationships/vmlDrawing" Target="../drawings/vmlDrawing27.vml"/></Relationships>
</file>

<file path=xl/worksheets/_rels/sheet76.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46.xml"/><Relationship Id="rId1" Type="http://schemas.openxmlformats.org/officeDocument/2006/relationships/vmlDrawing" Target="../drawings/vmlDrawing28.vml"/></Relationships>
</file>

<file path=xl/worksheets/_rels/sheet78.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79.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table" Target="../tables/table48.xml"/><Relationship Id="rId1" Type="http://schemas.openxmlformats.org/officeDocument/2006/relationships/vmlDrawing" Target="../drawings/vmlDrawing29.vml"/></Relationships>
</file>

<file path=xl/worksheets/_rels/sheet80.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table" Target="../tables/table49.xml"/><Relationship Id="rId1" Type="http://schemas.openxmlformats.org/officeDocument/2006/relationships/vmlDrawing" Target="../drawings/vmlDrawing30.vml"/></Relationships>
</file>

<file path=xl/worksheets/_rels/sheet82.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83.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table" Target="../tables/table51.xml"/><Relationship Id="rId1" Type="http://schemas.openxmlformats.org/officeDocument/2006/relationships/vmlDrawing" Target="../drawings/vmlDrawing31.vml"/></Relationships>
</file>

<file path=xl/worksheets/_rels/sheet84.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table" Target="../tables/table52.xml"/><Relationship Id="rId1" Type="http://schemas.openxmlformats.org/officeDocument/2006/relationships/vmlDrawing" Target="../drawings/vmlDrawing32.vml"/></Relationships>
</file>

<file path=xl/worksheets/_rels/sheet86.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87.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table" Target="../tables/table54.xml"/><Relationship Id="rId1" Type="http://schemas.openxmlformats.org/officeDocument/2006/relationships/vmlDrawing" Target="../drawings/vmlDrawing33.vml"/></Relationships>
</file>

<file path=xl/worksheets/_rels/sheet88.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table" Target="../tables/table55.xml"/><Relationship Id="rId1" Type="http://schemas.openxmlformats.org/officeDocument/2006/relationships/vmlDrawing" Target="../drawings/vmlDrawing34.vml"/></Relationships>
</file>

<file path=xl/worksheets/_rels/sheet90.xml.rels><?xml version="1.0" encoding="UTF-8" standalone="yes"?>
<Relationships xmlns="http://schemas.openxmlformats.org/package/2006/relationships"><Relationship Id="rId1" Type="http://schemas.openxmlformats.org/officeDocument/2006/relationships/table" Target="../tables/table56.xml"/></Relationships>
</file>

<file path=xl/worksheets/_rels/sheet91.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table" Target="../tables/table57.xml"/><Relationship Id="rId1" Type="http://schemas.openxmlformats.org/officeDocument/2006/relationships/vmlDrawing" Target="../drawings/vmlDrawing35.vml"/></Relationships>
</file>

<file path=xl/worksheets/_rels/sheet92.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table" Target="../tables/table58.xml"/><Relationship Id="rId1" Type="http://schemas.openxmlformats.org/officeDocument/2006/relationships/vmlDrawing" Target="../drawings/vmlDrawing36.vml"/></Relationships>
</file>

<file path=xl/worksheets/_rels/sheet94.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95.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table" Target="../tables/table60.xml"/><Relationship Id="rId1" Type="http://schemas.openxmlformats.org/officeDocument/2006/relationships/vmlDrawing" Target="../drawings/vmlDrawing37.vml"/></Relationships>
</file>

<file path=xl/worksheets/_rels/sheet96.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table" Target="../tables/table61.xml"/><Relationship Id="rId1" Type="http://schemas.openxmlformats.org/officeDocument/2006/relationships/vmlDrawing" Target="../drawings/vmlDrawing38.vml"/></Relationships>
</file>

<file path=xl/worksheets/_rels/sheet97.xml.rels><?xml version="1.0" encoding="UTF-8" standalone="yes"?>
<Relationships xmlns="http://schemas.openxmlformats.org/package/2006/relationships"><Relationship Id="rId1" Type="http://schemas.openxmlformats.org/officeDocument/2006/relationships/table" Target="../tables/table6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63"/>
  <sheetViews>
    <sheetView tabSelected="1" workbookViewId="0">
      <selection sqref="A1:E1"/>
    </sheetView>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51" bestFit="1" customWidth="1"/>
  </cols>
  <sheetData>
    <row r="1" spans="1:92" ht="28.8" customHeight="1" x14ac:dyDescent="0.3">
      <c r="A1" s="261" t="s">
        <v>0</v>
      </c>
      <c r="B1" s="254"/>
      <c r="C1" s="254"/>
      <c r="D1" s="254"/>
      <c r="E1" s="254"/>
      <c r="F1" s="1" t="s">
        <v>1</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45980.430358892081</v>
      </c>
      <c r="H2" s="254"/>
      <c r="I2" s="254"/>
      <c r="J2" s="254"/>
      <c r="K2" s="263">
        <v>45980.430358892547</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45981</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0.22916666666666671</v>
      </c>
      <c r="D6" s="8" t="s">
        <v>28</v>
      </c>
      <c r="E6" s="8" t="s">
        <v>29</v>
      </c>
      <c r="F6" s="8" t="s">
        <v>30</v>
      </c>
      <c r="G6" s="265"/>
      <c r="H6" s="10"/>
      <c r="I6" s="11"/>
      <c r="J6" s="11"/>
      <c r="K6" s="11"/>
      <c r="L6" s="11"/>
      <c r="M6" s="11"/>
      <c r="N6" s="11"/>
      <c r="O6" s="12"/>
      <c r="P6" s="11"/>
      <c r="Q6" s="13"/>
      <c r="R6" s="14"/>
    </row>
    <row r="7" spans="1:92" ht="15" customHeight="1" x14ac:dyDescent="0.3">
      <c r="A7" s="15" t="s">
        <v>26</v>
      </c>
      <c r="B7" s="15" t="s">
        <v>27</v>
      </c>
      <c r="C7" s="16">
        <v>0.22916666666666671</v>
      </c>
      <c r="D7" s="15" t="s">
        <v>31</v>
      </c>
      <c r="E7" s="15" t="s">
        <v>32</v>
      </c>
      <c r="F7" s="15" t="s">
        <v>33</v>
      </c>
      <c r="G7" s="257"/>
      <c r="H7" s="10"/>
      <c r="I7" s="11"/>
      <c r="J7" s="11"/>
      <c r="K7" s="11"/>
      <c r="L7" s="11"/>
      <c r="M7" s="11"/>
      <c r="N7" s="11"/>
      <c r="O7" s="12"/>
      <c r="P7" s="11"/>
      <c r="Q7" s="13"/>
      <c r="R7" s="14"/>
    </row>
    <row r="8" spans="1:92" ht="15" customHeight="1" x14ac:dyDescent="0.3">
      <c r="A8" s="15" t="s">
        <v>26</v>
      </c>
      <c r="B8" s="15" t="s">
        <v>27</v>
      </c>
      <c r="C8" s="16">
        <v>0.22916666666666671</v>
      </c>
      <c r="D8" s="15" t="s">
        <v>34</v>
      </c>
      <c r="E8" s="15" t="s">
        <v>32</v>
      </c>
      <c r="F8" s="15" t="s">
        <v>35</v>
      </c>
      <c r="G8" s="257"/>
      <c r="H8" s="10"/>
      <c r="I8" s="11"/>
      <c r="J8" s="11"/>
      <c r="K8" s="11"/>
      <c r="L8" s="11"/>
      <c r="M8" s="11"/>
      <c r="N8" s="11"/>
      <c r="O8" s="12"/>
      <c r="P8" s="11"/>
      <c r="Q8" s="13"/>
      <c r="R8" s="14"/>
    </row>
    <row r="9" spans="1:92" ht="15" customHeight="1" x14ac:dyDescent="0.3">
      <c r="A9" s="17" t="s">
        <v>36</v>
      </c>
      <c r="B9" s="17" t="s">
        <v>37</v>
      </c>
      <c r="C9" s="18">
        <v>0.43402777777777768</v>
      </c>
      <c r="D9" s="17" t="s">
        <v>38</v>
      </c>
      <c r="E9" s="17" t="s">
        <v>39</v>
      </c>
      <c r="F9" s="17" t="s">
        <v>40</v>
      </c>
      <c r="G9" s="257"/>
      <c r="H9" s="10"/>
      <c r="I9" s="11"/>
      <c r="J9" s="11"/>
      <c r="K9" s="11"/>
      <c r="L9" s="11"/>
      <c r="M9" s="11"/>
      <c r="N9" s="11"/>
      <c r="O9" s="12"/>
      <c r="P9" s="11"/>
      <c r="Q9" s="13"/>
      <c r="R9" s="14"/>
    </row>
    <row r="10" spans="1:92" ht="15" customHeight="1" x14ac:dyDescent="0.3">
      <c r="A10" s="15" t="s">
        <v>36</v>
      </c>
      <c r="B10" s="15" t="s">
        <v>37</v>
      </c>
      <c r="C10" s="16">
        <v>0.43402777777777768</v>
      </c>
      <c r="D10" s="15" t="s">
        <v>41</v>
      </c>
      <c r="E10" s="15" t="s">
        <v>42</v>
      </c>
      <c r="F10" s="15" t="s">
        <v>43</v>
      </c>
      <c r="G10" s="257"/>
      <c r="H10" s="10"/>
      <c r="I10" s="11"/>
      <c r="J10" s="11"/>
      <c r="K10" s="11"/>
      <c r="L10" s="11"/>
      <c r="M10" s="11"/>
      <c r="N10" s="11"/>
      <c r="O10" s="12"/>
      <c r="P10" s="11"/>
      <c r="Q10" s="13"/>
      <c r="R10" s="14"/>
    </row>
    <row r="11" spans="1:92" ht="15" customHeight="1" x14ac:dyDescent="0.3">
      <c r="A11" s="15" t="s">
        <v>36</v>
      </c>
      <c r="B11" s="15" t="s">
        <v>37</v>
      </c>
      <c r="C11" s="16">
        <v>0.43402777777777768</v>
      </c>
      <c r="D11" s="15" t="s">
        <v>44</v>
      </c>
      <c r="E11" s="15" t="s">
        <v>42</v>
      </c>
      <c r="F11" s="15" t="s">
        <v>45</v>
      </c>
      <c r="G11" s="257"/>
      <c r="H11" s="10"/>
      <c r="I11" s="11"/>
      <c r="J11" s="11"/>
      <c r="K11" s="11"/>
      <c r="L11" s="11"/>
      <c r="M11" s="11"/>
      <c r="N11" s="11"/>
      <c r="O11" s="12"/>
      <c r="P11" s="11"/>
      <c r="Q11" s="13"/>
      <c r="R11" s="14"/>
    </row>
    <row r="12" spans="1:92" ht="15" customHeight="1" x14ac:dyDescent="0.3">
      <c r="A12" s="19" t="s">
        <v>36</v>
      </c>
      <c r="B12" s="19" t="s">
        <v>46</v>
      </c>
      <c r="C12" s="20">
        <v>0.60763888888888895</v>
      </c>
      <c r="D12" s="19" t="s">
        <v>38</v>
      </c>
      <c r="E12" s="19" t="s">
        <v>47</v>
      </c>
      <c r="F12" s="19" t="s">
        <v>48</v>
      </c>
      <c r="G12" s="257"/>
      <c r="H12" s="10"/>
      <c r="I12" s="11"/>
      <c r="J12" s="11"/>
      <c r="K12" s="11"/>
      <c r="L12" s="11"/>
      <c r="M12" s="11"/>
      <c r="N12" s="11"/>
      <c r="O12" s="12"/>
      <c r="P12" s="11"/>
      <c r="Q12" s="13"/>
      <c r="R12" s="14"/>
    </row>
    <row r="13" spans="1:92" ht="15" customHeight="1" x14ac:dyDescent="0.3">
      <c r="A13" s="15" t="s">
        <v>36</v>
      </c>
      <c r="B13" s="15" t="s">
        <v>46</v>
      </c>
      <c r="C13" s="16">
        <v>0.60763888888888895</v>
      </c>
      <c r="D13" s="15" t="s">
        <v>41</v>
      </c>
      <c r="E13" s="15" t="s">
        <v>49</v>
      </c>
      <c r="F13" s="15" t="s">
        <v>50</v>
      </c>
      <c r="G13" s="257"/>
      <c r="H13" s="10"/>
      <c r="I13" s="11"/>
      <c r="J13" s="11"/>
      <c r="K13" s="11"/>
      <c r="L13" s="11"/>
      <c r="M13" s="11"/>
      <c r="N13" s="11"/>
      <c r="O13" s="12"/>
      <c r="P13" s="11"/>
      <c r="Q13" s="13"/>
      <c r="R13" s="14"/>
    </row>
    <row r="14" spans="1:92" ht="15" customHeight="1" x14ac:dyDescent="0.3">
      <c r="A14" s="15" t="s">
        <v>36</v>
      </c>
      <c r="B14" s="15" t="s">
        <v>46</v>
      </c>
      <c r="C14" s="16">
        <v>0.60763888888888895</v>
      </c>
      <c r="D14" s="15" t="s">
        <v>44</v>
      </c>
      <c r="E14" s="15" t="s">
        <v>49</v>
      </c>
      <c r="F14" s="15" t="s">
        <v>51</v>
      </c>
      <c r="G14" s="257"/>
      <c r="H14" s="10"/>
      <c r="I14" s="11"/>
      <c r="J14" s="11"/>
      <c r="K14" s="11"/>
      <c r="L14" s="11"/>
      <c r="M14" s="11"/>
      <c r="N14" s="11"/>
      <c r="O14" s="12"/>
      <c r="P14" s="11"/>
      <c r="Q14" s="13"/>
      <c r="R14" s="14"/>
    </row>
    <row r="15" spans="1:92" ht="15" customHeight="1" x14ac:dyDescent="0.3">
      <c r="A15" s="17" t="s">
        <v>52</v>
      </c>
      <c r="B15" s="17" t="s">
        <v>53</v>
      </c>
      <c r="C15" s="18">
        <v>0.18402777777777779</v>
      </c>
      <c r="D15" s="17" t="s">
        <v>54</v>
      </c>
      <c r="E15" s="17" t="s">
        <v>55</v>
      </c>
      <c r="F15" s="17" t="s">
        <v>56</v>
      </c>
      <c r="G15" s="257"/>
      <c r="H15" s="10"/>
      <c r="I15" s="11"/>
      <c r="J15" s="11"/>
      <c r="K15" s="11"/>
      <c r="L15" s="11"/>
      <c r="M15" s="11"/>
      <c r="N15" s="11"/>
      <c r="O15" s="12"/>
      <c r="P15" s="11"/>
      <c r="Q15" s="13"/>
      <c r="R15" s="14"/>
    </row>
    <row r="16" spans="1:92" ht="15" customHeight="1" x14ac:dyDescent="0.3">
      <c r="A16" s="15" t="s">
        <v>52</v>
      </c>
      <c r="B16" s="15" t="s">
        <v>53</v>
      </c>
      <c r="C16" s="16">
        <v>0.18402777777777779</v>
      </c>
      <c r="D16" s="15" t="s">
        <v>57</v>
      </c>
      <c r="E16" s="15" t="s">
        <v>58</v>
      </c>
      <c r="F16" s="15" t="s">
        <v>59</v>
      </c>
      <c r="G16" s="257"/>
      <c r="H16" s="10"/>
      <c r="I16" s="11"/>
      <c r="J16" s="11"/>
      <c r="K16" s="11"/>
      <c r="L16" s="11"/>
      <c r="M16" s="11"/>
      <c r="N16" s="11"/>
      <c r="O16" s="12"/>
      <c r="P16" s="11"/>
      <c r="Q16" s="13"/>
      <c r="R16" s="14"/>
    </row>
    <row r="17" spans="1:18" ht="15" customHeight="1" x14ac:dyDescent="0.3">
      <c r="A17" s="19" t="s">
        <v>52</v>
      </c>
      <c r="B17" s="19" t="s">
        <v>60</v>
      </c>
      <c r="C17" s="20">
        <v>0.22916666666666671</v>
      </c>
      <c r="D17" s="19" t="s">
        <v>57</v>
      </c>
      <c r="E17" s="19" t="s">
        <v>61</v>
      </c>
      <c r="F17" s="19" t="s">
        <v>62</v>
      </c>
      <c r="G17" s="257"/>
      <c r="H17" s="10"/>
      <c r="I17" s="11"/>
      <c r="J17" s="11"/>
      <c r="K17" s="11"/>
      <c r="L17" s="11"/>
      <c r="M17" s="11"/>
      <c r="N17" s="11"/>
      <c r="O17" s="12"/>
      <c r="P17" s="11"/>
      <c r="Q17" s="13"/>
      <c r="R17" s="14"/>
    </row>
    <row r="18" spans="1:18" ht="15" customHeight="1" x14ac:dyDescent="0.3">
      <c r="A18" s="19" t="s">
        <v>52</v>
      </c>
      <c r="B18" s="19" t="s">
        <v>63</v>
      </c>
      <c r="C18" s="20">
        <v>0.35416666666666669</v>
      </c>
      <c r="D18" s="19" t="s">
        <v>57</v>
      </c>
      <c r="E18" s="19" t="s">
        <v>47</v>
      </c>
      <c r="F18" s="19" t="s">
        <v>64</v>
      </c>
      <c r="G18" s="257"/>
      <c r="H18" s="10"/>
      <c r="I18" s="11"/>
      <c r="J18" s="11"/>
      <c r="K18" s="11"/>
      <c r="L18" s="11"/>
      <c r="M18" s="11"/>
      <c r="N18" s="11"/>
      <c r="O18" s="12"/>
      <c r="P18" s="11"/>
      <c r="Q18" s="13"/>
      <c r="R18" s="14"/>
    </row>
    <row r="19" spans="1:18" ht="15" customHeight="1" x14ac:dyDescent="0.3">
      <c r="A19" s="19" t="s">
        <v>52</v>
      </c>
      <c r="B19" s="19" t="s">
        <v>65</v>
      </c>
      <c r="C19" s="20">
        <v>0.89583333333333337</v>
      </c>
      <c r="D19" s="19" t="s">
        <v>57</v>
      </c>
      <c r="E19" s="19" t="s">
        <v>66</v>
      </c>
      <c r="F19" s="19" t="s">
        <v>67</v>
      </c>
      <c r="G19" s="257"/>
      <c r="H19" s="10"/>
      <c r="I19" s="11"/>
      <c r="J19" s="11"/>
      <c r="K19" s="11"/>
      <c r="L19" s="11"/>
      <c r="M19" s="11"/>
      <c r="N19" s="11"/>
      <c r="O19" s="12"/>
      <c r="P19" s="11"/>
      <c r="Q19" s="13"/>
      <c r="R19" s="14"/>
    </row>
    <row r="20" spans="1:18" ht="15" customHeight="1" x14ac:dyDescent="0.3">
      <c r="A20" s="17" t="s">
        <v>68</v>
      </c>
      <c r="B20" s="17" t="s">
        <v>69</v>
      </c>
      <c r="C20" s="18">
        <v>0.28819444444444448</v>
      </c>
      <c r="D20" s="17" t="s">
        <v>70</v>
      </c>
      <c r="E20" s="17" t="s">
        <v>71</v>
      </c>
      <c r="F20" s="17" t="s">
        <v>72</v>
      </c>
      <c r="G20" s="257"/>
      <c r="H20" s="10"/>
      <c r="I20" s="11"/>
      <c r="J20" s="11"/>
      <c r="K20" s="11"/>
      <c r="L20" s="11"/>
      <c r="M20" s="11"/>
      <c r="N20" s="11"/>
      <c r="O20" s="12"/>
      <c r="P20" s="11"/>
      <c r="Q20" s="13"/>
      <c r="R20" s="14"/>
    </row>
    <row r="21" spans="1:18" ht="15" customHeight="1" thickBot="1" x14ac:dyDescent="0.35">
      <c r="A21" s="21" t="s">
        <v>73</v>
      </c>
      <c r="B21" s="21" t="s">
        <v>74</v>
      </c>
      <c r="C21" s="22">
        <v>0.38194444444444442</v>
      </c>
      <c r="D21" s="21" t="s">
        <v>75</v>
      </c>
      <c r="E21" s="23"/>
      <c r="F21" s="21" t="s">
        <v>76</v>
      </c>
      <c r="G21" s="258"/>
      <c r="H21" s="24" t="s">
        <v>74</v>
      </c>
      <c r="I21" s="25">
        <v>0.97870000000000001</v>
      </c>
      <c r="J21" s="26">
        <v>184</v>
      </c>
      <c r="K21" s="27" t="s">
        <v>77</v>
      </c>
      <c r="L21" s="26">
        <v>39</v>
      </c>
      <c r="M21" s="26">
        <v>0</v>
      </c>
      <c r="N21" s="26">
        <v>0</v>
      </c>
      <c r="O21" s="28" t="s">
        <v>78</v>
      </c>
      <c r="P21" s="29">
        <v>0.38194444444444442</v>
      </c>
      <c r="Q21" s="26">
        <v>188</v>
      </c>
      <c r="R21" s="30" t="s">
        <v>79</v>
      </c>
    </row>
    <row r="22" spans="1:18" ht="17.399999999999999" customHeight="1" thickBot="1" x14ac:dyDescent="0.35">
      <c r="A22" s="285"/>
      <c r="B22" s="286"/>
      <c r="C22" s="286"/>
      <c r="D22" s="286"/>
      <c r="E22" s="286"/>
      <c r="F22" s="286"/>
      <c r="G22" s="286"/>
      <c r="H22" s="286"/>
      <c r="I22" s="286"/>
      <c r="J22" s="286"/>
      <c r="K22" s="286"/>
      <c r="L22" s="286"/>
      <c r="M22" s="286"/>
      <c r="N22" s="286"/>
      <c r="O22" s="286"/>
      <c r="P22" s="286"/>
      <c r="Q22" s="286"/>
      <c r="R22" s="287"/>
    </row>
    <row r="23" spans="1:18" ht="22.05" customHeight="1" thickTop="1" thickBot="1" x14ac:dyDescent="0.35">
      <c r="A23" s="259" t="s">
        <v>6</v>
      </c>
      <c r="B23" s="251"/>
      <c r="C23" s="251"/>
      <c r="D23" s="251"/>
      <c r="E23" s="251"/>
      <c r="F23" s="252"/>
      <c r="G23" s="31">
        <v>45982</v>
      </c>
      <c r="H23" s="250" t="s">
        <v>7</v>
      </c>
      <c r="I23" s="251"/>
      <c r="J23" s="251"/>
      <c r="K23" s="251"/>
      <c r="L23" s="251"/>
      <c r="M23" s="251"/>
      <c r="N23" s="251"/>
      <c r="O23" s="251"/>
      <c r="P23" s="251"/>
      <c r="Q23" s="251"/>
      <c r="R23" s="252"/>
    </row>
    <row r="24" spans="1:18" ht="24" customHeight="1" x14ac:dyDescent="0.3">
      <c r="A24" s="32" t="s">
        <v>8</v>
      </c>
      <c r="B24" s="32" t="s">
        <v>9</v>
      </c>
      <c r="C24" s="33" t="s">
        <v>10</v>
      </c>
      <c r="D24" s="32" t="s">
        <v>11</v>
      </c>
      <c r="E24" s="32" t="s">
        <v>12</v>
      </c>
      <c r="F24" s="34" t="s">
        <v>13</v>
      </c>
      <c r="G24" s="35" t="s">
        <v>14</v>
      </c>
      <c r="H24" s="32" t="s">
        <v>15</v>
      </c>
      <c r="I24" s="36" t="s">
        <v>16</v>
      </c>
      <c r="J24" s="37" t="s">
        <v>17</v>
      </c>
      <c r="K24" s="38" t="s">
        <v>18</v>
      </c>
      <c r="L24" s="37" t="s">
        <v>19</v>
      </c>
      <c r="M24" s="37" t="s">
        <v>20</v>
      </c>
      <c r="N24" s="37" t="s">
        <v>21</v>
      </c>
      <c r="O24" s="32" t="s">
        <v>22</v>
      </c>
      <c r="P24" s="33" t="s">
        <v>23</v>
      </c>
      <c r="Q24" s="37" t="s">
        <v>24</v>
      </c>
      <c r="R24" s="32" t="s">
        <v>25</v>
      </c>
    </row>
    <row r="25" spans="1:18" ht="15" customHeight="1" x14ac:dyDescent="0.3">
      <c r="A25" s="8" t="s">
        <v>26</v>
      </c>
      <c r="B25" s="8" t="s">
        <v>27</v>
      </c>
      <c r="C25" s="9">
        <v>0.22916666666666671</v>
      </c>
      <c r="D25" s="8" t="s">
        <v>28</v>
      </c>
      <c r="E25" s="8" t="s">
        <v>80</v>
      </c>
      <c r="F25" s="8" t="s">
        <v>30</v>
      </c>
      <c r="G25" s="256"/>
      <c r="H25" s="10"/>
      <c r="I25" s="11"/>
      <c r="J25" s="11"/>
      <c r="K25" s="11"/>
      <c r="L25" s="11"/>
      <c r="M25" s="11"/>
      <c r="N25" s="11"/>
      <c r="O25" s="12"/>
      <c r="P25" s="11"/>
      <c r="Q25" s="13"/>
      <c r="R25" s="14"/>
    </row>
    <row r="26" spans="1:18" ht="15" customHeight="1" x14ac:dyDescent="0.3">
      <c r="A26" s="15" t="s">
        <v>26</v>
      </c>
      <c r="B26" s="15" t="s">
        <v>27</v>
      </c>
      <c r="C26" s="16">
        <v>0.22916666666666671</v>
      </c>
      <c r="D26" s="15" t="s">
        <v>31</v>
      </c>
      <c r="E26" s="15" t="s">
        <v>49</v>
      </c>
      <c r="F26" s="15" t="s">
        <v>33</v>
      </c>
      <c r="G26" s="257"/>
      <c r="H26" s="10"/>
      <c r="I26" s="11"/>
      <c r="J26" s="11"/>
      <c r="K26" s="11"/>
      <c r="L26" s="11"/>
      <c r="M26" s="11"/>
      <c r="N26" s="11"/>
      <c r="O26" s="12"/>
      <c r="P26" s="11"/>
      <c r="Q26" s="13"/>
      <c r="R26" s="14"/>
    </row>
    <row r="27" spans="1:18" ht="15" customHeight="1" x14ac:dyDescent="0.3">
      <c r="A27" s="15" t="s">
        <v>26</v>
      </c>
      <c r="B27" s="15" t="s">
        <v>27</v>
      </c>
      <c r="C27" s="16">
        <v>0.22916666666666671</v>
      </c>
      <c r="D27" s="15" t="s">
        <v>34</v>
      </c>
      <c r="E27" s="15" t="s">
        <v>49</v>
      </c>
      <c r="F27" s="15" t="s">
        <v>35</v>
      </c>
      <c r="G27" s="257"/>
      <c r="H27" s="10"/>
      <c r="I27" s="11"/>
      <c r="J27" s="11"/>
      <c r="K27" s="11"/>
      <c r="L27" s="11"/>
      <c r="M27" s="11"/>
      <c r="N27" s="11"/>
      <c r="O27" s="12"/>
      <c r="P27" s="11"/>
      <c r="Q27" s="13"/>
      <c r="R27" s="14"/>
    </row>
    <row r="28" spans="1:18" ht="15" customHeight="1" x14ac:dyDescent="0.3">
      <c r="A28" s="17" t="s">
        <v>36</v>
      </c>
      <c r="B28" s="17" t="s">
        <v>46</v>
      </c>
      <c r="C28" s="18">
        <v>0.60763888888888895</v>
      </c>
      <c r="D28" s="17" t="s">
        <v>38</v>
      </c>
      <c r="E28" s="17" t="s">
        <v>81</v>
      </c>
      <c r="F28" s="17" t="s">
        <v>40</v>
      </c>
      <c r="G28" s="257"/>
      <c r="H28" s="10"/>
      <c r="I28" s="11"/>
      <c r="J28" s="11"/>
      <c r="K28" s="11"/>
      <c r="L28" s="11"/>
      <c r="M28" s="11"/>
      <c r="N28" s="11"/>
      <c r="O28" s="12"/>
      <c r="P28" s="11"/>
      <c r="Q28" s="13"/>
      <c r="R28" s="14"/>
    </row>
    <row r="29" spans="1:18" ht="15" customHeight="1" x14ac:dyDescent="0.3">
      <c r="A29" s="15" t="s">
        <v>36</v>
      </c>
      <c r="B29" s="15" t="s">
        <v>46</v>
      </c>
      <c r="C29" s="16">
        <v>0.60763888888888895</v>
      </c>
      <c r="D29" s="15" t="s">
        <v>41</v>
      </c>
      <c r="E29" s="15" t="s">
        <v>82</v>
      </c>
      <c r="F29" s="15" t="s">
        <v>43</v>
      </c>
      <c r="G29" s="257"/>
      <c r="H29" s="10"/>
      <c r="I29" s="11"/>
      <c r="J29" s="11"/>
      <c r="K29" s="11"/>
      <c r="L29" s="11"/>
      <c r="M29" s="11"/>
      <c r="N29" s="11"/>
      <c r="O29" s="12"/>
      <c r="P29" s="11"/>
      <c r="Q29" s="13"/>
      <c r="R29" s="14"/>
    </row>
    <row r="30" spans="1:18" ht="15" customHeight="1" x14ac:dyDescent="0.3">
      <c r="A30" s="15" t="s">
        <v>36</v>
      </c>
      <c r="B30" s="15" t="s">
        <v>46</v>
      </c>
      <c r="C30" s="16">
        <v>0.60763888888888895</v>
      </c>
      <c r="D30" s="15" t="s">
        <v>44</v>
      </c>
      <c r="E30" s="15" t="s">
        <v>82</v>
      </c>
      <c r="F30" s="15" t="s">
        <v>45</v>
      </c>
      <c r="G30" s="257"/>
      <c r="H30" s="10"/>
      <c r="I30" s="11"/>
      <c r="J30" s="11"/>
      <c r="K30" s="11"/>
      <c r="L30" s="11"/>
      <c r="M30" s="11"/>
      <c r="N30" s="11"/>
      <c r="O30" s="12"/>
      <c r="P30" s="11"/>
      <c r="Q30" s="13"/>
      <c r="R30" s="14"/>
    </row>
    <row r="31" spans="1:18" ht="15" customHeight="1" x14ac:dyDescent="0.3">
      <c r="A31" s="17" t="s">
        <v>68</v>
      </c>
      <c r="B31" s="17" t="s">
        <v>83</v>
      </c>
      <c r="C31" s="18">
        <v>0.94097222222222221</v>
      </c>
      <c r="D31" s="17" t="s">
        <v>70</v>
      </c>
      <c r="E31" s="17" t="s">
        <v>55</v>
      </c>
      <c r="F31" s="17" t="s">
        <v>84</v>
      </c>
      <c r="G31" s="257"/>
      <c r="H31" s="10"/>
      <c r="I31" s="11"/>
      <c r="J31" s="11"/>
      <c r="K31" s="11"/>
      <c r="L31" s="11"/>
      <c r="M31" s="11"/>
      <c r="N31" s="11"/>
      <c r="O31" s="12"/>
      <c r="P31" s="11"/>
      <c r="Q31" s="13"/>
      <c r="R31" s="14"/>
    </row>
    <row r="32" spans="1:18" ht="15" customHeight="1" x14ac:dyDescent="0.3">
      <c r="A32" s="19" t="s">
        <v>68</v>
      </c>
      <c r="B32" s="19" t="s">
        <v>85</v>
      </c>
      <c r="C32" s="20">
        <v>0.69791666666666663</v>
      </c>
      <c r="D32" s="19" t="s">
        <v>70</v>
      </c>
      <c r="E32" s="19" t="s">
        <v>86</v>
      </c>
      <c r="F32" s="19" t="s">
        <v>84</v>
      </c>
      <c r="G32" s="257"/>
      <c r="H32" s="10"/>
      <c r="I32" s="11"/>
      <c r="J32" s="11"/>
      <c r="K32" s="11"/>
      <c r="L32" s="11"/>
      <c r="M32" s="11"/>
      <c r="N32" s="11"/>
      <c r="O32" s="12"/>
      <c r="P32" s="11"/>
      <c r="Q32" s="13"/>
      <c r="R32" s="14"/>
    </row>
    <row r="33" spans="1:18" ht="15" customHeight="1" x14ac:dyDescent="0.3">
      <c r="A33" s="19" t="s">
        <v>68</v>
      </c>
      <c r="B33" s="19" t="s">
        <v>69</v>
      </c>
      <c r="C33" s="20">
        <v>0.28819444444444448</v>
      </c>
      <c r="D33" s="19" t="s">
        <v>70</v>
      </c>
      <c r="E33" s="19" t="s">
        <v>86</v>
      </c>
      <c r="F33" s="19" t="s">
        <v>87</v>
      </c>
      <c r="G33" s="257"/>
      <c r="H33" s="10"/>
      <c r="I33" s="11"/>
      <c r="J33" s="11"/>
      <c r="K33" s="11"/>
      <c r="L33" s="11"/>
      <c r="M33" s="11"/>
      <c r="N33" s="11"/>
      <c r="O33" s="12"/>
      <c r="P33" s="11"/>
      <c r="Q33" s="13"/>
      <c r="R33" s="14"/>
    </row>
    <row r="34" spans="1:18" ht="15" customHeight="1" x14ac:dyDescent="0.3">
      <c r="A34" s="19" t="s">
        <v>68</v>
      </c>
      <c r="B34" s="19" t="s">
        <v>88</v>
      </c>
      <c r="C34" s="20">
        <v>0.33680555555555558</v>
      </c>
      <c r="D34" s="19" t="s">
        <v>70</v>
      </c>
      <c r="E34" s="19" t="s">
        <v>86</v>
      </c>
      <c r="F34" s="19" t="s">
        <v>89</v>
      </c>
      <c r="G34" s="257"/>
      <c r="H34" s="10"/>
      <c r="I34" s="11"/>
      <c r="J34" s="11"/>
      <c r="K34" s="11"/>
      <c r="L34" s="11"/>
      <c r="M34" s="11"/>
      <c r="N34" s="11"/>
      <c r="O34" s="12"/>
      <c r="P34" s="11"/>
      <c r="Q34" s="13"/>
      <c r="R34" s="14"/>
    </row>
    <row r="35" spans="1:18" ht="15" customHeight="1" x14ac:dyDescent="0.3">
      <c r="A35" s="19" t="s">
        <v>68</v>
      </c>
      <c r="B35" s="19" t="s">
        <v>90</v>
      </c>
      <c r="C35" s="20">
        <v>6.5972222222222224E-2</v>
      </c>
      <c r="D35" s="19" t="s">
        <v>70</v>
      </c>
      <c r="E35" s="19" t="s">
        <v>86</v>
      </c>
      <c r="F35" s="19" t="s">
        <v>89</v>
      </c>
      <c r="G35" s="257"/>
      <c r="H35" s="10"/>
      <c r="I35" s="11"/>
      <c r="J35" s="11"/>
      <c r="K35" s="11"/>
      <c r="L35" s="11"/>
      <c r="M35" s="11"/>
      <c r="N35" s="11"/>
      <c r="O35" s="12"/>
      <c r="P35" s="11"/>
      <c r="Q35" s="13"/>
      <c r="R35" s="14"/>
    </row>
    <row r="36" spans="1:18" ht="15" customHeight="1" x14ac:dyDescent="0.3">
      <c r="A36" s="17" t="s">
        <v>52</v>
      </c>
      <c r="B36" s="17" t="s">
        <v>65</v>
      </c>
      <c r="C36" s="18">
        <v>0.89583333333333337</v>
      </c>
      <c r="D36" s="17" t="s">
        <v>54</v>
      </c>
      <c r="E36" s="17" t="s">
        <v>55</v>
      </c>
      <c r="F36" s="17" t="s">
        <v>56</v>
      </c>
      <c r="G36" s="257"/>
      <c r="H36" s="10"/>
      <c r="I36" s="11"/>
      <c r="J36" s="11"/>
      <c r="K36" s="11"/>
      <c r="L36" s="11"/>
      <c r="M36" s="11"/>
      <c r="N36" s="11"/>
      <c r="O36" s="12"/>
      <c r="P36" s="11"/>
      <c r="Q36" s="13"/>
      <c r="R36" s="14"/>
    </row>
    <row r="37" spans="1:18" ht="15" customHeight="1" x14ac:dyDescent="0.3">
      <c r="A37" s="15" t="s">
        <v>52</v>
      </c>
      <c r="B37" s="15" t="s">
        <v>65</v>
      </c>
      <c r="C37" s="16">
        <v>0.89583333333333337</v>
      </c>
      <c r="D37" s="15" t="s">
        <v>57</v>
      </c>
      <c r="E37" s="15" t="s">
        <v>58</v>
      </c>
      <c r="F37" s="15" t="s">
        <v>59</v>
      </c>
      <c r="G37" s="257"/>
      <c r="H37" s="10"/>
      <c r="I37" s="11"/>
      <c r="J37" s="11"/>
      <c r="K37" s="11"/>
      <c r="L37" s="11"/>
      <c r="M37" s="11"/>
      <c r="N37" s="11"/>
      <c r="O37" s="12"/>
      <c r="P37" s="11"/>
      <c r="Q37" s="13"/>
      <c r="R37" s="14"/>
    </row>
    <row r="38" spans="1:18" ht="15" customHeight="1" x14ac:dyDescent="0.3">
      <c r="A38" s="19" t="s">
        <v>52</v>
      </c>
      <c r="B38" s="19" t="s">
        <v>63</v>
      </c>
      <c r="C38" s="20">
        <v>0.35069444444444442</v>
      </c>
      <c r="D38" s="19" t="s">
        <v>57</v>
      </c>
      <c r="E38" s="19" t="s">
        <v>86</v>
      </c>
      <c r="F38" s="19" t="s">
        <v>91</v>
      </c>
      <c r="G38" s="257"/>
      <c r="H38" s="10"/>
      <c r="I38" s="11"/>
      <c r="J38" s="11"/>
      <c r="K38" s="11"/>
      <c r="L38" s="11"/>
      <c r="M38" s="11"/>
      <c r="N38" s="11"/>
      <c r="O38" s="12"/>
      <c r="P38" s="11"/>
      <c r="Q38" s="13"/>
      <c r="R38" s="14"/>
    </row>
    <row r="39" spans="1:18" ht="15" customHeight="1" x14ac:dyDescent="0.3">
      <c r="A39" s="19" t="s">
        <v>52</v>
      </c>
      <c r="B39" s="19" t="s">
        <v>53</v>
      </c>
      <c r="C39" s="20">
        <v>0.18402777777777779</v>
      </c>
      <c r="D39" s="19" t="s">
        <v>57</v>
      </c>
      <c r="E39" s="19" t="s">
        <v>86</v>
      </c>
      <c r="F39" s="19" t="s">
        <v>91</v>
      </c>
      <c r="G39" s="257"/>
      <c r="H39" s="10"/>
      <c r="I39" s="11"/>
      <c r="J39" s="11"/>
      <c r="K39" s="11"/>
      <c r="L39" s="11"/>
      <c r="M39" s="11"/>
      <c r="N39" s="11"/>
      <c r="O39" s="12"/>
      <c r="P39" s="11"/>
      <c r="Q39" s="13"/>
      <c r="R39" s="14"/>
    </row>
    <row r="40" spans="1:18" ht="15" customHeight="1" thickBot="1" x14ac:dyDescent="0.35">
      <c r="A40" s="39" t="s">
        <v>52</v>
      </c>
      <c r="B40" s="39" t="s">
        <v>60</v>
      </c>
      <c r="C40" s="40">
        <v>0.22916666666666671</v>
      </c>
      <c r="D40" s="39" t="s">
        <v>57</v>
      </c>
      <c r="E40" s="39" t="s">
        <v>61</v>
      </c>
      <c r="F40" s="39" t="s">
        <v>62</v>
      </c>
      <c r="G40" s="258"/>
      <c r="H40" s="41"/>
      <c r="I40" s="42"/>
      <c r="J40" s="42"/>
      <c r="K40" s="42"/>
      <c r="L40" s="42"/>
      <c r="M40" s="42"/>
      <c r="N40" s="42"/>
      <c r="O40" s="43"/>
      <c r="P40" s="42"/>
      <c r="Q40" s="44"/>
      <c r="R40" s="45"/>
    </row>
    <row r="41" spans="1:18" ht="17.399999999999999" customHeight="1" thickBot="1" x14ac:dyDescent="0.35">
      <c r="A41" s="285"/>
      <c r="B41" s="286"/>
      <c r="C41" s="286"/>
      <c r="D41" s="286"/>
      <c r="E41" s="286"/>
      <c r="F41" s="286"/>
      <c r="G41" s="286"/>
      <c r="H41" s="286"/>
      <c r="I41" s="286"/>
      <c r="J41" s="286"/>
      <c r="K41" s="286"/>
      <c r="L41" s="286"/>
      <c r="M41" s="286"/>
      <c r="N41" s="286"/>
      <c r="O41" s="286"/>
      <c r="P41" s="286"/>
      <c r="Q41" s="286"/>
      <c r="R41" s="287"/>
    </row>
    <row r="42" spans="1:18" ht="22.05" customHeight="1" thickTop="1" thickBot="1" x14ac:dyDescent="0.35">
      <c r="A42" s="259" t="s">
        <v>6</v>
      </c>
      <c r="B42" s="251"/>
      <c r="C42" s="251"/>
      <c r="D42" s="251"/>
      <c r="E42" s="251"/>
      <c r="F42" s="252"/>
      <c r="G42" s="31">
        <v>45983</v>
      </c>
      <c r="H42" s="250" t="s">
        <v>7</v>
      </c>
      <c r="I42" s="251"/>
      <c r="J42" s="251"/>
      <c r="K42" s="251"/>
      <c r="L42" s="251"/>
      <c r="M42" s="251"/>
      <c r="N42" s="251"/>
      <c r="O42" s="251"/>
      <c r="P42" s="251"/>
      <c r="Q42" s="251"/>
      <c r="R42" s="252"/>
    </row>
    <row r="43" spans="1:18" ht="24" customHeight="1" x14ac:dyDescent="0.3">
      <c r="A43" s="32" t="s">
        <v>8</v>
      </c>
      <c r="B43" s="32" t="s">
        <v>9</v>
      </c>
      <c r="C43" s="33" t="s">
        <v>10</v>
      </c>
      <c r="D43" s="32" t="s">
        <v>11</v>
      </c>
      <c r="E43" s="32" t="s">
        <v>12</v>
      </c>
      <c r="F43" s="34" t="s">
        <v>13</v>
      </c>
      <c r="G43" s="35" t="s">
        <v>14</v>
      </c>
      <c r="H43" s="32" t="s">
        <v>15</v>
      </c>
      <c r="I43" s="36" t="s">
        <v>16</v>
      </c>
      <c r="J43" s="37" t="s">
        <v>17</v>
      </c>
      <c r="K43" s="38" t="s">
        <v>18</v>
      </c>
      <c r="L43" s="37" t="s">
        <v>19</v>
      </c>
      <c r="M43" s="37" t="s">
        <v>20</v>
      </c>
      <c r="N43" s="37" t="s">
        <v>21</v>
      </c>
      <c r="O43" s="32" t="s">
        <v>22</v>
      </c>
      <c r="P43" s="33" t="s">
        <v>23</v>
      </c>
      <c r="Q43" s="37" t="s">
        <v>24</v>
      </c>
      <c r="R43" s="32" t="s">
        <v>25</v>
      </c>
    </row>
    <row r="44" spans="1:18" ht="15" customHeight="1" x14ac:dyDescent="0.3">
      <c r="A44" s="8" t="s">
        <v>26</v>
      </c>
      <c r="B44" s="8" t="s">
        <v>27</v>
      </c>
      <c r="C44" s="9">
        <v>0.22916666666666671</v>
      </c>
      <c r="D44" s="8" t="s">
        <v>28</v>
      </c>
      <c r="E44" s="8" t="s">
        <v>92</v>
      </c>
      <c r="F44" s="8" t="s">
        <v>93</v>
      </c>
      <c r="G44" s="256"/>
      <c r="H44" s="10"/>
      <c r="I44" s="11"/>
      <c r="J44" s="11"/>
      <c r="K44" s="11"/>
      <c r="L44" s="11"/>
      <c r="M44" s="11"/>
      <c r="N44" s="11"/>
      <c r="O44" s="12"/>
      <c r="P44" s="11"/>
      <c r="Q44" s="13"/>
      <c r="R44" s="14"/>
    </row>
    <row r="45" spans="1:18" ht="15" customHeight="1" x14ac:dyDescent="0.3">
      <c r="A45" s="15" t="s">
        <v>26</v>
      </c>
      <c r="B45" s="15" t="s">
        <v>27</v>
      </c>
      <c r="C45" s="16">
        <v>0.22916666666666671</v>
      </c>
      <c r="D45" s="15" t="s">
        <v>31</v>
      </c>
      <c r="E45" s="15" t="s">
        <v>94</v>
      </c>
      <c r="F45" s="15" t="s">
        <v>95</v>
      </c>
      <c r="G45" s="257"/>
      <c r="H45" s="10"/>
      <c r="I45" s="11"/>
      <c r="J45" s="11"/>
      <c r="K45" s="11"/>
      <c r="L45" s="11"/>
      <c r="M45" s="11"/>
      <c r="N45" s="11"/>
      <c r="O45" s="12"/>
      <c r="P45" s="11"/>
      <c r="Q45" s="13"/>
      <c r="R45" s="14"/>
    </row>
    <row r="46" spans="1:18" ht="15" customHeight="1" x14ac:dyDescent="0.3">
      <c r="A46" s="15" t="s">
        <v>26</v>
      </c>
      <c r="B46" s="15" t="s">
        <v>27</v>
      </c>
      <c r="C46" s="16">
        <v>0.22916666666666671</v>
      </c>
      <c r="D46" s="15" t="s">
        <v>34</v>
      </c>
      <c r="E46" s="15" t="s">
        <v>94</v>
      </c>
      <c r="F46" s="15" t="s">
        <v>35</v>
      </c>
      <c r="G46" s="257"/>
      <c r="H46" s="10"/>
      <c r="I46" s="11"/>
      <c r="J46" s="11"/>
      <c r="K46" s="11"/>
      <c r="L46" s="11"/>
      <c r="M46" s="11"/>
      <c r="N46" s="11"/>
      <c r="O46" s="12"/>
      <c r="P46" s="11"/>
      <c r="Q46" s="13"/>
      <c r="R46" s="14"/>
    </row>
    <row r="47" spans="1:18" ht="15" customHeight="1" x14ac:dyDescent="0.3">
      <c r="A47" s="17" t="s">
        <v>36</v>
      </c>
      <c r="B47" s="17" t="s">
        <v>46</v>
      </c>
      <c r="C47" s="18">
        <v>0.60763888888888895</v>
      </c>
      <c r="D47" s="17" t="s">
        <v>38</v>
      </c>
      <c r="E47" s="17" t="s">
        <v>29</v>
      </c>
      <c r="F47" s="17" t="s">
        <v>48</v>
      </c>
      <c r="G47" s="257"/>
      <c r="H47" s="10"/>
      <c r="I47" s="11"/>
      <c r="J47" s="11"/>
      <c r="K47" s="11"/>
      <c r="L47" s="11"/>
      <c r="M47" s="11"/>
      <c r="N47" s="11"/>
      <c r="O47" s="12"/>
      <c r="P47" s="11"/>
      <c r="Q47" s="13"/>
      <c r="R47" s="14"/>
    </row>
    <row r="48" spans="1:18" ht="15" customHeight="1" x14ac:dyDescent="0.3">
      <c r="A48" s="15" t="s">
        <v>36</v>
      </c>
      <c r="B48" s="15" t="s">
        <v>46</v>
      </c>
      <c r="C48" s="16">
        <v>0.60763888888888895</v>
      </c>
      <c r="D48" s="15" t="s">
        <v>41</v>
      </c>
      <c r="E48" s="15" t="s">
        <v>32</v>
      </c>
      <c r="F48" s="15" t="s">
        <v>50</v>
      </c>
      <c r="G48" s="257"/>
      <c r="H48" s="10"/>
      <c r="I48" s="11"/>
      <c r="J48" s="11"/>
      <c r="K48" s="11"/>
      <c r="L48" s="11"/>
      <c r="M48" s="11"/>
      <c r="N48" s="11"/>
      <c r="O48" s="12"/>
      <c r="P48" s="11"/>
      <c r="Q48" s="13"/>
      <c r="R48" s="14"/>
    </row>
    <row r="49" spans="1:18" ht="15" customHeight="1" x14ac:dyDescent="0.3">
      <c r="A49" s="15" t="s">
        <v>36</v>
      </c>
      <c r="B49" s="15" t="s">
        <v>46</v>
      </c>
      <c r="C49" s="16">
        <v>0.60763888888888895</v>
      </c>
      <c r="D49" s="15" t="s">
        <v>44</v>
      </c>
      <c r="E49" s="15" t="s">
        <v>32</v>
      </c>
      <c r="F49" s="15" t="s">
        <v>51</v>
      </c>
      <c r="G49" s="257"/>
      <c r="H49" s="10"/>
      <c r="I49" s="11"/>
      <c r="J49" s="11"/>
      <c r="K49" s="11"/>
      <c r="L49" s="11"/>
      <c r="M49" s="11"/>
      <c r="N49" s="11"/>
      <c r="O49" s="12"/>
      <c r="P49" s="11"/>
      <c r="Q49" s="13"/>
      <c r="R49" s="14"/>
    </row>
    <row r="50" spans="1:18" ht="15" customHeight="1" x14ac:dyDescent="0.3">
      <c r="A50" s="19" t="s">
        <v>36</v>
      </c>
      <c r="B50" s="19" t="s">
        <v>37</v>
      </c>
      <c r="C50" s="20">
        <v>0.43402777777777768</v>
      </c>
      <c r="D50" s="19" t="s">
        <v>38</v>
      </c>
      <c r="E50" s="19" t="s">
        <v>61</v>
      </c>
      <c r="F50" s="19" t="s">
        <v>48</v>
      </c>
      <c r="G50" s="257"/>
      <c r="H50" s="10"/>
      <c r="I50" s="11"/>
      <c r="J50" s="11"/>
      <c r="K50" s="11"/>
      <c r="L50" s="11"/>
      <c r="M50" s="11"/>
      <c r="N50" s="11"/>
      <c r="O50" s="12"/>
      <c r="P50" s="11"/>
      <c r="Q50" s="13"/>
      <c r="R50" s="14"/>
    </row>
    <row r="51" spans="1:18" ht="15" customHeight="1" x14ac:dyDescent="0.3">
      <c r="A51" s="15" t="s">
        <v>36</v>
      </c>
      <c r="B51" s="15" t="s">
        <v>37</v>
      </c>
      <c r="C51" s="16">
        <v>0.43402777777777768</v>
      </c>
      <c r="D51" s="15" t="s">
        <v>41</v>
      </c>
      <c r="E51" s="15" t="s">
        <v>96</v>
      </c>
      <c r="F51" s="15" t="s">
        <v>50</v>
      </c>
      <c r="G51" s="257"/>
      <c r="H51" s="10"/>
      <c r="I51" s="11"/>
      <c r="J51" s="11"/>
      <c r="K51" s="11"/>
      <c r="L51" s="11"/>
      <c r="M51" s="11"/>
      <c r="N51" s="11"/>
      <c r="O51" s="12"/>
      <c r="P51" s="11"/>
      <c r="Q51" s="13"/>
      <c r="R51" s="14"/>
    </row>
    <row r="52" spans="1:18" ht="15" customHeight="1" x14ac:dyDescent="0.3">
      <c r="A52" s="15" t="s">
        <v>36</v>
      </c>
      <c r="B52" s="15" t="s">
        <v>37</v>
      </c>
      <c r="C52" s="16">
        <v>0.43402777777777768</v>
      </c>
      <c r="D52" s="15" t="s">
        <v>44</v>
      </c>
      <c r="E52" s="15" t="s">
        <v>96</v>
      </c>
      <c r="F52" s="15" t="s">
        <v>51</v>
      </c>
      <c r="G52" s="257"/>
      <c r="H52" s="10"/>
      <c r="I52" s="11"/>
      <c r="J52" s="11"/>
      <c r="K52" s="11"/>
      <c r="L52" s="11"/>
      <c r="M52" s="11"/>
      <c r="N52" s="11"/>
      <c r="O52" s="12"/>
      <c r="P52" s="11"/>
      <c r="Q52" s="13"/>
      <c r="R52" s="14"/>
    </row>
    <row r="53" spans="1:18" ht="15" customHeight="1" x14ac:dyDescent="0.3">
      <c r="A53" s="17" t="s">
        <v>68</v>
      </c>
      <c r="B53" s="17" t="s">
        <v>88</v>
      </c>
      <c r="C53" s="18">
        <v>0.33680555555555558</v>
      </c>
      <c r="D53" s="17" t="s">
        <v>70</v>
      </c>
      <c r="E53" s="17" t="s">
        <v>55</v>
      </c>
      <c r="F53" s="17" t="s">
        <v>84</v>
      </c>
      <c r="G53" s="257"/>
      <c r="H53" s="10"/>
      <c r="I53" s="11"/>
      <c r="J53" s="11"/>
      <c r="K53" s="11"/>
      <c r="L53" s="11"/>
      <c r="M53" s="11"/>
      <c r="N53" s="11"/>
      <c r="O53" s="12"/>
      <c r="P53" s="11"/>
      <c r="Q53" s="13"/>
      <c r="R53" s="14"/>
    </row>
    <row r="54" spans="1:18" ht="15" customHeight="1" x14ac:dyDescent="0.3">
      <c r="A54" s="19" t="s">
        <v>68</v>
      </c>
      <c r="B54" s="19" t="s">
        <v>83</v>
      </c>
      <c r="C54" s="20">
        <v>0.94791666666666663</v>
      </c>
      <c r="D54" s="19" t="s">
        <v>70</v>
      </c>
      <c r="E54" s="19" t="s">
        <v>86</v>
      </c>
      <c r="F54" s="19" t="s">
        <v>84</v>
      </c>
      <c r="G54" s="257"/>
      <c r="H54" s="10"/>
      <c r="I54" s="11"/>
      <c r="J54" s="11"/>
      <c r="K54" s="11"/>
      <c r="L54" s="11"/>
      <c r="M54" s="11"/>
      <c r="N54" s="11"/>
      <c r="O54" s="12"/>
      <c r="P54" s="11"/>
      <c r="Q54" s="13"/>
      <c r="R54" s="14"/>
    </row>
    <row r="55" spans="1:18" ht="15" customHeight="1" x14ac:dyDescent="0.3">
      <c r="A55" s="19" t="s">
        <v>68</v>
      </c>
      <c r="B55" s="19" t="s">
        <v>90</v>
      </c>
      <c r="C55" s="20">
        <v>6.5972222222222224E-2</v>
      </c>
      <c r="D55" s="19" t="s">
        <v>70</v>
      </c>
      <c r="E55" s="19" t="s">
        <v>86</v>
      </c>
      <c r="F55" s="19" t="s">
        <v>84</v>
      </c>
      <c r="G55" s="257"/>
      <c r="H55" s="10"/>
      <c r="I55" s="11"/>
      <c r="J55" s="11"/>
      <c r="K55" s="11"/>
      <c r="L55" s="11"/>
      <c r="M55" s="11"/>
      <c r="N55" s="11"/>
      <c r="O55" s="12"/>
      <c r="P55" s="11"/>
      <c r="Q55" s="13"/>
      <c r="R55" s="14"/>
    </row>
    <row r="56" spans="1:18" ht="15" customHeight="1" x14ac:dyDescent="0.3">
      <c r="A56" s="19" t="s">
        <v>68</v>
      </c>
      <c r="B56" s="19" t="s">
        <v>85</v>
      </c>
      <c r="C56" s="20">
        <v>0.6875</v>
      </c>
      <c r="D56" s="19" t="s">
        <v>70</v>
      </c>
      <c r="E56" s="19" t="s">
        <v>86</v>
      </c>
      <c r="F56" s="19" t="s">
        <v>97</v>
      </c>
      <c r="G56" s="257"/>
      <c r="H56" s="10"/>
      <c r="I56" s="11"/>
      <c r="J56" s="11"/>
      <c r="K56" s="11"/>
      <c r="L56" s="11"/>
      <c r="M56" s="11"/>
      <c r="N56" s="11"/>
      <c r="O56" s="12"/>
      <c r="P56" s="11"/>
      <c r="Q56" s="13"/>
      <c r="R56" s="14"/>
    </row>
    <row r="57" spans="1:18" ht="15" customHeight="1" x14ac:dyDescent="0.3">
      <c r="A57" s="19" t="s">
        <v>68</v>
      </c>
      <c r="B57" s="19" t="s">
        <v>69</v>
      </c>
      <c r="C57" s="20">
        <v>0.28819444444444448</v>
      </c>
      <c r="D57" s="19" t="s">
        <v>70</v>
      </c>
      <c r="E57" s="19" t="s">
        <v>86</v>
      </c>
      <c r="F57" s="19" t="s">
        <v>98</v>
      </c>
      <c r="G57" s="257"/>
      <c r="H57" s="10"/>
      <c r="I57" s="11"/>
      <c r="J57" s="11"/>
      <c r="K57" s="11"/>
      <c r="L57" s="11"/>
      <c r="M57" s="11"/>
      <c r="N57" s="11"/>
      <c r="O57" s="12"/>
      <c r="P57" s="11"/>
      <c r="Q57" s="13"/>
      <c r="R57" s="14"/>
    </row>
    <row r="58" spans="1:18" ht="15" customHeight="1" x14ac:dyDescent="0.3">
      <c r="A58" s="17" t="s">
        <v>52</v>
      </c>
      <c r="B58" s="17" t="s">
        <v>53</v>
      </c>
      <c r="C58" s="18">
        <v>0.18402777777777779</v>
      </c>
      <c r="D58" s="17" t="s">
        <v>54</v>
      </c>
      <c r="E58" s="17" t="s">
        <v>55</v>
      </c>
      <c r="F58" s="17" t="s">
        <v>56</v>
      </c>
      <c r="G58" s="257"/>
      <c r="H58" s="10"/>
      <c r="I58" s="11"/>
      <c r="J58" s="11"/>
      <c r="K58" s="11"/>
      <c r="L58" s="11"/>
      <c r="M58" s="11"/>
      <c r="N58" s="11"/>
      <c r="O58" s="12"/>
      <c r="P58" s="11"/>
      <c r="Q58" s="13"/>
      <c r="R58" s="14"/>
    </row>
    <row r="59" spans="1:18" ht="15" customHeight="1" x14ac:dyDescent="0.3">
      <c r="A59" s="15" t="s">
        <v>52</v>
      </c>
      <c r="B59" s="15" t="s">
        <v>53</v>
      </c>
      <c r="C59" s="16">
        <v>0.18402777777777779</v>
      </c>
      <c r="D59" s="15" t="s">
        <v>57</v>
      </c>
      <c r="E59" s="15" t="s">
        <v>58</v>
      </c>
      <c r="F59" s="15" t="s">
        <v>59</v>
      </c>
      <c r="G59" s="257"/>
      <c r="H59" s="10"/>
      <c r="I59" s="11"/>
      <c r="J59" s="11"/>
      <c r="K59" s="11"/>
      <c r="L59" s="11"/>
      <c r="M59" s="11"/>
      <c r="N59" s="11"/>
      <c r="O59" s="12"/>
      <c r="P59" s="11"/>
      <c r="Q59" s="13"/>
      <c r="R59" s="14"/>
    </row>
    <row r="60" spans="1:18" ht="15" customHeight="1" x14ac:dyDescent="0.3">
      <c r="A60" s="19" t="s">
        <v>52</v>
      </c>
      <c r="B60" s="19" t="s">
        <v>63</v>
      </c>
      <c r="C60" s="20">
        <v>0.35416666666666669</v>
      </c>
      <c r="D60" s="19" t="s">
        <v>57</v>
      </c>
      <c r="E60" s="19" t="s">
        <v>86</v>
      </c>
      <c r="F60" s="19" t="s">
        <v>91</v>
      </c>
      <c r="G60" s="257"/>
      <c r="H60" s="10"/>
      <c r="I60" s="11"/>
      <c r="J60" s="11"/>
      <c r="K60" s="11"/>
      <c r="L60" s="11"/>
      <c r="M60" s="11"/>
      <c r="N60" s="11"/>
      <c r="O60" s="12"/>
      <c r="P60" s="11"/>
      <c r="Q60" s="13"/>
      <c r="R60" s="14"/>
    </row>
    <row r="61" spans="1:18" ht="15" customHeight="1" x14ac:dyDescent="0.3">
      <c r="A61" s="19" t="s">
        <v>52</v>
      </c>
      <c r="B61" s="19" t="s">
        <v>65</v>
      </c>
      <c r="C61" s="20">
        <v>0.89583333333333337</v>
      </c>
      <c r="D61" s="19" t="s">
        <v>57</v>
      </c>
      <c r="E61" s="19" t="s">
        <v>86</v>
      </c>
      <c r="F61" s="19" t="s">
        <v>91</v>
      </c>
      <c r="G61" s="257"/>
      <c r="H61" s="10"/>
      <c r="I61" s="11"/>
      <c r="J61" s="11"/>
      <c r="K61" s="11"/>
      <c r="L61" s="11"/>
      <c r="M61" s="11"/>
      <c r="N61" s="11"/>
      <c r="O61" s="12"/>
      <c r="P61" s="11"/>
      <c r="Q61" s="13"/>
      <c r="R61" s="14"/>
    </row>
    <row r="62" spans="1:18" ht="15" customHeight="1" x14ac:dyDescent="0.3">
      <c r="A62" s="19" t="s">
        <v>52</v>
      </c>
      <c r="B62" s="19" t="s">
        <v>60</v>
      </c>
      <c r="C62" s="20">
        <v>0.22916666666666671</v>
      </c>
      <c r="D62" s="19" t="s">
        <v>57</v>
      </c>
      <c r="E62" s="19" t="s">
        <v>61</v>
      </c>
      <c r="F62" s="19" t="s">
        <v>62</v>
      </c>
      <c r="G62" s="257"/>
      <c r="H62" s="10"/>
      <c r="I62" s="11"/>
      <c r="J62" s="11"/>
      <c r="K62" s="11"/>
      <c r="L62" s="11"/>
      <c r="M62" s="11"/>
      <c r="N62" s="11"/>
      <c r="O62" s="12"/>
      <c r="P62" s="11"/>
      <c r="Q62" s="13"/>
      <c r="R62" s="14"/>
    </row>
    <row r="63" spans="1:18" ht="15" customHeight="1" x14ac:dyDescent="0.3">
      <c r="A63" s="46" t="s">
        <v>73</v>
      </c>
      <c r="B63" s="46" t="s">
        <v>99</v>
      </c>
      <c r="C63" s="47">
        <v>0.2361111111111111</v>
      </c>
      <c r="D63" s="46" t="s">
        <v>100</v>
      </c>
      <c r="E63" s="46" t="s">
        <v>101</v>
      </c>
      <c r="F63" s="46" t="s">
        <v>102</v>
      </c>
      <c r="G63" s="258"/>
      <c r="H63" s="48" t="s">
        <v>74</v>
      </c>
      <c r="I63" s="49">
        <v>0.9778</v>
      </c>
      <c r="J63" s="50">
        <v>176</v>
      </c>
      <c r="K63" s="51" t="s">
        <v>103</v>
      </c>
      <c r="L63" s="50">
        <v>46</v>
      </c>
      <c r="M63" s="50">
        <v>0</v>
      </c>
      <c r="N63" s="50">
        <v>46</v>
      </c>
      <c r="O63" s="52" t="s">
        <v>104</v>
      </c>
      <c r="P63" s="53">
        <v>0.2361111111111111</v>
      </c>
      <c r="Q63" s="50">
        <v>180</v>
      </c>
      <c r="R63" s="54" t="s">
        <v>105</v>
      </c>
    </row>
  </sheetData>
  <mergeCells count="18">
    <mergeCell ref="H1:L1"/>
    <mergeCell ref="A1:E1"/>
    <mergeCell ref="G2:J2"/>
    <mergeCell ref="K2:R2"/>
    <mergeCell ref="A4:F4"/>
    <mergeCell ref="H4:R4"/>
    <mergeCell ref="N1:R1"/>
    <mergeCell ref="H23:R23"/>
    <mergeCell ref="A2:F2"/>
    <mergeCell ref="A3:R3"/>
    <mergeCell ref="G44:G63"/>
    <mergeCell ref="A42:F42"/>
    <mergeCell ref="A41:R41"/>
    <mergeCell ref="A23:F23"/>
    <mergeCell ref="G25:G40"/>
    <mergeCell ref="H42:R42"/>
    <mergeCell ref="G6:G21"/>
    <mergeCell ref="A22:R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4"/>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8.55468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8" width="3.88671875" style="272" bestFit="1" customWidth="1"/>
    <col min="29" max="29" width="4.21875" style="272" bestFit="1" customWidth="1"/>
    <col min="30" max="31" width="4.5546875" style="272" bestFit="1" customWidth="1"/>
    <col min="32" max="32" width="3.88671875" style="272" bestFit="1" customWidth="1"/>
    <col min="33" max="33" width="4.21875" style="272" bestFit="1" customWidth="1"/>
    <col min="34" max="34" width="3.88671875" style="272" bestFit="1" customWidth="1"/>
    <col min="35" max="35" width="5.21875" style="272" bestFit="1" customWidth="1"/>
    <col min="36"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135</v>
      </c>
      <c r="B2" s="274">
        <v>45981</v>
      </c>
      <c r="C2" s="275" t="s">
        <v>74</v>
      </c>
      <c r="D2" s="276" t="s">
        <v>136</v>
      </c>
      <c r="E2" s="275" t="s">
        <v>1</v>
      </c>
      <c r="F2" s="275" t="s">
        <v>137</v>
      </c>
      <c r="G2" s="277">
        <v>0.97870000000000001</v>
      </c>
      <c r="H2" s="278">
        <v>188</v>
      </c>
      <c r="I2" s="278">
        <v>184</v>
      </c>
      <c r="J2" s="278">
        <v>135</v>
      </c>
      <c r="K2" s="275" t="s">
        <v>138</v>
      </c>
      <c r="L2" s="279" t="s">
        <v>77</v>
      </c>
      <c r="M2" s="278">
        <v>0</v>
      </c>
      <c r="N2" s="278">
        <v>0</v>
      </c>
      <c r="O2" s="278">
        <v>39</v>
      </c>
      <c r="P2" s="275" t="s">
        <v>78</v>
      </c>
      <c r="Q2" s="271"/>
      <c r="R2" s="271"/>
      <c r="S2" s="271"/>
      <c r="T2" s="271"/>
      <c r="U2" s="271"/>
      <c r="V2" s="271"/>
      <c r="W2" s="278" t="s">
        <v>104</v>
      </c>
      <c r="X2" s="271"/>
      <c r="Y2" s="271"/>
      <c r="Z2" s="278" t="s">
        <v>139</v>
      </c>
      <c r="AA2" s="271"/>
      <c r="AB2" s="271"/>
      <c r="AC2" s="278" t="s">
        <v>140</v>
      </c>
      <c r="AD2" s="278" t="s">
        <v>141</v>
      </c>
      <c r="AE2" s="278" t="s">
        <v>142</v>
      </c>
      <c r="AF2" s="278" t="s">
        <v>143</v>
      </c>
      <c r="AG2" s="271"/>
      <c r="AH2" s="271"/>
      <c r="AI2" s="278" t="s">
        <v>144</v>
      </c>
      <c r="AJ2" s="278" t="s">
        <v>145</v>
      </c>
    </row>
    <row r="3" spans="1:36" x14ac:dyDescent="0.3">
      <c r="A3" s="273" t="s">
        <v>146</v>
      </c>
      <c r="B3" s="274">
        <v>45983</v>
      </c>
      <c r="C3" s="275" t="s">
        <v>74</v>
      </c>
      <c r="D3" s="276" t="s">
        <v>147</v>
      </c>
      <c r="E3" s="275" t="s">
        <v>1</v>
      </c>
      <c r="F3" s="275" t="s">
        <v>137</v>
      </c>
      <c r="G3" s="277">
        <v>0.9778</v>
      </c>
      <c r="H3" s="278">
        <v>180</v>
      </c>
      <c r="I3" s="278">
        <v>176</v>
      </c>
      <c r="J3" s="278">
        <v>176</v>
      </c>
      <c r="K3" s="275" t="s">
        <v>138</v>
      </c>
      <c r="L3" s="279" t="s">
        <v>103</v>
      </c>
      <c r="M3" s="278">
        <v>0</v>
      </c>
      <c r="N3" s="278">
        <v>46</v>
      </c>
      <c r="O3" s="278">
        <v>46</v>
      </c>
      <c r="P3" s="275" t="s">
        <v>104</v>
      </c>
      <c r="Q3" s="271"/>
      <c r="R3" s="271"/>
      <c r="S3" s="271"/>
      <c r="T3" s="271"/>
      <c r="U3" s="271"/>
      <c r="V3" s="271"/>
      <c r="W3" s="271"/>
      <c r="X3" s="271"/>
      <c r="Y3" s="271"/>
      <c r="Z3" s="271"/>
      <c r="AA3" s="271"/>
      <c r="AB3" s="271"/>
      <c r="AC3" s="271"/>
      <c r="AD3" s="271"/>
      <c r="AE3" s="271"/>
      <c r="AF3" s="271"/>
      <c r="AG3" s="278" t="s">
        <v>148</v>
      </c>
      <c r="AH3" s="271"/>
      <c r="AI3" s="278" t="s">
        <v>149</v>
      </c>
      <c r="AJ3" s="271"/>
    </row>
    <row r="4" spans="1:36" ht="21" x14ac:dyDescent="0.3">
      <c r="A4" s="280" t="s">
        <v>943</v>
      </c>
      <c r="B4" s="281"/>
      <c r="C4" s="280">
        <f>SUBTOTAL(103,CAI_MED_LF_LEGACY[Flt])</f>
        <v>2</v>
      </c>
      <c r="D4" s="280"/>
      <c r="E4" s="280">
        <f>SUBTOTAL(103,CAI_MED_LF_LEGACY[Brd-Off])</f>
        <v>2</v>
      </c>
      <c r="F4" s="280"/>
      <c r="G4" s="282">
        <f>SUBTOTAL(101,CAI_MED_LF_LEGACY[LF%])</f>
        <v>0.97825000000000006</v>
      </c>
      <c r="H4" s="283">
        <f>SUBTOTAL(109,CAI_MED_LF_LEGACY[CAP])</f>
        <v>368</v>
      </c>
      <c r="I4" s="283">
        <f>SUBTOTAL(109,CAI_MED_LF_LEGACY[BKG(Y)])</f>
        <v>360</v>
      </c>
      <c r="J4" s="283">
        <f>SUBTOTAL(109,CAI_MED_LF_LEGACY[GRP(Y)])</f>
        <v>311</v>
      </c>
      <c r="K4" s="280"/>
      <c r="L4" s="281"/>
      <c r="M4" s="283">
        <f>SUBTOTAL(109,CAI_MED_LF_LEGACY[TO-DAY])</f>
        <v>0</v>
      </c>
      <c r="N4" s="283">
        <f>SUBTOTAL(109,CAI_MED_LF_LEGACY[Y-DAY])</f>
        <v>46</v>
      </c>
      <c r="O4" s="283">
        <f>SUBTOTAL(109,CAI_MED_LF_LEGACY[WEEKLY])</f>
        <v>85</v>
      </c>
      <c r="P4" s="284"/>
      <c r="Q4" s="283">
        <f>SUBTOTAL(109,CAI_MED_LF_LEGACY[Y])</f>
        <v>0</v>
      </c>
      <c r="R4" s="283">
        <f>SUBTOTAL(109,CAI_MED_LF_LEGACY[B])</f>
        <v>0</v>
      </c>
      <c r="S4" s="283">
        <f>SUBTOTAL(109,CAI_MED_LF_LEGACY[M])</f>
        <v>0</v>
      </c>
      <c r="T4" s="283">
        <f>SUBTOTAL(109,CAI_MED_LF_LEGACY[H])</f>
        <v>0</v>
      </c>
      <c r="U4" s="283">
        <f>SUBTOTAL(109,CAI_MED_LF_LEGACY[Q])</f>
        <v>0</v>
      </c>
      <c r="V4" s="283">
        <f>SUBTOTAL(109,CAI_MED_LF_LEGACY[K])</f>
        <v>0</v>
      </c>
      <c r="W4" s="283">
        <f>SUBTOTAL(109,CAI_MED_LF_LEGACY[V])</f>
        <v>0</v>
      </c>
      <c r="X4" s="283">
        <f>SUBTOTAL(109,CAI_MED_LF_LEGACY[L])</f>
        <v>0</v>
      </c>
      <c r="Y4" s="283">
        <f>SUBTOTAL(109,CAI_MED_LF_LEGACY[G])</f>
        <v>0</v>
      </c>
      <c r="Z4" s="283">
        <f>SUBTOTAL(109,CAI_MED_LF_LEGACY[S])</f>
        <v>0</v>
      </c>
      <c r="AA4" s="283">
        <f>SUBTOTAL(109,CAI_MED_LF_LEGACY[W])</f>
        <v>0</v>
      </c>
      <c r="AB4" s="283">
        <f>SUBTOTAL(109,CAI_MED_LF_LEGACY[T])</f>
        <v>0</v>
      </c>
      <c r="AC4" s="283">
        <f>SUBTOTAL(109,CAI_MED_LF_LEGACY[X])</f>
        <v>0</v>
      </c>
      <c r="AD4" s="283">
        <f>SUBTOTAL(109,CAI_MED_LF_LEGACY[U])</f>
        <v>0</v>
      </c>
      <c r="AE4" s="283">
        <f>SUBTOTAL(109,CAI_MED_LF_LEGACY[O])</f>
        <v>0</v>
      </c>
      <c r="AF4" s="283">
        <f>SUBTOTAL(109,CAI_MED_LF_LEGACY[I])</f>
        <v>0</v>
      </c>
      <c r="AG4" s="283">
        <f>SUBTOTAL(109,CAI_MED_LF_LEGACY[E])</f>
        <v>0</v>
      </c>
      <c r="AH4" s="283">
        <f>SUBTOTAL(109,CAI_MED_LF_LEGACY[A])</f>
        <v>0</v>
      </c>
      <c r="AI4" s="283">
        <f>SUBTOTAL(109,CAI_MED_LF_LEGACY[P])</f>
        <v>0</v>
      </c>
      <c r="AJ4" s="283">
        <f>SUBTOTAL(103,CAI_MED_LF_LEGACY[N])</f>
        <v>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3"/>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1.109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26</v>
      </c>
      <c r="C2" s="61" t="s">
        <v>27</v>
      </c>
      <c r="D2" s="60" t="s">
        <v>1</v>
      </c>
      <c r="E2" s="60" t="s">
        <v>153</v>
      </c>
      <c r="F2" s="60" t="s">
        <v>28</v>
      </c>
      <c r="G2" s="62">
        <v>7</v>
      </c>
      <c r="H2" s="63" t="s">
        <v>30</v>
      </c>
    </row>
    <row r="3" spans="1:8" ht="19.8" customHeight="1" x14ac:dyDescent="0.3">
      <c r="A3" s="59" t="s">
        <v>152</v>
      </c>
      <c r="B3" s="60" t="s">
        <v>36</v>
      </c>
      <c r="C3" s="61" t="s">
        <v>37</v>
      </c>
      <c r="D3" s="60" t="s">
        <v>1</v>
      </c>
      <c r="E3" s="60" t="s">
        <v>154</v>
      </c>
      <c r="F3" s="60" t="s">
        <v>38</v>
      </c>
      <c r="G3" s="62">
        <v>9</v>
      </c>
      <c r="H3" s="63" t="s">
        <v>40</v>
      </c>
    </row>
    <row r="4" spans="1:8" ht="19.8" customHeight="1" x14ac:dyDescent="0.3">
      <c r="A4" s="59" t="s">
        <v>152</v>
      </c>
      <c r="B4" s="60" t="s">
        <v>36</v>
      </c>
      <c r="C4" s="61" t="s">
        <v>46</v>
      </c>
      <c r="D4" s="60" t="s">
        <v>1</v>
      </c>
      <c r="E4" s="60" t="s">
        <v>155</v>
      </c>
      <c r="F4" s="60" t="s">
        <v>38</v>
      </c>
      <c r="G4" s="62">
        <v>6</v>
      </c>
      <c r="H4" s="63" t="s">
        <v>48</v>
      </c>
    </row>
    <row r="5" spans="1:8" ht="19.8" customHeight="1" x14ac:dyDescent="0.3">
      <c r="A5" s="59" t="s">
        <v>152</v>
      </c>
      <c r="B5" s="60" t="s">
        <v>36</v>
      </c>
      <c r="C5" s="61" t="s">
        <v>37</v>
      </c>
      <c r="D5" s="60" t="s">
        <v>1</v>
      </c>
      <c r="E5" s="60" t="s">
        <v>154</v>
      </c>
      <c r="F5" s="60" t="s">
        <v>41</v>
      </c>
      <c r="G5" s="62">
        <v>9</v>
      </c>
      <c r="H5" s="63" t="s">
        <v>43</v>
      </c>
    </row>
    <row r="6" spans="1:8" ht="19.8" customHeight="1" x14ac:dyDescent="0.3">
      <c r="A6" s="59" t="s">
        <v>152</v>
      </c>
      <c r="B6" s="60" t="s">
        <v>26</v>
      </c>
      <c r="C6" s="61" t="s">
        <v>27</v>
      </c>
      <c r="D6" s="60" t="s">
        <v>1</v>
      </c>
      <c r="E6" s="60" t="s">
        <v>153</v>
      </c>
      <c r="F6" s="60" t="s">
        <v>31</v>
      </c>
      <c r="G6" s="62">
        <v>7</v>
      </c>
      <c r="H6" s="63" t="s">
        <v>33</v>
      </c>
    </row>
    <row r="7" spans="1:8" ht="19.8" customHeight="1" x14ac:dyDescent="0.3">
      <c r="A7" s="59" t="s">
        <v>152</v>
      </c>
      <c r="B7" s="60" t="s">
        <v>36</v>
      </c>
      <c r="C7" s="61" t="s">
        <v>46</v>
      </c>
      <c r="D7" s="60" t="s">
        <v>1</v>
      </c>
      <c r="E7" s="60" t="s">
        <v>155</v>
      </c>
      <c r="F7" s="60" t="s">
        <v>41</v>
      </c>
      <c r="G7" s="62">
        <v>6</v>
      </c>
      <c r="H7" s="63" t="s">
        <v>50</v>
      </c>
    </row>
    <row r="8" spans="1:8" ht="19.8" customHeight="1" x14ac:dyDescent="0.3">
      <c r="A8" s="59" t="s">
        <v>152</v>
      </c>
      <c r="B8" s="60" t="s">
        <v>36</v>
      </c>
      <c r="C8" s="61" t="s">
        <v>37</v>
      </c>
      <c r="D8" s="60" t="s">
        <v>1</v>
      </c>
      <c r="E8" s="60" t="s">
        <v>154</v>
      </c>
      <c r="F8" s="60" t="s">
        <v>44</v>
      </c>
      <c r="G8" s="62">
        <v>9</v>
      </c>
      <c r="H8" s="63" t="s">
        <v>45</v>
      </c>
    </row>
    <row r="9" spans="1:8" ht="19.8" customHeight="1" x14ac:dyDescent="0.3">
      <c r="A9" s="59" t="s">
        <v>152</v>
      </c>
      <c r="B9" s="60" t="s">
        <v>36</v>
      </c>
      <c r="C9" s="61" t="s">
        <v>46</v>
      </c>
      <c r="D9" s="60" t="s">
        <v>1</v>
      </c>
      <c r="E9" s="60" t="s">
        <v>155</v>
      </c>
      <c r="F9" s="60" t="s">
        <v>44</v>
      </c>
      <c r="G9" s="62">
        <v>6</v>
      </c>
      <c r="H9" s="63" t="s">
        <v>51</v>
      </c>
    </row>
    <row r="10" spans="1:8" ht="19.8" customHeight="1" x14ac:dyDescent="0.3">
      <c r="A10" s="59" t="s">
        <v>152</v>
      </c>
      <c r="B10" s="60" t="s">
        <v>26</v>
      </c>
      <c r="C10" s="61" t="s">
        <v>27</v>
      </c>
      <c r="D10" s="60" t="s">
        <v>1</v>
      </c>
      <c r="E10" s="60" t="s">
        <v>153</v>
      </c>
      <c r="F10" s="60" t="s">
        <v>34</v>
      </c>
      <c r="G10" s="62">
        <v>7</v>
      </c>
      <c r="H10" s="63" t="s">
        <v>35</v>
      </c>
    </row>
    <row r="11" spans="1:8" ht="19.8" customHeight="1" x14ac:dyDescent="0.3">
      <c r="A11" s="59" t="s">
        <v>152</v>
      </c>
      <c r="B11" s="60" t="s">
        <v>52</v>
      </c>
      <c r="C11" s="61" t="s">
        <v>53</v>
      </c>
      <c r="D11" s="60" t="s">
        <v>1</v>
      </c>
      <c r="E11" s="60" t="s">
        <v>156</v>
      </c>
      <c r="F11" s="60" t="s">
        <v>54</v>
      </c>
      <c r="G11" s="62">
        <v>9</v>
      </c>
      <c r="H11" s="63" t="s">
        <v>56</v>
      </c>
    </row>
    <row r="12" spans="1:8" ht="19.8" customHeight="1" x14ac:dyDescent="0.3">
      <c r="A12" s="59" t="s">
        <v>152</v>
      </c>
      <c r="B12" s="60" t="s">
        <v>52</v>
      </c>
      <c r="C12" s="61" t="s">
        <v>53</v>
      </c>
      <c r="D12" s="60" t="s">
        <v>1</v>
      </c>
      <c r="E12" s="60" t="s">
        <v>156</v>
      </c>
      <c r="F12" s="60" t="s">
        <v>57</v>
      </c>
      <c r="G12" s="62">
        <v>9</v>
      </c>
      <c r="H12" s="63" t="s">
        <v>59</v>
      </c>
    </row>
    <row r="13" spans="1:8" ht="19.8" customHeight="1" x14ac:dyDescent="0.3">
      <c r="A13" s="59" t="s">
        <v>152</v>
      </c>
      <c r="B13" s="60" t="s">
        <v>52</v>
      </c>
      <c r="C13" s="61" t="s">
        <v>60</v>
      </c>
      <c r="D13" s="60" t="s">
        <v>1</v>
      </c>
      <c r="E13" s="60" t="s">
        <v>153</v>
      </c>
      <c r="F13" s="60" t="s">
        <v>57</v>
      </c>
      <c r="G13" s="62">
        <v>4</v>
      </c>
      <c r="H13" s="63" t="s">
        <v>62</v>
      </c>
    </row>
    <row r="14" spans="1:8" ht="19.8" customHeight="1" x14ac:dyDescent="0.3">
      <c r="A14" s="59" t="s">
        <v>152</v>
      </c>
      <c r="B14" s="60" t="s">
        <v>52</v>
      </c>
      <c r="C14" s="61" t="s">
        <v>63</v>
      </c>
      <c r="D14" s="60" t="s">
        <v>1</v>
      </c>
      <c r="E14" s="60" t="s">
        <v>157</v>
      </c>
      <c r="F14" s="60" t="s">
        <v>57</v>
      </c>
      <c r="G14" s="62">
        <v>6</v>
      </c>
      <c r="H14" s="63" t="s">
        <v>64</v>
      </c>
    </row>
    <row r="15" spans="1:8" ht="19.8" customHeight="1" x14ac:dyDescent="0.3">
      <c r="A15" s="59" t="s">
        <v>152</v>
      </c>
      <c r="B15" s="60" t="s">
        <v>52</v>
      </c>
      <c r="C15" s="61" t="s">
        <v>65</v>
      </c>
      <c r="D15" s="60" t="s">
        <v>1</v>
      </c>
      <c r="E15" s="60" t="s">
        <v>158</v>
      </c>
      <c r="F15" s="60" t="s">
        <v>57</v>
      </c>
      <c r="G15" s="62">
        <v>3</v>
      </c>
      <c r="H15" s="63" t="s">
        <v>67</v>
      </c>
    </row>
    <row r="16" spans="1:8" ht="19.8" customHeight="1" x14ac:dyDescent="0.3">
      <c r="A16" s="59" t="s">
        <v>152</v>
      </c>
      <c r="B16" s="60" t="s">
        <v>68</v>
      </c>
      <c r="C16" s="61" t="s">
        <v>69</v>
      </c>
      <c r="D16" s="60" t="s">
        <v>1</v>
      </c>
      <c r="E16" s="60" t="s">
        <v>159</v>
      </c>
      <c r="F16" s="60" t="s">
        <v>70</v>
      </c>
      <c r="G16" s="62">
        <v>2</v>
      </c>
      <c r="H16" s="63" t="s">
        <v>72</v>
      </c>
    </row>
    <row r="17" spans="1:8" ht="19.8" customHeight="1" x14ac:dyDescent="0.3">
      <c r="A17" s="64" t="s">
        <v>152</v>
      </c>
      <c r="B17" s="65" t="s">
        <v>73</v>
      </c>
      <c r="C17" s="66" t="s">
        <v>74</v>
      </c>
      <c r="D17" s="65" t="s">
        <v>1</v>
      </c>
      <c r="E17" s="65" t="s">
        <v>136</v>
      </c>
      <c r="F17" s="65" t="s">
        <v>75</v>
      </c>
      <c r="G17" s="65"/>
      <c r="H17" s="67" t="s">
        <v>76</v>
      </c>
    </row>
    <row r="18" spans="1:8" ht="19.8" customHeight="1" x14ac:dyDescent="0.3">
      <c r="A18" s="68">
        <v>45982</v>
      </c>
      <c r="B18" s="60" t="s">
        <v>26</v>
      </c>
      <c r="C18" s="61" t="s">
        <v>27</v>
      </c>
      <c r="D18" s="60" t="s">
        <v>1</v>
      </c>
      <c r="E18" s="69">
        <v>1.229166666666667</v>
      </c>
      <c r="F18" s="60" t="s">
        <v>28</v>
      </c>
      <c r="G18" s="62">
        <v>6</v>
      </c>
      <c r="H18" s="63" t="s">
        <v>30</v>
      </c>
    </row>
    <row r="19" spans="1:8" ht="19.8" customHeight="1" x14ac:dyDescent="0.3">
      <c r="A19" s="68">
        <v>45982</v>
      </c>
      <c r="B19" s="60" t="s">
        <v>36</v>
      </c>
      <c r="C19" s="61" t="s">
        <v>46</v>
      </c>
      <c r="D19" s="60" t="s">
        <v>1</v>
      </c>
      <c r="E19" s="69">
        <v>1.6076388888888891</v>
      </c>
      <c r="F19" s="60" t="s">
        <v>38</v>
      </c>
      <c r="G19" s="62">
        <v>1</v>
      </c>
      <c r="H19" s="63" t="s">
        <v>40</v>
      </c>
    </row>
    <row r="20" spans="1:8" ht="19.8" customHeight="1" x14ac:dyDescent="0.3">
      <c r="A20" s="68">
        <v>45982</v>
      </c>
      <c r="B20" s="60" t="s">
        <v>36</v>
      </c>
      <c r="C20" s="61" t="s">
        <v>46</v>
      </c>
      <c r="D20" s="60" t="s">
        <v>1</v>
      </c>
      <c r="E20" s="69">
        <v>1.6076388888888891</v>
      </c>
      <c r="F20" s="60" t="s">
        <v>41</v>
      </c>
      <c r="G20" s="62">
        <v>1</v>
      </c>
      <c r="H20" s="63" t="s">
        <v>43</v>
      </c>
    </row>
    <row r="21" spans="1:8" ht="19.8" customHeight="1" x14ac:dyDescent="0.3">
      <c r="A21" s="68">
        <v>45982</v>
      </c>
      <c r="B21" s="60" t="s">
        <v>26</v>
      </c>
      <c r="C21" s="61" t="s">
        <v>27</v>
      </c>
      <c r="D21" s="60" t="s">
        <v>1</v>
      </c>
      <c r="E21" s="69">
        <v>1.229166666666667</v>
      </c>
      <c r="F21" s="60" t="s">
        <v>31</v>
      </c>
      <c r="G21" s="62">
        <v>6</v>
      </c>
      <c r="H21" s="63" t="s">
        <v>33</v>
      </c>
    </row>
    <row r="22" spans="1:8" ht="19.8" customHeight="1" x14ac:dyDescent="0.3">
      <c r="A22" s="68">
        <v>45982</v>
      </c>
      <c r="B22" s="60" t="s">
        <v>68</v>
      </c>
      <c r="C22" s="61" t="s">
        <v>83</v>
      </c>
      <c r="D22" s="60" t="s">
        <v>1</v>
      </c>
      <c r="E22" s="69">
        <v>1.9409722222222221</v>
      </c>
      <c r="F22" s="60" t="s">
        <v>70</v>
      </c>
      <c r="G22" s="62">
        <v>9</v>
      </c>
      <c r="H22" s="63" t="s">
        <v>84</v>
      </c>
    </row>
    <row r="23" spans="1:8" ht="19.8" customHeight="1" x14ac:dyDescent="0.3">
      <c r="A23" s="68">
        <v>45982</v>
      </c>
      <c r="B23" s="60" t="s">
        <v>68</v>
      </c>
      <c r="C23" s="61" t="s">
        <v>85</v>
      </c>
      <c r="D23" s="60" t="s">
        <v>1</v>
      </c>
      <c r="E23" s="69">
        <v>1.697916666666667</v>
      </c>
      <c r="F23" s="60" t="s">
        <v>70</v>
      </c>
      <c r="G23" s="62">
        <v>9</v>
      </c>
      <c r="H23" s="63" t="s">
        <v>84</v>
      </c>
    </row>
    <row r="24" spans="1:8" ht="19.8" customHeight="1" x14ac:dyDescent="0.3">
      <c r="A24" s="68">
        <v>45982</v>
      </c>
      <c r="B24" s="60" t="s">
        <v>36</v>
      </c>
      <c r="C24" s="61" t="s">
        <v>46</v>
      </c>
      <c r="D24" s="60" t="s">
        <v>1</v>
      </c>
      <c r="E24" s="69">
        <v>1.6076388888888891</v>
      </c>
      <c r="F24" s="60" t="s">
        <v>44</v>
      </c>
      <c r="G24" s="62">
        <v>1</v>
      </c>
      <c r="H24" s="63" t="s">
        <v>45</v>
      </c>
    </row>
    <row r="25" spans="1:8" ht="19.8" customHeight="1" x14ac:dyDescent="0.3">
      <c r="A25" s="68">
        <v>45982</v>
      </c>
      <c r="B25" s="60" t="s">
        <v>26</v>
      </c>
      <c r="C25" s="61" t="s">
        <v>27</v>
      </c>
      <c r="D25" s="60" t="s">
        <v>1</v>
      </c>
      <c r="E25" s="69">
        <v>1.229166666666667</v>
      </c>
      <c r="F25" s="60" t="s">
        <v>34</v>
      </c>
      <c r="G25" s="62">
        <v>6</v>
      </c>
      <c r="H25" s="63" t="s">
        <v>35</v>
      </c>
    </row>
    <row r="26" spans="1:8" ht="19.8" customHeight="1" x14ac:dyDescent="0.3">
      <c r="A26" s="68">
        <v>45982</v>
      </c>
      <c r="B26" s="60" t="s">
        <v>52</v>
      </c>
      <c r="C26" s="61" t="s">
        <v>65</v>
      </c>
      <c r="D26" s="60" t="s">
        <v>1</v>
      </c>
      <c r="E26" s="69">
        <v>1.895833333333333</v>
      </c>
      <c r="F26" s="60" t="s">
        <v>54</v>
      </c>
      <c r="G26" s="62">
        <v>9</v>
      </c>
      <c r="H26" s="63" t="s">
        <v>56</v>
      </c>
    </row>
    <row r="27" spans="1:8" ht="19.8" customHeight="1" x14ac:dyDescent="0.3">
      <c r="A27" s="68">
        <v>45982</v>
      </c>
      <c r="B27" s="60" t="s">
        <v>52</v>
      </c>
      <c r="C27" s="61" t="s">
        <v>65</v>
      </c>
      <c r="D27" s="60" t="s">
        <v>1</v>
      </c>
      <c r="E27" s="69">
        <v>1.895833333333333</v>
      </c>
      <c r="F27" s="60" t="s">
        <v>57</v>
      </c>
      <c r="G27" s="62">
        <v>9</v>
      </c>
      <c r="H27" s="63" t="s">
        <v>59</v>
      </c>
    </row>
    <row r="28" spans="1:8" ht="19.8" customHeight="1" x14ac:dyDescent="0.3">
      <c r="A28" s="68">
        <v>45982</v>
      </c>
      <c r="B28" s="60" t="s">
        <v>68</v>
      </c>
      <c r="C28" s="61" t="s">
        <v>69</v>
      </c>
      <c r="D28" s="60" t="s">
        <v>1</v>
      </c>
      <c r="E28" s="69">
        <v>1.288194444444444</v>
      </c>
      <c r="F28" s="60" t="s">
        <v>70</v>
      </c>
      <c r="G28" s="62">
        <v>9</v>
      </c>
      <c r="H28" s="63" t="s">
        <v>87</v>
      </c>
    </row>
    <row r="29" spans="1:8" ht="19.8" customHeight="1" x14ac:dyDescent="0.3">
      <c r="A29" s="68">
        <v>45982</v>
      </c>
      <c r="B29" s="60" t="s">
        <v>68</v>
      </c>
      <c r="C29" s="61" t="s">
        <v>88</v>
      </c>
      <c r="D29" s="60" t="s">
        <v>1</v>
      </c>
      <c r="E29" s="69">
        <v>1.336805555555556</v>
      </c>
      <c r="F29" s="60" t="s">
        <v>70</v>
      </c>
      <c r="G29" s="62">
        <v>9</v>
      </c>
      <c r="H29" s="63" t="s">
        <v>89</v>
      </c>
    </row>
    <row r="30" spans="1:8" ht="19.8" customHeight="1" x14ac:dyDescent="0.3">
      <c r="A30" s="68">
        <v>45982</v>
      </c>
      <c r="B30" s="60" t="s">
        <v>68</v>
      </c>
      <c r="C30" s="61" t="s">
        <v>90</v>
      </c>
      <c r="D30" s="60" t="s">
        <v>1</v>
      </c>
      <c r="E30" s="69">
        <v>1.0659722222222221</v>
      </c>
      <c r="F30" s="60" t="s">
        <v>70</v>
      </c>
      <c r="G30" s="62">
        <v>9</v>
      </c>
      <c r="H30" s="63" t="s">
        <v>89</v>
      </c>
    </row>
    <row r="31" spans="1:8" ht="19.8" customHeight="1" x14ac:dyDescent="0.3">
      <c r="A31" s="68">
        <v>45982</v>
      </c>
      <c r="B31" s="60" t="s">
        <v>52</v>
      </c>
      <c r="C31" s="61" t="s">
        <v>63</v>
      </c>
      <c r="D31" s="60" t="s">
        <v>1</v>
      </c>
      <c r="E31" s="69">
        <v>1.350694444444444</v>
      </c>
      <c r="F31" s="60" t="s">
        <v>57</v>
      </c>
      <c r="G31" s="62">
        <v>9</v>
      </c>
      <c r="H31" s="63" t="s">
        <v>91</v>
      </c>
    </row>
    <row r="32" spans="1:8" ht="19.8" customHeight="1" x14ac:dyDescent="0.3">
      <c r="A32" s="68">
        <v>45982</v>
      </c>
      <c r="B32" s="60" t="s">
        <v>52</v>
      </c>
      <c r="C32" s="61" t="s">
        <v>53</v>
      </c>
      <c r="D32" s="60" t="s">
        <v>1</v>
      </c>
      <c r="E32" s="69">
        <v>1.1840277777777779</v>
      </c>
      <c r="F32" s="60" t="s">
        <v>57</v>
      </c>
      <c r="G32" s="62">
        <v>9</v>
      </c>
      <c r="H32" s="63" t="s">
        <v>91</v>
      </c>
    </row>
    <row r="33" spans="1:8" ht="19.8" customHeight="1" x14ac:dyDescent="0.3">
      <c r="A33" s="70">
        <v>45982</v>
      </c>
      <c r="B33" s="71" t="s">
        <v>52</v>
      </c>
      <c r="C33" s="72" t="s">
        <v>60</v>
      </c>
      <c r="D33" s="71" t="s">
        <v>1</v>
      </c>
      <c r="E33" s="73">
        <v>1.229166666666667</v>
      </c>
      <c r="F33" s="71" t="s">
        <v>57</v>
      </c>
      <c r="G33" s="74">
        <v>4</v>
      </c>
      <c r="H33" s="75" t="s">
        <v>62</v>
      </c>
    </row>
    <row r="34" spans="1:8" ht="19.8" customHeight="1" x14ac:dyDescent="0.3">
      <c r="A34" s="68">
        <v>45983</v>
      </c>
      <c r="B34" s="60" t="s">
        <v>26</v>
      </c>
      <c r="C34" s="61" t="s">
        <v>27</v>
      </c>
      <c r="D34" s="60" t="s">
        <v>1</v>
      </c>
      <c r="E34" s="69">
        <v>1.229166666666667</v>
      </c>
      <c r="F34" s="60" t="s">
        <v>28</v>
      </c>
      <c r="G34" s="62">
        <v>15</v>
      </c>
      <c r="H34" s="63" t="s">
        <v>93</v>
      </c>
    </row>
    <row r="35" spans="1:8" ht="19.8" customHeight="1" x14ac:dyDescent="0.3">
      <c r="A35" s="68">
        <v>45983</v>
      </c>
      <c r="B35" s="60" t="s">
        <v>36</v>
      </c>
      <c r="C35" s="61" t="s">
        <v>46</v>
      </c>
      <c r="D35" s="60" t="s">
        <v>1</v>
      </c>
      <c r="E35" s="69">
        <v>1.6076388888888891</v>
      </c>
      <c r="F35" s="60" t="s">
        <v>38</v>
      </c>
      <c r="G35" s="62">
        <v>7</v>
      </c>
      <c r="H35" s="63" t="s">
        <v>48</v>
      </c>
    </row>
    <row r="36" spans="1:8" ht="19.8" customHeight="1" x14ac:dyDescent="0.3">
      <c r="A36" s="68">
        <v>45983</v>
      </c>
      <c r="B36" s="60" t="s">
        <v>36</v>
      </c>
      <c r="C36" s="61" t="s">
        <v>37</v>
      </c>
      <c r="D36" s="60" t="s">
        <v>1</v>
      </c>
      <c r="E36" s="69">
        <v>1.4340277777777779</v>
      </c>
      <c r="F36" s="60" t="s">
        <v>38</v>
      </c>
      <c r="G36" s="62">
        <v>4</v>
      </c>
      <c r="H36" s="63" t="s">
        <v>48</v>
      </c>
    </row>
    <row r="37" spans="1:8" ht="19.8" customHeight="1" x14ac:dyDescent="0.3">
      <c r="A37" s="68">
        <v>45983</v>
      </c>
      <c r="B37" s="60" t="s">
        <v>26</v>
      </c>
      <c r="C37" s="61" t="s">
        <v>27</v>
      </c>
      <c r="D37" s="60" t="s">
        <v>1</v>
      </c>
      <c r="E37" s="69">
        <v>1.229166666666667</v>
      </c>
      <c r="F37" s="60" t="s">
        <v>31</v>
      </c>
      <c r="G37" s="62">
        <v>15</v>
      </c>
      <c r="H37" s="63" t="s">
        <v>95</v>
      </c>
    </row>
    <row r="38" spans="1:8" ht="19.8" customHeight="1" x14ac:dyDescent="0.3">
      <c r="A38" s="68">
        <v>45983</v>
      </c>
      <c r="B38" s="60" t="s">
        <v>36</v>
      </c>
      <c r="C38" s="61" t="s">
        <v>46</v>
      </c>
      <c r="D38" s="60" t="s">
        <v>1</v>
      </c>
      <c r="E38" s="69">
        <v>1.6076388888888891</v>
      </c>
      <c r="F38" s="60" t="s">
        <v>41</v>
      </c>
      <c r="G38" s="62">
        <v>7</v>
      </c>
      <c r="H38" s="63" t="s">
        <v>50</v>
      </c>
    </row>
    <row r="39" spans="1:8" ht="19.8" customHeight="1" x14ac:dyDescent="0.3">
      <c r="A39" s="68">
        <v>45983</v>
      </c>
      <c r="B39" s="60" t="s">
        <v>36</v>
      </c>
      <c r="C39" s="61" t="s">
        <v>37</v>
      </c>
      <c r="D39" s="60" t="s">
        <v>1</v>
      </c>
      <c r="E39" s="69">
        <v>1.4340277777777779</v>
      </c>
      <c r="F39" s="60" t="s">
        <v>41</v>
      </c>
      <c r="G39" s="62">
        <v>4</v>
      </c>
      <c r="H39" s="63" t="s">
        <v>50</v>
      </c>
    </row>
    <row r="40" spans="1:8" ht="19.8" customHeight="1" x14ac:dyDescent="0.3">
      <c r="A40" s="68">
        <v>45983</v>
      </c>
      <c r="B40" s="60" t="s">
        <v>68</v>
      </c>
      <c r="C40" s="61" t="s">
        <v>88</v>
      </c>
      <c r="D40" s="60" t="s">
        <v>1</v>
      </c>
      <c r="E40" s="69">
        <v>1.336805555555556</v>
      </c>
      <c r="F40" s="60" t="s">
        <v>70</v>
      </c>
      <c r="G40" s="62">
        <v>9</v>
      </c>
      <c r="H40" s="63" t="s">
        <v>84</v>
      </c>
    </row>
    <row r="41" spans="1:8" ht="19.8" customHeight="1" x14ac:dyDescent="0.3">
      <c r="A41" s="68">
        <v>45983</v>
      </c>
      <c r="B41" s="60" t="s">
        <v>68</v>
      </c>
      <c r="C41" s="61" t="s">
        <v>83</v>
      </c>
      <c r="D41" s="60" t="s">
        <v>1</v>
      </c>
      <c r="E41" s="69">
        <v>1.947916666666667</v>
      </c>
      <c r="F41" s="60" t="s">
        <v>70</v>
      </c>
      <c r="G41" s="62">
        <v>9</v>
      </c>
      <c r="H41" s="63" t="s">
        <v>84</v>
      </c>
    </row>
    <row r="42" spans="1:8" ht="19.8" customHeight="1" x14ac:dyDescent="0.3">
      <c r="A42" s="68">
        <v>45983</v>
      </c>
      <c r="B42" s="60" t="s">
        <v>68</v>
      </c>
      <c r="C42" s="61" t="s">
        <v>90</v>
      </c>
      <c r="D42" s="60" t="s">
        <v>1</v>
      </c>
      <c r="E42" s="69">
        <v>1.0659722222222221</v>
      </c>
      <c r="F42" s="60" t="s">
        <v>70</v>
      </c>
      <c r="G42" s="62">
        <v>9</v>
      </c>
      <c r="H42" s="63" t="s">
        <v>84</v>
      </c>
    </row>
    <row r="43" spans="1:8" ht="19.8" customHeight="1" x14ac:dyDescent="0.3">
      <c r="A43" s="68">
        <v>45983</v>
      </c>
      <c r="B43" s="60" t="s">
        <v>36</v>
      </c>
      <c r="C43" s="61" t="s">
        <v>46</v>
      </c>
      <c r="D43" s="60" t="s">
        <v>1</v>
      </c>
      <c r="E43" s="69">
        <v>1.6076388888888891</v>
      </c>
      <c r="F43" s="60" t="s">
        <v>44</v>
      </c>
      <c r="G43" s="62">
        <v>7</v>
      </c>
      <c r="H43" s="63" t="s">
        <v>51</v>
      </c>
    </row>
    <row r="44" spans="1:8" ht="19.8" customHeight="1" x14ac:dyDescent="0.3">
      <c r="A44" s="68">
        <v>45983</v>
      </c>
      <c r="B44" s="60" t="s">
        <v>36</v>
      </c>
      <c r="C44" s="61" t="s">
        <v>37</v>
      </c>
      <c r="D44" s="60" t="s">
        <v>1</v>
      </c>
      <c r="E44" s="69">
        <v>1.4340277777777779</v>
      </c>
      <c r="F44" s="60" t="s">
        <v>44</v>
      </c>
      <c r="G44" s="62">
        <v>4</v>
      </c>
      <c r="H44" s="63" t="s">
        <v>51</v>
      </c>
    </row>
    <row r="45" spans="1:8" ht="19.8" customHeight="1" x14ac:dyDescent="0.3">
      <c r="A45" s="68">
        <v>45983</v>
      </c>
      <c r="B45" s="60" t="s">
        <v>26</v>
      </c>
      <c r="C45" s="61" t="s">
        <v>27</v>
      </c>
      <c r="D45" s="60" t="s">
        <v>1</v>
      </c>
      <c r="E45" s="69">
        <v>1.229166666666667</v>
      </c>
      <c r="F45" s="60" t="s">
        <v>34</v>
      </c>
      <c r="G45" s="62">
        <v>15</v>
      </c>
      <c r="H45" s="63" t="s">
        <v>35</v>
      </c>
    </row>
    <row r="46" spans="1:8" ht="19.8" customHeight="1" x14ac:dyDescent="0.3">
      <c r="A46" s="68">
        <v>45983</v>
      </c>
      <c r="B46" s="60" t="s">
        <v>52</v>
      </c>
      <c r="C46" s="61" t="s">
        <v>53</v>
      </c>
      <c r="D46" s="60" t="s">
        <v>1</v>
      </c>
      <c r="E46" s="69">
        <v>1.1840277777777779</v>
      </c>
      <c r="F46" s="60" t="s">
        <v>54</v>
      </c>
      <c r="G46" s="62">
        <v>9</v>
      </c>
      <c r="H46" s="63" t="s">
        <v>56</v>
      </c>
    </row>
    <row r="47" spans="1:8" ht="19.8" customHeight="1" x14ac:dyDescent="0.3">
      <c r="A47" s="68">
        <v>45983</v>
      </c>
      <c r="B47" s="60" t="s">
        <v>68</v>
      </c>
      <c r="C47" s="61" t="s">
        <v>85</v>
      </c>
      <c r="D47" s="60" t="s">
        <v>1</v>
      </c>
      <c r="E47" s="69">
        <v>1.6875</v>
      </c>
      <c r="F47" s="60" t="s">
        <v>70</v>
      </c>
      <c r="G47" s="62">
        <v>9</v>
      </c>
      <c r="H47" s="63" t="s">
        <v>97</v>
      </c>
    </row>
    <row r="48" spans="1:8" ht="19.8" customHeight="1" x14ac:dyDescent="0.3">
      <c r="A48" s="68">
        <v>45983</v>
      </c>
      <c r="B48" s="60" t="s">
        <v>52</v>
      </c>
      <c r="C48" s="61" t="s">
        <v>53</v>
      </c>
      <c r="D48" s="60" t="s">
        <v>1</v>
      </c>
      <c r="E48" s="69">
        <v>1.1840277777777779</v>
      </c>
      <c r="F48" s="60" t="s">
        <v>57</v>
      </c>
      <c r="G48" s="62">
        <v>9</v>
      </c>
      <c r="H48" s="63" t="s">
        <v>59</v>
      </c>
    </row>
    <row r="49" spans="1:8" ht="19.8" customHeight="1" x14ac:dyDescent="0.3">
      <c r="A49" s="68">
        <v>45983</v>
      </c>
      <c r="B49" s="60" t="s">
        <v>68</v>
      </c>
      <c r="C49" s="61" t="s">
        <v>69</v>
      </c>
      <c r="D49" s="60" t="s">
        <v>1</v>
      </c>
      <c r="E49" s="69">
        <v>1.288194444444444</v>
      </c>
      <c r="F49" s="60" t="s">
        <v>70</v>
      </c>
      <c r="G49" s="62">
        <v>9</v>
      </c>
      <c r="H49" s="63" t="s">
        <v>98</v>
      </c>
    </row>
    <row r="50" spans="1:8" ht="19.8" customHeight="1" x14ac:dyDescent="0.3">
      <c r="A50" s="76">
        <v>45983</v>
      </c>
      <c r="B50" s="77" t="s">
        <v>73</v>
      </c>
      <c r="C50" s="78" t="s">
        <v>99</v>
      </c>
      <c r="D50" s="77" t="s">
        <v>1</v>
      </c>
      <c r="E50" s="79">
        <v>1.2361111111111109</v>
      </c>
      <c r="F50" s="77" t="s">
        <v>100</v>
      </c>
      <c r="G50" s="80">
        <v>3</v>
      </c>
      <c r="H50" s="81" t="s">
        <v>102</v>
      </c>
    </row>
    <row r="51" spans="1:8" ht="19.8" customHeight="1" x14ac:dyDescent="0.3">
      <c r="A51" s="68">
        <v>45983</v>
      </c>
      <c r="B51" s="60" t="s">
        <v>52</v>
      </c>
      <c r="C51" s="61" t="s">
        <v>63</v>
      </c>
      <c r="D51" s="60" t="s">
        <v>1</v>
      </c>
      <c r="E51" s="69">
        <v>1.354166666666667</v>
      </c>
      <c r="F51" s="60" t="s">
        <v>57</v>
      </c>
      <c r="G51" s="62">
        <v>9</v>
      </c>
      <c r="H51" s="63" t="s">
        <v>91</v>
      </c>
    </row>
    <row r="52" spans="1:8" ht="19.8" customHeight="1" x14ac:dyDescent="0.3">
      <c r="A52" s="68">
        <v>45983</v>
      </c>
      <c r="B52" s="60" t="s">
        <v>52</v>
      </c>
      <c r="C52" s="61" t="s">
        <v>65</v>
      </c>
      <c r="D52" s="60" t="s">
        <v>1</v>
      </c>
      <c r="E52" s="69">
        <v>1.895833333333333</v>
      </c>
      <c r="F52" s="60" t="s">
        <v>57</v>
      </c>
      <c r="G52" s="62">
        <v>9</v>
      </c>
      <c r="H52" s="63" t="s">
        <v>91</v>
      </c>
    </row>
    <row r="53" spans="1:8" ht="19.8" customHeight="1" x14ac:dyDescent="0.3">
      <c r="A53" s="70">
        <v>45983</v>
      </c>
      <c r="B53" s="71" t="s">
        <v>52</v>
      </c>
      <c r="C53" s="72" t="s">
        <v>60</v>
      </c>
      <c r="D53" s="71" t="s">
        <v>1</v>
      </c>
      <c r="E53" s="73">
        <v>1.229166666666667</v>
      </c>
      <c r="F53" s="71" t="s">
        <v>57</v>
      </c>
      <c r="G53" s="74">
        <v>4</v>
      </c>
      <c r="H53" s="75" t="s">
        <v>62</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1.109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64" t="s">
        <v>152</v>
      </c>
      <c r="B2" s="65" t="s">
        <v>73</v>
      </c>
      <c r="C2" s="66" t="s">
        <v>74</v>
      </c>
      <c r="D2" s="65" t="s">
        <v>1</v>
      </c>
      <c r="E2" s="65" t="s">
        <v>136</v>
      </c>
      <c r="F2" s="65" t="s">
        <v>75</v>
      </c>
      <c r="G2" s="65"/>
      <c r="H2" s="67" t="s">
        <v>76</v>
      </c>
    </row>
    <row r="3" spans="1:8" ht="19.8" customHeight="1" x14ac:dyDescent="0.3">
      <c r="A3" s="68">
        <v>45982</v>
      </c>
      <c r="B3" s="60" t="s">
        <v>26</v>
      </c>
      <c r="C3" s="61" t="s">
        <v>27</v>
      </c>
      <c r="D3" s="60" t="s">
        <v>1</v>
      </c>
      <c r="E3" s="69">
        <v>1.229166666666667</v>
      </c>
      <c r="F3" s="60" t="s">
        <v>28</v>
      </c>
      <c r="G3" s="62">
        <v>6</v>
      </c>
      <c r="H3" s="63" t="s">
        <v>30</v>
      </c>
    </row>
    <row r="4" spans="1:8" ht="19.8" customHeight="1" x14ac:dyDescent="0.3">
      <c r="A4" s="68">
        <v>45982</v>
      </c>
      <c r="B4" s="60" t="s">
        <v>36</v>
      </c>
      <c r="C4" s="61" t="s">
        <v>46</v>
      </c>
      <c r="D4" s="60" t="s">
        <v>1</v>
      </c>
      <c r="E4" s="69">
        <v>1.6076388888888891</v>
      </c>
      <c r="F4" s="60" t="s">
        <v>38</v>
      </c>
      <c r="G4" s="62">
        <v>1</v>
      </c>
      <c r="H4" s="63" t="s">
        <v>40</v>
      </c>
    </row>
    <row r="5" spans="1:8" ht="19.8" customHeight="1" x14ac:dyDescent="0.3">
      <c r="A5" s="68">
        <v>45982</v>
      </c>
      <c r="B5" s="60" t="s">
        <v>36</v>
      </c>
      <c r="C5" s="61" t="s">
        <v>46</v>
      </c>
      <c r="D5" s="60" t="s">
        <v>1</v>
      </c>
      <c r="E5" s="69">
        <v>1.6076388888888891</v>
      </c>
      <c r="F5" s="60" t="s">
        <v>41</v>
      </c>
      <c r="G5" s="62">
        <v>1</v>
      </c>
      <c r="H5" s="63" t="s">
        <v>43</v>
      </c>
    </row>
    <row r="6" spans="1:8" ht="19.8" customHeight="1" x14ac:dyDescent="0.3">
      <c r="A6" s="68">
        <v>45982</v>
      </c>
      <c r="B6" s="60" t="s">
        <v>26</v>
      </c>
      <c r="C6" s="61" t="s">
        <v>27</v>
      </c>
      <c r="D6" s="60" t="s">
        <v>1</v>
      </c>
      <c r="E6" s="69">
        <v>1.229166666666667</v>
      </c>
      <c r="F6" s="60" t="s">
        <v>31</v>
      </c>
      <c r="G6" s="62">
        <v>6</v>
      </c>
      <c r="H6" s="63" t="s">
        <v>33</v>
      </c>
    </row>
    <row r="7" spans="1:8" ht="19.8" customHeight="1" x14ac:dyDescent="0.3">
      <c r="A7" s="68">
        <v>45982</v>
      </c>
      <c r="B7" s="60" t="s">
        <v>68</v>
      </c>
      <c r="C7" s="61" t="s">
        <v>83</v>
      </c>
      <c r="D7" s="60" t="s">
        <v>1</v>
      </c>
      <c r="E7" s="69">
        <v>1.9409722222222221</v>
      </c>
      <c r="F7" s="60" t="s">
        <v>70</v>
      </c>
      <c r="G7" s="62">
        <v>9</v>
      </c>
      <c r="H7" s="63" t="s">
        <v>84</v>
      </c>
    </row>
    <row r="8" spans="1:8" ht="19.8" customHeight="1" x14ac:dyDescent="0.3">
      <c r="A8" s="68">
        <v>45982</v>
      </c>
      <c r="B8" s="60" t="s">
        <v>68</v>
      </c>
      <c r="C8" s="61" t="s">
        <v>85</v>
      </c>
      <c r="D8" s="60" t="s">
        <v>1</v>
      </c>
      <c r="E8" s="69">
        <v>1.697916666666667</v>
      </c>
      <c r="F8" s="60" t="s">
        <v>70</v>
      </c>
      <c r="G8" s="62">
        <v>9</v>
      </c>
      <c r="H8" s="63" t="s">
        <v>84</v>
      </c>
    </row>
    <row r="9" spans="1:8" ht="19.8" customHeight="1" x14ac:dyDescent="0.3">
      <c r="A9" s="68">
        <v>45982</v>
      </c>
      <c r="B9" s="60" t="s">
        <v>36</v>
      </c>
      <c r="C9" s="61" t="s">
        <v>46</v>
      </c>
      <c r="D9" s="60" t="s">
        <v>1</v>
      </c>
      <c r="E9" s="69">
        <v>1.6076388888888891</v>
      </c>
      <c r="F9" s="60" t="s">
        <v>44</v>
      </c>
      <c r="G9" s="62">
        <v>1</v>
      </c>
      <c r="H9" s="63" t="s">
        <v>45</v>
      </c>
    </row>
    <row r="10" spans="1:8" ht="19.8" customHeight="1" x14ac:dyDescent="0.3">
      <c r="A10" s="68">
        <v>45982</v>
      </c>
      <c r="B10" s="60" t="s">
        <v>26</v>
      </c>
      <c r="C10" s="61" t="s">
        <v>27</v>
      </c>
      <c r="D10" s="60" t="s">
        <v>1</v>
      </c>
      <c r="E10" s="69">
        <v>1.229166666666667</v>
      </c>
      <c r="F10" s="60" t="s">
        <v>34</v>
      </c>
      <c r="G10" s="62">
        <v>6</v>
      </c>
      <c r="H10" s="63" t="s">
        <v>35</v>
      </c>
    </row>
    <row r="11" spans="1:8" ht="19.8" customHeight="1" x14ac:dyDescent="0.3">
      <c r="A11" s="68">
        <v>45982</v>
      </c>
      <c r="B11" s="60" t="s">
        <v>52</v>
      </c>
      <c r="C11" s="61" t="s">
        <v>65</v>
      </c>
      <c r="D11" s="60" t="s">
        <v>1</v>
      </c>
      <c r="E11" s="69">
        <v>1.895833333333333</v>
      </c>
      <c r="F11" s="60" t="s">
        <v>54</v>
      </c>
      <c r="G11" s="62">
        <v>9</v>
      </c>
      <c r="H11" s="63" t="s">
        <v>56</v>
      </c>
    </row>
    <row r="12" spans="1:8" ht="19.8" customHeight="1" x14ac:dyDescent="0.3">
      <c r="A12" s="68">
        <v>45982</v>
      </c>
      <c r="B12" s="60" t="s">
        <v>52</v>
      </c>
      <c r="C12" s="61" t="s">
        <v>65</v>
      </c>
      <c r="D12" s="60" t="s">
        <v>1</v>
      </c>
      <c r="E12" s="69">
        <v>1.895833333333333</v>
      </c>
      <c r="F12" s="60" t="s">
        <v>57</v>
      </c>
      <c r="G12" s="62">
        <v>9</v>
      </c>
      <c r="H12" s="63" t="s">
        <v>59</v>
      </c>
    </row>
    <row r="13" spans="1:8" ht="19.8" customHeight="1" x14ac:dyDescent="0.3">
      <c r="A13" s="68">
        <v>45982</v>
      </c>
      <c r="B13" s="60" t="s">
        <v>68</v>
      </c>
      <c r="C13" s="61" t="s">
        <v>69</v>
      </c>
      <c r="D13" s="60" t="s">
        <v>1</v>
      </c>
      <c r="E13" s="69">
        <v>1.288194444444444</v>
      </c>
      <c r="F13" s="60" t="s">
        <v>70</v>
      </c>
      <c r="G13" s="62">
        <v>9</v>
      </c>
      <c r="H13" s="63" t="s">
        <v>87</v>
      </c>
    </row>
    <row r="14" spans="1:8" ht="19.8" customHeight="1" x14ac:dyDescent="0.3">
      <c r="A14" s="68">
        <v>45982</v>
      </c>
      <c r="B14" s="60" t="s">
        <v>68</v>
      </c>
      <c r="C14" s="61" t="s">
        <v>88</v>
      </c>
      <c r="D14" s="60" t="s">
        <v>1</v>
      </c>
      <c r="E14" s="69">
        <v>1.336805555555556</v>
      </c>
      <c r="F14" s="60" t="s">
        <v>70</v>
      </c>
      <c r="G14" s="62">
        <v>9</v>
      </c>
      <c r="H14" s="63" t="s">
        <v>89</v>
      </c>
    </row>
    <row r="15" spans="1:8" ht="19.8" customHeight="1" x14ac:dyDescent="0.3">
      <c r="A15" s="68">
        <v>45982</v>
      </c>
      <c r="B15" s="60" t="s">
        <v>68</v>
      </c>
      <c r="C15" s="61" t="s">
        <v>90</v>
      </c>
      <c r="D15" s="60" t="s">
        <v>1</v>
      </c>
      <c r="E15" s="69">
        <v>1.0659722222222221</v>
      </c>
      <c r="F15" s="60" t="s">
        <v>70</v>
      </c>
      <c r="G15" s="62">
        <v>9</v>
      </c>
      <c r="H15" s="63" t="s">
        <v>89</v>
      </c>
    </row>
    <row r="16" spans="1:8" ht="19.8" customHeight="1" x14ac:dyDescent="0.3">
      <c r="A16" s="68">
        <v>45982</v>
      </c>
      <c r="B16" s="60" t="s">
        <v>52</v>
      </c>
      <c r="C16" s="61" t="s">
        <v>63</v>
      </c>
      <c r="D16" s="60" t="s">
        <v>1</v>
      </c>
      <c r="E16" s="69">
        <v>1.350694444444444</v>
      </c>
      <c r="F16" s="60" t="s">
        <v>57</v>
      </c>
      <c r="G16" s="62">
        <v>9</v>
      </c>
      <c r="H16" s="63" t="s">
        <v>91</v>
      </c>
    </row>
    <row r="17" spans="1:8" ht="19.8" customHeight="1" x14ac:dyDescent="0.3">
      <c r="A17" s="68">
        <v>45982</v>
      </c>
      <c r="B17" s="60" t="s">
        <v>52</v>
      </c>
      <c r="C17" s="61" t="s">
        <v>53</v>
      </c>
      <c r="D17" s="60" t="s">
        <v>1</v>
      </c>
      <c r="E17" s="69">
        <v>1.1840277777777779</v>
      </c>
      <c r="F17" s="60" t="s">
        <v>57</v>
      </c>
      <c r="G17" s="62">
        <v>9</v>
      </c>
      <c r="H17" s="63" t="s">
        <v>91</v>
      </c>
    </row>
    <row r="18" spans="1:8" ht="19.8" customHeight="1" x14ac:dyDescent="0.3">
      <c r="A18" s="70">
        <v>45982</v>
      </c>
      <c r="B18" s="71" t="s">
        <v>52</v>
      </c>
      <c r="C18" s="72" t="s">
        <v>60</v>
      </c>
      <c r="D18" s="71" t="s">
        <v>1</v>
      </c>
      <c r="E18" s="73">
        <v>1.229166666666667</v>
      </c>
      <c r="F18" s="71" t="s">
        <v>57</v>
      </c>
      <c r="G18" s="74">
        <v>4</v>
      </c>
      <c r="H18" s="75" t="s">
        <v>62</v>
      </c>
    </row>
    <row r="19" spans="1:8" ht="19.8" customHeight="1" x14ac:dyDescent="0.3">
      <c r="A19" s="82">
        <v>45983</v>
      </c>
      <c r="B19" s="65" t="s">
        <v>73</v>
      </c>
      <c r="C19" s="66" t="s">
        <v>99</v>
      </c>
      <c r="D19" s="65" t="s">
        <v>1</v>
      </c>
      <c r="E19" s="83">
        <v>1.2361111111111109</v>
      </c>
      <c r="F19" s="65" t="s">
        <v>100</v>
      </c>
      <c r="G19" s="84">
        <v>3</v>
      </c>
      <c r="H19" s="67" t="s">
        <v>102</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34"/>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7.77734375" bestFit="1" customWidth="1"/>
  </cols>
  <sheetData>
    <row r="1" spans="1:92" ht="28.8" customHeight="1" x14ac:dyDescent="0.3">
      <c r="A1" s="261" t="s">
        <v>0</v>
      </c>
      <c r="B1" s="254"/>
      <c r="C1" s="254"/>
      <c r="D1" s="254"/>
      <c r="E1" s="254"/>
      <c r="F1" s="1" t="s">
        <v>160</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45980.43036894266</v>
      </c>
      <c r="H2" s="254"/>
      <c r="I2" s="254"/>
      <c r="J2" s="254"/>
      <c r="K2" s="263">
        <v>45980.430368943082</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45981</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5" t="s">
        <v>73</v>
      </c>
      <c r="B6" s="85" t="s">
        <v>161</v>
      </c>
      <c r="C6" s="86">
        <v>0.47916666666666669</v>
      </c>
      <c r="D6" s="85" t="s">
        <v>100</v>
      </c>
      <c r="E6" s="85" t="s">
        <v>71</v>
      </c>
      <c r="F6" s="85" t="s">
        <v>162</v>
      </c>
      <c r="G6" s="265"/>
      <c r="H6" s="87" t="s">
        <v>163</v>
      </c>
      <c r="I6" s="88">
        <v>0.98329999999999995</v>
      </c>
      <c r="J6" s="89">
        <v>177</v>
      </c>
      <c r="K6" s="90" t="s">
        <v>164</v>
      </c>
      <c r="L6" s="89">
        <v>50</v>
      </c>
      <c r="M6" s="89">
        <v>0</v>
      </c>
      <c r="N6" s="89">
        <v>0</v>
      </c>
      <c r="O6" s="91" t="s">
        <v>165</v>
      </c>
      <c r="P6" s="92">
        <v>0.47916666666666669</v>
      </c>
      <c r="Q6" s="89">
        <v>180</v>
      </c>
      <c r="R6" s="93" t="s">
        <v>166</v>
      </c>
    </row>
    <row r="7" spans="1:92" ht="18" x14ac:dyDescent="0.3">
      <c r="A7" s="268" t="s">
        <v>167</v>
      </c>
      <c r="B7" s="269"/>
      <c r="C7" s="269"/>
      <c r="D7" s="269"/>
      <c r="E7" s="269"/>
      <c r="F7" s="270"/>
      <c r="G7" s="257"/>
      <c r="H7" s="94"/>
      <c r="I7" s="94"/>
      <c r="J7" s="94"/>
      <c r="K7" s="94"/>
      <c r="L7" s="94"/>
      <c r="M7" s="94"/>
      <c r="N7" s="94"/>
      <c r="O7" s="95"/>
      <c r="P7" s="94"/>
      <c r="Q7" s="55"/>
      <c r="R7" s="55"/>
    </row>
    <row r="8" spans="1:92" ht="15" customHeight="1" x14ac:dyDescent="0.3">
      <c r="A8" s="19" t="s">
        <v>26</v>
      </c>
      <c r="B8" s="19" t="s">
        <v>27</v>
      </c>
      <c r="C8" s="20" t="s">
        <v>153</v>
      </c>
      <c r="D8" s="19" t="s">
        <v>28</v>
      </c>
      <c r="E8" s="19" t="s">
        <v>168</v>
      </c>
      <c r="F8" s="19" t="s">
        <v>30</v>
      </c>
      <c r="G8" s="257"/>
      <c r="H8" s="94"/>
      <c r="I8" s="94"/>
      <c r="J8" s="94"/>
      <c r="K8" s="94"/>
      <c r="L8" s="94"/>
      <c r="M8" s="94"/>
      <c r="N8" s="94"/>
      <c r="O8" s="95"/>
      <c r="P8" s="94"/>
      <c r="Q8" s="55"/>
      <c r="R8" s="55"/>
    </row>
    <row r="9" spans="1:92" ht="15" customHeight="1" x14ac:dyDescent="0.3">
      <c r="A9" s="19" t="s">
        <v>36</v>
      </c>
      <c r="B9" s="19" t="s">
        <v>37</v>
      </c>
      <c r="C9" s="20" t="s">
        <v>154</v>
      </c>
      <c r="D9" s="19" t="s">
        <v>38</v>
      </c>
      <c r="E9" s="19" t="s">
        <v>169</v>
      </c>
      <c r="F9" s="19" t="s">
        <v>40</v>
      </c>
      <c r="G9" s="257"/>
      <c r="H9" s="94"/>
      <c r="I9" s="94"/>
      <c r="J9" s="94"/>
      <c r="K9" s="94"/>
      <c r="L9" s="94"/>
      <c r="M9" s="94"/>
      <c r="N9" s="94"/>
      <c r="O9" s="95"/>
      <c r="P9" s="94"/>
      <c r="Q9" s="55"/>
      <c r="R9" s="55"/>
    </row>
    <row r="10" spans="1:92" ht="15" customHeight="1" x14ac:dyDescent="0.3">
      <c r="A10" s="19" t="s">
        <v>36</v>
      </c>
      <c r="B10" s="19" t="s">
        <v>46</v>
      </c>
      <c r="C10" s="20" t="s">
        <v>155</v>
      </c>
      <c r="D10" s="19" t="s">
        <v>38</v>
      </c>
      <c r="E10" s="19" t="s">
        <v>170</v>
      </c>
      <c r="F10" s="19" t="s">
        <v>48</v>
      </c>
      <c r="G10" s="257"/>
      <c r="H10" s="94"/>
      <c r="I10" s="94"/>
      <c r="J10" s="94"/>
      <c r="K10" s="94"/>
      <c r="L10" s="94"/>
      <c r="M10" s="94"/>
      <c r="N10" s="94"/>
      <c r="O10" s="95"/>
      <c r="P10" s="94"/>
      <c r="Q10" s="55"/>
      <c r="R10" s="55"/>
    </row>
    <row r="11" spans="1:92" ht="15" customHeight="1" x14ac:dyDescent="0.3">
      <c r="A11" s="19" t="s">
        <v>36</v>
      </c>
      <c r="B11" s="19" t="s">
        <v>37</v>
      </c>
      <c r="C11" s="20" t="s">
        <v>154</v>
      </c>
      <c r="D11" s="19" t="s">
        <v>41</v>
      </c>
      <c r="E11" s="19" t="s">
        <v>169</v>
      </c>
      <c r="F11" s="19" t="s">
        <v>43</v>
      </c>
      <c r="G11" s="257"/>
      <c r="H11" s="94"/>
      <c r="I11" s="94"/>
      <c r="J11" s="94"/>
      <c r="K11" s="94"/>
      <c r="L11" s="94"/>
      <c r="M11" s="94"/>
      <c r="N11" s="94"/>
      <c r="O11" s="95"/>
      <c r="P11" s="94"/>
      <c r="Q11" s="55"/>
      <c r="R11" s="55"/>
    </row>
    <row r="12" spans="1:92" ht="15" customHeight="1" x14ac:dyDescent="0.3">
      <c r="A12" s="19" t="s">
        <v>26</v>
      </c>
      <c r="B12" s="19" t="s">
        <v>27</v>
      </c>
      <c r="C12" s="20" t="s">
        <v>153</v>
      </c>
      <c r="D12" s="19" t="s">
        <v>31</v>
      </c>
      <c r="E12" s="19" t="s">
        <v>168</v>
      </c>
      <c r="F12" s="19" t="s">
        <v>33</v>
      </c>
      <c r="G12" s="257"/>
      <c r="H12" s="94"/>
      <c r="I12" s="94"/>
      <c r="J12" s="94"/>
      <c r="K12" s="94"/>
      <c r="L12" s="94"/>
      <c r="M12" s="94"/>
      <c r="N12" s="94"/>
      <c r="O12" s="95"/>
      <c r="P12" s="94"/>
      <c r="Q12" s="55"/>
      <c r="R12" s="55"/>
    </row>
    <row r="13" spans="1:92" ht="15" customHeight="1" x14ac:dyDescent="0.3">
      <c r="A13" s="19" t="s">
        <v>36</v>
      </c>
      <c r="B13" s="19" t="s">
        <v>46</v>
      </c>
      <c r="C13" s="20" t="s">
        <v>155</v>
      </c>
      <c r="D13" s="19" t="s">
        <v>41</v>
      </c>
      <c r="E13" s="19" t="s">
        <v>170</v>
      </c>
      <c r="F13" s="19" t="s">
        <v>50</v>
      </c>
      <c r="G13" s="257"/>
      <c r="H13" s="94"/>
      <c r="I13" s="94"/>
      <c r="J13" s="94"/>
      <c r="K13" s="94"/>
      <c r="L13" s="94"/>
      <c r="M13" s="94"/>
      <c r="N13" s="94"/>
      <c r="O13" s="95"/>
      <c r="P13" s="94"/>
      <c r="Q13" s="55"/>
      <c r="R13" s="55"/>
    </row>
    <row r="14" spans="1:92" ht="15" customHeight="1" x14ac:dyDescent="0.3">
      <c r="A14" s="19" t="s">
        <v>36</v>
      </c>
      <c r="B14" s="19" t="s">
        <v>37</v>
      </c>
      <c r="C14" s="20" t="s">
        <v>154</v>
      </c>
      <c r="D14" s="19" t="s">
        <v>44</v>
      </c>
      <c r="E14" s="19" t="s">
        <v>169</v>
      </c>
      <c r="F14" s="19" t="s">
        <v>45</v>
      </c>
      <c r="G14" s="257"/>
      <c r="H14" s="94"/>
      <c r="I14" s="94"/>
      <c r="J14" s="94"/>
      <c r="K14" s="94"/>
      <c r="L14" s="94"/>
      <c r="M14" s="94"/>
      <c r="N14" s="94"/>
      <c r="O14" s="95"/>
      <c r="P14" s="94"/>
      <c r="Q14" s="55"/>
      <c r="R14" s="55"/>
    </row>
    <row r="15" spans="1:92" ht="15" customHeight="1" x14ac:dyDescent="0.3">
      <c r="A15" s="19" t="s">
        <v>36</v>
      </c>
      <c r="B15" s="19" t="s">
        <v>46</v>
      </c>
      <c r="C15" s="20" t="s">
        <v>155</v>
      </c>
      <c r="D15" s="19" t="s">
        <v>44</v>
      </c>
      <c r="E15" s="19" t="s">
        <v>170</v>
      </c>
      <c r="F15" s="19" t="s">
        <v>51</v>
      </c>
      <c r="G15" s="257"/>
      <c r="H15" s="94"/>
      <c r="I15" s="94"/>
      <c r="J15" s="94"/>
      <c r="K15" s="94"/>
      <c r="L15" s="94"/>
      <c r="M15" s="94"/>
      <c r="N15" s="94"/>
      <c r="O15" s="95"/>
      <c r="P15" s="94"/>
      <c r="Q15" s="55"/>
      <c r="R15" s="55"/>
    </row>
    <row r="16" spans="1:92" ht="15" customHeight="1" x14ac:dyDescent="0.3">
      <c r="A16" s="19" t="s">
        <v>26</v>
      </c>
      <c r="B16" s="19" t="s">
        <v>27</v>
      </c>
      <c r="C16" s="20" t="s">
        <v>153</v>
      </c>
      <c r="D16" s="19" t="s">
        <v>34</v>
      </c>
      <c r="E16" s="19" t="s">
        <v>168</v>
      </c>
      <c r="F16" s="19" t="s">
        <v>35</v>
      </c>
      <c r="G16" s="257"/>
      <c r="H16" s="94"/>
      <c r="I16" s="94"/>
      <c r="J16" s="94"/>
      <c r="K16" s="94"/>
      <c r="L16" s="94"/>
      <c r="M16" s="94"/>
      <c r="N16" s="94"/>
      <c r="O16" s="95"/>
      <c r="P16" s="94"/>
      <c r="Q16" s="55"/>
      <c r="R16" s="55"/>
    </row>
    <row r="17" spans="1:18" ht="15" customHeight="1" thickBot="1" x14ac:dyDescent="0.35">
      <c r="A17" s="39" t="s">
        <v>52</v>
      </c>
      <c r="B17" s="39" t="s">
        <v>53</v>
      </c>
      <c r="C17" s="40" t="s">
        <v>156</v>
      </c>
      <c r="D17" s="39" t="s">
        <v>54</v>
      </c>
      <c r="E17" s="39" t="s">
        <v>171</v>
      </c>
      <c r="F17" s="39" t="s">
        <v>56</v>
      </c>
      <c r="G17" s="258"/>
      <c r="H17" s="96"/>
      <c r="I17" s="96"/>
      <c r="J17" s="96"/>
      <c r="K17" s="96"/>
      <c r="L17" s="96"/>
      <c r="M17" s="96"/>
      <c r="N17" s="96"/>
      <c r="O17" s="97"/>
      <c r="P17" s="96"/>
      <c r="Q17" s="98"/>
      <c r="R17" s="98"/>
    </row>
    <row r="18" spans="1:18" ht="17.399999999999999" customHeight="1" thickBot="1" x14ac:dyDescent="0.35">
      <c r="A18" s="285"/>
      <c r="B18" s="286"/>
      <c r="C18" s="286"/>
      <c r="D18" s="286"/>
      <c r="E18" s="286"/>
      <c r="F18" s="286"/>
      <c r="G18" s="286"/>
      <c r="H18" s="286"/>
      <c r="I18" s="286"/>
      <c r="J18" s="286"/>
      <c r="K18" s="286"/>
      <c r="L18" s="286"/>
      <c r="M18" s="286"/>
      <c r="N18" s="286"/>
      <c r="O18" s="286"/>
      <c r="P18" s="286"/>
      <c r="Q18" s="286"/>
      <c r="R18" s="287"/>
    </row>
    <row r="19" spans="1:18" ht="22.05" customHeight="1" thickTop="1" thickBot="1" x14ac:dyDescent="0.35">
      <c r="A19" s="259" t="s">
        <v>6</v>
      </c>
      <c r="B19" s="251"/>
      <c r="C19" s="251"/>
      <c r="D19" s="251"/>
      <c r="E19" s="251"/>
      <c r="F19" s="252"/>
      <c r="G19" s="31">
        <v>45982</v>
      </c>
      <c r="H19" s="250" t="s">
        <v>7</v>
      </c>
      <c r="I19" s="251"/>
      <c r="J19" s="251"/>
      <c r="K19" s="251"/>
      <c r="L19" s="251"/>
      <c r="M19" s="251"/>
      <c r="N19" s="251"/>
      <c r="O19" s="251"/>
      <c r="P19" s="251"/>
      <c r="Q19" s="251"/>
      <c r="R19" s="252"/>
    </row>
    <row r="20" spans="1:18" ht="24" customHeight="1" x14ac:dyDescent="0.3">
      <c r="A20" s="32" t="s">
        <v>8</v>
      </c>
      <c r="B20" s="32" t="s">
        <v>9</v>
      </c>
      <c r="C20" s="33" t="s">
        <v>10</v>
      </c>
      <c r="D20" s="32" t="s">
        <v>11</v>
      </c>
      <c r="E20" s="32" t="s">
        <v>12</v>
      </c>
      <c r="F20" s="34" t="s">
        <v>13</v>
      </c>
      <c r="G20" s="35" t="s">
        <v>14</v>
      </c>
      <c r="H20" s="32" t="s">
        <v>15</v>
      </c>
      <c r="I20" s="36" t="s">
        <v>16</v>
      </c>
      <c r="J20" s="37" t="s">
        <v>17</v>
      </c>
      <c r="K20" s="38" t="s">
        <v>18</v>
      </c>
      <c r="L20" s="37" t="s">
        <v>19</v>
      </c>
      <c r="M20" s="37" t="s">
        <v>20</v>
      </c>
      <c r="N20" s="37" t="s">
        <v>21</v>
      </c>
      <c r="O20" s="32" t="s">
        <v>22</v>
      </c>
      <c r="P20" s="33" t="s">
        <v>23</v>
      </c>
      <c r="Q20" s="37" t="s">
        <v>24</v>
      </c>
      <c r="R20" s="32" t="s">
        <v>25</v>
      </c>
    </row>
    <row r="21" spans="1:18" ht="15" customHeight="1" x14ac:dyDescent="0.3">
      <c r="A21" s="8" t="s">
        <v>68</v>
      </c>
      <c r="B21" s="8" t="s">
        <v>172</v>
      </c>
      <c r="C21" s="9">
        <v>0.3576388888888889</v>
      </c>
      <c r="D21" s="8" t="s">
        <v>70</v>
      </c>
      <c r="E21" s="8" t="s">
        <v>29</v>
      </c>
      <c r="F21" s="8" t="s">
        <v>173</v>
      </c>
      <c r="G21" s="256"/>
      <c r="H21" s="10"/>
      <c r="I21" s="11"/>
      <c r="J21" s="11"/>
      <c r="K21" s="11"/>
      <c r="L21" s="11"/>
      <c r="M21" s="11"/>
      <c r="N21" s="11"/>
      <c r="O21" s="12"/>
      <c r="P21" s="11"/>
      <c r="Q21" s="13"/>
      <c r="R21" s="14"/>
    </row>
    <row r="22" spans="1:18" ht="18" x14ac:dyDescent="0.3">
      <c r="A22" s="268" t="s">
        <v>167</v>
      </c>
      <c r="B22" s="269"/>
      <c r="C22" s="269"/>
      <c r="D22" s="269"/>
      <c r="E22" s="269"/>
      <c r="F22" s="270"/>
      <c r="G22" s="257"/>
      <c r="H22" s="94"/>
      <c r="I22" s="94"/>
      <c r="J22" s="94"/>
      <c r="K22" s="94"/>
      <c r="L22" s="94"/>
      <c r="M22" s="94"/>
      <c r="N22" s="94"/>
      <c r="O22" s="95"/>
      <c r="P22" s="94"/>
      <c r="Q22" s="55"/>
      <c r="R22" s="55"/>
    </row>
    <row r="23" spans="1:18" ht="15" customHeight="1" x14ac:dyDescent="0.3">
      <c r="A23" s="19" t="s">
        <v>26</v>
      </c>
      <c r="B23" s="19" t="s">
        <v>27</v>
      </c>
      <c r="C23" s="20" t="s">
        <v>153</v>
      </c>
      <c r="D23" s="19" t="s">
        <v>28</v>
      </c>
      <c r="E23" s="19" t="s">
        <v>170</v>
      </c>
      <c r="F23" s="19" t="s">
        <v>30</v>
      </c>
      <c r="G23" s="257"/>
      <c r="H23" s="94"/>
      <c r="I23" s="94"/>
      <c r="J23" s="94"/>
      <c r="K23" s="94"/>
      <c r="L23" s="94"/>
      <c r="M23" s="94"/>
      <c r="N23" s="94"/>
      <c r="O23" s="95"/>
      <c r="P23" s="94"/>
      <c r="Q23" s="55"/>
      <c r="R23" s="55"/>
    </row>
    <row r="24" spans="1:18" ht="15" customHeight="1" x14ac:dyDescent="0.3">
      <c r="A24" s="19" t="s">
        <v>36</v>
      </c>
      <c r="B24" s="19" t="s">
        <v>46</v>
      </c>
      <c r="C24" s="20" t="s">
        <v>155</v>
      </c>
      <c r="D24" s="19" t="s">
        <v>38</v>
      </c>
      <c r="E24" s="19" t="s">
        <v>174</v>
      </c>
      <c r="F24" s="19" t="s">
        <v>40</v>
      </c>
      <c r="G24" s="257"/>
      <c r="H24" s="94"/>
      <c r="I24" s="94"/>
      <c r="J24" s="94"/>
      <c r="K24" s="94"/>
      <c r="L24" s="94"/>
      <c r="M24" s="94"/>
      <c r="N24" s="94"/>
      <c r="O24" s="95"/>
      <c r="P24" s="94"/>
      <c r="Q24" s="55"/>
      <c r="R24" s="55"/>
    </row>
    <row r="25" spans="1:18" ht="15" customHeight="1" x14ac:dyDescent="0.3">
      <c r="A25" s="19" t="s">
        <v>36</v>
      </c>
      <c r="B25" s="19" t="s">
        <v>46</v>
      </c>
      <c r="C25" s="20" t="s">
        <v>155</v>
      </c>
      <c r="D25" s="19" t="s">
        <v>41</v>
      </c>
      <c r="E25" s="19" t="s">
        <v>174</v>
      </c>
      <c r="F25" s="19" t="s">
        <v>43</v>
      </c>
      <c r="G25" s="257"/>
      <c r="H25" s="94"/>
      <c r="I25" s="94"/>
      <c r="J25" s="94"/>
      <c r="K25" s="94"/>
      <c r="L25" s="94"/>
      <c r="M25" s="94"/>
      <c r="N25" s="94"/>
      <c r="O25" s="95"/>
      <c r="P25" s="94"/>
      <c r="Q25" s="55"/>
      <c r="R25" s="55"/>
    </row>
    <row r="26" spans="1:18" ht="15" customHeight="1" x14ac:dyDescent="0.3">
      <c r="A26" s="19" t="s">
        <v>26</v>
      </c>
      <c r="B26" s="19" t="s">
        <v>27</v>
      </c>
      <c r="C26" s="20" t="s">
        <v>153</v>
      </c>
      <c r="D26" s="19" t="s">
        <v>31</v>
      </c>
      <c r="E26" s="19" t="s">
        <v>170</v>
      </c>
      <c r="F26" s="19" t="s">
        <v>33</v>
      </c>
      <c r="G26" s="257"/>
      <c r="H26" s="94"/>
      <c r="I26" s="94"/>
      <c r="J26" s="94"/>
      <c r="K26" s="94"/>
      <c r="L26" s="94"/>
      <c r="M26" s="94"/>
      <c r="N26" s="94"/>
      <c r="O26" s="95"/>
      <c r="P26" s="94"/>
      <c r="Q26" s="55"/>
      <c r="R26" s="55"/>
    </row>
    <row r="27" spans="1:18" ht="15" customHeight="1" x14ac:dyDescent="0.3">
      <c r="A27" s="19" t="s">
        <v>68</v>
      </c>
      <c r="B27" s="19" t="s">
        <v>83</v>
      </c>
      <c r="C27" s="20" t="s">
        <v>175</v>
      </c>
      <c r="D27" s="19" t="s">
        <v>70</v>
      </c>
      <c r="E27" s="19" t="s">
        <v>171</v>
      </c>
      <c r="F27" s="19" t="s">
        <v>84</v>
      </c>
      <c r="G27" s="257"/>
      <c r="H27" s="94"/>
      <c r="I27" s="94"/>
      <c r="J27" s="94"/>
      <c r="K27" s="94"/>
      <c r="L27" s="94"/>
      <c r="M27" s="94"/>
      <c r="N27" s="94"/>
      <c r="O27" s="95"/>
      <c r="P27" s="94"/>
      <c r="Q27" s="55"/>
      <c r="R27" s="55"/>
    </row>
    <row r="28" spans="1:18" ht="15" customHeight="1" x14ac:dyDescent="0.3">
      <c r="A28" s="19" t="s">
        <v>68</v>
      </c>
      <c r="B28" s="19" t="s">
        <v>85</v>
      </c>
      <c r="C28" s="20" t="s">
        <v>176</v>
      </c>
      <c r="D28" s="19" t="s">
        <v>70</v>
      </c>
      <c r="E28" s="19" t="s">
        <v>171</v>
      </c>
      <c r="F28" s="19" t="s">
        <v>84</v>
      </c>
      <c r="G28" s="257"/>
      <c r="H28" s="94"/>
      <c r="I28" s="94"/>
      <c r="J28" s="94"/>
      <c r="K28" s="94"/>
      <c r="L28" s="94"/>
      <c r="M28" s="94"/>
      <c r="N28" s="94"/>
      <c r="O28" s="95"/>
      <c r="P28" s="94"/>
      <c r="Q28" s="55"/>
      <c r="R28" s="55"/>
    </row>
    <row r="29" spans="1:18" ht="15" customHeight="1" x14ac:dyDescent="0.3">
      <c r="A29" s="19" t="s">
        <v>36</v>
      </c>
      <c r="B29" s="19" t="s">
        <v>46</v>
      </c>
      <c r="C29" s="20" t="s">
        <v>155</v>
      </c>
      <c r="D29" s="19" t="s">
        <v>44</v>
      </c>
      <c r="E29" s="19" t="s">
        <v>174</v>
      </c>
      <c r="F29" s="19" t="s">
        <v>45</v>
      </c>
      <c r="G29" s="257"/>
      <c r="H29" s="94"/>
      <c r="I29" s="94"/>
      <c r="J29" s="94"/>
      <c r="K29" s="94"/>
      <c r="L29" s="94"/>
      <c r="M29" s="94"/>
      <c r="N29" s="94"/>
      <c r="O29" s="95"/>
      <c r="P29" s="94"/>
      <c r="Q29" s="55"/>
      <c r="R29" s="55"/>
    </row>
    <row r="30" spans="1:18" ht="15" customHeight="1" x14ac:dyDescent="0.3">
      <c r="A30" s="19" t="s">
        <v>26</v>
      </c>
      <c r="B30" s="19" t="s">
        <v>27</v>
      </c>
      <c r="C30" s="20" t="s">
        <v>153</v>
      </c>
      <c r="D30" s="19" t="s">
        <v>34</v>
      </c>
      <c r="E30" s="19" t="s">
        <v>170</v>
      </c>
      <c r="F30" s="19" t="s">
        <v>35</v>
      </c>
      <c r="G30" s="257"/>
      <c r="H30" s="94"/>
      <c r="I30" s="94"/>
      <c r="J30" s="94"/>
      <c r="K30" s="94"/>
      <c r="L30" s="94"/>
      <c r="M30" s="94"/>
      <c r="N30" s="94"/>
      <c r="O30" s="95"/>
      <c r="P30" s="94"/>
      <c r="Q30" s="55"/>
      <c r="R30" s="55"/>
    </row>
    <row r="31" spans="1:18" ht="15" customHeight="1" x14ac:dyDescent="0.3">
      <c r="A31" s="19" t="s">
        <v>52</v>
      </c>
      <c r="B31" s="19" t="s">
        <v>65</v>
      </c>
      <c r="C31" s="20" t="s">
        <v>158</v>
      </c>
      <c r="D31" s="19" t="s">
        <v>54</v>
      </c>
      <c r="E31" s="19" t="s">
        <v>171</v>
      </c>
      <c r="F31" s="19" t="s">
        <v>56</v>
      </c>
      <c r="G31" s="257"/>
      <c r="H31" s="94"/>
      <c r="I31" s="94"/>
      <c r="J31" s="94"/>
      <c r="K31" s="94"/>
      <c r="L31" s="94"/>
      <c r="M31" s="94"/>
      <c r="N31" s="94"/>
      <c r="O31" s="95"/>
      <c r="P31" s="94"/>
      <c r="Q31" s="55"/>
      <c r="R31" s="55"/>
    </row>
    <row r="32" spans="1:18" ht="15" customHeight="1" thickBot="1" x14ac:dyDescent="0.35">
      <c r="A32" s="39" t="s">
        <v>52</v>
      </c>
      <c r="B32" s="39" t="s">
        <v>65</v>
      </c>
      <c r="C32" s="40" t="s">
        <v>158</v>
      </c>
      <c r="D32" s="39" t="s">
        <v>57</v>
      </c>
      <c r="E32" s="39" t="s">
        <v>171</v>
      </c>
      <c r="F32" s="39" t="s">
        <v>59</v>
      </c>
      <c r="G32" s="258"/>
      <c r="H32" s="96"/>
      <c r="I32" s="96"/>
      <c r="J32" s="96"/>
      <c r="K32" s="96"/>
      <c r="L32" s="96"/>
      <c r="M32" s="96"/>
      <c r="N32" s="96"/>
      <c r="O32" s="97"/>
      <c r="P32" s="96"/>
      <c r="Q32" s="98"/>
      <c r="R32" s="98"/>
    </row>
    <row r="33" spans="1:18" ht="17.399999999999999" customHeight="1" thickBot="1" x14ac:dyDescent="0.35">
      <c r="A33" s="285"/>
      <c r="B33" s="286"/>
      <c r="C33" s="286"/>
      <c r="D33" s="286"/>
      <c r="E33" s="286"/>
      <c r="F33" s="286"/>
      <c r="G33" s="286"/>
      <c r="H33" s="286"/>
      <c r="I33" s="286"/>
      <c r="J33" s="286"/>
      <c r="K33" s="286"/>
      <c r="L33" s="286"/>
      <c r="M33" s="286"/>
      <c r="N33" s="286"/>
      <c r="O33" s="286"/>
      <c r="P33" s="286"/>
      <c r="Q33" s="286"/>
      <c r="R33" s="287"/>
    </row>
    <row r="34" spans="1:18" ht="15" thickTop="1" x14ac:dyDescent="0.3"/>
  </sheetData>
  <mergeCells count="17">
    <mergeCell ref="H1:L1"/>
    <mergeCell ref="A1:E1"/>
    <mergeCell ref="G2:J2"/>
    <mergeCell ref="K2:R2"/>
    <mergeCell ref="A4:F4"/>
    <mergeCell ref="H4:R4"/>
    <mergeCell ref="N1:R1"/>
    <mergeCell ref="A2:F2"/>
    <mergeCell ref="A3:R3"/>
    <mergeCell ref="G6:G17"/>
    <mergeCell ref="A19:F19"/>
    <mergeCell ref="A33:R33"/>
    <mergeCell ref="G21:G32"/>
    <mergeCell ref="A22:F22"/>
    <mergeCell ref="H19:R19"/>
    <mergeCell ref="A7:F7"/>
    <mergeCell ref="A18:R1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3"/>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9.1093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5" width="3.88671875" style="272" bestFit="1" customWidth="1"/>
    <col min="26" max="26" width="4.109375" style="272" bestFit="1" customWidth="1"/>
    <col min="27" max="32" width="3.88671875" style="272" bestFit="1" customWidth="1"/>
    <col min="33" max="33" width="4.21875" style="272" bestFit="1" customWidth="1"/>
    <col min="34" max="34" width="3.88671875" style="272" bestFit="1" customWidth="1"/>
    <col min="35" max="35" width="4.21875" style="272" bestFit="1" customWidth="1"/>
    <col min="36"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135</v>
      </c>
      <c r="B2" s="274">
        <v>45981</v>
      </c>
      <c r="C2" s="275" t="s">
        <v>163</v>
      </c>
      <c r="D2" s="276" t="s">
        <v>177</v>
      </c>
      <c r="E2" s="275" t="s">
        <v>160</v>
      </c>
      <c r="F2" s="275" t="s">
        <v>137</v>
      </c>
      <c r="G2" s="277">
        <v>0.98329999999999995</v>
      </c>
      <c r="H2" s="278">
        <v>180</v>
      </c>
      <c r="I2" s="278">
        <v>177</v>
      </c>
      <c r="J2" s="278">
        <v>135</v>
      </c>
      <c r="K2" s="275" t="s">
        <v>138</v>
      </c>
      <c r="L2" s="279" t="s">
        <v>164</v>
      </c>
      <c r="M2" s="278">
        <v>0</v>
      </c>
      <c r="N2" s="278">
        <v>0</v>
      </c>
      <c r="O2" s="278">
        <v>50</v>
      </c>
      <c r="P2" s="275" t="s">
        <v>165</v>
      </c>
      <c r="Q2" s="271"/>
      <c r="R2" s="271"/>
      <c r="S2" s="271"/>
      <c r="T2" s="271"/>
      <c r="U2" s="278" t="s">
        <v>178</v>
      </c>
      <c r="V2" s="271"/>
      <c r="W2" s="271"/>
      <c r="X2" s="278" t="s">
        <v>179</v>
      </c>
      <c r="Y2" s="271"/>
      <c r="Z2" s="278" t="s">
        <v>180</v>
      </c>
      <c r="AA2" s="271"/>
      <c r="AB2" s="271"/>
      <c r="AC2" s="278" t="s">
        <v>181</v>
      </c>
      <c r="AD2" s="271"/>
      <c r="AE2" s="278" t="s">
        <v>182</v>
      </c>
      <c r="AF2" s="278" t="s">
        <v>143</v>
      </c>
      <c r="AG2" s="278" t="s">
        <v>148</v>
      </c>
      <c r="AH2" s="271"/>
      <c r="AI2" s="278" t="s">
        <v>183</v>
      </c>
      <c r="AJ2" s="271"/>
    </row>
    <row r="3" spans="1:36" ht="21" x14ac:dyDescent="0.3">
      <c r="A3" s="280" t="s">
        <v>943</v>
      </c>
      <c r="B3" s="281"/>
      <c r="C3" s="280">
        <f>SUBTOTAL(103,HBE_MED_LF_LEGACY[Flt])</f>
        <v>1</v>
      </c>
      <c r="D3" s="280"/>
      <c r="E3" s="280">
        <f>SUBTOTAL(103,HBE_MED_LF_LEGACY[Brd-Off])</f>
        <v>1</v>
      </c>
      <c r="F3" s="280"/>
      <c r="G3" s="282">
        <f>SUBTOTAL(101,HBE_MED_LF_LEGACY[LF%])</f>
        <v>0.98329999999999995</v>
      </c>
      <c r="H3" s="283">
        <f>SUBTOTAL(109,HBE_MED_LF_LEGACY[CAP])</f>
        <v>180</v>
      </c>
      <c r="I3" s="283">
        <f>SUBTOTAL(109,HBE_MED_LF_LEGACY[BKG(Y)])</f>
        <v>177</v>
      </c>
      <c r="J3" s="283">
        <f>SUBTOTAL(109,HBE_MED_LF_LEGACY[GRP(Y)])</f>
        <v>135</v>
      </c>
      <c r="K3" s="280"/>
      <c r="L3" s="281"/>
      <c r="M3" s="283">
        <f>SUBTOTAL(109,HBE_MED_LF_LEGACY[TO-DAY])</f>
        <v>0</v>
      </c>
      <c r="N3" s="283">
        <f>SUBTOTAL(109,HBE_MED_LF_LEGACY[Y-DAY])</f>
        <v>0</v>
      </c>
      <c r="O3" s="283">
        <f>SUBTOTAL(109,HBE_MED_LF_LEGACY[WEEKLY])</f>
        <v>50</v>
      </c>
      <c r="P3" s="284"/>
      <c r="Q3" s="283">
        <f>SUBTOTAL(109,HBE_MED_LF_LEGACY[Y])</f>
        <v>0</v>
      </c>
      <c r="R3" s="283">
        <f>SUBTOTAL(109,HBE_MED_LF_LEGACY[B])</f>
        <v>0</v>
      </c>
      <c r="S3" s="283">
        <f>SUBTOTAL(109,HBE_MED_LF_LEGACY[M])</f>
        <v>0</v>
      </c>
      <c r="T3" s="283">
        <f>SUBTOTAL(109,HBE_MED_LF_LEGACY[H])</f>
        <v>0</v>
      </c>
      <c r="U3" s="283">
        <f>SUBTOTAL(109,HBE_MED_LF_LEGACY[Q])</f>
        <v>0</v>
      </c>
      <c r="V3" s="283">
        <f>SUBTOTAL(109,HBE_MED_LF_LEGACY[K])</f>
        <v>0</v>
      </c>
      <c r="W3" s="283">
        <f>SUBTOTAL(109,HBE_MED_LF_LEGACY[V])</f>
        <v>0</v>
      </c>
      <c r="X3" s="283">
        <f>SUBTOTAL(109,HBE_MED_LF_LEGACY[L])</f>
        <v>0</v>
      </c>
      <c r="Y3" s="283">
        <f>SUBTOTAL(109,HBE_MED_LF_LEGACY[G])</f>
        <v>0</v>
      </c>
      <c r="Z3" s="283">
        <f>SUBTOTAL(109,HBE_MED_LF_LEGACY[S])</f>
        <v>0</v>
      </c>
      <c r="AA3" s="283">
        <f>SUBTOTAL(109,HBE_MED_LF_LEGACY[W])</f>
        <v>0</v>
      </c>
      <c r="AB3" s="283">
        <f>SUBTOTAL(109,HBE_MED_LF_LEGACY[T])</f>
        <v>0</v>
      </c>
      <c r="AC3" s="283">
        <f>SUBTOTAL(109,HBE_MED_LF_LEGACY[X])</f>
        <v>0</v>
      </c>
      <c r="AD3" s="283">
        <f>SUBTOTAL(109,HBE_MED_LF_LEGACY[U])</f>
        <v>0</v>
      </c>
      <c r="AE3" s="283">
        <f>SUBTOTAL(109,HBE_MED_LF_LEGACY[O])</f>
        <v>0</v>
      </c>
      <c r="AF3" s="283">
        <f>SUBTOTAL(109,HBE_MED_LF_LEGACY[I])</f>
        <v>0</v>
      </c>
      <c r="AG3" s="283">
        <f>SUBTOTAL(109,HBE_MED_LF_LEGACY[E])</f>
        <v>0</v>
      </c>
      <c r="AH3" s="283">
        <f>SUBTOTAL(109,HBE_MED_LF_LEGACY[A])</f>
        <v>0</v>
      </c>
      <c r="AI3" s="283">
        <f>SUBTOTAL(109,HBE_MED_LF_LEGACY[P])</f>
        <v>0</v>
      </c>
      <c r="AJ3" s="283">
        <f>SUBTOTAL(103,HBE_MED_LF_LEGACY[N])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6"/>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84.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99" t="s">
        <v>152</v>
      </c>
      <c r="B2" s="77" t="s">
        <v>73</v>
      </c>
      <c r="C2" s="78" t="s">
        <v>161</v>
      </c>
      <c r="D2" s="77" t="s">
        <v>160</v>
      </c>
      <c r="E2" s="77" t="s">
        <v>177</v>
      </c>
      <c r="F2" s="77" t="s">
        <v>100</v>
      </c>
      <c r="G2" s="80">
        <v>2</v>
      </c>
      <c r="H2" s="81" t="s">
        <v>162</v>
      </c>
    </row>
    <row r="3" spans="1:8" ht="19.8" customHeight="1" x14ac:dyDescent="0.3">
      <c r="A3" s="100"/>
      <c r="B3" s="101"/>
      <c r="C3" s="101"/>
      <c r="D3" s="101"/>
      <c r="E3" s="101"/>
      <c r="F3" s="102" t="s">
        <v>184</v>
      </c>
      <c r="G3" s="101"/>
      <c r="H3" s="103"/>
    </row>
    <row r="4" spans="1:8" ht="19.8" customHeight="1" x14ac:dyDescent="0.3">
      <c r="A4" s="68">
        <v>45981</v>
      </c>
      <c r="B4" s="60" t="s">
        <v>26</v>
      </c>
      <c r="C4" s="61" t="s">
        <v>27</v>
      </c>
      <c r="D4" s="60" t="s">
        <v>1</v>
      </c>
      <c r="E4" s="69">
        <v>1.229166666666667</v>
      </c>
      <c r="F4" s="60" t="s">
        <v>28</v>
      </c>
      <c r="G4" s="62">
        <v>7</v>
      </c>
      <c r="H4" s="63" t="s">
        <v>30</v>
      </c>
    </row>
    <row r="5" spans="1:8" ht="19.8" customHeight="1" x14ac:dyDescent="0.3">
      <c r="A5" s="68">
        <v>45981</v>
      </c>
      <c r="B5" s="60" t="s">
        <v>36</v>
      </c>
      <c r="C5" s="61" t="s">
        <v>37</v>
      </c>
      <c r="D5" s="60" t="s">
        <v>1</v>
      </c>
      <c r="E5" s="69">
        <v>1.4340277777777779</v>
      </c>
      <c r="F5" s="60" t="s">
        <v>38</v>
      </c>
      <c r="G5" s="62">
        <v>9</v>
      </c>
      <c r="H5" s="63" t="s">
        <v>40</v>
      </c>
    </row>
    <row r="6" spans="1:8" ht="19.8" customHeight="1" x14ac:dyDescent="0.3">
      <c r="A6" s="68">
        <v>45981</v>
      </c>
      <c r="B6" s="60" t="s">
        <v>36</v>
      </c>
      <c r="C6" s="61" t="s">
        <v>46</v>
      </c>
      <c r="D6" s="60" t="s">
        <v>1</v>
      </c>
      <c r="E6" s="69">
        <v>1.6076388888888891</v>
      </c>
      <c r="F6" s="60" t="s">
        <v>38</v>
      </c>
      <c r="G6" s="62">
        <v>6</v>
      </c>
      <c r="H6" s="63" t="s">
        <v>48</v>
      </c>
    </row>
    <row r="7" spans="1:8" ht="19.8" customHeight="1" x14ac:dyDescent="0.3">
      <c r="A7" s="68">
        <v>45981</v>
      </c>
      <c r="B7" s="60" t="s">
        <v>36</v>
      </c>
      <c r="C7" s="61" t="s">
        <v>37</v>
      </c>
      <c r="D7" s="60" t="s">
        <v>1</v>
      </c>
      <c r="E7" s="69">
        <v>1.4340277777777779</v>
      </c>
      <c r="F7" s="60" t="s">
        <v>41</v>
      </c>
      <c r="G7" s="62">
        <v>9</v>
      </c>
      <c r="H7" s="63" t="s">
        <v>43</v>
      </c>
    </row>
    <row r="8" spans="1:8" ht="19.8" customHeight="1" x14ac:dyDescent="0.3">
      <c r="A8" s="68">
        <v>45981</v>
      </c>
      <c r="B8" s="60" t="s">
        <v>26</v>
      </c>
      <c r="C8" s="61" t="s">
        <v>27</v>
      </c>
      <c r="D8" s="60" t="s">
        <v>1</v>
      </c>
      <c r="E8" s="69">
        <v>1.229166666666667</v>
      </c>
      <c r="F8" s="60" t="s">
        <v>31</v>
      </c>
      <c r="G8" s="62">
        <v>7</v>
      </c>
      <c r="H8" s="63" t="s">
        <v>33</v>
      </c>
    </row>
    <row r="9" spans="1:8" ht="19.8" customHeight="1" x14ac:dyDescent="0.3">
      <c r="A9" s="68">
        <v>45981</v>
      </c>
      <c r="B9" s="60" t="s">
        <v>36</v>
      </c>
      <c r="C9" s="61" t="s">
        <v>46</v>
      </c>
      <c r="D9" s="60" t="s">
        <v>1</v>
      </c>
      <c r="E9" s="69">
        <v>1.6076388888888891</v>
      </c>
      <c r="F9" s="60" t="s">
        <v>41</v>
      </c>
      <c r="G9" s="62">
        <v>6</v>
      </c>
      <c r="H9" s="63" t="s">
        <v>50</v>
      </c>
    </row>
    <row r="10" spans="1:8" ht="19.8" customHeight="1" x14ac:dyDescent="0.3">
      <c r="A10" s="68">
        <v>45981</v>
      </c>
      <c r="B10" s="60" t="s">
        <v>36</v>
      </c>
      <c r="C10" s="61" t="s">
        <v>37</v>
      </c>
      <c r="D10" s="60" t="s">
        <v>1</v>
      </c>
      <c r="E10" s="69">
        <v>1.4340277777777779</v>
      </c>
      <c r="F10" s="60" t="s">
        <v>44</v>
      </c>
      <c r="G10" s="62">
        <v>9</v>
      </c>
      <c r="H10" s="63" t="s">
        <v>45</v>
      </c>
    </row>
    <row r="11" spans="1:8" ht="19.8" customHeight="1" x14ac:dyDescent="0.3">
      <c r="A11" s="68">
        <v>45981</v>
      </c>
      <c r="B11" s="60" t="s">
        <v>36</v>
      </c>
      <c r="C11" s="61" t="s">
        <v>46</v>
      </c>
      <c r="D11" s="60" t="s">
        <v>1</v>
      </c>
      <c r="E11" s="69">
        <v>1.6076388888888891</v>
      </c>
      <c r="F11" s="60" t="s">
        <v>44</v>
      </c>
      <c r="G11" s="62">
        <v>6</v>
      </c>
      <c r="H11" s="63" t="s">
        <v>51</v>
      </c>
    </row>
    <row r="12" spans="1:8" ht="19.8" customHeight="1" x14ac:dyDescent="0.3">
      <c r="A12" s="68">
        <v>45981</v>
      </c>
      <c r="B12" s="60" t="s">
        <v>26</v>
      </c>
      <c r="C12" s="61" t="s">
        <v>27</v>
      </c>
      <c r="D12" s="60" t="s">
        <v>1</v>
      </c>
      <c r="E12" s="69">
        <v>1.229166666666667</v>
      </c>
      <c r="F12" s="60" t="s">
        <v>34</v>
      </c>
      <c r="G12" s="62">
        <v>7</v>
      </c>
      <c r="H12" s="63" t="s">
        <v>35</v>
      </c>
    </row>
    <row r="13" spans="1:8" ht="19.8" customHeight="1" x14ac:dyDescent="0.3">
      <c r="A13" s="70">
        <v>45981</v>
      </c>
      <c r="B13" s="71" t="s">
        <v>52</v>
      </c>
      <c r="C13" s="72" t="s">
        <v>53</v>
      </c>
      <c r="D13" s="71" t="s">
        <v>1</v>
      </c>
      <c r="E13" s="73">
        <v>1.1840277777777779</v>
      </c>
      <c r="F13" s="71" t="s">
        <v>54</v>
      </c>
      <c r="G13" s="74">
        <v>9</v>
      </c>
      <c r="H13" s="75" t="s">
        <v>56</v>
      </c>
    </row>
    <row r="14" spans="1:8" ht="19.8" customHeight="1" x14ac:dyDescent="0.3">
      <c r="A14" s="68">
        <v>45982</v>
      </c>
      <c r="B14" s="60" t="s">
        <v>68</v>
      </c>
      <c r="C14" s="61" t="s">
        <v>172</v>
      </c>
      <c r="D14" s="60" t="s">
        <v>160</v>
      </c>
      <c r="E14" s="69">
        <v>1.3576388888888891</v>
      </c>
      <c r="F14" s="60" t="s">
        <v>70</v>
      </c>
      <c r="G14" s="62">
        <v>7</v>
      </c>
      <c r="H14" s="63" t="s">
        <v>173</v>
      </c>
    </row>
    <row r="15" spans="1:8" ht="19.8" customHeight="1" x14ac:dyDescent="0.3">
      <c r="A15" s="100"/>
      <c r="B15" s="101"/>
      <c r="C15" s="101"/>
      <c r="D15" s="101"/>
      <c r="E15" s="101"/>
      <c r="F15" s="102" t="s">
        <v>184</v>
      </c>
      <c r="G15" s="101"/>
      <c r="H15" s="103"/>
    </row>
    <row r="16" spans="1:8" ht="19.8" customHeight="1" x14ac:dyDescent="0.3">
      <c r="A16" s="68">
        <v>45982</v>
      </c>
      <c r="B16" s="60" t="s">
        <v>26</v>
      </c>
      <c r="C16" s="61" t="s">
        <v>27</v>
      </c>
      <c r="D16" s="60" t="s">
        <v>1</v>
      </c>
      <c r="E16" s="69">
        <v>1.229166666666667</v>
      </c>
      <c r="F16" s="60" t="s">
        <v>28</v>
      </c>
      <c r="G16" s="62">
        <v>6</v>
      </c>
      <c r="H16" s="63" t="s">
        <v>30</v>
      </c>
    </row>
    <row r="17" spans="1:8" ht="19.8" customHeight="1" x14ac:dyDescent="0.3">
      <c r="A17" s="68">
        <v>45982</v>
      </c>
      <c r="B17" s="60" t="s">
        <v>36</v>
      </c>
      <c r="C17" s="61" t="s">
        <v>46</v>
      </c>
      <c r="D17" s="60" t="s">
        <v>1</v>
      </c>
      <c r="E17" s="69">
        <v>1.6076388888888891</v>
      </c>
      <c r="F17" s="60" t="s">
        <v>38</v>
      </c>
      <c r="G17" s="62">
        <v>1</v>
      </c>
      <c r="H17" s="63" t="s">
        <v>40</v>
      </c>
    </row>
    <row r="18" spans="1:8" ht="19.8" customHeight="1" x14ac:dyDescent="0.3">
      <c r="A18" s="68">
        <v>45982</v>
      </c>
      <c r="B18" s="60" t="s">
        <v>36</v>
      </c>
      <c r="C18" s="61" t="s">
        <v>46</v>
      </c>
      <c r="D18" s="60" t="s">
        <v>1</v>
      </c>
      <c r="E18" s="69">
        <v>1.6076388888888891</v>
      </c>
      <c r="F18" s="60" t="s">
        <v>41</v>
      </c>
      <c r="G18" s="62">
        <v>1</v>
      </c>
      <c r="H18" s="63" t="s">
        <v>43</v>
      </c>
    </row>
    <row r="19" spans="1:8" ht="19.8" customHeight="1" x14ac:dyDescent="0.3">
      <c r="A19" s="68">
        <v>45982</v>
      </c>
      <c r="B19" s="60" t="s">
        <v>26</v>
      </c>
      <c r="C19" s="61" t="s">
        <v>27</v>
      </c>
      <c r="D19" s="60" t="s">
        <v>1</v>
      </c>
      <c r="E19" s="69">
        <v>1.229166666666667</v>
      </c>
      <c r="F19" s="60" t="s">
        <v>31</v>
      </c>
      <c r="G19" s="62">
        <v>6</v>
      </c>
      <c r="H19" s="63" t="s">
        <v>33</v>
      </c>
    </row>
    <row r="20" spans="1:8" ht="19.8" customHeight="1" x14ac:dyDescent="0.3">
      <c r="A20" s="68">
        <v>45982</v>
      </c>
      <c r="B20" s="60" t="s">
        <v>68</v>
      </c>
      <c r="C20" s="61" t="s">
        <v>83</v>
      </c>
      <c r="D20" s="60" t="s">
        <v>1</v>
      </c>
      <c r="E20" s="69">
        <v>1.9409722222222221</v>
      </c>
      <c r="F20" s="60" t="s">
        <v>70</v>
      </c>
      <c r="G20" s="62">
        <v>9</v>
      </c>
      <c r="H20" s="63" t="s">
        <v>84</v>
      </c>
    </row>
    <row r="21" spans="1:8" ht="19.8" customHeight="1" x14ac:dyDescent="0.3">
      <c r="A21" s="68">
        <v>45982</v>
      </c>
      <c r="B21" s="60" t="s">
        <v>68</v>
      </c>
      <c r="C21" s="61" t="s">
        <v>85</v>
      </c>
      <c r="D21" s="60" t="s">
        <v>1</v>
      </c>
      <c r="E21" s="69">
        <v>1.697916666666667</v>
      </c>
      <c r="F21" s="60" t="s">
        <v>70</v>
      </c>
      <c r="G21" s="62">
        <v>9</v>
      </c>
      <c r="H21" s="63" t="s">
        <v>84</v>
      </c>
    </row>
    <row r="22" spans="1:8" ht="19.8" customHeight="1" x14ac:dyDescent="0.3">
      <c r="A22" s="68">
        <v>45982</v>
      </c>
      <c r="B22" s="60" t="s">
        <v>36</v>
      </c>
      <c r="C22" s="61" t="s">
        <v>46</v>
      </c>
      <c r="D22" s="60" t="s">
        <v>1</v>
      </c>
      <c r="E22" s="69">
        <v>1.6076388888888891</v>
      </c>
      <c r="F22" s="60" t="s">
        <v>44</v>
      </c>
      <c r="G22" s="62">
        <v>1</v>
      </c>
      <c r="H22" s="63" t="s">
        <v>45</v>
      </c>
    </row>
    <row r="23" spans="1:8" ht="19.8" customHeight="1" x14ac:dyDescent="0.3">
      <c r="A23" s="68">
        <v>45982</v>
      </c>
      <c r="B23" s="60" t="s">
        <v>26</v>
      </c>
      <c r="C23" s="61" t="s">
        <v>27</v>
      </c>
      <c r="D23" s="60" t="s">
        <v>1</v>
      </c>
      <c r="E23" s="69">
        <v>1.229166666666667</v>
      </c>
      <c r="F23" s="60" t="s">
        <v>34</v>
      </c>
      <c r="G23" s="62">
        <v>6</v>
      </c>
      <c r="H23" s="63" t="s">
        <v>35</v>
      </c>
    </row>
    <row r="24" spans="1:8" ht="19.8" customHeight="1" x14ac:dyDescent="0.3">
      <c r="A24" s="68">
        <v>45982</v>
      </c>
      <c r="B24" s="60" t="s">
        <v>52</v>
      </c>
      <c r="C24" s="61" t="s">
        <v>65</v>
      </c>
      <c r="D24" s="60" t="s">
        <v>1</v>
      </c>
      <c r="E24" s="69">
        <v>1.895833333333333</v>
      </c>
      <c r="F24" s="60" t="s">
        <v>54</v>
      </c>
      <c r="G24" s="62">
        <v>9</v>
      </c>
      <c r="H24" s="63" t="s">
        <v>56</v>
      </c>
    </row>
    <row r="25" spans="1:8" ht="19.8" customHeight="1" x14ac:dyDescent="0.3">
      <c r="A25" s="70">
        <v>45982</v>
      </c>
      <c r="B25" s="71" t="s">
        <v>52</v>
      </c>
      <c r="C25" s="72" t="s">
        <v>65</v>
      </c>
      <c r="D25" s="71" t="s">
        <v>1</v>
      </c>
      <c r="E25" s="73">
        <v>1.895833333333333</v>
      </c>
      <c r="F25" s="71" t="s">
        <v>57</v>
      </c>
      <c r="G25" s="74">
        <v>9</v>
      </c>
      <c r="H25" s="75" t="s">
        <v>59</v>
      </c>
    </row>
    <row r="26" spans="1:8" ht="19.8" customHeight="1" x14ac:dyDescent="0.3">
      <c r="A26" s="100"/>
      <c r="B26" s="101"/>
      <c r="C26" s="101"/>
      <c r="D26" s="101"/>
      <c r="E26" s="101"/>
      <c r="F26" s="102" t="s">
        <v>184</v>
      </c>
      <c r="G26" s="101"/>
      <c r="H26" s="103"/>
    </row>
    <row r="27" spans="1:8" ht="19.8" customHeight="1" x14ac:dyDescent="0.3">
      <c r="A27" s="68">
        <v>45983</v>
      </c>
      <c r="B27" s="60" t="s">
        <v>26</v>
      </c>
      <c r="C27" s="61" t="s">
        <v>27</v>
      </c>
      <c r="D27" s="60" t="s">
        <v>1</v>
      </c>
      <c r="E27" s="69">
        <v>1.229166666666667</v>
      </c>
      <c r="F27" s="60" t="s">
        <v>28</v>
      </c>
      <c r="G27" s="62">
        <v>15</v>
      </c>
      <c r="H27" s="63" t="s">
        <v>93</v>
      </c>
    </row>
    <row r="28" spans="1:8" ht="19.8" customHeight="1" x14ac:dyDescent="0.3">
      <c r="A28" s="68">
        <v>45983</v>
      </c>
      <c r="B28" s="60" t="s">
        <v>36</v>
      </c>
      <c r="C28" s="61" t="s">
        <v>46</v>
      </c>
      <c r="D28" s="60" t="s">
        <v>1</v>
      </c>
      <c r="E28" s="69">
        <v>1.6076388888888891</v>
      </c>
      <c r="F28" s="60" t="s">
        <v>38</v>
      </c>
      <c r="G28" s="62">
        <v>7</v>
      </c>
      <c r="H28" s="63" t="s">
        <v>48</v>
      </c>
    </row>
    <row r="29" spans="1:8" ht="19.8" customHeight="1" x14ac:dyDescent="0.3">
      <c r="A29" s="68">
        <v>45983</v>
      </c>
      <c r="B29" s="60" t="s">
        <v>36</v>
      </c>
      <c r="C29" s="61" t="s">
        <v>37</v>
      </c>
      <c r="D29" s="60" t="s">
        <v>1</v>
      </c>
      <c r="E29" s="69">
        <v>1.4340277777777779</v>
      </c>
      <c r="F29" s="60" t="s">
        <v>38</v>
      </c>
      <c r="G29" s="62">
        <v>4</v>
      </c>
      <c r="H29" s="63" t="s">
        <v>48</v>
      </c>
    </row>
    <row r="30" spans="1:8" ht="19.8" customHeight="1" x14ac:dyDescent="0.3">
      <c r="A30" s="68">
        <v>45983</v>
      </c>
      <c r="B30" s="60" t="s">
        <v>26</v>
      </c>
      <c r="C30" s="61" t="s">
        <v>27</v>
      </c>
      <c r="D30" s="60" t="s">
        <v>1</v>
      </c>
      <c r="E30" s="69">
        <v>1.229166666666667</v>
      </c>
      <c r="F30" s="60" t="s">
        <v>31</v>
      </c>
      <c r="G30" s="62">
        <v>15</v>
      </c>
      <c r="H30" s="63" t="s">
        <v>95</v>
      </c>
    </row>
    <row r="31" spans="1:8" ht="19.8" customHeight="1" x14ac:dyDescent="0.3">
      <c r="A31" s="68">
        <v>45983</v>
      </c>
      <c r="B31" s="60" t="s">
        <v>36</v>
      </c>
      <c r="C31" s="61" t="s">
        <v>46</v>
      </c>
      <c r="D31" s="60" t="s">
        <v>1</v>
      </c>
      <c r="E31" s="69">
        <v>1.6076388888888891</v>
      </c>
      <c r="F31" s="60" t="s">
        <v>41</v>
      </c>
      <c r="G31" s="62">
        <v>7</v>
      </c>
      <c r="H31" s="63" t="s">
        <v>50</v>
      </c>
    </row>
    <row r="32" spans="1:8" ht="19.8" customHeight="1" x14ac:dyDescent="0.3">
      <c r="A32" s="68">
        <v>45983</v>
      </c>
      <c r="B32" s="60" t="s">
        <v>36</v>
      </c>
      <c r="C32" s="61" t="s">
        <v>37</v>
      </c>
      <c r="D32" s="60" t="s">
        <v>1</v>
      </c>
      <c r="E32" s="69">
        <v>1.4340277777777779</v>
      </c>
      <c r="F32" s="60" t="s">
        <v>41</v>
      </c>
      <c r="G32" s="62">
        <v>4</v>
      </c>
      <c r="H32" s="63" t="s">
        <v>50</v>
      </c>
    </row>
    <row r="33" spans="1:8" ht="19.8" customHeight="1" x14ac:dyDescent="0.3">
      <c r="A33" s="68">
        <v>45983</v>
      </c>
      <c r="B33" s="60" t="s">
        <v>68</v>
      </c>
      <c r="C33" s="61" t="s">
        <v>88</v>
      </c>
      <c r="D33" s="60" t="s">
        <v>1</v>
      </c>
      <c r="E33" s="69">
        <v>1.336805555555556</v>
      </c>
      <c r="F33" s="60" t="s">
        <v>70</v>
      </c>
      <c r="G33" s="62">
        <v>9</v>
      </c>
      <c r="H33" s="63" t="s">
        <v>84</v>
      </c>
    </row>
    <row r="34" spans="1:8" ht="19.8" customHeight="1" x14ac:dyDescent="0.3">
      <c r="A34" s="68">
        <v>45983</v>
      </c>
      <c r="B34" s="60" t="s">
        <v>68</v>
      </c>
      <c r="C34" s="61" t="s">
        <v>83</v>
      </c>
      <c r="D34" s="60" t="s">
        <v>1</v>
      </c>
      <c r="E34" s="69">
        <v>1.947916666666667</v>
      </c>
      <c r="F34" s="60" t="s">
        <v>70</v>
      </c>
      <c r="G34" s="62">
        <v>9</v>
      </c>
      <c r="H34" s="63" t="s">
        <v>84</v>
      </c>
    </row>
    <row r="35" spans="1:8" ht="19.8" customHeight="1" x14ac:dyDescent="0.3">
      <c r="A35" s="68">
        <v>45983</v>
      </c>
      <c r="B35" s="60" t="s">
        <v>68</v>
      </c>
      <c r="C35" s="61" t="s">
        <v>90</v>
      </c>
      <c r="D35" s="60" t="s">
        <v>1</v>
      </c>
      <c r="E35" s="69">
        <v>1.0659722222222221</v>
      </c>
      <c r="F35" s="60" t="s">
        <v>70</v>
      </c>
      <c r="G35" s="62">
        <v>9</v>
      </c>
      <c r="H35" s="63" t="s">
        <v>84</v>
      </c>
    </row>
    <row r="36" spans="1:8" ht="19.8" customHeight="1" x14ac:dyDescent="0.3">
      <c r="A36" s="70">
        <v>45983</v>
      </c>
      <c r="B36" s="71" t="s">
        <v>36</v>
      </c>
      <c r="C36" s="72" t="s">
        <v>46</v>
      </c>
      <c r="D36" s="71" t="s">
        <v>1</v>
      </c>
      <c r="E36" s="73">
        <v>1.6076388888888891</v>
      </c>
      <c r="F36" s="71" t="s">
        <v>44</v>
      </c>
      <c r="G36" s="74">
        <v>7</v>
      </c>
      <c r="H36" s="75" t="s">
        <v>51</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6"/>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84.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99" t="s">
        <v>152</v>
      </c>
      <c r="B2" s="77" t="s">
        <v>73</v>
      </c>
      <c r="C2" s="78" t="s">
        <v>161</v>
      </c>
      <c r="D2" s="77" t="s">
        <v>160</v>
      </c>
      <c r="E2" s="77" t="s">
        <v>177</v>
      </c>
      <c r="F2" s="77" t="s">
        <v>100</v>
      </c>
      <c r="G2" s="80">
        <v>2</v>
      </c>
      <c r="H2" s="81" t="s">
        <v>162</v>
      </c>
    </row>
    <row r="3" spans="1:8" ht="19.8" customHeight="1" x14ac:dyDescent="0.3">
      <c r="A3" s="100"/>
      <c r="B3" s="101"/>
      <c r="C3" s="101"/>
      <c r="D3" s="101"/>
      <c r="E3" s="101"/>
      <c r="F3" s="102" t="s">
        <v>184</v>
      </c>
      <c r="G3" s="101"/>
      <c r="H3" s="103"/>
    </row>
    <row r="4" spans="1:8" ht="19.8" customHeight="1" x14ac:dyDescent="0.3">
      <c r="A4" s="68">
        <v>45981</v>
      </c>
      <c r="B4" s="60" t="s">
        <v>26</v>
      </c>
      <c r="C4" s="61" t="s">
        <v>27</v>
      </c>
      <c r="D4" s="60" t="s">
        <v>1</v>
      </c>
      <c r="E4" s="69">
        <v>1.229166666666667</v>
      </c>
      <c r="F4" s="60" t="s">
        <v>28</v>
      </c>
      <c r="G4" s="62">
        <v>7</v>
      </c>
      <c r="H4" s="63" t="s">
        <v>30</v>
      </c>
    </row>
    <row r="5" spans="1:8" ht="19.8" customHeight="1" x14ac:dyDescent="0.3">
      <c r="A5" s="68">
        <v>45981</v>
      </c>
      <c r="B5" s="60" t="s">
        <v>36</v>
      </c>
      <c r="C5" s="61" t="s">
        <v>37</v>
      </c>
      <c r="D5" s="60" t="s">
        <v>1</v>
      </c>
      <c r="E5" s="69">
        <v>1.4340277777777779</v>
      </c>
      <c r="F5" s="60" t="s">
        <v>38</v>
      </c>
      <c r="G5" s="62">
        <v>9</v>
      </c>
      <c r="H5" s="63" t="s">
        <v>40</v>
      </c>
    </row>
    <row r="6" spans="1:8" ht="19.8" customHeight="1" x14ac:dyDescent="0.3">
      <c r="A6" s="68">
        <v>45981</v>
      </c>
      <c r="B6" s="60" t="s">
        <v>36</v>
      </c>
      <c r="C6" s="61" t="s">
        <v>46</v>
      </c>
      <c r="D6" s="60" t="s">
        <v>1</v>
      </c>
      <c r="E6" s="69">
        <v>1.6076388888888891</v>
      </c>
      <c r="F6" s="60" t="s">
        <v>38</v>
      </c>
      <c r="G6" s="62">
        <v>6</v>
      </c>
      <c r="H6" s="63" t="s">
        <v>48</v>
      </c>
    </row>
    <row r="7" spans="1:8" ht="19.8" customHeight="1" x14ac:dyDescent="0.3">
      <c r="A7" s="68">
        <v>45981</v>
      </c>
      <c r="B7" s="60" t="s">
        <v>36</v>
      </c>
      <c r="C7" s="61" t="s">
        <v>37</v>
      </c>
      <c r="D7" s="60" t="s">
        <v>1</v>
      </c>
      <c r="E7" s="69">
        <v>1.4340277777777779</v>
      </c>
      <c r="F7" s="60" t="s">
        <v>41</v>
      </c>
      <c r="G7" s="62">
        <v>9</v>
      </c>
      <c r="H7" s="63" t="s">
        <v>43</v>
      </c>
    </row>
    <row r="8" spans="1:8" ht="19.8" customHeight="1" x14ac:dyDescent="0.3">
      <c r="A8" s="68">
        <v>45981</v>
      </c>
      <c r="B8" s="60" t="s">
        <v>26</v>
      </c>
      <c r="C8" s="61" t="s">
        <v>27</v>
      </c>
      <c r="D8" s="60" t="s">
        <v>1</v>
      </c>
      <c r="E8" s="69">
        <v>1.229166666666667</v>
      </c>
      <c r="F8" s="60" t="s">
        <v>31</v>
      </c>
      <c r="G8" s="62">
        <v>7</v>
      </c>
      <c r="H8" s="63" t="s">
        <v>33</v>
      </c>
    </row>
    <row r="9" spans="1:8" ht="19.8" customHeight="1" x14ac:dyDescent="0.3">
      <c r="A9" s="68">
        <v>45981</v>
      </c>
      <c r="B9" s="60" t="s">
        <v>36</v>
      </c>
      <c r="C9" s="61" t="s">
        <v>46</v>
      </c>
      <c r="D9" s="60" t="s">
        <v>1</v>
      </c>
      <c r="E9" s="69">
        <v>1.6076388888888891</v>
      </c>
      <c r="F9" s="60" t="s">
        <v>41</v>
      </c>
      <c r="G9" s="62">
        <v>6</v>
      </c>
      <c r="H9" s="63" t="s">
        <v>50</v>
      </c>
    </row>
    <row r="10" spans="1:8" ht="19.8" customHeight="1" x14ac:dyDescent="0.3">
      <c r="A10" s="68">
        <v>45981</v>
      </c>
      <c r="B10" s="60" t="s">
        <v>36</v>
      </c>
      <c r="C10" s="61" t="s">
        <v>37</v>
      </c>
      <c r="D10" s="60" t="s">
        <v>1</v>
      </c>
      <c r="E10" s="69">
        <v>1.4340277777777779</v>
      </c>
      <c r="F10" s="60" t="s">
        <v>44</v>
      </c>
      <c r="G10" s="62">
        <v>9</v>
      </c>
      <c r="H10" s="63" t="s">
        <v>45</v>
      </c>
    </row>
    <row r="11" spans="1:8" ht="19.8" customHeight="1" x14ac:dyDescent="0.3">
      <c r="A11" s="68">
        <v>45981</v>
      </c>
      <c r="B11" s="60" t="s">
        <v>36</v>
      </c>
      <c r="C11" s="61" t="s">
        <v>46</v>
      </c>
      <c r="D11" s="60" t="s">
        <v>1</v>
      </c>
      <c r="E11" s="69">
        <v>1.6076388888888891</v>
      </c>
      <c r="F11" s="60" t="s">
        <v>44</v>
      </c>
      <c r="G11" s="62">
        <v>6</v>
      </c>
      <c r="H11" s="63" t="s">
        <v>51</v>
      </c>
    </row>
    <row r="12" spans="1:8" ht="19.8" customHeight="1" x14ac:dyDescent="0.3">
      <c r="A12" s="68">
        <v>45981</v>
      </c>
      <c r="B12" s="60" t="s">
        <v>26</v>
      </c>
      <c r="C12" s="61" t="s">
        <v>27</v>
      </c>
      <c r="D12" s="60" t="s">
        <v>1</v>
      </c>
      <c r="E12" s="69">
        <v>1.229166666666667</v>
      </c>
      <c r="F12" s="60" t="s">
        <v>34</v>
      </c>
      <c r="G12" s="62">
        <v>7</v>
      </c>
      <c r="H12" s="63" t="s">
        <v>35</v>
      </c>
    </row>
    <row r="13" spans="1:8" ht="19.8" customHeight="1" x14ac:dyDescent="0.3">
      <c r="A13" s="70">
        <v>45981</v>
      </c>
      <c r="B13" s="71" t="s">
        <v>52</v>
      </c>
      <c r="C13" s="72" t="s">
        <v>53</v>
      </c>
      <c r="D13" s="71" t="s">
        <v>1</v>
      </c>
      <c r="E13" s="73">
        <v>1.1840277777777779</v>
      </c>
      <c r="F13" s="71" t="s">
        <v>54</v>
      </c>
      <c r="G13" s="74">
        <v>9</v>
      </c>
      <c r="H13" s="75" t="s">
        <v>56</v>
      </c>
    </row>
    <row r="14" spans="1:8" ht="19.8" customHeight="1" x14ac:dyDescent="0.3">
      <c r="A14" s="68">
        <v>45982</v>
      </c>
      <c r="B14" s="60" t="s">
        <v>68</v>
      </c>
      <c r="C14" s="61" t="s">
        <v>172</v>
      </c>
      <c r="D14" s="60" t="s">
        <v>160</v>
      </c>
      <c r="E14" s="69">
        <v>1.3576388888888891</v>
      </c>
      <c r="F14" s="60" t="s">
        <v>70</v>
      </c>
      <c r="G14" s="62">
        <v>7</v>
      </c>
      <c r="H14" s="63" t="s">
        <v>173</v>
      </c>
    </row>
    <row r="15" spans="1:8" ht="19.8" customHeight="1" x14ac:dyDescent="0.3">
      <c r="A15" s="100"/>
      <c r="B15" s="101"/>
      <c r="C15" s="101"/>
      <c r="D15" s="101"/>
      <c r="E15" s="101"/>
      <c r="F15" s="102" t="s">
        <v>184</v>
      </c>
      <c r="G15" s="101"/>
      <c r="H15" s="103"/>
    </row>
    <row r="16" spans="1:8" ht="19.8" customHeight="1" x14ac:dyDescent="0.3">
      <c r="A16" s="68">
        <v>45982</v>
      </c>
      <c r="B16" s="60" t="s">
        <v>26</v>
      </c>
      <c r="C16" s="61" t="s">
        <v>27</v>
      </c>
      <c r="D16" s="60" t="s">
        <v>1</v>
      </c>
      <c r="E16" s="69">
        <v>1.229166666666667</v>
      </c>
      <c r="F16" s="60" t="s">
        <v>28</v>
      </c>
      <c r="G16" s="62">
        <v>6</v>
      </c>
      <c r="H16" s="63" t="s">
        <v>30</v>
      </c>
    </row>
    <row r="17" spans="1:8" ht="19.8" customHeight="1" x14ac:dyDescent="0.3">
      <c r="A17" s="68">
        <v>45982</v>
      </c>
      <c r="B17" s="60" t="s">
        <v>36</v>
      </c>
      <c r="C17" s="61" t="s">
        <v>46</v>
      </c>
      <c r="D17" s="60" t="s">
        <v>1</v>
      </c>
      <c r="E17" s="69">
        <v>1.6076388888888891</v>
      </c>
      <c r="F17" s="60" t="s">
        <v>38</v>
      </c>
      <c r="G17" s="62">
        <v>1</v>
      </c>
      <c r="H17" s="63" t="s">
        <v>40</v>
      </c>
    </row>
    <row r="18" spans="1:8" ht="19.8" customHeight="1" x14ac:dyDescent="0.3">
      <c r="A18" s="68">
        <v>45982</v>
      </c>
      <c r="B18" s="60" t="s">
        <v>36</v>
      </c>
      <c r="C18" s="61" t="s">
        <v>46</v>
      </c>
      <c r="D18" s="60" t="s">
        <v>1</v>
      </c>
      <c r="E18" s="69">
        <v>1.6076388888888891</v>
      </c>
      <c r="F18" s="60" t="s">
        <v>41</v>
      </c>
      <c r="G18" s="62">
        <v>1</v>
      </c>
      <c r="H18" s="63" t="s">
        <v>43</v>
      </c>
    </row>
    <row r="19" spans="1:8" ht="19.8" customHeight="1" x14ac:dyDescent="0.3">
      <c r="A19" s="68">
        <v>45982</v>
      </c>
      <c r="B19" s="60" t="s">
        <v>26</v>
      </c>
      <c r="C19" s="61" t="s">
        <v>27</v>
      </c>
      <c r="D19" s="60" t="s">
        <v>1</v>
      </c>
      <c r="E19" s="69">
        <v>1.229166666666667</v>
      </c>
      <c r="F19" s="60" t="s">
        <v>31</v>
      </c>
      <c r="G19" s="62">
        <v>6</v>
      </c>
      <c r="H19" s="63" t="s">
        <v>33</v>
      </c>
    </row>
    <row r="20" spans="1:8" ht="19.8" customHeight="1" x14ac:dyDescent="0.3">
      <c r="A20" s="68">
        <v>45982</v>
      </c>
      <c r="B20" s="60" t="s">
        <v>68</v>
      </c>
      <c r="C20" s="61" t="s">
        <v>83</v>
      </c>
      <c r="D20" s="60" t="s">
        <v>1</v>
      </c>
      <c r="E20" s="69">
        <v>1.9409722222222221</v>
      </c>
      <c r="F20" s="60" t="s">
        <v>70</v>
      </c>
      <c r="G20" s="62">
        <v>9</v>
      </c>
      <c r="H20" s="63" t="s">
        <v>84</v>
      </c>
    </row>
    <row r="21" spans="1:8" ht="19.8" customHeight="1" x14ac:dyDescent="0.3">
      <c r="A21" s="68">
        <v>45982</v>
      </c>
      <c r="B21" s="60" t="s">
        <v>68</v>
      </c>
      <c r="C21" s="61" t="s">
        <v>85</v>
      </c>
      <c r="D21" s="60" t="s">
        <v>1</v>
      </c>
      <c r="E21" s="69">
        <v>1.697916666666667</v>
      </c>
      <c r="F21" s="60" t="s">
        <v>70</v>
      </c>
      <c r="G21" s="62">
        <v>9</v>
      </c>
      <c r="H21" s="63" t="s">
        <v>84</v>
      </c>
    </row>
    <row r="22" spans="1:8" ht="19.8" customHeight="1" x14ac:dyDescent="0.3">
      <c r="A22" s="68">
        <v>45982</v>
      </c>
      <c r="B22" s="60" t="s">
        <v>36</v>
      </c>
      <c r="C22" s="61" t="s">
        <v>46</v>
      </c>
      <c r="D22" s="60" t="s">
        <v>1</v>
      </c>
      <c r="E22" s="69">
        <v>1.6076388888888891</v>
      </c>
      <c r="F22" s="60" t="s">
        <v>44</v>
      </c>
      <c r="G22" s="62">
        <v>1</v>
      </c>
      <c r="H22" s="63" t="s">
        <v>45</v>
      </c>
    </row>
    <row r="23" spans="1:8" ht="19.8" customHeight="1" x14ac:dyDescent="0.3">
      <c r="A23" s="68">
        <v>45982</v>
      </c>
      <c r="B23" s="60" t="s">
        <v>26</v>
      </c>
      <c r="C23" s="61" t="s">
        <v>27</v>
      </c>
      <c r="D23" s="60" t="s">
        <v>1</v>
      </c>
      <c r="E23" s="69">
        <v>1.229166666666667</v>
      </c>
      <c r="F23" s="60" t="s">
        <v>34</v>
      </c>
      <c r="G23" s="62">
        <v>6</v>
      </c>
      <c r="H23" s="63" t="s">
        <v>35</v>
      </c>
    </row>
    <row r="24" spans="1:8" ht="19.8" customHeight="1" x14ac:dyDescent="0.3">
      <c r="A24" s="68">
        <v>45982</v>
      </c>
      <c r="B24" s="60" t="s">
        <v>52</v>
      </c>
      <c r="C24" s="61" t="s">
        <v>65</v>
      </c>
      <c r="D24" s="60" t="s">
        <v>1</v>
      </c>
      <c r="E24" s="69">
        <v>1.895833333333333</v>
      </c>
      <c r="F24" s="60" t="s">
        <v>54</v>
      </c>
      <c r="G24" s="62">
        <v>9</v>
      </c>
      <c r="H24" s="63" t="s">
        <v>56</v>
      </c>
    </row>
    <row r="25" spans="1:8" ht="19.8" customHeight="1" x14ac:dyDescent="0.3">
      <c r="A25" s="70">
        <v>45982</v>
      </c>
      <c r="B25" s="71" t="s">
        <v>52</v>
      </c>
      <c r="C25" s="72" t="s">
        <v>65</v>
      </c>
      <c r="D25" s="71" t="s">
        <v>1</v>
      </c>
      <c r="E25" s="73">
        <v>1.895833333333333</v>
      </c>
      <c r="F25" s="71" t="s">
        <v>57</v>
      </c>
      <c r="G25" s="74">
        <v>9</v>
      </c>
      <c r="H25" s="75" t="s">
        <v>59</v>
      </c>
    </row>
    <row r="26" spans="1:8" ht="19.8" customHeight="1" x14ac:dyDescent="0.3">
      <c r="A26" s="100"/>
      <c r="B26" s="101"/>
      <c r="C26" s="101"/>
      <c r="D26" s="101"/>
      <c r="E26" s="101"/>
      <c r="F26" s="102" t="s">
        <v>184</v>
      </c>
      <c r="G26" s="101"/>
      <c r="H26" s="103"/>
    </row>
    <row r="27" spans="1:8" ht="19.8" customHeight="1" x14ac:dyDescent="0.3">
      <c r="A27" s="68">
        <v>45983</v>
      </c>
      <c r="B27" s="60" t="s">
        <v>26</v>
      </c>
      <c r="C27" s="61" t="s">
        <v>27</v>
      </c>
      <c r="D27" s="60" t="s">
        <v>1</v>
      </c>
      <c r="E27" s="69">
        <v>1.229166666666667</v>
      </c>
      <c r="F27" s="60" t="s">
        <v>28</v>
      </c>
      <c r="G27" s="62">
        <v>15</v>
      </c>
      <c r="H27" s="63" t="s">
        <v>93</v>
      </c>
    </row>
    <row r="28" spans="1:8" ht="19.8" customHeight="1" x14ac:dyDescent="0.3">
      <c r="A28" s="68">
        <v>45983</v>
      </c>
      <c r="B28" s="60" t="s">
        <v>36</v>
      </c>
      <c r="C28" s="61" t="s">
        <v>46</v>
      </c>
      <c r="D28" s="60" t="s">
        <v>1</v>
      </c>
      <c r="E28" s="69">
        <v>1.6076388888888891</v>
      </c>
      <c r="F28" s="60" t="s">
        <v>38</v>
      </c>
      <c r="G28" s="62">
        <v>7</v>
      </c>
      <c r="H28" s="63" t="s">
        <v>48</v>
      </c>
    </row>
    <row r="29" spans="1:8" ht="19.8" customHeight="1" x14ac:dyDescent="0.3">
      <c r="A29" s="68">
        <v>45983</v>
      </c>
      <c r="B29" s="60" t="s">
        <v>36</v>
      </c>
      <c r="C29" s="61" t="s">
        <v>37</v>
      </c>
      <c r="D29" s="60" t="s">
        <v>1</v>
      </c>
      <c r="E29" s="69">
        <v>1.4340277777777779</v>
      </c>
      <c r="F29" s="60" t="s">
        <v>38</v>
      </c>
      <c r="G29" s="62">
        <v>4</v>
      </c>
      <c r="H29" s="63" t="s">
        <v>48</v>
      </c>
    </row>
    <row r="30" spans="1:8" ht="19.8" customHeight="1" x14ac:dyDescent="0.3">
      <c r="A30" s="68">
        <v>45983</v>
      </c>
      <c r="B30" s="60" t="s">
        <v>26</v>
      </c>
      <c r="C30" s="61" t="s">
        <v>27</v>
      </c>
      <c r="D30" s="60" t="s">
        <v>1</v>
      </c>
      <c r="E30" s="69">
        <v>1.229166666666667</v>
      </c>
      <c r="F30" s="60" t="s">
        <v>31</v>
      </c>
      <c r="G30" s="62">
        <v>15</v>
      </c>
      <c r="H30" s="63" t="s">
        <v>95</v>
      </c>
    </row>
    <row r="31" spans="1:8" ht="19.8" customHeight="1" x14ac:dyDescent="0.3">
      <c r="A31" s="68">
        <v>45983</v>
      </c>
      <c r="B31" s="60" t="s">
        <v>36</v>
      </c>
      <c r="C31" s="61" t="s">
        <v>46</v>
      </c>
      <c r="D31" s="60" t="s">
        <v>1</v>
      </c>
      <c r="E31" s="69">
        <v>1.6076388888888891</v>
      </c>
      <c r="F31" s="60" t="s">
        <v>41</v>
      </c>
      <c r="G31" s="62">
        <v>7</v>
      </c>
      <c r="H31" s="63" t="s">
        <v>50</v>
      </c>
    </row>
    <row r="32" spans="1:8" ht="19.8" customHeight="1" x14ac:dyDescent="0.3">
      <c r="A32" s="68">
        <v>45983</v>
      </c>
      <c r="B32" s="60" t="s">
        <v>36</v>
      </c>
      <c r="C32" s="61" t="s">
        <v>37</v>
      </c>
      <c r="D32" s="60" t="s">
        <v>1</v>
      </c>
      <c r="E32" s="69">
        <v>1.4340277777777779</v>
      </c>
      <c r="F32" s="60" t="s">
        <v>41</v>
      </c>
      <c r="G32" s="62">
        <v>4</v>
      </c>
      <c r="H32" s="63" t="s">
        <v>50</v>
      </c>
    </row>
    <row r="33" spans="1:8" ht="19.8" customHeight="1" x14ac:dyDescent="0.3">
      <c r="A33" s="68">
        <v>45983</v>
      </c>
      <c r="B33" s="60" t="s">
        <v>68</v>
      </c>
      <c r="C33" s="61" t="s">
        <v>88</v>
      </c>
      <c r="D33" s="60" t="s">
        <v>1</v>
      </c>
      <c r="E33" s="69">
        <v>1.336805555555556</v>
      </c>
      <c r="F33" s="60" t="s">
        <v>70</v>
      </c>
      <c r="G33" s="62">
        <v>9</v>
      </c>
      <c r="H33" s="63" t="s">
        <v>84</v>
      </c>
    </row>
    <row r="34" spans="1:8" ht="19.8" customHeight="1" x14ac:dyDescent="0.3">
      <c r="A34" s="68">
        <v>45983</v>
      </c>
      <c r="B34" s="60" t="s">
        <v>68</v>
      </c>
      <c r="C34" s="61" t="s">
        <v>83</v>
      </c>
      <c r="D34" s="60" t="s">
        <v>1</v>
      </c>
      <c r="E34" s="69">
        <v>1.947916666666667</v>
      </c>
      <c r="F34" s="60" t="s">
        <v>70</v>
      </c>
      <c r="G34" s="62">
        <v>9</v>
      </c>
      <c r="H34" s="63" t="s">
        <v>84</v>
      </c>
    </row>
    <row r="35" spans="1:8" ht="19.8" customHeight="1" x14ac:dyDescent="0.3">
      <c r="A35" s="68">
        <v>45983</v>
      </c>
      <c r="B35" s="60" t="s">
        <v>68</v>
      </c>
      <c r="C35" s="61" t="s">
        <v>90</v>
      </c>
      <c r="D35" s="60" t="s">
        <v>1</v>
      </c>
      <c r="E35" s="69">
        <v>1.0659722222222221</v>
      </c>
      <c r="F35" s="60" t="s">
        <v>70</v>
      </c>
      <c r="G35" s="62">
        <v>9</v>
      </c>
      <c r="H35" s="63" t="s">
        <v>84</v>
      </c>
    </row>
    <row r="36" spans="1:8" ht="19.8" customHeight="1" x14ac:dyDescent="0.3">
      <c r="A36" s="70">
        <v>45983</v>
      </c>
      <c r="B36" s="71" t="s">
        <v>36</v>
      </c>
      <c r="C36" s="72" t="s">
        <v>46</v>
      </c>
      <c r="D36" s="71" t="s">
        <v>1</v>
      </c>
      <c r="E36" s="73">
        <v>1.6076388888888891</v>
      </c>
      <c r="F36" s="71" t="s">
        <v>44</v>
      </c>
      <c r="G36" s="74">
        <v>7</v>
      </c>
      <c r="H36" s="75" t="s">
        <v>51</v>
      </c>
    </row>
  </sheetData>
  <pageMargins left="0.75" right="0.75" top="1" bottom="1" header="0.5" footer="0.5"/>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N17"/>
  <sheetViews>
    <sheetView workbookViewId="0"/>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8.88671875" bestFit="1" customWidth="1"/>
  </cols>
  <sheetData>
    <row r="1" spans="1:92" ht="28.8" customHeight="1" x14ac:dyDescent="0.3">
      <c r="A1" s="261" t="s">
        <v>0</v>
      </c>
      <c r="B1" s="254"/>
      <c r="C1" s="254"/>
      <c r="D1" s="254"/>
      <c r="E1" s="254"/>
      <c r="F1" s="1" t="s">
        <v>185</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45980.430375735072</v>
      </c>
      <c r="H2" s="254"/>
      <c r="I2" s="254"/>
      <c r="J2" s="254"/>
      <c r="K2" s="263">
        <v>45980.430375735392</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45983</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04" t="s">
        <v>73</v>
      </c>
      <c r="B6" s="104" t="s">
        <v>186</v>
      </c>
      <c r="C6" s="105">
        <v>0.80208333333333337</v>
      </c>
      <c r="D6" s="104" t="s">
        <v>100</v>
      </c>
      <c r="E6" s="104" t="s">
        <v>81</v>
      </c>
      <c r="F6" s="104" t="s">
        <v>187</v>
      </c>
      <c r="G6" s="256"/>
      <c r="H6" s="106" t="s">
        <v>188</v>
      </c>
      <c r="I6" s="107">
        <v>0.9</v>
      </c>
      <c r="J6" s="108">
        <v>162</v>
      </c>
      <c r="K6" s="109" t="s">
        <v>103</v>
      </c>
      <c r="L6" s="108">
        <v>19</v>
      </c>
      <c r="M6" s="108">
        <v>0</v>
      </c>
      <c r="N6" s="108">
        <v>3</v>
      </c>
      <c r="O6" s="110" t="s">
        <v>189</v>
      </c>
      <c r="P6" s="111">
        <v>0.80208333333333337</v>
      </c>
      <c r="Q6" s="108">
        <v>180</v>
      </c>
      <c r="R6" s="112" t="s">
        <v>190</v>
      </c>
    </row>
    <row r="7" spans="1:92" ht="18" x14ac:dyDescent="0.3">
      <c r="A7" s="268" t="s">
        <v>167</v>
      </c>
      <c r="B7" s="269"/>
      <c r="C7" s="269"/>
      <c r="D7" s="269"/>
      <c r="E7" s="269"/>
      <c r="F7" s="270"/>
      <c r="G7" s="257"/>
      <c r="H7" s="94"/>
      <c r="I7" s="94"/>
      <c r="J7" s="94"/>
      <c r="K7" s="94"/>
      <c r="L7" s="94"/>
      <c r="M7" s="94"/>
      <c r="N7" s="94"/>
      <c r="O7" s="95"/>
      <c r="P7" s="94"/>
      <c r="Q7" s="55"/>
      <c r="R7" s="55"/>
    </row>
    <row r="8" spans="1:92" ht="15" customHeight="1" x14ac:dyDescent="0.3">
      <c r="A8" s="19" t="s">
        <v>26</v>
      </c>
      <c r="B8" s="19" t="s">
        <v>27</v>
      </c>
      <c r="C8" s="20" t="s">
        <v>153</v>
      </c>
      <c r="D8" s="19" t="s">
        <v>28</v>
      </c>
      <c r="E8" s="19" t="s">
        <v>191</v>
      </c>
      <c r="F8" s="19" t="s">
        <v>93</v>
      </c>
      <c r="G8" s="257"/>
      <c r="H8" s="94"/>
      <c r="I8" s="94"/>
      <c r="J8" s="94"/>
      <c r="K8" s="94"/>
      <c r="L8" s="94"/>
      <c r="M8" s="94"/>
      <c r="N8" s="94"/>
      <c r="O8" s="95"/>
      <c r="P8" s="94"/>
      <c r="Q8" s="55"/>
      <c r="R8" s="55"/>
    </row>
    <row r="9" spans="1:92" ht="15" customHeight="1" x14ac:dyDescent="0.3">
      <c r="A9" s="19" t="s">
        <v>36</v>
      </c>
      <c r="B9" s="19" t="s">
        <v>46</v>
      </c>
      <c r="C9" s="20" t="s">
        <v>155</v>
      </c>
      <c r="D9" s="19" t="s">
        <v>38</v>
      </c>
      <c r="E9" s="19" t="s">
        <v>168</v>
      </c>
      <c r="F9" s="19" t="s">
        <v>48</v>
      </c>
      <c r="G9" s="257"/>
      <c r="H9" s="94"/>
      <c r="I9" s="94"/>
      <c r="J9" s="94"/>
      <c r="K9" s="94"/>
      <c r="L9" s="94"/>
      <c r="M9" s="94"/>
      <c r="N9" s="94"/>
      <c r="O9" s="95"/>
      <c r="P9" s="94"/>
      <c r="Q9" s="55"/>
      <c r="R9" s="55"/>
    </row>
    <row r="10" spans="1:92" ht="15" customHeight="1" x14ac:dyDescent="0.3">
      <c r="A10" s="19" t="s">
        <v>36</v>
      </c>
      <c r="B10" s="19" t="s">
        <v>37</v>
      </c>
      <c r="C10" s="20" t="s">
        <v>154</v>
      </c>
      <c r="D10" s="19" t="s">
        <v>38</v>
      </c>
      <c r="E10" s="19" t="s">
        <v>192</v>
      </c>
      <c r="F10" s="19" t="s">
        <v>48</v>
      </c>
      <c r="G10" s="257"/>
      <c r="H10" s="94"/>
      <c r="I10" s="94"/>
      <c r="J10" s="94"/>
      <c r="K10" s="94"/>
      <c r="L10" s="94"/>
      <c r="M10" s="94"/>
      <c r="N10" s="94"/>
      <c r="O10" s="95"/>
      <c r="P10" s="94"/>
      <c r="Q10" s="55"/>
      <c r="R10" s="55"/>
    </row>
    <row r="11" spans="1:92" ht="15" customHeight="1" x14ac:dyDescent="0.3">
      <c r="A11" s="19" t="s">
        <v>26</v>
      </c>
      <c r="B11" s="19" t="s">
        <v>27</v>
      </c>
      <c r="C11" s="20" t="s">
        <v>153</v>
      </c>
      <c r="D11" s="19" t="s">
        <v>31</v>
      </c>
      <c r="E11" s="19" t="s">
        <v>191</v>
      </c>
      <c r="F11" s="19" t="s">
        <v>95</v>
      </c>
      <c r="G11" s="257"/>
      <c r="H11" s="94"/>
      <c r="I11" s="94"/>
      <c r="J11" s="94"/>
      <c r="K11" s="94"/>
      <c r="L11" s="94"/>
      <c r="M11" s="94"/>
      <c r="N11" s="94"/>
      <c r="O11" s="95"/>
      <c r="P11" s="94"/>
      <c r="Q11" s="55"/>
      <c r="R11" s="55"/>
    </row>
    <row r="12" spans="1:92" ht="15" customHeight="1" x14ac:dyDescent="0.3">
      <c r="A12" s="19" t="s">
        <v>36</v>
      </c>
      <c r="B12" s="19" t="s">
        <v>46</v>
      </c>
      <c r="C12" s="20" t="s">
        <v>155</v>
      </c>
      <c r="D12" s="19" t="s">
        <v>41</v>
      </c>
      <c r="E12" s="19" t="s">
        <v>168</v>
      </c>
      <c r="F12" s="19" t="s">
        <v>50</v>
      </c>
      <c r="G12" s="257"/>
      <c r="H12" s="94"/>
      <c r="I12" s="94"/>
      <c r="J12" s="94"/>
      <c r="K12" s="94"/>
      <c r="L12" s="94"/>
      <c r="M12" s="94"/>
      <c r="N12" s="94"/>
      <c r="O12" s="95"/>
      <c r="P12" s="94"/>
      <c r="Q12" s="55"/>
      <c r="R12" s="55"/>
    </row>
    <row r="13" spans="1:92" ht="15" customHeight="1" x14ac:dyDescent="0.3">
      <c r="A13" s="19" t="s">
        <v>36</v>
      </c>
      <c r="B13" s="19" t="s">
        <v>37</v>
      </c>
      <c r="C13" s="20" t="s">
        <v>154</v>
      </c>
      <c r="D13" s="19" t="s">
        <v>41</v>
      </c>
      <c r="E13" s="19" t="s">
        <v>192</v>
      </c>
      <c r="F13" s="19" t="s">
        <v>50</v>
      </c>
      <c r="G13" s="257"/>
      <c r="H13" s="94"/>
      <c r="I13" s="94"/>
      <c r="J13" s="94"/>
      <c r="K13" s="94"/>
      <c r="L13" s="94"/>
      <c r="M13" s="94"/>
      <c r="N13" s="94"/>
      <c r="O13" s="95"/>
      <c r="P13" s="94"/>
      <c r="Q13" s="55"/>
      <c r="R13" s="55"/>
    </row>
    <row r="14" spans="1:92" ht="15" customHeight="1" x14ac:dyDescent="0.3">
      <c r="A14" s="19" t="s">
        <v>68</v>
      </c>
      <c r="B14" s="19" t="s">
        <v>88</v>
      </c>
      <c r="C14" s="20" t="s">
        <v>193</v>
      </c>
      <c r="D14" s="19" t="s">
        <v>70</v>
      </c>
      <c r="E14" s="19" t="s">
        <v>171</v>
      </c>
      <c r="F14" s="19" t="s">
        <v>84</v>
      </c>
      <c r="G14" s="257"/>
      <c r="H14" s="94"/>
      <c r="I14" s="94"/>
      <c r="J14" s="94"/>
      <c r="K14" s="94"/>
      <c r="L14" s="94"/>
      <c r="M14" s="94"/>
      <c r="N14" s="94"/>
      <c r="O14" s="95"/>
      <c r="P14" s="94"/>
      <c r="Q14" s="55"/>
      <c r="R14" s="55"/>
    </row>
    <row r="15" spans="1:92" ht="15" customHeight="1" x14ac:dyDescent="0.3">
      <c r="A15" s="19" t="s">
        <v>68</v>
      </c>
      <c r="B15" s="19" t="s">
        <v>83</v>
      </c>
      <c r="C15" s="20" t="s">
        <v>194</v>
      </c>
      <c r="D15" s="19" t="s">
        <v>70</v>
      </c>
      <c r="E15" s="19" t="s">
        <v>171</v>
      </c>
      <c r="F15" s="19" t="s">
        <v>84</v>
      </c>
      <c r="G15" s="257"/>
      <c r="H15" s="94"/>
      <c r="I15" s="94"/>
      <c r="J15" s="94"/>
      <c r="K15" s="94"/>
      <c r="L15" s="94"/>
      <c r="M15" s="94"/>
      <c r="N15" s="94"/>
      <c r="O15" s="95"/>
      <c r="P15" s="94"/>
      <c r="Q15" s="55"/>
      <c r="R15" s="55"/>
    </row>
    <row r="16" spans="1:92" ht="15" customHeight="1" x14ac:dyDescent="0.3">
      <c r="A16" s="19" t="s">
        <v>68</v>
      </c>
      <c r="B16" s="19" t="s">
        <v>90</v>
      </c>
      <c r="C16" s="20" t="s">
        <v>195</v>
      </c>
      <c r="D16" s="19" t="s">
        <v>70</v>
      </c>
      <c r="E16" s="19" t="s">
        <v>171</v>
      </c>
      <c r="F16" s="19" t="s">
        <v>84</v>
      </c>
      <c r="G16" s="257"/>
      <c r="H16" s="94"/>
      <c r="I16" s="94"/>
      <c r="J16" s="94"/>
      <c r="K16" s="94"/>
      <c r="L16" s="94"/>
      <c r="M16" s="94"/>
      <c r="N16" s="94"/>
      <c r="O16" s="95"/>
      <c r="P16" s="94"/>
      <c r="Q16" s="55"/>
      <c r="R16" s="55"/>
    </row>
    <row r="17" spans="1:18" ht="15" customHeight="1" x14ac:dyDescent="0.3">
      <c r="A17" s="39" t="s">
        <v>36</v>
      </c>
      <c r="B17" s="39" t="s">
        <v>46</v>
      </c>
      <c r="C17" s="40" t="s">
        <v>155</v>
      </c>
      <c r="D17" s="39" t="s">
        <v>44</v>
      </c>
      <c r="E17" s="39" t="s">
        <v>168</v>
      </c>
      <c r="F17" s="39" t="s">
        <v>51</v>
      </c>
      <c r="G17" s="258"/>
      <c r="H17" s="96"/>
      <c r="I17" s="96"/>
      <c r="J17" s="96"/>
      <c r="K17" s="96"/>
      <c r="L17" s="96"/>
      <c r="M17" s="96"/>
      <c r="N17" s="96"/>
      <c r="O17" s="97"/>
      <c r="P17" s="96"/>
      <c r="Q17" s="98"/>
      <c r="R17" s="98"/>
    </row>
  </sheetData>
  <mergeCells count="11">
    <mergeCell ref="A2:F2"/>
    <mergeCell ref="A3:R3"/>
    <mergeCell ref="G6:G17"/>
    <mergeCell ref="H1:L1"/>
    <mergeCell ref="A1:E1"/>
    <mergeCell ref="G2:J2"/>
    <mergeCell ref="K2:R2"/>
    <mergeCell ref="A4:F4"/>
    <mergeCell ref="H4:R4"/>
    <mergeCell ref="A7:F7"/>
    <mergeCell ref="N1:R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3"/>
  <sheetViews>
    <sheetView workbookViewId="0"/>
  </sheetViews>
  <sheetFormatPr defaultRowHeight="15.6" outlineLevelCol="1" x14ac:dyDescent="0.3"/>
  <cols>
    <col min="1" max="1" width="9.77734375" style="272" bestFit="1" customWidth="1"/>
    <col min="2" max="2" width="10.44140625" style="272" bestFit="1" customWidth="1"/>
    <col min="3" max="3" width="6.77734375" style="272" bestFit="1" customWidth="1"/>
    <col min="4" max="4" width="5.5546875" style="272" bestFit="1" customWidth="1"/>
    <col min="5" max="5" width="8.777343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6" width="3.88671875" style="272" bestFit="1" customWidth="1"/>
    <col min="27" max="27" width="4" style="272" bestFit="1" customWidth="1"/>
    <col min="28" max="28" width="3.88671875" style="272" bestFit="1" customWidth="1"/>
    <col min="29" max="29" width="4.21875" style="272" bestFit="1" customWidth="1"/>
    <col min="30" max="30" width="4.5546875" style="272" bestFit="1" customWidth="1"/>
    <col min="31" max="34" width="3.88671875" style="272" bestFit="1" customWidth="1"/>
    <col min="35" max="35" width="5.21875" style="272" bestFit="1" customWidth="1"/>
    <col min="36"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146</v>
      </c>
      <c r="B2" s="274">
        <v>45983</v>
      </c>
      <c r="C2" s="275" t="s">
        <v>188</v>
      </c>
      <c r="D2" s="276" t="s">
        <v>196</v>
      </c>
      <c r="E2" s="275" t="s">
        <v>185</v>
      </c>
      <c r="F2" s="275" t="s">
        <v>137</v>
      </c>
      <c r="G2" s="277">
        <v>0.9</v>
      </c>
      <c r="H2" s="278">
        <v>180</v>
      </c>
      <c r="I2" s="278">
        <v>162</v>
      </c>
      <c r="J2" s="278">
        <v>105</v>
      </c>
      <c r="K2" s="275" t="s">
        <v>138</v>
      </c>
      <c r="L2" s="279" t="s">
        <v>103</v>
      </c>
      <c r="M2" s="278">
        <v>0</v>
      </c>
      <c r="N2" s="278">
        <v>3</v>
      </c>
      <c r="O2" s="278">
        <v>19</v>
      </c>
      <c r="P2" s="275" t="s">
        <v>189</v>
      </c>
      <c r="Q2" s="271"/>
      <c r="R2" s="271"/>
      <c r="S2" s="271"/>
      <c r="T2" s="271"/>
      <c r="U2" s="271"/>
      <c r="V2" s="271"/>
      <c r="W2" s="271"/>
      <c r="X2" s="271"/>
      <c r="Y2" s="271"/>
      <c r="Z2" s="278" t="s">
        <v>197</v>
      </c>
      <c r="AA2" s="278" t="s">
        <v>198</v>
      </c>
      <c r="AB2" s="278" t="s">
        <v>199</v>
      </c>
      <c r="AC2" s="278" t="s">
        <v>200</v>
      </c>
      <c r="AD2" s="278" t="s">
        <v>141</v>
      </c>
      <c r="AE2" s="278" t="s">
        <v>201</v>
      </c>
      <c r="AF2" s="278" t="s">
        <v>202</v>
      </c>
      <c r="AG2" s="271"/>
      <c r="AH2" s="271"/>
      <c r="AI2" s="278" t="s">
        <v>203</v>
      </c>
      <c r="AJ2" s="271"/>
    </row>
    <row r="3" spans="1:36" ht="21" x14ac:dyDescent="0.3">
      <c r="A3" s="280" t="s">
        <v>943</v>
      </c>
      <c r="B3" s="281"/>
      <c r="C3" s="280">
        <f>SUBTOTAL(103,ATZ_MED_LF_LEGACY[Flt])</f>
        <v>1</v>
      </c>
      <c r="D3" s="280"/>
      <c r="E3" s="280">
        <f>SUBTOTAL(103,ATZ_MED_LF_LEGACY[Brd-Off])</f>
        <v>1</v>
      </c>
      <c r="F3" s="280"/>
      <c r="G3" s="282">
        <f>SUBTOTAL(101,ATZ_MED_LF_LEGACY[LF%])</f>
        <v>0.9</v>
      </c>
      <c r="H3" s="283">
        <f>SUBTOTAL(109,ATZ_MED_LF_LEGACY[CAP])</f>
        <v>180</v>
      </c>
      <c r="I3" s="283">
        <f>SUBTOTAL(109,ATZ_MED_LF_LEGACY[BKG(Y)])</f>
        <v>162</v>
      </c>
      <c r="J3" s="283">
        <f>SUBTOTAL(109,ATZ_MED_LF_LEGACY[GRP(Y)])</f>
        <v>105</v>
      </c>
      <c r="K3" s="280"/>
      <c r="L3" s="281"/>
      <c r="M3" s="283">
        <f>SUBTOTAL(109,ATZ_MED_LF_LEGACY[TO-DAY])</f>
        <v>0</v>
      </c>
      <c r="N3" s="283">
        <f>SUBTOTAL(109,ATZ_MED_LF_LEGACY[Y-DAY])</f>
        <v>3</v>
      </c>
      <c r="O3" s="283">
        <f>SUBTOTAL(109,ATZ_MED_LF_LEGACY[WEEKLY])</f>
        <v>19</v>
      </c>
      <c r="P3" s="284"/>
      <c r="Q3" s="283">
        <f>SUBTOTAL(109,ATZ_MED_LF_LEGACY[Y])</f>
        <v>0</v>
      </c>
      <c r="R3" s="283">
        <f>SUBTOTAL(109,ATZ_MED_LF_LEGACY[B])</f>
        <v>0</v>
      </c>
      <c r="S3" s="283">
        <f>SUBTOTAL(109,ATZ_MED_LF_LEGACY[M])</f>
        <v>0</v>
      </c>
      <c r="T3" s="283">
        <f>SUBTOTAL(109,ATZ_MED_LF_LEGACY[H])</f>
        <v>0</v>
      </c>
      <c r="U3" s="283">
        <f>SUBTOTAL(109,ATZ_MED_LF_LEGACY[Q])</f>
        <v>0</v>
      </c>
      <c r="V3" s="283">
        <f>SUBTOTAL(109,ATZ_MED_LF_LEGACY[K])</f>
        <v>0</v>
      </c>
      <c r="W3" s="283">
        <f>SUBTOTAL(109,ATZ_MED_LF_LEGACY[V])</f>
        <v>0</v>
      </c>
      <c r="X3" s="283">
        <f>SUBTOTAL(109,ATZ_MED_LF_LEGACY[L])</f>
        <v>0</v>
      </c>
      <c r="Y3" s="283">
        <f>SUBTOTAL(109,ATZ_MED_LF_LEGACY[G])</f>
        <v>0</v>
      </c>
      <c r="Z3" s="283">
        <f>SUBTOTAL(109,ATZ_MED_LF_LEGACY[S])</f>
        <v>0</v>
      </c>
      <c r="AA3" s="283">
        <f>SUBTOTAL(109,ATZ_MED_LF_LEGACY[W])</f>
        <v>0</v>
      </c>
      <c r="AB3" s="283">
        <f>SUBTOTAL(109,ATZ_MED_LF_LEGACY[T])</f>
        <v>0</v>
      </c>
      <c r="AC3" s="283">
        <f>SUBTOTAL(109,ATZ_MED_LF_LEGACY[X])</f>
        <v>0</v>
      </c>
      <c r="AD3" s="283">
        <f>SUBTOTAL(109,ATZ_MED_LF_LEGACY[U])</f>
        <v>0</v>
      </c>
      <c r="AE3" s="283">
        <f>SUBTOTAL(109,ATZ_MED_LF_LEGACY[O])</f>
        <v>0</v>
      </c>
      <c r="AF3" s="283">
        <f>SUBTOTAL(109,ATZ_MED_LF_LEGACY[I])</f>
        <v>0</v>
      </c>
      <c r="AG3" s="283">
        <f>SUBTOTAL(109,ATZ_MED_LF_LEGACY[E])</f>
        <v>0</v>
      </c>
      <c r="AH3" s="283">
        <f>SUBTOTAL(109,ATZ_MED_LF_LEGACY[A])</f>
        <v>0</v>
      </c>
      <c r="AI3" s="283">
        <f>SUBTOTAL(109,ATZ_MED_LF_LEGACY[P])</f>
        <v>0</v>
      </c>
      <c r="AJ3" s="283">
        <f>SUBTOTAL(103,ATZ_MED_LF_LEGACY[N])</f>
        <v>0</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83.332031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184</v>
      </c>
      <c r="G2" s="101"/>
      <c r="H2" s="103"/>
    </row>
    <row r="3" spans="1:8" ht="19.8" customHeight="1" x14ac:dyDescent="0.3">
      <c r="A3" s="59" t="s">
        <v>152</v>
      </c>
      <c r="B3" s="60" t="s">
        <v>26</v>
      </c>
      <c r="C3" s="61" t="s">
        <v>27</v>
      </c>
      <c r="D3" s="60" t="s">
        <v>1</v>
      </c>
      <c r="E3" s="60" t="s">
        <v>153</v>
      </c>
      <c r="F3" s="60" t="s">
        <v>28</v>
      </c>
      <c r="G3" s="62">
        <v>7</v>
      </c>
      <c r="H3" s="63" t="s">
        <v>30</v>
      </c>
    </row>
    <row r="4" spans="1:8" ht="19.8" customHeight="1" x14ac:dyDescent="0.3">
      <c r="A4" s="59" t="s">
        <v>152</v>
      </c>
      <c r="B4" s="60" t="s">
        <v>36</v>
      </c>
      <c r="C4" s="61" t="s">
        <v>37</v>
      </c>
      <c r="D4" s="60" t="s">
        <v>1</v>
      </c>
      <c r="E4" s="60" t="s">
        <v>154</v>
      </c>
      <c r="F4" s="60" t="s">
        <v>38</v>
      </c>
      <c r="G4" s="62">
        <v>9</v>
      </c>
      <c r="H4" s="63" t="s">
        <v>40</v>
      </c>
    </row>
    <row r="5" spans="1:8" ht="19.8" customHeight="1" x14ac:dyDescent="0.3">
      <c r="A5" s="59" t="s">
        <v>152</v>
      </c>
      <c r="B5" s="60" t="s">
        <v>36</v>
      </c>
      <c r="C5" s="61" t="s">
        <v>46</v>
      </c>
      <c r="D5" s="60" t="s">
        <v>1</v>
      </c>
      <c r="E5" s="60" t="s">
        <v>155</v>
      </c>
      <c r="F5" s="60" t="s">
        <v>38</v>
      </c>
      <c r="G5" s="62">
        <v>6</v>
      </c>
      <c r="H5" s="63" t="s">
        <v>48</v>
      </c>
    </row>
    <row r="6" spans="1:8" ht="19.8" customHeight="1" x14ac:dyDescent="0.3">
      <c r="A6" s="59" t="s">
        <v>152</v>
      </c>
      <c r="B6" s="60" t="s">
        <v>36</v>
      </c>
      <c r="C6" s="61" t="s">
        <v>37</v>
      </c>
      <c r="D6" s="60" t="s">
        <v>1</v>
      </c>
      <c r="E6" s="60" t="s">
        <v>154</v>
      </c>
      <c r="F6" s="60" t="s">
        <v>41</v>
      </c>
      <c r="G6" s="62">
        <v>9</v>
      </c>
      <c r="H6" s="63" t="s">
        <v>43</v>
      </c>
    </row>
    <row r="7" spans="1:8" ht="19.8" customHeight="1" x14ac:dyDescent="0.3">
      <c r="A7" s="59" t="s">
        <v>152</v>
      </c>
      <c r="B7" s="60" t="s">
        <v>26</v>
      </c>
      <c r="C7" s="61" t="s">
        <v>27</v>
      </c>
      <c r="D7" s="60" t="s">
        <v>1</v>
      </c>
      <c r="E7" s="60" t="s">
        <v>153</v>
      </c>
      <c r="F7" s="60" t="s">
        <v>31</v>
      </c>
      <c r="G7" s="62">
        <v>7</v>
      </c>
      <c r="H7" s="63" t="s">
        <v>33</v>
      </c>
    </row>
    <row r="8" spans="1:8" ht="19.8" customHeight="1" x14ac:dyDescent="0.3">
      <c r="A8" s="59" t="s">
        <v>152</v>
      </c>
      <c r="B8" s="60" t="s">
        <v>36</v>
      </c>
      <c r="C8" s="61" t="s">
        <v>46</v>
      </c>
      <c r="D8" s="60" t="s">
        <v>1</v>
      </c>
      <c r="E8" s="60" t="s">
        <v>155</v>
      </c>
      <c r="F8" s="60" t="s">
        <v>41</v>
      </c>
      <c r="G8" s="62">
        <v>6</v>
      </c>
      <c r="H8" s="63" t="s">
        <v>50</v>
      </c>
    </row>
    <row r="9" spans="1:8" ht="19.8" customHeight="1" x14ac:dyDescent="0.3">
      <c r="A9" s="59" t="s">
        <v>152</v>
      </c>
      <c r="B9" s="60" t="s">
        <v>36</v>
      </c>
      <c r="C9" s="61" t="s">
        <v>37</v>
      </c>
      <c r="D9" s="60" t="s">
        <v>1</v>
      </c>
      <c r="E9" s="60" t="s">
        <v>154</v>
      </c>
      <c r="F9" s="60" t="s">
        <v>44</v>
      </c>
      <c r="G9" s="62">
        <v>9</v>
      </c>
      <c r="H9" s="63" t="s">
        <v>45</v>
      </c>
    </row>
    <row r="10" spans="1:8" ht="19.8" customHeight="1" x14ac:dyDescent="0.3">
      <c r="A10" s="59" t="s">
        <v>152</v>
      </c>
      <c r="B10" s="60" t="s">
        <v>36</v>
      </c>
      <c r="C10" s="61" t="s">
        <v>46</v>
      </c>
      <c r="D10" s="60" t="s">
        <v>1</v>
      </c>
      <c r="E10" s="60" t="s">
        <v>155</v>
      </c>
      <c r="F10" s="60" t="s">
        <v>44</v>
      </c>
      <c r="G10" s="62">
        <v>6</v>
      </c>
      <c r="H10" s="63" t="s">
        <v>51</v>
      </c>
    </row>
    <row r="11" spans="1:8" ht="19.8" customHeight="1" x14ac:dyDescent="0.3">
      <c r="A11" s="59" t="s">
        <v>152</v>
      </c>
      <c r="B11" s="60" t="s">
        <v>26</v>
      </c>
      <c r="C11" s="61" t="s">
        <v>27</v>
      </c>
      <c r="D11" s="60" t="s">
        <v>1</v>
      </c>
      <c r="E11" s="60" t="s">
        <v>153</v>
      </c>
      <c r="F11" s="60" t="s">
        <v>34</v>
      </c>
      <c r="G11" s="62">
        <v>7</v>
      </c>
      <c r="H11" s="63" t="s">
        <v>35</v>
      </c>
    </row>
    <row r="12" spans="1:8" ht="19.8" customHeight="1" x14ac:dyDescent="0.3">
      <c r="A12" s="113" t="s">
        <v>152</v>
      </c>
      <c r="B12" s="71" t="s">
        <v>52</v>
      </c>
      <c r="C12" s="72" t="s">
        <v>53</v>
      </c>
      <c r="D12" s="71" t="s">
        <v>1</v>
      </c>
      <c r="E12" s="71" t="s">
        <v>156</v>
      </c>
      <c r="F12" s="71" t="s">
        <v>54</v>
      </c>
      <c r="G12" s="74">
        <v>9</v>
      </c>
      <c r="H12" s="75" t="s">
        <v>56</v>
      </c>
    </row>
    <row r="13" spans="1:8" ht="19.8" customHeight="1" x14ac:dyDescent="0.3">
      <c r="A13" s="100"/>
      <c r="B13" s="101"/>
      <c r="C13" s="101"/>
      <c r="D13" s="101"/>
      <c r="E13" s="101"/>
      <c r="F13" s="102" t="s">
        <v>184</v>
      </c>
      <c r="G13" s="101"/>
      <c r="H13" s="103"/>
    </row>
    <row r="14" spans="1:8" ht="19.8" customHeight="1" x14ac:dyDescent="0.3">
      <c r="A14" s="59" t="s">
        <v>204</v>
      </c>
      <c r="B14" s="60" t="s">
        <v>26</v>
      </c>
      <c r="C14" s="61" t="s">
        <v>27</v>
      </c>
      <c r="D14" s="60" t="s">
        <v>1</v>
      </c>
      <c r="E14" s="60" t="s">
        <v>153</v>
      </c>
      <c r="F14" s="60" t="s">
        <v>28</v>
      </c>
      <c r="G14" s="62">
        <v>6</v>
      </c>
      <c r="H14" s="63" t="s">
        <v>30</v>
      </c>
    </row>
    <row r="15" spans="1:8" ht="19.8" customHeight="1" x14ac:dyDescent="0.3">
      <c r="A15" s="59" t="s">
        <v>204</v>
      </c>
      <c r="B15" s="60" t="s">
        <v>36</v>
      </c>
      <c r="C15" s="61" t="s">
        <v>46</v>
      </c>
      <c r="D15" s="60" t="s">
        <v>1</v>
      </c>
      <c r="E15" s="60" t="s">
        <v>155</v>
      </c>
      <c r="F15" s="60" t="s">
        <v>38</v>
      </c>
      <c r="G15" s="62">
        <v>1</v>
      </c>
      <c r="H15" s="63" t="s">
        <v>40</v>
      </c>
    </row>
    <row r="16" spans="1:8" ht="19.8" customHeight="1" x14ac:dyDescent="0.3">
      <c r="A16" s="59" t="s">
        <v>204</v>
      </c>
      <c r="B16" s="60" t="s">
        <v>36</v>
      </c>
      <c r="C16" s="61" t="s">
        <v>46</v>
      </c>
      <c r="D16" s="60" t="s">
        <v>1</v>
      </c>
      <c r="E16" s="60" t="s">
        <v>155</v>
      </c>
      <c r="F16" s="60" t="s">
        <v>41</v>
      </c>
      <c r="G16" s="62">
        <v>1</v>
      </c>
      <c r="H16" s="63" t="s">
        <v>43</v>
      </c>
    </row>
    <row r="17" spans="1:8" ht="19.8" customHeight="1" x14ac:dyDescent="0.3">
      <c r="A17" s="59" t="s">
        <v>204</v>
      </c>
      <c r="B17" s="60" t="s">
        <v>26</v>
      </c>
      <c r="C17" s="61" t="s">
        <v>27</v>
      </c>
      <c r="D17" s="60" t="s">
        <v>1</v>
      </c>
      <c r="E17" s="60" t="s">
        <v>153</v>
      </c>
      <c r="F17" s="60" t="s">
        <v>31</v>
      </c>
      <c r="G17" s="62">
        <v>6</v>
      </c>
      <c r="H17" s="63" t="s">
        <v>33</v>
      </c>
    </row>
    <row r="18" spans="1:8" ht="19.8" customHeight="1" x14ac:dyDescent="0.3">
      <c r="A18" s="59" t="s">
        <v>204</v>
      </c>
      <c r="B18" s="60" t="s">
        <v>68</v>
      </c>
      <c r="C18" s="61" t="s">
        <v>83</v>
      </c>
      <c r="D18" s="60" t="s">
        <v>1</v>
      </c>
      <c r="E18" s="60" t="s">
        <v>175</v>
      </c>
      <c r="F18" s="60" t="s">
        <v>70</v>
      </c>
      <c r="G18" s="62">
        <v>9</v>
      </c>
      <c r="H18" s="63" t="s">
        <v>84</v>
      </c>
    </row>
    <row r="19" spans="1:8" ht="19.8" customHeight="1" x14ac:dyDescent="0.3">
      <c r="A19" s="59" t="s">
        <v>204</v>
      </c>
      <c r="B19" s="60" t="s">
        <v>68</v>
      </c>
      <c r="C19" s="61" t="s">
        <v>85</v>
      </c>
      <c r="D19" s="60" t="s">
        <v>1</v>
      </c>
      <c r="E19" s="60" t="s">
        <v>176</v>
      </c>
      <c r="F19" s="60" t="s">
        <v>70</v>
      </c>
      <c r="G19" s="62">
        <v>9</v>
      </c>
      <c r="H19" s="63" t="s">
        <v>84</v>
      </c>
    </row>
    <row r="20" spans="1:8" ht="19.8" customHeight="1" x14ac:dyDescent="0.3">
      <c r="A20" s="59" t="s">
        <v>204</v>
      </c>
      <c r="B20" s="60" t="s">
        <v>36</v>
      </c>
      <c r="C20" s="61" t="s">
        <v>46</v>
      </c>
      <c r="D20" s="60" t="s">
        <v>1</v>
      </c>
      <c r="E20" s="60" t="s">
        <v>155</v>
      </c>
      <c r="F20" s="60" t="s">
        <v>44</v>
      </c>
      <c r="G20" s="62">
        <v>1</v>
      </c>
      <c r="H20" s="63" t="s">
        <v>45</v>
      </c>
    </row>
    <row r="21" spans="1:8" ht="19.8" customHeight="1" x14ac:dyDescent="0.3">
      <c r="A21" s="59" t="s">
        <v>204</v>
      </c>
      <c r="B21" s="60" t="s">
        <v>26</v>
      </c>
      <c r="C21" s="61" t="s">
        <v>27</v>
      </c>
      <c r="D21" s="60" t="s">
        <v>1</v>
      </c>
      <c r="E21" s="60" t="s">
        <v>153</v>
      </c>
      <c r="F21" s="60" t="s">
        <v>34</v>
      </c>
      <c r="G21" s="62">
        <v>6</v>
      </c>
      <c r="H21" s="63" t="s">
        <v>35</v>
      </c>
    </row>
    <row r="22" spans="1:8" ht="19.8" customHeight="1" x14ac:dyDescent="0.3">
      <c r="A22" s="59" t="s">
        <v>204</v>
      </c>
      <c r="B22" s="60" t="s">
        <v>52</v>
      </c>
      <c r="C22" s="61" t="s">
        <v>65</v>
      </c>
      <c r="D22" s="60" t="s">
        <v>1</v>
      </c>
      <c r="E22" s="60" t="s">
        <v>158</v>
      </c>
      <c r="F22" s="60" t="s">
        <v>54</v>
      </c>
      <c r="G22" s="62">
        <v>9</v>
      </c>
      <c r="H22" s="63" t="s">
        <v>56</v>
      </c>
    </row>
    <row r="23" spans="1:8" ht="19.8" customHeight="1" x14ac:dyDescent="0.3">
      <c r="A23" s="113" t="s">
        <v>204</v>
      </c>
      <c r="B23" s="71" t="s">
        <v>52</v>
      </c>
      <c r="C23" s="72" t="s">
        <v>65</v>
      </c>
      <c r="D23" s="71" t="s">
        <v>1</v>
      </c>
      <c r="E23" s="71" t="s">
        <v>158</v>
      </c>
      <c r="F23" s="71" t="s">
        <v>57</v>
      </c>
      <c r="G23" s="74">
        <v>9</v>
      </c>
      <c r="H23" s="75" t="s">
        <v>59</v>
      </c>
    </row>
    <row r="24" spans="1:8" ht="19.8" customHeight="1" x14ac:dyDescent="0.3">
      <c r="A24" s="99" t="s">
        <v>205</v>
      </c>
      <c r="B24" s="77" t="s">
        <v>73</v>
      </c>
      <c r="C24" s="78" t="s">
        <v>186</v>
      </c>
      <c r="D24" s="77" t="s">
        <v>185</v>
      </c>
      <c r="E24" s="77" t="s">
        <v>196</v>
      </c>
      <c r="F24" s="77" t="s">
        <v>100</v>
      </c>
      <c r="G24" s="80">
        <v>1</v>
      </c>
      <c r="H24" s="81" t="s">
        <v>187</v>
      </c>
    </row>
    <row r="25" spans="1:8" ht="19.8" customHeight="1" x14ac:dyDescent="0.3">
      <c r="A25" s="100"/>
      <c r="B25" s="101"/>
      <c r="C25" s="101"/>
      <c r="D25" s="101"/>
      <c r="E25" s="101"/>
      <c r="F25" s="102" t="s">
        <v>184</v>
      </c>
      <c r="G25" s="101"/>
      <c r="H25" s="103"/>
    </row>
    <row r="26" spans="1:8" ht="19.8" customHeight="1" x14ac:dyDescent="0.3">
      <c r="A26" s="68">
        <v>45983</v>
      </c>
      <c r="B26" s="60" t="s">
        <v>26</v>
      </c>
      <c r="C26" s="61" t="s">
        <v>27</v>
      </c>
      <c r="D26" s="60" t="s">
        <v>1</v>
      </c>
      <c r="E26" s="69">
        <v>1.229166666666667</v>
      </c>
      <c r="F26" s="60" t="s">
        <v>28</v>
      </c>
      <c r="G26" s="62">
        <v>15</v>
      </c>
      <c r="H26" s="63" t="s">
        <v>93</v>
      </c>
    </row>
    <row r="27" spans="1:8" ht="19.8" customHeight="1" x14ac:dyDescent="0.3">
      <c r="A27" s="68">
        <v>45983</v>
      </c>
      <c r="B27" s="60" t="s">
        <v>36</v>
      </c>
      <c r="C27" s="61" t="s">
        <v>46</v>
      </c>
      <c r="D27" s="60" t="s">
        <v>1</v>
      </c>
      <c r="E27" s="69">
        <v>1.6076388888888891</v>
      </c>
      <c r="F27" s="60" t="s">
        <v>38</v>
      </c>
      <c r="G27" s="62">
        <v>7</v>
      </c>
      <c r="H27" s="63" t="s">
        <v>48</v>
      </c>
    </row>
    <row r="28" spans="1:8" ht="19.8" customHeight="1" x14ac:dyDescent="0.3">
      <c r="A28" s="68">
        <v>45983</v>
      </c>
      <c r="B28" s="60" t="s">
        <v>36</v>
      </c>
      <c r="C28" s="61" t="s">
        <v>37</v>
      </c>
      <c r="D28" s="60" t="s">
        <v>1</v>
      </c>
      <c r="E28" s="69">
        <v>1.4340277777777779</v>
      </c>
      <c r="F28" s="60" t="s">
        <v>38</v>
      </c>
      <c r="G28" s="62">
        <v>4</v>
      </c>
      <c r="H28" s="63" t="s">
        <v>48</v>
      </c>
    </row>
    <row r="29" spans="1:8" ht="19.8" customHeight="1" x14ac:dyDescent="0.3">
      <c r="A29" s="68">
        <v>45983</v>
      </c>
      <c r="B29" s="60" t="s">
        <v>26</v>
      </c>
      <c r="C29" s="61" t="s">
        <v>27</v>
      </c>
      <c r="D29" s="60" t="s">
        <v>1</v>
      </c>
      <c r="E29" s="69">
        <v>1.229166666666667</v>
      </c>
      <c r="F29" s="60" t="s">
        <v>31</v>
      </c>
      <c r="G29" s="62">
        <v>15</v>
      </c>
      <c r="H29" s="63" t="s">
        <v>95</v>
      </c>
    </row>
    <row r="30" spans="1:8" ht="19.8" customHeight="1" x14ac:dyDescent="0.3">
      <c r="A30" s="68">
        <v>45983</v>
      </c>
      <c r="B30" s="60" t="s">
        <v>36</v>
      </c>
      <c r="C30" s="61" t="s">
        <v>46</v>
      </c>
      <c r="D30" s="60" t="s">
        <v>1</v>
      </c>
      <c r="E30" s="69">
        <v>1.6076388888888891</v>
      </c>
      <c r="F30" s="60" t="s">
        <v>41</v>
      </c>
      <c r="G30" s="62">
        <v>7</v>
      </c>
      <c r="H30" s="63" t="s">
        <v>50</v>
      </c>
    </row>
    <row r="31" spans="1:8" ht="19.8" customHeight="1" x14ac:dyDescent="0.3">
      <c r="A31" s="68">
        <v>45983</v>
      </c>
      <c r="B31" s="60" t="s">
        <v>36</v>
      </c>
      <c r="C31" s="61" t="s">
        <v>37</v>
      </c>
      <c r="D31" s="60" t="s">
        <v>1</v>
      </c>
      <c r="E31" s="69">
        <v>1.4340277777777779</v>
      </c>
      <c r="F31" s="60" t="s">
        <v>41</v>
      </c>
      <c r="G31" s="62">
        <v>4</v>
      </c>
      <c r="H31" s="63" t="s">
        <v>50</v>
      </c>
    </row>
    <row r="32" spans="1:8" ht="19.8" customHeight="1" x14ac:dyDescent="0.3">
      <c r="A32" s="68">
        <v>45983</v>
      </c>
      <c r="B32" s="60" t="s">
        <v>68</v>
      </c>
      <c r="C32" s="61" t="s">
        <v>88</v>
      </c>
      <c r="D32" s="60" t="s">
        <v>1</v>
      </c>
      <c r="E32" s="69">
        <v>1.336805555555556</v>
      </c>
      <c r="F32" s="60" t="s">
        <v>70</v>
      </c>
      <c r="G32" s="62">
        <v>9</v>
      </c>
      <c r="H32" s="63" t="s">
        <v>84</v>
      </c>
    </row>
    <row r="33" spans="1:8" ht="19.8" customHeight="1" x14ac:dyDescent="0.3">
      <c r="A33" s="68">
        <v>45983</v>
      </c>
      <c r="B33" s="60" t="s">
        <v>68</v>
      </c>
      <c r="C33" s="61" t="s">
        <v>83</v>
      </c>
      <c r="D33" s="60" t="s">
        <v>1</v>
      </c>
      <c r="E33" s="69">
        <v>1.947916666666667</v>
      </c>
      <c r="F33" s="60" t="s">
        <v>70</v>
      </c>
      <c r="G33" s="62">
        <v>9</v>
      </c>
      <c r="H33" s="63" t="s">
        <v>84</v>
      </c>
    </row>
    <row r="34" spans="1:8" ht="19.8" customHeight="1" x14ac:dyDescent="0.3">
      <c r="A34" s="68">
        <v>45983</v>
      </c>
      <c r="B34" s="60" t="s">
        <v>68</v>
      </c>
      <c r="C34" s="61" t="s">
        <v>90</v>
      </c>
      <c r="D34" s="60" t="s">
        <v>1</v>
      </c>
      <c r="E34" s="69">
        <v>1.0659722222222221</v>
      </c>
      <c r="F34" s="60" t="s">
        <v>70</v>
      </c>
      <c r="G34" s="62">
        <v>9</v>
      </c>
      <c r="H34" s="63" t="s">
        <v>84</v>
      </c>
    </row>
    <row r="35" spans="1:8" ht="19.8" customHeight="1" x14ac:dyDescent="0.3">
      <c r="A35" s="70">
        <v>45983</v>
      </c>
      <c r="B35" s="71" t="s">
        <v>36</v>
      </c>
      <c r="C35" s="72" t="s">
        <v>46</v>
      </c>
      <c r="D35" s="71" t="s">
        <v>1</v>
      </c>
      <c r="E35" s="73">
        <v>1.6076388888888891</v>
      </c>
      <c r="F35" s="71" t="s">
        <v>44</v>
      </c>
      <c r="G35" s="74">
        <v>7</v>
      </c>
      <c r="H35" s="75" t="s">
        <v>51</v>
      </c>
    </row>
  </sheetData>
  <pageMargins left="0.75" right="0.75" top="1" bottom="1" header="0.5" footer="0.5"/>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83.332031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184</v>
      </c>
      <c r="G2" s="101"/>
      <c r="H2" s="103"/>
    </row>
    <row r="3" spans="1:8" ht="19.8" customHeight="1" x14ac:dyDescent="0.3">
      <c r="A3" s="59" t="s">
        <v>152</v>
      </c>
      <c r="B3" s="60" t="s">
        <v>26</v>
      </c>
      <c r="C3" s="61" t="s">
        <v>27</v>
      </c>
      <c r="D3" s="60" t="s">
        <v>1</v>
      </c>
      <c r="E3" s="60" t="s">
        <v>153</v>
      </c>
      <c r="F3" s="60" t="s">
        <v>28</v>
      </c>
      <c r="G3" s="62">
        <v>7</v>
      </c>
      <c r="H3" s="63" t="s">
        <v>30</v>
      </c>
    </row>
    <row r="4" spans="1:8" ht="19.8" customHeight="1" x14ac:dyDescent="0.3">
      <c r="A4" s="59" t="s">
        <v>152</v>
      </c>
      <c r="B4" s="60" t="s">
        <v>36</v>
      </c>
      <c r="C4" s="61" t="s">
        <v>37</v>
      </c>
      <c r="D4" s="60" t="s">
        <v>1</v>
      </c>
      <c r="E4" s="60" t="s">
        <v>154</v>
      </c>
      <c r="F4" s="60" t="s">
        <v>38</v>
      </c>
      <c r="G4" s="62">
        <v>9</v>
      </c>
      <c r="H4" s="63" t="s">
        <v>40</v>
      </c>
    </row>
    <row r="5" spans="1:8" ht="19.8" customHeight="1" x14ac:dyDescent="0.3">
      <c r="A5" s="59" t="s">
        <v>152</v>
      </c>
      <c r="B5" s="60" t="s">
        <v>36</v>
      </c>
      <c r="C5" s="61" t="s">
        <v>46</v>
      </c>
      <c r="D5" s="60" t="s">
        <v>1</v>
      </c>
      <c r="E5" s="60" t="s">
        <v>155</v>
      </c>
      <c r="F5" s="60" t="s">
        <v>38</v>
      </c>
      <c r="G5" s="62">
        <v>6</v>
      </c>
      <c r="H5" s="63" t="s">
        <v>48</v>
      </c>
    </row>
    <row r="6" spans="1:8" ht="19.8" customHeight="1" x14ac:dyDescent="0.3">
      <c r="A6" s="59" t="s">
        <v>152</v>
      </c>
      <c r="B6" s="60" t="s">
        <v>36</v>
      </c>
      <c r="C6" s="61" t="s">
        <v>37</v>
      </c>
      <c r="D6" s="60" t="s">
        <v>1</v>
      </c>
      <c r="E6" s="60" t="s">
        <v>154</v>
      </c>
      <c r="F6" s="60" t="s">
        <v>41</v>
      </c>
      <c r="G6" s="62">
        <v>9</v>
      </c>
      <c r="H6" s="63" t="s">
        <v>43</v>
      </c>
    </row>
    <row r="7" spans="1:8" ht="19.8" customHeight="1" x14ac:dyDescent="0.3">
      <c r="A7" s="59" t="s">
        <v>152</v>
      </c>
      <c r="B7" s="60" t="s">
        <v>26</v>
      </c>
      <c r="C7" s="61" t="s">
        <v>27</v>
      </c>
      <c r="D7" s="60" t="s">
        <v>1</v>
      </c>
      <c r="E7" s="60" t="s">
        <v>153</v>
      </c>
      <c r="F7" s="60" t="s">
        <v>31</v>
      </c>
      <c r="G7" s="62">
        <v>7</v>
      </c>
      <c r="H7" s="63" t="s">
        <v>33</v>
      </c>
    </row>
    <row r="8" spans="1:8" ht="19.8" customHeight="1" x14ac:dyDescent="0.3">
      <c r="A8" s="59" t="s">
        <v>152</v>
      </c>
      <c r="B8" s="60" t="s">
        <v>36</v>
      </c>
      <c r="C8" s="61" t="s">
        <v>46</v>
      </c>
      <c r="D8" s="60" t="s">
        <v>1</v>
      </c>
      <c r="E8" s="60" t="s">
        <v>155</v>
      </c>
      <c r="F8" s="60" t="s">
        <v>41</v>
      </c>
      <c r="G8" s="62">
        <v>6</v>
      </c>
      <c r="H8" s="63" t="s">
        <v>50</v>
      </c>
    </row>
    <row r="9" spans="1:8" ht="19.8" customHeight="1" x14ac:dyDescent="0.3">
      <c r="A9" s="59" t="s">
        <v>152</v>
      </c>
      <c r="B9" s="60" t="s">
        <v>36</v>
      </c>
      <c r="C9" s="61" t="s">
        <v>37</v>
      </c>
      <c r="D9" s="60" t="s">
        <v>1</v>
      </c>
      <c r="E9" s="60" t="s">
        <v>154</v>
      </c>
      <c r="F9" s="60" t="s">
        <v>44</v>
      </c>
      <c r="G9" s="62">
        <v>9</v>
      </c>
      <c r="H9" s="63" t="s">
        <v>45</v>
      </c>
    </row>
    <row r="10" spans="1:8" ht="19.8" customHeight="1" x14ac:dyDescent="0.3">
      <c r="A10" s="59" t="s">
        <v>152</v>
      </c>
      <c r="B10" s="60" t="s">
        <v>36</v>
      </c>
      <c r="C10" s="61" t="s">
        <v>46</v>
      </c>
      <c r="D10" s="60" t="s">
        <v>1</v>
      </c>
      <c r="E10" s="60" t="s">
        <v>155</v>
      </c>
      <c r="F10" s="60" t="s">
        <v>44</v>
      </c>
      <c r="G10" s="62">
        <v>6</v>
      </c>
      <c r="H10" s="63" t="s">
        <v>51</v>
      </c>
    </row>
    <row r="11" spans="1:8" ht="19.8" customHeight="1" x14ac:dyDescent="0.3">
      <c r="A11" s="59" t="s">
        <v>152</v>
      </c>
      <c r="B11" s="60" t="s">
        <v>26</v>
      </c>
      <c r="C11" s="61" t="s">
        <v>27</v>
      </c>
      <c r="D11" s="60" t="s">
        <v>1</v>
      </c>
      <c r="E11" s="60" t="s">
        <v>153</v>
      </c>
      <c r="F11" s="60" t="s">
        <v>34</v>
      </c>
      <c r="G11" s="62">
        <v>7</v>
      </c>
      <c r="H11" s="63" t="s">
        <v>35</v>
      </c>
    </row>
    <row r="12" spans="1:8" ht="19.8" customHeight="1" x14ac:dyDescent="0.3">
      <c r="A12" s="113" t="s">
        <v>152</v>
      </c>
      <c r="B12" s="71" t="s">
        <v>52</v>
      </c>
      <c r="C12" s="72" t="s">
        <v>53</v>
      </c>
      <c r="D12" s="71" t="s">
        <v>1</v>
      </c>
      <c r="E12" s="71" t="s">
        <v>156</v>
      </c>
      <c r="F12" s="71" t="s">
        <v>54</v>
      </c>
      <c r="G12" s="74">
        <v>9</v>
      </c>
      <c r="H12" s="75" t="s">
        <v>56</v>
      </c>
    </row>
    <row r="13" spans="1:8" ht="19.8" customHeight="1" x14ac:dyDescent="0.3">
      <c r="A13" s="100"/>
      <c r="B13" s="101"/>
      <c r="C13" s="101"/>
      <c r="D13" s="101"/>
      <c r="E13" s="101"/>
      <c r="F13" s="102" t="s">
        <v>184</v>
      </c>
      <c r="G13" s="101"/>
      <c r="H13" s="103"/>
    </row>
    <row r="14" spans="1:8" ht="19.8" customHeight="1" x14ac:dyDescent="0.3">
      <c r="A14" s="59" t="s">
        <v>204</v>
      </c>
      <c r="B14" s="60" t="s">
        <v>26</v>
      </c>
      <c r="C14" s="61" t="s">
        <v>27</v>
      </c>
      <c r="D14" s="60" t="s">
        <v>1</v>
      </c>
      <c r="E14" s="60" t="s">
        <v>153</v>
      </c>
      <c r="F14" s="60" t="s">
        <v>28</v>
      </c>
      <c r="G14" s="62">
        <v>6</v>
      </c>
      <c r="H14" s="63" t="s">
        <v>30</v>
      </c>
    </row>
    <row r="15" spans="1:8" ht="19.8" customHeight="1" x14ac:dyDescent="0.3">
      <c r="A15" s="59" t="s">
        <v>204</v>
      </c>
      <c r="B15" s="60" t="s">
        <v>36</v>
      </c>
      <c r="C15" s="61" t="s">
        <v>46</v>
      </c>
      <c r="D15" s="60" t="s">
        <v>1</v>
      </c>
      <c r="E15" s="60" t="s">
        <v>155</v>
      </c>
      <c r="F15" s="60" t="s">
        <v>38</v>
      </c>
      <c r="G15" s="62">
        <v>1</v>
      </c>
      <c r="H15" s="63" t="s">
        <v>40</v>
      </c>
    </row>
    <row r="16" spans="1:8" ht="19.8" customHeight="1" x14ac:dyDescent="0.3">
      <c r="A16" s="59" t="s">
        <v>204</v>
      </c>
      <c r="B16" s="60" t="s">
        <v>36</v>
      </c>
      <c r="C16" s="61" t="s">
        <v>46</v>
      </c>
      <c r="D16" s="60" t="s">
        <v>1</v>
      </c>
      <c r="E16" s="60" t="s">
        <v>155</v>
      </c>
      <c r="F16" s="60" t="s">
        <v>41</v>
      </c>
      <c r="G16" s="62">
        <v>1</v>
      </c>
      <c r="H16" s="63" t="s">
        <v>43</v>
      </c>
    </row>
    <row r="17" spans="1:8" ht="19.8" customHeight="1" x14ac:dyDescent="0.3">
      <c r="A17" s="59" t="s">
        <v>204</v>
      </c>
      <c r="B17" s="60" t="s">
        <v>26</v>
      </c>
      <c r="C17" s="61" t="s">
        <v>27</v>
      </c>
      <c r="D17" s="60" t="s">
        <v>1</v>
      </c>
      <c r="E17" s="60" t="s">
        <v>153</v>
      </c>
      <c r="F17" s="60" t="s">
        <v>31</v>
      </c>
      <c r="G17" s="62">
        <v>6</v>
      </c>
      <c r="H17" s="63" t="s">
        <v>33</v>
      </c>
    </row>
    <row r="18" spans="1:8" ht="19.8" customHeight="1" x14ac:dyDescent="0.3">
      <c r="A18" s="59" t="s">
        <v>204</v>
      </c>
      <c r="B18" s="60" t="s">
        <v>68</v>
      </c>
      <c r="C18" s="61" t="s">
        <v>83</v>
      </c>
      <c r="D18" s="60" t="s">
        <v>1</v>
      </c>
      <c r="E18" s="60" t="s">
        <v>175</v>
      </c>
      <c r="F18" s="60" t="s">
        <v>70</v>
      </c>
      <c r="G18" s="62">
        <v>9</v>
      </c>
      <c r="H18" s="63" t="s">
        <v>84</v>
      </c>
    </row>
    <row r="19" spans="1:8" ht="19.8" customHeight="1" x14ac:dyDescent="0.3">
      <c r="A19" s="59" t="s">
        <v>204</v>
      </c>
      <c r="B19" s="60" t="s">
        <v>68</v>
      </c>
      <c r="C19" s="61" t="s">
        <v>85</v>
      </c>
      <c r="D19" s="60" t="s">
        <v>1</v>
      </c>
      <c r="E19" s="60" t="s">
        <v>176</v>
      </c>
      <c r="F19" s="60" t="s">
        <v>70</v>
      </c>
      <c r="G19" s="62">
        <v>9</v>
      </c>
      <c r="H19" s="63" t="s">
        <v>84</v>
      </c>
    </row>
    <row r="20" spans="1:8" ht="19.8" customHeight="1" x14ac:dyDescent="0.3">
      <c r="A20" s="59" t="s">
        <v>204</v>
      </c>
      <c r="B20" s="60" t="s">
        <v>36</v>
      </c>
      <c r="C20" s="61" t="s">
        <v>46</v>
      </c>
      <c r="D20" s="60" t="s">
        <v>1</v>
      </c>
      <c r="E20" s="60" t="s">
        <v>155</v>
      </c>
      <c r="F20" s="60" t="s">
        <v>44</v>
      </c>
      <c r="G20" s="62">
        <v>1</v>
      </c>
      <c r="H20" s="63" t="s">
        <v>45</v>
      </c>
    </row>
    <row r="21" spans="1:8" ht="19.8" customHeight="1" x14ac:dyDescent="0.3">
      <c r="A21" s="59" t="s">
        <v>204</v>
      </c>
      <c r="B21" s="60" t="s">
        <v>26</v>
      </c>
      <c r="C21" s="61" t="s">
        <v>27</v>
      </c>
      <c r="D21" s="60" t="s">
        <v>1</v>
      </c>
      <c r="E21" s="60" t="s">
        <v>153</v>
      </c>
      <c r="F21" s="60" t="s">
        <v>34</v>
      </c>
      <c r="G21" s="62">
        <v>6</v>
      </c>
      <c r="H21" s="63" t="s">
        <v>35</v>
      </c>
    </row>
    <row r="22" spans="1:8" ht="19.8" customHeight="1" x14ac:dyDescent="0.3">
      <c r="A22" s="59" t="s">
        <v>204</v>
      </c>
      <c r="B22" s="60" t="s">
        <v>52</v>
      </c>
      <c r="C22" s="61" t="s">
        <v>65</v>
      </c>
      <c r="D22" s="60" t="s">
        <v>1</v>
      </c>
      <c r="E22" s="60" t="s">
        <v>158</v>
      </c>
      <c r="F22" s="60" t="s">
        <v>54</v>
      </c>
      <c r="G22" s="62">
        <v>9</v>
      </c>
      <c r="H22" s="63" t="s">
        <v>56</v>
      </c>
    </row>
    <row r="23" spans="1:8" ht="19.8" customHeight="1" x14ac:dyDescent="0.3">
      <c r="A23" s="113" t="s">
        <v>204</v>
      </c>
      <c r="B23" s="71" t="s">
        <v>52</v>
      </c>
      <c r="C23" s="72" t="s">
        <v>65</v>
      </c>
      <c r="D23" s="71" t="s">
        <v>1</v>
      </c>
      <c r="E23" s="71" t="s">
        <v>158</v>
      </c>
      <c r="F23" s="71" t="s">
        <v>57</v>
      </c>
      <c r="G23" s="74">
        <v>9</v>
      </c>
      <c r="H23" s="75" t="s">
        <v>59</v>
      </c>
    </row>
    <row r="24" spans="1:8" ht="19.8" customHeight="1" x14ac:dyDescent="0.3">
      <c r="A24" s="99" t="s">
        <v>205</v>
      </c>
      <c r="B24" s="77" t="s">
        <v>73</v>
      </c>
      <c r="C24" s="78" t="s">
        <v>186</v>
      </c>
      <c r="D24" s="77" t="s">
        <v>185</v>
      </c>
      <c r="E24" s="77" t="s">
        <v>196</v>
      </c>
      <c r="F24" s="77" t="s">
        <v>100</v>
      </c>
      <c r="G24" s="80">
        <v>1</v>
      </c>
      <c r="H24" s="81" t="s">
        <v>187</v>
      </c>
    </row>
    <row r="25" spans="1:8" ht="19.8" customHeight="1" x14ac:dyDescent="0.3">
      <c r="A25" s="100"/>
      <c r="B25" s="101"/>
      <c r="C25" s="101"/>
      <c r="D25" s="101"/>
      <c r="E25" s="101"/>
      <c r="F25" s="102" t="s">
        <v>184</v>
      </c>
      <c r="G25" s="101"/>
      <c r="H25" s="103"/>
    </row>
    <row r="26" spans="1:8" ht="19.8" customHeight="1" x14ac:dyDescent="0.3">
      <c r="A26" s="68">
        <v>45983</v>
      </c>
      <c r="B26" s="60" t="s">
        <v>26</v>
      </c>
      <c r="C26" s="61" t="s">
        <v>27</v>
      </c>
      <c r="D26" s="60" t="s">
        <v>1</v>
      </c>
      <c r="E26" s="69">
        <v>1.229166666666667</v>
      </c>
      <c r="F26" s="60" t="s">
        <v>28</v>
      </c>
      <c r="G26" s="62">
        <v>15</v>
      </c>
      <c r="H26" s="63" t="s">
        <v>93</v>
      </c>
    </row>
    <row r="27" spans="1:8" ht="19.8" customHeight="1" x14ac:dyDescent="0.3">
      <c r="A27" s="68">
        <v>45983</v>
      </c>
      <c r="B27" s="60" t="s">
        <v>36</v>
      </c>
      <c r="C27" s="61" t="s">
        <v>46</v>
      </c>
      <c r="D27" s="60" t="s">
        <v>1</v>
      </c>
      <c r="E27" s="69">
        <v>1.6076388888888891</v>
      </c>
      <c r="F27" s="60" t="s">
        <v>38</v>
      </c>
      <c r="G27" s="62">
        <v>7</v>
      </c>
      <c r="H27" s="63" t="s">
        <v>48</v>
      </c>
    </row>
    <row r="28" spans="1:8" ht="19.8" customHeight="1" x14ac:dyDescent="0.3">
      <c r="A28" s="68">
        <v>45983</v>
      </c>
      <c r="B28" s="60" t="s">
        <v>36</v>
      </c>
      <c r="C28" s="61" t="s">
        <v>37</v>
      </c>
      <c r="D28" s="60" t="s">
        <v>1</v>
      </c>
      <c r="E28" s="69">
        <v>1.4340277777777779</v>
      </c>
      <c r="F28" s="60" t="s">
        <v>38</v>
      </c>
      <c r="G28" s="62">
        <v>4</v>
      </c>
      <c r="H28" s="63" t="s">
        <v>48</v>
      </c>
    </row>
    <row r="29" spans="1:8" ht="19.8" customHeight="1" x14ac:dyDescent="0.3">
      <c r="A29" s="68">
        <v>45983</v>
      </c>
      <c r="B29" s="60" t="s">
        <v>26</v>
      </c>
      <c r="C29" s="61" t="s">
        <v>27</v>
      </c>
      <c r="D29" s="60" t="s">
        <v>1</v>
      </c>
      <c r="E29" s="69">
        <v>1.229166666666667</v>
      </c>
      <c r="F29" s="60" t="s">
        <v>31</v>
      </c>
      <c r="G29" s="62">
        <v>15</v>
      </c>
      <c r="H29" s="63" t="s">
        <v>95</v>
      </c>
    </row>
    <row r="30" spans="1:8" ht="19.8" customHeight="1" x14ac:dyDescent="0.3">
      <c r="A30" s="68">
        <v>45983</v>
      </c>
      <c r="B30" s="60" t="s">
        <v>36</v>
      </c>
      <c r="C30" s="61" t="s">
        <v>46</v>
      </c>
      <c r="D30" s="60" t="s">
        <v>1</v>
      </c>
      <c r="E30" s="69">
        <v>1.6076388888888891</v>
      </c>
      <c r="F30" s="60" t="s">
        <v>41</v>
      </c>
      <c r="G30" s="62">
        <v>7</v>
      </c>
      <c r="H30" s="63" t="s">
        <v>50</v>
      </c>
    </row>
    <row r="31" spans="1:8" ht="19.8" customHeight="1" x14ac:dyDescent="0.3">
      <c r="A31" s="68">
        <v>45983</v>
      </c>
      <c r="B31" s="60" t="s">
        <v>36</v>
      </c>
      <c r="C31" s="61" t="s">
        <v>37</v>
      </c>
      <c r="D31" s="60" t="s">
        <v>1</v>
      </c>
      <c r="E31" s="69">
        <v>1.4340277777777779</v>
      </c>
      <c r="F31" s="60" t="s">
        <v>41</v>
      </c>
      <c r="G31" s="62">
        <v>4</v>
      </c>
      <c r="H31" s="63" t="s">
        <v>50</v>
      </c>
    </row>
    <row r="32" spans="1:8" ht="19.8" customHeight="1" x14ac:dyDescent="0.3">
      <c r="A32" s="68">
        <v>45983</v>
      </c>
      <c r="B32" s="60" t="s">
        <v>68</v>
      </c>
      <c r="C32" s="61" t="s">
        <v>88</v>
      </c>
      <c r="D32" s="60" t="s">
        <v>1</v>
      </c>
      <c r="E32" s="69">
        <v>1.336805555555556</v>
      </c>
      <c r="F32" s="60" t="s">
        <v>70</v>
      </c>
      <c r="G32" s="62">
        <v>9</v>
      </c>
      <c r="H32" s="63" t="s">
        <v>84</v>
      </c>
    </row>
    <row r="33" spans="1:8" ht="19.8" customHeight="1" x14ac:dyDescent="0.3">
      <c r="A33" s="68">
        <v>45983</v>
      </c>
      <c r="B33" s="60" t="s">
        <v>68</v>
      </c>
      <c r="C33" s="61" t="s">
        <v>83</v>
      </c>
      <c r="D33" s="60" t="s">
        <v>1</v>
      </c>
      <c r="E33" s="69">
        <v>1.947916666666667</v>
      </c>
      <c r="F33" s="60" t="s">
        <v>70</v>
      </c>
      <c r="G33" s="62">
        <v>9</v>
      </c>
      <c r="H33" s="63" t="s">
        <v>84</v>
      </c>
    </row>
    <row r="34" spans="1:8" ht="19.8" customHeight="1" x14ac:dyDescent="0.3">
      <c r="A34" s="68">
        <v>45983</v>
      </c>
      <c r="B34" s="60" t="s">
        <v>68</v>
      </c>
      <c r="C34" s="61" t="s">
        <v>90</v>
      </c>
      <c r="D34" s="60" t="s">
        <v>1</v>
      </c>
      <c r="E34" s="69">
        <v>1.0659722222222221</v>
      </c>
      <c r="F34" s="60" t="s">
        <v>70</v>
      </c>
      <c r="G34" s="62">
        <v>9</v>
      </c>
      <c r="H34" s="63" t="s">
        <v>84</v>
      </c>
    </row>
    <row r="35" spans="1:8" ht="19.8" customHeight="1" x14ac:dyDescent="0.3">
      <c r="A35" s="70">
        <v>45983</v>
      </c>
      <c r="B35" s="71" t="s">
        <v>36</v>
      </c>
      <c r="C35" s="72" t="s">
        <v>46</v>
      </c>
      <c r="D35" s="71" t="s">
        <v>1</v>
      </c>
      <c r="E35" s="73">
        <v>1.6076388888888891</v>
      </c>
      <c r="F35" s="71" t="s">
        <v>44</v>
      </c>
      <c r="G35" s="74">
        <v>7</v>
      </c>
      <c r="H35" s="75" t="s">
        <v>51</v>
      </c>
    </row>
  </sheetData>
  <pageMargins left="0.75" right="0.75" top="1" bottom="1" header="0.5" footer="0.5"/>
  <legacy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N212"/>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5.44140625" bestFit="1" customWidth="1"/>
  </cols>
  <sheetData>
    <row r="1" spans="1:92" ht="28.8" customHeight="1" x14ac:dyDescent="0.3">
      <c r="A1" s="261" t="s">
        <v>0</v>
      </c>
      <c r="B1" s="254"/>
      <c r="C1" s="254"/>
      <c r="D1" s="254"/>
      <c r="E1" s="254"/>
      <c r="F1" s="1" t="s">
        <v>206</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45980.430380910911</v>
      </c>
      <c r="H2" s="254"/>
      <c r="I2" s="254"/>
      <c r="J2" s="254"/>
      <c r="K2" s="263">
        <v>45980.430380911239</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45981</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207</v>
      </c>
      <c r="C6" s="9">
        <v>0.98958333333333337</v>
      </c>
      <c r="D6" s="8" t="s">
        <v>28</v>
      </c>
      <c r="E6" s="8" t="s">
        <v>71</v>
      </c>
      <c r="F6" s="8" t="s">
        <v>208</v>
      </c>
      <c r="G6" s="256"/>
      <c r="H6" s="10"/>
      <c r="I6" s="11"/>
      <c r="J6" s="11"/>
      <c r="K6" s="11"/>
      <c r="L6" s="11"/>
      <c r="M6" s="11"/>
      <c r="N6" s="11"/>
      <c r="O6" s="12"/>
      <c r="P6" s="11"/>
      <c r="Q6" s="13"/>
      <c r="R6" s="14"/>
    </row>
    <row r="7" spans="1:92" ht="15" customHeight="1" x14ac:dyDescent="0.3">
      <c r="A7" s="15" t="s">
        <v>26</v>
      </c>
      <c r="B7" s="15" t="s">
        <v>207</v>
      </c>
      <c r="C7" s="16">
        <v>0.98958333333333337</v>
      </c>
      <c r="D7" s="15" t="s">
        <v>31</v>
      </c>
      <c r="E7" s="15" t="s">
        <v>209</v>
      </c>
      <c r="F7" s="15" t="s">
        <v>210</v>
      </c>
      <c r="G7" s="257"/>
      <c r="H7" s="10"/>
      <c r="I7" s="11"/>
      <c r="J7" s="11"/>
      <c r="K7" s="11"/>
      <c r="L7" s="11"/>
      <c r="M7" s="11"/>
      <c r="N7" s="11"/>
      <c r="O7" s="12"/>
      <c r="P7" s="11"/>
      <c r="Q7" s="13"/>
      <c r="R7" s="14"/>
    </row>
    <row r="8" spans="1:92" ht="15" customHeight="1" x14ac:dyDescent="0.3">
      <c r="A8" s="15" t="s">
        <v>26</v>
      </c>
      <c r="B8" s="15" t="s">
        <v>207</v>
      </c>
      <c r="C8" s="16">
        <v>0.98958333333333337</v>
      </c>
      <c r="D8" s="15" t="s">
        <v>34</v>
      </c>
      <c r="E8" s="15" t="s">
        <v>209</v>
      </c>
      <c r="F8" s="15" t="s">
        <v>35</v>
      </c>
      <c r="G8" s="257"/>
      <c r="H8" s="10"/>
      <c r="I8" s="11"/>
      <c r="J8" s="11"/>
      <c r="K8" s="11"/>
      <c r="L8" s="11"/>
      <c r="M8" s="11"/>
      <c r="N8" s="11"/>
      <c r="O8" s="12"/>
      <c r="P8" s="11"/>
      <c r="Q8" s="13"/>
      <c r="R8" s="14"/>
    </row>
    <row r="9" spans="1:92" ht="15" customHeight="1" x14ac:dyDescent="0.3">
      <c r="A9" s="19" t="s">
        <v>26</v>
      </c>
      <c r="B9" s="19" t="s">
        <v>211</v>
      </c>
      <c r="C9" s="20">
        <v>0.39930555555555558</v>
      </c>
      <c r="D9" s="19" t="s">
        <v>28</v>
      </c>
      <c r="E9" s="19" t="s">
        <v>212</v>
      </c>
      <c r="F9" s="19" t="s">
        <v>213</v>
      </c>
      <c r="G9" s="257"/>
      <c r="H9" s="10"/>
      <c r="I9" s="11"/>
      <c r="J9" s="11"/>
      <c r="K9" s="11"/>
      <c r="L9" s="11"/>
      <c r="M9" s="11"/>
      <c r="N9" s="11"/>
      <c r="O9" s="12"/>
      <c r="P9" s="11"/>
      <c r="Q9" s="13"/>
      <c r="R9" s="14"/>
    </row>
    <row r="10" spans="1:92" ht="15" customHeight="1" x14ac:dyDescent="0.3">
      <c r="A10" s="15" t="s">
        <v>26</v>
      </c>
      <c r="B10" s="15" t="s">
        <v>211</v>
      </c>
      <c r="C10" s="16">
        <v>0.39930555555555558</v>
      </c>
      <c r="D10" s="15" t="s">
        <v>31</v>
      </c>
      <c r="E10" s="15" t="s">
        <v>214</v>
      </c>
      <c r="F10" s="15" t="s">
        <v>215</v>
      </c>
      <c r="G10" s="257"/>
      <c r="H10" s="10"/>
      <c r="I10" s="11"/>
      <c r="J10" s="11"/>
      <c r="K10" s="11"/>
      <c r="L10" s="11"/>
      <c r="M10" s="11"/>
      <c r="N10" s="11"/>
      <c r="O10" s="12"/>
      <c r="P10" s="11"/>
      <c r="Q10" s="13"/>
      <c r="R10" s="14"/>
    </row>
    <row r="11" spans="1:92" ht="15" customHeight="1" x14ac:dyDescent="0.3">
      <c r="A11" s="15" t="s">
        <v>26</v>
      </c>
      <c r="B11" s="15" t="s">
        <v>211</v>
      </c>
      <c r="C11" s="16">
        <v>0.39930555555555558</v>
      </c>
      <c r="D11" s="15" t="s">
        <v>34</v>
      </c>
      <c r="E11" s="15" t="s">
        <v>214</v>
      </c>
      <c r="F11" s="15" t="s">
        <v>35</v>
      </c>
      <c r="G11" s="257"/>
      <c r="H11" s="10"/>
      <c r="I11" s="11"/>
      <c r="J11" s="11"/>
      <c r="K11" s="11"/>
      <c r="L11" s="11"/>
      <c r="M11" s="11"/>
      <c r="N11" s="11"/>
      <c r="O11" s="12"/>
      <c r="P11" s="11"/>
      <c r="Q11" s="13"/>
      <c r="R11" s="14"/>
    </row>
    <row r="12" spans="1:92" ht="15" customHeight="1" x14ac:dyDescent="0.3">
      <c r="A12" s="19" t="s">
        <v>26</v>
      </c>
      <c r="B12" s="19" t="s">
        <v>216</v>
      </c>
      <c r="C12" s="20">
        <v>0.88888888888888884</v>
      </c>
      <c r="D12" s="19" t="s">
        <v>28</v>
      </c>
      <c r="E12" s="19" t="s">
        <v>217</v>
      </c>
      <c r="F12" s="19" t="s">
        <v>213</v>
      </c>
      <c r="G12" s="257"/>
      <c r="H12" s="10"/>
      <c r="I12" s="11"/>
      <c r="J12" s="11"/>
      <c r="K12" s="11"/>
      <c r="L12" s="11"/>
      <c r="M12" s="11"/>
      <c r="N12" s="11"/>
      <c r="O12" s="12"/>
      <c r="P12" s="11"/>
      <c r="Q12" s="13"/>
      <c r="R12" s="14"/>
    </row>
    <row r="13" spans="1:92" ht="15" customHeight="1" x14ac:dyDescent="0.3">
      <c r="A13" s="15" t="s">
        <v>26</v>
      </c>
      <c r="B13" s="15" t="s">
        <v>216</v>
      </c>
      <c r="C13" s="16">
        <v>0.88888888888888884</v>
      </c>
      <c r="D13" s="15" t="s">
        <v>31</v>
      </c>
      <c r="E13" s="15" t="s">
        <v>42</v>
      </c>
      <c r="F13" s="15" t="s">
        <v>215</v>
      </c>
      <c r="G13" s="257"/>
      <c r="H13" s="10"/>
      <c r="I13" s="11"/>
      <c r="J13" s="11"/>
      <c r="K13" s="11"/>
      <c r="L13" s="11"/>
      <c r="M13" s="11"/>
      <c r="N13" s="11"/>
      <c r="O13" s="12"/>
      <c r="P13" s="11"/>
      <c r="Q13" s="13"/>
      <c r="R13" s="14"/>
    </row>
    <row r="14" spans="1:92" ht="15" customHeight="1" x14ac:dyDescent="0.3">
      <c r="A14" s="15" t="s">
        <v>26</v>
      </c>
      <c r="B14" s="15" t="s">
        <v>216</v>
      </c>
      <c r="C14" s="16">
        <v>0.88888888888888884</v>
      </c>
      <c r="D14" s="15" t="s">
        <v>34</v>
      </c>
      <c r="E14" s="15" t="s">
        <v>42</v>
      </c>
      <c r="F14" s="15" t="s">
        <v>35</v>
      </c>
      <c r="G14" s="257"/>
      <c r="H14" s="10"/>
      <c r="I14" s="11"/>
      <c r="J14" s="11"/>
      <c r="K14" s="11"/>
      <c r="L14" s="11"/>
      <c r="M14" s="11"/>
      <c r="N14" s="11"/>
      <c r="O14" s="12"/>
      <c r="P14" s="11"/>
      <c r="Q14" s="13"/>
      <c r="R14" s="14"/>
    </row>
    <row r="15" spans="1:92" ht="15" customHeight="1" x14ac:dyDescent="0.3">
      <c r="A15" s="19" t="s">
        <v>26</v>
      </c>
      <c r="B15" s="19" t="s">
        <v>218</v>
      </c>
      <c r="C15" s="20">
        <v>0.48958333333333331</v>
      </c>
      <c r="D15" s="19" t="s">
        <v>28</v>
      </c>
      <c r="E15" s="19" t="s">
        <v>219</v>
      </c>
      <c r="F15" s="19" t="s">
        <v>220</v>
      </c>
      <c r="G15" s="257"/>
      <c r="H15" s="10"/>
      <c r="I15" s="11"/>
      <c r="J15" s="11"/>
      <c r="K15" s="11"/>
      <c r="L15" s="11"/>
      <c r="M15" s="11"/>
      <c r="N15" s="11"/>
      <c r="O15" s="12"/>
      <c r="P15" s="11"/>
      <c r="Q15" s="13"/>
      <c r="R15" s="14"/>
    </row>
    <row r="16" spans="1:92" ht="15" customHeight="1" x14ac:dyDescent="0.3">
      <c r="A16" s="15" t="s">
        <v>26</v>
      </c>
      <c r="B16" s="15" t="s">
        <v>218</v>
      </c>
      <c r="C16" s="16">
        <v>0.48958333333333331</v>
      </c>
      <c r="D16" s="15" t="s">
        <v>31</v>
      </c>
      <c r="E16" s="15" t="s">
        <v>221</v>
      </c>
      <c r="F16" s="15" t="s">
        <v>222</v>
      </c>
      <c r="G16" s="257"/>
      <c r="H16" s="10"/>
      <c r="I16" s="11"/>
      <c r="J16" s="11"/>
      <c r="K16" s="11"/>
      <c r="L16" s="11"/>
      <c r="M16" s="11"/>
      <c r="N16" s="11"/>
      <c r="O16" s="12"/>
      <c r="P16" s="11"/>
      <c r="Q16" s="13"/>
      <c r="R16" s="14"/>
    </row>
    <row r="17" spans="1:18" ht="15" customHeight="1" x14ac:dyDescent="0.3">
      <c r="A17" s="15" t="s">
        <v>26</v>
      </c>
      <c r="B17" s="15" t="s">
        <v>218</v>
      </c>
      <c r="C17" s="16">
        <v>0.48958333333333331</v>
      </c>
      <c r="D17" s="15" t="s">
        <v>34</v>
      </c>
      <c r="E17" s="15" t="s">
        <v>221</v>
      </c>
      <c r="F17" s="15" t="s">
        <v>223</v>
      </c>
      <c r="G17" s="257"/>
      <c r="H17" s="10"/>
      <c r="I17" s="11"/>
      <c r="J17" s="11"/>
      <c r="K17" s="11"/>
      <c r="L17" s="11"/>
      <c r="M17" s="11"/>
      <c r="N17" s="11"/>
      <c r="O17" s="12"/>
      <c r="P17" s="11"/>
      <c r="Q17" s="13"/>
      <c r="R17" s="14"/>
    </row>
    <row r="18" spans="1:18" ht="15" customHeight="1" x14ac:dyDescent="0.3">
      <c r="A18" s="17" t="s">
        <v>36</v>
      </c>
      <c r="B18" s="17" t="s">
        <v>224</v>
      </c>
      <c r="C18" s="18">
        <v>0.99305555555555547</v>
      </c>
      <c r="D18" s="17" t="s">
        <v>38</v>
      </c>
      <c r="E18" s="17" t="s">
        <v>80</v>
      </c>
      <c r="F18" s="17" t="s">
        <v>30</v>
      </c>
      <c r="G18" s="257"/>
      <c r="H18" s="10"/>
      <c r="I18" s="11"/>
      <c r="J18" s="11"/>
      <c r="K18" s="11"/>
      <c r="L18" s="11"/>
      <c r="M18" s="11"/>
      <c r="N18" s="11"/>
      <c r="O18" s="12"/>
      <c r="P18" s="11"/>
      <c r="Q18" s="13"/>
      <c r="R18" s="14"/>
    </row>
    <row r="19" spans="1:18" ht="15" customHeight="1" x14ac:dyDescent="0.3">
      <c r="A19" s="15" t="s">
        <v>36</v>
      </c>
      <c r="B19" s="15" t="s">
        <v>224</v>
      </c>
      <c r="C19" s="16">
        <v>0.99305555555555547</v>
      </c>
      <c r="D19" s="15" t="s">
        <v>41</v>
      </c>
      <c r="E19" s="15" t="s">
        <v>49</v>
      </c>
      <c r="F19" s="15" t="s">
        <v>95</v>
      </c>
      <c r="G19" s="257"/>
      <c r="H19" s="10"/>
      <c r="I19" s="11"/>
      <c r="J19" s="11"/>
      <c r="K19" s="11"/>
      <c r="L19" s="11"/>
      <c r="M19" s="11"/>
      <c r="N19" s="11"/>
      <c r="O19" s="12"/>
      <c r="P19" s="11"/>
      <c r="Q19" s="13"/>
      <c r="R19" s="14"/>
    </row>
    <row r="20" spans="1:18" ht="15" customHeight="1" x14ac:dyDescent="0.3">
      <c r="A20" s="15" t="s">
        <v>36</v>
      </c>
      <c r="B20" s="15" t="s">
        <v>224</v>
      </c>
      <c r="C20" s="16">
        <v>0.99305555555555547</v>
      </c>
      <c r="D20" s="15" t="s">
        <v>44</v>
      </c>
      <c r="E20" s="15" t="s">
        <v>49</v>
      </c>
      <c r="F20" s="15" t="s">
        <v>225</v>
      </c>
      <c r="G20" s="257"/>
      <c r="H20" s="10"/>
      <c r="I20" s="11"/>
      <c r="J20" s="11"/>
      <c r="K20" s="11"/>
      <c r="L20" s="11"/>
      <c r="M20" s="11"/>
      <c r="N20" s="11"/>
      <c r="O20" s="12"/>
      <c r="P20" s="11"/>
      <c r="Q20" s="13"/>
      <c r="R20" s="14"/>
    </row>
    <row r="21" spans="1:18" ht="15" customHeight="1" x14ac:dyDescent="0.3">
      <c r="A21" s="19" t="s">
        <v>36</v>
      </c>
      <c r="B21" s="19" t="s">
        <v>226</v>
      </c>
      <c r="C21" s="20">
        <v>0.94444444444444453</v>
      </c>
      <c r="D21" s="19" t="s">
        <v>38</v>
      </c>
      <c r="E21" s="19" t="s">
        <v>227</v>
      </c>
      <c r="F21" s="19" t="s">
        <v>30</v>
      </c>
      <c r="G21" s="257"/>
      <c r="H21" s="10"/>
      <c r="I21" s="11"/>
      <c r="J21" s="11"/>
      <c r="K21" s="11"/>
      <c r="L21" s="11"/>
      <c r="M21" s="11"/>
      <c r="N21" s="11"/>
      <c r="O21" s="12"/>
      <c r="P21" s="11"/>
      <c r="Q21" s="13"/>
      <c r="R21" s="14"/>
    </row>
    <row r="22" spans="1:18" ht="15" customHeight="1" x14ac:dyDescent="0.3">
      <c r="A22" s="15" t="s">
        <v>36</v>
      </c>
      <c r="B22" s="15" t="s">
        <v>226</v>
      </c>
      <c r="C22" s="16">
        <v>0.94444444444444453</v>
      </c>
      <c r="D22" s="15" t="s">
        <v>41</v>
      </c>
      <c r="E22" s="15" t="s">
        <v>32</v>
      </c>
      <c r="F22" s="15" t="s">
        <v>95</v>
      </c>
      <c r="G22" s="257"/>
      <c r="H22" s="10"/>
      <c r="I22" s="11"/>
      <c r="J22" s="11"/>
      <c r="K22" s="11"/>
      <c r="L22" s="11"/>
      <c r="M22" s="11"/>
      <c r="N22" s="11"/>
      <c r="O22" s="12"/>
      <c r="P22" s="11"/>
      <c r="Q22" s="13"/>
      <c r="R22" s="14"/>
    </row>
    <row r="23" spans="1:18" ht="15" customHeight="1" x14ac:dyDescent="0.3">
      <c r="A23" s="15" t="s">
        <v>36</v>
      </c>
      <c r="B23" s="15" t="s">
        <v>226</v>
      </c>
      <c r="C23" s="16">
        <v>0.94444444444444453</v>
      </c>
      <c r="D23" s="15" t="s">
        <v>44</v>
      </c>
      <c r="E23" s="15" t="s">
        <v>32</v>
      </c>
      <c r="F23" s="15" t="s">
        <v>225</v>
      </c>
      <c r="G23" s="257"/>
      <c r="H23" s="10"/>
      <c r="I23" s="11"/>
      <c r="J23" s="11"/>
      <c r="K23" s="11"/>
      <c r="L23" s="11"/>
      <c r="M23" s="11"/>
      <c r="N23" s="11"/>
      <c r="O23" s="12"/>
      <c r="P23" s="11"/>
      <c r="Q23" s="13"/>
      <c r="R23" s="14"/>
    </row>
    <row r="24" spans="1:18" ht="15" customHeight="1" x14ac:dyDescent="0.3">
      <c r="A24" s="19" t="s">
        <v>36</v>
      </c>
      <c r="B24" s="19" t="s">
        <v>228</v>
      </c>
      <c r="C24" s="20">
        <v>0.34722222222222232</v>
      </c>
      <c r="D24" s="19" t="s">
        <v>38</v>
      </c>
      <c r="E24" s="19" t="s">
        <v>217</v>
      </c>
      <c r="F24" s="19" t="s">
        <v>210</v>
      </c>
      <c r="G24" s="257"/>
      <c r="H24" s="10"/>
      <c r="I24" s="11"/>
      <c r="J24" s="11"/>
      <c r="K24" s="11"/>
      <c r="L24" s="11"/>
      <c r="M24" s="11"/>
      <c r="N24" s="11"/>
      <c r="O24" s="12"/>
      <c r="P24" s="11"/>
      <c r="Q24" s="13"/>
      <c r="R24" s="14"/>
    </row>
    <row r="25" spans="1:18" ht="15" customHeight="1" x14ac:dyDescent="0.3">
      <c r="A25" s="15" t="s">
        <v>36</v>
      </c>
      <c r="B25" s="15" t="s">
        <v>228</v>
      </c>
      <c r="C25" s="16">
        <v>0.34722222222222232</v>
      </c>
      <c r="D25" s="15" t="s">
        <v>41</v>
      </c>
      <c r="E25" s="15" t="s">
        <v>42</v>
      </c>
      <c r="F25" s="15" t="s">
        <v>33</v>
      </c>
      <c r="G25" s="257"/>
      <c r="H25" s="10"/>
      <c r="I25" s="11"/>
      <c r="J25" s="11"/>
      <c r="K25" s="11"/>
      <c r="L25" s="11"/>
      <c r="M25" s="11"/>
      <c r="N25" s="11"/>
      <c r="O25" s="12"/>
      <c r="P25" s="11"/>
      <c r="Q25" s="13"/>
      <c r="R25" s="14"/>
    </row>
    <row r="26" spans="1:18" ht="15" customHeight="1" x14ac:dyDescent="0.3">
      <c r="A26" s="15" t="s">
        <v>36</v>
      </c>
      <c r="B26" s="15" t="s">
        <v>228</v>
      </c>
      <c r="C26" s="16">
        <v>0.34722222222222232</v>
      </c>
      <c r="D26" s="15" t="s">
        <v>44</v>
      </c>
      <c r="E26" s="15" t="s">
        <v>42</v>
      </c>
      <c r="F26" s="15" t="s">
        <v>229</v>
      </c>
      <c r="G26" s="257"/>
      <c r="H26" s="10"/>
      <c r="I26" s="11"/>
      <c r="J26" s="11"/>
      <c r="K26" s="11"/>
      <c r="L26" s="11"/>
      <c r="M26" s="11"/>
      <c r="N26" s="11"/>
      <c r="O26" s="12"/>
      <c r="P26" s="11"/>
      <c r="Q26" s="13"/>
      <c r="R26" s="14"/>
    </row>
    <row r="27" spans="1:18" ht="15" customHeight="1" x14ac:dyDescent="0.3">
      <c r="A27" s="19" t="s">
        <v>36</v>
      </c>
      <c r="B27" s="19" t="s">
        <v>230</v>
      </c>
      <c r="C27" s="20">
        <v>0.75</v>
      </c>
      <c r="D27" s="19" t="s">
        <v>38</v>
      </c>
      <c r="E27" s="19" t="s">
        <v>231</v>
      </c>
      <c r="F27" s="19" t="s">
        <v>210</v>
      </c>
      <c r="G27" s="257"/>
      <c r="H27" s="10"/>
      <c r="I27" s="11"/>
      <c r="J27" s="11"/>
      <c r="K27" s="11"/>
      <c r="L27" s="11"/>
      <c r="M27" s="11"/>
      <c r="N27" s="11"/>
      <c r="O27" s="12"/>
      <c r="P27" s="11"/>
      <c r="Q27" s="13"/>
      <c r="R27" s="14"/>
    </row>
    <row r="28" spans="1:18" ht="15" customHeight="1" x14ac:dyDescent="0.3">
      <c r="A28" s="15" t="s">
        <v>36</v>
      </c>
      <c r="B28" s="15" t="s">
        <v>230</v>
      </c>
      <c r="C28" s="16">
        <v>0.75</v>
      </c>
      <c r="D28" s="15" t="s">
        <v>41</v>
      </c>
      <c r="E28" s="15" t="s">
        <v>82</v>
      </c>
      <c r="F28" s="15" t="s">
        <v>33</v>
      </c>
      <c r="G28" s="257"/>
      <c r="H28" s="10"/>
      <c r="I28" s="11"/>
      <c r="J28" s="11"/>
      <c r="K28" s="11"/>
      <c r="L28" s="11"/>
      <c r="M28" s="11"/>
      <c r="N28" s="11"/>
      <c r="O28" s="12"/>
      <c r="P28" s="11"/>
      <c r="Q28" s="13"/>
      <c r="R28" s="14"/>
    </row>
    <row r="29" spans="1:18" ht="15" customHeight="1" x14ac:dyDescent="0.3">
      <c r="A29" s="15" t="s">
        <v>36</v>
      </c>
      <c r="B29" s="15" t="s">
        <v>230</v>
      </c>
      <c r="C29" s="16">
        <v>0.75</v>
      </c>
      <c r="D29" s="15" t="s">
        <v>44</v>
      </c>
      <c r="E29" s="15" t="s">
        <v>82</v>
      </c>
      <c r="F29" s="15" t="s">
        <v>229</v>
      </c>
      <c r="G29" s="257"/>
      <c r="H29" s="10"/>
      <c r="I29" s="11"/>
      <c r="J29" s="11"/>
      <c r="K29" s="11"/>
      <c r="L29" s="11"/>
      <c r="M29" s="11"/>
      <c r="N29" s="11"/>
      <c r="O29" s="12"/>
      <c r="P29" s="11"/>
      <c r="Q29" s="13"/>
      <c r="R29" s="14"/>
    </row>
    <row r="30" spans="1:18" ht="15" customHeight="1" x14ac:dyDescent="0.3">
      <c r="A30" s="19" t="s">
        <v>36</v>
      </c>
      <c r="B30" s="19" t="s">
        <v>232</v>
      </c>
      <c r="C30" s="20">
        <v>0.83680555555555547</v>
      </c>
      <c r="D30" s="19" t="s">
        <v>38</v>
      </c>
      <c r="E30" s="19" t="s">
        <v>233</v>
      </c>
      <c r="F30" s="19" t="s">
        <v>210</v>
      </c>
      <c r="G30" s="257"/>
      <c r="H30" s="10"/>
      <c r="I30" s="11"/>
      <c r="J30" s="11"/>
      <c r="K30" s="11"/>
      <c r="L30" s="11"/>
      <c r="M30" s="11"/>
      <c r="N30" s="11"/>
      <c r="O30" s="12"/>
      <c r="P30" s="11"/>
      <c r="Q30" s="13"/>
      <c r="R30" s="14"/>
    </row>
    <row r="31" spans="1:18" ht="15" customHeight="1" x14ac:dyDescent="0.3">
      <c r="A31" s="15" t="s">
        <v>36</v>
      </c>
      <c r="B31" s="15" t="s">
        <v>232</v>
      </c>
      <c r="C31" s="16">
        <v>0.83680555555555547</v>
      </c>
      <c r="D31" s="15" t="s">
        <v>41</v>
      </c>
      <c r="E31" s="15" t="s">
        <v>209</v>
      </c>
      <c r="F31" s="15" t="s">
        <v>33</v>
      </c>
      <c r="G31" s="257"/>
      <c r="H31" s="10"/>
      <c r="I31" s="11"/>
      <c r="J31" s="11"/>
      <c r="K31" s="11"/>
      <c r="L31" s="11"/>
      <c r="M31" s="11"/>
      <c r="N31" s="11"/>
      <c r="O31" s="12"/>
      <c r="P31" s="11"/>
      <c r="Q31" s="13"/>
      <c r="R31" s="14"/>
    </row>
    <row r="32" spans="1:18" ht="15" customHeight="1" x14ac:dyDescent="0.3">
      <c r="A32" s="15" t="s">
        <v>36</v>
      </c>
      <c r="B32" s="15" t="s">
        <v>232</v>
      </c>
      <c r="C32" s="16">
        <v>0.83680555555555547</v>
      </c>
      <c r="D32" s="15" t="s">
        <v>44</v>
      </c>
      <c r="E32" s="15" t="s">
        <v>209</v>
      </c>
      <c r="F32" s="15" t="s">
        <v>229</v>
      </c>
      <c r="G32" s="257"/>
      <c r="H32" s="10"/>
      <c r="I32" s="11"/>
      <c r="J32" s="11"/>
      <c r="K32" s="11"/>
      <c r="L32" s="11"/>
      <c r="M32" s="11"/>
      <c r="N32" s="11"/>
      <c r="O32" s="12"/>
      <c r="P32" s="11"/>
      <c r="Q32" s="13"/>
      <c r="R32" s="14"/>
    </row>
    <row r="33" spans="1:18" ht="15" customHeight="1" x14ac:dyDescent="0.3">
      <c r="A33" s="19" t="s">
        <v>36</v>
      </c>
      <c r="B33" s="19" t="s">
        <v>234</v>
      </c>
      <c r="C33" s="20">
        <v>0.4861111111111111</v>
      </c>
      <c r="D33" s="19" t="s">
        <v>38</v>
      </c>
      <c r="E33" s="19" t="s">
        <v>235</v>
      </c>
      <c r="F33" s="19" t="s">
        <v>210</v>
      </c>
      <c r="G33" s="257"/>
      <c r="H33" s="10"/>
      <c r="I33" s="11"/>
      <c r="J33" s="11"/>
      <c r="K33" s="11"/>
      <c r="L33" s="11"/>
      <c r="M33" s="11"/>
      <c r="N33" s="11"/>
      <c r="O33" s="12"/>
      <c r="P33" s="11"/>
      <c r="Q33" s="13"/>
      <c r="R33" s="14"/>
    </row>
    <row r="34" spans="1:18" ht="15" customHeight="1" x14ac:dyDescent="0.3">
      <c r="A34" s="15" t="s">
        <v>36</v>
      </c>
      <c r="B34" s="15" t="s">
        <v>234</v>
      </c>
      <c r="C34" s="16">
        <v>0.4861111111111111</v>
      </c>
      <c r="D34" s="15" t="s">
        <v>41</v>
      </c>
      <c r="E34" s="15" t="s">
        <v>236</v>
      </c>
      <c r="F34" s="15" t="s">
        <v>33</v>
      </c>
      <c r="G34" s="257"/>
      <c r="H34" s="10"/>
      <c r="I34" s="11"/>
      <c r="J34" s="11"/>
      <c r="K34" s="11"/>
      <c r="L34" s="11"/>
      <c r="M34" s="11"/>
      <c r="N34" s="11"/>
      <c r="O34" s="12"/>
      <c r="P34" s="11"/>
      <c r="Q34" s="13"/>
      <c r="R34" s="14"/>
    </row>
    <row r="35" spans="1:18" ht="15" customHeight="1" x14ac:dyDescent="0.3">
      <c r="A35" s="15" t="s">
        <v>36</v>
      </c>
      <c r="B35" s="15" t="s">
        <v>234</v>
      </c>
      <c r="C35" s="16">
        <v>0.4861111111111111</v>
      </c>
      <c r="D35" s="15" t="s">
        <v>44</v>
      </c>
      <c r="E35" s="15" t="s">
        <v>236</v>
      </c>
      <c r="F35" s="15" t="s">
        <v>229</v>
      </c>
      <c r="G35" s="257"/>
      <c r="H35" s="10"/>
      <c r="I35" s="11"/>
      <c r="J35" s="11"/>
      <c r="K35" s="11"/>
      <c r="L35" s="11"/>
      <c r="M35" s="11"/>
      <c r="N35" s="11"/>
      <c r="O35" s="12"/>
      <c r="P35" s="11"/>
      <c r="Q35" s="13"/>
      <c r="R35" s="14"/>
    </row>
    <row r="36" spans="1:18" ht="15" customHeight="1" x14ac:dyDescent="0.3">
      <c r="A36" s="19" t="s">
        <v>36</v>
      </c>
      <c r="B36" s="19" t="s">
        <v>237</v>
      </c>
      <c r="C36" s="20">
        <v>0.3923611111111111</v>
      </c>
      <c r="D36" s="19" t="s">
        <v>38</v>
      </c>
      <c r="E36" s="19" t="s">
        <v>47</v>
      </c>
      <c r="F36" s="19" t="s">
        <v>210</v>
      </c>
      <c r="G36" s="257"/>
      <c r="H36" s="10"/>
      <c r="I36" s="11"/>
      <c r="J36" s="11"/>
      <c r="K36" s="11"/>
      <c r="L36" s="11"/>
      <c r="M36" s="11"/>
      <c r="N36" s="11"/>
      <c r="O36" s="12"/>
      <c r="P36" s="11"/>
      <c r="Q36" s="13"/>
      <c r="R36" s="14"/>
    </row>
    <row r="37" spans="1:18" ht="15" customHeight="1" x14ac:dyDescent="0.3">
      <c r="A37" s="15" t="s">
        <v>36</v>
      </c>
      <c r="B37" s="15" t="s">
        <v>237</v>
      </c>
      <c r="C37" s="16">
        <v>0.3923611111111111</v>
      </c>
      <c r="D37" s="15" t="s">
        <v>41</v>
      </c>
      <c r="E37" s="15" t="s">
        <v>49</v>
      </c>
      <c r="F37" s="15" t="s">
        <v>33</v>
      </c>
      <c r="G37" s="257"/>
      <c r="H37" s="10"/>
      <c r="I37" s="11"/>
      <c r="J37" s="11"/>
      <c r="K37" s="11"/>
      <c r="L37" s="11"/>
      <c r="M37" s="11"/>
      <c r="N37" s="11"/>
      <c r="O37" s="12"/>
      <c r="P37" s="11"/>
      <c r="Q37" s="13"/>
      <c r="R37" s="14"/>
    </row>
    <row r="38" spans="1:18" ht="15" customHeight="1" x14ac:dyDescent="0.3">
      <c r="A38" s="15" t="s">
        <v>36</v>
      </c>
      <c r="B38" s="15" t="s">
        <v>237</v>
      </c>
      <c r="C38" s="16">
        <v>0.3923611111111111</v>
      </c>
      <c r="D38" s="15" t="s">
        <v>44</v>
      </c>
      <c r="E38" s="15" t="s">
        <v>49</v>
      </c>
      <c r="F38" s="15" t="s">
        <v>229</v>
      </c>
      <c r="G38" s="257"/>
      <c r="H38" s="10"/>
      <c r="I38" s="11"/>
      <c r="J38" s="11"/>
      <c r="K38" s="11"/>
      <c r="L38" s="11"/>
      <c r="M38" s="11"/>
      <c r="N38" s="11"/>
      <c r="O38" s="12"/>
      <c r="P38" s="11"/>
      <c r="Q38" s="13"/>
      <c r="R38" s="14"/>
    </row>
    <row r="39" spans="1:18" ht="15" customHeight="1" x14ac:dyDescent="0.3">
      <c r="A39" s="19" t="s">
        <v>36</v>
      </c>
      <c r="B39" s="19" t="s">
        <v>238</v>
      </c>
      <c r="C39" s="20">
        <v>0.88888888888888884</v>
      </c>
      <c r="D39" s="19" t="s">
        <v>38</v>
      </c>
      <c r="E39" s="19" t="s">
        <v>217</v>
      </c>
      <c r="F39" s="19" t="s">
        <v>210</v>
      </c>
      <c r="G39" s="257"/>
      <c r="H39" s="10"/>
      <c r="I39" s="11"/>
      <c r="J39" s="11"/>
      <c r="K39" s="11"/>
      <c r="L39" s="11"/>
      <c r="M39" s="11"/>
      <c r="N39" s="11"/>
      <c r="O39" s="12"/>
      <c r="P39" s="11"/>
      <c r="Q39" s="13"/>
      <c r="R39" s="14"/>
    </row>
    <row r="40" spans="1:18" ht="15" customHeight="1" x14ac:dyDescent="0.3">
      <c r="A40" s="15" t="s">
        <v>36</v>
      </c>
      <c r="B40" s="15" t="s">
        <v>238</v>
      </c>
      <c r="C40" s="16">
        <v>0.88888888888888884</v>
      </c>
      <c r="D40" s="15" t="s">
        <v>41</v>
      </c>
      <c r="E40" s="15" t="s">
        <v>42</v>
      </c>
      <c r="F40" s="15" t="s">
        <v>33</v>
      </c>
      <c r="G40" s="257"/>
      <c r="H40" s="10"/>
      <c r="I40" s="11"/>
      <c r="J40" s="11"/>
      <c r="K40" s="11"/>
      <c r="L40" s="11"/>
      <c r="M40" s="11"/>
      <c r="N40" s="11"/>
      <c r="O40" s="12"/>
      <c r="P40" s="11"/>
      <c r="Q40" s="13"/>
      <c r="R40" s="14"/>
    </row>
    <row r="41" spans="1:18" ht="15" customHeight="1" x14ac:dyDescent="0.3">
      <c r="A41" s="15" t="s">
        <v>36</v>
      </c>
      <c r="B41" s="15" t="s">
        <v>238</v>
      </c>
      <c r="C41" s="16">
        <v>0.88888888888888884</v>
      </c>
      <c r="D41" s="15" t="s">
        <v>44</v>
      </c>
      <c r="E41" s="15" t="s">
        <v>42</v>
      </c>
      <c r="F41" s="15" t="s">
        <v>229</v>
      </c>
      <c r="G41" s="257"/>
      <c r="H41" s="10"/>
      <c r="I41" s="11"/>
      <c r="J41" s="11"/>
      <c r="K41" s="11"/>
      <c r="L41" s="11"/>
      <c r="M41" s="11"/>
      <c r="N41" s="11"/>
      <c r="O41" s="12"/>
      <c r="P41" s="11"/>
      <c r="Q41" s="13"/>
      <c r="R41" s="14"/>
    </row>
    <row r="42" spans="1:18" ht="15" customHeight="1" x14ac:dyDescent="0.3">
      <c r="A42" s="17" t="s">
        <v>239</v>
      </c>
      <c r="B42" s="17" t="s">
        <v>240</v>
      </c>
      <c r="C42" s="18">
        <v>0.49305555555555558</v>
      </c>
      <c r="D42" s="17" t="s">
        <v>100</v>
      </c>
      <c r="E42" s="17" t="s">
        <v>55</v>
      </c>
      <c r="F42" s="17" t="s">
        <v>241</v>
      </c>
      <c r="G42" s="257"/>
      <c r="H42" s="10"/>
      <c r="I42" s="11"/>
      <c r="J42" s="11"/>
      <c r="K42" s="11"/>
      <c r="L42" s="11"/>
      <c r="M42" s="11"/>
      <c r="N42" s="11"/>
      <c r="O42" s="12"/>
      <c r="P42" s="11"/>
      <c r="Q42" s="13"/>
      <c r="R42" s="14"/>
    </row>
    <row r="43" spans="1:18" ht="15" customHeight="1" x14ac:dyDescent="0.3">
      <c r="A43" s="114" t="s">
        <v>73</v>
      </c>
      <c r="B43" s="114" t="s">
        <v>242</v>
      </c>
      <c r="C43" s="115">
        <v>0.1875</v>
      </c>
      <c r="D43" s="114" t="s">
        <v>100</v>
      </c>
      <c r="E43" s="114" t="s">
        <v>80</v>
      </c>
      <c r="F43" s="114" t="s">
        <v>243</v>
      </c>
      <c r="G43" s="257"/>
      <c r="H43" s="116" t="s">
        <v>244</v>
      </c>
      <c r="I43" s="117">
        <v>0.91110000000000002</v>
      </c>
      <c r="J43" s="118">
        <v>164</v>
      </c>
      <c r="K43" s="119" t="s">
        <v>103</v>
      </c>
      <c r="L43" s="118">
        <v>49</v>
      </c>
      <c r="M43" s="118">
        <v>0</v>
      </c>
      <c r="N43" s="118">
        <v>2</v>
      </c>
      <c r="O43" s="120" t="s">
        <v>245</v>
      </c>
      <c r="P43" s="121">
        <v>0.1875</v>
      </c>
      <c r="Q43" s="118">
        <v>180</v>
      </c>
      <c r="R43" s="122" t="s">
        <v>246</v>
      </c>
    </row>
    <row r="44" spans="1:18" ht="15" customHeight="1" x14ac:dyDescent="0.3">
      <c r="A44" s="123" t="s">
        <v>73</v>
      </c>
      <c r="B44" s="123" t="s">
        <v>247</v>
      </c>
      <c r="C44" s="124">
        <v>6.5972222222222224E-2</v>
      </c>
      <c r="D44" s="123" t="s">
        <v>100</v>
      </c>
      <c r="E44" s="123" t="s">
        <v>235</v>
      </c>
      <c r="F44" s="123" t="s">
        <v>243</v>
      </c>
      <c r="G44" s="257"/>
      <c r="H44" s="125" t="s">
        <v>248</v>
      </c>
      <c r="I44" s="126">
        <v>0.9385</v>
      </c>
      <c r="J44" s="127">
        <v>168</v>
      </c>
      <c r="K44" s="128" t="s">
        <v>103</v>
      </c>
      <c r="L44" s="127">
        <v>83</v>
      </c>
      <c r="M44" s="127">
        <v>0</v>
      </c>
      <c r="N44" s="127">
        <v>2</v>
      </c>
      <c r="O44" s="129" t="s">
        <v>249</v>
      </c>
      <c r="P44" s="130">
        <v>6.5972222222222224E-2</v>
      </c>
      <c r="Q44" s="127">
        <v>179</v>
      </c>
      <c r="R44" s="131" t="s">
        <v>250</v>
      </c>
    </row>
    <row r="45" spans="1:18" ht="15" customHeight="1" x14ac:dyDescent="0.3">
      <c r="A45" s="132" t="s">
        <v>73</v>
      </c>
      <c r="B45" s="132" t="s">
        <v>251</v>
      </c>
      <c r="C45" s="133">
        <v>0.15625</v>
      </c>
      <c r="D45" s="132" t="s">
        <v>100</v>
      </c>
      <c r="E45" s="132" t="s">
        <v>66</v>
      </c>
      <c r="F45" s="132" t="s">
        <v>243</v>
      </c>
      <c r="G45" s="257"/>
      <c r="H45" s="106" t="s">
        <v>252</v>
      </c>
      <c r="I45" s="134">
        <v>0.84440000000000004</v>
      </c>
      <c r="J45" s="108">
        <v>152</v>
      </c>
      <c r="K45" s="109" t="s">
        <v>253</v>
      </c>
      <c r="L45" s="108">
        <v>93</v>
      </c>
      <c r="M45" s="108">
        <v>1</v>
      </c>
      <c r="N45" s="108">
        <v>3</v>
      </c>
      <c r="O45" s="110" t="s">
        <v>254</v>
      </c>
      <c r="P45" s="111">
        <v>0.15625</v>
      </c>
      <c r="Q45" s="108">
        <v>180</v>
      </c>
      <c r="R45" s="112" t="s">
        <v>255</v>
      </c>
    </row>
    <row r="46" spans="1:18" ht="15" customHeight="1" x14ac:dyDescent="0.3">
      <c r="A46" s="135" t="s">
        <v>73</v>
      </c>
      <c r="B46" s="135" t="s">
        <v>256</v>
      </c>
      <c r="C46" s="136">
        <v>0.9375</v>
      </c>
      <c r="D46" s="135" t="s">
        <v>100</v>
      </c>
      <c r="E46" s="135" t="s">
        <v>86</v>
      </c>
      <c r="F46" s="135" t="s">
        <v>257</v>
      </c>
      <c r="G46" s="257"/>
      <c r="H46" s="137" t="s">
        <v>258</v>
      </c>
      <c r="I46" s="138">
        <v>0.82779999999999998</v>
      </c>
      <c r="J46" s="139">
        <v>149</v>
      </c>
      <c r="K46" s="140" t="s">
        <v>253</v>
      </c>
      <c r="L46" s="139">
        <v>51</v>
      </c>
      <c r="M46" s="139">
        <v>2</v>
      </c>
      <c r="N46" s="139">
        <v>9</v>
      </c>
      <c r="O46" s="141" t="s">
        <v>259</v>
      </c>
      <c r="P46" s="142">
        <v>0.9375</v>
      </c>
      <c r="Q46" s="139">
        <v>180</v>
      </c>
      <c r="R46" s="143" t="s">
        <v>260</v>
      </c>
    </row>
    <row r="47" spans="1:18" ht="15" customHeight="1" x14ac:dyDescent="0.3">
      <c r="A47" s="132" t="s">
        <v>73</v>
      </c>
      <c r="B47" s="132" t="s">
        <v>261</v>
      </c>
      <c r="C47" s="133">
        <v>0.40625</v>
      </c>
      <c r="D47" s="132" t="s">
        <v>75</v>
      </c>
      <c r="E47" s="144"/>
      <c r="F47" s="132" t="s">
        <v>76</v>
      </c>
      <c r="G47" s="257"/>
      <c r="H47" s="106" t="s">
        <v>261</v>
      </c>
      <c r="I47" s="107">
        <v>1.0111000000000001</v>
      </c>
      <c r="J47" s="108">
        <v>182</v>
      </c>
      <c r="K47" s="109" t="s">
        <v>262</v>
      </c>
      <c r="L47" s="108">
        <v>0</v>
      </c>
      <c r="M47" s="108">
        <v>0</v>
      </c>
      <c r="N47" s="108">
        <v>0</v>
      </c>
      <c r="O47" s="110" t="s">
        <v>78</v>
      </c>
      <c r="P47" s="111">
        <v>0.40625</v>
      </c>
      <c r="Q47" s="108">
        <v>180</v>
      </c>
      <c r="R47" s="112" t="s">
        <v>263</v>
      </c>
    </row>
    <row r="48" spans="1:18" ht="15" customHeight="1" x14ac:dyDescent="0.3">
      <c r="A48" s="145" t="s">
        <v>73</v>
      </c>
      <c r="B48" s="145" t="s">
        <v>264</v>
      </c>
      <c r="C48" s="146">
        <v>0.5625</v>
      </c>
      <c r="D48" s="145" t="s">
        <v>75</v>
      </c>
      <c r="E48" s="147"/>
      <c r="F48" s="145" t="s">
        <v>76</v>
      </c>
      <c r="G48" s="257"/>
      <c r="H48" s="116" t="s">
        <v>264</v>
      </c>
      <c r="I48" s="117">
        <v>0.98329999999999995</v>
      </c>
      <c r="J48" s="118">
        <v>177</v>
      </c>
      <c r="K48" s="119" t="s">
        <v>164</v>
      </c>
      <c r="L48" s="118">
        <v>52</v>
      </c>
      <c r="M48" s="118">
        <v>0</v>
      </c>
      <c r="N48" s="118">
        <v>0</v>
      </c>
      <c r="O48" s="120" t="s">
        <v>78</v>
      </c>
      <c r="P48" s="121">
        <v>0.5625</v>
      </c>
      <c r="Q48" s="118">
        <v>180</v>
      </c>
      <c r="R48" s="122" t="s">
        <v>265</v>
      </c>
    </row>
    <row r="49" spans="1:18" ht="15" customHeight="1" x14ac:dyDescent="0.3">
      <c r="A49" s="17" t="s">
        <v>266</v>
      </c>
      <c r="B49" s="17" t="s">
        <v>267</v>
      </c>
      <c r="C49" s="18">
        <v>0.1701388888888889</v>
      </c>
      <c r="D49" s="17" t="s">
        <v>268</v>
      </c>
      <c r="E49" s="17" t="s">
        <v>269</v>
      </c>
      <c r="F49" s="17" t="s">
        <v>270</v>
      </c>
      <c r="G49" s="257"/>
      <c r="H49" s="10"/>
      <c r="I49" s="11"/>
      <c r="J49" s="11"/>
      <c r="K49" s="11"/>
      <c r="L49" s="11"/>
      <c r="M49" s="11"/>
      <c r="N49" s="11"/>
      <c r="O49" s="12"/>
      <c r="P49" s="11"/>
      <c r="Q49" s="13"/>
      <c r="R49" s="14"/>
    </row>
    <row r="50" spans="1:18" ht="15" customHeight="1" x14ac:dyDescent="0.3">
      <c r="A50" s="15" t="s">
        <v>266</v>
      </c>
      <c r="B50" s="15" t="s">
        <v>267</v>
      </c>
      <c r="C50" s="16">
        <v>0.1701388888888889</v>
      </c>
      <c r="D50" s="15" t="s">
        <v>34</v>
      </c>
      <c r="E50" s="15" t="s">
        <v>236</v>
      </c>
      <c r="F50" s="15" t="s">
        <v>271</v>
      </c>
      <c r="G50" s="257"/>
      <c r="H50" s="10"/>
      <c r="I50" s="11"/>
      <c r="J50" s="11"/>
      <c r="K50" s="11"/>
      <c r="L50" s="11"/>
      <c r="M50" s="11"/>
      <c r="N50" s="11"/>
      <c r="O50" s="12"/>
      <c r="P50" s="11"/>
      <c r="Q50" s="13"/>
      <c r="R50" s="14"/>
    </row>
    <row r="51" spans="1:18" ht="15" customHeight="1" x14ac:dyDescent="0.3">
      <c r="A51" s="17" t="s">
        <v>52</v>
      </c>
      <c r="B51" s="17" t="s">
        <v>272</v>
      </c>
      <c r="C51" s="18">
        <v>0.94097222222222221</v>
      </c>
      <c r="D51" s="17" t="s">
        <v>57</v>
      </c>
      <c r="E51" s="17" t="s">
        <v>55</v>
      </c>
      <c r="F51" s="17" t="s">
        <v>273</v>
      </c>
      <c r="G51" s="257"/>
      <c r="H51" s="10"/>
      <c r="I51" s="11"/>
      <c r="J51" s="11"/>
      <c r="K51" s="11"/>
      <c r="L51" s="11"/>
      <c r="M51" s="11"/>
      <c r="N51" s="11"/>
      <c r="O51" s="12"/>
      <c r="P51" s="11"/>
      <c r="Q51" s="13"/>
      <c r="R51" s="14"/>
    </row>
    <row r="52" spans="1:18" ht="15" customHeight="1" x14ac:dyDescent="0.3">
      <c r="A52" s="19" t="s">
        <v>52</v>
      </c>
      <c r="B52" s="19" t="s">
        <v>274</v>
      </c>
      <c r="C52" s="20">
        <v>0.98958333333333337</v>
      </c>
      <c r="D52" s="19" t="s">
        <v>57</v>
      </c>
      <c r="E52" s="19" t="s">
        <v>61</v>
      </c>
      <c r="F52" s="19" t="s">
        <v>275</v>
      </c>
      <c r="G52" s="257"/>
      <c r="H52" s="10"/>
      <c r="I52" s="11"/>
      <c r="J52" s="11"/>
      <c r="K52" s="11"/>
      <c r="L52" s="11"/>
      <c r="M52" s="11"/>
      <c r="N52" s="11"/>
      <c r="O52" s="12"/>
      <c r="P52" s="11"/>
      <c r="Q52" s="13"/>
      <c r="R52" s="14"/>
    </row>
    <row r="53" spans="1:18" ht="15" customHeight="1" x14ac:dyDescent="0.3">
      <c r="A53" s="19" t="s">
        <v>52</v>
      </c>
      <c r="B53" s="19" t="s">
        <v>276</v>
      </c>
      <c r="C53" s="20">
        <v>0.39930555555555558</v>
      </c>
      <c r="D53" s="19" t="s">
        <v>57</v>
      </c>
      <c r="E53" s="19" t="s">
        <v>61</v>
      </c>
      <c r="F53" s="19" t="s">
        <v>275</v>
      </c>
      <c r="G53" s="257"/>
      <c r="H53" s="10"/>
      <c r="I53" s="11"/>
      <c r="J53" s="11"/>
      <c r="K53" s="11"/>
      <c r="L53" s="11"/>
      <c r="M53" s="11"/>
      <c r="N53" s="11"/>
      <c r="O53" s="12"/>
      <c r="P53" s="11"/>
      <c r="Q53" s="13"/>
      <c r="R53" s="14"/>
    </row>
    <row r="54" spans="1:18" ht="15" customHeight="1" x14ac:dyDescent="0.3">
      <c r="A54" s="19" t="s">
        <v>52</v>
      </c>
      <c r="B54" s="19" t="s">
        <v>277</v>
      </c>
      <c r="C54" s="20">
        <v>0.48958333333333331</v>
      </c>
      <c r="D54" s="19" t="s">
        <v>57</v>
      </c>
      <c r="E54" s="19" t="s">
        <v>61</v>
      </c>
      <c r="F54" s="19" t="s">
        <v>275</v>
      </c>
      <c r="G54" s="257"/>
      <c r="H54" s="10"/>
      <c r="I54" s="11"/>
      <c r="J54" s="11"/>
      <c r="K54" s="11"/>
      <c r="L54" s="11"/>
      <c r="M54" s="11"/>
      <c r="N54" s="11"/>
      <c r="O54" s="12"/>
      <c r="P54" s="11"/>
      <c r="Q54" s="13"/>
      <c r="R54" s="14"/>
    </row>
    <row r="55" spans="1:18" ht="15" customHeight="1" x14ac:dyDescent="0.3">
      <c r="A55" s="19" t="s">
        <v>52</v>
      </c>
      <c r="B55" s="19" t="s">
        <v>278</v>
      </c>
      <c r="C55" s="20">
        <v>0.88888888888888884</v>
      </c>
      <c r="D55" s="19" t="s">
        <v>57</v>
      </c>
      <c r="E55" s="19" t="s">
        <v>61</v>
      </c>
      <c r="F55" s="19" t="s">
        <v>275</v>
      </c>
      <c r="G55" s="257"/>
      <c r="H55" s="10"/>
      <c r="I55" s="11"/>
      <c r="J55" s="11"/>
      <c r="K55" s="11"/>
      <c r="L55" s="11"/>
      <c r="M55" s="11"/>
      <c r="N55" s="11"/>
      <c r="O55" s="12"/>
      <c r="P55" s="11"/>
      <c r="Q55" s="13"/>
      <c r="R55" s="14"/>
    </row>
    <row r="56" spans="1:18" ht="15" customHeight="1" x14ac:dyDescent="0.3">
      <c r="A56" s="19" t="s">
        <v>52</v>
      </c>
      <c r="B56" s="19" t="s">
        <v>279</v>
      </c>
      <c r="C56" s="20">
        <v>0.82986111111111116</v>
      </c>
      <c r="D56" s="19" t="s">
        <v>57</v>
      </c>
      <c r="E56" s="19" t="s">
        <v>61</v>
      </c>
      <c r="F56" s="19" t="s">
        <v>280</v>
      </c>
      <c r="G56" s="257"/>
      <c r="H56" s="10"/>
      <c r="I56" s="11"/>
      <c r="J56" s="11"/>
      <c r="K56" s="11"/>
      <c r="L56" s="11"/>
      <c r="M56" s="11"/>
      <c r="N56" s="11"/>
      <c r="O56" s="12"/>
      <c r="P56" s="11"/>
      <c r="Q56" s="13"/>
      <c r="R56" s="14"/>
    </row>
    <row r="57" spans="1:18" ht="15" customHeight="1" x14ac:dyDescent="0.3">
      <c r="A57" s="19" t="s">
        <v>52</v>
      </c>
      <c r="B57" s="19" t="s">
        <v>281</v>
      </c>
      <c r="C57" s="20">
        <v>0.72222222222222221</v>
      </c>
      <c r="D57" s="19" t="s">
        <v>57</v>
      </c>
      <c r="E57" s="19" t="s">
        <v>231</v>
      </c>
      <c r="F57" s="19" t="s">
        <v>280</v>
      </c>
      <c r="G57" s="257"/>
      <c r="H57" s="10"/>
      <c r="I57" s="11"/>
      <c r="J57" s="11"/>
      <c r="K57" s="11"/>
      <c r="L57" s="11"/>
      <c r="M57" s="11"/>
      <c r="N57" s="11"/>
      <c r="O57" s="12"/>
      <c r="P57" s="11"/>
      <c r="Q57" s="13"/>
      <c r="R57" s="14"/>
    </row>
    <row r="58" spans="1:18" ht="15" customHeight="1" x14ac:dyDescent="0.3">
      <c r="A58" s="19" t="s">
        <v>52</v>
      </c>
      <c r="B58" s="19" t="s">
        <v>282</v>
      </c>
      <c r="C58" s="20">
        <v>0.11805555555555559</v>
      </c>
      <c r="D58" s="19" t="s">
        <v>57</v>
      </c>
      <c r="E58" s="19" t="s">
        <v>233</v>
      </c>
      <c r="F58" s="19" t="s">
        <v>280</v>
      </c>
      <c r="G58" s="257"/>
      <c r="H58" s="10"/>
      <c r="I58" s="11"/>
      <c r="J58" s="11"/>
      <c r="K58" s="11"/>
      <c r="L58" s="11"/>
      <c r="M58" s="11"/>
      <c r="N58" s="11"/>
      <c r="O58" s="12"/>
      <c r="P58" s="11"/>
      <c r="Q58" s="13"/>
      <c r="R58" s="14"/>
    </row>
    <row r="59" spans="1:18" ht="15" customHeight="1" x14ac:dyDescent="0.3">
      <c r="A59" s="19" t="s">
        <v>52</v>
      </c>
      <c r="B59" s="19" t="s">
        <v>283</v>
      </c>
      <c r="C59" s="20">
        <v>0.70486111111111116</v>
      </c>
      <c r="D59" s="19" t="s">
        <v>57</v>
      </c>
      <c r="E59" s="19" t="s">
        <v>227</v>
      </c>
      <c r="F59" s="19" t="s">
        <v>280</v>
      </c>
      <c r="G59" s="257"/>
      <c r="H59" s="10"/>
      <c r="I59" s="11"/>
      <c r="J59" s="11"/>
      <c r="K59" s="11"/>
      <c r="L59" s="11"/>
      <c r="M59" s="11"/>
      <c r="N59" s="11"/>
      <c r="O59" s="12"/>
      <c r="P59" s="11"/>
      <c r="Q59" s="13"/>
      <c r="R59" s="14"/>
    </row>
    <row r="60" spans="1:18" ht="15" customHeight="1" x14ac:dyDescent="0.3">
      <c r="A60" s="19" t="s">
        <v>52</v>
      </c>
      <c r="B60" s="19" t="s">
        <v>284</v>
      </c>
      <c r="C60" s="20">
        <v>0.25347222222222221</v>
      </c>
      <c r="D60" s="19" t="s">
        <v>57</v>
      </c>
      <c r="E60" s="19" t="s">
        <v>47</v>
      </c>
      <c r="F60" s="19" t="s">
        <v>280</v>
      </c>
      <c r="G60" s="257"/>
      <c r="H60" s="10"/>
      <c r="I60" s="11"/>
      <c r="J60" s="11"/>
      <c r="K60" s="11"/>
      <c r="L60" s="11"/>
      <c r="M60" s="11"/>
      <c r="N60" s="11"/>
      <c r="O60" s="12"/>
      <c r="P60" s="11"/>
      <c r="Q60" s="13"/>
      <c r="R60" s="14"/>
    </row>
    <row r="61" spans="1:18" ht="15" customHeight="1" x14ac:dyDescent="0.3">
      <c r="A61" s="17" t="s">
        <v>68</v>
      </c>
      <c r="B61" s="17" t="s">
        <v>285</v>
      </c>
      <c r="C61" s="18">
        <v>0.78472222222222221</v>
      </c>
      <c r="D61" s="17" t="s">
        <v>70</v>
      </c>
      <c r="E61" s="17" t="s">
        <v>55</v>
      </c>
      <c r="F61" s="17" t="s">
        <v>286</v>
      </c>
      <c r="G61" s="257"/>
      <c r="H61" s="10"/>
      <c r="I61" s="11"/>
      <c r="J61" s="11"/>
      <c r="K61" s="11"/>
      <c r="L61" s="11"/>
      <c r="M61" s="11"/>
      <c r="N61" s="11"/>
      <c r="O61" s="12"/>
      <c r="P61" s="11"/>
      <c r="Q61" s="13"/>
      <c r="R61" s="14"/>
    </row>
    <row r="62" spans="1:18" ht="15" customHeight="1" x14ac:dyDescent="0.3">
      <c r="A62" s="19" t="s">
        <v>68</v>
      </c>
      <c r="B62" s="19" t="s">
        <v>287</v>
      </c>
      <c r="C62" s="20">
        <v>0.97222222222222221</v>
      </c>
      <c r="D62" s="19" t="s">
        <v>70</v>
      </c>
      <c r="E62" s="19" t="s">
        <v>288</v>
      </c>
      <c r="F62" s="19" t="s">
        <v>289</v>
      </c>
      <c r="G62" s="257"/>
      <c r="H62" s="10"/>
      <c r="I62" s="11"/>
      <c r="J62" s="11"/>
      <c r="K62" s="11"/>
      <c r="L62" s="11"/>
      <c r="M62" s="11"/>
      <c r="N62" s="11"/>
      <c r="O62" s="12"/>
      <c r="P62" s="11"/>
      <c r="Q62" s="13"/>
      <c r="R62" s="14"/>
    </row>
    <row r="63" spans="1:18" ht="15" customHeight="1" x14ac:dyDescent="0.3">
      <c r="A63" s="19" t="s">
        <v>68</v>
      </c>
      <c r="B63" s="19" t="s">
        <v>290</v>
      </c>
      <c r="C63" s="20">
        <v>0.1041666666666667</v>
      </c>
      <c r="D63" s="19" t="s">
        <v>70</v>
      </c>
      <c r="E63" s="19" t="s">
        <v>86</v>
      </c>
      <c r="F63" s="19" t="s">
        <v>289</v>
      </c>
      <c r="G63" s="257"/>
      <c r="H63" s="10"/>
      <c r="I63" s="11"/>
      <c r="J63" s="11"/>
      <c r="K63" s="11"/>
      <c r="L63" s="11"/>
      <c r="M63" s="11"/>
      <c r="N63" s="11"/>
      <c r="O63" s="12"/>
      <c r="P63" s="11"/>
      <c r="Q63" s="13"/>
      <c r="R63" s="14"/>
    </row>
    <row r="64" spans="1:18" ht="15" customHeight="1" x14ac:dyDescent="0.3">
      <c r="A64" s="19" t="s">
        <v>68</v>
      </c>
      <c r="B64" s="19" t="s">
        <v>291</v>
      </c>
      <c r="C64" s="20">
        <v>0.60069444444444442</v>
      </c>
      <c r="D64" s="19" t="s">
        <v>70</v>
      </c>
      <c r="E64" s="19" t="s">
        <v>86</v>
      </c>
      <c r="F64" s="19" t="s">
        <v>289</v>
      </c>
      <c r="G64" s="257"/>
      <c r="H64" s="10"/>
      <c r="I64" s="11"/>
      <c r="J64" s="11"/>
      <c r="K64" s="11"/>
      <c r="L64" s="11"/>
      <c r="M64" s="11"/>
      <c r="N64" s="11"/>
      <c r="O64" s="12"/>
      <c r="P64" s="11"/>
      <c r="Q64" s="13"/>
      <c r="R64" s="14"/>
    </row>
    <row r="65" spans="1:18" ht="15" customHeight="1" x14ac:dyDescent="0.3">
      <c r="A65" s="19" t="s">
        <v>68</v>
      </c>
      <c r="B65" s="19" t="s">
        <v>292</v>
      </c>
      <c r="C65" s="20">
        <v>0.83680555555555547</v>
      </c>
      <c r="D65" s="19" t="s">
        <v>70</v>
      </c>
      <c r="E65" s="19" t="s">
        <v>86</v>
      </c>
      <c r="F65" s="19" t="s">
        <v>293</v>
      </c>
      <c r="G65" s="257"/>
      <c r="H65" s="10"/>
      <c r="I65" s="11"/>
      <c r="J65" s="11"/>
      <c r="K65" s="11"/>
      <c r="L65" s="11"/>
      <c r="M65" s="11"/>
      <c r="N65" s="11"/>
      <c r="O65" s="12"/>
      <c r="P65" s="11"/>
      <c r="Q65" s="13"/>
      <c r="R65" s="14"/>
    </row>
    <row r="66" spans="1:18" ht="15" customHeight="1" thickBot="1" x14ac:dyDescent="0.35">
      <c r="A66" s="39" t="s">
        <v>68</v>
      </c>
      <c r="B66" s="39" t="s">
        <v>294</v>
      </c>
      <c r="C66" s="40">
        <v>4.8611111111111112E-2</v>
      </c>
      <c r="D66" s="39" t="s">
        <v>70</v>
      </c>
      <c r="E66" s="39" t="s">
        <v>86</v>
      </c>
      <c r="F66" s="39" t="s">
        <v>293</v>
      </c>
      <c r="G66" s="258"/>
      <c r="H66" s="41"/>
      <c r="I66" s="42"/>
      <c r="J66" s="42"/>
      <c r="K66" s="42"/>
      <c r="L66" s="42"/>
      <c r="M66" s="42"/>
      <c r="N66" s="42"/>
      <c r="O66" s="43"/>
      <c r="P66" s="42"/>
      <c r="Q66" s="44"/>
      <c r="R66" s="45"/>
    </row>
    <row r="67" spans="1:18" ht="17.399999999999999" customHeight="1" thickBot="1" x14ac:dyDescent="0.35">
      <c r="A67" s="285"/>
      <c r="B67" s="286"/>
      <c r="C67" s="286"/>
      <c r="D67" s="286"/>
      <c r="E67" s="286"/>
      <c r="F67" s="286"/>
      <c r="G67" s="286"/>
      <c r="H67" s="286"/>
      <c r="I67" s="286"/>
      <c r="J67" s="286"/>
      <c r="K67" s="286"/>
      <c r="L67" s="286"/>
      <c r="M67" s="286"/>
      <c r="N67" s="286"/>
      <c r="O67" s="286"/>
      <c r="P67" s="286"/>
      <c r="Q67" s="286"/>
      <c r="R67" s="287"/>
    </row>
    <row r="68" spans="1:18" ht="22.05" customHeight="1" thickTop="1" thickBot="1" x14ac:dyDescent="0.35">
      <c r="A68" s="259" t="s">
        <v>6</v>
      </c>
      <c r="B68" s="251"/>
      <c r="C68" s="251"/>
      <c r="D68" s="251"/>
      <c r="E68" s="251"/>
      <c r="F68" s="252"/>
      <c r="G68" s="31">
        <v>45982</v>
      </c>
      <c r="H68" s="250" t="s">
        <v>7</v>
      </c>
      <c r="I68" s="251"/>
      <c r="J68" s="251"/>
      <c r="K68" s="251"/>
      <c r="L68" s="251"/>
      <c r="M68" s="251"/>
      <c r="N68" s="251"/>
      <c r="O68" s="251"/>
      <c r="P68" s="251"/>
      <c r="Q68" s="251"/>
      <c r="R68" s="252"/>
    </row>
    <row r="69" spans="1:18" ht="24" customHeight="1" x14ac:dyDescent="0.3">
      <c r="A69" s="32" t="s">
        <v>8</v>
      </c>
      <c r="B69" s="32" t="s">
        <v>9</v>
      </c>
      <c r="C69" s="33" t="s">
        <v>10</v>
      </c>
      <c r="D69" s="32" t="s">
        <v>11</v>
      </c>
      <c r="E69" s="32" t="s">
        <v>12</v>
      </c>
      <c r="F69" s="34" t="s">
        <v>13</v>
      </c>
      <c r="G69" s="35" t="s">
        <v>14</v>
      </c>
      <c r="H69" s="32" t="s">
        <v>15</v>
      </c>
      <c r="I69" s="36" t="s">
        <v>16</v>
      </c>
      <c r="J69" s="37" t="s">
        <v>17</v>
      </c>
      <c r="K69" s="38" t="s">
        <v>18</v>
      </c>
      <c r="L69" s="37" t="s">
        <v>19</v>
      </c>
      <c r="M69" s="37" t="s">
        <v>20</v>
      </c>
      <c r="N69" s="37" t="s">
        <v>21</v>
      </c>
      <c r="O69" s="32" t="s">
        <v>22</v>
      </c>
      <c r="P69" s="33" t="s">
        <v>23</v>
      </c>
      <c r="Q69" s="37" t="s">
        <v>24</v>
      </c>
      <c r="R69" s="32" t="s">
        <v>25</v>
      </c>
    </row>
    <row r="70" spans="1:18" ht="15" customHeight="1" x14ac:dyDescent="0.3">
      <c r="A70" s="8" t="s">
        <v>26</v>
      </c>
      <c r="B70" s="8" t="s">
        <v>211</v>
      </c>
      <c r="C70" s="9">
        <v>0.39930555555555558</v>
      </c>
      <c r="D70" s="8" t="s">
        <v>28</v>
      </c>
      <c r="E70" s="8" t="s">
        <v>81</v>
      </c>
      <c r="F70" s="8" t="s">
        <v>213</v>
      </c>
      <c r="G70" s="256"/>
      <c r="H70" s="10"/>
      <c r="I70" s="11"/>
      <c r="J70" s="11"/>
      <c r="K70" s="11"/>
      <c r="L70" s="11"/>
      <c r="M70" s="11"/>
      <c r="N70" s="11"/>
      <c r="O70" s="12"/>
      <c r="P70" s="11"/>
      <c r="Q70" s="13"/>
      <c r="R70" s="14"/>
    </row>
    <row r="71" spans="1:18" ht="15" customHeight="1" x14ac:dyDescent="0.3">
      <c r="A71" s="15" t="s">
        <v>26</v>
      </c>
      <c r="B71" s="15" t="s">
        <v>211</v>
      </c>
      <c r="C71" s="16">
        <v>0.39930555555555558</v>
      </c>
      <c r="D71" s="15" t="s">
        <v>31</v>
      </c>
      <c r="E71" s="15" t="s">
        <v>82</v>
      </c>
      <c r="F71" s="15" t="s">
        <v>215</v>
      </c>
      <c r="G71" s="257"/>
      <c r="H71" s="10"/>
      <c r="I71" s="11"/>
      <c r="J71" s="11"/>
      <c r="K71" s="11"/>
      <c r="L71" s="11"/>
      <c r="M71" s="11"/>
      <c r="N71" s="11"/>
      <c r="O71" s="12"/>
      <c r="P71" s="11"/>
      <c r="Q71" s="13"/>
      <c r="R71" s="14"/>
    </row>
    <row r="72" spans="1:18" ht="15" customHeight="1" x14ac:dyDescent="0.3">
      <c r="A72" s="15" t="s">
        <v>26</v>
      </c>
      <c r="B72" s="15" t="s">
        <v>211</v>
      </c>
      <c r="C72" s="16">
        <v>0.39930555555555558</v>
      </c>
      <c r="D72" s="15" t="s">
        <v>34</v>
      </c>
      <c r="E72" s="15" t="s">
        <v>82</v>
      </c>
      <c r="F72" s="15" t="s">
        <v>35</v>
      </c>
      <c r="G72" s="257"/>
      <c r="H72" s="10"/>
      <c r="I72" s="11"/>
      <c r="J72" s="11"/>
      <c r="K72" s="11"/>
      <c r="L72" s="11"/>
      <c r="M72" s="11"/>
      <c r="N72" s="11"/>
      <c r="O72" s="12"/>
      <c r="P72" s="11"/>
      <c r="Q72" s="13"/>
      <c r="R72" s="14"/>
    </row>
    <row r="73" spans="1:18" ht="15" customHeight="1" x14ac:dyDescent="0.3">
      <c r="A73" s="19" t="s">
        <v>26</v>
      </c>
      <c r="B73" s="19" t="s">
        <v>218</v>
      </c>
      <c r="C73" s="20">
        <v>0.48958333333333331</v>
      </c>
      <c r="D73" s="19" t="s">
        <v>28</v>
      </c>
      <c r="E73" s="19" t="s">
        <v>61</v>
      </c>
      <c r="F73" s="19" t="s">
        <v>213</v>
      </c>
      <c r="G73" s="257"/>
      <c r="H73" s="10"/>
      <c r="I73" s="11"/>
      <c r="J73" s="11"/>
      <c r="K73" s="11"/>
      <c r="L73" s="11"/>
      <c r="M73" s="11"/>
      <c r="N73" s="11"/>
      <c r="O73" s="12"/>
      <c r="P73" s="11"/>
      <c r="Q73" s="13"/>
      <c r="R73" s="14"/>
    </row>
    <row r="74" spans="1:18" ht="15" customHeight="1" x14ac:dyDescent="0.3">
      <c r="A74" s="15" t="s">
        <v>26</v>
      </c>
      <c r="B74" s="15" t="s">
        <v>218</v>
      </c>
      <c r="C74" s="16">
        <v>0.48958333333333331</v>
      </c>
      <c r="D74" s="15" t="s">
        <v>31</v>
      </c>
      <c r="E74" s="15" t="s">
        <v>96</v>
      </c>
      <c r="F74" s="15" t="s">
        <v>215</v>
      </c>
      <c r="G74" s="257"/>
      <c r="H74" s="10"/>
      <c r="I74" s="11"/>
      <c r="J74" s="11"/>
      <c r="K74" s="11"/>
      <c r="L74" s="11"/>
      <c r="M74" s="11"/>
      <c r="N74" s="11"/>
      <c r="O74" s="12"/>
      <c r="P74" s="11"/>
      <c r="Q74" s="13"/>
      <c r="R74" s="14"/>
    </row>
    <row r="75" spans="1:18" ht="15" customHeight="1" x14ac:dyDescent="0.3">
      <c r="A75" s="15" t="s">
        <v>26</v>
      </c>
      <c r="B75" s="15" t="s">
        <v>218</v>
      </c>
      <c r="C75" s="16">
        <v>0.48958333333333331</v>
      </c>
      <c r="D75" s="15" t="s">
        <v>34</v>
      </c>
      <c r="E75" s="15" t="s">
        <v>96</v>
      </c>
      <c r="F75" s="15" t="s">
        <v>35</v>
      </c>
      <c r="G75" s="257"/>
      <c r="H75" s="10"/>
      <c r="I75" s="11"/>
      <c r="J75" s="11"/>
      <c r="K75" s="11"/>
      <c r="L75" s="11"/>
      <c r="M75" s="11"/>
      <c r="N75" s="11"/>
      <c r="O75" s="12"/>
      <c r="P75" s="11"/>
      <c r="Q75" s="13"/>
      <c r="R75" s="14"/>
    </row>
    <row r="76" spans="1:18" ht="15" customHeight="1" x14ac:dyDescent="0.3">
      <c r="A76" s="19" t="s">
        <v>26</v>
      </c>
      <c r="B76" s="19" t="s">
        <v>207</v>
      </c>
      <c r="C76" s="20">
        <v>0.98958333333333337</v>
      </c>
      <c r="D76" s="19" t="s">
        <v>28</v>
      </c>
      <c r="E76" s="19" t="s">
        <v>227</v>
      </c>
      <c r="F76" s="19" t="s">
        <v>213</v>
      </c>
      <c r="G76" s="257"/>
      <c r="H76" s="10"/>
      <c r="I76" s="11"/>
      <c r="J76" s="11"/>
      <c r="K76" s="11"/>
      <c r="L76" s="11"/>
      <c r="M76" s="11"/>
      <c r="N76" s="11"/>
      <c r="O76" s="12"/>
      <c r="P76" s="11"/>
      <c r="Q76" s="13"/>
      <c r="R76" s="14"/>
    </row>
    <row r="77" spans="1:18" ht="15" customHeight="1" x14ac:dyDescent="0.3">
      <c r="A77" s="15" t="s">
        <v>26</v>
      </c>
      <c r="B77" s="15" t="s">
        <v>207</v>
      </c>
      <c r="C77" s="16">
        <v>0.98958333333333337</v>
      </c>
      <c r="D77" s="15" t="s">
        <v>31</v>
      </c>
      <c r="E77" s="15" t="s">
        <v>32</v>
      </c>
      <c r="F77" s="15" t="s">
        <v>215</v>
      </c>
      <c r="G77" s="257"/>
      <c r="H77" s="10"/>
      <c r="I77" s="11"/>
      <c r="J77" s="11"/>
      <c r="K77" s="11"/>
      <c r="L77" s="11"/>
      <c r="M77" s="11"/>
      <c r="N77" s="11"/>
      <c r="O77" s="12"/>
      <c r="P77" s="11"/>
      <c r="Q77" s="13"/>
      <c r="R77" s="14"/>
    </row>
    <row r="78" spans="1:18" ht="15" customHeight="1" x14ac:dyDescent="0.3">
      <c r="A78" s="15" t="s">
        <v>26</v>
      </c>
      <c r="B78" s="15" t="s">
        <v>207</v>
      </c>
      <c r="C78" s="16">
        <v>0.98958333333333337</v>
      </c>
      <c r="D78" s="15" t="s">
        <v>34</v>
      </c>
      <c r="E78" s="15" t="s">
        <v>32</v>
      </c>
      <c r="F78" s="15" t="s">
        <v>35</v>
      </c>
      <c r="G78" s="257"/>
      <c r="H78" s="10"/>
      <c r="I78" s="11"/>
      <c r="J78" s="11"/>
      <c r="K78" s="11"/>
      <c r="L78" s="11"/>
      <c r="M78" s="11"/>
      <c r="N78" s="11"/>
      <c r="O78" s="12"/>
      <c r="P78" s="11"/>
      <c r="Q78" s="13"/>
      <c r="R78" s="14"/>
    </row>
    <row r="79" spans="1:18" ht="15" customHeight="1" x14ac:dyDescent="0.3">
      <c r="A79" s="19" t="s">
        <v>26</v>
      </c>
      <c r="B79" s="19" t="s">
        <v>216</v>
      </c>
      <c r="C79" s="20">
        <v>0.88888888888888884</v>
      </c>
      <c r="D79" s="19" t="s">
        <v>295</v>
      </c>
      <c r="E79" s="19" t="s">
        <v>296</v>
      </c>
      <c r="F79" s="19" t="s">
        <v>220</v>
      </c>
      <c r="G79" s="257"/>
      <c r="H79" s="10"/>
      <c r="I79" s="11"/>
      <c r="J79" s="11"/>
      <c r="K79" s="11"/>
      <c r="L79" s="11"/>
      <c r="M79" s="11"/>
      <c r="N79" s="11"/>
      <c r="O79" s="12"/>
      <c r="P79" s="11"/>
      <c r="Q79" s="13"/>
      <c r="R79" s="14"/>
    </row>
    <row r="80" spans="1:18" ht="15" customHeight="1" x14ac:dyDescent="0.3">
      <c r="A80" s="15" t="s">
        <v>26</v>
      </c>
      <c r="B80" s="15" t="s">
        <v>216</v>
      </c>
      <c r="C80" s="16">
        <v>0.88888888888888884</v>
      </c>
      <c r="D80" s="15" t="s">
        <v>28</v>
      </c>
      <c r="E80" s="15" t="s">
        <v>94</v>
      </c>
      <c r="F80" s="15" t="s">
        <v>220</v>
      </c>
      <c r="G80" s="257"/>
      <c r="H80" s="10"/>
      <c r="I80" s="11"/>
      <c r="J80" s="11"/>
      <c r="K80" s="11"/>
      <c r="L80" s="11"/>
      <c r="M80" s="11"/>
      <c r="N80" s="11"/>
      <c r="O80" s="12"/>
      <c r="P80" s="11"/>
      <c r="Q80" s="13"/>
      <c r="R80" s="14"/>
    </row>
    <row r="81" spans="1:18" ht="15" customHeight="1" x14ac:dyDescent="0.3">
      <c r="A81" s="15" t="s">
        <v>26</v>
      </c>
      <c r="B81" s="15" t="s">
        <v>216</v>
      </c>
      <c r="C81" s="16">
        <v>0.88888888888888884</v>
      </c>
      <c r="D81" s="15" t="s">
        <v>31</v>
      </c>
      <c r="E81" s="15" t="s">
        <v>94</v>
      </c>
      <c r="F81" s="15" t="s">
        <v>222</v>
      </c>
      <c r="G81" s="257"/>
      <c r="H81" s="10"/>
      <c r="I81" s="11"/>
      <c r="J81" s="11"/>
      <c r="K81" s="11"/>
      <c r="L81" s="11"/>
      <c r="M81" s="11"/>
      <c r="N81" s="11"/>
      <c r="O81" s="12"/>
      <c r="P81" s="11"/>
      <c r="Q81" s="13"/>
      <c r="R81" s="14"/>
    </row>
    <row r="82" spans="1:18" ht="15" customHeight="1" x14ac:dyDescent="0.3">
      <c r="A82" s="15" t="s">
        <v>26</v>
      </c>
      <c r="B82" s="15" t="s">
        <v>216</v>
      </c>
      <c r="C82" s="16">
        <v>0.88888888888888884</v>
      </c>
      <c r="D82" s="15" t="s">
        <v>34</v>
      </c>
      <c r="E82" s="15" t="s">
        <v>94</v>
      </c>
      <c r="F82" s="15" t="s">
        <v>35</v>
      </c>
      <c r="G82" s="257"/>
      <c r="H82" s="10"/>
      <c r="I82" s="11"/>
      <c r="J82" s="11"/>
      <c r="K82" s="11"/>
      <c r="L82" s="11"/>
      <c r="M82" s="11"/>
      <c r="N82" s="11"/>
      <c r="O82" s="12"/>
      <c r="P82" s="11"/>
      <c r="Q82" s="13"/>
      <c r="R82" s="14"/>
    </row>
    <row r="83" spans="1:18" ht="15" customHeight="1" x14ac:dyDescent="0.3">
      <c r="A83" s="17" t="s">
        <v>36</v>
      </c>
      <c r="B83" s="17" t="s">
        <v>228</v>
      </c>
      <c r="C83" s="18">
        <v>0.34722222222222232</v>
      </c>
      <c r="D83" s="17" t="s">
        <v>297</v>
      </c>
      <c r="E83" s="17" t="s">
        <v>80</v>
      </c>
      <c r="F83" s="17" t="s">
        <v>30</v>
      </c>
      <c r="G83" s="257"/>
      <c r="H83" s="10"/>
      <c r="I83" s="11"/>
      <c r="J83" s="11"/>
      <c r="K83" s="11"/>
      <c r="L83" s="11"/>
      <c r="M83" s="11"/>
      <c r="N83" s="11"/>
      <c r="O83" s="12"/>
      <c r="P83" s="11"/>
      <c r="Q83" s="13"/>
      <c r="R83" s="14"/>
    </row>
    <row r="84" spans="1:18" ht="15" customHeight="1" x14ac:dyDescent="0.3">
      <c r="A84" s="15" t="s">
        <v>36</v>
      </c>
      <c r="B84" s="15" t="s">
        <v>228</v>
      </c>
      <c r="C84" s="16">
        <v>0.34722222222222232</v>
      </c>
      <c r="D84" s="15" t="s">
        <v>38</v>
      </c>
      <c r="E84" s="15" t="s">
        <v>49</v>
      </c>
      <c r="F84" s="15" t="s">
        <v>30</v>
      </c>
      <c r="G84" s="257"/>
      <c r="H84" s="10"/>
      <c r="I84" s="11"/>
      <c r="J84" s="11"/>
      <c r="K84" s="11"/>
      <c r="L84" s="11"/>
      <c r="M84" s="11"/>
      <c r="N84" s="11"/>
      <c r="O84" s="12"/>
      <c r="P84" s="11"/>
      <c r="Q84" s="13"/>
      <c r="R84" s="14"/>
    </row>
    <row r="85" spans="1:18" ht="15" customHeight="1" x14ac:dyDescent="0.3">
      <c r="A85" s="15" t="s">
        <v>36</v>
      </c>
      <c r="B85" s="15" t="s">
        <v>228</v>
      </c>
      <c r="C85" s="16">
        <v>0.34722222222222232</v>
      </c>
      <c r="D85" s="15" t="s">
        <v>41</v>
      </c>
      <c r="E85" s="15" t="s">
        <v>49</v>
      </c>
      <c r="F85" s="15" t="s">
        <v>95</v>
      </c>
      <c r="G85" s="257"/>
      <c r="H85" s="10"/>
      <c r="I85" s="11"/>
      <c r="J85" s="11"/>
      <c r="K85" s="11"/>
      <c r="L85" s="11"/>
      <c r="M85" s="11"/>
      <c r="N85" s="11"/>
      <c r="O85" s="12"/>
      <c r="P85" s="11"/>
      <c r="Q85" s="13"/>
      <c r="R85" s="14"/>
    </row>
    <row r="86" spans="1:18" ht="15" customHeight="1" x14ac:dyDescent="0.3">
      <c r="A86" s="15" t="s">
        <v>36</v>
      </c>
      <c r="B86" s="15" t="s">
        <v>228</v>
      </c>
      <c r="C86" s="16">
        <v>0.34722222222222232</v>
      </c>
      <c r="D86" s="15" t="s">
        <v>44</v>
      </c>
      <c r="E86" s="15" t="s">
        <v>49</v>
      </c>
      <c r="F86" s="15" t="s">
        <v>225</v>
      </c>
      <c r="G86" s="257"/>
      <c r="H86" s="10"/>
      <c r="I86" s="11"/>
      <c r="J86" s="11"/>
      <c r="K86" s="11"/>
      <c r="L86" s="11"/>
      <c r="M86" s="11"/>
      <c r="N86" s="11"/>
      <c r="O86" s="12"/>
      <c r="P86" s="11"/>
      <c r="Q86" s="13"/>
      <c r="R86" s="14"/>
    </row>
    <row r="87" spans="1:18" ht="15" customHeight="1" x14ac:dyDescent="0.3">
      <c r="A87" s="19" t="s">
        <v>36</v>
      </c>
      <c r="B87" s="19" t="s">
        <v>234</v>
      </c>
      <c r="C87" s="20">
        <v>0.4861111111111111</v>
      </c>
      <c r="D87" s="19" t="s">
        <v>297</v>
      </c>
      <c r="E87" s="19" t="s">
        <v>233</v>
      </c>
      <c r="F87" s="19" t="s">
        <v>30</v>
      </c>
      <c r="G87" s="257"/>
      <c r="H87" s="10"/>
      <c r="I87" s="11"/>
      <c r="J87" s="11"/>
      <c r="K87" s="11"/>
      <c r="L87" s="11"/>
      <c r="M87" s="11"/>
      <c r="N87" s="11"/>
      <c r="O87" s="12"/>
      <c r="P87" s="11"/>
      <c r="Q87" s="13"/>
      <c r="R87" s="14"/>
    </row>
    <row r="88" spans="1:18" ht="15" customHeight="1" x14ac:dyDescent="0.3">
      <c r="A88" s="15" t="s">
        <v>36</v>
      </c>
      <c r="B88" s="15" t="s">
        <v>234</v>
      </c>
      <c r="C88" s="16">
        <v>0.4861111111111111</v>
      </c>
      <c r="D88" s="15" t="s">
        <v>38</v>
      </c>
      <c r="E88" s="15" t="s">
        <v>209</v>
      </c>
      <c r="F88" s="15" t="s">
        <v>30</v>
      </c>
      <c r="G88" s="257"/>
      <c r="H88" s="10"/>
      <c r="I88" s="11"/>
      <c r="J88" s="11"/>
      <c r="K88" s="11"/>
      <c r="L88" s="11"/>
      <c r="M88" s="11"/>
      <c r="N88" s="11"/>
      <c r="O88" s="12"/>
      <c r="P88" s="11"/>
      <c r="Q88" s="13"/>
      <c r="R88" s="14"/>
    </row>
    <row r="89" spans="1:18" ht="15" customHeight="1" x14ac:dyDescent="0.3">
      <c r="A89" s="15" t="s">
        <v>36</v>
      </c>
      <c r="B89" s="15" t="s">
        <v>234</v>
      </c>
      <c r="C89" s="16">
        <v>0.4861111111111111</v>
      </c>
      <c r="D89" s="15" t="s">
        <v>41</v>
      </c>
      <c r="E89" s="15" t="s">
        <v>209</v>
      </c>
      <c r="F89" s="15" t="s">
        <v>95</v>
      </c>
      <c r="G89" s="257"/>
      <c r="H89" s="10"/>
      <c r="I89" s="11"/>
      <c r="J89" s="11"/>
      <c r="K89" s="11"/>
      <c r="L89" s="11"/>
      <c r="M89" s="11"/>
      <c r="N89" s="11"/>
      <c r="O89" s="12"/>
      <c r="P89" s="11"/>
      <c r="Q89" s="13"/>
      <c r="R89" s="14"/>
    </row>
    <row r="90" spans="1:18" ht="15" customHeight="1" x14ac:dyDescent="0.3">
      <c r="A90" s="15" t="s">
        <v>36</v>
      </c>
      <c r="B90" s="15" t="s">
        <v>234</v>
      </c>
      <c r="C90" s="16">
        <v>0.4861111111111111</v>
      </c>
      <c r="D90" s="15" t="s">
        <v>44</v>
      </c>
      <c r="E90" s="15" t="s">
        <v>209</v>
      </c>
      <c r="F90" s="15" t="s">
        <v>225</v>
      </c>
      <c r="G90" s="257"/>
      <c r="H90" s="10"/>
      <c r="I90" s="11"/>
      <c r="J90" s="11"/>
      <c r="K90" s="11"/>
      <c r="L90" s="11"/>
      <c r="M90" s="11"/>
      <c r="N90" s="11"/>
      <c r="O90" s="12"/>
      <c r="P90" s="11"/>
      <c r="Q90" s="13"/>
      <c r="R90" s="14"/>
    </row>
    <row r="91" spans="1:18" ht="15" customHeight="1" x14ac:dyDescent="0.3">
      <c r="A91" s="19" t="s">
        <v>36</v>
      </c>
      <c r="B91" s="19" t="s">
        <v>238</v>
      </c>
      <c r="C91" s="20">
        <v>0.88888888888888884</v>
      </c>
      <c r="D91" s="19" t="s">
        <v>297</v>
      </c>
      <c r="E91" s="19" t="s">
        <v>233</v>
      </c>
      <c r="F91" s="19" t="s">
        <v>30</v>
      </c>
      <c r="G91" s="257"/>
      <c r="H91" s="10"/>
      <c r="I91" s="11"/>
      <c r="J91" s="11"/>
      <c r="K91" s="11"/>
      <c r="L91" s="11"/>
      <c r="M91" s="11"/>
      <c r="N91" s="11"/>
      <c r="O91" s="12"/>
      <c r="P91" s="11"/>
      <c r="Q91" s="13"/>
      <c r="R91" s="14"/>
    </row>
    <row r="92" spans="1:18" ht="15" customHeight="1" x14ac:dyDescent="0.3">
      <c r="A92" s="15" t="s">
        <v>36</v>
      </c>
      <c r="B92" s="15" t="s">
        <v>238</v>
      </c>
      <c r="C92" s="16">
        <v>0.88888888888888884</v>
      </c>
      <c r="D92" s="15" t="s">
        <v>38</v>
      </c>
      <c r="E92" s="15" t="s">
        <v>209</v>
      </c>
      <c r="F92" s="15" t="s">
        <v>30</v>
      </c>
      <c r="G92" s="257"/>
      <c r="H92" s="10"/>
      <c r="I92" s="11"/>
      <c r="J92" s="11"/>
      <c r="K92" s="11"/>
      <c r="L92" s="11"/>
      <c r="M92" s="11"/>
      <c r="N92" s="11"/>
      <c r="O92" s="12"/>
      <c r="P92" s="11"/>
      <c r="Q92" s="13"/>
      <c r="R92" s="14"/>
    </row>
    <row r="93" spans="1:18" ht="15" customHeight="1" x14ac:dyDescent="0.3">
      <c r="A93" s="15" t="s">
        <v>36</v>
      </c>
      <c r="B93" s="15" t="s">
        <v>238</v>
      </c>
      <c r="C93" s="16">
        <v>0.88888888888888884</v>
      </c>
      <c r="D93" s="15" t="s">
        <v>41</v>
      </c>
      <c r="E93" s="15" t="s">
        <v>209</v>
      </c>
      <c r="F93" s="15" t="s">
        <v>95</v>
      </c>
      <c r="G93" s="257"/>
      <c r="H93" s="10"/>
      <c r="I93" s="11"/>
      <c r="J93" s="11"/>
      <c r="K93" s="11"/>
      <c r="L93" s="11"/>
      <c r="M93" s="11"/>
      <c r="N93" s="11"/>
      <c r="O93" s="12"/>
      <c r="P93" s="11"/>
      <c r="Q93" s="13"/>
      <c r="R93" s="14"/>
    </row>
    <row r="94" spans="1:18" ht="15" customHeight="1" x14ac:dyDescent="0.3">
      <c r="A94" s="15" t="s">
        <v>36</v>
      </c>
      <c r="B94" s="15" t="s">
        <v>238</v>
      </c>
      <c r="C94" s="16">
        <v>0.88888888888888884</v>
      </c>
      <c r="D94" s="15" t="s">
        <v>44</v>
      </c>
      <c r="E94" s="15" t="s">
        <v>209</v>
      </c>
      <c r="F94" s="15" t="s">
        <v>225</v>
      </c>
      <c r="G94" s="257"/>
      <c r="H94" s="10"/>
      <c r="I94" s="11"/>
      <c r="J94" s="11"/>
      <c r="K94" s="11"/>
      <c r="L94" s="11"/>
      <c r="M94" s="11"/>
      <c r="N94" s="11"/>
      <c r="O94" s="12"/>
      <c r="P94" s="11"/>
      <c r="Q94" s="13"/>
      <c r="R94" s="14"/>
    </row>
    <row r="95" spans="1:18" ht="15" customHeight="1" x14ac:dyDescent="0.3">
      <c r="A95" s="19" t="s">
        <v>36</v>
      </c>
      <c r="B95" s="19" t="s">
        <v>224</v>
      </c>
      <c r="C95" s="20">
        <v>0.99305555555555547</v>
      </c>
      <c r="D95" s="19" t="s">
        <v>297</v>
      </c>
      <c r="E95" s="19" t="s">
        <v>217</v>
      </c>
      <c r="F95" s="19" t="s">
        <v>210</v>
      </c>
      <c r="G95" s="257"/>
      <c r="H95" s="10"/>
      <c r="I95" s="11"/>
      <c r="J95" s="11"/>
      <c r="K95" s="11"/>
      <c r="L95" s="11"/>
      <c r="M95" s="11"/>
      <c r="N95" s="11"/>
      <c r="O95" s="12"/>
      <c r="P95" s="11"/>
      <c r="Q95" s="13"/>
      <c r="R95" s="14"/>
    </row>
    <row r="96" spans="1:18" ht="15" customHeight="1" x14ac:dyDescent="0.3">
      <c r="A96" s="15" t="s">
        <v>36</v>
      </c>
      <c r="B96" s="15" t="s">
        <v>224</v>
      </c>
      <c r="C96" s="16">
        <v>0.99305555555555547</v>
      </c>
      <c r="D96" s="15" t="s">
        <v>38</v>
      </c>
      <c r="E96" s="15" t="s">
        <v>42</v>
      </c>
      <c r="F96" s="15" t="s">
        <v>210</v>
      </c>
      <c r="G96" s="257"/>
      <c r="H96" s="10"/>
      <c r="I96" s="11"/>
      <c r="J96" s="11"/>
      <c r="K96" s="11"/>
      <c r="L96" s="11"/>
      <c r="M96" s="11"/>
      <c r="N96" s="11"/>
      <c r="O96" s="12"/>
      <c r="P96" s="11"/>
      <c r="Q96" s="13"/>
      <c r="R96" s="14"/>
    </row>
    <row r="97" spans="1:18" ht="15" customHeight="1" x14ac:dyDescent="0.3">
      <c r="A97" s="15" t="s">
        <v>36</v>
      </c>
      <c r="B97" s="15" t="s">
        <v>224</v>
      </c>
      <c r="C97" s="16">
        <v>0.99305555555555547</v>
      </c>
      <c r="D97" s="15" t="s">
        <v>41</v>
      </c>
      <c r="E97" s="15" t="s">
        <v>42</v>
      </c>
      <c r="F97" s="15" t="s">
        <v>33</v>
      </c>
      <c r="G97" s="257"/>
      <c r="H97" s="10"/>
      <c r="I97" s="11"/>
      <c r="J97" s="11"/>
      <c r="K97" s="11"/>
      <c r="L97" s="11"/>
      <c r="M97" s="11"/>
      <c r="N97" s="11"/>
      <c r="O97" s="12"/>
      <c r="P97" s="11"/>
      <c r="Q97" s="13"/>
      <c r="R97" s="14"/>
    </row>
    <row r="98" spans="1:18" ht="15" customHeight="1" x14ac:dyDescent="0.3">
      <c r="A98" s="15" t="s">
        <v>36</v>
      </c>
      <c r="B98" s="15" t="s">
        <v>224</v>
      </c>
      <c r="C98" s="16">
        <v>0.99305555555555547</v>
      </c>
      <c r="D98" s="15" t="s">
        <v>44</v>
      </c>
      <c r="E98" s="15" t="s">
        <v>42</v>
      </c>
      <c r="F98" s="15" t="s">
        <v>229</v>
      </c>
      <c r="G98" s="257"/>
      <c r="H98" s="10"/>
      <c r="I98" s="11"/>
      <c r="J98" s="11"/>
      <c r="K98" s="11"/>
      <c r="L98" s="11"/>
      <c r="M98" s="11"/>
      <c r="N98" s="11"/>
      <c r="O98" s="12"/>
      <c r="P98" s="11"/>
      <c r="Q98" s="13"/>
      <c r="R98" s="14"/>
    </row>
    <row r="99" spans="1:18" ht="15" customHeight="1" x14ac:dyDescent="0.3">
      <c r="A99" s="19" t="s">
        <v>36</v>
      </c>
      <c r="B99" s="19" t="s">
        <v>230</v>
      </c>
      <c r="C99" s="20">
        <v>0.73611111111111116</v>
      </c>
      <c r="D99" s="19" t="s">
        <v>297</v>
      </c>
      <c r="E99" s="19" t="s">
        <v>47</v>
      </c>
      <c r="F99" s="19" t="s">
        <v>210</v>
      </c>
      <c r="G99" s="257"/>
      <c r="H99" s="10"/>
      <c r="I99" s="11"/>
      <c r="J99" s="11"/>
      <c r="K99" s="11"/>
      <c r="L99" s="11"/>
      <c r="M99" s="11"/>
      <c r="N99" s="11"/>
      <c r="O99" s="12"/>
      <c r="P99" s="11"/>
      <c r="Q99" s="13"/>
      <c r="R99" s="14"/>
    </row>
    <row r="100" spans="1:18" ht="15" customHeight="1" x14ac:dyDescent="0.3">
      <c r="A100" s="15" t="s">
        <v>36</v>
      </c>
      <c r="B100" s="15" t="s">
        <v>230</v>
      </c>
      <c r="C100" s="16">
        <v>0.73611111111111116</v>
      </c>
      <c r="D100" s="15" t="s">
        <v>38</v>
      </c>
      <c r="E100" s="15" t="s">
        <v>49</v>
      </c>
      <c r="F100" s="15" t="s">
        <v>210</v>
      </c>
      <c r="G100" s="257"/>
      <c r="H100" s="10"/>
      <c r="I100" s="11"/>
      <c r="J100" s="11"/>
      <c r="K100" s="11"/>
      <c r="L100" s="11"/>
      <c r="M100" s="11"/>
      <c r="N100" s="11"/>
      <c r="O100" s="12"/>
      <c r="P100" s="11"/>
      <c r="Q100" s="13"/>
      <c r="R100" s="14"/>
    </row>
    <row r="101" spans="1:18" ht="15" customHeight="1" x14ac:dyDescent="0.3">
      <c r="A101" s="15" t="s">
        <v>36</v>
      </c>
      <c r="B101" s="15" t="s">
        <v>230</v>
      </c>
      <c r="C101" s="16">
        <v>0.73611111111111116</v>
      </c>
      <c r="D101" s="15" t="s">
        <v>41</v>
      </c>
      <c r="E101" s="15" t="s">
        <v>49</v>
      </c>
      <c r="F101" s="15" t="s">
        <v>33</v>
      </c>
      <c r="G101" s="257"/>
      <c r="H101" s="10"/>
      <c r="I101" s="11"/>
      <c r="J101" s="11"/>
      <c r="K101" s="11"/>
      <c r="L101" s="11"/>
      <c r="M101" s="11"/>
      <c r="N101" s="11"/>
      <c r="O101" s="12"/>
      <c r="P101" s="11"/>
      <c r="Q101" s="13"/>
      <c r="R101" s="14"/>
    </row>
    <row r="102" spans="1:18" ht="15" customHeight="1" x14ac:dyDescent="0.3">
      <c r="A102" s="15" t="s">
        <v>36</v>
      </c>
      <c r="B102" s="15" t="s">
        <v>230</v>
      </c>
      <c r="C102" s="16">
        <v>0.73611111111111116</v>
      </c>
      <c r="D102" s="15" t="s">
        <v>44</v>
      </c>
      <c r="E102" s="15" t="s">
        <v>49</v>
      </c>
      <c r="F102" s="15" t="s">
        <v>229</v>
      </c>
      <c r="G102" s="257"/>
      <c r="H102" s="10"/>
      <c r="I102" s="11"/>
      <c r="J102" s="11"/>
      <c r="K102" s="11"/>
      <c r="L102" s="11"/>
      <c r="M102" s="11"/>
      <c r="N102" s="11"/>
      <c r="O102" s="12"/>
      <c r="P102" s="11"/>
      <c r="Q102" s="13"/>
      <c r="R102" s="14"/>
    </row>
    <row r="103" spans="1:18" ht="15" customHeight="1" x14ac:dyDescent="0.3">
      <c r="A103" s="19" t="s">
        <v>36</v>
      </c>
      <c r="B103" s="19" t="s">
        <v>232</v>
      </c>
      <c r="C103" s="20">
        <v>0.83680555555555547</v>
      </c>
      <c r="D103" s="19" t="s">
        <v>297</v>
      </c>
      <c r="E103" s="19" t="s">
        <v>217</v>
      </c>
      <c r="F103" s="19" t="s">
        <v>210</v>
      </c>
      <c r="G103" s="257"/>
      <c r="H103" s="10"/>
      <c r="I103" s="11"/>
      <c r="J103" s="11"/>
      <c r="K103" s="11"/>
      <c r="L103" s="11"/>
      <c r="M103" s="11"/>
      <c r="N103" s="11"/>
      <c r="O103" s="12"/>
      <c r="P103" s="11"/>
      <c r="Q103" s="13"/>
      <c r="R103" s="14"/>
    </row>
    <row r="104" spans="1:18" ht="15" customHeight="1" x14ac:dyDescent="0.3">
      <c r="A104" s="15" t="s">
        <v>36</v>
      </c>
      <c r="B104" s="15" t="s">
        <v>232</v>
      </c>
      <c r="C104" s="16">
        <v>0.83680555555555547</v>
      </c>
      <c r="D104" s="15" t="s">
        <v>38</v>
      </c>
      <c r="E104" s="15" t="s">
        <v>42</v>
      </c>
      <c r="F104" s="15" t="s">
        <v>210</v>
      </c>
      <c r="G104" s="257"/>
      <c r="H104" s="10"/>
      <c r="I104" s="11"/>
      <c r="J104" s="11"/>
      <c r="K104" s="11"/>
      <c r="L104" s="11"/>
      <c r="M104" s="11"/>
      <c r="N104" s="11"/>
      <c r="O104" s="12"/>
      <c r="P104" s="11"/>
      <c r="Q104" s="13"/>
      <c r="R104" s="14"/>
    </row>
    <row r="105" spans="1:18" ht="15" customHeight="1" x14ac:dyDescent="0.3">
      <c r="A105" s="15" t="s">
        <v>36</v>
      </c>
      <c r="B105" s="15" t="s">
        <v>232</v>
      </c>
      <c r="C105" s="16">
        <v>0.83680555555555547</v>
      </c>
      <c r="D105" s="15" t="s">
        <v>41</v>
      </c>
      <c r="E105" s="15" t="s">
        <v>42</v>
      </c>
      <c r="F105" s="15" t="s">
        <v>33</v>
      </c>
      <c r="G105" s="257"/>
      <c r="H105" s="10"/>
      <c r="I105" s="11"/>
      <c r="J105" s="11"/>
      <c r="K105" s="11"/>
      <c r="L105" s="11"/>
      <c r="M105" s="11"/>
      <c r="N105" s="11"/>
      <c r="O105" s="12"/>
      <c r="P105" s="11"/>
      <c r="Q105" s="13"/>
      <c r="R105" s="14"/>
    </row>
    <row r="106" spans="1:18" ht="15" customHeight="1" x14ac:dyDescent="0.3">
      <c r="A106" s="15" t="s">
        <v>36</v>
      </c>
      <c r="B106" s="15" t="s">
        <v>232</v>
      </c>
      <c r="C106" s="16">
        <v>0.83680555555555547</v>
      </c>
      <c r="D106" s="15" t="s">
        <v>44</v>
      </c>
      <c r="E106" s="15" t="s">
        <v>42</v>
      </c>
      <c r="F106" s="15" t="s">
        <v>229</v>
      </c>
      <c r="G106" s="257"/>
      <c r="H106" s="10"/>
      <c r="I106" s="11"/>
      <c r="J106" s="11"/>
      <c r="K106" s="11"/>
      <c r="L106" s="11"/>
      <c r="M106" s="11"/>
      <c r="N106" s="11"/>
      <c r="O106" s="12"/>
      <c r="P106" s="11"/>
      <c r="Q106" s="13"/>
      <c r="R106" s="14"/>
    </row>
    <row r="107" spans="1:18" ht="15" customHeight="1" x14ac:dyDescent="0.3">
      <c r="A107" s="19" t="s">
        <v>36</v>
      </c>
      <c r="B107" s="19" t="s">
        <v>226</v>
      </c>
      <c r="C107" s="20">
        <v>0.94444444444444453</v>
      </c>
      <c r="D107" s="19" t="s">
        <v>297</v>
      </c>
      <c r="E107" s="19" t="s">
        <v>61</v>
      </c>
      <c r="F107" s="19" t="s">
        <v>210</v>
      </c>
      <c r="G107" s="257"/>
      <c r="H107" s="10"/>
      <c r="I107" s="11"/>
      <c r="J107" s="11"/>
      <c r="K107" s="11"/>
      <c r="L107" s="11"/>
      <c r="M107" s="11"/>
      <c r="N107" s="11"/>
      <c r="O107" s="12"/>
      <c r="P107" s="11"/>
      <c r="Q107" s="13"/>
      <c r="R107" s="14"/>
    </row>
    <row r="108" spans="1:18" ht="15" customHeight="1" x14ac:dyDescent="0.3">
      <c r="A108" s="15" t="s">
        <v>36</v>
      </c>
      <c r="B108" s="15" t="s">
        <v>226</v>
      </c>
      <c r="C108" s="16">
        <v>0.94444444444444453</v>
      </c>
      <c r="D108" s="15" t="s">
        <v>38</v>
      </c>
      <c r="E108" s="15" t="s">
        <v>96</v>
      </c>
      <c r="F108" s="15" t="s">
        <v>210</v>
      </c>
      <c r="G108" s="257"/>
      <c r="H108" s="10"/>
      <c r="I108" s="11"/>
      <c r="J108" s="11"/>
      <c r="K108" s="11"/>
      <c r="L108" s="11"/>
      <c r="M108" s="11"/>
      <c r="N108" s="11"/>
      <c r="O108" s="12"/>
      <c r="P108" s="11"/>
      <c r="Q108" s="13"/>
      <c r="R108" s="14"/>
    </row>
    <row r="109" spans="1:18" ht="15" customHeight="1" x14ac:dyDescent="0.3">
      <c r="A109" s="15" t="s">
        <v>36</v>
      </c>
      <c r="B109" s="15" t="s">
        <v>226</v>
      </c>
      <c r="C109" s="16">
        <v>0.94444444444444453</v>
      </c>
      <c r="D109" s="15" t="s">
        <v>41</v>
      </c>
      <c r="E109" s="15" t="s">
        <v>96</v>
      </c>
      <c r="F109" s="15" t="s">
        <v>33</v>
      </c>
      <c r="G109" s="257"/>
      <c r="H109" s="10"/>
      <c r="I109" s="11"/>
      <c r="J109" s="11"/>
      <c r="K109" s="11"/>
      <c r="L109" s="11"/>
      <c r="M109" s="11"/>
      <c r="N109" s="11"/>
      <c r="O109" s="12"/>
      <c r="P109" s="11"/>
      <c r="Q109" s="13"/>
      <c r="R109" s="14"/>
    </row>
    <row r="110" spans="1:18" ht="15" customHeight="1" x14ac:dyDescent="0.3">
      <c r="A110" s="15" t="s">
        <v>36</v>
      </c>
      <c r="B110" s="15" t="s">
        <v>226</v>
      </c>
      <c r="C110" s="16">
        <v>0.94444444444444453</v>
      </c>
      <c r="D110" s="15" t="s">
        <v>44</v>
      </c>
      <c r="E110" s="15" t="s">
        <v>96</v>
      </c>
      <c r="F110" s="15" t="s">
        <v>229</v>
      </c>
      <c r="G110" s="257"/>
      <c r="H110" s="10"/>
      <c r="I110" s="11"/>
      <c r="J110" s="11"/>
      <c r="K110" s="11"/>
      <c r="L110" s="11"/>
      <c r="M110" s="11"/>
      <c r="N110" s="11"/>
      <c r="O110" s="12"/>
      <c r="P110" s="11"/>
      <c r="Q110" s="13"/>
      <c r="R110" s="14"/>
    </row>
    <row r="111" spans="1:18" ht="15" customHeight="1" x14ac:dyDescent="0.3">
      <c r="A111" s="17" t="s">
        <v>239</v>
      </c>
      <c r="B111" s="17" t="s">
        <v>240</v>
      </c>
      <c r="C111" s="18">
        <v>0.54166666666666663</v>
      </c>
      <c r="D111" s="17" t="s">
        <v>100</v>
      </c>
      <c r="E111" s="17" t="s">
        <v>298</v>
      </c>
      <c r="F111" s="17" t="s">
        <v>241</v>
      </c>
      <c r="G111" s="257"/>
      <c r="H111" s="10"/>
      <c r="I111" s="11"/>
      <c r="J111" s="11"/>
      <c r="K111" s="11"/>
      <c r="L111" s="11"/>
      <c r="M111" s="11"/>
      <c r="N111" s="11"/>
      <c r="O111" s="12"/>
      <c r="P111" s="11"/>
      <c r="Q111" s="13"/>
      <c r="R111" s="14"/>
    </row>
    <row r="112" spans="1:18" ht="15" customHeight="1" x14ac:dyDescent="0.3">
      <c r="A112" s="19" t="s">
        <v>239</v>
      </c>
      <c r="B112" s="19" t="s">
        <v>299</v>
      </c>
      <c r="C112" s="20">
        <v>0.23958333333333329</v>
      </c>
      <c r="D112" s="19" t="s">
        <v>100</v>
      </c>
      <c r="E112" s="19" t="s">
        <v>233</v>
      </c>
      <c r="F112" s="19" t="s">
        <v>241</v>
      </c>
      <c r="G112" s="257"/>
      <c r="H112" s="10"/>
      <c r="I112" s="11"/>
      <c r="J112" s="11"/>
      <c r="K112" s="11"/>
      <c r="L112" s="11"/>
      <c r="M112" s="11"/>
      <c r="N112" s="11"/>
      <c r="O112" s="12"/>
      <c r="P112" s="11"/>
      <c r="Q112" s="13"/>
      <c r="R112" s="14"/>
    </row>
    <row r="113" spans="1:18" ht="15" customHeight="1" x14ac:dyDescent="0.3">
      <c r="A113" s="148" t="s">
        <v>73</v>
      </c>
      <c r="B113" s="148" t="s">
        <v>300</v>
      </c>
      <c r="C113" s="149">
        <v>0.76041666666666663</v>
      </c>
      <c r="D113" s="148" t="s">
        <v>100</v>
      </c>
      <c r="E113" s="148" t="s">
        <v>55</v>
      </c>
      <c r="F113" s="148" t="s">
        <v>301</v>
      </c>
      <c r="G113" s="257"/>
      <c r="H113" s="137" t="s">
        <v>302</v>
      </c>
      <c r="I113" s="138">
        <v>0.75139999999999996</v>
      </c>
      <c r="J113" s="139">
        <v>133</v>
      </c>
      <c r="K113" s="140" t="s">
        <v>253</v>
      </c>
      <c r="L113" s="139">
        <v>83</v>
      </c>
      <c r="M113" s="139">
        <v>1</v>
      </c>
      <c r="N113" s="139">
        <v>26</v>
      </c>
      <c r="O113" s="141" t="s">
        <v>303</v>
      </c>
      <c r="P113" s="142">
        <v>0.76041666666666663</v>
      </c>
      <c r="Q113" s="139">
        <v>177</v>
      </c>
      <c r="R113" s="143" t="s">
        <v>304</v>
      </c>
    </row>
    <row r="114" spans="1:18" ht="15" customHeight="1" x14ac:dyDescent="0.3">
      <c r="A114" s="150" t="s">
        <v>73</v>
      </c>
      <c r="B114" s="150" t="s">
        <v>305</v>
      </c>
      <c r="C114" s="151">
        <v>0.55902777777777779</v>
      </c>
      <c r="D114" s="150" t="s">
        <v>100</v>
      </c>
      <c r="E114" s="150" t="s">
        <v>231</v>
      </c>
      <c r="F114" s="150" t="s">
        <v>301</v>
      </c>
      <c r="G114" s="257"/>
      <c r="H114" s="152" t="s">
        <v>306</v>
      </c>
      <c r="I114" s="153">
        <v>0.60560000000000003</v>
      </c>
      <c r="J114" s="154">
        <v>109</v>
      </c>
      <c r="K114" s="155" t="s">
        <v>253</v>
      </c>
      <c r="L114" s="154">
        <v>52</v>
      </c>
      <c r="M114" s="154">
        <v>1</v>
      </c>
      <c r="N114" s="154">
        <v>4</v>
      </c>
      <c r="O114" s="156" t="s">
        <v>198</v>
      </c>
      <c r="P114" s="157">
        <v>0.55902777777777779</v>
      </c>
      <c r="Q114" s="154">
        <v>180</v>
      </c>
      <c r="R114" s="158" t="s">
        <v>307</v>
      </c>
    </row>
    <row r="115" spans="1:18" ht="15" customHeight="1" x14ac:dyDescent="0.3">
      <c r="A115" s="159" t="s">
        <v>73</v>
      </c>
      <c r="B115" s="159" t="s">
        <v>251</v>
      </c>
      <c r="C115" s="160">
        <v>0.1423611111111111</v>
      </c>
      <c r="D115" s="159" t="s">
        <v>100</v>
      </c>
      <c r="E115" s="159" t="s">
        <v>66</v>
      </c>
      <c r="F115" s="159" t="s">
        <v>301</v>
      </c>
      <c r="G115" s="257"/>
      <c r="H115" s="87" t="s">
        <v>252</v>
      </c>
      <c r="I115" s="161">
        <v>0.62780000000000002</v>
      </c>
      <c r="J115" s="89">
        <v>113</v>
      </c>
      <c r="K115" s="90" t="s">
        <v>103</v>
      </c>
      <c r="L115" s="89">
        <v>58</v>
      </c>
      <c r="M115" s="89">
        <v>0</v>
      </c>
      <c r="N115" s="89">
        <v>4</v>
      </c>
      <c r="O115" s="91" t="s">
        <v>308</v>
      </c>
      <c r="P115" s="92">
        <v>0.1423611111111111</v>
      </c>
      <c r="Q115" s="89">
        <v>180</v>
      </c>
      <c r="R115" s="93" t="s">
        <v>309</v>
      </c>
    </row>
    <row r="116" spans="1:18" ht="15" customHeight="1" x14ac:dyDescent="0.3">
      <c r="A116" s="162" t="s">
        <v>73</v>
      </c>
      <c r="B116" s="162" t="s">
        <v>310</v>
      </c>
      <c r="C116" s="163">
        <v>0.28125</v>
      </c>
      <c r="D116" s="162" t="s">
        <v>100</v>
      </c>
      <c r="E116" s="162" t="s">
        <v>86</v>
      </c>
      <c r="F116" s="162" t="s">
        <v>301</v>
      </c>
      <c r="G116" s="257"/>
      <c r="H116" s="164" t="s">
        <v>261</v>
      </c>
      <c r="I116" s="165">
        <v>0.7944</v>
      </c>
      <c r="J116" s="166">
        <v>143</v>
      </c>
      <c r="K116" s="167" t="s">
        <v>253</v>
      </c>
      <c r="L116" s="166">
        <v>99</v>
      </c>
      <c r="M116" s="166">
        <v>1</v>
      </c>
      <c r="N116" s="166">
        <v>66</v>
      </c>
      <c r="O116" s="168" t="s">
        <v>303</v>
      </c>
      <c r="P116" s="169">
        <v>0.28125</v>
      </c>
      <c r="Q116" s="166">
        <v>180</v>
      </c>
      <c r="R116" s="170" t="s">
        <v>311</v>
      </c>
    </row>
    <row r="117" spans="1:18" ht="15" customHeight="1" x14ac:dyDescent="0.3">
      <c r="A117" s="150" t="s">
        <v>73</v>
      </c>
      <c r="B117" s="150" t="s">
        <v>312</v>
      </c>
      <c r="C117" s="151">
        <v>0.4375</v>
      </c>
      <c r="D117" s="150" t="s">
        <v>100</v>
      </c>
      <c r="E117" s="150" t="s">
        <v>231</v>
      </c>
      <c r="F117" s="150" t="s">
        <v>301</v>
      </c>
      <c r="G117" s="257"/>
      <c r="H117" s="152" t="s">
        <v>264</v>
      </c>
      <c r="I117" s="153">
        <v>0.63329999999999997</v>
      </c>
      <c r="J117" s="154">
        <v>114</v>
      </c>
      <c r="K117" s="155" t="s">
        <v>103</v>
      </c>
      <c r="L117" s="154">
        <v>39</v>
      </c>
      <c r="M117" s="154">
        <v>0</v>
      </c>
      <c r="N117" s="154">
        <v>3</v>
      </c>
      <c r="O117" s="156" t="s">
        <v>198</v>
      </c>
      <c r="P117" s="157">
        <v>0.4375</v>
      </c>
      <c r="Q117" s="154">
        <v>180</v>
      </c>
      <c r="R117" s="158" t="s">
        <v>313</v>
      </c>
    </row>
    <row r="118" spans="1:18" ht="15" customHeight="1" x14ac:dyDescent="0.3">
      <c r="A118" s="17" t="s">
        <v>266</v>
      </c>
      <c r="B118" s="17" t="s">
        <v>267</v>
      </c>
      <c r="C118" s="18">
        <v>0.22569444444444439</v>
      </c>
      <c r="D118" s="17" t="s">
        <v>314</v>
      </c>
      <c r="E118" s="17" t="s">
        <v>29</v>
      </c>
      <c r="F118" s="17" t="s">
        <v>315</v>
      </c>
      <c r="G118" s="257"/>
      <c r="H118" s="10"/>
      <c r="I118" s="11"/>
      <c r="J118" s="11"/>
      <c r="K118" s="11"/>
      <c r="L118" s="11"/>
      <c r="M118" s="11"/>
      <c r="N118" s="11"/>
      <c r="O118" s="12"/>
      <c r="P118" s="11"/>
      <c r="Q118" s="13"/>
      <c r="R118" s="14"/>
    </row>
    <row r="119" spans="1:18" ht="15" customHeight="1" x14ac:dyDescent="0.3">
      <c r="A119" s="15" t="s">
        <v>266</v>
      </c>
      <c r="B119" s="15" t="s">
        <v>267</v>
      </c>
      <c r="C119" s="16">
        <v>0.22569444444444439</v>
      </c>
      <c r="D119" s="15" t="s">
        <v>268</v>
      </c>
      <c r="E119" s="15" t="s">
        <v>32</v>
      </c>
      <c r="F119" s="15" t="s">
        <v>315</v>
      </c>
      <c r="G119" s="257"/>
      <c r="H119" s="10"/>
      <c r="I119" s="11"/>
      <c r="J119" s="11"/>
      <c r="K119" s="11"/>
      <c r="L119" s="11"/>
      <c r="M119" s="11"/>
      <c r="N119" s="11"/>
      <c r="O119" s="12"/>
      <c r="P119" s="11"/>
      <c r="Q119" s="13"/>
      <c r="R119" s="14"/>
    </row>
    <row r="120" spans="1:18" ht="15" customHeight="1" x14ac:dyDescent="0.3">
      <c r="A120" s="15" t="s">
        <v>266</v>
      </c>
      <c r="B120" s="15" t="s">
        <v>267</v>
      </c>
      <c r="C120" s="16">
        <v>0.22569444444444439</v>
      </c>
      <c r="D120" s="15" t="s">
        <v>34</v>
      </c>
      <c r="E120" s="15" t="s">
        <v>32</v>
      </c>
      <c r="F120" s="15" t="s">
        <v>316</v>
      </c>
      <c r="G120" s="257"/>
      <c r="H120" s="10"/>
      <c r="I120" s="11"/>
      <c r="J120" s="11"/>
      <c r="K120" s="11"/>
      <c r="L120" s="11"/>
      <c r="M120" s="11"/>
      <c r="N120" s="11"/>
      <c r="O120" s="12"/>
      <c r="P120" s="11"/>
      <c r="Q120" s="13"/>
      <c r="R120" s="14"/>
    </row>
    <row r="121" spans="1:18" ht="15" customHeight="1" x14ac:dyDescent="0.3">
      <c r="A121" s="19" t="s">
        <v>266</v>
      </c>
      <c r="B121" s="19" t="s">
        <v>317</v>
      </c>
      <c r="C121" s="20">
        <v>0.80902777777777779</v>
      </c>
      <c r="D121" s="19" t="s">
        <v>314</v>
      </c>
      <c r="E121" s="19" t="s">
        <v>66</v>
      </c>
      <c r="F121" s="19" t="s">
        <v>318</v>
      </c>
      <c r="G121" s="257"/>
      <c r="H121" s="10"/>
      <c r="I121" s="11"/>
      <c r="J121" s="11"/>
      <c r="K121" s="11"/>
      <c r="L121" s="11"/>
      <c r="M121" s="11"/>
      <c r="N121" s="11"/>
      <c r="O121" s="12"/>
      <c r="P121" s="11"/>
      <c r="Q121" s="13"/>
      <c r="R121" s="14"/>
    </row>
    <row r="122" spans="1:18" ht="15" customHeight="1" x14ac:dyDescent="0.3">
      <c r="A122" s="15" t="s">
        <v>266</v>
      </c>
      <c r="B122" s="15" t="s">
        <v>317</v>
      </c>
      <c r="C122" s="16">
        <v>0.80902777777777779</v>
      </c>
      <c r="D122" s="15" t="s">
        <v>268</v>
      </c>
      <c r="E122" s="15" t="s">
        <v>319</v>
      </c>
      <c r="F122" s="15" t="s">
        <v>320</v>
      </c>
      <c r="G122" s="257"/>
      <c r="H122" s="10"/>
      <c r="I122" s="11"/>
      <c r="J122" s="11"/>
      <c r="K122" s="11"/>
      <c r="L122" s="11"/>
      <c r="M122" s="11"/>
      <c r="N122" s="11"/>
      <c r="O122" s="12"/>
      <c r="P122" s="11"/>
      <c r="Q122" s="13"/>
      <c r="R122" s="14"/>
    </row>
    <row r="123" spans="1:18" ht="15" customHeight="1" x14ac:dyDescent="0.3">
      <c r="A123" s="15" t="s">
        <v>266</v>
      </c>
      <c r="B123" s="15" t="s">
        <v>317</v>
      </c>
      <c r="C123" s="16">
        <v>0.80902777777777779</v>
      </c>
      <c r="D123" s="15" t="s">
        <v>34</v>
      </c>
      <c r="E123" s="15" t="s">
        <v>319</v>
      </c>
      <c r="F123" s="15" t="s">
        <v>321</v>
      </c>
      <c r="G123" s="257"/>
      <c r="H123" s="10"/>
      <c r="I123" s="11"/>
      <c r="J123" s="11"/>
      <c r="K123" s="11"/>
      <c r="L123" s="11"/>
      <c r="M123" s="11"/>
      <c r="N123" s="11"/>
      <c r="O123" s="12"/>
      <c r="P123" s="11"/>
      <c r="Q123" s="13"/>
      <c r="R123" s="14"/>
    </row>
    <row r="124" spans="1:18" ht="15" customHeight="1" x14ac:dyDescent="0.3">
      <c r="A124" s="17" t="s">
        <v>68</v>
      </c>
      <c r="B124" s="17" t="s">
        <v>290</v>
      </c>
      <c r="C124" s="18">
        <v>0.1041666666666667</v>
      </c>
      <c r="D124" s="17" t="s">
        <v>70</v>
      </c>
      <c r="E124" s="17" t="s">
        <v>55</v>
      </c>
      <c r="F124" s="17" t="s">
        <v>322</v>
      </c>
      <c r="G124" s="257"/>
      <c r="H124" s="10"/>
      <c r="I124" s="11"/>
      <c r="J124" s="11"/>
      <c r="K124" s="11"/>
      <c r="L124" s="11"/>
      <c r="M124" s="11"/>
      <c r="N124" s="11"/>
      <c r="O124" s="12"/>
      <c r="P124" s="11"/>
      <c r="Q124" s="13"/>
      <c r="R124" s="14"/>
    </row>
    <row r="125" spans="1:18" ht="15" customHeight="1" x14ac:dyDescent="0.3">
      <c r="A125" s="19" t="s">
        <v>68</v>
      </c>
      <c r="B125" s="19" t="s">
        <v>285</v>
      </c>
      <c r="C125" s="20">
        <v>0.79166666666666663</v>
      </c>
      <c r="D125" s="19" t="s">
        <v>70</v>
      </c>
      <c r="E125" s="19" t="s">
        <v>86</v>
      </c>
      <c r="F125" s="19" t="s">
        <v>322</v>
      </c>
      <c r="G125" s="257"/>
      <c r="H125" s="10"/>
      <c r="I125" s="11"/>
      <c r="J125" s="11"/>
      <c r="K125" s="11"/>
      <c r="L125" s="11"/>
      <c r="M125" s="11"/>
      <c r="N125" s="11"/>
      <c r="O125" s="12"/>
      <c r="P125" s="11"/>
      <c r="Q125" s="13"/>
      <c r="R125" s="14"/>
    </row>
    <row r="126" spans="1:18" ht="15" customHeight="1" x14ac:dyDescent="0.3">
      <c r="A126" s="19" t="s">
        <v>68</v>
      </c>
      <c r="B126" s="19" t="s">
        <v>292</v>
      </c>
      <c r="C126" s="20">
        <v>0.83680555555555547</v>
      </c>
      <c r="D126" s="19" t="s">
        <v>70</v>
      </c>
      <c r="E126" s="19" t="s">
        <v>86</v>
      </c>
      <c r="F126" s="19" t="s">
        <v>323</v>
      </c>
      <c r="G126" s="257"/>
      <c r="H126" s="10"/>
      <c r="I126" s="11"/>
      <c r="J126" s="11"/>
      <c r="K126" s="11"/>
      <c r="L126" s="11"/>
      <c r="M126" s="11"/>
      <c r="N126" s="11"/>
      <c r="O126" s="12"/>
      <c r="P126" s="11"/>
      <c r="Q126" s="13"/>
      <c r="R126" s="14"/>
    </row>
    <row r="127" spans="1:18" ht="15" customHeight="1" x14ac:dyDescent="0.3">
      <c r="A127" s="19" t="s">
        <v>68</v>
      </c>
      <c r="B127" s="19" t="s">
        <v>294</v>
      </c>
      <c r="C127" s="20">
        <v>4.8611111111111112E-2</v>
      </c>
      <c r="D127" s="19" t="s">
        <v>70</v>
      </c>
      <c r="E127" s="19" t="s">
        <v>86</v>
      </c>
      <c r="F127" s="19" t="s">
        <v>323</v>
      </c>
      <c r="G127" s="257"/>
      <c r="H127" s="10"/>
      <c r="I127" s="11"/>
      <c r="J127" s="11"/>
      <c r="K127" s="11"/>
      <c r="L127" s="11"/>
      <c r="M127" s="11"/>
      <c r="N127" s="11"/>
      <c r="O127" s="12"/>
      <c r="P127" s="11"/>
      <c r="Q127" s="13"/>
      <c r="R127" s="14"/>
    </row>
    <row r="128" spans="1:18" ht="15" customHeight="1" x14ac:dyDescent="0.3">
      <c r="A128" s="19" t="s">
        <v>68</v>
      </c>
      <c r="B128" s="19" t="s">
        <v>324</v>
      </c>
      <c r="C128" s="20">
        <v>0.33333333333333331</v>
      </c>
      <c r="D128" s="19" t="s">
        <v>70</v>
      </c>
      <c r="E128" s="19" t="s">
        <v>86</v>
      </c>
      <c r="F128" s="19" t="s">
        <v>325</v>
      </c>
      <c r="G128" s="257"/>
      <c r="H128" s="10"/>
      <c r="I128" s="11"/>
      <c r="J128" s="11"/>
      <c r="K128" s="11"/>
      <c r="L128" s="11"/>
      <c r="M128" s="11"/>
      <c r="N128" s="11"/>
      <c r="O128" s="12"/>
      <c r="P128" s="11"/>
      <c r="Q128" s="13"/>
      <c r="R128" s="14"/>
    </row>
    <row r="129" spans="1:18" ht="15" customHeight="1" x14ac:dyDescent="0.3">
      <c r="A129" s="19" t="s">
        <v>68</v>
      </c>
      <c r="B129" s="19" t="s">
        <v>291</v>
      </c>
      <c r="C129" s="20">
        <v>0.61805555555555558</v>
      </c>
      <c r="D129" s="19" t="s">
        <v>70</v>
      </c>
      <c r="E129" s="19" t="s">
        <v>86</v>
      </c>
      <c r="F129" s="19" t="s">
        <v>325</v>
      </c>
      <c r="G129" s="257"/>
      <c r="H129" s="10"/>
      <c r="I129" s="11"/>
      <c r="J129" s="11"/>
      <c r="K129" s="11"/>
      <c r="L129" s="11"/>
      <c r="M129" s="11"/>
      <c r="N129" s="11"/>
      <c r="O129" s="12"/>
      <c r="P129" s="11"/>
      <c r="Q129" s="13"/>
      <c r="R129" s="14"/>
    </row>
    <row r="130" spans="1:18" ht="15" customHeight="1" x14ac:dyDescent="0.3">
      <c r="A130" s="17" t="s">
        <v>52</v>
      </c>
      <c r="B130" s="17" t="s">
        <v>279</v>
      </c>
      <c r="C130" s="18">
        <v>0.82986111111111116</v>
      </c>
      <c r="D130" s="17" t="s">
        <v>70</v>
      </c>
      <c r="E130" s="17" t="s">
        <v>55</v>
      </c>
      <c r="F130" s="17" t="s">
        <v>273</v>
      </c>
      <c r="G130" s="257"/>
      <c r="H130" s="10"/>
      <c r="I130" s="11"/>
      <c r="J130" s="11"/>
      <c r="K130" s="11"/>
      <c r="L130" s="11"/>
      <c r="M130" s="11"/>
      <c r="N130" s="11"/>
      <c r="O130" s="12"/>
      <c r="P130" s="11"/>
      <c r="Q130" s="13"/>
      <c r="R130" s="14"/>
    </row>
    <row r="131" spans="1:18" ht="15" customHeight="1" x14ac:dyDescent="0.3">
      <c r="A131" s="15" t="s">
        <v>52</v>
      </c>
      <c r="B131" s="15" t="s">
        <v>279</v>
      </c>
      <c r="C131" s="16">
        <v>0.82986111111111116</v>
      </c>
      <c r="D131" s="15" t="s">
        <v>57</v>
      </c>
      <c r="E131" s="15" t="s">
        <v>58</v>
      </c>
      <c r="F131" s="15" t="s">
        <v>273</v>
      </c>
      <c r="G131" s="257"/>
      <c r="H131" s="10"/>
      <c r="I131" s="11"/>
      <c r="J131" s="11"/>
      <c r="K131" s="11"/>
      <c r="L131" s="11"/>
      <c r="M131" s="11"/>
      <c r="N131" s="11"/>
      <c r="O131" s="12"/>
      <c r="P131" s="11"/>
      <c r="Q131" s="13"/>
      <c r="R131" s="14"/>
    </row>
    <row r="132" spans="1:18" ht="15" customHeight="1" x14ac:dyDescent="0.3">
      <c r="A132" s="19" t="s">
        <v>52</v>
      </c>
      <c r="B132" s="19" t="s">
        <v>281</v>
      </c>
      <c r="C132" s="20">
        <v>0.72222222222222221</v>
      </c>
      <c r="D132" s="19" t="s">
        <v>57</v>
      </c>
      <c r="E132" s="19" t="s">
        <v>66</v>
      </c>
      <c r="F132" s="19" t="s">
        <v>273</v>
      </c>
      <c r="G132" s="257"/>
      <c r="H132" s="10"/>
      <c r="I132" s="11"/>
      <c r="J132" s="11"/>
      <c r="K132" s="11"/>
      <c r="L132" s="11"/>
      <c r="M132" s="11"/>
      <c r="N132" s="11"/>
      <c r="O132" s="12"/>
      <c r="P132" s="11"/>
      <c r="Q132" s="13"/>
      <c r="R132" s="14"/>
    </row>
    <row r="133" spans="1:18" ht="15" customHeight="1" x14ac:dyDescent="0.3">
      <c r="A133" s="19" t="s">
        <v>52</v>
      </c>
      <c r="B133" s="19" t="s">
        <v>282</v>
      </c>
      <c r="C133" s="20">
        <v>0.11805555555555559</v>
      </c>
      <c r="D133" s="19" t="s">
        <v>70</v>
      </c>
      <c r="E133" s="19" t="s">
        <v>86</v>
      </c>
      <c r="F133" s="19" t="s">
        <v>273</v>
      </c>
      <c r="G133" s="257"/>
      <c r="H133" s="10"/>
      <c r="I133" s="11"/>
      <c r="J133" s="11"/>
      <c r="K133" s="11"/>
      <c r="L133" s="11"/>
      <c r="M133" s="11"/>
      <c r="N133" s="11"/>
      <c r="O133" s="12"/>
      <c r="P133" s="11"/>
      <c r="Q133" s="13"/>
      <c r="R133" s="14"/>
    </row>
    <row r="134" spans="1:18" ht="15" customHeight="1" x14ac:dyDescent="0.3">
      <c r="A134" s="15" t="s">
        <v>52</v>
      </c>
      <c r="B134" s="15" t="s">
        <v>282</v>
      </c>
      <c r="C134" s="16">
        <v>0.11805555555555559</v>
      </c>
      <c r="D134" s="15" t="s">
        <v>57</v>
      </c>
      <c r="E134" s="15" t="s">
        <v>58</v>
      </c>
      <c r="F134" s="15" t="s">
        <v>273</v>
      </c>
      <c r="G134" s="257"/>
      <c r="H134" s="10"/>
      <c r="I134" s="11"/>
      <c r="J134" s="11"/>
      <c r="K134" s="11"/>
      <c r="L134" s="11"/>
      <c r="M134" s="11"/>
      <c r="N134" s="11"/>
      <c r="O134" s="12"/>
      <c r="P134" s="11"/>
      <c r="Q134" s="13"/>
      <c r="R134" s="14"/>
    </row>
    <row r="135" spans="1:18" ht="15" customHeight="1" x14ac:dyDescent="0.3">
      <c r="A135" s="19" t="s">
        <v>52</v>
      </c>
      <c r="B135" s="19" t="s">
        <v>283</v>
      </c>
      <c r="C135" s="20">
        <v>0.70138888888888884</v>
      </c>
      <c r="D135" s="19" t="s">
        <v>57</v>
      </c>
      <c r="E135" s="19" t="s">
        <v>47</v>
      </c>
      <c r="F135" s="19" t="s">
        <v>273</v>
      </c>
      <c r="G135" s="257"/>
      <c r="H135" s="10"/>
      <c r="I135" s="11"/>
      <c r="J135" s="11"/>
      <c r="K135" s="11"/>
      <c r="L135" s="11"/>
      <c r="M135" s="11"/>
      <c r="N135" s="11"/>
      <c r="O135" s="12"/>
      <c r="P135" s="11"/>
      <c r="Q135" s="13"/>
      <c r="R135" s="14"/>
    </row>
    <row r="136" spans="1:18" ht="15" customHeight="1" x14ac:dyDescent="0.3">
      <c r="A136" s="19" t="s">
        <v>52</v>
      </c>
      <c r="B136" s="19" t="s">
        <v>284</v>
      </c>
      <c r="C136" s="20">
        <v>0.25347222222222221</v>
      </c>
      <c r="D136" s="19" t="s">
        <v>70</v>
      </c>
      <c r="E136" s="19" t="s">
        <v>86</v>
      </c>
      <c r="F136" s="19" t="s">
        <v>273</v>
      </c>
      <c r="G136" s="257"/>
      <c r="H136" s="10"/>
      <c r="I136" s="11"/>
      <c r="J136" s="11"/>
      <c r="K136" s="11"/>
      <c r="L136" s="11"/>
      <c r="M136" s="11"/>
      <c r="N136" s="11"/>
      <c r="O136" s="12"/>
      <c r="P136" s="11"/>
      <c r="Q136" s="13"/>
      <c r="R136" s="14"/>
    </row>
    <row r="137" spans="1:18" ht="15" customHeight="1" x14ac:dyDescent="0.3">
      <c r="A137" s="15" t="s">
        <v>52</v>
      </c>
      <c r="B137" s="15" t="s">
        <v>284</v>
      </c>
      <c r="C137" s="16">
        <v>0.25347222222222221</v>
      </c>
      <c r="D137" s="15" t="s">
        <v>57</v>
      </c>
      <c r="E137" s="15" t="s">
        <v>58</v>
      </c>
      <c r="F137" s="15" t="s">
        <v>273</v>
      </c>
      <c r="G137" s="257"/>
      <c r="H137" s="10"/>
      <c r="I137" s="11"/>
      <c r="J137" s="11"/>
      <c r="K137" s="11"/>
      <c r="L137" s="11"/>
      <c r="M137" s="11"/>
      <c r="N137" s="11"/>
      <c r="O137" s="12"/>
      <c r="P137" s="11"/>
      <c r="Q137" s="13"/>
      <c r="R137" s="14"/>
    </row>
    <row r="138" spans="1:18" ht="15" customHeight="1" x14ac:dyDescent="0.3">
      <c r="A138" s="19" t="s">
        <v>52</v>
      </c>
      <c r="B138" s="19" t="s">
        <v>326</v>
      </c>
      <c r="C138" s="20">
        <v>4.1666666666666657E-2</v>
      </c>
      <c r="D138" s="19" t="s">
        <v>70</v>
      </c>
      <c r="E138" s="19" t="s">
        <v>86</v>
      </c>
      <c r="F138" s="19" t="s">
        <v>273</v>
      </c>
      <c r="G138" s="257"/>
      <c r="H138" s="10"/>
      <c r="I138" s="11"/>
      <c r="J138" s="11"/>
      <c r="K138" s="11"/>
      <c r="L138" s="11"/>
      <c r="M138" s="11"/>
      <c r="N138" s="11"/>
      <c r="O138" s="12"/>
      <c r="P138" s="11"/>
      <c r="Q138" s="13"/>
      <c r="R138" s="14"/>
    </row>
    <row r="139" spans="1:18" ht="15" customHeight="1" x14ac:dyDescent="0.3">
      <c r="A139" s="15" t="s">
        <v>52</v>
      </c>
      <c r="B139" s="15" t="s">
        <v>326</v>
      </c>
      <c r="C139" s="16">
        <v>4.1666666666666657E-2</v>
      </c>
      <c r="D139" s="15" t="s">
        <v>57</v>
      </c>
      <c r="E139" s="15" t="s">
        <v>58</v>
      </c>
      <c r="F139" s="15" t="s">
        <v>273</v>
      </c>
      <c r="G139" s="257"/>
      <c r="H139" s="10"/>
      <c r="I139" s="11"/>
      <c r="J139" s="11"/>
      <c r="K139" s="11"/>
      <c r="L139" s="11"/>
      <c r="M139" s="11"/>
      <c r="N139" s="11"/>
      <c r="O139" s="12"/>
      <c r="P139" s="11"/>
      <c r="Q139" s="13"/>
      <c r="R139" s="14"/>
    </row>
    <row r="140" spans="1:18" ht="15" customHeight="1" x14ac:dyDescent="0.3">
      <c r="A140" s="19" t="s">
        <v>52</v>
      </c>
      <c r="B140" s="19" t="s">
        <v>272</v>
      </c>
      <c r="C140" s="20">
        <v>0.94097222222222221</v>
      </c>
      <c r="D140" s="19" t="s">
        <v>57</v>
      </c>
      <c r="E140" s="19" t="s">
        <v>86</v>
      </c>
      <c r="F140" s="19" t="s">
        <v>273</v>
      </c>
      <c r="G140" s="257"/>
      <c r="H140" s="10"/>
      <c r="I140" s="11"/>
      <c r="J140" s="11"/>
      <c r="K140" s="11"/>
      <c r="L140" s="11"/>
      <c r="M140" s="11"/>
      <c r="N140" s="11"/>
      <c r="O140" s="12"/>
      <c r="P140" s="11"/>
      <c r="Q140" s="13"/>
      <c r="R140" s="14"/>
    </row>
    <row r="141" spans="1:18" ht="15" customHeight="1" x14ac:dyDescent="0.3">
      <c r="A141" s="19" t="s">
        <v>52</v>
      </c>
      <c r="B141" s="19" t="s">
        <v>274</v>
      </c>
      <c r="C141" s="20">
        <v>0.98958333333333337</v>
      </c>
      <c r="D141" s="19" t="s">
        <v>70</v>
      </c>
      <c r="E141" s="19" t="s">
        <v>61</v>
      </c>
      <c r="F141" s="19" t="s">
        <v>275</v>
      </c>
      <c r="G141" s="257"/>
      <c r="H141" s="10"/>
      <c r="I141" s="11"/>
      <c r="J141" s="11"/>
      <c r="K141" s="11"/>
      <c r="L141" s="11"/>
      <c r="M141" s="11"/>
      <c r="N141" s="11"/>
      <c r="O141" s="12"/>
      <c r="P141" s="11"/>
      <c r="Q141" s="13"/>
      <c r="R141" s="14"/>
    </row>
    <row r="142" spans="1:18" ht="15" customHeight="1" x14ac:dyDescent="0.3">
      <c r="A142" s="15" t="s">
        <v>52</v>
      </c>
      <c r="B142" s="15" t="s">
        <v>274</v>
      </c>
      <c r="C142" s="16">
        <v>0.98958333333333337</v>
      </c>
      <c r="D142" s="15" t="s">
        <v>57</v>
      </c>
      <c r="E142" s="15" t="s">
        <v>96</v>
      </c>
      <c r="F142" s="15" t="s">
        <v>275</v>
      </c>
      <c r="G142" s="257"/>
      <c r="H142" s="10"/>
      <c r="I142" s="11"/>
      <c r="J142" s="11"/>
      <c r="K142" s="11"/>
      <c r="L142" s="11"/>
      <c r="M142" s="11"/>
      <c r="N142" s="11"/>
      <c r="O142" s="12"/>
      <c r="P142" s="11"/>
      <c r="Q142" s="13"/>
      <c r="R142" s="14"/>
    </row>
    <row r="143" spans="1:18" ht="15" customHeight="1" x14ac:dyDescent="0.3">
      <c r="A143" s="19" t="s">
        <v>52</v>
      </c>
      <c r="B143" s="19" t="s">
        <v>276</v>
      </c>
      <c r="C143" s="20">
        <v>0.39930555555555558</v>
      </c>
      <c r="D143" s="19" t="s">
        <v>57</v>
      </c>
      <c r="E143" s="19" t="s">
        <v>61</v>
      </c>
      <c r="F143" s="19" t="s">
        <v>275</v>
      </c>
      <c r="G143" s="257"/>
      <c r="H143" s="10"/>
      <c r="I143" s="11"/>
      <c r="J143" s="11"/>
      <c r="K143" s="11"/>
      <c r="L143" s="11"/>
      <c r="M143" s="11"/>
      <c r="N143" s="11"/>
      <c r="O143" s="12"/>
      <c r="P143" s="11"/>
      <c r="Q143" s="13"/>
      <c r="R143" s="14"/>
    </row>
    <row r="144" spans="1:18" ht="15" customHeight="1" x14ac:dyDescent="0.3">
      <c r="A144" s="19" t="s">
        <v>52</v>
      </c>
      <c r="B144" s="19" t="s">
        <v>277</v>
      </c>
      <c r="C144" s="20">
        <v>0.48958333333333331</v>
      </c>
      <c r="D144" s="19" t="s">
        <v>57</v>
      </c>
      <c r="E144" s="19" t="s">
        <v>61</v>
      </c>
      <c r="F144" s="19" t="s">
        <v>275</v>
      </c>
      <c r="G144" s="257"/>
      <c r="H144" s="10"/>
      <c r="I144" s="11"/>
      <c r="J144" s="11"/>
      <c r="K144" s="11"/>
      <c r="L144" s="11"/>
      <c r="M144" s="11"/>
      <c r="N144" s="11"/>
      <c r="O144" s="12"/>
      <c r="P144" s="11"/>
      <c r="Q144" s="13"/>
      <c r="R144" s="14"/>
    </row>
    <row r="145" spans="1:18" ht="15" customHeight="1" x14ac:dyDescent="0.3">
      <c r="A145" s="19" t="s">
        <v>52</v>
      </c>
      <c r="B145" s="19" t="s">
        <v>278</v>
      </c>
      <c r="C145" s="20">
        <v>0.88888888888888884</v>
      </c>
      <c r="D145" s="19" t="s">
        <v>70</v>
      </c>
      <c r="E145" s="19" t="s">
        <v>61</v>
      </c>
      <c r="F145" s="19" t="s">
        <v>275</v>
      </c>
      <c r="G145" s="257"/>
      <c r="H145" s="10"/>
      <c r="I145" s="11"/>
      <c r="J145" s="11"/>
      <c r="K145" s="11"/>
      <c r="L145" s="11"/>
      <c r="M145" s="11"/>
      <c r="N145" s="11"/>
      <c r="O145" s="12"/>
      <c r="P145" s="11"/>
      <c r="Q145" s="13"/>
      <c r="R145" s="14"/>
    </row>
    <row r="146" spans="1:18" ht="15" customHeight="1" x14ac:dyDescent="0.3">
      <c r="A146" s="15" t="s">
        <v>52</v>
      </c>
      <c r="B146" s="15" t="s">
        <v>278</v>
      </c>
      <c r="C146" s="16">
        <v>0.88888888888888884</v>
      </c>
      <c r="D146" s="15" t="s">
        <v>57</v>
      </c>
      <c r="E146" s="15" t="s">
        <v>96</v>
      </c>
      <c r="F146" s="15" t="s">
        <v>275</v>
      </c>
      <c r="G146" s="257"/>
      <c r="H146" s="10"/>
      <c r="I146" s="11"/>
      <c r="J146" s="11"/>
      <c r="K146" s="11"/>
      <c r="L146" s="11"/>
      <c r="M146" s="11"/>
      <c r="N146" s="11"/>
      <c r="O146" s="12"/>
      <c r="P146" s="11"/>
      <c r="Q146" s="13"/>
      <c r="R146" s="14"/>
    </row>
    <row r="147" spans="1:18" ht="15" customHeight="1" x14ac:dyDescent="0.3">
      <c r="A147" s="19" t="s">
        <v>52</v>
      </c>
      <c r="B147" s="19" t="s">
        <v>327</v>
      </c>
      <c r="C147" s="20">
        <v>0.48958333333333331</v>
      </c>
      <c r="D147" s="19" t="s">
        <v>70</v>
      </c>
      <c r="E147" s="19" t="s">
        <v>233</v>
      </c>
      <c r="F147" s="19" t="s">
        <v>280</v>
      </c>
      <c r="G147" s="257"/>
      <c r="H147" s="10"/>
      <c r="I147" s="11"/>
      <c r="J147" s="11"/>
      <c r="K147" s="11"/>
      <c r="L147" s="11"/>
      <c r="M147" s="11"/>
      <c r="N147" s="11"/>
      <c r="O147" s="12"/>
      <c r="P147" s="11"/>
      <c r="Q147" s="13"/>
      <c r="R147" s="14"/>
    </row>
    <row r="148" spans="1:18" ht="15" customHeight="1" thickBot="1" x14ac:dyDescent="0.35">
      <c r="A148" s="171" t="s">
        <v>52</v>
      </c>
      <c r="B148" s="171" t="s">
        <v>327</v>
      </c>
      <c r="C148" s="172">
        <v>0.48958333333333331</v>
      </c>
      <c r="D148" s="171" t="s">
        <v>57</v>
      </c>
      <c r="E148" s="171" t="s">
        <v>209</v>
      </c>
      <c r="F148" s="171" t="s">
        <v>280</v>
      </c>
      <c r="G148" s="258"/>
      <c r="H148" s="41"/>
      <c r="I148" s="42"/>
      <c r="J148" s="42"/>
      <c r="K148" s="42"/>
      <c r="L148" s="42"/>
      <c r="M148" s="42"/>
      <c r="N148" s="42"/>
      <c r="O148" s="43"/>
      <c r="P148" s="42"/>
      <c r="Q148" s="44"/>
      <c r="R148" s="45"/>
    </row>
    <row r="149" spans="1:18" ht="17.399999999999999" customHeight="1" thickBot="1" x14ac:dyDescent="0.35">
      <c r="A149" s="285"/>
      <c r="B149" s="286"/>
      <c r="C149" s="286"/>
      <c r="D149" s="286"/>
      <c r="E149" s="286"/>
      <c r="F149" s="286"/>
      <c r="G149" s="286"/>
      <c r="H149" s="286"/>
      <c r="I149" s="286"/>
      <c r="J149" s="286"/>
      <c r="K149" s="286"/>
      <c r="L149" s="286"/>
      <c r="M149" s="286"/>
      <c r="N149" s="286"/>
      <c r="O149" s="286"/>
      <c r="P149" s="286"/>
      <c r="Q149" s="286"/>
      <c r="R149" s="287"/>
    </row>
    <row r="150" spans="1:18" ht="22.05" customHeight="1" thickTop="1" thickBot="1" x14ac:dyDescent="0.35">
      <c r="A150" s="259" t="s">
        <v>6</v>
      </c>
      <c r="B150" s="251"/>
      <c r="C150" s="251"/>
      <c r="D150" s="251"/>
      <c r="E150" s="251"/>
      <c r="F150" s="252"/>
      <c r="G150" s="31">
        <v>45983</v>
      </c>
      <c r="H150" s="250" t="s">
        <v>7</v>
      </c>
      <c r="I150" s="251"/>
      <c r="J150" s="251"/>
      <c r="K150" s="251"/>
      <c r="L150" s="251"/>
      <c r="M150" s="251"/>
      <c r="N150" s="251"/>
      <c r="O150" s="251"/>
      <c r="P150" s="251"/>
      <c r="Q150" s="251"/>
      <c r="R150" s="252"/>
    </row>
    <row r="151" spans="1:18" ht="24" customHeight="1" x14ac:dyDescent="0.3">
      <c r="A151" s="32" t="s">
        <v>8</v>
      </c>
      <c r="B151" s="32" t="s">
        <v>9</v>
      </c>
      <c r="C151" s="33" t="s">
        <v>10</v>
      </c>
      <c r="D151" s="32" t="s">
        <v>11</v>
      </c>
      <c r="E151" s="32" t="s">
        <v>12</v>
      </c>
      <c r="F151" s="34" t="s">
        <v>13</v>
      </c>
      <c r="G151" s="35" t="s">
        <v>14</v>
      </c>
      <c r="H151" s="32" t="s">
        <v>15</v>
      </c>
      <c r="I151" s="36" t="s">
        <v>16</v>
      </c>
      <c r="J151" s="37" t="s">
        <v>17</v>
      </c>
      <c r="K151" s="38" t="s">
        <v>18</v>
      </c>
      <c r="L151" s="37" t="s">
        <v>19</v>
      </c>
      <c r="M151" s="37" t="s">
        <v>20</v>
      </c>
      <c r="N151" s="37" t="s">
        <v>21</v>
      </c>
      <c r="O151" s="32" t="s">
        <v>22</v>
      </c>
      <c r="P151" s="33" t="s">
        <v>23</v>
      </c>
      <c r="Q151" s="37" t="s">
        <v>24</v>
      </c>
      <c r="R151" s="32" t="s">
        <v>25</v>
      </c>
    </row>
    <row r="152" spans="1:18" ht="15" customHeight="1" x14ac:dyDescent="0.3">
      <c r="A152" s="8" t="s">
        <v>26</v>
      </c>
      <c r="B152" s="8" t="s">
        <v>211</v>
      </c>
      <c r="C152" s="9">
        <v>0.39930555555555558</v>
      </c>
      <c r="D152" s="8" t="s">
        <v>28</v>
      </c>
      <c r="E152" s="8" t="s">
        <v>29</v>
      </c>
      <c r="F152" s="8" t="s">
        <v>220</v>
      </c>
      <c r="G152" s="256"/>
      <c r="H152" s="10"/>
      <c r="I152" s="11"/>
      <c r="J152" s="11"/>
      <c r="K152" s="11"/>
      <c r="L152" s="11"/>
      <c r="M152" s="11"/>
      <c r="N152" s="11"/>
      <c r="O152" s="12"/>
      <c r="P152" s="11"/>
      <c r="Q152" s="13"/>
      <c r="R152" s="14"/>
    </row>
    <row r="153" spans="1:18" ht="15" customHeight="1" x14ac:dyDescent="0.3">
      <c r="A153" s="15" t="s">
        <v>26</v>
      </c>
      <c r="B153" s="15" t="s">
        <v>211</v>
      </c>
      <c r="C153" s="16">
        <v>0.39930555555555558</v>
      </c>
      <c r="D153" s="15" t="s">
        <v>31</v>
      </c>
      <c r="E153" s="15" t="s">
        <v>32</v>
      </c>
      <c r="F153" s="15" t="s">
        <v>222</v>
      </c>
      <c r="G153" s="257"/>
      <c r="H153" s="10"/>
      <c r="I153" s="11"/>
      <c r="J153" s="11"/>
      <c r="K153" s="11"/>
      <c r="L153" s="11"/>
      <c r="M153" s="11"/>
      <c r="N153" s="11"/>
      <c r="O153" s="12"/>
      <c r="P153" s="11"/>
      <c r="Q153" s="13"/>
      <c r="R153" s="14"/>
    </row>
    <row r="154" spans="1:18" ht="15" customHeight="1" x14ac:dyDescent="0.3">
      <c r="A154" s="15" t="s">
        <v>26</v>
      </c>
      <c r="B154" s="15" t="s">
        <v>211</v>
      </c>
      <c r="C154" s="16">
        <v>0.39930555555555558</v>
      </c>
      <c r="D154" s="15" t="s">
        <v>34</v>
      </c>
      <c r="E154" s="15" t="s">
        <v>32</v>
      </c>
      <c r="F154" s="15" t="s">
        <v>35</v>
      </c>
      <c r="G154" s="257"/>
      <c r="H154" s="10"/>
      <c r="I154" s="11"/>
      <c r="J154" s="11"/>
      <c r="K154" s="11"/>
      <c r="L154" s="11"/>
      <c r="M154" s="11"/>
      <c r="N154" s="11"/>
      <c r="O154" s="12"/>
      <c r="P154" s="11"/>
      <c r="Q154" s="13"/>
      <c r="R154" s="14"/>
    </row>
    <row r="155" spans="1:18" ht="15" customHeight="1" x14ac:dyDescent="0.3">
      <c r="A155" s="19" t="s">
        <v>26</v>
      </c>
      <c r="B155" s="19" t="s">
        <v>218</v>
      </c>
      <c r="C155" s="20">
        <v>0.48958333333333331</v>
      </c>
      <c r="D155" s="19" t="s">
        <v>28</v>
      </c>
      <c r="E155" s="19" t="s">
        <v>66</v>
      </c>
      <c r="F155" s="19" t="s">
        <v>220</v>
      </c>
      <c r="G155" s="257"/>
      <c r="H155" s="10"/>
      <c r="I155" s="11"/>
      <c r="J155" s="11"/>
      <c r="K155" s="11"/>
      <c r="L155" s="11"/>
      <c r="M155" s="11"/>
      <c r="N155" s="11"/>
      <c r="O155" s="12"/>
      <c r="P155" s="11"/>
      <c r="Q155" s="13"/>
      <c r="R155" s="14"/>
    </row>
    <row r="156" spans="1:18" ht="15" customHeight="1" x14ac:dyDescent="0.3">
      <c r="A156" s="15" t="s">
        <v>26</v>
      </c>
      <c r="B156" s="15" t="s">
        <v>218</v>
      </c>
      <c r="C156" s="16">
        <v>0.48958333333333331</v>
      </c>
      <c r="D156" s="15" t="s">
        <v>31</v>
      </c>
      <c r="E156" s="15" t="s">
        <v>319</v>
      </c>
      <c r="F156" s="15" t="s">
        <v>222</v>
      </c>
      <c r="G156" s="257"/>
      <c r="H156" s="10"/>
      <c r="I156" s="11"/>
      <c r="J156" s="11"/>
      <c r="K156" s="11"/>
      <c r="L156" s="11"/>
      <c r="M156" s="11"/>
      <c r="N156" s="11"/>
      <c r="O156" s="12"/>
      <c r="P156" s="11"/>
      <c r="Q156" s="13"/>
      <c r="R156" s="14"/>
    </row>
    <row r="157" spans="1:18" ht="15" customHeight="1" x14ac:dyDescent="0.3">
      <c r="A157" s="15" t="s">
        <v>26</v>
      </c>
      <c r="B157" s="15" t="s">
        <v>218</v>
      </c>
      <c r="C157" s="16">
        <v>0.48958333333333331</v>
      </c>
      <c r="D157" s="15" t="s">
        <v>34</v>
      </c>
      <c r="E157" s="15" t="s">
        <v>319</v>
      </c>
      <c r="F157" s="15" t="s">
        <v>35</v>
      </c>
      <c r="G157" s="257"/>
      <c r="H157" s="10"/>
      <c r="I157" s="11"/>
      <c r="J157" s="11"/>
      <c r="K157" s="11"/>
      <c r="L157" s="11"/>
      <c r="M157" s="11"/>
      <c r="N157" s="11"/>
      <c r="O157" s="12"/>
      <c r="P157" s="11"/>
      <c r="Q157" s="13"/>
      <c r="R157" s="14"/>
    </row>
    <row r="158" spans="1:18" ht="15" customHeight="1" x14ac:dyDescent="0.3">
      <c r="A158" s="19" t="s">
        <v>26</v>
      </c>
      <c r="B158" s="19" t="s">
        <v>216</v>
      </c>
      <c r="C158" s="20">
        <v>0.88888888888888884</v>
      </c>
      <c r="D158" s="19" t="s">
        <v>28</v>
      </c>
      <c r="E158" s="19" t="s">
        <v>328</v>
      </c>
      <c r="F158" s="19" t="s">
        <v>329</v>
      </c>
      <c r="G158" s="257"/>
      <c r="H158" s="10"/>
      <c r="I158" s="11"/>
      <c r="J158" s="11"/>
      <c r="K158" s="11"/>
      <c r="L158" s="11"/>
      <c r="M158" s="11"/>
      <c r="N158" s="11"/>
      <c r="O158" s="12"/>
      <c r="P158" s="11"/>
      <c r="Q158" s="13"/>
      <c r="R158" s="14"/>
    </row>
    <row r="159" spans="1:18" ht="15" customHeight="1" x14ac:dyDescent="0.3">
      <c r="A159" s="15" t="s">
        <v>26</v>
      </c>
      <c r="B159" s="15" t="s">
        <v>216</v>
      </c>
      <c r="C159" s="16">
        <v>0.88888888888888884</v>
      </c>
      <c r="D159" s="15" t="s">
        <v>31</v>
      </c>
      <c r="E159" s="15" t="s">
        <v>330</v>
      </c>
      <c r="F159" s="15" t="s">
        <v>331</v>
      </c>
      <c r="G159" s="257"/>
      <c r="H159" s="10"/>
      <c r="I159" s="11"/>
      <c r="J159" s="11"/>
      <c r="K159" s="11"/>
      <c r="L159" s="11"/>
      <c r="M159" s="11"/>
      <c r="N159" s="11"/>
      <c r="O159" s="12"/>
      <c r="P159" s="11"/>
      <c r="Q159" s="13"/>
      <c r="R159" s="14"/>
    </row>
    <row r="160" spans="1:18" ht="15" customHeight="1" x14ac:dyDescent="0.3">
      <c r="A160" s="15" t="s">
        <v>26</v>
      </c>
      <c r="B160" s="15" t="s">
        <v>216</v>
      </c>
      <c r="C160" s="16">
        <v>0.88888888888888884</v>
      </c>
      <c r="D160" s="15" t="s">
        <v>34</v>
      </c>
      <c r="E160" s="15" t="s">
        <v>330</v>
      </c>
      <c r="F160" s="15" t="s">
        <v>223</v>
      </c>
      <c r="G160" s="257"/>
      <c r="H160" s="10"/>
      <c r="I160" s="11"/>
      <c r="J160" s="11"/>
      <c r="K160" s="11"/>
      <c r="L160" s="11"/>
      <c r="M160" s="11"/>
      <c r="N160" s="11"/>
      <c r="O160" s="12"/>
      <c r="P160" s="11"/>
      <c r="Q160" s="13"/>
      <c r="R160" s="14"/>
    </row>
    <row r="161" spans="1:18" ht="15" customHeight="1" x14ac:dyDescent="0.3">
      <c r="A161" s="19" t="s">
        <v>26</v>
      </c>
      <c r="B161" s="19" t="s">
        <v>207</v>
      </c>
      <c r="C161" s="20">
        <v>0.98958333333333337</v>
      </c>
      <c r="D161" s="19" t="s">
        <v>28</v>
      </c>
      <c r="E161" s="19" t="s">
        <v>328</v>
      </c>
      <c r="F161" s="19" t="s">
        <v>329</v>
      </c>
      <c r="G161" s="257"/>
      <c r="H161" s="10"/>
      <c r="I161" s="11"/>
      <c r="J161" s="11"/>
      <c r="K161" s="11"/>
      <c r="L161" s="11"/>
      <c r="M161" s="11"/>
      <c r="N161" s="11"/>
      <c r="O161" s="12"/>
      <c r="P161" s="11"/>
      <c r="Q161" s="13"/>
      <c r="R161" s="14"/>
    </row>
    <row r="162" spans="1:18" ht="15" customHeight="1" x14ac:dyDescent="0.3">
      <c r="A162" s="15" t="s">
        <v>26</v>
      </c>
      <c r="B162" s="15" t="s">
        <v>207</v>
      </c>
      <c r="C162" s="16">
        <v>0.98958333333333337</v>
      </c>
      <c r="D162" s="15" t="s">
        <v>31</v>
      </c>
      <c r="E162" s="15" t="s">
        <v>330</v>
      </c>
      <c r="F162" s="15" t="s">
        <v>331</v>
      </c>
      <c r="G162" s="257"/>
      <c r="H162" s="10"/>
      <c r="I162" s="11"/>
      <c r="J162" s="11"/>
      <c r="K162" s="11"/>
      <c r="L162" s="11"/>
      <c r="M162" s="11"/>
      <c r="N162" s="11"/>
      <c r="O162" s="12"/>
      <c r="P162" s="11"/>
      <c r="Q162" s="13"/>
      <c r="R162" s="14"/>
    </row>
    <row r="163" spans="1:18" ht="15" customHeight="1" x14ac:dyDescent="0.3">
      <c r="A163" s="15" t="s">
        <v>26</v>
      </c>
      <c r="B163" s="15" t="s">
        <v>207</v>
      </c>
      <c r="C163" s="16">
        <v>0.98958333333333337</v>
      </c>
      <c r="D163" s="15" t="s">
        <v>34</v>
      </c>
      <c r="E163" s="15" t="s">
        <v>330</v>
      </c>
      <c r="F163" s="15" t="s">
        <v>35</v>
      </c>
      <c r="G163" s="257"/>
      <c r="H163" s="10"/>
      <c r="I163" s="11"/>
      <c r="J163" s="11"/>
      <c r="K163" s="11"/>
      <c r="L163" s="11"/>
      <c r="M163" s="11"/>
      <c r="N163" s="11"/>
      <c r="O163" s="12"/>
      <c r="P163" s="11"/>
      <c r="Q163" s="13"/>
      <c r="R163" s="14"/>
    </row>
    <row r="164" spans="1:18" ht="15" customHeight="1" x14ac:dyDescent="0.3">
      <c r="A164" s="173" t="s">
        <v>73</v>
      </c>
      <c r="B164" s="173" t="s">
        <v>256</v>
      </c>
      <c r="C164" s="174">
        <v>0.90625</v>
      </c>
      <c r="D164" s="173" t="s">
        <v>100</v>
      </c>
      <c r="E164" s="173" t="s">
        <v>81</v>
      </c>
      <c r="F164" s="173" t="s">
        <v>332</v>
      </c>
      <c r="G164" s="257"/>
      <c r="H164" s="125" t="s">
        <v>258</v>
      </c>
      <c r="I164" s="126">
        <v>0.86109999999999998</v>
      </c>
      <c r="J164" s="127">
        <v>155</v>
      </c>
      <c r="K164" s="128" t="s">
        <v>253</v>
      </c>
      <c r="L164" s="127">
        <v>99</v>
      </c>
      <c r="M164" s="127">
        <v>1</v>
      </c>
      <c r="N164" s="127">
        <v>15</v>
      </c>
      <c r="O164" s="129" t="s">
        <v>333</v>
      </c>
      <c r="P164" s="130">
        <v>0.90625</v>
      </c>
      <c r="Q164" s="127">
        <v>180</v>
      </c>
      <c r="R164" s="131" t="s">
        <v>334</v>
      </c>
    </row>
    <row r="165" spans="1:18" ht="15" customHeight="1" x14ac:dyDescent="0.3">
      <c r="A165" s="135" t="s">
        <v>73</v>
      </c>
      <c r="B165" s="135" t="s">
        <v>247</v>
      </c>
      <c r="C165" s="136">
        <v>4.8611111111111112E-2</v>
      </c>
      <c r="D165" s="135" t="s">
        <v>100</v>
      </c>
      <c r="E165" s="135" t="s">
        <v>231</v>
      </c>
      <c r="F165" s="135" t="s">
        <v>332</v>
      </c>
      <c r="G165" s="257"/>
      <c r="H165" s="137" t="s">
        <v>248</v>
      </c>
      <c r="I165" s="175">
        <v>0.99439999999999995</v>
      </c>
      <c r="J165" s="139">
        <v>179</v>
      </c>
      <c r="K165" s="140" t="s">
        <v>103</v>
      </c>
      <c r="L165" s="139">
        <v>37</v>
      </c>
      <c r="M165" s="139">
        <v>0</v>
      </c>
      <c r="N165" s="139">
        <v>11</v>
      </c>
      <c r="O165" s="141" t="s">
        <v>333</v>
      </c>
      <c r="P165" s="142">
        <v>4.8611111111111112E-2</v>
      </c>
      <c r="Q165" s="139">
        <v>180</v>
      </c>
      <c r="R165" s="143" t="s">
        <v>335</v>
      </c>
    </row>
    <row r="166" spans="1:18" ht="15" customHeight="1" x14ac:dyDescent="0.3">
      <c r="A166" s="159" t="s">
        <v>73</v>
      </c>
      <c r="B166" s="159" t="s">
        <v>251</v>
      </c>
      <c r="C166" s="160">
        <v>0.15625</v>
      </c>
      <c r="D166" s="159" t="s">
        <v>100</v>
      </c>
      <c r="E166" s="159" t="s">
        <v>233</v>
      </c>
      <c r="F166" s="159" t="s">
        <v>301</v>
      </c>
      <c r="G166" s="257"/>
      <c r="H166" s="87" t="s">
        <v>252</v>
      </c>
      <c r="I166" s="88">
        <v>0.98870000000000002</v>
      </c>
      <c r="J166" s="89">
        <v>175</v>
      </c>
      <c r="K166" s="90" t="s">
        <v>103</v>
      </c>
      <c r="L166" s="89">
        <v>46</v>
      </c>
      <c r="M166" s="89">
        <v>0</v>
      </c>
      <c r="N166" s="89">
        <v>1</v>
      </c>
      <c r="O166" s="91" t="s">
        <v>336</v>
      </c>
      <c r="P166" s="92">
        <v>0.15625</v>
      </c>
      <c r="Q166" s="89">
        <v>177</v>
      </c>
      <c r="R166" s="93" t="s">
        <v>337</v>
      </c>
    </row>
    <row r="167" spans="1:18" ht="15" customHeight="1" x14ac:dyDescent="0.3">
      <c r="A167" s="135" t="s">
        <v>73</v>
      </c>
      <c r="B167" s="135" t="s">
        <v>261</v>
      </c>
      <c r="C167" s="136">
        <v>0.50347222222222221</v>
      </c>
      <c r="D167" s="135" t="s">
        <v>75</v>
      </c>
      <c r="E167" s="176"/>
      <c r="F167" s="135" t="s">
        <v>76</v>
      </c>
      <c r="G167" s="257"/>
      <c r="H167" s="137" t="s">
        <v>261</v>
      </c>
      <c r="I167" s="175">
        <v>0.99439999999999995</v>
      </c>
      <c r="J167" s="139">
        <v>179</v>
      </c>
      <c r="K167" s="140" t="s">
        <v>338</v>
      </c>
      <c r="L167" s="139">
        <v>23</v>
      </c>
      <c r="M167" s="139">
        <v>0</v>
      </c>
      <c r="N167" s="139">
        <v>0</v>
      </c>
      <c r="O167" s="141" t="s">
        <v>78</v>
      </c>
      <c r="P167" s="142">
        <v>0.50347222222222221</v>
      </c>
      <c r="Q167" s="139">
        <v>180</v>
      </c>
      <c r="R167" s="143" t="s">
        <v>339</v>
      </c>
    </row>
    <row r="168" spans="1:18" ht="15" customHeight="1" x14ac:dyDescent="0.3">
      <c r="A168" s="17" t="s">
        <v>36</v>
      </c>
      <c r="B168" s="17" t="s">
        <v>228</v>
      </c>
      <c r="C168" s="18">
        <v>0.34722222222222232</v>
      </c>
      <c r="D168" s="17" t="s">
        <v>38</v>
      </c>
      <c r="E168" s="17" t="s">
        <v>81</v>
      </c>
      <c r="F168" s="17" t="s">
        <v>210</v>
      </c>
      <c r="G168" s="257"/>
      <c r="H168" s="10"/>
      <c r="I168" s="11"/>
      <c r="J168" s="11"/>
      <c r="K168" s="11"/>
      <c r="L168" s="11"/>
      <c r="M168" s="11"/>
      <c r="N168" s="11"/>
      <c r="O168" s="12"/>
      <c r="P168" s="11"/>
      <c r="Q168" s="13"/>
      <c r="R168" s="14"/>
    </row>
    <row r="169" spans="1:18" ht="15" customHeight="1" x14ac:dyDescent="0.3">
      <c r="A169" s="15" t="s">
        <v>36</v>
      </c>
      <c r="B169" s="15" t="s">
        <v>228</v>
      </c>
      <c r="C169" s="16">
        <v>0.34722222222222232</v>
      </c>
      <c r="D169" s="15" t="s">
        <v>41</v>
      </c>
      <c r="E169" s="15" t="s">
        <v>82</v>
      </c>
      <c r="F169" s="15" t="s">
        <v>33</v>
      </c>
      <c r="G169" s="257"/>
      <c r="H169" s="10"/>
      <c r="I169" s="11"/>
      <c r="J169" s="11"/>
      <c r="K169" s="11"/>
      <c r="L169" s="11"/>
      <c r="M169" s="11"/>
      <c r="N169" s="11"/>
      <c r="O169" s="12"/>
      <c r="P169" s="11"/>
      <c r="Q169" s="13"/>
      <c r="R169" s="14"/>
    </row>
    <row r="170" spans="1:18" ht="15" customHeight="1" x14ac:dyDescent="0.3">
      <c r="A170" s="15" t="s">
        <v>36</v>
      </c>
      <c r="B170" s="15" t="s">
        <v>228</v>
      </c>
      <c r="C170" s="16">
        <v>0.34722222222222232</v>
      </c>
      <c r="D170" s="15" t="s">
        <v>44</v>
      </c>
      <c r="E170" s="15" t="s">
        <v>82</v>
      </c>
      <c r="F170" s="15" t="s">
        <v>229</v>
      </c>
      <c r="G170" s="257"/>
      <c r="H170" s="10"/>
      <c r="I170" s="11"/>
      <c r="J170" s="11"/>
      <c r="K170" s="11"/>
      <c r="L170" s="11"/>
      <c r="M170" s="11"/>
      <c r="N170" s="11"/>
      <c r="O170" s="12"/>
      <c r="P170" s="11"/>
      <c r="Q170" s="13"/>
      <c r="R170" s="14"/>
    </row>
    <row r="171" spans="1:18" ht="15" customHeight="1" x14ac:dyDescent="0.3">
      <c r="A171" s="19" t="s">
        <v>36</v>
      </c>
      <c r="B171" s="19" t="s">
        <v>224</v>
      </c>
      <c r="C171" s="20">
        <v>0.99305555555555547</v>
      </c>
      <c r="D171" s="19" t="s">
        <v>38</v>
      </c>
      <c r="E171" s="19" t="s">
        <v>231</v>
      </c>
      <c r="F171" s="19" t="s">
        <v>210</v>
      </c>
      <c r="G171" s="257"/>
      <c r="H171" s="10"/>
      <c r="I171" s="11"/>
      <c r="J171" s="11"/>
      <c r="K171" s="11"/>
      <c r="L171" s="11"/>
      <c r="M171" s="11"/>
      <c r="N171" s="11"/>
      <c r="O171" s="12"/>
      <c r="P171" s="11"/>
      <c r="Q171" s="13"/>
      <c r="R171" s="14"/>
    </row>
    <row r="172" spans="1:18" ht="15" customHeight="1" x14ac:dyDescent="0.3">
      <c r="A172" s="15" t="s">
        <v>36</v>
      </c>
      <c r="B172" s="15" t="s">
        <v>224</v>
      </c>
      <c r="C172" s="16">
        <v>0.99305555555555547</v>
      </c>
      <c r="D172" s="15" t="s">
        <v>41</v>
      </c>
      <c r="E172" s="15" t="s">
        <v>82</v>
      </c>
      <c r="F172" s="15" t="s">
        <v>33</v>
      </c>
      <c r="G172" s="257"/>
      <c r="H172" s="10"/>
      <c r="I172" s="11"/>
      <c r="J172" s="11"/>
      <c r="K172" s="11"/>
      <c r="L172" s="11"/>
      <c r="M172" s="11"/>
      <c r="N172" s="11"/>
      <c r="O172" s="12"/>
      <c r="P172" s="11"/>
      <c r="Q172" s="13"/>
      <c r="R172" s="14"/>
    </row>
    <row r="173" spans="1:18" ht="15" customHeight="1" x14ac:dyDescent="0.3">
      <c r="A173" s="15" t="s">
        <v>36</v>
      </c>
      <c r="B173" s="15" t="s">
        <v>224</v>
      </c>
      <c r="C173" s="16">
        <v>0.99305555555555547</v>
      </c>
      <c r="D173" s="15" t="s">
        <v>44</v>
      </c>
      <c r="E173" s="15" t="s">
        <v>82</v>
      </c>
      <c r="F173" s="15" t="s">
        <v>229</v>
      </c>
      <c r="G173" s="257"/>
      <c r="H173" s="10"/>
      <c r="I173" s="11"/>
      <c r="J173" s="11"/>
      <c r="K173" s="11"/>
      <c r="L173" s="11"/>
      <c r="M173" s="11"/>
      <c r="N173" s="11"/>
      <c r="O173" s="12"/>
      <c r="P173" s="11"/>
      <c r="Q173" s="13"/>
      <c r="R173" s="14"/>
    </row>
    <row r="174" spans="1:18" ht="15" customHeight="1" x14ac:dyDescent="0.3">
      <c r="A174" s="19" t="s">
        <v>36</v>
      </c>
      <c r="B174" s="19" t="s">
        <v>226</v>
      </c>
      <c r="C174" s="20">
        <v>0.94444444444444453</v>
      </c>
      <c r="D174" s="19" t="s">
        <v>38</v>
      </c>
      <c r="E174" s="19" t="s">
        <v>217</v>
      </c>
      <c r="F174" s="19" t="s">
        <v>210</v>
      </c>
      <c r="G174" s="257"/>
      <c r="H174" s="10"/>
      <c r="I174" s="11"/>
      <c r="J174" s="11"/>
      <c r="K174" s="11"/>
      <c r="L174" s="11"/>
      <c r="M174" s="11"/>
      <c r="N174" s="11"/>
      <c r="O174" s="12"/>
      <c r="P174" s="11"/>
      <c r="Q174" s="13"/>
      <c r="R174" s="14"/>
    </row>
    <row r="175" spans="1:18" ht="15" customHeight="1" x14ac:dyDescent="0.3">
      <c r="A175" s="15" t="s">
        <v>36</v>
      </c>
      <c r="B175" s="15" t="s">
        <v>226</v>
      </c>
      <c r="C175" s="16">
        <v>0.94444444444444453</v>
      </c>
      <c r="D175" s="15" t="s">
        <v>41</v>
      </c>
      <c r="E175" s="15" t="s">
        <v>42</v>
      </c>
      <c r="F175" s="15" t="s">
        <v>33</v>
      </c>
      <c r="G175" s="257"/>
      <c r="H175" s="10"/>
      <c r="I175" s="11"/>
      <c r="J175" s="11"/>
      <c r="K175" s="11"/>
      <c r="L175" s="11"/>
      <c r="M175" s="11"/>
      <c r="N175" s="11"/>
      <c r="O175" s="12"/>
      <c r="P175" s="11"/>
      <c r="Q175" s="13"/>
      <c r="R175" s="14"/>
    </row>
    <row r="176" spans="1:18" ht="15" customHeight="1" x14ac:dyDescent="0.3">
      <c r="A176" s="15" t="s">
        <v>36</v>
      </c>
      <c r="B176" s="15" t="s">
        <v>226</v>
      </c>
      <c r="C176" s="16">
        <v>0.94444444444444453</v>
      </c>
      <c r="D176" s="15" t="s">
        <v>44</v>
      </c>
      <c r="E176" s="15" t="s">
        <v>42</v>
      </c>
      <c r="F176" s="15" t="s">
        <v>229</v>
      </c>
      <c r="G176" s="257"/>
      <c r="H176" s="10"/>
      <c r="I176" s="11"/>
      <c r="J176" s="11"/>
      <c r="K176" s="11"/>
      <c r="L176" s="11"/>
      <c r="M176" s="11"/>
      <c r="N176" s="11"/>
      <c r="O176" s="12"/>
      <c r="P176" s="11"/>
      <c r="Q176" s="13"/>
      <c r="R176" s="14"/>
    </row>
    <row r="177" spans="1:18" ht="15" customHeight="1" x14ac:dyDescent="0.3">
      <c r="A177" s="19" t="s">
        <v>36</v>
      </c>
      <c r="B177" s="19" t="s">
        <v>234</v>
      </c>
      <c r="C177" s="20">
        <v>0.4861111111111111</v>
      </c>
      <c r="D177" s="19" t="s">
        <v>38</v>
      </c>
      <c r="E177" s="19" t="s">
        <v>217</v>
      </c>
      <c r="F177" s="19" t="s">
        <v>210</v>
      </c>
      <c r="G177" s="257"/>
      <c r="H177" s="10"/>
      <c r="I177" s="11"/>
      <c r="J177" s="11"/>
      <c r="K177" s="11"/>
      <c r="L177" s="11"/>
      <c r="M177" s="11"/>
      <c r="N177" s="11"/>
      <c r="O177" s="12"/>
      <c r="P177" s="11"/>
      <c r="Q177" s="13"/>
      <c r="R177" s="14"/>
    </row>
    <row r="178" spans="1:18" ht="15" customHeight="1" x14ac:dyDescent="0.3">
      <c r="A178" s="15" t="s">
        <v>36</v>
      </c>
      <c r="B178" s="15" t="s">
        <v>234</v>
      </c>
      <c r="C178" s="16">
        <v>0.4861111111111111</v>
      </c>
      <c r="D178" s="15" t="s">
        <v>41</v>
      </c>
      <c r="E178" s="15" t="s">
        <v>42</v>
      </c>
      <c r="F178" s="15" t="s">
        <v>33</v>
      </c>
      <c r="G178" s="257"/>
      <c r="H178" s="10"/>
      <c r="I178" s="11"/>
      <c r="J178" s="11"/>
      <c r="K178" s="11"/>
      <c r="L178" s="11"/>
      <c r="M178" s="11"/>
      <c r="N178" s="11"/>
      <c r="O178" s="12"/>
      <c r="P178" s="11"/>
      <c r="Q178" s="13"/>
      <c r="R178" s="14"/>
    </row>
    <row r="179" spans="1:18" ht="15" customHeight="1" x14ac:dyDescent="0.3">
      <c r="A179" s="15" t="s">
        <v>36</v>
      </c>
      <c r="B179" s="15" t="s">
        <v>234</v>
      </c>
      <c r="C179" s="16">
        <v>0.4861111111111111</v>
      </c>
      <c r="D179" s="15" t="s">
        <v>44</v>
      </c>
      <c r="E179" s="15" t="s">
        <v>42</v>
      </c>
      <c r="F179" s="15" t="s">
        <v>229</v>
      </c>
      <c r="G179" s="257"/>
      <c r="H179" s="10"/>
      <c r="I179" s="11"/>
      <c r="J179" s="11"/>
      <c r="K179" s="11"/>
      <c r="L179" s="11"/>
      <c r="M179" s="11"/>
      <c r="N179" s="11"/>
      <c r="O179" s="12"/>
      <c r="P179" s="11"/>
      <c r="Q179" s="13"/>
      <c r="R179" s="14"/>
    </row>
    <row r="180" spans="1:18" ht="15" customHeight="1" x14ac:dyDescent="0.3">
      <c r="A180" s="19" t="s">
        <v>36</v>
      </c>
      <c r="B180" s="19" t="s">
        <v>238</v>
      </c>
      <c r="C180" s="20">
        <v>0.88888888888888884</v>
      </c>
      <c r="D180" s="19" t="s">
        <v>38</v>
      </c>
      <c r="E180" s="19" t="s">
        <v>47</v>
      </c>
      <c r="F180" s="19" t="s">
        <v>210</v>
      </c>
      <c r="G180" s="257"/>
      <c r="H180" s="10"/>
      <c r="I180" s="11"/>
      <c r="J180" s="11"/>
      <c r="K180" s="11"/>
      <c r="L180" s="11"/>
      <c r="M180" s="11"/>
      <c r="N180" s="11"/>
      <c r="O180" s="12"/>
      <c r="P180" s="11"/>
      <c r="Q180" s="13"/>
      <c r="R180" s="14"/>
    </row>
    <row r="181" spans="1:18" ht="15" customHeight="1" x14ac:dyDescent="0.3">
      <c r="A181" s="15" t="s">
        <v>36</v>
      </c>
      <c r="B181" s="15" t="s">
        <v>238</v>
      </c>
      <c r="C181" s="16">
        <v>0.88888888888888884</v>
      </c>
      <c r="D181" s="15" t="s">
        <v>41</v>
      </c>
      <c r="E181" s="15" t="s">
        <v>49</v>
      </c>
      <c r="F181" s="15" t="s">
        <v>33</v>
      </c>
      <c r="G181" s="257"/>
      <c r="H181" s="10"/>
      <c r="I181" s="11"/>
      <c r="J181" s="11"/>
      <c r="K181" s="11"/>
      <c r="L181" s="11"/>
      <c r="M181" s="11"/>
      <c r="N181" s="11"/>
      <c r="O181" s="12"/>
      <c r="P181" s="11"/>
      <c r="Q181" s="13"/>
      <c r="R181" s="14"/>
    </row>
    <row r="182" spans="1:18" ht="15" customHeight="1" x14ac:dyDescent="0.3">
      <c r="A182" s="15" t="s">
        <v>36</v>
      </c>
      <c r="B182" s="15" t="s">
        <v>238</v>
      </c>
      <c r="C182" s="16">
        <v>0.88888888888888884</v>
      </c>
      <c r="D182" s="15" t="s">
        <v>44</v>
      </c>
      <c r="E182" s="15" t="s">
        <v>49</v>
      </c>
      <c r="F182" s="15" t="s">
        <v>229</v>
      </c>
      <c r="G182" s="257"/>
      <c r="H182" s="10"/>
      <c r="I182" s="11"/>
      <c r="J182" s="11"/>
      <c r="K182" s="11"/>
      <c r="L182" s="11"/>
      <c r="M182" s="11"/>
      <c r="N182" s="11"/>
      <c r="O182" s="12"/>
      <c r="P182" s="11"/>
      <c r="Q182" s="13"/>
      <c r="R182" s="14"/>
    </row>
    <row r="183" spans="1:18" ht="15" customHeight="1" x14ac:dyDescent="0.3">
      <c r="A183" s="19" t="s">
        <v>36</v>
      </c>
      <c r="B183" s="19" t="s">
        <v>230</v>
      </c>
      <c r="C183" s="20">
        <v>0.75</v>
      </c>
      <c r="D183" s="19" t="s">
        <v>38</v>
      </c>
      <c r="E183" s="19" t="s">
        <v>47</v>
      </c>
      <c r="F183" s="19" t="s">
        <v>340</v>
      </c>
      <c r="G183" s="257"/>
      <c r="H183" s="10"/>
      <c r="I183" s="11"/>
      <c r="J183" s="11"/>
      <c r="K183" s="11"/>
      <c r="L183" s="11"/>
      <c r="M183" s="11"/>
      <c r="N183" s="11"/>
      <c r="O183" s="12"/>
      <c r="P183" s="11"/>
      <c r="Q183" s="13"/>
      <c r="R183" s="14"/>
    </row>
    <row r="184" spans="1:18" ht="15" customHeight="1" x14ac:dyDescent="0.3">
      <c r="A184" s="15" t="s">
        <v>36</v>
      </c>
      <c r="B184" s="15" t="s">
        <v>230</v>
      </c>
      <c r="C184" s="16">
        <v>0.75</v>
      </c>
      <c r="D184" s="15" t="s">
        <v>41</v>
      </c>
      <c r="E184" s="15" t="s">
        <v>49</v>
      </c>
      <c r="F184" s="15" t="s">
        <v>341</v>
      </c>
      <c r="G184" s="257"/>
      <c r="H184" s="10"/>
      <c r="I184" s="11"/>
      <c r="J184" s="11"/>
      <c r="K184" s="11"/>
      <c r="L184" s="11"/>
      <c r="M184" s="11"/>
      <c r="N184" s="11"/>
      <c r="O184" s="12"/>
      <c r="P184" s="11"/>
      <c r="Q184" s="13"/>
      <c r="R184" s="14"/>
    </row>
    <row r="185" spans="1:18" ht="15" customHeight="1" x14ac:dyDescent="0.3">
      <c r="A185" s="15" t="s">
        <v>36</v>
      </c>
      <c r="B185" s="15" t="s">
        <v>230</v>
      </c>
      <c r="C185" s="16">
        <v>0.75</v>
      </c>
      <c r="D185" s="15" t="s">
        <v>44</v>
      </c>
      <c r="E185" s="15" t="s">
        <v>49</v>
      </c>
      <c r="F185" s="15" t="s">
        <v>342</v>
      </c>
      <c r="G185" s="257"/>
      <c r="H185" s="10"/>
      <c r="I185" s="11"/>
      <c r="J185" s="11"/>
      <c r="K185" s="11"/>
      <c r="L185" s="11"/>
      <c r="M185" s="11"/>
      <c r="N185" s="11"/>
      <c r="O185" s="12"/>
      <c r="P185" s="11"/>
      <c r="Q185" s="13"/>
      <c r="R185" s="14"/>
    </row>
    <row r="186" spans="1:18" ht="15" customHeight="1" x14ac:dyDescent="0.3">
      <c r="A186" s="19" t="s">
        <v>36</v>
      </c>
      <c r="B186" s="19" t="s">
        <v>232</v>
      </c>
      <c r="C186" s="20">
        <v>0.83680555555555547</v>
      </c>
      <c r="D186" s="19" t="s">
        <v>38</v>
      </c>
      <c r="E186" s="19" t="s">
        <v>217</v>
      </c>
      <c r="F186" s="19" t="s">
        <v>340</v>
      </c>
      <c r="G186" s="257"/>
      <c r="H186" s="10"/>
      <c r="I186" s="11"/>
      <c r="J186" s="11"/>
      <c r="K186" s="11"/>
      <c r="L186" s="11"/>
      <c r="M186" s="11"/>
      <c r="N186" s="11"/>
      <c r="O186" s="12"/>
      <c r="P186" s="11"/>
      <c r="Q186" s="13"/>
      <c r="R186" s="14"/>
    </row>
    <row r="187" spans="1:18" ht="15" customHeight="1" x14ac:dyDescent="0.3">
      <c r="A187" s="15" t="s">
        <v>36</v>
      </c>
      <c r="B187" s="15" t="s">
        <v>232</v>
      </c>
      <c r="C187" s="16">
        <v>0.83680555555555547</v>
      </c>
      <c r="D187" s="15" t="s">
        <v>41</v>
      </c>
      <c r="E187" s="15" t="s">
        <v>42</v>
      </c>
      <c r="F187" s="15" t="s">
        <v>341</v>
      </c>
      <c r="G187" s="257"/>
      <c r="H187" s="10"/>
      <c r="I187" s="11"/>
      <c r="J187" s="11"/>
      <c r="K187" s="11"/>
      <c r="L187" s="11"/>
      <c r="M187" s="11"/>
      <c r="N187" s="11"/>
      <c r="O187" s="12"/>
      <c r="P187" s="11"/>
      <c r="Q187" s="13"/>
      <c r="R187" s="14"/>
    </row>
    <row r="188" spans="1:18" ht="15" customHeight="1" x14ac:dyDescent="0.3">
      <c r="A188" s="15" t="s">
        <v>36</v>
      </c>
      <c r="B188" s="15" t="s">
        <v>232</v>
      </c>
      <c r="C188" s="16">
        <v>0.83680555555555547</v>
      </c>
      <c r="D188" s="15" t="s">
        <v>44</v>
      </c>
      <c r="E188" s="15" t="s">
        <v>42</v>
      </c>
      <c r="F188" s="15" t="s">
        <v>342</v>
      </c>
      <c r="G188" s="257"/>
      <c r="H188" s="10"/>
      <c r="I188" s="11"/>
      <c r="J188" s="11"/>
      <c r="K188" s="11"/>
      <c r="L188" s="11"/>
      <c r="M188" s="11"/>
      <c r="N188" s="11"/>
      <c r="O188" s="12"/>
      <c r="P188" s="11"/>
      <c r="Q188" s="13"/>
      <c r="R188" s="14"/>
    </row>
    <row r="189" spans="1:18" ht="15" customHeight="1" x14ac:dyDescent="0.3">
      <c r="A189" s="17" t="s">
        <v>239</v>
      </c>
      <c r="B189" s="17" t="s">
        <v>240</v>
      </c>
      <c r="C189" s="18">
        <v>0.49305555555555558</v>
      </c>
      <c r="D189" s="17" t="s">
        <v>100</v>
      </c>
      <c r="E189" s="17" t="s">
        <v>81</v>
      </c>
      <c r="F189" s="17" t="s">
        <v>241</v>
      </c>
      <c r="G189" s="257"/>
      <c r="H189" s="10"/>
      <c r="I189" s="11"/>
      <c r="J189" s="11"/>
      <c r="K189" s="11"/>
      <c r="L189" s="11"/>
      <c r="M189" s="11"/>
      <c r="N189" s="11"/>
      <c r="O189" s="12"/>
      <c r="P189" s="11"/>
      <c r="Q189" s="13"/>
      <c r="R189" s="14"/>
    </row>
    <row r="190" spans="1:18" ht="15" customHeight="1" x14ac:dyDescent="0.3">
      <c r="A190" s="17" t="s">
        <v>266</v>
      </c>
      <c r="B190" s="17" t="s">
        <v>267</v>
      </c>
      <c r="C190" s="18">
        <v>0.12847222222222221</v>
      </c>
      <c r="D190" s="17" t="s">
        <v>268</v>
      </c>
      <c r="E190" s="17" t="s">
        <v>298</v>
      </c>
      <c r="F190" s="17" t="s">
        <v>343</v>
      </c>
      <c r="G190" s="257"/>
      <c r="H190" s="10"/>
      <c r="I190" s="11"/>
      <c r="J190" s="11"/>
      <c r="K190" s="11"/>
      <c r="L190" s="11"/>
      <c r="M190" s="11"/>
      <c r="N190" s="11"/>
      <c r="O190" s="12"/>
      <c r="P190" s="11"/>
      <c r="Q190" s="13"/>
      <c r="R190" s="14"/>
    </row>
    <row r="191" spans="1:18" ht="15" customHeight="1" x14ac:dyDescent="0.3">
      <c r="A191" s="15" t="s">
        <v>266</v>
      </c>
      <c r="B191" s="15" t="s">
        <v>267</v>
      </c>
      <c r="C191" s="16">
        <v>0.12847222222222221</v>
      </c>
      <c r="D191" s="15" t="s">
        <v>34</v>
      </c>
      <c r="E191" s="15" t="s">
        <v>96</v>
      </c>
      <c r="F191" s="15" t="s">
        <v>344</v>
      </c>
      <c r="G191" s="257"/>
      <c r="H191" s="10"/>
      <c r="I191" s="11"/>
      <c r="J191" s="11"/>
      <c r="K191" s="11"/>
      <c r="L191" s="11"/>
      <c r="M191" s="11"/>
      <c r="N191" s="11"/>
      <c r="O191" s="12"/>
      <c r="P191" s="11"/>
      <c r="Q191" s="13"/>
      <c r="R191" s="14"/>
    </row>
    <row r="192" spans="1:18" ht="15" customHeight="1" x14ac:dyDescent="0.3">
      <c r="A192" s="19" t="s">
        <v>266</v>
      </c>
      <c r="B192" s="19" t="s">
        <v>345</v>
      </c>
      <c r="C192" s="20">
        <v>5.5555555555555552E-2</v>
      </c>
      <c r="D192" s="19" t="s">
        <v>268</v>
      </c>
      <c r="E192" s="19" t="s">
        <v>47</v>
      </c>
      <c r="F192" s="19" t="s">
        <v>315</v>
      </c>
      <c r="G192" s="257"/>
      <c r="H192" s="10"/>
      <c r="I192" s="11"/>
      <c r="J192" s="11"/>
      <c r="K192" s="11"/>
      <c r="L192" s="11"/>
      <c r="M192" s="11"/>
      <c r="N192" s="11"/>
      <c r="O192" s="12"/>
      <c r="P192" s="11"/>
      <c r="Q192" s="13"/>
      <c r="R192" s="14"/>
    </row>
    <row r="193" spans="1:18" ht="15" customHeight="1" x14ac:dyDescent="0.3">
      <c r="A193" s="15" t="s">
        <v>266</v>
      </c>
      <c r="B193" s="15" t="s">
        <v>345</v>
      </c>
      <c r="C193" s="16">
        <v>5.5555555555555552E-2</v>
      </c>
      <c r="D193" s="15" t="s">
        <v>34</v>
      </c>
      <c r="E193" s="15" t="s">
        <v>49</v>
      </c>
      <c r="F193" s="15" t="s">
        <v>316</v>
      </c>
      <c r="G193" s="257"/>
      <c r="H193" s="10"/>
      <c r="I193" s="11"/>
      <c r="J193" s="11"/>
      <c r="K193" s="11"/>
      <c r="L193" s="11"/>
      <c r="M193" s="11"/>
      <c r="N193" s="11"/>
      <c r="O193" s="12"/>
      <c r="P193" s="11"/>
      <c r="Q193" s="13"/>
      <c r="R193" s="14"/>
    </row>
    <row r="194" spans="1:18" ht="15" customHeight="1" x14ac:dyDescent="0.3">
      <c r="A194" s="17" t="s">
        <v>68</v>
      </c>
      <c r="B194" s="17" t="s">
        <v>346</v>
      </c>
      <c r="C194" s="18">
        <v>0.36805555555555558</v>
      </c>
      <c r="D194" s="17" t="s">
        <v>70</v>
      </c>
      <c r="E194" s="17" t="s">
        <v>55</v>
      </c>
      <c r="F194" s="17" t="s">
        <v>322</v>
      </c>
      <c r="G194" s="257"/>
      <c r="H194" s="10"/>
      <c r="I194" s="11"/>
      <c r="J194" s="11"/>
      <c r="K194" s="11"/>
      <c r="L194" s="11"/>
      <c r="M194" s="11"/>
      <c r="N194" s="11"/>
      <c r="O194" s="12"/>
      <c r="P194" s="11"/>
      <c r="Q194" s="13"/>
      <c r="R194" s="14"/>
    </row>
    <row r="195" spans="1:18" ht="15" customHeight="1" x14ac:dyDescent="0.3">
      <c r="A195" s="19" t="s">
        <v>68</v>
      </c>
      <c r="B195" s="19" t="s">
        <v>285</v>
      </c>
      <c r="C195" s="20">
        <v>0.78472222222222221</v>
      </c>
      <c r="D195" s="19" t="s">
        <v>70</v>
      </c>
      <c r="E195" s="19" t="s">
        <v>86</v>
      </c>
      <c r="F195" s="19" t="s">
        <v>322</v>
      </c>
      <c r="G195" s="257"/>
      <c r="H195" s="10"/>
      <c r="I195" s="11"/>
      <c r="J195" s="11"/>
      <c r="K195" s="11"/>
      <c r="L195" s="11"/>
      <c r="M195" s="11"/>
      <c r="N195" s="11"/>
      <c r="O195" s="12"/>
      <c r="P195" s="11"/>
      <c r="Q195" s="13"/>
      <c r="R195" s="14"/>
    </row>
    <row r="196" spans="1:18" ht="15" customHeight="1" x14ac:dyDescent="0.3">
      <c r="A196" s="19" t="s">
        <v>68</v>
      </c>
      <c r="B196" s="19" t="s">
        <v>294</v>
      </c>
      <c r="C196" s="20">
        <v>4.8611111111111112E-2</v>
      </c>
      <c r="D196" s="19" t="s">
        <v>70</v>
      </c>
      <c r="E196" s="19" t="s">
        <v>86</v>
      </c>
      <c r="F196" s="19" t="s">
        <v>322</v>
      </c>
      <c r="G196" s="257"/>
      <c r="H196" s="10"/>
      <c r="I196" s="11"/>
      <c r="J196" s="11"/>
      <c r="K196" s="11"/>
      <c r="L196" s="11"/>
      <c r="M196" s="11"/>
      <c r="N196" s="11"/>
      <c r="O196" s="12"/>
      <c r="P196" s="11"/>
      <c r="Q196" s="13"/>
      <c r="R196" s="14"/>
    </row>
    <row r="197" spans="1:18" ht="15" customHeight="1" x14ac:dyDescent="0.3">
      <c r="A197" s="19" t="s">
        <v>68</v>
      </c>
      <c r="B197" s="19" t="s">
        <v>292</v>
      </c>
      <c r="C197" s="20">
        <v>0.83680555555555547</v>
      </c>
      <c r="D197" s="19" t="s">
        <v>70</v>
      </c>
      <c r="E197" s="19" t="s">
        <v>86</v>
      </c>
      <c r="F197" s="19" t="s">
        <v>323</v>
      </c>
      <c r="G197" s="257"/>
      <c r="H197" s="10"/>
      <c r="I197" s="11"/>
      <c r="J197" s="11"/>
      <c r="K197" s="11"/>
      <c r="L197" s="11"/>
      <c r="M197" s="11"/>
      <c r="N197" s="11"/>
      <c r="O197" s="12"/>
      <c r="P197" s="11"/>
      <c r="Q197" s="13"/>
      <c r="R197" s="14"/>
    </row>
    <row r="198" spans="1:18" ht="15" customHeight="1" x14ac:dyDescent="0.3">
      <c r="A198" s="19" t="s">
        <v>68</v>
      </c>
      <c r="B198" s="19" t="s">
        <v>291</v>
      </c>
      <c r="C198" s="20">
        <v>0.59722222222222221</v>
      </c>
      <c r="D198" s="19" t="s">
        <v>70</v>
      </c>
      <c r="E198" s="19" t="s">
        <v>86</v>
      </c>
      <c r="F198" s="19" t="s">
        <v>325</v>
      </c>
      <c r="G198" s="257"/>
      <c r="H198" s="10"/>
      <c r="I198" s="11"/>
      <c r="J198" s="11"/>
      <c r="K198" s="11"/>
      <c r="L198" s="11"/>
      <c r="M198" s="11"/>
      <c r="N198" s="11"/>
      <c r="O198" s="12"/>
      <c r="P198" s="11"/>
      <c r="Q198" s="13"/>
      <c r="R198" s="14"/>
    </row>
    <row r="199" spans="1:18" ht="15" customHeight="1" x14ac:dyDescent="0.3">
      <c r="A199" s="19" t="s">
        <v>68</v>
      </c>
      <c r="B199" s="19" t="s">
        <v>290</v>
      </c>
      <c r="C199" s="20">
        <v>0.1041666666666667</v>
      </c>
      <c r="D199" s="19" t="s">
        <v>70</v>
      </c>
      <c r="E199" s="19" t="s">
        <v>86</v>
      </c>
      <c r="F199" s="19" t="s">
        <v>286</v>
      </c>
      <c r="G199" s="257"/>
      <c r="H199" s="10"/>
      <c r="I199" s="11"/>
      <c r="J199" s="11"/>
      <c r="K199" s="11"/>
      <c r="L199" s="11"/>
      <c r="M199" s="11"/>
      <c r="N199" s="11"/>
      <c r="O199" s="12"/>
      <c r="P199" s="11"/>
      <c r="Q199" s="13"/>
      <c r="R199" s="14"/>
    </row>
    <row r="200" spans="1:18" ht="15" customHeight="1" x14ac:dyDescent="0.3">
      <c r="A200" s="19" t="s">
        <v>68</v>
      </c>
      <c r="B200" s="19" t="s">
        <v>287</v>
      </c>
      <c r="C200" s="20">
        <v>0.97222222222222221</v>
      </c>
      <c r="D200" s="19" t="s">
        <v>70</v>
      </c>
      <c r="E200" s="19" t="s">
        <v>86</v>
      </c>
      <c r="F200" s="19" t="s">
        <v>347</v>
      </c>
      <c r="G200" s="257"/>
      <c r="H200" s="10"/>
      <c r="I200" s="11"/>
      <c r="J200" s="11"/>
      <c r="K200" s="11"/>
      <c r="L200" s="11"/>
      <c r="M200" s="11"/>
      <c r="N200" s="11"/>
      <c r="O200" s="12"/>
      <c r="P200" s="11"/>
      <c r="Q200" s="13"/>
      <c r="R200" s="14"/>
    </row>
    <row r="201" spans="1:18" ht="15" customHeight="1" x14ac:dyDescent="0.3">
      <c r="A201" s="19" t="s">
        <v>68</v>
      </c>
      <c r="B201" s="19" t="s">
        <v>324</v>
      </c>
      <c r="C201" s="20">
        <v>0.3125</v>
      </c>
      <c r="D201" s="19" t="s">
        <v>70</v>
      </c>
      <c r="E201" s="19" t="s">
        <v>227</v>
      </c>
      <c r="F201" s="19" t="s">
        <v>289</v>
      </c>
      <c r="G201" s="257"/>
      <c r="H201" s="10"/>
      <c r="I201" s="11"/>
      <c r="J201" s="11"/>
      <c r="K201" s="11"/>
      <c r="L201" s="11"/>
      <c r="M201" s="11"/>
      <c r="N201" s="11"/>
      <c r="O201" s="12"/>
      <c r="P201" s="11"/>
      <c r="Q201" s="13"/>
      <c r="R201" s="14"/>
    </row>
    <row r="202" spans="1:18" ht="15" customHeight="1" x14ac:dyDescent="0.3">
      <c r="A202" s="17" t="s">
        <v>52</v>
      </c>
      <c r="B202" s="17" t="s">
        <v>327</v>
      </c>
      <c r="C202" s="18">
        <v>0.48958333333333331</v>
      </c>
      <c r="D202" s="17" t="s">
        <v>57</v>
      </c>
      <c r="E202" s="17" t="s">
        <v>101</v>
      </c>
      <c r="F202" s="17" t="s">
        <v>273</v>
      </c>
      <c r="G202" s="257"/>
      <c r="H202" s="10"/>
      <c r="I202" s="11"/>
      <c r="J202" s="11"/>
      <c r="K202" s="11"/>
      <c r="L202" s="11"/>
      <c r="M202" s="11"/>
      <c r="N202" s="11"/>
      <c r="O202" s="12"/>
      <c r="P202" s="11"/>
      <c r="Q202" s="13"/>
      <c r="R202" s="14"/>
    </row>
    <row r="203" spans="1:18" ht="15" customHeight="1" x14ac:dyDescent="0.3">
      <c r="A203" s="19" t="s">
        <v>52</v>
      </c>
      <c r="B203" s="19" t="s">
        <v>282</v>
      </c>
      <c r="C203" s="20">
        <v>0.11805555555555559</v>
      </c>
      <c r="D203" s="19" t="s">
        <v>57</v>
      </c>
      <c r="E203" s="19" t="s">
        <v>233</v>
      </c>
      <c r="F203" s="19" t="s">
        <v>273</v>
      </c>
      <c r="G203" s="257"/>
      <c r="H203" s="10"/>
      <c r="I203" s="11"/>
      <c r="J203" s="11"/>
      <c r="K203" s="11"/>
      <c r="L203" s="11"/>
      <c r="M203" s="11"/>
      <c r="N203" s="11"/>
      <c r="O203" s="12"/>
      <c r="P203" s="11"/>
      <c r="Q203" s="13"/>
      <c r="R203" s="14"/>
    </row>
    <row r="204" spans="1:18" ht="15" customHeight="1" x14ac:dyDescent="0.3">
      <c r="A204" s="19" t="s">
        <v>52</v>
      </c>
      <c r="B204" s="19" t="s">
        <v>283</v>
      </c>
      <c r="C204" s="20">
        <v>0.70486111111111116</v>
      </c>
      <c r="D204" s="19" t="s">
        <v>57</v>
      </c>
      <c r="E204" s="19" t="s">
        <v>233</v>
      </c>
      <c r="F204" s="19" t="s">
        <v>273</v>
      </c>
      <c r="G204" s="257"/>
      <c r="H204" s="10"/>
      <c r="I204" s="11"/>
      <c r="J204" s="11"/>
      <c r="K204" s="11"/>
      <c r="L204" s="11"/>
      <c r="M204" s="11"/>
      <c r="N204" s="11"/>
      <c r="O204" s="12"/>
      <c r="P204" s="11"/>
      <c r="Q204" s="13"/>
      <c r="R204" s="14"/>
    </row>
    <row r="205" spans="1:18" ht="15" customHeight="1" x14ac:dyDescent="0.3">
      <c r="A205" s="19" t="s">
        <v>52</v>
      </c>
      <c r="B205" s="19" t="s">
        <v>284</v>
      </c>
      <c r="C205" s="20">
        <v>0.25347222222222221</v>
      </c>
      <c r="D205" s="19" t="s">
        <v>57</v>
      </c>
      <c r="E205" s="19" t="s">
        <v>86</v>
      </c>
      <c r="F205" s="19" t="s">
        <v>273</v>
      </c>
      <c r="G205" s="257"/>
      <c r="H205" s="10"/>
      <c r="I205" s="11"/>
      <c r="J205" s="11"/>
      <c r="K205" s="11"/>
      <c r="L205" s="11"/>
      <c r="M205" s="11"/>
      <c r="N205" s="11"/>
      <c r="O205" s="12"/>
      <c r="P205" s="11"/>
      <c r="Q205" s="13"/>
      <c r="R205" s="14"/>
    </row>
    <row r="206" spans="1:18" ht="15" customHeight="1" x14ac:dyDescent="0.3">
      <c r="A206" s="19" t="s">
        <v>52</v>
      </c>
      <c r="B206" s="19" t="s">
        <v>272</v>
      </c>
      <c r="C206" s="20">
        <v>0.94097222222222221</v>
      </c>
      <c r="D206" s="19" t="s">
        <v>57</v>
      </c>
      <c r="E206" s="19" t="s">
        <v>288</v>
      </c>
      <c r="F206" s="19" t="s">
        <v>273</v>
      </c>
      <c r="G206" s="257"/>
      <c r="H206" s="10"/>
      <c r="I206" s="11"/>
      <c r="J206" s="11"/>
      <c r="K206" s="11"/>
      <c r="L206" s="11"/>
      <c r="M206" s="11"/>
      <c r="N206" s="11"/>
      <c r="O206" s="12"/>
      <c r="P206" s="11"/>
      <c r="Q206" s="13"/>
      <c r="R206" s="14"/>
    </row>
    <row r="207" spans="1:18" ht="15" customHeight="1" x14ac:dyDescent="0.3">
      <c r="A207" s="19" t="s">
        <v>52</v>
      </c>
      <c r="B207" s="19" t="s">
        <v>276</v>
      </c>
      <c r="C207" s="20">
        <v>0.39930555555555558</v>
      </c>
      <c r="D207" s="19" t="s">
        <v>57</v>
      </c>
      <c r="E207" s="19" t="s">
        <v>61</v>
      </c>
      <c r="F207" s="19" t="s">
        <v>275</v>
      </c>
      <c r="G207" s="257"/>
      <c r="H207" s="10"/>
      <c r="I207" s="11"/>
      <c r="J207" s="11"/>
      <c r="K207" s="11"/>
      <c r="L207" s="11"/>
      <c r="M207" s="11"/>
      <c r="N207" s="11"/>
      <c r="O207" s="12"/>
      <c r="P207" s="11"/>
      <c r="Q207" s="13"/>
      <c r="R207" s="14"/>
    </row>
    <row r="208" spans="1:18" ht="15" customHeight="1" x14ac:dyDescent="0.3">
      <c r="A208" s="19" t="s">
        <v>52</v>
      </c>
      <c r="B208" s="19" t="s">
        <v>279</v>
      </c>
      <c r="C208" s="20">
        <v>0.82986111111111116</v>
      </c>
      <c r="D208" s="19" t="s">
        <v>57</v>
      </c>
      <c r="E208" s="19" t="s">
        <v>86</v>
      </c>
      <c r="F208" s="19" t="s">
        <v>348</v>
      </c>
      <c r="G208" s="257"/>
      <c r="H208" s="10"/>
      <c r="I208" s="11"/>
      <c r="J208" s="11"/>
      <c r="K208" s="11"/>
      <c r="L208" s="11"/>
      <c r="M208" s="11"/>
      <c r="N208" s="11"/>
      <c r="O208" s="12"/>
      <c r="P208" s="11"/>
      <c r="Q208" s="13"/>
      <c r="R208" s="14"/>
    </row>
    <row r="209" spans="1:18" ht="15" customHeight="1" x14ac:dyDescent="0.3">
      <c r="A209" s="19" t="s">
        <v>52</v>
      </c>
      <c r="B209" s="19" t="s">
        <v>274</v>
      </c>
      <c r="C209" s="20">
        <v>0.98958333333333337</v>
      </c>
      <c r="D209" s="19" t="s">
        <v>57</v>
      </c>
      <c r="E209" s="19" t="s">
        <v>61</v>
      </c>
      <c r="F209" s="19" t="s">
        <v>349</v>
      </c>
      <c r="G209" s="257"/>
      <c r="H209" s="10"/>
      <c r="I209" s="11"/>
      <c r="J209" s="11"/>
      <c r="K209" s="11"/>
      <c r="L209" s="11"/>
      <c r="M209" s="11"/>
      <c r="N209" s="11"/>
      <c r="O209" s="12"/>
      <c r="P209" s="11"/>
      <c r="Q209" s="13"/>
      <c r="R209" s="14"/>
    </row>
    <row r="210" spans="1:18" ht="15" customHeight="1" x14ac:dyDescent="0.3">
      <c r="A210" s="19" t="s">
        <v>52</v>
      </c>
      <c r="B210" s="19" t="s">
        <v>277</v>
      </c>
      <c r="C210" s="20">
        <v>0.48958333333333331</v>
      </c>
      <c r="D210" s="19" t="s">
        <v>57</v>
      </c>
      <c r="E210" s="19" t="s">
        <v>61</v>
      </c>
      <c r="F210" s="19" t="s">
        <v>349</v>
      </c>
      <c r="G210" s="257"/>
      <c r="H210" s="10"/>
      <c r="I210" s="11"/>
      <c r="J210" s="11"/>
      <c r="K210" s="11"/>
      <c r="L210" s="11"/>
      <c r="M210" s="11"/>
      <c r="N210" s="11"/>
      <c r="O210" s="12"/>
      <c r="P210" s="11"/>
      <c r="Q210" s="13"/>
      <c r="R210" s="14"/>
    </row>
    <row r="211" spans="1:18" ht="15" customHeight="1" x14ac:dyDescent="0.3">
      <c r="A211" s="19" t="s">
        <v>52</v>
      </c>
      <c r="B211" s="19" t="s">
        <v>278</v>
      </c>
      <c r="C211" s="20">
        <v>0.88888888888888884</v>
      </c>
      <c r="D211" s="19" t="s">
        <v>57</v>
      </c>
      <c r="E211" s="19" t="s">
        <v>61</v>
      </c>
      <c r="F211" s="19" t="s">
        <v>349</v>
      </c>
      <c r="G211" s="257"/>
      <c r="H211" s="10"/>
      <c r="I211" s="11"/>
      <c r="J211" s="11"/>
      <c r="K211" s="11"/>
      <c r="L211" s="11"/>
      <c r="M211" s="11"/>
      <c r="N211" s="11"/>
      <c r="O211" s="12"/>
      <c r="P211" s="11"/>
      <c r="Q211" s="13"/>
      <c r="R211" s="14"/>
    </row>
    <row r="212" spans="1:18" ht="15" customHeight="1" x14ac:dyDescent="0.3">
      <c r="A212" s="39" t="s">
        <v>52</v>
      </c>
      <c r="B212" s="39" t="s">
        <v>281</v>
      </c>
      <c r="C212" s="40">
        <v>0.72222222222222221</v>
      </c>
      <c r="D212" s="39" t="s">
        <v>57</v>
      </c>
      <c r="E212" s="39" t="s">
        <v>231</v>
      </c>
      <c r="F212" s="39" t="s">
        <v>350</v>
      </c>
      <c r="G212" s="258"/>
      <c r="H212" s="41"/>
      <c r="I212" s="42"/>
      <c r="J212" s="42"/>
      <c r="K212" s="42"/>
      <c r="L212" s="42"/>
      <c r="M212" s="42"/>
      <c r="N212" s="42"/>
      <c r="O212" s="43"/>
      <c r="P212" s="42"/>
      <c r="Q212" s="44"/>
      <c r="R212" s="45"/>
    </row>
  </sheetData>
  <mergeCells count="18">
    <mergeCell ref="G152:G212"/>
    <mergeCell ref="H68:R68"/>
    <mergeCell ref="A150:F150"/>
    <mergeCell ref="G6:G66"/>
    <mergeCell ref="H1:L1"/>
    <mergeCell ref="A1:E1"/>
    <mergeCell ref="G2:J2"/>
    <mergeCell ref="K2:R2"/>
    <mergeCell ref="A4:F4"/>
    <mergeCell ref="A67:R67"/>
    <mergeCell ref="H4:R4"/>
    <mergeCell ref="A149:R149"/>
    <mergeCell ref="N1:R1"/>
    <mergeCell ref="H150:R150"/>
    <mergeCell ref="A2:F2"/>
    <mergeCell ref="A3:R3"/>
    <mergeCell ref="G70:G148"/>
    <mergeCell ref="A68:F68"/>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17"/>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7.5546875" style="272" bestFit="1" customWidth="1"/>
    <col min="6" max="6" width="4.21875" style="272" bestFit="1" customWidth="1"/>
    <col min="7" max="7" width="10" style="272" bestFit="1" customWidth="1"/>
    <col min="8" max="9" width="8.5546875" style="272" bestFit="1" customWidth="1"/>
    <col min="10" max="10" width="7" style="272" bestFit="1" customWidth="1"/>
    <col min="11" max="11" width="10.5546875" style="272" bestFit="1" customWidth="1"/>
    <col min="12" max="12" width="18.6640625" style="272" bestFit="1" customWidth="1"/>
    <col min="13" max="13" width="7.6640625" style="272" bestFit="1" customWidth="1" outlineLevel="1"/>
    <col min="14" max="14" width="7" style="272" bestFit="1" customWidth="1" outlineLevel="1"/>
    <col min="15" max="15" width="8" style="272" bestFit="1" customWidth="1" outlineLevel="1"/>
    <col min="16" max="16" width="13.6640625" style="272" bestFit="1" customWidth="1"/>
    <col min="17" max="25" width="3.88671875" style="272" bestFit="1" customWidth="1"/>
    <col min="26" max="26" width="4.109375" style="272" bestFit="1" customWidth="1"/>
    <col min="27" max="27" width="5" style="272" bestFit="1" customWidth="1"/>
    <col min="28" max="29" width="4.21875" style="272" bestFit="1" customWidth="1"/>
    <col min="30" max="31" width="4.5546875" style="272" bestFit="1" customWidth="1"/>
    <col min="32" max="32" width="3.88671875" style="272" bestFit="1" customWidth="1"/>
    <col min="33" max="33" width="4.21875" style="272" bestFit="1" customWidth="1"/>
    <col min="34" max="34" width="3.88671875" style="272" bestFit="1" customWidth="1"/>
    <col min="35" max="35" width="5.21875" style="272" bestFit="1" customWidth="1"/>
    <col min="36"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135</v>
      </c>
      <c r="B2" s="274">
        <v>45981</v>
      </c>
      <c r="C2" s="275" t="s">
        <v>248</v>
      </c>
      <c r="D2" s="276" t="s">
        <v>195</v>
      </c>
      <c r="E2" s="275" t="s">
        <v>206</v>
      </c>
      <c r="F2" s="275" t="s">
        <v>137</v>
      </c>
      <c r="G2" s="277">
        <v>0.9385</v>
      </c>
      <c r="H2" s="278">
        <v>179</v>
      </c>
      <c r="I2" s="278">
        <v>168</v>
      </c>
      <c r="J2" s="278">
        <v>74</v>
      </c>
      <c r="K2" s="275" t="s">
        <v>138</v>
      </c>
      <c r="L2" s="279" t="s">
        <v>103</v>
      </c>
      <c r="M2" s="278">
        <v>0</v>
      </c>
      <c r="N2" s="278">
        <v>2</v>
      </c>
      <c r="O2" s="278">
        <v>83</v>
      </c>
      <c r="P2" s="275" t="s">
        <v>249</v>
      </c>
      <c r="Q2" s="271"/>
      <c r="R2" s="271"/>
      <c r="S2" s="271"/>
      <c r="T2" s="271"/>
      <c r="U2" s="271"/>
      <c r="V2" s="271"/>
      <c r="W2" s="271"/>
      <c r="X2" s="271"/>
      <c r="Y2" s="271"/>
      <c r="Z2" s="278" t="s">
        <v>245</v>
      </c>
      <c r="AA2" s="278" t="s">
        <v>351</v>
      </c>
      <c r="AB2" s="278" t="s">
        <v>352</v>
      </c>
      <c r="AC2" s="278" t="s">
        <v>353</v>
      </c>
      <c r="AD2" s="278" t="s">
        <v>354</v>
      </c>
      <c r="AE2" s="278" t="s">
        <v>142</v>
      </c>
      <c r="AF2" s="278" t="s">
        <v>355</v>
      </c>
      <c r="AG2" s="278" t="s">
        <v>356</v>
      </c>
      <c r="AH2" s="271"/>
      <c r="AI2" s="278" t="s">
        <v>357</v>
      </c>
      <c r="AJ2" s="271"/>
    </row>
    <row r="3" spans="1:36" x14ac:dyDescent="0.3">
      <c r="A3" s="273" t="s">
        <v>135</v>
      </c>
      <c r="B3" s="274">
        <v>45981</v>
      </c>
      <c r="C3" s="275" t="s">
        <v>252</v>
      </c>
      <c r="D3" s="276" t="s">
        <v>358</v>
      </c>
      <c r="E3" s="275" t="s">
        <v>206</v>
      </c>
      <c r="F3" s="275" t="s">
        <v>137</v>
      </c>
      <c r="G3" s="277">
        <v>0.84440000000000004</v>
      </c>
      <c r="H3" s="278">
        <v>180</v>
      </c>
      <c r="I3" s="278">
        <v>152</v>
      </c>
      <c r="J3" s="278">
        <v>46</v>
      </c>
      <c r="K3" s="275" t="s">
        <v>138</v>
      </c>
      <c r="L3" s="279" t="s">
        <v>253</v>
      </c>
      <c r="M3" s="278">
        <v>1</v>
      </c>
      <c r="N3" s="278">
        <v>3</v>
      </c>
      <c r="O3" s="278">
        <v>93</v>
      </c>
      <c r="P3" s="275" t="s">
        <v>254</v>
      </c>
      <c r="Q3" s="271"/>
      <c r="R3" s="271"/>
      <c r="S3" s="271"/>
      <c r="T3" s="271"/>
      <c r="U3" s="271"/>
      <c r="V3" s="271"/>
      <c r="W3" s="271"/>
      <c r="X3" s="271"/>
      <c r="Y3" s="278" t="s">
        <v>359</v>
      </c>
      <c r="Z3" s="278" t="s">
        <v>360</v>
      </c>
      <c r="AA3" s="278" t="s">
        <v>351</v>
      </c>
      <c r="AB3" s="278" t="s">
        <v>352</v>
      </c>
      <c r="AC3" s="278" t="s">
        <v>353</v>
      </c>
      <c r="AD3" s="278" t="s">
        <v>354</v>
      </c>
      <c r="AE3" s="278" t="s">
        <v>142</v>
      </c>
      <c r="AF3" s="278" t="s">
        <v>361</v>
      </c>
      <c r="AG3" s="271"/>
      <c r="AH3" s="271"/>
      <c r="AI3" s="278" t="s">
        <v>362</v>
      </c>
      <c r="AJ3" s="271"/>
    </row>
    <row r="4" spans="1:36" x14ac:dyDescent="0.3">
      <c r="A4" s="273" t="s">
        <v>135</v>
      </c>
      <c r="B4" s="274">
        <v>45981</v>
      </c>
      <c r="C4" s="275" t="s">
        <v>244</v>
      </c>
      <c r="D4" s="276" t="s">
        <v>363</v>
      </c>
      <c r="E4" s="275" t="s">
        <v>206</v>
      </c>
      <c r="F4" s="275" t="s">
        <v>137</v>
      </c>
      <c r="G4" s="277">
        <v>0.91110000000000002</v>
      </c>
      <c r="H4" s="278">
        <v>180</v>
      </c>
      <c r="I4" s="278">
        <v>164</v>
      </c>
      <c r="J4" s="278">
        <v>92</v>
      </c>
      <c r="K4" s="275" t="s">
        <v>138</v>
      </c>
      <c r="L4" s="279" t="s">
        <v>103</v>
      </c>
      <c r="M4" s="278">
        <v>0</v>
      </c>
      <c r="N4" s="278">
        <v>2</v>
      </c>
      <c r="O4" s="278">
        <v>49</v>
      </c>
      <c r="P4" s="275" t="s">
        <v>245</v>
      </c>
      <c r="Q4" s="271"/>
      <c r="R4" s="271"/>
      <c r="S4" s="271"/>
      <c r="T4" s="271"/>
      <c r="U4" s="271"/>
      <c r="V4" s="271"/>
      <c r="W4" s="271"/>
      <c r="X4" s="278" t="s">
        <v>364</v>
      </c>
      <c r="Y4" s="271"/>
      <c r="Z4" s="278" t="s">
        <v>365</v>
      </c>
      <c r="AA4" s="278" t="s">
        <v>366</v>
      </c>
      <c r="AB4" s="278" t="s">
        <v>367</v>
      </c>
      <c r="AC4" s="278" t="s">
        <v>140</v>
      </c>
      <c r="AD4" s="278" t="s">
        <v>368</v>
      </c>
      <c r="AE4" s="278" t="s">
        <v>369</v>
      </c>
      <c r="AF4" s="278" t="s">
        <v>143</v>
      </c>
      <c r="AG4" s="271"/>
      <c r="AH4" s="271"/>
      <c r="AI4" s="278" t="s">
        <v>370</v>
      </c>
      <c r="AJ4" s="278" t="s">
        <v>371</v>
      </c>
    </row>
    <row r="5" spans="1:36" x14ac:dyDescent="0.3">
      <c r="A5" s="273" t="s">
        <v>135</v>
      </c>
      <c r="B5" s="274">
        <v>45981</v>
      </c>
      <c r="C5" s="275" t="s">
        <v>261</v>
      </c>
      <c r="D5" s="276" t="s">
        <v>372</v>
      </c>
      <c r="E5" s="275" t="s">
        <v>206</v>
      </c>
      <c r="F5" s="275" t="s">
        <v>137</v>
      </c>
      <c r="G5" s="277">
        <v>1.0111000000000001</v>
      </c>
      <c r="H5" s="278">
        <v>180</v>
      </c>
      <c r="I5" s="278">
        <v>182</v>
      </c>
      <c r="J5" s="278">
        <v>140</v>
      </c>
      <c r="K5" s="275" t="s">
        <v>138</v>
      </c>
      <c r="L5" s="279" t="s">
        <v>262</v>
      </c>
      <c r="M5" s="278">
        <v>0</v>
      </c>
      <c r="N5" s="278">
        <v>0</v>
      </c>
      <c r="O5" s="278">
        <v>0</v>
      </c>
      <c r="P5" s="275" t="s">
        <v>78</v>
      </c>
      <c r="Q5" s="271"/>
      <c r="R5" s="271"/>
      <c r="S5" s="271"/>
      <c r="T5" s="271"/>
      <c r="U5" s="271"/>
      <c r="V5" s="271"/>
      <c r="W5" s="271"/>
      <c r="X5" s="271"/>
      <c r="Y5" s="271"/>
      <c r="Z5" s="278" t="s">
        <v>373</v>
      </c>
      <c r="AA5" s="271"/>
      <c r="AB5" s="271"/>
      <c r="AC5" s="278" t="s">
        <v>181</v>
      </c>
      <c r="AD5" s="271"/>
      <c r="AE5" s="278" t="s">
        <v>374</v>
      </c>
      <c r="AF5" s="278" t="s">
        <v>375</v>
      </c>
      <c r="AG5" s="271"/>
      <c r="AH5" s="271"/>
      <c r="AI5" s="278" t="s">
        <v>376</v>
      </c>
      <c r="AJ5" s="278" t="s">
        <v>377</v>
      </c>
    </row>
    <row r="6" spans="1:36" x14ac:dyDescent="0.3">
      <c r="A6" s="273" t="s">
        <v>135</v>
      </c>
      <c r="B6" s="274">
        <v>45981</v>
      </c>
      <c r="C6" s="275" t="s">
        <v>264</v>
      </c>
      <c r="D6" s="276" t="s">
        <v>378</v>
      </c>
      <c r="E6" s="275" t="s">
        <v>206</v>
      </c>
      <c r="F6" s="275" t="s">
        <v>137</v>
      </c>
      <c r="G6" s="277">
        <v>0.98329999999999995</v>
      </c>
      <c r="H6" s="278">
        <v>180</v>
      </c>
      <c r="I6" s="278">
        <v>177</v>
      </c>
      <c r="J6" s="278">
        <v>135</v>
      </c>
      <c r="K6" s="275" t="s">
        <v>138</v>
      </c>
      <c r="L6" s="279" t="s">
        <v>164</v>
      </c>
      <c r="M6" s="278">
        <v>0</v>
      </c>
      <c r="N6" s="278">
        <v>0</v>
      </c>
      <c r="O6" s="278">
        <v>52</v>
      </c>
      <c r="P6" s="275" t="s">
        <v>78</v>
      </c>
      <c r="Q6" s="271"/>
      <c r="R6" s="271"/>
      <c r="S6" s="271"/>
      <c r="T6" s="271"/>
      <c r="U6" s="271"/>
      <c r="V6" s="271"/>
      <c r="W6" s="271"/>
      <c r="X6" s="271"/>
      <c r="Y6" s="271"/>
      <c r="Z6" s="278" t="s">
        <v>197</v>
      </c>
      <c r="AA6" s="271"/>
      <c r="AB6" s="278" t="s">
        <v>379</v>
      </c>
      <c r="AC6" s="278" t="s">
        <v>380</v>
      </c>
      <c r="AD6" s="278" t="s">
        <v>368</v>
      </c>
      <c r="AE6" s="278" t="s">
        <v>381</v>
      </c>
      <c r="AF6" s="278" t="s">
        <v>382</v>
      </c>
      <c r="AG6" s="271"/>
      <c r="AH6" s="271"/>
      <c r="AI6" s="278" t="s">
        <v>383</v>
      </c>
      <c r="AJ6" s="271"/>
    </row>
    <row r="7" spans="1:36" x14ac:dyDescent="0.3">
      <c r="A7" s="273" t="s">
        <v>135</v>
      </c>
      <c r="B7" s="274">
        <v>45981</v>
      </c>
      <c r="C7" s="275" t="s">
        <v>258</v>
      </c>
      <c r="D7" s="276" t="s">
        <v>384</v>
      </c>
      <c r="E7" s="275" t="s">
        <v>206</v>
      </c>
      <c r="F7" s="275" t="s">
        <v>137</v>
      </c>
      <c r="G7" s="277">
        <v>0.82779999999999998</v>
      </c>
      <c r="H7" s="278">
        <v>180</v>
      </c>
      <c r="I7" s="278">
        <v>149</v>
      </c>
      <c r="J7" s="278">
        <v>30</v>
      </c>
      <c r="K7" s="275" t="s">
        <v>138</v>
      </c>
      <c r="L7" s="279" t="s">
        <v>253</v>
      </c>
      <c r="M7" s="278">
        <v>2</v>
      </c>
      <c r="N7" s="278">
        <v>9</v>
      </c>
      <c r="O7" s="278">
        <v>51</v>
      </c>
      <c r="P7" s="275" t="s">
        <v>259</v>
      </c>
      <c r="Q7" s="271"/>
      <c r="R7" s="271"/>
      <c r="S7" s="271"/>
      <c r="T7" s="271"/>
      <c r="U7" s="271"/>
      <c r="V7" s="271"/>
      <c r="W7" s="271"/>
      <c r="X7" s="271"/>
      <c r="Y7" s="278" t="s">
        <v>359</v>
      </c>
      <c r="Z7" s="278" t="s">
        <v>385</v>
      </c>
      <c r="AA7" s="278" t="s">
        <v>386</v>
      </c>
      <c r="AB7" s="278" t="s">
        <v>352</v>
      </c>
      <c r="AC7" s="278" t="s">
        <v>353</v>
      </c>
      <c r="AD7" s="278" t="s">
        <v>354</v>
      </c>
      <c r="AE7" s="278" t="s">
        <v>142</v>
      </c>
      <c r="AF7" s="278" t="s">
        <v>387</v>
      </c>
      <c r="AG7" s="278" t="s">
        <v>388</v>
      </c>
      <c r="AH7" s="271"/>
      <c r="AI7" s="271"/>
      <c r="AJ7" s="278" t="s">
        <v>389</v>
      </c>
    </row>
    <row r="8" spans="1:36" x14ac:dyDescent="0.3">
      <c r="A8" s="273" t="s">
        <v>390</v>
      </c>
      <c r="B8" s="274">
        <v>45982</v>
      </c>
      <c r="C8" s="275" t="s">
        <v>252</v>
      </c>
      <c r="D8" s="276" t="s">
        <v>391</v>
      </c>
      <c r="E8" s="275" t="s">
        <v>206</v>
      </c>
      <c r="F8" s="275" t="s">
        <v>137</v>
      </c>
      <c r="G8" s="277">
        <v>0.62780000000000002</v>
      </c>
      <c r="H8" s="278">
        <v>180</v>
      </c>
      <c r="I8" s="278">
        <v>113</v>
      </c>
      <c r="J8" s="278">
        <v>0</v>
      </c>
      <c r="K8" s="275" t="s">
        <v>138</v>
      </c>
      <c r="L8" s="279" t="s">
        <v>103</v>
      </c>
      <c r="M8" s="278">
        <v>0</v>
      </c>
      <c r="N8" s="278">
        <v>4</v>
      </c>
      <c r="O8" s="278">
        <v>58</v>
      </c>
      <c r="P8" s="275" t="s">
        <v>308</v>
      </c>
      <c r="Q8" s="271"/>
      <c r="R8" s="271"/>
      <c r="S8" s="271"/>
      <c r="T8" s="271"/>
      <c r="U8" s="271"/>
      <c r="V8" s="271"/>
      <c r="W8" s="271"/>
      <c r="X8" s="271"/>
      <c r="Y8" s="271"/>
      <c r="Z8" s="278" t="s">
        <v>249</v>
      </c>
      <c r="AA8" s="278" t="s">
        <v>303</v>
      </c>
      <c r="AB8" s="278" t="s">
        <v>392</v>
      </c>
      <c r="AC8" s="278" t="s">
        <v>140</v>
      </c>
      <c r="AD8" s="278" t="s">
        <v>354</v>
      </c>
      <c r="AE8" s="278" t="s">
        <v>393</v>
      </c>
      <c r="AF8" s="278" t="s">
        <v>394</v>
      </c>
      <c r="AG8" s="271"/>
      <c r="AH8" s="271"/>
      <c r="AI8" s="271"/>
      <c r="AJ8" s="271"/>
    </row>
    <row r="9" spans="1:36" x14ac:dyDescent="0.3">
      <c r="A9" s="273" t="s">
        <v>390</v>
      </c>
      <c r="B9" s="274">
        <v>45982</v>
      </c>
      <c r="C9" s="275" t="s">
        <v>261</v>
      </c>
      <c r="D9" s="276" t="s">
        <v>395</v>
      </c>
      <c r="E9" s="275" t="s">
        <v>206</v>
      </c>
      <c r="F9" s="275" t="s">
        <v>137</v>
      </c>
      <c r="G9" s="277">
        <v>0.7944</v>
      </c>
      <c r="H9" s="278">
        <v>180</v>
      </c>
      <c r="I9" s="278">
        <v>143</v>
      </c>
      <c r="J9" s="278">
        <v>41</v>
      </c>
      <c r="K9" s="275" t="s">
        <v>138</v>
      </c>
      <c r="L9" s="279" t="s">
        <v>253</v>
      </c>
      <c r="M9" s="278">
        <v>1</v>
      </c>
      <c r="N9" s="278">
        <v>66</v>
      </c>
      <c r="O9" s="278">
        <v>99</v>
      </c>
      <c r="P9" s="275" t="s">
        <v>303</v>
      </c>
      <c r="Q9" s="271"/>
      <c r="R9" s="271"/>
      <c r="S9" s="271"/>
      <c r="T9" s="271"/>
      <c r="U9" s="271"/>
      <c r="V9" s="271"/>
      <c r="W9" s="271"/>
      <c r="X9" s="271"/>
      <c r="Y9" s="271"/>
      <c r="Z9" s="278" t="s">
        <v>396</v>
      </c>
      <c r="AA9" s="278" t="s">
        <v>397</v>
      </c>
      <c r="AB9" s="278" t="s">
        <v>398</v>
      </c>
      <c r="AC9" s="278" t="s">
        <v>399</v>
      </c>
      <c r="AD9" s="278" t="s">
        <v>354</v>
      </c>
      <c r="AE9" s="278" t="s">
        <v>369</v>
      </c>
      <c r="AF9" s="278" t="s">
        <v>143</v>
      </c>
      <c r="AG9" s="271"/>
      <c r="AH9" s="271"/>
      <c r="AI9" s="278" t="s">
        <v>400</v>
      </c>
      <c r="AJ9" s="271"/>
    </row>
    <row r="10" spans="1:36" x14ac:dyDescent="0.3">
      <c r="A10" s="273" t="s">
        <v>390</v>
      </c>
      <c r="B10" s="274">
        <v>45982</v>
      </c>
      <c r="C10" s="275" t="s">
        <v>264</v>
      </c>
      <c r="D10" s="276" t="s">
        <v>401</v>
      </c>
      <c r="E10" s="275" t="s">
        <v>206</v>
      </c>
      <c r="F10" s="275" t="s">
        <v>137</v>
      </c>
      <c r="G10" s="277">
        <v>0.63329999999999997</v>
      </c>
      <c r="H10" s="278">
        <v>180</v>
      </c>
      <c r="I10" s="278">
        <v>114</v>
      </c>
      <c r="J10" s="278">
        <v>50</v>
      </c>
      <c r="K10" s="275" t="s">
        <v>138</v>
      </c>
      <c r="L10" s="279" t="s">
        <v>103</v>
      </c>
      <c r="M10" s="278">
        <v>0</v>
      </c>
      <c r="N10" s="278">
        <v>3</v>
      </c>
      <c r="O10" s="278">
        <v>39</v>
      </c>
      <c r="P10" s="275" t="s">
        <v>198</v>
      </c>
      <c r="Q10" s="271"/>
      <c r="R10" s="271"/>
      <c r="S10" s="271"/>
      <c r="T10" s="271"/>
      <c r="U10" s="271"/>
      <c r="V10" s="271"/>
      <c r="W10" s="271"/>
      <c r="X10" s="271"/>
      <c r="Y10" s="271"/>
      <c r="Z10" s="271"/>
      <c r="AA10" s="278" t="s">
        <v>303</v>
      </c>
      <c r="AB10" s="278" t="s">
        <v>367</v>
      </c>
      <c r="AC10" s="278" t="s">
        <v>140</v>
      </c>
      <c r="AD10" s="278" t="s">
        <v>368</v>
      </c>
      <c r="AE10" s="278" t="s">
        <v>402</v>
      </c>
      <c r="AF10" s="278" t="s">
        <v>403</v>
      </c>
      <c r="AG10" s="271"/>
      <c r="AH10" s="271"/>
      <c r="AI10" s="278" t="s">
        <v>404</v>
      </c>
      <c r="AJ10" s="271"/>
    </row>
    <row r="11" spans="1:36" x14ac:dyDescent="0.3">
      <c r="A11" s="273" t="s">
        <v>390</v>
      </c>
      <c r="B11" s="274">
        <v>45982</v>
      </c>
      <c r="C11" s="275" t="s">
        <v>306</v>
      </c>
      <c r="D11" s="276" t="s">
        <v>405</v>
      </c>
      <c r="E11" s="275" t="s">
        <v>206</v>
      </c>
      <c r="F11" s="275" t="s">
        <v>137</v>
      </c>
      <c r="G11" s="277">
        <v>0.60560000000000003</v>
      </c>
      <c r="H11" s="278">
        <v>180</v>
      </c>
      <c r="I11" s="278">
        <v>109</v>
      </c>
      <c r="J11" s="278">
        <v>0</v>
      </c>
      <c r="K11" s="275" t="s">
        <v>138</v>
      </c>
      <c r="L11" s="279" t="s">
        <v>253</v>
      </c>
      <c r="M11" s="278">
        <v>1</v>
      </c>
      <c r="N11" s="278">
        <v>4</v>
      </c>
      <c r="O11" s="278">
        <v>52</v>
      </c>
      <c r="P11" s="275" t="s">
        <v>198</v>
      </c>
      <c r="Q11" s="271"/>
      <c r="R11" s="271"/>
      <c r="S11" s="271"/>
      <c r="T11" s="271"/>
      <c r="U11" s="271"/>
      <c r="V11" s="271"/>
      <c r="W11" s="271"/>
      <c r="X11" s="271"/>
      <c r="Y11" s="271"/>
      <c r="Z11" s="271"/>
      <c r="AA11" s="278" t="s">
        <v>366</v>
      </c>
      <c r="AB11" s="278" t="s">
        <v>406</v>
      </c>
      <c r="AC11" s="278" t="s">
        <v>407</v>
      </c>
      <c r="AD11" s="278" t="s">
        <v>141</v>
      </c>
      <c r="AE11" s="278" t="s">
        <v>408</v>
      </c>
      <c r="AF11" s="278" t="s">
        <v>409</v>
      </c>
      <c r="AG11" s="271"/>
      <c r="AH11" s="271"/>
      <c r="AI11" s="271"/>
      <c r="AJ11" s="271"/>
    </row>
    <row r="12" spans="1:36" x14ac:dyDescent="0.3">
      <c r="A12" s="273" t="s">
        <v>390</v>
      </c>
      <c r="B12" s="274">
        <v>45982</v>
      </c>
      <c r="C12" s="275" t="s">
        <v>302</v>
      </c>
      <c r="D12" s="276" t="s">
        <v>410</v>
      </c>
      <c r="E12" s="275" t="s">
        <v>206</v>
      </c>
      <c r="F12" s="275" t="s">
        <v>137</v>
      </c>
      <c r="G12" s="277">
        <v>0.75139999999999996</v>
      </c>
      <c r="H12" s="278">
        <v>177</v>
      </c>
      <c r="I12" s="278">
        <v>133</v>
      </c>
      <c r="J12" s="278">
        <v>0</v>
      </c>
      <c r="K12" s="275" t="s">
        <v>138</v>
      </c>
      <c r="L12" s="279" t="s">
        <v>253</v>
      </c>
      <c r="M12" s="278">
        <v>1</v>
      </c>
      <c r="N12" s="278">
        <v>26</v>
      </c>
      <c r="O12" s="278">
        <v>83</v>
      </c>
      <c r="P12" s="275" t="s">
        <v>303</v>
      </c>
      <c r="Q12" s="271"/>
      <c r="R12" s="271"/>
      <c r="S12" s="271"/>
      <c r="T12" s="271"/>
      <c r="U12" s="271"/>
      <c r="V12" s="271"/>
      <c r="W12" s="271"/>
      <c r="X12" s="271"/>
      <c r="Y12" s="271"/>
      <c r="Z12" s="271"/>
      <c r="AA12" s="278" t="s">
        <v>303</v>
      </c>
      <c r="AB12" s="278" t="s">
        <v>398</v>
      </c>
      <c r="AC12" s="278" t="s">
        <v>411</v>
      </c>
      <c r="AD12" s="278" t="s">
        <v>354</v>
      </c>
      <c r="AE12" s="278" t="s">
        <v>412</v>
      </c>
      <c r="AF12" s="278" t="s">
        <v>413</v>
      </c>
      <c r="AG12" s="271"/>
      <c r="AH12" s="271"/>
      <c r="AI12" s="271"/>
      <c r="AJ12" s="271"/>
    </row>
    <row r="13" spans="1:36" x14ac:dyDescent="0.3">
      <c r="A13" s="273" t="s">
        <v>146</v>
      </c>
      <c r="B13" s="274">
        <v>45983</v>
      </c>
      <c r="C13" s="275" t="s">
        <v>248</v>
      </c>
      <c r="D13" s="276" t="s">
        <v>414</v>
      </c>
      <c r="E13" s="275" t="s">
        <v>206</v>
      </c>
      <c r="F13" s="275" t="s">
        <v>137</v>
      </c>
      <c r="G13" s="277">
        <v>0.99439999999999995</v>
      </c>
      <c r="H13" s="278">
        <v>180</v>
      </c>
      <c r="I13" s="278">
        <v>179</v>
      </c>
      <c r="J13" s="278">
        <v>113</v>
      </c>
      <c r="K13" s="275" t="s">
        <v>138</v>
      </c>
      <c r="L13" s="279" t="s">
        <v>103</v>
      </c>
      <c r="M13" s="278">
        <v>0</v>
      </c>
      <c r="N13" s="278">
        <v>11</v>
      </c>
      <c r="O13" s="278">
        <v>37</v>
      </c>
      <c r="P13" s="275" t="s">
        <v>333</v>
      </c>
      <c r="Q13" s="271"/>
      <c r="R13" s="271"/>
      <c r="S13" s="271"/>
      <c r="T13" s="271"/>
      <c r="U13" s="271"/>
      <c r="V13" s="271"/>
      <c r="W13" s="271"/>
      <c r="X13" s="271"/>
      <c r="Y13" s="271"/>
      <c r="Z13" s="278" t="s">
        <v>396</v>
      </c>
      <c r="AA13" s="271"/>
      <c r="AB13" s="278" t="s">
        <v>415</v>
      </c>
      <c r="AC13" s="278" t="s">
        <v>416</v>
      </c>
      <c r="AD13" s="278" t="s">
        <v>354</v>
      </c>
      <c r="AE13" s="278" t="s">
        <v>417</v>
      </c>
      <c r="AF13" s="278" t="s">
        <v>418</v>
      </c>
      <c r="AG13" s="278" t="s">
        <v>419</v>
      </c>
      <c r="AH13" s="271"/>
      <c r="AI13" s="278" t="s">
        <v>420</v>
      </c>
      <c r="AJ13" s="271"/>
    </row>
    <row r="14" spans="1:36" x14ac:dyDescent="0.3">
      <c r="A14" s="273" t="s">
        <v>146</v>
      </c>
      <c r="B14" s="274">
        <v>45983</v>
      </c>
      <c r="C14" s="275" t="s">
        <v>252</v>
      </c>
      <c r="D14" s="276" t="s">
        <v>358</v>
      </c>
      <c r="E14" s="275" t="s">
        <v>206</v>
      </c>
      <c r="F14" s="275" t="s">
        <v>137</v>
      </c>
      <c r="G14" s="277">
        <v>0.98870000000000002</v>
      </c>
      <c r="H14" s="278">
        <v>177</v>
      </c>
      <c r="I14" s="278">
        <v>175</v>
      </c>
      <c r="J14" s="278">
        <v>94</v>
      </c>
      <c r="K14" s="275" t="s">
        <v>138</v>
      </c>
      <c r="L14" s="279" t="s">
        <v>103</v>
      </c>
      <c r="M14" s="278">
        <v>0</v>
      </c>
      <c r="N14" s="278">
        <v>1</v>
      </c>
      <c r="O14" s="278">
        <v>46</v>
      </c>
      <c r="P14" s="275" t="s">
        <v>336</v>
      </c>
      <c r="Q14" s="271"/>
      <c r="R14" s="271"/>
      <c r="S14" s="271"/>
      <c r="T14" s="271"/>
      <c r="U14" s="271"/>
      <c r="V14" s="271"/>
      <c r="W14" s="271"/>
      <c r="X14" s="271"/>
      <c r="Y14" s="271"/>
      <c r="Z14" s="278" t="s">
        <v>396</v>
      </c>
      <c r="AA14" s="278" t="s">
        <v>421</v>
      </c>
      <c r="AB14" s="278" t="s">
        <v>352</v>
      </c>
      <c r="AC14" s="278" t="s">
        <v>353</v>
      </c>
      <c r="AD14" s="278" t="s">
        <v>354</v>
      </c>
      <c r="AE14" s="278" t="s">
        <v>142</v>
      </c>
      <c r="AF14" s="278" t="s">
        <v>422</v>
      </c>
      <c r="AG14" s="271"/>
      <c r="AH14" s="271"/>
      <c r="AI14" s="278" t="s">
        <v>423</v>
      </c>
      <c r="AJ14" s="278" t="s">
        <v>371</v>
      </c>
    </row>
    <row r="15" spans="1:36" x14ac:dyDescent="0.3">
      <c r="A15" s="273" t="s">
        <v>146</v>
      </c>
      <c r="B15" s="274">
        <v>45983</v>
      </c>
      <c r="C15" s="275" t="s">
        <v>261</v>
      </c>
      <c r="D15" s="276" t="s">
        <v>424</v>
      </c>
      <c r="E15" s="275" t="s">
        <v>206</v>
      </c>
      <c r="F15" s="275" t="s">
        <v>137</v>
      </c>
      <c r="G15" s="277">
        <v>0.99439999999999995</v>
      </c>
      <c r="H15" s="278">
        <v>180</v>
      </c>
      <c r="I15" s="278">
        <v>179</v>
      </c>
      <c r="J15" s="278">
        <v>125</v>
      </c>
      <c r="K15" s="275" t="s">
        <v>138</v>
      </c>
      <c r="L15" s="279" t="s">
        <v>338</v>
      </c>
      <c r="M15" s="278">
        <v>0</v>
      </c>
      <c r="N15" s="278">
        <v>0</v>
      </c>
      <c r="O15" s="278">
        <v>23</v>
      </c>
      <c r="P15" s="275" t="s">
        <v>78</v>
      </c>
      <c r="Q15" s="271"/>
      <c r="R15" s="271"/>
      <c r="S15" s="271"/>
      <c r="T15" s="271"/>
      <c r="U15" s="271"/>
      <c r="V15" s="271"/>
      <c r="W15" s="271"/>
      <c r="X15" s="271"/>
      <c r="Y15" s="278" t="s">
        <v>359</v>
      </c>
      <c r="Z15" s="278" t="s">
        <v>396</v>
      </c>
      <c r="AA15" s="271"/>
      <c r="AB15" s="271"/>
      <c r="AC15" s="278" t="s">
        <v>380</v>
      </c>
      <c r="AD15" s="278" t="s">
        <v>354</v>
      </c>
      <c r="AE15" s="278" t="s">
        <v>369</v>
      </c>
      <c r="AF15" s="278" t="s">
        <v>403</v>
      </c>
      <c r="AG15" s="271"/>
      <c r="AH15" s="271"/>
      <c r="AI15" s="278" t="s">
        <v>425</v>
      </c>
      <c r="AJ15" s="278" t="s">
        <v>389</v>
      </c>
    </row>
    <row r="16" spans="1:36" x14ac:dyDescent="0.3">
      <c r="A16" s="273" t="s">
        <v>146</v>
      </c>
      <c r="B16" s="274">
        <v>45983</v>
      </c>
      <c r="C16" s="275" t="s">
        <v>258</v>
      </c>
      <c r="D16" s="276" t="s">
        <v>426</v>
      </c>
      <c r="E16" s="275" t="s">
        <v>206</v>
      </c>
      <c r="F16" s="275" t="s">
        <v>137</v>
      </c>
      <c r="G16" s="277">
        <v>0.86109999999999998</v>
      </c>
      <c r="H16" s="278">
        <v>180</v>
      </c>
      <c r="I16" s="278">
        <v>155</v>
      </c>
      <c r="J16" s="278">
        <v>45</v>
      </c>
      <c r="K16" s="275" t="s">
        <v>138</v>
      </c>
      <c r="L16" s="279" t="s">
        <v>253</v>
      </c>
      <c r="M16" s="278">
        <v>1</v>
      </c>
      <c r="N16" s="278">
        <v>15</v>
      </c>
      <c r="O16" s="278">
        <v>99</v>
      </c>
      <c r="P16" s="275" t="s">
        <v>333</v>
      </c>
      <c r="Q16" s="271"/>
      <c r="R16" s="271"/>
      <c r="S16" s="271"/>
      <c r="T16" s="271"/>
      <c r="U16" s="271"/>
      <c r="V16" s="271"/>
      <c r="W16" s="271"/>
      <c r="X16" s="271"/>
      <c r="Y16" s="271"/>
      <c r="Z16" s="278" t="s">
        <v>396</v>
      </c>
      <c r="AA16" s="278" t="s">
        <v>303</v>
      </c>
      <c r="AB16" s="278" t="s">
        <v>427</v>
      </c>
      <c r="AC16" s="278" t="s">
        <v>353</v>
      </c>
      <c r="AD16" s="278" t="s">
        <v>141</v>
      </c>
      <c r="AE16" s="278" t="s">
        <v>142</v>
      </c>
      <c r="AF16" s="278" t="s">
        <v>413</v>
      </c>
      <c r="AG16" s="271"/>
      <c r="AH16" s="271"/>
      <c r="AI16" s="278" t="s">
        <v>428</v>
      </c>
      <c r="AJ16" s="278" t="s">
        <v>389</v>
      </c>
    </row>
    <row r="17" spans="1:36" ht="21" x14ac:dyDescent="0.3">
      <c r="A17" s="280" t="s">
        <v>943</v>
      </c>
      <c r="B17" s="281"/>
      <c r="C17" s="280">
        <f>SUBTOTAL(103,CAI_JED_LF_LEGACY[Flt])</f>
        <v>15</v>
      </c>
      <c r="D17" s="280"/>
      <c r="E17" s="280">
        <f>SUBTOTAL(103,CAI_JED_LF_LEGACY[Brd-Off])</f>
        <v>15</v>
      </c>
      <c r="F17" s="280"/>
      <c r="G17" s="282">
        <f>SUBTOTAL(101,CAI_JED_LF_LEGACY[LF%])</f>
        <v>0.85115333333333354</v>
      </c>
      <c r="H17" s="283">
        <f>SUBTOTAL(109,CAI_JED_LF_LEGACY[CAP])</f>
        <v>2693</v>
      </c>
      <c r="I17" s="283">
        <f>SUBTOTAL(109,CAI_JED_LF_LEGACY[BKG(Y)])</f>
        <v>2292</v>
      </c>
      <c r="J17" s="283">
        <f>SUBTOTAL(109,CAI_JED_LF_LEGACY[GRP(Y)])</f>
        <v>985</v>
      </c>
      <c r="K17" s="280"/>
      <c r="L17" s="281"/>
      <c r="M17" s="283">
        <f>SUBTOTAL(109,CAI_JED_LF_LEGACY[TO-DAY])</f>
        <v>7</v>
      </c>
      <c r="N17" s="283">
        <f>SUBTOTAL(109,CAI_JED_LF_LEGACY[Y-DAY])</f>
        <v>146</v>
      </c>
      <c r="O17" s="283">
        <f>SUBTOTAL(109,CAI_JED_LF_LEGACY[WEEKLY])</f>
        <v>864</v>
      </c>
      <c r="P17" s="284"/>
      <c r="Q17" s="283">
        <f>SUBTOTAL(109,CAI_JED_LF_LEGACY[Y])</f>
        <v>0</v>
      </c>
      <c r="R17" s="283">
        <f>SUBTOTAL(109,CAI_JED_LF_LEGACY[B])</f>
        <v>0</v>
      </c>
      <c r="S17" s="283">
        <f>SUBTOTAL(109,CAI_JED_LF_LEGACY[M])</f>
        <v>0</v>
      </c>
      <c r="T17" s="283">
        <f>SUBTOTAL(109,CAI_JED_LF_LEGACY[H])</f>
        <v>0</v>
      </c>
      <c r="U17" s="283">
        <f>SUBTOTAL(109,CAI_JED_LF_LEGACY[Q])</f>
        <v>0</v>
      </c>
      <c r="V17" s="283">
        <f>SUBTOTAL(109,CAI_JED_LF_LEGACY[K])</f>
        <v>0</v>
      </c>
      <c r="W17" s="283">
        <f>SUBTOTAL(109,CAI_JED_LF_LEGACY[V])</f>
        <v>0</v>
      </c>
      <c r="X17" s="283">
        <f>SUBTOTAL(109,CAI_JED_LF_LEGACY[L])</f>
        <v>0</v>
      </c>
      <c r="Y17" s="283">
        <f>SUBTOTAL(109,CAI_JED_LF_LEGACY[G])</f>
        <v>0</v>
      </c>
      <c r="Z17" s="283">
        <f>SUBTOTAL(109,CAI_JED_LF_LEGACY[S])</f>
        <v>0</v>
      </c>
      <c r="AA17" s="283">
        <f>SUBTOTAL(109,CAI_JED_LF_LEGACY[W])</f>
        <v>0</v>
      </c>
      <c r="AB17" s="283">
        <f>SUBTOTAL(109,CAI_JED_LF_LEGACY[T])</f>
        <v>0</v>
      </c>
      <c r="AC17" s="283">
        <f>SUBTOTAL(109,CAI_JED_LF_LEGACY[X])</f>
        <v>0</v>
      </c>
      <c r="AD17" s="283">
        <f>SUBTOTAL(109,CAI_JED_LF_LEGACY[U])</f>
        <v>0</v>
      </c>
      <c r="AE17" s="283">
        <f>SUBTOTAL(109,CAI_JED_LF_LEGACY[O])</f>
        <v>0</v>
      </c>
      <c r="AF17" s="283">
        <f>SUBTOTAL(109,CAI_JED_LF_LEGACY[I])</f>
        <v>0</v>
      </c>
      <c r="AG17" s="283">
        <f>SUBTOTAL(109,CAI_JED_LF_LEGACY[E])</f>
        <v>0</v>
      </c>
      <c r="AH17" s="283">
        <f>SUBTOTAL(109,CAI_JED_LF_LEGACY[A])</f>
        <v>0</v>
      </c>
      <c r="AI17" s="283">
        <f>SUBTOTAL(109,CAI_JED_LF_LEGACY[P])</f>
        <v>0</v>
      </c>
      <c r="AJ17" s="283">
        <f>SUBTOTAL(103,CAI_JED_LF_LEGACY[N])</f>
        <v>6</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0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8.332031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26</v>
      </c>
      <c r="C2" s="61" t="s">
        <v>207</v>
      </c>
      <c r="D2" s="60" t="s">
        <v>206</v>
      </c>
      <c r="E2" s="60" t="s">
        <v>429</v>
      </c>
      <c r="F2" s="60" t="s">
        <v>28</v>
      </c>
      <c r="G2" s="62">
        <v>2</v>
      </c>
      <c r="H2" s="63" t="s">
        <v>208</v>
      </c>
    </row>
    <row r="3" spans="1:8" ht="19.8" customHeight="1" x14ac:dyDescent="0.3">
      <c r="A3" s="59" t="s">
        <v>152</v>
      </c>
      <c r="B3" s="60" t="s">
        <v>26</v>
      </c>
      <c r="C3" s="61" t="s">
        <v>211</v>
      </c>
      <c r="D3" s="60" t="s">
        <v>206</v>
      </c>
      <c r="E3" s="60" t="s">
        <v>430</v>
      </c>
      <c r="F3" s="60" t="s">
        <v>28</v>
      </c>
      <c r="G3" s="62">
        <v>11</v>
      </c>
      <c r="H3" s="63" t="s">
        <v>213</v>
      </c>
    </row>
    <row r="4" spans="1:8" ht="19.8" customHeight="1" x14ac:dyDescent="0.3">
      <c r="A4" s="59" t="s">
        <v>152</v>
      </c>
      <c r="B4" s="60" t="s">
        <v>26</v>
      </c>
      <c r="C4" s="61" t="s">
        <v>216</v>
      </c>
      <c r="D4" s="60" t="s">
        <v>206</v>
      </c>
      <c r="E4" s="60" t="s">
        <v>431</v>
      </c>
      <c r="F4" s="60" t="s">
        <v>28</v>
      </c>
      <c r="G4" s="62">
        <v>9</v>
      </c>
      <c r="H4" s="63" t="s">
        <v>213</v>
      </c>
    </row>
    <row r="5" spans="1:8" ht="19.8" customHeight="1" x14ac:dyDescent="0.3">
      <c r="A5" s="59" t="s">
        <v>152</v>
      </c>
      <c r="B5" s="60" t="s">
        <v>26</v>
      </c>
      <c r="C5" s="61" t="s">
        <v>218</v>
      </c>
      <c r="D5" s="60" t="s">
        <v>206</v>
      </c>
      <c r="E5" s="60" t="s">
        <v>432</v>
      </c>
      <c r="F5" s="60" t="s">
        <v>28</v>
      </c>
      <c r="G5" s="62">
        <v>17</v>
      </c>
      <c r="H5" s="63" t="s">
        <v>220</v>
      </c>
    </row>
    <row r="6" spans="1:8" ht="19.8" customHeight="1" x14ac:dyDescent="0.3">
      <c r="A6" s="59" t="s">
        <v>152</v>
      </c>
      <c r="B6" s="60" t="s">
        <v>36</v>
      </c>
      <c r="C6" s="61" t="s">
        <v>224</v>
      </c>
      <c r="D6" s="60" t="s">
        <v>206</v>
      </c>
      <c r="E6" s="60" t="s">
        <v>433</v>
      </c>
      <c r="F6" s="60" t="s">
        <v>38</v>
      </c>
      <c r="G6" s="62">
        <v>6</v>
      </c>
      <c r="H6" s="63" t="s">
        <v>30</v>
      </c>
    </row>
    <row r="7" spans="1:8" ht="19.8" customHeight="1" x14ac:dyDescent="0.3">
      <c r="A7" s="59" t="s">
        <v>152</v>
      </c>
      <c r="B7" s="60" t="s">
        <v>36</v>
      </c>
      <c r="C7" s="61" t="s">
        <v>226</v>
      </c>
      <c r="D7" s="60" t="s">
        <v>206</v>
      </c>
      <c r="E7" s="60" t="s">
        <v>434</v>
      </c>
      <c r="F7" s="60" t="s">
        <v>38</v>
      </c>
      <c r="G7" s="62">
        <v>7</v>
      </c>
      <c r="H7" s="63" t="s">
        <v>30</v>
      </c>
    </row>
    <row r="8" spans="1:8" ht="19.8" customHeight="1" x14ac:dyDescent="0.3">
      <c r="A8" s="59" t="s">
        <v>152</v>
      </c>
      <c r="B8" s="60" t="s">
        <v>26</v>
      </c>
      <c r="C8" s="61" t="s">
        <v>207</v>
      </c>
      <c r="D8" s="60" t="s">
        <v>206</v>
      </c>
      <c r="E8" s="60" t="s">
        <v>429</v>
      </c>
      <c r="F8" s="60" t="s">
        <v>31</v>
      </c>
      <c r="G8" s="62">
        <v>2</v>
      </c>
      <c r="H8" s="63" t="s">
        <v>210</v>
      </c>
    </row>
    <row r="9" spans="1:8" ht="19.8" customHeight="1" x14ac:dyDescent="0.3">
      <c r="A9" s="59" t="s">
        <v>152</v>
      </c>
      <c r="B9" s="60" t="s">
        <v>36</v>
      </c>
      <c r="C9" s="61" t="s">
        <v>228</v>
      </c>
      <c r="D9" s="60" t="s">
        <v>206</v>
      </c>
      <c r="E9" s="60" t="s">
        <v>435</v>
      </c>
      <c r="F9" s="60" t="s">
        <v>38</v>
      </c>
      <c r="G9" s="62">
        <v>9</v>
      </c>
      <c r="H9" s="63" t="s">
        <v>210</v>
      </c>
    </row>
    <row r="10" spans="1:8" ht="19.8" customHeight="1" x14ac:dyDescent="0.3">
      <c r="A10" s="59" t="s">
        <v>152</v>
      </c>
      <c r="B10" s="60" t="s">
        <v>36</v>
      </c>
      <c r="C10" s="61" t="s">
        <v>230</v>
      </c>
      <c r="D10" s="60" t="s">
        <v>206</v>
      </c>
      <c r="E10" s="60" t="s">
        <v>436</v>
      </c>
      <c r="F10" s="60" t="s">
        <v>38</v>
      </c>
      <c r="G10" s="62">
        <v>1</v>
      </c>
      <c r="H10" s="63" t="s">
        <v>210</v>
      </c>
    </row>
    <row r="11" spans="1:8" ht="19.8" customHeight="1" x14ac:dyDescent="0.3">
      <c r="A11" s="59" t="s">
        <v>152</v>
      </c>
      <c r="B11" s="60" t="s">
        <v>36</v>
      </c>
      <c r="C11" s="61" t="s">
        <v>232</v>
      </c>
      <c r="D11" s="60" t="s">
        <v>206</v>
      </c>
      <c r="E11" s="60" t="s">
        <v>437</v>
      </c>
      <c r="F11" s="60" t="s">
        <v>38</v>
      </c>
      <c r="G11" s="62">
        <v>2</v>
      </c>
      <c r="H11" s="63" t="s">
        <v>210</v>
      </c>
    </row>
    <row r="12" spans="1:8" ht="19.8" customHeight="1" x14ac:dyDescent="0.3">
      <c r="A12" s="59" t="s">
        <v>152</v>
      </c>
      <c r="B12" s="60" t="s">
        <v>36</v>
      </c>
      <c r="C12" s="61" t="s">
        <v>234</v>
      </c>
      <c r="D12" s="60" t="s">
        <v>206</v>
      </c>
      <c r="E12" s="60" t="s">
        <v>438</v>
      </c>
      <c r="F12" s="60" t="s">
        <v>38</v>
      </c>
      <c r="G12" s="62">
        <v>5</v>
      </c>
      <c r="H12" s="63" t="s">
        <v>210</v>
      </c>
    </row>
    <row r="13" spans="1:8" ht="19.8" customHeight="1" x14ac:dyDescent="0.3">
      <c r="A13" s="59" t="s">
        <v>152</v>
      </c>
      <c r="B13" s="60" t="s">
        <v>36</v>
      </c>
      <c r="C13" s="61" t="s">
        <v>237</v>
      </c>
      <c r="D13" s="60" t="s">
        <v>206</v>
      </c>
      <c r="E13" s="60" t="s">
        <v>439</v>
      </c>
      <c r="F13" s="60" t="s">
        <v>38</v>
      </c>
      <c r="G13" s="62">
        <v>6</v>
      </c>
      <c r="H13" s="63" t="s">
        <v>210</v>
      </c>
    </row>
    <row r="14" spans="1:8" ht="19.8" customHeight="1" x14ac:dyDescent="0.3">
      <c r="A14" s="59" t="s">
        <v>152</v>
      </c>
      <c r="B14" s="60" t="s">
        <v>36</v>
      </c>
      <c r="C14" s="61" t="s">
        <v>238</v>
      </c>
      <c r="D14" s="60" t="s">
        <v>206</v>
      </c>
      <c r="E14" s="60" t="s">
        <v>431</v>
      </c>
      <c r="F14" s="60" t="s">
        <v>38</v>
      </c>
      <c r="G14" s="62">
        <v>9</v>
      </c>
      <c r="H14" s="63" t="s">
        <v>210</v>
      </c>
    </row>
    <row r="15" spans="1:8" ht="19.8" customHeight="1" x14ac:dyDescent="0.3">
      <c r="A15" s="59" t="s">
        <v>152</v>
      </c>
      <c r="B15" s="60" t="s">
        <v>239</v>
      </c>
      <c r="C15" s="61" t="s">
        <v>240</v>
      </c>
      <c r="D15" s="60" t="s">
        <v>206</v>
      </c>
      <c r="E15" s="60" t="s">
        <v>440</v>
      </c>
      <c r="F15" s="60" t="s">
        <v>100</v>
      </c>
      <c r="G15" s="62">
        <v>9</v>
      </c>
      <c r="H15" s="63" t="s">
        <v>241</v>
      </c>
    </row>
    <row r="16" spans="1:8" ht="19.8" customHeight="1" x14ac:dyDescent="0.3">
      <c r="A16" s="59" t="s">
        <v>152</v>
      </c>
      <c r="B16" s="60" t="s">
        <v>26</v>
      </c>
      <c r="C16" s="61" t="s">
        <v>211</v>
      </c>
      <c r="D16" s="60" t="s">
        <v>206</v>
      </c>
      <c r="E16" s="60" t="s">
        <v>430</v>
      </c>
      <c r="F16" s="60" t="s">
        <v>31</v>
      </c>
      <c r="G16" s="62">
        <v>11</v>
      </c>
      <c r="H16" s="63" t="s">
        <v>215</v>
      </c>
    </row>
    <row r="17" spans="1:8" ht="19.8" customHeight="1" x14ac:dyDescent="0.3">
      <c r="A17" s="59" t="s">
        <v>152</v>
      </c>
      <c r="B17" s="60" t="s">
        <v>26</v>
      </c>
      <c r="C17" s="61" t="s">
        <v>216</v>
      </c>
      <c r="D17" s="60" t="s">
        <v>206</v>
      </c>
      <c r="E17" s="60" t="s">
        <v>431</v>
      </c>
      <c r="F17" s="60" t="s">
        <v>31</v>
      </c>
      <c r="G17" s="62">
        <v>9</v>
      </c>
      <c r="H17" s="63" t="s">
        <v>215</v>
      </c>
    </row>
    <row r="18" spans="1:8" ht="19.8" customHeight="1" x14ac:dyDescent="0.3">
      <c r="A18" s="59" t="s">
        <v>152</v>
      </c>
      <c r="B18" s="60" t="s">
        <v>36</v>
      </c>
      <c r="C18" s="61" t="s">
        <v>224</v>
      </c>
      <c r="D18" s="60" t="s">
        <v>206</v>
      </c>
      <c r="E18" s="60" t="s">
        <v>433</v>
      </c>
      <c r="F18" s="60" t="s">
        <v>41</v>
      </c>
      <c r="G18" s="62">
        <v>6</v>
      </c>
      <c r="H18" s="63" t="s">
        <v>95</v>
      </c>
    </row>
    <row r="19" spans="1:8" ht="19.8" customHeight="1" x14ac:dyDescent="0.3">
      <c r="A19" s="59" t="s">
        <v>152</v>
      </c>
      <c r="B19" s="60" t="s">
        <v>36</v>
      </c>
      <c r="C19" s="61" t="s">
        <v>226</v>
      </c>
      <c r="D19" s="60" t="s">
        <v>206</v>
      </c>
      <c r="E19" s="60" t="s">
        <v>434</v>
      </c>
      <c r="F19" s="60" t="s">
        <v>41</v>
      </c>
      <c r="G19" s="62">
        <v>7</v>
      </c>
      <c r="H19" s="63" t="s">
        <v>95</v>
      </c>
    </row>
    <row r="20" spans="1:8" ht="19.8" customHeight="1" x14ac:dyDescent="0.3">
      <c r="A20" s="59" t="s">
        <v>152</v>
      </c>
      <c r="B20" s="60" t="s">
        <v>26</v>
      </c>
      <c r="C20" s="61" t="s">
        <v>218</v>
      </c>
      <c r="D20" s="60" t="s">
        <v>206</v>
      </c>
      <c r="E20" s="60" t="s">
        <v>432</v>
      </c>
      <c r="F20" s="60" t="s">
        <v>31</v>
      </c>
      <c r="G20" s="62">
        <v>17</v>
      </c>
      <c r="H20" s="63" t="s">
        <v>222</v>
      </c>
    </row>
    <row r="21" spans="1:8" ht="19.8" customHeight="1" x14ac:dyDescent="0.3">
      <c r="A21" s="99" t="s">
        <v>152</v>
      </c>
      <c r="B21" s="77" t="s">
        <v>73</v>
      </c>
      <c r="C21" s="78" t="s">
        <v>242</v>
      </c>
      <c r="D21" s="77" t="s">
        <v>206</v>
      </c>
      <c r="E21" s="77" t="s">
        <v>363</v>
      </c>
      <c r="F21" s="77" t="s">
        <v>100</v>
      </c>
      <c r="G21" s="80">
        <v>6</v>
      </c>
      <c r="H21" s="81" t="s">
        <v>243</v>
      </c>
    </row>
    <row r="22" spans="1:8" ht="19.8" customHeight="1" x14ac:dyDescent="0.3">
      <c r="A22" s="76">
        <v>45981</v>
      </c>
      <c r="B22" s="77" t="s">
        <v>73</v>
      </c>
      <c r="C22" s="78" t="s">
        <v>247</v>
      </c>
      <c r="D22" s="77" t="s">
        <v>206</v>
      </c>
      <c r="E22" s="79">
        <v>1.0659722222222221</v>
      </c>
      <c r="F22" s="77" t="s">
        <v>100</v>
      </c>
      <c r="G22" s="80">
        <v>5</v>
      </c>
      <c r="H22" s="81" t="s">
        <v>243</v>
      </c>
    </row>
    <row r="23" spans="1:8" ht="19.8" customHeight="1" x14ac:dyDescent="0.3">
      <c r="A23" s="76">
        <v>45981</v>
      </c>
      <c r="B23" s="77" t="s">
        <v>73</v>
      </c>
      <c r="C23" s="78" t="s">
        <v>251</v>
      </c>
      <c r="D23" s="77" t="s">
        <v>206</v>
      </c>
      <c r="E23" s="79">
        <v>1.15625</v>
      </c>
      <c r="F23" s="77" t="s">
        <v>100</v>
      </c>
      <c r="G23" s="80">
        <v>3</v>
      </c>
      <c r="H23" s="81" t="s">
        <v>243</v>
      </c>
    </row>
    <row r="24" spans="1:8" ht="19.8" customHeight="1" x14ac:dyDescent="0.3">
      <c r="A24" s="68">
        <v>45981</v>
      </c>
      <c r="B24" s="60" t="s">
        <v>36</v>
      </c>
      <c r="C24" s="61" t="s">
        <v>228</v>
      </c>
      <c r="D24" s="60" t="s">
        <v>206</v>
      </c>
      <c r="E24" s="69">
        <v>1.3472222222222221</v>
      </c>
      <c r="F24" s="60" t="s">
        <v>41</v>
      </c>
      <c r="G24" s="62">
        <v>9</v>
      </c>
      <c r="H24" s="63" t="s">
        <v>33</v>
      </c>
    </row>
    <row r="25" spans="1:8" ht="19.8" customHeight="1" x14ac:dyDescent="0.3">
      <c r="A25" s="68">
        <v>45981</v>
      </c>
      <c r="B25" s="60" t="s">
        <v>36</v>
      </c>
      <c r="C25" s="61" t="s">
        <v>230</v>
      </c>
      <c r="D25" s="60" t="s">
        <v>206</v>
      </c>
      <c r="E25" s="69">
        <v>1.75</v>
      </c>
      <c r="F25" s="60" t="s">
        <v>41</v>
      </c>
      <c r="G25" s="62">
        <v>1</v>
      </c>
      <c r="H25" s="63" t="s">
        <v>33</v>
      </c>
    </row>
    <row r="26" spans="1:8" ht="19.8" customHeight="1" x14ac:dyDescent="0.3">
      <c r="A26" s="68">
        <v>45981</v>
      </c>
      <c r="B26" s="60" t="s">
        <v>36</v>
      </c>
      <c r="C26" s="61" t="s">
        <v>232</v>
      </c>
      <c r="D26" s="60" t="s">
        <v>206</v>
      </c>
      <c r="E26" s="69">
        <v>1.836805555555556</v>
      </c>
      <c r="F26" s="60" t="s">
        <v>41</v>
      </c>
      <c r="G26" s="62">
        <v>2</v>
      </c>
      <c r="H26" s="63" t="s">
        <v>33</v>
      </c>
    </row>
    <row r="27" spans="1:8" ht="19.8" customHeight="1" x14ac:dyDescent="0.3">
      <c r="A27" s="68">
        <v>45981</v>
      </c>
      <c r="B27" s="60" t="s">
        <v>36</v>
      </c>
      <c r="C27" s="61" t="s">
        <v>234</v>
      </c>
      <c r="D27" s="60" t="s">
        <v>206</v>
      </c>
      <c r="E27" s="69">
        <v>1.4861111111111109</v>
      </c>
      <c r="F27" s="60" t="s">
        <v>41</v>
      </c>
      <c r="G27" s="62">
        <v>5</v>
      </c>
      <c r="H27" s="63" t="s">
        <v>33</v>
      </c>
    </row>
    <row r="28" spans="1:8" ht="19.8" customHeight="1" x14ac:dyDescent="0.3">
      <c r="A28" s="68">
        <v>45981</v>
      </c>
      <c r="B28" s="60" t="s">
        <v>36</v>
      </c>
      <c r="C28" s="61" t="s">
        <v>237</v>
      </c>
      <c r="D28" s="60" t="s">
        <v>206</v>
      </c>
      <c r="E28" s="69">
        <v>1.3923611111111109</v>
      </c>
      <c r="F28" s="60" t="s">
        <v>41</v>
      </c>
      <c r="G28" s="62">
        <v>6</v>
      </c>
      <c r="H28" s="63" t="s">
        <v>33</v>
      </c>
    </row>
    <row r="29" spans="1:8" ht="19.8" customHeight="1" x14ac:dyDescent="0.3">
      <c r="A29" s="68">
        <v>45981</v>
      </c>
      <c r="B29" s="60" t="s">
        <v>36</v>
      </c>
      <c r="C29" s="61" t="s">
        <v>238</v>
      </c>
      <c r="D29" s="60" t="s">
        <v>206</v>
      </c>
      <c r="E29" s="69">
        <v>1.8888888888888891</v>
      </c>
      <c r="F29" s="60" t="s">
        <v>41</v>
      </c>
      <c r="G29" s="62">
        <v>9</v>
      </c>
      <c r="H29" s="63" t="s">
        <v>33</v>
      </c>
    </row>
    <row r="30" spans="1:8" ht="19.8" customHeight="1" x14ac:dyDescent="0.3">
      <c r="A30" s="76">
        <v>45981</v>
      </c>
      <c r="B30" s="77" t="s">
        <v>73</v>
      </c>
      <c r="C30" s="78" t="s">
        <v>256</v>
      </c>
      <c r="D30" s="77" t="s">
        <v>206</v>
      </c>
      <c r="E30" s="79">
        <v>1.9375</v>
      </c>
      <c r="F30" s="77" t="s">
        <v>100</v>
      </c>
      <c r="G30" s="80">
        <v>9</v>
      </c>
      <c r="H30" s="81" t="s">
        <v>257</v>
      </c>
    </row>
    <row r="31" spans="1:8" ht="19.8" customHeight="1" x14ac:dyDescent="0.3">
      <c r="A31" s="68">
        <v>45981</v>
      </c>
      <c r="B31" s="60" t="s">
        <v>36</v>
      </c>
      <c r="C31" s="61" t="s">
        <v>224</v>
      </c>
      <c r="D31" s="60" t="s">
        <v>206</v>
      </c>
      <c r="E31" s="69">
        <v>1.993055555555556</v>
      </c>
      <c r="F31" s="60" t="s">
        <v>44</v>
      </c>
      <c r="G31" s="62">
        <v>6</v>
      </c>
      <c r="H31" s="63" t="s">
        <v>225</v>
      </c>
    </row>
    <row r="32" spans="1:8" ht="19.8" customHeight="1" x14ac:dyDescent="0.3">
      <c r="A32" s="68">
        <v>45981</v>
      </c>
      <c r="B32" s="60" t="s">
        <v>36</v>
      </c>
      <c r="C32" s="61" t="s">
        <v>226</v>
      </c>
      <c r="D32" s="60" t="s">
        <v>206</v>
      </c>
      <c r="E32" s="69">
        <v>1.944444444444444</v>
      </c>
      <c r="F32" s="60" t="s">
        <v>44</v>
      </c>
      <c r="G32" s="62">
        <v>7</v>
      </c>
      <c r="H32" s="63" t="s">
        <v>225</v>
      </c>
    </row>
    <row r="33" spans="1:8" ht="19.8" customHeight="1" x14ac:dyDescent="0.3">
      <c r="A33" s="68">
        <v>45981</v>
      </c>
      <c r="B33" s="60" t="s">
        <v>266</v>
      </c>
      <c r="C33" s="61" t="s">
        <v>267</v>
      </c>
      <c r="D33" s="60" t="s">
        <v>206</v>
      </c>
      <c r="E33" s="69">
        <v>1.1701388888888891</v>
      </c>
      <c r="F33" s="60" t="s">
        <v>268</v>
      </c>
      <c r="G33" s="62">
        <v>5</v>
      </c>
      <c r="H33" s="63" t="s">
        <v>270</v>
      </c>
    </row>
    <row r="34" spans="1:8" ht="19.8" customHeight="1" x14ac:dyDescent="0.3">
      <c r="A34" s="68">
        <v>45981</v>
      </c>
      <c r="B34" s="60" t="s">
        <v>36</v>
      </c>
      <c r="C34" s="61" t="s">
        <v>228</v>
      </c>
      <c r="D34" s="60" t="s">
        <v>206</v>
      </c>
      <c r="E34" s="69">
        <v>1.3472222222222221</v>
      </c>
      <c r="F34" s="60" t="s">
        <v>44</v>
      </c>
      <c r="G34" s="62">
        <v>9</v>
      </c>
      <c r="H34" s="63" t="s">
        <v>229</v>
      </c>
    </row>
    <row r="35" spans="1:8" ht="19.8" customHeight="1" x14ac:dyDescent="0.3">
      <c r="A35" s="68">
        <v>45981</v>
      </c>
      <c r="B35" s="60" t="s">
        <v>36</v>
      </c>
      <c r="C35" s="61" t="s">
        <v>230</v>
      </c>
      <c r="D35" s="60" t="s">
        <v>206</v>
      </c>
      <c r="E35" s="69">
        <v>1.75</v>
      </c>
      <c r="F35" s="60" t="s">
        <v>44</v>
      </c>
      <c r="G35" s="62">
        <v>1</v>
      </c>
      <c r="H35" s="63" t="s">
        <v>229</v>
      </c>
    </row>
    <row r="36" spans="1:8" ht="19.8" customHeight="1" x14ac:dyDescent="0.3">
      <c r="A36" s="68">
        <v>45981</v>
      </c>
      <c r="B36" s="60" t="s">
        <v>36</v>
      </c>
      <c r="C36" s="61" t="s">
        <v>232</v>
      </c>
      <c r="D36" s="60" t="s">
        <v>206</v>
      </c>
      <c r="E36" s="69">
        <v>1.836805555555556</v>
      </c>
      <c r="F36" s="60" t="s">
        <v>44</v>
      </c>
      <c r="G36" s="62">
        <v>2</v>
      </c>
      <c r="H36" s="63" t="s">
        <v>229</v>
      </c>
    </row>
    <row r="37" spans="1:8" ht="19.8" customHeight="1" x14ac:dyDescent="0.3">
      <c r="A37" s="68">
        <v>45981</v>
      </c>
      <c r="B37" s="60" t="s">
        <v>36</v>
      </c>
      <c r="C37" s="61" t="s">
        <v>234</v>
      </c>
      <c r="D37" s="60" t="s">
        <v>206</v>
      </c>
      <c r="E37" s="69">
        <v>1.4861111111111109</v>
      </c>
      <c r="F37" s="60" t="s">
        <v>44</v>
      </c>
      <c r="G37" s="62">
        <v>5</v>
      </c>
      <c r="H37" s="63" t="s">
        <v>229</v>
      </c>
    </row>
    <row r="38" spans="1:8" ht="19.8" customHeight="1" x14ac:dyDescent="0.3">
      <c r="A38" s="68">
        <v>45981</v>
      </c>
      <c r="B38" s="60" t="s">
        <v>36</v>
      </c>
      <c r="C38" s="61" t="s">
        <v>237</v>
      </c>
      <c r="D38" s="60" t="s">
        <v>206</v>
      </c>
      <c r="E38" s="69">
        <v>1.3923611111111109</v>
      </c>
      <c r="F38" s="60" t="s">
        <v>44</v>
      </c>
      <c r="G38" s="62">
        <v>6</v>
      </c>
      <c r="H38" s="63" t="s">
        <v>229</v>
      </c>
    </row>
    <row r="39" spans="1:8" ht="19.8" customHeight="1" x14ac:dyDescent="0.3">
      <c r="A39" s="68">
        <v>45981</v>
      </c>
      <c r="B39" s="60" t="s">
        <v>36</v>
      </c>
      <c r="C39" s="61" t="s">
        <v>238</v>
      </c>
      <c r="D39" s="60" t="s">
        <v>206</v>
      </c>
      <c r="E39" s="69">
        <v>1.8888888888888891</v>
      </c>
      <c r="F39" s="60" t="s">
        <v>44</v>
      </c>
      <c r="G39" s="62">
        <v>9</v>
      </c>
      <c r="H39" s="63" t="s">
        <v>229</v>
      </c>
    </row>
    <row r="40" spans="1:8" ht="19.8" customHeight="1" x14ac:dyDescent="0.3">
      <c r="A40" s="68">
        <v>45981</v>
      </c>
      <c r="B40" s="60" t="s">
        <v>26</v>
      </c>
      <c r="C40" s="61" t="s">
        <v>211</v>
      </c>
      <c r="D40" s="60" t="s">
        <v>206</v>
      </c>
      <c r="E40" s="69">
        <v>1.399305555555556</v>
      </c>
      <c r="F40" s="60" t="s">
        <v>34</v>
      </c>
      <c r="G40" s="62">
        <v>11</v>
      </c>
      <c r="H40" s="63" t="s">
        <v>35</v>
      </c>
    </row>
    <row r="41" spans="1:8" ht="19.8" customHeight="1" x14ac:dyDescent="0.3">
      <c r="A41" s="68">
        <v>45981</v>
      </c>
      <c r="B41" s="60" t="s">
        <v>26</v>
      </c>
      <c r="C41" s="61" t="s">
        <v>216</v>
      </c>
      <c r="D41" s="60" t="s">
        <v>206</v>
      </c>
      <c r="E41" s="69">
        <v>1.8888888888888891</v>
      </c>
      <c r="F41" s="60" t="s">
        <v>34</v>
      </c>
      <c r="G41" s="62">
        <v>9</v>
      </c>
      <c r="H41" s="63" t="s">
        <v>35</v>
      </c>
    </row>
    <row r="42" spans="1:8" ht="19.8" customHeight="1" x14ac:dyDescent="0.3">
      <c r="A42" s="68">
        <v>45981</v>
      </c>
      <c r="B42" s="60" t="s">
        <v>26</v>
      </c>
      <c r="C42" s="61" t="s">
        <v>207</v>
      </c>
      <c r="D42" s="60" t="s">
        <v>206</v>
      </c>
      <c r="E42" s="69">
        <v>1.989583333333333</v>
      </c>
      <c r="F42" s="60" t="s">
        <v>34</v>
      </c>
      <c r="G42" s="62">
        <v>2</v>
      </c>
      <c r="H42" s="63" t="s">
        <v>35</v>
      </c>
    </row>
    <row r="43" spans="1:8" ht="19.8" customHeight="1" x14ac:dyDescent="0.3">
      <c r="A43" s="68">
        <v>45981</v>
      </c>
      <c r="B43" s="60" t="s">
        <v>266</v>
      </c>
      <c r="C43" s="61" t="s">
        <v>267</v>
      </c>
      <c r="D43" s="60" t="s">
        <v>206</v>
      </c>
      <c r="E43" s="69">
        <v>1.1701388888888891</v>
      </c>
      <c r="F43" s="60" t="s">
        <v>34</v>
      </c>
      <c r="G43" s="62">
        <v>5</v>
      </c>
      <c r="H43" s="63" t="s">
        <v>271</v>
      </c>
    </row>
    <row r="44" spans="1:8" ht="19.8" customHeight="1" x14ac:dyDescent="0.3">
      <c r="A44" s="68">
        <v>45981</v>
      </c>
      <c r="B44" s="60" t="s">
        <v>52</v>
      </c>
      <c r="C44" s="61" t="s">
        <v>272</v>
      </c>
      <c r="D44" s="60" t="s">
        <v>206</v>
      </c>
      <c r="E44" s="69">
        <v>1.9409722222222221</v>
      </c>
      <c r="F44" s="60" t="s">
        <v>57</v>
      </c>
      <c r="G44" s="62">
        <v>9</v>
      </c>
      <c r="H44" s="63" t="s">
        <v>273</v>
      </c>
    </row>
    <row r="45" spans="1:8" ht="19.8" customHeight="1" x14ac:dyDescent="0.3">
      <c r="A45" s="68">
        <v>45981</v>
      </c>
      <c r="B45" s="60" t="s">
        <v>68</v>
      </c>
      <c r="C45" s="61" t="s">
        <v>285</v>
      </c>
      <c r="D45" s="60" t="s">
        <v>206</v>
      </c>
      <c r="E45" s="69">
        <v>1.7847222222222221</v>
      </c>
      <c r="F45" s="60" t="s">
        <v>70</v>
      </c>
      <c r="G45" s="62">
        <v>9</v>
      </c>
      <c r="H45" s="63" t="s">
        <v>286</v>
      </c>
    </row>
    <row r="46" spans="1:8" ht="19.8" customHeight="1" x14ac:dyDescent="0.3">
      <c r="A46" s="68">
        <v>45981</v>
      </c>
      <c r="B46" s="60" t="s">
        <v>52</v>
      </c>
      <c r="C46" s="61" t="s">
        <v>274</v>
      </c>
      <c r="D46" s="60" t="s">
        <v>206</v>
      </c>
      <c r="E46" s="69">
        <v>1.989583333333333</v>
      </c>
      <c r="F46" s="60" t="s">
        <v>57</v>
      </c>
      <c r="G46" s="62">
        <v>4</v>
      </c>
      <c r="H46" s="63" t="s">
        <v>275</v>
      </c>
    </row>
    <row r="47" spans="1:8" ht="19.8" customHeight="1" x14ac:dyDescent="0.3">
      <c r="A47" s="68">
        <v>45981</v>
      </c>
      <c r="B47" s="60" t="s">
        <v>52</v>
      </c>
      <c r="C47" s="61" t="s">
        <v>276</v>
      </c>
      <c r="D47" s="60" t="s">
        <v>206</v>
      </c>
      <c r="E47" s="69">
        <v>1.399305555555556</v>
      </c>
      <c r="F47" s="60" t="s">
        <v>57</v>
      </c>
      <c r="G47" s="62">
        <v>4</v>
      </c>
      <c r="H47" s="63" t="s">
        <v>275</v>
      </c>
    </row>
    <row r="48" spans="1:8" ht="19.8" customHeight="1" x14ac:dyDescent="0.3">
      <c r="A48" s="68">
        <v>45981</v>
      </c>
      <c r="B48" s="60" t="s">
        <v>52</v>
      </c>
      <c r="C48" s="61" t="s">
        <v>277</v>
      </c>
      <c r="D48" s="60" t="s">
        <v>206</v>
      </c>
      <c r="E48" s="69">
        <v>1.489583333333333</v>
      </c>
      <c r="F48" s="60" t="s">
        <v>57</v>
      </c>
      <c r="G48" s="62">
        <v>4</v>
      </c>
      <c r="H48" s="63" t="s">
        <v>275</v>
      </c>
    </row>
    <row r="49" spans="1:8" ht="19.8" customHeight="1" x14ac:dyDescent="0.3">
      <c r="A49" s="68">
        <v>45981</v>
      </c>
      <c r="B49" s="60" t="s">
        <v>52</v>
      </c>
      <c r="C49" s="61" t="s">
        <v>278</v>
      </c>
      <c r="D49" s="60" t="s">
        <v>206</v>
      </c>
      <c r="E49" s="69">
        <v>1.8888888888888891</v>
      </c>
      <c r="F49" s="60" t="s">
        <v>57</v>
      </c>
      <c r="G49" s="62">
        <v>4</v>
      </c>
      <c r="H49" s="63" t="s">
        <v>275</v>
      </c>
    </row>
    <row r="50" spans="1:8" ht="19.8" customHeight="1" x14ac:dyDescent="0.3">
      <c r="A50" s="68">
        <v>45981</v>
      </c>
      <c r="B50" s="60" t="s">
        <v>26</v>
      </c>
      <c r="C50" s="61" t="s">
        <v>218</v>
      </c>
      <c r="D50" s="60" t="s">
        <v>206</v>
      </c>
      <c r="E50" s="69">
        <v>1.489583333333333</v>
      </c>
      <c r="F50" s="60" t="s">
        <v>34</v>
      </c>
      <c r="G50" s="62">
        <v>17</v>
      </c>
      <c r="H50" s="63" t="s">
        <v>223</v>
      </c>
    </row>
    <row r="51" spans="1:8" ht="19.8" customHeight="1" x14ac:dyDescent="0.3">
      <c r="A51" s="68">
        <v>45981</v>
      </c>
      <c r="B51" s="60" t="s">
        <v>52</v>
      </c>
      <c r="C51" s="61" t="s">
        <v>279</v>
      </c>
      <c r="D51" s="60" t="s">
        <v>206</v>
      </c>
      <c r="E51" s="69">
        <v>1.8298611111111109</v>
      </c>
      <c r="F51" s="60" t="s">
        <v>57</v>
      </c>
      <c r="G51" s="62">
        <v>4</v>
      </c>
      <c r="H51" s="63" t="s">
        <v>280</v>
      </c>
    </row>
    <row r="52" spans="1:8" ht="19.8" customHeight="1" x14ac:dyDescent="0.3">
      <c r="A52" s="68">
        <v>45981</v>
      </c>
      <c r="B52" s="60" t="s">
        <v>52</v>
      </c>
      <c r="C52" s="61" t="s">
        <v>281</v>
      </c>
      <c r="D52" s="60" t="s">
        <v>206</v>
      </c>
      <c r="E52" s="69">
        <v>1.7222222222222221</v>
      </c>
      <c r="F52" s="60" t="s">
        <v>57</v>
      </c>
      <c r="G52" s="62">
        <v>1</v>
      </c>
      <c r="H52" s="63" t="s">
        <v>280</v>
      </c>
    </row>
    <row r="53" spans="1:8" ht="19.8" customHeight="1" x14ac:dyDescent="0.3">
      <c r="A53" s="68">
        <v>45981</v>
      </c>
      <c r="B53" s="60" t="s">
        <v>52</v>
      </c>
      <c r="C53" s="61" t="s">
        <v>282</v>
      </c>
      <c r="D53" s="60" t="s">
        <v>206</v>
      </c>
      <c r="E53" s="69">
        <v>1.118055555555556</v>
      </c>
      <c r="F53" s="60" t="s">
        <v>57</v>
      </c>
      <c r="G53" s="62">
        <v>2</v>
      </c>
      <c r="H53" s="63" t="s">
        <v>280</v>
      </c>
    </row>
    <row r="54" spans="1:8" ht="19.8" customHeight="1" x14ac:dyDescent="0.3">
      <c r="A54" s="68">
        <v>45981</v>
      </c>
      <c r="B54" s="60" t="s">
        <v>52</v>
      </c>
      <c r="C54" s="61" t="s">
        <v>283</v>
      </c>
      <c r="D54" s="60" t="s">
        <v>206</v>
      </c>
      <c r="E54" s="69">
        <v>1.7048611111111109</v>
      </c>
      <c r="F54" s="60" t="s">
        <v>57</v>
      </c>
      <c r="G54" s="62">
        <v>7</v>
      </c>
      <c r="H54" s="63" t="s">
        <v>280</v>
      </c>
    </row>
    <row r="55" spans="1:8" ht="19.8" customHeight="1" x14ac:dyDescent="0.3">
      <c r="A55" s="68">
        <v>45981</v>
      </c>
      <c r="B55" s="60" t="s">
        <v>52</v>
      </c>
      <c r="C55" s="61" t="s">
        <v>284</v>
      </c>
      <c r="D55" s="60" t="s">
        <v>206</v>
      </c>
      <c r="E55" s="69">
        <v>1.2534722222222221</v>
      </c>
      <c r="F55" s="60" t="s">
        <v>57</v>
      </c>
      <c r="G55" s="62">
        <v>6</v>
      </c>
      <c r="H55" s="63" t="s">
        <v>280</v>
      </c>
    </row>
    <row r="56" spans="1:8" ht="19.8" customHeight="1" x14ac:dyDescent="0.3">
      <c r="A56" s="68">
        <v>45981</v>
      </c>
      <c r="B56" s="60" t="s">
        <v>68</v>
      </c>
      <c r="C56" s="61" t="s">
        <v>287</v>
      </c>
      <c r="D56" s="60" t="s">
        <v>206</v>
      </c>
      <c r="E56" s="69">
        <v>1.9722222222222221</v>
      </c>
      <c r="F56" s="60" t="s">
        <v>70</v>
      </c>
      <c r="G56" s="62">
        <v>8</v>
      </c>
      <c r="H56" s="63" t="s">
        <v>289</v>
      </c>
    </row>
    <row r="57" spans="1:8" ht="19.8" customHeight="1" x14ac:dyDescent="0.3">
      <c r="A57" s="68">
        <v>45981</v>
      </c>
      <c r="B57" s="60" t="s">
        <v>68</v>
      </c>
      <c r="C57" s="61" t="s">
        <v>290</v>
      </c>
      <c r="D57" s="60" t="s">
        <v>206</v>
      </c>
      <c r="E57" s="69">
        <v>1.104166666666667</v>
      </c>
      <c r="F57" s="60" t="s">
        <v>70</v>
      </c>
      <c r="G57" s="62">
        <v>9</v>
      </c>
      <c r="H57" s="63" t="s">
        <v>289</v>
      </c>
    </row>
    <row r="58" spans="1:8" ht="19.8" customHeight="1" x14ac:dyDescent="0.3">
      <c r="A58" s="68">
        <v>45981</v>
      </c>
      <c r="B58" s="60" t="s">
        <v>68</v>
      </c>
      <c r="C58" s="61" t="s">
        <v>291</v>
      </c>
      <c r="D58" s="60" t="s">
        <v>206</v>
      </c>
      <c r="E58" s="69">
        <v>1.600694444444444</v>
      </c>
      <c r="F58" s="60" t="s">
        <v>70</v>
      </c>
      <c r="G58" s="62">
        <v>9</v>
      </c>
      <c r="H58" s="63" t="s">
        <v>289</v>
      </c>
    </row>
    <row r="59" spans="1:8" ht="19.8" customHeight="1" x14ac:dyDescent="0.3">
      <c r="A59" s="68">
        <v>45981</v>
      </c>
      <c r="B59" s="60" t="s">
        <v>68</v>
      </c>
      <c r="C59" s="61" t="s">
        <v>292</v>
      </c>
      <c r="D59" s="60" t="s">
        <v>206</v>
      </c>
      <c r="E59" s="69">
        <v>1.836805555555556</v>
      </c>
      <c r="F59" s="60" t="s">
        <v>70</v>
      </c>
      <c r="G59" s="62">
        <v>9</v>
      </c>
      <c r="H59" s="63" t="s">
        <v>293</v>
      </c>
    </row>
    <row r="60" spans="1:8" ht="19.8" customHeight="1" x14ac:dyDescent="0.3">
      <c r="A60" s="68">
        <v>45981</v>
      </c>
      <c r="B60" s="60" t="s">
        <v>68</v>
      </c>
      <c r="C60" s="61" t="s">
        <v>294</v>
      </c>
      <c r="D60" s="60" t="s">
        <v>206</v>
      </c>
      <c r="E60" s="69">
        <v>1.0486111111111109</v>
      </c>
      <c r="F60" s="60" t="s">
        <v>70</v>
      </c>
      <c r="G60" s="62">
        <v>9</v>
      </c>
      <c r="H60" s="63" t="s">
        <v>293</v>
      </c>
    </row>
    <row r="61" spans="1:8" ht="19.8" customHeight="1" x14ac:dyDescent="0.3">
      <c r="A61" s="76">
        <v>45981</v>
      </c>
      <c r="B61" s="77" t="s">
        <v>73</v>
      </c>
      <c r="C61" s="78" t="s">
        <v>261</v>
      </c>
      <c r="D61" s="77" t="s">
        <v>206</v>
      </c>
      <c r="E61" s="79">
        <v>1.40625</v>
      </c>
      <c r="F61" s="77" t="s">
        <v>75</v>
      </c>
      <c r="G61" s="77"/>
      <c r="H61" s="81" t="s">
        <v>76</v>
      </c>
    </row>
    <row r="62" spans="1:8" ht="19.8" customHeight="1" x14ac:dyDescent="0.3">
      <c r="A62" s="82">
        <v>45981</v>
      </c>
      <c r="B62" s="65" t="s">
        <v>73</v>
      </c>
      <c r="C62" s="66" t="s">
        <v>264</v>
      </c>
      <c r="D62" s="65" t="s">
        <v>206</v>
      </c>
      <c r="E62" s="83">
        <v>1.5625</v>
      </c>
      <c r="F62" s="65" t="s">
        <v>75</v>
      </c>
      <c r="G62" s="65"/>
      <c r="H62" s="67" t="s">
        <v>76</v>
      </c>
    </row>
    <row r="63" spans="1:8" ht="19.8" customHeight="1" x14ac:dyDescent="0.3">
      <c r="A63" s="68">
        <v>45982</v>
      </c>
      <c r="B63" s="60" t="s">
        <v>26</v>
      </c>
      <c r="C63" s="61" t="s">
        <v>211</v>
      </c>
      <c r="D63" s="60" t="s">
        <v>206</v>
      </c>
      <c r="E63" s="69">
        <v>1.399305555555556</v>
      </c>
      <c r="F63" s="60" t="s">
        <v>28</v>
      </c>
      <c r="G63" s="62">
        <v>1</v>
      </c>
      <c r="H63" s="63" t="s">
        <v>213</v>
      </c>
    </row>
    <row r="64" spans="1:8" ht="19.8" customHeight="1" x14ac:dyDescent="0.3">
      <c r="A64" s="68">
        <v>45982</v>
      </c>
      <c r="B64" s="60" t="s">
        <v>26</v>
      </c>
      <c r="C64" s="61" t="s">
        <v>218</v>
      </c>
      <c r="D64" s="60" t="s">
        <v>206</v>
      </c>
      <c r="E64" s="69">
        <v>1.489583333333333</v>
      </c>
      <c r="F64" s="60" t="s">
        <v>28</v>
      </c>
      <c r="G64" s="62">
        <v>4</v>
      </c>
      <c r="H64" s="63" t="s">
        <v>213</v>
      </c>
    </row>
    <row r="65" spans="1:8" ht="19.8" customHeight="1" x14ac:dyDescent="0.3">
      <c r="A65" s="68">
        <v>45982</v>
      </c>
      <c r="B65" s="60" t="s">
        <v>26</v>
      </c>
      <c r="C65" s="61" t="s">
        <v>207</v>
      </c>
      <c r="D65" s="60" t="s">
        <v>206</v>
      </c>
      <c r="E65" s="69">
        <v>1.989583333333333</v>
      </c>
      <c r="F65" s="60" t="s">
        <v>28</v>
      </c>
      <c r="G65" s="62">
        <v>7</v>
      </c>
      <c r="H65" s="63" t="s">
        <v>213</v>
      </c>
    </row>
    <row r="66" spans="1:8" ht="19.8" customHeight="1" x14ac:dyDescent="0.3">
      <c r="A66" s="68">
        <v>45982</v>
      </c>
      <c r="B66" s="60" t="s">
        <v>26</v>
      </c>
      <c r="C66" s="61" t="s">
        <v>216</v>
      </c>
      <c r="D66" s="60" t="s">
        <v>206</v>
      </c>
      <c r="E66" s="69">
        <v>1.8888888888888891</v>
      </c>
      <c r="F66" s="60" t="s">
        <v>295</v>
      </c>
      <c r="G66" s="62">
        <v>15</v>
      </c>
      <c r="H66" s="63" t="s">
        <v>220</v>
      </c>
    </row>
    <row r="67" spans="1:8" ht="19.8" customHeight="1" x14ac:dyDescent="0.3">
      <c r="A67" s="68">
        <v>45982</v>
      </c>
      <c r="B67" s="60" t="s">
        <v>26</v>
      </c>
      <c r="C67" s="61" t="s">
        <v>216</v>
      </c>
      <c r="D67" s="60" t="s">
        <v>206</v>
      </c>
      <c r="E67" s="69">
        <v>1.8888888888888891</v>
      </c>
      <c r="F67" s="60" t="s">
        <v>28</v>
      </c>
      <c r="G67" s="62">
        <v>15</v>
      </c>
      <c r="H67" s="63" t="s">
        <v>220</v>
      </c>
    </row>
    <row r="68" spans="1:8" ht="19.8" customHeight="1" x14ac:dyDescent="0.3">
      <c r="A68" s="68">
        <v>45982</v>
      </c>
      <c r="B68" s="60" t="s">
        <v>36</v>
      </c>
      <c r="C68" s="61" t="s">
        <v>228</v>
      </c>
      <c r="D68" s="60" t="s">
        <v>206</v>
      </c>
      <c r="E68" s="69">
        <v>1.3472222222222221</v>
      </c>
      <c r="F68" s="60" t="s">
        <v>297</v>
      </c>
      <c r="G68" s="62">
        <v>6</v>
      </c>
      <c r="H68" s="63" t="s">
        <v>30</v>
      </c>
    </row>
    <row r="69" spans="1:8" ht="19.8" customHeight="1" x14ac:dyDescent="0.3">
      <c r="A69" s="68">
        <v>45982</v>
      </c>
      <c r="B69" s="60" t="s">
        <v>36</v>
      </c>
      <c r="C69" s="61" t="s">
        <v>228</v>
      </c>
      <c r="D69" s="60" t="s">
        <v>206</v>
      </c>
      <c r="E69" s="69">
        <v>1.3472222222222221</v>
      </c>
      <c r="F69" s="60" t="s">
        <v>38</v>
      </c>
      <c r="G69" s="62">
        <v>6</v>
      </c>
      <c r="H69" s="63" t="s">
        <v>30</v>
      </c>
    </row>
    <row r="70" spans="1:8" ht="19.8" customHeight="1" x14ac:dyDescent="0.3">
      <c r="A70" s="68">
        <v>45982</v>
      </c>
      <c r="B70" s="60" t="s">
        <v>36</v>
      </c>
      <c r="C70" s="61" t="s">
        <v>234</v>
      </c>
      <c r="D70" s="60" t="s">
        <v>206</v>
      </c>
      <c r="E70" s="69">
        <v>1.4861111111111109</v>
      </c>
      <c r="F70" s="60" t="s">
        <v>297</v>
      </c>
      <c r="G70" s="62">
        <v>2</v>
      </c>
      <c r="H70" s="63" t="s">
        <v>30</v>
      </c>
    </row>
    <row r="71" spans="1:8" ht="19.8" customHeight="1" x14ac:dyDescent="0.3">
      <c r="A71" s="68">
        <v>45982</v>
      </c>
      <c r="B71" s="60" t="s">
        <v>36</v>
      </c>
      <c r="C71" s="61" t="s">
        <v>234</v>
      </c>
      <c r="D71" s="60" t="s">
        <v>206</v>
      </c>
      <c r="E71" s="69">
        <v>1.4861111111111109</v>
      </c>
      <c r="F71" s="60" t="s">
        <v>38</v>
      </c>
      <c r="G71" s="62">
        <v>2</v>
      </c>
      <c r="H71" s="63" t="s">
        <v>30</v>
      </c>
    </row>
    <row r="72" spans="1:8" ht="19.8" customHeight="1" x14ac:dyDescent="0.3">
      <c r="A72" s="68">
        <v>45982</v>
      </c>
      <c r="B72" s="60" t="s">
        <v>36</v>
      </c>
      <c r="C72" s="61" t="s">
        <v>238</v>
      </c>
      <c r="D72" s="60" t="s">
        <v>206</v>
      </c>
      <c r="E72" s="69">
        <v>1.8888888888888891</v>
      </c>
      <c r="F72" s="60" t="s">
        <v>297</v>
      </c>
      <c r="G72" s="62">
        <v>2</v>
      </c>
      <c r="H72" s="63" t="s">
        <v>30</v>
      </c>
    </row>
    <row r="73" spans="1:8" ht="19.8" customHeight="1" x14ac:dyDescent="0.3">
      <c r="A73" s="68">
        <v>45982</v>
      </c>
      <c r="B73" s="60" t="s">
        <v>36</v>
      </c>
      <c r="C73" s="61" t="s">
        <v>238</v>
      </c>
      <c r="D73" s="60" t="s">
        <v>206</v>
      </c>
      <c r="E73" s="69">
        <v>1.8888888888888891</v>
      </c>
      <c r="F73" s="60" t="s">
        <v>38</v>
      </c>
      <c r="G73" s="62">
        <v>2</v>
      </c>
      <c r="H73" s="63" t="s">
        <v>30</v>
      </c>
    </row>
    <row r="74" spans="1:8" ht="19.8" customHeight="1" x14ac:dyDescent="0.3">
      <c r="A74" s="68">
        <v>45982</v>
      </c>
      <c r="B74" s="60" t="s">
        <v>36</v>
      </c>
      <c r="C74" s="61" t="s">
        <v>224</v>
      </c>
      <c r="D74" s="60" t="s">
        <v>206</v>
      </c>
      <c r="E74" s="69">
        <v>1.993055555555556</v>
      </c>
      <c r="F74" s="60" t="s">
        <v>297</v>
      </c>
      <c r="G74" s="62">
        <v>9</v>
      </c>
      <c r="H74" s="63" t="s">
        <v>210</v>
      </c>
    </row>
    <row r="75" spans="1:8" ht="19.8" customHeight="1" x14ac:dyDescent="0.3">
      <c r="A75" s="68">
        <v>45982</v>
      </c>
      <c r="B75" s="60" t="s">
        <v>36</v>
      </c>
      <c r="C75" s="61" t="s">
        <v>224</v>
      </c>
      <c r="D75" s="60" t="s">
        <v>206</v>
      </c>
      <c r="E75" s="69">
        <v>1.993055555555556</v>
      </c>
      <c r="F75" s="60" t="s">
        <v>38</v>
      </c>
      <c r="G75" s="62">
        <v>9</v>
      </c>
      <c r="H75" s="63" t="s">
        <v>210</v>
      </c>
    </row>
    <row r="76" spans="1:8" ht="19.8" customHeight="1" x14ac:dyDescent="0.3">
      <c r="A76" s="68">
        <v>45982</v>
      </c>
      <c r="B76" s="60" t="s">
        <v>36</v>
      </c>
      <c r="C76" s="61" t="s">
        <v>230</v>
      </c>
      <c r="D76" s="60" t="s">
        <v>206</v>
      </c>
      <c r="E76" s="69">
        <v>1.7361111111111109</v>
      </c>
      <c r="F76" s="60" t="s">
        <v>297</v>
      </c>
      <c r="G76" s="62">
        <v>6</v>
      </c>
      <c r="H76" s="63" t="s">
        <v>210</v>
      </c>
    </row>
    <row r="77" spans="1:8" ht="19.8" customHeight="1" x14ac:dyDescent="0.3">
      <c r="A77" s="68">
        <v>45982</v>
      </c>
      <c r="B77" s="60" t="s">
        <v>36</v>
      </c>
      <c r="C77" s="61" t="s">
        <v>230</v>
      </c>
      <c r="D77" s="60" t="s">
        <v>206</v>
      </c>
      <c r="E77" s="69">
        <v>1.7361111111111109</v>
      </c>
      <c r="F77" s="60" t="s">
        <v>38</v>
      </c>
      <c r="G77" s="62">
        <v>6</v>
      </c>
      <c r="H77" s="63" t="s">
        <v>210</v>
      </c>
    </row>
    <row r="78" spans="1:8" ht="19.8" customHeight="1" x14ac:dyDescent="0.3">
      <c r="A78" s="68">
        <v>45982</v>
      </c>
      <c r="B78" s="60" t="s">
        <v>36</v>
      </c>
      <c r="C78" s="61" t="s">
        <v>232</v>
      </c>
      <c r="D78" s="60" t="s">
        <v>206</v>
      </c>
      <c r="E78" s="69">
        <v>1.836805555555556</v>
      </c>
      <c r="F78" s="60" t="s">
        <v>297</v>
      </c>
      <c r="G78" s="62">
        <v>9</v>
      </c>
      <c r="H78" s="63" t="s">
        <v>210</v>
      </c>
    </row>
    <row r="79" spans="1:8" ht="19.8" customHeight="1" x14ac:dyDescent="0.3">
      <c r="A79" s="68">
        <v>45982</v>
      </c>
      <c r="B79" s="60" t="s">
        <v>36</v>
      </c>
      <c r="C79" s="61" t="s">
        <v>232</v>
      </c>
      <c r="D79" s="60" t="s">
        <v>206</v>
      </c>
      <c r="E79" s="69">
        <v>1.836805555555556</v>
      </c>
      <c r="F79" s="60" t="s">
        <v>38</v>
      </c>
      <c r="G79" s="62">
        <v>9</v>
      </c>
      <c r="H79" s="63" t="s">
        <v>210</v>
      </c>
    </row>
    <row r="80" spans="1:8" ht="19.8" customHeight="1" x14ac:dyDescent="0.3">
      <c r="A80" s="68">
        <v>45982</v>
      </c>
      <c r="B80" s="60" t="s">
        <v>36</v>
      </c>
      <c r="C80" s="61" t="s">
        <v>226</v>
      </c>
      <c r="D80" s="60" t="s">
        <v>206</v>
      </c>
      <c r="E80" s="69">
        <v>1.944444444444444</v>
      </c>
      <c r="F80" s="60" t="s">
        <v>297</v>
      </c>
      <c r="G80" s="62">
        <v>4</v>
      </c>
      <c r="H80" s="63" t="s">
        <v>210</v>
      </c>
    </row>
    <row r="81" spans="1:8" ht="19.8" customHeight="1" x14ac:dyDescent="0.3">
      <c r="A81" s="68">
        <v>45982</v>
      </c>
      <c r="B81" s="60" t="s">
        <v>36</v>
      </c>
      <c r="C81" s="61" t="s">
        <v>226</v>
      </c>
      <c r="D81" s="60" t="s">
        <v>206</v>
      </c>
      <c r="E81" s="69">
        <v>1.944444444444444</v>
      </c>
      <c r="F81" s="60" t="s">
        <v>38</v>
      </c>
      <c r="G81" s="62">
        <v>4</v>
      </c>
      <c r="H81" s="63" t="s">
        <v>210</v>
      </c>
    </row>
    <row r="82" spans="1:8" ht="19.8" customHeight="1" x14ac:dyDescent="0.3">
      <c r="A82" s="68">
        <v>45982</v>
      </c>
      <c r="B82" s="60" t="s">
        <v>239</v>
      </c>
      <c r="C82" s="61" t="s">
        <v>240</v>
      </c>
      <c r="D82" s="60" t="s">
        <v>206</v>
      </c>
      <c r="E82" s="69">
        <v>1.541666666666667</v>
      </c>
      <c r="F82" s="60" t="s">
        <v>100</v>
      </c>
      <c r="G82" s="62">
        <v>4</v>
      </c>
      <c r="H82" s="63" t="s">
        <v>241</v>
      </c>
    </row>
    <row r="83" spans="1:8" ht="19.8" customHeight="1" x14ac:dyDescent="0.3">
      <c r="A83" s="68">
        <v>45982</v>
      </c>
      <c r="B83" s="60" t="s">
        <v>239</v>
      </c>
      <c r="C83" s="61" t="s">
        <v>299</v>
      </c>
      <c r="D83" s="60" t="s">
        <v>206</v>
      </c>
      <c r="E83" s="69">
        <v>1.239583333333333</v>
      </c>
      <c r="F83" s="60" t="s">
        <v>100</v>
      </c>
      <c r="G83" s="62">
        <v>2</v>
      </c>
      <c r="H83" s="63" t="s">
        <v>241</v>
      </c>
    </row>
    <row r="84" spans="1:8" ht="19.8" customHeight="1" x14ac:dyDescent="0.3">
      <c r="A84" s="76">
        <v>45982</v>
      </c>
      <c r="B84" s="77" t="s">
        <v>73</v>
      </c>
      <c r="C84" s="78" t="s">
        <v>300</v>
      </c>
      <c r="D84" s="77" t="s">
        <v>206</v>
      </c>
      <c r="E84" s="79">
        <v>1.760416666666667</v>
      </c>
      <c r="F84" s="77" t="s">
        <v>100</v>
      </c>
      <c r="G84" s="80">
        <v>9</v>
      </c>
      <c r="H84" s="81" t="s">
        <v>301</v>
      </c>
    </row>
    <row r="85" spans="1:8" ht="19.8" customHeight="1" x14ac:dyDescent="0.3">
      <c r="A85" s="76">
        <v>45982</v>
      </c>
      <c r="B85" s="77" t="s">
        <v>73</v>
      </c>
      <c r="C85" s="78" t="s">
        <v>305</v>
      </c>
      <c r="D85" s="77" t="s">
        <v>206</v>
      </c>
      <c r="E85" s="79">
        <v>1.5590277777777779</v>
      </c>
      <c r="F85" s="77" t="s">
        <v>100</v>
      </c>
      <c r="G85" s="80">
        <v>1</v>
      </c>
      <c r="H85" s="81" t="s">
        <v>301</v>
      </c>
    </row>
    <row r="86" spans="1:8" ht="19.8" customHeight="1" x14ac:dyDescent="0.3">
      <c r="A86" s="76">
        <v>45982</v>
      </c>
      <c r="B86" s="77" t="s">
        <v>73</v>
      </c>
      <c r="C86" s="78" t="s">
        <v>251</v>
      </c>
      <c r="D86" s="77" t="s">
        <v>206</v>
      </c>
      <c r="E86" s="79">
        <v>1.1423611111111109</v>
      </c>
      <c r="F86" s="77" t="s">
        <v>100</v>
      </c>
      <c r="G86" s="80">
        <v>3</v>
      </c>
      <c r="H86" s="81" t="s">
        <v>301</v>
      </c>
    </row>
    <row r="87" spans="1:8" ht="19.8" customHeight="1" x14ac:dyDescent="0.3">
      <c r="A87" s="76">
        <v>45982</v>
      </c>
      <c r="B87" s="77" t="s">
        <v>73</v>
      </c>
      <c r="C87" s="78" t="s">
        <v>310</v>
      </c>
      <c r="D87" s="77" t="s">
        <v>206</v>
      </c>
      <c r="E87" s="79">
        <v>1.28125</v>
      </c>
      <c r="F87" s="77" t="s">
        <v>100</v>
      </c>
      <c r="G87" s="80">
        <v>9</v>
      </c>
      <c r="H87" s="81" t="s">
        <v>301</v>
      </c>
    </row>
    <row r="88" spans="1:8" ht="19.8" customHeight="1" x14ac:dyDescent="0.3">
      <c r="A88" s="76">
        <v>45982</v>
      </c>
      <c r="B88" s="77" t="s">
        <v>73</v>
      </c>
      <c r="C88" s="78" t="s">
        <v>312</v>
      </c>
      <c r="D88" s="77" t="s">
        <v>206</v>
      </c>
      <c r="E88" s="79">
        <v>1.4375</v>
      </c>
      <c r="F88" s="77" t="s">
        <v>100</v>
      </c>
      <c r="G88" s="80">
        <v>1</v>
      </c>
      <c r="H88" s="81" t="s">
        <v>301</v>
      </c>
    </row>
    <row r="89" spans="1:8" ht="19.8" customHeight="1" x14ac:dyDescent="0.3">
      <c r="A89" s="68">
        <v>45982</v>
      </c>
      <c r="B89" s="60" t="s">
        <v>26</v>
      </c>
      <c r="C89" s="61" t="s">
        <v>211</v>
      </c>
      <c r="D89" s="60" t="s">
        <v>206</v>
      </c>
      <c r="E89" s="69">
        <v>1.399305555555556</v>
      </c>
      <c r="F89" s="60" t="s">
        <v>31</v>
      </c>
      <c r="G89" s="62">
        <v>1</v>
      </c>
      <c r="H89" s="63" t="s">
        <v>215</v>
      </c>
    </row>
    <row r="90" spans="1:8" ht="19.8" customHeight="1" x14ac:dyDescent="0.3">
      <c r="A90" s="68">
        <v>45982</v>
      </c>
      <c r="B90" s="60" t="s">
        <v>26</v>
      </c>
      <c r="C90" s="61" t="s">
        <v>218</v>
      </c>
      <c r="D90" s="60" t="s">
        <v>206</v>
      </c>
      <c r="E90" s="69">
        <v>1.489583333333333</v>
      </c>
      <c r="F90" s="60" t="s">
        <v>31</v>
      </c>
      <c r="G90" s="62">
        <v>4</v>
      </c>
      <c r="H90" s="63" t="s">
        <v>215</v>
      </c>
    </row>
    <row r="91" spans="1:8" ht="19.8" customHeight="1" x14ac:dyDescent="0.3">
      <c r="A91" s="68">
        <v>45982</v>
      </c>
      <c r="B91" s="60" t="s">
        <v>26</v>
      </c>
      <c r="C91" s="61" t="s">
        <v>207</v>
      </c>
      <c r="D91" s="60" t="s">
        <v>206</v>
      </c>
      <c r="E91" s="69">
        <v>1.989583333333333</v>
      </c>
      <c r="F91" s="60" t="s">
        <v>31</v>
      </c>
      <c r="G91" s="62">
        <v>7</v>
      </c>
      <c r="H91" s="63" t="s">
        <v>215</v>
      </c>
    </row>
    <row r="92" spans="1:8" ht="19.8" customHeight="1" x14ac:dyDescent="0.3">
      <c r="A92" s="68">
        <v>45982</v>
      </c>
      <c r="B92" s="60" t="s">
        <v>36</v>
      </c>
      <c r="C92" s="61" t="s">
        <v>228</v>
      </c>
      <c r="D92" s="60" t="s">
        <v>206</v>
      </c>
      <c r="E92" s="69">
        <v>1.3472222222222221</v>
      </c>
      <c r="F92" s="60" t="s">
        <v>41</v>
      </c>
      <c r="G92" s="62">
        <v>6</v>
      </c>
      <c r="H92" s="63" t="s">
        <v>95</v>
      </c>
    </row>
    <row r="93" spans="1:8" ht="19.8" customHeight="1" x14ac:dyDescent="0.3">
      <c r="A93" s="68">
        <v>45982</v>
      </c>
      <c r="B93" s="60" t="s">
        <v>36</v>
      </c>
      <c r="C93" s="61" t="s">
        <v>234</v>
      </c>
      <c r="D93" s="60" t="s">
        <v>206</v>
      </c>
      <c r="E93" s="69">
        <v>1.4861111111111109</v>
      </c>
      <c r="F93" s="60" t="s">
        <v>41</v>
      </c>
      <c r="G93" s="62">
        <v>2</v>
      </c>
      <c r="H93" s="63" t="s">
        <v>95</v>
      </c>
    </row>
    <row r="94" spans="1:8" ht="19.8" customHeight="1" x14ac:dyDescent="0.3">
      <c r="A94" s="68">
        <v>45982</v>
      </c>
      <c r="B94" s="60" t="s">
        <v>36</v>
      </c>
      <c r="C94" s="61" t="s">
        <v>238</v>
      </c>
      <c r="D94" s="60" t="s">
        <v>206</v>
      </c>
      <c r="E94" s="69">
        <v>1.8888888888888891</v>
      </c>
      <c r="F94" s="60" t="s">
        <v>41</v>
      </c>
      <c r="G94" s="62">
        <v>2</v>
      </c>
      <c r="H94" s="63" t="s">
        <v>95</v>
      </c>
    </row>
    <row r="95" spans="1:8" ht="19.8" customHeight="1" x14ac:dyDescent="0.3">
      <c r="A95" s="68">
        <v>45982</v>
      </c>
      <c r="B95" s="60" t="s">
        <v>26</v>
      </c>
      <c r="C95" s="61" t="s">
        <v>216</v>
      </c>
      <c r="D95" s="60" t="s">
        <v>206</v>
      </c>
      <c r="E95" s="69">
        <v>1.8888888888888891</v>
      </c>
      <c r="F95" s="60" t="s">
        <v>31</v>
      </c>
      <c r="G95" s="62">
        <v>15</v>
      </c>
      <c r="H95" s="63" t="s">
        <v>222</v>
      </c>
    </row>
    <row r="96" spans="1:8" ht="19.8" customHeight="1" x14ac:dyDescent="0.3">
      <c r="A96" s="68">
        <v>45982</v>
      </c>
      <c r="B96" s="60" t="s">
        <v>266</v>
      </c>
      <c r="C96" s="61" t="s">
        <v>267</v>
      </c>
      <c r="D96" s="60" t="s">
        <v>206</v>
      </c>
      <c r="E96" s="69">
        <v>1.225694444444444</v>
      </c>
      <c r="F96" s="60" t="s">
        <v>314</v>
      </c>
      <c r="G96" s="62">
        <v>7</v>
      </c>
      <c r="H96" s="63" t="s">
        <v>315</v>
      </c>
    </row>
    <row r="97" spans="1:8" ht="19.8" customHeight="1" x14ac:dyDescent="0.3">
      <c r="A97" s="68">
        <v>45982</v>
      </c>
      <c r="B97" s="60" t="s">
        <v>266</v>
      </c>
      <c r="C97" s="61" t="s">
        <v>267</v>
      </c>
      <c r="D97" s="60" t="s">
        <v>206</v>
      </c>
      <c r="E97" s="69">
        <v>1.225694444444444</v>
      </c>
      <c r="F97" s="60" t="s">
        <v>268</v>
      </c>
      <c r="G97" s="62">
        <v>7</v>
      </c>
      <c r="H97" s="63" t="s">
        <v>315</v>
      </c>
    </row>
    <row r="98" spans="1:8" ht="19.8" customHeight="1" x14ac:dyDescent="0.3">
      <c r="A98" s="68">
        <v>45982</v>
      </c>
      <c r="B98" s="60" t="s">
        <v>36</v>
      </c>
      <c r="C98" s="61" t="s">
        <v>224</v>
      </c>
      <c r="D98" s="60" t="s">
        <v>206</v>
      </c>
      <c r="E98" s="69">
        <v>1.993055555555556</v>
      </c>
      <c r="F98" s="60" t="s">
        <v>41</v>
      </c>
      <c r="G98" s="62">
        <v>9</v>
      </c>
      <c r="H98" s="63" t="s">
        <v>33</v>
      </c>
    </row>
    <row r="99" spans="1:8" ht="19.8" customHeight="1" x14ac:dyDescent="0.3">
      <c r="A99" s="68">
        <v>45982</v>
      </c>
      <c r="B99" s="60" t="s">
        <v>36</v>
      </c>
      <c r="C99" s="61" t="s">
        <v>230</v>
      </c>
      <c r="D99" s="60" t="s">
        <v>206</v>
      </c>
      <c r="E99" s="69">
        <v>1.7361111111111109</v>
      </c>
      <c r="F99" s="60" t="s">
        <v>41</v>
      </c>
      <c r="G99" s="62">
        <v>6</v>
      </c>
      <c r="H99" s="63" t="s">
        <v>33</v>
      </c>
    </row>
    <row r="100" spans="1:8" ht="19.8" customHeight="1" x14ac:dyDescent="0.3">
      <c r="A100" s="68">
        <v>45982</v>
      </c>
      <c r="B100" s="60" t="s">
        <v>36</v>
      </c>
      <c r="C100" s="61" t="s">
        <v>232</v>
      </c>
      <c r="D100" s="60" t="s">
        <v>206</v>
      </c>
      <c r="E100" s="69">
        <v>1.836805555555556</v>
      </c>
      <c r="F100" s="60" t="s">
        <v>41</v>
      </c>
      <c r="G100" s="62">
        <v>9</v>
      </c>
      <c r="H100" s="63" t="s">
        <v>33</v>
      </c>
    </row>
    <row r="101" spans="1:8" ht="19.8" customHeight="1" x14ac:dyDescent="0.3">
      <c r="A101" s="68">
        <v>45982</v>
      </c>
      <c r="B101" s="60" t="s">
        <v>36</v>
      </c>
      <c r="C101" s="61" t="s">
        <v>226</v>
      </c>
      <c r="D101" s="60" t="s">
        <v>206</v>
      </c>
      <c r="E101" s="69">
        <v>1.944444444444444</v>
      </c>
      <c r="F101" s="60" t="s">
        <v>41</v>
      </c>
      <c r="G101" s="62">
        <v>4</v>
      </c>
      <c r="H101" s="63" t="s">
        <v>33</v>
      </c>
    </row>
    <row r="102" spans="1:8" ht="19.8" customHeight="1" x14ac:dyDescent="0.3">
      <c r="A102" s="68">
        <v>45982</v>
      </c>
      <c r="B102" s="60" t="s">
        <v>266</v>
      </c>
      <c r="C102" s="61" t="s">
        <v>317</v>
      </c>
      <c r="D102" s="60" t="s">
        <v>206</v>
      </c>
      <c r="E102" s="69">
        <v>1.8090277777777779</v>
      </c>
      <c r="F102" s="60" t="s">
        <v>314</v>
      </c>
      <c r="G102" s="62">
        <v>3</v>
      </c>
      <c r="H102" s="63" t="s">
        <v>318</v>
      </c>
    </row>
    <row r="103" spans="1:8" ht="19.8" customHeight="1" x14ac:dyDescent="0.3">
      <c r="A103" s="68">
        <v>45982</v>
      </c>
      <c r="B103" s="60" t="s">
        <v>266</v>
      </c>
      <c r="C103" s="61" t="s">
        <v>317</v>
      </c>
      <c r="D103" s="60" t="s">
        <v>206</v>
      </c>
      <c r="E103" s="69">
        <v>1.8090277777777779</v>
      </c>
      <c r="F103" s="60" t="s">
        <v>268</v>
      </c>
      <c r="G103" s="62">
        <v>3</v>
      </c>
      <c r="H103" s="63" t="s">
        <v>320</v>
      </c>
    </row>
    <row r="104" spans="1:8" ht="19.8" customHeight="1" x14ac:dyDescent="0.3">
      <c r="A104" s="68">
        <v>45982</v>
      </c>
      <c r="B104" s="60" t="s">
        <v>36</v>
      </c>
      <c r="C104" s="61" t="s">
        <v>228</v>
      </c>
      <c r="D104" s="60" t="s">
        <v>206</v>
      </c>
      <c r="E104" s="69">
        <v>1.3472222222222221</v>
      </c>
      <c r="F104" s="60" t="s">
        <v>44</v>
      </c>
      <c r="G104" s="62">
        <v>6</v>
      </c>
      <c r="H104" s="63" t="s">
        <v>225</v>
      </c>
    </row>
    <row r="105" spans="1:8" ht="19.8" customHeight="1" x14ac:dyDescent="0.3">
      <c r="A105" s="68">
        <v>45982</v>
      </c>
      <c r="B105" s="60" t="s">
        <v>36</v>
      </c>
      <c r="C105" s="61" t="s">
        <v>234</v>
      </c>
      <c r="D105" s="60" t="s">
        <v>206</v>
      </c>
      <c r="E105" s="69">
        <v>1.4861111111111109</v>
      </c>
      <c r="F105" s="60" t="s">
        <v>44</v>
      </c>
      <c r="G105" s="62">
        <v>2</v>
      </c>
      <c r="H105" s="63" t="s">
        <v>225</v>
      </c>
    </row>
    <row r="106" spans="1:8" ht="19.8" customHeight="1" x14ac:dyDescent="0.3">
      <c r="A106" s="68">
        <v>45982</v>
      </c>
      <c r="B106" s="60" t="s">
        <v>36</v>
      </c>
      <c r="C106" s="61" t="s">
        <v>238</v>
      </c>
      <c r="D106" s="60" t="s">
        <v>206</v>
      </c>
      <c r="E106" s="69">
        <v>1.8888888888888891</v>
      </c>
      <c r="F106" s="60" t="s">
        <v>44</v>
      </c>
      <c r="G106" s="62">
        <v>2</v>
      </c>
      <c r="H106" s="63" t="s">
        <v>225</v>
      </c>
    </row>
    <row r="107" spans="1:8" ht="19.8" customHeight="1" x14ac:dyDescent="0.3">
      <c r="A107" s="68">
        <v>45982</v>
      </c>
      <c r="B107" s="60" t="s">
        <v>36</v>
      </c>
      <c r="C107" s="61" t="s">
        <v>224</v>
      </c>
      <c r="D107" s="60" t="s">
        <v>206</v>
      </c>
      <c r="E107" s="69">
        <v>1.993055555555556</v>
      </c>
      <c r="F107" s="60" t="s">
        <v>44</v>
      </c>
      <c r="G107" s="62">
        <v>9</v>
      </c>
      <c r="H107" s="63" t="s">
        <v>229</v>
      </c>
    </row>
    <row r="108" spans="1:8" ht="19.8" customHeight="1" x14ac:dyDescent="0.3">
      <c r="A108" s="68">
        <v>45982</v>
      </c>
      <c r="B108" s="60" t="s">
        <v>36</v>
      </c>
      <c r="C108" s="61" t="s">
        <v>230</v>
      </c>
      <c r="D108" s="60" t="s">
        <v>206</v>
      </c>
      <c r="E108" s="69">
        <v>1.7361111111111109</v>
      </c>
      <c r="F108" s="60" t="s">
        <v>44</v>
      </c>
      <c r="G108" s="62">
        <v>6</v>
      </c>
      <c r="H108" s="63" t="s">
        <v>229</v>
      </c>
    </row>
    <row r="109" spans="1:8" ht="19.8" customHeight="1" x14ac:dyDescent="0.3">
      <c r="A109" s="68">
        <v>45982</v>
      </c>
      <c r="B109" s="60" t="s">
        <v>36</v>
      </c>
      <c r="C109" s="61" t="s">
        <v>232</v>
      </c>
      <c r="D109" s="60" t="s">
        <v>206</v>
      </c>
      <c r="E109" s="69">
        <v>1.836805555555556</v>
      </c>
      <c r="F109" s="60" t="s">
        <v>44</v>
      </c>
      <c r="G109" s="62">
        <v>9</v>
      </c>
      <c r="H109" s="63" t="s">
        <v>229</v>
      </c>
    </row>
    <row r="110" spans="1:8" ht="19.8" customHeight="1" x14ac:dyDescent="0.3">
      <c r="A110" s="68">
        <v>45982</v>
      </c>
      <c r="B110" s="60" t="s">
        <v>36</v>
      </c>
      <c r="C110" s="61" t="s">
        <v>226</v>
      </c>
      <c r="D110" s="60" t="s">
        <v>206</v>
      </c>
      <c r="E110" s="69">
        <v>1.944444444444444</v>
      </c>
      <c r="F110" s="60" t="s">
        <v>44</v>
      </c>
      <c r="G110" s="62">
        <v>4</v>
      </c>
      <c r="H110" s="63" t="s">
        <v>229</v>
      </c>
    </row>
    <row r="111" spans="1:8" ht="19.8" customHeight="1" x14ac:dyDescent="0.3">
      <c r="A111" s="68">
        <v>45982</v>
      </c>
      <c r="B111" s="60" t="s">
        <v>26</v>
      </c>
      <c r="C111" s="61" t="s">
        <v>211</v>
      </c>
      <c r="D111" s="60" t="s">
        <v>206</v>
      </c>
      <c r="E111" s="69">
        <v>1.399305555555556</v>
      </c>
      <c r="F111" s="60" t="s">
        <v>34</v>
      </c>
      <c r="G111" s="62">
        <v>1</v>
      </c>
      <c r="H111" s="63" t="s">
        <v>35</v>
      </c>
    </row>
    <row r="112" spans="1:8" ht="19.8" customHeight="1" x14ac:dyDescent="0.3">
      <c r="A112" s="68">
        <v>45982</v>
      </c>
      <c r="B112" s="60" t="s">
        <v>26</v>
      </c>
      <c r="C112" s="61" t="s">
        <v>218</v>
      </c>
      <c r="D112" s="60" t="s">
        <v>206</v>
      </c>
      <c r="E112" s="69">
        <v>1.489583333333333</v>
      </c>
      <c r="F112" s="60" t="s">
        <v>34</v>
      </c>
      <c r="G112" s="62">
        <v>4</v>
      </c>
      <c r="H112" s="63" t="s">
        <v>35</v>
      </c>
    </row>
    <row r="113" spans="1:8" ht="19.8" customHeight="1" x14ac:dyDescent="0.3">
      <c r="A113" s="68">
        <v>45982</v>
      </c>
      <c r="B113" s="60" t="s">
        <v>26</v>
      </c>
      <c r="C113" s="61" t="s">
        <v>216</v>
      </c>
      <c r="D113" s="60" t="s">
        <v>206</v>
      </c>
      <c r="E113" s="69">
        <v>1.8888888888888891</v>
      </c>
      <c r="F113" s="60" t="s">
        <v>34</v>
      </c>
      <c r="G113" s="62">
        <v>15</v>
      </c>
      <c r="H113" s="63" t="s">
        <v>35</v>
      </c>
    </row>
    <row r="114" spans="1:8" ht="19.8" customHeight="1" x14ac:dyDescent="0.3">
      <c r="A114" s="68">
        <v>45982</v>
      </c>
      <c r="B114" s="60" t="s">
        <v>26</v>
      </c>
      <c r="C114" s="61" t="s">
        <v>207</v>
      </c>
      <c r="D114" s="60" t="s">
        <v>206</v>
      </c>
      <c r="E114" s="69">
        <v>1.989583333333333</v>
      </c>
      <c r="F114" s="60" t="s">
        <v>34</v>
      </c>
      <c r="G114" s="62">
        <v>7</v>
      </c>
      <c r="H114" s="63" t="s">
        <v>35</v>
      </c>
    </row>
    <row r="115" spans="1:8" ht="19.8" customHeight="1" x14ac:dyDescent="0.3">
      <c r="A115" s="68">
        <v>45982</v>
      </c>
      <c r="B115" s="60" t="s">
        <v>68</v>
      </c>
      <c r="C115" s="61" t="s">
        <v>290</v>
      </c>
      <c r="D115" s="60" t="s">
        <v>206</v>
      </c>
      <c r="E115" s="69">
        <v>1.104166666666667</v>
      </c>
      <c r="F115" s="60" t="s">
        <v>70</v>
      </c>
      <c r="G115" s="62">
        <v>9</v>
      </c>
      <c r="H115" s="63" t="s">
        <v>322</v>
      </c>
    </row>
    <row r="116" spans="1:8" ht="19.8" customHeight="1" x14ac:dyDescent="0.3">
      <c r="A116" s="68">
        <v>45982</v>
      </c>
      <c r="B116" s="60" t="s">
        <v>68</v>
      </c>
      <c r="C116" s="61" t="s">
        <v>285</v>
      </c>
      <c r="D116" s="60" t="s">
        <v>206</v>
      </c>
      <c r="E116" s="69">
        <v>1.791666666666667</v>
      </c>
      <c r="F116" s="60" t="s">
        <v>70</v>
      </c>
      <c r="G116" s="62">
        <v>9</v>
      </c>
      <c r="H116" s="63" t="s">
        <v>322</v>
      </c>
    </row>
    <row r="117" spans="1:8" ht="19.8" customHeight="1" x14ac:dyDescent="0.3">
      <c r="A117" s="68">
        <v>45982</v>
      </c>
      <c r="B117" s="60" t="s">
        <v>68</v>
      </c>
      <c r="C117" s="61" t="s">
        <v>292</v>
      </c>
      <c r="D117" s="60" t="s">
        <v>206</v>
      </c>
      <c r="E117" s="69">
        <v>1.836805555555556</v>
      </c>
      <c r="F117" s="60" t="s">
        <v>70</v>
      </c>
      <c r="G117" s="62">
        <v>9</v>
      </c>
      <c r="H117" s="63" t="s">
        <v>323</v>
      </c>
    </row>
    <row r="118" spans="1:8" ht="19.8" customHeight="1" x14ac:dyDescent="0.3">
      <c r="A118" s="68">
        <v>45982</v>
      </c>
      <c r="B118" s="60" t="s">
        <v>68</v>
      </c>
      <c r="C118" s="61" t="s">
        <v>294</v>
      </c>
      <c r="D118" s="60" t="s">
        <v>206</v>
      </c>
      <c r="E118" s="69">
        <v>1.0486111111111109</v>
      </c>
      <c r="F118" s="60" t="s">
        <v>70</v>
      </c>
      <c r="G118" s="62">
        <v>9</v>
      </c>
      <c r="H118" s="63" t="s">
        <v>323</v>
      </c>
    </row>
    <row r="119" spans="1:8" ht="19.8" customHeight="1" x14ac:dyDescent="0.3">
      <c r="A119" s="68">
        <v>45982</v>
      </c>
      <c r="B119" s="60" t="s">
        <v>68</v>
      </c>
      <c r="C119" s="61" t="s">
        <v>324</v>
      </c>
      <c r="D119" s="60" t="s">
        <v>206</v>
      </c>
      <c r="E119" s="69">
        <v>1.333333333333333</v>
      </c>
      <c r="F119" s="60" t="s">
        <v>70</v>
      </c>
      <c r="G119" s="62">
        <v>9</v>
      </c>
      <c r="H119" s="63" t="s">
        <v>325</v>
      </c>
    </row>
    <row r="120" spans="1:8" ht="19.8" customHeight="1" x14ac:dyDescent="0.3">
      <c r="A120" s="68">
        <v>45982</v>
      </c>
      <c r="B120" s="60" t="s">
        <v>68</v>
      </c>
      <c r="C120" s="61" t="s">
        <v>291</v>
      </c>
      <c r="D120" s="60" t="s">
        <v>206</v>
      </c>
      <c r="E120" s="69">
        <v>1.618055555555556</v>
      </c>
      <c r="F120" s="60" t="s">
        <v>70</v>
      </c>
      <c r="G120" s="62">
        <v>9</v>
      </c>
      <c r="H120" s="63" t="s">
        <v>325</v>
      </c>
    </row>
    <row r="121" spans="1:8" ht="19.8" customHeight="1" x14ac:dyDescent="0.3">
      <c r="A121" s="68">
        <v>45982</v>
      </c>
      <c r="B121" s="60" t="s">
        <v>266</v>
      </c>
      <c r="C121" s="61" t="s">
        <v>267</v>
      </c>
      <c r="D121" s="60" t="s">
        <v>206</v>
      </c>
      <c r="E121" s="69">
        <v>1.225694444444444</v>
      </c>
      <c r="F121" s="60" t="s">
        <v>34</v>
      </c>
      <c r="G121" s="62">
        <v>7</v>
      </c>
      <c r="H121" s="63" t="s">
        <v>316</v>
      </c>
    </row>
    <row r="122" spans="1:8" ht="19.8" customHeight="1" x14ac:dyDescent="0.3">
      <c r="A122" s="68">
        <v>45982</v>
      </c>
      <c r="B122" s="60" t="s">
        <v>266</v>
      </c>
      <c r="C122" s="61" t="s">
        <v>317</v>
      </c>
      <c r="D122" s="60" t="s">
        <v>206</v>
      </c>
      <c r="E122" s="69">
        <v>1.8090277777777779</v>
      </c>
      <c r="F122" s="60" t="s">
        <v>34</v>
      </c>
      <c r="G122" s="62">
        <v>3</v>
      </c>
      <c r="H122" s="63" t="s">
        <v>321</v>
      </c>
    </row>
    <row r="123" spans="1:8" ht="19.8" customHeight="1" x14ac:dyDescent="0.3">
      <c r="A123" s="68">
        <v>45982</v>
      </c>
      <c r="B123" s="60" t="s">
        <v>52</v>
      </c>
      <c r="C123" s="61" t="s">
        <v>279</v>
      </c>
      <c r="D123" s="60" t="s">
        <v>206</v>
      </c>
      <c r="E123" s="69">
        <v>1.8298611111111109</v>
      </c>
      <c r="F123" s="60" t="s">
        <v>70</v>
      </c>
      <c r="G123" s="62">
        <v>9</v>
      </c>
      <c r="H123" s="63" t="s">
        <v>273</v>
      </c>
    </row>
    <row r="124" spans="1:8" ht="19.8" customHeight="1" x14ac:dyDescent="0.3">
      <c r="A124" s="68">
        <v>45982</v>
      </c>
      <c r="B124" s="60" t="s">
        <v>52</v>
      </c>
      <c r="C124" s="61" t="s">
        <v>279</v>
      </c>
      <c r="D124" s="60" t="s">
        <v>206</v>
      </c>
      <c r="E124" s="69">
        <v>1.8298611111111109</v>
      </c>
      <c r="F124" s="60" t="s">
        <v>57</v>
      </c>
      <c r="G124" s="62">
        <v>9</v>
      </c>
      <c r="H124" s="63" t="s">
        <v>273</v>
      </c>
    </row>
    <row r="125" spans="1:8" ht="19.8" customHeight="1" x14ac:dyDescent="0.3">
      <c r="A125" s="68">
        <v>45982</v>
      </c>
      <c r="B125" s="60" t="s">
        <v>52</v>
      </c>
      <c r="C125" s="61" t="s">
        <v>281</v>
      </c>
      <c r="D125" s="60" t="s">
        <v>206</v>
      </c>
      <c r="E125" s="69">
        <v>1.7222222222222221</v>
      </c>
      <c r="F125" s="60" t="s">
        <v>57</v>
      </c>
      <c r="G125" s="62">
        <v>3</v>
      </c>
      <c r="H125" s="63" t="s">
        <v>273</v>
      </c>
    </row>
    <row r="126" spans="1:8" ht="19.8" customHeight="1" x14ac:dyDescent="0.3">
      <c r="A126" s="68">
        <v>45982</v>
      </c>
      <c r="B126" s="60" t="s">
        <v>52</v>
      </c>
      <c r="C126" s="61" t="s">
        <v>282</v>
      </c>
      <c r="D126" s="60" t="s">
        <v>206</v>
      </c>
      <c r="E126" s="69">
        <v>1.118055555555556</v>
      </c>
      <c r="F126" s="60" t="s">
        <v>70</v>
      </c>
      <c r="G126" s="62">
        <v>9</v>
      </c>
      <c r="H126" s="63" t="s">
        <v>273</v>
      </c>
    </row>
    <row r="127" spans="1:8" ht="19.8" customHeight="1" x14ac:dyDescent="0.3">
      <c r="A127" s="68">
        <v>45982</v>
      </c>
      <c r="B127" s="60" t="s">
        <v>52</v>
      </c>
      <c r="C127" s="61" t="s">
        <v>282</v>
      </c>
      <c r="D127" s="60" t="s">
        <v>206</v>
      </c>
      <c r="E127" s="69">
        <v>1.118055555555556</v>
      </c>
      <c r="F127" s="60" t="s">
        <v>57</v>
      </c>
      <c r="G127" s="62">
        <v>9</v>
      </c>
      <c r="H127" s="63" t="s">
        <v>273</v>
      </c>
    </row>
    <row r="128" spans="1:8" ht="19.8" customHeight="1" x14ac:dyDescent="0.3">
      <c r="A128" s="68">
        <v>45982</v>
      </c>
      <c r="B128" s="60" t="s">
        <v>52</v>
      </c>
      <c r="C128" s="61" t="s">
        <v>283</v>
      </c>
      <c r="D128" s="60" t="s">
        <v>206</v>
      </c>
      <c r="E128" s="69">
        <v>1.7013888888888891</v>
      </c>
      <c r="F128" s="60" t="s">
        <v>57</v>
      </c>
      <c r="G128" s="62">
        <v>6</v>
      </c>
      <c r="H128" s="63" t="s">
        <v>273</v>
      </c>
    </row>
    <row r="129" spans="1:8" ht="19.8" customHeight="1" x14ac:dyDescent="0.3">
      <c r="A129" s="68">
        <v>45982</v>
      </c>
      <c r="B129" s="60" t="s">
        <v>52</v>
      </c>
      <c r="C129" s="61" t="s">
        <v>284</v>
      </c>
      <c r="D129" s="60" t="s">
        <v>206</v>
      </c>
      <c r="E129" s="69">
        <v>1.2534722222222221</v>
      </c>
      <c r="F129" s="60" t="s">
        <v>70</v>
      </c>
      <c r="G129" s="62">
        <v>9</v>
      </c>
      <c r="H129" s="63" t="s">
        <v>273</v>
      </c>
    </row>
    <row r="130" spans="1:8" ht="19.8" customHeight="1" x14ac:dyDescent="0.3">
      <c r="A130" s="68">
        <v>45982</v>
      </c>
      <c r="B130" s="60" t="s">
        <v>52</v>
      </c>
      <c r="C130" s="61" t="s">
        <v>284</v>
      </c>
      <c r="D130" s="60" t="s">
        <v>206</v>
      </c>
      <c r="E130" s="69">
        <v>1.2534722222222221</v>
      </c>
      <c r="F130" s="60" t="s">
        <v>57</v>
      </c>
      <c r="G130" s="62">
        <v>9</v>
      </c>
      <c r="H130" s="63" t="s">
        <v>273</v>
      </c>
    </row>
    <row r="131" spans="1:8" ht="19.8" customHeight="1" x14ac:dyDescent="0.3">
      <c r="A131" s="68">
        <v>45982</v>
      </c>
      <c r="B131" s="60" t="s">
        <v>52</v>
      </c>
      <c r="C131" s="61" t="s">
        <v>326</v>
      </c>
      <c r="D131" s="60" t="s">
        <v>206</v>
      </c>
      <c r="E131" s="69">
        <v>1.041666666666667</v>
      </c>
      <c r="F131" s="60" t="s">
        <v>70</v>
      </c>
      <c r="G131" s="62">
        <v>9</v>
      </c>
      <c r="H131" s="63" t="s">
        <v>273</v>
      </c>
    </row>
    <row r="132" spans="1:8" ht="19.8" customHeight="1" x14ac:dyDescent="0.3">
      <c r="A132" s="68">
        <v>45982</v>
      </c>
      <c r="B132" s="60" t="s">
        <v>52</v>
      </c>
      <c r="C132" s="61" t="s">
        <v>326</v>
      </c>
      <c r="D132" s="60" t="s">
        <v>206</v>
      </c>
      <c r="E132" s="69">
        <v>1.041666666666667</v>
      </c>
      <c r="F132" s="60" t="s">
        <v>57</v>
      </c>
      <c r="G132" s="62">
        <v>9</v>
      </c>
      <c r="H132" s="63" t="s">
        <v>273</v>
      </c>
    </row>
    <row r="133" spans="1:8" ht="19.8" customHeight="1" x14ac:dyDescent="0.3">
      <c r="A133" s="68">
        <v>45982</v>
      </c>
      <c r="B133" s="60" t="s">
        <v>52</v>
      </c>
      <c r="C133" s="61" t="s">
        <v>272</v>
      </c>
      <c r="D133" s="60" t="s">
        <v>206</v>
      </c>
      <c r="E133" s="69">
        <v>1.9409722222222221</v>
      </c>
      <c r="F133" s="60" t="s">
        <v>57</v>
      </c>
      <c r="G133" s="62">
        <v>9</v>
      </c>
      <c r="H133" s="63" t="s">
        <v>273</v>
      </c>
    </row>
    <row r="134" spans="1:8" ht="19.8" customHeight="1" x14ac:dyDescent="0.3">
      <c r="A134" s="68">
        <v>45982</v>
      </c>
      <c r="B134" s="60" t="s">
        <v>52</v>
      </c>
      <c r="C134" s="61" t="s">
        <v>274</v>
      </c>
      <c r="D134" s="60" t="s">
        <v>206</v>
      </c>
      <c r="E134" s="69">
        <v>1.989583333333333</v>
      </c>
      <c r="F134" s="60" t="s">
        <v>70</v>
      </c>
      <c r="G134" s="62">
        <v>4</v>
      </c>
      <c r="H134" s="63" t="s">
        <v>275</v>
      </c>
    </row>
    <row r="135" spans="1:8" ht="19.8" customHeight="1" x14ac:dyDescent="0.3">
      <c r="A135" s="68">
        <v>45982</v>
      </c>
      <c r="B135" s="60" t="s">
        <v>52</v>
      </c>
      <c r="C135" s="61" t="s">
        <v>274</v>
      </c>
      <c r="D135" s="60" t="s">
        <v>206</v>
      </c>
      <c r="E135" s="69">
        <v>1.989583333333333</v>
      </c>
      <c r="F135" s="60" t="s">
        <v>57</v>
      </c>
      <c r="G135" s="62">
        <v>4</v>
      </c>
      <c r="H135" s="63" t="s">
        <v>275</v>
      </c>
    </row>
    <row r="136" spans="1:8" ht="19.8" customHeight="1" x14ac:dyDescent="0.3">
      <c r="A136" s="68">
        <v>45982</v>
      </c>
      <c r="B136" s="60" t="s">
        <v>52</v>
      </c>
      <c r="C136" s="61" t="s">
        <v>276</v>
      </c>
      <c r="D136" s="60" t="s">
        <v>206</v>
      </c>
      <c r="E136" s="69">
        <v>1.399305555555556</v>
      </c>
      <c r="F136" s="60" t="s">
        <v>57</v>
      </c>
      <c r="G136" s="62">
        <v>4</v>
      </c>
      <c r="H136" s="63" t="s">
        <v>275</v>
      </c>
    </row>
    <row r="137" spans="1:8" ht="19.8" customHeight="1" x14ac:dyDescent="0.3">
      <c r="A137" s="68">
        <v>45982</v>
      </c>
      <c r="B137" s="60" t="s">
        <v>52</v>
      </c>
      <c r="C137" s="61" t="s">
        <v>277</v>
      </c>
      <c r="D137" s="60" t="s">
        <v>206</v>
      </c>
      <c r="E137" s="69">
        <v>1.489583333333333</v>
      </c>
      <c r="F137" s="60" t="s">
        <v>57</v>
      </c>
      <c r="G137" s="62">
        <v>4</v>
      </c>
      <c r="H137" s="63" t="s">
        <v>275</v>
      </c>
    </row>
    <row r="138" spans="1:8" ht="19.8" customHeight="1" x14ac:dyDescent="0.3">
      <c r="A138" s="68">
        <v>45982</v>
      </c>
      <c r="B138" s="60" t="s">
        <v>52</v>
      </c>
      <c r="C138" s="61" t="s">
        <v>278</v>
      </c>
      <c r="D138" s="60" t="s">
        <v>206</v>
      </c>
      <c r="E138" s="69">
        <v>1.8888888888888891</v>
      </c>
      <c r="F138" s="60" t="s">
        <v>70</v>
      </c>
      <c r="G138" s="62">
        <v>4</v>
      </c>
      <c r="H138" s="63" t="s">
        <v>275</v>
      </c>
    </row>
    <row r="139" spans="1:8" ht="19.8" customHeight="1" x14ac:dyDescent="0.3">
      <c r="A139" s="68">
        <v>45982</v>
      </c>
      <c r="B139" s="60" t="s">
        <v>52</v>
      </c>
      <c r="C139" s="61" t="s">
        <v>278</v>
      </c>
      <c r="D139" s="60" t="s">
        <v>206</v>
      </c>
      <c r="E139" s="69">
        <v>1.8888888888888891</v>
      </c>
      <c r="F139" s="60" t="s">
        <v>57</v>
      </c>
      <c r="G139" s="62">
        <v>4</v>
      </c>
      <c r="H139" s="63" t="s">
        <v>275</v>
      </c>
    </row>
    <row r="140" spans="1:8" ht="19.8" customHeight="1" x14ac:dyDescent="0.3">
      <c r="A140" s="68">
        <v>45982</v>
      </c>
      <c r="B140" s="60" t="s">
        <v>52</v>
      </c>
      <c r="C140" s="61" t="s">
        <v>327</v>
      </c>
      <c r="D140" s="60" t="s">
        <v>206</v>
      </c>
      <c r="E140" s="69">
        <v>1.489583333333333</v>
      </c>
      <c r="F140" s="60" t="s">
        <v>70</v>
      </c>
      <c r="G140" s="62">
        <v>2</v>
      </c>
      <c r="H140" s="63" t="s">
        <v>280</v>
      </c>
    </row>
    <row r="141" spans="1:8" ht="19.8" customHeight="1" x14ac:dyDescent="0.3">
      <c r="A141" s="70">
        <v>45982</v>
      </c>
      <c r="B141" s="71" t="s">
        <v>52</v>
      </c>
      <c r="C141" s="72" t="s">
        <v>327</v>
      </c>
      <c r="D141" s="71" t="s">
        <v>206</v>
      </c>
      <c r="E141" s="73">
        <v>1.489583333333333</v>
      </c>
      <c r="F141" s="71" t="s">
        <v>57</v>
      </c>
      <c r="G141" s="74">
        <v>2</v>
      </c>
      <c r="H141" s="75" t="s">
        <v>280</v>
      </c>
    </row>
    <row r="142" spans="1:8" ht="19.8" customHeight="1" x14ac:dyDescent="0.3">
      <c r="A142" s="68">
        <v>45983</v>
      </c>
      <c r="B142" s="60" t="s">
        <v>26</v>
      </c>
      <c r="C142" s="61" t="s">
        <v>211</v>
      </c>
      <c r="D142" s="60" t="s">
        <v>206</v>
      </c>
      <c r="E142" s="69">
        <v>1.399305555555556</v>
      </c>
      <c r="F142" s="60" t="s">
        <v>28</v>
      </c>
      <c r="G142" s="62">
        <v>7</v>
      </c>
      <c r="H142" s="63" t="s">
        <v>220</v>
      </c>
    </row>
    <row r="143" spans="1:8" ht="19.8" customHeight="1" x14ac:dyDescent="0.3">
      <c r="A143" s="68">
        <v>45983</v>
      </c>
      <c r="B143" s="60" t="s">
        <v>26</v>
      </c>
      <c r="C143" s="61" t="s">
        <v>218</v>
      </c>
      <c r="D143" s="60" t="s">
        <v>206</v>
      </c>
      <c r="E143" s="69">
        <v>1.489583333333333</v>
      </c>
      <c r="F143" s="60" t="s">
        <v>28</v>
      </c>
      <c r="G143" s="62">
        <v>3</v>
      </c>
      <c r="H143" s="63" t="s">
        <v>220</v>
      </c>
    </row>
    <row r="144" spans="1:8" ht="19.8" customHeight="1" x14ac:dyDescent="0.3">
      <c r="A144" s="76">
        <v>45983</v>
      </c>
      <c r="B144" s="77" t="s">
        <v>73</v>
      </c>
      <c r="C144" s="78" t="s">
        <v>256</v>
      </c>
      <c r="D144" s="77" t="s">
        <v>206</v>
      </c>
      <c r="E144" s="79">
        <v>1.90625</v>
      </c>
      <c r="F144" s="77" t="s">
        <v>100</v>
      </c>
      <c r="G144" s="80">
        <v>1</v>
      </c>
      <c r="H144" s="81" t="s">
        <v>332</v>
      </c>
    </row>
    <row r="145" spans="1:8" ht="19.8" customHeight="1" x14ac:dyDescent="0.3">
      <c r="A145" s="76">
        <v>45983</v>
      </c>
      <c r="B145" s="77" t="s">
        <v>73</v>
      </c>
      <c r="C145" s="78" t="s">
        <v>247</v>
      </c>
      <c r="D145" s="77" t="s">
        <v>206</v>
      </c>
      <c r="E145" s="79">
        <v>1.0486111111111109</v>
      </c>
      <c r="F145" s="77" t="s">
        <v>100</v>
      </c>
      <c r="G145" s="80">
        <v>1</v>
      </c>
      <c r="H145" s="81" t="s">
        <v>332</v>
      </c>
    </row>
    <row r="146" spans="1:8" ht="19.8" customHeight="1" x14ac:dyDescent="0.3">
      <c r="A146" s="68">
        <v>45983</v>
      </c>
      <c r="B146" s="60" t="s">
        <v>26</v>
      </c>
      <c r="C146" s="61" t="s">
        <v>216</v>
      </c>
      <c r="D146" s="60" t="s">
        <v>206</v>
      </c>
      <c r="E146" s="69">
        <v>1.8888888888888891</v>
      </c>
      <c r="F146" s="60" t="s">
        <v>28</v>
      </c>
      <c r="G146" s="62">
        <v>10</v>
      </c>
      <c r="H146" s="63" t="s">
        <v>329</v>
      </c>
    </row>
    <row r="147" spans="1:8" ht="19.8" customHeight="1" x14ac:dyDescent="0.3">
      <c r="A147" s="68">
        <v>45983</v>
      </c>
      <c r="B147" s="60" t="s">
        <v>26</v>
      </c>
      <c r="C147" s="61" t="s">
        <v>207</v>
      </c>
      <c r="D147" s="60" t="s">
        <v>206</v>
      </c>
      <c r="E147" s="69">
        <v>1.989583333333333</v>
      </c>
      <c r="F147" s="60" t="s">
        <v>28</v>
      </c>
      <c r="G147" s="62">
        <v>10</v>
      </c>
      <c r="H147" s="63" t="s">
        <v>329</v>
      </c>
    </row>
    <row r="148" spans="1:8" ht="19.8" customHeight="1" x14ac:dyDescent="0.3">
      <c r="A148" s="68">
        <v>45983</v>
      </c>
      <c r="B148" s="60" t="s">
        <v>36</v>
      </c>
      <c r="C148" s="61" t="s">
        <v>228</v>
      </c>
      <c r="D148" s="60" t="s">
        <v>206</v>
      </c>
      <c r="E148" s="69">
        <v>1.3472222222222221</v>
      </c>
      <c r="F148" s="60" t="s">
        <v>38</v>
      </c>
      <c r="G148" s="62">
        <v>1</v>
      </c>
      <c r="H148" s="63" t="s">
        <v>210</v>
      </c>
    </row>
    <row r="149" spans="1:8" ht="19.8" customHeight="1" x14ac:dyDescent="0.3">
      <c r="A149" s="68">
        <v>45983</v>
      </c>
      <c r="B149" s="60" t="s">
        <v>36</v>
      </c>
      <c r="C149" s="61" t="s">
        <v>224</v>
      </c>
      <c r="D149" s="60" t="s">
        <v>206</v>
      </c>
      <c r="E149" s="69">
        <v>1.993055555555556</v>
      </c>
      <c r="F149" s="60" t="s">
        <v>38</v>
      </c>
      <c r="G149" s="62">
        <v>1</v>
      </c>
      <c r="H149" s="63" t="s">
        <v>210</v>
      </c>
    </row>
    <row r="150" spans="1:8" ht="19.8" customHeight="1" x14ac:dyDescent="0.3">
      <c r="A150" s="68">
        <v>45983</v>
      </c>
      <c r="B150" s="60" t="s">
        <v>36</v>
      </c>
      <c r="C150" s="61" t="s">
        <v>226</v>
      </c>
      <c r="D150" s="60" t="s">
        <v>206</v>
      </c>
      <c r="E150" s="69">
        <v>1.944444444444444</v>
      </c>
      <c r="F150" s="60" t="s">
        <v>38</v>
      </c>
      <c r="G150" s="62">
        <v>9</v>
      </c>
      <c r="H150" s="63" t="s">
        <v>210</v>
      </c>
    </row>
    <row r="151" spans="1:8" ht="19.8" customHeight="1" x14ac:dyDescent="0.3">
      <c r="A151" s="68">
        <v>45983</v>
      </c>
      <c r="B151" s="60" t="s">
        <v>36</v>
      </c>
      <c r="C151" s="61" t="s">
        <v>234</v>
      </c>
      <c r="D151" s="60" t="s">
        <v>206</v>
      </c>
      <c r="E151" s="69">
        <v>1.4861111111111109</v>
      </c>
      <c r="F151" s="60" t="s">
        <v>38</v>
      </c>
      <c r="G151" s="62">
        <v>9</v>
      </c>
      <c r="H151" s="63" t="s">
        <v>210</v>
      </c>
    </row>
    <row r="152" spans="1:8" ht="19.8" customHeight="1" x14ac:dyDescent="0.3">
      <c r="A152" s="68">
        <v>45983</v>
      </c>
      <c r="B152" s="60" t="s">
        <v>36</v>
      </c>
      <c r="C152" s="61" t="s">
        <v>238</v>
      </c>
      <c r="D152" s="60" t="s">
        <v>206</v>
      </c>
      <c r="E152" s="69">
        <v>1.8888888888888891</v>
      </c>
      <c r="F152" s="60" t="s">
        <v>38</v>
      </c>
      <c r="G152" s="62">
        <v>6</v>
      </c>
      <c r="H152" s="63" t="s">
        <v>210</v>
      </c>
    </row>
    <row r="153" spans="1:8" ht="19.8" customHeight="1" x14ac:dyDescent="0.3">
      <c r="A153" s="68">
        <v>45983</v>
      </c>
      <c r="B153" s="60" t="s">
        <v>239</v>
      </c>
      <c r="C153" s="61" t="s">
        <v>240</v>
      </c>
      <c r="D153" s="60" t="s">
        <v>206</v>
      </c>
      <c r="E153" s="69">
        <v>1.493055555555556</v>
      </c>
      <c r="F153" s="60" t="s">
        <v>100</v>
      </c>
      <c r="G153" s="62">
        <v>1</v>
      </c>
      <c r="H153" s="63" t="s">
        <v>241</v>
      </c>
    </row>
    <row r="154" spans="1:8" ht="19.8" customHeight="1" x14ac:dyDescent="0.3">
      <c r="A154" s="76">
        <v>45983</v>
      </c>
      <c r="B154" s="77" t="s">
        <v>73</v>
      </c>
      <c r="C154" s="78" t="s">
        <v>251</v>
      </c>
      <c r="D154" s="77" t="s">
        <v>206</v>
      </c>
      <c r="E154" s="79">
        <v>1.15625</v>
      </c>
      <c r="F154" s="77" t="s">
        <v>100</v>
      </c>
      <c r="G154" s="80">
        <v>2</v>
      </c>
      <c r="H154" s="81" t="s">
        <v>301</v>
      </c>
    </row>
    <row r="155" spans="1:8" ht="19.8" customHeight="1" x14ac:dyDescent="0.3">
      <c r="A155" s="68">
        <v>45983</v>
      </c>
      <c r="B155" s="60" t="s">
        <v>266</v>
      </c>
      <c r="C155" s="61" t="s">
        <v>267</v>
      </c>
      <c r="D155" s="60" t="s">
        <v>206</v>
      </c>
      <c r="E155" s="69">
        <v>1.1284722222222221</v>
      </c>
      <c r="F155" s="60" t="s">
        <v>268</v>
      </c>
      <c r="G155" s="62">
        <v>4</v>
      </c>
      <c r="H155" s="63" t="s">
        <v>343</v>
      </c>
    </row>
    <row r="156" spans="1:8" ht="19.8" customHeight="1" x14ac:dyDescent="0.3">
      <c r="A156" s="68">
        <v>45983</v>
      </c>
      <c r="B156" s="60" t="s">
        <v>26</v>
      </c>
      <c r="C156" s="61" t="s">
        <v>211</v>
      </c>
      <c r="D156" s="60" t="s">
        <v>206</v>
      </c>
      <c r="E156" s="69">
        <v>1.399305555555556</v>
      </c>
      <c r="F156" s="60" t="s">
        <v>31</v>
      </c>
      <c r="G156" s="62">
        <v>7</v>
      </c>
      <c r="H156" s="63" t="s">
        <v>222</v>
      </c>
    </row>
    <row r="157" spans="1:8" ht="19.8" customHeight="1" x14ac:dyDescent="0.3">
      <c r="A157" s="68">
        <v>45983</v>
      </c>
      <c r="B157" s="60" t="s">
        <v>26</v>
      </c>
      <c r="C157" s="61" t="s">
        <v>218</v>
      </c>
      <c r="D157" s="60" t="s">
        <v>206</v>
      </c>
      <c r="E157" s="69">
        <v>1.489583333333333</v>
      </c>
      <c r="F157" s="60" t="s">
        <v>31</v>
      </c>
      <c r="G157" s="62">
        <v>3</v>
      </c>
      <c r="H157" s="63" t="s">
        <v>222</v>
      </c>
    </row>
    <row r="158" spans="1:8" ht="19.8" customHeight="1" x14ac:dyDescent="0.3">
      <c r="A158" s="68">
        <v>45983</v>
      </c>
      <c r="B158" s="60" t="s">
        <v>36</v>
      </c>
      <c r="C158" s="61" t="s">
        <v>230</v>
      </c>
      <c r="D158" s="60" t="s">
        <v>206</v>
      </c>
      <c r="E158" s="69">
        <v>1.75</v>
      </c>
      <c r="F158" s="60" t="s">
        <v>38</v>
      </c>
      <c r="G158" s="62">
        <v>6</v>
      </c>
      <c r="H158" s="63" t="s">
        <v>340</v>
      </c>
    </row>
    <row r="159" spans="1:8" ht="19.8" customHeight="1" x14ac:dyDescent="0.3">
      <c r="A159" s="68">
        <v>45983</v>
      </c>
      <c r="B159" s="60" t="s">
        <v>36</v>
      </c>
      <c r="C159" s="61" t="s">
        <v>232</v>
      </c>
      <c r="D159" s="60" t="s">
        <v>206</v>
      </c>
      <c r="E159" s="69">
        <v>1.836805555555556</v>
      </c>
      <c r="F159" s="60" t="s">
        <v>38</v>
      </c>
      <c r="G159" s="62">
        <v>9</v>
      </c>
      <c r="H159" s="63" t="s">
        <v>340</v>
      </c>
    </row>
    <row r="160" spans="1:8" ht="19.8" customHeight="1" x14ac:dyDescent="0.3">
      <c r="A160" s="68">
        <v>45983</v>
      </c>
      <c r="B160" s="60" t="s">
        <v>266</v>
      </c>
      <c r="C160" s="61" t="s">
        <v>345</v>
      </c>
      <c r="D160" s="60" t="s">
        <v>206</v>
      </c>
      <c r="E160" s="69">
        <v>1.055555555555556</v>
      </c>
      <c r="F160" s="60" t="s">
        <v>268</v>
      </c>
      <c r="G160" s="62">
        <v>6</v>
      </c>
      <c r="H160" s="63" t="s">
        <v>315</v>
      </c>
    </row>
    <row r="161" spans="1:8" ht="19.8" customHeight="1" x14ac:dyDescent="0.3">
      <c r="A161" s="68">
        <v>45983</v>
      </c>
      <c r="B161" s="60" t="s">
        <v>36</v>
      </c>
      <c r="C161" s="61" t="s">
        <v>228</v>
      </c>
      <c r="D161" s="60" t="s">
        <v>206</v>
      </c>
      <c r="E161" s="69">
        <v>1.3472222222222221</v>
      </c>
      <c r="F161" s="60" t="s">
        <v>41</v>
      </c>
      <c r="G161" s="62">
        <v>1</v>
      </c>
      <c r="H161" s="63" t="s">
        <v>33</v>
      </c>
    </row>
    <row r="162" spans="1:8" ht="19.8" customHeight="1" x14ac:dyDescent="0.3">
      <c r="A162" s="68">
        <v>45983</v>
      </c>
      <c r="B162" s="60" t="s">
        <v>36</v>
      </c>
      <c r="C162" s="61" t="s">
        <v>224</v>
      </c>
      <c r="D162" s="60" t="s">
        <v>206</v>
      </c>
      <c r="E162" s="69">
        <v>1.993055555555556</v>
      </c>
      <c r="F162" s="60" t="s">
        <v>41</v>
      </c>
      <c r="G162" s="62">
        <v>1</v>
      </c>
      <c r="H162" s="63" t="s">
        <v>33</v>
      </c>
    </row>
    <row r="163" spans="1:8" ht="19.8" customHeight="1" x14ac:dyDescent="0.3">
      <c r="A163" s="68">
        <v>45983</v>
      </c>
      <c r="B163" s="60" t="s">
        <v>36</v>
      </c>
      <c r="C163" s="61" t="s">
        <v>226</v>
      </c>
      <c r="D163" s="60" t="s">
        <v>206</v>
      </c>
      <c r="E163" s="69">
        <v>1.944444444444444</v>
      </c>
      <c r="F163" s="60" t="s">
        <v>41</v>
      </c>
      <c r="G163" s="62">
        <v>9</v>
      </c>
      <c r="H163" s="63" t="s">
        <v>33</v>
      </c>
    </row>
    <row r="164" spans="1:8" ht="19.8" customHeight="1" x14ac:dyDescent="0.3">
      <c r="A164" s="68">
        <v>45983</v>
      </c>
      <c r="B164" s="60" t="s">
        <v>36</v>
      </c>
      <c r="C164" s="61" t="s">
        <v>234</v>
      </c>
      <c r="D164" s="60" t="s">
        <v>206</v>
      </c>
      <c r="E164" s="69">
        <v>1.4861111111111109</v>
      </c>
      <c r="F164" s="60" t="s">
        <v>41</v>
      </c>
      <c r="G164" s="62">
        <v>9</v>
      </c>
      <c r="H164" s="63" t="s">
        <v>33</v>
      </c>
    </row>
    <row r="165" spans="1:8" ht="19.8" customHeight="1" x14ac:dyDescent="0.3">
      <c r="A165" s="68">
        <v>45983</v>
      </c>
      <c r="B165" s="60" t="s">
        <v>36</v>
      </c>
      <c r="C165" s="61" t="s">
        <v>238</v>
      </c>
      <c r="D165" s="60" t="s">
        <v>206</v>
      </c>
      <c r="E165" s="69">
        <v>1.8888888888888891</v>
      </c>
      <c r="F165" s="60" t="s">
        <v>41</v>
      </c>
      <c r="G165" s="62">
        <v>6</v>
      </c>
      <c r="H165" s="63" t="s">
        <v>33</v>
      </c>
    </row>
    <row r="166" spans="1:8" ht="19.8" customHeight="1" x14ac:dyDescent="0.3">
      <c r="A166" s="68">
        <v>45983</v>
      </c>
      <c r="B166" s="60" t="s">
        <v>26</v>
      </c>
      <c r="C166" s="61" t="s">
        <v>216</v>
      </c>
      <c r="D166" s="60" t="s">
        <v>206</v>
      </c>
      <c r="E166" s="69">
        <v>1.8888888888888891</v>
      </c>
      <c r="F166" s="60" t="s">
        <v>31</v>
      </c>
      <c r="G166" s="62">
        <v>10</v>
      </c>
      <c r="H166" s="63" t="s">
        <v>331</v>
      </c>
    </row>
    <row r="167" spans="1:8" ht="19.8" customHeight="1" x14ac:dyDescent="0.3">
      <c r="A167" s="68">
        <v>45983</v>
      </c>
      <c r="B167" s="60" t="s">
        <v>26</v>
      </c>
      <c r="C167" s="61" t="s">
        <v>207</v>
      </c>
      <c r="D167" s="60" t="s">
        <v>206</v>
      </c>
      <c r="E167" s="69">
        <v>1.989583333333333</v>
      </c>
      <c r="F167" s="60" t="s">
        <v>31</v>
      </c>
      <c r="G167" s="62">
        <v>10</v>
      </c>
      <c r="H167" s="63" t="s">
        <v>331</v>
      </c>
    </row>
    <row r="168" spans="1:8" ht="19.8" customHeight="1" x14ac:dyDescent="0.3">
      <c r="A168" s="68">
        <v>45983</v>
      </c>
      <c r="B168" s="60" t="s">
        <v>36</v>
      </c>
      <c r="C168" s="61" t="s">
        <v>230</v>
      </c>
      <c r="D168" s="60" t="s">
        <v>206</v>
      </c>
      <c r="E168" s="69">
        <v>1.75</v>
      </c>
      <c r="F168" s="60" t="s">
        <v>41</v>
      </c>
      <c r="G168" s="62">
        <v>6</v>
      </c>
      <c r="H168" s="63" t="s">
        <v>341</v>
      </c>
    </row>
    <row r="169" spans="1:8" ht="19.8" customHeight="1" x14ac:dyDescent="0.3">
      <c r="A169" s="68">
        <v>45983</v>
      </c>
      <c r="B169" s="60" t="s">
        <v>36</v>
      </c>
      <c r="C169" s="61" t="s">
        <v>232</v>
      </c>
      <c r="D169" s="60" t="s">
        <v>206</v>
      </c>
      <c r="E169" s="69">
        <v>1.836805555555556</v>
      </c>
      <c r="F169" s="60" t="s">
        <v>41</v>
      </c>
      <c r="G169" s="62">
        <v>9</v>
      </c>
      <c r="H169" s="63" t="s">
        <v>341</v>
      </c>
    </row>
    <row r="170" spans="1:8" ht="19.8" customHeight="1" x14ac:dyDescent="0.3">
      <c r="A170" s="68">
        <v>45983</v>
      </c>
      <c r="B170" s="60" t="s">
        <v>36</v>
      </c>
      <c r="C170" s="61" t="s">
        <v>228</v>
      </c>
      <c r="D170" s="60" t="s">
        <v>206</v>
      </c>
      <c r="E170" s="69">
        <v>1.3472222222222221</v>
      </c>
      <c r="F170" s="60" t="s">
        <v>44</v>
      </c>
      <c r="G170" s="62">
        <v>1</v>
      </c>
      <c r="H170" s="63" t="s">
        <v>229</v>
      </c>
    </row>
    <row r="171" spans="1:8" ht="19.8" customHeight="1" x14ac:dyDescent="0.3">
      <c r="A171" s="68">
        <v>45983</v>
      </c>
      <c r="B171" s="60" t="s">
        <v>36</v>
      </c>
      <c r="C171" s="61" t="s">
        <v>224</v>
      </c>
      <c r="D171" s="60" t="s">
        <v>206</v>
      </c>
      <c r="E171" s="69">
        <v>1.993055555555556</v>
      </c>
      <c r="F171" s="60" t="s">
        <v>44</v>
      </c>
      <c r="G171" s="62">
        <v>1</v>
      </c>
      <c r="H171" s="63" t="s">
        <v>229</v>
      </c>
    </row>
    <row r="172" spans="1:8" ht="19.8" customHeight="1" x14ac:dyDescent="0.3">
      <c r="A172" s="68">
        <v>45983</v>
      </c>
      <c r="B172" s="60" t="s">
        <v>36</v>
      </c>
      <c r="C172" s="61" t="s">
        <v>226</v>
      </c>
      <c r="D172" s="60" t="s">
        <v>206</v>
      </c>
      <c r="E172" s="69">
        <v>1.944444444444444</v>
      </c>
      <c r="F172" s="60" t="s">
        <v>44</v>
      </c>
      <c r="G172" s="62">
        <v>9</v>
      </c>
      <c r="H172" s="63" t="s">
        <v>229</v>
      </c>
    </row>
    <row r="173" spans="1:8" ht="19.8" customHeight="1" x14ac:dyDescent="0.3">
      <c r="A173" s="68">
        <v>45983</v>
      </c>
      <c r="B173" s="60" t="s">
        <v>36</v>
      </c>
      <c r="C173" s="61" t="s">
        <v>234</v>
      </c>
      <c r="D173" s="60" t="s">
        <v>206</v>
      </c>
      <c r="E173" s="69">
        <v>1.4861111111111109</v>
      </c>
      <c r="F173" s="60" t="s">
        <v>44</v>
      </c>
      <c r="G173" s="62">
        <v>9</v>
      </c>
      <c r="H173" s="63" t="s">
        <v>229</v>
      </c>
    </row>
    <row r="174" spans="1:8" ht="19.8" customHeight="1" x14ac:dyDescent="0.3">
      <c r="A174" s="68">
        <v>45983</v>
      </c>
      <c r="B174" s="60" t="s">
        <v>36</v>
      </c>
      <c r="C174" s="61" t="s">
        <v>238</v>
      </c>
      <c r="D174" s="60" t="s">
        <v>206</v>
      </c>
      <c r="E174" s="69">
        <v>1.8888888888888891</v>
      </c>
      <c r="F174" s="60" t="s">
        <v>44</v>
      </c>
      <c r="G174" s="62">
        <v>6</v>
      </c>
      <c r="H174" s="63" t="s">
        <v>229</v>
      </c>
    </row>
    <row r="175" spans="1:8" ht="19.8" customHeight="1" x14ac:dyDescent="0.3">
      <c r="A175" s="68">
        <v>45983</v>
      </c>
      <c r="B175" s="60" t="s">
        <v>26</v>
      </c>
      <c r="C175" s="61" t="s">
        <v>211</v>
      </c>
      <c r="D175" s="60" t="s">
        <v>206</v>
      </c>
      <c r="E175" s="69">
        <v>1.399305555555556</v>
      </c>
      <c r="F175" s="60" t="s">
        <v>34</v>
      </c>
      <c r="G175" s="62">
        <v>7</v>
      </c>
      <c r="H175" s="63" t="s">
        <v>35</v>
      </c>
    </row>
    <row r="176" spans="1:8" ht="19.8" customHeight="1" x14ac:dyDescent="0.3">
      <c r="A176" s="68">
        <v>45983</v>
      </c>
      <c r="B176" s="60" t="s">
        <v>26</v>
      </c>
      <c r="C176" s="61" t="s">
        <v>218</v>
      </c>
      <c r="D176" s="60" t="s">
        <v>206</v>
      </c>
      <c r="E176" s="69">
        <v>1.489583333333333</v>
      </c>
      <c r="F176" s="60" t="s">
        <v>34</v>
      </c>
      <c r="G176" s="62">
        <v>3</v>
      </c>
      <c r="H176" s="63" t="s">
        <v>35</v>
      </c>
    </row>
    <row r="177" spans="1:8" ht="19.8" customHeight="1" x14ac:dyDescent="0.3">
      <c r="A177" s="68">
        <v>45983</v>
      </c>
      <c r="B177" s="60" t="s">
        <v>26</v>
      </c>
      <c r="C177" s="61" t="s">
        <v>207</v>
      </c>
      <c r="D177" s="60" t="s">
        <v>206</v>
      </c>
      <c r="E177" s="69">
        <v>1.989583333333333</v>
      </c>
      <c r="F177" s="60" t="s">
        <v>34</v>
      </c>
      <c r="G177" s="62">
        <v>10</v>
      </c>
      <c r="H177" s="63" t="s">
        <v>35</v>
      </c>
    </row>
    <row r="178" spans="1:8" ht="19.8" customHeight="1" x14ac:dyDescent="0.3">
      <c r="A178" s="68">
        <v>45983</v>
      </c>
      <c r="B178" s="60" t="s">
        <v>68</v>
      </c>
      <c r="C178" s="61" t="s">
        <v>346</v>
      </c>
      <c r="D178" s="60" t="s">
        <v>206</v>
      </c>
      <c r="E178" s="69">
        <v>1.368055555555556</v>
      </c>
      <c r="F178" s="60" t="s">
        <v>70</v>
      </c>
      <c r="G178" s="62">
        <v>9</v>
      </c>
      <c r="H178" s="63" t="s">
        <v>322</v>
      </c>
    </row>
    <row r="179" spans="1:8" ht="19.8" customHeight="1" x14ac:dyDescent="0.3">
      <c r="A179" s="68">
        <v>45983</v>
      </c>
      <c r="B179" s="60" t="s">
        <v>68</v>
      </c>
      <c r="C179" s="61" t="s">
        <v>285</v>
      </c>
      <c r="D179" s="60" t="s">
        <v>206</v>
      </c>
      <c r="E179" s="69">
        <v>1.7847222222222221</v>
      </c>
      <c r="F179" s="60" t="s">
        <v>70</v>
      </c>
      <c r="G179" s="62">
        <v>9</v>
      </c>
      <c r="H179" s="63" t="s">
        <v>322</v>
      </c>
    </row>
    <row r="180" spans="1:8" ht="19.8" customHeight="1" x14ac:dyDescent="0.3">
      <c r="A180" s="68">
        <v>45983</v>
      </c>
      <c r="B180" s="60" t="s">
        <v>68</v>
      </c>
      <c r="C180" s="61" t="s">
        <v>294</v>
      </c>
      <c r="D180" s="60" t="s">
        <v>206</v>
      </c>
      <c r="E180" s="69">
        <v>1.0486111111111109</v>
      </c>
      <c r="F180" s="60" t="s">
        <v>70</v>
      </c>
      <c r="G180" s="62">
        <v>9</v>
      </c>
      <c r="H180" s="63" t="s">
        <v>322</v>
      </c>
    </row>
    <row r="181" spans="1:8" ht="19.8" customHeight="1" x14ac:dyDescent="0.3">
      <c r="A181" s="68">
        <v>45983</v>
      </c>
      <c r="B181" s="60" t="s">
        <v>68</v>
      </c>
      <c r="C181" s="61" t="s">
        <v>292</v>
      </c>
      <c r="D181" s="60" t="s">
        <v>206</v>
      </c>
      <c r="E181" s="69">
        <v>1.836805555555556</v>
      </c>
      <c r="F181" s="60" t="s">
        <v>70</v>
      </c>
      <c r="G181" s="62">
        <v>9</v>
      </c>
      <c r="H181" s="63" t="s">
        <v>323</v>
      </c>
    </row>
    <row r="182" spans="1:8" ht="19.8" customHeight="1" x14ac:dyDescent="0.3">
      <c r="A182" s="68">
        <v>45983</v>
      </c>
      <c r="B182" s="60" t="s">
        <v>36</v>
      </c>
      <c r="C182" s="61" t="s">
        <v>230</v>
      </c>
      <c r="D182" s="60" t="s">
        <v>206</v>
      </c>
      <c r="E182" s="69">
        <v>1.75</v>
      </c>
      <c r="F182" s="60" t="s">
        <v>44</v>
      </c>
      <c r="G182" s="62">
        <v>6</v>
      </c>
      <c r="H182" s="63" t="s">
        <v>342</v>
      </c>
    </row>
    <row r="183" spans="1:8" ht="19.8" customHeight="1" x14ac:dyDescent="0.3">
      <c r="A183" s="68">
        <v>45983</v>
      </c>
      <c r="B183" s="60" t="s">
        <v>36</v>
      </c>
      <c r="C183" s="61" t="s">
        <v>232</v>
      </c>
      <c r="D183" s="60" t="s">
        <v>206</v>
      </c>
      <c r="E183" s="69">
        <v>1.836805555555556</v>
      </c>
      <c r="F183" s="60" t="s">
        <v>44</v>
      </c>
      <c r="G183" s="62">
        <v>9</v>
      </c>
      <c r="H183" s="63" t="s">
        <v>342</v>
      </c>
    </row>
    <row r="184" spans="1:8" ht="19.8" customHeight="1" x14ac:dyDescent="0.3">
      <c r="A184" s="68">
        <v>45983</v>
      </c>
      <c r="B184" s="60" t="s">
        <v>266</v>
      </c>
      <c r="C184" s="61" t="s">
        <v>267</v>
      </c>
      <c r="D184" s="60" t="s">
        <v>206</v>
      </c>
      <c r="E184" s="69">
        <v>1.1284722222222221</v>
      </c>
      <c r="F184" s="60" t="s">
        <v>34</v>
      </c>
      <c r="G184" s="62">
        <v>4</v>
      </c>
      <c r="H184" s="63" t="s">
        <v>344</v>
      </c>
    </row>
    <row r="185" spans="1:8" ht="19.8" customHeight="1" x14ac:dyDescent="0.3">
      <c r="A185" s="68">
        <v>45983</v>
      </c>
      <c r="B185" s="60" t="s">
        <v>68</v>
      </c>
      <c r="C185" s="61" t="s">
        <v>291</v>
      </c>
      <c r="D185" s="60" t="s">
        <v>206</v>
      </c>
      <c r="E185" s="69">
        <v>1.5972222222222221</v>
      </c>
      <c r="F185" s="60" t="s">
        <v>70</v>
      </c>
      <c r="G185" s="62">
        <v>9</v>
      </c>
      <c r="H185" s="63" t="s">
        <v>325</v>
      </c>
    </row>
    <row r="186" spans="1:8" ht="19.8" customHeight="1" x14ac:dyDescent="0.3">
      <c r="A186" s="68">
        <v>45983</v>
      </c>
      <c r="B186" s="60" t="s">
        <v>266</v>
      </c>
      <c r="C186" s="61" t="s">
        <v>345</v>
      </c>
      <c r="D186" s="60" t="s">
        <v>206</v>
      </c>
      <c r="E186" s="69">
        <v>1.055555555555556</v>
      </c>
      <c r="F186" s="60" t="s">
        <v>34</v>
      </c>
      <c r="G186" s="62">
        <v>6</v>
      </c>
      <c r="H186" s="63" t="s">
        <v>316</v>
      </c>
    </row>
    <row r="187" spans="1:8" ht="19.8" customHeight="1" x14ac:dyDescent="0.3">
      <c r="A187" s="68">
        <v>45983</v>
      </c>
      <c r="B187" s="60" t="s">
        <v>52</v>
      </c>
      <c r="C187" s="61" t="s">
        <v>327</v>
      </c>
      <c r="D187" s="60" t="s">
        <v>206</v>
      </c>
      <c r="E187" s="69">
        <v>1.489583333333333</v>
      </c>
      <c r="F187" s="60" t="s">
        <v>57</v>
      </c>
      <c r="G187" s="62">
        <v>3</v>
      </c>
      <c r="H187" s="63" t="s">
        <v>273</v>
      </c>
    </row>
    <row r="188" spans="1:8" ht="19.8" customHeight="1" x14ac:dyDescent="0.3">
      <c r="A188" s="68">
        <v>45983</v>
      </c>
      <c r="B188" s="60" t="s">
        <v>52</v>
      </c>
      <c r="C188" s="61" t="s">
        <v>282</v>
      </c>
      <c r="D188" s="60" t="s">
        <v>206</v>
      </c>
      <c r="E188" s="69">
        <v>1.118055555555556</v>
      </c>
      <c r="F188" s="60" t="s">
        <v>57</v>
      </c>
      <c r="G188" s="62">
        <v>2</v>
      </c>
      <c r="H188" s="63" t="s">
        <v>273</v>
      </c>
    </row>
    <row r="189" spans="1:8" ht="19.8" customHeight="1" x14ac:dyDescent="0.3">
      <c r="A189" s="68">
        <v>45983</v>
      </c>
      <c r="B189" s="60" t="s">
        <v>52</v>
      </c>
      <c r="C189" s="61" t="s">
        <v>283</v>
      </c>
      <c r="D189" s="60" t="s">
        <v>206</v>
      </c>
      <c r="E189" s="69">
        <v>1.7048611111111109</v>
      </c>
      <c r="F189" s="60" t="s">
        <v>57</v>
      </c>
      <c r="G189" s="62">
        <v>2</v>
      </c>
      <c r="H189" s="63" t="s">
        <v>273</v>
      </c>
    </row>
    <row r="190" spans="1:8" ht="19.8" customHeight="1" x14ac:dyDescent="0.3">
      <c r="A190" s="68">
        <v>45983</v>
      </c>
      <c r="B190" s="60" t="s">
        <v>52</v>
      </c>
      <c r="C190" s="61" t="s">
        <v>284</v>
      </c>
      <c r="D190" s="60" t="s">
        <v>206</v>
      </c>
      <c r="E190" s="69">
        <v>1.2534722222222221</v>
      </c>
      <c r="F190" s="60" t="s">
        <v>57</v>
      </c>
      <c r="G190" s="62">
        <v>9</v>
      </c>
      <c r="H190" s="63" t="s">
        <v>273</v>
      </c>
    </row>
    <row r="191" spans="1:8" ht="19.8" customHeight="1" x14ac:dyDescent="0.3">
      <c r="A191" s="68">
        <v>45983</v>
      </c>
      <c r="B191" s="60" t="s">
        <v>52</v>
      </c>
      <c r="C191" s="61" t="s">
        <v>272</v>
      </c>
      <c r="D191" s="60" t="s">
        <v>206</v>
      </c>
      <c r="E191" s="69">
        <v>1.9409722222222221</v>
      </c>
      <c r="F191" s="60" t="s">
        <v>57</v>
      </c>
      <c r="G191" s="62">
        <v>8</v>
      </c>
      <c r="H191" s="63" t="s">
        <v>273</v>
      </c>
    </row>
    <row r="192" spans="1:8" ht="19.8" customHeight="1" x14ac:dyDescent="0.3">
      <c r="A192" s="68">
        <v>45983</v>
      </c>
      <c r="B192" s="60" t="s">
        <v>68</v>
      </c>
      <c r="C192" s="61" t="s">
        <v>290</v>
      </c>
      <c r="D192" s="60" t="s">
        <v>206</v>
      </c>
      <c r="E192" s="69">
        <v>1.104166666666667</v>
      </c>
      <c r="F192" s="60" t="s">
        <v>70</v>
      </c>
      <c r="G192" s="62">
        <v>9</v>
      </c>
      <c r="H192" s="63" t="s">
        <v>286</v>
      </c>
    </row>
    <row r="193" spans="1:8" ht="19.8" customHeight="1" x14ac:dyDescent="0.3">
      <c r="A193" s="68">
        <v>45983</v>
      </c>
      <c r="B193" s="60" t="s">
        <v>52</v>
      </c>
      <c r="C193" s="61" t="s">
        <v>276</v>
      </c>
      <c r="D193" s="60" t="s">
        <v>206</v>
      </c>
      <c r="E193" s="69">
        <v>1.399305555555556</v>
      </c>
      <c r="F193" s="60" t="s">
        <v>57</v>
      </c>
      <c r="G193" s="62">
        <v>4</v>
      </c>
      <c r="H193" s="63" t="s">
        <v>275</v>
      </c>
    </row>
    <row r="194" spans="1:8" ht="19.8" customHeight="1" x14ac:dyDescent="0.3">
      <c r="A194" s="68">
        <v>45983</v>
      </c>
      <c r="B194" s="60" t="s">
        <v>26</v>
      </c>
      <c r="C194" s="61" t="s">
        <v>216</v>
      </c>
      <c r="D194" s="60" t="s">
        <v>206</v>
      </c>
      <c r="E194" s="69">
        <v>1.8888888888888891</v>
      </c>
      <c r="F194" s="60" t="s">
        <v>34</v>
      </c>
      <c r="G194" s="62">
        <v>10</v>
      </c>
      <c r="H194" s="63" t="s">
        <v>223</v>
      </c>
    </row>
    <row r="195" spans="1:8" ht="19.8" customHeight="1" x14ac:dyDescent="0.3">
      <c r="A195" s="68">
        <v>45983</v>
      </c>
      <c r="B195" s="60" t="s">
        <v>52</v>
      </c>
      <c r="C195" s="61" t="s">
        <v>279</v>
      </c>
      <c r="D195" s="60" t="s">
        <v>206</v>
      </c>
      <c r="E195" s="69">
        <v>1.8298611111111109</v>
      </c>
      <c r="F195" s="60" t="s">
        <v>57</v>
      </c>
      <c r="G195" s="62">
        <v>9</v>
      </c>
      <c r="H195" s="63" t="s">
        <v>348</v>
      </c>
    </row>
    <row r="196" spans="1:8" ht="19.8" customHeight="1" x14ac:dyDescent="0.3">
      <c r="A196" s="68">
        <v>45983</v>
      </c>
      <c r="B196" s="60" t="s">
        <v>52</v>
      </c>
      <c r="C196" s="61" t="s">
        <v>274</v>
      </c>
      <c r="D196" s="60" t="s">
        <v>206</v>
      </c>
      <c r="E196" s="69">
        <v>1.989583333333333</v>
      </c>
      <c r="F196" s="60" t="s">
        <v>57</v>
      </c>
      <c r="G196" s="62">
        <v>4</v>
      </c>
      <c r="H196" s="63" t="s">
        <v>349</v>
      </c>
    </row>
    <row r="197" spans="1:8" ht="19.8" customHeight="1" x14ac:dyDescent="0.3">
      <c r="A197" s="68">
        <v>45983</v>
      </c>
      <c r="B197" s="60" t="s">
        <v>52</v>
      </c>
      <c r="C197" s="61" t="s">
        <v>277</v>
      </c>
      <c r="D197" s="60" t="s">
        <v>206</v>
      </c>
      <c r="E197" s="69">
        <v>1.489583333333333</v>
      </c>
      <c r="F197" s="60" t="s">
        <v>57</v>
      </c>
      <c r="G197" s="62">
        <v>4</v>
      </c>
      <c r="H197" s="63" t="s">
        <v>349</v>
      </c>
    </row>
    <row r="198" spans="1:8" ht="19.8" customHeight="1" x14ac:dyDescent="0.3">
      <c r="A198" s="68">
        <v>45983</v>
      </c>
      <c r="B198" s="60" t="s">
        <v>52</v>
      </c>
      <c r="C198" s="61" t="s">
        <v>278</v>
      </c>
      <c r="D198" s="60" t="s">
        <v>206</v>
      </c>
      <c r="E198" s="69">
        <v>1.8888888888888891</v>
      </c>
      <c r="F198" s="60" t="s">
        <v>57</v>
      </c>
      <c r="G198" s="62">
        <v>4</v>
      </c>
      <c r="H198" s="63" t="s">
        <v>349</v>
      </c>
    </row>
    <row r="199" spans="1:8" ht="19.8" customHeight="1" x14ac:dyDescent="0.3">
      <c r="A199" s="68">
        <v>45983</v>
      </c>
      <c r="B199" s="60" t="s">
        <v>68</v>
      </c>
      <c r="C199" s="61" t="s">
        <v>287</v>
      </c>
      <c r="D199" s="60" t="s">
        <v>206</v>
      </c>
      <c r="E199" s="69">
        <v>1.9722222222222221</v>
      </c>
      <c r="F199" s="60" t="s">
        <v>70</v>
      </c>
      <c r="G199" s="62">
        <v>9</v>
      </c>
      <c r="H199" s="63" t="s">
        <v>347</v>
      </c>
    </row>
    <row r="200" spans="1:8" ht="19.8" customHeight="1" x14ac:dyDescent="0.3">
      <c r="A200" s="68">
        <v>45983</v>
      </c>
      <c r="B200" s="60" t="s">
        <v>68</v>
      </c>
      <c r="C200" s="61" t="s">
        <v>324</v>
      </c>
      <c r="D200" s="60" t="s">
        <v>206</v>
      </c>
      <c r="E200" s="69">
        <v>1.3125</v>
      </c>
      <c r="F200" s="60" t="s">
        <v>70</v>
      </c>
      <c r="G200" s="62">
        <v>7</v>
      </c>
      <c r="H200" s="63" t="s">
        <v>289</v>
      </c>
    </row>
    <row r="201" spans="1:8" ht="19.8" customHeight="1" x14ac:dyDescent="0.3">
      <c r="A201" s="68">
        <v>45983</v>
      </c>
      <c r="B201" s="60" t="s">
        <v>52</v>
      </c>
      <c r="C201" s="61" t="s">
        <v>281</v>
      </c>
      <c r="D201" s="60" t="s">
        <v>206</v>
      </c>
      <c r="E201" s="69">
        <v>1.7222222222222221</v>
      </c>
      <c r="F201" s="60" t="s">
        <v>57</v>
      </c>
      <c r="G201" s="62">
        <v>1</v>
      </c>
      <c r="H201" s="63" t="s">
        <v>350</v>
      </c>
    </row>
    <row r="202" spans="1:8" ht="19.8" customHeight="1" x14ac:dyDescent="0.3">
      <c r="A202" s="82">
        <v>45983</v>
      </c>
      <c r="B202" s="65" t="s">
        <v>73</v>
      </c>
      <c r="C202" s="66" t="s">
        <v>261</v>
      </c>
      <c r="D202" s="65" t="s">
        <v>206</v>
      </c>
      <c r="E202" s="83">
        <v>1.5034722222222221</v>
      </c>
      <c r="F202" s="65" t="s">
        <v>75</v>
      </c>
      <c r="G202" s="65"/>
      <c r="H202" s="67" t="s">
        <v>76</v>
      </c>
    </row>
  </sheetData>
  <pageMargins left="0.75" right="0.75" top="1" bottom="1" header="0.5" footer="0.5"/>
  <legacy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198.332031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26</v>
      </c>
      <c r="C2" s="61" t="s">
        <v>218</v>
      </c>
      <c r="D2" s="60" t="s">
        <v>206</v>
      </c>
      <c r="E2" s="60" t="s">
        <v>432</v>
      </c>
      <c r="F2" s="60" t="s">
        <v>31</v>
      </c>
      <c r="G2" s="62">
        <v>17</v>
      </c>
      <c r="H2" s="63" t="s">
        <v>222</v>
      </c>
    </row>
    <row r="3" spans="1:8" ht="19.8" customHeight="1" x14ac:dyDescent="0.3">
      <c r="A3" s="99" t="s">
        <v>152</v>
      </c>
      <c r="B3" s="77" t="s">
        <v>73</v>
      </c>
      <c r="C3" s="78" t="s">
        <v>242</v>
      </c>
      <c r="D3" s="77" t="s">
        <v>206</v>
      </c>
      <c r="E3" s="77" t="s">
        <v>363</v>
      </c>
      <c r="F3" s="77" t="s">
        <v>100</v>
      </c>
      <c r="G3" s="80">
        <v>6</v>
      </c>
      <c r="H3" s="81" t="s">
        <v>243</v>
      </c>
    </row>
    <row r="4" spans="1:8" ht="19.8" customHeight="1" x14ac:dyDescent="0.3">
      <c r="A4" s="76">
        <v>45981</v>
      </c>
      <c r="B4" s="77" t="s">
        <v>73</v>
      </c>
      <c r="C4" s="78" t="s">
        <v>247</v>
      </c>
      <c r="D4" s="77" t="s">
        <v>206</v>
      </c>
      <c r="E4" s="79">
        <v>1.0659722222222221</v>
      </c>
      <c r="F4" s="77" t="s">
        <v>100</v>
      </c>
      <c r="G4" s="80">
        <v>5</v>
      </c>
      <c r="H4" s="81" t="s">
        <v>243</v>
      </c>
    </row>
    <row r="5" spans="1:8" ht="19.8" customHeight="1" x14ac:dyDescent="0.3">
      <c r="A5" s="76">
        <v>45981</v>
      </c>
      <c r="B5" s="77" t="s">
        <v>73</v>
      </c>
      <c r="C5" s="78" t="s">
        <v>251</v>
      </c>
      <c r="D5" s="77" t="s">
        <v>206</v>
      </c>
      <c r="E5" s="79">
        <v>1.15625</v>
      </c>
      <c r="F5" s="77" t="s">
        <v>100</v>
      </c>
      <c r="G5" s="80">
        <v>3</v>
      </c>
      <c r="H5" s="81" t="s">
        <v>243</v>
      </c>
    </row>
    <row r="6" spans="1:8" ht="19.8" customHeight="1" x14ac:dyDescent="0.3">
      <c r="A6" s="76">
        <v>45981</v>
      </c>
      <c r="B6" s="77" t="s">
        <v>73</v>
      </c>
      <c r="C6" s="78" t="s">
        <v>256</v>
      </c>
      <c r="D6" s="77" t="s">
        <v>206</v>
      </c>
      <c r="E6" s="79">
        <v>1.9375</v>
      </c>
      <c r="F6" s="77" t="s">
        <v>100</v>
      </c>
      <c r="G6" s="80">
        <v>9</v>
      </c>
      <c r="H6" s="81" t="s">
        <v>257</v>
      </c>
    </row>
    <row r="7" spans="1:8" ht="19.8" customHeight="1" x14ac:dyDescent="0.3">
      <c r="A7" s="68">
        <v>45981</v>
      </c>
      <c r="B7" s="60" t="s">
        <v>266</v>
      </c>
      <c r="C7" s="61" t="s">
        <v>267</v>
      </c>
      <c r="D7" s="60" t="s">
        <v>206</v>
      </c>
      <c r="E7" s="69">
        <v>1.1701388888888891</v>
      </c>
      <c r="F7" s="60" t="s">
        <v>268</v>
      </c>
      <c r="G7" s="62">
        <v>5</v>
      </c>
      <c r="H7" s="63" t="s">
        <v>270</v>
      </c>
    </row>
    <row r="8" spans="1:8" ht="19.8" customHeight="1" x14ac:dyDescent="0.3">
      <c r="A8" s="76">
        <v>45981</v>
      </c>
      <c r="B8" s="77" t="s">
        <v>73</v>
      </c>
      <c r="C8" s="78" t="s">
        <v>261</v>
      </c>
      <c r="D8" s="77" t="s">
        <v>206</v>
      </c>
      <c r="E8" s="79">
        <v>1.40625</v>
      </c>
      <c r="F8" s="77" t="s">
        <v>75</v>
      </c>
      <c r="G8" s="77"/>
      <c r="H8" s="81" t="s">
        <v>76</v>
      </c>
    </row>
    <row r="9" spans="1:8" ht="19.8" customHeight="1" x14ac:dyDescent="0.3">
      <c r="A9" s="82">
        <v>45981</v>
      </c>
      <c r="B9" s="65" t="s">
        <v>73</v>
      </c>
      <c r="C9" s="66" t="s">
        <v>264</v>
      </c>
      <c r="D9" s="65" t="s">
        <v>206</v>
      </c>
      <c r="E9" s="83">
        <v>1.5625</v>
      </c>
      <c r="F9" s="65" t="s">
        <v>75</v>
      </c>
      <c r="G9" s="65"/>
      <c r="H9" s="67" t="s">
        <v>76</v>
      </c>
    </row>
    <row r="10" spans="1:8" ht="19.8" customHeight="1" x14ac:dyDescent="0.3">
      <c r="A10" s="76">
        <v>45982</v>
      </c>
      <c r="B10" s="77" t="s">
        <v>73</v>
      </c>
      <c r="C10" s="78" t="s">
        <v>300</v>
      </c>
      <c r="D10" s="77" t="s">
        <v>206</v>
      </c>
      <c r="E10" s="79">
        <v>1.760416666666667</v>
      </c>
      <c r="F10" s="77" t="s">
        <v>100</v>
      </c>
      <c r="G10" s="80">
        <v>9</v>
      </c>
      <c r="H10" s="81" t="s">
        <v>301</v>
      </c>
    </row>
    <row r="11" spans="1:8" ht="19.8" customHeight="1" x14ac:dyDescent="0.3">
      <c r="A11" s="76">
        <v>45982</v>
      </c>
      <c r="B11" s="77" t="s">
        <v>73</v>
      </c>
      <c r="C11" s="78" t="s">
        <v>305</v>
      </c>
      <c r="D11" s="77" t="s">
        <v>206</v>
      </c>
      <c r="E11" s="79">
        <v>1.5590277777777779</v>
      </c>
      <c r="F11" s="77" t="s">
        <v>100</v>
      </c>
      <c r="G11" s="80">
        <v>1</v>
      </c>
      <c r="H11" s="81" t="s">
        <v>301</v>
      </c>
    </row>
    <row r="12" spans="1:8" ht="19.8" customHeight="1" x14ac:dyDescent="0.3">
      <c r="A12" s="76">
        <v>45982</v>
      </c>
      <c r="B12" s="77" t="s">
        <v>73</v>
      </c>
      <c r="C12" s="78" t="s">
        <v>251</v>
      </c>
      <c r="D12" s="77" t="s">
        <v>206</v>
      </c>
      <c r="E12" s="79">
        <v>1.1423611111111109</v>
      </c>
      <c r="F12" s="77" t="s">
        <v>100</v>
      </c>
      <c r="G12" s="80">
        <v>3</v>
      </c>
      <c r="H12" s="81" t="s">
        <v>301</v>
      </c>
    </row>
    <row r="13" spans="1:8" ht="19.8" customHeight="1" x14ac:dyDescent="0.3">
      <c r="A13" s="76">
        <v>45982</v>
      </c>
      <c r="B13" s="77" t="s">
        <v>73</v>
      </c>
      <c r="C13" s="78" t="s">
        <v>310</v>
      </c>
      <c r="D13" s="77" t="s">
        <v>206</v>
      </c>
      <c r="E13" s="79">
        <v>1.28125</v>
      </c>
      <c r="F13" s="77" t="s">
        <v>100</v>
      </c>
      <c r="G13" s="80">
        <v>9</v>
      </c>
      <c r="H13" s="81" t="s">
        <v>301</v>
      </c>
    </row>
    <row r="14" spans="1:8" ht="19.8" customHeight="1" x14ac:dyDescent="0.3">
      <c r="A14" s="82">
        <v>45982</v>
      </c>
      <c r="B14" s="65" t="s">
        <v>73</v>
      </c>
      <c r="C14" s="66" t="s">
        <v>312</v>
      </c>
      <c r="D14" s="65" t="s">
        <v>206</v>
      </c>
      <c r="E14" s="83">
        <v>1.4375</v>
      </c>
      <c r="F14" s="65" t="s">
        <v>100</v>
      </c>
      <c r="G14" s="84">
        <v>1</v>
      </c>
      <c r="H14" s="67" t="s">
        <v>301</v>
      </c>
    </row>
    <row r="15" spans="1:8" ht="19.8" customHeight="1" x14ac:dyDescent="0.3">
      <c r="A15" s="76">
        <v>45983</v>
      </c>
      <c r="B15" s="77" t="s">
        <v>73</v>
      </c>
      <c r="C15" s="78" t="s">
        <v>256</v>
      </c>
      <c r="D15" s="77" t="s">
        <v>206</v>
      </c>
      <c r="E15" s="79">
        <v>1.90625</v>
      </c>
      <c r="F15" s="77" t="s">
        <v>100</v>
      </c>
      <c r="G15" s="80">
        <v>1</v>
      </c>
      <c r="H15" s="81" t="s">
        <v>332</v>
      </c>
    </row>
    <row r="16" spans="1:8" ht="19.8" customHeight="1" x14ac:dyDescent="0.3">
      <c r="A16" s="76">
        <v>45983</v>
      </c>
      <c r="B16" s="77" t="s">
        <v>73</v>
      </c>
      <c r="C16" s="78" t="s">
        <v>247</v>
      </c>
      <c r="D16" s="77" t="s">
        <v>206</v>
      </c>
      <c r="E16" s="79">
        <v>1.0486111111111109</v>
      </c>
      <c r="F16" s="77" t="s">
        <v>100</v>
      </c>
      <c r="G16" s="80">
        <v>1</v>
      </c>
      <c r="H16" s="81" t="s">
        <v>332</v>
      </c>
    </row>
    <row r="17" spans="1:8" ht="19.8" customHeight="1" x14ac:dyDescent="0.3">
      <c r="A17" s="76">
        <v>45983</v>
      </c>
      <c r="B17" s="77" t="s">
        <v>73</v>
      </c>
      <c r="C17" s="78" t="s">
        <v>251</v>
      </c>
      <c r="D17" s="77" t="s">
        <v>206</v>
      </c>
      <c r="E17" s="79">
        <v>1.15625</v>
      </c>
      <c r="F17" s="77" t="s">
        <v>100</v>
      </c>
      <c r="G17" s="80">
        <v>2</v>
      </c>
      <c r="H17" s="81" t="s">
        <v>301</v>
      </c>
    </row>
    <row r="18" spans="1:8" ht="19.8" customHeight="1" x14ac:dyDescent="0.3">
      <c r="A18" s="82">
        <v>45983</v>
      </c>
      <c r="B18" s="65" t="s">
        <v>73</v>
      </c>
      <c r="C18" s="66" t="s">
        <v>261</v>
      </c>
      <c r="D18" s="65" t="s">
        <v>206</v>
      </c>
      <c r="E18" s="83">
        <v>1.5034722222222221</v>
      </c>
      <c r="F18" s="65" t="s">
        <v>75</v>
      </c>
      <c r="G18" s="65"/>
      <c r="H18" s="67" t="s">
        <v>76</v>
      </c>
    </row>
  </sheetData>
  <pageMargins left="0.75" right="0.75" top="1" bottom="1" header="0.5" footer="0.5"/>
  <legacy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68"/>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0" bestFit="1" customWidth="1"/>
  </cols>
  <sheetData>
    <row r="1" spans="1:92" ht="28.8" customHeight="1" x14ac:dyDescent="0.3">
      <c r="A1" s="261" t="s">
        <v>0</v>
      </c>
      <c r="B1" s="254"/>
      <c r="C1" s="254"/>
      <c r="D1" s="254"/>
      <c r="E1" s="254"/>
      <c r="F1" s="1" t="s">
        <v>441</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45980.430417045784</v>
      </c>
      <c r="H2" s="254"/>
      <c r="I2" s="254"/>
      <c r="J2" s="254"/>
      <c r="K2" s="263">
        <v>45980.430417046067</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45981</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266</v>
      </c>
      <c r="B6" s="8" t="s">
        <v>442</v>
      </c>
      <c r="C6" s="9">
        <v>0.3611111111111111</v>
      </c>
      <c r="D6" s="8" t="s">
        <v>443</v>
      </c>
      <c r="E6" s="8" t="s">
        <v>298</v>
      </c>
      <c r="F6" s="8" t="s">
        <v>444</v>
      </c>
      <c r="G6" s="265"/>
      <c r="H6" s="10"/>
      <c r="I6" s="11"/>
      <c r="J6" s="11"/>
      <c r="K6" s="11"/>
      <c r="L6" s="11"/>
      <c r="M6" s="11"/>
      <c r="N6" s="11"/>
      <c r="O6" s="12"/>
      <c r="P6" s="11"/>
      <c r="Q6" s="13"/>
      <c r="R6" s="14"/>
    </row>
    <row r="7" spans="1:92" ht="15" customHeight="1" x14ac:dyDescent="0.3">
      <c r="A7" s="15" t="s">
        <v>266</v>
      </c>
      <c r="B7" s="15" t="s">
        <v>442</v>
      </c>
      <c r="C7" s="16">
        <v>0.3611111111111111</v>
      </c>
      <c r="D7" s="15" t="s">
        <v>445</v>
      </c>
      <c r="E7" s="15" t="s">
        <v>96</v>
      </c>
      <c r="F7" s="15" t="s">
        <v>446</v>
      </c>
      <c r="G7" s="257"/>
      <c r="H7" s="10"/>
      <c r="I7" s="11"/>
      <c r="J7" s="11"/>
      <c r="K7" s="11"/>
      <c r="L7" s="11"/>
      <c r="M7" s="11"/>
      <c r="N7" s="11"/>
      <c r="O7" s="12"/>
      <c r="P7" s="11"/>
      <c r="Q7" s="13"/>
      <c r="R7" s="14"/>
    </row>
    <row r="8" spans="1:92" ht="15" customHeight="1" x14ac:dyDescent="0.3">
      <c r="A8" s="15" t="s">
        <v>266</v>
      </c>
      <c r="B8" s="15" t="s">
        <v>442</v>
      </c>
      <c r="C8" s="16">
        <v>0.3611111111111111</v>
      </c>
      <c r="D8" s="15" t="s">
        <v>34</v>
      </c>
      <c r="E8" s="15" t="s">
        <v>96</v>
      </c>
      <c r="F8" s="15" t="s">
        <v>447</v>
      </c>
      <c r="G8" s="257"/>
      <c r="H8" s="10"/>
      <c r="I8" s="11"/>
      <c r="J8" s="11"/>
      <c r="K8" s="11"/>
      <c r="L8" s="11"/>
      <c r="M8" s="11"/>
      <c r="N8" s="11"/>
      <c r="O8" s="12"/>
      <c r="P8" s="11"/>
      <c r="Q8" s="13"/>
      <c r="R8" s="14"/>
    </row>
    <row r="9" spans="1:92" ht="15" customHeight="1" x14ac:dyDescent="0.3">
      <c r="A9" s="17" t="s">
        <v>52</v>
      </c>
      <c r="B9" s="17" t="s">
        <v>448</v>
      </c>
      <c r="C9" s="18">
        <v>0.4513888888888889</v>
      </c>
      <c r="D9" s="17" t="s">
        <v>57</v>
      </c>
      <c r="E9" s="17" t="s">
        <v>80</v>
      </c>
      <c r="F9" s="17" t="s">
        <v>449</v>
      </c>
      <c r="G9" s="257"/>
      <c r="H9" s="10"/>
      <c r="I9" s="11"/>
      <c r="J9" s="11"/>
      <c r="K9" s="11"/>
      <c r="L9" s="11"/>
      <c r="M9" s="11"/>
      <c r="N9" s="11"/>
      <c r="O9" s="12"/>
      <c r="P9" s="11"/>
      <c r="Q9" s="13"/>
      <c r="R9" s="14"/>
    </row>
    <row r="10" spans="1:92" ht="15" customHeight="1" x14ac:dyDescent="0.3">
      <c r="A10" s="19" t="s">
        <v>52</v>
      </c>
      <c r="B10" s="19" t="s">
        <v>450</v>
      </c>
      <c r="C10" s="20">
        <v>0.81944444444444453</v>
      </c>
      <c r="D10" s="19" t="s">
        <v>57</v>
      </c>
      <c r="E10" s="19" t="s">
        <v>233</v>
      </c>
      <c r="F10" s="19" t="s">
        <v>449</v>
      </c>
      <c r="G10" s="257"/>
      <c r="H10" s="10"/>
      <c r="I10" s="11"/>
      <c r="J10" s="11"/>
      <c r="K10" s="11"/>
      <c r="L10" s="11"/>
      <c r="M10" s="11"/>
      <c r="N10" s="11"/>
      <c r="O10" s="12"/>
      <c r="P10" s="11"/>
      <c r="Q10" s="13"/>
      <c r="R10" s="14"/>
    </row>
    <row r="11" spans="1:92" ht="15" customHeight="1" x14ac:dyDescent="0.3">
      <c r="A11" s="114" t="s">
        <v>73</v>
      </c>
      <c r="B11" s="114" t="s">
        <v>451</v>
      </c>
      <c r="C11" s="115">
        <v>8.6805555555555566E-2</v>
      </c>
      <c r="D11" s="114" t="s">
        <v>75</v>
      </c>
      <c r="E11" s="177"/>
      <c r="F11" s="114" t="s">
        <v>76</v>
      </c>
      <c r="G11" s="257"/>
      <c r="H11" s="116" t="s">
        <v>451</v>
      </c>
      <c r="I11" s="117">
        <v>1</v>
      </c>
      <c r="J11" s="118">
        <v>180</v>
      </c>
      <c r="K11" s="119" t="s">
        <v>103</v>
      </c>
      <c r="L11" s="118">
        <v>18</v>
      </c>
      <c r="M11" s="118">
        <v>0</v>
      </c>
      <c r="N11" s="118">
        <v>2</v>
      </c>
      <c r="O11" s="120" t="s">
        <v>78</v>
      </c>
      <c r="P11" s="121">
        <v>8.6805555555555566E-2</v>
      </c>
      <c r="Q11" s="118">
        <v>180</v>
      </c>
      <c r="R11" s="122" t="s">
        <v>452</v>
      </c>
    </row>
    <row r="12" spans="1:92" ht="18" x14ac:dyDescent="0.3">
      <c r="A12" s="268" t="s">
        <v>453</v>
      </c>
      <c r="B12" s="269"/>
      <c r="C12" s="269"/>
      <c r="D12" s="269"/>
      <c r="E12" s="269"/>
      <c r="F12" s="270"/>
      <c r="G12" s="257"/>
      <c r="H12" s="94"/>
      <c r="I12" s="94"/>
      <c r="J12" s="94"/>
      <c r="K12" s="94"/>
      <c r="L12" s="94"/>
      <c r="M12" s="94"/>
      <c r="N12" s="94"/>
      <c r="O12" s="95"/>
      <c r="P12" s="94"/>
      <c r="Q12" s="55"/>
      <c r="R12" s="55"/>
    </row>
    <row r="13" spans="1:92" ht="15" customHeight="1" x14ac:dyDescent="0.3">
      <c r="A13" s="19" t="s">
        <v>26</v>
      </c>
      <c r="B13" s="19" t="s">
        <v>207</v>
      </c>
      <c r="C13" s="20" t="s">
        <v>429</v>
      </c>
      <c r="D13" s="19" t="s">
        <v>28</v>
      </c>
      <c r="E13" s="19" t="s">
        <v>454</v>
      </c>
      <c r="F13" s="19" t="s">
        <v>208</v>
      </c>
      <c r="G13" s="257"/>
      <c r="H13" s="94"/>
      <c r="I13" s="94"/>
      <c r="J13" s="94"/>
      <c r="K13" s="94"/>
      <c r="L13" s="94"/>
      <c r="M13" s="94"/>
      <c r="N13" s="94"/>
      <c r="O13" s="95"/>
      <c r="P13" s="94"/>
      <c r="Q13" s="55"/>
      <c r="R13" s="55"/>
    </row>
    <row r="14" spans="1:92" ht="15" customHeight="1" x14ac:dyDescent="0.3">
      <c r="A14" s="19" t="s">
        <v>26</v>
      </c>
      <c r="B14" s="19" t="s">
        <v>211</v>
      </c>
      <c r="C14" s="20" t="s">
        <v>430</v>
      </c>
      <c r="D14" s="19" t="s">
        <v>28</v>
      </c>
      <c r="E14" s="19" t="s">
        <v>455</v>
      </c>
      <c r="F14" s="19" t="s">
        <v>213</v>
      </c>
      <c r="G14" s="257"/>
      <c r="H14" s="94"/>
      <c r="I14" s="94"/>
      <c r="J14" s="94"/>
      <c r="K14" s="94"/>
      <c r="L14" s="94"/>
      <c r="M14" s="94"/>
      <c r="N14" s="94"/>
      <c r="O14" s="95"/>
      <c r="P14" s="94"/>
      <c r="Q14" s="55"/>
      <c r="R14" s="55"/>
    </row>
    <row r="15" spans="1:92" ht="15" customHeight="1" x14ac:dyDescent="0.3">
      <c r="A15" s="19" t="s">
        <v>26</v>
      </c>
      <c r="B15" s="19" t="s">
        <v>216</v>
      </c>
      <c r="C15" s="20" t="s">
        <v>431</v>
      </c>
      <c r="D15" s="19" t="s">
        <v>28</v>
      </c>
      <c r="E15" s="19" t="s">
        <v>169</v>
      </c>
      <c r="F15" s="19" t="s">
        <v>213</v>
      </c>
      <c r="G15" s="257"/>
      <c r="H15" s="94"/>
      <c r="I15" s="94"/>
      <c r="J15" s="94"/>
      <c r="K15" s="94"/>
      <c r="L15" s="94"/>
      <c r="M15" s="94"/>
      <c r="N15" s="94"/>
      <c r="O15" s="95"/>
      <c r="P15" s="94"/>
      <c r="Q15" s="55"/>
      <c r="R15" s="55"/>
    </row>
    <row r="16" spans="1:92" ht="15" customHeight="1" x14ac:dyDescent="0.3">
      <c r="A16" s="19" t="s">
        <v>26</v>
      </c>
      <c r="B16" s="19" t="s">
        <v>218</v>
      </c>
      <c r="C16" s="20" t="s">
        <v>432</v>
      </c>
      <c r="D16" s="19" t="s">
        <v>28</v>
      </c>
      <c r="E16" s="19" t="s">
        <v>456</v>
      </c>
      <c r="F16" s="19" t="s">
        <v>220</v>
      </c>
      <c r="G16" s="257"/>
      <c r="H16" s="94"/>
      <c r="I16" s="94"/>
      <c r="J16" s="94"/>
      <c r="K16" s="94"/>
      <c r="L16" s="94"/>
      <c r="M16" s="94"/>
      <c r="N16" s="94"/>
      <c r="O16" s="95"/>
      <c r="P16" s="94"/>
      <c r="Q16" s="55"/>
      <c r="R16" s="55"/>
    </row>
    <row r="17" spans="1:18" ht="15" customHeight="1" x14ac:dyDescent="0.3">
      <c r="A17" s="19" t="s">
        <v>36</v>
      </c>
      <c r="B17" s="19" t="s">
        <v>224</v>
      </c>
      <c r="C17" s="20" t="s">
        <v>433</v>
      </c>
      <c r="D17" s="19" t="s">
        <v>38</v>
      </c>
      <c r="E17" s="19" t="s">
        <v>170</v>
      </c>
      <c r="F17" s="19" t="s">
        <v>30</v>
      </c>
      <c r="G17" s="257"/>
      <c r="H17" s="94"/>
      <c r="I17" s="94"/>
      <c r="J17" s="94"/>
      <c r="K17" s="94"/>
      <c r="L17" s="94"/>
      <c r="M17" s="94"/>
      <c r="N17" s="94"/>
      <c r="O17" s="95"/>
      <c r="P17" s="94"/>
      <c r="Q17" s="55"/>
      <c r="R17" s="55"/>
    </row>
    <row r="18" spans="1:18" ht="15" customHeight="1" x14ac:dyDescent="0.3">
      <c r="A18" s="19" t="s">
        <v>36</v>
      </c>
      <c r="B18" s="19" t="s">
        <v>226</v>
      </c>
      <c r="C18" s="20" t="s">
        <v>434</v>
      </c>
      <c r="D18" s="19" t="s">
        <v>38</v>
      </c>
      <c r="E18" s="19" t="s">
        <v>168</v>
      </c>
      <c r="F18" s="19" t="s">
        <v>30</v>
      </c>
      <c r="G18" s="257"/>
      <c r="H18" s="94"/>
      <c r="I18" s="94"/>
      <c r="J18" s="94"/>
      <c r="K18" s="94"/>
      <c r="L18" s="94"/>
      <c r="M18" s="94"/>
      <c r="N18" s="94"/>
      <c r="O18" s="95"/>
      <c r="P18" s="94"/>
      <c r="Q18" s="55"/>
      <c r="R18" s="55"/>
    </row>
    <row r="19" spans="1:18" ht="15" customHeight="1" x14ac:dyDescent="0.3">
      <c r="A19" s="19" t="s">
        <v>26</v>
      </c>
      <c r="B19" s="19" t="s">
        <v>207</v>
      </c>
      <c r="C19" s="20" t="s">
        <v>429</v>
      </c>
      <c r="D19" s="19" t="s">
        <v>31</v>
      </c>
      <c r="E19" s="19" t="s">
        <v>454</v>
      </c>
      <c r="F19" s="19" t="s">
        <v>210</v>
      </c>
      <c r="G19" s="257"/>
      <c r="H19" s="94"/>
      <c r="I19" s="94"/>
      <c r="J19" s="94"/>
      <c r="K19" s="94"/>
      <c r="L19" s="94"/>
      <c r="M19" s="94"/>
      <c r="N19" s="94"/>
      <c r="O19" s="95"/>
      <c r="P19" s="94"/>
      <c r="Q19" s="55"/>
      <c r="R19" s="55"/>
    </row>
    <row r="20" spans="1:18" ht="15" customHeight="1" x14ac:dyDescent="0.3">
      <c r="A20" s="19" t="s">
        <v>36</v>
      </c>
      <c r="B20" s="19" t="s">
        <v>228</v>
      </c>
      <c r="C20" s="20" t="s">
        <v>435</v>
      </c>
      <c r="D20" s="19" t="s">
        <v>38</v>
      </c>
      <c r="E20" s="19" t="s">
        <v>169</v>
      </c>
      <c r="F20" s="19" t="s">
        <v>210</v>
      </c>
      <c r="G20" s="257"/>
      <c r="H20" s="94"/>
      <c r="I20" s="94"/>
      <c r="J20" s="94"/>
      <c r="K20" s="94"/>
      <c r="L20" s="94"/>
      <c r="M20" s="94"/>
      <c r="N20" s="94"/>
      <c r="O20" s="95"/>
      <c r="P20" s="94"/>
      <c r="Q20" s="55"/>
      <c r="R20" s="55"/>
    </row>
    <row r="21" spans="1:18" ht="15" customHeight="1" x14ac:dyDescent="0.3">
      <c r="A21" s="19" t="s">
        <v>36</v>
      </c>
      <c r="B21" s="19" t="s">
        <v>230</v>
      </c>
      <c r="C21" s="20" t="s">
        <v>436</v>
      </c>
      <c r="D21" s="19" t="s">
        <v>38</v>
      </c>
      <c r="E21" s="19" t="s">
        <v>174</v>
      </c>
      <c r="F21" s="19" t="s">
        <v>210</v>
      </c>
      <c r="G21" s="257"/>
      <c r="H21" s="94"/>
      <c r="I21" s="94"/>
      <c r="J21" s="94"/>
      <c r="K21" s="94"/>
      <c r="L21" s="94"/>
      <c r="M21" s="94"/>
      <c r="N21" s="94"/>
      <c r="O21" s="95"/>
      <c r="P21" s="94"/>
      <c r="Q21" s="55"/>
      <c r="R21" s="55"/>
    </row>
    <row r="22" spans="1:18" ht="15" customHeight="1" thickBot="1" x14ac:dyDescent="0.35">
      <c r="A22" s="39" t="s">
        <v>36</v>
      </c>
      <c r="B22" s="39" t="s">
        <v>232</v>
      </c>
      <c r="C22" s="40" t="s">
        <v>437</v>
      </c>
      <c r="D22" s="39" t="s">
        <v>38</v>
      </c>
      <c r="E22" s="39" t="s">
        <v>454</v>
      </c>
      <c r="F22" s="39" t="s">
        <v>210</v>
      </c>
      <c r="G22" s="258"/>
      <c r="H22" s="96"/>
      <c r="I22" s="96"/>
      <c r="J22" s="96"/>
      <c r="K22" s="96"/>
      <c r="L22" s="96"/>
      <c r="M22" s="96"/>
      <c r="N22" s="96"/>
      <c r="O22" s="97"/>
      <c r="P22" s="96"/>
      <c r="Q22" s="98"/>
      <c r="R22" s="98"/>
    </row>
    <row r="23" spans="1:18" ht="17.399999999999999" customHeight="1" thickBot="1" x14ac:dyDescent="0.35">
      <c r="A23" s="285"/>
      <c r="B23" s="286"/>
      <c r="C23" s="286"/>
      <c r="D23" s="286"/>
      <c r="E23" s="286"/>
      <c r="F23" s="286"/>
      <c r="G23" s="286"/>
      <c r="H23" s="286"/>
      <c r="I23" s="286"/>
      <c r="J23" s="286"/>
      <c r="K23" s="286"/>
      <c r="L23" s="286"/>
      <c r="M23" s="286"/>
      <c r="N23" s="286"/>
      <c r="O23" s="286"/>
      <c r="P23" s="286"/>
      <c r="Q23" s="286"/>
      <c r="R23" s="287"/>
    </row>
    <row r="24" spans="1:18" ht="22.05" customHeight="1" thickTop="1" thickBot="1" x14ac:dyDescent="0.35">
      <c r="A24" s="259" t="s">
        <v>6</v>
      </c>
      <c r="B24" s="251"/>
      <c r="C24" s="251"/>
      <c r="D24" s="251"/>
      <c r="E24" s="251"/>
      <c r="F24" s="252"/>
      <c r="G24" s="31">
        <v>45982</v>
      </c>
      <c r="H24" s="250" t="s">
        <v>7</v>
      </c>
      <c r="I24" s="251"/>
      <c r="J24" s="251"/>
      <c r="K24" s="251"/>
      <c r="L24" s="251"/>
      <c r="M24" s="251"/>
      <c r="N24" s="251"/>
      <c r="O24" s="251"/>
      <c r="P24" s="251"/>
      <c r="Q24" s="251"/>
      <c r="R24" s="252"/>
    </row>
    <row r="25" spans="1:18" ht="24" customHeight="1" x14ac:dyDescent="0.3">
      <c r="A25" s="32" t="s">
        <v>8</v>
      </c>
      <c r="B25" s="32" t="s">
        <v>9</v>
      </c>
      <c r="C25" s="33" t="s">
        <v>10</v>
      </c>
      <c r="D25" s="32" t="s">
        <v>11</v>
      </c>
      <c r="E25" s="32" t="s">
        <v>12</v>
      </c>
      <c r="F25" s="34" t="s">
        <v>13</v>
      </c>
      <c r="G25" s="35" t="s">
        <v>14</v>
      </c>
      <c r="H25" s="32" t="s">
        <v>15</v>
      </c>
      <c r="I25" s="36" t="s">
        <v>16</v>
      </c>
      <c r="J25" s="37" t="s">
        <v>17</v>
      </c>
      <c r="K25" s="38" t="s">
        <v>18</v>
      </c>
      <c r="L25" s="37" t="s">
        <v>19</v>
      </c>
      <c r="M25" s="37" t="s">
        <v>20</v>
      </c>
      <c r="N25" s="37" t="s">
        <v>21</v>
      </c>
      <c r="O25" s="32" t="s">
        <v>22</v>
      </c>
      <c r="P25" s="33" t="s">
        <v>23</v>
      </c>
      <c r="Q25" s="37" t="s">
        <v>24</v>
      </c>
      <c r="R25" s="32" t="s">
        <v>25</v>
      </c>
    </row>
    <row r="26" spans="1:18" ht="15" customHeight="1" x14ac:dyDescent="0.3">
      <c r="A26" s="8" t="s">
        <v>266</v>
      </c>
      <c r="B26" s="8" t="s">
        <v>457</v>
      </c>
      <c r="C26" s="9">
        <v>1.041666666666667E-2</v>
      </c>
      <c r="D26" s="8" t="s">
        <v>443</v>
      </c>
      <c r="E26" s="8" t="s">
        <v>39</v>
      </c>
      <c r="F26" s="8" t="s">
        <v>458</v>
      </c>
      <c r="G26" s="256"/>
      <c r="H26" s="10"/>
      <c r="I26" s="11"/>
      <c r="J26" s="11"/>
      <c r="K26" s="11"/>
      <c r="L26" s="11"/>
      <c r="M26" s="11"/>
      <c r="N26" s="11"/>
      <c r="O26" s="12"/>
      <c r="P26" s="11"/>
      <c r="Q26" s="13"/>
      <c r="R26" s="14"/>
    </row>
    <row r="27" spans="1:18" ht="15" customHeight="1" x14ac:dyDescent="0.3">
      <c r="A27" s="15" t="s">
        <v>266</v>
      </c>
      <c r="B27" s="15" t="s">
        <v>457</v>
      </c>
      <c r="C27" s="16">
        <v>1.041666666666667E-2</v>
      </c>
      <c r="D27" s="15" t="s">
        <v>445</v>
      </c>
      <c r="E27" s="15" t="s">
        <v>42</v>
      </c>
      <c r="F27" s="15" t="s">
        <v>459</v>
      </c>
      <c r="G27" s="257"/>
      <c r="H27" s="10"/>
      <c r="I27" s="11"/>
      <c r="J27" s="11"/>
      <c r="K27" s="11"/>
      <c r="L27" s="11"/>
      <c r="M27" s="11"/>
      <c r="N27" s="11"/>
      <c r="O27" s="12"/>
      <c r="P27" s="11"/>
      <c r="Q27" s="13"/>
      <c r="R27" s="14"/>
    </row>
    <row r="28" spans="1:18" ht="15" customHeight="1" x14ac:dyDescent="0.3">
      <c r="A28" s="15" t="s">
        <v>266</v>
      </c>
      <c r="B28" s="15" t="s">
        <v>457</v>
      </c>
      <c r="C28" s="16">
        <v>1.041666666666667E-2</v>
      </c>
      <c r="D28" s="15" t="s">
        <v>34</v>
      </c>
      <c r="E28" s="15" t="s">
        <v>42</v>
      </c>
      <c r="F28" s="15" t="s">
        <v>460</v>
      </c>
      <c r="G28" s="257"/>
      <c r="H28" s="10"/>
      <c r="I28" s="11"/>
      <c r="J28" s="11"/>
      <c r="K28" s="11"/>
      <c r="L28" s="11"/>
      <c r="M28" s="11"/>
      <c r="N28" s="11"/>
      <c r="O28" s="12"/>
      <c r="P28" s="11"/>
      <c r="Q28" s="13"/>
      <c r="R28" s="14"/>
    </row>
    <row r="29" spans="1:18" ht="15" customHeight="1" x14ac:dyDescent="0.3">
      <c r="A29" s="178" t="s">
        <v>73</v>
      </c>
      <c r="B29" s="178" t="s">
        <v>461</v>
      </c>
      <c r="C29" s="179">
        <v>0.22916666666666671</v>
      </c>
      <c r="D29" s="178" t="s">
        <v>100</v>
      </c>
      <c r="E29" s="178" t="s">
        <v>81</v>
      </c>
      <c r="F29" s="178" t="s">
        <v>243</v>
      </c>
      <c r="G29" s="257"/>
      <c r="H29" s="180" t="s">
        <v>451</v>
      </c>
      <c r="I29" s="181">
        <v>0.74439999999999995</v>
      </c>
      <c r="J29" s="182">
        <v>134</v>
      </c>
      <c r="K29" s="183" t="s">
        <v>103</v>
      </c>
      <c r="L29" s="182">
        <v>60</v>
      </c>
      <c r="M29" s="182">
        <v>0</v>
      </c>
      <c r="N29" s="182">
        <v>16</v>
      </c>
      <c r="O29" s="184" t="s">
        <v>396</v>
      </c>
      <c r="P29" s="185">
        <v>0.22916666666666671</v>
      </c>
      <c r="Q29" s="182">
        <v>180</v>
      </c>
      <c r="R29" s="186" t="s">
        <v>462</v>
      </c>
    </row>
    <row r="30" spans="1:18" ht="15" customHeight="1" x14ac:dyDescent="0.3">
      <c r="A30" s="17" t="s">
        <v>52</v>
      </c>
      <c r="B30" s="17" t="s">
        <v>450</v>
      </c>
      <c r="C30" s="18">
        <v>0.81944444444444453</v>
      </c>
      <c r="D30" s="17" t="s">
        <v>57</v>
      </c>
      <c r="E30" s="17" t="s">
        <v>29</v>
      </c>
      <c r="F30" s="17" t="s">
        <v>449</v>
      </c>
      <c r="G30" s="257"/>
      <c r="H30" s="10"/>
      <c r="I30" s="11"/>
      <c r="J30" s="11"/>
      <c r="K30" s="11"/>
      <c r="L30" s="11"/>
      <c r="M30" s="11"/>
      <c r="N30" s="11"/>
      <c r="O30" s="12"/>
      <c r="P30" s="11"/>
      <c r="Q30" s="13"/>
      <c r="R30" s="14"/>
    </row>
    <row r="31" spans="1:18" ht="18" x14ac:dyDescent="0.3">
      <c r="A31" s="268" t="s">
        <v>453</v>
      </c>
      <c r="B31" s="269"/>
      <c r="C31" s="269"/>
      <c r="D31" s="269"/>
      <c r="E31" s="269"/>
      <c r="F31" s="270"/>
      <c r="G31" s="257"/>
      <c r="H31" s="94"/>
      <c r="I31" s="94"/>
      <c r="J31" s="94"/>
      <c r="K31" s="94"/>
      <c r="L31" s="94"/>
      <c r="M31" s="94"/>
      <c r="N31" s="94"/>
      <c r="O31" s="95"/>
      <c r="P31" s="94"/>
      <c r="Q31" s="55"/>
      <c r="R31" s="55"/>
    </row>
    <row r="32" spans="1:18" ht="15" customHeight="1" x14ac:dyDescent="0.3">
      <c r="A32" s="19" t="s">
        <v>26</v>
      </c>
      <c r="B32" s="19" t="s">
        <v>211</v>
      </c>
      <c r="C32" s="20" t="s">
        <v>430</v>
      </c>
      <c r="D32" s="19" t="s">
        <v>28</v>
      </c>
      <c r="E32" s="19" t="s">
        <v>174</v>
      </c>
      <c r="F32" s="19" t="s">
        <v>213</v>
      </c>
      <c r="G32" s="257"/>
      <c r="H32" s="94"/>
      <c r="I32" s="94"/>
      <c r="J32" s="94"/>
      <c r="K32" s="94"/>
      <c r="L32" s="94"/>
      <c r="M32" s="94"/>
      <c r="N32" s="94"/>
      <c r="O32" s="95"/>
      <c r="P32" s="94"/>
      <c r="Q32" s="55"/>
      <c r="R32" s="55"/>
    </row>
    <row r="33" spans="1:18" ht="15" customHeight="1" x14ac:dyDescent="0.3">
      <c r="A33" s="19" t="s">
        <v>26</v>
      </c>
      <c r="B33" s="19" t="s">
        <v>218</v>
      </c>
      <c r="C33" s="20" t="s">
        <v>432</v>
      </c>
      <c r="D33" s="19" t="s">
        <v>28</v>
      </c>
      <c r="E33" s="19" t="s">
        <v>192</v>
      </c>
      <c r="F33" s="19" t="s">
        <v>213</v>
      </c>
      <c r="G33" s="257"/>
      <c r="H33" s="94"/>
      <c r="I33" s="94"/>
      <c r="J33" s="94"/>
      <c r="K33" s="94"/>
      <c r="L33" s="94"/>
      <c r="M33" s="94"/>
      <c r="N33" s="94"/>
      <c r="O33" s="95"/>
      <c r="P33" s="94"/>
      <c r="Q33" s="55"/>
      <c r="R33" s="55"/>
    </row>
    <row r="34" spans="1:18" ht="15" customHeight="1" x14ac:dyDescent="0.3">
      <c r="A34" s="19" t="s">
        <v>26</v>
      </c>
      <c r="B34" s="19" t="s">
        <v>207</v>
      </c>
      <c r="C34" s="20" t="s">
        <v>429</v>
      </c>
      <c r="D34" s="19" t="s">
        <v>28</v>
      </c>
      <c r="E34" s="19" t="s">
        <v>168</v>
      </c>
      <c r="F34" s="19" t="s">
        <v>213</v>
      </c>
      <c r="G34" s="257"/>
      <c r="H34" s="94"/>
      <c r="I34" s="94"/>
      <c r="J34" s="94"/>
      <c r="K34" s="94"/>
      <c r="L34" s="94"/>
      <c r="M34" s="94"/>
      <c r="N34" s="94"/>
      <c r="O34" s="95"/>
      <c r="P34" s="94"/>
      <c r="Q34" s="55"/>
      <c r="R34" s="55"/>
    </row>
    <row r="35" spans="1:18" ht="15" customHeight="1" x14ac:dyDescent="0.3">
      <c r="A35" s="19" t="s">
        <v>26</v>
      </c>
      <c r="B35" s="19" t="s">
        <v>216</v>
      </c>
      <c r="C35" s="20" t="s">
        <v>431</v>
      </c>
      <c r="D35" s="19" t="s">
        <v>295</v>
      </c>
      <c r="E35" s="19" t="s">
        <v>191</v>
      </c>
      <c r="F35" s="19" t="s">
        <v>220</v>
      </c>
      <c r="G35" s="257"/>
      <c r="H35" s="94"/>
      <c r="I35" s="94"/>
      <c r="J35" s="94"/>
      <c r="K35" s="94"/>
      <c r="L35" s="94"/>
      <c r="M35" s="94"/>
      <c r="N35" s="94"/>
      <c r="O35" s="95"/>
      <c r="P35" s="94"/>
      <c r="Q35" s="55"/>
      <c r="R35" s="55"/>
    </row>
    <row r="36" spans="1:18" ht="15" customHeight="1" x14ac:dyDescent="0.3">
      <c r="A36" s="19" t="s">
        <v>26</v>
      </c>
      <c r="B36" s="19" t="s">
        <v>216</v>
      </c>
      <c r="C36" s="20" t="s">
        <v>431</v>
      </c>
      <c r="D36" s="19" t="s">
        <v>28</v>
      </c>
      <c r="E36" s="19" t="s">
        <v>191</v>
      </c>
      <c r="F36" s="19" t="s">
        <v>220</v>
      </c>
      <c r="G36" s="257"/>
      <c r="H36" s="94"/>
      <c r="I36" s="94"/>
      <c r="J36" s="94"/>
      <c r="K36" s="94"/>
      <c r="L36" s="94"/>
      <c r="M36" s="94"/>
      <c r="N36" s="94"/>
      <c r="O36" s="95"/>
      <c r="P36" s="94"/>
      <c r="Q36" s="55"/>
      <c r="R36" s="55"/>
    </row>
    <row r="37" spans="1:18" ht="15" customHeight="1" x14ac:dyDescent="0.3">
      <c r="A37" s="19" t="s">
        <v>36</v>
      </c>
      <c r="B37" s="19" t="s">
        <v>228</v>
      </c>
      <c r="C37" s="20" t="s">
        <v>435</v>
      </c>
      <c r="D37" s="19" t="s">
        <v>297</v>
      </c>
      <c r="E37" s="19" t="s">
        <v>170</v>
      </c>
      <c r="F37" s="19" t="s">
        <v>30</v>
      </c>
      <c r="G37" s="257"/>
      <c r="H37" s="94"/>
      <c r="I37" s="94"/>
      <c r="J37" s="94"/>
      <c r="K37" s="94"/>
      <c r="L37" s="94"/>
      <c r="M37" s="94"/>
      <c r="N37" s="94"/>
      <c r="O37" s="95"/>
      <c r="P37" s="94"/>
      <c r="Q37" s="55"/>
      <c r="R37" s="55"/>
    </row>
    <row r="38" spans="1:18" ht="15" customHeight="1" x14ac:dyDescent="0.3">
      <c r="A38" s="19" t="s">
        <v>36</v>
      </c>
      <c r="B38" s="19" t="s">
        <v>228</v>
      </c>
      <c r="C38" s="20" t="s">
        <v>435</v>
      </c>
      <c r="D38" s="19" t="s">
        <v>38</v>
      </c>
      <c r="E38" s="19" t="s">
        <v>170</v>
      </c>
      <c r="F38" s="19" t="s">
        <v>30</v>
      </c>
      <c r="G38" s="257"/>
      <c r="H38" s="94"/>
      <c r="I38" s="94"/>
      <c r="J38" s="94"/>
      <c r="K38" s="94"/>
      <c r="L38" s="94"/>
      <c r="M38" s="94"/>
      <c r="N38" s="94"/>
      <c r="O38" s="95"/>
      <c r="P38" s="94"/>
      <c r="Q38" s="55"/>
      <c r="R38" s="55"/>
    </row>
    <row r="39" spans="1:18" ht="15" customHeight="1" x14ac:dyDescent="0.3">
      <c r="A39" s="19" t="s">
        <v>36</v>
      </c>
      <c r="B39" s="19" t="s">
        <v>234</v>
      </c>
      <c r="C39" s="20" t="s">
        <v>438</v>
      </c>
      <c r="D39" s="19" t="s">
        <v>297</v>
      </c>
      <c r="E39" s="19" t="s">
        <v>454</v>
      </c>
      <c r="F39" s="19" t="s">
        <v>30</v>
      </c>
      <c r="G39" s="257"/>
      <c r="H39" s="94"/>
      <c r="I39" s="94"/>
      <c r="J39" s="94"/>
      <c r="K39" s="94"/>
      <c r="L39" s="94"/>
      <c r="M39" s="94"/>
      <c r="N39" s="94"/>
      <c r="O39" s="95"/>
      <c r="P39" s="94"/>
      <c r="Q39" s="55"/>
      <c r="R39" s="55"/>
    </row>
    <row r="40" spans="1:18" ht="15" customHeight="1" x14ac:dyDescent="0.3">
      <c r="A40" s="19" t="s">
        <v>36</v>
      </c>
      <c r="B40" s="19" t="s">
        <v>234</v>
      </c>
      <c r="C40" s="20" t="s">
        <v>438</v>
      </c>
      <c r="D40" s="19" t="s">
        <v>38</v>
      </c>
      <c r="E40" s="19" t="s">
        <v>454</v>
      </c>
      <c r="F40" s="19" t="s">
        <v>30</v>
      </c>
      <c r="G40" s="257"/>
      <c r="H40" s="94"/>
      <c r="I40" s="94"/>
      <c r="J40" s="94"/>
      <c r="K40" s="94"/>
      <c r="L40" s="94"/>
      <c r="M40" s="94"/>
      <c r="N40" s="94"/>
      <c r="O40" s="95"/>
      <c r="P40" s="94"/>
      <c r="Q40" s="55"/>
      <c r="R40" s="55"/>
    </row>
    <row r="41" spans="1:18" ht="15" customHeight="1" thickBot="1" x14ac:dyDescent="0.35">
      <c r="A41" s="39" t="s">
        <v>36</v>
      </c>
      <c r="B41" s="39" t="s">
        <v>238</v>
      </c>
      <c r="C41" s="40" t="s">
        <v>431</v>
      </c>
      <c r="D41" s="39" t="s">
        <v>297</v>
      </c>
      <c r="E41" s="39" t="s">
        <v>454</v>
      </c>
      <c r="F41" s="39" t="s">
        <v>30</v>
      </c>
      <c r="G41" s="258"/>
      <c r="H41" s="96"/>
      <c r="I41" s="96"/>
      <c r="J41" s="96"/>
      <c r="K41" s="96"/>
      <c r="L41" s="96"/>
      <c r="M41" s="96"/>
      <c r="N41" s="96"/>
      <c r="O41" s="97"/>
      <c r="P41" s="96"/>
      <c r="Q41" s="98"/>
      <c r="R41" s="98"/>
    </row>
    <row r="42" spans="1:18" ht="17.399999999999999" customHeight="1" thickBot="1" x14ac:dyDescent="0.35">
      <c r="A42" s="285"/>
      <c r="B42" s="286"/>
      <c r="C42" s="286"/>
      <c r="D42" s="286"/>
      <c r="E42" s="286"/>
      <c r="F42" s="286"/>
      <c r="G42" s="286"/>
      <c r="H42" s="286"/>
      <c r="I42" s="286"/>
      <c r="J42" s="286"/>
      <c r="K42" s="286"/>
      <c r="L42" s="286"/>
      <c r="M42" s="286"/>
      <c r="N42" s="286"/>
      <c r="O42" s="286"/>
      <c r="P42" s="286"/>
      <c r="Q42" s="286"/>
      <c r="R42" s="287"/>
    </row>
    <row r="43" spans="1:18" ht="22.05" customHeight="1" thickTop="1" thickBot="1" x14ac:dyDescent="0.35">
      <c r="A43" s="259" t="s">
        <v>6</v>
      </c>
      <c r="B43" s="251"/>
      <c r="C43" s="251"/>
      <c r="D43" s="251"/>
      <c r="E43" s="251"/>
      <c r="F43" s="252"/>
      <c r="G43" s="31">
        <v>45983</v>
      </c>
      <c r="H43" s="250" t="s">
        <v>7</v>
      </c>
      <c r="I43" s="251"/>
      <c r="J43" s="251"/>
      <c r="K43" s="251"/>
      <c r="L43" s="251"/>
      <c r="M43" s="251"/>
      <c r="N43" s="251"/>
      <c r="O43" s="251"/>
      <c r="P43" s="251"/>
      <c r="Q43" s="251"/>
      <c r="R43" s="252"/>
    </row>
    <row r="44" spans="1:18" ht="24" customHeight="1" x14ac:dyDescent="0.3">
      <c r="A44" s="32" t="s">
        <v>8</v>
      </c>
      <c r="B44" s="32" t="s">
        <v>9</v>
      </c>
      <c r="C44" s="33" t="s">
        <v>10</v>
      </c>
      <c r="D44" s="32" t="s">
        <v>11</v>
      </c>
      <c r="E44" s="32" t="s">
        <v>12</v>
      </c>
      <c r="F44" s="34" t="s">
        <v>13</v>
      </c>
      <c r="G44" s="35" t="s">
        <v>14</v>
      </c>
      <c r="H44" s="32" t="s">
        <v>15</v>
      </c>
      <c r="I44" s="36" t="s">
        <v>16</v>
      </c>
      <c r="J44" s="37" t="s">
        <v>17</v>
      </c>
      <c r="K44" s="38" t="s">
        <v>18</v>
      </c>
      <c r="L44" s="37" t="s">
        <v>19</v>
      </c>
      <c r="M44" s="37" t="s">
        <v>20</v>
      </c>
      <c r="N44" s="37" t="s">
        <v>21</v>
      </c>
      <c r="O44" s="32" t="s">
        <v>22</v>
      </c>
      <c r="P44" s="33" t="s">
        <v>23</v>
      </c>
      <c r="Q44" s="37" t="s">
        <v>24</v>
      </c>
      <c r="R44" s="32" t="s">
        <v>25</v>
      </c>
    </row>
    <row r="45" spans="1:18" ht="15" customHeight="1" x14ac:dyDescent="0.3">
      <c r="A45" s="8" t="s">
        <v>26</v>
      </c>
      <c r="B45" s="8" t="s">
        <v>463</v>
      </c>
      <c r="C45" s="9">
        <v>0.3611111111111111</v>
      </c>
      <c r="D45" s="8" t="s">
        <v>464</v>
      </c>
      <c r="E45" s="8" t="s">
        <v>101</v>
      </c>
      <c r="F45" s="8" t="s">
        <v>465</v>
      </c>
      <c r="G45" s="256"/>
      <c r="H45" s="10"/>
      <c r="I45" s="11"/>
      <c r="J45" s="11"/>
      <c r="K45" s="11"/>
      <c r="L45" s="11"/>
      <c r="M45" s="11"/>
      <c r="N45" s="11"/>
      <c r="O45" s="12"/>
      <c r="P45" s="11"/>
      <c r="Q45" s="13"/>
      <c r="R45" s="14"/>
    </row>
    <row r="46" spans="1:18" ht="15" customHeight="1" x14ac:dyDescent="0.3">
      <c r="A46" s="15" t="s">
        <v>26</v>
      </c>
      <c r="B46" s="15" t="s">
        <v>463</v>
      </c>
      <c r="C46" s="16">
        <v>0.3611111111111111</v>
      </c>
      <c r="D46" s="15" t="s">
        <v>443</v>
      </c>
      <c r="E46" s="15" t="s">
        <v>319</v>
      </c>
      <c r="F46" s="15" t="s">
        <v>466</v>
      </c>
      <c r="G46" s="257"/>
      <c r="H46" s="10"/>
      <c r="I46" s="11"/>
      <c r="J46" s="11"/>
      <c r="K46" s="11"/>
      <c r="L46" s="11"/>
      <c r="M46" s="11"/>
      <c r="N46" s="11"/>
      <c r="O46" s="12"/>
      <c r="P46" s="11"/>
      <c r="Q46" s="13"/>
      <c r="R46" s="14"/>
    </row>
    <row r="47" spans="1:18" ht="15" customHeight="1" x14ac:dyDescent="0.3">
      <c r="A47" s="15" t="s">
        <v>26</v>
      </c>
      <c r="B47" s="15" t="s">
        <v>463</v>
      </c>
      <c r="C47" s="16">
        <v>0.3611111111111111</v>
      </c>
      <c r="D47" s="15" t="s">
        <v>445</v>
      </c>
      <c r="E47" s="15" t="s">
        <v>319</v>
      </c>
      <c r="F47" s="15" t="s">
        <v>467</v>
      </c>
      <c r="G47" s="257"/>
      <c r="H47" s="10"/>
      <c r="I47" s="11"/>
      <c r="J47" s="11"/>
      <c r="K47" s="11"/>
      <c r="L47" s="11"/>
      <c r="M47" s="11"/>
      <c r="N47" s="11"/>
      <c r="O47" s="12"/>
      <c r="P47" s="11"/>
      <c r="Q47" s="13"/>
      <c r="R47" s="14"/>
    </row>
    <row r="48" spans="1:18" ht="15" customHeight="1" x14ac:dyDescent="0.3">
      <c r="A48" s="15" t="s">
        <v>26</v>
      </c>
      <c r="B48" s="15" t="s">
        <v>463</v>
      </c>
      <c r="C48" s="16">
        <v>0.3611111111111111</v>
      </c>
      <c r="D48" s="15" t="s">
        <v>468</v>
      </c>
      <c r="E48" s="15" t="s">
        <v>319</v>
      </c>
      <c r="F48" s="15" t="s">
        <v>225</v>
      </c>
      <c r="G48" s="257"/>
      <c r="H48" s="10"/>
      <c r="I48" s="11"/>
      <c r="J48" s="11"/>
      <c r="K48" s="11"/>
      <c r="L48" s="11"/>
      <c r="M48" s="11"/>
      <c r="N48" s="11"/>
      <c r="O48" s="12"/>
      <c r="P48" s="11"/>
      <c r="Q48" s="13"/>
      <c r="R48" s="14"/>
    </row>
    <row r="49" spans="1:18" ht="15" customHeight="1" x14ac:dyDescent="0.3">
      <c r="A49" s="187" t="s">
        <v>73</v>
      </c>
      <c r="B49" s="187" t="s">
        <v>469</v>
      </c>
      <c r="C49" s="188">
        <v>0.27083333333333331</v>
      </c>
      <c r="D49" s="187" t="s">
        <v>100</v>
      </c>
      <c r="E49" s="187" t="s">
        <v>81</v>
      </c>
      <c r="F49" s="187" t="s">
        <v>332</v>
      </c>
      <c r="G49" s="257"/>
      <c r="H49" s="152" t="s">
        <v>470</v>
      </c>
      <c r="I49" s="189">
        <v>0.95</v>
      </c>
      <c r="J49" s="154">
        <v>171</v>
      </c>
      <c r="K49" s="155" t="s">
        <v>103</v>
      </c>
      <c r="L49" s="154">
        <v>20</v>
      </c>
      <c r="M49" s="154">
        <v>0</v>
      </c>
      <c r="N49" s="154">
        <v>4</v>
      </c>
      <c r="O49" s="156" t="s">
        <v>333</v>
      </c>
      <c r="P49" s="157">
        <v>0.27083333333333331</v>
      </c>
      <c r="Q49" s="154">
        <v>180</v>
      </c>
      <c r="R49" s="158" t="s">
        <v>471</v>
      </c>
    </row>
    <row r="50" spans="1:18" ht="15" customHeight="1" x14ac:dyDescent="0.3">
      <c r="A50" s="159" t="s">
        <v>73</v>
      </c>
      <c r="B50" s="159" t="s">
        <v>461</v>
      </c>
      <c r="C50" s="160">
        <v>0.60416666666666663</v>
      </c>
      <c r="D50" s="159" t="s">
        <v>100</v>
      </c>
      <c r="E50" s="159" t="s">
        <v>227</v>
      </c>
      <c r="F50" s="159" t="s">
        <v>301</v>
      </c>
      <c r="G50" s="257"/>
      <c r="H50" s="87" t="s">
        <v>451</v>
      </c>
      <c r="I50" s="88">
        <v>0.88329999999999997</v>
      </c>
      <c r="J50" s="89">
        <v>159</v>
      </c>
      <c r="K50" s="90" t="s">
        <v>103</v>
      </c>
      <c r="L50" s="89">
        <v>37</v>
      </c>
      <c r="M50" s="89">
        <v>0</v>
      </c>
      <c r="N50" s="89">
        <v>8</v>
      </c>
      <c r="O50" s="91" t="s">
        <v>472</v>
      </c>
      <c r="P50" s="92">
        <v>0.60416666666666663</v>
      </c>
      <c r="Q50" s="89">
        <v>180</v>
      </c>
      <c r="R50" s="93" t="s">
        <v>473</v>
      </c>
    </row>
    <row r="51" spans="1:18" ht="15" customHeight="1" x14ac:dyDescent="0.3">
      <c r="A51" s="17" t="s">
        <v>266</v>
      </c>
      <c r="B51" s="17" t="s">
        <v>442</v>
      </c>
      <c r="C51" s="18">
        <v>0.3611111111111111</v>
      </c>
      <c r="D51" s="17" t="s">
        <v>443</v>
      </c>
      <c r="E51" s="17" t="s">
        <v>39</v>
      </c>
      <c r="F51" s="17" t="s">
        <v>474</v>
      </c>
      <c r="G51" s="257"/>
      <c r="H51" s="10"/>
      <c r="I51" s="11"/>
      <c r="J51" s="11"/>
      <c r="K51" s="11"/>
      <c r="L51" s="11"/>
      <c r="M51" s="11"/>
      <c r="N51" s="11"/>
      <c r="O51" s="12"/>
      <c r="P51" s="11"/>
      <c r="Q51" s="13"/>
      <c r="R51" s="14"/>
    </row>
    <row r="52" spans="1:18" ht="15" customHeight="1" x14ac:dyDescent="0.3">
      <c r="A52" s="15" t="s">
        <v>266</v>
      </c>
      <c r="B52" s="15" t="s">
        <v>442</v>
      </c>
      <c r="C52" s="16">
        <v>0.3611111111111111</v>
      </c>
      <c r="D52" s="15" t="s">
        <v>445</v>
      </c>
      <c r="E52" s="15" t="s">
        <v>42</v>
      </c>
      <c r="F52" s="15" t="s">
        <v>475</v>
      </c>
      <c r="G52" s="257"/>
      <c r="H52" s="10"/>
      <c r="I52" s="11"/>
      <c r="J52" s="11"/>
      <c r="K52" s="11"/>
      <c r="L52" s="11"/>
      <c r="M52" s="11"/>
      <c r="N52" s="11"/>
      <c r="O52" s="12"/>
      <c r="P52" s="11"/>
      <c r="Q52" s="13"/>
      <c r="R52" s="14"/>
    </row>
    <row r="53" spans="1:18" ht="15" customHeight="1" x14ac:dyDescent="0.3">
      <c r="A53" s="15" t="s">
        <v>266</v>
      </c>
      <c r="B53" s="15" t="s">
        <v>442</v>
      </c>
      <c r="C53" s="16">
        <v>0.3611111111111111</v>
      </c>
      <c r="D53" s="15" t="s">
        <v>34</v>
      </c>
      <c r="E53" s="15" t="s">
        <v>42</v>
      </c>
      <c r="F53" s="15" t="s">
        <v>476</v>
      </c>
      <c r="G53" s="257"/>
      <c r="H53" s="10"/>
      <c r="I53" s="11"/>
      <c r="J53" s="11"/>
      <c r="K53" s="11"/>
      <c r="L53" s="11"/>
      <c r="M53" s="11"/>
      <c r="N53" s="11"/>
      <c r="O53" s="12"/>
      <c r="P53" s="11"/>
      <c r="Q53" s="13"/>
      <c r="R53" s="14"/>
    </row>
    <row r="54" spans="1:18" ht="15" customHeight="1" x14ac:dyDescent="0.3">
      <c r="A54" s="17" t="s">
        <v>52</v>
      </c>
      <c r="B54" s="17" t="s">
        <v>448</v>
      </c>
      <c r="C54" s="18">
        <v>0.4513888888888889</v>
      </c>
      <c r="D54" s="17" t="s">
        <v>54</v>
      </c>
      <c r="E54" s="17" t="s">
        <v>55</v>
      </c>
      <c r="F54" s="17" t="s">
        <v>477</v>
      </c>
      <c r="G54" s="257"/>
      <c r="H54" s="10"/>
      <c r="I54" s="11"/>
      <c r="J54" s="11"/>
      <c r="K54" s="11"/>
      <c r="L54" s="11"/>
      <c r="M54" s="11"/>
      <c r="N54" s="11"/>
      <c r="O54" s="12"/>
      <c r="P54" s="11"/>
      <c r="Q54" s="13"/>
      <c r="R54" s="14"/>
    </row>
    <row r="55" spans="1:18" ht="15" customHeight="1" x14ac:dyDescent="0.3">
      <c r="A55" s="15" t="s">
        <v>52</v>
      </c>
      <c r="B55" s="15" t="s">
        <v>448</v>
      </c>
      <c r="C55" s="16">
        <v>0.4513888888888889</v>
      </c>
      <c r="D55" s="15" t="s">
        <v>57</v>
      </c>
      <c r="E55" s="15" t="s">
        <v>58</v>
      </c>
      <c r="F55" s="15" t="s">
        <v>478</v>
      </c>
      <c r="G55" s="257"/>
      <c r="H55" s="10"/>
      <c r="I55" s="11"/>
      <c r="J55" s="11"/>
      <c r="K55" s="11"/>
      <c r="L55" s="11"/>
      <c r="M55" s="11"/>
      <c r="N55" s="11"/>
      <c r="O55" s="12"/>
      <c r="P55" s="11"/>
      <c r="Q55" s="13"/>
      <c r="R55" s="14"/>
    </row>
    <row r="56" spans="1:18" ht="15" customHeight="1" x14ac:dyDescent="0.3">
      <c r="A56" s="19" t="s">
        <v>52</v>
      </c>
      <c r="B56" s="19" t="s">
        <v>450</v>
      </c>
      <c r="C56" s="20">
        <v>0.81944444444444453</v>
      </c>
      <c r="D56" s="19" t="s">
        <v>57</v>
      </c>
      <c r="E56" s="19" t="s">
        <v>86</v>
      </c>
      <c r="F56" s="19" t="s">
        <v>479</v>
      </c>
      <c r="G56" s="257"/>
      <c r="H56" s="10"/>
      <c r="I56" s="11"/>
      <c r="J56" s="11"/>
      <c r="K56" s="11"/>
      <c r="L56" s="11"/>
      <c r="M56" s="11"/>
      <c r="N56" s="11"/>
      <c r="O56" s="12"/>
      <c r="P56" s="11"/>
      <c r="Q56" s="13"/>
      <c r="R56" s="14"/>
    </row>
    <row r="57" spans="1:18" ht="15" customHeight="1" x14ac:dyDescent="0.3">
      <c r="A57" s="17" t="s">
        <v>68</v>
      </c>
      <c r="B57" s="17" t="s">
        <v>480</v>
      </c>
      <c r="C57" s="18">
        <v>0.4236111111111111</v>
      </c>
      <c r="D57" s="17" t="s">
        <v>70</v>
      </c>
      <c r="E57" s="17" t="s">
        <v>55</v>
      </c>
      <c r="F57" s="17" t="s">
        <v>481</v>
      </c>
      <c r="G57" s="257"/>
      <c r="H57" s="10"/>
      <c r="I57" s="11"/>
      <c r="J57" s="11"/>
      <c r="K57" s="11"/>
      <c r="L57" s="11"/>
      <c r="M57" s="11"/>
      <c r="N57" s="11"/>
      <c r="O57" s="12"/>
      <c r="P57" s="11"/>
      <c r="Q57" s="13"/>
      <c r="R57" s="14"/>
    </row>
    <row r="58" spans="1:18" ht="18" x14ac:dyDescent="0.3">
      <c r="A58" s="268" t="s">
        <v>453</v>
      </c>
      <c r="B58" s="269"/>
      <c r="C58" s="269"/>
      <c r="D58" s="269"/>
      <c r="E58" s="269"/>
      <c r="F58" s="270"/>
      <c r="G58" s="257"/>
      <c r="H58" s="94"/>
      <c r="I58" s="94"/>
      <c r="J58" s="94"/>
      <c r="K58" s="94"/>
      <c r="L58" s="94"/>
      <c r="M58" s="94"/>
      <c r="N58" s="94"/>
      <c r="O58" s="95"/>
      <c r="P58" s="94"/>
      <c r="Q58" s="55"/>
      <c r="R58" s="55"/>
    </row>
    <row r="59" spans="1:18" ht="15" customHeight="1" x14ac:dyDescent="0.3">
      <c r="A59" s="19" t="s">
        <v>26</v>
      </c>
      <c r="B59" s="19" t="s">
        <v>211</v>
      </c>
      <c r="C59" s="20" t="s">
        <v>430</v>
      </c>
      <c r="D59" s="19" t="s">
        <v>28</v>
      </c>
      <c r="E59" s="19" t="s">
        <v>168</v>
      </c>
      <c r="F59" s="19" t="s">
        <v>220</v>
      </c>
      <c r="G59" s="257"/>
      <c r="H59" s="94"/>
      <c r="I59" s="94"/>
      <c r="J59" s="94"/>
      <c r="K59" s="94"/>
      <c r="L59" s="94"/>
      <c r="M59" s="94"/>
      <c r="N59" s="94"/>
      <c r="O59" s="95"/>
      <c r="P59" s="94"/>
      <c r="Q59" s="55"/>
      <c r="R59" s="55"/>
    </row>
    <row r="60" spans="1:18" ht="15" customHeight="1" x14ac:dyDescent="0.3">
      <c r="A60" s="19" t="s">
        <v>26</v>
      </c>
      <c r="B60" s="19" t="s">
        <v>218</v>
      </c>
      <c r="C60" s="20" t="s">
        <v>432</v>
      </c>
      <c r="D60" s="19" t="s">
        <v>28</v>
      </c>
      <c r="E60" s="19" t="s">
        <v>482</v>
      </c>
      <c r="F60" s="19" t="s">
        <v>220</v>
      </c>
      <c r="G60" s="257"/>
      <c r="H60" s="94"/>
      <c r="I60" s="94"/>
      <c r="J60" s="94"/>
      <c r="K60" s="94"/>
      <c r="L60" s="94"/>
      <c r="M60" s="94"/>
      <c r="N60" s="94"/>
      <c r="O60" s="95"/>
      <c r="P60" s="94"/>
      <c r="Q60" s="55"/>
      <c r="R60" s="55"/>
    </row>
    <row r="61" spans="1:18" ht="15" customHeight="1" x14ac:dyDescent="0.3">
      <c r="A61" s="19" t="s">
        <v>73</v>
      </c>
      <c r="B61" s="19" t="s">
        <v>256</v>
      </c>
      <c r="C61" s="20" t="s">
        <v>426</v>
      </c>
      <c r="D61" s="19" t="s">
        <v>100</v>
      </c>
      <c r="E61" s="19" t="s">
        <v>174</v>
      </c>
      <c r="F61" s="19" t="s">
        <v>332</v>
      </c>
      <c r="G61" s="257"/>
      <c r="H61" s="94"/>
      <c r="I61" s="94"/>
      <c r="J61" s="94"/>
      <c r="K61" s="94"/>
      <c r="L61" s="94"/>
      <c r="M61" s="94"/>
      <c r="N61" s="94"/>
      <c r="O61" s="95"/>
      <c r="P61" s="94"/>
      <c r="Q61" s="55"/>
      <c r="R61" s="55"/>
    </row>
    <row r="62" spans="1:18" ht="15" customHeight="1" x14ac:dyDescent="0.3">
      <c r="A62" s="19" t="s">
        <v>73</v>
      </c>
      <c r="B62" s="19" t="s">
        <v>247</v>
      </c>
      <c r="C62" s="20" t="s">
        <v>414</v>
      </c>
      <c r="D62" s="19" t="s">
        <v>100</v>
      </c>
      <c r="E62" s="19" t="s">
        <v>174</v>
      </c>
      <c r="F62" s="19" t="s">
        <v>332</v>
      </c>
      <c r="G62" s="257"/>
      <c r="H62" s="94"/>
      <c r="I62" s="94"/>
      <c r="J62" s="94"/>
      <c r="K62" s="94"/>
      <c r="L62" s="94"/>
      <c r="M62" s="94"/>
      <c r="N62" s="94"/>
      <c r="O62" s="95"/>
      <c r="P62" s="94"/>
      <c r="Q62" s="55"/>
      <c r="R62" s="55"/>
    </row>
    <row r="63" spans="1:18" ht="15" customHeight="1" x14ac:dyDescent="0.3">
      <c r="A63" s="19" t="s">
        <v>26</v>
      </c>
      <c r="B63" s="19" t="s">
        <v>216</v>
      </c>
      <c r="C63" s="20" t="s">
        <v>431</v>
      </c>
      <c r="D63" s="19" t="s">
        <v>28</v>
      </c>
      <c r="E63" s="19" t="s">
        <v>483</v>
      </c>
      <c r="F63" s="19" t="s">
        <v>329</v>
      </c>
      <c r="G63" s="257"/>
      <c r="H63" s="94"/>
      <c r="I63" s="94"/>
      <c r="J63" s="94"/>
      <c r="K63" s="94"/>
      <c r="L63" s="94"/>
      <c r="M63" s="94"/>
      <c r="N63" s="94"/>
      <c r="O63" s="95"/>
      <c r="P63" s="94"/>
      <c r="Q63" s="55"/>
      <c r="R63" s="55"/>
    </row>
    <row r="64" spans="1:18" ht="15" customHeight="1" x14ac:dyDescent="0.3">
      <c r="A64" s="19" t="s">
        <v>26</v>
      </c>
      <c r="B64" s="19" t="s">
        <v>207</v>
      </c>
      <c r="C64" s="20" t="s">
        <v>429</v>
      </c>
      <c r="D64" s="19" t="s">
        <v>28</v>
      </c>
      <c r="E64" s="19" t="s">
        <v>483</v>
      </c>
      <c r="F64" s="19" t="s">
        <v>329</v>
      </c>
      <c r="G64" s="257"/>
      <c r="H64" s="94"/>
      <c r="I64" s="94"/>
      <c r="J64" s="94"/>
      <c r="K64" s="94"/>
      <c r="L64" s="94"/>
      <c r="M64" s="94"/>
      <c r="N64" s="94"/>
      <c r="O64" s="95"/>
      <c r="P64" s="94"/>
      <c r="Q64" s="55"/>
      <c r="R64" s="55"/>
    </row>
    <row r="65" spans="1:18" ht="15" customHeight="1" x14ac:dyDescent="0.3">
      <c r="A65" s="19" t="s">
        <v>36</v>
      </c>
      <c r="B65" s="19" t="s">
        <v>228</v>
      </c>
      <c r="C65" s="20" t="s">
        <v>435</v>
      </c>
      <c r="D65" s="19" t="s">
        <v>38</v>
      </c>
      <c r="E65" s="19" t="s">
        <v>174</v>
      </c>
      <c r="F65" s="19" t="s">
        <v>210</v>
      </c>
      <c r="G65" s="257"/>
      <c r="H65" s="94"/>
      <c r="I65" s="94"/>
      <c r="J65" s="94"/>
      <c r="K65" s="94"/>
      <c r="L65" s="94"/>
      <c r="M65" s="94"/>
      <c r="N65" s="94"/>
      <c r="O65" s="95"/>
      <c r="P65" s="94"/>
      <c r="Q65" s="55"/>
      <c r="R65" s="55"/>
    </row>
    <row r="66" spans="1:18" ht="15" customHeight="1" x14ac:dyDescent="0.3">
      <c r="A66" s="19" t="s">
        <v>36</v>
      </c>
      <c r="B66" s="19" t="s">
        <v>224</v>
      </c>
      <c r="C66" s="20" t="s">
        <v>433</v>
      </c>
      <c r="D66" s="19" t="s">
        <v>38</v>
      </c>
      <c r="E66" s="19" t="s">
        <v>174</v>
      </c>
      <c r="F66" s="19" t="s">
        <v>210</v>
      </c>
      <c r="G66" s="257"/>
      <c r="H66" s="94"/>
      <c r="I66" s="94"/>
      <c r="J66" s="94"/>
      <c r="K66" s="94"/>
      <c r="L66" s="94"/>
      <c r="M66" s="94"/>
      <c r="N66" s="94"/>
      <c r="O66" s="95"/>
      <c r="P66" s="94"/>
      <c r="Q66" s="55"/>
      <c r="R66" s="55"/>
    </row>
    <row r="67" spans="1:18" ht="15" customHeight="1" x14ac:dyDescent="0.3">
      <c r="A67" s="19" t="s">
        <v>36</v>
      </c>
      <c r="B67" s="19" t="s">
        <v>226</v>
      </c>
      <c r="C67" s="20" t="s">
        <v>434</v>
      </c>
      <c r="D67" s="19" t="s">
        <v>38</v>
      </c>
      <c r="E67" s="19" t="s">
        <v>169</v>
      </c>
      <c r="F67" s="19" t="s">
        <v>210</v>
      </c>
      <c r="G67" s="257"/>
      <c r="H67" s="94"/>
      <c r="I67" s="94"/>
      <c r="J67" s="94"/>
      <c r="K67" s="94"/>
      <c r="L67" s="94"/>
      <c r="M67" s="94"/>
      <c r="N67" s="94"/>
      <c r="O67" s="95"/>
      <c r="P67" s="94"/>
      <c r="Q67" s="55"/>
      <c r="R67" s="55"/>
    </row>
    <row r="68" spans="1:18" ht="15" customHeight="1" x14ac:dyDescent="0.3">
      <c r="A68" s="39" t="s">
        <v>36</v>
      </c>
      <c r="B68" s="39" t="s">
        <v>234</v>
      </c>
      <c r="C68" s="40" t="s">
        <v>438</v>
      </c>
      <c r="D68" s="39" t="s">
        <v>38</v>
      </c>
      <c r="E68" s="39" t="s">
        <v>169</v>
      </c>
      <c r="F68" s="39" t="s">
        <v>210</v>
      </c>
      <c r="G68" s="258"/>
      <c r="H68" s="96"/>
      <c r="I68" s="96"/>
      <c r="J68" s="96"/>
      <c r="K68" s="96"/>
      <c r="L68" s="96"/>
      <c r="M68" s="96"/>
      <c r="N68" s="96"/>
      <c r="O68" s="97"/>
      <c r="P68" s="96"/>
      <c r="Q68" s="98"/>
      <c r="R68" s="98"/>
    </row>
  </sheetData>
  <mergeCells count="21">
    <mergeCell ref="G45:G68"/>
    <mergeCell ref="A31:F31"/>
    <mergeCell ref="A58:F58"/>
    <mergeCell ref="K2:R2"/>
    <mergeCell ref="A24:F24"/>
    <mergeCell ref="H24:R24"/>
    <mergeCell ref="H1:L1"/>
    <mergeCell ref="A1:E1"/>
    <mergeCell ref="H43:R43"/>
    <mergeCell ref="A12:F12"/>
    <mergeCell ref="H4:R4"/>
    <mergeCell ref="A2:F2"/>
    <mergeCell ref="A3:R3"/>
    <mergeCell ref="G26:G41"/>
    <mergeCell ref="A42:R42"/>
    <mergeCell ref="G2:J2"/>
    <mergeCell ref="A4:F4"/>
    <mergeCell ref="A23:R23"/>
    <mergeCell ref="G6:G22"/>
    <mergeCell ref="A43:F43"/>
    <mergeCell ref="N1:R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J6"/>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8.1093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5" width="3.88671875" style="272" bestFit="1" customWidth="1"/>
    <col min="26" max="26" width="4.109375" style="272" bestFit="1" customWidth="1"/>
    <col min="27" max="27" width="5" style="272" bestFit="1" customWidth="1"/>
    <col min="28" max="29" width="4.21875" style="272" bestFit="1" customWidth="1"/>
    <col min="30" max="31" width="4.5546875" style="272" bestFit="1" customWidth="1"/>
    <col min="32" max="34" width="3.88671875" style="272" bestFit="1" customWidth="1"/>
    <col min="35" max="35" width="5.21875" style="272" bestFit="1" customWidth="1"/>
    <col min="36"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135</v>
      </c>
      <c r="B2" s="274">
        <v>45981</v>
      </c>
      <c r="C2" s="275" t="s">
        <v>451</v>
      </c>
      <c r="D2" s="276" t="s">
        <v>484</v>
      </c>
      <c r="E2" s="275" t="s">
        <v>441</v>
      </c>
      <c r="F2" s="275" t="s">
        <v>137</v>
      </c>
      <c r="G2" s="277">
        <v>1</v>
      </c>
      <c r="H2" s="278">
        <v>180</v>
      </c>
      <c r="I2" s="278">
        <v>180</v>
      </c>
      <c r="J2" s="278">
        <v>130</v>
      </c>
      <c r="K2" s="275" t="s">
        <v>138</v>
      </c>
      <c r="L2" s="279" t="s">
        <v>103</v>
      </c>
      <c r="M2" s="278">
        <v>0</v>
      </c>
      <c r="N2" s="278">
        <v>2</v>
      </c>
      <c r="O2" s="278">
        <v>18</v>
      </c>
      <c r="P2" s="275" t="s">
        <v>78</v>
      </c>
      <c r="Q2" s="271"/>
      <c r="R2" s="271"/>
      <c r="S2" s="271"/>
      <c r="T2" s="271"/>
      <c r="U2" s="271"/>
      <c r="V2" s="271"/>
      <c r="W2" s="271"/>
      <c r="X2" s="271"/>
      <c r="Y2" s="271"/>
      <c r="Z2" s="278" t="s">
        <v>254</v>
      </c>
      <c r="AA2" s="271"/>
      <c r="AB2" s="278" t="s">
        <v>406</v>
      </c>
      <c r="AC2" s="278" t="s">
        <v>485</v>
      </c>
      <c r="AD2" s="278" t="s">
        <v>486</v>
      </c>
      <c r="AE2" s="278" t="s">
        <v>487</v>
      </c>
      <c r="AF2" s="278" t="s">
        <v>375</v>
      </c>
      <c r="AG2" s="271"/>
      <c r="AH2" s="271"/>
      <c r="AI2" s="278" t="s">
        <v>144</v>
      </c>
      <c r="AJ2" s="271"/>
    </row>
    <row r="3" spans="1:36" x14ac:dyDescent="0.3">
      <c r="A3" s="273" t="s">
        <v>390</v>
      </c>
      <c r="B3" s="274">
        <v>45982</v>
      </c>
      <c r="C3" s="275" t="s">
        <v>451</v>
      </c>
      <c r="D3" s="276" t="s">
        <v>153</v>
      </c>
      <c r="E3" s="275" t="s">
        <v>441</v>
      </c>
      <c r="F3" s="275" t="s">
        <v>137</v>
      </c>
      <c r="G3" s="277">
        <v>0.74439999999999995</v>
      </c>
      <c r="H3" s="278">
        <v>180</v>
      </c>
      <c r="I3" s="278">
        <v>134</v>
      </c>
      <c r="J3" s="278">
        <v>45</v>
      </c>
      <c r="K3" s="275" t="s">
        <v>138</v>
      </c>
      <c r="L3" s="279" t="s">
        <v>103</v>
      </c>
      <c r="M3" s="278">
        <v>0</v>
      </c>
      <c r="N3" s="278">
        <v>16</v>
      </c>
      <c r="O3" s="278">
        <v>60</v>
      </c>
      <c r="P3" s="275" t="s">
        <v>396</v>
      </c>
      <c r="Q3" s="271"/>
      <c r="R3" s="271"/>
      <c r="S3" s="271"/>
      <c r="T3" s="271"/>
      <c r="U3" s="271"/>
      <c r="V3" s="271"/>
      <c r="W3" s="271"/>
      <c r="X3" s="278" t="s">
        <v>488</v>
      </c>
      <c r="Y3" s="278" t="s">
        <v>359</v>
      </c>
      <c r="Z3" s="278" t="s">
        <v>180</v>
      </c>
      <c r="AA3" s="278" t="s">
        <v>489</v>
      </c>
      <c r="AB3" s="278" t="s">
        <v>490</v>
      </c>
      <c r="AC3" s="278" t="s">
        <v>491</v>
      </c>
      <c r="AD3" s="278" t="s">
        <v>492</v>
      </c>
      <c r="AE3" s="278" t="s">
        <v>381</v>
      </c>
      <c r="AF3" s="278" t="s">
        <v>382</v>
      </c>
      <c r="AG3" s="271"/>
      <c r="AH3" s="271"/>
      <c r="AI3" s="278" t="s">
        <v>428</v>
      </c>
      <c r="AJ3" s="271"/>
    </row>
    <row r="4" spans="1:36" x14ac:dyDescent="0.3">
      <c r="A4" s="273" t="s">
        <v>146</v>
      </c>
      <c r="B4" s="274">
        <v>45983</v>
      </c>
      <c r="C4" s="275" t="s">
        <v>470</v>
      </c>
      <c r="D4" s="276" t="s">
        <v>493</v>
      </c>
      <c r="E4" s="275" t="s">
        <v>441</v>
      </c>
      <c r="F4" s="275" t="s">
        <v>137</v>
      </c>
      <c r="G4" s="277">
        <v>0.95</v>
      </c>
      <c r="H4" s="278">
        <v>180</v>
      </c>
      <c r="I4" s="278">
        <v>171</v>
      </c>
      <c r="J4" s="278">
        <v>127</v>
      </c>
      <c r="K4" s="275" t="s">
        <v>138</v>
      </c>
      <c r="L4" s="279" t="s">
        <v>103</v>
      </c>
      <c r="M4" s="278">
        <v>0</v>
      </c>
      <c r="N4" s="278">
        <v>4</v>
      </c>
      <c r="O4" s="278">
        <v>20</v>
      </c>
      <c r="P4" s="275" t="s">
        <v>333</v>
      </c>
      <c r="Q4" s="271"/>
      <c r="R4" s="271"/>
      <c r="S4" s="271"/>
      <c r="T4" s="271"/>
      <c r="U4" s="271"/>
      <c r="V4" s="271"/>
      <c r="W4" s="271"/>
      <c r="X4" s="271"/>
      <c r="Y4" s="271"/>
      <c r="Z4" s="278" t="s">
        <v>197</v>
      </c>
      <c r="AA4" s="278" t="s">
        <v>308</v>
      </c>
      <c r="AB4" s="278" t="s">
        <v>494</v>
      </c>
      <c r="AC4" s="278" t="s">
        <v>200</v>
      </c>
      <c r="AD4" s="278" t="s">
        <v>492</v>
      </c>
      <c r="AE4" s="271"/>
      <c r="AF4" s="271"/>
      <c r="AG4" s="271"/>
      <c r="AH4" s="271"/>
      <c r="AI4" s="278" t="s">
        <v>495</v>
      </c>
      <c r="AJ4" s="271"/>
    </row>
    <row r="5" spans="1:36" x14ac:dyDescent="0.3">
      <c r="A5" s="273" t="s">
        <v>146</v>
      </c>
      <c r="B5" s="274">
        <v>45983</v>
      </c>
      <c r="C5" s="275" t="s">
        <v>451</v>
      </c>
      <c r="D5" s="276" t="s">
        <v>496</v>
      </c>
      <c r="E5" s="275" t="s">
        <v>441</v>
      </c>
      <c r="F5" s="275" t="s">
        <v>137</v>
      </c>
      <c r="G5" s="277">
        <v>0.88329999999999997</v>
      </c>
      <c r="H5" s="278">
        <v>180</v>
      </c>
      <c r="I5" s="278">
        <v>159</v>
      </c>
      <c r="J5" s="278">
        <v>90</v>
      </c>
      <c r="K5" s="275" t="s">
        <v>138</v>
      </c>
      <c r="L5" s="279" t="s">
        <v>103</v>
      </c>
      <c r="M5" s="278">
        <v>0</v>
      </c>
      <c r="N5" s="278">
        <v>8</v>
      </c>
      <c r="O5" s="278">
        <v>37</v>
      </c>
      <c r="P5" s="275" t="s">
        <v>472</v>
      </c>
      <c r="Q5" s="271"/>
      <c r="R5" s="271"/>
      <c r="S5" s="271"/>
      <c r="T5" s="271"/>
      <c r="U5" s="271"/>
      <c r="V5" s="271"/>
      <c r="W5" s="271"/>
      <c r="X5" s="271"/>
      <c r="Y5" s="271"/>
      <c r="Z5" s="278" t="s">
        <v>373</v>
      </c>
      <c r="AA5" s="278" t="s">
        <v>421</v>
      </c>
      <c r="AB5" s="278" t="s">
        <v>497</v>
      </c>
      <c r="AC5" s="278" t="s">
        <v>200</v>
      </c>
      <c r="AD5" s="278" t="s">
        <v>368</v>
      </c>
      <c r="AE5" s="278" t="s">
        <v>402</v>
      </c>
      <c r="AF5" s="271"/>
      <c r="AG5" s="271"/>
      <c r="AH5" s="271"/>
      <c r="AI5" s="278" t="s">
        <v>183</v>
      </c>
      <c r="AJ5" s="271"/>
    </row>
    <row r="6" spans="1:36" ht="21" x14ac:dyDescent="0.3">
      <c r="A6" s="280" t="s">
        <v>943</v>
      </c>
      <c r="B6" s="281"/>
      <c r="C6" s="280">
        <f>SUBTOTAL(103,HBE_JED_LF_LEGACY[Flt])</f>
        <v>4</v>
      </c>
      <c r="D6" s="280"/>
      <c r="E6" s="280">
        <f>SUBTOTAL(103,HBE_JED_LF_LEGACY[Brd-Off])</f>
        <v>4</v>
      </c>
      <c r="F6" s="280"/>
      <c r="G6" s="282">
        <f>SUBTOTAL(101,HBE_JED_LF_LEGACY[LF%])</f>
        <v>0.89442500000000003</v>
      </c>
      <c r="H6" s="283">
        <f>SUBTOTAL(109,HBE_JED_LF_LEGACY[CAP])</f>
        <v>720</v>
      </c>
      <c r="I6" s="283">
        <f>SUBTOTAL(109,HBE_JED_LF_LEGACY[BKG(Y)])</f>
        <v>644</v>
      </c>
      <c r="J6" s="283">
        <f>SUBTOTAL(109,HBE_JED_LF_LEGACY[GRP(Y)])</f>
        <v>392</v>
      </c>
      <c r="K6" s="280"/>
      <c r="L6" s="281"/>
      <c r="M6" s="283">
        <f>SUBTOTAL(109,HBE_JED_LF_LEGACY[TO-DAY])</f>
        <v>0</v>
      </c>
      <c r="N6" s="283">
        <f>SUBTOTAL(109,HBE_JED_LF_LEGACY[Y-DAY])</f>
        <v>30</v>
      </c>
      <c r="O6" s="283">
        <f>SUBTOTAL(109,HBE_JED_LF_LEGACY[WEEKLY])</f>
        <v>135</v>
      </c>
      <c r="P6" s="284"/>
      <c r="Q6" s="283">
        <f>SUBTOTAL(109,HBE_JED_LF_LEGACY[Y])</f>
        <v>0</v>
      </c>
      <c r="R6" s="283">
        <f>SUBTOTAL(109,HBE_JED_LF_LEGACY[B])</f>
        <v>0</v>
      </c>
      <c r="S6" s="283">
        <f>SUBTOTAL(109,HBE_JED_LF_LEGACY[M])</f>
        <v>0</v>
      </c>
      <c r="T6" s="283">
        <f>SUBTOTAL(109,HBE_JED_LF_LEGACY[H])</f>
        <v>0</v>
      </c>
      <c r="U6" s="283">
        <f>SUBTOTAL(109,HBE_JED_LF_LEGACY[Q])</f>
        <v>0</v>
      </c>
      <c r="V6" s="283">
        <f>SUBTOTAL(109,HBE_JED_LF_LEGACY[K])</f>
        <v>0</v>
      </c>
      <c r="W6" s="283">
        <f>SUBTOTAL(109,HBE_JED_LF_LEGACY[V])</f>
        <v>0</v>
      </c>
      <c r="X6" s="283">
        <f>SUBTOTAL(109,HBE_JED_LF_LEGACY[L])</f>
        <v>0</v>
      </c>
      <c r="Y6" s="283">
        <f>SUBTOTAL(109,HBE_JED_LF_LEGACY[G])</f>
        <v>0</v>
      </c>
      <c r="Z6" s="283">
        <f>SUBTOTAL(109,HBE_JED_LF_LEGACY[S])</f>
        <v>0</v>
      </c>
      <c r="AA6" s="283">
        <f>SUBTOTAL(109,HBE_JED_LF_LEGACY[W])</f>
        <v>0</v>
      </c>
      <c r="AB6" s="283">
        <f>SUBTOTAL(109,HBE_JED_LF_LEGACY[T])</f>
        <v>0</v>
      </c>
      <c r="AC6" s="283">
        <f>SUBTOTAL(109,HBE_JED_LF_LEGACY[X])</f>
        <v>0</v>
      </c>
      <c r="AD6" s="283">
        <f>SUBTOTAL(109,HBE_JED_LF_LEGACY[U])</f>
        <v>0</v>
      </c>
      <c r="AE6" s="283">
        <f>SUBTOTAL(109,HBE_JED_LF_LEGACY[O])</f>
        <v>0</v>
      </c>
      <c r="AF6" s="283">
        <f>SUBTOTAL(109,HBE_JED_LF_LEGACY[I])</f>
        <v>0</v>
      </c>
      <c r="AG6" s="283">
        <f>SUBTOTAL(109,HBE_JED_LF_LEGACY[E])</f>
        <v>0</v>
      </c>
      <c r="AH6" s="283">
        <f>SUBTOTAL(109,HBE_JED_LF_LEGACY[A])</f>
        <v>0</v>
      </c>
      <c r="AI6" s="283">
        <f>SUBTOTAL(109,HBE_JED_LF_LEGACY[P])</f>
        <v>0</v>
      </c>
      <c r="AJ6" s="283">
        <f>SUBTOTAL(103,HBE_JED_LF_LEGACY[N])</f>
        <v>0</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5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2.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266</v>
      </c>
      <c r="C2" s="61" t="s">
        <v>442</v>
      </c>
      <c r="D2" s="60" t="s">
        <v>441</v>
      </c>
      <c r="E2" s="60" t="s">
        <v>498</v>
      </c>
      <c r="F2" s="60" t="s">
        <v>443</v>
      </c>
      <c r="G2" s="62">
        <v>4</v>
      </c>
      <c r="H2" s="63" t="s">
        <v>444</v>
      </c>
    </row>
    <row r="3" spans="1:8" ht="19.8" customHeight="1" x14ac:dyDescent="0.3">
      <c r="A3" s="59" t="s">
        <v>152</v>
      </c>
      <c r="B3" s="60" t="s">
        <v>266</v>
      </c>
      <c r="C3" s="61" t="s">
        <v>442</v>
      </c>
      <c r="D3" s="60" t="s">
        <v>441</v>
      </c>
      <c r="E3" s="60" t="s">
        <v>498</v>
      </c>
      <c r="F3" s="60" t="s">
        <v>445</v>
      </c>
      <c r="G3" s="62">
        <v>4</v>
      </c>
      <c r="H3" s="63" t="s">
        <v>446</v>
      </c>
    </row>
    <row r="4" spans="1:8" ht="19.8" customHeight="1" x14ac:dyDescent="0.3">
      <c r="A4" s="59" t="s">
        <v>152</v>
      </c>
      <c r="B4" s="60" t="s">
        <v>266</v>
      </c>
      <c r="C4" s="61" t="s">
        <v>442</v>
      </c>
      <c r="D4" s="60" t="s">
        <v>441</v>
      </c>
      <c r="E4" s="60" t="s">
        <v>498</v>
      </c>
      <c r="F4" s="60" t="s">
        <v>34</v>
      </c>
      <c r="G4" s="62">
        <v>4</v>
      </c>
      <c r="H4" s="63" t="s">
        <v>447</v>
      </c>
    </row>
    <row r="5" spans="1:8" ht="19.8" customHeight="1" x14ac:dyDescent="0.3">
      <c r="A5" s="59" t="s">
        <v>152</v>
      </c>
      <c r="B5" s="60" t="s">
        <v>52</v>
      </c>
      <c r="C5" s="61" t="s">
        <v>448</v>
      </c>
      <c r="D5" s="60" t="s">
        <v>441</v>
      </c>
      <c r="E5" s="60" t="s">
        <v>499</v>
      </c>
      <c r="F5" s="60" t="s">
        <v>57</v>
      </c>
      <c r="G5" s="62">
        <v>6</v>
      </c>
      <c r="H5" s="63" t="s">
        <v>449</v>
      </c>
    </row>
    <row r="6" spans="1:8" ht="19.8" customHeight="1" x14ac:dyDescent="0.3">
      <c r="A6" s="59" t="s">
        <v>152</v>
      </c>
      <c r="B6" s="60" t="s">
        <v>52</v>
      </c>
      <c r="C6" s="61" t="s">
        <v>450</v>
      </c>
      <c r="D6" s="60" t="s">
        <v>441</v>
      </c>
      <c r="E6" s="60" t="s">
        <v>500</v>
      </c>
      <c r="F6" s="60" t="s">
        <v>57</v>
      </c>
      <c r="G6" s="62">
        <v>2</v>
      </c>
      <c r="H6" s="63" t="s">
        <v>449</v>
      </c>
    </row>
    <row r="7" spans="1:8" ht="19.8" customHeight="1" x14ac:dyDescent="0.3">
      <c r="A7" s="99" t="s">
        <v>152</v>
      </c>
      <c r="B7" s="77" t="s">
        <v>73</v>
      </c>
      <c r="C7" s="78" t="s">
        <v>451</v>
      </c>
      <c r="D7" s="77" t="s">
        <v>441</v>
      </c>
      <c r="E7" s="77" t="s">
        <v>484</v>
      </c>
      <c r="F7" s="77" t="s">
        <v>75</v>
      </c>
      <c r="G7" s="77"/>
      <c r="H7" s="81" t="s">
        <v>76</v>
      </c>
    </row>
    <row r="8" spans="1:8" ht="19.8" customHeight="1" x14ac:dyDescent="0.3">
      <c r="A8" s="100"/>
      <c r="B8" s="101"/>
      <c r="C8" s="101"/>
      <c r="D8" s="101"/>
      <c r="E8" s="101"/>
      <c r="F8" s="102" t="s">
        <v>501</v>
      </c>
      <c r="G8" s="101"/>
      <c r="H8" s="103"/>
    </row>
    <row r="9" spans="1:8" ht="19.8" customHeight="1" x14ac:dyDescent="0.3">
      <c r="A9" s="68">
        <v>45981</v>
      </c>
      <c r="B9" s="60" t="s">
        <v>26</v>
      </c>
      <c r="C9" s="61" t="s">
        <v>207</v>
      </c>
      <c r="D9" s="60" t="s">
        <v>206</v>
      </c>
      <c r="E9" s="69">
        <v>1.989583333333333</v>
      </c>
      <c r="F9" s="60" t="s">
        <v>28</v>
      </c>
      <c r="G9" s="62">
        <v>2</v>
      </c>
      <c r="H9" s="63" t="s">
        <v>208</v>
      </c>
    </row>
    <row r="10" spans="1:8" ht="19.8" customHeight="1" x14ac:dyDescent="0.3">
      <c r="A10" s="68">
        <v>45981</v>
      </c>
      <c r="B10" s="60" t="s">
        <v>26</v>
      </c>
      <c r="C10" s="61" t="s">
        <v>211</v>
      </c>
      <c r="D10" s="60" t="s">
        <v>206</v>
      </c>
      <c r="E10" s="69">
        <v>1.399305555555556</v>
      </c>
      <c r="F10" s="60" t="s">
        <v>28</v>
      </c>
      <c r="G10" s="62">
        <v>11</v>
      </c>
      <c r="H10" s="63" t="s">
        <v>213</v>
      </c>
    </row>
    <row r="11" spans="1:8" ht="19.8" customHeight="1" x14ac:dyDescent="0.3">
      <c r="A11" s="68">
        <v>45981</v>
      </c>
      <c r="B11" s="60" t="s">
        <v>26</v>
      </c>
      <c r="C11" s="61" t="s">
        <v>216</v>
      </c>
      <c r="D11" s="60" t="s">
        <v>206</v>
      </c>
      <c r="E11" s="69">
        <v>1.8888888888888891</v>
      </c>
      <c r="F11" s="60" t="s">
        <v>28</v>
      </c>
      <c r="G11" s="62">
        <v>9</v>
      </c>
      <c r="H11" s="63" t="s">
        <v>213</v>
      </c>
    </row>
    <row r="12" spans="1:8" ht="19.8" customHeight="1" x14ac:dyDescent="0.3">
      <c r="A12" s="68">
        <v>45981</v>
      </c>
      <c r="B12" s="60" t="s">
        <v>26</v>
      </c>
      <c r="C12" s="61" t="s">
        <v>218</v>
      </c>
      <c r="D12" s="60" t="s">
        <v>206</v>
      </c>
      <c r="E12" s="69">
        <v>1.489583333333333</v>
      </c>
      <c r="F12" s="60" t="s">
        <v>28</v>
      </c>
      <c r="G12" s="62">
        <v>17</v>
      </c>
      <c r="H12" s="63" t="s">
        <v>220</v>
      </c>
    </row>
    <row r="13" spans="1:8" ht="19.8" customHeight="1" x14ac:dyDescent="0.3">
      <c r="A13" s="68">
        <v>45981</v>
      </c>
      <c r="B13" s="60" t="s">
        <v>36</v>
      </c>
      <c r="C13" s="61" t="s">
        <v>224</v>
      </c>
      <c r="D13" s="60" t="s">
        <v>206</v>
      </c>
      <c r="E13" s="69">
        <v>1.993055555555556</v>
      </c>
      <c r="F13" s="60" t="s">
        <v>38</v>
      </c>
      <c r="G13" s="62">
        <v>6</v>
      </c>
      <c r="H13" s="63" t="s">
        <v>30</v>
      </c>
    </row>
    <row r="14" spans="1:8" ht="19.8" customHeight="1" x14ac:dyDescent="0.3">
      <c r="A14" s="68">
        <v>45981</v>
      </c>
      <c r="B14" s="60" t="s">
        <v>36</v>
      </c>
      <c r="C14" s="61" t="s">
        <v>226</v>
      </c>
      <c r="D14" s="60" t="s">
        <v>206</v>
      </c>
      <c r="E14" s="69">
        <v>1.944444444444444</v>
      </c>
      <c r="F14" s="60" t="s">
        <v>38</v>
      </c>
      <c r="G14" s="62">
        <v>7</v>
      </c>
      <c r="H14" s="63" t="s">
        <v>30</v>
      </c>
    </row>
    <row r="15" spans="1:8" ht="19.8" customHeight="1" x14ac:dyDescent="0.3">
      <c r="A15" s="68">
        <v>45981</v>
      </c>
      <c r="B15" s="60" t="s">
        <v>26</v>
      </c>
      <c r="C15" s="61" t="s">
        <v>207</v>
      </c>
      <c r="D15" s="60" t="s">
        <v>206</v>
      </c>
      <c r="E15" s="69">
        <v>1.989583333333333</v>
      </c>
      <c r="F15" s="60" t="s">
        <v>31</v>
      </c>
      <c r="G15" s="62">
        <v>2</v>
      </c>
      <c r="H15" s="63" t="s">
        <v>210</v>
      </c>
    </row>
    <row r="16" spans="1:8" ht="19.8" customHeight="1" x14ac:dyDescent="0.3">
      <c r="A16" s="68">
        <v>45981</v>
      </c>
      <c r="B16" s="60" t="s">
        <v>36</v>
      </c>
      <c r="C16" s="61" t="s">
        <v>228</v>
      </c>
      <c r="D16" s="60" t="s">
        <v>206</v>
      </c>
      <c r="E16" s="69">
        <v>1.3472222222222221</v>
      </c>
      <c r="F16" s="60" t="s">
        <v>38</v>
      </c>
      <c r="G16" s="62">
        <v>9</v>
      </c>
      <c r="H16" s="63" t="s">
        <v>210</v>
      </c>
    </row>
    <row r="17" spans="1:8" ht="19.8" customHeight="1" x14ac:dyDescent="0.3">
      <c r="A17" s="68">
        <v>45981</v>
      </c>
      <c r="B17" s="60" t="s">
        <v>36</v>
      </c>
      <c r="C17" s="61" t="s">
        <v>230</v>
      </c>
      <c r="D17" s="60" t="s">
        <v>206</v>
      </c>
      <c r="E17" s="69">
        <v>1.75</v>
      </c>
      <c r="F17" s="60" t="s">
        <v>38</v>
      </c>
      <c r="G17" s="62">
        <v>1</v>
      </c>
      <c r="H17" s="63" t="s">
        <v>210</v>
      </c>
    </row>
    <row r="18" spans="1:8" ht="19.8" customHeight="1" x14ac:dyDescent="0.3">
      <c r="A18" s="70">
        <v>45981</v>
      </c>
      <c r="B18" s="71" t="s">
        <v>36</v>
      </c>
      <c r="C18" s="72" t="s">
        <v>232</v>
      </c>
      <c r="D18" s="71" t="s">
        <v>206</v>
      </c>
      <c r="E18" s="73">
        <v>1.836805555555556</v>
      </c>
      <c r="F18" s="71" t="s">
        <v>38</v>
      </c>
      <c r="G18" s="74">
        <v>2</v>
      </c>
      <c r="H18" s="75" t="s">
        <v>210</v>
      </c>
    </row>
    <row r="19" spans="1:8" ht="19.8" customHeight="1" x14ac:dyDescent="0.3">
      <c r="A19" s="68">
        <v>45982</v>
      </c>
      <c r="B19" s="60" t="s">
        <v>266</v>
      </c>
      <c r="C19" s="61" t="s">
        <v>457</v>
      </c>
      <c r="D19" s="60" t="s">
        <v>441</v>
      </c>
      <c r="E19" s="69">
        <v>1.010416666666667</v>
      </c>
      <c r="F19" s="60" t="s">
        <v>443</v>
      </c>
      <c r="G19" s="62">
        <v>9</v>
      </c>
      <c r="H19" s="63" t="s">
        <v>458</v>
      </c>
    </row>
    <row r="20" spans="1:8" ht="19.8" customHeight="1" x14ac:dyDescent="0.3">
      <c r="A20" s="76">
        <v>45982</v>
      </c>
      <c r="B20" s="77" t="s">
        <v>73</v>
      </c>
      <c r="C20" s="78" t="s">
        <v>461</v>
      </c>
      <c r="D20" s="77" t="s">
        <v>441</v>
      </c>
      <c r="E20" s="79">
        <v>1.229166666666667</v>
      </c>
      <c r="F20" s="77" t="s">
        <v>100</v>
      </c>
      <c r="G20" s="80">
        <v>1</v>
      </c>
      <c r="H20" s="81" t="s">
        <v>243</v>
      </c>
    </row>
    <row r="21" spans="1:8" ht="19.8" customHeight="1" x14ac:dyDescent="0.3">
      <c r="A21" s="68">
        <v>45982</v>
      </c>
      <c r="B21" s="60" t="s">
        <v>266</v>
      </c>
      <c r="C21" s="61" t="s">
        <v>457</v>
      </c>
      <c r="D21" s="60" t="s">
        <v>441</v>
      </c>
      <c r="E21" s="69">
        <v>1.010416666666667</v>
      </c>
      <c r="F21" s="60" t="s">
        <v>445</v>
      </c>
      <c r="G21" s="62">
        <v>9</v>
      </c>
      <c r="H21" s="63" t="s">
        <v>459</v>
      </c>
    </row>
    <row r="22" spans="1:8" ht="19.8" customHeight="1" x14ac:dyDescent="0.3">
      <c r="A22" s="68">
        <v>45982</v>
      </c>
      <c r="B22" s="60" t="s">
        <v>266</v>
      </c>
      <c r="C22" s="61" t="s">
        <v>457</v>
      </c>
      <c r="D22" s="60" t="s">
        <v>441</v>
      </c>
      <c r="E22" s="69">
        <v>1.010416666666667</v>
      </c>
      <c r="F22" s="60" t="s">
        <v>34</v>
      </c>
      <c r="G22" s="62">
        <v>9</v>
      </c>
      <c r="H22" s="63" t="s">
        <v>460</v>
      </c>
    </row>
    <row r="23" spans="1:8" ht="19.8" customHeight="1" x14ac:dyDescent="0.3">
      <c r="A23" s="68">
        <v>45982</v>
      </c>
      <c r="B23" s="60" t="s">
        <v>52</v>
      </c>
      <c r="C23" s="61" t="s">
        <v>450</v>
      </c>
      <c r="D23" s="60" t="s">
        <v>441</v>
      </c>
      <c r="E23" s="69">
        <v>1.819444444444444</v>
      </c>
      <c r="F23" s="60" t="s">
        <v>57</v>
      </c>
      <c r="G23" s="62">
        <v>7</v>
      </c>
      <c r="H23" s="63" t="s">
        <v>449</v>
      </c>
    </row>
    <row r="24" spans="1:8" ht="19.8" customHeight="1" x14ac:dyDescent="0.3">
      <c r="A24" s="100"/>
      <c r="B24" s="101"/>
      <c r="C24" s="101"/>
      <c r="D24" s="101"/>
      <c r="E24" s="101"/>
      <c r="F24" s="102" t="s">
        <v>501</v>
      </c>
      <c r="G24" s="101"/>
      <c r="H24" s="103"/>
    </row>
    <row r="25" spans="1:8" ht="19.8" customHeight="1" x14ac:dyDescent="0.3">
      <c r="A25" s="68">
        <v>45982</v>
      </c>
      <c r="B25" s="60" t="s">
        <v>26</v>
      </c>
      <c r="C25" s="61" t="s">
        <v>211</v>
      </c>
      <c r="D25" s="60" t="s">
        <v>206</v>
      </c>
      <c r="E25" s="69">
        <v>1.399305555555556</v>
      </c>
      <c r="F25" s="60" t="s">
        <v>28</v>
      </c>
      <c r="G25" s="62">
        <v>1</v>
      </c>
      <c r="H25" s="63" t="s">
        <v>213</v>
      </c>
    </row>
    <row r="26" spans="1:8" ht="19.8" customHeight="1" x14ac:dyDescent="0.3">
      <c r="A26" s="68">
        <v>45982</v>
      </c>
      <c r="B26" s="60" t="s">
        <v>26</v>
      </c>
      <c r="C26" s="61" t="s">
        <v>218</v>
      </c>
      <c r="D26" s="60" t="s">
        <v>206</v>
      </c>
      <c r="E26" s="69">
        <v>1.489583333333333</v>
      </c>
      <c r="F26" s="60" t="s">
        <v>28</v>
      </c>
      <c r="G26" s="62">
        <v>4</v>
      </c>
      <c r="H26" s="63" t="s">
        <v>213</v>
      </c>
    </row>
    <row r="27" spans="1:8" ht="19.8" customHeight="1" x14ac:dyDescent="0.3">
      <c r="A27" s="68">
        <v>45982</v>
      </c>
      <c r="B27" s="60" t="s">
        <v>26</v>
      </c>
      <c r="C27" s="61" t="s">
        <v>207</v>
      </c>
      <c r="D27" s="60" t="s">
        <v>206</v>
      </c>
      <c r="E27" s="69">
        <v>1.989583333333333</v>
      </c>
      <c r="F27" s="60" t="s">
        <v>28</v>
      </c>
      <c r="G27" s="62">
        <v>7</v>
      </c>
      <c r="H27" s="63" t="s">
        <v>213</v>
      </c>
    </row>
    <row r="28" spans="1:8" ht="19.8" customHeight="1" x14ac:dyDescent="0.3">
      <c r="A28" s="68">
        <v>45982</v>
      </c>
      <c r="B28" s="60" t="s">
        <v>26</v>
      </c>
      <c r="C28" s="61" t="s">
        <v>216</v>
      </c>
      <c r="D28" s="60" t="s">
        <v>206</v>
      </c>
      <c r="E28" s="69">
        <v>1.8888888888888891</v>
      </c>
      <c r="F28" s="60" t="s">
        <v>295</v>
      </c>
      <c r="G28" s="62">
        <v>15</v>
      </c>
      <c r="H28" s="63" t="s">
        <v>220</v>
      </c>
    </row>
    <row r="29" spans="1:8" ht="19.8" customHeight="1" x14ac:dyDescent="0.3">
      <c r="A29" s="68">
        <v>45982</v>
      </c>
      <c r="B29" s="60" t="s">
        <v>26</v>
      </c>
      <c r="C29" s="61" t="s">
        <v>216</v>
      </c>
      <c r="D29" s="60" t="s">
        <v>206</v>
      </c>
      <c r="E29" s="69">
        <v>1.8888888888888891</v>
      </c>
      <c r="F29" s="60" t="s">
        <v>28</v>
      </c>
      <c r="G29" s="62">
        <v>15</v>
      </c>
      <c r="H29" s="63" t="s">
        <v>220</v>
      </c>
    </row>
    <row r="30" spans="1:8" ht="19.8" customHeight="1" x14ac:dyDescent="0.3">
      <c r="A30" s="68">
        <v>45982</v>
      </c>
      <c r="B30" s="60" t="s">
        <v>36</v>
      </c>
      <c r="C30" s="61" t="s">
        <v>228</v>
      </c>
      <c r="D30" s="60" t="s">
        <v>206</v>
      </c>
      <c r="E30" s="69">
        <v>1.3472222222222221</v>
      </c>
      <c r="F30" s="60" t="s">
        <v>297</v>
      </c>
      <c r="G30" s="62">
        <v>6</v>
      </c>
      <c r="H30" s="63" t="s">
        <v>30</v>
      </c>
    </row>
    <row r="31" spans="1:8" ht="19.8" customHeight="1" x14ac:dyDescent="0.3">
      <c r="A31" s="68">
        <v>45982</v>
      </c>
      <c r="B31" s="60" t="s">
        <v>36</v>
      </c>
      <c r="C31" s="61" t="s">
        <v>228</v>
      </c>
      <c r="D31" s="60" t="s">
        <v>206</v>
      </c>
      <c r="E31" s="69">
        <v>1.3472222222222221</v>
      </c>
      <c r="F31" s="60" t="s">
        <v>38</v>
      </c>
      <c r="G31" s="62">
        <v>6</v>
      </c>
      <c r="H31" s="63" t="s">
        <v>30</v>
      </c>
    </row>
    <row r="32" spans="1:8" ht="19.8" customHeight="1" x14ac:dyDescent="0.3">
      <c r="A32" s="68">
        <v>45982</v>
      </c>
      <c r="B32" s="60" t="s">
        <v>36</v>
      </c>
      <c r="C32" s="61" t="s">
        <v>234</v>
      </c>
      <c r="D32" s="60" t="s">
        <v>206</v>
      </c>
      <c r="E32" s="69">
        <v>1.4861111111111109</v>
      </c>
      <c r="F32" s="60" t="s">
        <v>297</v>
      </c>
      <c r="G32" s="62">
        <v>2</v>
      </c>
      <c r="H32" s="63" t="s">
        <v>30</v>
      </c>
    </row>
    <row r="33" spans="1:8" ht="19.8" customHeight="1" x14ac:dyDescent="0.3">
      <c r="A33" s="68">
        <v>45982</v>
      </c>
      <c r="B33" s="60" t="s">
        <v>36</v>
      </c>
      <c r="C33" s="61" t="s">
        <v>234</v>
      </c>
      <c r="D33" s="60" t="s">
        <v>206</v>
      </c>
      <c r="E33" s="69">
        <v>1.4861111111111109</v>
      </c>
      <c r="F33" s="60" t="s">
        <v>38</v>
      </c>
      <c r="G33" s="62">
        <v>2</v>
      </c>
      <c r="H33" s="63" t="s">
        <v>30</v>
      </c>
    </row>
    <row r="34" spans="1:8" ht="19.8" customHeight="1" x14ac:dyDescent="0.3">
      <c r="A34" s="70">
        <v>45982</v>
      </c>
      <c r="B34" s="71" t="s">
        <v>36</v>
      </c>
      <c r="C34" s="72" t="s">
        <v>238</v>
      </c>
      <c r="D34" s="71" t="s">
        <v>206</v>
      </c>
      <c r="E34" s="73">
        <v>1.8888888888888891</v>
      </c>
      <c r="F34" s="71" t="s">
        <v>297</v>
      </c>
      <c r="G34" s="74">
        <v>2</v>
      </c>
      <c r="H34" s="75" t="s">
        <v>30</v>
      </c>
    </row>
    <row r="35" spans="1:8" ht="19.8" customHeight="1" x14ac:dyDescent="0.3">
      <c r="A35" s="68">
        <v>45983</v>
      </c>
      <c r="B35" s="60" t="s">
        <v>26</v>
      </c>
      <c r="C35" s="61" t="s">
        <v>463</v>
      </c>
      <c r="D35" s="60" t="s">
        <v>441</v>
      </c>
      <c r="E35" s="69">
        <v>1.3611111111111109</v>
      </c>
      <c r="F35" s="60" t="s">
        <v>464</v>
      </c>
      <c r="G35" s="62">
        <v>3</v>
      </c>
      <c r="H35" s="63" t="s">
        <v>465</v>
      </c>
    </row>
    <row r="36" spans="1:8" ht="19.8" customHeight="1" x14ac:dyDescent="0.3">
      <c r="A36" s="68">
        <v>45983</v>
      </c>
      <c r="B36" s="60" t="s">
        <v>26</v>
      </c>
      <c r="C36" s="61" t="s">
        <v>463</v>
      </c>
      <c r="D36" s="60" t="s">
        <v>441</v>
      </c>
      <c r="E36" s="69">
        <v>1.3611111111111109</v>
      </c>
      <c r="F36" s="60" t="s">
        <v>443</v>
      </c>
      <c r="G36" s="62">
        <v>3</v>
      </c>
      <c r="H36" s="63" t="s">
        <v>466</v>
      </c>
    </row>
    <row r="37" spans="1:8" ht="19.8" customHeight="1" x14ac:dyDescent="0.3">
      <c r="A37" s="76">
        <v>45983</v>
      </c>
      <c r="B37" s="77" t="s">
        <v>73</v>
      </c>
      <c r="C37" s="78" t="s">
        <v>469</v>
      </c>
      <c r="D37" s="77" t="s">
        <v>441</v>
      </c>
      <c r="E37" s="79">
        <v>1.270833333333333</v>
      </c>
      <c r="F37" s="77" t="s">
        <v>100</v>
      </c>
      <c r="G37" s="80">
        <v>1</v>
      </c>
      <c r="H37" s="81" t="s">
        <v>332</v>
      </c>
    </row>
    <row r="38" spans="1:8" ht="19.8" customHeight="1" x14ac:dyDescent="0.3">
      <c r="A38" s="68">
        <v>45983</v>
      </c>
      <c r="B38" s="60" t="s">
        <v>26</v>
      </c>
      <c r="C38" s="61" t="s">
        <v>463</v>
      </c>
      <c r="D38" s="60" t="s">
        <v>441</v>
      </c>
      <c r="E38" s="69">
        <v>1.3611111111111109</v>
      </c>
      <c r="F38" s="60" t="s">
        <v>445</v>
      </c>
      <c r="G38" s="62">
        <v>3</v>
      </c>
      <c r="H38" s="63" t="s">
        <v>467</v>
      </c>
    </row>
    <row r="39" spans="1:8" ht="19.8" customHeight="1" x14ac:dyDescent="0.3">
      <c r="A39" s="76">
        <v>45983</v>
      </c>
      <c r="B39" s="77" t="s">
        <v>73</v>
      </c>
      <c r="C39" s="78" t="s">
        <v>461</v>
      </c>
      <c r="D39" s="77" t="s">
        <v>441</v>
      </c>
      <c r="E39" s="79">
        <v>1.604166666666667</v>
      </c>
      <c r="F39" s="77" t="s">
        <v>100</v>
      </c>
      <c r="G39" s="80">
        <v>7</v>
      </c>
      <c r="H39" s="81" t="s">
        <v>301</v>
      </c>
    </row>
    <row r="40" spans="1:8" ht="19.8" customHeight="1" x14ac:dyDescent="0.3">
      <c r="A40" s="68">
        <v>45983</v>
      </c>
      <c r="B40" s="60" t="s">
        <v>266</v>
      </c>
      <c r="C40" s="61" t="s">
        <v>442</v>
      </c>
      <c r="D40" s="60" t="s">
        <v>441</v>
      </c>
      <c r="E40" s="69">
        <v>1.3611111111111109</v>
      </c>
      <c r="F40" s="60" t="s">
        <v>443</v>
      </c>
      <c r="G40" s="62">
        <v>9</v>
      </c>
      <c r="H40" s="63" t="s">
        <v>474</v>
      </c>
    </row>
    <row r="41" spans="1:8" ht="19.8" customHeight="1" x14ac:dyDescent="0.3">
      <c r="A41" s="68">
        <v>45983</v>
      </c>
      <c r="B41" s="60" t="s">
        <v>52</v>
      </c>
      <c r="C41" s="61" t="s">
        <v>448</v>
      </c>
      <c r="D41" s="60" t="s">
        <v>441</v>
      </c>
      <c r="E41" s="69">
        <v>1.4513888888888891</v>
      </c>
      <c r="F41" s="60" t="s">
        <v>54</v>
      </c>
      <c r="G41" s="62">
        <v>9</v>
      </c>
      <c r="H41" s="63" t="s">
        <v>477</v>
      </c>
    </row>
    <row r="42" spans="1:8" ht="19.8" customHeight="1" x14ac:dyDescent="0.3">
      <c r="A42" s="68">
        <v>45983</v>
      </c>
      <c r="B42" s="60" t="s">
        <v>266</v>
      </c>
      <c r="C42" s="61" t="s">
        <v>442</v>
      </c>
      <c r="D42" s="60" t="s">
        <v>441</v>
      </c>
      <c r="E42" s="69">
        <v>1.3611111111111109</v>
      </c>
      <c r="F42" s="60" t="s">
        <v>445</v>
      </c>
      <c r="G42" s="62">
        <v>9</v>
      </c>
      <c r="H42" s="63" t="s">
        <v>475</v>
      </c>
    </row>
    <row r="43" spans="1:8" ht="19.8" customHeight="1" x14ac:dyDescent="0.3">
      <c r="A43" s="68">
        <v>45983</v>
      </c>
      <c r="B43" s="60" t="s">
        <v>26</v>
      </c>
      <c r="C43" s="61" t="s">
        <v>463</v>
      </c>
      <c r="D43" s="60" t="s">
        <v>441</v>
      </c>
      <c r="E43" s="69">
        <v>1.3611111111111109</v>
      </c>
      <c r="F43" s="60" t="s">
        <v>468</v>
      </c>
      <c r="G43" s="62">
        <v>3</v>
      </c>
      <c r="H43" s="63" t="s">
        <v>225</v>
      </c>
    </row>
    <row r="44" spans="1:8" ht="19.8" customHeight="1" x14ac:dyDescent="0.3">
      <c r="A44" s="68">
        <v>45983</v>
      </c>
      <c r="B44" s="60" t="s">
        <v>52</v>
      </c>
      <c r="C44" s="61" t="s">
        <v>448</v>
      </c>
      <c r="D44" s="60" t="s">
        <v>441</v>
      </c>
      <c r="E44" s="69">
        <v>1.4513888888888891</v>
      </c>
      <c r="F44" s="60" t="s">
        <v>57</v>
      </c>
      <c r="G44" s="62">
        <v>9</v>
      </c>
      <c r="H44" s="63" t="s">
        <v>478</v>
      </c>
    </row>
    <row r="45" spans="1:8" ht="19.8" customHeight="1" x14ac:dyDescent="0.3">
      <c r="A45" s="68">
        <v>45983</v>
      </c>
      <c r="B45" s="60" t="s">
        <v>266</v>
      </c>
      <c r="C45" s="61" t="s">
        <v>442</v>
      </c>
      <c r="D45" s="60" t="s">
        <v>441</v>
      </c>
      <c r="E45" s="69">
        <v>1.3611111111111109</v>
      </c>
      <c r="F45" s="60" t="s">
        <v>34</v>
      </c>
      <c r="G45" s="62">
        <v>9</v>
      </c>
      <c r="H45" s="63" t="s">
        <v>476</v>
      </c>
    </row>
    <row r="46" spans="1:8" ht="19.8" customHeight="1" x14ac:dyDescent="0.3">
      <c r="A46" s="68">
        <v>45983</v>
      </c>
      <c r="B46" s="60" t="s">
        <v>52</v>
      </c>
      <c r="C46" s="61" t="s">
        <v>450</v>
      </c>
      <c r="D46" s="60" t="s">
        <v>441</v>
      </c>
      <c r="E46" s="69">
        <v>1.819444444444444</v>
      </c>
      <c r="F46" s="60" t="s">
        <v>57</v>
      </c>
      <c r="G46" s="62">
        <v>9</v>
      </c>
      <c r="H46" s="63" t="s">
        <v>479</v>
      </c>
    </row>
    <row r="47" spans="1:8" ht="19.8" customHeight="1" x14ac:dyDescent="0.3">
      <c r="A47" s="68">
        <v>45983</v>
      </c>
      <c r="B47" s="60" t="s">
        <v>68</v>
      </c>
      <c r="C47" s="61" t="s">
        <v>480</v>
      </c>
      <c r="D47" s="60" t="s">
        <v>441</v>
      </c>
      <c r="E47" s="69">
        <v>1.4236111111111109</v>
      </c>
      <c r="F47" s="60" t="s">
        <v>70</v>
      </c>
      <c r="G47" s="62">
        <v>9</v>
      </c>
      <c r="H47" s="63" t="s">
        <v>481</v>
      </c>
    </row>
    <row r="48" spans="1:8" ht="19.8" customHeight="1" x14ac:dyDescent="0.3">
      <c r="A48" s="100"/>
      <c r="B48" s="101"/>
      <c r="C48" s="101"/>
      <c r="D48" s="101"/>
      <c r="E48" s="101"/>
      <c r="F48" s="102" t="s">
        <v>501</v>
      </c>
      <c r="G48" s="101"/>
      <c r="H48" s="103"/>
    </row>
    <row r="49" spans="1:8" ht="19.8" customHeight="1" x14ac:dyDescent="0.3">
      <c r="A49" s="68">
        <v>45983</v>
      </c>
      <c r="B49" s="60" t="s">
        <v>26</v>
      </c>
      <c r="C49" s="61" t="s">
        <v>211</v>
      </c>
      <c r="D49" s="60" t="s">
        <v>206</v>
      </c>
      <c r="E49" s="69">
        <v>1.399305555555556</v>
      </c>
      <c r="F49" s="60" t="s">
        <v>28</v>
      </c>
      <c r="G49" s="62">
        <v>7</v>
      </c>
      <c r="H49" s="63" t="s">
        <v>220</v>
      </c>
    </row>
    <row r="50" spans="1:8" ht="19.8" customHeight="1" x14ac:dyDescent="0.3">
      <c r="A50" s="68">
        <v>45983</v>
      </c>
      <c r="B50" s="60" t="s">
        <v>26</v>
      </c>
      <c r="C50" s="61" t="s">
        <v>218</v>
      </c>
      <c r="D50" s="60" t="s">
        <v>206</v>
      </c>
      <c r="E50" s="69">
        <v>1.489583333333333</v>
      </c>
      <c r="F50" s="60" t="s">
        <v>28</v>
      </c>
      <c r="G50" s="62">
        <v>3</v>
      </c>
      <c r="H50" s="63" t="s">
        <v>220</v>
      </c>
    </row>
    <row r="51" spans="1:8" ht="19.8" customHeight="1" x14ac:dyDescent="0.3">
      <c r="A51" s="68">
        <v>45983</v>
      </c>
      <c r="B51" s="60" t="s">
        <v>73</v>
      </c>
      <c r="C51" s="61" t="s">
        <v>256</v>
      </c>
      <c r="D51" s="60" t="s">
        <v>206</v>
      </c>
      <c r="E51" s="69">
        <v>1.90625</v>
      </c>
      <c r="F51" s="60" t="s">
        <v>100</v>
      </c>
      <c r="G51" s="62">
        <v>1</v>
      </c>
      <c r="H51" s="63" t="s">
        <v>332</v>
      </c>
    </row>
    <row r="52" spans="1:8" ht="19.8" customHeight="1" x14ac:dyDescent="0.3">
      <c r="A52" s="68">
        <v>45983</v>
      </c>
      <c r="B52" s="60" t="s">
        <v>73</v>
      </c>
      <c r="C52" s="61" t="s">
        <v>247</v>
      </c>
      <c r="D52" s="60" t="s">
        <v>206</v>
      </c>
      <c r="E52" s="69">
        <v>1.0486111111111109</v>
      </c>
      <c r="F52" s="60" t="s">
        <v>100</v>
      </c>
      <c r="G52" s="62">
        <v>1</v>
      </c>
      <c r="H52" s="63" t="s">
        <v>332</v>
      </c>
    </row>
    <row r="53" spans="1:8" ht="19.8" customHeight="1" x14ac:dyDescent="0.3">
      <c r="A53" s="68">
        <v>45983</v>
      </c>
      <c r="B53" s="60" t="s">
        <v>26</v>
      </c>
      <c r="C53" s="61" t="s">
        <v>216</v>
      </c>
      <c r="D53" s="60" t="s">
        <v>206</v>
      </c>
      <c r="E53" s="69">
        <v>1.8888888888888891</v>
      </c>
      <c r="F53" s="60" t="s">
        <v>28</v>
      </c>
      <c r="G53" s="62">
        <v>10</v>
      </c>
      <c r="H53" s="63" t="s">
        <v>329</v>
      </c>
    </row>
    <row r="54" spans="1:8" ht="19.8" customHeight="1" x14ac:dyDescent="0.3">
      <c r="A54" s="68">
        <v>45983</v>
      </c>
      <c r="B54" s="60" t="s">
        <v>26</v>
      </c>
      <c r="C54" s="61" t="s">
        <v>207</v>
      </c>
      <c r="D54" s="60" t="s">
        <v>206</v>
      </c>
      <c r="E54" s="69">
        <v>1.989583333333333</v>
      </c>
      <c r="F54" s="60" t="s">
        <v>28</v>
      </c>
      <c r="G54" s="62">
        <v>10</v>
      </c>
      <c r="H54" s="63" t="s">
        <v>329</v>
      </c>
    </row>
    <row r="55" spans="1:8" ht="19.8" customHeight="1" x14ac:dyDescent="0.3">
      <c r="A55" s="68">
        <v>45983</v>
      </c>
      <c r="B55" s="60" t="s">
        <v>36</v>
      </c>
      <c r="C55" s="61" t="s">
        <v>228</v>
      </c>
      <c r="D55" s="60" t="s">
        <v>206</v>
      </c>
      <c r="E55" s="69">
        <v>1.3472222222222221</v>
      </c>
      <c r="F55" s="60" t="s">
        <v>38</v>
      </c>
      <c r="G55" s="62">
        <v>1</v>
      </c>
      <c r="H55" s="63" t="s">
        <v>210</v>
      </c>
    </row>
    <row r="56" spans="1:8" ht="19.8" customHeight="1" x14ac:dyDescent="0.3">
      <c r="A56" s="68">
        <v>45983</v>
      </c>
      <c r="B56" s="60" t="s">
        <v>36</v>
      </c>
      <c r="C56" s="61" t="s">
        <v>224</v>
      </c>
      <c r="D56" s="60" t="s">
        <v>206</v>
      </c>
      <c r="E56" s="69">
        <v>1.993055555555556</v>
      </c>
      <c r="F56" s="60" t="s">
        <v>38</v>
      </c>
      <c r="G56" s="62">
        <v>1</v>
      </c>
      <c r="H56" s="63" t="s">
        <v>210</v>
      </c>
    </row>
    <row r="57" spans="1:8" ht="19.8" customHeight="1" x14ac:dyDescent="0.3">
      <c r="A57" s="68">
        <v>45983</v>
      </c>
      <c r="B57" s="60" t="s">
        <v>36</v>
      </c>
      <c r="C57" s="61" t="s">
        <v>226</v>
      </c>
      <c r="D57" s="60" t="s">
        <v>206</v>
      </c>
      <c r="E57" s="69">
        <v>1.944444444444444</v>
      </c>
      <c r="F57" s="60" t="s">
        <v>38</v>
      </c>
      <c r="G57" s="62">
        <v>9</v>
      </c>
      <c r="H57" s="63" t="s">
        <v>210</v>
      </c>
    </row>
    <row r="58" spans="1:8" ht="19.8" customHeight="1" x14ac:dyDescent="0.3">
      <c r="A58" s="70">
        <v>45983</v>
      </c>
      <c r="B58" s="71" t="s">
        <v>36</v>
      </c>
      <c r="C58" s="72" t="s">
        <v>234</v>
      </c>
      <c r="D58" s="71" t="s">
        <v>206</v>
      </c>
      <c r="E58" s="73">
        <v>1.4861111111111109</v>
      </c>
      <c r="F58" s="71" t="s">
        <v>38</v>
      </c>
      <c r="G58" s="74">
        <v>9</v>
      </c>
      <c r="H58" s="75" t="s">
        <v>210</v>
      </c>
    </row>
  </sheetData>
  <pageMargins left="0.75" right="0.75" top="1" bottom="1" header="0.5" footer="0.5"/>
  <legacyDrawing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8"/>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92.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99" t="s">
        <v>152</v>
      </c>
      <c r="B2" s="77" t="s">
        <v>73</v>
      </c>
      <c r="C2" s="78" t="s">
        <v>451</v>
      </c>
      <c r="D2" s="77" t="s">
        <v>441</v>
      </c>
      <c r="E2" s="77" t="s">
        <v>484</v>
      </c>
      <c r="F2" s="77" t="s">
        <v>75</v>
      </c>
      <c r="G2" s="77"/>
      <c r="H2" s="81" t="s">
        <v>76</v>
      </c>
    </row>
    <row r="3" spans="1:8" ht="19.8" customHeight="1" x14ac:dyDescent="0.3">
      <c r="A3" s="100"/>
      <c r="B3" s="101"/>
      <c r="C3" s="101"/>
      <c r="D3" s="101"/>
      <c r="E3" s="101"/>
      <c r="F3" s="102" t="s">
        <v>501</v>
      </c>
      <c r="G3" s="101"/>
      <c r="H3" s="103"/>
    </row>
    <row r="4" spans="1:8" ht="19.8" customHeight="1" x14ac:dyDescent="0.3">
      <c r="A4" s="68">
        <v>45981</v>
      </c>
      <c r="B4" s="60" t="s">
        <v>26</v>
      </c>
      <c r="C4" s="61" t="s">
        <v>207</v>
      </c>
      <c r="D4" s="60" t="s">
        <v>206</v>
      </c>
      <c r="E4" s="69">
        <v>1.989583333333333</v>
      </c>
      <c r="F4" s="60" t="s">
        <v>28</v>
      </c>
      <c r="G4" s="62">
        <v>2</v>
      </c>
      <c r="H4" s="63" t="s">
        <v>208</v>
      </c>
    </row>
    <row r="5" spans="1:8" ht="19.8" customHeight="1" x14ac:dyDescent="0.3">
      <c r="A5" s="68">
        <v>45981</v>
      </c>
      <c r="B5" s="60" t="s">
        <v>26</v>
      </c>
      <c r="C5" s="61" t="s">
        <v>211</v>
      </c>
      <c r="D5" s="60" t="s">
        <v>206</v>
      </c>
      <c r="E5" s="69">
        <v>1.399305555555556</v>
      </c>
      <c r="F5" s="60" t="s">
        <v>28</v>
      </c>
      <c r="G5" s="62">
        <v>11</v>
      </c>
      <c r="H5" s="63" t="s">
        <v>213</v>
      </c>
    </row>
    <row r="6" spans="1:8" ht="19.8" customHeight="1" x14ac:dyDescent="0.3">
      <c r="A6" s="68">
        <v>45981</v>
      </c>
      <c r="B6" s="60" t="s">
        <v>26</v>
      </c>
      <c r="C6" s="61" t="s">
        <v>216</v>
      </c>
      <c r="D6" s="60" t="s">
        <v>206</v>
      </c>
      <c r="E6" s="69">
        <v>1.8888888888888891</v>
      </c>
      <c r="F6" s="60" t="s">
        <v>28</v>
      </c>
      <c r="G6" s="62">
        <v>9</v>
      </c>
      <c r="H6" s="63" t="s">
        <v>213</v>
      </c>
    </row>
    <row r="7" spans="1:8" ht="19.8" customHeight="1" x14ac:dyDescent="0.3">
      <c r="A7" s="68">
        <v>45981</v>
      </c>
      <c r="B7" s="60" t="s">
        <v>26</v>
      </c>
      <c r="C7" s="61" t="s">
        <v>218</v>
      </c>
      <c r="D7" s="60" t="s">
        <v>206</v>
      </c>
      <c r="E7" s="69">
        <v>1.489583333333333</v>
      </c>
      <c r="F7" s="60" t="s">
        <v>28</v>
      </c>
      <c r="G7" s="62">
        <v>17</v>
      </c>
      <c r="H7" s="63" t="s">
        <v>220</v>
      </c>
    </row>
    <row r="8" spans="1:8" ht="19.8" customHeight="1" x14ac:dyDescent="0.3">
      <c r="A8" s="68">
        <v>45981</v>
      </c>
      <c r="B8" s="60" t="s">
        <v>36</v>
      </c>
      <c r="C8" s="61" t="s">
        <v>224</v>
      </c>
      <c r="D8" s="60" t="s">
        <v>206</v>
      </c>
      <c r="E8" s="69">
        <v>1.993055555555556</v>
      </c>
      <c r="F8" s="60" t="s">
        <v>38</v>
      </c>
      <c r="G8" s="62">
        <v>6</v>
      </c>
      <c r="H8" s="63" t="s">
        <v>30</v>
      </c>
    </row>
    <row r="9" spans="1:8" ht="19.8" customHeight="1" x14ac:dyDescent="0.3">
      <c r="A9" s="68">
        <v>45981</v>
      </c>
      <c r="B9" s="60" t="s">
        <v>36</v>
      </c>
      <c r="C9" s="61" t="s">
        <v>226</v>
      </c>
      <c r="D9" s="60" t="s">
        <v>206</v>
      </c>
      <c r="E9" s="69">
        <v>1.944444444444444</v>
      </c>
      <c r="F9" s="60" t="s">
        <v>38</v>
      </c>
      <c r="G9" s="62">
        <v>7</v>
      </c>
      <c r="H9" s="63" t="s">
        <v>30</v>
      </c>
    </row>
    <row r="10" spans="1:8" ht="19.8" customHeight="1" x14ac:dyDescent="0.3">
      <c r="A10" s="68">
        <v>45981</v>
      </c>
      <c r="B10" s="60" t="s">
        <v>26</v>
      </c>
      <c r="C10" s="61" t="s">
        <v>207</v>
      </c>
      <c r="D10" s="60" t="s">
        <v>206</v>
      </c>
      <c r="E10" s="69">
        <v>1.989583333333333</v>
      </c>
      <c r="F10" s="60" t="s">
        <v>31</v>
      </c>
      <c r="G10" s="62">
        <v>2</v>
      </c>
      <c r="H10" s="63" t="s">
        <v>210</v>
      </c>
    </row>
    <row r="11" spans="1:8" ht="19.8" customHeight="1" x14ac:dyDescent="0.3">
      <c r="A11" s="68">
        <v>45981</v>
      </c>
      <c r="B11" s="60" t="s">
        <v>36</v>
      </c>
      <c r="C11" s="61" t="s">
        <v>228</v>
      </c>
      <c r="D11" s="60" t="s">
        <v>206</v>
      </c>
      <c r="E11" s="69">
        <v>1.3472222222222221</v>
      </c>
      <c r="F11" s="60" t="s">
        <v>38</v>
      </c>
      <c r="G11" s="62">
        <v>9</v>
      </c>
      <c r="H11" s="63" t="s">
        <v>210</v>
      </c>
    </row>
    <row r="12" spans="1:8" ht="19.8" customHeight="1" x14ac:dyDescent="0.3">
      <c r="A12" s="68">
        <v>45981</v>
      </c>
      <c r="B12" s="60" t="s">
        <v>36</v>
      </c>
      <c r="C12" s="61" t="s">
        <v>230</v>
      </c>
      <c r="D12" s="60" t="s">
        <v>206</v>
      </c>
      <c r="E12" s="69">
        <v>1.75</v>
      </c>
      <c r="F12" s="60" t="s">
        <v>38</v>
      </c>
      <c r="G12" s="62">
        <v>1</v>
      </c>
      <c r="H12" s="63" t="s">
        <v>210</v>
      </c>
    </row>
    <row r="13" spans="1:8" ht="19.8" customHeight="1" x14ac:dyDescent="0.3">
      <c r="A13" s="70">
        <v>45981</v>
      </c>
      <c r="B13" s="71" t="s">
        <v>36</v>
      </c>
      <c r="C13" s="72" t="s">
        <v>232</v>
      </c>
      <c r="D13" s="71" t="s">
        <v>206</v>
      </c>
      <c r="E13" s="73">
        <v>1.836805555555556</v>
      </c>
      <c r="F13" s="71" t="s">
        <v>38</v>
      </c>
      <c r="G13" s="74">
        <v>2</v>
      </c>
      <c r="H13" s="75" t="s">
        <v>210</v>
      </c>
    </row>
    <row r="14" spans="1:8" ht="19.8" customHeight="1" x14ac:dyDescent="0.3">
      <c r="A14" s="76">
        <v>45982</v>
      </c>
      <c r="B14" s="77" t="s">
        <v>73</v>
      </c>
      <c r="C14" s="78" t="s">
        <v>461</v>
      </c>
      <c r="D14" s="77" t="s">
        <v>441</v>
      </c>
      <c r="E14" s="79">
        <v>1.229166666666667</v>
      </c>
      <c r="F14" s="77" t="s">
        <v>100</v>
      </c>
      <c r="G14" s="80">
        <v>1</v>
      </c>
      <c r="H14" s="81" t="s">
        <v>243</v>
      </c>
    </row>
    <row r="15" spans="1:8" ht="19.8" customHeight="1" x14ac:dyDescent="0.3">
      <c r="A15" s="100"/>
      <c r="B15" s="101"/>
      <c r="C15" s="101"/>
      <c r="D15" s="101"/>
      <c r="E15" s="101"/>
      <c r="F15" s="102" t="s">
        <v>501</v>
      </c>
      <c r="G15" s="101"/>
      <c r="H15" s="103"/>
    </row>
    <row r="16" spans="1:8" ht="19.8" customHeight="1" x14ac:dyDescent="0.3">
      <c r="A16" s="68">
        <v>45982</v>
      </c>
      <c r="B16" s="60" t="s">
        <v>26</v>
      </c>
      <c r="C16" s="61" t="s">
        <v>211</v>
      </c>
      <c r="D16" s="60" t="s">
        <v>206</v>
      </c>
      <c r="E16" s="69">
        <v>1.399305555555556</v>
      </c>
      <c r="F16" s="60" t="s">
        <v>28</v>
      </c>
      <c r="G16" s="62">
        <v>1</v>
      </c>
      <c r="H16" s="63" t="s">
        <v>213</v>
      </c>
    </row>
    <row r="17" spans="1:8" ht="19.8" customHeight="1" x14ac:dyDescent="0.3">
      <c r="A17" s="68">
        <v>45982</v>
      </c>
      <c r="B17" s="60" t="s">
        <v>26</v>
      </c>
      <c r="C17" s="61" t="s">
        <v>218</v>
      </c>
      <c r="D17" s="60" t="s">
        <v>206</v>
      </c>
      <c r="E17" s="69">
        <v>1.489583333333333</v>
      </c>
      <c r="F17" s="60" t="s">
        <v>28</v>
      </c>
      <c r="G17" s="62">
        <v>4</v>
      </c>
      <c r="H17" s="63" t="s">
        <v>213</v>
      </c>
    </row>
    <row r="18" spans="1:8" ht="19.8" customHeight="1" x14ac:dyDescent="0.3">
      <c r="A18" s="68">
        <v>45982</v>
      </c>
      <c r="B18" s="60" t="s">
        <v>26</v>
      </c>
      <c r="C18" s="61" t="s">
        <v>207</v>
      </c>
      <c r="D18" s="60" t="s">
        <v>206</v>
      </c>
      <c r="E18" s="69">
        <v>1.989583333333333</v>
      </c>
      <c r="F18" s="60" t="s">
        <v>28</v>
      </c>
      <c r="G18" s="62">
        <v>7</v>
      </c>
      <c r="H18" s="63" t="s">
        <v>213</v>
      </c>
    </row>
    <row r="19" spans="1:8" ht="19.8" customHeight="1" x14ac:dyDescent="0.3">
      <c r="A19" s="68">
        <v>45982</v>
      </c>
      <c r="B19" s="60" t="s">
        <v>26</v>
      </c>
      <c r="C19" s="61" t="s">
        <v>216</v>
      </c>
      <c r="D19" s="60" t="s">
        <v>206</v>
      </c>
      <c r="E19" s="69">
        <v>1.8888888888888891</v>
      </c>
      <c r="F19" s="60" t="s">
        <v>295</v>
      </c>
      <c r="G19" s="62">
        <v>15</v>
      </c>
      <c r="H19" s="63" t="s">
        <v>220</v>
      </c>
    </row>
    <row r="20" spans="1:8" ht="19.8" customHeight="1" x14ac:dyDescent="0.3">
      <c r="A20" s="68">
        <v>45982</v>
      </c>
      <c r="B20" s="60" t="s">
        <v>26</v>
      </c>
      <c r="C20" s="61" t="s">
        <v>216</v>
      </c>
      <c r="D20" s="60" t="s">
        <v>206</v>
      </c>
      <c r="E20" s="69">
        <v>1.8888888888888891</v>
      </c>
      <c r="F20" s="60" t="s">
        <v>28</v>
      </c>
      <c r="G20" s="62">
        <v>15</v>
      </c>
      <c r="H20" s="63" t="s">
        <v>220</v>
      </c>
    </row>
    <row r="21" spans="1:8" ht="19.8" customHeight="1" x14ac:dyDescent="0.3">
      <c r="A21" s="68">
        <v>45982</v>
      </c>
      <c r="B21" s="60" t="s">
        <v>36</v>
      </c>
      <c r="C21" s="61" t="s">
        <v>228</v>
      </c>
      <c r="D21" s="60" t="s">
        <v>206</v>
      </c>
      <c r="E21" s="69">
        <v>1.3472222222222221</v>
      </c>
      <c r="F21" s="60" t="s">
        <v>297</v>
      </c>
      <c r="G21" s="62">
        <v>6</v>
      </c>
      <c r="H21" s="63" t="s">
        <v>30</v>
      </c>
    </row>
    <row r="22" spans="1:8" ht="19.8" customHeight="1" x14ac:dyDescent="0.3">
      <c r="A22" s="68">
        <v>45982</v>
      </c>
      <c r="B22" s="60" t="s">
        <v>36</v>
      </c>
      <c r="C22" s="61" t="s">
        <v>228</v>
      </c>
      <c r="D22" s="60" t="s">
        <v>206</v>
      </c>
      <c r="E22" s="69">
        <v>1.3472222222222221</v>
      </c>
      <c r="F22" s="60" t="s">
        <v>38</v>
      </c>
      <c r="G22" s="62">
        <v>6</v>
      </c>
      <c r="H22" s="63" t="s">
        <v>30</v>
      </c>
    </row>
    <row r="23" spans="1:8" ht="19.8" customHeight="1" x14ac:dyDescent="0.3">
      <c r="A23" s="68">
        <v>45982</v>
      </c>
      <c r="B23" s="60" t="s">
        <v>36</v>
      </c>
      <c r="C23" s="61" t="s">
        <v>234</v>
      </c>
      <c r="D23" s="60" t="s">
        <v>206</v>
      </c>
      <c r="E23" s="69">
        <v>1.4861111111111109</v>
      </c>
      <c r="F23" s="60" t="s">
        <v>297</v>
      </c>
      <c r="G23" s="62">
        <v>2</v>
      </c>
      <c r="H23" s="63" t="s">
        <v>30</v>
      </c>
    </row>
    <row r="24" spans="1:8" ht="19.8" customHeight="1" x14ac:dyDescent="0.3">
      <c r="A24" s="68">
        <v>45982</v>
      </c>
      <c r="B24" s="60" t="s">
        <v>36</v>
      </c>
      <c r="C24" s="61" t="s">
        <v>234</v>
      </c>
      <c r="D24" s="60" t="s">
        <v>206</v>
      </c>
      <c r="E24" s="69">
        <v>1.4861111111111109</v>
      </c>
      <c r="F24" s="60" t="s">
        <v>38</v>
      </c>
      <c r="G24" s="62">
        <v>2</v>
      </c>
      <c r="H24" s="63" t="s">
        <v>30</v>
      </c>
    </row>
    <row r="25" spans="1:8" ht="19.8" customHeight="1" x14ac:dyDescent="0.3">
      <c r="A25" s="70">
        <v>45982</v>
      </c>
      <c r="B25" s="71" t="s">
        <v>36</v>
      </c>
      <c r="C25" s="72" t="s">
        <v>238</v>
      </c>
      <c r="D25" s="71" t="s">
        <v>206</v>
      </c>
      <c r="E25" s="73">
        <v>1.8888888888888891</v>
      </c>
      <c r="F25" s="71" t="s">
        <v>297</v>
      </c>
      <c r="G25" s="74">
        <v>2</v>
      </c>
      <c r="H25" s="75" t="s">
        <v>30</v>
      </c>
    </row>
    <row r="26" spans="1:8" ht="19.8" customHeight="1" x14ac:dyDescent="0.3">
      <c r="A26" s="76">
        <v>45983</v>
      </c>
      <c r="B26" s="77" t="s">
        <v>73</v>
      </c>
      <c r="C26" s="78" t="s">
        <v>469</v>
      </c>
      <c r="D26" s="77" t="s">
        <v>441</v>
      </c>
      <c r="E26" s="79">
        <v>1.270833333333333</v>
      </c>
      <c r="F26" s="77" t="s">
        <v>100</v>
      </c>
      <c r="G26" s="80">
        <v>1</v>
      </c>
      <c r="H26" s="81" t="s">
        <v>332</v>
      </c>
    </row>
    <row r="27" spans="1:8" ht="19.8" customHeight="1" x14ac:dyDescent="0.3">
      <c r="A27" s="76">
        <v>45983</v>
      </c>
      <c r="B27" s="77" t="s">
        <v>73</v>
      </c>
      <c r="C27" s="78" t="s">
        <v>461</v>
      </c>
      <c r="D27" s="77" t="s">
        <v>441</v>
      </c>
      <c r="E27" s="79">
        <v>1.604166666666667</v>
      </c>
      <c r="F27" s="77" t="s">
        <v>100</v>
      </c>
      <c r="G27" s="80">
        <v>7</v>
      </c>
      <c r="H27" s="81" t="s">
        <v>301</v>
      </c>
    </row>
    <row r="28" spans="1:8" ht="19.8" customHeight="1" x14ac:dyDescent="0.3">
      <c r="A28" s="100"/>
      <c r="B28" s="101"/>
      <c r="C28" s="101"/>
      <c r="D28" s="101"/>
      <c r="E28" s="101"/>
      <c r="F28" s="102" t="s">
        <v>501</v>
      </c>
      <c r="G28" s="101"/>
      <c r="H28" s="103"/>
    </row>
    <row r="29" spans="1:8" ht="19.8" customHeight="1" x14ac:dyDescent="0.3">
      <c r="A29" s="68">
        <v>45983</v>
      </c>
      <c r="B29" s="60" t="s">
        <v>26</v>
      </c>
      <c r="C29" s="61" t="s">
        <v>211</v>
      </c>
      <c r="D29" s="60" t="s">
        <v>206</v>
      </c>
      <c r="E29" s="69">
        <v>1.399305555555556</v>
      </c>
      <c r="F29" s="60" t="s">
        <v>28</v>
      </c>
      <c r="G29" s="62">
        <v>7</v>
      </c>
      <c r="H29" s="63" t="s">
        <v>220</v>
      </c>
    </row>
    <row r="30" spans="1:8" ht="19.8" customHeight="1" x14ac:dyDescent="0.3">
      <c r="A30" s="68">
        <v>45983</v>
      </c>
      <c r="B30" s="60" t="s">
        <v>26</v>
      </c>
      <c r="C30" s="61" t="s">
        <v>218</v>
      </c>
      <c r="D30" s="60" t="s">
        <v>206</v>
      </c>
      <c r="E30" s="69">
        <v>1.489583333333333</v>
      </c>
      <c r="F30" s="60" t="s">
        <v>28</v>
      </c>
      <c r="G30" s="62">
        <v>3</v>
      </c>
      <c r="H30" s="63" t="s">
        <v>220</v>
      </c>
    </row>
    <row r="31" spans="1:8" ht="19.8" customHeight="1" x14ac:dyDescent="0.3">
      <c r="A31" s="68">
        <v>45983</v>
      </c>
      <c r="B31" s="60" t="s">
        <v>73</v>
      </c>
      <c r="C31" s="61" t="s">
        <v>256</v>
      </c>
      <c r="D31" s="60" t="s">
        <v>206</v>
      </c>
      <c r="E31" s="69">
        <v>1.90625</v>
      </c>
      <c r="F31" s="60" t="s">
        <v>100</v>
      </c>
      <c r="G31" s="62">
        <v>1</v>
      </c>
      <c r="H31" s="63" t="s">
        <v>332</v>
      </c>
    </row>
    <row r="32" spans="1:8" ht="19.8" customHeight="1" x14ac:dyDescent="0.3">
      <c r="A32" s="68">
        <v>45983</v>
      </c>
      <c r="B32" s="60" t="s">
        <v>73</v>
      </c>
      <c r="C32" s="61" t="s">
        <v>247</v>
      </c>
      <c r="D32" s="60" t="s">
        <v>206</v>
      </c>
      <c r="E32" s="69">
        <v>1.0486111111111109</v>
      </c>
      <c r="F32" s="60" t="s">
        <v>100</v>
      </c>
      <c r="G32" s="62">
        <v>1</v>
      </c>
      <c r="H32" s="63" t="s">
        <v>332</v>
      </c>
    </row>
    <row r="33" spans="1:8" ht="19.8" customHeight="1" x14ac:dyDescent="0.3">
      <c r="A33" s="68">
        <v>45983</v>
      </c>
      <c r="B33" s="60" t="s">
        <v>26</v>
      </c>
      <c r="C33" s="61" t="s">
        <v>216</v>
      </c>
      <c r="D33" s="60" t="s">
        <v>206</v>
      </c>
      <c r="E33" s="69">
        <v>1.8888888888888891</v>
      </c>
      <c r="F33" s="60" t="s">
        <v>28</v>
      </c>
      <c r="G33" s="62">
        <v>10</v>
      </c>
      <c r="H33" s="63" t="s">
        <v>329</v>
      </c>
    </row>
    <row r="34" spans="1:8" ht="19.8" customHeight="1" x14ac:dyDescent="0.3">
      <c r="A34" s="68">
        <v>45983</v>
      </c>
      <c r="B34" s="60" t="s">
        <v>26</v>
      </c>
      <c r="C34" s="61" t="s">
        <v>207</v>
      </c>
      <c r="D34" s="60" t="s">
        <v>206</v>
      </c>
      <c r="E34" s="69">
        <v>1.989583333333333</v>
      </c>
      <c r="F34" s="60" t="s">
        <v>28</v>
      </c>
      <c r="G34" s="62">
        <v>10</v>
      </c>
      <c r="H34" s="63" t="s">
        <v>329</v>
      </c>
    </row>
    <row r="35" spans="1:8" ht="19.8" customHeight="1" x14ac:dyDescent="0.3">
      <c r="A35" s="68">
        <v>45983</v>
      </c>
      <c r="B35" s="60" t="s">
        <v>36</v>
      </c>
      <c r="C35" s="61" t="s">
        <v>228</v>
      </c>
      <c r="D35" s="60" t="s">
        <v>206</v>
      </c>
      <c r="E35" s="69">
        <v>1.3472222222222221</v>
      </c>
      <c r="F35" s="60" t="s">
        <v>38</v>
      </c>
      <c r="G35" s="62">
        <v>1</v>
      </c>
      <c r="H35" s="63" t="s">
        <v>210</v>
      </c>
    </row>
    <row r="36" spans="1:8" ht="19.8" customHeight="1" x14ac:dyDescent="0.3">
      <c r="A36" s="68">
        <v>45983</v>
      </c>
      <c r="B36" s="60" t="s">
        <v>36</v>
      </c>
      <c r="C36" s="61" t="s">
        <v>224</v>
      </c>
      <c r="D36" s="60" t="s">
        <v>206</v>
      </c>
      <c r="E36" s="69">
        <v>1.993055555555556</v>
      </c>
      <c r="F36" s="60" t="s">
        <v>38</v>
      </c>
      <c r="G36" s="62">
        <v>1</v>
      </c>
      <c r="H36" s="63" t="s">
        <v>210</v>
      </c>
    </row>
    <row r="37" spans="1:8" ht="19.8" customHeight="1" x14ac:dyDescent="0.3">
      <c r="A37" s="68">
        <v>45983</v>
      </c>
      <c r="B37" s="60" t="s">
        <v>36</v>
      </c>
      <c r="C37" s="61" t="s">
        <v>226</v>
      </c>
      <c r="D37" s="60" t="s">
        <v>206</v>
      </c>
      <c r="E37" s="69">
        <v>1.944444444444444</v>
      </c>
      <c r="F37" s="60" t="s">
        <v>38</v>
      </c>
      <c r="G37" s="62">
        <v>9</v>
      </c>
      <c r="H37" s="63" t="s">
        <v>210</v>
      </c>
    </row>
    <row r="38" spans="1:8" ht="19.8" customHeight="1" x14ac:dyDescent="0.3">
      <c r="A38" s="70">
        <v>45983</v>
      </c>
      <c r="B38" s="71" t="s">
        <v>36</v>
      </c>
      <c r="C38" s="72" t="s">
        <v>234</v>
      </c>
      <c r="D38" s="71" t="s">
        <v>206</v>
      </c>
      <c r="E38" s="73">
        <v>1.4861111111111109</v>
      </c>
      <c r="F38" s="71" t="s">
        <v>38</v>
      </c>
      <c r="G38" s="74">
        <v>9</v>
      </c>
      <c r="H38" s="75" t="s">
        <v>210</v>
      </c>
    </row>
  </sheetData>
  <pageMargins left="0.75" right="0.75" top="1" bottom="1" header="0.5" footer="0.5"/>
  <legacy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N51"/>
  <sheetViews>
    <sheetView workbookViewId="0"/>
  </sheetViews>
  <sheetFormatPr defaultRowHeight="14.4" x14ac:dyDescent="0.3"/>
  <cols>
    <col min="1" max="1" width="10.218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2.88671875" bestFit="1" customWidth="1"/>
  </cols>
  <sheetData>
    <row r="1" spans="1:92" ht="28.8" customHeight="1" x14ac:dyDescent="0.3">
      <c r="A1" s="261" t="s">
        <v>0</v>
      </c>
      <c r="B1" s="254"/>
      <c r="C1" s="254"/>
      <c r="D1" s="254"/>
      <c r="E1" s="254"/>
      <c r="F1" s="1" t="s">
        <v>502</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45980.430429282329</v>
      </c>
      <c r="H2" s="254"/>
      <c r="I2" s="254"/>
      <c r="J2" s="254"/>
      <c r="K2" s="263">
        <v>45980.430429282671</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45981</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78" t="s">
        <v>73</v>
      </c>
      <c r="B6" s="178" t="s">
        <v>503</v>
      </c>
      <c r="C6" s="179">
        <v>0.54861111111111105</v>
      </c>
      <c r="D6" s="178" t="s">
        <v>100</v>
      </c>
      <c r="E6" s="178" t="s">
        <v>81</v>
      </c>
      <c r="F6" s="178" t="s">
        <v>504</v>
      </c>
      <c r="G6" s="265"/>
      <c r="H6" s="180" t="s">
        <v>505</v>
      </c>
      <c r="I6" s="181">
        <v>0.81669999999999998</v>
      </c>
      <c r="J6" s="182">
        <v>147</v>
      </c>
      <c r="K6" s="183" t="s">
        <v>103</v>
      </c>
      <c r="L6" s="182">
        <v>37</v>
      </c>
      <c r="M6" s="182">
        <v>0</v>
      </c>
      <c r="N6" s="182">
        <v>9</v>
      </c>
      <c r="O6" s="184" t="s">
        <v>198</v>
      </c>
      <c r="P6" s="185">
        <v>0.54861111111111105</v>
      </c>
      <c r="Q6" s="182">
        <v>180</v>
      </c>
      <c r="R6" s="186" t="s">
        <v>506</v>
      </c>
    </row>
    <row r="7" spans="1:92" ht="15" customHeight="1" x14ac:dyDescent="0.3">
      <c r="A7" s="159" t="s">
        <v>73</v>
      </c>
      <c r="B7" s="159" t="s">
        <v>507</v>
      </c>
      <c r="C7" s="160">
        <v>0.3298611111111111</v>
      </c>
      <c r="D7" s="159" t="s">
        <v>100</v>
      </c>
      <c r="E7" s="159" t="s">
        <v>66</v>
      </c>
      <c r="F7" s="159" t="s">
        <v>508</v>
      </c>
      <c r="G7" s="257"/>
      <c r="H7" s="87" t="s">
        <v>509</v>
      </c>
      <c r="I7" s="88">
        <v>0.92779999999999996</v>
      </c>
      <c r="J7" s="89">
        <v>167</v>
      </c>
      <c r="K7" s="90" t="s">
        <v>103</v>
      </c>
      <c r="L7" s="89">
        <v>22</v>
      </c>
      <c r="M7" s="89">
        <v>0</v>
      </c>
      <c r="N7" s="89">
        <v>5</v>
      </c>
      <c r="O7" s="91" t="s">
        <v>254</v>
      </c>
      <c r="P7" s="92">
        <v>0.3298611111111111</v>
      </c>
      <c r="Q7" s="89">
        <v>180</v>
      </c>
      <c r="R7" s="93" t="s">
        <v>510</v>
      </c>
    </row>
    <row r="8" spans="1:92" ht="15" customHeight="1" x14ac:dyDescent="0.3">
      <c r="A8" s="17" t="s">
        <v>68</v>
      </c>
      <c r="B8" s="17" t="s">
        <v>511</v>
      </c>
      <c r="C8" s="18">
        <v>0.3298611111111111</v>
      </c>
      <c r="D8" s="17" t="s">
        <v>70</v>
      </c>
      <c r="E8" s="17" t="s">
        <v>298</v>
      </c>
      <c r="F8" s="17" t="s">
        <v>512</v>
      </c>
      <c r="G8" s="257"/>
      <c r="H8" s="10"/>
      <c r="I8" s="11"/>
      <c r="J8" s="11"/>
      <c r="K8" s="11"/>
      <c r="L8" s="11"/>
      <c r="M8" s="11"/>
      <c r="N8" s="11"/>
      <c r="O8" s="12"/>
      <c r="P8" s="11"/>
      <c r="Q8" s="13"/>
      <c r="R8" s="14"/>
    </row>
    <row r="9" spans="1:92" ht="18" x14ac:dyDescent="0.3">
      <c r="A9" s="268" t="s">
        <v>453</v>
      </c>
      <c r="B9" s="269"/>
      <c r="C9" s="269"/>
      <c r="D9" s="269"/>
      <c r="E9" s="269"/>
      <c r="F9" s="270"/>
      <c r="G9" s="257"/>
      <c r="H9" s="94"/>
      <c r="I9" s="94"/>
      <c r="J9" s="94"/>
      <c r="K9" s="94"/>
      <c r="L9" s="94"/>
      <c r="M9" s="94"/>
      <c r="N9" s="94"/>
      <c r="O9" s="95"/>
      <c r="P9" s="94"/>
      <c r="Q9" s="55"/>
      <c r="R9" s="55"/>
    </row>
    <row r="10" spans="1:92" ht="15" customHeight="1" x14ac:dyDescent="0.3">
      <c r="A10" s="19" t="s">
        <v>26</v>
      </c>
      <c r="B10" s="19" t="s">
        <v>207</v>
      </c>
      <c r="C10" s="20" t="s">
        <v>429</v>
      </c>
      <c r="D10" s="19" t="s">
        <v>28</v>
      </c>
      <c r="E10" s="19" t="s">
        <v>454</v>
      </c>
      <c r="F10" s="19" t="s">
        <v>208</v>
      </c>
      <c r="G10" s="257"/>
      <c r="H10" s="94"/>
      <c r="I10" s="94"/>
      <c r="J10" s="94"/>
      <c r="K10" s="94"/>
      <c r="L10" s="94"/>
      <c r="M10" s="94"/>
      <c r="N10" s="94"/>
      <c r="O10" s="95"/>
      <c r="P10" s="94"/>
      <c r="Q10" s="55"/>
      <c r="R10" s="55"/>
    </row>
    <row r="11" spans="1:92" ht="15" customHeight="1" x14ac:dyDescent="0.3">
      <c r="A11" s="19" t="s">
        <v>26</v>
      </c>
      <c r="B11" s="19" t="s">
        <v>211</v>
      </c>
      <c r="C11" s="20" t="s">
        <v>430</v>
      </c>
      <c r="D11" s="19" t="s">
        <v>28</v>
      </c>
      <c r="E11" s="19" t="s">
        <v>455</v>
      </c>
      <c r="F11" s="19" t="s">
        <v>213</v>
      </c>
      <c r="G11" s="257"/>
      <c r="H11" s="94"/>
      <c r="I11" s="94"/>
      <c r="J11" s="94"/>
      <c r="K11" s="94"/>
      <c r="L11" s="94"/>
      <c r="M11" s="94"/>
      <c r="N11" s="94"/>
      <c r="O11" s="95"/>
      <c r="P11" s="94"/>
      <c r="Q11" s="55"/>
      <c r="R11" s="55"/>
    </row>
    <row r="12" spans="1:92" ht="15" customHeight="1" x14ac:dyDescent="0.3">
      <c r="A12" s="19" t="s">
        <v>26</v>
      </c>
      <c r="B12" s="19" t="s">
        <v>216</v>
      </c>
      <c r="C12" s="20" t="s">
        <v>431</v>
      </c>
      <c r="D12" s="19" t="s">
        <v>28</v>
      </c>
      <c r="E12" s="19" t="s">
        <v>169</v>
      </c>
      <c r="F12" s="19" t="s">
        <v>213</v>
      </c>
      <c r="G12" s="257"/>
      <c r="H12" s="94"/>
      <c r="I12" s="94"/>
      <c r="J12" s="94"/>
      <c r="K12" s="94"/>
      <c r="L12" s="94"/>
      <c r="M12" s="94"/>
      <c r="N12" s="94"/>
      <c r="O12" s="95"/>
      <c r="P12" s="94"/>
      <c r="Q12" s="55"/>
      <c r="R12" s="55"/>
    </row>
    <row r="13" spans="1:92" ht="15" customHeight="1" x14ac:dyDescent="0.3">
      <c r="A13" s="19" t="s">
        <v>26</v>
      </c>
      <c r="B13" s="19" t="s">
        <v>218</v>
      </c>
      <c r="C13" s="20" t="s">
        <v>432</v>
      </c>
      <c r="D13" s="19" t="s">
        <v>28</v>
      </c>
      <c r="E13" s="19" t="s">
        <v>456</v>
      </c>
      <c r="F13" s="19" t="s">
        <v>220</v>
      </c>
      <c r="G13" s="257"/>
      <c r="H13" s="94"/>
      <c r="I13" s="94"/>
      <c r="J13" s="94"/>
      <c r="K13" s="94"/>
      <c r="L13" s="94"/>
      <c r="M13" s="94"/>
      <c r="N13" s="94"/>
      <c r="O13" s="95"/>
      <c r="P13" s="94"/>
      <c r="Q13" s="55"/>
      <c r="R13" s="55"/>
    </row>
    <row r="14" spans="1:92" ht="15" customHeight="1" x14ac:dyDescent="0.3">
      <c r="A14" s="19" t="s">
        <v>36</v>
      </c>
      <c r="B14" s="19" t="s">
        <v>224</v>
      </c>
      <c r="C14" s="20" t="s">
        <v>433</v>
      </c>
      <c r="D14" s="19" t="s">
        <v>38</v>
      </c>
      <c r="E14" s="19" t="s">
        <v>170</v>
      </c>
      <c r="F14" s="19" t="s">
        <v>30</v>
      </c>
      <c r="G14" s="257"/>
      <c r="H14" s="94"/>
      <c r="I14" s="94"/>
      <c r="J14" s="94"/>
      <c r="K14" s="94"/>
      <c r="L14" s="94"/>
      <c r="M14" s="94"/>
      <c r="N14" s="94"/>
      <c r="O14" s="95"/>
      <c r="P14" s="94"/>
      <c r="Q14" s="55"/>
      <c r="R14" s="55"/>
    </row>
    <row r="15" spans="1:92" ht="15" customHeight="1" x14ac:dyDescent="0.3">
      <c r="A15" s="19" t="s">
        <v>36</v>
      </c>
      <c r="B15" s="19" t="s">
        <v>226</v>
      </c>
      <c r="C15" s="20" t="s">
        <v>434</v>
      </c>
      <c r="D15" s="19" t="s">
        <v>38</v>
      </c>
      <c r="E15" s="19" t="s">
        <v>168</v>
      </c>
      <c r="F15" s="19" t="s">
        <v>30</v>
      </c>
      <c r="G15" s="257"/>
      <c r="H15" s="94"/>
      <c r="I15" s="94"/>
      <c r="J15" s="94"/>
      <c r="K15" s="94"/>
      <c r="L15" s="94"/>
      <c r="M15" s="94"/>
      <c r="N15" s="94"/>
      <c r="O15" s="95"/>
      <c r="P15" s="94"/>
      <c r="Q15" s="55"/>
      <c r="R15" s="55"/>
    </row>
    <row r="16" spans="1:92" ht="15" customHeight="1" x14ac:dyDescent="0.3">
      <c r="A16" s="19" t="s">
        <v>26</v>
      </c>
      <c r="B16" s="19" t="s">
        <v>207</v>
      </c>
      <c r="C16" s="20" t="s">
        <v>429</v>
      </c>
      <c r="D16" s="19" t="s">
        <v>31</v>
      </c>
      <c r="E16" s="19" t="s">
        <v>454</v>
      </c>
      <c r="F16" s="19" t="s">
        <v>210</v>
      </c>
      <c r="G16" s="257"/>
      <c r="H16" s="94"/>
      <c r="I16" s="94"/>
      <c r="J16" s="94"/>
      <c r="K16" s="94"/>
      <c r="L16" s="94"/>
      <c r="M16" s="94"/>
      <c r="N16" s="94"/>
      <c r="O16" s="95"/>
      <c r="P16" s="94"/>
      <c r="Q16" s="55"/>
      <c r="R16" s="55"/>
    </row>
    <row r="17" spans="1:18" ht="15" customHeight="1" x14ac:dyDescent="0.3">
      <c r="A17" s="19" t="s">
        <v>36</v>
      </c>
      <c r="B17" s="19" t="s">
        <v>228</v>
      </c>
      <c r="C17" s="20" t="s">
        <v>435</v>
      </c>
      <c r="D17" s="19" t="s">
        <v>38</v>
      </c>
      <c r="E17" s="19" t="s">
        <v>169</v>
      </c>
      <c r="F17" s="19" t="s">
        <v>210</v>
      </c>
      <c r="G17" s="257"/>
      <c r="H17" s="94"/>
      <c r="I17" s="94"/>
      <c r="J17" s="94"/>
      <c r="K17" s="94"/>
      <c r="L17" s="94"/>
      <c r="M17" s="94"/>
      <c r="N17" s="94"/>
      <c r="O17" s="95"/>
      <c r="P17" s="94"/>
      <c r="Q17" s="55"/>
      <c r="R17" s="55"/>
    </row>
    <row r="18" spans="1:18" ht="15" customHeight="1" x14ac:dyDescent="0.3">
      <c r="A18" s="19" t="s">
        <v>36</v>
      </c>
      <c r="B18" s="19" t="s">
        <v>230</v>
      </c>
      <c r="C18" s="20" t="s">
        <v>436</v>
      </c>
      <c r="D18" s="19" t="s">
        <v>38</v>
      </c>
      <c r="E18" s="19" t="s">
        <v>174</v>
      </c>
      <c r="F18" s="19" t="s">
        <v>210</v>
      </c>
      <c r="G18" s="257"/>
      <c r="H18" s="94"/>
      <c r="I18" s="94"/>
      <c r="J18" s="94"/>
      <c r="K18" s="94"/>
      <c r="L18" s="94"/>
      <c r="M18" s="94"/>
      <c r="N18" s="94"/>
      <c r="O18" s="95"/>
      <c r="P18" s="94"/>
      <c r="Q18" s="55"/>
      <c r="R18" s="55"/>
    </row>
    <row r="19" spans="1:18" ht="15" customHeight="1" thickBot="1" x14ac:dyDescent="0.35">
      <c r="A19" s="39" t="s">
        <v>36</v>
      </c>
      <c r="B19" s="39" t="s">
        <v>232</v>
      </c>
      <c r="C19" s="40" t="s">
        <v>437</v>
      </c>
      <c r="D19" s="39" t="s">
        <v>38</v>
      </c>
      <c r="E19" s="39" t="s">
        <v>454</v>
      </c>
      <c r="F19" s="39" t="s">
        <v>210</v>
      </c>
      <c r="G19" s="258"/>
      <c r="H19" s="96"/>
      <c r="I19" s="96"/>
      <c r="J19" s="96"/>
      <c r="K19" s="96"/>
      <c r="L19" s="96"/>
      <c r="M19" s="96"/>
      <c r="N19" s="96"/>
      <c r="O19" s="97"/>
      <c r="P19" s="96"/>
      <c r="Q19" s="98"/>
      <c r="R19" s="98"/>
    </row>
    <row r="20" spans="1:18" ht="17.399999999999999" customHeight="1" thickBot="1" x14ac:dyDescent="0.35">
      <c r="A20" s="285"/>
      <c r="B20" s="286"/>
      <c r="C20" s="286"/>
      <c r="D20" s="286"/>
      <c r="E20" s="286"/>
      <c r="F20" s="286"/>
      <c r="G20" s="286"/>
      <c r="H20" s="286"/>
      <c r="I20" s="286"/>
      <c r="J20" s="286"/>
      <c r="K20" s="286"/>
      <c r="L20" s="286"/>
      <c r="M20" s="286"/>
      <c r="N20" s="286"/>
      <c r="O20" s="286"/>
      <c r="P20" s="286"/>
      <c r="Q20" s="286"/>
      <c r="R20" s="287"/>
    </row>
    <row r="21" spans="1:18" ht="22.05" customHeight="1" thickTop="1" thickBot="1" x14ac:dyDescent="0.35">
      <c r="A21" s="259" t="s">
        <v>6</v>
      </c>
      <c r="B21" s="251"/>
      <c r="C21" s="251"/>
      <c r="D21" s="251"/>
      <c r="E21" s="251"/>
      <c r="F21" s="252"/>
      <c r="G21" s="31">
        <v>45982</v>
      </c>
      <c r="H21" s="250" t="s">
        <v>7</v>
      </c>
      <c r="I21" s="251"/>
      <c r="J21" s="251"/>
      <c r="K21" s="251"/>
      <c r="L21" s="251"/>
      <c r="M21" s="251"/>
      <c r="N21" s="251"/>
      <c r="O21" s="251"/>
      <c r="P21" s="251"/>
      <c r="Q21" s="251"/>
      <c r="R21" s="252"/>
    </row>
    <row r="22" spans="1:18" ht="24" customHeight="1" x14ac:dyDescent="0.3">
      <c r="A22" s="32" t="s">
        <v>8</v>
      </c>
      <c r="B22" s="32" t="s">
        <v>9</v>
      </c>
      <c r="C22" s="33" t="s">
        <v>10</v>
      </c>
      <c r="D22" s="32" t="s">
        <v>11</v>
      </c>
      <c r="E22" s="32" t="s">
        <v>12</v>
      </c>
      <c r="F22" s="34" t="s">
        <v>13</v>
      </c>
      <c r="G22" s="35" t="s">
        <v>14</v>
      </c>
      <c r="H22" s="32" t="s">
        <v>15</v>
      </c>
      <c r="I22" s="36" t="s">
        <v>16</v>
      </c>
      <c r="J22" s="37" t="s">
        <v>17</v>
      </c>
      <c r="K22" s="38" t="s">
        <v>18</v>
      </c>
      <c r="L22" s="37" t="s">
        <v>19</v>
      </c>
      <c r="M22" s="37" t="s">
        <v>20</v>
      </c>
      <c r="N22" s="37" t="s">
        <v>21</v>
      </c>
      <c r="O22" s="32" t="s">
        <v>22</v>
      </c>
      <c r="P22" s="33" t="s">
        <v>23</v>
      </c>
      <c r="Q22" s="37" t="s">
        <v>24</v>
      </c>
      <c r="R22" s="32" t="s">
        <v>25</v>
      </c>
    </row>
    <row r="23" spans="1:18" ht="15" customHeight="1" x14ac:dyDescent="0.3">
      <c r="A23" s="114" t="s">
        <v>73</v>
      </c>
      <c r="B23" s="114" t="s">
        <v>513</v>
      </c>
      <c r="C23" s="115">
        <v>0.13541666666666671</v>
      </c>
      <c r="D23" s="114" t="s">
        <v>100</v>
      </c>
      <c r="E23" s="114" t="s">
        <v>81</v>
      </c>
      <c r="F23" s="114" t="s">
        <v>504</v>
      </c>
      <c r="G23" s="256"/>
      <c r="H23" s="116" t="s">
        <v>514</v>
      </c>
      <c r="I23" s="190">
        <v>0.72219999999999995</v>
      </c>
      <c r="J23" s="118">
        <v>130</v>
      </c>
      <c r="K23" s="119" t="s">
        <v>253</v>
      </c>
      <c r="L23" s="118">
        <v>99</v>
      </c>
      <c r="M23" s="118">
        <v>2</v>
      </c>
      <c r="N23" s="118">
        <v>4</v>
      </c>
      <c r="O23" s="120" t="s">
        <v>198</v>
      </c>
      <c r="P23" s="121">
        <v>0.13541666666666671</v>
      </c>
      <c r="Q23" s="118">
        <v>180</v>
      </c>
      <c r="R23" s="122" t="s">
        <v>515</v>
      </c>
    </row>
    <row r="24" spans="1:18" ht="18" x14ac:dyDescent="0.3">
      <c r="A24" s="268" t="s">
        <v>453</v>
      </c>
      <c r="B24" s="269"/>
      <c r="C24" s="269"/>
      <c r="D24" s="269"/>
      <c r="E24" s="269"/>
      <c r="F24" s="270"/>
      <c r="G24" s="257"/>
      <c r="H24" s="94"/>
      <c r="I24" s="94"/>
      <c r="J24" s="94"/>
      <c r="K24" s="94"/>
      <c r="L24" s="94"/>
      <c r="M24" s="94"/>
      <c r="N24" s="94"/>
      <c r="O24" s="95"/>
      <c r="P24" s="94"/>
      <c r="Q24" s="55"/>
      <c r="R24" s="55"/>
    </row>
    <row r="25" spans="1:18" ht="15" customHeight="1" x14ac:dyDescent="0.3">
      <c r="A25" s="19" t="s">
        <v>26</v>
      </c>
      <c r="B25" s="19" t="s">
        <v>211</v>
      </c>
      <c r="C25" s="20" t="s">
        <v>430</v>
      </c>
      <c r="D25" s="19" t="s">
        <v>28</v>
      </c>
      <c r="E25" s="19" t="s">
        <v>174</v>
      </c>
      <c r="F25" s="19" t="s">
        <v>213</v>
      </c>
      <c r="G25" s="257"/>
      <c r="H25" s="94"/>
      <c r="I25" s="94"/>
      <c r="J25" s="94"/>
      <c r="K25" s="94"/>
      <c r="L25" s="94"/>
      <c r="M25" s="94"/>
      <c r="N25" s="94"/>
      <c r="O25" s="95"/>
      <c r="P25" s="94"/>
      <c r="Q25" s="55"/>
      <c r="R25" s="55"/>
    </row>
    <row r="26" spans="1:18" ht="15" customHeight="1" x14ac:dyDescent="0.3">
      <c r="A26" s="19" t="s">
        <v>26</v>
      </c>
      <c r="B26" s="19" t="s">
        <v>218</v>
      </c>
      <c r="C26" s="20" t="s">
        <v>432</v>
      </c>
      <c r="D26" s="19" t="s">
        <v>28</v>
      </c>
      <c r="E26" s="19" t="s">
        <v>192</v>
      </c>
      <c r="F26" s="19" t="s">
        <v>213</v>
      </c>
      <c r="G26" s="257"/>
      <c r="H26" s="94"/>
      <c r="I26" s="94"/>
      <c r="J26" s="94"/>
      <c r="K26" s="94"/>
      <c r="L26" s="94"/>
      <c r="M26" s="94"/>
      <c r="N26" s="94"/>
      <c r="O26" s="95"/>
      <c r="P26" s="94"/>
      <c r="Q26" s="55"/>
      <c r="R26" s="55"/>
    </row>
    <row r="27" spans="1:18" ht="15" customHeight="1" x14ac:dyDescent="0.3">
      <c r="A27" s="19" t="s">
        <v>26</v>
      </c>
      <c r="B27" s="19" t="s">
        <v>207</v>
      </c>
      <c r="C27" s="20" t="s">
        <v>429</v>
      </c>
      <c r="D27" s="19" t="s">
        <v>28</v>
      </c>
      <c r="E27" s="19" t="s">
        <v>168</v>
      </c>
      <c r="F27" s="19" t="s">
        <v>213</v>
      </c>
      <c r="G27" s="257"/>
      <c r="H27" s="94"/>
      <c r="I27" s="94"/>
      <c r="J27" s="94"/>
      <c r="K27" s="94"/>
      <c r="L27" s="94"/>
      <c r="M27" s="94"/>
      <c r="N27" s="94"/>
      <c r="O27" s="95"/>
      <c r="P27" s="94"/>
      <c r="Q27" s="55"/>
      <c r="R27" s="55"/>
    </row>
    <row r="28" spans="1:18" ht="15" customHeight="1" x14ac:dyDescent="0.3">
      <c r="A28" s="19" t="s">
        <v>26</v>
      </c>
      <c r="B28" s="19" t="s">
        <v>216</v>
      </c>
      <c r="C28" s="20" t="s">
        <v>431</v>
      </c>
      <c r="D28" s="19" t="s">
        <v>295</v>
      </c>
      <c r="E28" s="19" t="s">
        <v>191</v>
      </c>
      <c r="F28" s="19" t="s">
        <v>220</v>
      </c>
      <c r="G28" s="257"/>
      <c r="H28" s="94"/>
      <c r="I28" s="94"/>
      <c r="J28" s="94"/>
      <c r="K28" s="94"/>
      <c r="L28" s="94"/>
      <c r="M28" s="94"/>
      <c r="N28" s="94"/>
      <c r="O28" s="95"/>
      <c r="P28" s="94"/>
      <c r="Q28" s="55"/>
      <c r="R28" s="55"/>
    </row>
    <row r="29" spans="1:18" ht="15" customHeight="1" x14ac:dyDescent="0.3">
      <c r="A29" s="19" t="s">
        <v>26</v>
      </c>
      <c r="B29" s="19" t="s">
        <v>216</v>
      </c>
      <c r="C29" s="20" t="s">
        <v>431</v>
      </c>
      <c r="D29" s="19" t="s">
        <v>28</v>
      </c>
      <c r="E29" s="19" t="s">
        <v>191</v>
      </c>
      <c r="F29" s="19" t="s">
        <v>220</v>
      </c>
      <c r="G29" s="257"/>
      <c r="H29" s="94"/>
      <c r="I29" s="94"/>
      <c r="J29" s="94"/>
      <c r="K29" s="94"/>
      <c r="L29" s="94"/>
      <c r="M29" s="94"/>
      <c r="N29" s="94"/>
      <c r="O29" s="95"/>
      <c r="P29" s="94"/>
      <c r="Q29" s="55"/>
      <c r="R29" s="55"/>
    </row>
    <row r="30" spans="1:18" ht="15" customHeight="1" x14ac:dyDescent="0.3">
      <c r="A30" s="19" t="s">
        <v>36</v>
      </c>
      <c r="B30" s="19" t="s">
        <v>228</v>
      </c>
      <c r="C30" s="20" t="s">
        <v>435</v>
      </c>
      <c r="D30" s="19" t="s">
        <v>297</v>
      </c>
      <c r="E30" s="19" t="s">
        <v>170</v>
      </c>
      <c r="F30" s="19" t="s">
        <v>30</v>
      </c>
      <c r="G30" s="257"/>
      <c r="H30" s="94"/>
      <c r="I30" s="94"/>
      <c r="J30" s="94"/>
      <c r="K30" s="94"/>
      <c r="L30" s="94"/>
      <c r="M30" s="94"/>
      <c r="N30" s="94"/>
      <c r="O30" s="95"/>
      <c r="P30" s="94"/>
      <c r="Q30" s="55"/>
      <c r="R30" s="55"/>
    </row>
    <row r="31" spans="1:18" ht="15" customHeight="1" x14ac:dyDescent="0.3">
      <c r="A31" s="19" t="s">
        <v>36</v>
      </c>
      <c r="B31" s="19" t="s">
        <v>228</v>
      </c>
      <c r="C31" s="20" t="s">
        <v>435</v>
      </c>
      <c r="D31" s="19" t="s">
        <v>38</v>
      </c>
      <c r="E31" s="19" t="s">
        <v>170</v>
      </c>
      <c r="F31" s="19" t="s">
        <v>30</v>
      </c>
      <c r="G31" s="257"/>
      <c r="H31" s="94"/>
      <c r="I31" s="94"/>
      <c r="J31" s="94"/>
      <c r="K31" s="94"/>
      <c r="L31" s="94"/>
      <c r="M31" s="94"/>
      <c r="N31" s="94"/>
      <c r="O31" s="95"/>
      <c r="P31" s="94"/>
      <c r="Q31" s="55"/>
      <c r="R31" s="55"/>
    </row>
    <row r="32" spans="1:18" ht="15" customHeight="1" x14ac:dyDescent="0.3">
      <c r="A32" s="19" t="s">
        <v>36</v>
      </c>
      <c r="B32" s="19" t="s">
        <v>234</v>
      </c>
      <c r="C32" s="20" t="s">
        <v>438</v>
      </c>
      <c r="D32" s="19" t="s">
        <v>297</v>
      </c>
      <c r="E32" s="19" t="s">
        <v>454</v>
      </c>
      <c r="F32" s="19" t="s">
        <v>30</v>
      </c>
      <c r="G32" s="257"/>
      <c r="H32" s="94"/>
      <c r="I32" s="94"/>
      <c r="J32" s="94"/>
      <c r="K32" s="94"/>
      <c r="L32" s="94"/>
      <c r="M32" s="94"/>
      <c r="N32" s="94"/>
      <c r="O32" s="95"/>
      <c r="P32" s="94"/>
      <c r="Q32" s="55"/>
      <c r="R32" s="55"/>
    </row>
    <row r="33" spans="1:18" ht="15" customHeight="1" x14ac:dyDescent="0.3">
      <c r="A33" s="19" t="s">
        <v>36</v>
      </c>
      <c r="B33" s="19" t="s">
        <v>234</v>
      </c>
      <c r="C33" s="20" t="s">
        <v>438</v>
      </c>
      <c r="D33" s="19" t="s">
        <v>38</v>
      </c>
      <c r="E33" s="19" t="s">
        <v>454</v>
      </c>
      <c r="F33" s="19" t="s">
        <v>30</v>
      </c>
      <c r="G33" s="257"/>
      <c r="H33" s="94"/>
      <c r="I33" s="94"/>
      <c r="J33" s="94"/>
      <c r="K33" s="94"/>
      <c r="L33" s="94"/>
      <c r="M33" s="94"/>
      <c r="N33" s="94"/>
      <c r="O33" s="95"/>
      <c r="P33" s="94"/>
      <c r="Q33" s="55"/>
      <c r="R33" s="55"/>
    </row>
    <row r="34" spans="1:18" ht="15" customHeight="1" thickBot="1" x14ac:dyDescent="0.35">
      <c r="A34" s="39" t="s">
        <v>36</v>
      </c>
      <c r="B34" s="39" t="s">
        <v>238</v>
      </c>
      <c r="C34" s="40" t="s">
        <v>431</v>
      </c>
      <c r="D34" s="39" t="s">
        <v>297</v>
      </c>
      <c r="E34" s="39" t="s">
        <v>454</v>
      </c>
      <c r="F34" s="39" t="s">
        <v>30</v>
      </c>
      <c r="G34" s="258"/>
      <c r="H34" s="96"/>
      <c r="I34" s="96"/>
      <c r="J34" s="96"/>
      <c r="K34" s="96"/>
      <c r="L34" s="96"/>
      <c r="M34" s="96"/>
      <c r="N34" s="96"/>
      <c r="O34" s="97"/>
      <c r="P34" s="96"/>
      <c r="Q34" s="98"/>
      <c r="R34" s="98"/>
    </row>
    <row r="35" spans="1:18" ht="17.399999999999999" customHeight="1" thickBot="1" x14ac:dyDescent="0.35">
      <c r="A35" s="285"/>
      <c r="B35" s="286"/>
      <c r="C35" s="286"/>
      <c r="D35" s="286"/>
      <c r="E35" s="286"/>
      <c r="F35" s="286"/>
      <c r="G35" s="286"/>
      <c r="H35" s="286"/>
      <c r="I35" s="286"/>
      <c r="J35" s="286"/>
      <c r="K35" s="286"/>
      <c r="L35" s="286"/>
      <c r="M35" s="286"/>
      <c r="N35" s="286"/>
      <c r="O35" s="286"/>
      <c r="P35" s="286"/>
      <c r="Q35" s="286"/>
      <c r="R35" s="287"/>
    </row>
    <row r="36" spans="1:18" ht="22.05" customHeight="1" thickTop="1" thickBot="1" x14ac:dyDescent="0.35">
      <c r="A36" s="259" t="s">
        <v>6</v>
      </c>
      <c r="B36" s="251"/>
      <c r="C36" s="251"/>
      <c r="D36" s="251"/>
      <c r="E36" s="251"/>
      <c r="F36" s="252"/>
      <c r="G36" s="31">
        <v>45983</v>
      </c>
      <c r="H36" s="250" t="s">
        <v>7</v>
      </c>
      <c r="I36" s="251"/>
      <c r="J36" s="251"/>
      <c r="K36" s="251"/>
      <c r="L36" s="251"/>
      <c r="M36" s="251"/>
      <c r="N36" s="251"/>
      <c r="O36" s="251"/>
      <c r="P36" s="251"/>
      <c r="Q36" s="251"/>
      <c r="R36" s="252"/>
    </row>
    <row r="37" spans="1:18" ht="24" customHeight="1" x14ac:dyDescent="0.3">
      <c r="A37" s="32" t="s">
        <v>8</v>
      </c>
      <c r="B37" s="32" t="s">
        <v>9</v>
      </c>
      <c r="C37" s="33" t="s">
        <v>10</v>
      </c>
      <c r="D37" s="32" t="s">
        <v>11</v>
      </c>
      <c r="E37" s="32" t="s">
        <v>12</v>
      </c>
      <c r="F37" s="34" t="s">
        <v>13</v>
      </c>
      <c r="G37" s="35" t="s">
        <v>14</v>
      </c>
      <c r="H37" s="32" t="s">
        <v>15</v>
      </c>
      <c r="I37" s="36" t="s">
        <v>16</v>
      </c>
      <c r="J37" s="37" t="s">
        <v>17</v>
      </c>
      <c r="K37" s="38" t="s">
        <v>18</v>
      </c>
      <c r="L37" s="37" t="s">
        <v>19</v>
      </c>
      <c r="M37" s="37" t="s">
        <v>20</v>
      </c>
      <c r="N37" s="37" t="s">
        <v>21</v>
      </c>
      <c r="O37" s="32" t="s">
        <v>22</v>
      </c>
      <c r="P37" s="33" t="s">
        <v>23</v>
      </c>
      <c r="Q37" s="37" t="s">
        <v>24</v>
      </c>
      <c r="R37" s="32" t="s">
        <v>25</v>
      </c>
    </row>
    <row r="38" spans="1:18" ht="15" customHeight="1" x14ac:dyDescent="0.3">
      <c r="A38" s="85" t="s">
        <v>73</v>
      </c>
      <c r="B38" s="85" t="s">
        <v>507</v>
      </c>
      <c r="C38" s="86">
        <v>0.30208333333333331</v>
      </c>
      <c r="D38" s="85" t="s">
        <v>100</v>
      </c>
      <c r="E38" s="85" t="s">
        <v>81</v>
      </c>
      <c r="F38" s="85" t="s">
        <v>516</v>
      </c>
      <c r="G38" s="256"/>
      <c r="H38" s="87" t="s">
        <v>509</v>
      </c>
      <c r="I38" s="88">
        <v>0.86670000000000003</v>
      </c>
      <c r="J38" s="89">
        <v>156</v>
      </c>
      <c r="K38" s="90" t="s">
        <v>103</v>
      </c>
      <c r="L38" s="89">
        <v>35</v>
      </c>
      <c r="M38" s="89">
        <v>0</v>
      </c>
      <c r="N38" s="89">
        <v>5</v>
      </c>
      <c r="O38" s="91" t="s">
        <v>333</v>
      </c>
      <c r="P38" s="92">
        <v>0.30208333333333331</v>
      </c>
      <c r="Q38" s="89">
        <v>180</v>
      </c>
      <c r="R38" s="93" t="s">
        <v>517</v>
      </c>
    </row>
    <row r="39" spans="1:18" ht="15" customHeight="1" x14ac:dyDescent="0.3">
      <c r="A39" s="145" t="s">
        <v>73</v>
      </c>
      <c r="B39" s="145" t="s">
        <v>505</v>
      </c>
      <c r="C39" s="146">
        <v>0.52777777777777779</v>
      </c>
      <c r="D39" s="145" t="s">
        <v>75</v>
      </c>
      <c r="E39" s="147"/>
      <c r="F39" s="145" t="s">
        <v>76</v>
      </c>
      <c r="G39" s="257"/>
      <c r="H39" s="116" t="s">
        <v>505</v>
      </c>
      <c r="I39" s="117">
        <v>0.99439999999999995</v>
      </c>
      <c r="J39" s="118">
        <v>179</v>
      </c>
      <c r="K39" s="119" t="s">
        <v>103</v>
      </c>
      <c r="L39" s="118">
        <v>30</v>
      </c>
      <c r="M39" s="118">
        <v>0</v>
      </c>
      <c r="N39" s="118">
        <v>8</v>
      </c>
      <c r="O39" s="120" t="s">
        <v>78</v>
      </c>
      <c r="P39" s="121">
        <v>0.52777777777777779</v>
      </c>
      <c r="Q39" s="118">
        <v>180</v>
      </c>
      <c r="R39" s="122" t="s">
        <v>518</v>
      </c>
    </row>
    <row r="40" spans="1:18" ht="15" customHeight="1" x14ac:dyDescent="0.3">
      <c r="A40" s="17" t="s">
        <v>68</v>
      </c>
      <c r="B40" s="17" t="s">
        <v>511</v>
      </c>
      <c r="C40" s="18">
        <v>0.30208333333333331</v>
      </c>
      <c r="D40" s="17" t="s">
        <v>70</v>
      </c>
      <c r="E40" s="17" t="s">
        <v>298</v>
      </c>
      <c r="F40" s="17" t="s">
        <v>519</v>
      </c>
      <c r="G40" s="257"/>
      <c r="H40" s="10"/>
      <c r="I40" s="11"/>
      <c r="J40" s="11"/>
      <c r="K40" s="11"/>
      <c r="L40" s="11"/>
      <c r="M40" s="11"/>
      <c r="N40" s="11"/>
      <c r="O40" s="12"/>
      <c r="P40" s="11"/>
      <c r="Q40" s="13"/>
      <c r="R40" s="14"/>
    </row>
    <row r="41" spans="1:18" ht="18" x14ac:dyDescent="0.3">
      <c r="A41" s="268" t="s">
        <v>453</v>
      </c>
      <c r="B41" s="269"/>
      <c r="C41" s="269"/>
      <c r="D41" s="269"/>
      <c r="E41" s="269"/>
      <c r="F41" s="270"/>
      <c r="G41" s="257"/>
      <c r="H41" s="94"/>
      <c r="I41" s="94"/>
      <c r="J41" s="94"/>
      <c r="K41" s="94"/>
      <c r="L41" s="94"/>
      <c r="M41" s="94"/>
      <c r="N41" s="94"/>
      <c r="O41" s="95"/>
      <c r="P41" s="94"/>
      <c r="Q41" s="55"/>
      <c r="R41" s="55"/>
    </row>
    <row r="42" spans="1:18" ht="15" customHeight="1" x14ac:dyDescent="0.3">
      <c r="A42" s="19" t="s">
        <v>26</v>
      </c>
      <c r="B42" s="19" t="s">
        <v>211</v>
      </c>
      <c r="C42" s="20" t="s">
        <v>430</v>
      </c>
      <c r="D42" s="19" t="s">
        <v>28</v>
      </c>
      <c r="E42" s="19" t="s">
        <v>168</v>
      </c>
      <c r="F42" s="19" t="s">
        <v>220</v>
      </c>
      <c r="G42" s="257"/>
      <c r="H42" s="94"/>
      <c r="I42" s="94"/>
      <c r="J42" s="94"/>
      <c r="K42" s="94"/>
      <c r="L42" s="94"/>
      <c r="M42" s="94"/>
      <c r="N42" s="94"/>
      <c r="O42" s="95"/>
      <c r="P42" s="94"/>
      <c r="Q42" s="55"/>
      <c r="R42" s="55"/>
    </row>
    <row r="43" spans="1:18" ht="15" customHeight="1" x14ac:dyDescent="0.3">
      <c r="A43" s="19" t="s">
        <v>26</v>
      </c>
      <c r="B43" s="19" t="s">
        <v>218</v>
      </c>
      <c r="C43" s="20" t="s">
        <v>432</v>
      </c>
      <c r="D43" s="19" t="s">
        <v>28</v>
      </c>
      <c r="E43" s="19" t="s">
        <v>482</v>
      </c>
      <c r="F43" s="19" t="s">
        <v>220</v>
      </c>
      <c r="G43" s="257"/>
      <c r="H43" s="94"/>
      <c r="I43" s="94"/>
      <c r="J43" s="94"/>
      <c r="K43" s="94"/>
      <c r="L43" s="94"/>
      <c r="M43" s="94"/>
      <c r="N43" s="94"/>
      <c r="O43" s="95"/>
      <c r="P43" s="94"/>
      <c r="Q43" s="55"/>
      <c r="R43" s="55"/>
    </row>
    <row r="44" spans="1:18" ht="15" customHeight="1" x14ac:dyDescent="0.3">
      <c r="A44" s="19" t="s">
        <v>73</v>
      </c>
      <c r="B44" s="19" t="s">
        <v>256</v>
      </c>
      <c r="C44" s="20" t="s">
        <v>426</v>
      </c>
      <c r="D44" s="19" t="s">
        <v>100</v>
      </c>
      <c r="E44" s="19" t="s">
        <v>174</v>
      </c>
      <c r="F44" s="19" t="s">
        <v>332</v>
      </c>
      <c r="G44" s="257"/>
      <c r="H44" s="94"/>
      <c r="I44" s="94"/>
      <c r="J44" s="94"/>
      <c r="K44" s="94"/>
      <c r="L44" s="94"/>
      <c r="M44" s="94"/>
      <c r="N44" s="94"/>
      <c r="O44" s="95"/>
      <c r="P44" s="94"/>
      <c r="Q44" s="55"/>
      <c r="R44" s="55"/>
    </row>
    <row r="45" spans="1:18" ht="15" customHeight="1" x14ac:dyDescent="0.3">
      <c r="A45" s="19" t="s">
        <v>73</v>
      </c>
      <c r="B45" s="19" t="s">
        <v>247</v>
      </c>
      <c r="C45" s="20" t="s">
        <v>414</v>
      </c>
      <c r="D45" s="19" t="s">
        <v>100</v>
      </c>
      <c r="E45" s="19" t="s">
        <v>174</v>
      </c>
      <c r="F45" s="19" t="s">
        <v>332</v>
      </c>
      <c r="G45" s="257"/>
      <c r="H45" s="94"/>
      <c r="I45" s="94"/>
      <c r="J45" s="94"/>
      <c r="K45" s="94"/>
      <c r="L45" s="94"/>
      <c r="M45" s="94"/>
      <c r="N45" s="94"/>
      <c r="O45" s="95"/>
      <c r="P45" s="94"/>
      <c r="Q45" s="55"/>
      <c r="R45" s="55"/>
    </row>
    <row r="46" spans="1:18" ht="15" customHeight="1" x14ac:dyDescent="0.3">
      <c r="A46" s="19" t="s">
        <v>26</v>
      </c>
      <c r="B46" s="19" t="s">
        <v>216</v>
      </c>
      <c r="C46" s="20" t="s">
        <v>431</v>
      </c>
      <c r="D46" s="19" t="s">
        <v>28</v>
      </c>
      <c r="E46" s="19" t="s">
        <v>483</v>
      </c>
      <c r="F46" s="19" t="s">
        <v>329</v>
      </c>
      <c r="G46" s="257"/>
      <c r="H46" s="94"/>
      <c r="I46" s="94"/>
      <c r="J46" s="94"/>
      <c r="K46" s="94"/>
      <c r="L46" s="94"/>
      <c r="M46" s="94"/>
      <c r="N46" s="94"/>
      <c r="O46" s="95"/>
      <c r="P46" s="94"/>
      <c r="Q46" s="55"/>
      <c r="R46" s="55"/>
    </row>
    <row r="47" spans="1:18" ht="15" customHeight="1" x14ac:dyDescent="0.3">
      <c r="A47" s="19" t="s">
        <v>26</v>
      </c>
      <c r="B47" s="19" t="s">
        <v>207</v>
      </c>
      <c r="C47" s="20" t="s">
        <v>429</v>
      </c>
      <c r="D47" s="19" t="s">
        <v>28</v>
      </c>
      <c r="E47" s="19" t="s">
        <v>483</v>
      </c>
      <c r="F47" s="19" t="s">
        <v>329</v>
      </c>
      <c r="G47" s="257"/>
      <c r="H47" s="94"/>
      <c r="I47" s="94"/>
      <c r="J47" s="94"/>
      <c r="K47" s="94"/>
      <c r="L47" s="94"/>
      <c r="M47" s="94"/>
      <c r="N47" s="94"/>
      <c r="O47" s="95"/>
      <c r="P47" s="94"/>
      <c r="Q47" s="55"/>
      <c r="R47" s="55"/>
    </row>
    <row r="48" spans="1:18" ht="15" customHeight="1" x14ac:dyDescent="0.3">
      <c r="A48" s="19" t="s">
        <v>36</v>
      </c>
      <c r="B48" s="19" t="s">
        <v>228</v>
      </c>
      <c r="C48" s="20" t="s">
        <v>435</v>
      </c>
      <c r="D48" s="19" t="s">
        <v>38</v>
      </c>
      <c r="E48" s="19" t="s">
        <v>174</v>
      </c>
      <c r="F48" s="19" t="s">
        <v>210</v>
      </c>
      <c r="G48" s="257"/>
      <c r="H48" s="94"/>
      <c r="I48" s="94"/>
      <c r="J48" s="94"/>
      <c r="K48" s="94"/>
      <c r="L48" s="94"/>
      <c r="M48" s="94"/>
      <c r="N48" s="94"/>
      <c r="O48" s="95"/>
      <c r="P48" s="94"/>
      <c r="Q48" s="55"/>
      <c r="R48" s="55"/>
    </row>
    <row r="49" spans="1:18" ht="15" customHeight="1" x14ac:dyDescent="0.3">
      <c r="A49" s="19" t="s">
        <v>36</v>
      </c>
      <c r="B49" s="19" t="s">
        <v>224</v>
      </c>
      <c r="C49" s="20" t="s">
        <v>433</v>
      </c>
      <c r="D49" s="19" t="s">
        <v>38</v>
      </c>
      <c r="E49" s="19" t="s">
        <v>174</v>
      </c>
      <c r="F49" s="19" t="s">
        <v>210</v>
      </c>
      <c r="G49" s="257"/>
      <c r="H49" s="94"/>
      <c r="I49" s="94"/>
      <c r="J49" s="94"/>
      <c r="K49" s="94"/>
      <c r="L49" s="94"/>
      <c r="M49" s="94"/>
      <c r="N49" s="94"/>
      <c r="O49" s="95"/>
      <c r="P49" s="94"/>
      <c r="Q49" s="55"/>
      <c r="R49" s="55"/>
    </row>
    <row r="50" spans="1:18" ht="15" customHeight="1" x14ac:dyDescent="0.3">
      <c r="A50" s="19" t="s">
        <v>36</v>
      </c>
      <c r="B50" s="19" t="s">
        <v>226</v>
      </c>
      <c r="C50" s="20" t="s">
        <v>434</v>
      </c>
      <c r="D50" s="19" t="s">
        <v>38</v>
      </c>
      <c r="E50" s="19" t="s">
        <v>169</v>
      </c>
      <c r="F50" s="19" t="s">
        <v>210</v>
      </c>
      <c r="G50" s="257"/>
      <c r="H50" s="94"/>
      <c r="I50" s="94"/>
      <c r="J50" s="94"/>
      <c r="K50" s="94"/>
      <c r="L50" s="94"/>
      <c r="M50" s="94"/>
      <c r="N50" s="94"/>
      <c r="O50" s="95"/>
      <c r="P50" s="94"/>
      <c r="Q50" s="55"/>
      <c r="R50" s="55"/>
    </row>
    <row r="51" spans="1:18" ht="15" customHeight="1" x14ac:dyDescent="0.3">
      <c r="A51" s="39" t="s">
        <v>36</v>
      </c>
      <c r="B51" s="39" t="s">
        <v>234</v>
      </c>
      <c r="C51" s="40" t="s">
        <v>438</v>
      </c>
      <c r="D51" s="39" t="s">
        <v>38</v>
      </c>
      <c r="E51" s="39" t="s">
        <v>169</v>
      </c>
      <c r="F51" s="39" t="s">
        <v>210</v>
      </c>
      <c r="G51" s="258"/>
      <c r="H51" s="96"/>
      <c r="I51" s="96"/>
      <c r="J51" s="96"/>
      <c r="K51" s="96"/>
      <c r="L51" s="96"/>
      <c r="M51" s="96"/>
      <c r="N51" s="96"/>
      <c r="O51" s="97"/>
      <c r="P51" s="96"/>
      <c r="Q51" s="98"/>
      <c r="R51" s="98"/>
    </row>
  </sheetData>
  <mergeCells count="21">
    <mergeCell ref="G23:G34"/>
    <mergeCell ref="A24:F24"/>
    <mergeCell ref="A36:F36"/>
    <mergeCell ref="G38:G51"/>
    <mergeCell ref="G6:G19"/>
    <mergeCell ref="A41:F41"/>
    <mergeCell ref="H1:L1"/>
    <mergeCell ref="A1:E1"/>
    <mergeCell ref="A21:F21"/>
    <mergeCell ref="H4:R4"/>
    <mergeCell ref="A2:F2"/>
    <mergeCell ref="A3:R3"/>
    <mergeCell ref="H21:R21"/>
    <mergeCell ref="G2:J2"/>
    <mergeCell ref="A4:F4"/>
    <mergeCell ref="H36:R36"/>
    <mergeCell ref="A35:R35"/>
    <mergeCell ref="N1:R1"/>
    <mergeCell ref="A20:R20"/>
    <mergeCell ref="A9:F9"/>
    <mergeCell ref="K2:R2"/>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J7"/>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7.777343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5" width="3.88671875" style="272" bestFit="1" customWidth="1"/>
    <col min="26" max="26" width="4.109375" style="272" bestFit="1" customWidth="1"/>
    <col min="27" max="27" width="5" style="272" bestFit="1" customWidth="1"/>
    <col min="28" max="29" width="4.21875" style="272" bestFit="1" customWidth="1"/>
    <col min="30" max="31" width="4.5546875" style="272" bestFit="1" customWidth="1"/>
    <col min="32" max="32" width="3.88671875" style="272" bestFit="1" customWidth="1"/>
    <col min="33" max="33" width="4.21875" style="272" bestFit="1" customWidth="1"/>
    <col min="34" max="34" width="3.88671875" style="272" bestFit="1" customWidth="1"/>
    <col min="35" max="35" width="5.21875" style="272" bestFit="1" customWidth="1"/>
    <col min="36"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135</v>
      </c>
      <c r="B2" s="274">
        <v>45981</v>
      </c>
      <c r="C2" s="275" t="s">
        <v>509</v>
      </c>
      <c r="D2" s="276" t="s">
        <v>520</v>
      </c>
      <c r="E2" s="275" t="s">
        <v>502</v>
      </c>
      <c r="F2" s="275" t="s">
        <v>137</v>
      </c>
      <c r="G2" s="277">
        <v>0.92779999999999996</v>
      </c>
      <c r="H2" s="278">
        <v>180</v>
      </c>
      <c r="I2" s="278">
        <v>167</v>
      </c>
      <c r="J2" s="278">
        <v>133</v>
      </c>
      <c r="K2" s="275" t="s">
        <v>138</v>
      </c>
      <c r="L2" s="279" t="s">
        <v>103</v>
      </c>
      <c r="M2" s="278">
        <v>0</v>
      </c>
      <c r="N2" s="278">
        <v>5</v>
      </c>
      <c r="O2" s="278">
        <v>22</v>
      </c>
      <c r="P2" s="275" t="s">
        <v>254</v>
      </c>
      <c r="Q2" s="271"/>
      <c r="R2" s="271"/>
      <c r="S2" s="271"/>
      <c r="T2" s="271"/>
      <c r="U2" s="271"/>
      <c r="V2" s="271"/>
      <c r="W2" s="271"/>
      <c r="X2" s="271"/>
      <c r="Y2" s="271"/>
      <c r="Z2" s="278" t="s">
        <v>521</v>
      </c>
      <c r="AA2" s="278" t="s">
        <v>522</v>
      </c>
      <c r="AB2" s="271"/>
      <c r="AC2" s="278" t="s">
        <v>523</v>
      </c>
      <c r="AD2" s="271"/>
      <c r="AE2" s="271"/>
      <c r="AF2" s="271"/>
      <c r="AG2" s="278" t="s">
        <v>524</v>
      </c>
      <c r="AH2" s="271"/>
      <c r="AI2" s="278" t="s">
        <v>525</v>
      </c>
      <c r="AJ2" s="271"/>
    </row>
    <row r="3" spans="1:36" x14ac:dyDescent="0.3">
      <c r="A3" s="273" t="s">
        <v>135</v>
      </c>
      <c r="B3" s="274">
        <v>45981</v>
      </c>
      <c r="C3" s="275" t="s">
        <v>505</v>
      </c>
      <c r="D3" s="276" t="s">
        <v>526</v>
      </c>
      <c r="E3" s="275" t="s">
        <v>502</v>
      </c>
      <c r="F3" s="275" t="s">
        <v>137</v>
      </c>
      <c r="G3" s="277">
        <v>0.81669999999999998</v>
      </c>
      <c r="H3" s="278">
        <v>180</v>
      </c>
      <c r="I3" s="278">
        <v>147</v>
      </c>
      <c r="J3" s="278">
        <v>94</v>
      </c>
      <c r="K3" s="275" t="s">
        <v>138</v>
      </c>
      <c r="L3" s="279" t="s">
        <v>103</v>
      </c>
      <c r="M3" s="278">
        <v>0</v>
      </c>
      <c r="N3" s="278">
        <v>9</v>
      </c>
      <c r="O3" s="278">
        <v>37</v>
      </c>
      <c r="P3" s="275" t="s">
        <v>198</v>
      </c>
      <c r="Q3" s="271"/>
      <c r="R3" s="271"/>
      <c r="S3" s="271"/>
      <c r="T3" s="271"/>
      <c r="U3" s="271"/>
      <c r="V3" s="271"/>
      <c r="W3" s="271"/>
      <c r="X3" s="271"/>
      <c r="Y3" s="271"/>
      <c r="Z3" s="278" t="s">
        <v>527</v>
      </c>
      <c r="AA3" s="278" t="s">
        <v>528</v>
      </c>
      <c r="AB3" s="271"/>
      <c r="AC3" s="271"/>
      <c r="AD3" s="271"/>
      <c r="AE3" s="271"/>
      <c r="AF3" s="271"/>
      <c r="AG3" s="271"/>
      <c r="AH3" s="271"/>
      <c r="AI3" s="278" t="s">
        <v>529</v>
      </c>
      <c r="AJ3" s="271"/>
    </row>
    <row r="4" spans="1:36" x14ac:dyDescent="0.3">
      <c r="A4" s="273" t="s">
        <v>390</v>
      </c>
      <c r="B4" s="274">
        <v>45982</v>
      </c>
      <c r="C4" s="275" t="s">
        <v>514</v>
      </c>
      <c r="D4" s="276" t="s">
        <v>530</v>
      </c>
      <c r="E4" s="275" t="s">
        <v>502</v>
      </c>
      <c r="F4" s="275" t="s">
        <v>137</v>
      </c>
      <c r="G4" s="277">
        <v>0.72219999999999995</v>
      </c>
      <c r="H4" s="278">
        <v>180</v>
      </c>
      <c r="I4" s="278">
        <v>130</v>
      </c>
      <c r="J4" s="278">
        <v>0</v>
      </c>
      <c r="K4" s="275" t="s">
        <v>138</v>
      </c>
      <c r="L4" s="279" t="s">
        <v>253</v>
      </c>
      <c r="M4" s="278">
        <v>2</v>
      </c>
      <c r="N4" s="278">
        <v>4</v>
      </c>
      <c r="O4" s="278">
        <v>99</v>
      </c>
      <c r="P4" s="275" t="s">
        <v>198</v>
      </c>
      <c r="Q4" s="271"/>
      <c r="R4" s="271"/>
      <c r="S4" s="271"/>
      <c r="T4" s="271"/>
      <c r="U4" s="271"/>
      <c r="V4" s="271"/>
      <c r="W4" s="271"/>
      <c r="X4" s="271"/>
      <c r="Y4" s="278" t="s">
        <v>531</v>
      </c>
      <c r="Z4" s="278" t="s">
        <v>532</v>
      </c>
      <c r="AA4" s="278" t="s">
        <v>533</v>
      </c>
      <c r="AB4" s="278" t="s">
        <v>534</v>
      </c>
      <c r="AC4" s="278" t="s">
        <v>535</v>
      </c>
      <c r="AD4" s="278" t="s">
        <v>536</v>
      </c>
      <c r="AE4" s="278" t="s">
        <v>393</v>
      </c>
      <c r="AF4" s="278" t="s">
        <v>537</v>
      </c>
      <c r="AG4" s="271"/>
      <c r="AH4" s="271"/>
      <c r="AI4" s="271"/>
      <c r="AJ4" s="271"/>
    </row>
    <row r="5" spans="1:36" x14ac:dyDescent="0.3">
      <c r="A5" s="273" t="s">
        <v>146</v>
      </c>
      <c r="B5" s="274">
        <v>45983</v>
      </c>
      <c r="C5" s="275" t="s">
        <v>509</v>
      </c>
      <c r="D5" s="276" t="s">
        <v>538</v>
      </c>
      <c r="E5" s="275" t="s">
        <v>502</v>
      </c>
      <c r="F5" s="275" t="s">
        <v>137</v>
      </c>
      <c r="G5" s="277">
        <v>0.86670000000000003</v>
      </c>
      <c r="H5" s="278">
        <v>180</v>
      </c>
      <c r="I5" s="278">
        <v>156</v>
      </c>
      <c r="J5" s="278">
        <v>90</v>
      </c>
      <c r="K5" s="275" t="s">
        <v>138</v>
      </c>
      <c r="L5" s="279" t="s">
        <v>103</v>
      </c>
      <c r="M5" s="278">
        <v>0</v>
      </c>
      <c r="N5" s="278">
        <v>5</v>
      </c>
      <c r="O5" s="278">
        <v>35</v>
      </c>
      <c r="P5" s="275" t="s">
        <v>333</v>
      </c>
      <c r="Q5" s="271"/>
      <c r="R5" s="271"/>
      <c r="S5" s="271"/>
      <c r="T5" s="271"/>
      <c r="U5" s="271"/>
      <c r="V5" s="271"/>
      <c r="W5" s="271"/>
      <c r="X5" s="271"/>
      <c r="Y5" s="271"/>
      <c r="Z5" s="278" t="s">
        <v>139</v>
      </c>
      <c r="AA5" s="278" t="s">
        <v>386</v>
      </c>
      <c r="AB5" s="278" t="s">
        <v>490</v>
      </c>
      <c r="AC5" s="278" t="s">
        <v>140</v>
      </c>
      <c r="AD5" s="278" t="s">
        <v>539</v>
      </c>
      <c r="AE5" s="278" t="s">
        <v>381</v>
      </c>
      <c r="AF5" s="278" t="s">
        <v>382</v>
      </c>
      <c r="AG5" s="271"/>
      <c r="AH5" s="271"/>
      <c r="AI5" s="278" t="s">
        <v>183</v>
      </c>
      <c r="AJ5" s="271"/>
    </row>
    <row r="6" spans="1:36" x14ac:dyDescent="0.3">
      <c r="A6" s="273" t="s">
        <v>146</v>
      </c>
      <c r="B6" s="274">
        <v>45983</v>
      </c>
      <c r="C6" s="275" t="s">
        <v>505</v>
      </c>
      <c r="D6" s="276" t="s">
        <v>540</v>
      </c>
      <c r="E6" s="275" t="s">
        <v>502</v>
      </c>
      <c r="F6" s="275" t="s">
        <v>137</v>
      </c>
      <c r="G6" s="277">
        <v>0.99439999999999995</v>
      </c>
      <c r="H6" s="278">
        <v>180</v>
      </c>
      <c r="I6" s="278">
        <v>179</v>
      </c>
      <c r="J6" s="278">
        <v>100</v>
      </c>
      <c r="K6" s="275" t="s">
        <v>138</v>
      </c>
      <c r="L6" s="279" t="s">
        <v>103</v>
      </c>
      <c r="M6" s="278">
        <v>0</v>
      </c>
      <c r="N6" s="278">
        <v>8</v>
      </c>
      <c r="O6" s="278">
        <v>30</v>
      </c>
      <c r="P6" s="275" t="s">
        <v>78</v>
      </c>
      <c r="Q6" s="278" t="s">
        <v>541</v>
      </c>
      <c r="R6" s="271"/>
      <c r="S6" s="271"/>
      <c r="T6" s="271"/>
      <c r="U6" s="271"/>
      <c r="V6" s="271"/>
      <c r="W6" s="271"/>
      <c r="X6" s="271"/>
      <c r="Y6" s="271"/>
      <c r="Z6" s="278" t="s">
        <v>249</v>
      </c>
      <c r="AA6" s="278" t="s">
        <v>351</v>
      </c>
      <c r="AB6" s="278" t="s">
        <v>352</v>
      </c>
      <c r="AC6" s="278" t="s">
        <v>542</v>
      </c>
      <c r="AD6" s="278" t="s">
        <v>543</v>
      </c>
      <c r="AE6" s="271"/>
      <c r="AF6" s="278" t="s">
        <v>544</v>
      </c>
      <c r="AG6" s="271"/>
      <c r="AH6" s="271"/>
      <c r="AI6" s="278" t="s">
        <v>545</v>
      </c>
      <c r="AJ6" s="271"/>
    </row>
    <row r="7" spans="1:36" ht="21" x14ac:dyDescent="0.3">
      <c r="A7" s="280" t="s">
        <v>943</v>
      </c>
      <c r="B7" s="281"/>
      <c r="C7" s="280">
        <f>SUBTOTAL(103,ATZ_JED_LF_LEGACY[Flt])</f>
        <v>5</v>
      </c>
      <c r="D7" s="280"/>
      <c r="E7" s="280">
        <f>SUBTOTAL(103,ATZ_JED_LF_LEGACY[Brd-Off])</f>
        <v>5</v>
      </c>
      <c r="F7" s="280"/>
      <c r="G7" s="282">
        <f>SUBTOTAL(101,ATZ_JED_LF_LEGACY[LF%])</f>
        <v>0.86556</v>
      </c>
      <c r="H7" s="283">
        <f>SUBTOTAL(109,ATZ_JED_LF_LEGACY[CAP])</f>
        <v>900</v>
      </c>
      <c r="I7" s="283">
        <f>SUBTOTAL(109,ATZ_JED_LF_LEGACY[BKG(Y)])</f>
        <v>779</v>
      </c>
      <c r="J7" s="283">
        <f>SUBTOTAL(109,ATZ_JED_LF_LEGACY[GRP(Y)])</f>
        <v>417</v>
      </c>
      <c r="K7" s="280"/>
      <c r="L7" s="281"/>
      <c r="M7" s="283">
        <f>SUBTOTAL(109,ATZ_JED_LF_LEGACY[TO-DAY])</f>
        <v>2</v>
      </c>
      <c r="N7" s="283">
        <f>SUBTOTAL(109,ATZ_JED_LF_LEGACY[Y-DAY])</f>
        <v>31</v>
      </c>
      <c r="O7" s="283">
        <f>SUBTOTAL(109,ATZ_JED_LF_LEGACY[WEEKLY])</f>
        <v>223</v>
      </c>
      <c r="P7" s="284"/>
      <c r="Q7" s="283">
        <f>SUBTOTAL(109,ATZ_JED_LF_LEGACY[Y])</f>
        <v>0</v>
      </c>
      <c r="R7" s="283">
        <f>SUBTOTAL(109,ATZ_JED_LF_LEGACY[B])</f>
        <v>0</v>
      </c>
      <c r="S7" s="283">
        <f>SUBTOTAL(109,ATZ_JED_LF_LEGACY[M])</f>
        <v>0</v>
      </c>
      <c r="T7" s="283">
        <f>SUBTOTAL(109,ATZ_JED_LF_LEGACY[H])</f>
        <v>0</v>
      </c>
      <c r="U7" s="283">
        <f>SUBTOTAL(109,ATZ_JED_LF_LEGACY[Q])</f>
        <v>0</v>
      </c>
      <c r="V7" s="283">
        <f>SUBTOTAL(109,ATZ_JED_LF_LEGACY[K])</f>
        <v>0</v>
      </c>
      <c r="W7" s="283">
        <f>SUBTOTAL(109,ATZ_JED_LF_LEGACY[V])</f>
        <v>0</v>
      </c>
      <c r="X7" s="283">
        <f>SUBTOTAL(109,ATZ_JED_LF_LEGACY[L])</f>
        <v>0</v>
      </c>
      <c r="Y7" s="283">
        <f>SUBTOTAL(109,ATZ_JED_LF_LEGACY[G])</f>
        <v>0</v>
      </c>
      <c r="Z7" s="283">
        <f>SUBTOTAL(109,ATZ_JED_LF_LEGACY[S])</f>
        <v>0</v>
      </c>
      <c r="AA7" s="283">
        <f>SUBTOTAL(109,ATZ_JED_LF_LEGACY[W])</f>
        <v>0</v>
      </c>
      <c r="AB7" s="283">
        <f>SUBTOTAL(109,ATZ_JED_LF_LEGACY[T])</f>
        <v>0</v>
      </c>
      <c r="AC7" s="283">
        <f>SUBTOTAL(109,ATZ_JED_LF_LEGACY[X])</f>
        <v>0</v>
      </c>
      <c r="AD7" s="283">
        <f>SUBTOTAL(109,ATZ_JED_LF_LEGACY[U])</f>
        <v>0</v>
      </c>
      <c r="AE7" s="283">
        <f>SUBTOTAL(109,ATZ_JED_LF_LEGACY[O])</f>
        <v>0</v>
      </c>
      <c r="AF7" s="283">
        <f>SUBTOTAL(109,ATZ_JED_LF_LEGACY[I])</f>
        <v>0</v>
      </c>
      <c r="AG7" s="283">
        <f>SUBTOTAL(109,ATZ_JED_LF_LEGACY[E])</f>
        <v>0</v>
      </c>
      <c r="AH7" s="283">
        <f>SUBTOTAL(109,ATZ_JED_LF_LEGACY[A])</f>
        <v>0</v>
      </c>
      <c r="AI7" s="283">
        <f>SUBTOTAL(109,ATZ_JED_LF_LEGACY[P])</f>
        <v>0</v>
      </c>
      <c r="AJ7" s="283">
        <f>SUBTOTAL(103,ATZ_JED_LF_LEGACY[N])</f>
        <v>0</v>
      </c>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41"/>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89.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99" t="s">
        <v>152</v>
      </c>
      <c r="B2" s="77" t="s">
        <v>73</v>
      </c>
      <c r="C2" s="78" t="s">
        <v>503</v>
      </c>
      <c r="D2" s="77" t="s">
        <v>502</v>
      </c>
      <c r="E2" s="77" t="s">
        <v>526</v>
      </c>
      <c r="F2" s="77" t="s">
        <v>100</v>
      </c>
      <c r="G2" s="80">
        <v>1</v>
      </c>
      <c r="H2" s="81" t="s">
        <v>504</v>
      </c>
    </row>
    <row r="3" spans="1:8" ht="19.8" customHeight="1" x14ac:dyDescent="0.3">
      <c r="A3" s="76">
        <v>45981</v>
      </c>
      <c r="B3" s="77" t="s">
        <v>73</v>
      </c>
      <c r="C3" s="78" t="s">
        <v>507</v>
      </c>
      <c r="D3" s="77" t="s">
        <v>502</v>
      </c>
      <c r="E3" s="79">
        <v>1.3298611111111109</v>
      </c>
      <c r="F3" s="77" t="s">
        <v>100</v>
      </c>
      <c r="G3" s="80">
        <v>3</v>
      </c>
      <c r="H3" s="81" t="s">
        <v>508</v>
      </c>
    </row>
    <row r="4" spans="1:8" ht="19.8" customHeight="1" x14ac:dyDescent="0.3">
      <c r="A4" s="68">
        <v>45981</v>
      </c>
      <c r="B4" s="60" t="s">
        <v>68</v>
      </c>
      <c r="C4" s="61" t="s">
        <v>511</v>
      </c>
      <c r="D4" s="60" t="s">
        <v>502</v>
      </c>
      <c r="E4" s="69">
        <v>1.3298611111111109</v>
      </c>
      <c r="F4" s="60" t="s">
        <v>70</v>
      </c>
      <c r="G4" s="62">
        <v>4</v>
      </c>
      <c r="H4" s="63" t="s">
        <v>512</v>
      </c>
    </row>
    <row r="5" spans="1:8" ht="19.8" customHeight="1" x14ac:dyDescent="0.3">
      <c r="A5" s="100"/>
      <c r="B5" s="101"/>
      <c r="C5" s="101"/>
      <c r="D5" s="101"/>
      <c r="E5" s="101"/>
      <c r="F5" s="102" t="s">
        <v>501</v>
      </c>
      <c r="G5" s="101"/>
      <c r="H5" s="103"/>
    </row>
    <row r="6" spans="1:8" ht="19.8" customHeight="1" x14ac:dyDescent="0.3">
      <c r="A6" s="68">
        <v>45981</v>
      </c>
      <c r="B6" s="60" t="s">
        <v>26</v>
      </c>
      <c r="C6" s="61" t="s">
        <v>207</v>
      </c>
      <c r="D6" s="60" t="s">
        <v>206</v>
      </c>
      <c r="E6" s="69">
        <v>1.989583333333333</v>
      </c>
      <c r="F6" s="60" t="s">
        <v>28</v>
      </c>
      <c r="G6" s="62">
        <v>2</v>
      </c>
      <c r="H6" s="63" t="s">
        <v>208</v>
      </c>
    </row>
    <row r="7" spans="1:8" ht="19.8" customHeight="1" x14ac:dyDescent="0.3">
      <c r="A7" s="68">
        <v>45981</v>
      </c>
      <c r="B7" s="60" t="s">
        <v>26</v>
      </c>
      <c r="C7" s="61" t="s">
        <v>211</v>
      </c>
      <c r="D7" s="60" t="s">
        <v>206</v>
      </c>
      <c r="E7" s="69">
        <v>1.399305555555556</v>
      </c>
      <c r="F7" s="60" t="s">
        <v>28</v>
      </c>
      <c r="G7" s="62">
        <v>11</v>
      </c>
      <c r="H7" s="63" t="s">
        <v>213</v>
      </c>
    </row>
    <row r="8" spans="1:8" ht="19.8" customHeight="1" x14ac:dyDescent="0.3">
      <c r="A8" s="68">
        <v>45981</v>
      </c>
      <c r="B8" s="60" t="s">
        <v>26</v>
      </c>
      <c r="C8" s="61" t="s">
        <v>216</v>
      </c>
      <c r="D8" s="60" t="s">
        <v>206</v>
      </c>
      <c r="E8" s="69">
        <v>1.8888888888888891</v>
      </c>
      <c r="F8" s="60" t="s">
        <v>28</v>
      </c>
      <c r="G8" s="62">
        <v>9</v>
      </c>
      <c r="H8" s="63" t="s">
        <v>213</v>
      </c>
    </row>
    <row r="9" spans="1:8" ht="19.8" customHeight="1" x14ac:dyDescent="0.3">
      <c r="A9" s="68">
        <v>45981</v>
      </c>
      <c r="B9" s="60" t="s">
        <v>26</v>
      </c>
      <c r="C9" s="61" t="s">
        <v>218</v>
      </c>
      <c r="D9" s="60" t="s">
        <v>206</v>
      </c>
      <c r="E9" s="69">
        <v>1.489583333333333</v>
      </c>
      <c r="F9" s="60" t="s">
        <v>28</v>
      </c>
      <c r="G9" s="62">
        <v>17</v>
      </c>
      <c r="H9" s="63" t="s">
        <v>220</v>
      </c>
    </row>
    <row r="10" spans="1:8" ht="19.8" customHeight="1" x14ac:dyDescent="0.3">
      <c r="A10" s="68">
        <v>45981</v>
      </c>
      <c r="B10" s="60" t="s">
        <v>36</v>
      </c>
      <c r="C10" s="61" t="s">
        <v>224</v>
      </c>
      <c r="D10" s="60" t="s">
        <v>206</v>
      </c>
      <c r="E10" s="69">
        <v>1.993055555555556</v>
      </c>
      <c r="F10" s="60" t="s">
        <v>38</v>
      </c>
      <c r="G10" s="62">
        <v>6</v>
      </c>
      <c r="H10" s="63" t="s">
        <v>30</v>
      </c>
    </row>
    <row r="11" spans="1:8" ht="19.8" customHeight="1" x14ac:dyDescent="0.3">
      <c r="A11" s="68">
        <v>45981</v>
      </c>
      <c r="B11" s="60" t="s">
        <v>36</v>
      </c>
      <c r="C11" s="61" t="s">
        <v>226</v>
      </c>
      <c r="D11" s="60" t="s">
        <v>206</v>
      </c>
      <c r="E11" s="69">
        <v>1.944444444444444</v>
      </c>
      <c r="F11" s="60" t="s">
        <v>38</v>
      </c>
      <c r="G11" s="62">
        <v>7</v>
      </c>
      <c r="H11" s="63" t="s">
        <v>30</v>
      </c>
    </row>
    <row r="12" spans="1:8" ht="19.8" customHeight="1" x14ac:dyDescent="0.3">
      <c r="A12" s="68">
        <v>45981</v>
      </c>
      <c r="B12" s="60" t="s">
        <v>26</v>
      </c>
      <c r="C12" s="61" t="s">
        <v>207</v>
      </c>
      <c r="D12" s="60" t="s">
        <v>206</v>
      </c>
      <c r="E12" s="69">
        <v>1.989583333333333</v>
      </c>
      <c r="F12" s="60" t="s">
        <v>31</v>
      </c>
      <c r="G12" s="62">
        <v>2</v>
      </c>
      <c r="H12" s="63" t="s">
        <v>210</v>
      </c>
    </row>
    <row r="13" spans="1:8" ht="19.8" customHeight="1" x14ac:dyDescent="0.3">
      <c r="A13" s="68">
        <v>45981</v>
      </c>
      <c r="B13" s="60" t="s">
        <v>36</v>
      </c>
      <c r="C13" s="61" t="s">
        <v>228</v>
      </c>
      <c r="D13" s="60" t="s">
        <v>206</v>
      </c>
      <c r="E13" s="69">
        <v>1.3472222222222221</v>
      </c>
      <c r="F13" s="60" t="s">
        <v>38</v>
      </c>
      <c r="G13" s="62">
        <v>9</v>
      </c>
      <c r="H13" s="63" t="s">
        <v>210</v>
      </c>
    </row>
    <row r="14" spans="1:8" ht="19.8" customHeight="1" x14ac:dyDescent="0.3">
      <c r="A14" s="68">
        <v>45981</v>
      </c>
      <c r="B14" s="60" t="s">
        <v>36</v>
      </c>
      <c r="C14" s="61" t="s">
        <v>230</v>
      </c>
      <c r="D14" s="60" t="s">
        <v>206</v>
      </c>
      <c r="E14" s="69">
        <v>1.75</v>
      </c>
      <c r="F14" s="60" t="s">
        <v>38</v>
      </c>
      <c r="G14" s="62">
        <v>1</v>
      </c>
      <c r="H14" s="63" t="s">
        <v>210</v>
      </c>
    </row>
    <row r="15" spans="1:8" ht="19.8" customHeight="1" x14ac:dyDescent="0.3">
      <c r="A15" s="70">
        <v>45981</v>
      </c>
      <c r="B15" s="71" t="s">
        <v>36</v>
      </c>
      <c r="C15" s="72" t="s">
        <v>232</v>
      </c>
      <c r="D15" s="71" t="s">
        <v>206</v>
      </c>
      <c r="E15" s="73">
        <v>1.836805555555556</v>
      </c>
      <c r="F15" s="71" t="s">
        <v>38</v>
      </c>
      <c r="G15" s="74">
        <v>2</v>
      </c>
      <c r="H15" s="75" t="s">
        <v>210</v>
      </c>
    </row>
    <row r="16" spans="1:8" ht="19.8" customHeight="1" x14ac:dyDescent="0.3">
      <c r="A16" s="76">
        <v>45982</v>
      </c>
      <c r="B16" s="77" t="s">
        <v>73</v>
      </c>
      <c r="C16" s="78" t="s">
        <v>513</v>
      </c>
      <c r="D16" s="77" t="s">
        <v>502</v>
      </c>
      <c r="E16" s="79">
        <v>1.135416666666667</v>
      </c>
      <c r="F16" s="77" t="s">
        <v>100</v>
      </c>
      <c r="G16" s="80">
        <v>1</v>
      </c>
      <c r="H16" s="81" t="s">
        <v>504</v>
      </c>
    </row>
    <row r="17" spans="1:8" ht="19.8" customHeight="1" x14ac:dyDescent="0.3">
      <c r="A17" s="100"/>
      <c r="B17" s="101"/>
      <c r="C17" s="101"/>
      <c r="D17" s="101"/>
      <c r="E17" s="101"/>
      <c r="F17" s="102" t="s">
        <v>501</v>
      </c>
      <c r="G17" s="101"/>
      <c r="H17" s="103"/>
    </row>
    <row r="18" spans="1:8" ht="19.8" customHeight="1" x14ac:dyDescent="0.3">
      <c r="A18" s="68">
        <v>45982</v>
      </c>
      <c r="B18" s="60" t="s">
        <v>26</v>
      </c>
      <c r="C18" s="61" t="s">
        <v>211</v>
      </c>
      <c r="D18" s="60" t="s">
        <v>206</v>
      </c>
      <c r="E18" s="69">
        <v>1.399305555555556</v>
      </c>
      <c r="F18" s="60" t="s">
        <v>28</v>
      </c>
      <c r="G18" s="62">
        <v>1</v>
      </c>
      <c r="H18" s="63" t="s">
        <v>213</v>
      </c>
    </row>
    <row r="19" spans="1:8" ht="19.8" customHeight="1" x14ac:dyDescent="0.3">
      <c r="A19" s="68">
        <v>45982</v>
      </c>
      <c r="B19" s="60" t="s">
        <v>26</v>
      </c>
      <c r="C19" s="61" t="s">
        <v>218</v>
      </c>
      <c r="D19" s="60" t="s">
        <v>206</v>
      </c>
      <c r="E19" s="69">
        <v>1.489583333333333</v>
      </c>
      <c r="F19" s="60" t="s">
        <v>28</v>
      </c>
      <c r="G19" s="62">
        <v>4</v>
      </c>
      <c r="H19" s="63" t="s">
        <v>213</v>
      </c>
    </row>
    <row r="20" spans="1:8" ht="19.8" customHeight="1" x14ac:dyDescent="0.3">
      <c r="A20" s="68">
        <v>45982</v>
      </c>
      <c r="B20" s="60" t="s">
        <v>26</v>
      </c>
      <c r="C20" s="61" t="s">
        <v>207</v>
      </c>
      <c r="D20" s="60" t="s">
        <v>206</v>
      </c>
      <c r="E20" s="69">
        <v>1.989583333333333</v>
      </c>
      <c r="F20" s="60" t="s">
        <v>28</v>
      </c>
      <c r="G20" s="62">
        <v>7</v>
      </c>
      <c r="H20" s="63" t="s">
        <v>213</v>
      </c>
    </row>
    <row r="21" spans="1:8" ht="19.8" customHeight="1" x14ac:dyDescent="0.3">
      <c r="A21" s="68">
        <v>45982</v>
      </c>
      <c r="B21" s="60" t="s">
        <v>26</v>
      </c>
      <c r="C21" s="61" t="s">
        <v>216</v>
      </c>
      <c r="D21" s="60" t="s">
        <v>206</v>
      </c>
      <c r="E21" s="69">
        <v>1.8888888888888891</v>
      </c>
      <c r="F21" s="60" t="s">
        <v>295</v>
      </c>
      <c r="G21" s="62">
        <v>15</v>
      </c>
      <c r="H21" s="63" t="s">
        <v>220</v>
      </c>
    </row>
    <row r="22" spans="1:8" ht="19.8" customHeight="1" x14ac:dyDescent="0.3">
      <c r="A22" s="68">
        <v>45982</v>
      </c>
      <c r="B22" s="60" t="s">
        <v>26</v>
      </c>
      <c r="C22" s="61" t="s">
        <v>216</v>
      </c>
      <c r="D22" s="60" t="s">
        <v>206</v>
      </c>
      <c r="E22" s="69">
        <v>1.8888888888888891</v>
      </c>
      <c r="F22" s="60" t="s">
        <v>28</v>
      </c>
      <c r="G22" s="62">
        <v>15</v>
      </c>
      <c r="H22" s="63" t="s">
        <v>220</v>
      </c>
    </row>
    <row r="23" spans="1:8" ht="19.8" customHeight="1" x14ac:dyDescent="0.3">
      <c r="A23" s="68">
        <v>45982</v>
      </c>
      <c r="B23" s="60" t="s">
        <v>36</v>
      </c>
      <c r="C23" s="61" t="s">
        <v>228</v>
      </c>
      <c r="D23" s="60" t="s">
        <v>206</v>
      </c>
      <c r="E23" s="69">
        <v>1.3472222222222221</v>
      </c>
      <c r="F23" s="60" t="s">
        <v>297</v>
      </c>
      <c r="G23" s="62">
        <v>6</v>
      </c>
      <c r="H23" s="63" t="s">
        <v>30</v>
      </c>
    </row>
    <row r="24" spans="1:8" ht="19.8" customHeight="1" x14ac:dyDescent="0.3">
      <c r="A24" s="68">
        <v>45982</v>
      </c>
      <c r="B24" s="60" t="s">
        <v>36</v>
      </c>
      <c r="C24" s="61" t="s">
        <v>228</v>
      </c>
      <c r="D24" s="60" t="s">
        <v>206</v>
      </c>
      <c r="E24" s="69">
        <v>1.3472222222222221</v>
      </c>
      <c r="F24" s="60" t="s">
        <v>38</v>
      </c>
      <c r="G24" s="62">
        <v>6</v>
      </c>
      <c r="H24" s="63" t="s">
        <v>30</v>
      </c>
    </row>
    <row r="25" spans="1:8" ht="19.8" customHeight="1" x14ac:dyDescent="0.3">
      <c r="A25" s="68">
        <v>45982</v>
      </c>
      <c r="B25" s="60" t="s">
        <v>36</v>
      </c>
      <c r="C25" s="61" t="s">
        <v>234</v>
      </c>
      <c r="D25" s="60" t="s">
        <v>206</v>
      </c>
      <c r="E25" s="69">
        <v>1.4861111111111109</v>
      </c>
      <c r="F25" s="60" t="s">
        <v>297</v>
      </c>
      <c r="G25" s="62">
        <v>2</v>
      </c>
      <c r="H25" s="63" t="s">
        <v>30</v>
      </c>
    </row>
    <row r="26" spans="1:8" ht="19.8" customHeight="1" x14ac:dyDescent="0.3">
      <c r="A26" s="68">
        <v>45982</v>
      </c>
      <c r="B26" s="60" t="s">
        <v>36</v>
      </c>
      <c r="C26" s="61" t="s">
        <v>234</v>
      </c>
      <c r="D26" s="60" t="s">
        <v>206</v>
      </c>
      <c r="E26" s="69">
        <v>1.4861111111111109</v>
      </c>
      <c r="F26" s="60" t="s">
        <v>38</v>
      </c>
      <c r="G26" s="62">
        <v>2</v>
      </c>
      <c r="H26" s="63" t="s">
        <v>30</v>
      </c>
    </row>
    <row r="27" spans="1:8" ht="19.8" customHeight="1" x14ac:dyDescent="0.3">
      <c r="A27" s="70">
        <v>45982</v>
      </c>
      <c r="B27" s="71" t="s">
        <v>36</v>
      </c>
      <c r="C27" s="72" t="s">
        <v>238</v>
      </c>
      <c r="D27" s="71" t="s">
        <v>206</v>
      </c>
      <c r="E27" s="73">
        <v>1.8888888888888891</v>
      </c>
      <c r="F27" s="71" t="s">
        <v>297</v>
      </c>
      <c r="G27" s="74">
        <v>2</v>
      </c>
      <c r="H27" s="75" t="s">
        <v>30</v>
      </c>
    </row>
    <row r="28" spans="1:8" ht="19.8" customHeight="1" x14ac:dyDescent="0.3">
      <c r="A28" s="76">
        <v>45983</v>
      </c>
      <c r="B28" s="77" t="s">
        <v>73</v>
      </c>
      <c r="C28" s="78" t="s">
        <v>507</v>
      </c>
      <c r="D28" s="77" t="s">
        <v>502</v>
      </c>
      <c r="E28" s="79">
        <v>1.302083333333333</v>
      </c>
      <c r="F28" s="77" t="s">
        <v>100</v>
      </c>
      <c r="G28" s="80">
        <v>1</v>
      </c>
      <c r="H28" s="81" t="s">
        <v>516</v>
      </c>
    </row>
    <row r="29" spans="1:8" ht="19.8" customHeight="1" x14ac:dyDescent="0.3">
      <c r="A29" s="68">
        <v>45983</v>
      </c>
      <c r="B29" s="60" t="s">
        <v>68</v>
      </c>
      <c r="C29" s="61" t="s">
        <v>511</v>
      </c>
      <c r="D29" s="60" t="s">
        <v>502</v>
      </c>
      <c r="E29" s="69">
        <v>1.302083333333333</v>
      </c>
      <c r="F29" s="60" t="s">
        <v>70</v>
      </c>
      <c r="G29" s="62">
        <v>4</v>
      </c>
      <c r="H29" s="63" t="s">
        <v>519</v>
      </c>
    </row>
    <row r="30" spans="1:8" ht="19.8" customHeight="1" x14ac:dyDescent="0.3">
      <c r="A30" s="76">
        <v>45983</v>
      </c>
      <c r="B30" s="77" t="s">
        <v>73</v>
      </c>
      <c r="C30" s="78" t="s">
        <v>505</v>
      </c>
      <c r="D30" s="77" t="s">
        <v>502</v>
      </c>
      <c r="E30" s="79">
        <v>1.5277777777777779</v>
      </c>
      <c r="F30" s="77" t="s">
        <v>75</v>
      </c>
      <c r="G30" s="77"/>
      <c r="H30" s="81" t="s">
        <v>76</v>
      </c>
    </row>
    <row r="31" spans="1:8" ht="19.8" customHeight="1" x14ac:dyDescent="0.3">
      <c r="A31" s="100"/>
      <c r="B31" s="101"/>
      <c r="C31" s="101"/>
      <c r="D31" s="101"/>
      <c r="E31" s="101"/>
      <c r="F31" s="102" t="s">
        <v>501</v>
      </c>
      <c r="G31" s="101"/>
      <c r="H31" s="103"/>
    </row>
    <row r="32" spans="1:8" ht="19.8" customHeight="1" x14ac:dyDescent="0.3">
      <c r="A32" s="68">
        <v>45983</v>
      </c>
      <c r="B32" s="60" t="s">
        <v>26</v>
      </c>
      <c r="C32" s="61" t="s">
        <v>211</v>
      </c>
      <c r="D32" s="60" t="s">
        <v>206</v>
      </c>
      <c r="E32" s="69">
        <v>1.399305555555556</v>
      </c>
      <c r="F32" s="60" t="s">
        <v>28</v>
      </c>
      <c r="G32" s="62">
        <v>7</v>
      </c>
      <c r="H32" s="63" t="s">
        <v>220</v>
      </c>
    </row>
    <row r="33" spans="1:8" ht="19.8" customHeight="1" x14ac:dyDescent="0.3">
      <c r="A33" s="68">
        <v>45983</v>
      </c>
      <c r="B33" s="60" t="s">
        <v>26</v>
      </c>
      <c r="C33" s="61" t="s">
        <v>218</v>
      </c>
      <c r="D33" s="60" t="s">
        <v>206</v>
      </c>
      <c r="E33" s="69">
        <v>1.489583333333333</v>
      </c>
      <c r="F33" s="60" t="s">
        <v>28</v>
      </c>
      <c r="G33" s="62">
        <v>3</v>
      </c>
      <c r="H33" s="63" t="s">
        <v>220</v>
      </c>
    </row>
    <row r="34" spans="1:8" ht="19.8" customHeight="1" x14ac:dyDescent="0.3">
      <c r="A34" s="68">
        <v>45983</v>
      </c>
      <c r="B34" s="60" t="s">
        <v>73</v>
      </c>
      <c r="C34" s="61" t="s">
        <v>256</v>
      </c>
      <c r="D34" s="60" t="s">
        <v>206</v>
      </c>
      <c r="E34" s="69">
        <v>1.90625</v>
      </c>
      <c r="F34" s="60" t="s">
        <v>100</v>
      </c>
      <c r="G34" s="62">
        <v>1</v>
      </c>
      <c r="H34" s="63" t="s">
        <v>332</v>
      </c>
    </row>
    <row r="35" spans="1:8" ht="19.8" customHeight="1" x14ac:dyDescent="0.3">
      <c r="A35" s="68">
        <v>45983</v>
      </c>
      <c r="B35" s="60" t="s">
        <v>73</v>
      </c>
      <c r="C35" s="61" t="s">
        <v>247</v>
      </c>
      <c r="D35" s="60" t="s">
        <v>206</v>
      </c>
      <c r="E35" s="69">
        <v>1.0486111111111109</v>
      </c>
      <c r="F35" s="60" t="s">
        <v>100</v>
      </c>
      <c r="G35" s="62">
        <v>1</v>
      </c>
      <c r="H35" s="63" t="s">
        <v>332</v>
      </c>
    </row>
    <row r="36" spans="1:8" ht="19.8" customHeight="1" x14ac:dyDescent="0.3">
      <c r="A36" s="68">
        <v>45983</v>
      </c>
      <c r="B36" s="60" t="s">
        <v>26</v>
      </c>
      <c r="C36" s="61" t="s">
        <v>216</v>
      </c>
      <c r="D36" s="60" t="s">
        <v>206</v>
      </c>
      <c r="E36" s="69">
        <v>1.8888888888888891</v>
      </c>
      <c r="F36" s="60" t="s">
        <v>28</v>
      </c>
      <c r="G36" s="62">
        <v>10</v>
      </c>
      <c r="H36" s="63" t="s">
        <v>329</v>
      </c>
    </row>
    <row r="37" spans="1:8" ht="19.8" customHeight="1" x14ac:dyDescent="0.3">
      <c r="A37" s="68">
        <v>45983</v>
      </c>
      <c r="B37" s="60" t="s">
        <v>26</v>
      </c>
      <c r="C37" s="61" t="s">
        <v>207</v>
      </c>
      <c r="D37" s="60" t="s">
        <v>206</v>
      </c>
      <c r="E37" s="69">
        <v>1.989583333333333</v>
      </c>
      <c r="F37" s="60" t="s">
        <v>28</v>
      </c>
      <c r="G37" s="62">
        <v>10</v>
      </c>
      <c r="H37" s="63" t="s">
        <v>329</v>
      </c>
    </row>
    <row r="38" spans="1:8" ht="19.8" customHeight="1" x14ac:dyDescent="0.3">
      <c r="A38" s="68">
        <v>45983</v>
      </c>
      <c r="B38" s="60" t="s">
        <v>36</v>
      </c>
      <c r="C38" s="61" t="s">
        <v>228</v>
      </c>
      <c r="D38" s="60" t="s">
        <v>206</v>
      </c>
      <c r="E38" s="69">
        <v>1.3472222222222221</v>
      </c>
      <c r="F38" s="60" t="s">
        <v>38</v>
      </c>
      <c r="G38" s="62">
        <v>1</v>
      </c>
      <c r="H38" s="63" t="s">
        <v>210</v>
      </c>
    </row>
    <row r="39" spans="1:8" ht="19.8" customHeight="1" x14ac:dyDescent="0.3">
      <c r="A39" s="68">
        <v>45983</v>
      </c>
      <c r="B39" s="60" t="s">
        <v>36</v>
      </c>
      <c r="C39" s="61" t="s">
        <v>224</v>
      </c>
      <c r="D39" s="60" t="s">
        <v>206</v>
      </c>
      <c r="E39" s="69">
        <v>1.993055555555556</v>
      </c>
      <c r="F39" s="60" t="s">
        <v>38</v>
      </c>
      <c r="G39" s="62">
        <v>1</v>
      </c>
      <c r="H39" s="63" t="s">
        <v>210</v>
      </c>
    </row>
    <row r="40" spans="1:8" ht="19.8" customHeight="1" x14ac:dyDescent="0.3">
      <c r="A40" s="68">
        <v>45983</v>
      </c>
      <c r="B40" s="60" t="s">
        <v>36</v>
      </c>
      <c r="C40" s="61" t="s">
        <v>226</v>
      </c>
      <c r="D40" s="60" t="s">
        <v>206</v>
      </c>
      <c r="E40" s="69">
        <v>1.944444444444444</v>
      </c>
      <c r="F40" s="60" t="s">
        <v>38</v>
      </c>
      <c r="G40" s="62">
        <v>9</v>
      </c>
      <c r="H40" s="63" t="s">
        <v>210</v>
      </c>
    </row>
    <row r="41" spans="1:8" ht="19.8" customHeight="1" x14ac:dyDescent="0.3">
      <c r="A41" s="70">
        <v>45983</v>
      </c>
      <c r="B41" s="71" t="s">
        <v>36</v>
      </c>
      <c r="C41" s="72" t="s">
        <v>234</v>
      </c>
      <c r="D41" s="71" t="s">
        <v>206</v>
      </c>
      <c r="E41" s="73">
        <v>1.4861111111111109</v>
      </c>
      <c r="F41" s="71" t="s">
        <v>38</v>
      </c>
      <c r="G41" s="74">
        <v>9</v>
      </c>
      <c r="H41" s="75" t="s">
        <v>210</v>
      </c>
    </row>
  </sheetData>
  <pageMargins left="0.75" right="0.75" top="1" bottom="1" header="0.5" footer="0.5"/>
  <legacy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39"/>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89.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99" t="s">
        <v>152</v>
      </c>
      <c r="B2" s="77" t="s">
        <v>73</v>
      </c>
      <c r="C2" s="78" t="s">
        <v>503</v>
      </c>
      <c r="D2" s="77" t="s">
        <v>502</v>
      </c>
      <c r="E2" s="77" t="s">
        <v>526</v>
      </c>
      <c r="F2" s="77" t="s">
        <v>100</v>
      </c>
      <c r="G2" s="80">
        <v>1</v>
      </c>
      <c r="H2" s="81" t="s">
        <v>504</v>
      </c>
    </row>
    <row r="3" spans="1:8" ht="19.8" customHeight="1" x14ac:dyDescent="0.3">
      <c r="A3" s="76">
        <v>45981</v>
      </c>
      <c r="B3" s="77" t="s">
        <v>73</v>
      </c>
      <c r="C3" s="78" t="s">
        <v>507</v>
      </c>
      <c r="D3" s="77" t="s">
        <v>502</v>
      </c>
      <c r="E3" s="79">
        <v>1.3298611111111109</v>
      </c>
      <c r="F3" s="77" t="s">
        <v>100</v>
      </c>
      <c r="G3" s="80">
        <v>3</v>
      </c>
      <c r="H3" s="81" t="s">
        <v>508</v>
      </c>
    </row>
    <row r="4" spans="1:8" ht="19.8" customHeight="1" x14ac:dyDescent="0.3">
      <c r="A4" s="100"/>
      <c r="B4" s="101"/>
      <c r="C4" s="101"/>
      <c r="D4" s="101"/>
      <c r="E4" s="101"/>
      <c r="F4" s="102" t="s">
        <v>501</v>
      </c>
      <c r="G4" s="101"/>
      <c r="H4" s="103"/>
    </row>
    <row r="5" spans="1:8" ht="19.8" customHeight="1" x14ac:dyDescent="0.3">
      <c r="A5" s="68">
        <v>45981</v>
      </c>
      <c r="B5" s="60" t="s">
        <v>26</v>
      </c>
      <c r="C5" s="61" t="s">
        <v>207</v>
      </c>
      <c r="D5" s="60" t="s">
        <v>206</v>
      </c>
      <c r="E5" s="69">
        <v>1.989583333333333</v>
      </c>
      <c r="F5" s="60" t="s">
        <v>28</v>
      </c>
      <c r="G5" s="62">
        <v>2</v>
      </c>
      <c r="H5" s="63" t="s">
        <v>208</v>
      </c>
    </row>
    <row r="6" spans="1:8" ht="19.8" customHeight="1" x14ac:dyDescent="0.3">
      <c r="A6" s="68">
        <v>45981</v>
      </c>
      <c r="B6" s="60" t="s">
        <v>26</v>
      </c>
      <c r="C6" s="61" t="s">
        <v>211</v>
      </c>
      <c r="D6" s="60" t="s">
        <v>206</v>
      </c>
      <c r="E6" s="69">
        <v>1.399305555555556</v>
      </c>
      <c r="F6" s="60" t="s">
        <v>28</v>
      </c>
      <c r="G6" s="62">
        <v>11</v>
      </c>
      <c r="H6" s="63" t="s">
        <v>213</v>
      </c>
    </row>
    <row r="7" spans="1:8" ht="19.8" customHeight="1" x14ac:dyDescent="0.3">
      <c r="A7" s="68">
        <v>45981</v>
      </c>
      <c r="B7" s="60" t="s">
        <v>26</v>
      </c>
      <c r="C7" s="61" t="s">
        <v>216</v>
      </c>
      <c r="D7" s="60" t="s">
        <v>206</v>
      </c>
      <c r="E7" s="69">
        <v>1.8888888888888891</v>
      </c>
      <c r="F7" s="60" t="s">
        <v>28</v>
      </c>
      <c r="G7" s="62">
        <v>9</v>
      </c>
      <c r="H7" s="63" t="s">
        <v>213</v>
      </c>
    </row>
    <row r="8" spans="1:8" ht="19.8" customHeight="1" x14ac:dyDescent="0.3">
      <c r="A8" s="68">
        <v>45981</v>
      </c>
      <c r="B8" s="60" t="s">
        <v>26</v>
      </c>
      <c r="C8" s="61" t="s">
        <v>218</v>
      </c>
      <c r="D8" s="60" t="s">
        <v>206</v>
      </c>
      <c r="E8" s="69">
        <v>1.489583333333333</v>
      </c>
      <c r="F8" s="60" t="s">
        <v>28</v>
      </c>
      <c r="G8" s="62">
        <v>17</v>
      </c>
      <c r="H8" s="63" t="s">
        <v>220</v>
      </c>
    </row>
    <row r="9" spans="1:8" ht="19.8" customHeight="1" x14ac:dyDescent="0.3">
      <c r="A9" s="68">
        <v>45981</v>
      </c>
      <c r="B9" s="60" t="s">
        <v>36</v>
      </c>
      <c r="C9" s="61" t="s">
        <v>224</v>
      </c>
      <c r="D9" s="60" t="s">
        <v>206</v>
      </c>
      <c r="E9" s="69">
        <v>1.993055555555556</v>
      </c>
      <c r="F9" s="60" t="s">
        <v>38</v>
      </c>
      <c r="G9" s="62">
        <v>6</v>
      </c>
      <c r="H9" s="63" t="s">
        <v>30</v>
      </c>
    </row>
    <row r="10" spans="1:8" ht="19.8" customHeight="1" x14ac:dyDescent="0.3">
      <c r="A10" s="68">
        <v>45981</v>
      </c>
      <c r="B10" s="60" t="s">
        <v>36</v>
      </c>
      <c r="C10" s="61" t="s">
        <v>226</v>
      </c>
      <c r="D10" s="60" t="s">
        <v>206</v>
      </c>
      <c r="E10" s="69">
        <v>1.944444444444444</v>
      </c>
      <c r="F10" s="60" t="s">
        <v>38</v>
      </c>
      <c r="G10" s="62">
        <v>7</v>
      </c>
      <c r="H10" s="63" t="s">
        <v>30</v>
      </c>
    </row>
    <row r="11" spans="1:8" ht="19.8" customHeight="1" x14ac:dyDescent="0.3">
      <c r="A11" s="68">
        <v>45981</v>
      </c>
      <c r="B11" s="60" t="s">
        <v>26</v>
      </c>
      <c r="C11" s="61" t="s">
        <v>207</v>
      </c>
      <c r="D11" s="60" t="s">
        <v>206</v>
      </c>
      <c r="E11" s="69">
        <v>1.989583333333333</v>
      </c>
      <c r="F11" s="60" t="s">
        <v>31</v>
      </c>
      <c r="G11" s="62">
        <v>2</v>
      </c>
      <c r="H11" s="63" t="s">
        <v>210</v>
      </c>
    </row>
    <row r="12" spans="1:8" ht="19.8" customHeight="1" x14ac:dyDescent="0.3">
      <c r="A12" s="68">
        <v>45981</v>
      </c>
      <c r="B12" s="60" t="s">
        <v>36</v>
      </c>
      <c r="C12" s="61" t="s">
        <v>228</v>
      </c>
      <c r="D12" s="60" t="s">
        <v>206</v>
      </c>
      <c r="E12" s="69">
        <v>1.3472222222222221</v>
      </c>
      <c r="F12" s="60" t="s">
        <v>38</v>
      </c>
      <c r="G12" s="62">
        <v>9</v>
      </c>
      <c r="H12" s="63" t="s">
        <v>210</v>
      </c>
    </row>
    <row r="13" spans="1:8" ht="19.8" customHeight="1" x14ac:dyDescent="0.3">
      <c r="A13" s="68">
        <v>45981</v>
      </c>
      <c r="B13" s="60" t="s">
        <v>36</v>
      </c>
      <c r="C13" s="61" t="s">
        <v>230</v>
      </c>
      <c r="D13" s="60" t="s">
        <v>206</v>
      </c>
      <c r="E13" s="69">
        <v>1.75</v>
      </c>
      <c r="F13" s="60" t="s">
        <v>38</v>
      </c>
      <c r="G13" s="62">
        <v>1</v>
      </c>
      <c r="H13" s="63" t="s">
        <v>210</v>
      </c>
    </row>
    <row r="14" spans="1:8" ht="19.8" customHeight="1" x14ac:dyDescent="0.3">
      <c r="A14" s="70">
        <v>45981</v>
      </c>
      <c r="B14" s="71" t="s">
        <v>36</v>
      </c>
      <c r="C14" s="72" t="s">
        <v>232</v>
      </c>
      <c r="D14" s="71" t="s">
        <v>206</v>
      </c>
      <c r="E14" s="73">
        <v>1.836805555555556</v>
      </c>
      <c r="F14" s="71" t="s">
        <v>38</v>
      </c>
      <c r="G14" s="74">
        <v>2</v>
      </c>
      <c r="H14" s="75" t="s">
        <v>210</v>
      </c>
    </row>
    <row r="15" spans="1:8" ht="19.8" customHeight="1" x14ac:dyDescent="0.3">
      <c r="A15" s="76">
        <v>45982</v>
      </c>
      <c r="B15" s="77" t="s">
        <v>73</v>
      </c>
      <c r="C15" s="78" t="s">
        <v>513</v>
      </c>
      <c r="D15" s="77" t="s">
        <v>502</v>
      </c>
      <c r="E15" s="79">
        <v>1.135416666666667</v>
      </c>
      <c r="F15" s="77" t="s">
        <v>100</v>
      </c>
      <c r="G15" s="80">
        <v>1</v>
      </c>
      <c r="H15" s="81" t="s">
        <v>504</v>
      </c>
    </row>
    <row r="16" spans="1:8" ht="19.8" customHeight="1" x14ac:dyDescent="0.3">
      <c r="A16" s="100"/>
      <c r="B16" s="101"/>
      <c r="C16" s="101"/>
      <c r="D16" s="101"/>
      <c r="E16" s="101"/>
      <c r="F16" s="102" t="s">
        <v>501</v>
      </c>
      <c r="G16" s="101"/>
      <c r="H16" s="103"/>
    </row>
    <row r="17" spans="1:8" ht="19.8" customHeight="1" x14ac:dyDescent="0.3">
      <c r="A17" s="68">
        <v>45982</v>
      </c>
      <c r="B17" s="60" t="s">
        <v>26</v>
      </c>
      <c r="C17" s="61" t="s">
        <v>211</v>
      </c>
      <c r="D17" s="60" t="s">
        <v>206</v>
      </c>
      <c r="E17" s="69">
        <v>1.399305555555556</v>
      </c>
      <c r="F17" s="60" t="s">
        <v>28</v>
      </c>
      <c r="G17" s="62">
        <v>1</v>
      </c>
      <c r="H17" s="63" t="s">
        <v>213</v>
      </c>
    </row>
    <row r="18" spans="1:8" ht="19.8" customHeight="1" x14ac:dyDescent="0.3">
      <c r="A18" s="68">
        <v>45982</v>
      </c>
      <c r="B18" s="60" t="s">
        <v>26</v>
      </c>
      <c r="C18" s="61" t="s">
        <v>218</v>
      </c>
      <c r="D18" s="60" t="s">
        <v>206</v>
      </c>
      <c r="E18" s="69">
        <v>1.489583333333333</v>
      </c>
      <c r="F18" s="60" t="s">
        <v>28</v>
      </c>
      <c r="G18" s="62">
        <v>4</v>
      </c>
      <c r="H18" s="63" t="s">
        <v>213</v>
      </c>
    </row>
    <row r="19" spans="1:8" ht="19.8" customHeight="1" x14ac:dyDescent="0.3">
      <c r="A19" s="68">
        <v>45982</v>
      </c>
      <c r="B19" s="60" t="s">
        <v>26</v>
      </c>
      <c r="C19" s="61" t="s">
        <v>207</v>
      </c>
      <c r="D19" s="60" t="s">
        <v>206</v>
      </c>
      <c r="E19" s="69">
        <v>1.989583333333333</v>
      </c>
      <c r="F19" s="60" t="s">
        <v>28</v>
      </c>
      <c r="G19" s="62">
        <v>7</v>
      </c>
      <c r="H19" s="63" t="s">
        <v>213</v>
      </c>
    </row>
    <row r="20" spans="1:8" ht="19.8" customHeight="1" x14ac:dyDescent="0.3">
      <c r="A20" s="68">
        <v>45982</v>
      </c>
      <c r="B20" s="60" t="s">
        <v>26</v>
      </c>
      <c r="C20" s="61" t="s">
        <v>216</v>
      </c>
      <c r="D20" s="60" t="s">
        <v>206</v>
      </c>
      <c r="E20" s="69">
        <v>1.8888888888888891</v>
      </c>
      <c r="F20" s="60" t="s">
        <v>295</v>
      </c>
      <c r="G20" s="62">
        <v>15</v>
      </c>
      <c r="H20" s="63" t="s">
        <v>220</v>
      </c>
    </row>
    <row r="21" spans="1:8" ht="19.8" customHeight="1" x14ac:dyDescent="0.3">
      <c r="A21" s="68">
        <v>45982</v>
      </c>
      <c r="B21" s="60" t="s">
        <v>26</v>
      </c>
      <c r="C21" s="61" t="s">
        <v>216</v>
      </c>
      <c r="D21" s="60" t="s">
        <v>206</v>
      </c>
      <c r="E21" s="69">
        <v>1.8888888888888891</v>
      </c>
      <c r="F21" s="60" t="s">
        <v>28</v>
      </c>
      <c r="G21" s="62">
        <v>15</v>
      </c>
      <c r="H21" s="63" t="s">
        <v>220</v>
      </c>
    </row>
    <row r="22" spans="1:8" ht="19.8" customHeight="1" x14ac:dyDescent="0.3">
      <c r="A22" s="68">
        <v>45982</v>
      </c>
      <c r="B22" s="60" t="s">
        <v>36</v>
      </c>
      <c r="C22" s="61" t="s">
        <v>228</v>
      </c>
      <c r="D22" s="60" t="s">
        <v>206</v>
      </c>
      <c r="E22" s="69">
        <v>1.3472222222222221</v>
      </c>
      <c r="F22" s="60" t="s">
        <v>297</v>
      </c>
      <c r="G22" s="62">
        <v>6</v>
      </c>
      <c r="H22" s="63" t="s">
        <v>30</v>
      </c>
    </row>
    <row r="23" spans="1:8" ht="19.8" customHeight="1" x14ac:dyDescent="0.3">
      <c r="A23" s="68">
        <v>45982</v>
      </c>
      <c r="B23" s="60" t="s">
        <v>36</v>
      </c>
      <c r="C23" s="61" t="s">
        <v>228</v>
      </c>
      <c r="D23" s="60" t="s">
        <v>206</v>
      </c>
      <c r="E23" s="69">
        <v>1.3472222222222221</v>
      </c>
      <c r="F23" s="60" t="s">
        <v>38</v>
      </c>
      <c r="G23" s="62">
        <v>6</v>
      </c>
      <c r="H23" s="63" t="s">
        <v>30</v>
      </c>
    </row>
    <row r="24" spans="1:8" ht="19.8" customHeight="1" x14ac:dyDescent="0.3">
      <c r="A24" s="68">
        <v>45982</v>
      </c>
      <c r="B24" s="60" t="s">
        <v>36</v>
      </c>
      <c r="C24" s="61" t="s">
        <v>234</v>
      </c>
      <c r="D24" s="60" t="s">
        <v>206</v>
      </c>
      <c r="E24" s="69">
        <v>1.4861111111111109</v>
      </c>
      <c r="F24" s="60" t="s">
        <v>297</v>
      </c>
      <c r="G24" s="62">
        <v>2</v>
      </c>
      <c r="H24" s="63" t="s">
        <v>30</v>
      </c>
    </row>
    <row r="25" spans="1:8" ht="19.8" customHeight="1" x14ac:dyDescent="0.3">
      <c r="A25" s="68">
        <v>45982</v>
      </c>
      <c r="B25" s="60" t="s">
        <v>36</v>
      </c>
      <c r="C25" s="61" t="s">
        <v>234</v>
      </c>
      <c r="D25" s="60" t="s">
        <v>206</v>
      </c>
      <c r="E25" s="69">
        <v>1.4861111111111109</v>
      </c>
      <c r="F25" s="60" t="s">
        <v>38</v>
      </c>
      <c r="G25" s="62">
        <v>2</v>
      </c>
      <c r="H25" s="63" t="s">
        <v>30</v>
      </c>
    </row>
    <row r="26" spans="1:8" ht="19.8" customHeight="1" x14ac:dyDescent="0.3">
      <c r="A26" s="70">
        <v>45982</v>
      </c>
      <c r="B26" s="71" t="s">
        <v>36</v>
      </c>
      <c r="C26" s="72" t="s">
        <v>238</v>
      </c>
      <c r="D26" s="71" t="s">
        <v>206</v>
      </c>
      <c r="E26" s="73">
        <v>1.8888888888888891</v>
      </c>
      <c r="F26" s="71" t="s">
        <v>297</v>
      </c>
      <c r="G26" s="74">
        <v>2</v>
      </c>
      <c r="H26" s="75" t="s">
        <v>30</v>
      </c>
    </row>
    <row r="27" spans="1:8" ht="19.8" customHeight="1" x14ac:dyDescent="0.3">
      <c r="A27" s="76">
        <v>45983</v>
      </c>
      <c r="B27" s="77" t="s">
        <v>73</v>
      </c>
      <c r="C27" s="78" t="s">
        <v>507</v>
      </c>
      <c r="D27" s="77" t="s">
        <v>502</v>
      </c>
      <c r="E27" s="79">
        <v>1.302083333333333</v>
      </c>
      <c r="F27" s="77" t="s">
        <v>100</v>
      </c>
      <c r="G27" s="80">
        <v>1</v>
      </c>
      <c r="H27" s="81" t="s">
        <v>516</v>
      </c>
    </row>
    <row r="28" spans="1:8" ht="19.8" customHeight="1" x14ac:dyDescent="0.3">
      <c r="A28" s="76">
        <v>45983</v>
      </c>
      <c r="B28" s="77" t="s">
        <v>73</v>
      </c>
      <c r="C28" s="78" t="s">
        <v>505</v>
      </c>
      <c r="D28" s="77" t="s">
        <v>502</v>
      </c>
      <c r="E28" s="79">
        <v>1.5277777777777779</v>
      </c>
      <c r="F28" s="77" t="s">
        <v>75</v>
      </c>
      <c r="G28" s="77"/>
      <c r="H28" s="81" t="s">
        <v>76</v>
      </c>
    </row>
    <row r="29" spans="1:8" ht="19.8" customHeight="1" x14ac:dyDescent="0.3">
      <c r="A29" s="100"/>
      <c r="B29" s="101"/>
      <c r="C29" s="101"/>
      <c r="D29" s="101"/>
      <c r="E29" s="101"/>
      <c r="F29" s="102" t="s">
        <v>501</v>
      </c>
      <c r="G29" s="101"/>
      <c r="H29" s="103"/>
    </row>
    <row r="30" spans="1:8" ht="19.8" customHeight="1" x14ac:dyDescent="0.3">
      <c r="A30" s="68">
        <v>45983</v>
      </c>
      <c r="B30" s="60" t="s">
        <v>26</v>
      </c>
      <c r="C30" s="61" t="s">
        <v>211</v>
      </c>
      <c r="D30" s="60" t="s">
        <v>206</v>
      </c>
      <c r="E30" s="69">
        <v>1.399305555555556</v>
      </c>
      <c r="F30" s="60" t="s">
        <v>28</v>
      </c>
      <c r="G30" s="62">
        <v>7</v>
      </c>
      <c r="H30" s="63" t="s">
        <v>220</v>
      </c>
    </row>
    <row r="31" spans="1:8" ht="19.8" customHeight="1" x14ac:dyDescent="0.3">
      <c r="A31" s="68">
        <v>45983</v>
      </c>
      <c r="B31" s="60" t="s">
        <v>26</v>
      </c>
      <c r="C31" s="61" t="s">
        <v>218</v>
      </c>
      <c r="D31" s="60" t="s">
        <v>206</v>
      </c>
      <c r="E31" s="69">
        <v>1.489583333333333</v>
      </c>
      <c r="F31" s="60" t="s">
        <v>28</v>
      </c>
      <c r="G31" s="62">
        <v>3</v>
      </c>
      <c r="H31" s="63" t="s">
        <v>220</v>
      </c>
    </row>
    <row r="32" spans="1:8" ht="19.8" customHeight="1" x14ac:dyDescent="0.3">
      <c r="A32" s="68">
        <v>45983</v>
      </c>
      <c r="B32" s="60" t="s">
        <v>73</v>
      </c>
      <c r="C32" s="61" t="s">
        <v>256</v>
      </c>
      <c r="D32" s="60" t="s">
        <v>206</v>
      </c>
      <c r="E32" s="69">
        <v>1.90625</v>
      </c>
      <c r="F32" s="60" t="s">
        <v>100</v>
      </c>
      <c r="G32" s="62">
        <v>1</v>
      </c>
      <c r="H32" s="63" t="s">
        <v>332</v>
      </c>
    </row>
    <row r="33" spans="1:8" ht="19.8" customHeight="1" x14ac:dyDescent="0.3">
      <c r="A33" s="68">
        <v>45983</v>
      </c>
      <c r="B33" s="60" t="s">
        <v>73</v>
      </c>
      <c r="C33" s="61" t="s">
        <v>247</v>
      </c>
      <c r="D33" s="60" t="s">
        <v>206</v>
      </c>
      <c r="E33" s="69">
        <v>1.0486111111111109</v>
      </c>
      <c r="F33" s="60" t="s">
        <v>100</v>
      </c>
      <c r="G33" s="62">
        <v>1</v>
      </c>
      <c r="H33" s="63" t="s">
        <v>332</v>
      </c>
    </row>
    <row r="34" spans="1:8" ht="19.8" customHeight="1" x14ac:dyDescent="0.3">
      <c r="A34" s="68">
        <v>45983</v>
      </c>
      <c r="B34" s="60" t="s">
        <v>26</v>
      </c>
      <c r="C34" s="61" t="s">
        <v>216</v>
      </c>
      <c r="D34" s="60" t="s">
        <v>206</v>
      </c>
      <c r="E34" s="69">
        <v>1.8888888888888891</v>
      </c>
      <c r="F34" s="60" t="s">
        <v>28</v>
      </c>
      <c r="G34" s="62">
        <v>10</v>
      </c>
      <c r="H34" s="63" t="s">
        <v>329</v>
      </c>
    </row>
    <row r="35" spans="1:8" ht="19.8" customHeight="1" x14ac:dyDescent="0.3">
      <c r="A35" s="68">
        <v>45983</v>
      </c>
      <c r="B35" s="60" t="s">
        <v>26</v>
      </c>
      <c r="C35" s="61" t="s">
        <v>207</v>
      </c>
      <c r="D35" s="60" t="s">
        <v>206</v>
      </c>
      <c r="E35" s="69">
        <v>1.989583333333333</v>
      </c>
      <c r="F35" s="60" t="s">
        <v>28</v>
      </c>
      <c r="G35" s="62">
        <v>10</v>
      </c>
      <c r="H35" s="63" t="s">
        <v>329</v>
      </c>
    </row>
    <row r="36" spans="1:8" ht="19.8" customHeight="1" x14ac:dyDescent="0.3">
      <c r="A36" s="68">
        <v>45983</v>
      </c>
      <c r="B36" s="60" t="s">
        <v>36</v>
      </c>
      <c r="C36" s="61" t="s">
        <v>228</v>
      </c>
      <c r="D36" s="60" t="s">
        <v>206</v>
      </c>
      <c r="E36" s="69">
        <v>1.3472222222222221</v>
      </c>
      <c r="F36" s="60" t="s">
        <v>38</v>
      </c>
      <c r="G36" s="62">
        <v>1</v>
      </c>
      <c r="H36" s="63" t="s">
        <v>210</v>
      </c>
    </row>
    <row r="37" spans="1:8" ht="19.8" customHeight="1" x14ac:dyDescent="0.3">
      <c r="A37" s="68">
        <v>45983</v>
      </c>
      <c r="B37" s="60" t="s">
        <v>36</v>
      </c>
      <c r="C37" s="61" t="s">
        <v>224</v>
      </c>
      <c r="D37" s="60" t="s">
        <v>206</v>
      </c>
      <c r="E37" s="69">
        <v>1.993055555555556</v>
      </c>
      <c r="F37" s="60" t="s">
        <v>38</v>
      </c>
      <c r="G37" s="62">
        <v>1</v>
      </c>
      <c r="H37" s="63" t="s">
        <v>210</v>
      </c>
    </row>
    <row r="38" spans="1:8" ht="19.8" customHeight="1" x14ac:dyDescent="0.3">
      <c r="A38" s="68">
        <v>45983</v>
      </c>
      <c r="B38" s="60" t="s">
        <v>36</v>
      </c>
      <c r="C38" s="61" t="s">
        <v>226</v>
      </c>
      <c r="D38" s="60" t="s">
        <v>206</v>
      </c>
      <c r="E38" s="69">
        <v>1.944444444444444</v>
      </c>
      <c r="F38" s="60" t="s">
        <v>38</v>
      </c>
      <c r="G38" s="62">
        <v>9</v>
      </c>
      <c r="H38" s="63" t="s">
        <v>210</v>
      </c>
    </row>
    <row r="39" spans="1:8" ht="19.8" customHeight="1" x14ac:dyDescent="0.3">
      <c r="A39" s="70">
        <v>45983</v>
      </c>
      <c r="B39" s="71" t="s">
        <v>36</v>
      </c>
      <c r="C39" s="72" t="s">
        <v>234</v>
      </c>
      <c r="D39" s="71" t="s">
        <v>206</v>
      </c>
      <c r="E39" s="73">
        <v>1.4861111111111109</v>
      </c>
      <c r="F39" s="71" t="s">
        <v>38</v>
      </c>
      <c r="G39" s="74">
        <v>9</v>
      </c>
      <c r="H39" s="75" t="s">
        <v>210</v>
      </c>
    </row>
  </sheetData>
  <pageMargins left="0.75" right="0.75" top="1" bottom="1" header="0.5" footer="0.5"/>
  <legacyDrawing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N5"/>
  <sheetViews>
    <sheetView workbookViewId="0"/>
  </sheetViews>
  <sheetFormatPr defaultRowHeight="14.4" x14ac:dyDescent="0.3"/>
  <cols>
    <col min="6" max="6" width="16.5546875" bestFit="1" customWidth="1"/>
    <col min="7" max="7" width="13.5546875" bestFit="1" customWidth="1"/>
    <col min="13" max="13" width="7.77734375" bestFit="1" customWidth="1"/>
  </cols>
  <sheetData>
    <row r="1" spans="1:92" ht="28.8" customHeight="1" x14ac:dyDescent="0.3">
      <c r="A1" s="261" t="s">
        <v>0</v>
      </c>
      <c r="B1" s="254"/>
      <c r="C1" s="254"/>
      <c r="D1" s="254"/>
      <c r="E1" s="254"/>
      <c r="F1" s="1" t="s">
        <v>546</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45980.43043968721</v>
      </c>
      <c r="H2" s="254"/>
      <c r="I2" s="254"/>
      <c r="J2" s="254"/>
      <c r="K2" s="263">
        <v>45980.430439687618</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1.6" customHeight="1" x14ac:dyDescent="0.5">
      <c r="A4" s="191"/>
      <c r="B4" s="191"/>
      <c r="C4" s="191"/>
      <c r="D4" s="191"/>
      <c r="E4" s="191"/>
      <c r="F4" s="191"/>
      <c r="G4" s="191"/>
      <c r="H4" s="192"/>
      <c r="I4" s="193"/>
      <c r="J4" s="193"/>
      <c r="K4" s="193"/>
      <c r="L4" s="193"/>
      <c r="M4" s="193"/>
      <c r="N4" s="193"/>
      <c r="O4" s="193"/>
      <c r="P4" s="193"/>
      <c r="Q4" s="193"/>
      <c r="R4" s="193"/>
      <c r="CA4" s="3"/>
      <c r="CB4" s="3"/>
      <c r="CC4" s="3"/>
      <c r="CD4" s="3"/>
      <c r="CE4" s="3"/>
      <c r="CF4" s="3"/>
      <c r="CG4" s="3"/>
      <c r="CH4" s="3"/>
      <c r="CI4" s="3"/>
      <c r="CJ4" s="3"/>
      <c r="CK4" s="3"/>
      <c r="CL4" s="3"/>
      <c r="CM4" s="3"/>
      <c r="CN4" s="3"/>
    </row>
    <row r="5" spans="1:92" ht="18.600000000000001" customHeight="1" x14ac:dyDescent="0.3">
      <c r="A5" s="193"/>
      <c r="B5" s="193"/>
      <c r="C5" s="193"/>
      <c r="D5" s="193"/>
      <c r="E5" s="193"/>
      <c r="F5" s="193"/>
      <c r="G5" s="193"/>
      <c r="H5" s="193"/>
      <c r="I5" s="193"/>
      <c r="J5" s="193"/>
      <c r="K5" s="193"/>
      <c r="L5" s="193"/>
      <c r="M5" s="193"/>
      <c r="N5" s="193"/>
      <c r="O5" s="193"/>
      <c r="P5" s="193"/>
      <c r="Q5" s="193"/>
      <c r="R5" s="193"/>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J1"/>
  <sheetViews>
    <sheetView workbookViewId="0"/>
  </sheetViews>
  <sheetFormatPr defaultRowHeight="15.6" outlineLevelCol="1" x14ac:dyDescent="0.3"/>
  <cols>
    <col min="1" max="1" width="4.109375" style="272" bestFit="1" customWidth="1"/>
    <col min="2" max="2" width="5.33203125" style="272" bestFit="1" customWidth="1"/>
    <col min="3" max="3" width="3" style="272" bestFit="1" customWidth="1"/>
    <col min="4" max="4" width="4.21875" style="272" bestFit="1" customWidth="1"/>
    <col min="5" max="5" width="7.109375" style="272" bestFit="1" customWidth="1"/>
    <col min="6" max="6" width="4" style="272" bestFit="1" customWidth="1"/>
    <col min="7" max="8" width="4.21875" style="272" bestFit="1" customWidth="1"/>
    <col min="9" max="10" width="6.44140625" style="272" bestFit="1" customWidth="1"/>
    <col min="11" max="11" width="6.109375" style="272" bestFit="1" customWidth="1"/>
    <col min="12" max="12" width="8.77734375" style="272" bestFit="1" customWidth="1"/>
    <col min="13" max="13" width="7.33203125" style="272" bestFit="1" customWidth="1" outlineLevel="1"/>
    <col min="14" max="14" width="6" style="272" bestFit="1" customWidth="1" outlineLevel="1"/>
    <col min="15" max="15" width="7.6640625" style="272" bestFit="1" customWidth="1" outlineLevel="1"/>
    <col min="16" max="16" width="13.21875" style="272" bestFit="1" customWidth="1"/>
    <col min="17" max="17" width="2" style="272" bestFit="1" customWidth="1"/>
    <col min="18" max="18" width="2.109375" style="272" bestFit="1" customWidth="1"/>
    <col min="19" max="19" width="2.6640625" style="272" bestFit="1" customWidth="1"/>
    <col min="20" max="20" width="2.21875" style="272" bestFit="1" customWidth="1"/>
    <col min="21" max="21" width="2.33203125" style="272" bestFit="1" customWidth="1"/>
    <col min="22" max="22" width="2" style="272" bestFit="1" customWidth="1"/>
    <col min="23" max="23" width="2.109375" style="272" bestFit="1" customWidth="1"/>
    <col min="24" max="24" width="1.88671875" style="272" bestFit="1" customWidth="1"/>
    <col min="25" max="25" width="2.21875" style="272" bestFit="1" customWidth="1"/>
    <col min="26" max="26" width="1.88671875" style="272" bestFit="1" customWidth="1"/>
    <col min="27" max="27" width="2.77734375" style="272" bestFit="1" customWidth="1"/>
    <col min="28" max="29" width="2" style="272" bestFit="1" customWidth="1"/>
    <col min="30" max="31" width="2.33203125" style="272" bestFit="1" customWidth="1"/>
    <col min="32" max="32" width="1.5546875" style="272" bestFit="1" customWidth="1"/>
    <col min="33" max="33" width="2" style="272" bestFit="1" customWidth="1"/>
    <col min="34" max="34" width="2.109375" style="272" bestFit="1" customWidth="1"/>
    <col min="35" max="35" width="2" style="272" bestFit="1" customWidth="1"/>
    <col min="36" max="36" width="2.3320312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4" t="s">
        <v>150</v>
      </c>
      <c r="B1" s="194" t="s">
        <v>8</v>
      </c>
      <c r="C1" s="194" t="s">
        <v>9</v>
      </c>
      <c r="D1" s="194" t="s">
        <v>151</v>
      </c>
      <c r="E1" s="194" t="s">
        <v>10</v>
      </c>
      <c r="F1" s="194" t="s">
        <v>11</v>
      </c>
      <c r="G1" s="194" t="s">
        <v>12</v>
      </c>
      <c r="H1" s="194" t="s">
        <v>13</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4" t="s">
        <v>150</v>
      </c>
      <c r="B1" s="194" t="s">
        <v>8</v>
      </c>
      <c r="C1" s="194" t="s">
        <v>9</v>
      </c>
      <c r="D1" s="194" t="s">
        <v>151</v>
      </c>
      <c r="E1" s="194" t="s">
        <v>10</v>
      </c>
      <c r="F1" s="194" t="s">
        <v>11</v>
      </c>
      <c r="G1" s="194" t="s">
        <v>12</v>
      </c>
      <c r="H1" s="194" t="s">
        <v>13</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5"/>
  <sheetViews>
    <sheetView workbookViewId="0"/>
  </sheetViews>
  <sheetFormatPr defaultRowHeight="14.4" x14ac:dyDescent="0.3"/>
  <cols>
    <col min="6" max="6" width="18.44140625" bestFit="1" customWidth="1"/>
    <col min="7" max="7" width="13.5546875" bestFit="1" customWidth="1"/>
    <col min="13" max="13" width="7.77734375" bestFit="1" customWidth="1"/>
  </cols>
  <sheetData>
    <row r="1" spans="1:92" ht="28.8" customHeight="1" x14ac:dyDescent="0.3">
      <c r="A1" s="261" t="s">
        <v>0</v>
      </c>
      <c r="B1" s="254"/>
      <c r="C1" s="254"/>
      <c r="D1" s="254"/>
      <c r="E1" s="254"/>
      <c r="F1" s="1" t="s">
        <v>547</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45980.430441097888</v>
      </c>
      <c r="H2" s="254"/>
      <c r="I2" s="254"/>
      <c r="J2" s="254"/>
      <c r="K2" s="263">
        <v>45980.43044109839</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1.6" customHeight="1" x14ac:dyDescent="0.5">
      <c r="A4" s="191"/>
      <c r="B4" s="191"/>
      <c r="C4" s="191"/>
      <c r="D4" s="191"/>
      <c r="E4" s="191"/>
      <c r="F4" s="191"/>
      <c r="G4" s="191"/>
      <c r="H4" s="192"/>
      <c r="I4" s="193"/>
      <c r="J4" s="193"/>
      <c r="K4" s="193"/>
      <c r="L4" s="193"/>
      <c r="M4" s="193"/>
      <c r="N4" s="193"/>
      <c r="O4" s="193"/>
      <c r="P4" s="193"/>
      <c r="Q4" s="193"/>
      <c r="R4" s="193"/>
      <c r="CA4" s="3"/>
      <c r="CB4" s="3"/>
      <c r="CC4" s="3"/>
      <c r="CD4" s="3"/>
      <c r="CE4" s="3"/>
      <c r="CF4" s="3"/>
      <c r="CG4" s="3"/>
      <c r="CH4" s="3"/>
      <c r="CI4" s="3"/>
      <c r="CJ4" s="3"/>
      <c r="CK4" s="3"/>
      <c r="CL4" s="3"/>
      <c r="CM4" s="3"/>
      <c r="CN4" s="3"/>
    </row>
    <row r="5" spans="1:92" ht="18.600000000000001" customHeight="1" x14ac:dyDescent="0.3">
      <c r="A5" s="193"/>
      <c r="B5" s="193"/>
      <c r="C5" s="193"/>
      <c r="D5" s="193"/>
      <c r="E5" s="193"/>
      <c r="F5" s="193"/>
      <c r="G5" s="193"/>
      <c r="H5" s="193"/>
      <c r="I5" s="193"/>
      <c r="J5" s="193"/>
      <c r="K5" s="193"/>
      <c r="L5" s="193"/>
      <c r="M5" s="193"/>
      <c r="N5" s="193"/>
      <c r="O5" s="193"/>
      <c r="P5" s="193"/>
      <c r="Q5" s="193"/>
      <c r="R5" s="193"/>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1"/>
  <sheetViews>
    <sheetView workbookViewId="0"/>
  </sheetViews>
  <sheetFormatPr defaultRowHeight="15.6" outlineLevelCol="1" x14ac:dyDescent="0.3"/>
  <cols>
    <col min="1" max="1" width="4.109375" style="272" bestFit="1" customWidth="1"/>
    <col min="2" max="2" width="5.33203125" style="272" bestFit="1" customWidth="1"/>
    <col min="3" max="3" width="3" style="272" bestFit="1" customWidth="1"/>
    <col min="4" max="4" width="4.21875" style="272" bestFit="1" customWidth="1"/>
    <col min="5" max="5" width="7.109375" style="272" bestFit="1" customWidth="1"/>
    <col min="6" max="6" width="4" style="272" bestFit="1" customWidth="1"/>
    <col min="7" max="8" width="4.21875" style="272" bestFit="1" customWidth="1"/>
    <col min="9" max="10" width="6.44140625" style="272" bestFit="1" customWidth="1"/>
    <col min="11" max="11" width="6.109375" style="272" bestFit="1" customWidth="1"/>
    <col min="12" max="12" width="8.77734375" style="272" bestFit="1" customWidth="1"/>
    <col min="13" max="13" width="7.33203125" style="272" bestFit="1" customWidth="1" outlineLevel="1"/>
    <col min="14" max="14" width="6" style="272" bestFit="1" customWidth="1" outlineLevel="1"/>
    <col min="15" max="15" width="7.6640625" style="272" bestFit="1" customWidth="1" outlineLevel="1"/>
    <col min="16" max="16" width="13.21875" style="272" bestFit="1" customWidth="1"/>
    <col min="17" max="17" width="2" style="272" bestFit="1" customWidth="1"/>
    <col min="18" max="18" width="2.109375" style="272" bestFit="1" customWidth="1"/>
    <col min="19" max="19" width="2.6640625" style="272" bestFit="1" customWidth="1"/>
    <col min="20" max="20" width="2.21875" style="272" bestFit="1" customWidth="1"/>
    <col min="21" max="21" width="2.33203125" style="272" bestFit="1" customWidth="1"/>
    <col min="22" max="22" width="2" style="272" bestFit="1" customWidth="1"/>
    <col min="23" max="23" width="2.109375" style="272" bestFit="1" customWidth="1"/>
    <col min="24" max="24" width="1.88671875" style="272" bestFit="1" customWidth="1"/>
    <col min="25" max="25" width="2.21875" style="272" bestFit="1" customWidth="1"/>
    <col min="26" max="26" width="1.88671875" style="272" bestFit="1" customWidth="1"/>
    <col min="27" max="27" width="2.77734375" style="272" bestFit="1" customWidth="1"/>
    <col min="28" max="29" width="2" style="272" bestFit="1" customWidth="1"/>
    <col min="30" max="31" width="2.33203125" style="272" bestFit="1" customWidth="1"/>
    <col min="32" max="32" width="1.5546875" style="272" bestFit="1" customWidth="1"/>
    <col min="33" max="33" width="2" style="272" bestFit="1" customWidth="1"/>
    <col min="34" max="34" width="2.109375" style="272" bestFit="1" customWidth="1"/>
    <col min="35" max="35" width="2" style="272" bestFit="1" customWidth="1"/>
    <col min="36" max="36" width="2.3320312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4" t="s">
        <v>150</v>
      </c>
      <c r="B1" s="194" t="s">
        <v>8</v>
      </c>
      <c r="C1" s="194" t="s">
        <v>9</v>
      </c>
      <c r="D1" s="194" t="s">
        <v>151</v>
      </c>
      <c r="E1" s="194" t="s">
        <v>10</v>
      </c>
      <c r="F1" s="194" t="s">
        <v>11</v>
      </c>
      <c r="G1" s="194" t="s">
        <v>12</v>
      </c>
      <c r="H1" s="194" t="s">
        <v>13</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4" t="s">
        <v>150</v>
      </c>
      <c r="B1" s="194" t="s">
        <v>8</v>
      </c>
      <c r="C1" s="194" t="s">
        <v>9</v>
      </c>
      <c r="D1" s="194" t="s">
        <v>151</v>
      </c>
      <c r="E1" s="194" t="s">
        <v>10</v>
      </c>
      <c r="F1" s="194" t="s">
        <v>11</v>
      </c>
      <c r="G1" s="194" t="s">
        <v>12</v>
      </c>
      <c r="H1" s="194"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N11"/>
  <sheetViews>
    <sheetView workbookViewId="0"/>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6.109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109375" bestFit="1" customWidth="1"/>
    <col min="17" max="17" width="12.21875" bestFit="1" customWidth="1"/>
    <col min="18" max="18" width="10.77734375" bestFit="1" customWidth="1"/>
  </cols>
  <sheetData>
    <row r="1" spans="1:92" ht="28.8" customHeight="1" x14ac:dyDescent="0.3">
      <c r="A1" s="261" t="s">
        <v>0</v>
      </c>
      <c r="B1" s="254"/>
      <c r="C1" s="254"/>
      <c r="D1" s="254"/>
      <c r="E1" s="254"/>
      <c r="F1" s="1" t="s">
        <v>548</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45980.430442268138</v>
      </c>
      <c r="H2" s="254"/>
      <c r="I2" s="254"/>
      <c r="J2" s="254"/>
      <c r="K2" s="263">
        <v>45980.430442268473</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45981</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52</v>
      </c>
      <c r="B6" s="8" t="s">
        <v>549</v>
      </c>
      <c r="C6" s="9">
        <v>0.69097222222222221</v>
      </c>
      <c r="D6" s="8" t="s">
        <v>54</v>
      </c>
      <c r="E6" s="8" t="s">
        <v>55</v>
      </c>
      <c r="F6" s="8" t="s">
        <v>225</v>
      </c>
      <c r="G6" s="256"/>
      <c r="H6" s="10"/>
      <c r="I6" s="11"/>
      <c r="J6" s="11"/>
      <c r="K6" s="11"/>
      <c r="L6" s="11"/>
      <c r="M6" s="11"/>
      <c r="N6" s="11"/>
      <c r="O6" s="12"/>
      <c r="P6" s="11"/>
      <c r="Q6" s="13"/>
      <c r="R6" s="14"/>
    </row>
    <row r="7" spans="1:92" ht="49.95" customHeight="1" thickTop="1" thickBot="1" x14ac:dyDescent="0.35">
      <c r="A7" s="171" t="s">
        <v>52</v>
      </c>
      <c r="B7" s="171" t="s">
        <v>549</v>
      </c>
      <c r="C7" s="172">
        <v>0.69097222222222221</v>
      </c>
      <c r="D7" s="171" t="s">
        <v>57</v>
      </c>
      <c r="E7" s="171" t="s">
        <v>58</v>
      </c>
      <c r="F7" s="171" t="s">
        <v>550</v>
      </c>
      <c r="G7" s="258"/>
      <c r="H7" s="41"/>
      <c r="I7" s="42"/>
      <c r="J7" s="42"/>
      <c r="K7" s="42"/>
      <c r="L7" s="42"/>
      <c r="M7" s="42"/>
      <c r="N7" s="42"/>
      <c r="O7" s="43"/>
      <c r="P7" s="42"/>
      <c r="Q7" s="44"/>
      <c r="R7" s="45"/>
    </row>
    <row r="8" spans="1:92" ht="17.399999999999999" customHeight="1" thickBot="1" x14ac:dyDescent="0.35">
      <c r="A8" s="285"/>
      <c r="B8" s="286"/>
      <c r="C8" s="286"/>
      <c r="D8" s="286"/>
      <c r="E8" s="286"/>
      <c r="F8" s="286"/>
      <c r="G8" s="286"/>
      <c r="H8" s="286"/>
      <c r="I8" s="286"/>
      <c r="J8" s="286"/>
      <c r="K8" s="286"/>
      <c r="L8" s="286"/>
      <c r="M8" s="286"/>
      <c r="N8" s="286"/>
      <c r="O8" s="286"/>
      <c r="P8" s="286"/>
      <c r="Q8" s="286"/>
      <c r="R8" s="287"/>
    </row>
    <row r="9" spans="1:92" ht="22.05" customHeight="1" thickTop="1" thickBot="1" x14ac:dyDescent="0.35">
      <c r="A9" s="259" t="s">
        <v>6</v>
      </c>
      <c r="B9" s="251"/>
      <c r="C9" s="251"/>
      <c r="D9" s="251"/>
      <c r="E9" s="251"/>
      <c r="F9" s="252"/>
      <c r="G9" s="31">
        <v>45983</v>
      </c>
      <c r="H9" s="250" t="s">
        <v>7</v>
      </c>
      <c r="I9" s="251"/>
      <c r="J9" s="251"/>
      <c r="K9" s="251"/>
      <c r="L9" s="251"/>
      <c r="M9" s="251"/>
      <c r="N9" s="251"/>
      <c r="O9" s="251"/>
      <c r="P9" s="251"/>
      <c r="Q9" s="251"/>
      <c r="R9" s="252"/>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45">
      <c r="A11" s="195" t="s">
        <v>52</v>
      </c>
      <c r="B11" s="195" t="s">
        <v>549</v>
      </c>
      <c r="C11" s="196">
        <v>0.69097222222222221</v>
      </c>
      <c r="D11" s="195" t="s">
        <v>57</v>
      </c>
      <c r="E11" s="195" t="s">
        <v>101</v>
      </c>
      <c r="F11" s="195" t="s">
        <v>551</v>
      </c>
      <c r="G11" s="256"/>
      <c r="H11" s="41"/>
      <c r="I11" s="42"/>
      <c r="J11" s="42"/>
      <c r="K11" s="42"/>
      <c r="L11" s="42"/>
      <c r="M11" s="42"/>
      <c r="N11" s="42"/>
      <c r="O11" s="43"/>
      <c r="P11" s="42"/>
      <c r="Q11" s="44"/>
      <c r="R11" s="45"/>
    </row>
  </sheetData>
  <mergeCells count="14">
    <mergeCell ref="G11"/>
    <mergeCell ref="A8:R8"/>
    <mergeCell ref="H4:R4"/>
    <mergeCell ref="N1:R1"/>
    <mergeCell ref="H1:L1"/>
    <mergeCell ref="A1:E1"/>
    <mergeCell ref="G2:J2"/>
    <mergeCell ref="K2:R2"/>
    <mergeCell ref="A4:F4"/>
    <mergeCell ref="A2:F2"/>
    <mergeCell ref="A3:R3"/>
    <mergeCell ref="H9:R9"/>
    <mergeCell ref="A9:F9"/>
    <mergeCell ref="G6:G7"/>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J1"/>
  <sheetViews>
    <sheetView workbookViewId="0"/>
  </sheetViews>
  <sheetFormatPr defaultRowHeight="15.6" outlineLevelCol="1" x14ac:dyDescent="0.3"/>
  <cols>
    <col min="1" max="1" width="4.109375" style="272" bestFit="1" customWidth="1"/>
    <col min="2" max="2" width="5.33203125" style="272" bestFit="1" customWidth="1"/>
    <col min="3" max="3" width="3" style="272" bestFit="1" customWidth="1"/>
    <col min="4" max="4" width="4.21875" style="272" bestFit="1" customWidth="1"/>
    <col min="5" max="5" width="7.109375" style="272" bestFit="1" customWidth="1"/>
    <col min="6" max="6" width="4" style="272" bestFit="1" customWidth="1"/>
    <col min="7" max="8" width="4.21875" style="272" bestFit="1" customWidth="1"/>
    <col min="9" max="10" width="6.44140625" style="272" bestFit="1" customWidth="1"/>
    <col min="11" max="11" width="6.109375" style="272" bestFit="1" customWidth="1"/>
    <col min="12" max="12" width="8.77734375" style="272" bestFit="1" customWidth="1"/>
    <col min="13" max="13" width="7.33203125" style="272" bestFit="1" customWidth="1" outlineLevel="1"/>
    <col min="14" max="14" width="6" style="272" bestFit="1" customWidth="1" outlineLevel="1"/>
    <col min="15" max="15" width="7.6640625" style="272" bestFit="1" customWidth="1" outlineLevel="1"/>
    <col min="16" max="16" width="13.21875" style="272" bestFit="1" customWidth="1"/>
    <col min="17" max="17" width="2" style="272" bestFit="1" customWidth="1"/>
    <col min="18" max="18" width="2.109375" style="272" bestFit="1" customWidth="1"/>
    <col min="19" max="19" width="2.6640625" style="272" bestFit="1" customWidth="1"/>
    <col min="20" max="20" width="2.21875" style="272" bestFit="1" customWidth="1"/>
    <col min="21" max="21" width="2.33203125" style="272" bestFit="1" customWidth="1"/>
    <col min="22" max="22" width="2" style="272" bestFit="1" customWidth="1"/>
    <col min="23" max="23" width="2.109375" style="272" bestFit="1" customWidth="1"/>
    <col min="24" max="24" width="1.88671875" style="272" bestFit="1" customWidth="1"/>
    <col min="25" max="25" width="2.21875" style="272" bestFit="1" customWidth="1"/>
    <col min="26" max="26" width="1.88671875" style="272" bestFit="1" customWidth="1"/>
    <col min="27" max="27" width="2.77734375" style="272" bestFit="1" customWidth="1"/>
    <col min="28" max="29" width="2" style="272" bestFit="1" customWidth="1"/>
    <col min="30" max="31" width="2.33203125" style="272" bestFit="1" customWidth="1"/>
    <col min="32" max="32" width="1.5546875" style="272" bestFit="1" customWidth="1"/>
    <col min="33" max="33" width="2" style="272" bestFit="1" customWidth="1"/>
    <col min="34" max="34" width="2.109375" style="272" bestFit="1" customWidth="1"/>
    <col min="35" max="35" width="2" style="272" bestFit="1" customWidth="1"/>
    <col min="36" max="36" width="2.3320312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77734375" bestFit="1" customWidth="1"/>
    <col min="7" max="7" width="20" bestFit="1" customWidth="1"/>
    <col min="8" max="8" width="23.6640625" bestFit="1" customWidth="1"/>
    <col min="9" max="9" width="0"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52</v>
      </c>
      <c r="C2" s="61" t="s">
        <v>549</v>
      </c>
      <c r="D2" s="60" t="s">
        <v>548</v>
      </c>
      <c r="E2" s="60" t="s">
        <v>552</v>
      </c>
      <c r="F2" s="60" t="s">
        <v>54</v>
      </c>
      <c r="G2" s="62">
        <v>9</v>
      </c>
      <c r="H2" s="63" t="s">
        <v>225</v>
      </c>
    </row>
    <row r="3" spans="1:8" ht="19.8" customHeight="1" x14ac:dyDescent="0.3">
      <c r="A3" s="113" t="s">
        <v>152</v>
      </c>
      <c r="B3" s="71" t="s">
        <v>52</v>
      </c>
      <c r="C3" s="72" t="s">
        <v>549</v>
      </c>
      <c r="D3" s="71" t="s">
        <v>548</v>
      </c>
      <c r="E3" s="71" t="s">
        <v>552</v>
      </c>
      <c r="F3" s="71" t="s">
        <v>57</v>
      </c>
      <c r="G3" s="74">
        <v>9</v>
      </c>
      <c r="H3" s="75" t="s">
        <v>550</v>
      </c>
    </row>
    <row r="4" spans="1:8" ht="19.8" customHeight="1" x14ac:dyDescent="0.3">
      <c r="A4" s="113" t="s">
        <v>205</v>
      </c>
      <c r="B4" s="71" t="s">
        <v>52</v>
      </c>
      <c r="C4" s="72" t="s">
        <v>549</v>
      </c>
      <c r="D4" s="71" t="s">
        <v>548</v>
      </c>
      <c r="E4" s="71" t="s">
        <v>552</v>
      </c>
      <c r="F4" s="71" t="s">
        <v>57</v>
      </c>
      <c r="G4" s="74">
        <v>3</v>
      </c>
      <c r="H4" s="75" t="s">
        <v>551</v>
      </c>
    </row>
  </sheetData>
  <pageMargins left="0.75" right="0.75" top="1" bottom="1" header="0.5" footer="0.5"/>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77734375" bestFit="1" customWidth="1"/>
    <col min="7" max="7" width="20" bestFit="1" customWidth="1"/>
    <col min="8" max="8" width="23.6640625" bestFit="1" customWidth="1"/>
    <col min="9" max="9" width="0"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52</v>
      </c>
      <c r="C2" s="61" t="s">
        <v>549</v>
      </c>
      <c r="D2" s="60" t="s">
        <v>548</v>
      </c>
      <c r="E2" s="60" t="s">
        <v>552</v>
      </c>
      <c r="F2" s="60" t="s">
        <v>54</v>
      </c>
      <c r="G2" s="62">
        <v>9</v>
      </c>
      <c r="H2" s="63" t="s">
        <v>225</v>
      </c>
    </row>
    <row r="3" spans="1:8" ht="19.8" customHeight="1" x14ac:dyDescent="0.3">
      <c r="A3" s="113" t="s">
        <v>152</v>
      </c>
      <c r="B3" s="71" t="s">
        <v>52</v>
      </c>
      <c r="C3" s="72" t="s">
        <v>549</v>
      </c>
      <c r="D3" s="71" t="s">
        <v>548</v>
      </c>
      <c r="E3" s="71" t="s">
        <v>552</v>
      </c>
      <c r="F3" s="71" t="s">
        <v>57</v>
      </c>
      <c r="G3" s="74">
        <v>9</v>
      </c>
      <c r="H3" s="75" t="s">
        <v>550</v>
      </c>
    </row>
    <row r="4" spans="1:8" ht="19.8" customHeight="1" x14ac:dyDescent="0.3">
      <c r="A4" s="113" t="s">
        <v>205</v>
      </c>
      <c r="B4" s="71" t="s">
        <v>52</v>
      </c>
      <c r="C4" s="72" t="s">
        <v>549</v>
      </c>
      <c r="D4" s="71" t="s">
        <v>548</v>
      </c>
      <c r="E4" s="71" t="s">
        <v>552</v>
      </c>
      <c r="F4" s="71" t="s">
        <v>57</v>
      </c>
      <c r="G4" s="74">
        <v>3</v>
      </c>
      <c r="H4" s="75" t="s">
        <v>551</v>
      </c>
    </row>
  </sheetData>
  <pageMargins left="0.75" right="0.75" top="1" bottom="1" header="0.5" footer="0.5"/>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N5"/>
  <sheetViews>
    <sheetView workbookViewId="0"/>
  </sheetViews>
  <sheetFormatPr defaultRowHeight="14.4" x14ac:dyDescent="0.3"/>
  <cols>
    <col min="6" max="6" width="17.77734375" bestFit="1" customWidth="1"/>
    <col min="7" max="7" width="13.5546875" bestFit="1" customWidth="1"/>
    <col min="13" max="13" width="7.77734375" bestFit="1" customWidth="1"/>
  </cols>
  <sheetData>
    <row r="1" spans="1:92" ht="28.8" customHeight="1" x14ac:dyDescent="0.3">
      <c r="A1" s="261" t="s">
        <v>0</v>
      </c>
      <c r="B1" s="254"/>
      <c r="C1" s="254"/>
      <c r="D1" s="254"/>
      <c r="E1" s="254"/>
      <c r="F1" s="1" t="s">
        <v>553</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45980.430444358331</v>
      </c>
      <c r="H2" s="254"/>
      <c r="I2" s="254"/>
      <c r="J2" s="254"/>
      <c r="K2" s="263">
        <v>45980.430444358637</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1.6" customHeight="1" x14ac:dyDescent="0.5">
      <c r="A4" s="191"/>
      <c r="B4" s="191"/>
      <c r="C4" s="191"/>
      <c r="D4" s="191"/>
      <c r="E4" s="191"/>
      <c r="F4" s="191"/>
      <c r="G4" s="191"/>
      <c r="H4" s="192"/>
      <c r="I4" s="193"/>
      <c r="J4" s="193"/>
      <c r="K4" s="193"/>
      <c r="L4" s="193"/>
      <c r="M4" s="193"/>
      <c r="N4" s="193"/>
      <c r="O4" s="193"/>
      <c r="P4" s="193"/>
      <c r="Q4" s="193"/>
      <c r="R4" s="193"/>
      <c r="CA4" s="3"/>
      <c r="CB4" s="3"/>
      <c r="CC4" s="3"/>
      <c r="CD4" s="3"/>
      <c r="CE4" s="3"/>
      <c r="CF4" s="3"/>
      <c r="CG4" s="3"/>
      <c r="CH4" s="3"/>
      <c r="CI4" s="3"/>
      <c r="CJ4" s="3"/>
      <c r="CK4" s="3"/>
      <c r="CL4" s="3"/>
      <c r="CM4" s="3"/>
      <c r="CN4" s="3"/>
    </row>
    <row r="5" spans="1:92" ht="18.600000000000001" customHeight="1" x14ac:dyDescent="0.3">
      <c r="A5" s="193"/>
      <c r="B5" s="193"/>
      <c r="C5" s="193"/>
      <c r="D5" s="193"/>
      <c r="E5" s="193"/>
      <c r="F5" s="193"/>
      <c r="G5" s="193"/>
      <c r="H5" s="193"/>
      <c r="I5" s="193"/>
      <c r="J5" s="193"/>
      <c r="K5" s="193"/>
      <c r="L5" s="193"/>
      <c r="M5" s="193"/>
      <c r="N5" s="193"/>
      <c r="O5" s="193"/>
      <c r="P5" s="193"/>
      <c r="Q5" s="193"/>
      <c r="R5" s="193"/>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J1"/>
  <sheetViews>
    <sheetView workbookViewId="0"/>
  </sheetViews>
  <sheetFormatPr defaultRowHeight="15.6" outlineLevelCol="1" x14ac:dyDescent="0.3"/>
  <cols>
    <col min="1" max="1" width="4.109375" style="272" bestFit="1" customWidth="1"/>
    <col min="2" max="2" width="5.33203125" style="272" bestFit="1" customWidth="1"/>
    <col min="3" max="3" width="3" style="272" bestFit="1" customWidth="1"/>
    <col min="4" max="4" width="4.21875" style="272" bestFit="1" customWidth="1"/>
    <col min="5" max="5" width="7.109375" style="272" bestFit="1" customWidth="1"/>
    <col min="6" max="6" width="4" style="272" bestFit="1" customWidth="1"/>
    <col min="7" max="8" width="4.21875" style="272" bestFit="1" customWidth="1"/>
    <col min="9" max="10" width="6.44140625" style="272" bestFit="1" customWidth="1"/>
    <col min="11" max="11" width="6.109375" style="272" bestFit="1" customWidth="1"/>
    <col min="12" max="12" width="8.77734375" style="272" bestFit="1" customWidth="1"/>
    <col min="13" max="13" width="7.33203125" style="272" bestFit="1" customWidth="1" outlineLevel="1"/>
    <col min="14" max="14" width="6" style="272" bestFit="1" customWidth="1" outlineLevel="1"/>
    <col min="15" max="15" width="7.6640625" style="272" bestFit="1" customWidth="1" outlineLevel="1"/>
    <col min="16" max="16" width="13.21875" style="272" bestFit="1" customWidth="1"/>
    <col min="17" max="17" width="2" style="272" bestFit="1" customWidth="1"/>
    <col min="18" max="18" width="2.109375" style="272" bestFit="1" customWidth="1"/>
    <col min="19" max="19" width="2.6640625" style="272" bestFit="1" customWidth="1"/>
    <col min="20" max="20" width="2.21875" style="272" bestFit="1" customWidth="1"/>
    <col min="21" max="21" width="2.33203125" style="272" bestFit="1" customWidth="1"/>
    <col min="22" max="22" width="2" style="272" bestFit="1" customWidth="1"/>
    <col min="23" max="23" width="2.109375" style="272" bestFit="1" customWidth="1"/>
    <col min="24" max="24" width="1.88671875" style="272" bestFit="1" customWidth="1"/>
    <col min="25" max="25" width="2.21875" style="272" bestFit="1" customWidth="1"/>
    <col min="26" max="26" width="1.88671875" style="272" bestFit="1" customWidth="1"/>
    <col min="27" max="27" width="2.77734375" style="272" bestFit="1" customWidth="1"/>
    <col min="28" max="29" width="2" style="272" bestFit="1" customWidth="1"/>
    <col min="30" max="31" width="2.33203125" style="272" bestFit="1" customWidth="1"/>
    <col min="32" max="32" width="1.5546875" style="272" bestFit="1" customWidth="1"/>
    <col min="33" max="33" width="2" style="272" bestFit="1" customWidth="1"/>
    <col min="34" max="34" width="2.109375" style="272" bestFit="1" customWidth="1"/>
    <col min="35" max="35" width="2" style="272" bestFit="1" customWidth="1"/>
    <col min="36" max="36" width="2.3320312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4" t="s">
        <v>150</v>
      </c>
      <c r="B1" s="194" t="s">
        <v>8</v>
      </c>
      <c r="C1" s="194" t="s">
        <v>9</v>
      </c>
      <c r="D1" s="194" t="s">
        <v>151</v>
      </c>
      <c r="E1" s="194" t="s">
        <v>10</v>
      </c>
      <c r="F1" s="194" t="s">
        <v>11</v>
      </c>
      <c r="G1" s="194" t="s">
        <v>12</v>
      </c>
      <c r="H1" s="194" t="s">
        <v>13</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4" t="s">
        <v>150</v>
      </c>
      <c r="B1" s="194" t="s">
        <v>8</v>
      </c>
      <c r="C1" s="194" t="s">
        <v>9</v>
      </c>
      <c r="D1" s="194" t="s">
        <v>151</v>
      </c>
      <c r="E1" s="194" t="s">
        <v>10</v>
      </c>
      <c r="F1" s="194" t="s">
        <v>11</v>
      </c>
      <c r="G1" s="194" t="s">
        <v>12</v>
      </c>
      <c r="H1" s="194" t="s">
        <v>13</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N158"/>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5.77734375" bestFit="1" customWidth="1"/>
  </cols>
  <sheetData>
    <row r="1" spans="1:92" ht="28.8" customHeight="1" x14ac:dyDescent="0.3">
      <c r="A1" s="261" t="s">
        <v>0</v>
      </c>
      <c r="B1" s="254"/>
      <c r="C1" s="254"/>
      <c r="D1" s="254"/>
      <c r="E1" s="254"/>
      <c r="F1" s="1" t="s">
        <v>554</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45980.430445291408</v>
      </c>
      <c r="H2" s="254"/>
      <c r="I2" s="254"/>
      <c r="J2" s="254"/>
      <c r="K2" s="263">
        <v>45980.430445291728</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45981</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555</v>
      </c>
      <c r="C6" s="9">
        <v>0.57638888888888895</v>
      </c>
      <c r="D6" s="8" t="s">
        <v>28</v>
      </c>
      <c r="E6" s="8" t="s">
        <v>556</v>
      </c>
      <c r="F6" s="8" t="s">
        <v>557</v>
      </c>
      <c r="G6" s="256"/>
      <c r="H6" s="10"/>
      <c r="I6" s="11"/>
      <c r="J6" s="11"/>
      <c r="K6" s="11"/>
      <c r="L6" s="11"/>
      <c r="M6" s="11"/>
      <c r="N6" s="11"/>
      <c r="O6" s="12"/>
      <c r="P6" s="11"/>
      <c r="Q6" s="13"/>
      <c r="R6" s="14"/>
    </row>
    <row r="7" spans="1:92" ht="15" customHeight="1" x14ac:dyDescent="0.3">
      <c r="A7" s="15" t="s">
        <v>26</v>
      </c>
      <c r="B7" s="15" t="s">
        <v>555</v>
      </c>
      <c r="C7" s="16">
        <v>0.57638888888888895</v>
      </c>
      <c r="D7" s="15" t="s">
        <v>31</v>
      </c>
      <c r="E7" s="15" t="s">
        <v>558</v>
      </c>
      <c r="F7" s="15" t="s">
        <v>208</v>
      </c>
      <c r="G7" s="257"/>
      <c r="H7" s="10"/>
      <c r="I7" s="11"/>
      <c r="J7" s="11"/>
      <c r="K7" s="11"/>
      <c r="L7" s="11"/>
      <c r="M7" s="11"/>
      <c r="N7" s="11"/>
      <c r="O7" s="12"/>
      <c r="P7" s="11"/>
      <c r="Q7" s="13"/>
      <c r="R7" s="14"/>
    </row>
    <row r="8" spans="1:92" ht="15" customHeight="1" x14ac:dyDescent="0.3">
      <c r="A8" s="15" t="s">
        <v>26</v>
      </c>
      <c r="B8" s="15" t="s">
        <v>555</v>
      </c>
      <c r="C8" s="16">
        <v>0.57638888888888895</v>
      </c>
      <c r="D8" s="15" t="s">
        <v>34</v>
      </c>
      <c r="E8" s="15" t="s">
        <v>558</v>
      </c>
      <c r="F8" s="15" t="s">
        <v>559</v>
      </c>
      <c r="G8" s="257"/>
      <c r="H8" s="10"/>
      <c r="I8" s="11"/>
      <c r="J8" s="11"/>
      <c r="K8" s="11"/>
      <c r="L8" s="11"/>
      <c r="M8" s="11"/>
      <c r="N8" s="11"/>
      <c r="O8" s="12"/>
      <c r="P8" s="11"/>
      <c r="Q8" s="13"/>
      <c r="R8" s="14"/>
    </row>
    <row r="9" spans="1:92" ht="15" customHeight="1" x14ac:dyDescent="0.3">
      <c r="A9" s="19" t="s">
        <v>26</v>
      </c>
      <c r="B9" s="19" t="s">
        <v>560</v>
      </c>
      <c r="C9" s="20">
        <v>0.62847222222222221</v>
      </c>
      <c r="D9" s="19" t="s">
        <v>28</v>
      </c>
      <c r="E9" s="19" t="s">
        <v>561</v>
      </c>
      <c r="F9" s="19" t="s">
        <v>557</v>
      </c>
      <c r="G9" s="257"/>
      <c r="H9" s="10"/>
      <c r="I9" s="11"/>
      <c r="J9" s="11"/>
      <c r="K9" s="11"/>
      <c r="L9" s="11"/>
      <c r="M9" s="11"/>
      <c r="N9" s="11"/>
      <c r="O9" s="12"/>
      <c r="P9" s="11"/>
      <c r="Q9" s="13"/>
      <c r="R9" s="14"/>
    </row>
    <row r="10" spans="1:92" ht="15" customHeight="1" x14ac:dyDescent="0.3">
      <c r="A10" s="15" t="s">
        <v>26</v>
      </c>
      <c r="B10" s="15" t="s">
        <v>560</v>
      </c>
      <c r="C10" s="16">
        <v>0.62847222222222221</v>
      </c>
      <c r="D10" s="15" t="s">
        <v>31</v>
      </c>
      <c r="E10" s="15" t="s">
        <v>562</v>
      </c>
      <c r="F10" s="15" t="s">
        <v>208</v>
      </c>
      <c r="G10" s="257"/>
      <c r="H10" s="10"/>
      <c r="I10" s="11"/>
      <c r="J10" s="11"/>
      <c r="K10" s="11"/>
      <c r="L10" s="11"/>
      <c r="M10" s="11"/>
      <c r="N10" s="11"/>
      <c r="O10" s="12"/>
      <c r="P10" s="11"/>
      <c r="Q10" s="13"/>
      <c r="R10" s="14"/>
    </row>
    <row r="11" spans="1:92" ht="15" customHeight="1" x14ac:dyDescent="0.3">
      <c r="A11" s="15" t="s">
        <v>26</v>
      </c>
      <c r="B11" s="15" t="s">
        <v>560</v>
      </c>
      <c r="C11" s="16">
        <v>0.62847222222222221</v>
      </c>
      <c r="D11" s="15" t="s">
        <v>34</v>
      </c>
      <c r="E11" s="15" t="s">
        <v>562</v>
      </c>
      <c r="F11" s="15" t="s">
        <v>559</v>
      </c>
      <c r="G11" s="257"/>
      <c r="H11" s="10"/>
      <c r="I11" s="11"/>
      <c r="J11" s="11"/>
      <c r="K11" s="11"/>
      <c r="L11" s="11"/>
      <c r="M11" s="11"/>
      <c r="N11" s="11"/>
      <c r="O11" s="12"/>
      <c r="P11" s="11"/>
      <c r="Q11" s="13"/>
      <c r="R11" s="14"/>
    </row>
    <row r="12" spans="1:92" ht="15" customHeight="1" x14ac:dyDescent="0.3">
      <c r="A12" s="19" t="s">
        <v>26</v>
      </c>
      <c r="B12" s="19" t="s">
        <v>563</v>
      </c>
      <c r="C12" s="20">
        <v>0.88888888888888884</v>
      </c>
      <c r="D12" s="19" t="s">
        <v>28</v>
      </c>
      <c r="E12" s="19" t="s">
        <v>564</v>
      </c>
      <c r="F12" s="19" t="s">
        <v>557</v>
      </c>
      <c r="G12" s="257"/>
      <c r="H12" s="10"/>
      <c r="I12" s="11"/>
      <c r="J12" s="11"/>
      <c r="K12" s="11"/>
      <c r="L12" s="11"/>
      <c r="M12" s="11"/>
      <c r="N12" s="11"/>
      <c r="O12" s="12"/>
      <c r="P12" s="11"/>
      <c r="Q12" s="13"/>
      <c r="R12" s="14"/>
    </row>
    <row r="13" spans="1:92" ht="15" customHeight="1" x14ac:dyDescent="0.3">
      <c r="A13" s="15" t="s">
        <v>26</v>
      </c>
      <c r="B13" s="15" t="s">
        <v>563</v>
      </c>
      <c r="C13" s="16">
        <v>0.88888888888888884</v>
      </c>
      <c r="D13" s="15" t="s">
        <v>31</v>
      </c>
      <c r="E13" s="15" t="s">
        <v>565</v>
      </c>
      <c r="F13" s="15" t="s">
        <v>208</v>
      </c>
      <c r="G13" s="257"/>
      <c r="H13" s="10"/>
      <c r="I13" s="11"/>
      <c r="J13" s="11"/>
      <c r="K13" s="11"/>
      <c r="L13" s="11"/>
      <c r="M13" s="11"/>
      <c r="N13" s="11"/>
      <c r="O13" s="12"/>
      <c r="P13" s="11"/>
      <c r="Q13" s="13"/>
      <c r="R13" s="14"/>
    </row>
    <row r="14" spans="1:92" ht="15" customHeight="1" x14ac:dyDescent="0.3">
      <c r="A14" s="15" t="s">
        <v>26</v>
      </c>
      <c r="B14" s="15" t="s">
        <v>563</v>
      </c>
      <c r="C14" s="16">
        <v>0.88888888888888884</v>
      </c>
      <c r="D14" s="15" t="s">
        <v>34</v>
      </c>
      <c r="E14" s="15" t="s">
        <v>565</v>
      </c>
      <c r="F14" s="15" t="s">
        <v>559</v>
      </c>
      <c r="G14" s="257"/>
      <c r="H14" s="10"/>
      <c r="I14" s="11"/>
      <c r="J14" s="11"/>
      <c r="K14" s="11"/>
      <c r="L14" s="11"/>
      <c r="M14" s="11"/>
      <c r="N14" s="11"/>
      <c r="O14" s="12"/>
      <c r="P14" s="11"/>
      <c r="Q14" s="13"/>
      <c r="R14" s="14"/>
    </row>
    <row r="15" spans="1:92" ht="15" customHeight="1" x14ac:dyDescent="0.3">
      <c r="A15" s="19" t="s">
        <v>26</v>
      </c>
      <c r="B15" s="19" t="s">
        <v>566</v>
      </c>
      <c r="C15" s="20">
        <v>0.94444444444444453</v>
      </c>
      <c r="D15" s="19" t="s">
        <v>28</v>
      </c>
      <c r="E15" s="19" t="s">
        <v>567</v>
      </c>
      <c r="F15" s="19" t="s">
        <v>557</v>
      </c>
      <c r="G15" s="257"/>
      <c r="H15" s="10"/>
      <c r="I15" s="11"/>
      <c r="J15" s="11"/>
      <c r="K15" s="11"/>
      <c r="L15" s="11"/>
      <c r="M15" s="11"/>
      <c r="N15" s="11"/>
      <c r="O15" s="12"/>
      <c r="P15" s="11"/>
      <c r="Q15" s="13"/>
      <c r="R15" s="14"/>
    </row>
    <row r="16" spans="1:92" ht="15" customHeight="1" x14ac:dyDescent="0.3">
      <c r="A16" s="15" t="s">
        <v>26</v>
      </c>
      <c r="B16" s="15" t="s">
        <v>566</v>
      </c>
      <c r="C16" s="16">
        <v>0.94444444444444453</v>
      </c>
      <c r="D16" s="15" t="s">
        <v>31</v>
      </c>
      <c r="E16" s="15" t="s">
        <v>568</v>
      </c>
      <c r="F16" s="15" t="s">
        <v>208</v>
      </c>
      <c r="G16" s="257"/>
      <c r="H16" s="10"/>
      <c r="I16" s="11"/>
      <c r="J16" s="11"/>
      <c r="K16" s="11"/>
      <c r="L16" s="11"/>
      <c r="M16" s="11"/>
      <c r="N16" s="11"/>
      <c r="O16" s="12"/>
      <c r="P16" s="11"/>
      <c r="Q16" s="13"/>
      <c r="R16" s="14"/>
    </row>
    <row r="17" spans="1:18" ht="15" customHeight="1" x14ac:dyDescent="0.3">
      <c r="A17" s="15" t="s">
        <v>26</v>
      </c>
      <c r="B17" s="15" t="s">
        <v>566</v>
      </c>
      <c r="C17" s="16">
        <v>0.94444444444444453</v>
      </c>
      <c r="D17" s="15" t="s">
        <v>34</v>
      </c>
      <c r="E17" s="15" t="s">
        <v>568</v>
      </c>
      <c r="F17" s="15" t="s">
        <v>559</v>
      </c>
      <c r="G17" s="257"/>
      <c r="H17" s="10"/>
      <c r="I17" s="11"/>
      <c r="J17" s="11"/>
      <c r="K17" s="11"/>
      <c r="L17" s="11"/>
      <c r="M17" s="11"/>
      <c r="N17" s="11"/>
      <c r="O17" s="12"/>
      <c r="P17" s="11"/>
      <c r="Q17" s="13"/>
      <c r="R17" s="14"/>
    </row>
    <row r="18" spans="1:18" ht="15" customHeight="1" x14ac:dyDescent="0.3">
      <c r="A18" s="17" t="s">
        <v>36</v>
      </c>
      <c r="B18" s="17" t="s">
        <v>569</v>
      </c>
      <c r="C18" s="18">
        <v>0.95833333333333337</v>
      </c>
      <c r="D18" s="17" t="s">
        <v>38</v>
      </c>
      <c r="E18" s="17" t="s">
        <v>39</v>
      </c>
      <c r="F18" s="17" t="s">
        <v>570</v>
      </c>
      <c r="G18" s="257"/>
      <c r="H18" s="10"/>
      <c r="I18" s="11"/>
      <c r="J18" s="11"/>
      <c r="K18" s="11"/>
      <c r="L18" s="11"/>
      <c r="M18" s="11"/>
      <c r="N18" s="11"/>
      <c r="O18" s="12"/>
      <c r="P18" s="11"/>
      <c r="Q18" s="13"/>
      <c r="R18" s="14"/>
    </row>
    <row r="19" spans="1:18" ht="15" customHeight="1" x14ac:dyDescent="0.3">
      <c r="A19" s="15" t="s">
        <v>36</v>
      </c>
      <c r="B19" s="15" t="s">
        <v>569</v>
      </c>
      <c r="C19" s="16">
        <v>0.95833333333333337</v>
      </c>
      <c r="D19" s="15" t="s">
        <v>41</v>
      </c>
      <c r="E19" s="15" t="s">
        <v>42</v>
      </c>
      <c r="F19" s="15" t="s">
        <v>571</v>
      </c>
      <c r="G19" s="257"/>
      <c r="H19" s="10"/>
      <c r="I19" s="11"/>
      <c r="J19" s="11"/>
      <c r="K19" s="11"/>
      <c r="L19" s="11"/>
      <c r="M19" s="11"/>
      <c r="N19" s="11"/>
      <c r="O19" s="12"/>
      <c r="P19" s="11"/>
      <c r="Q19" s="13"/>
      <c r="R19" s="14"/>
    </row>
    <row r="20" spans="1:18" ht="15" customHeight="1" x14ac:dyDescent="0.3">
      <c r="A20" s="15" t="s">
        <v>36</v>
      </c>
      <c r="B20" s="15" t="s">
        <v>569</v>
      </c>
      <c r="C20" s="16">
        <v>0.95833333333333337</v>
      </c>
      <c r="D20" s="15" t="s">
        <v>44</v>
      </c>
      <c r="E20" s="15" t="s">
        <v>42</v>
      </c>
      <c r="F20" s="15" t="s">
        <v>572</v>
      </c>
      <c r="G20" s="257"/>
      <c r="H20" s="10"/>
      <c r="I20" s="11"/>
      <c r="J20" s="11"/>
      <c r="K20" s="11"/>
      <c r="L20" s="11"/>
      <c r="M20" s="11"/>
      <c r="N20" s="11"/>
      <c r="O20" s="12"/>
      <c r="P20" s="11"/>
      <c r="Q20" s="13"/>
      <c r="R20" s="14"/>
    </row>
    <row r="21" spans="1:18" ht="15" customHeight="1" x14ac:dyDescent="0.3">
      <c r="A21" s="19" t="s">
        <v>36</v>
      </c>
      <c r="B21" s="19" t="s">
        <v>573</v>
      </c>
      <c r="C21" s="20">
        <v>0.63194444444444442</v>
      </c>
      <c r="D21" s="19" t="s">
        <v>38</v>
      </c>
      <c r="E21" s="19" t="s">
        <v>217</v>
      </c>
      <c r="F21" s="19" t="s">
        <v>570</v>
      </c>
      <c r="G21" s="257"/>
      <c r="H21" s="10"/>
      <c r="I21" s="11"/>
      <c r="J21" s="11"/>
      <c r="K21" s="11"/>
      <c r="L21" s="11"/>
      <c r="M21" s="11"/>
      <c r="N21" s="11"/>
      <c r="O21" s="12"/>
      <c r="P21" s="11"/>
      <c r="Q21" s="13"/>
      <c r="R21" s="14"/>
    </row>
    <row r="22" spans="1:18" ht="15" customHeight="1" x14ac:dyDescent="0.3">
      <c r="A22" s="15" t="s">
        <v>36</v>
      </c>
      <c r="B22" s="15" t="s">
        <v>573</v>
      </c>
      <c r="C22" s="16">
        <v>0.63194444444444442</v>
      </c>
      <c r="D22" s="15" t="s">
        <v>41</v>
      </c>
      <c r="E22" s="15" t="s">
        <v>42</v>
      </c>
      <c r="F22" s="15" t="s">
        <v>571</v>
      </c>
      <c r="G22" s="257"/>
      <c r="H22" s="10"/>
      <c r="I22" s="11"/>
      <c r="J22" s="11"/>
      <c r="K22" s="11"/>
      <c r="L22" s="11"/>
      <c r="M22" s="11"/>
      <c r="N22" s="11"/>
      <c r="O22" s="12"/>
      <c r="P22" s="11"/>
      <c r="Q22" s="13"/>
      <c r="R22" s="14"/>
    </row>
    <row r="23" spans="1:18" ht="15" customHeight="1" x14ac:dyDescent="0.3">
      <c r="A23" s="15" t="s">
        <v>36</v>
      </c>
      <c r="B23" s="15" t="s">
        <v>573</v>
      </c>
      <c r="C23" s="16">
        <v>0.63194444444444442</v>
      </c>
      <c r="D23" s="15" t="s">
        <v>44</v>
      </c>
      <c r="E23" s="15" t="s">
        <v>42</v>
      </c>
      <c r="F23" s="15" t="s">
        <v>572</v>
      </c>
      <c r="G23" s="257"/>
      <c r="H23" s="10"/>
      <c r="I23" s="11"/>
      <c r="J23" s="11"/>
      <c r="K23" s="11"/>
      <c r="L23" s="11"/>
      <c r="M23" s="11"/>
      <c r="N23" s="11"/>
      <c r="O23" s="12"/>
      <c r="P23" s="11"/>
      <c r="Q23" s="13"/>
      <c r="R23" s="14"/>
    </row>
    <row r="24" spans="1:18" ht="15" customHeight="1" x14ac:dyDescent="0.3">
      <c r="A24" s="19" t="s">
        <v>36</v>
      </c>
      <c r="B24" s="19" t="s">
        <v>574</v>
      </c>
      <c r="C24" s="20">
        <v>0.55902777777777779</v>
      </c>
      <c r="D24" s="19" t="s">
        <v>38</v>
      </c>
      <c r="E24" s="19" t="s">
        <v>66</v>
      </c>
      <c r="F24" s="19" t="s">
        <v>570</v>
      </c>
      <c r="G24" s="257"/>
      <c r="H24" s="10"/>
      <c r="I24" s="11"/>
      <c r="J24" s="11"/>
      <c r="K24" s="11"/>
      <c r="L24" s="11"/>
      <c r="M24" s="11"/>
      <c r="N24" s="11"/>
      <c r="O24" s="12"/>
      <c r="P24" s="11"/>
      <c r="Q24" s="13"/>
      <c r="R24" s="14"/>
    </row>
    <row r="25" spans="1:18" ht="15" customHeight="1" x14ac:dyDescent="0.3">
      <c r="A25" s="15" t="s">
        <v>36</v>
      </c>
      <c r="B25" s="15" t="s">
        <v>574</v>
      </c>
      <c r="C25" s="16">
        <v>0.55902777777777779</v>
      </c>
      <c r="D25" s="15" t="s">
        <v>41</v>
      </c>
      <c r="E25" s="15" t="s">
        <v>319</v>
      </c>
      <c r="F25" s="15" t="s">
        <v>571</v>
      </c>
      <c r="G25" s="257"/>
      <c r="H25" s="10"/>
      <c r="I25" s="11"/>
      <c r="J25" s="11"/>
      <c r="K25" s="11"/>
      <c r="L25" s="11"/>
      <c r="M25" s="11"/>
      <c r="N25" s="11"/>
      <c r="O25" s="12"/>
      <c r="P25" s="11"/>
      <c r="Q25" s="13"/>
      <c r="R25" s="14"/>
    </row>
    <row r="26" spans="1:18" ht="15" customHeight="1" x14ac:dyDescent="0.3">
      <c r="A26" s="15" t="s">
        <v>36</v>
      </c>
      <c r="B26" s="15" t="s">
        <v>574</v>
      </c>
      <c r="C26" s="16">
        <v>0.55902777777777779</v>
      </c>
      <c r="D26" s="15" t="s">
        <v>44</v>
      </c>
      <c r="E26" s="15" t="s">
        <v>319</v>
      </c>
      <c r="F26" s="15" t="s">
        <v>572</v>
      </c>
      <c r="G26" s="257"/>
      <c r="H26" s="10"/>
      <c r="I26" s="11"/>
      <c r="J26" s="11"/>
      <c r="K26" s="11"/>
      <c r="L26" s="11"/>
      <c r="M26" s="11"/>
      <c r="N26" s="11"/>
      <c r="O26" s="12"/>
      <c r="P26" s="11"/>
      <c r="Q26" s="13"/>
      <c r="R26" s="14"/>
    </row>
    <row r="27" spans="1:18" ht="15" customHeight="1" x14ac:dyDescent="0.3">
      <c r="A27" s="19" t="s">
        <v>36</v>
      </c>
      <c r="B27" s="19" t="s">
        <v>575</v>
      </c>
      <c r="C27" s="20">
        <v>0.81944444444444453</v>
      </c>
      <c r="D27" s="19" t="s">
        <v>38</v>
      </c>
      <c r="E27" s="19" t="s">
        <v>47</v>
      </c>
      <c r="F27" s="19" t="s">
        <v>570</v>
      </c>
      <c r="G27" s="257"/>
      <c r="H27" s="10"/>
      <c r="I27" s="11"/>
      <c r="J27" s="11"/>
      <c r="K27" s="11"/>
      <c r="L27" s="11"/>
      <c r="M27" s="11"/>
      <c r="N27" s="11"/>
      <c r="O27" s="12"/>
      <c r="P27" s="11"/>
      <c r="Q27" s="13"/>
      <c r="R27" s="14"/>
    </row>
    <row r="28" spans="1:18" ht="15" customHeight="1" x14ac:dyDescent="0.3">
      <c r="A28" s="15" t="s">
        <v>36</v>
      </c>
      <c r="B28" s="15" t="s">
        <v>575</v>
      </c>
      <c r="C28" s="16">
        <v>0.81944444444444453</v>
      </c>
      <c r="D28" s="15" t="s">
        <v>41</v>
      </c>
      <c r="E28" s="15" t="s">
        <v>49</v>
      </c>
      <c r="F28" s="15" t="s">
        <v>571</v>
      </c>
      <c r="G28" s="257"/>
      <c r="H28" s="10"/>
      <c r="I28" s="11"/>
      <c r="J28" s="11"/>
      <c r="K28" s="11"/>
      <c r="L28" s="11"/>
      <c r="M28" s="11"/>
      <c r="N28" s="11"/>
      <c r="O28" s="12"/>
      <c r="P28" s="11"/>
      <c r="Q28" s="13"/>
      <c r="R28" s="14"/>
    </row>
    <row r="29" spans="1:18" ht="15" customHeight="1" x14ac:dyDescent="0.3">
      <c r="A29" s="15" t="s">
        <v>36</v>
      </c>
      <c r="B29" s="15" t="s">
        <v>575</v>
      </c>
      <c r="C29" s="16">
        <v>0.81944444444444453</v>
      </c>
      <c r="D29" s="15" t="s">
        <v>44</v>
      </c>
      <c r="E29" s="15" t="s">
        <v>49</v>
      </c>
      <c r="F29" s="15" t="s">
        <v>572</v>
      </c>
      <c r="G29" s="257"/>
      <c r="H29" s="10"/>
      <c r="I29" s="11"/>
      <c r="J29" s="11"/>
      <c r="K29" s="11"/>
      <c r="L29" s="11"/>
      <c r="M29" s="11"/>
      <c r="N29" s="11"/>
      <c r="O29" s="12"/>
      <c r="P29" s="11"/>
      <c r="Q29" s="13"/>
      <c r="R29" s="14"/>
    </row>
    <row r="30" spans="1:18" ht="15" customHeight="1" x14ac:dyDescent="0.3">
      <c r="A30" s="19" t="s">
        <v>36</v>
      </c>
      <c r="B30" s="19" t="s">
        <v>576</v>
      </c>
      <c r="C30" s="20">
        <v>0.69791666666666663</v>
      </c>
      <c r="D30" s="19" t="s">
        <v>38</v>
      </c>
      <c r="E30" s="19" t="s">
        <v>231</v>
      </c>
      <c r="F30" s="19" t="s">
        <v>570</v>
      </c>
      <c r="G30" s="257"/>
      <c r="H30" s="10"/>
      <c r="I30" s="11"/>
      <c r="J30" s="11"/>
      <c r="K30" s="11"/>
      <c r="L30" s="11"/>
      <c r="M30" s="11"/>
      <c r="N30" s="11"/>
      <c r="O30" s="12"/>
      <c r="P30" s="11"/>
      <c r="Q30" s="13"/>
      <c r="R30" s="14"/>
    </row>
    <row r="31" spans="1:18" ht="15" customHeight="1" x14ac:dyDescent="0.3">
      <c r="A31" s="15" t="s">
        <v>36</v>
      </c>
      <c r="B31" s="15" t="s">
        <v>576</v>
      </c>
      <c r="C31" s="16">
        <v>0.69791666666666663</v>
      </c>
      <c r="D31" s="15" t="s">
        <v>41</v>
      </c>
      <c r="E31" s="15" t="s">
        <v>82</v>
      </c>
      <c r="F31" s="15" t="s">
        <v>571</v>
      </c>
      <c r="G31" s="257"/>
      <c r="H31" s="10"/>
      <c r="I31" s="11"/>
      <c r="J31" s="11"/>
      <c r="K31" s="11"/>
      <c r="L31" s="11"/>
      <c r="M31" s="11"/>
      <c r="N31" s="11"/>
      <c r="O31" s="12"/>
      <c r="P31" s="11"/>
      <c r="Q31" s="13"/>
      <c r="R31" s="14"/>
    </row>
    <row r="32" spans="1:18" ht="15" customHeight="1" x14ac:dyDescent="0.3">
      <c r="A32" s="15" t="s">
        <v>36</v>
      </c>
      <c r="B32" s="15" t="s">
        <v>576</v>
      </c>
      <c r="C32" s="16">
        <v>0.69791666666666663</v>
      </c>
      <c r="D32" s="15" t="s">
        <v>44</v>
      </c>
      <c r="E32" s="15" t="s">
        <v>82</v>
      </c>
      <c r="F32" s="15" t="s">
        <v>572</v>
      </c>
      <c r="G32" s="257"/>
      <c r="H32" s="10"/>
      <c r="I32" s="11"/>
      <c r="J32" s="11"/>
      <c r="K32" s="11"/>
      <c r="L32" s="11"/>
      <c r="M32" s="11"/>
      <c r="N32" s="11"/>
      <c r="O32" s="12"/>
      <c r="P32" s="11"/>
      <c r="Q32" s="13"/>
      <c r="R32" s="14"/>
    </row>
    <row r="33" spans="1:18" ht="15" customHeight="1" x14ac:dyDescent="0.3">
      <c r="A33" s="19" t="s">
        <v>36</v>
      </c>
      <c r="B33" s="19" t="s">
        <v>577</v>
      </c>
      <c r="C33" s="20">
        <v>0.4375</v>
      </c>
      <c r="D33" s="19" t="s">
        <v>38</v>
      </c>
      <c r="E33" s="19" t="s">
        <v>66</v>
      </c>
      <c r="F33" s="19" t="s">
        <v>578</v>
      </c>
      <c r="G33" s="257"/>
      <c r="H33" s="10"/>
      <c r="I33" s="11"/>
      <c r="J33" s="11"/>
      <c r="K33" s="11"/>
      <c r="L33" s="11"/>
      <c r="M33" s="11"/>
      <c r="N33" s="11"/>
      <c r="O33" s="12"/>
      <c r="P33" s="11"/>
      <c r="Q33" s="13"/>
      <c r="R33" s="14"/>
    </row>
    <row r="34" spans="1:18" ht="15" customHeight="1" x14ac:dyDescent="0.3">
      <c r="A34" s="15" t="s">
        <v>36</v>
      </c>
      <c r="B34" s="15" t="s">
        <v>577</v>
      </c>
      <c r="C34" s="16">
        <v>0.4375</v>
      </c>
      <c r="D34" s="15" t="s">
        <v>41</v>
      </c>
      <c r="E34" s="15" t="s">
        <v>319</v>
      </c>
      <c r="F34" s="15" t="s">
        <v>579</v>
      </c>
      <c r="G34" s="257"/>
      <c r="H34" s="10"/>
      <c r="I34" s="11"/>
      <c r="J34" s="11"/>
      <c r="K34" s="11"/>
      <c r="L34" s="11"/>
      <c r="M34" s="11"/>
      <c r="N34" s="11"/>
      <c r="O34" s="12"/>
      <c r="P34" s="11"/>
      <c r="Q34" s="13"/>
      <c r="R34" s="14"/>
    </row>
    <row r="35" spans="1:18" ht="15" customHeight="1" x14ac:dyDescent="0.3">
      <c r="A35" s="15" t="s">
        <v>36</v>
      </c>
      <c r="B35" s="15" t="s">
        <v>577</v>
      </c>
      <c r="C35" s="16">
        <v>0.4375</v>
      </c>
      <c r="D35" s="15" t="s">
        <v>44</v>
      </c>
      <c r="E35" s="15" t="s">
        <v>319</v>
      </c>
      <c r="F35" s="15" t="s">
        <v>30</v>
      </c>
      <c r="G35" s="257"/>
      <c r="H35" s="10"/>
      <c r="I35" s="11"/>
      <c r="J35" s="11"/>
      <c r="K35" s="11"/>
      <c r="L35" s="11"/>
      <c r="M35" s="11"/>
      <c r="N35" s="11"/>
      <c r="O35" s="12"/>
      <c r="P35" s="11"/>
      <c r="Q35" s="13"/>
      <c r="R35" s="14"/>
    </row>
    <row r="36" spans="1:18" ht="15" customHeight="1" x14ac:dyDescent="0.3">
      <c r="A36" s="19" t="s">
        <v>36</v>
      </c>
      <c r="B36" s="19" t="s">
        <v>580</v>
      </c>
      <c r="C36" s="20">
        <v>0.50694444444444442</v>
      </c>
      <c r="D36" s="19" t="s">
        <v>38</v>
      </c>
      <c r="E36" s="19" t="s">
        <v>47</v>
      </c>
      <c r="F36" s="19" t="s">
        <v>578</v>
      </c>
      <c r="G36" s="257"/>
      <c r="H36" s="10"/>
      <c r="I36" s="11"/>
      <c r="J36" s="11"/>
      <c r="K36" s="11"/>
      <c r="L36" s="11"/>
      <c r="M36" s="11"/>
      <c r="N36" s="11"/>
      <c r="O36" s="12"/>
      <c r="P36" s="11"/>
      <c r="Q36" s="13"/>
      <c r="R36" s="14"/>
    </row>
    <row r="37" spans="1:18" ht="15" customHeight="1" x14ac:dyDescent="0.3">
      <c r="A37" s="15" t="s">
        <v>36</v>
      </c>
      <c r="B37" s="15" t="s">
        <v>580</v>
      </c>
      <c r="C37" s="16">
        <v>0.50694444444444442</v>
      </c>
      <c r="D37" s="15" t="s">
        <v>41</v>
      </c>
      <c r="E37" s="15" t="s">
        <v>49</v>
      </c>
      <c r="F37" s="15" t="s">
        <v>579</v>
      </c>
      <c r="G37" s="257"/>
      <c r="H37" s="10"/>
      <c r="I37" s="11"/>
      <c r="J37" s="11"/>
      <c r="K37" s="11"/>
      <c r="L37" s="11"/>
      <c r="M37" s="11"/>
      <c r="N37" s="11"/>
      <c r="O37" s="12"/>
      <c r="P37" s="11"/>
      <c r="Q37" s="13"/>
      <c r="R37" s="14"/>
    </row>
    <row r="38" spans="1:18" ht="15" customHeight="1" x14ac:dyDescent="0.3">
      <c r="A38" s="15" t="s">
        <v>36</v>
      </c>
      <c r="B38" s="15" t="s">
        <v>580</v>
      </c>
      <c r="C38" s="16">
        <v>0.50694444444444442</v>
      </c>
      <c r="D38" s="15" t="s">
        <v>44</v>
      </c>
      <c r="E38" s="15" t="s">
        <v>49</v>
      </c>
      <c r="F38" s="15" t="s">
        <v>30</v>
      </c>
      <c r="G38" s="257"/>
      <c r="H38" s="10"/>
      <c r="I38" s="11"/>
      <c r="J38" s="11"/>
      <c r="K38" s="11"/>
      <c r="L38" s="11"/>
      <c r="M38" s="11"/>
      <c r="N38" s="11"/>
      <c r="O38" s="12"/>
      <c r="P38" s="11"/>
      <c r="Q38" s="13"/>
      <c r="R38" s="14"/>
    </row>
    <row r="39" spans="1:18" ht="15" customHeight="1" x14ac:dyDescent="0.3">
      <c r="A39" s="17" t="s">
        <v>239</v>
      </c>
      <c r="B39" s="17" t="s">
        <v>581</v>
      </c>
      <c r="C39" s="18">
        <v>0.1701388888888889</v>
      </c>
      <c r="D39" s="17" t="s">
        <v>100</v>
      </c>
      <c r="E39" s="17" t="s">
        <v>55</v>
      </c>
      <c r="F39" s="17" t="s">
        <v>582</v>
      </c>
      <c r="G39" s="257"/>
      <c r="H39" s="10"/>
      <c r="I39" s="11"/>
      <c r="J39" s="11"/>
      <c r="K39" s="11"/>
      <c r="L39" s="11"/>
      <c r="M39" s="11"/>
      <c r="N39" s="11"/>
      <c r="O39" s="12"/>
      <c r="P39" s="11"/>
      <c r="Q39" s="13"/>
      <c r="R39" s="14"/>
    </row>
    <row r="40" spans="1:18" ht="15" customHeight="1" x14ac:dyDescent="0.3">
      <c r="A40" s="19" t="s">
        <v>239</v>
      </c>
      <c r="B40" s="19" t="s">
        <v>583</v>
      </c>
      <c r="C40" s="20">
        <v>0.80208333333333337</v>
      </c>
      <c r="D40" s="19" t="s">
        <v>100</v>
      </c>
      <c r="E40" s="19" t="s">
        <v>86</v>
      </c>
      <c r="F40" s="19" t="s">
        <v>582</v>
      </c>
      <c r="G40" s="257"/>
      <c r="H40" s="10"/>
      <c r="I40" s="11"/>
      <c r="J40" s="11"/>
      <c r="K40" s="11"/>
      <c r="L40" s="11"/>
      <c r="M40" s="11"/>
      <c r="N40" s="11"/>
      <c r="O40" s="12"/>
      <c r="P40" s="11"/>
      <c r="Q40" s="13"/>
      <c r="R40" s="14"/>
    </row>
    <row r="41" spans="1:18" ht="15" customHeight="1" x14ac:dyDescent="0.3">
      <c r="A41" s="19" t="s">
        <v>239</v>
      </c>
      <c r="B41" s="19" t="s">
        <v>584</v>
      </c>
      <c r="C41" s="20">
        <v>0.61458333333333337</v>
      </c>
      <c r="D41" s="19" t="s">
        <v>100</v>
      </c>
      <c r="E41" s="19" t="s">
        <v>86</v>
      </c>
      <c r="F41" s="19" t="s">
        <v>585</v>
      </c>
      <c r="G41" s="257"/>
      <c r="H41" s="10"/>
      <c r="I41" s="11"/>
      <c r="J41" s="11"/>
      <c r="K41" s="11"/>
      <c r="L41" s="11"/>
      <c r="M41" s="11"/>
      <c r="N41" s="11"/>
      <c r="O41" s="12"/>
      <c r="P41" s="11"/>
      <c r="Q41" s="13"/>
      <c r="R41" s="14"/>
    </row>
    <row r="42" spans="1:18" ht="15" customHeight="1" x14ac:dyDescent="0.3">
      <c r="A42" s="17" t="s">
        <v>586</v>
      </c>
      <c r="B42" s="17" t="s">
        <v>587</v>
      </c>
      <c r="C42" s="18">
        <v>9.0277777777777776E-2</v>
      </c>
      <c r="D42" s="17" t="s">
        <v>100</v>
      </c>
      <c r="E42" s="17" t="s">
        <v>80</v>
      </c>
      <c r="F42" s="17" t="s">
        <v>588</v>
      </c>
      <c r="G42" s="257"/>
      <c r="H42" s="10"/>
      <c r="I42" s="11"/>
      <c r="J42" s="11"/>
      <c r="K42" s="11"/>
      <c r="L42" s="11"/>
      <c r="M42" s="11"/>
      <c r="N42" s="11"/>
      <c r="O42" s="12"/>
      <c r="P42" s="11"/>
      <c r="Q42" s="13"/>
      <c r="R42" s="14"/>
    </row>
    <row r="43" spans="1:18" ht="15" customHeight="1" x14ac:dyDescent="0.3">
      <c r="A43" s="19" t="s">
        <v>586</v>
      </c>
      <c r="B43" s="19" t="s">
        <v>589</v>
      </c>
      <c r="C43" s="20">
        <v>0.69097222222222221</v>
      </c>
      <c r="D43" s="19" t="s">
        <v>100</v>
      </c>
      <c r="E43" s="19" t="s">
        <v>86</v>
      </c>
      <c r="F43" s="19" t="s">
        <v>590</v>
      </c>
      <c r="G43" s="257"/>
      <c r="H43" s="10"/>
      <c r="I43" s="11"/>
      <c r="J43" s="11"/>
      <c r="K43" s="11"/>
      <c r="L43" s="11"/>
      <c r="M43" s="11"/>
      <c r="N43" s="11"/>
      <c r="O43" s="12"/>
      <c r="P43" s="11"/>
      <c r="Q43" s="13"/>
      <c r="R43" s="14"/>
    </row>
    <row r="44" spans="1:18" ht="15" customHeight="1" x14ac:dyDescent="0.3">
      <c r="A44" s="85" t="s">
        <v>73</v>
      </c>
      <c r="B44" s="85" t="s">
        <v>591</v>
      </c>
      <c r="C44" s="86">
        <v>0.41319444444444442</v>
      </c>
      <c r="D44" s="85" t="s">
        <v>100</v>
      </c>
      <c r="E44" s="85" t="s">
        <v>55</v>
      </c>
      <c r="F44" s="85" t="s">
        <v>592</v>
      </c>
      <c r="G44" s="257"/>
      <c r="H44" s="87" t="s">
        <v>593</v>
      </c>
      <c r="I44" s="161">
        <v>0.56979999999999997</v>
      </c>
      <c r="J44" s="89">
        <v>102</v>
      </c>
      <c r="K44" s="90" t="s">
        <v>103</v>
      </c>
      <c r="L44" s="89">
        <v>44</v>
      </c>
      <c r="M44" s="89">
        <v>0</v>
      </c>
      <c r="N44" s="89">
        <v>5</v>
      </c>
      <c r="O44" s="91" t="s">
        <v>380</v>
      </c>
      <c r="P44" s="92">
        <v>0.41319444444444442</v>
      </c>
      <c r="Q44" s="89">
        <v>179</v>
      </c>
      <c r="R44" s="93" t="s">
        <v>594</v>
      </c>
    </row>
    <row r="45" spans="1:18" ht="15" customHeight="1" x14ac:dyDescent="0.3">
      <c r="A45" s="17" t="s">
        <v>266</v>
      </c>
      <c r="B45" s="17" t="s">
        <v>595</v>
      </c>
      <c r="C45" s="18">
        <v>0.4375</v>
      </c>
      <c r="D45" s="17" t="s">
        <v>268</v>
      </c>
      <c r="E45" s="17" t="s">
        <v>269</v>
      </c>
      <c r="F45" s="17" t="s">
        <v>596</v>
      </c>
      <c r="G45" s="257"/>
      <c r="H45" s="10"/>
      <c r="I45" s="11"/>
      <c r="J45" s="11"/>
      <c r="K45" s="11"/>
      <c r="L45" s="11"/>
      <c r="M45" s="11"/>
      <c r="N45" s="11"/>
      <c r="O45" s="12"/>
      <c r="P45" s="11"/>
      <c r="Q45" s="13"/>
      <c r="R45" s="14"/>
    </row>
    <row r="46" spans="1:18" ht="15" customHeight="1" x14ac:dyDescent="0.3">
      <c r="A46" s="15" t="s">
        <v>266</v>
      </c>
      <c r="B46" s="15" t="s">
        <v>595</v>
      </c>
      <c r="C46" s="16">
        <v>0.4375</v>
      </c>
      <c r="D46" s="15" t="s">
        <v>34</v>
      </c>
      <c r="E46" s="15" t="s">
        <v>236</v>
      </c>
      <c r="F46" s="15" t="s">
        <v>597</v>
      </c>
      <c r="G46" s="257"/>
      <c r="H46" s="10"/>
      <c r="I46" s="11"/>
      <c r="J46" s="11"/>
      <c r="K46" s="11"/>
      <c r="L46" s="11"/>
      <c r="M46" s="11"/>
      <c r="N46" s="11"/>
      <c r="O46" s="12"/>
      <c r="P46" s="11"/>
      <c r="Q46" s="13"/>
      <c r="R46" s="14"/>
    </row>
    <row r="47" spans="1:18" ht="15" customHeight="1" x14ac:dyDescent="0.3">
      <c r="A47" s="17" t="s">
        <v>68</v>
      </c>
      <c r="B47" s="17" t="s">
        <v>598</v>
      </c>
      <c r="C47" s="18">
        <v>0.98263888888888884</v>
      </c>
      <c r="D47" s="17" t="s">
        <v>70</v>
      </c>
      <c r="E47" s="17" t="s">
        <v>55</v>
      </c>
      <c r="F47" s="17" t="s">
        <v>599</v>
      </c>
      <c r="G47" s="257"/>
      <c r="H47" s="10"/>
      <c r="I47" s="11"/>
      <c r="J47" s="11"/>
      <c r="K47" s="11"/>
      <c r="L47" s="11"/>
      <c r="M47" s="11"/>
      <c r="N47" s="11"/>
      <c r="O47" s="12"/>
      <c r="P47" s="11"/>
      <c r="Q47" s="13"/>
      <c r="R47" s="14"/>
    </row>
    <row r="48" spans="1:18" ht="15" customHeight="1" x14ac:dyDescent="0.3">
      <c r="A48" s="19" t="s">
        <v>68</v>
      </c>
      <c r="B48" s="19" t="s">
        <v>600</v>
      </c>
      <c r="C48" s="20">
        <v>0.35416666666666669</v>
      </c>
      <c r="D48" s="19" t="s">
        <v>70</v>
      </c>
      <c r="E48" s="19" t="s">
        <v>47</v>
      </c>
      <c r="F48" s="19" t="s">
        <v>599</v>
      </c>
      <c r="G48" s="257"/>
      <c r="H48" s="10"/>
      <c r="I48" s="11"/>
      <c r="J48" s="11"/>
      <c r="K48" s="11"/>
      <c r="L48" s="11"/>
      <c r="M48" s="11"/>
      <c r="N48" s="11"/>
      <c r="O48" s="12"/>
      <c r="P48" s="11"/>
      <c r="Q48" s="13"/>
      <c r="R48" s="14"/>
    </row>
    <row r="49" spans="1:18" ht="15" customHeight="1" x14ac:dyDescent="0.3">
      <c r="A49" s="19" t="s">
        <v>68</v>
      </c>
      <c r="B49" s="19" t="s">
        <v>601</v>
      </c>
      <c r="C49" s="20">
        <v>0.72916666666666663</v>
      </c>
      <c r="D49" s="19" t="s">
        <v>70</v>
      </c>
      <c r="E49" s="19" t="s">
        <v>66</v>
      </c>
      <c r="F49" s="19" t="s">
        <v>602</v>
      </c>
      <c r="G49" s="257"/>
      <c r="H49" s="10"/>
      <c r="I49" s="11"/>
      <c r="J49" s="11"/>
      <c r="K49" s="11"/>
      <c r="L49" s="11"/>
      <c r="M49" s="11"/>
      <c r="N49" s="11"/>
      <c r="O49" s="12"/>
      <c r="P49" s="11"/>
      <c r="Q49" s="13"/>
      <c r="R49" s="14"/>
    </row>
    <row r="50" spans="1:18" ht="15" customHeight="1" x14ac:dyDescent="0.3">
      <c r="A50" s="17" t="s">
        <v>52</v>
      </c>
      <c r="B50" s="17" t="s">
        <v>603</v>
      </c>
      <c r="C50" s="18">
        <v>0.98263888888888884</v>
      </c>
      <c r="D50" s="17" t="s">
        <v>54</v>
      </c>
      <c r="E50" s="17" t="s">
        <v>55</v>
      </c>
      <c r="F50" s="17" t="s">
        <v>604</v>
      </c>
      <c r="G50" s="257"/>
      <c r="H50" s="10"/>
      <c r="I50" s="11"/>
      <c r="J50" s="11"/>
      <c r="K50" s="11"/>
      <c r="L50" s="11"/>
      <c r="M50" s="11"/>
      <c r="N50" s="11"/>
      <c r="O50" s="12"/>
      <c r="P50" s="11"/>
      <c r="Q50" s="13"/>
      <c r="R50" s="14"/>
    </row>
    <row r="51" spans="1:18" ht="15" customHeight="1" x14ac:dyDescent="0.3">
      <c r="A51" s="15" t="s">
        <v>52</v>
      </c>
      <c r="B51" s="15" t="s">
        <v>603</v>
      </c>
      <c r="C51" s="16">
        <v>0.98263888888888884</v>
      </c>
      <c r="D51" s="15" t="s">
        <v>57</v>
      </c>
      <c r="E51" s="15" t="s">
        <v>58</v>
      </c>
      <c r="F51" s="15" t="s">
        <v>605</v>
      </c>
      <c r="G51" s="257"/>
      <c r="H51" s="10"/>
      <c r="I51" s="11"/>
      <c r="J51" s="11"/>
      <c r="K51" s="11"/>
      <c r="L51" s="11"/>
      <c r="M51" s="11"/>
      <c r="N51" s="11"/>
      <c r="O51" s="12"/>
      <c r="P51" s="11"/>
      <c r="Q51" s="13"/>
      <c r="R51" s="14"/>
    </row>
    <row r="52" spans="1:18" ht="15" customHeight="1" x14ac:dyDescent="0.3">
      <c r="A52" s="19" t="s">
        <v>52</v>
      </c>
      <c r="B52" s="19" t="s">
        <v>606</v>
      </c>
      <c r="C52" s="20">
        <v>0.88888888888888884</v>
      </c>
      <c r="D52" s="19" t="s">
        <v>57</v>
      </c>
      <c r="E52" s="19" t="s">
        <v>61</v>
      </c>
      <c r="F52" s="19" t="s">
        <v>607</v>
      </c>
      <c r="G52" s="257"/>
      <c r="H52" s="10"/>
      <c r="I52" s="11"/>
      <c r="J52" s="11"/>
      <c r="K52" s="11"/>
      <c r="L52" s="11"/>
      <c r="M52" s="11"/>
      <c r="N52" s="11"/>
      <c r="O52" s="12"/>
      <c r="P52" s="11"/>
      <c r="Q52" s="13"/>
      <c r="R52" s="14"/>
    </row>
    <row r="53" spans="1:18" ht="15" customHeight="1" x14ac:dyDescent="0.3">
      <c r="A53" s="19" t="s">
        <v>52</v>
      </c>
      <c r="B53" s="19" t="s">
        <v>608</v>
      </c>
      <c r="C53" s="20">
        <v>0.62847222222222221</v>
      </c>
      <c r="D53" s="19" t="s">
        <v>57</v>
      </c>
      <c r="E53" s="19" t="s">
        <v>61</v>
      </c>
      <c r="F53" s="19" t="s">
        <v>607</v>
      </c>
      <c r="G53" s="257"/>
      <c r="H53" s="10"/>
      <c r="I53" s="11"/>
      <c r="J53" s="11"/>
      <c r="K53" s="11"/>
      <c r="L53" s="11"/>
      <c r="M53" s="11"/>
      <c r="N53" s="11"/>
      <c r="O53" s="12"/>
      <c r="P53" s="11"/>
      <c r="Q53" s="13"/>
      <c r="R53" s="14"/>
    </row>
    <row r="54" spans="1:18" ht="15" customHeight="1" x14ac:dyDescent="0.3">
      <c r="A54" s="19" t="s">
        <v>52</v>
      </c>
      <c r="B54" s="19" t="s">
        <v>609</v>
      </c>
      <c r="C54" s="20">
        <v>0.94444444444444453</v>
      </c>
      <c r="D54" s="19" t="s">
        <v>57</v>
      </c>
      <c r="E54" s="19" t="s">
        <v>61</v>
      </c>
      <c r="F54" s="19" t="s">
        <v>607</v>
      </c>
      <c r="G54" s="257"/>
      <c r="H54" s="10"/>
      <c r="I54" s="11"/>
      <c r="J54" s="11"/>
      <c r="K54" s="11"/>
      <c r="L54" s="11"/>
      <c r="M54" s="11"/>
      <c r="N54" s="11"/>
      <c r="O54" s="12"/>
      <c r="P54" s="11"/>
      <c r="Q54" s="13"/>
      <c r="R54" s="14"/>
    </row>
    <row r="55" spans="1:18" ht="15" customHeight="1" x14ac:dyDescent="0.3">
      <c r="A55" s="19" t="s">
        <v>52</v>
      </c>
      <c r="B55" s="19" t="s">
        <v>610</v>
      </c>
      <c r="C55" s="20">
        <v>0.44444444444444442</v>
      </c>
      <c r="D55" s="19" t="s">
        <v>57</v>
      </c>
      <c r="E55" s="19" t="s">
        <v>227</v>
      </c>
      <c r="F55" s="19" t="s">
        <v>611</v>
      </c>
      <c r="G55" s="257"/>
      <c r="H55" s="10"/>
      <c r="I55" s="11"/>
      <c r="J55" s="11"/>
      <c r="K55" s="11"/>
      <c r="L55" s="11"/>
      <c r="M55" s="11"/>
      <c r="N55" s="11"/>
      <c r="O55" s="12"/>
      <c r="P55" s="11"/>
      <c r="Q55" s="13"/>
      <c r="R55" s="14"/>
    </row>
    <row r="56" spans="1:18" ht="15" customHeight="1" x14ac:dyDescent="0.3">
      <c r="A56" s="19" t="s">
        <v>52</v>
      </c>
      <c r="B56" s="19" t="s">
        <v>612</v>
      </c>
      <c r="C56" s="20">
        <v>0.82986111111111116</v>
      </c>
      <c r="D56" s="19" t="s">
        <v>57</v>
      </c>
      <c r="E56" s="19" t="s">
        <v>86</v>
      </c>
      <c r="F56" s="19" t="s">
        <v>611</v>
      </c>
      <c r="G56" s="257"/>
      <c r="H56" s="10"/>
      <c r="I56" s="11"/>
      <c r="J56" s="11"/>
      <c r="K56" s="11"/>
      <c r="L56" s="11"/>
      <c r="M56" s="11"/>
      <c r="N56" s="11"/>
      <c r="O56" s="12"/>
      <c r="P56" s="11"/>
      <c r="Q56" s="13"/>
      <c r="R56" s="14"/>
    </row>
    <row r="57" spans="1:18" ht="15" customHeight="1" thickBot="1" x14ac:dyDescent="0.35">
      <c r="A57" s="39" t="s">
        <v>52</v>
      </c>
      <c r="B57" s="39" t="s">
        <v>613</v>
      </c>
      <c r="C57" s="40">
        <v>0.62847222222222221</v>
      </c>
      <c r="D57" s="39" t="s">
        <v>57</v>
      </c>
      <c r="E57" s="39" t="s">
        <v>86</v>
      </c>
      <c r="F57" s="39" t="s">
        <v>611</v>
      </c>
      <c r="G57" s="258"/>
      <c r="H57" s="41"/>
      <c r="I57" s="42"/>
      <c r="J57" s="42"/>
      <c r="K57" s="42"/>
      <c r="L57" s="42"/>
      <c r="M57" s="42"/>
      <c r="N57" s="42"/>
      <c r="O57" s="43"/>
      <c r="P57" s="42"/>
      <c r="Q57" s="44"/>
      <c r="R57" s="45"/>
    </row>
    <row r="58" spans="1:18" ht="17.399999999999999" customHeight="1" thickBot="1" x14ac:dyDescent="0.35">
      <c r="A58" s="285"/>
      <c r="B58" s="286"/>
      <c r="C58" s="286"/>
      <c r="D58" s="286"/>
      <c r="E58" s="286"/>
      <c r="F58" s="286"/>
      <c r="G58" s="286"/>
      <c r="H58" s="286"/>
      <c r="I58" s="286"/>
      <c r="J58" s="286"/>
      <c r="K58" s="286"/>
      <c r="L58" s="286"/>
      <c r="M58" s="286"/>
      <c r="N58" s="286"/>
      <c r="O58" s="286"/>
      <c r="P58" s="286"/>
      <c r="Q58" s="286"/>
      <c r="R58" s="287"/>
    </row>
    <row r="59" spans="1:18" ht="22.05" customHeight="1" thickTop="1" thickBot="1" x14ac:dyDescent="0.35">
      <c r="A59" s="259" t="s">
        <v>6</v>
      </c>
      <c r="B59" s="251"/>
      <c r="C59" s="251"/>
      <c r="D59" s="251"/>
      <c r="E59" s="251"/>
      <c r="F59" s="252"/>
      <c r="G59" s="31">
        <v>45982</v>
      </c>
      <c r="H59" s="250" t="s">
        <v>7</v>
      </c>
      <c r="I59" s="251"/>
      <c r="J59" s="251"/>
      <c r="K59" s="251"/>
      <c r="L59" s="251"/>
      <c r="M59" s="251"/>
      <c r="N59" s="251"/>
      <c r="O59" s="251"/>
      <c r="P59" s="251"/>
      <c r="Q59" s="251"/>
      <c r="R59" s="252"/>
    </row>
    <row r="60" spans="1:18" ht="24" customHeight="1" x14ac:dyDescent="0.3">
      <c r="A60" s="32" t="s">
        <v>8</v>
      </c>
      <c r="B60" s="32" t="s">
        <v>9</v>
      </c>
      <c r="C60" s="33" t="s">
        <v>10</v>
      </c>
      <c r="D60" s="32" t="s">
        <v>11</v>
      </c>
      <c r="E60" s="32" t="s">
        <v>12</v>
      </c>
      <c r="F60" s="34" t="s">
        <v>13</v>
      </c>
      <c r="G60" s="35" t="s">
        <v>14</v>
      </c>
      <c r="H60" s="32" t="s">
        <v>15</v>
      </c>
      <c r="I60" s="36" t="s">
        <v>16</v>
      </c>
      <c r="J60" s="37" t="s">
        <v>17</v>
      </c>
      <c r="K60" s="38" t="s">
        <v>18</v>
      </c>
      <c r="L60" s="37" t="s">
        <v>19</v>
      </c>
      <c r="M60" s="37" t="s">
        <v>20</v>
      </c>
      <c r="N60" s="37" t="s">
        <v>21</v>
      </c>
      <c r="O60" s="32" t="s">
        <v>22</v>
      </c>
      <c r="P60" s="33" t="s">
        <v>23</v>
      </c>
      <c r="Q60" s="37" t="s">
        <v>24</v>
      </c>
      <c r="R60" s="32" t="s">
        <v>25</v>
      </c>
    </row>
    <row r="61" spans="1:18" ht="15" customHeight="1" x14ac:dyDescent="0.3">
      <c r="A61" s="8" t="s">
        <v>26</v>
      </c>
      <c r="B61" s="8" t="s">
        <v>555</v>
      </c>
      <c r="C61" s="9">
        <v>0.57638888888888895</v>
      </c>
      <c r="D61" s="8" t="s">
        <v>28</v>
      </c>
      <c r="E61" s="8" t="s">
        <v>269</v>
      </c>
      <c r="F61" s="8" t="s">
        <v>557</v>
      </c>
      <c r="G61" s="256"/>
      <c r="H61" s="10"/>
      <c r="I61" s="11"/>
      <c r="J61" s="11"/>
      <c r="K61" s="11"/>
      <c r="L61" s="11"/>
      <c r="M61" s="11"/>
      <c r="N61" s="11"/>
      <c r="O61" s="12"/>
      <c r="P61" s="11"/>
      <c r="Q61" s="13"/>
      <c r="R61" s="14"/>
    </row>
    <row r="62" spans="1:18" ht="15" customHeight="1" x14ac:dyDescent="0.3">
      <c r="A62" s="15" t="s">
        <v>26</v>
      </c>
      <c r="B62" s="15" t="s">
        <v>555</v>
      </c>
      <c r="C62" s="16">
        <v>0.57638888888888895</v>
      </c>
      <c r="D62" s="15" t="s">
        <v>31</v>
      </c>
      <c r="E62" s="15" t="s">
        <v>236</v>
      </c>
      <c r="F62" s="15" t="s">
        <v>208</v>
      </c>
      <c r="G62" s="257"/>
      <c r="H62" s="10"/>
      <c r="I62" s="11"/>
      <c r="J62" s="11"/>
      <c r="K62" s="11"/>
      <c r="L62" s="11"/>
      <c r="M62" s="11"/>
      <c r="N62" s="11"/>
      <c r="O62" s="12"/>
      <c r="P62" s="11"/>
      <c r="Q62" s="13"/>
      <c r="R62" s="14"/>
    </row>
    <row r="63" spans="1:18" ht="15" customHeight="1" x14ac:dyDescent="0.3">
      <c r="A63" s="15" t="s">
        <v>26</v>
      </c>
      <c r="B63" s="15" t="s">
        <v>555</v>
      </c>
      <c r="C63" s="16">
        <v>0.57638888888888895</v>
      </c>
      <c r="D63" s="15" t="s">
        <v>34</v>
      </c>
      <c r="E63" s="15" t="s">
        <v>236</v>
      </c>
      <c r="F63" s="15" t="s">
        <v>559</v>
      </c>
      <c r="G63" s="257"/>
      <c r="H63" s="10"/>
      <c r="I63" s="11"/>
      <c r="J63" s="11"/>
      <c r="K63" s="11"/>
      <c r="L63" s="11"/>
      <c r="M63" s="11"/>
      <c r="N63" s="11"/>
      <c r="O63" s="12"/>
      <c r="P63" s="11"/>
      <c r="Q63" s="13"/>
      <c r="R63" s="14"/>
    </row>
    <row r="64" spans="1:18" ht="15" customHeight="1" x14ac:dyDescent="0.3">
      <c r="A64" s="19" t="s">
        <v>26</v>
      </c>
      <c r="B64" s="19" t="s">
        <v>560</v>
      </c>
      <c r="C64" s="20">
        <v>0.62847222222222221</v>
      </c>
      <c r="D64" s="19" t="s">
        <v>28</v>
      </c>
      <c r="E64" s="19" t="s">
        <v>614</v>
      </c>
      <c r="F64" s="19" t="s">
        <v>557</v>
      </c>
      <c r="G64" s="257"/>
      <c r="H64" s="10"/>
      <c r="I64" s="11"/>
      <c r="J64" s="11"/>
      <c r="K64" s="11"/>
      <c r="L64" s="11"/>
      <c r="M64" s="11"/>
      <c r="N64" s="11"/>
      <c r="O64" s="12"/>
      <c r="P64" s="11"/>
      <c r="Q64" s="13"/>
      <c r="R64" s="14"/>
    </row>
    <row r="65" spans="1:18" ht="15" customHeight="1" x14ac:dyDescent="0.3">
      <c r="A65" s="15" t="s">
        <v>26</v>
      </c>
      <c r="B65" s="15" t="s">
        <v>560</v>
      </c>
      <c r="C65" s="16">
        <v>0.62847222222222221</v>
      </c>
      <c r="D65" s="15" t="s">
        <v>31</v>
      </c>
      <c r="E65" s="15" t="s">
        <v>615</v>
      </c>
      <c r="F65" s="15" t="s">
        <v>208</v>
      </c>
      <c r="G65" s="257"/>
      <c r="H65" s="10"/>
      <c r="I65" s="11"/>
      <c r="J65" s="11"/>
      <c r="K65" s="11"/>
      <c r="L65" s="11"/>
      <c r="M65" s="11"/>
      <c r="N65" s="11"/>
      <c r="O65" s="12"/>
      <c r="P65" s="11"/>
      <c r="Q65" s="13"/>
      <c r="R65" s="14"/>
    </row>
    <row r="66" spans="1:18" ht="15" customHeight="1" x14ac:dyDescent="0.3">
      <c r="A66" s="15" t="s">
        <v>26</v>
      </c>
      <c r="B66" s="15" t="s">
        <v>560</v>
      </c>
      <c r="C66" s="16">
        <v>0.62847222222222221</v>
      </c>
      <c r="D66" s="15" t="s">
        <v>34</v>
      </c>
      <c r="E66" s="15" t="s">
        <v>615</v>
      </c>
      <c r="F66" s="15" t="s">
        <v>559</v>
      </c>
      <c r="G66" s="257"/>
      <c r="H66" s="10"/>
      <c r="I66" s="11"/>
      <c r="J66" s="11"/>
      <c r="K66" s="11"/>
      <c r="L66" s="11"/>
      <c r="M66" s="11"/>
      <c r="N66" s="11"/>
      <c r="O66" s="12"/>
      <c r="P66" s="11"/>
      <c r="Q66" s="13"/>
      <c r="R66" s="14"/>
    </row>
    <row r="67" spans="1:18" ht="15" customHeight="1" x14ac:dyDescent="0.3">
      <c r="A67" s="19" t="s">
        <v>26</v>
      </c>
      <c r="B67" s="19" t="s">
        <v>563</v>
      </c>
      <c r="C67" s="20">
        <v>0.88888888888888884</v>
      </c>
      <c r="D67" s="19" t="s">
        <v>28</v>
      </c>
      <c r="E67" s="19" t="s">
        <v>616</v>
      </c>
      <c r="F67" s="19" t="s">
        <v>617</v>
      </c>
      <c r="G67" s="257"/>
      <c r="H67" s="10"/>
      <c r="I67" s="11"/>
      <c r="J67" s="11"/>
      <c r="K67" s="11"/>
      <c r="L67" s="11"/>
      <c r="M67" s="11"/>
      <c r="N67" s="11"/>
      <c r="O67" s="12"/>
      <c r="P67" s="11"/>
      <c r="Q67" s="13"/>
      <c r="R67" s="14"/>
    </row>
    <row r="68" spans="1:18" ht="15" customHeight="1" x14ac:dyDescent="0.3">
      <c r="A68" s="15" t="s">
        <v>26</v>
      </c>
      <c r="B68" s="15" t="s">
        <v>563</v>
      </c>
      <c r="C68" s="16">
        <v>0.88888888888888884</v>
      </c>
      <c r="D68" s="15" t="s">
        <v>31</v>
      </c>
      <c r="E68" s="15" t="s">
        <v>618</v>
      </c>
      <c r="F68" s="15" t="s">
        <v>213</v>
      </c>
      <c r="G68" s="257"/>
      <c r="H68" s="10"/>
      <c r="I68" s="11"/>
      <c r="J68" s="11"/>
      <c r="K68" s="11"/>
      <c r="L68" s="11"/>
      <c r="M68" s="11"/>
      <c r="N68" s="11"/>
      <c r="O68" s="12"/>
      <c r="P68" s="11"/>
      <c r="Q68" s="13"/>
      <c r="R68" s="14"/>
    </row>
    <row r="69" spans="1:18" ht="15" customHeight="1" x14ac:dyDescent="0.3">
      <c r="A69" s="15" t="s">
        <v>26</v>
      </c>
      <c r="B69" s="15" t="s">
        <v>563</v>
      </c>
      <c r="C69" s="16">
        <v>0.88888888888888884</v>
      </c>
      <c r="D69" s="15" t="s">
        <v>34</v>
      </c>
      <c r="E69" s="15" t="s">
        <v>618</v>
      </c>
      <c r="F69" s="15" t="s">
        <v>559</v>
      </c>
      <c r="G69" s="257"/>
      <c r="H69" s="10"/>
      <c r="I69" s="11"/>
      <c r="J69" s="11"/>
      <c r="K69" s="11"/>
      <c r="L69" s="11"/>
      <c r="M69" s="11"/>
      <c r="N69" s="11"/>
      <c r="O69" s="12"/>
      <c r="P69" s="11"/>
      <c r="Q69" s="13"/>
      <c r="R69" s="14"/>
    </row>
    <row r="70" spans="1:18" ht="15" customHeight="1" x14ac:dyDescent="0.3">
      <c r="A70" s="19" t="s">
        <v>26</v>
      </c>
      <c r="B70" s="19" t="s">
        <v>566</v>
      </c>
      <c r="C70" s="20">
        <v>0.94444444444444453</v>
      </c>
      <c r="D70" s="19" t="s">
        <v>28</v>
      </c>
      <c r="E70" s="19" t="s">
        <v>619</v>
      </c>
      <c r="F70" s="19" t="s">
        <v>617</v>
      </c>
      <c r="G70" s="257"/>
      <c r="H70" s="10"/>
      <c r="I70" s="11"/>
      <c r="J70" s="11"/>
      <c r="K70" s="11"/>
      <c r="L70" s="11"/>
      <c r="M70" s="11"/>
      <c r="N70" s="11"/>
      <c r="O70" s="12"/>
      <c r="P70" s="11"/>
      <c r="Q70" s="13"/>
      <c r="R70" s="14"/>
    </row>
    <row r="71" spans="1:18" ht="15" customHeight="1" x14ac:dyDescent="0.3">
      <c r="A71" s="15" t="s">
        <v>26</v>
      </c>
      <c r="B71" s="15" t="s">
        <v>566</v>
      </c>
      <c r="C71" s="16">
        <v>0.94444444444444453</v>
      </c>
      <c r="D71" s="15" t="s">
        <v>31</v>
      </c>
      <c r="E71" s="15" t="s">
        <v>620</v>
      </c>
      <c r="F71" s="15" t="s">
        <v>213</v>
      </c>
      <c r="G71" s="257"/>
      <c r="H71" s="10"/>
      <c r="I71" s="11"/>
      <c r="J71" s="11"/>
      <c r="K71" s="11"/>
      <c r="L71" s="11"/>
      <c r="M71" s="11"/>
      <c r="N71" s="11"/>
      <c r="O71" s="12"/>
      <c r="P71" s="11"/>
      <c r="Q71" s="13"/>
      <c r="R71" s="14"/>
    </row>
    <row r="72" spans="1:18" ht="15" customHeight="1" x14ac:dyDescent="0.3">
      <c r="A72" s="15" t="s">
        <v>26</v>
      </c>
      <c r="B72" s="15" t="s">
        <v>566</v>
      </c>
      <c r="C72" s="16">
        <v>0.94444444444444453</v>
      </c>
      <c r="D72" s="15" t="s">
        <v>34</v>
      </c>
      <c r="E72" s="15" t="s">
        <v>620</v>
      </c>
      <c r="F72" s="15" t="s">
        <v>559</v>
      </c>
      <c r="G72" s="257"/>
      <c r="H72" s="10"/>
      <c r="I72" s="11"/>
      <c r="J72" s="11"/>
      <c r="K72" s="11"/>
      <c r="L72" s="11"/>
      <c r="M72" s="11"/>
      <c r="N72" s="11"/>
      <c r="O72" s="12"/>
      <c r="P72" s="11"/>
      <c r="Q72" s="13"/>
      <c r="R72" s="14"/>
    </row>
    <row r="73" spans="1:18" ht="15" customHeight="1" x14ac:dyDescent="0.3">
      <c r="A73" s="17" t="s">
        <v>36</v>
      </c>
      <c r="B73" s="17" t="s">
        <v>577</v>
      </c>
      <c r="C73" s="18">
        <v>0.4375</v>
      </c>
      <c r="D73" s="17" t="s">
        <v>38</v>
      </c>
      <c r="E73" s="17" t="s">
        <v>101</v>
      </c>
      <c r="F73" s="17" t="s">
        <v>578</v>
      </c>
      <c r="G73" s="257"/>
      <c r="H73" s="10"/>
      <c r="I73" s="11"/>
      <c r="J73" s="11"/>
      <c r="K73" s="11"/>
      <c r="L73" s="11"/>
      <c r="M73" s="11"/>
      <c r="N73" s="11"/>
      <c r="O73" s="12"/>
      <c r="P73" s="11"/>
      <c r="Q73" s="13"/>
      <c r="R73" s="14"/>
    </row>
    <row r="74" spans="1:18" ht="15" customHeight="1" x14ac:dyDescent="0.3">
      <c r="A74" s="15" t="s">
        <v>36</v>
      </c>
      <c r="B74" s="15" t="s">
        <v>577</v>
      </c>
      <c r="C74" s="16">
        <v>0.4375</v>
      </c>
      <c r="D74" s="15" t="s">
        <v>41</v>
      </c>
      <c r="E74" s="15" t="s">
        <v>319</v>
      </c>
      <c r="F74" s="15" t="s">
        <v>579</v>
      </c>
      <c r="G74" s="257"/>
      <c r="H74" s="10"/>
      <c r="I74" s="11"/>
      <c r="J74" s="11"/>
      <c r="K74" s="11"/>
      <c r="L74" s="11"/>
      <c r="M74" s="11"/>
      <c r="N74" s="11"/>
      <c r="O74" s="12"/>
      <c r="P74" s="11"/>
      <c r="Q74" s="13"/>
      <c r="R74" s="14"/>
    </row>
    <row r="75" spans="1:18" ht="15" customHeight="1" x14ac:dyDescent="0.3">
      <c r="A75" s="15" t="s">
        <v>36</v>
      </c>
      <c r="B75" s="15" t="s">
        <v>577</v>
      </c>
      <c r="C75" s="16">
        <v>0.4375</v>
      </c>
      <c r="D75" s="15" t="s">
        <v>44</v>
      </c>
      <c r="E75" s="15" t="s">
        <v>319</v>
      </c>
      <c r="F75" s="15" t="s">
        <v>30</v>
      </c>
      <c r="G75" s="257"/>
      <c r="H75" s="10"/>
      <c r="I75" s="11"/>
      <c r="J75" s="11"/>
      <c r="K75" s="11"/>
      <c r="L75" s="11"/>
      <c r="M75" s="11"/>
      <c r="N75" s="11"/>
      <c r="O75" s="12"/>
      <c r="P75" s="11"/>
      <c r="Q75" s="13"/>
      <c r="R75" s="14"/>
    </row>
    <row r="76" spans="1:18" ht="15" customHeight="1" x14ac:dyDescent="0.3">
      <c r="A76" s="19" t="s">
        <v>36</v>
      </c>
      <c r="B76" s="19" t="s">
        <v>574</v>
      </c>
      <c r="C76" s="20">
        <v>0.55902777777777779</v>
      </c>
      <c r="D76" s="19" t="s">
        <v>38</v>
      </c>
      <c r="E76" s="19" t="s">
        <v>288</v>
      </c>
      <c r="F76" s="19" t="s">
        <v>578</v>
      </c>
      <c r="G76" s="257"/>
      <c r="H76" s="10"/>
      <c r="I76" s="11"/>
      <c r="J76" s="11"/>
      <c r="K76" s="11"/>
      <c r="L76" s="11"/>
      <c r="M76" s="11"/>
      <c r="N76" s="11"/>
      <c r="O76" s="12"/>
      <c r="P76" s="11"/>
      <c r="Q76" s="13"/>
      <c r="R76" s="14"/>
    </row>
    <row r="77" spans="1:18" ht="15" customHeight="1" x14ac:dyDescent="0.3">
      <c r="A77" s="15" t="s">
        <v>36</v>
      </c>
      <c r="B77" s="15" t="s">
        <v>574</v>
      </c>
      <c r="C77" s="16">
        <v>0.55902777777777779</v>
      </c>
      <c r="D77" s="15" t="s">
        <v>41</v>
      </c>
      <c r="E77" s="15" t="s">
        <v>621</v>
      </c>
      <c r="F77" s="15" t="s">
        <v>579</v>
      </c>
      <c r="G77" s="257"/>
      <c r="H77" s="10"/>
      <c r="I77" s="11"/>
      <c r="J77" s="11"/>
      <c r="K77" s="11"/>
      <c r="L77" s="11"/>
      <c r="M77" s="11"/>
      <c r="N77" s="11"/>
      <c r="O77" s="12"/>
      <c r="P77" s="11"/>
      <c r="Q77" s="13"/>
      <c r="R77" s="14"/>
    </row>
    <row r="78" spans="1:18" ht="15" customHeight="1" x14ac:dyDescent="0.3">
      <c r="A78" s="15" t="s">
        <v>36</v>
      </c>
      <c r="B78" s="15" t="s">
        <v>574</v>
      </c>
      <c r="C78" s="16">
        <v>0.55902777777777779</v>
      </c>
      <c r="D78" s="15" t="s">
        <v>44</v>
      </c>
      <c r="E78" s="15" t="s">
        <v>621</v>
      </c>
      <c r="F78" s="15" t="s">
        <v>30</v>
      </c>
      <c r="G78" s="257"/>
      <c r="H78" s="10"/>
      <c r="I78" s="11"/>
      <c r="J78" s="11"/>
      <c r="K78" s="11"/>
      <c r="L78" s="11"/>
      <c r="M78" s="11"/>
      <c r="N78" s="11"/>
      <c r="O78" s="12"/>
      <c r="P78" s="11"/>
      <c r="Q78" s="13"/>
      <c r="R78" s="14"/>
    </row>
    <row r="79" spans="1:18" ht="15" customHeight="1" x14ac:dyDescent="0.3">
      <c r="A79" s="19" t="s">
        <v>36</v>
      </c>
      <c r="B79" s="19" t="s">
        <v>580</v>
      </c>
      <c r="C79" s="20">
        <v>0.50694444444444442</v>
      </c>
      <c r="D79" s="19" t="s">
        <v>38</v>
      </c>
      <c r="E79" s="19" t="s">
        <v>288</v>
      </c>
      <c r="F79" s="19" t="s">
        <v>578</v>
      </c>
      <c r="G79" s="257"/>
      <c r="H79" s="10"/>
      <c r="I79" s="11"/>
      <c r="J79" s="11"/>
      <c r="K79" s="11"/>
      <c r="L79" s="11"/>
      <c r="M79" s="11"/>
      <c r="N79" s="11"/>
      <c r="O79" s="12"/>
      <c r="P79" s="11"/>
      <c r="Q79" s="13"/>
      <c r="R79" s="14"/>
    </row>
    <row r="80" spans="1:18" ht="15" customHeight="1" x14ac:dyDescent="0.3">
      <c r="A80" s="15" t="s">
        <v>36</v>
      </c>
      <c r="B80" s="15" t="s">
        <v>580</v>
      </c>
      <c r="C80" s="16">
        <v>0.50694444444444442</v>
      </c>
      <c r="D80" s="15" t="s">
        <v>41</v>
      </c>
      <c r="E80" s="15" t="s">
        <v>621</v>
      </c>
      <c r="F80" s="15" t="s">
        <v>579</v>
      </c>
      <c r="G80" s="257"/>
      <c r="H80" s="10"/>
      <c r="I80" s="11"/>
      <c r="J80" s="11"/>
      <c r="K80" s="11"/>
      <c r="L80" s="11"/>
      <c r="M80" s="11"/>
      <c r="N80" s="11"/>
      <c r="O80" s="12"/>
      <c r="P80" s="11"/>
      <c r="Q80" s="13"/>
      <c r="R80" s="14"/>
    </row>
    <row r="81" spans="1:18" ht="15" customHeight="1" x14ac:dyDescent="0.3">
      <c r="A81" s="15" t="s">
        <v>36</v>
      </c>
      <c r="B81" s="15" t="s">
        <v>580</v>
      </c>
      <c r="C81" s="16">
        <v>0.50694444444444442</v>
      </c>
      <c r="D81" s="15" t="s">
        <v>44</v>
      </c>
      <c r="E81" s="15" t="s">
        <v>621</v>
      </c>
      <c r="F81" s="15" t="s">
        <v>30</v>
      </c>
      <c r="G81" s="257"/>
      <c r="H81" s="10"/>
      <c r="I81" s="11"/>
      <c r="J81" s="11"/>
      <c r="K81" s="11"/>
      <c r="L81" s="11"/>
      <c r="M81" s="11"/>
      <c r="N81" s="11"/>
      <c r="O81" s="12"/>
      <c r="P81" s="11"/>
      <c r="Q81" s="13"/>
      <c r="R81" s="14"/>
    </row>
    <row r="82" spans="1:18" ht="15" customHeight="1" x14ac:dyDescent="0.3">
      <c r="A82" s="19" t="s">
        <v>36</v>
      </c>
      <c r="B82" s="19" t="s">
        <v>576</v>
      </c>
      <c r="C82" s="20">
        <v>0.69791666666666663</v>
      </c>
      <c r="D82" s="19" t="s">
        <v>38</v>
      </c>
      <c r="E82" s="19" t="s">
        <v>235</v>
      </c>
      <c r="F82" s="19" t="s">
        <v>578</v>
      </c>
      <c r="G82" s="257"/>
      <c r="H82" s="10"/>
      <c r="I82" s="11"/>
      <c r="J82" s="11"/>
      <c r="K82" s="11"/>
      <c r="L82" s="11"/>
      <c r="M82" s="11"/>
      <c r="N82" s="11"/>
      <c r="O82" s="12"/>
      <c r="P82" s="11"/>
      <c r="Q82" s="13"/>
      <c r="R82" s="14"/>
    </row>
    <row r="83" spans="1:18" ht="15" customHeight="1" x14ac:dyDescent="0.3">
      <c r="A83" s="15" t="s">
        <v>36</v>
      </c>
      <c r="B83" s="15" t="s">
        <v>576</v>
      </c>
      <c r="C83" s="16">
        <v>0.69791666666666663</v>
      </c>
      <c r="D83" s="15" t="s">
        <v>41</v>
      </c>
      <c r="E83" s="15" t="s">
        <v>236</v>
      </c>
      <c r="F83" s="15" t="s">
        <v>579</v>
      </c>
      <c r="G83" s="257"/>
      <c r="H83" s="10"/>
      <c r="I83" s="11"/>
      <c r="J83" s="11"/>
      <c r="K83" s="11"/>
      <c r="L83" s="11"/>
      <c r="M83" s="11"/>
      <c r="N83" s="11"/>
      <c r="O83" s="12"/>
      <c r="P83" s="11"/>
      <c r="Q83" s="13"/>
      <c r="R83" s="14"/>
    </row>
    <row r="84" spans="1:18" ht="15" customHeight="1" x14ac:dyDescent="0.3">
      <c r="A84" s="15" t="s">
        <v>36</v>
      </c>
      <c r="B84" s="15" t="s">
        <v>576</v>
      </c>
      <c r="C84" s="16">
        <v>0.69791666666666663</v>
      </c>
      <c r="D84" s="15" t="s">
        <v>44</v>
      </c>
      <c r="E84" s="15" t="s">
        <v>236</v>
      </c>
      <c r="F84" s="15" t="s">
        <v>30</v>
      </c>
      <c r="G84" s="257"/>
      <c r="H84" s="10"/>
      <c r="I84" s="11"/>
      <c r="J84" s="11"/>
      <c r="K84" s="11"/>
      <c r="L84" s="11"/>
      <c r="M84" s="11"/>
      <c r="N84" s="11"/>
      <c r="O84" s="12"/>
      <c r="P84" s="11"/>
      <c r="Q84" s="13"/>
      <c r="R84" s="14"/>
    </row>
    <row r="85" spans="1:18" ht="15" customHeight="1" x14ac:dyDescent="0.3">
      <c r="A85" s="19" t="s">
        <v>36</v>
      </c>
      <c r="B85" s="19" t="s">
        <v>569</v>
      </c>
      <c r="C85" s="20">
        <v>0.95833333333333337</v>
      </c>
      <c r="D85" s="19" t="s">
        <v>38</v>
      </c>
      <c r="E85" s="19" t="s">
        <v>47</v>
      </c>
      <c r="F85" s="19" t="s">
        <v>622</v>
      </c>
      <c r="G85" s="257"/>
      <c r="H85" s="10"/>
      <c r="I85" s="11"/>
      <c r="J85" s="11"/>
      <c r="K85" s="11"/>
      <c r="L85" s="11"/>
      <c r="M85" s="11"/>
      <c r="N85" s="11"/>
      <c r="O85" s="12"/>
      <c r="P85" s="11"/>
      <c r="Q85" s="13"/>
      <c r="R85" s="14"/>
    </row>
    <row r="86" spans="1:18" ht="15" customHeight="1" x14ac:dyDescent="0.3">
      <c r="A86" s="15" t="s">
        <v>36</v>
      </c>
      <c r="B86" s="15" t="s">
        <v>569</v>
      </c>
      <c r="C86" s="16">
        <v>0.95833333333333337</v>
      </c>
      <c r="D86" s="15" t="s">
        <v>41</v>
      </c>
      <c r="E86" s="15" t="s">
        <v>49</v>
      </c>
      <c r="F86" s="15" t="s">
        <v>572</v>
      </c>
      <c r="G86" s="257"/>
      <c r="H86" s="10"/>
      <c r="I86" s="11"/>
      <c r="J86" s="11"/>
      <c r="K86" s="11"/>
      <c r="L86" s="11"/>
      <c r="M86" s="11"/>
      <c r="N86" s="11"/>
      <c r="O86" s="12"/>
      <c r="P86" s="11"/>
      <c r="Q86" s="13"/>
      <c r="R86" s="14"/>
    </row>
    <row r="87" spans="1:18" ht="15" customHeight="1" x14ac:dyDescent="0.3">
      <c r="A87" s="15" t="s">
        <v>36</v>
      </c>
      <c r="B87" s="15" t="s">
        <v>569</v>
      </c>
      <c r="C87" s="16">
        <v>0.95833333333333337</v>
      </c>
      <c r="D87" s="15" t="s">
        <v>44</v>
      </c>
      <c r="E87" s="15" t="s">
        <v>49</v>
      </c>
      <c r="F87" s="15" t="s">
        <v>210</v>
      </c>
      <c r="G87" s="257"/>
      <c r="H87" s="10"/>
      <c r="I87" s="11"/>
      <c r="J87" s="11"/>
      <c r="K87" s="11"/>
      <c r="L87" s="11"/>
      <c r="M87" s="11"/>
      <c r="N87" s="11"/>
      <c r="O87" s="12"/>
      <c r="P87" s="11"/>
      <c r="Q87" s="13"/>
      <c r="R87" s="14"/>
    </row>
    <row r="88" spans="1:18" ht="15" customHeight="1" x14ac:dyDescent="0.3">
      <c r="A88" s="19" t="s">
        <v>36</v>
      </c>
      <c r="B88" s="19" t="s">
        <v>573</v>
      </c>
      <c r="C88" s="20">
        <v>0.63194444444444442</v>
      </c>
      <c r="D88" s="19" t="s">
        <v>38</v>
      </c>
      <c r="E88" s="19" t="s">
        <v>217</v>
      </c>
      <c r="F88" s="19" t="s">
        <v>622</v>
      </c>
      <c r="G88" s="257"/>
      <c r="H88" s="10"/>
      <c r="I88" s="11"/>
      <c r="J88" s="11"/>
      <c r="K88" s="11"/>
      <c r="L88" s="11"/>
      <c r="M88" s="11"/>
      <c r="N88" s="11"/>
      <c r="O88" s="12"/>
      <c r="P88" s="11"/>
      <c r="Q88" s="13"/>
      <c r="R88" s="14"/>
    </row>
    <row r="89" spans="1:18" ht="15" customHeight="1" x14ac:dyDescent="0.3">
      <c r="A89" s="15" t="s">
        <v>36</v>
      </c>
      <c r="B89" s="15" t="s">
        <v>573</v>
      </c>
      <c r="C89" s="16">
        <v>0.63194444444444442</v>
      </c>
      <c r="D89" s="15" t="s">
        <v>41</v>
      </c>
      <c r="E89" s="15" t="s">
        <v>42</v>
      </c>
      <c r="F89" s="15" t="s">
        <v>572</v>
      </c>
      <c r="G89" s="257"/>
      <c r="H89" s="10"/>
      <c r="I89" s="11"/>
      <c r="J89" s="11"/>
      <c r="K89" s="11"/>
      <c r="L89" s="11"/>
      <c r="M89" s="11"/>
      <c r="N89" s="11"/>
      <c r="O89" s="12"/>
      <c r="P89" s="11"/>
      <c r="Q89" s="13"/>
      <c r="R89" s="14"/>
    </row>
    <row r="90" spans="1:18" ht="15" customHeight="1" x14ac:dyDescent="0.3">
      <c r="A90" s="15" t="s">
        <v>36</v>
      </c>
      <c r="B90" s="15" t="s">
        <v>573</v>
      </c>
      <c r="C90" s="16">
        <v>0.63194444444444442</v>
      </c>
      <c r="D90" s="15" t="s">
        <v>44</v>
      </c>
      <c r="E90" s="15" t="s">
        <v>42</v>
      </c>
      <c r="F90" s="15" t="s">
        <v>210</v>
      </c>
      <c r="G90" s="257"/>
      <c r="H90" s="10"/>
      <c r="I90" s="11"/>
      <c r="J90" s="11"/>
      <c r="K90" s="11"/>
      <c r="L90" s="11"/>
      <c r="M90" s="11"/>
      <c r="N90" s="11"/>
      <c r="O90" s="12"/>
      <c r="P90" s="11"/>
      <c r="Q90" s="13"/>
      <c r="R90" s="14"/>
    </row>
    <row r="91" spans="1:18" ht="15" customHeight="1" x14ac:dyDescent="0.3">
      <c r="A91" s="19" t="s">
        <v>36</v>
      </c>
      <c r="B91" s="19" t="s">
        <v>575</v>
      </c>
      <c r="C91" s="20">
        <v>0.81944444444444453</v>
      </c>
      <c r="D91" s="19" t="s">
        <v>38</v>
      </c>
      <c r="E91" s="19" t="s">
        <v>217</v>
      </c>
      <c r="F91" s="19" t="s">
        <v>622</v>
      </c>
      <c r="G91" s="257"/>
      <c r="H91" s="10"/>
      <c r="I91" s="11"/>
      <c r="J91" s="11"/>
      <c r="K91" s="11"/>
      <c r="L91" s="11"/>
      <c r="M91" s="11"/>
      <c r="N91" s="11"/>
      <c r="O91" s="12"/>
      <c r="P91" s="11"/>
      <c r="Q91" s="13"/>
      <c r="R91" s="14"/>
    </row>
    <row r="92" spans="1:18" ht="15" customHeight="1" x14ac:dyDescent="0.3">
      <c r="A92" s="15" t="s">
        <v>36</v>
      </c>
      <c r="B92" s="15" t="s">
        <v>575</v>
      </c>
      <c r="C92" s="16">
        <v>0.81944444444444453</v>
      </c>
      <c r="D92" s="15" t="s">
        <v>41</v>
      </c>
      <c r="E92" s="15" t="s">
        <v>42</v>
      </c>
      <c r="F92" s="15" t="s">
        <v>572</v>
      </c>
      <c r="G92" s="257"/>
      <c r="H92" s="10"/>
      <c r="I92" s="11"/>
      <c r="J92" s="11"/>
      <c r="K92" s="11"/>
      <c r="L92" s="11"/>
      <c r="M92" s="11"/>
      <c r="N92" s="11"/>
      <c r="O92" s="12"/>
      <c r="P92" s="11"/>
      <c r="Q92" s="13"/>
      <c r="R92" s="14"/>
    </row>
    <row r="93" spans="1:18" ht="15" customHeight="1" x14ac:dyDescent="0.3">
      <c r="A93" s="15" t="s">
        <v>36</v>
      </c>
      <c r="B93" s="15" t="s">
        <v>575</v>
      </c>
      <c r="C93" s="16">
        <v>0.81944444444444453</v>
      </c>
      <c r="D93" s="15" t="s">
        <v>44</v>
      </c>
      <c r="E93" s="15" t="s">
        <v>42</v>
      </c>
      <c r="F93" s="15" t="s">
        <v>210</v>
      </c>
      <c r="G93" s="257"/>
      <c r="H93" s="10"/>
      <c r="I93" s="11"/>
      <c r="J93" s="11"/>
      <c r="K93" s="11"/>
      <c r="L93" s="11"/>
      <c r="M93" s="11"/>
      <c r="N93" s="11"/>
      <c r="O93" s="12"/>
      <c r="P93" s="11"/>
      <c r="Q93" s="13"/>
      <c r="R93" s="14"/>
    </row>
    <row r="94" spans="1:18" ht="15" customHeight="1" x14ac:dyDescent="0.3">
      <c r="A94" s="17" t="s">
        <v>239</v>
      </c>
      <c r="B94" s="17" t="s">
        <v>581</v>
      </c>
      <c r="C94" s="18">
        <v>0.21180555555555561</v>
      </c>
      <c r="D94" s="17" t="s">
        <v>100</v>
      </c>
      <c r="E94" s="17" t="s">
        <v>55</v>
      </c>
      <c r="F94" s="17" t="s">
        <v>585</v>
      </c>
      <c r="G94" s="257"/>
      <c r="H94" s="10"/>
      <c r="I94" s="11"/>
      <c r="J94" s="11"/>
      <c r="K94" s="11"/>
      <c r="L94" s="11"/>
      <c r="M94" s="11"/>
      <c r="N94" s="11"/>
      <c r="O94" s="12"/>
      <c r="P94" s="11"/>
      <c r="Q94" s="13"/>
      <c r="R94" s="14"/>
    </row>
    <row r="95" spans="1:18" ht="15" customHeight="1" x14ac:dyDescent="0.3">
      <c r="A95" s="17" t="s">
        <v>586</v>
      </c>
      <c r="B95" s="17" t="s">
        <v>587</v>
      </c>
      <c r="C95" s="18">
        <v>9.0277777777777776E-2</v>
      </c>
      <c r="D95" s="17" t="s">
        <v>100</v>
      </c>
      <c r="E95" s="17" t="s">
        <v>55</v>
      </c>
      <c r="F95" s="17" t="s">
        <v>590</v>
      </c>
      <c r="G95" s="257"/>
      <c r="H95" s="10"/>
      <c r="I95" s="11"/>
      <c r="J95" s="11"/>
      <c r="K95" s="11"/>
      <c r="L95" s="11"/>
      <c r="M95" s="11"/>
      <c r="N95" s="11"/>
      <c r="O95" s="12"/>
      <c r="P95" s="11"/>
      <c r="Q95" s="13"/>
      <c r="R95" s="14"/>
    </row>
    <row r="96" spans="1:18" ht="15" customHeight="1" x14ac:dyDescent="0.3">
      <c r="A96" s="148" t="s">
        <v>73</v>
      </c>
      <c r="B96" s="148" t="s">
        <v>591</v>
      </c>
      <c r="C96" s="149">
        <v>0.40625</v>
      </c>
      <c r="D96" s="148" t="s">
        <v>100</v>
      </c>
      <c r="E96" s="148" t="s">
        <v>55</v>
      </c>
      <c r="F96" s="148" t="s">
        <v>208</v>
      </c>
      <c r="G96" s="257"/>
      <c r="H96" s="137" t="s">
        <v>593</v>
      </c>
      <c r="I96" s="197">
        <v>0.53069999999999995</v>
      </c>
      <c r="J96" s="139">
        <v>95</v>
      </c>
      <c r="K96" s="140" t="s">
        <v>253</v>
      </c>
      <c r="L96" s="139">
        <v>48</v>
      </c>
      <c r="M96" s="139">
        <v>3</v>
      </c>
      <c r="N96" s="139">
        <v>7</v>
      </c>
      <c r="O96" s="141" t="s">
        <v>490</v>
      </c>
      <c r="P96" s="142">
        <v>0.40625</v>
      </c>
      <c r="Q96" s="139">
        <v>179</v>
      </c>
      <c r="R96" s="143" t="s">
        <v>623</v>
      </c>
    </row>
    <row r="97" spans="1:18" ht="15" customHeight="1" x14ac:dyDescent="0.3">
      <c r="A97" s="132" t="s">
        <v>73</v>
      </c>
      <c r="B97" s="132" t="s">
        <v>624</v>
      </c>
      <c r="C97" s="133">
        <v>0.72569444444444453</v>
      </c>
      <c r="D97" s="132" t="s">
        <v>100</v>
      </c>
      <c r="E97" s="132" t="s">
        <v>86</v>
      </c>
      <c r="F97" s="132" t="s">
        <v>208</v>
      </c>
      <c r="G97" s="257"/>
      <c r="H97" s="106" t="s">
        <v>625</v>
      </c>
      <c r="I97" s="198">
        <v>0.43580000000000002</v>
      </c>
      <c r="J97" s="108">
        <v>78</v>
      </c>
      <c r="K97" s="109" t="s">
        <v>103</v>
      </c>
      <c r="L97" s="108">
        <v>27</v>
      </c>
      <c r="M97" s="108">
        <v>0</v>
      </c>
      <c r="N97" s="108">
        <v>6</v>
      </c>
      <c r="O97" s="110" t="s">
        <v>490</v>
      </c>
      <c r="P97" s="111">
        <v>0.72569444444444453</v>
      </c>
      <c r="Q97" s="108">
        <v>179</v>
      </c>
      <c r="R97" s="112" t="s">
        <v>626</v>
      </c>
    </row>
    <row r="98" spans="1:18" ht="15" customHeight="1" x14ac:dyDescent="0.3">
      <c r="A98" s="17" t="s">
        <v>52</v>
      </c>
      <c r="B98" s="17" t="s">
        <v>612</v>
      </c>
      <c r="C98" s="18">
        <v>0.82986111111111116</v>
      </c>
      <c r="D98" s="17" t="s">
        <v>54</v>
      </c>
      <c r="E98" s="17" t="s">
        <v>80</v>
      </c>
      <c r="F98" s="17" t="s">
        <v>604</v>
      </c>
      <c r="G98" s="257"/>
      <c r="H98" s="10"/>
      <c r="I98" s="11"/>
      <c r="J98" s="11"/>
      <c r="K98" s="11"/>
      <c r="L98" s="11"/>
      <c r="M98" s="11"/>
      <c r="N98" s="11"/>
      <c r="O98" s="12"/>
      <c r="P98" s="11"/>
      <c r="Q98" s="13"/>
      <c r="R98" s="14"/>
    </row>
    <row r="99" spans="1:18" ht="15" customHeight="1" x14ac:dyDescent="0.3">
      <c r="A99" s="15" t="s">
        <v>52</v>
      </c>
      <c r="B99" s="15" t="s">
        <v>612</v>
      </c>
      <c r="C99" s="16">
        <v>0.82986111111111116</v>
      </c>
      <c r="D99" s="15" t="s">
        <v>57</v>
      </c>
      <c r="E99" s="15" t="s">
        <v>49</v>
      </c>
      <c r="F99" s="15" t="s">
        <v>605</v>
      </c>
      <c r="G99" s="257"/>
      <c r="H99" s="10"/>
      <c r="I99" s="11"/>
      <c r="J99" s="11"/>
      <c r="K99" s="11"/>
      <c r="L99" s="11"/>
      <c r="M99" s="11"/>
      <c r="N99" s="11"/>
      <c r="O99" s="12"/>
      <c r="P99" s="11"/>
      <c r="Q99" s="13"/>
      <c r="R99" s="14"/>
    </row>
    <row r="100" spans="1:18" ht="15" customHeight="1" x14ac:dyDescent="0.3">
      <c r="A100" s="19" t="s">
        <v>52</v>
      </c>
      <c r="B100" s="19" t="s">
        <v>606</v>
      </c>
      <c r="C100" s="20">
        <v>0.88888888888888884</v>
      </c>
      <c r="D100" s="19" t="s">
        <v>57</v>
      </c>
      <c r="E100" s="19" t="s">
        <v>61</v>
      </c>
      <c r="F100" s="19" t="s">
        <v>607</v>
      </c>
      <c r="G100" s="257"/>
      <c r="H100" s="10"/>
      <c r="I100" s="11"/>
      <c r="J100" s="11"/>
      <c r="K100" s="11"/>
      <c r="L100" s="11"/>
      <c r="M100" s="11"/>
      <c r="N100" s="11"/>
      <c r="O100" s="12"/>
      <c r="P100" s="11"/>
      <c r="Q100" s="13"/>
      <c r="R100" s="14"/>
    </row>
    <row r="101" spans="1:18" ht="15" customHeight="1" x14ac:dyDescent="0.3">
      <c r="A101" s="19" t="s">
        <v>52</v>
      </c>
      <c r="B101" s="19" t="s">
        <v>608</v>
      </c>
      <c r="C101" s="20">
        <v>0.62847222222222221</v>
      </c>
      <c r="D101" s="19" t="s">
        <v>57</v>
      </c>
      <c r="E101" s="19" t="s">
        <v>61</v>
      </c>
      <c r="F101" s="19" t="s">
        <v>607</v>
      </c>
      <c r="G101" s="257"/>
      <c r="H101" s="10"/>
      <c r="I101" s="11"/>
      <c r="J101" s="11"/>
      <c r="K101" s="11"/>
      <c r="L101" s="11"/>
      <c r="M101" s="11"/>
      <c r="N101" s="11"/>
      <c r="O101" s="12"/>
      <c r="P101" s="11"/>
      <c r="Q101" s="13"/>
      <c r="R101" s="14"/>
    </row>
    <row r="102" spans="1:18" ht="15" customHeight="1" x14ac:dyDescent="0.3">
      <c r="A102" s="19" t="s">
        <v>52</v>
      </c>
      <c r="B102" s="19" t="s">
        <v>609</v>
      </c>
      <c r="C102" s="20">
        <v>0.94444444444444453</v>
      </c>
      <c r="D102" s="19" t="s">
        <v>57</v>
      </c>
      <c r="E102" s="19" t="s">
        <v>61</v>
      </c>
      <c r="F102" s="19" t="s">
        <v>607</v>
      </c>
      <c r="G102" s="257"/>
      <c r="H102" s="10"/>
      <c r="I102" s="11"/>
      <c r="J102" s="11"/>
      <c r="K102" s="11"/>
      <c r="L102" s="11"/>
      <c r="M102" s="11"/>
      <c r="N102" s="11"/>
      <c r="O102" s="12"/>
      <c r="P102" s="11"/>
      <c r="Q102" s="13"/>
      <c r="R102" s="14"/>
    </row>
    <row r="103" spans="1:18" ht="15" customHeight="1" x14ac:dyDescent="0.3">
      <c r="A103" s="19" t="s">
        <v>52</v>
      </c>
      <c r="B103" s="19" t="s">
        <v>603</v>
      </c>
      <c r="C103" s="20">
        <v>0.98263888888888884</v>
      </c>
      <c r="D103" s="19" t="s">
        <v>57</v>
      </c>
      <c r="E103" s="19" t="s">
        <v>86</v>
      </c>
      <c r="F103" s="19" t="s">
        <v>611</v>
      </c>
      <c r="G103" s="257"/>
      <c r="H103" s="10"/>
      <c r="I103" s="11"/>
      <c r="J103" s="11"/>
      <c r="K103" s="11"/>
      <c r="L103" s="11"/>
      <c r="M103" s="11"/>
      <c r="N103" s="11"/>
      <c r="O103" s="12"/>
      <c r="P103" s="11"/>
      <c r="Q103" s="13"/>
      <c r="R103" s="14"/>
    </row>
    <row r="104" spans="1:18" ht="15" customHeight="1" x14ac:dyDescent="0.3">
      <c r="A104" s="19" t="s">
        <v>52</v>
      </c>
      <c r="B104" s="19" t="s">
        <v>613</v>
      </c>
      <c r="C104" s="20">
        <v>0.62847222222222221</v>
      </c>
      <c r="D104" s="19" t="s">
        <v>57</v>
      </c>
      <c r="E104" s="19" t="s">
        <v>86</v>
      </c>
      <c r="F104" s="19" t="s">
        <v>611</v>
      </c>
      <c r="G104" s="257"/>
      <c r="H104" s="10"/>
      <c r="I104" s="11"/>
      <c r="J104" s="11"/>
      <c r="K104" s="11"/>
      <c r="L104" s="11"/>
      <c r="M104" s="11"/>
      <c r="N104" s="11"/>
      <c r="O104" s="12"/>
      <c r="P104" s="11"/>
      <c r="Q104" s="13"/>
      <c r="R104" s="14"/>
    </row>
    <row r="105" spans="1:18" ht="15" customHeight="1" x14ac:dyDescent="0.3">
      <c r="A105" s="19" t="s">
        <v>52</v>
      </c>
      <c r="B105" s="19" t="s">
        <v>610</v>
      </c>
      <c r="C105" s="20">
        <v>0.44444444444444442</v>
      </c>
      <c r="D105" s="19" t="s">
        <v>57</v>
      </c>
      <c r="E105" s="19" t="s">
        <v>86</v>
      </c>
      <c r="F105" s="19" t="s">
        <v>627</v>
      </c>
      <c r="G105" s="257"/>
      <c r="H105" s="10"/>
      <c r="I105" s="11"/>
      <c r="J105" s="11"/>
      <c r="K105" s="11"/>
      <c r="L105" s="11"/>
      <c r="M105" s="11"/>
      <c r="N105" s="11"/>
      <c r="O105" s="12"/>
      <c r="P105" s="11"/>
      <c r="Q105" s="13"/>
      <c r="R105" s="14"/>
    </row>
    <row r="106" spans="1:18" ht="15" customHeight="1" x14ac:dyDescent="0.3">
      <c r="A106" s="17" t="s">
        <v>68</v>
      </c>
      <c r="B106" s="17" t="s">
        <v>600</v>
      </c>
      <c r="C106" s="18">
        <v>0.35416666666666669</v>
      </c>
      <c r="D106" s="17" t="s">
        <v>70</v>
      </c>
      <c r="E106" s="17" t="s">
        <v>269</v>
      </c>
      <c r="F106" s="17" t="s">
        <v>628</v>
      </c>
      <c r="G106" s="257"/>
      <c r="H106" s="10"/>
      <c r="I106" s="11"/>
      <c r="J106" s="11"/>
      <c r="K106" s="11"/>
      <c r="L106" s="11"/>
      <c r="M106" s="11"/>
      <c r="N106" s="11"/>
      <c r="O106" s="12"/>
      <c r="P106" s="11"/>
      <c r="Q106" s="13"/>
      <c r="R106" s="14"/>
    </row>
    <row r="107" spans="1:18" ht="15" customHeight="1" thickBot="1" x14ac:dyDescent="0.35">
      <c r="A107" s="39" t="s">
        <v>68</v>
      </c>
      <c r="B107" s="39" t="s">
        <v>598</v>
      </c>
      <c r="C107" s="40">
        <v>0.98263888888888884</v>
      </c>
      <c r="D107" s="39" t="s">
        <v>70</v>
      </c>
      <c r="E107" s="39" t="s">
        <v>235</v>
      </c>
      <c r="F107" s="39" t="s">
        <v>349</v>
      </c>
      <c r="G107" s="258"/>
      <c r="H107" s="41"/>
      <c r="I107" s="42"/>
      <c r="J107" s="42"/>
      <c r="K107" s="42"/>
      <c r="L107" s="42"/>
      <c r="M107" s="42"/>
      <c r="N107" s="42"/>
      <c r="O107" s="43"/>
      <c r="P107" s="42"/>
      <c r="Q107" s="44"/>
      <c r="R107" s="45"/>
    </row>
    <row r="108" spans="1:18" ht="17.399999999999999" customHeight="1" thickBot="1" x14ac:dyDescent="0.35">
      <c r="A108" s="285"/>
      <c r="B108" s="286"/>
      <c r="C108" s="286"/>
      <c r="D108" s="286"/>
      <c r="E108" s="286"/>
      <c r="F108" s="286"/>
      <c r="G108" s="286"/>
      <c r="H108" s="286"/>
      <c r="I108" s="286"/>
      <c r="J108" s="286"/>
      <c r="K108" s="286"/>
      <c r="L108" s="286"/>
      <c r="M108" s="286"/>
      <c r="N108" s="286"/>
      <c r="O108" s="286"/>
      <c r="P108" s="286"/>
      <c r="Q108" s="286"/>
      <c r="R108" s="287"/>
    </row>
    <row r="109" spans="1:18" ht="22.05" customHeight="1" thickTop="1" thickBot="1" x14ac:dyDescent="0.35">
      <c r="A109" s="259" t="s">
        <v>6</v>
      </c>
      <c r="B109" s="251"/>
      <c r="C109" s="251"/>
      <c r="D109" s="251"/>
      <c r="E109" s="251"/>
      <c r="F109" s="252"/>
      <c r="G109" s="31">
        <v>45983</v>
      </c>
      <c r="H109" s="250" t="s">
        <v>7</v>
      </c>
      <c r="I109" s="251"/>
      <c r="J109" s="251"/>
      <c r="K109" s="251"/>
      <c r="L109" s="251"/>
      <c r="M109" s="251"/>
      <c r="N109" s="251"/>
      <c r="O109" s="251"/>
      <c r="P109" s="251"/>
      <c r="Q109" s="251"/>
      <c r="R109" s="252"/>
    </row>
    <row r="110" spans="1:18" ht="24" customHeight="1" x14ac:dyDescent="0.3">
      <c r="A110" s="32" t="s">
        <v>8</v>
      </c>
      <c r="B110" s="32" t="s">
        <v>9</v>
      </c>
      <c r="C110" s="33" t="s">
        <v>10</v>
      </c>
      <c r="D110" s="32" t="s">
        <v>11</v>
      </c>
      <c r="E110" s="32" t="s">
        <v>12</v>
      </c>
      <c r="F110" s="34" t="s">
        <v>13</v>
      </c>
      <c r="G110" s="35" t="s">
        <v>14</v>
      </c>
      <c r="H110" s="32" t="s">
        <v>15</v>
      </c>
      <c r="I110" s="36" t="s">
        <v>16</v>
      </c>
      <c r="J110" s="37" t="s">
        <v>17</v>
      </c>
      <c r="K110" s="38" t="s">
        <v>18</v>
      </c>
      <c r="L110" s="37" t="s">
        <v>19</v>
      </c>
      <c r="M110" s="37" t="s">
        <v>20</v>
      </c>
      <c r="N110" s="37" t="s">
        <v>21</v>
      </c>
      <c r="O110" s="32" t="s">
        <v>22</v>
      </c>
      <c r="P110" s="33" t="s">
        <v>23</v>
      </c>
      <c r="Q110" s="37" t="s">
        <v>24</v>
      </c>
      <c r="R110" s="32" t="s">
        <v>25</v>
      </c>
    </row>
    <row r="111" spans="1:18" ht="15" customHeight="1" x14ac:dyDescent="0.3">
      <c r="A111" s="8" t="s">
        <v>26</v>
      </c>
      <c r="B111" s="8" t="s">
        <v>555</v>
      </c>
      <c r="C111" s="9">
        <v>0.57638888888888895</v>
      </c>
      <c r="D111" s="8" t="s">
        <v>28</v>
      </c>
      <c r="E111" s="8" t="s">
        <v>39</v>
      </c>
      <c r="F111" s="8" t="s">
        <v>629</v>
      </c>
      <c r="G111" s="256"/>
      <c r="H111" s="10"/>
      <c r="I111" s="11"/>
      <c r="J111" s="11"/>
      <c r="K111" s="11"/>
      <c r="L111" s="11"/>
      <c r="M111" s="11"/>
      <c r="N111" s="11"/>
      <c r="O111" s="12"/>
      <c r="P111" s="11"/>
      <c r="Q111" s="13"/>
      <c r="R111" s="14"/>
    </row>
    <row r="112" spans="1:18" ht="15" customHeight="1" x14ac:dyDescent="0.3">
      <c r="A112" s="15" t="s">
        <v>26</v>
      </c>
      <c r="B112" s="15" t="s">
        <v>555</v>
      </c>
      <c r="C112" s="16">
        <v>0.57638888888888895</v>
      </c>
      <c r="D112" s="15" t="s">
        <v>31</v>
      </c>
      <c r="E112" s="15" t="s">
        <v>42</v>
      </c>
      <c r="F112" s="15" t="s">
        <v>30</v>
      </c>
      <c r="G112" s="257"/>
      <c r="H112" s="10"/>
      <c r="I112" s="11"/>
      <c r="J112" s="11"/>
      <c r="K112" s="11"/>
      <c r="L112" s="11"/>
      <c r="M112" s="11"/>
      <c r="N112" s="11"/>
      <c r="O112" s="12"/>
      <c r="P112" s="11"/>
      <c r="Q112" s="13"/>
      <c r="R112" s="14"/>
    </row>
    <row r="113" spans="1:18" ht="15" customHeight="1" x14ac:dyDescent="0.3">
      <c r="A113" s="15" t="s">
        <v>26</v>
      </c>
      <c r="B113" s="15" t="s">
        <v>555</v>
      </c>
      <c r="C113" s="16">
        <v>0.57638888888888895</v>
      </c>
      <c r="D113" s="15" t="s">
        <v>34</v>
      </c>
      <c r="E113" s="15" t="s">
        <v>42</v>
      </c>
      <c r="F113" s="15" t="s">
        <v>630</v>
      </c>
      <c r="G113" s="257"/>
      <c r="H113" s="10"/>
      <c r="I113" s="11"/>
      <c r="J113" s="11"/>
      <c r="K113" s="11"/>
      <c r="L113" s="11"/>
      <c r="M113" s="11"/>
      <c r="N113" s="11"/>
      <c r="O113" s="12"/>
      <c r="P113" s="11"/>
      <c r="Q113" s="13"/>
      <c r="R113" s="14"/>
    </row>
    <row r="114" spans="1:18" ht="15" customHeight="1" x14ac:dyDescent="0.3">
      <c r="A114" s="19" t="s">
        <v>26</v>
      </c>
      <c r="B114" s="19" t="s">
        <v>560</v>
      </c>
      <c r="C114" s="20">
        <v>0.62847222222222221</v>
      </c>
      <c r="D114" s="19" t="s">
        <v>28</v>
      </c>
      <c r="E114" s="19" t="s">
        <v>631</v>
      </c>
      <c r="F114" s="19" t="s">
        <v>632</v>
      </c>
      <c r="G114" s="257"/>
      <c r="H114" s="10"/>
      <c r="I114" s="11"/>
      <c r="J114" s="11"/>
      <c r="K114" s="11"/>
      <c r="L114" s="11"/>
      <c r="M114" s="11"/>
      <c r="N114" s="11"/>
      <c r="O114" s="12"/>
      <c r="P114" s="11"/>
      <c r="Q114" s="13"/>
      <c r="R114" s="14"/>
    </row>
    <row r="115" spans="1:18" ht="15" customHeight="1" x14ac:dyDescent="0.3">
      <c r="A115" s="15" t="s">
        <v>26</v>
      </c>
      <c r="B115" s="15" t="s">
        <v>560</v>
      </c>
      <c r="C115" s="16">
        <v>0.62847222222222221</v>
      </c>
      <c r="D115" s="15" t="s">
        <v>31</v>
      </c>
      <c r="E115" s="15" t="s">
        <v>633</v>
      </c>
      <c r="F115" s="15" t="s">
        <v>634</v>
      </c>
      <c r="G115" s="257"/>
      <c r="H115" s="10"/>
      <c r="I115" s="11"/>
      <c r="J115" s="11"/>
      <c r="K115" s="11"/>
      <c r="L115" s="11"/>
      <c r="M115" s="11"/>
      <c r="N115" s="11"/>
      <c r="O115" s="12"/>
      <c r="P115" s="11"/>
      <c r="Q115" s="13"/>
      <c r="R115" s="14"/>
    </row>
    <row r="116" spans="1:18" ht="15" customHeight="1" x14ac:dyDescent="0.3">
      <c r="A116" s="15" t="s">
        <v>26</v>
      </c>
      <c r="B116" s="15" t="s">
        <v>560</v>
      </c>
      <c r="C116" s="16">
        <v>0.62847222222222221</v>
      </c>
      <c r="D116" s="15" t="s">
        <v>34</v>
      </c>
      <c r="E116" s="15" t="s">
        <v>633</v>
      </c>
      <c r="F116" s="15" t="s">
        <v>630</v>
      </c>
      <c r="G116" s="257"/>
      <c r="H116" s="10"/>
      <c r="I116" s="11"/>
      <c r="J116" s="11"/>
      <c r="K116" s="11"/>
      <c r="L116" s="11"/>
      <c r="M116" s="11"/>
      <c r="N116" s="11"/>
      <c r="O116" s="12"/>
      <c r="P116" s="11"/>
      <c r="Q116" s="13"/>
      <c r="R116" s="14"/>
    </row>
    <row r="117" spans="1:18" ht="15" customHeight="1" x14ac:dyDescent="0.3">
      <c r="A117" s="19" t="s">
        <v>26</v>
      </c>
      <c r="B117" s="19" t="s">
        <v>563</v>
      </c>
      <c r="C117" s="20">
        <v>0.88888888888888884</v>
      </c>
      <c r="D117" s="19" t="s">
        <v>28</v>
      </c>
      <c r="E117" s="19" t="s">
        <v>328</v>
      </c>
      <c r="F117" s="19" t="s">
        <v>465</v>
      </c>
      <c r="G117" s="257"/>
      <c r="H117" s="10"/>
      <c r="I117" s="11"/>
      <c r="J117" s="11"/>
      <c r="K117" s="11"/>
      <c r="L117" s="11"/>
      <c r="M117" s="11"/>
      <c r="N117" s="11"/>
      <c r="O117" s="12"/>
      <c r="P117" s="11"/>
      <c r="Q117" s="13"/>
      <c r="R117" s="14"/>
    </row>
    <row r="118" spans="1:18" ht="15" customHeight="1" x14ac:dyDescent="0.3">
      <c r="A118" s="15" t="s">
        <v>26</v>
      </c>
      <c r="B118" s="15" t="s">
        <v>563</v>
      </c>
      <c r="C118" s="16">
        <v>0.88888888888888884</v>
      </c>
      <c r="D118" s="15" t="s">
        <v>31</v>
      </c>
      <c r="E118" s="15" t="s">
        <v>330</v>
      </c>
      <c r="F118" s="15" t="s">
        <v>635</v>
      </c>
      <c r="G118" s="257"/>
      <c r="H118" s="10"/>
      <c r="I118" s="11"/>
      <c r="J118" s="11"/>
      <c r="K118" s="11"/>
      <c r="L118" s="11"/>
      <c r="M118" s="11"/>
      <c r="N118" s="11"/>
      <c r="O118" s="12"/>
      <c r="P118" s="11"/>
      <c r="Q118" s="13"/>
      <c r="R118" s="14"/>
    </row>
    <row r="119" spans="1:18" ht="15" customHeight="1" x14ac:dyDescent="0.3">
      <c r="A119" s="15" t="s">
        <v>26</v>
      </c>
      <c r="B119" s="15" t="s">
        <v>563</v>
      </c>
      <c r="C119" s="16">
        <v>0.88888888888888884</v>
      </c>
      <c r="D119" s="15" t="s">
        <v>34</v>
      </c>
      <c r="E119" s="15" t="s">
        <v>330</v>
      </c>
      <c r="F119" s="15" t="s">
        <v>559</v>
      </c>
      <c r="G119" s="257"/>
      <c r="H119" s="10"/>
      <c r="I119" s="11"/>
      <c r="J119" s="11"/>
      <c r="K119" s="11"/>
      <c r="L119" s="11"/>
      <c r="M119" s="11"/>
      <c r="N119" s="11"/>
      <c r="O119" s="12"/>
      <c r="P119" s="11"/>
      <c r="Q119" s="13"/>
      <c r="R119" s="14"/>
    </row>
    <row r="120" spans="1:18" ht="15" customHeight="1" x14ac:dyDescent="0.3">
      <c r="A120" s="19" t="s">
        <v>26</v>
      </c>
      <c r="B120" s="19" t="s">
        <v>566</v>
      </c>
      <c r="C120" s="20">
        <v>0.94444444444444453</v>
      </c>
      <c r="D120" s="19" t="s">
        <v>28</v>
      </c>
      <c r="E120" s="19" t="s">
        <v>66</v>
      </c>
      <c r="F120" s="19" t="s">
        <v>465</v>
      </c>
      <c r="G120" s="257"/>
      <c r="H120" s="10"/>
      <c r="I120" s="11"/>
      <c r="J120" s="11"/>
      <c r="K120" s="11"/>
      <c r="L120" s="11"/>
      <c r="M120" s="11"/>
      <c r="N120" s="11"/>
      <c r="O120" s="12"/>
      <c r="P120" s="11"/>
      <c r="Q120" s="13"/>
      <c r="R120" s="14"/>
    </row>
    <row r="121" spans="1:18" ht="15" customHeight="1" x14ac:dyDescent="0.3">
      <c r="A121" s="15" t="s">
        <v>26</v>
      </c>
      <c r="B121" s="15" t="s">
        <v>566</v>
      </c>
      <c r="C121" s="16">
        <v>0.94444444444444453</v>
      </c>
      <c r="D121" s="15" t="s">
        <v>31</v>
      </c>
      <c r="E121" s="15" t="s">
        <v>319</v>
      </c>
      <c r="F121" s="15" t="s">
        <v>635</v>
      </c>
      <c r="G121" s="257"/>
      <c r="H121" s="10"/>
      <c r="I121" s="11"/>
      <c r="J121" s="11"/>
      <c r="K121" s="11"/>
      <c r="L121" s="11"/>
      <c r="M121" s="11"/>
      <c r="N121" s="11"/>
      <c r="O121" s="12"/>
      <c r="P121" s="11"/>
      <c r="Q121" s="13"/>
      <c r="R121" s="14"/>
    </row>
    <row r="122" spans="1:18" ht="15" customHeight="1" x14ac:dyDescent="0.3">
      <c r="A122" s="15" t="s">
        <v>26</v>
      </c>
      <c r="B122" s="15" t="s">
        <v>566</v>
      </c>
      <c r="C122" s="16">
        <v>0.94444444444444453</v>
      </c>
      <c r="D122" s="15" t="s">
        <v>34</v>
      </c>
      <c r="E122" s="15" t="s">
        <v>319</v>
      </c>
      <c r="F122" s="15" t="s">
        <v>559</v>
      </c>
      <c r="G122" s="257"/>
      <c r="H122" s="10"/>
      <c r="I122" s="11"/>
      <c r="J122" s="11"/>
      <c r="K122" s="11"/>
      <c r="L122" s="11"/>
      <c r="M122" s="11"/>
      <c r="N122" s="11"/>
      <c r="O122" s="12"/>
      <c r="P122" s="11"/>
      <c r="Q122" s="13"/>
      <c r="R122" s="14"/>
    </row>
    <row r="123" spans="1:18" ht="15" customHeight="1" x14ac:dyDescent="0.3">
      <c r="A123" s="17" t="s">
        <v>36</v>
      </c>
      <c r="B123" s="17" t="s">
        <v>577</v>
      </c>
      <c r="C123" s="18">
        <v>0.4375</v>
      </c>
      <c r="D123" s="17" t="s">
        <v>38</v>
      </c>
      <c r="E123" s="17" t="s">
        <v>29</v>
      </c>
      <c r="F123" s="17" t="s">
        <v>622</v>
      </c>
      <c r="G123" s="257"/>
      <c r="H123" s="10"/>
      <c r="I123" s="11"/>
      <c r="J123" s="11"/>
      <c r="K123" s="11"/>
      <c r="L123" s="11"/>
      <c r="M123" s="11"/>
      <c r="N123" s="11"/>
      <c r="O123" s="12"/>
      <c r="P123" s="11"/>
      <c r="Q123" s="13"/>
      <c r="R123" s="14"/>
    </row>
    <row r="124" spans="1:18" ht="15" customHeight="1" x14ac:dyDescent="0.3">
      <c r="A124" s="15" t="s">
        <v>36</v>
      </c>
      <c r="B124" s="15" t="s">
        <v>577</v>
      </c>
      <c r="C124" s="16">
        <v>0.4375</v>
      </c>
      <c r="D124" s="15" t="s">
        <v>41</v>
      </c>
      <c r="E124" s="15" t="s">
        <v>32</v>
      </c>
      <c r="F124" s="15" t="s">
        <v>572</v>
      </c>
      <c r="G124" s="257"/>
      <c r="H124" s="10"/>
      <c r="I124" s="11"/>
      <c r="J124" s="11"/>
      <c r="K124" s="11"/>
      <c r="L124" s="11"/>
      <c r="M124" s="11"/>
      <c r="N124" s="11"/>
      <c r="O124" s="12"/>
      <c r="P124" s="11"/>
      <c r="Q124" s="13"/>
      <c r="R124" s="14"/>
    </row>
    <row r="125" spans="1:18" ht="15" customHeight="1" x14ac:dyDescent="0.3">
      <c r="A125" s="15" t="s">
        <v>36</v>
      </c>
      <c r="B125" s="15" t="s">
        <v>577</v>
      </c>
      <c r="C125" s="16">
        <v>0.4375</v>
      </c>
      <c r="D125" s="15" t="s">
        <v>44</v>
      </c>
      <c r="E125" s="15" t="s">
        <v>32</v>
      </c>
      <c r="F125" s="15" t="s">
        <v>210</v>
      </c>
      <c r="G125" s="257"/>
      <c r="H125" s="10"/>
      <c r="I125" s="11"/>
      <c r="J125" s="11"/>
      <c r="K125" s="11"/>
      <c r="L125" s="11"/>
      <c r="M125" s="11"/>
      <c r="N125" s="11"/>
      <c r="O125" s="12"/>
      <c r="P125" s="11"/>
      <c r="Q125" s="13"/>
      <c r="R125" s="14"/>
    </row>
    <row r="126" spans="1:18" ht="15" customHeight="1" x14ac:dyDescent="0.3">
      <c r="A126" s="19" t="s">
        <v>36</v>
      </c>
      <c r="B126" s="19" t="s">
        <v>580</v>
      </c>
      <c r="C126" s="20">
        <v>0.50694444444444442</v>
      </c>
      <c r="D126" s="19" t="s">
        <v>38</v>
      </c>
      <c r="E126" s="19" t="s">
        <v>217</v>
      </c>
      <c r="F126" s="19" t="s">
        <v>622</v>
      </c>
      <c r="G126" s="257"/>
      <c r="H126" s="10"/>
      <c r="I126" s="11"/>
      <c r="J126" s="11"/>
      <c r="K126" s="11"/>
      <c r="L126" s="11"/>
      <c r="M126" s="11"/>
      <c r="N126" s="11"/>
      <c r="O126" s="12"/>
      <c r="P126" s="11"/>
      <c r="Q126" s="13"/>
      <c r="R126" s="14"/>
    </row>
    <row r="127" spans="1:18" ht="15" customHeight="1" x14ac:dyDescent="0.3">
      <c r="A127" s="15" t="s">
        <v>36</v>
      </c>
      <c r="B127" s="15" t="s">
        <v>580</v>
      </c>
      <c r="C127" s="16">
        <v>0.50694444444444442</v>
      </c>
      <c r="D127" s="15" t="s">
        <v>41</v>
      </c>
      <c r="E127" s="15" t="s">
        <v>42</v>
      </c>
      <c r="F127" s="15" t="s">
        <v>572</v>
      </c>
      <c r="G127" s="257"/>
      <c r="H127" s="10"/>
      <c r="I127" s="11"/>
      <c r="J127" s="11"/>
      <c r="K127" s="11"/>
      <c r="L127" s="11"/>
      <c r="M127" s="11"/>
      <c r="N127" s="11"/>
      <c r="O127" s="12"/>
      <c r="P127" s="11"/>
      <c r="Q127" s="13"/>
      <c r="R127" s="14"/>
    </row>
    <row r="128" spans="1:18" ht="15" customHeight="1" x14ac:dyDescent="0.3">
      <c r="A128" s="15" t="s">
        <v>36</v>
      </c>
      <c r="B128" s="15" t="s">
        <v>580</v>
      </c>
      <c r="C128" s="16">
        <v>0.50694444444444442</v>
      </c>
      <c r="D128" s="15" t="s">
        <v>44</v>
      </c>
      <c r="E128" s="15" t="s">
        <v>42</v>
      </c>
      <c r="F128" s="15" t="s">
        <v>210</v>
      </c>
      <c r="G128" s="257"/>
      <c r="H128" s="10"/>
      <c r="I128" s="11"/>
      <c r="J128" s="11"/>
      <c r="K128" s="11"/>
      <c r="L128" s="11"/>
      <c r="M128" s="11"/>
      <c r="N128" s="11"/>
      <c r="O128" s="12"/>
      <c r="P128" s="11"/>
      <c r="Q128" s="13"/>
      <c r="R128" s="14"/>
    </row>
    <row r="129" spans="1:18" ht="15" customHeight="1" x14ac:dyDescent="0.3">
      <c r="A129" s="19" t="s">
        <v>36</v>
      </c>
      <c r="B129" s="19" t="s">
        <v>573</v>
      </c>
      <c r="C129" s="20">
        <v>0.63194444444444442</v>
      </c>
      <c r="D129" s="19" t="s">
        <v>38</v>
      </c>
      <c r="E129" s="19" t="s">
        <v>231</v>
      </c>
      <c r="F129" s="19" t="s">
        <v>579</v>
      </c>
      <c r="G129" s="257"/>
      <c r="H129" s="10"/>
      <c r="I129" s="11"/>
      <c r="J129" s="11"/>
      <c r="K129" s="11"/>
      <c r="L129" s="11"/>
      <c r="M129" s="11"/>
      <c r="N129" s="11"/>
      <c r="O129" s="12"/>
      <c r="P129" s="11"/>
      <c r="Q129" s="13"/>
      <c r="R129" s="14"/>
    </row>
    <row r="130" spans="1:18" ht="15" customHeight="1" x14ac:dyDescent="0.3">
      <c r="A130" s="15" t="s">
        <v>36</v>
      </c>
      <c r="B130" s="15" t="s">
        <v>573</v>
      </c>
      <c r="C130" s="16">
        <v>0.63194444444444442</v>
      </c>
      <c r="D130" s="15" t="s">
        <v>41</v>
      </c>
      <c r="E130" s="15" t="s">
        <v>82</v>
      </c>
      <c r="F130" s="15" t="s">
        <v>40</v>
      </c>
      <c r="G130" s="257"/>
      <c r="H130" s="10"/>
      <c r="I130" s="11"/>
      <c r="J130" s="11"/>
      <c r="K130" s="11"/>
      <c r="L130" s="11"/>
      <c r="M130" s="11"/>
      <c r="N130" s="11"/>
      <c r="O130" s="12"/>
      <c r="P130" s="11"/>
      <c r="Q130" s="13"/>
      <c r="R130" s="14"/>
    </row>
    <row r="131" spans="1:18" ht="15" customHeight="1" x14ac:dyDescent="0.3">
      <c r="A131" s="15" t="s">
        <v>36</v>
      </c>
      <c r="B131" s="15" t="s">
        <v>573</v>
      </c>
      <c r="C131" s="16">
        <v>0.63194444444444442</v>
      </c>
      <c r="D131" s="15" t="s">
        <v>44</v>
      </c>
      <c r="E131" s="15" t="s">
        <v>82</v>
      </c>
      <c r="F131" s="15" t="s">
        <v>95</v>
      </c>
      <c r="G131" s="257"/>
      <c r="H131" s="10"/>
      <c r="I131" s="11"/>
      <c r="J131" s="11"/>
      <c r="K131" s="11"/>
      <c r="L131" s="11"/>
      <c r="M131" s="11"/>
      <c r="N131" s="11"/>
      <c r="O131" s="12"/>
      <c r="P131" s="11"/>
      <c r="Q131" s="13"/>
      <c r="R131" s="14"/>
    </row>
    <row r="132" spans="1:18" ht="15" customHeight="1" x14ac:dyDescent="0.3">
      <c r="A132" s="19" t="s">
        <v>36</v>
      </c>
      <c r="B132" s="19" t="s">
        <v>574</v>
      </c>
      <c r="C132" s="20">
        <v>0.55902777777777779</v>
      </c>
      <c r="D132" s="19" t="s">
        <v>38</v>
      </c>
      <c r="E132" s="19" t="s">
        <v>217</v>
      </c>
      <c r="F132" s="19" t="s">
        <v>579</v>
      </c>
      <c r="G132" s="257"/>
      <c r="H132" s="10"/>
      <c r="I132" s="11"/>
      <c r="J132" s="11"/>
      <c r="K132" s="11"/>
      <c r="L132" s="11"/>
      <c r="M132" s="11"/>
      <c r="N132" s="11"/>
      <c r="O132" s="12"/>
      <c r="P132" s="11"/>
      <c r="Q132" s="13"/>
      <c r="R132" s="14"/>
    </row>
    <row r="133" spans="1:18" ht="15" customHeight="1" x14ac:dyDescent="0.3">
      <c r="A133" s="15" t="s">
        <v>36</v>
      </c>
      <c r="B133" s="15" t="s">
        <v>574</v>
      </c>
      <c r="C133" s="16">
        <v>0.55902777777777779</v>
      </c>
      <c r="D133" s="15" t="s">
        <v>41</v>
      </c>
      <c r="E133" s="15" t="s">
        <v>42</v>
      </c>
      <c r="F133" s="15" t="s">
        <v>40</v>
      </c>
      <c r="G133" s="257"/>
      <c r="H133" s="10"/>
      <c r="I133" s="11"/>
      <c r="J133" s="11"/>
      <c r="K133" s="11"/>
      <c r="L133" s="11"/>
      <c r="M133" s="11"/>
      <c r="N133" s="11"/>
      <c r="O133" s="12"/>
      <c r="P133" s="11"/>
      <c r="Q133" s="13"/>
      <c r="R133" s="14"/>
    </row>
    <row r="134" spans="1:18" ht="15" customHeight="1" x14ac:dyDescent="0.3">
      <c r="A134" s="15" t="s">
        <v>36</v>
      </c>
      <c r="B134" s="15" t="s">
        <v>574</v>
      </c>
      <c r="C134" s="16">
        <v>0.55902777777777779</v>
      </c>
      <c r="D134" s="15" t="s">
        <v>44</v>
      </c>
      <c r="E134" s="15" t="s">
        <v>42</v>
      </c>
      <c r="F134" s="15" t="s">
        <v>95</v>
      </c>
      <c r="G134" s="257"/>
      <c r="H134" s="10"/>
      <c r="I134" s="11"/>
      <c r="J134" s="11"/>
      <c r="K134" s="11"/>
      <c r="L134" s="11"/>
      <c r="M134" s="11"/>
      <c r="N134" s="11"/>
      <c r="O134" s="12"/>
      <c r="P134" s="11"/>
      <c r="Q134" s="13"/>
      <c r="R134" s="14"/>
    </row>
    <row r="135" spans="1:18" ht="15" customHeight="1" x14ac:dyDescent="0.3">
      <c r="A135" s="19" t="s">
        <v>36</v>
      </c>
      <c r="B135" s="19" t="s">
        <v>576</v>
      </c>
      <c r="C135" s="20">
        <v>0.69791666666666663</v>
      </c>
      <c r="D135" s="19" t="s">
        <v>38</v>
      </c>
      <c r="E135" s="19" t="s">
        <v>231</v>
      </c>
      <c r="F135" s="19" t="s">
        <v>220</v>
      </c>
      <c r="G135" s="257"/>
      <c r="H135" s="10"/>
      <c r="I135" s="11"/>
      <c r="J135" s="11"/>
      <c r="K135" s="11"/>
      <c r="L135" s="11"/>
      <c r="M135" s="11"/>
      <c r="N135" s="11"/>
      <c r="O135" s="12"/>
      <c r="P135" s="11"/>
      <c r="Q135" s="13"/>
      <c r="R135" s="14"/>
    </row>
    <row r="136" spans="1:18" ht="15" customHeight="1" x14ac:dyDescent="0.3">
      <c r="A136" s="15" t="s">
        <v>36</v>
      </c>
      <c r="B136" s="15" t="s">
        <v>576</v>
      </c>
      <c r="C136" s="16">
        <v>0.69791666666666663</v>
      </c>
      <c r="D136" s="15" t="s">
        <v>41</v>
      </c>
      <c r="E136" s="15" t="s">
        <v>82</v>
      </c>
      <c r="F136" s="15" t="s">
        <v>636</v>
      </c>
      <c r="G136" s="257"/>
      <c r="H136" s="10"/>
      <c r="I136" s="11"/>
      <c r="J136" s="11"/>
      <c r="K136" s="11"/>
      <c r="L136" s="11"/>
      <c r="M136" s="11"/>
      <c r="N136" s="11"/>
      <c r="O136" s="12"/>
      <c r="P136" s="11"/>
      <c r="Q136" s="13"/>
      <c r="R136" s="14"/>
    </row>
    <row r="137" spans="1:18" ht="15" customHeight="1" x14ac:dyDescent="0.3">
      <c r="A137" s="15" t="s">
        <v>36</v>
      </c>
      <c r="B137" s="15" t="s">
        <v>576</v>
      </c>
      <c r="C137" s="16">
        <v>0.69791666666666663</v>
      </c>
      <c r="D137" s="15" t="s">
        <v>44</v>
      </c>
      <c r="E137" s="15" t="s">
        <v>82</v>
      </c>
      <c r="F137" s="15" t="s">
        <v>50</v>
      </c>
      <c r="G137" s="257"/>
      <c r="H137" s="10"/>
      <c r="I137" s="11"/>
      <c r="J137" s="11"/>
      <c r="K137" s="11"/>
      <c r="L137" s="11"/>
      <c r="M137" s="11"/>
      <c r="N137" s="11"/>
      <c r="O137" s="12"/>
      <c r="P137" s="11"/>
      <c r="Q137" s="13"/>
      <c r="R137" s="14"/>
    </row>
    <row r="138" spans="1:18" ht="15" customHeight="1" x14ac:dyDescent="0.3">
      <c r="A138" s="19" t="s">
        <v>36</v>
      </c>
      <c r="B138" s="19" t="s">
        <v>569</v>
      </c>
      <c r="C138" s="20">
        <v>0.95833333333333337</v>
      </c>
      <c r="D138" s="19" t="s">
        <v>38</v>
      </c>
      <c r="E138" s="19" t="s">
        <v>66</v>
      </c>
      <c r="F138" s="19" t="s">
        <v>634</v>
      </c>
      <c r="G138" s="257"/>
      <c r="H138" s="10"/>
      <c r="I138" s="11"/>
      <c r="J138" s="11"/>
      <c r="K138" s="11"/>
      <c r="L138" s="11"/>
      <c r="M138" s="11"/>
      <c r="N138" s="11"/>
      <c r="O138" s="12"/>
      <c r="P138" s="11"/>
      <c r="Q138" s="13"/>
      <c r="R138" s="14"/>
    </row>
    <row r="139" spans="1:18" ht="15" customHeight="1" x14ac:dyDescent="0.3">
      <c r="A139" s="15" t="s">
        <v>36</v>
      </c>
      <c r="B139" s="15" t="s">
        <v>569</v>
      </c>
      <c r="C139" s="16">
        <v>0.95833333333333337</v>
      </c>
      <c r="D139" s="15" t="s">
        <v>41</v>
      </c>
      <c r="E139" s="15" t="s">
        <v>319</v>
      </c>
      <c r="F139" s="15" t="s">
        <v>340</v>
      </c>
      <c r="G139" s="257"/>
      <c r="H139" s="10"/>
      <c r="I139" s="11"/>
      <c r="J139" s="11"/>
      <c r="K139" s="11"/>
      <c r="L139" s="11"/>
      <c r="M139" s="11"/>
      <c r="N139" s="11"/>
      <c r="O139" s="12"/>
      <c r="P139" s="11"/>
      <c r="Q139" s="13"/>
      <c r="R139" s="14"/>
    </row>
    <row r="140" spans="1:18" ht="15" customHeight="1" x14ac:dyDescent="0.3">
      <c r="A140" s="15" t="s">
        <v>36</v>
      </c>
      <c r="B140" s="15" t="s">
        <v>569</v>
      </c>
      <c r="C140" s="16">
        <v>0.95833333333333337</v>
      </c>
      <c r="D140" s="15" t="s">
        <v>44</v>
      </c>
      <c r="E140" s="15" t="s">
        <v>319</v>
      </c>
      <c r="F140" s="15" t="s">
        <v>637</v>
      </c>
      <c r="G140" s="257"/>
      <c r="H140" s="10"/>
      <c r="I140" s="11"/>
      <c r="J140" s="11"/>
      <c r="K140" s="11"/>
      <c r="L140" s="11"/>
      <c r="M140" s="11"/>
      <c r="N140" s="11"/>
      <c r="O140" s="12"/>
      <c r="P140" s="11"/>
      <c r="Q140" s="13"/>
      <c r="R140" s="14"/>
    </row>
    <row r="141" spans="1:18" ht="15" customHeight="1" x14ac:dyDescent="0.3">
      <c r="A141" s="19" t="s">
        <v>36</v>
      </c>
      <c r="B141" s="19" t="s">
        <v>575</v>
      </c>
      <c r="C141" s="20">
        <v>0.81944444444444453</v>
      </c>
      <c r="D141" s="19" t="s">
        <v>38</v>
      </c>
      <c r="E141" s="19" t="s">
        <v>217</v>
      </c>
      <c r="F141" s="19" t="s">
        <v>95</v>
      </c>
      <c r="G141" s="257"/>
      <c r="H141" s="10"/>
      <c r="I141" s="11"/>
      <c r="J141" s="11"/>
      <c r="K141" s="11"/>
      <c r="L141" s="11"/>
      <c r="M141" s="11"/>
      <c r="N141" s="11"/>
      <c r="O141" s="12"/>
      <c r="P141" s="11"/>
      <c r="Q141" s="13"/>
      <c r="R141" s="14"/>
    </row>
    <row r="142" spans="1:18" ht="15" customHeight="1" x14ac:dyDescent="0.3">
      <c r="A142" s="15" t="s">
        <v>36</v>
      </c>
      <c r="B142" s="15" t="s">
        <v>575</v>
      </c>
      <c r="C142" s="16">
        <v>0.81944444444444453</v>
      </c>
      <c r="D142" s="15" t="s">
        <v>41</v>
      </c>
      <c r="E142" s="15" t="s">
        <v>42</v>
      </c>
      <c r="F142" s="15" t="s">
        <v>45</v>
      </c>
      <c r="G142" s="257"/>
      <c r="H142" s="10"/>
      <c r="I142" s="11"/>
      <c r="J142" s="11"/>
      <c r="K142" s="11"/>
      <c r="L142" s="11"/>
      <c r="M142" s="11"/>
      <c r="N142" s="11"/>
      <c r="O142" s="12"/>
      <c r="P142" s="11"/>
      <c r="Q142" s="13"/>
      <c r="R142" s="14"/>
    </row>
    <row r="143" spans="1:18" ht="15" customHeight="1" x14ac:dyDescent="0.3">
      <c r="A143" s="15" t="s">
        <v>36</v>
      </c>
      <c r="B143" s="15" t="s">
        <v>575</v>
      </c>
      <c r="C143" s="16">
        <v>0.81944444444444453</v>
      </c>
      <c r="D143" s="15" t="s">
        <v>44</v>
      </c>
      <c r="E143" s="15" t="s">
        <v>42</v>
      </c>
      <c r="F143" s="15" t="s">
        <v>638</v>
      </c>
      <c r="G143" s="257"/>
      <c r="H143" s="10"/>
      <c r="I143" s="11"/>
      <c r="J143" s="11"/>
      <c r="K143" s="11"/>
      <c r="L143" s="11"/>
      <c r="M143" s="11"/>
      <c r="N143" s="11"/>
      <c r="O143" s="12"/>
      <c r="P143" s="11"/>
      <c r="Q143" s="13"/>
      <c r="R143" s="14"/>
    </row>
    <row r="144" spans="1:18" ht="15" customHeight="1" x14ac:dyDescent="0.3">
      <c r="A144" s="178" t="s">
        <v>73</v>
      </c>
      <c r="B144" s="178" t="s">
        <v>591</v>
      </c>
      <c r="C144" s="179">
        <v>0.41319444444444442</v>
      </c>
      <c r="D144" s="178" t="s">
        <v>100</v>
      </c>
      <c r="E144" s="178" t="s">
        <v>81</v>
      </c>
      <c r="F144" s="178" t="s">
        <v>208</v>
      </c>
      <c r="G144" s="257"/>
      <c r="H144" s="180" t="s">
        <v>593</v>
      </c>
      <c r="I144" s="181">
        <v>0.58099999999999996</v>
      </c>
      <c r="J144" s="182">
        <v>104</v>
      </c>
      <c r="K144" s="183" t="s">
        <v>103</v>
      </c>
      <c r="L144" s="182">
        <v>57</v>
      </c>
      <c r="M144" s="182">
        <v>0</v>
      </c>
      <c r="N144" s="182">
        <v>17</v>
      </c>
      <c r="O144" s="184" t="s">
        <v>333</v>
      </c>
      <c r="P144" s="185">
        <v>0.41319444444444442</v>
      </c>
      <c r="Q144" s="182">
        <v>179</v>
      </c>
      <c r="R144" s="186" t="s">
        <v>639</v>
      </c>
    </row>
    <row r="145" spans="1:18" ht="15" customHeight="1" x14ac:dyDescent="0.3">
      <c r="A145" s="17" t="s">
        <v>586</v>
      </c>
      <c r="B145" s="17" t="s">
        <v>587</v>
      </c>
      <c r="C145" s="18">
        <v>8.6805555555555566E-2</v>
      </c>
      <c r="D145" s="17" t="s">
        <v>100</v>
      </c>
      <c r="E145" s="17" t="s">
        <v>269</v>
      </c>
      <c r="F145" s="17" t="s">
        <v>640</v>
      </c>
      <c r="G145" s="257"/>
      <c r="H145" s="10"/>
      <c r="I145" s="11"/>
      <c r="J145" s="11"/>
      <c r="K145" s="11"/>
      <c r="L145" s="11"/>
      <c r="M145" s="11"/>
      <c r="N145" s="11"/>
      <c r="O145" s="12"/>
      <c r="P145" s="11"/>
      <c r="Q145" s="13"/>
      <c r="R145" s="14"/>
    </row>
    <row r="146" spans="1:18" ht="15" customHeight="1" x14ac:dyDescent="0.3">
      <c r="A146" s="17" t="s">
        <v>239</v>
      </c>
      <c r="B146" s="17" t="s">
        <v>641</v>
      </c>
      <c r="C146" s="18">
        <v>0.47916666666666669</v>
      </c>
      <c r="D146" s="17" t="s">
        <v>100</v>
      </c>
      <c r="E146" s="17" t="s">
        <v>55</v>
      </c>
      <c r="F146" s="17" t="s">
        <v>642</v>
      </c>
      <c r="G146" s="257"/>
      <c r="H146" s="10"/>
      <c r="I146" s="11"/>
      <c r="J146" s="11"/>
      <c r="K146" s="11"/>
      <c r="L146" s="11"/>
      <c r="M146" s="11"/>
      <c r="N146" s="11"/>
      <c r="O146" s="12"/>
      <c r="P146" s="11"/>
      <c r="Q146" s="13"/>
      <c r="R146" s="14"/>
    </row>
    <row r="147" spans="1:18" ht="15" customHeight="1" x14ac:dyDescent="0.3">
      <c r="A147" s="17" t="s">
        <v>68</v>
      </c>
      <c r="B147" s="17" t="s">
        <v>600</v>
      </c>
      <c r="C147" s="18">
        <v>0.35416666666666669</v>
      </c>
      <c r="D147" s="17" t="s">
        <v>70</v>
      </c>
      <c r="E147" s="17" t="s">
        <v>81</v>
      </c>
      <c r="F147" s="17" t="s">
        <v>643</v>
      </c>
      <c r="G147" s="257"/>
      <c r="H147" s="10"/>
      <c r="I147" s="11"/>
      <c r="J147" s="11"/>
      <c r="K147" s="11"/>
      <c r="L147" s="11"/>
      <c r="M147" s="11"/>
      <c r="N147" s="11"/>
      <c r="O147" s="12"/>
      <c r="P147" s="11"/>
      <c r="Q147" s="13"/>
      <c r="R147" s="14"/>
    </row>
    <row r="148" spans="1:18" ht="15" customHeight="1" x14ac:dyDescent="0.3">
      <c r="A148" s="19" t="s">
        <v>68</v>
      </c>
      <c r="B148" s="19" t="s">
        <v>598</v>
      </c>
      <c r="C148" s="20">
        <v>0.98263888888888884</v>
      </c>
      <c r="D148" s="19" t="s">
        <v>70</v>
      </c>
      <c r="E148" s="19" t="s">
        <v>61</v>
      </c>
      <c r="F148" s="19" t="s">
        <v>644</v>
      </c>
      <c r="G148" s="257"/>
      <c r="H148" s="10"/>
      <c r="I148" s="11"/>
      <c r="J148" s="11"/>
      <c r="K148" s="11"/>
      <c r="L148" s="11"/>
      <c r="M148" s="11"/>
      <c r="N148" s="11"/>
      <c r="O148" s="12"/>
      <c r="P148" s="11"/>
      <c r="Q148" s="13"/>
      <c r="R148" s="14"/>
    </row>
    <row r="149" spans="1:18" ht="15" customHeight="1" x14ac:dyDescent="0.3">
      <c r="A149" s="19" t="s">
        <v>68</v>
      </c>
      <c r="B149" s="19" t="s">
        <v>601</v>
      </c>
      <c r="C149" s="20">
        <v>0.73263888888888884</v>
      </c>
      <c r="D149" s="19" t="s">
        <v>70</v>
      </c>
      <c r="E149" s="19" t="s">
        <v>233</v>
      </c>
      <c r="F149" s="19" t="s">
        <v>602</v>
      </c>
      <c r="G149" s="257"/>
      <c r="H149" s="10"/>
      <c r="I149" s="11"/>
      <c r="J149" s="11"/>
      <c r="K149" s="11"/>
      <c r="L149" s="11"/>
      <c r="M149" s="11"/>
      <c r="N149" s="11"/>
      <c r="O149" s="12"/>
      <c r="P149" s="11"/>
      <c r="Q149" s="13"/>
      <c r="R149" s="14"/>
    </row>
    <row r="150" spans="1:18" ht="15" customHeight="1" x14ac:dyDescent="0.3">
      <c r="A150" s="17" t="s">
        <v>52</v>
      </c>
      <c r="B150" s="17" t="s">
        <v>610</v>
      </c>
      <c r="C150" s="18">
        <v>0.44444444444444442</v>
      </c>
      <c r="D150" s="17" t="s">
        <v>54</v>
      </c>
      <c r="E150" s="17" t="s">
        <v>298</v>
      </c>
      <c r="F150" s="17" t="s">
        <v>604</v>
      </c>
      <c r="G150" s="257"/>
      <c r="H150" s="10"/>
      <c r="I150" s="11"/>
      <c r="J150" s="11"/>
      <c r="K150" s="11"/>
      <c r="L150" s="11"/>
      <c r="M150" s="11"/>
      <c r="N150" s="11"/>
      <c r="O150" s="12"/>
      <c r="P150" s="11"/>
      <c r="Q150" s="13"/>
      <c r="R150" s="14"/>
    </row>
    <row r="151" spans="1:18" ht="15" customHeight="1" x14ac:dyDescent="0.3">
      <c r="A151" s="15" t="s">
        <v>52</v>
      </c>
      <c r="B151" s="15" t="s">
        <v>610</v>
      </c>
      <c r="C151" s="16">
        <v>0.44444444444444442</v>
      </c>
      <c r="D151" s="15" t="s">
        <v>57</v>
      </c>
      <c r="E151" s="15" t="s">
        <v>96</v>
      </c>
      <c r="F151" s="15" t="s">
        <v>605</v>
      </c>
      <c r="G151" s="257"/>
      <c r="H151" s="10"/>
      <c r="I151" s="11"/>
      <c r="J151" s="11"/>
      <c r="K151" s="11"/>
      <c r="L151" s="11"/>
      <c r="M151" s="11"/>
      <c r="N151" s="11"/>
      <c r="O151" s="12"/>
      <c r="P151" s="11"/>
      <c r="Q151" s="13"/>
      <c r="R151" s="14"/>
    </row>
    <row r="152" spans="1:18" ht="15" customHeight="1" x14ac:dyDescent="0.3">
      <c r="A152" s="19" t="s">
        <v>52</v>
      </c>
      <c r="B152" s="19" t="s">
        <v>603</v>
      </c>
      <c r="C152" s="20">
        <v>0.98263888888888884</v>
      </c>
      <c r="D152" s="19" t="s">
        <v>54</v>
      </c>
      <c r="E152" s="19" t="s">
        <v>227</v>
      </c>
      <c r="F152" s="19" t="s">
        <v>604</v>
      </c>
      <c r="G152" s="257"/>
      <c r="H152" s="10"/>
      <c r="I152" s="11"/>
      <c r="J152" s="11"/>
      <c r="K152" s="11"/>
      <c r="L152" s="11"/>
      <c r="M152" s="11"/>
      <c r="N152" s="11"/>
      <c r="O152" s="12"/>
      <c r="P152" s="11"/>
      <c r="Q152" s="13"/>
      <c r="R152" s="14"/>
    </row>
    <row r="153" spans="1:18" ht="15" customHeight="1" x14ac:dyDescent="0.3">
      <c r="A153" s="15" t="s">
        <v>52</v>
      </c>
      <c r="B153" s="15" t="s">
        <v>603</v>
      </c>
      <c r="C153" s="16">
        <v>0.98263888888888884</v>
      </c>
      <c r="D153" s="15" t="s">
        <v>57</v>
      </c>
      <c r="E153" s="15" t="s">
        <v>32</v>
      </c>
      <c r="F153" s="15" t="s">
        <v>605</v>
      </c>
      <c r="G153" s="257"/>
      <c r="H153" s="10"/>
      <c r="I153" s="11"/>
      <c r="J153" s="11"/>
      <c r="K153" s="11"/>
      <c r="L153" s="11"/>
      <c r="M153" s="11"/>
      <c r="N153" s="11"/>
      <c r="O153" s="12"/>
      <c r="P153" s="11"/>
      <c r="Q153" s="13"/>
      <c r="R153" s="14"/>
    </row>
    <row r="154" spans="1:18" ht="15" customHeight="1" x14ac:dyDescent="0.3">
      <c r="A154" s="19" t="s">
        <v>52</v>
      </c>
      <c r="B154" s="19" t="s">
        <v>612</v>
      </c>
      <c r="C154" s="20">
        <v>0.82986111111111116</v>
      </c>
      <c r="D154" s="19" t="s">
        <v>57</v>
      </c>
      <c r="E154" s="19" t="s">
        <v>86</v>
      </c>
      <c r="F154" s="19" t="s">
        <v>645</v>
      </c>
      <c r="G154" s="257"/>
      <c r="H154" s="10"/>
      <c r="I154" s="11"/>
      <c r="J154" s="11"/>
      <c r="K154" s="11"/>
      <c r="L154" s="11"/>
      <c r="M154" s="11"/>
      <c r="N154" s="11"/>
      <c r="O154" s="12"/>
      <c r="P154" s="11"/>
      <c r="Q154" s="13"/>
      <c r="R154" s="14"/>
    </row>
    <row r="155" spans="1:18" ht="15" customHeight="1" x14ac:dyDescent="0.3">
      <c r="A155" s="19" t="s">
        <v>52</v>
      </c>
      <c r="B155" s="19" t="s">
        <v>608</v>
      </c>
      <c r="C155" s="20">
        <v>0.62847222222222221</v>
      </c>
      <c r="D155" s="19" t="s">
        <v>57</v>
      </c>
      <c r="E155" s="19" t="s">
        <v>61</v>
      </c>
      <c r="F155" s="19" t="s">
        <v>646</v>
      </c>
      <c r="G155" s="257"/>
      <c r="H155" s="10"/>
      <c r="I155" s="11"/>
      <c r="J155" s="11"/>
      <c r="K155" s="11"/>
      <c r="L155" s="11"/>
      <c r="M155" s="11"/>
      <c r="N155" s="11"/>
      <c r="O155" s="12"/>
      <c r="P155" s="11"/>
      <c r="Q155" s="13"/>
      <c r="R155" s="14"/>
    </row>
    <row r="156" spans="1:18" ht="15" customHeight="1" x14ac:dyDescent="0.3">
      <c r="A156" s="19" t="s">
        <v>52</v>
      </c>
      <c r="B156" s="19" t="s">
        <v>606</v>
      </c>
      <c r="C156" s="20">
        <v>0.88888888888888884</v>
      </c>
      <c r="D156" s="19" t="s">
        <v>57</v>
      </c>
      <c r="E156" s="19" t="s">
        <v>61</v>
      </c>
      <c r="F156" s="19" t="s">
        <v>647</v>
      </c>
      <c r="G156" s="257"/>
      <c r="H156" s="10"/>
      <c r="I156" s="11"/>
      <c r="J156" s="11"/>
      <c r="K156" s="11"/>
      <c r="L156" s="11"/>
      <c r="M156" s="11"/>
      <c r="N156" s="11"/>
      <c r="O156" s="12"/>
      <c r="P156" s="11"/>
      <c r="Q156" s="13"/>
      <c r="R156" s="14"/>
    </row>
    <row r="157" spans="1:18" ht="15" customHeight="1" x14ac:dyDescent="0.3">
      <c r="A157" s="19" t="s">
        <v>52</v>
      </c>
      <c r="B157" s="19" t="s">
        <v>609</v>
      </c>
      <c r="C157" s="20">
        <v>0.94444444444444453</v>
      </c>
      <c r="D157" s="19" t="s">
        <v>57</v>
      </c>
      <c r="E157" s="19" t="s">
        <v>61</v>
      </c>
      <c r="F157" s="19" t="s">
        <v>648</v>
      </c>
      <c r="G157" s="257"/>
      <c r="H157" s="10"/>
      <c r="I157" s="11"/>
      <c r="J157" s="11"/>
      <c r="K157" s="11"/>
      <c r="L157" s="11"/>
      <c r="M157" s="11"/>
      <c r="N157" s="11"/>
      <c r="O157" s="12"/>
      <c r="P157" s="11"/>
      <c r="Q157" s="13"/>
      <c r="R157" s="14"/>
    </row>
    <row r="158" spans="1:18" ht="15" customHeight="1" x14ac:dyDescent="0.3">
      <c r="A158" s="39" t="s">
        <v>52</v>
      </c>
      <c r="B158" s="39" t="s">
        <v>613</v>
      </c>
      <c r="C158" s="40">
        <v>0.62847222222222221</v>
      </c>
      <c r="D158" s="39" t="s">
        <v>57</v>
      </c>
      <c r="E158" s="39" t="s">
        <v>61</v>
      </c>
      <c r="F158" s="39" t="s">
        <v>649</v>
      </c>
      <c r="G158" s="258"/>
      <c r="H158" s="41"/>
      <c r="I158" s="42"/>
      <c r="J158" s="42"/>
      <c r="K158" s="42"/>
      <c r="L158" s="42"/>
      <c r="M158" s="42"/>
      <c r="N158" s="42"/>
      <c r="O158" s="43"/>
      <c r="P158" s="42"/>
      <c r="Q158" s="44"/>
      <c r="R158" s="45"/>
    </row>
  </sheetData>
  <mergeCells count="18">
    <mergeCell ref="H1:L1"/>
    <mergeCell ref="A1:E1"/>
    <mergeCell ref="G2:J2"/>
    <mergeCell ref="K2:R2"/>
    <mergeCell ref="A4:F4"/>
    <mergeCell ref="H4:R4"/>
    <mergeCell ref="N1:R1"/>
    <mergeCell ref="A2:F2"/>
    <mergeCell ref="A3:R3"/>
    <mergeCell ref="G111:G158"/>
    <mergeCell ref="G61:G107"/>
    <mergeCell ref="A109:F109"/>
    <mergeCell ref="A58:R58"/>
    <mergeCell ref="H109:R109"/>
    <mergeCell ref="H59:R59"/>
    <mergeCell ref="A108:R108"/>
    <mergeCell ref="G6:G57"/>
    <mergeCell ref="A59:F59"/>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J6"/>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8.3320312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6" width="3.88671875" style="272" bestFit="1" customWidth="1"/>
    <col min="27" max="27" width="5" style="272" bestFit="1" customWidth="1"/>
    <col min="28" max="29" width="4.21875" style="272" bestFit="1" customWidth="1"/>
    <col min="30" max="31" width="4.5546875" style="272" bestFit="1" customWidth="1"/>
    <col min="32"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135</v>
      </c>
      <c r="B2" s="274">
        <v>45981</v>
      </c>
      <c r="C2" s="275" t="s">
        <v>593</v>
      </c>
      <c r="D2" s="276" t="s">
        <v>650</v>
      </c>
      <c r="E2" s="275" t="s">
        <v>554</v>
      </c>
      <c r="F2" s="275" t="s">
        <v>137</v>
      </c>
      <c r="G2" s="277">
        <v>0.56979999999999997</v>
      </c>
      <c r="H2" s="278">
        <v>179</v>
      </c>
      <c r="I2" s="278">
        <v>102</v>
      </c>
      <c r="J2" s="278">
        <v>0</v>
      </c>
      <c r="K2" s="275" t="s">
        <v>138</v>
      </c>
      <c r="L2" s="279" t="s">
        <v>103</v>
      </c>
      <c r="M2" s="278">
        <v>0</v>
      </c>
      <c r="N2" s="278">
        <v>5</v>
      </c>
      <c r="O2" s="278">
        <v>44</v>
      </c>
      <c r="P2" s="275" t="s">
        <v>380</v>
      </c>
      <c r="Q2" s="271"/>
      <c r="R2" s="271"/>
      <c r="S2" s="271"/>
      <c r="T2" s="271"/>
      <c r="U2" s="271"/>
      <c r="V2" s="271"/>
      <c r="W2" s="271"/>
      <c r="X2" s="271"/>
      <c r="Y2" s="271"/>
      <c r="Z2" s="271"/>
      <c r="AA2" s="271"/>
      <c r="AB2" s="278" t="s">
        <v>651</v>
      </c>
      <c r="AC2" s="278" t="s">
        <v>652</v>
      </c>
      <c r="AD2" s="278" t="s">
        <v>653</v>
      </c>
      <c r="AE2" s="278" t="s">
        <v>369</v>
      </c>
      <c r="AF2" s="278" t="s">
        <v>654</v>
      </c>
      <c r="AG2" s="271"/>
      <c r="AH2" s="271"/>
      <c r="AI2" s="271"/>
      <c r="AJ2" s="271"/>
    </row>
    <row r="3" spans="1:36" x14ac:dyDescent="0.3">
      <c r="A3" s="273" t="s">
        <v>390</v>
      </c>
      <c r="B3" s="274">
        <v>45982</v>
      </c>
      <c r="C3" s="275" t="s">
        <v>593</v>
      </c>
      <c r="D3" s="276" t="s">
        <v>372</v>
      </c>
      <c r="E3" s="275" t="s">
        <v>554</v>
      </c>
      <c r="F3" s="275" t="s">
        <v>137</v>
      </c>
      <c r="G3" s="277">
        <v>0.53069999999999995</v>
      </c>
      <c r="H3" s="278">
        <v>179</v>
      </c>
      <c r="I3" s="278">
        <v>95</v>
      </c>
      <c r="J3" s="278">
        <v>0</v>
      </c>
      <c r="K3" s="275" t="s">
        <v>138</v>
      </c>
      <c r="L3" s="279" t="s">
        <v>253</v>
      </c>
      <c r="M3" s="278">
        <v>3</v>
      </c>
      <c r="N3" s="278">
        <v>7</v>
      </c>
      <c r="O3" s="278">
        <v>48</v>
      </c>
      <c r="P3" s="275" t="s">
        <v>490</v>
      </c>
      <c r="Q3" s="271"/>
      <c r="R3" s="271"/>
      <c r="S3" s="271"/>
      <c r="T3" s="271"/>
      <c r="U3" s="271"/>
      <c r="V3" s="271"/>
      <c r="W3" s="271"/>
      <c r="X3" s="271"/>
      <c r="Y3" s="271"/>
      <c r="Z3" s="278" t="s">
        <v>139</v>
      </c>
      <c r="AA3" s="278" t="s">
        <v>655</v>
      </c>
      <c r="AB3" s="278" t="s">
        <v>494</v>
      </c>
      <c r="AC3" s="278" t="s">
        <v>656</v>
      </c>
      <c r="AD3" s="278" t="s">
        <v>368</v>
      </c>
      <c r="AE3" s="278" t="s">
        <v>412</v>
      </c>
      <c r="AF3" s="278" t="s">
        <v>657</v>
      </c>
      <c r="AG3" s="271"/>
      <c r="AH3" s="271"/>
      <c r="AI3" s="271"/>
      <c r="AJ3" s="271"/>
    </row>
    <row r="4" spans="1:36" x14ac:dyDescent="0.3">
      <c r="A4" s="273" t="s">
        <v>390</v>
      </c>
      <c r="B4" s="274">
        <v>45982</v>
      </c>
      <c r="C4" s="275" t="s">
        <v>625</v>
      </c>
      <c r="D4" s="276" t="s">
        <v>658</v>
      </c>
      <c r="E4" s="275" t="s">
        <v>554</v>
      </c>
      <c r="F4" s="275" t="s">
        <v>137</v>
      </c>
      <c r="G4" s="277">
        <v>0.43580000000000002</v>
      </c>
      <c r="H4" s="278">
        <v>179</v>
      </c>
      <c r="I4" s="278">
        <v>78</v>
      </c>
      <c r="J4" s="278">
        <v>0</v>
      </c>
      <c r="K4" s="275" t="s">
        <v>138</v>
      </c>
      <c r="L4" s="279" t="s">
        <v>103</v>
      </c>
      <c r="M4" s="278">
        <v>0</v>
      </c>
      <c r="N4" s="278">
        <v>6</v>
      </c>
      <c r="O4" s="278">
        <v>27</v>
      </c>
      <c r="P4" s="275" t="s">
        <v>490</v>
      </c>
      <c r="Q4" s="271"/>
      <c r="R4" s="271"/>
      <c r="S4" s="271"/>
      <c r="T4" s="271"/>
      <c r="U4" s="271"/>
      <c r="V4" s="271"/>
      <c r="W4" s="271"/>
      <c r="X4" s="271"/>
      <c r="Y4" s="271"/>
      <c r="Z4" s="271"/>
      <c r="AA4" s="278" t="s">
        <v>655</v>
      </c>
      <c r="AB4" s="278" t="s">
        <v>494</v>
      </c>
      <c r="AC4" s="278" t="s">
        <v>140</v>
      </c>
      <c r="AD4" s="278" t="s">
        <v>659</v>
      </c>
      <c r="AE4" s="278" t="s">
        <v>402</v>
      </c>
      <c r="AF4" s="278" t="s">
        <v>660</v>
      </c>
      <c r="AG4" s="271"/>
      <c r="AH4" s="271"/>
      <c r="AI4" s="271"/>
      <c r="AJ4" s="271"/>
    </row>
    <row r="5" spans="1:36" x14ac:dyDescent="0.3">
      <c r="A5" s="273" t="s">
        <v>146</v>
      </c>
      <c r="B5" s="274">
        <v>45983</v>
      </c>
      <c r="C5" s="275" t="s">
        <v>593</v>
      </c>
      <c r="D5" s="276" t="s">
        <v>650</v>
      </c>
      <c r="E5" s="275" t="s">
        <v>554</v>
      </c>
      <c r="F5" s="275" t="s">
        <v>137</v>
      </c>
      <c r="G5" s="277">
        <v>0.58099999999999996</v>
      </c>
      <c r="H5" s="278">
        <v>179</v>
      </c>
      <c r="I5" s="278">
        <v>104</v>
      </c>
      <c r="J5" s="278">
        <v>0</v>
      </c>
      <c r="K5" s="275" t="s">
        <v>138</v>
      </c>
      <c r="L5" s="279" t="s">
        <v>103</v>
      </c>
      <c r="M5" s="278">
        <v>0</v>
      </c>
      <c r="N5" s="278">
        <v>17</v>
      </c>
      <c r="O5" s="278">
        <v>57</v>
      </c>
      <c r="P5" s="275" t="s">
        <v>333</v>
      </c>
      <c r="Q5" s="271"/>
      <c r="R5" s="271"/>
      <c r="S5" s="271"/>
      <c r="T5" s="271"/>
      <c r="U5" s="271"/>
      <c r="V5" s="271"/>
      <c r="W5" s="271"/>
      <c r="X5" s="271"/>
      <c r="Y5" s="271"/>
      <c r="Z5" s="278" t="s">
        <v>365</v>
      </c>
      <c r="AA5" s="278" t="s">
        <v>366</v>
      </c>
      <c r="AB5" s="278" t="s">
        <v>534</v>
      </c>
      <c r="AC5" s="278" t="s">
        <v>140</v>
      </c>
      <c r="AD5" s="278" t="s">
        <v>661</v>
      </c>
      <c r="AE5" s="278" t="s">
        <v>402</v>
      </c>
      <c r="AF5" s="278" t="s">
        <v>662</v>
      </c>
      <c r="AG5" s="271"/>
      <c r="AH5" s="271"/>
      <c r="AI5" s="271"/>
      <c r="AJ5" s="271"/>
    </row>
    <row r="6" spans="1:36" ht="21" x14ac:dyDescent="0.3">
      <c r="A6" s="280" t="s">
        <v>943</v>
      </c>
      <c r="B6" s="281"/>
      <c r="C6" s="280">
        <f>SUBTOTAL(103,CAI_RUH_LF_LEGACY[Flt])</f>
        <v>4</v>
      </c>
      <c r="D6" s="280"/>
      <c r="E6" s="280">
        <f>SUBTOTAL(103,CAI_RUH_LF_LEGACY[Brd-Off])</f>
        <v>4</v>
      </c>
      <c r="F6" s="280"/>
      <c r="G6" s="282">
        <f>SUBTOTAL(101,CAI_RUH_LF_LEGACY[LF%])</f>
        <v>0.52932499999999993</v>
      </c>
      <c r="H6" s="283">
        <f>SUBTOTAL(109,CAI_RUH_LF_LEGACY[CAP])</f>
        <v>716</v>
      </c>
      <c r="I6" s="283">
        <f>SUBTOTAL(109,CAI_RUH_LF_LEGACY[BKG(Y)])</f>
        <v>379</v>
      </c>
      <c r="J6" s="283">
        <f>SUBTOTAL(109,CAI_RUH_LF_LEGACY[GRP(Y)])</f>
        <v>0</v>
      </c>
      <c r="K6" s="280"/>
      <c r="L6" s="281"/>
      <c r="M6" s="283">
        <f>SUBTOTAL(109,CAI_RUH_LF_LEGACY[TO-DAY])</f>
        <v>3</v>
      </c>
      <c r="N6" s="283">
        <f>SUBTOTAL(109,CAI_RUH_LF_LEGACY[Y-DAY])</f>
        <v>35</v>
      </c>
      <c r="O6" s="283">
        <f>SUBTOTAL(109,CAI_RUH_LF_LEGACY[WEEKLY])</f>
        <v>176</v>
      </c>
      <c r="P6" s="284"/>
      <c r="Q6" s="283">
        <f>SUBTOTAL(109,CAI_RUH_LF_LEGACY[Y])</f>
        <v>0</v>
      </c>
      <c r="R6" s="283">
        <f>SUBTOTAL(109,CAI_RUH_LF_LEGACY[B])</f>
        <v>0</v>
      </c>
      <c r="S6" s="283">
        <f>SUBTOTAL(109,CAI_RUH_LF_LEGACY[M])</f>
        <v>0</v>
      </c>
      <c r="T6" s="283">
        <f>SUBTOTAL(109,CAI_RUH_LF_LEGACY[H])</f>
        <v>0</v>
      </c>
      <c r="U6" s="283">
        <f>SUBTOTAL(109,CAI_RUH_LF_LEGACY[Q])</f>
        <v>0</v>
      </c>
      <c r="V6" s="283">
        <f>SUBTOTAL(109,CAI_RUH_LF_LEGACY[K])</f>
        <v>0</v>
      </c>
      <c r="W6" s="283">
        <f>SUBTOTAL(109,CAI_RUH_LF_LEGACY[V])</f>
        <v>0</v>
      </c>
      <c r="X6" s="283">
        <f>SUBTOTAL(109,CAI_RUH_LF_LEGACY[L])</f>
        <v>0</v>
      </c>
      <c r="Y6" s="283">
        <f>SUBTOTAL(109,CAI_RUH_LF_LEGACY[G])</f>
        <v>0</v>
      </c>
      <c r="Z6" s="283">
        <f>SUBTOTAL(109,CAI_RUH_LF_LEGACY[S])</f>
        <v>0</v>
      </c>
      <c r="AA6" s="283">
        <f>SUBTOTAL(109,CAI_RUH_LF_LEGACY[W])</f>
        <v>0</v>
      </c>
      <c r="AB6" s="283">
        <f>SUBTOTAL(109,CAI_RUH_LF_LEGACY[T])</f>
        <v>0</v>
      </c>
      <c r="AC6" s="283">
        <f>SUBTOTAL(109,CAI_RUH_LF_LEGACY[X])</f>
        <v>0</v>
      </c>
      <c r="AD6" s="283">
        <f>SUBTOTAL(109,CAI_RUH_LF_LEGACY[U])</f>
        <v>0</v>
      </c>
      <c r="AE6" s="283">
        <f>SUBTOTAL(109,CAI_RUH_LF_LEGACY[O])</f>
        <v>0</v>
      </c>
      <c r="AF6" s="283">
        <f>SUBTOTAL(109,CAI_RUH_LF_LEGACY[I])</f>
        <v>0</v>
      </c>
      <c r="AG6" s="283">
        <f>SUBTOTAL(109,CAI_RUH_LF_LEGACY[E])</f>
        <v>0</v>
      </c>
      <c r="AH6" s="283">
        <f>SUBTOTAL(109,CAI_RUH_LF_LEGACY[A])</f>
        <v>0</v>
      </c>
      <c r="AI6" s="283">
        <f>SUBTOTAL(109,CAI_RUH_LF_LEGACY[P])</f>
        <v>0</v>
      </c>
      <c r="AJ6" s="283">
        <f>SUBTOTAL(103,CAI_RUH_LF_LEGACY[N])</f>
        <v>0</v>
      </c>
    </row>
  </sheetData>
  <pageMargins left="0.75" right="0.75" top="1" bottom="1" header="0.5" footer="0.5"/>
  <tableParts count="1">
    <tablePart r:id="rId1"/>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14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1.77734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26</v>
      </c>
      <c r="C2" s="61" t="s">
        <v>555</v>
      </c>
      <c r="D2" s="60" t="s">
        <v>554</v>
      </c>
      <c r="E2" s="60" t="s">
        <v>663</v>
      </c>
      <c r="F2" s="60" t="s">
        <v>28</v>
      </c>
      <c r="G2" s="62">
        <v>28</v>
      </c>
      <c r="H2" s="63" t="s">
        <v>557</v>
      </c>
    </row>
    <row r="3" spans="1:8" ht="19.8" customHeight="1" x14ac:dyDescent="0.3">
      <c r="A3" s="59" t="s">
        <v>152</v>
      </c>
      <c r="B3" s="60" t="s">
        <v>26</v>
      </c>
      <c r="C3" s="61" t="s">
        <v>560</v>
      </c>
      <c r="D3" s="60" t="s">
        <v>554</v>
      </c>
      <c r="E3" s="60" t="s">
        <v>664</v>
      </c>
      <c r="F3" s="60" t="s">
        <v>28</v>
      </c>
      <c r="G3" s="62">
        <v>27</v>
      </c>
      <c r="H3" s="63" t="s">
        <v>557</v>
      </c>
    </row>
    <row r="4" spans="1:8" ht="19.8" customHeight="1" x14ac:dyDescent="0.3">
      <c r="A4" s="59" t="s">
        <v>152</v>
      </c>
      <c r="B4" s="60" t="s">
        <v>26</v>
      </c>
      <c r="C4" s="61" t="s">
        <v>563</v>
      </c>
      <c r="D4" s="60" t="s">
        <v>554</v>
      </c>
      <c r="E4" s="60" t="s">
        <v>431</v>
      </c>
      <c r="F4" s="60" t="s">
        <v>28</v>
      </c>
      <c r="G4" s="62">
        <v>53</v>
      </c>
      <c r="H4" s="63" t="s">
        <v>557</v>
      </c>
    </row>
    <row r="5" spans="1:8" ht="19.8" customHeight="1" x14ac:dyDescent="0.3">
      <c r="A5" s="59" t="s">
        <v>152</v>
      </c>
      <c r="B5" s="60" t="s">
        <v>26</v>
      </c>
      <c r="C5" s="61" t="s">
        <v>566</v>
      </c>
      <c r="D5" s="60" t="s">
        <v>554</v>
      </c>
      <c r="E5" s="60" t="s">
        <v>434</v>
      </c>
      <c r="F5" s="60" t="s">
        <v>28</v>
      </c>
      <c r="G5" s="62">
        <v>49</v>
      </c>
      <c r="H5" s="63" t="s">
        <v>557</v>
      </c>
    </row>
    <row r="6" spans="1:8" ht="19.8" customHeight="1" x14ac:dyDescent="0.3">
      <c r="A6" s="59" t="s">
        <v>152</v>
      </c>
      <c r="B6" s="60" t="s">
        <v>36</v>
      </c>
      <c r="C6" s="61" t="s">
        <v>569</v>
      </c>
      <c r="D6" s="60" t="s">
        <v>554</v>
      </c>
      <c r="E6" s="60" t="s">
        <v>665</v>
      </c>
      <c r="F6" s="60" t="s">
        <v>38</v>
      </c>
      <c r="G6" s="62">
        <v>9</v>
      </c>
      <c r="H6" s="63" t="s">
        <v>570</v>
      </c>
    </row>
    <row r="7" spans="1:8" ht="19.8" customHeight="1" x14ac:dyDescent="0.3">
      <c r="A7" s="59" t="s">
        <v>152</v>
      </c>
      <c r="B7" s="60" t="s">
        <v>36</v>
      </c>
      <c r="C7" s="61" t="s">
        <v>573</v>
      </c>
      <c r="D7" s="60" t="s">
        <v>554</v>
      </c>
      <c r="E7" s="60" t="s">
        <v>666</v>
      </c>
      <c r="F7" s="60" t="s">
        <v>38</v>
      </c>
      <c r="G7" s="62">
        <v>9</v>
      </c>
      <c r="H7" s="63" t="s">
        <v>570</v>
      </c>
    </row>
    <row r="8" spans="1:8" ht="19.8" customHeight="1" x14ac:dyDescent="0.3">
      <c r="A8" s="59" t="s">
        <v>152</v>
      </c>
      <c r="B8" s="60" t="s">
        <v>36</v>
      </c>
      <c r="C8" s="61" t="s">
        <v>574</v>
      </c>
      <c r="D8" s="60" t="s">
        <v>554</v>
      </c>
      <c r="E8" s="60" t="s">
        <v>405</v>
      </c>
      <c r="F8" s="60" t="s">
        <v>38</v>
      </c>
      <c r="G8" s="62">
        <v>3</v>
      </c>
      <c r="H8" s="63" t="s">
        <v>570</v>
      </c>
    </row>
    <row r="9" spans="1:8" ht="19.8" customHeight="1" x14ac:dyDescent="0.3">
      <c r="A9" s="59" t="s">
        <v>152</v>
      </c>
      <c r="B9" s="60" t="s">
        <v>36</v>
      </c>
      <c r="C9" s="61" t="s">
        <v>575</v>
      </c>
      <c r="D9" s="60" t="s">
        <v>554</v>
      </c>
      <c r="E9" s="60" t="s">
        <v>500</v>
      </c>
      <c r="F9" s="60" t="s">
        <v>38</v>
      </c>
      <c r="G9" s="62">
        <v>6</v>
      </c>
      <c r="H9" s="63" t="s">
        <v>570</v>
      </c>
    </row>
    <row r="10" spans="1:8" ht="19.8" customHeight="1" x14ac:dyDescent="0.3">
      <c r="A10" s="59" t="s">
        <v>152</v>
      </c>
      <c r="B10" s="60" t="s">
        <v>36</v>
      </c>
      <c r="C10" s="61" t="s">
        <v>576</v>
      </c>
      <c r="D10" s="60" t="s">
        <v>554</v>
      </c>
      <c r="E10" s="60" t="s">
        <v>176</v>
      </c>
      <c r="F10" s="60" t="s">
        <v>38</v>
      </c>
      <c r="G10" s="62">
        <v>1</v>
      </c>
      <c r="H10" s="63" t="s">
        <v>570</v>
      </c>
    </row>
    <row r="11" spans="1:8" ht="19.8" customHeight="1" x14ac:dyDescent="0.3">
      <c r="A11" s="59" t="s">
        <v>152</v>
      </c>
      <c r="B11" s="60" t="s">
        <v>239</v>
      </c>
      <c r="C11" s="61" t="s">
        <v>581</v>
      </c>
      <c r="D11" s="60" t="s">
        <v>554</v>
      </c>
      <c r="E11" s="60" t="s">
        <v>667</v>
      </c>
      <c r="F11" s="60" t="s">
        <v>100</v>
      </c>
      <c r="G11" s="62">
        <v>9</v>
      </c>
      <c r="H11" s="63" t="s">
        <v>582</v>
      </c>
    </row>
    <row r="12" spans="1:8" ht="19.8" customHeight="1" x14ac:dyDescent="0.3">
      <c r="A12" s="59" t="s">
        <v>152</v>
      </c>
      <c r="B12" s="60" t="s">
        <v>239</v>
      </c>
      <c r="C12" s="61" t="s">
        <v>583</v>
      </c>
      <c r="D12" s="60" t="s">
        <v>554</v>
      </c>
      <c r="E12" s="60" t="s">
        <v>196</v>
      </c>
      <c r="F12" s="60" t="s">
        <v>100</v>
      </c>
      <c r="G12" s="62">
        <v>9</v>
      </c>
      <c r="H12" s="63" t="s">
        <v>582</v>
      </c>
    </row>
    <row r="13" spans="1:8" ht="19.8" customHeight="1" x14ac:dyDescent="0.3">
      <c r="A13" s="59" t="s">
        <v>152</v>
      </c>
      <c r="B13" s="60" t="s">
        <v>586</v>
      </c>
      <c r="C13" s="61" t="s">
        <v>587</v>
      </c>
      <c r="D13" s="60" t="s">
        <v>554</v>
      </c>
      <c r="E13" s="60" t="s">
        <v>668</v>
      </c>
      <c r="F13" s="60" t="s">
        <v>100</v>
      </c>
      <c r="G13" s="62">
        <v>6</v>
      </c>
      <c r="H13" s="63" t="s">
        <v>588</v>
      </c>
    </row>
    <row r="14" spans="1:8" ht="19.8" customHeight="1" x14ac:dyDescent="0.3">
      <c r="A14" s="59" t="s">
        <v>152</v>
      </c>
      <c r="B14" s="60" t="s">
        <v>36</v>
      </c>
      <c r="C14" s="61" t="s">
        <v>577</v>
      </c>
      <c r="D14" s="60" t="s">
        <v>554</v>
      </c>
      <c r="E14" s="60" t="s">
        <v>401</v>
      </c>
      <c r="F14" s="60" t="s">
        <v>38</v>
      </c>
      <c r="G14" s="62">
        <v>3</v>
      </c>
      <c r="H14" s="63" t="s">
        <v>578</v>
      </c>
    </row>
    <row r="15" spans="1:8" ht="19.8" customHeight="1" x14ac:dyDescent="0.3">
      <c r="A15" s="59" t="s">
        <v>152</v>
      </c>
      <c r="B15" s="60" t="s">
        <v>36</v>
      </c>
      <c r="C15" s="61" t="s">
        <v>580</v>
      </c>
      <c r="D15" s="60" t="s">
        <v>554</v>
      </c>
      <c r="E15" s="60" t="s">
        <v>669</v>
      </c>
      <c r="F15" s="60" t="s">
        <v>38</v>
      </c>
      <c r="G15" s="62">
        <v>6</v>
      </c>
      <c r="H15" s="63" t="s">
        <v>578</v>
      </c>
    </row>
    <row r="16" spans="1:8" ht="19.8" customHeight="1" x14ac:dyDescent="0.3">
      <c r="A16" s="59" t="s">
        <v>152</v>
      </c>
      <c r="B16" s="60" t="s">
        <v>239</v>
      </c>
      <c r="C16" s="61" t="s">
        <v>584</v>
      </c>
      <c r="D16" s="60" t="s">
        <v>554</v>
      </c>
      <c r="E16" s="60" t="s">
        <v>670</v>
      </c>
      <c r="F16" s="60" t="s">
        <v>100</v>
      </c>
      <c r="G16" s="62">
        <v>9</v>
      </c>
      <c r="H16" s="63" t="s">
        <v>585</v>
      </c>
    </row>
    <row r="17" spans="1:8" ht="19.8" customHeight="1" x14ac:dyDescent="0.3">
      <c r="A17" s="59" t="s">
        <v>152</v>
      </c>
      <c r="B17" s="60" t="s">
        <v>586</v>
      </c>
      <c r="C17" s="61" t="s">
        <v>589</v>
      </c>
      <c r="D17" s="60" t="s">
        <v>554</v>
      </c>
      <c r="E17" s="60" t="s">
        <v>552</v>
      </c>
      <c r="F17" s="60" t="s">
        <v>100</v>
      </c>
      <c r="G17" s="62">
        <v>9</v>
      </c>
      <c r="H17" s="63" t="s">
        <v>590</v>
      </c>
    </row>
    <row r="18" spans="1:8" ht="19.8" customHeight="1" x14ac:dyDescent="0.3">
      <c r="A18" s="99" t="s">
        <v>152</v>
      </c>
      <c r="B18" s="77" t="s">
        <v>73</v>
      </c>
      <c r="C18" s="78" t="s">
        <v>591</v>
      </c>
      <c r="D18" s="77" t="s">
        <v>554</v>
      </c>
      <c r="E18" s="77" t="s">
        <v>650</v>
      </c>
      <c r="F18" s="77" t="s">
        <v>100</v>
      </c>
      <c r="G18" s="80">
        <v>9</v>
      </c>
      <c r="H18" s="81" t="s">
        <v>592</v>
      </c>
    </row>
    <row r="19" spans="1:8" ht="19.8" customHeight="1" x14ac:dyDescent="0.3">
      <c r="A19" s="68">
        <v>45981</v>
      </c>
      <c r="B19" s="60" t="s">
        <v>36</v>
      </c>
      <c r="C19" s="61" t="s">
        <v>569</v>
      </c>
      <c r="D19" s="60" t="s">
        <v>554</v>
      </c>
      <c r="E19" s="69">
        <v>1.958333333333333</v>
      </c>
      <c r="F19" s="60" t="s">
        <v>41</v>
      </c>
      <c r="G19" s="62">
        <v>9</v>
      </c>
      <c r="H19" s="63" t="s">
        <v>571</v>
      </c>
    </row>
    <row r="20" spans="1:8" ht="19.8" customHeight="1" x14ac:dyDescent="0.3">
      <c r="A20" s="68">
        <v>45981</v>
      </c>
      <c r="B20" s="60" t="s">
        <v>36</v>
      </c>
      <c r="C20" s="61" t="s">
        <v>573</v>
      </c>
      <c r="D20" s="60" t="s">
        <v>554</v>
      </c>
      <c r="E20" s="69">
        <v>1.631944444444444</v>
      </c>
      <c r="F20" s="60" t="s">
        <v>41</v>
      </c>
      <c r="G20" s="62">
        <v>9</v>
      </c>
      <c r="H20" s="63" t="s">
        <v>571</v>
      </c>
    </row>
    <row r="21" spans="1:8" ht="19.8" customHeight="1" x14ac:dyDescent="0.3">
      <c r="A21" s="68">
        <v>45981</v>
      </c>
      <c r="B21" s="60" t="s">
        <v>36</v>
      </c>
      <c r="C21" s="61" t="s">
        <v>574</v>
      </c>
      <c r="D21" s="60" t="s">
        <v>554</v>
      </c>
      <c r="E21" s="69">
        <v>1.5590277777777779</v>
      </c>
      <c r="F21" s="60" t="s">
        <v>41</v>
      </c>
      <c r="G21" s="62">
        <v>3</v>
      </c>
      <c r="H21" s="63" t="s">
        <v>571</v>
      </c>
    </row>
    <row r="22" spans="1:8" ht="19.8" customHeight="1" x14ac:dyDescent="0.3">
      <c r="A22" s="68">
        <v>45981</v>
      </c>
      <c r="B22" s="60" t="s">
        <v>36</v>
      </c>
      <c r="C22" s="61" t="s">
        <v>575</v>
      </c>
      <c r="D22" s="60" t="s">
        <v>554</v>
      </c>
      <c r="E22" s="69">
        <v>1.819444444444444</v>
      </c>
      <c r="F22" s="60" t="s">
        <v>41</v>
      </c>
      <c r="G22" s="62">
        <v>6</v>
      </c>
      <c r="H22" s="63" t="s">
        <v>571</v>
      </c>
    </row>
    <row r="23" spans="1:8" ht="19.8" customHeight="1" x14ac:dyDescent="0.3">
      <c r="A23" s="68">
        <v>45981</v>
      </c>
      <c r="B23" s="60" t="s">
        <v>36</v>
      </c>
      <c r="C23" s="61" t="s">
        <v>576</v>
      </c>
      <c r="D23" s="60" t="s">
        <v>554</v>
      </c>
      <c r="E23" s="69">
        <v>1.697916666666667</v>
      </c>
      <c r="F23" s="60" t="s">
        <v>41</v>
      </c>
      <c r="G23" s="62">
        <v>1</v>
      </c>
      <c r="H23" s="63" t="s">
        <v>571</v>
      </c>
    </row>
    <row r="24" spans="1:8" ht="19.8" customHeight="1" x14ac:dyDescent="0.3">
      <c r="A24" s="68">
        <v>45981</v>
      </c>
      <c r="B24" s="60" t="s">
        <v>26</v>
      </c>
      <c r="C24" s="61" t="s">
        <v>555</v>
      </c>
      <c r="D24" s="60" t="s">
        <v>554</v>
      </c>
      <c r="E24" s="69">
        <v>1.5763888888888891</v>
      </c>
      <c r="F24" s="60" t="s">
        <v>31</v>
      </c>
      <c r="G24" s="62">
        <v>28</v>
      </c>
      <c r="H24" s="63" t="s">
        <v>208</v>
      </c>
    </row>
    <row r="25" spans="1:8" ht="19.8" customHeight="1" x14ac:dyDescent="0.3">
      <c r="A25" s="68">
        <v>45981</v>
      </c>
      <c r="B25" s="60" t="s">
        <v>26</v>
      </c>
      <c r="C25" s="61" t="s">
        <v>560</v>
      </c>
      <c r="D25" s="60" t="s">
        <v>554</v>
      </c>
      <c r="E25" s="69">
        <v>1.6284722222222221</v>
      </c>
      <c r="F25" s="60" t="s">
        <v>31</v>
      </c>
      <c r="G25" s="62">
        <v>27</v>
      </c>
      <c r="H25" s="63" t="s">
        <v>208</v>
      </c>
    </row>
    <row r="26" spans="1:8" ht="19.8" customHeight="1" x14ac:dyDescent="0.3">
      <c r="A26" s="68">
        <v>45981</v>
      </c>
      <c r="B26" s="60" t="s">
        <v>26</v>
      </c>
      <c r="C26" s="61" t="s">
        <v>563</v>
      </c>
      <c r="D26" s="60" t="s">
        <v>554</v>
      </c>
      <c r="E26" s="69">
        <v>1.8888888888888891</v>
      </c>
      <c r="F26" s="60" t="s">
        <v>31</v>
      </c>
      <c r="G26" s="62">
        <v>53</v>
      </c>
      <c r="H26" s="63" t="s">
        <v>208</v>
      </c>
    </row>
    <row r="27" spans="1:8" ht="19.8" customHeight="1" x14ac:dyDescent="0.3">
      <c r="A27" s="68">
        <v>45981</v>
      </c>
      <c r="B27" s="60" t="s">
        <v>26</v>
      </c>
      <c r="C27" s="61" t="s">
        <v>566</v>
      </c>
      <c r="D27" s="60" t="s">
        <v>554</v>
      </c>
      <c r="E27" s="69">
        <v>1.944444444444444</v>
      </c>
      <c r="F27" s="60" t="s">
        <v>31</v>
      </c>
      <c r="G27" s="62">
        <v>49</v>
      </c>
      <c r="H27" s="63" t="s">
        <v>208</v>
      </c>
    </row>
    <row r="28" spans="1:8" ht="19.8" customHeight="1" x14ac:dyDescent="0.3">
      <c r="A28" s="68">
        <v>45981</v>
      </c>
      <c r="B28" s="60" t="s">
        <v>36</v>
      </c>
      <c r="C28" s="61" t="s">
        <v>577</v>
      </c>
      <c r="D28" s="60" t="s">
        <v>554</v>
      </c>
      <c r="E28" s="69">
        <v>1.4375</v>
      </c>
      <c r="F28" s="60" t="s">
        <v>41</v>
      </c>
      <c r="G28" s="62">
        <v>3</v>
      </c>
      <c r="H28" s="63" t="s">
        <v>579</v>
      </c>
    </row>
    <row r="29" spans="1:8" ht="19.8" customHeight="1" x14ac:dyDescent="0.3">
      <c r="A29" s="68">
        <v>45981</v>
      </c>
      <c r="B29" s="60" t="s">
        <v>36</v>
      </c>
      <c r="C29" s="61" t="s">
        <v>580</v>
      </c>
      <c r="D29" s="60" t="s">
        <v>554</v>
      </c>
      <c r="E29" s="69">
        <v>1.506944444444444</v>
      </c>
      <c r="F29" s="60" t="s">
        <v>41</v>
      </c>
      <c r="G29" s="62">
        <v>6</v>
      </c>
      <c r="H29" s="63" t="s">
        <v>579</v>
      </c>
    </row>
    <row r="30" spans="1:8" ht="19.8" customHeight="1" x14ac:dyDescent="0.3">
      <c r="A30" s="68">
        <v>45981</v>
      </c>
      <c r="B30" s="60" t="s">
        <v>36</v>
      </c>
      <c r="C30" s="61" t="s">
        <v>569</v>
      </c>
      <c r="D30" s="60" t="s">
        <v>554</v>
      </c>
      <c r="E30" s="69">
        <v>1.958333333333333</v>
      </c>
      <c r="F30" s="60" t="s">
        <v>44</v>
      </c>
      <c r="G30" s="62">
        <v>9</v>
      </c>
      <c r="H30" s="63" t="s">
        <v>572</v>
      </c>
    </row>
    <row r="31" spans="1:8" ht="19.8" customHeight="1" x14ac:dyDescent="0.3">
      <c r="A31" s="68">
        <v>45981</v>
      </c>
      <c r="B31" s="60" t="s">
        <v>36</v>
      </c>
      <c r="C31" s="61" t="s">
        <v>573</v>
      </c>
      <c r="D31" s="60" t="s">
        <v>554</v>
      </c>
      <c r="E31" s="69">
        <v>1.631944444444444</v>
      </c>
      <c r="F31" s="60" t="s">
        <v>44</v>
      </c>
      <c r="G31" s="62">
        <v>9</v>
      </c>
      <c r="H31" s="63" t="s">
        <v>572</v>
      </c>
    </row>
    <row r="32" spans="1:8" ht="19.8" customHeight="1" x14ac:dyDescent="0.3">
      <c r="A32" s="68">
        <v>45981</v>
      </c>
      <c r="B32" s="60" t="s">
        <v>36</v>
      </c>
      <c r="C32" s="61" t="s">
        <v>574</v>
      </c>
      <c r="D32" s="60" t="s">
        <v>554</v>
      </c>
      <c r="E32" s="69">
        <v>1.5590277777777779</v>
      </c>
      <c r="F32" s="60" t="s">
        <v>44</v>
      </c>
      <c r="G32" s="62">
        <v>3</v>
      </c>
      <c r="H32" s="63" t="s">
        <v>572</v>
      </c>
    </row>
    <row r="33" spans="1:8" ht="19.8" customHeight="1" x14ac:dyDescent="0.3">
      <c r="A33" s="68">
        <v>45981</v>
      </c>
      <c r="B33" s="60" t="s">
        <v>36</v>
      </c>
      <c r="C33" s="61" t="s">
        <v>575</v>
      </c>
      <c r="D33" s="60" t="s">
        <v>554</v>
      </c>
      <c r="E33" s="69">
        <v>1.819444444444444</v>
      </c>
      <c r="F33" s="60" t="s">
        <v>44</v>
      </c>
      <c r="G33" s="62">
        <v>6</v>
      </c>
      <c r="H33" s="63" t="s">
        <v>572</v>
      </c>
    </row>
    <row r="34" spans="1:8" ht="19.8" customHeight="1" x14ac:dyDescent="0.3">
      <c r="A34" s="68">
        <v>45981</v>
      </c>
      <c r="B34" s="60" t="s">
        <v>36</v>
      </c>
      <c r="C34" s="61" t="s">
        <v>576</v>
      </c>
      <c r="D34" s="60" t="s">
        <v>554</v>
      </c>
      <c r="E34" s="69">
        <v>1.697916666666667</v>
      </c>
      <c r="F34" s="60" t="s">
        <v>44</v>
      </c>
      <c r="G34" s="62">
        <v>1</v>
      </c>
      <c r="H34" s="63" t="s">
        <v>572</v>
      </c>
    </row>
    <row r="35" spans="1:8" ht="19.8" customHeight="1" x14ac:dyDescent="0.3">
      <c r="A35" s="68">
        <v>45981</v>
      </c>
      <c r="B35" s="60" t="s">
        <v>266</v>
      </c>
      <c r="C35" s="61" t="s">
        <v>595</v>
      </c>
      <c r="D35" s="60" t="s">
        <v>554</v>
      </c>
      <c r="E35" s="69">
        <v>1.4375</v>
      </c>
      <c r="F35" s="60" t="s">
        <v>268</v>
      </c>
      <c r="G35" s="62">
        <v>5</v>
      </c>
      <c r="H35" s="63" t="s">
        <v>596</v>
      </c>
    </row>
    <row r="36" spans="1:8" ht="19.8" customHeight="1" x14ac:dyDescent="0.3">
      <c r="A36" s="68">
        <v>45981</v>
      </c>
      <c r="B36" s="60" t="s">
        <v>36</v>
      </c>
      <c r="C36" s="61" t="s">
        <v>577</v>
      </c>
      <c r="D36" s="60" t="s">
        <v>554</v>
      </c>
      <c r="E36" s="69">
        <v>1.4375</v>
      </c>
      <c r="F36" s="60" t="s">
        <v>44</v>
      </c>
      <c r="G36" s="62">
        <v>3</v>
      </c>
      <c r="H36" s="63" t="s">
        <v>30</v>
      </c>
    </row>
    <row r="37" spans="1:8" ht="19.8" customHeight="1" x14ac:dyDescent="0.3">
      <c r="A37" s="68">
        <v>45981</v>
      </c>
      <c r="B37" s="60" t="s">
        <v>36</v>
      </c>
      <c r="C37" s="61" t="s">
        <v>580</v>
      </c>
      <c r="D37" s="60" t="s">
        <v>554</v>
      </c>
      <c r="E37" s="69">
        <v>1.506944444444444</v>
      </c>
      <c r="F37" s="60" t="s">
        <v>44</v>
      </c>
      <c r="G37" s="62">
        <v>6</v>
      </c>
      <c r="H37" s="63" t="s">
        <v>30</v>
      </c>
    </row>
    <row r="38" spans="1:8" ht="19.8" customHeight="1" x14ac:dyDescent="0.3">
      <c r="A38" s="68">
        <v>45981</v>
      </c>
      <c r="B38" s="60" t="s">
        <v>68</v>
      </c>
      <c r="C38" s="61" t="s">
        <v>598</v>
      </c>
      <c r="D38" s="60" t="s">
        <v>554</v>
      </c>
      <c r="E38" s="69">
        <v>1.9826388888888891</v>
      </c>
      <c r="F38" s="60" t="s">
        <v>70</v>
      </c>
      <c r="G38" s="62">
        <v>9</v>
      </c>
      <c r="H38" s="63" t="s">
        <v>599</v>
      </c>
    </row>
    <row r="39" spans="1:8" ht="19.8" customHeight="1" x14ac:dyDescent="0.3">
      <c r="A39" s="68">
        <v>45981</v>
      </c>
      <c r="B39" s="60" t="s">
        <v>68</v>
      </c>
      <c r="C39" s="61" t="s">
        <v>600</v>
      </c>
      <c r="D39" s="60" t="s">
        <v>554</v>
      </c>
      <c r="E39" s="69">
        <v>1.354166666666667</v>
      </c>
      <c r="F39" s="60" t="s">
        <v>70</v>
      </c>
      <c r="G39" s="62">
        <v>6</v>
      </c>
      <c r="H39" s="63" t="s">
        <v>599</v>
      </c>
    </row>
    <row r="40" spans="1:8" ht="19.8" customHeight="1" x14ac:dyDescent="0.3">
      <c r="A40" s="68">
        <v>45981</v>
      </c>
      <c r="B40" s="60" t="s">
        <v>52</v>
      </c>
      <c r="C40" s="61" t="s">
        <v>603</v>
      </c>
      <c r="D40" s="60" t="s">
        <v>554</v>
      </c>
      <c r="E40" s="69">
        <v>1.9826388888888891</v>
      </c>
      <c r="F40" s="60" t="s">
        <v>54</v>
      </c>
      <c r="G40" s="62">
        <v>9</v>
      </c>
      <c r="H40" s="63" t="s">
        <v>604</v>
      </c>
    </row>
    <row r="41" spans="1:8" ht="19.8" customHeight="1" x14ac:dyDescent="0.3">
      <c r="A41" s="68">
        <v>45981</v>
      </c>
      <c r="B41" s="60" t="s">
        <v>266</v>
      </c>
      <c r="C41" s="61" t="s">
        <v>595</v>
      </c>
      <c r="D41" s="60" t="s">
        <v>554</v>
      </c>
      <c r="E41" s="69">
        <v>1.4375</v>
      </c>
      <c r="F41" s="60" t="s">
        <v>34</v>
      </c>
      <c r="G41" s="62">
        <v>5</v>
      </c>
      <c r="H41" s="63" t="s">
        <v>597</v>
      </c>
    </row>
    <row r="42" spans="1:8" ht="19.8" customHeight="1" x14ac:dyDescent="0.3">
      <c r="A42" s="68">
        <v>45981</v>
      </c>
      <c r="B42" s="60" t="s">
        <v>52</v>
      </c>
      <c r="C42" s="61" t="s">
        <v>603</v>
      </c>
      <c r="D42" s="60" t="s">
        <v>554</v>
      </c>
      <c r="E42" s="69">
        <v>1.9826388888888891</v>
      </c>
      <c r="F42" s="60" t="s">
        <v>57</v>
      </c>
      <c r="G42" s="62">
        <v>9</v>
      </c>
      <c r="H42" s="63" t="s">
        <v>605</v>
      </c>
    </row>
    <row r="43" spans="1:8" ht="19.8" customHeight="1" x14ac:dyDescent="0.3">
      <c r="A43" s="68">
        <v>45981</v>
      </c>
      <c r="B43" s="60" t="s">
        <v>26</v>
      </c>
      <c r="C43" s="61" t="s">
        <v>555</v>
      </c>
      <c r="D43" s="60" t="s">
        <v>554</v>
      </c>
      <c r="E43" s="69">
        <v>1.5763888888888891</v>
      </c>
      <c r="F43" s="60" t="s">
        <v>34</v>
      </c>
      <c r="G43" s="62">
        <v>28</v>
      </c>
      <c r="H43" s="63" t="s">
        <v>559</v>
      </c>
    </row>
    <row r="44" spans="1:8" ht="19.8" customHeight="1" x14ac:dyDescent="0.3">
      <c r="A44" s="68">
        <v>45981</v>
      </c>
      <c r="B44" s="60" t="s">
        <v>26</v>
      </c>
      <c r="C44" s="61" t="s">
        <v>560</v>
      </c>
      <c r="D44" s="60" t="s">
        <v>554</v>
      </c>
      <c r="E44" s="69">
        <v>1.6284722222222221</v>
      </c>
      <c r="F44" s="60" t="s">
        <v>34</v>
      </c>
      <c r="G44" s="62">
        <v>27</v>
      </c>
      <c r="H44" s="63" t="s">
        <v>559</v>
      </c>
    </row>
    <row r="45" spans="1:8" ht="19.8" customHeight="1" x14ac:dyDescent="0.3">
      <c r="A45" s="68">
        <v>45981</v>
      </c>
      <c r="B45" s="60" t="s">
        <v>26</v>
      </c>
      <c r="C45" s="61" t="s">
        <v>563</v>
      </c>
      <c r="D45" s="60" t="s">
        <v>554</v>
      </c>
      <c r="E45" s="69">
        <v>1.8888888888888891</v>
      </c>
      <c r="F45" s="60" t="s">
        <v>34</v>
      </c>
      <c r="G45" s="62">
        <v>53</v>
      </c>
      <c r="H45" s="63" t="s">
        <v>559</v>
      </c>
    </row>
    <row r="46" spans="1:8" ht="19.8" customHeight="1" x14ac:dyDescent="0.3">
      <c r="A46" s="68">
        <v>45981</v>
      </c>
      <c r="B46" s="60" t="s">
        <v>26</v>
      </c>
      <c r="C46" s="61" t="s">
        <v>566</v>
      </c>
      <c r="D46" s="60" t="s">
        <v>554</v>
      </c>
      <c r="E46" s="69">
        <v>1.944444444444444</v>
      </c>
      <c r="F46" s="60" t="s">
        <v>34</v>
      </c>
      <c r="G46" s="62">
        <v>49</v>
      </c>
      <c r="H46" s="63" t="s">
        <v>559</v>
      </c>
    </row>
    <row r="47" spans="1:8" ht="19.8" customHeight="1" x14ac:dyDescent="0.3">
      <c r="A47" s="68">
        <v>45981</v>
      </c>
      <c r="B47" s="60" t="s">
        <v>52</v>
      </c>
      <c r="C47" s="61" t="s">
        <v>606</v>
      </c>
      <c r="D47" s="60" t="s">
        <v>554</v>
      </c>
      <c r="E47" s="69">
        <v>1.8888888888888891</v>
      </c>
      <c r="F47" s="60" t="s">
        <v>57</v>
      </c>
      <c r="G47" s="62">
        <v>4</v>
      </c>
      <c r="H47" s="63" t="s">
        <v>607</v>
      </c>
    </row>
    <row r="48" spans="1:8" ht="19.8" customHeight="1" x14ac:dyDescent="0.3">
      <c r="A48" s="68">
        <v>45981</v>
      </c>
      <c r="B48" s="60" t="s">
        <v>52</v>
      </c>
      <c r="C48" s="61" t="s">
        <v>608</v>
      </c>
      <c r="D48" s="60" t="s">
        <v>554</v>
      </c>
      <c r="E48" s="69">
        <v>1.6284722222222221</v>
      </c>
      <c r="F48" s="60" t="s">
        <v>57</v>
      </c>
      <c r="G48" s="62">
        <v>4</v>
      </c>
      <c r="H48" s="63" t="s">
        <v>607</v>
      </c>
    </row>
    <row r="49" spans="1:8" ht="19.8" customHeight="1" x14ac:dyDescent="0.3">
      <c r="A49" s="68">
        <v>45981</v>
      </c>
      <c r="B49" s="60" t="s">
        <v>52</v>
      </c>
      <c r="C49" s="61" t="s">
        <v>609</v>
      </c>
      <c r="D49" s="60" t="s">
        <v>554</v>
      </c>
      <c r="E49" s="69">
        <v>1.944444444444444</v>
      </c>
      <c r="F49" s="60" t="s">
        <v>57</v>
      </c>
      <c r="G49" s="62">
        <v>4</v>
      </c>
      <c r="H49" s="63" t="s">
        <v>607</v>
      </c>
    </row>
    <row r="50" spans="1:8" ht="19.8" customHeight="1" x14ac:dyDescent="0.3">
      <c r="A50" s="68">
        <v>45981</v>
      </c>
      <c r="B50" s="60" t="s">
        <v>52</v>
      </c>
      <c r="C50" s="61" t="s">
        <v>610</v>
      </c>
      <c r="D50" s="60" t="s">
        <v>554</v>
      </c>
      <c r="E50" s="69">
        <v>1.444444444444444</v>
      </c>
      <c r="F50" s="60" t="s">
        <v>57</v>
      </c>
      <c r="G50" s="62">
        <v>7</v>
      </c>
      <c r="H50" s="63" t="s">
        <v>611</v>
      </c>
    </row>
    <row r="51" spans="1:8" ht="19.8" customHeight="1" x14ac:dyDescent="0.3">
      <c r="A51" s="68">
        <v>45981</v>
      </c>
      <c r="B51" s="60" t="s">
        <v>52</v>
      </c>
      <c r="C51" s="61" t="s">
        <v>612</v>
      </c>
      <c r="D51" s="60" t="s">
        <v>554</v>
      </c>
      <c r="E51" s="69">
        <v>1.8298611111111109</v>
      </c>
      <c r="F51" s="60" t="s">
        <v>57</v>
      </c>
      <c r="G51" s="62">
        <v>9</v>
      </c>
      <c r="H51" s="63" t="s">
        <v>611</v>
      </c>
    </row>
    <row r="52" spans="1:8" ht="19.8" customHeight="1" x14ac:dyDescent="0.3">
      <c r="A52" s="68">
        <v>45981</v>
      </c>
      <c r="B52" s="60" t="s">
        <v>52</v>
      </c>
      <c r="C52" s="61" t="s">
        <v>613</v>
      </c>
      <c r="D52" s="60" t="s">
        <v>554</v>
      </c>
      <c r="E52" s="69">
        <v>1.6284722222222221</v>
      </c>
      <c r="F52" s="60" t="s">
        <v>57</v>
      </c>
      <c r="G52" s="62">
        <v>9</v>
      </c>
      <c r="H52" s="63" t="s">
        <v>611</v>
      </c>
    </row>
    <row r="53" spans="1:8" ht="19.8" customHeight="1" x14ac:dyDescent="0.3">
      <c r="A53" s="70">
        <v>45981</v>
      </c>
      <c r="B53" s="71" t="s">
        <v>68</v>
      </c>
      <c r="C53" s="72" t="s">
        <v>601</v>
      </c>
      <c r="D53" s="71" t="s">
        <v>554</v>
      </c>
      <c r="E53" s="73">
        <v>1.729166666666667</v>
      </c>
      <c r="F53" s="71" t="s">
        <v>70</v>
      </c>
      <c r="G53" s="74">
        <v>3</v>
      </c>
      <c r="H53" s="75" t="s">
        <v>602</v>
      </c>
    </row>
    <row r="54" spans="1:8" ht="19.8" customHeight="1" x14ac:dyDescent="0.3">
      <c r="A54" s="68">
        <v>45982</v>
      </c>
      <c r="B54" s="60" t="s">
        <v>26</v>
      </c>
      <c r="C54" s="61" t="s">
        <v>555</v>
      </c>
      <c r="D54" s="60" t="s">
        <v>554</v>
      </c>
      <c r="E54" s="69">
        <v>1.5763888888888891</v>
      </c>
      <c r="F54" s="60" t="s">
        <v>28</v>
      </c>
      <c r="G54" s="62">
        <v>5</v>
      </c>
      <c r="H54" s="63" t="s">
        <v>557</v>
      </c>
    </row>
    <row r="55" spans="1:8" ht="19.8" customHeight="1" x14ac:dyDescent="0.3">
      <c r="A55" s="68">
        <v>45982</v>
      </c>
      <c r="B55" s="60" t="s">
        <v>26</v>
      </c>
      <c r="C55" s="61" t="s">
        <v>560</v>
      </c>
      <c r="D55" s="60" t="s">
        <v>554</v>
      </c>
      <c r="E55" s="69">
        <v>1.6284722222222221</v>
      </c>
      <c r="F55" s="60" t="s">
        <v>28</v>
      </c>
      <c r="G55" s="62">
        <v>23</v>
      </c>
      <c r="H55" s="63" t="s">
        <v>557</v>
      </c>
    </row>
    <row r="56" spans="1:8" ht="19.8" customHeight="1" x14ac:dyDescent="0.3">
      <c r="A56" s="68">
        <v>45982</v>
      </c>
      <c r="B56" s="60" t="s">
        <v>26</v>
      </c>
      <c r="C56" s="61" t="s">
        <v>563</v>
      </c>
      <c r="D56" s="60" t="s">
        <v>554</v>
      </c>
      <c r="E56" s="69">
        <v>1.8888888888888891</v>
      </c>
      <c r="F56" s="60" t="s">
        <v>28</v>
      </c>
      <c r="G56" s="62">
        <v>16</v>
      </c>
      <c r="H56" s="63" t="s">
        <v>617</v>
      </c>
    </row>
    <row r="57" spans="1:8" ht="19.8" customHeight="1" x14ac:dyDescent="0.3">
      <c r="A57" s="68">
        <v>45982</v>
      </c>
      <c r="B57" s="60" t="s">
        <v>26</v>
      </c>
      <c r="C57" s="61" t="s">
        <v>566</v>
      </c>
      <c r="D57" s="60" t="s">
        <v>554</v>
      </c>
      <c r="E57" s="69">
        <v>1.944444444444444</v>
      </c>
      <c r="F57" s="60" t="s">
        <v>28</v>
      </c>
      <c r="G57" s="62">
        <v>34</v>
      </c>
      <c r="H57" s="63" t="s">
        <v>617</v>
      </c>
    </row>
    <row r="58" spans="1:8" ht="19.8" customHeight="1" x14ac:dyDescent="0.3">
      <c r="A58" s="68">
        <v>45982</v>
      </c>
      <c r="B58" s="60" t="s">
        <v>36</v>
      </c>
      <c r="C58" s="61" t="s">
        <v>577</v>
      </c>
      <c r="D58" s="60" t="s">
        <v>554</v>
      </c>
      <c r="E58" s="69">
        <v>1.4375</v>
      </c>
      <c r="F58" s="60" t="s">
        <v>38</v>
      </c>
      <c r="G58" s="62">
        <v>3</v>
      </c>
      <c r="H58" s="63" t="s">
        <v>578</v>
      </c>
    </row>
    <row r="59" spans="1:8" ht="19.8" customHeight="1" x14ac:dyDescent="0.3">
      <c r="A59" s="68">
        <v>45982</v>
      </c>
      <c r="B59" s="60" t="s">
        <v>36</v>
      </c>
      <c r="C59" s="61" t="s">
        <v>574</v>
      </c>
      <c r="D59" s="60" t="s">
        <v>554</v>
      </c>
      <c r="E59" s="69">
        <v>1.5590277777777779</v>
      </c>
      <c r="F59" s="60" t="s">
        <v>38</v>
      </c>
      <c r="G59" s="62">
        <v>8</v>
      </c>
      <c r="H59" s="63" t="s">
        <v>578</v>
      </c>
    </row>
    <row r="60" spans="1:8" ht="19.8" customHeight="1" x14ac:dyDescent="0.3">
      <c r="A60" s="68">
        <v>45982</v>
      </c>
      <c r="B60" s="60" t="s">
        <v>36</v>
      </c>
      <c r="C60" s="61" t="s">
        <v>580</v>
      </c>
      <c r="D60" s="60" t="s">
        <v>554</v>
      </c>
      <c r="E60" s="69">
        <v>1.506944444444444</v>
      </c>
      <c r="F60" s="60" t="s">
        <v>38</v>
      </c>
      <c r="G60" s="62">
        <v>8</v>
      </c>
      <c r="H60" s="63" t="s">
        <v>578</v>
      </c>
    </row>
    <row r="61" spans="1:8" ht="19.8" customHeight="1" x14ac:dyDescent="0.3">
      <c r="A61" s="68">
        <v>45982</v>
      </c>
      <c r="B61" s="60" t="s">
        <v>36</v>
      </c>
      <c r="C61" s="61" t="s">
        <v>576</v>
      </c>
      <c r="D61" s="60" t="s">
        <v>554</v>
      </c>
      <c r="E61" s="69">
        <v>1.697916666666667</v>
      </c>
      <c r="F61" s="60" t="s">
        <v>38</v>
      </c>
      <c r="G61" s="62">
        <v>5</v>
      </c>
      <c r="H61" s="63" t="s">
        <v>578</v>
      </c>
    </row>
    <row r="62" spans="1:8" ht="19.8" customHeight="1" x14ac:dyDescent="0.3">
      <c r="A62" s="68">
        <v>45982</v>
      </c>
      <c r="B62" s="60" t="s">
        <v>36</v>
      </c>
      <c r="C62" s="61" t="s">
        <v>569</v>
      </c>
      <c r="D62" s="60" t="s">
        <v>554</v>
      </c>
      <c r="E62" s="69">
        <v>1.958333333333333</v>
      </c>
      <c r="F62" s="60" t="s">
        <v>38</v>
      </c>
      <c r="G62" s="62">
        <v>6</v>
      </c>
      <c r="H62" s="63" t="s">
        <v>622</v>
      </c>
    </row>
    <row r="63" spans="1:8" ht="19.8" customHeight="1" x14ac:dyDescent="0.3">
      <c r="A63" s="68">
        <v>45982</v>
      </c>
      <c r="B63" s="60" t="s">
        <v>36</v>
      </c>
      <c r="C63" s="61" t="s">
        <v>573</v>
      </c>
      <c r="D63" s="60" t="s">
        <v>554</v>
      </c>
      <c r="E63" s="69">
        <v>1.631944444444444</v>
      </c>
      <c r="F63" s="60" t="s">
        <v>38</v>
      </c>
      <c r="G63" s="62">
        <v>9</v>
      </c>
      <c r="H63" s="63" t="s">
        <v>622</v>
      </c>
    </row>
    <row r="64" spans="1:8" ht="19.8" customHeight="1" x14ac:dyDescent="0.3">
      <c r="A64" s="68">
        <v>45982</v>
      </c>
      <c r="B64" s="60" t="s">
        <v>36</v>
      </c>
      <c r="C64" s="61" t="s">
        <v>575</v>
      </c>
      <c r="D64" s="60" t="s">
        <v>554</v>
      </c>
      <c r="E64" s="69">
        <v>1.819444444444444</v>
      </c>
      <c r="F64" s="60" t="s">
        <v>38</v>
      </c>
      <c r="G64" s="62">
        <v>9</v>
      </c>
      <c r="H64" s="63" t="s">
        <v>622</v>
      </c>
    </row>
    <row r="65" spans="1:8" ht="19.8" customHeight="1" x14ac:dyDescent="0.3">
      <c r="A65" s="68">
        <v>45982</v>
      </c>
      <c r="B65" s="60" t="s">
        <v>239</v>
      </c>
      <c r="C65" s="61" t="s">
        <v>581</v>
      </c>
      <c r="D65" s="60" t="s">
        <v>554</v>
      </c>
      <c r="E65" s="69">
        <v>1.211805555555556</v>
      </c>
      <c r="F65" s="60" t="s">
        <v>100</v>
      </c>
      <c r="G65" s="62">
        <v>9</v>
      </c>
      <c r="H65" s="63" t="s">
        <v>585</v>
      </c>
    </row>
    <row r="66" spans="1:8" ht="19.8" customHeight="1" x14ac:dyDescent="0.3">
      <c r="A66" s="68">
        <v>45982</v>
      </c>
      <c r="B66" s="60" t="s">
        <v>586</v>
      </c>
      <c r="C66" s="61" t="s">
        <v>587</v>
      </c>
      <c r="D66" s="60" t="s">
        <v>554</v>
      </c>
      <c r="E66" s="69">
        <v>1.0902777777777779</v>
      </c>
      <c r="F66" s="60" t="s">
        <v>100</v>
      </c>
      <c r="G66" s="62">
        <v>9</v>
      </c>
      <c r="H66" s="63" t="s">
        <v>590</v>
      </c>
    </row>
    <row r="67" spans="1:8" ht="19.8" customHeight="1" x14ac:dyDescent="0.3">
      <c r="A67" s="76">
        <v>45982</v>
      </c>
      <c r="B67" s="77" t="s">
        <v>73</v>
      </c>
      <c r="C67" s="78" t="s">
        <v>591</v>
      </c>
      <c r="D67" s="77" t="s">
        <v>554</v>
      </c>
      <c r="E67" s="79">
        <v>1.40625</v>
      </c>
      <c r="F67" s="77" t="s">
        <v>100</v>
      </c>
      <c r="G67" s="80">
        <v>9</v>
      </c>
      <c r="H67" s="81" t="s">
        <v>208</v>
      </c>
    </row>
    <row r="68" spans="1:8" ht="19.8" customHeight="1" x14ac:dyDescent="0.3">
      <c r="A68" s="76">
        <v>45982</v>
      </c>
      <c r="B68" s="77" t="s">
        <v>73</v>
      </c>
      <c r="C68" s="78" t="s">
        <v>624</v>
      </c>
      <c r="D68" s="77" t="s">
        <v>554</v>
      </c>
      <c r="E68" s="79">
        <v>1.725694444444444</v>
      </c>
      <c r="F68" s="77" t="s">
        <v>100</v>
      </c>
      <c r="G68" s="80">
        <v>9</v>
      </c>
      <c r="H68" s="81" t="s">
        <v>208</v>
      </c>
    </row>
    <row r="69" spans="1:8" ht="19.8" customHeight="1" x14ac:dyDescent="0.3">
      <c r="A69" s="68">
        <v>45982</v>
      </c>
      <c r="B69" s="60" t="s">
        <v>26</v>
      </c>
      <c r="C69" s="61" t="s">
        <v>555</v>
      </c>
      <c r="D69" s="60" t="s">
        <v>554</v>
      </c>
      <c r="E69" s="69">
        <v>1.5763888888888891</v>
      </c>
      <c r="F69" s="60" t="s">
        <v>31</v>
      </c>
      <c r="G69" s="62">
        <v>5</v>
      </c>
      <c r="H69" s="63" t="s">
        <v>208</v>
      </c>
    </row>
    <row r="70" spans="1:8" ht="19.8" customHeight="1" x14ac:dyDescent="0.3">
      <c r="A70" s="68">
        <v>45982</v>
      </c>
      <c r="B70" s="60" t="s">
        <v>26</v>
      </c>
      <c r="C70" s="61" t="s">
        <v>560</v>
      </c>
      <c r="D70" s="60" t="s">
        <v>554</v>
      </c>
      <c r="E70" s="69">
        <v>1.6284722222222221</v>
      </c>
      <c r="F70" s="60" t="s">
        <v>31</v>
      </c>
      <c r="G70" s="62">
        <v>23</v>
      </c>
      <c r="H70" s="63" t="s">
        <v>208</v>
      </c>
    </row>
    <row r="71" spans="1:8" ht="19.8" customHeight="1" x14ac:dyDescent="0.3">
      <c r="A71" s="68">
        <v>45982</v>
      </c>
      <c r="B71" s="60" t="s">
        <v>36</v>
      </c>
      <c r="C71" s="61" t="s">
        <v>577</v>
      </c>
      <c r="D71" s="60" t="s">
        <v>554</v>
      </c>
      <c r="E71" s="69">
        <v>1.4375</v>
      </c>
      <c r="F71" s="60" t="s">
        <v>41</v>
      </c>
      <c r="G71" s="62">
        <v>3</v>
      </c>
      <c r="H71" s="63" t="s">
        <v>579</v>
      </c>
    </row>
    <row r="72" spans="1:8" ht="19.8" customHeight="1" x14ac:dyDescent="0.3">
      <c r="A72" s="68">
        <v>45982</v>
      </c>
      <c r="B72" s="60" t="s">
        <v>36</v>
      </c>
      <c r="C72" s="61" t="s">
        <v>574</v>
      </c>
      <c r="D72" s="60" t="s">
        <v>554</v>
      </c>
      <c r="E72" s="69">
        <v>1.5590277777777779</v>
      </c>
      <c r="F72" s="60" t="s">
        <v>41</v>
      </c>
      <c r="G72" s="62">
        <v>8</v>
      </c>
      <c r="H72" s="63" t="s">
        <v>579</v>
      </c>
    </row>
    <row r="73" spans="1:8" ht="19.8" customHeight="1" x14ac:dyDescent="0.3">
      <c r="A73" s="68">
        <v>45982</v>
      </c>
      <c r="B73" s="60" t="s">
        <v>36</v>
      </c>
      <c r="C73" s="61" t="s">
        <v>580</v>
      </c>
      <c r="D73" s="60" t="s">
        <v>554</v>
      </c>
      <c r="E73" s="69">
        <v>1.506944444444444</v>
      </c>
      <c r="F73" s="60" t="s">
        <v>41</v>
      </c>
      <c r="G73" s="62">
        <v>8</v>
      </c>
      <c r="H73" s="63" t="s">
        <v>579</v>
      </c>
    </row>
    <row r="74" spans="1:8" ht="19.8" customHeight="1" x14ac:dyDescent="0.3">
      <c r="A74" s="68">
        <v>45982</v>
      </c>
      <c r="B74" s="60" t="s">
        <v>36</v>
      </c>
      <c r="C74" s="61" t="s">
        <v>576</v>
      </c>
      <c r="D74" s="60" t="s">
        <v>554</v>
      </c>
      <c r="E74" s="69">
        <v>1.697916666666667</v>
      </c>
      <c r="F74" s="60" t="s">
        <v>41</v>
      </c>
      <c r="G74" s="62">
        <v>5</v>
      </c>
      <c r="H74" s="63" t="s">
        <v>579</v>
      </c>
    </row>
    <row r="75" spans="1:8" ht="19.8" customHeight="1" x14ac:dyDescent="0.3">
      <c r="A75" s="68">
        <v>45982</v>
      </c>
      <c r="B75" s="60" t="s">
        <v>26</v>
      </c>
      <c r="C75" s="61" t="s">
        <v>563</v>
      </c>
      <c r="D75" s="60" t="s">
        <v>554</v>
      </c>
      <c r="E75" s="69">
        <v>1.8888888888888891</v>
      </c>
      <c r="F75" s="60" t="s">
        <v>31</v>
      </c>
      <c r="G75" s="62">
        <v>16</v>
      </c>
      <c r="H75" s="63" t="s">
        <v>213</v>
      </c>
    </row>
    <row r="76" spans="1:8" ht="19.8" customHeight="1" x14ac:dyDescent="0.3">
      <c r="A76" s="68">
        <v>45982</v>
      </c>
      <c r="B76" s="60" t="s">
        <v>26</v>
      </c>
      <c r="C76" s="61" t="s">
        <v>566</v>
      </c>
      <c r="D76" s="60" t="s">
        <v>554</v>
      </c>
      <c r="E76" s="69">
        <v>1.944444444444444</v>
      </c>
      <c r="F76" s="60" t="s">
        <v>31</v>
      </c>
      <c r="G76" s="62">
        <v>34</v>
      </c>
      <c r="H76" s="63" t="s">
        <v>213</v>
      </c>
    </row>
    <row r="77" spans="1:8" ht="19.8" customHeight="1" x14ac:dyDescent="0.3">
      <c r="A77" s="68">
        <v>45982</v>
      </c>
      <c r="B77" s="60" t="s">
        <v>36</v>
      </c>
      <c r="C77" s="61" t="s">
        <v>569</v>
      </c>
      <c r="D77" s="60" t="s">
        <v>554</v>
      </c>
      <c r="E77" s="69">
        <v>1.958333333333333</v>
      </c>
      <c r="F77" s="60" t="s">
        <v>41</v>
      </c>
      <c r="G77" s="62">
        <v>6</v>
      </c>
      <c r="H77" s="63" t="s">
        <v>572</v>
      </c>
    </row>
    <row r="78" spans="1:8" ht="19.8" customHeight="1" x14ac:dyDescent="0.3">
      <c r="A78" s="68">
        <v>45982</v>
      </c>
      <c r="B78" s="60" t="s">
        <v>36</v>
      </c>
      <c r="C78" s="61" t="s">
        <v>573</v>
      </c>
      <c r="D78" s="60" t="s">
        <v>554</v>
      </c>
      <c r="E78" s="69">
        <v>1.631944444444444</v>
      </c>
      <c r="F78" s="60" t="s">
        <v>41</v>
      </c>
      <c r="G78" s="62">
        <v>9</v>
      </c>
      <c r="H78" s="63" t="s">
        <v>572</v>
      </c>
    </row>
    <row r="79" spans="1:8" ht="19.8" customHeight="1" x14ac:dyDescent="0.3">
      <c r="A79" s="68">
        <v>45982</v>
      </c>
      <c r="B79" s="60" t="s">
        <v>36</v>
      </c>
      <c r="C79" s="61" t="s">
        <v>575</v>
      </c>
      <c r="D79" s="60" t="s">
        <v>554</v>
      </c>
      <c r="E79" s="69">
        <v>1.819444444444444</v>
      </c>
      <c r="F79" s="60" t="s">
        <v>41</v>
      </c>
      <c r="G79" s="62">
        <v>9</v>
      </c>
      <c r="H79" s="63" t="s">
        <v>572</v>
      </c>
    </row>
    <row r="80" spans="1:8" ht="19.8" customHeight="1" x14ac:dyDescent="0.3">
      <c r="A80" s="68">
        <v>45982</v>
      </c>
      <c r="B80" s="60" t="s">
        <v>36</v>
      </c>
      <c r="C80" s="61" t="s">
        <v>577</v>
      </c>
      <c r="D80" s="60" t="s">
        <v>554</v>
      </c>
      <c r="E80" s="69">
        <v>1.4375</v>
      </c>
      <c r="F80" s="60" t="s">
        <v>44</v>
      </c>
      <c r="G80" s="62">
        <v>3</v>
      </c>
      <c r="H80" s="63" t="s">
        <v>30</v>
      </c>
    </row>
    <row r="81" spans="1:8" ht="19.8" customHeight="1" x14ac:dyDescent="0.3">
      <c r="A81" s="68">
        <v>45982</v>
      </c>
      <c r="B81" s="60" t="s">
        <v>36</v>
      </c>
      <c r="C81" s="61" t="s">
        <v>574</v>
      </c>
      <c r="D81" s="60" t="s">
        <v>554</v>
      </c>
      <c r="E81" s="69">
        <v>1.5590277777777779</v>
      </c>
      <c r="F81" s="60" t="s">
        <v>44</v>
      </c>
      <c r="G81" s="62">
        <v>8</v>
      </c>
      <c r="H81" s="63" t="s">
        <v>30</v>
      </c>
    </row>
    <row r="82" spans="1:8" ht="19.8" customHeight="1" x14ac:dyDescent="0.3">
      <c r="A82" s="68">
        <v>45982</v>
      </c>
      <c r="B82" s="60" t="s">
        <v>36</v>
      </c>
      <c r="C82" s="61" t="s">
        <v>580</v>
      </c>
      <c r="D82" s="60" t="s">
        <v>554</v>
      </c>
      <c r="E82" s="69">
        <v>1.506944444444444</v>
      </c>
      <c r="F82" s="60" t="s">
        <v>44</v>
      </c>
      <c r="G82" s="62">
        <v>8</v>
      </c>
      <c r="H82" s="63" t="s">
        <v>30</v>
      </c>
    </row>
    <row r="83" spans="1:8" ht="19.8" customHeight="1" x14ac:dyDescent="0.3">
      <c r="A83" s="68">
        <v>45982</v>
      </c>
      <c r="B83" s="60" t="s">
        <v>36</v>
      </c>
      <c r="C83" s="61" t="s">
        <v>576</v>
      </c>
      <c r="D83" s="60" t="s">
        <v>554</v>
      </c>
      <c r="E83" s="69">
        <v>1.697916666666667</v>
      </c>
      <c r="F83" s="60" t="s">
        <v>44</v>
      </c>
      <c r="G83" s="62">
        <v>5</v>
      </c>
      <c r="H83" s="63" t="s">
        <v>30</v>
      </c>
    </row>
    <row r="84" spans="1:8" ht="19.8" customHeight="1" x14ac:dyDescent="0.3">
      <c r="A84" s="68">
        <v>45982</v>
      </c>
      <c r="B84" s="60" t="s">
        <v>36</v>
      </c>
      <c r="C84" s="61" t="s">
        <v>569</v>
      </c>
      <c r="D84" s="60" t="s">
        <v>554</v>
      </c>
      <c r="E84" s="69">
        <v>1.958333333333333</v>
      </c>
      <c r="F84" s="60" t="s">
        <v>44</v>
      </c>
      <c r="G84" s="62">
        <v>6</v>
      </c>
      <c r="H84" s="63" t="s">
        <v>210</v>
      </c>
    </row>
    <row r="85" spans="1:8" ht="19.8" customHeight="1" x14ac:dyDescent="0.3">
      <c r="A85" s="68">
        <v>45982</v>
      </c>
      <c r="B85" s="60" t="s">
        <v>36</v>
      </c>
      <c r="C85" s="61" t="s">
        <v>573</v>
      </c>
      <c r="D85" s="60" t="s">
        <v>554</v>
      </c>
      <c r="E85" s="69">
        <v>1.631944444444444</v>
      </c>
      <c r="F85" s="60" t="s">
        <v>44</v>
      </c>
      <c r="G85" s="62">
        <v>9</v>
      </c>
      <c r="H85" s="63" t="s">
        <v>210</v>
      </c>
    </row>
    <row r="86" spans="1:8" ht="19.8" customHeight="1" x14ac:dyDescent="0.3">
      <c r="A86" s="68">
        <v>45982</v>
      </c>
      <c r="B86" s="60" t="s">
        <v>36</v>
      </c>
      <c r="C86" s="61" t="s">
        <v>575</v>
      </c>
      <c r="D86" s="60" t="s">
        <v>554</v>
      </c>
      <c r="E86" s="69">
        <v>1.819444444444444</v>
      </c>
      <c r="F86" s="60" t="s">
        <v>44</v>
      </c>
      <c r="G86" s="62">
        <v>9</v>
      </c>
      <c r="H86" s="63" t="s">
        <v>210</v>
      </c>
    </row>
    <row r="87" spans="1:8" ht="19.8" customHeight="1" x14ac:dyDescent="0.3">
      <c r="A87" s="68">
        <v>45982</v>
      </c>
      <c r="B87" s="60" t="s">
        <v>52</v>
      </c>
      <c r="C87" s="61" t="s">
        <v>612</v>
      </c>
      <c r="D87" s="60" t="s">
        <v>554</v>
      </c>
      <c r="E87" s="69">
        <v>1.8298611111111109</v>
      </c>
      <c r="F87" s="60" t="s">
        <v>54</v>
      </c>
      <c r="G87" s="62">
        <v>6</v>
      </c>
      <c r="H87" s="63" t="s">
        <v>604</v>
      </c>
    </row>
    <row r="88" spans="1:8" ht="19.8" customHeight="1" x14ac:dyDescent="0.3">
      <c r="A88" s="68">
        <v>45982</v>
      </c>
      <c r="B88" s="60" t="s">
        <v>52</v>
      </c>
      <c r="C88" s="61" t="s">
        <v>612</v>
      </c>
      <c r="D88" s="60" t="s">
        <v>554</v>
      </c>
      <c r="E88" s="69">
        <v>1.8298611111111109</v>
      </c>
      <c r="F88" s="60" t="s">
        <v>57</v>
      </c>
      <c r="G88" s="62">
        <v>6</v>
      </c>
      <c r="H88" s="63" t="s">
        <v>605</v>
      </c>
    </row>
    <row r="89" spans="1:8" ht="19.8" customHeight="1" x14ac:dyDescent="0.3">
      <c r="A89" s="68">
        <v>45982</v>
      </c>
      <c r="B89" s="60" t="s">
        <v>26</v>
      </c>
      <c r="C89" s="61" t="s">
        <v>555</v>
      </c>
      <c r="D89" s="60" t="s">
        <v>554</v>
      </c>
      <c r="E89" s="69">
        <v>1.5763888888888891</v>
      </c>
      <c r="F89" s="60" t="s">
        <v>34</v>
      </c>
      <c r="G89" s="62">
        <v>5</v>
      </c>
      <c r="H89" s="63" t="s">
        <v>559</v>
      </c>
    </row>
    <row r="90" spans="1:8" ht="19.8" customHeight="1" x14ac:dyDescent="0.3">
      <c r="A90" s="68">
        <v>45982</v>
      </c>
      <c r="B90" s="60" t="s">
        <v>26</v>
      </c>
      <c r="C90" s="61" t="s">
        <v>560</v>
      </c>
      <c r="D90" s="60" t="s">
        <v>554</v>
      </c>
      <c r="E90" s="69">
        <v>1.6284722222222221</v>
      </c>
      <c r="F90" s="60" t="s">
        <v>34</v>
      </c>
      <c r="G90" s="62">
        <v>23</v>
      </c>
      <c r="H90" s="63" t="s">
        <v>559</v>
      </c>
    </row>
    <row r="91" spans="1:8" ht="19.8" customHeight="1" x14ac:dyDescent="0.3">
      <c r="A91" s="68">
        <v>45982</v>
      </c>
      <c r="B91" s="60" t="s">
        <v>26</v>
      </c>
      <c r="C91" s="61" t="s">
        <v>563</v>
      </c>
      <c r="D91" s="60" t="s">
        <v>554</v>
      </c>
      <c r="E91" s="69">
        <v>1.8888888888888891</v>
      </c>
      <c r="F91" s="60" t="s">
        <v>34</v>
      </c>
      <c r="G91" s="62">
        <v>16</v>
      </c>
      <c r="H91" s="63" t="s">
        <v>559</v>
      </c>
    </row>
    <row r="92" spans="1:8" ht="19.8" customHeight="1" x14ac:dyDescent="0.3">
      <c r="A92" s="68">
        <v>45982</v>
      </c>
      <c r="B92" s="60" t="s">
        <v>26</v>
      </c>
      <c r="C92" s="61" t="s">
        <v>566</v>
      </c>
      <c r="D92" s="60" t="s">
        <v>554</v>
      </c>
      <c r="E92" s="69">
        <v>1.944444444444444</v>
      </c>
      <c r="F92" s="60" t="s">
        <v>34</v>
      </c>
      <c r="G92" s="62">
        <v>34</v>
      </c>
      <c r="H92" s="63" t="s">
        <v>559</v>
      </c>
    </row>
    <row r="93" spans="1:8" ht="19.8" customHeight="1" x14ac:dyDescent="0.3">
      <c r="A93" s="68">
        <v>45982</v>
      </c>
      <c r="B93" s="60" t="s">
        <v>52</v>
      </c>
      <c r="C93" s="61" t="s">
        <v>606</v>
      </c>
      <c r="D93" s="60" t="s">
        <v>554</v>
      </c>
      <c r="E93" s="69">
        <v>1.8888888888888891</v>
      </c>
      <c r="F93" s="60" t="s">
        <v>57</v>
      </c>
      <c r="G93" s="62">
        <v>4</v>
      </c>
      <c r="H93" s="63" t="s">
        <v>607</v>
      </c>
    </row>
    <row r="94" spans="1:8" ht="19.8" customHeight="1" x14ac:dyDescent="0.3">
      <c r="A94" s="68">
        <v>45982</v>
      </c>
      <c r="B94" s="60" t="s">
        <v>52</v>
      </c>
      <c r="C94" s="61" t="s">
        <v>608</v>
      </c>
      <c r="D94" s="60" t="s">
        <v>554</v>
      </c>
      <c r="E94" s="69">
        <v>1.6284722222222221</v>
      </c>
      <c r="F94" s="60" t="s">
        <v>57</v>
      </c>
      <c r="G94" s="62">
        <v>4</v>
      </c>
      <c r="H94" s="63" t="s">
        <v>607</v>
      </c>
    </row>
    <row r="95" spans="1:8" ht="19.8" customHeight="1" x14ac:dyDescent="0.3">
      <c r="A95" s="68">
        <v>45982</v>
      </c>
      <c r="B95" s="60" t="s">
        <v>52</v>
      </c>
      <c r="C95" s="61" t="s">
        <v>609</v>
      </c>
      <c r="D95" s="60" t="s">
        <v>554</v>
      </c>
      <c r="E95" s="69">
        <v>1.944444444444444</v>
      </c>
      <c r="F95" s="60" t="s">
        <v>57</v>
      </c>
      <c r="G95" s="62">
        <v>4</v>
      </c>
      <c r="H95" s="63" t="s">
        <v>607</v>
      </c>
    </row>
    <row r="96" spans="1:8" ht="19.8" customHeight="1" x14ac:dyDescent="0.3">
      <c r="A96" s="68">
        <v>45982</v>
      </c>
      <c r="B96" s="60" t="s">
        <v>52</v>
      </c>
      <c r="C96" s="61" t="s">
        <v>603</v>
      </c>
      <c r="D96" s="60" t="s">
        <v>554</v>
      </c>
      <c r="E96" s="69">
        <v>1.9826388888888891</v>
      </c>
      <c r="F96" s="60" t="s">
        <v>57</v>
      </c>
      <c r="G96" s="62">
        <v>9</v>
      </c>
      <c r="H96" s="63" t="s">
        <v>611</v>
      </c>
    </row>
    <row r="97" spans="1:8" ht="19.8" customHeight="1" x14ac:dyDescent="0.3">
      <c r="A97" s="68">
        <v>45982</v>
      </c>
      <c r="B97" s="60" t="s">
        <v>52</v>
      </c>
      <c r="C97" s="61" t="s">
        <v>613</v>
      </c>
      <c r="D97" s="60" t="s">
        <v>554</v>
      </c>
      <c r="E97" s="69">
        <v>1.6284722222222221</v>
      </c>
      <c r="F97" s="60" t="s">
        <v>57</v>
      </c>
      <c r="G97" s="62">
        <v>9</v>
      </c>
      <c r="H97" s="63" t="s">
        <v>611</v>
      </c>
    </row>
    <row r="98" spans="1:8" ht="19.8" customHeight="1" x14ac:dyDescent="0.3">
      <c r="A98" s="68">
        <v>45982</v>
      </c>
      <c r="B98" s="60" t="s">
        <v>68</v>
      </c>
      <c r="C98" s="61" t="s">
        <v>600</v>
      </c>
      <c r="D98" s="60" t="s">
        <v>554</v>
      </c>
      <c r="E98" s="69">
        <v>1.354166666666667</v>
      </c>
      <c r="F98" s="60" t="s">
        <v>70</v>
      </c>
      <c r="G98" s="62">
        <v>5</v>
      </c>
      <c r="H98" s="63" t="s">
        <v>628</v>
      </c>
    </row>
    <row r="99" spans="1:8" ht="19.8" customHeight="1" x14ac:dyDescent="0.3">
      <c r="A99" s="68">
        <v>45982</v>
      </c>
      <c r="B99" s="60" t="s">
        <v>68</v>
      </c>
      <c r="C99" s="61" t="s">
        <v>598</v>
      </c>
      <c r="D99" s="60" t="s">
        <v>554</v>
      </c>
      <c r="E99" s="69">
        <v>1.9826388888888891</v>
      </c>
      <c r="F99" s="60" t="s">
        <v>70</v>
      </c>
      <c r="G99" s="62">
        <v>5</v>
      </c>
      <c r="H99" s="63" t="s">
        <v>349</v>
      </c>
    </row>
    <row r="100" spans="1:8" ht="19.8" customHeight="1" x14ac:dyDescent="0.3">
      <c r="A100" s="70">
        <v>45982</v>
      </c>
      <c r="B100" s="71" t="s">
        <v>52</v>
      </c>
      <c r="C100" s="72" t="s">
        <v>610</v>
      </c>
      <c r="D100" s="71" t="s">
        <v>554</v>
      </c>
      <c r="E100" s="73">
        <v>1.444444444444444</v>
      </c>
      <c r="F100" s="71" t="s">
        <v>57</v>
      </c>
      <c r="G100" s="74">
        <v>9</v>
      </c>
      <c r="H100" s="75" t="s">
        <v>627</v>
      </c>
    </row>
    <row r="101" spans="1:8" ht="19.8" customHeight="1" x14ac:dyDescent="0.3">
      <c r="A101" s="68">
        <v>45983</v>
      </c>
      <c r="B101" s="60" t="s">
        <v>26</v>
      </c>
      <c r="C101" s="61" t="s">
        <v>555</v>
      </c>
      <c r="D101" s="60" t="s">
        <v>554</v>
      </c>
      <c r="E101" s="69">
        <v>1.5763888888888891</v>
      </c>
      <c r="F101" s="60" t="s">
        <v>28</v>
      </c>
      <c r="G101" s="62">
        <v>9</v>
      </c>
      <c r="H101" s="63" t="s">
        <v>629</v>
      </c>
    </row>
    <row r="102" spans="1:8" ht="19.8" customHeight="1" x14ac:dyDescent="0.3">
      <c r="A102" s="68">
        <v>45983</v>
      </c>
      <c r="B102" s="60" t="s">
        <v>36</v>
      </c>
      <c r="C102" s="61" t="s">
        <v>577</v>
      </c>
      <c r="D102" s="60" t="s">
        <v>554</v>
      </c>
      <c r="E102" s="69">
        <v>1.4375</v>
      </c>
      <c r="F102" s="60" t="s">
        <v>38</v>
      </c>
      <c r="G102" s="62">
        <v>7</v>
      </c>
      <c r="H102" s="63" t="s">
        <v>622</v>
      </c>
    </row>
    <row r="103" spans="1:8" ht="19.8" customHeight="1" x14ac:dyDescent="0.3">
      <c r="A103" s="68">
        <v>45983</v>
      </c>
      <c r="B103" s="60" t="s">
        <v>36</v>
      </c>
      <c r="C103" s="61" t="s">
        <v>580</v>
      </c>
      <c r="D103" s="60" t="s">
        <v>554</v>
      </c>
      <c r="E103" s="69">
        <v>1.506944444444444</v>
      </c>
      <c r="F103" s="60" t="s">
        <v>38</v>
      </c>
      <c r="G103" s="62">
        <v>9</v>
      </c>
      <c r="H103" s="63" t="s">
        <v>622</v>
      </c>
    </row>
    <row r="104" spans="1:8" ht="19.8" customHeight="1" x14ac:dyDescent="0.3">
      <c r="A104" s="68">
        <v>45983</v>
      </c>
      <c r="B104" s="60" t="s">
        <v>26</v>
      </c>
      <c r="C104" s="61" t="s">
        <v>560</v>
      </c>
      <c r="D104" s="60" t="s">
        <v>554</v>
      </c>
      <c r="E104" s="69">
        <v>1.6284722222222221</v>
      </c>
      <c r="F104" s="60" t="s">
        <v>28</v>
      </c>
      <c r="G104" s="62">
        <v>12</v>
      </c>
      <c r="H104" s="63" t="s">
        <v>632</v>
      </c>
    </row>
    <row r="105" spans="1:8" ht="19.8" customHeight="1" x14ac:dyDescent="0.3">
      <c r="A105" s="76">
        <v>45983</v>
      </c>
      <c r="B105" s="77" t="s">
        <v>73</v>
      </c>
      <c r="C105" s="78" t="s">
        <v>591</v>
      </c>
      <c r="D105" s="77" t="s">
        <v>554</v>
      </c>
      <c r="E105" s="79">
        <v>1.413194444444444</v>
      </c>
      <c r="F105" s="77" t="s">
        <v>100</v>
      </c>
      <c r="G105" s="80">
        <v>1</v>
      </c>
      <c r="H105" s="81" t="s">
        <v>208</v>
      </c>
    </row>
    <row r="106" spans="1:8" ht="19.8" customHeight="1" x14ac:dyDescent="0.3">
      <c r="A106" s="68">
        <v>45983</v>
      </c>
      <c r="B106" s="60" t="s">
        <v>36</v>
      </c>
      <c r="C106" s="61" t="s">
        <v>573</v>
      </c>
      <c r="D106" s="60" t="s">
        <v>554</v>
      </c>
      <c r="E106" s="69">
        <v>1.631944444444444</v>
      </c>
      <c r="F106" s="60" t="s">
        <v>38</v>
      </c>
      <c r="G106" s="62">
        <v>1</v>
      </c>
      <c r="H106" s="63" t="s">
        <v>579</v>
      </c>
    </row>
    <row r="107" spans="1:8" ht="19.8" customHeight="1" x14ac:dyDescent="0.3">
      <c r="A107" s="68">
        <v>45983</v>
      </c>
      <c r="B107" s="60" t="s">
        <v>36</v>
      </c>
      <c r="C107" s="61" t="s">
        <v>574</v>
      </c>
      <c r="D107" s="60" t="s">
        <v>554</v>
      </c>
      <c r="E107" s="69">
        <v>1.5590277777777779</v>
      </c>
      <c r="F107" s="60" t="s">
        <v>38</v>
      </c>
      <c r="G107" s="62">
        <v>9</v>
      </c>
      <c r="H107" s="63" t="s">
        <v>579</v>
      </c>
    </row>
    <row r="108" spans="1:8" ht="19.8" customHeight="1" x14ac:dyDescent="0.3">
      <c r="A108" s="68">
        <v>45983</v>
      </c>
      <c r="B108" s="60" t="s">
        <v>586</v>
      </c>
      <c r="C108" s="61" t="s">
        <v>587</v>
      </c>
      <c r="D108" s="60" t="s">
        <v>554</v>
      </c>
      <c r="E108" s="69">
        <v>1.086805555555556</v>
      </c>
      <c r="F108" s="60" t="s">
        <v>100</v>
      </c>
      <c r="G108" s="62">
        <v>5</v>
      </c>
      <c r="H108" s="63" t="s">
        <v>640</v>
      </c>
    </row>
    <row r="109" spans="1:8" ht="19.8" customHeight="1" x14ac:dyDescent="0.3">
      <c r="A109" s="68">
        <v>45983</v>
      </c>
      <c r="B109" s="60" t="s">
        <v>26</v>
      </c>
      <c r="C109" s="61" t="s">
        <v>563</v>
      </c>
      <c r="D109" s="60" t="s">
        <v>554</v>
      </c>
      <c r="E109" s="69">
        <v>1.8888888888888891</v>
      </c>
      <c r="F109" s="60" t="s">
        <v>28</v>
      </c>
      <c r="G109" s="62">
        <v>10</v>
      </c>
      <c r="H109" s="63" t="s">
        <v>465</v>
      </c>
    </row>
    <row r="110" spans="1:8" ht="19.8" customHeight="1" x14ac:dyDescent="0.3">
      <c r="A110" s="68">
        <v>45983</v>
      </c>
      <c r="B110" s="60" t="s">
        <v>26</v>
      </c>
      <c r="C110" s="61" t="s">
        <v>566</v>
      </c>
      <c r="D110" s="60" t="s">
        <v>554</v>
      </c>
      <c r="E110" s="69">
        <v>1.944444444444444</v>
      </c>
      <c r="F110" s="60" t="s">
        <v>28</v>
      </c>
      <c r="G110" s="62">
        <v>3</v>
      </c>
      <c r="H110" s="63" t="s">
        <v>465</v>
      </c>
    </row>
    <row r="111" spans="1:8" ht="19.8" customHeight="1" x14ac:dyDescent="0.3">
      <c r="A111" s="68">
        <v>45983</v>
      </c>
      <c r="B111" s="60" t="s">
        <v>36</v>
      </c>
      <c r="C111" s="61" t="s">
        <v>577</v>
      </c>
      <c r="D111" s="60" t="s">
        <v>554</v>
      </c>
      <c r="E111" s="69">
        <v>1.4375</v>
      </c>
      <c r="F111" s="60" t="s">
        <v>41</v>
      </c>
      <c r="G111" s="62">
        <v>7</v>
      </c>
      <c r="H111" s="63" t="s">
        <v>572</v>
      </c>
    </row>
    <row r="112" spans="1:8" ht="19.8" customHeight="1" x14ac:dyDescent="0.3">
      <c r="A112" s="68">
        <v>45983</v>
      </c>
      <c r="B112" s="60" t="s">
        <v>36</v>
      </c>
      <c r="C112" s="61" t="s">
        <v>580</v>
      </c>
      <c r="D112" s="60" t="s">
        <v>554</v>
      </c>
      <c r="E112" s="69">
        <v>1.506944444444444</v>
      </c>
      <c r="F112" s="60" t="s">
        <v>41</v>
      </c>
      <c r="G112" s="62">
        <v>9</v>
      </c>
      <c r="H112" s="63" t="s">
        <v>572</v>
      </c>
    </row>
    <row r="113" spans="1:8" ht="19.8" customHeight="1" x14ac:dyDescent="0.3">
      <c r="A113" s="68">
        <v>45983</v>
      </c>
      <c r="B113" s="60" t="s">
        <v>36</v>
      </c>
      <c r="C113" s="61" t="s">
        <v>576</v>
      </c>
      <c r="D113" s="60" t="s">
        <v>554</v>
      </c>
      <c r="E113" s="69">
        <v>1.697916666666667</v>
      </c>
      <c r="F113" s="60" t="s">
        <v>38</v>
      </c>
      <c r="G113" s="62">
        <v>1</v>
      </c>
      <c r="H113" s="63" t="s">
        <v>220</v>
      </c>
    </row>
    <row r="114" spans="1:8" ht="19.8" customHeight="1" x14ac:dyDescent="0.3">
      <c r="A114" s="68">
        <v>45983</v>
      </c>
      <c r="B114" s="60" t="s">
        <v>239</v>
      </c>
      <c r="C114" s="61" t="s">
        <v>641</v>
      </c>
      <c r="D114" s="60" t="s">
        <v>554</v>
      </c>
      <c r="E114" s="69">
        <v>1.479166666666667</v>
      </c>
      <c r="F114" s="60" t="s">
        <v>100</v>
      </c>
      <c r="G114" s="62">
        <v>9</v>
      </c>
      <c r="H114" s="63" t="s">
        <v>642</v>
      </c>
    </row>
    <row r="115" spans="1:8" ht="19.8" customHeight="1" x14ac:dyDescent="0.3">
      <c r="A115" s="68">
        <v>45983</v>
      </c>
      <c r="B115" s="60" t="s">
        <v>26</v>
      </c>
      <c r="C115" s="61" t="s">
        <v>555</v>
      </c>
      <c r="D115" s="60" t="s">
        <v>554</v>
      </c>
      <c r="E115" s="69">
        <v>1.5763888888888891</v>
      </c>
      <c r="F115" s="60" t="s">
        <v>31</v>
      </c>
      <c r="G115" s="62">
        <v>9</v>
      </c>
      <c r="H115" s="63" t="s">
        <v>30</v>
      </c>
    </row>
    <row r="116" spans="1:8" ht="19.8" customHeight="1" x14ac:dyDescent="0.3">
      <c r="A116" s="68">
        <v>45983</v>
      </c>
      <c r="B116" s="60" t="s">
        <v>36</v>
      </c>
      <c r="C116" s="61" t="s">
        <v>573</v>
      </c>
      <c r="D116" s="60" t="s">
        <v>554</v>
      </c>
      <c r="E116" s="69">
        <v>1.631944444444444</v>
      </c>
      <c r="F116" s="60" t="s">
        <v>41</v>
      </c>
      <c r="G116" s="62">
        <v>1</v>
      </c>
      <c r="H116" s="63" t="s">
        <v>40</v>
      </c>
    </row>
    <row r="117" spans="1:8" ht="19.8" customHeight="1" x14ac:dyDescent="0.3">
      <c r="A117" s="68">
        <v>45983</v>
      </c>
      <c r="B117" s="60" t="s">
        <v>36</v>
      </c>
      <c r="C117" s="61" t="s">
        <v>574</v>
      </c>
      <c r="D117" s="60" t="s">
        <v>554</v>
      </c>
      <c r="E117" s="69">
        <v>1.5590277777777779</v>
      </c>
      <c r="F117" s="60" t="s">
        <v>41</v>
      </c>
      <c r="G117" s="62">
        <v>9</v>
      </c>
      <c r="H117" s="63" t="s">
        <v>40</v>
      </c>
    </row>
    <row r="118" spans="1:8" ht="19.8" customHeight="1" x14ac:dyDescent="0.3">
      <c r="A118" s="68">
        <v>45983</v>
      </c>
      <c r="B118" s="60" t="s">
        <v>26</v>
      </c>
      <c r="C118" s="61" t="s">
        <v>560</v>
      </c>
      <c r="D118" s="60" t="s">
        <v>554</v>
      </c>
      <c r="E118" s="69">
        <v>1.6284722222222221</v>
      </c>
      <c r="F118" s="60" t="s">
        <v>31</v>
      </c>
      <c r="G118" s="62">
        <v>12</v>
      </c>
      <c r="H118" s="63" t="s">
        <v>634</v>
      </c>
    </row>
    <row r="119" spans="1:8" ht="19.8" customHeight="1" x14ac:dyDescent="0.3">
      <c r="A119" s="68">
        <v>45983</v>
      </c>
      <c r="B119" s="60" t="s">
        <v>36</v>
      </c>
      <c r="C119" s="61" t="s">
        <v>569</v>
      </c>
      <c r="D119" s="60" t="s">
        <v>554</v>
      </c>
      <c r="E119" s="69">
        <v>1.958333333333333</v>
      </c>
      <c r="F119" s="60" t="s">
        <v>38</v>
      </c>
      <c r="G119" s="62">
        <v>3</v>
      </c>
      <c r="H119" s="63" t="s">
        <v>634</v>
      </c>
    </row>
    <row r="120" spans="1:8" ht="19.8" customHeight="1" x14ac:dyDescent="0.3">
      <c r="A120" s="68">
        <v>45983</v>
      </c>
      <c r="B120" s="60" t="s">
        <v>68</v>
      </c>
      <c r="C120" s="61" t="s">
        <v>600</v>
      </c>
      <c r="D120" s="60" t="s">
        <v>554</v>
      </c>
      <c r="E120" s="69">
        <v>1.354166666666667</v>
      </c>
      <c r="F120" s="60" t="s">
        <v>70</v>
      </c>
      <c r="G120" s="62">
        <v>1</v>
      </c>
      <c r="H120" s="63" t="s">
        <v>643</v>
      </c>
    </row>
    <row r="121" spans="1:8" ht="19.8" customHeight="1" x14ac:dyDescent="0.3">
      <c r="A121" s="68">
        <v>45983</v>
      </c>
      <c r="B121" s="60" t="s">
        <v>36</v>
      </c>
      <c r="C121" s="61" t="s">
        <v>577</v>
      </c>
      <c r="D121" s="60" t="s">
        <v>554</v>
      </c>
      <c r="E121" s="69">
        <v>1.4375</v>
      </c>
      <c r="F121" s="60" t="s">
        <v>44</v>
      </c>
      <c r="G121" s="62">
        <v>7</v>
      </c>
      <c r="H121" s="63" t="s">
        <v>210</v>
      </c>
    </row>
    <row r="122" spans="1:8" ht="19.8" customHeight="1" x14ac:dyDescent="0.3">
      <c r="A122" s="68">
        <v>45983</v>
      </c>
      <c r="B122" s="60" t="s">
        <v>36</v>
      </c>
      <c r="C122" s="61" t="s">
        <v>580</v>
      </c>
      <c r="D122" s="60" t="s">
        <v>554</v>
      </c>
      <c r="E122" s="69">
        <v>1.506944444444444</v>
      </c>
      <c r="F122" s="60" t="s">
        <v>44</v>
      </c>
      <c r="G122" s="62">
        <v>9</v>
      </c>
      <c r="H122" s="63" t="s">
        <v>210</v>
      </c>
    </row>
    <row r="123" spans="1:8" ht="19.8" customHeight="1" x14ac:dyDescent="0.3">
      <c r="A123" s="68">
        <v>45983</v>
      </c>
      <c r="B123" s="60" t="s">
        <v>36</v>
      </c>
      <c r="C123" s="61" t="s">
        <v>576</v>
      </c>
      <c r="D123" s="60" t="s">
        <v>554</v>
      </c>
      <c r="E123" s="69">
        <v>1.697916666666667</v>
      </c>
      <c r="F123" s="60" t="s">
        <v>41</v>
      </c>
      <c r="G123" s="62">
        <v>1</v>
      </c>
      <c r="H123" s="63" t="s">
        <v>636</v>
      </c>
    </row>
    <row r="124" spans="1:8" ht="19.8" customHeight="1" x14ac:dyDescent="0.3">
      <c r="A124" s="68">
        <v>45983</v>
      </c>
      <c r="B124" s="60" t="s">
        <v>26</v>
      </c>
      <c r="C124" s="61" t="s">
        <v>563</v>
      </c>
      <c r="D124" s="60" t="s">
        <v>554</v>
      </c>
      <c r="E124" s="69">
        <v>1.8888888888888891</v>
      </c>
      <c r="F124" s="60" t="s">
        <v>31</v>
      </c>
      <c r="G124" s="62">
        <v>10</v>
      </c>
      <c r="H124" s="63" t="s">
        <v>635</v>
      </c>
    </row>
    <row r="125" spans="1:8" ht="19.8" customHeight="1" x14ac:dyDescent="0.3">
      <c r="A125" s="68">
        <v>45983</v>
      </c>
      <c r="B125" s="60" t="s">
        <v>26</v>
      </c>
      <c r="C125" s="61" t="s">
        <v>566</v>
      </c>
      <c r="D125" s="60" t="s">
        <v>554</v>
      </c>
      <c r="E125" s="69">
        <v>1.944444444444444</v>
      </c>
      <c r="F125" s="60" t="s">
        <v>31</v>
      </c>
      <c r="G125" s="62">
        <v>3</v>
      </c>
      <c r="H125" s="63" t="s">
        <v>635</v>
      </c>
    </row>
    <row r="126" spans="1:8" ht="19.8" customHeight="1" x14ac:dyDescent="0.3">
      <c r="A126" s="68">
        <v>45983</v>
      </c>
      <c r="B126" s="60" t="s">
        <v>36</v>
      </c>
      <c r="C126" s="61" t="s">
        <v>573</v>
      </c>
      <c r="D126" s="60" t="s">
        <v>554</v>
      </c>
      <c r="E126" s="69">
        <v>1.631944444444444</v>
      </c>
      <c r="F126" s="60" t="s">
        <v>44</v>
      </c>
      <c r="G126" s="62">
        <v>1</v>
      </c>
      <c r="H126" s="63" t="s">
        <v>95</v>
      </c>
    </row>
    <row r="127" spans="1:8" ht="19.8" customHeight="1" x14ac:dyDescent="0.3">
      <c r="A127" s="68">
        <v>45983</v>
      </c>
      <c r="B127" s="60" t="s">
        <v>36</v>
      </c>
      <c r="C127" s="61" t="s">
        <v>574</v>
      </c>
      <c r="D127" s="60" t="s">
        <v>554</v>
      </c>
      <c r="E127" s="69">
        <v>1.5590277777777779</v>
      </c>
      <c r="F127" s="60" t="s">
        <v>44</v>
      </c>
      <c r="G127" s="62">
        <v>9</v>
      </c>
      <c r="H127" s="63" t="s">
        <v>95</v>
      </c>
    </row>
    <row r="128" spans="1:8" ht="19.8" customHeight="1" x14ac:dyDescent="0.3">
      <c r="A128" s="68">
        <v>45983</v>
      </c>
      <c r="B128" s="60" t="s">
        <v>36</v>
      </c>
      <c r="C128" s="61" t="s">
        <v>575</v>
      </c>
      <c r="D128" s="60" t="s">
        <v>554</v>
      </c>
      <c r="E128" s="69">
        <v>1.819444444444444</v>
      </c>
      <c r="F128" s="60" t="s">
        <v>38</v>
      </c>
      <c r="G128" s="62">
        <v>9</v>
      </c>
      <c r="H128" s="63" t="s">
        <v>95</v>
      </c>
    </row>
    <row r="129" spans="1:8" ht="19.8" customHeight="1" x14ac:dyDescent="0.3">
      <c r="A129" s="68">
        <v>45983</v>
      </c>
      <c r="B129" s="60" t="s">
        <v>52</v>
      </c>
      <c r="C129" s="61" t="s">
        <v>610</v>
      </c>
      <c r="D129" s="60" t="s">
        <v>554</v>
      </c>
      <c r="E129" s="69">
        <v>1.444444444444444</v>
      </c>
      <c r="F129" s="60" t="s">
        <v>54</v>
      </c>
      <c r="G129" s="62">
        <v>4</v>
      </c>
      <c r="H129" s="63" t="s">
        <v>604</v>
      </c>
    </row>
    <row r="130" spans="1:8" ht="19.8" customHeight="1" x14ac:dyDescent="0.3">
      <c r="A130" s="68">
        <v>45983</v>
      </c>
      <c r="B130" s="60" t="s">
        <v>52</v>
      </c>
      <c r="C130" s="61" t="s">
        <v>603</v>
      </c>
      <c r="D130" s="60" t="s">
        <v>554</v>
      </c>
      <c r="E130" s="69">
        <v>1.9826388888888891</v>
      </c>
      <c r="F130" s="60" t="s">
        <v>54</v>
      </c>
      <c r="G130" s="62">
        <v>7</v>
      </c>
      <c r="H130" s="63" t="s">
        <v>604</v>
      </c>
    </row>
    <row r="131" spans="1:8" ht="19.8" customHeight="1" x14ac:dyDescent="0.3">
      <c r="A131" s="68">
        <v>45983</v>
      </c>
      <c r="B131" s="60" t="s">
        <v>36</v>
      </c>
      <c r="C131" s="61" t="s">
        <v>569</v>
      </c>
      <c r="D131" s="60" t="s">
        <v>554</v>
      </c>
      <c r="E131" s="69">
        <v>1.958333333333333</v>
      </c>
      <c r="F131" s="60" t="s">
        <v>41</v>
      </c>
      <c r="G131" s="62">
        <v>3</v>
      </c>
      <c r="H131" s="63" t="s">
        <v>340</v>
      </c>
    </row>
    <row r="132" spans="1:8" ht="19.8" customHeight="1" x14ac:dyDescent="0.3">
      <c r="A132" s="68">
        <v>45983</v>
      </c>
      <c r="B132" s="60" t="s">
        <v>36</v>
      </c>
      <c r="C132" s="61" t="s">
        <v>576</v>
      </c>
      <c r="D132" s="60" t="s">
        <v>554</v>
      </c>
      <c r="E132" s="69">
        <v>1.697916666666667</v>
      </c>
      <c r="F132" s="60" t="s">
        <v>44</v>
      </c>
      <c r="G132" s="62">
        <v>1</v>
      </c>
      <c r="H132" s="63" t="s">
        <v>50</v>
      </c>
    </row>
    <row r="133" spans="1:8" ht="19.8" customHeight="1" x14ac:dyDescent="0.3">
      <c r="A133" s="68">
        <v>45983</v>
      </c>
      <c r="B133" s="60" t="s">
        <v>36</v>
      </c>
      <c r="C133" s="61" t="s">
        <v>575</v>
      </c>
      <c r="D133" s="60" t="s">
        <v>554</v>
      </c>
      <c r="E133" s="69">
        <v>1.819444444444444</v>
      </c>
      <c r="F133" s="60" t="s">
        <v>41</v>
      </c>
      <c r="G133" s="62">
        <v>9</v>
      </c>
      <c r="H133" s="63" t="s">
        <v>45</v>
      </c>
    </row>
    <row r="134" spans="1:8" ht="19.8" customHeight="1" x14ac:dyDescent="0.3">
      <c r="A134" s="68">
        <v>45983</v>
      </c>
      <c r="B134" s="60" t="s">
        <v>36</v>
      </c>
      <c r="C134" s="61" t="s">
        <v>569</v>
      </c>
      <c r="D134" s="60" t="s">
        <v>554</v>
      </c>
      <c r="E134" s="69">
        <v>1.958333333333333</v>
      </c>
      <c r="F134" s="60" t="s">
        <v>44</v>
      </c>
      <c r="G134" s="62">
        <v>3</v>
      </c>
      <c r="H134" s="63" t="s">
        <v>637</v>
      </c>
    </row>
    <row r="135" spans="1:8" ht="19.8" customHeight="1" x14ac:dyDescent="0.3">
      <c r="A135" s="68">
        <v>45983</v>
      </c>
      <c r="B135" s="60" t="s">
        <v>52</v>
      </c>
      <c r="C135" s="61" t="s">
        <v>610</v>
      </c>
      <c r="D135" s="60" t="s">
        <v>554</v>
      </c>
      <c r="E135" s="69">
        <v>1.444444444444444</v>
      </c>
      <c r="F135" s="60" t="s">
        <v>57</v>
      </c>
      <c r="G135" s="62">
        <v>4</v>
      </c>
      <c r="H135" s="63" t="s">
        <v>605</v>
      </c>
    </row>
    <row r="136" spans="1:8" ht="19.8" customHeight="1" x14ac:dyDescent="0.3">
      <c r="A136" s="68">
        <v>45983</v>
      </c>
      <c r="B136" s="60" t="s">
        <v>52</v>
      </c>
      <c r="C136" s="61" t="s">
        <v>603</v>
      </c>
      <c r="D136" s="60" t="s">
        <v>554</v>
      </c>
      <c r="E136" s="69">
        <v>1.9826388888888891</v>
      </c>
      <c r="F136" s="60" t="s">
        <v>57</v>
      </c>
      <c r="G136" s="62">
        <v>7</v>
      </c>
      <c r="H136" s="63" t="s">
        <v>605</v>
      </c>
    </row>
    <row r="137" spans="1:8" ht="19.8" customHeight="1" x14ac:dyDescent="0.3">
      <c r="A137" s="68">
        <v>45983</v>
      </c>
      <c r="B137" s="60" t="s">
        <v>68</v>
      </c>
      <c r="C137" s="61" t="s">
        <v>598</v>
      </c>
      <c r="D137" s="60" t="s">
        <v>554</v>
      </c>
      <c r="E137" s="69">
        <v>1.9826388888888891</v>
      </c>
      <c r="F137" s="60" t="s">
        <v>70</v>
      </c>
      <c r="G137" s="62">
        <v>4</v>
      </c>
      <c r="H137" s="63" t="s">
        <v>644</v>
      </c>
    </row>
    <row r="138" spans="1:8" ht="19.8" customHeight="1" x14ac:dyDescent="0.3">
      <c r="A138" s="68">
        <v>45983</v>
      </c>
      <c r="B138" s="60" t="s">
        <v>36</v>
      </c>
      <c r="C138" s="61" t="s">
        <v>575</v>
      </c>
      <c r="D138" s="60" t="s">
        <v>554</v>
      </c>
      <c r="E138" s="69">
        <v>1.819444444444444</v>
      </c>
      <c r="F138" s="60" t="s">
        <v>44</v>
      </c>
      <c r="G138" s="62">
        <v>9</v>
      </c>
      <c r="H138" s="63" t="s">
        <v>638</v>
      </c>
    </row>
    <row r="139" spans="1:8" ht="19.8" customHeight="1" x14ac:dyDescent="0.3">
      <c r="A139" s="68">
        <v>45983</v>
      </c>
      <c r="B139" s="60" t="s">
        <v>26</v>
      </c>
      <c r="C139" s="61" t="s">
        <v>563</v>
      </c>
      <c r="D139" s="60" t="s">
        <v>554</v>
      </c>
      <c r="E139" s="69">
        <v>1.8888888888888891</v>
      </c>
      <c r="F139" s="60" t="s">
        <v>34</v>
      </c>
      <c r="G139" s="62">
        <v>10</v>
      </c>
      <c r="H139" s="63" t="s">
        <v>559</v>
      </c>
    </row>
    <row r="140" spans="1:8" ht="19.8" customHeight="1" x14ac:dyDescent="0.3">
      <c r="A140" s="68">
        <v>45983</v>
      </c>
      <c r="B140" s="60" t="s">
        <v>26</v>
      </c>
      <c r="C140" s="61" t="s">
        <v>566</v>
      </c>
      <c r="D140" s="60" t="s">
        <v>554</v>
      </c>
      <c r="E140" s="69">
        <v>1.944444444444444</v>
      </c>
      <c r="F140" s="60" t="s">
        <v>34</v>
      </c>
      <c r="G140" s="62">
        <v>3</v>
      </c>
      <c r="H140" s="63" t="s">
        <v>559</v>
      </c>
    </row>
    <row r="141" spans="1:8" ht="19.8" customHeight="1" x14ac:dyDescent="0.3">
      <c r="A141" s="68">
        <v>45983</v>
      </c>
      <c r="B141" s="60" t="s">
        <v>52</v>
      </c>
      <c r="C141" s="61" t="s">
        <v>612</v>
      </c>
      <c r="D141" s="60" t="s">
        <v>554</v>
      </c>
      <c r="E141" s="69">
        <v>1.8298611111111109</v>
      </c>
      <c r="F141" s="60" t="s">
        <v>57</v>
      </c>
      <c r="G141" s="62">
        <v>9</v>
      </c>
      <c r="H141" s="63" t="s">
        <v>645</v>
      </c>
    </row>
    <row r="142" spans="1:8" ht="19.8" customHeight="1" x14ac:dyDescent="0.3">
      <c r="A142" s="68">
        <v>45983</v>
      </c>
      <c r="B142" s="60" t="s">
        <v>52</v>
      </c>
      <c r="C142" s="61" t="s">
        <v>608</v>
      </c>
      <c r="D142" s="60" t="s">
        <v>554</v>
      </c>
      <c r="E142" s="69">
        <v>1.6284722222222221</v>
      </c>
      <c r="F142" s="60" t="s">
        <v>57</v>
      </c>
      <c r="G142" s="62">
        <v>4</v>
      </c>
      <c r="H142" s="63" t="s">
        <v>646</v>
      </c>
    </row>
    <row r="143" spans="1:8" ht="19.8" customHeight="1" x14ac:dyDescent="0.3">
      <c r="A143" s="68">
        <v>45983</v>
      </c>
      <c r="B143" s="60" t="s">
        <v>52</v>
      </c>
      <c r="C143" s="61" t="s">
        <v>606</v>
      </c>
      <c r="D143" s="60" t="s">
        <v>554</v>
      </c>
      <c r="E143" s="69">
        <v>1.8888888888888891</v>
      </c>
      <c r="F143" s="60" t="s">
        <v>57</v>
      </c>
      <c r="G143" s="62">
        <v>4</v>
      </c>
      <c r="H143" s="63" t="s">
        <v>647</v>
      </c>
    </row>
    <row r="144" spans="1:8" ht="19.8" customHeight="1" x14ac:dyDescent="0.3">
      <c r="A144" s="68">
        <v>45983</v>
      </c>
      <c r="B144" s="60" t="s">
        <v>52</v>
      </c>
      <c r="C144" s="61" t="s">
        <v>609</v>
      </c>
      <c r="D144" s="60" t="s">
        <v>554</v>
      </c>
      <c r="E144" s="69">
        <v>1.944444444444444</v>
      </c>
      <c r="F144" s="60" t="s">
        <v>57</v>
      </c>
      <c r="G144" s="62">
        <v>4</v>
      </c>
      <c r="H144" s="63" t="s">
        <v>648</v>
      </c>
    </row>
    <row r="145" spans="1:8" ht="19.8" customHeight="1" x14ac:dyDescent="0.3">
      <c r="A145" s="68">
        <v>45983</v>
      </c>
      <c r="B145" s="60" t="s">
        <v>26</v>
      </c>
      <c r="C145" s="61" t="s">
        <v>555</v>
      </c>
      <c r="D145" s="60" t="s">
        <v>554</v>
      </c>
      <c r="E145" s="69">
        <v>1.5763888888888891</v>
      </c>
      <c r="F145" s="60" t="s">
        <v>34</v>
      </c>
      <c r="G145" s="62">
        <v>9</v>
      </c>
      <c r="H145" s="63" t="s">
        <v>630</v>
      </c>
    </row>
    <row r="146" spans="1:8" ht="19.8" customHeight="1" x14ac:dyDescent="0.3">
      <c r="A146" s="68">
        <v>45983</v>
      </c>
      <c r="B146" s="60" t="s">
        <v>26</v>
      </c>
      <c r="C146" s="61" t="s">
        <v>560</v>
      </c>
      <c r="D146" s="60" t="s">
        <v>554</v>
      </c>
      <c r="E146" s="69">
        <v>1.6284722222222221</v>
      </c>
      <c r="F146" s="60" t="s">
        <v>34</v>
      </c>
      <c r="G146" s="62">
        <v>12</v>
      </c>
      <c r="H146" s="63" t="s">
        <v>630</v>
      </c>
    </row>
    <row r="147" spans="1:8" ht="19.8" customHeight="1" x14ac:dyDescent="0.3">
      <c r="A147" s="68">
        <v>45983</v>
      </c>
      <c r="B147" s="60" t="s">
        <v>68</v>
      </c>
      <c r="C147" s="61" t="s">
        <v>601</v>
      </c>
      <c r="D147" s="60" t="s">
        <v>554</v>
      </c>
      <c r="E147" s="69">
        <v>1.7326388888888891</v>
      </c>
      <c r="F147" s="60" t="s">
        <v>70</v>
      </c>
      <c r="G147" s="62">
        <v>2</v>
      </c>
      <c r="H147" s="63" t="s">
        <v>602</v>
      </c>
    </row>
    <row r="148" spans="1:8" ht="19.8" customHeight="1" x14ac:dyDescent="0.3">
      <c r="A148" s="70">
        <v>45983</v>
      </c>
      <c r="B148" s="71" t="s">
        <v>52</v>
      </c>
      <c r="C148" s="72" t="s">
        <v>613</v>
      </c>
      <c r="D148" s="71" t="s">
        <v>554</v>
      </c>
      <c r="E148" s="73">
        <v>1.6284722222222221</v>
      </c>
      <c r="F148" s="71" t="s">
        <v>57</v>
      </c>
      <c r="G148" s="74">
        <v>4</v>
      </c>
      <c r="H148" s="75" t="s">
        <v>649</v>
      </c>
    </row>
  </sheetData>
  <pageMargins left="0.75" right="0.75" top="1" bottom="1" header="0.5" footer="0.5"/>
  <legacyDrawing r:id="rId1"/>
  <tableParts count="1">
    <tablePart r:id="rId2"/>
  </tablePart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14"/>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181.77734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239</v>
      </c>
      <c r="C2" s="61" t="s">
        <v>584</v>
      </c>
      <c r="D2" s="60" t="s">
        <v>554</v>
      </c>
      <c r="E2" s="60" t="s">
        <v>670</v>
      </c>
      <c r="F2" s="60" t="s">
        <v>100</v>
      </c>
      <c r="G2" s="62">
        <v>9</v>
      </c>
      <c r="H2" s="63" t="s">
        <v>585</v>
      </c>
    </row>
    <row r="3" spans="1:8" ht="19.8" customHeight="1" x14ac:dyDescent="0.3">
      <c r="A3" s="59" t="s">
        <v>152</v>
      </c>
      <c r="B3" s="60" t="s">
        <v>586</v>
      </c>
      <c r="C3" s="61" t="s">
        <v>589</v>
      </c>
      <c r="D3" s="60" t="s">
        <v>554</v>
      </c>
      <c r="E3" s="60" t="s">
        <v>552</v>
      </c>
      <c r="F3" s="60" t="s">
        <v>100</v>
      </c>
      <c r="G3" s="62">
        <v>9</v>
      </c>
      <c r="H3" s="63" t="s">
        <v>590</v>
      </c>
    </row>
    <row r="4" spans="1:8" ht="19.8" customHeight="1" x14ac:dyDescent="0.3">
      <c r="A4" s="99" t="s">
        <v>152</v>
      </c>
      <c r="B4" s="77" t="s">
        <v>73</v>
      </c>
      <c r="C4" s="78" t="s">
        <v>591</v>
      </c>
      <c r="D4" s="77" t="s">
        <v>554</v>
      </c>
      <c r="E4" s="77" t="s">
        <v>650</v>
      </c>
      <c r="F4" s="77" t="s">
        <v>100</v>
      </c>
      <c r="G4" s="80">
        <v>9</v>
      </c>
      <c r="H4" s="81" t="s">
        <v>592</v>
      </c>
    </row>
    <row r="5" spans="1:8" ht="19.8" customHeight="1" x14ac:dyDescent="0.3">
      <c r="A5" s="68">
        <v>45981</v>
      </c>
      <c r="B5" s="60" t="s">
        <v>36</v>
      </c>
      <c r="C5" s="61" t="s">
        <v>569</v>
      </c>
      <c r="D5" s="60" t="s">
        <v>554</v>
      </c>
      <c r="E5" s="69">
        <v>1.958333333333333</v>
      </c>
      <c r="F5" s="60" t="s">
        <v>41</v>
      </c>
      <c r="G5" s="62">
        <v>9</v>
      </c>
      <c r="H5" s="63" t="s">
        <v>571</v>
      </c>
    </row>
    <row r="6" spans="1:8" ht="19.8" customHeight="1" x14ac:dyDescent="0.3">
      <c r="A6" s="68">
        <v>45981</v>
      </c>
      <c r="B6" s="60" t="s">
        <v>36</v>
      </c>
      <c r="C6" s="61" t="s">
        <v>573</v>
      </c>
      <c r="D6" s="60" t="s">
        <v>554</v>
      </c>
      <c r="E6" s="69">
        <v>1.631944444444444</v>
      </c>
      <c r="F6" s="60" t="s">
        <v>41</v>
      </c>
      <c r="G6" s="62">
        <v>9</v>
      </c>
      <c r="H6" s="63" t="s">
        <v>571</v>
      </c>
    </row>
    <row r="7" spans="1:8" ht="19.8" customHeight="1" x14ac:dyDescent="0.3">
      <c r="A7" s="68">
        <v>45981</v>
      </c>
      <c r="B7" s="60" t="s">
        <v>36</v>
      </c>
      <c r="C7" s="61" t="s">
        <v>574</v>
      </c>
      <c r="D7" s="60" t="s">
        <v>554</v>
      </c>
      <c r="E7" s="69">
        <v>1.5590277777777779</v>
      </c>
      <c r="F7" s="60" t="s">
        <v>41</v>
      </c>
      <c r="G7" s="62">
        <v>3</v>
      </c>
      <c r="H7" s="63" t="s">
        <v>571</v>
      </c>
    </row>
    <row r="8" spans="1:8" ht="19.8" customHeight="1" x14ac:dyDescent="0.3">
      <c r="A8" s="68">
        <v>45981</v>
      </c>
      <c r="B8" s="60" t="s">
        <v>36</v>
      </c>
      <c r="C8" s="61" t="s">
        <v>575</v>
      </c>
      <c r="D8" s="60" t="s">
        <v>554</v>
      </c>
      <c r="E8" s="69">
        <v>1.819444444444444</v>
      </c>
      <c r="F8" s="60" t="s">
        <v>41</v>
      </c>
      <c r="G8" s="62">
        <v>6</v>
      </c>
      <c r="H8" s="63" t="s">
        <v>571</v>
      </c>
    </row>
    <row r="9" spans="1:8" ht="19.8" customHeight="1" x14ac:dyDescent="0.3">
      <c r="A9" s="70">
        <v>45981</v>
      </c>
      <c r="B9" s="71" t="s">
        <v>36</v>
      </c>
      <c r="C9" s="72" t="s">
        <v>576</v>
      </c>
      <c r="D9" s="71" t="s">
        <v>554</v>
      </c>
      <c r="E9" s="73">
        <v>1.697916666666667</v>
      </c>
      <c r="F9" s="71" t="s">
        <v>41</v>
      </c>
      <c r="G9" s="74">
        <v>1</v>
      </c>
      <c r="H9" s="75" t="s">
        <v>571</v>
      </c>
    </row>
    <row r="10" spans="1:8" ht="19.8" customHeight="1" x14ac:dyDescent="0.3">
      <c r="A10" s="76">
        <v>45982</v>
      </c>
      <c r="B10" s="77" t="s">
        <v>73</v>
      </c>
      <c r="C10" s="78" t="s">
        <v>591</v>
      </c>
      <c r="D10" s="77" t="s">
        <v>554</v>
      </c>
      <c r="E10" s="79">
        <v>1.40625</v>
      </c>
      <c r="F10" s="77" t="s">
        <v>100</v>
      </c>
      <c r="G10" s="80">
        <v>9</v>
      </c>
      <c r="H10" s="81" t="s">
        <v>208</v>
      </c>
    </row>
    <row r="11" spans="1:8" ht="19.8" customHeight="1" x14ac:dyDescent="0.3">
      <c r="A11" s="76">
        <v>45982</v>
      </c>
      <c r="B11" s="77" t="s">
        <v>73</v>
      </c>
      <c r="C11" s="78" t="s">
        <v>624</v>
      </c>
      <c r="D11" s="77" t="s">
        <v>554</v>
      </c>
      <c r="E11" s="79">
        <v>1.725694444444444</v>
      </c>
      <c r="F11" s="77" t="s">
        <v>100</v>
      </c>
      <c r="G11" s="80">
        <v>9</v>
      </c>
      <c r="H11" s="81" t="s">
        <v>208</v>
      </c>
    </row>
    <row r="12" spans="1:8" ht="19.8" customHeight="1" x14ac:dyDescent="0.3">
      <c r="A12" s="68">
        <v>45982</v>
      </c>
      <c r="B12" s="60" t="s">
        <v>26</v>
      </c>
      <c r="C12" s="61" t="s">
        <v>555</v>
      </c>
      <c r="D12" s="60" t="s">
        <v>554</v>
      </c>
      <c r="E12" s="69">
        <v>1.5763888888888891</v>
      </c>
      <c r="F12" s="60" t="s">
        <v>31</v>
      </c>
      <c r="G12" s="62">
        <v>5</v>
      </c>
      <c r="H12" s="63" t="s">
        <v>208</v>
      </c>
    </row>
    <row r="13" spans="1:8" ht="19.8" customHeight="1" x14ac:dyDescent="0.3">
      <c r="A13" s="70">
        <v>45982</v>
      </c>
      <c r="B13" s="71" t="s">
        <v>26</v>
      </c>
      <c r="C13" s="72" t="s">
        <v>560</v>
      </c>
      <c r="D13" s="71" t="s">
        <v>554</v>
      </c>
      <c r="E13" s="73">
        <v>1.6284722222222221</v>
      </c>
      <c r="F13" s="71" t="s">
        <v>31</v>
      </c>
      <c r="G13" s="74">
        <v>23</v>
      </c>
      <c r="H13" s="75" t="s">
        <v>208</v>
      </c>
    </row>
    <row r="14" spans="1:8" ht="19.8" customHeight="1" x14ac:dyDescent="0.3">
      <c r="A14" s="82">
        <v>45983</v>
      </c>
      <c r="B14" s="65" t="s">
        <v>73</v>
      </c>
      <c r="C14" s="66" t="s">
        <v>591</v>
      </c>
      <c r="D14" s="65" t="s">
        <v>554</v>
      </c>
      <c r="E14" s="83">
        <v>1.413194444444444</v>
      </c>
      <c r="F14" s="65" t="s">
        <v>100</v>
      </c>
      <c r="G14" s="84">
        <v>1</v>
      </c>
      <c r="H14" s="67" t="s">
        <v>208</v>
      </c>
    </row>
  </sheetData>
  <pageMargins left="0.75" right="0.75" top="1" bottom="1" header="0.5" footer="0.5"/>
  <legacyDrawing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N36"/>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1.77734375" bestFit="1" customWidth="1"/>
    <col min="5" max="5" width="20.109375" bestFit="1" customWidth="1"/>
    <col min="6" max="6" width="23.44140625" bestFit="1" customWidth="1"/>
    <col min="7" max="7" width="49.109375" bestFit="1" customWidth="1"/>
    <col min="8" max="8" width="9.44140625" bestFit="1" customWidth="1"/>
    <col min="9" max="9" width="6.109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109375" bestFit="1" customWidth="1"/>
    <col min="17" max="17" width="12.21875" bestFit="1" customWidth="1"/>
    <col min="18" max="18" width="10.77734375" bestFit="1" customWidth="1"/>
  </cols>
  <sheetData>
    <row r="1" spans="1:92" ht="28.8" customHeight="1" x14ac:dyDescent="0.3">
      <c r="A1" s="261" t="s">
        <v>0</v>
      </c>
      <c r="B1" s="254"/>
      <c r="C1" s="254"/>
      <c r="D1" s="254"/>
      <c r="E1" s="254"/>
      <c r="F1" s="1" t="s">
        <v>671</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45980.430471246727</v>
      </c>
      <c r="H2" s="254"/>
      <c r="I2" s="254"/>
      <c r="J2" s="254"/>
      <c r="K2" s="263">
        <v>45980.430471247113</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45981</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36</v>
      </c>
      <c r="B6" s="8" t="s">
        <v>672</v>
      </c>
      <c r="C6" s="9">
        <v>0.3611111111111111</v>
      </c>
      <c r="D6" s="8" t="s">
        <v>673</v>
      </c>
      <c r="E6" s="8" t="s">
        <v>71</v>
      </c>
      <c r="F6" s="8" t="s">
        <v>674</v>
      </c>
      <c r="G6" s="256"/>
      <c r="H6" s="10"/>
      <c r="I6" s="11"/>
      <c r="J6" s="11"/>
      <c r="K6" s="11"/>
      <c r="L6" s="11"/>
      <c r="M6" s="11"/>
      <c r="N6" s="11"/>
      <c r="O6" s="12"/>
      <c r="P6" s="11"/>
      <c r="Q6" s="13"/>
      <c r="R6" s="14"/>
    </row>
    <row r="7" spans="1:92" ht="15" customHeight="1" x14ac:dyDescent="0.3">
      <c r="A7" s="15" t="s">
        <v>36</v>
      </c>
      <c r="B7" s="15" t="s">
        <v>672</v>
      </c>
      <c r="C7" s="16">
        <v>0.3611111111111111</v>
      </c>
      <c r="D7" s="15" t="s">
        <v>41</v>
      </c>
      <c r="E7" s="15" t="s">
        <v>209</v>
      </c>
      <c r="F7" s="15" t="s">
        <v>675</v>
      </c>
      <c r="G7" s="257"/>
      <c r="H7" s="10"/>
      <c r="I7" s="11"/>
      <c r="J7" s="11"/>
      <c r="K7" s="11"/>
      <c r="L7" s="11"/>
      <c r="M7" s="11"/>
      <c r="N7" s="11"/>
      <c r="O7" s="12"/>
      <c r="P7" s="11"/>
      <c r="Q7" s="13"/>
      <c r="R7" s="14"/>
    </row>
    <row r="8" spans="1:92" ht="15" customHeight="1" x14ac:dyDescent="0.3">
      <c r="A8" s="15" t="s">
        <v>36</v>
      </c>
      <c r="B8" s="15" t="s">
        <v>672</v>
      </c>
      <c r="C8" s="16">
        <v>0.3611111111111111</v>
      </c>
      <c r="D8" s="15" t="s">
        <v>44</v>
      </c>
      <c r="E8" s="15" t="s">
        <v>209</v>
      </c>
      <c r="F8" s="15" t="s">
        <v>676</v>
      </c>
      <c r="G8" s="257"/>
      <c r="H8" s="10"/>
      <c r="I8" s="11"/>
      <c r="J8" s="11"/>
      <c r="K8" s="11"/>
      <c r="L8" s="11"/>
      <c r="M8" s="11"/>
      <c r="N8" s="11"/>
      <c r="O8" s="12"/>
      <c r="P8" s="11"/>
      <c r="Q8" s="13"/>
      <c r="R8" s="14"/>
    </row>
    <row r="9" spans="1:92" ht="18" x14ac:dyDescent="0.3">
      <c r="A9" s="268" t="s">
        <v>677</v>
      </c>
      <c r="B9" s="269"/>
      <c r="C9" s="269"/>
      <c r="D9" s="269"/>
      <c r="E9" s="269"/>
      <c r="F9" s="270"/>
      <c r="G9" s="257"/>
      <c r="H9" s="94"/>
      <c r="I9" s="94"/>
      <c r="J9" s="94"/>
      <c r="K9" s="94"/>
      <c r="L9" s="94"/>
      <c r="M9" s="94"/>
      <c r="N9" s="94"/>
      <c r="O9" s="95"/>
      <c r="P9" s="94"/>
      <c r="Q9" s="55"/>
      <c r="R9" s="55"/>
    </row>
    <row r="10" spans="1:92" ht="15" customHeight="1" x14ac:dyDescent="0.3">
      <c r="A10" s="19" t="s">
        <v>26</v>
      </c>
      <c r="B10" s="19" t="s">
        <v>555</v>
      </c>
      <c r="C10" s="20" t="s">
        <v>663</v>
      </c>
      <c r="D10" s="19" t="s">
        <v>28</v>
      </c>
      <c r="E10" s="19" t="s">
        <v>678</v>
      </c>
      <c r="F10" s="19" t="s">
        <v>557</v>
      </c>
      <c r="G10" s="257"/>
      <c r="H10" s="94"/>
      <c r="I10" s="94"/>
      <c r="J10" s="94"/>
      <c r="K10" s="94"/>
      <c r="L10" s="94"/>
      <c r="M10" s="94"/>
      <c r="N10" s="94"/>
      <c r="O10" s="95"/>
      <c r="P10" s="94"/>
      <c r="Q10" s="55"/>
      <c r="R10" s="55"/>
    </row>
    <row r="11" spans="1:92" ht="15" customHeight="1" x14ac:dyDescent="0.3">
      <c r="A11" s="19" t="s">
        <v>26</v>
      </c>
      <c r="B11" s="19" t="s">
        <v>560</v>
      </c>
      <c r="C11" s="20" t="s">
        <v>664</v>
      </c>
      <c r="D11" s="19" t="s">
        <v>28</v>
      </c>
      <c r="E11" s="19" t="s">
        <v>679</v>
      </c>
      <c r="F11" s="19" t="s">
        <v>557</v>
      </c>
      <c r="G11" s="257"/>
      <c r="H11" s="94"/>
      <c r="I11" s="94"/>
      <c r="J11" s="94"/>
      <c r="K11" s="94"/>
      <c r="L11" s="94"/>
      <c r="M11" s="94"/>
      <c r="N11" s="94"/>
      <c r="O11" s="95"/>
      <c r="P11" s="94"/>
      <c r="Q11" s="55"/>
      <c r="R11" s="55"/>
    </row>
    <row r="12" spans="1:92" ht="15" customHeight="1" x14ac:dyDescent="0.3">
      <c r="A12" s="19" t="s">
        <v>26</v>
      </c>
      <c r="B12" s="19" t="s">
        <v>563</v>
      </c>
      <c r="C12" s="20" t="s">
        <v>431</v>
      </c>
      <c r="D12" s="19" t="s">
        <v>28</v>
      </c>
      <c r="E12" s="19" t="s">
        <v>680</v>
      </c>
      <c r="F12" s="19" t="s">
        <v>557</v>
      </c>
      <c r="G12" s="257"/>
      <c r="H12" s="94"/>
      <c r="I12" s="94"/>
      <c r="J12" s="94"/>
      <c r="K12" s="94"/>
      <c r="L12" s="94"/>
      <c r="M12" s="94"/>
      <c r="N12" s="94"/>
      <c r="O12" s="95"/>
      <c r="P12" s="94"/>
      <c r="Q12" s="55"/>
      <c r="R12" s="55"/>
    </row>
    <row r="13" spans="1:92" ht="15" customHeight="1" x14ac:dyDescent="0.3">
      <c r="A13" s="19" t="s">
        <v>26</v>
      </c>
      <c r="B13" s="19" t="s">
        <v>566</v>
      </c>
      <c r="C13" s="20" t="s">
        <v>434</v>
      </c>
      <c r="D13" s="19" t="s">
        <v>28</v>
      </c>
      <c r="E13" s="19" t="s">
        <v>681</v>
      </c>
      <c r="F13" s="19" t="s">
        <v>557</v>
      </c>
      <c r="G13" s="257"/>
      <c r="H13" s="94"/>
      <c r="I13" s="94"/>
      <c r="J13" s="94"/>
      <c r="K13" s="94"/>
      <c r="L13" s="94"/>
      <c r="M13" s="94"/>
      <c r="N13" s="94"/>
      <c r="O13" s="95"/>
      <c r="P13" s="94"/>
      <c r="Q13" s="55"/>
      <c r="R13" s="55"/>
    </row>
    <row r="14" spans="1:92" ht="15" customHeight="1" x14ac:dyDescent="0.3">
      <c r="A14" s="19" t="s">
        <v>36</v>
      </c>
      <c r="B14" s="19" t="s">
        <v>569</v>
      </c>
      <c r="C14" s="20" t="s">
        <v>665</v>
      </c>
      <c r="D14" s="19" t="s">
        <v>38</v>
      </c>
      <c r="E14" s="19" t="s">
        <v>169</v>
      </c>
      <c r="F14" s="19" t="s">
        <v>570</v>
      </c>
      <c r="G14" s="257"/>
      <c r="H14" s="94"/>
      <c r="I14" s="94"/>
      <c r="J14" s="94"/>
      <c r="K14" s="94"/>
      <c r="L14" s="94"/>
      <c r="M14" s="94"/>
      <c r="N14" s="94"/>
      <c r="O14" s="95"/>
      <c r="P14" s="94"/>
      <c r="Q14" s="55"/>
      <c r="R14" s="55"/>
    </row>
    <row r="15" spans="1:92" ht="15" customHeight="1" x14ac:dyDescent="0.3">
      <c r="A15" s="19" t="s">
        <v>36</v>
      </c>
      <c r="B15" s="19" t="s">
        <v>573</v>
      </c>
      <c r="C15" s="20" t="s">
        <v>666</v>
      </c>
      <c r="D15" s="19" t="s">
        <v>38</v>
      </c>
      <c r="E15" s="19" t="s">
        <v>169</v>
      </c>
      <c r="F15" s="19" t="s">
        <v>570</v>
      </c>
      <c r="G15" s="257"/>
      <c r="H15" s="94"/>
      <c r="I15" s="94"/>
      <c r="J15" s="94"/>
      <c r="K15" s="94"/>
      <c r="L15" s="94"/>
      <c r="M15" s="94"/>
      <c r="N15" s="94"/>
      <c r="O15" s="95"/>
      <c r="P15" s="94"/>
      <c r="Q15" s="55"/>
      <c r="R15" s="55"/>
    </row>
    <row r="16" spans="1:92" ht="15" customHeight="1" x14ac:dyDescent="0.3">
      <c r="A16" s="19" t="s">
        <v>36</v>
      </c>
      <c r="B16" s="19" t="s">
        <v>574</v>
      </c>
      <c r="C16" s="20" t="s">
        <v>405</v>
      </c>
      <c r="D16" s="19" t="s">
        <v>38</v>
      </c>
      <c r="E16" s="19" t="s">
        <v>482</v>
      </c>
      <c r="F16" s="19" t="s">
        <v>570</v>
      </c>
      <c r="G16" s="257"/>
      <c r="H16" s="94"/>
      <c r="I16" s="94"/>
      <c r="J16" s="94"/>
      <c r="K16" s="94"/>
      <c r="L16" s="94"/>
      <c r="M16" s="94"/>
      <c r="N16" s="94"/>
      <c r="O16" s="95"/>
      <c r="P16" s="94"/>
      <c r="Q16" s="55"/>
      <c r="R16" s="55"/>
    </row>
    <row r="17" spans="1:18" ht="15" customHeight="1" x14ac:dyDescent="0.3">
      <c r="A17" s="19" t="s">
        <v>36</v>
      </c>
      <c r="B17" s="19" t="s">
        <v>575</v>
      </c>
      <c r="C17" s="20" t="s">
        <v>500</v>
      </c>
      <c r="D17" s="19" t="s">
        <v>38</v>
      </c>
      <c r="E17" s="19" t="s">
        <v>170</v>
      </c>
      <c r="F17" s="19" t="s">
        <v>570</v>
      </c>
      <c r="G17" s="257"/>
      <c r="H17" s="94"/>
      <c r="I17" s="94"/>
      <c r="J17" s="94"/>
      <c r="K17" s="94"/>
      <c r="L17" s="94"/>
      <c r="M17" s="94"/>
      <c r="N17" s="94"/>
      <c r="O17" s="95"/>
      <c r="P17" s="94"/>
      <c r="Q17" s="55"/>
      <c r="R17" s="55"/>
    </row>
    <row r="18" spans="1:18" ht="15" customHeight="1" x14ac:dyDescent="0.3">
      <c r="A18" s="19" t="s">
        <v>36</v>
      </c>
      <c r="B18" s="19" t="s">
        <v>576</v>
      </c>
      <c r="C18" s="20" t="s">
        <v>176</v>
      </c>
      <c r="D18" s="19" t="s">
        <v>38</v>
      </c>
      <c r="E18" s="19" t="s">
        <v>174</v>
      </c>
      <c r="F18" s="19" t="s">
        <v>570</v>
      </c>
      <c r="G18" s="257"/>
      <c r="H18" s="94"/>
      <c r="I18" s="94"/>
      <c r="J18" s="94"/>
      <c r="K18" s="94"/>
      <c r="L18" s="94"/>
      <c r="M18" s="94"/>
      <c r="N18" s="94"/>
      <c r="O18" s="95"/>
      <c r="P18" s="94"/>
      <c r="Q18" s="55"/>
      <c r="R18" s="55"/>
    </row>
    <row r="19" spans="1:18" ht="15" customHeight="1" thickBot="1" x14ac:dyDescent="0.35">
      <c r="A19" s="39" t="s">
        <v>239</v>
      </c>
      <c r="B19" s="39" t="s">
        <v>581</v>
      </c>
      <c r="C19" s="40" t="s">
        <v>667</v>
      </c>
      <c r="D19" s="39" t="s">
        <v>100</v>
      </c>
      <c r="E19" s="39" t="s">
        <v>171</v>
      </c>
      <c r="F19" s="39" t="s">
        <v>582</v>
      </c>
      <c r="G19" s="258"/>
      <c r="H19" s="96"/>
      <c r="I19" s="96"/>
      <c r="J19" s="96"/>
      <c r="K19" s="96"/>
      <c r="L19" s="96"/>
      <c r="M19" s="96"/>
      <c r="N19" s="96"/>
      <c r="O19" s="97"/>
      <c r="P19" s="96"/>
      <c r="Q19" s="98"/>
      <c r="R19" s="98"/>
    </row>
    <row r="20" spans="1:18" ht="17.399999999999999" customHeight="1" thickBot="1" x14ac:dyDescent="0.35">
      <c r="A20" s="285"/>
      <c r="B20" s="286"/>
      <c r="C20" s="286"/>
      <c r="D20" s="286"/>
      <c r="E20" s="286"/>
      <c r="F20" s="286"/>
      <c r="G20" s="286"/>
      <c r="H20" s="286"/>
      <c r="I20" s="286"/>
      <c r="J20" s="286"/>
      <c r="K20" s="286"/>
      <c r="L20" s="286"/>
      <c r="M20" s="286"/>
      <c r="N20" s="286"/>
      <c r="O20" s="286"/>
      <c r="P20" s="286"/>
      <c r="Q20" s="286"/>
      <c r="R20" s="287"/>
    </row>
    <row r="21" spans="1:18" ht="22.05" customHeight="1" thickTop="1" thickBot="1" x14ac:dyDescent="0.35">
      <c r="A21" s="259" t="s">
        <v>6</v>
      </c>
      <c r="B21" s="251"/>
      <c r="C21" s="251"/>
      <c r="D21" s="251"/>
      <c r="E21" s="251"/>
      <c r="F21" s="252"/>
      <c r="G21" s="31">
        <v>45983</v>
      </c>
      <c r="H21" s="250" t="s">
        <v>7</v>
      </c>
      <c r="I21" s="251"/>
      <c r="J21" s="251"/>
      <c r="K21" s="251"/>
      <c r="L21" s="251"/>
      <c r="M21" s="251"/>
      <c r="N21" s="251"/>
      <c r="O21" s="251"/>
      <c r="P21" s="251"/>
      <c r="Q21" s="251"/>
      <c r="R21" s="252"/>
    </row>
    <row r="22" spans="1:18" ht="24" customHeight="1" x14ac:dyDescent="0.3">
      <c r="A22" s="32" t="s">
        <v>8</v>
      </c>
      <c r="B22" s="32" t="s">
        <v>9</v>
      </c>
      <c r="C22" s="33" t="s">
        <v>10</v>
      </c>
      <c r="D22" s="32" t="s">
        <v>11</v>
      </c>
      <c r="E22" s="32" t="s">
        <v>12</v>
      </c>
      <c r="F22" s="34" t="s">
        <v>13</v>
      </c>
      <c r="G22" s="35" t="s">
        <v>14</v>
      </c>
      <c r="H22" s="32" t="s">
        <v>15</v>
      </c>
      <c r="I22" s="36" t="s">
        <v>16</v>
      </c>
      <c r="J22" s="37" t="s">
        <v>17</v>
      </c>
      <c r="K22" s="38" t="s">
        <v>18</v>
      </c>
      <c r="L22" s="37" t="s">
        <v>19</v>
      </c>
      <c r="M22" s="37" t="s">
        <v>20</v>
      </c>
      <c r="N22" s="37" t="s">
        <v>21</v>
      </c>
      <c r="O22" s="32" t="s">
        <v>22</v>
      </c>
      <c r="P22" s="33" t="s">
        <v>23</v>
      </c>
      <c r="Q22" s="37" t="s">
        <v>24</v>
      </c>
      <c r="R22" s="32" t="s">
        <v>25</v>
      </c>
    </row>
    <row r="23" spans="1:18" ht="15" customHeight="1" x14ac:dyDescent="0.3">
      <c r="A23" s="8" t="s">
        <v>36</v>
      </c>
      <c r="B23" s="8" t="s">
        <v>672</v>
      </c>
      <c r="C23" s="9">
        <v>0.3611111111111111</v>
      </c>
      <c r="D23" s="8" t="s">
        <v>673</v>
      </c>
      <c r="E23" s="8" t="s">
        <v>39</v>
      </c>
      <c r="F23" s="8" t="s">
        <v>322</v>
      </c>
      <c r="G23" s="256"/>
      <c r="H23" s="10"/>
      <c r="I23" s="11"/>
      <c r="J23" s="11"/>
      <c r="K23" s="11"/>
      <c r="L23" s="11"/>
      <c r="M23" s="11"/>
      <c r="N23" s="11"/>
      <c r="O23" s="12"/>
      <c r="P23" s="11"/>
      <c r="Q23" s="13"/>
      <c r="R23" s="14"/>
    </row>
    <row r="24" spans="1:18" ht="15" customHeight="1" x14ac:dyDescent="0.3">
      <c r="A24" s="15" t="s">
        <v>36</v>
      </c>
      <c r="B24" s="15" t="s">
        <v>672</v>
      </c>
      <c r="C24" s="16">
        <v>0.3611111111111111</v>
      </c>
      <c r="D24" s="15" t="s">
        <v>41</v>
      </c>
      <c r="E24" s="15" t="s">
        <v>42</v>
      </c>
      <c r="F24" s="15" t="s">
        <v>682</v>
      </c>
      <c r="G24" s="257"/>
      <c r="H24" s="10"/>
      <c r="I24" s="11"/>
      <c r="J24" s="11"/>
      <c r="K24" s="11"/>
      <c r="L24" s="11"/>
      <c r="M24" s="11"/>
      <c r="N24" s="11"/>
      <c r="O24" s="12"/>
      <c r="P24" s="11"/>
      <c r="Q24" s="13"/>
      <c r="R24" s="14"/>
    </row>
    <row r="25" spans="1:18" ht="15" customHeight="1" x14ac:dyDescent="0.3">
      <c r="A25" s="15" t="s">
        <v>36</v>
      </c>
      <c r="B25" s="15" t="s">
        <v>672</v>
      </c>
      <c r="C25" s="16">
        <v>0.3611111111111111</v>
      </c>
      <c r="D25" s="15" t="s">
        <v>44</v>
      </c>
      <c r="E25" s="15" t="s">
        <v>42</v>
      </c>
      <c r="F25" s="15" t="s">
        <v>683</v>
      </c>
      <c r="G25" s="257"/>
      <c r="H25" s="10"/>
      <c r="I25" s="11"/>
      <c r="J25" s="11"/>
      <c r="K25" s="11"/>
      <c r="L25" s="11"/>
      <c r="M25" s="11"/>
      <c r="N25" s="11"/>
      <c r="O25" s="12"/>
      <c r="P25" s="11"/>
      <c r="Q25" s="13"/>
      <c r="R25" s="14"/>
    </row>
    <row r="26" spans="1:18" ht="18" x14ac:dyDescent="0.3">
      <c r="A26" s="268" t="s">
        <v>677</v>
      </c>
      <c r="B26" s="269"/>
      <c r="C26" s="269"/>
      <c r="D26" s="269"/>
      <c r="E26" s="269"/>
      <c r="F26" s="270"/>
      <c r="G26" s="257"/>
      <c r="H26" s="94"/>
      <c r="I26" s="94"/>
      <c r="J26" s="94"/>
      <c r="K26" s="94"/>
      <c r="L26" s="94"/>
      <c r="M26" s="94"/>
      <c r="N26" s="94"/>
      <c r="O26" s="95"/>
      <c r="P26" s="94"/>
      <c r="Q26" s="55"/>
      <c r="R26" s="55"/>
    </row>
    <row r="27" spans="1:18" ht="15" customHeight="1" x14ac:dyDescent="0.3">
      <c r="A27" s="19" t="s">
        <v>26</v>
      </c>
      <c r="B27" s="19" t="s">
        <v>555</v>
      </c>
      <c r="C27" s="20" t="s">
        <v>663</v>
      </c>
      <c r="D27" s="19" t="s">
        <v>28</v>
      </c>
      <c r="E27" s="19" t="s">
        <v>169</v>
      </c>
      <c r="F27" s="19" t="s">
        <v>629</v>
      </c>
      <c r="G27" s="257"/>
      <c r="H27" s="94"/>
      <c r="I27" s="94"/>
      <c r="J27" s="94"/>
      <c r="K27" s="94"/>
      <c r="L27" s="94"/>
      <c r="M27" s="94"/>
      <c r="N27" s="94"/>
      <c r="O27" s="95"/>
      <c r="P27" s="94"/>
      <c r="Q27" s="55"/>
      <c r="R27" s="55"/>
    </row>
    <row r="28" spans="1:18" ht="15" customHeight="1" x14ac:dyDescent="0.3">
      <c r="A28" s="19" t="s">
        <v>36</v>
      </c>
      <c r="B28" s="19" t="s">
        <v>577</v>
      </c>
      <c r="C28" s="20" t="s">
        <v>401</v>
      </c>
      <c r="D28" s="19" t="s">
        <v>38</v>
      </c>
      <c r="E28" s="19" t="s">
        <v>168</v>
      </c>
      <c r="F28" s="19" t="s">
        <v>622</v>
      </c>
      <c r="G28" s="257"/>
      <c r="H28" s="94"/>
      <c r="I28" s="94"/>
      <c r="J28" s="94"/>
      <c r="K28" s="94"/>
      <c r="L28" s="94"/>
      <c r="M28" s="94"/>
      <c r="N28" s="94"/>
      <c r="O28" s="95"/>
      <c r="P28" s="94"/>
      <c r="Q28" s="55"/>
      <c r="R28" s="55"/>
    </row>
    <row r="29" spans="1:18" ht="15" customHeight="1" x14ac:dyDescent="0.3">
      <c r="A29" s="19" t="s">
        <v>36</v>
      </c>
      <c r="B29" s="19" t="s">
        <v>580</v>
      </c>
      <c r="C29" s="20" t="s">
        <v>669</v>
      </c>
      <c r="D29" s="19" t="s">
        <v>38</v>
      </c>
      <c r="E29" s="19" t="s">
        <v>169</v>
      </c>
      <c r="F29" s="19" t="s">
        <v>622</v>
      </c>
      <c r="G29" s="257"/>
      <c r="H29" s="94"/>
      <c r="I29" s="94"/>
      <c r="J29" s="94"/>
      <c r="K29" s="94"/>
      <c r="L29" s="94"/>
      <c r="M29" s="94"/>
      <c r="N29" s="94"/>
      <c r="O29" s="95"/>
      <c r="P29" s="94"/>
      <c r="Q29" s="55"/>
      <c r="R29" s="55"/>
    </row>
    <row r="30" spans="1:18" ht="15" customHeight="1" x14ac:dyDescent="0.3">
      <c r="A30" s="19" t="s">
        <v>26</v>
      </c>
      <c r="B30" s="19" t="s">
        <v>560</v>
      </c>
      <c r="C30" s="20" t="s">
        <v>664</v>
      </c>
      <c r="D30" s="19" t="s">
        <v>28</v>
      </c>
      <c r="E30" s="19" t="s">
        <v>684</v>
      </c>
      <c r="F30" s="19" t="s">
        <v>632</v>
      </c>
      <c r="G30" s="257"/>
      <c r="H30" s="94"/>
      <c r="I30" s="94"/>
      <c r="J30" s="94"/>
      <c r="K30" s="94"/>
      <c r="L30" s="94"/>
      <c r="M30" s="94"/>
      <c r="N30" s="94"/>
      <c r="O30" s="95"/>
      <c r="P30" s="94"/>
      <c r="Q30" s="55"/>
      <c r="R30" s="55"/>
    </row>
    <row r="31" spans="1:18" ht="15" customHeight="1" x14ac:dyDescent="0.3">
      <c r="A31" s="19" t="s">
        <v>73</v>
      </c>
      <c r="B31" s="19" t="s">
        <v>591</v>
      </c>
      <c r="C31" s="20" t="s">
        <v>650</v>
      </c>
      <c r="D31" s="19" t="s">
        <v>100</v>
      </c>
      <c r="E31" s="19" t="s">
        <v>174</v>
      </c>
      <c r="F31" s="19" t="s">
        <v>208</v>
      </c>
      <c r="G31" s="257"/>
      <c r="H31" s="94"/>
      <c r="I31" s="94"/>
      <c r="J31" s="94"/>
      <c r="K31" s="94"/>
      <c r="L31" s="94"/>
      <c r="M31" s="94"/>
      <c r="N31" s="94"/>
      <c r="O31" s="95"/>
      <c r="P31" s="94"/>
      <c r="Q31" s="55"/>
      <c r="R31" s="55"/>
    </row>
    <row r="32" spans="1:18" ht="15" customHeight="1" x14ac:dyDescent="0.3">
      <c r="A32" s="19" t="s">
        <v>36</v>
      </c>
      <c r="B32" s="19" t="s">
        <v>573</v>
      </c>
      <c r="C32" s="20" t="s">
        <v>666</v>
      </c>
      <c r="D32" s="19" t="s">
        <v>38</v>
      </c>
      <c r="E32" s="19" t="s">
        <v>174</v>
      </c>
      <c r="F32" s="19" t="s">
        <v>579</v>
      </c>
      <c r="G32" s="257"/>
      <c r="H32" s="94"/>
      <c r="I32" s="94"/>
      <c r="J32" s="94"/>
      <c r="K32" s="94"/>
      <c r="L32" s="94"/>
      <c r="M32" s="94"/>
      <c r="N32" s="94"/>
      <c r="O32" s="95"/>
      <c r="P32" s="94"/>
      <c r="Q32" s="55"/>
      <c r="R32" s="55"/>
    </row>
    <row r="33" spans="1:18" ht="15" customHeight="1" x14ac:dyDescent="0.3">
      <c r="A33" s="19" t="s">
        <v>36</v>
      </c>
      <c r="B33" s="19" t="s">
        <v>574</v>
      </c>
      <c r="C33" s="20" t="s">
        <v>405</v>
      </c>
      <c r="D33" s="19" t="s">
        <v>38</v>
      </c>
      <c r="E33" s="19" t="s">
        <v>169</v>
      </c>
      <c r="F33" s="19" t="s">
        <v>579</v>
      </c>
      <c r="G33" s="257"/>
      <c r="H33" s="94"/>
      <c r="I33" s="94"/>
      <c r="J33" s="94"/>
      <c r="K33" s="94"/>
      <c r="L33" s="94"/>
      <c r="M33" s="94"/>
      <c r="N33" s="94"/>
      <c r="O33" s="95"/>
      <c r="P33" s="94"/>
      <c r="Q33" s="55"/>
      <c r="R33" s="55"/>
    </row>
    <row r="34" spans="1:18" ht="15" customHeight="1" x14ac:dyDescent="0.3">
      <c r="A34" s="19" t="s">
        <v>586</v>
      </c>
      <c r="B34" s="19" t="s">
        <v>587</v>
      </c>
      <c r="C34" s="20" t="s">
        <v>484</v>
      </c>
      <c r="D34" s="19" t="s">
        <v>100</v>
      </c>
      <c r="E34" s="19" t="s">
        <v>685</v>
      </c>
      <c r="F34" s="19" t="s">
        <v>640</v>
      </c>
      <c r="G34" s="257"/>
      <c r="H34" s="94"/>
      <c r="I34" s="94"/>
      <c r="J34" s="94"/>
      <c r="K34" s="94"/>
      <c r="L34" s="94"/>
      <c r="M34" s="94"/>
      <c r="N34" s="94"/>
      <c r="O34" s="95"/>
      <c r="P34" s="94"/>
      <c r="Q34" s="55"/>
      <c r="R34" s="55"/>
    </row>
    <row r="35" spans="1:18" ht="15" customHeight="1" x14ac:dyDescent="0.3">
      <c r="A35" s="19" t="s">
        <v>26</v>
      </c>
      <c r="B35" s="19" t="s">
        <v>563</v>
      </c>
      <c r="C35" s="20" t="s">
        <v>431</v>
      </c>
      <c r="D35" s="19" t="s">
        <v>28</v>
      </c>
      <c r="E35" s="19" t="s">
        <v>483</v>
      </c>
      <c r="F35" s="19" t="s">
        <v>465</v>
      </c>
      <c r="G35" s="257"/>
      <c r="H35" s="94"/>
      <c r="I35" s="94"/>
      <c r="J35" s="94"/>
      <c r="K35" s="94"/>
      <c r="L35" s="94"/>
      <c r="M35" s="94"/>
      <c r="N35" s="94"/>
      <c r="O35" s="95"/>
      <c r="P35" s="94"/>
      <c r="Q35" s="55"/>
      <c r="R35" s="55"/>
    </row>
    <row r="36" spans="1:18" ht="15" customHeight="1" x14ac:dyDescent="0.3">
      <c r="A36" s="39" t="s">
        <v>26</v>
      </c>
      <c r="B36" s="39" t="s">
        <v>566</v>
      </c>
      <c r="C36" s="40" t="s">
        <v>434</v>
      </c>
      <c r="D36" s="39" t="s">
        <v>28</v>
      </c>
      <c r="E36" s="39" t="s">
        <v>482</v>
      </c>
      <c r="F36" s="39" t="s">
        <v>465</v>
      </c>
      <c r="G36" s="258"/>
      <c r="H36" s="96"/>
      <c r="I36" s="96"/>
      <c r="J36" s="96"/>
      <c r="K36" s="96"/>
      <c r="L36" s="96"/>
      <c r="M36" s="96"/>
      <c r="N36" s="96"/>
      <c r="O36" s="97"/>
      <c r="P36" s="96"/>
      <c r="Q36" s="98"/>
      <c r="R36" s="98"/>
    </row>
  </sheetData>
  <mergeCells count="16">
    <mergeCell ref="H1:L1"/>
    <mergeCell ref="A1:E1"/>
    <mergeCell ref="G2:J2"/>
    <mergeCell ref="K2:R2"/>
    <mergeCell ref="A4:F4"/>
    <mergeCell ref="H4:R4"/>
    <mergeCell ref="N1:R1"/>
    <mergeCell ref="A2:F2"/>
    <mergeCell ref="A3:R3"/>
    <mergeCell ref="A20:R20"/>
    <mergeCell ref="G23:G36"/>
    <mergeCell ref="A9:F9"/>
    <mergeCell ref="H21:R21"/>
    <mergeCell ref="G6:G19"/>
    <mergeCell ref="A26:F26"/>
    <mergeCell ref="A21:F21"/>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J1"/>
  <sheetViews>
    <sheetView workbookViewId="0"/>
  </sheetViews>
  <sheetFormatPr defaultRowHeight="15.6" outlineLevelCol="1" x14ac:dyDescent="0.3"/>
  <cols>
    <col min="1" max="1" width="4.109375" style="272" bestFit="1" customWidth="1"/>
    <col min="2" max="2" width="5.33203125" style="272" bestFit="1" customWidth="1"/>
    <col min="3" max="3" width="3" style="272" bestFit="1" customWidth="1"/>
    <col min="4" max="4" width="4.21875" style="272" bestFit="1" customWidth="1"/>
    <col min="5" max="5" width="7.109375" style="272" bestFit="1" customWidth="1"/>
    <col min="6" max="6" width="4" style="272" bestFit="1" customWidth="1"/>
    <col min="7" max="8" width="4.21875" style="272" bestFit="1" customWidth="1"/>
    <col min="9" max="10" width="6.44140625" style="272" bestFit="1" customWidth="1"/>
    <col min="11" max="11" width="6.109375" style="272" bestFit="1" customWidth="1"/>
    <col min="12" max="12" width="8.77734375" style="272" bestFit="1" customWidth="1"/>
    <col min="13" max="13" width="7.33203125" style="272" bestFit="1" customWidth="1" outlineLevel="1"/>
    <col min="14" max="14" width="6" style="272" bestFit="1" customWidth="1" outlineLevel="1"/>
    <col min="15" max="15" width="7.6640625" style="272" bestFit="1" customWidth="1" outlineLevel="1"/>
    <col min="16" max="16" width="13.21875" style="272" bestFit="1" customWidth="1"/>
    <col min="17" max="17" width="2" style="272" bestFit="1" customWidth="1"/>
    <col min="18" max="18" width="2.109375" style="272" bestFit="1" customWidth="1"/>
    <col min="19" max="19" width="2.6640625" style="272" bestFit="1" customWidth="1"/>
    <col min="20" max="20" width="2.21875" style="272" bestFit="1" customWidth="1"/>
    <col min="21" max="21" width="2.33203125" style="272" bestFit="1" customWidth="1"/>
    <col min="22" max="22" width="2" style="272" bestFit="1" customWidth="1"/>
    <col min="23" max="23" width="2.109375" style="272" bestFit="1" customWidth="1"/>
    <col min="24" max="24" width="1.88671875" style="272" bestFit="1" customWidth="1"/>
    <col min="25" max="25" width="2.21875" style="272" bestFit="1" customWidth="1"/>
    <col min="26" max="26" width="1.88671875" style="272" bestFit="1" customWidth="1"/>
    <col min="27" max="27" width="2.77734375" style="272" bestFit="1" customWidth="1"/>
    <col min="28" max="29" width="2" style="272" bestFit="1" customWidth="1"/>
    <col min="30" max="31" width="2.33203125" style="272" bestFit="1" customWidth="1"/>
    <col min="32" max="32" width="1.5546875" style="272" bestFit="1" customWidth="1"/>
    <col min="33" max="33" width="2" style="272" bestFit="1" customWidth="1"/>
    <col min="34" max="34" width="2.109375" style="272" bestFit="1" customWidth="1"/>
    <col min="35" max="35" width="2" style="272" bestFit="1" customWidth="1"/>
    <col min="36" max="36" width="2.3320312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40"/>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36</v>
      </c>
      <c r="C2" s="61" t="s">
        <v>672</v>
      </c>
      <c r="D2" s="60" t="s">
        <v>671</v>
      </c>
      <c r="E2" s="60" t="s">
        <v>498</v>
      </c>
      <c r="F2" s="60" t="s">
        <v>673</v>
      </c>
      <c r="G2" s="62">
        <v>2</v>
      </c>
      <c r="H2" s="63" t="s">
        <v>674</v>
      </c>
    </row>
    <row r="3" spans="1:8" ht="19.8" customHeight="1" x14ac:dyDescent="0.3">
      <c r="A3" s="59" t="s">
        <v>152</v>
      </c>
      <c r="B3" s="60" t="s">
        <v>36</v>
      </c>
      <c r="C3" s="61" t="s">
        <v>672</v>
      </c>
      <c r="D3" s="60" t="s">
        <v>671</v>
      </c>
      <c r="E3" s="60" t="s">
        <v>498</v>
      </c>
      <c r="F3" s="60" t="s">
        <v>41</v>
      </c>
      <c r="G3" s="62">
        <v>2</v>
      </c>
      <c r="H3" s="63" t="s">
        <v>675</v>
      </c>
    </row>
    <row r="4" spans="1:8" ht="19.8" customHeight="1" x14ac:dyDescent="0.3">
      <c r="A4" s="59" t="s">
        <v>152</v>
      </c>
      <c r="B4" s="60" t="s">
        <v>36</v>
      </c>
      <c r="C4" s="61" t="s">
        <v>672</v>
      </c>
      <c r="D4" s="60" t="s">
        <v>671</v>
      </c>
      <c r="E4" s="60" t="s">
        <v>498</v>
      </c>
      <c r="F4" s="60" t="s">
        <v>44</v>
      </c>
      <c r="G4" s="62">
        <v>2</v>
      </c>
      <c r="H4" s="63" t="s">
        <v>676</v>
      </c>
    </row>
    <row r="5" spans="1:8" ht="19.8" customHeight="1" x14ac:dyDescent="0.3">
      <c r="A5" s="100"/>
      <c r="B5" s="101"/>
      <c r="C5" s="101"/>
      <c r="D5" s="101"/>
      <c r="E5" s="101"/>
      <c r="F5" s="102" t="s">
        <v>686</v>
      </c>
      <c r="G5" s="101"/>
      <c r="H5" s="103"/>
    </row>
    <row r="6" spans="1:8" ht="19.8" customHeight="1" x14ac:dyDescent="0.3">
      <c r="A6" s="59" t="s">
        <v>152</v>
      </c>
      <c r="B6" s="60" t="s">
        <v>26</v>
      </c>
      <c r="C6" s="61" t="s">
        <v>555</v>
      </c>
      <c r="D6" s="60" t="s">
        <v>554</v>
      </c>
      <c r="E6" s="60" t="s">
        <v>663</v>
      </c>
      <c r="F6" s="60" t="s">
        <v>28</v>
      </c>
      <c r="G6" s="62">
        <v>28</v>
      </c>
      <c r="H6" s="63" t="s">
        <v>557</v>
      </c>
    </row>
    <row r="7" spans="1:8" ht="19.8" customHeight="1" x14ac:dyDescent="0.3">
      <c r="A7" s="59" t="s">
        <v>152</v>
      </c>
      <c r="B7" s="60" t="s">
        <v>26</v>
      </c>
      <c r="C7" s="61" t="s">
        <v>560</v>
      </c>
      <c r="D7" s="60" t="s">
        <v>554</v>
      </c>
      <c r="E7" s="60" t="s">
        <v>664</v>
      </c>
      <c r="F7" s="60" t="s">
        <v>28</v>
      </c>
      <c r="G7" s="62">
        <v>27</v>
      </c>
      <c r="H7" s="63" t="s">
        <v>557</v>
      </c>
    </row>
    <row r="8" spans="1:8" ht="19.8" customHeight="1" x14ac:dyDescent="0.3">
      <c r="A8" s="59" t="s">
        <v>152</v>
      </c>
      <c r="B8" s="60" t="s">
        <v>26</v>
      </c>
      <c r="C8" s="61" t="s">
        <v>563</v>
      </c>
      <c r="D8" s="60" t="s">
        <v>554</v>
      </c>
      <c r="E8" s="60" t="s">
        <v>431</v>
      </c>
      <c r="F8" s="60" t="s">
        <v>28</v>
      </c>
      <c r="G8" s="62">
        <v>53</v>
      </c>
      <c r="H8" s="63" t="s">
        <v>557</v>
      </c>
    </row>
    <row r="9" spans="1:8" ht="19.8" customHeight="1" x14ac:dyDescent="0.3">
      <c r="A9" s="59" t="s">
        <v>152</v>
      </c>
      <c r="B9" s="60" t="s">
        <v>26</v>
      </c>
      <c r="C9" s="61" t="s">
        <v>566</v>
      </c>
      <c r="D9" s="60" t="s">
        <v>554</v>
      </c>
      <c r="E9" s="60" t="s">
        <v>434</v>
      </c>
      <c r="F9" s="60" t="s">
        <v>28</v>
      </c>
      <c r="G9" s="62">
        <v>49</v>
      </c>
      <c r="H9" s="63" t="s">
        <v>557</v>
      </c>
    </row>
    <row r="10" spans="1:8" ht="19.8" customHeight="1" x14ac:dyDescent="0.3">
      <c r="A10" s="59" t="s">
        <v>152</v>
      </c>
      <c r="B10" s="60" t="s">
        <v>36</v>
      </c>
      <c r="C10" s="61" t="s">
        <v>569</v>
      </c>
      <c r="D10" s="60" t="s">
        <v>554</v>
      </c>
      <c r="E10" s="60" t="s">
        <v>665</v>
      </c>
      <c r="F10" s="60" t="s">
        <v>38</v>
      </c>
      <c r="G10" s="62">
        <v>9</v>
      </c>
      <c r="H10" s="63" t="s">
        <v>570</v>
      </c>
    </row>
    <row r="11" spans="1:8" ht="19.8" customHeight="1" x14ac:dyDescent="0.3">
      <c r="A11" s="59" t="s">
        <v>152</v>
      </c>
      <c r="B11" s="60" t="s">
        <v>36</v>
      </c>
      <c r="C11" s="61" t="s">
        <v>573</v>
      </c>
      <c r="D11" s="60" t="s">
        <v>554</v>
      </c>
      <c r="E11" s="60" t="s">
        <v>666</v>
      </c>
      <c r="F11" s="60" t="s">
        <v>38</v>
      </c>
      <c r="G11" s="62">
        <v>9</v>
      </c>
      <c r="H11" s="63" t="s">
        <v>570</v>
      </c>
    </row>
    <row r="12" spans="1:8" ht="19.8" customHeight="1" x14ac:dyDescent="0.3">
      <c r="A12" s="59" t="s">
        <v>152</v>
      </c>
      <c r="B12" s="60" t="s">
        <v>36</v>
      </c>
      <c r="C12" s="61" t="s">
        <v>574</v>
      </c>
      <c r="D12" s="60" t="s">
        <v>554</v>
      </c>
      <c r="E12" s="60" t="s">
        <v>405</v>
      </c>
      <c r="F12" s="60" t="s">
        <v>38</v>
      </c>
      <c r="G12" s="62">
        <v>3</v>
      </c>
      <c r="H12" s="63" t="s">
        <v>570</v>
      </c>
    </row>
    <row r="13" spans="1:8" ht="19.8" customHeight="1" x14ac:dyDescent="0.3">
      <c r="A13" s="59" t="s">
        <v>152</v>
      </c>
      <c r="B13" s="60" t="s">
        <v>36</v>
      </c>
      <c r="C13" s="61" t="s">
        <v>575</v>
      </c>
      <c r="D13" s="60" t="s">
        <v>554</v>
      </c>
      <c r="E13" s="60" t="s">
        <v>500</v>
      </c>
      <c r="F13" s="60" t="s">
        <v>38</v>
      </c>
      <c r="G13" s="62">
        <v>6</v>
      </c>
      <c r="H13" s="63" t="s">
        <v>570</v>
      </c>
    </row>
    <row r="14" spans="1:8" ht="19.8" customHeight="1" x14ac:dyDescent="0.3">
      <c r="A14" s="59" t="s">
        <v>152</v>
      </c>
      <c r="B14" s="60" t="s">
        <v>36</v>
      </c>
      <c r="C14" s="61" t="s">
        <v>576</v>
      </c>
      <c r="D14" s="60" t="s">
        <v>554</v>
      </c>
      <c r="E14" s="60" t="s">
        <v>176</v>
      </c>
      <c r="F14" s="60" t="s">
        <v>38</v>
      </c>
      <c r="G14" s="62">
        <v>1</v>
      </c>
      <c r="H14" s="63" t="s">
        <v>570</v>
      </c>
    </row>
    <row r="15" spans="1:8" ht="19.8" customHeight="1" x14ac:dyDescent="0.3">
      <c r="A15" s="113" t="s">
        <v>152</v>
      </c>
      <c r="B15" s="71" t="s">
        <v>239</v>
      </c>
      <c r="C15" s="72" t="s">
        <v>581</v>
      </c>
      <c r="D15" s="71" t="s">
        <v>554</v>
      </c>
      <c r="E15" s="71" t="s">
        <v>667</v>
      </c>
      <c r="F15" s="71" t="s">
        <v>100</v>
      </c>
      <c r="G15" s="74">
        <v>9</v>
      </c>
      <c r="H15" s="75" t="s">
        <v>582</v>
      </c>
    </row>
    <row r="16" spans="1:8" ht="19.8" customHeight="1" x14ac:dyDescent="0.3">
      <c r="A16" s="100"/>
      <c r="B16" s="101"/>
      <c r="C16" s="101"/>
      <c r="D16" s="101"/>
      <c r="E16" s="101"/>
      <c r="F16" s="102" t="s">
        <v>686</v>
      </c>
      <c r="G16" s="101"/>
      <c r="H16" s="103"/>
    </row>
    <row r="17" spans="1:8" ht="19.8" customHeight="1" x14ac:dyDescent="0.3">
      <c r="A17" s="59" t="s">
        <v>204</v>
      </c>
      <c r="B17" s="60" t="s">
        <v>26</v>
      </c>
      <c r="C17" s="61" t="s">
        <v>555</v>
      </c>
      <c r="D17" s="60" t="s">
        <v>554</v>
      </c>
      <c r="E17" s="60" t="s">
        <v>663</v>
      </c>
      <c r="F17" s="60" t="s">
        <v>28</v>
      </c>
      <c r="G17" s="62">
        <v>5</v>
      </c>
      <c r="H17" s="63" t="s">
        <v>557</v>
      </c>
    </row>
    <row r="18" spans="1:8" ht="19.8" customHeight="1" x14ac:dyDescent="0.3">
      <c r="A18" s="59" t="s">
        <v>204</v>
      </c>
      <c r="B18" s="60" t="s">
        <v>26</v>
      </c>
      <c r="C18" s="61" t="s">
        <v>560</v>
      </c>
      <c r="D18" s="60" t="s">
        <v>554</v>
      </c>
      <c r="E18" s="60" t="s">
        <v>664</v>
      </c>
      <c r="F18" s="60" t="s">
        <v>28</v>
      </c>
      <c r="G18" s="62">
        <v>23</v>
      </c>
      <c r="H18" s="63" t="s">
        <v>557</v>
      </c>
    </row>
    <row r="19" spans="1:8" ht="19.8" customHeight="1" x14ac:dyDescent="0.3">
      <c r="A19" s="59" t="s">
        <v>204</v>
      </c>
      <c r="B19" s="60" t="s">
        <v>26</v>
      </c>
      <c r="C19" s="61" t="s">
        <v>563</v>
      </c>
      <c r="D19" s="60" t="s">
        <v>554</v>
      </c>
      <c r="E19" s="60" t="s">
        <v>431</v>
      </c>
      <c r="F19" s="60" t="s">
        <v>28</v>
      </c>
      <c r="G19" s="62">
        <v>16</v>
      </c>
      <c r="H19" s="63" t="s">
        <v>617</v>
      </c>
    </row>
    <row r="20" spans="1:8" ht="19.8" customHeight="1" x14ac:dyDescent="0.3">
      <c r="A20" s="59" t="s">
        <v>204</v>
      </c>
      <c r="B20" s="60" t="s">
        <v>26</v>
      </c>
      <c r="C20" s="61" t="s">
        <v>566</v>
      </c>
      <c r="D20" s="60" t="s">
        <v>554</v>
      </c>
      <c r="E20" s="60" t="s">
        <v>434</v>
      </c>
      <c r="F20" s="60" t="s">
        <v>28</v>
      </c>
      <c r="G20" s="62">
        <v>34</v>
      </c>
      <c r="H20" s="63" t="s">
        <v>617</v>
      </c>
    </row>
    <row r="21" spans="1:8" ht="19.8" customHeight="1" x14ac:dyDescent="0.3">
      <c r="A21" s="59" t="s">
        <v>204</v>
      </c>
      <c r="B21" s="60" t="s">
        <v>36</v>
      </c>
      <c r="C21" s="61" t="s">
        <v>577</v>
      </c>
      <c r="D21" s="60" t="s">
        <v>554</v>
      </c>
      <c r="E21" s="60" t="s">
        <v>401</v>
      </c>
      <c r="F21" s="60" t="s">
        <v>38</v>
      </c>
      <c r="G21" s="62">
        <v>3</v>
      </c>
      <c r="H21" s="63" t="s">
        <v>578</v>
      </c>
    </row>
    <row r="22" spans="1:8" ht="19.8" customHeight="1" x14ac:dyDescent="0.3">
      <c r="A22" s="59" t="s">
        <v>204</v>
      </c>
      <c r="B22" s="60" t="s">
        <v>36</v>
      </c>
      <c r="C22" s="61" t="s">
        <v>574</v>
      </c>
      <c r="D22" s="60" t="s">
        <v>554</v>
      </c>
      <c r="E22" s="60" t="s">
        <v>405</v>
      </c>
      <c r="F22" s="60" t="s">
        <v>38</v>
      </c>
      <c r="G22" s="62">
        <v>8</v>
      </c>
      <c r="H22" s="63" t="s">
        <v>578</v>
      </c>
    </row>
    <row r="23" spans="1:8" ht="19.8" customHeight="1" x14ac:dyDescent="0.3">
      <c r="A23" s="59" t="s">
        <v>204</v>
      </c>
      <c r="B23" s="60" t="s">
        <v>36</v>
      </c>
      <c r="C23" s="61" t="s">
        <v>580</v>
      </c>
      <c r="D23" s="60" t="s">
        <v>554</v>
      </c>
      <c r="E23" s="60" t="s">
        <v>669</v>
      </c>
      <c r="F23" s="60" t="s">
        <v>38</v>
      </c>
      <c r="G23" s="62">
        <v>8</v>
      </c>
      <c r="H23" s="63" t="s">
        <v>578</v>
      </c>
    </row>
    <row r="24" spans="1:8" ht="19.8" customHeight="1" x14ac:dyDescent="0.3">
      <c r="A24" s="59" t="s">
        <v>204</v>
      </c>
      <c r="B24" s="60" t="s">
        <v>36</v>
      </c>
      <c r="C24" s="61" t="s">
        <v>576</v>
      </c>
      <c r="D24" s="60" t="s">
        <v>554</v>
      </c>
      <c r="E24" s="60" t="s">
        <v>176</v>
      </c>
      <c r="F24" s="60" t="s">
        <v>38</v>
      </c>
      <c r="G24" s="62">
        <v>5</v>
      </c>
      <c r="H24" s="63" t="s">
        <v>578</v>
      </c>
    </row>
    <row r="25" spans="1:8" ht="19.8" customHeight="1" x14ac:dyDescent="0.3">
      <c r="A25" s="59" t="s">
        <v>204</v>
      </c>
      <c r="B25" s="60" t="s">
        <v>36</v>
      </c>
      <c r="C25" s="61" t="s">
        <v>569</v>
      </c>
      <c r="D25" s="60" t="s">
        <v>554</v>
      </c>
      <c r="E25" s="60" t="s">
        <v>665</v>
      </c>
      <c r="F25" s="60" t="s">
        <v>38</v>
      </c>
      <c r="G25" s="62">
        <v>6</v>
      </c>
      <c r="H25" s="63" t="s">
        <v>622</v>
      </c>
    </row>
    <row r="26" spans="1:8" ht="19.8" customHeight="1" x14ac:dyDescent="0.3">
      <c r="A26" s="113" t="s">
        <v>204</v>
      </c>
      <c r="B26" s="71" t="s">
        <v>36</v>
      </c>
      <c r="C26" s="72" t="s">
        <v>573</v>
      </c>
      <c r="D26" s="71" t="s">
        <v>554</v>
      </c>
      <c r="E26" s="71" t="s">
        <v>666</v>
      </c>
      <c r="F26" s="71" t="s">
        <v>38</v>
      </c>
      <c r="G26" s="74">
        <v>9</v>
      </c>
      <c r="H26" s="75" t="s">
        <v>622</v>
      </c>
    </row>
    <row r="27" spans="1:8" ht="19.8" customHeight="1" x14ac:dyDescent="0.3">
      <c r="A27" s="59" t="s">
        <v>205</v>
      </c>
      <c r="B27" s="60" t="s">
        <v>36</v>
      </c>
      <c r="C27" s="61" t="s">
        <v>672</v>
      </c>
      <c r="D27" s="60" t="s">
        <v>671</v>
      </c>
      <c r="E27" s="60" t="s">
        <v>498</v>
      </c>
      <c r="F27" s="60" t="s">
        <v>673</v>
      </c>
      <c r="G27" s="62">
        <v>9</v>
      </c>
      <c r="H27" s="63" t="s">
        <v>322</v>
      </c>
    </row>
    <row r="28" spans="1:8" ht="19.8" customHeight="1" x14ac:dyDescent="0.3">
      <c r="A28" s="59" t="s">
        <v>205</v>
      </c>
      <c r="B28" s="60" t="s">
        <v>36</v>
      </c>
      <c r="C28" s="61" t="s">
        <v>672</v>
      </c>
      <c r="D28" s="60" t="s">
        <v>671</v>
      </c>
      <c r="E28" s="60" t="s">
        <v>498</v>
      </c>
      <c r="F28" s="60" t="s">
        <v>41</v>
      </c>
      <c r="G28" s="62">
        <v>9</v>
      </c>
      <c r="H28" s="63" t="s">
        <v>682</v>
      </c>
    </row>
    <row r="29" spans="1:8" ht="19.8" customHeight="1" x14ac:dyDescent="0.3">
      <c r="A29" s="59" t="s">
        <v>205</v>
      </c>
      <c r="B29" s="60" t="s">
        <v>36</v>
      </c>
      <c r="C29" s="61" t="s">
        <v>672</v>
      </c>
      <c r="D29" s="60" t="s">
        <v>671</v>
      </c>
      <c r="E29" s="60" t="s">
        <v>498</v>
      </c>
      <c r="F29" s="60" t="s">
        <v>44</v>
      </c>
      <c r="G29" s="62">
        <v>9</v>
      </c>
      <c r="H29" s="63" t="s">
        <v>683</v>
      </c>
    </row>
    <row r="30" spans="1:8" ht="19.8" customHeight="1" x14ac:dyDescent="0.3">
      <c r="A30" s="100"/>
      <c r="B30" s="101"/>
      <c r="C30" s="101"/>
      <c r="D30" s="101"/>
      <c r="E30" s="101"/>
      <c r="F30" s="102" t="s">
        <v>686</v>
      </c>
      <c r="G30" s="101"/>
      <c r="H30" s="103"/>
    </row>
    <row r="31" spans="1:8" ht="19.8" customHeight="1" x14ac:dyDescent="0.3">
      <c r="A31" s="59" t="s">
        <v>205</v>
      </c>
      <c r="B31" s="60" t="s">
        <v>26</v>
      </c>
      <c r="C31" s="61" t="s">
        <v>555</v>
      </c>
      <c r="D31" s="60" t="s">
        <v>554</v>
      </c>
      <c r="E31" s="60" t="s">
        <v>663</v>
      </c>
      <c r="F31" s="60" t="s">
        <v>28</v>
      </c>
      <c r="G31" s="62">
        <v>9</v>
      </c>
      <c r="H31" s="63" t="s">
        <v>629</v>
      </c>
    </row>
    <row r="32" spans="1:8" ht="19.8" customHeight="1" x14ac:dyDescent="0.3">
      <c r="A32" s="59" t="s">
        <v>205</v>
      </c>
      <c r="B32" s="60" t="s">
        <v>36</v>
      </c>
      <c r="C32" s="61" t="s">
        <v>577</v>
      </c>
      <c r="D32" s="60" t="s">
        <v>554</v>
      </c>
      <c r="E32" s="60" t="s">
        <v>401</v>
      </c>
      <c r="F32" s="60" t="s">
        <v>38</v>
      </c>
      <c r="G32" s="62">
        <v>7</v>
      </c>
      <c r="H32" s="63" t="s">
        <v>622</v>
      </c>
    </row>
    <row r="33" spans="1:8" ht="19.8" customHeight="1" x14ac:dyDescent="0.3">
      <c r="A33" s="59" t="s">
        <v>205</v>
      </c>
      <c r="B33" s="60" t="s">
        <v>36</v>
      </c>
      <c r="C33" s="61" t="s">
        <v>580</v>
      </c>
      <c r="D33" s="60" t="s">
        <v>554</v>
      </c>
      <c r="E33" s="60" t="s">
        <v>669</v>
      </c>
      <c r="F33" s="60" t="s">
        <v>38</v>
      </c>
      <c r="G33" s="62">
        <v>9</v>
      </c>
      <c r="H33" s="63" t="s">
        <v>622</v>
      </c>
    </row>
    <row r="34" spans="1:8" ht="19.8" customHeight="1" x14ac:dyDescent="0.3">
      <c r="A34" s="59" t="s">
        <v>205</v>
      </c>
      <c r="B34" s="60" t="s">
        <v>26</v>
      </c>
      <c r="C34" s="61" t="s">
        <v>560</v>
      </c>
      <c r="D34" s="60" t="s">
        <v>554</v>
      </c>
      <c r="E34" s="60" t="s">
        <v>664</v>
      </c>
      <c r="F34" s="60" t="s">
        <v>28</v>
      </c>
      <c r="G34" s="62">
        <v>12</v>
      </c>
      <c r="H34" s="63" t="s">
        <v>632</v>
      </c>
    </row>
    <row r="35" spans="1:8" ht="19.8" customHeight="1" x14ac:dyDescent="0.3">
      <c r="A35" s="59" t="s">
        <v>205</v>
      </c>
      <c r="B35" s="60" t="s">
        <v>73</v>
      </c>
      <c r="C35" s="61" t="s">
        <v>591</v>
      </c>
      <c r="D35" s="60" t="s">
        <v>554</v>
      </c>
      <c r="E35" s="60" t="s">
        <v>650</v>
      </c>
      <c r="F35" s="60" t="s">
        <v>100</v>
      </c>
      <c r="G35" s="62">
        <v>1</v>
      </c>
      <c r="H35" s="63" t="s">
        <v>208</v>
      </c>
    </row>
    <row r="36" spans="1:8" ht="19.8" customHeight="1" x14ac:dyDescent="0.3">
      <c r="A36" s="59" t="s">
        <v>205</v>
      </c>
      <c r="B36" s="60" t="s">
        <v>36</v>
      </c>
      <c r="C36" s="61" t="s">
        <v>573</v>
      </c>
      <c r="D36" s="60" t="s">
        <v>554</v>
      </c>
      <c r="E36" s="60" t="s">
        <v>666</v>
      </c>
      <c r="F36" s="60" t="s">
        <v>38</v>
      </c>
      <c r="G36" s="62">
        <v>1</v>
      </c>
      <c r="H36" s="63" t="s">
        <v>579</v>
      </c>
    </row>
    <row r="37" spans="1:8" ht="19.8" customHeight="1" x14ac:dyDescent="0.3">
      <c r="A37" s="59" t="s">
        <v>205</v>
      </c>
      <c r="B37" s="60" t="s">
        <v>36</v>
      </c>
      <c r="C37" s="61" t="s">
        <v>574</v>
      </c>
      <c r="D37" s="60" t="s">
        <v>554</v>
      </c>
      <c r="E37" s="60" t="s">
        <v>405</v>
      </c>
      <c r="F37" s="60" t="s">
        <v>38</v>
      </c>
      <c r="G37" s="62">
        <v>9</v>
      </c>
      <c r="H37" s="63" t="s">
        <v>579</v>
      </c>
    </row>
    <row r="38" spans="1:8" ht="19.8" customHeight="1" x14ac:dyDescent="0.3">
      <c r="A38" s="59" t="s">
        <v>205</v>
      </c>
      <c r="B38" s="60" t="s">
        <v>586</v>
      </c>
      <c r="C38" s="61" t="s">
        <v>587</v>
      </c>
      <c r="D38" s="60" t="s">
        <v>554</v>
      </c>
      <c r="E38" s="60" t="s">
        <v>484</v>
      </c>
      <c r="F38" s="60" t="s">
        <v>100</v>
      </c>
      <c r="G38" s="62">
        <v>5</v>
      </c>
      <c r="H38" s="63" t="s">
        <v>640</v>
      </c>
    </row>
    <row r="39" spans="1:8" ht="19.8" customHeight="1" x14ac:dyDescent="0.3">
      <c r="A39" s="59" t="s">
        <v>205</v>
      </c>
      <c r="B39" s="60" t="s">
        <v>26</v>
      </c>
      <c r="C39" s="61" t="s">
        <v>563</v>
      </c>
      <c r="D39" s="60" t="s">
        <v>554</v>
      </c>
      <c r="E39" s="60" t="s">
        <v>431</v>
      </c>
      <c r="F39" s="60" t="s">
        <v>28</v>
      </c>
      <c r="G39" s="62">
        <v>10</v>
      </c>
      <c r="H39" s="63" t="s">
        <v>465</v>
      </c>
    </row>
    <row r="40" spans="1:8" ht="19.8" customHeight="1" x14ac:dyDescent="0.3">
      <c r="A40" s="113" t="s">
        <v>205</v>
      </c>
      <c r="B40" s="71" t="s">
        <v>26</v>
      </c>
      <c r="C40" s="72" t="s">
        <v>566</v>
      </c>
      <c r="D40" s="71" t="s">
        <v>554</v>
      </c>
      <c r="E40" s="71" t="s">
        <v>434</v>
      </c>
      <c r="F40" s="71" t="s">
        <v>28</v>
      </c>
      <c r="G40" s="74">
        <v>3</v>
      </c>
      <c r="H40" s="75" t="s">
        <v>465</v>
      </c>
    </row>
  </sheetData>
  <pageMargins left="0.75" right="0.75" top="1" bottom="1" header="0.5" footer="0.5"/>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40"/>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36</v>
      </c>
      <c r="C2" s="61" t="s">
        <v>672</v>
      </c>
      <c r="D2" s="60" t="s">
        <v>671</v>
      </c>
      <c r="E2" s="60" t="s">
        <v>498</v>
      </c>
      <c r="F2" s="60" t="s">
        <v>673</v>
      </c>
      <c r="G2" s="62">
        <v>2</v>
      </c>
      <c r="H2" s="63" t="s">
        <v>674</v>
      </c>
    </row>
    <row r="3" spans="1:8" ht="19.8" customHeight="1" x14ac:dyDescent="0.3">
      <c r="A3" s="59" t="s">
        <v>152</v>
      </c>
      <c r="B3" s="60" t="s">
        <v>36</v>
      </c>
      <c r="C3" s="61" t="s">
        <v>672</v>
      </c>
      <c r="D3" s="60" t="s">
        <v>671</v>
      </c>
      <c r="E3" s="60" t="s">
        <v>498</v>
      </c>
      <c r="F3" s="60" t="s">
        <v>41</v>
      </c>
      <c r="G3" s="62">
        <v>2</v>
      </c>
      <c r="H3" s="63" t="s">
        <v>675</v>
      </c>
    </row>
    <row r="4" spans="1:8" ht="19.8" customHeight="1" x14ac:dyDescent="0.3">
      <c r="A4" s="59" t="s">
        <v>152</v>
      </c>
      <c r="B4" s="60" t="s">
        <v>36</v>
      </c>
      <c r="C4" s="61" t="s">
        <v>672</v>
      </c>
      <c r="D4" s="60" t="s">
        <v>671</v>
      </c>
      <c r="E4" s="60" t="s">
        <v>498</v>
      </c>
      <c r="F4" s="60" t="s">
        <v>44</v>
      </c>
      <c r="G4" s="62">
        <v>2</v>
      </c>
      <c r="H4" s="63" t="s">
        <v>676</v>
      </c>
    </row>
    <row r="5" spans="1:8" ht="19.8" customHeight="1" x14ac:dyDescent="0.3">
      <c r="A5" s="100"/>
      <c r="B5" s="101"/>
      <c r="C5" s="101"/>
      <c r="D5" s="101"/>
      <c r="E5" s="101"/>
      <c r="F5" s="102" t="s">
        <v>686</v>
      </c>
      <c r="G5" s="101"/>
      <c r="H5" s="103"/>
    </row>
    <row r="6" spans="1:8" ht="19.8" customHeight="1" x14ac:dyDescent="0.3">
      <c r="A6" s="59" t="s">
        <v>152</v>
      </c>
      <c r="B6" s="60" t="s">
        <v>26</v>
      </c>
      <c r="C6" s="61" t="s">
        <v>555</v>
      </c>
      <c r="D6" s="60" t="s">
        <v>554</v>
      </c>
      <c r="E6" s="60" t="s">
        <v>663</v>
      </c>
      <c r="F6" s="60" t="s">
        <v>28</v>
      </c>
      <c r="G6" s="62">
        <v>28</v>
      </c>
      <c r="H6" s="63" t="s">
        <v>557</v>
      </c>
    </row>
    <row r="7" spans="1:8" ht="19.8" customHeight="1" x14ac:dyDescent="0.3">
      <c r="A7" s="59" t="s">
        <v>152</v>
      </c>
      <c r="B7" s="60" t="s">
        <v>26</v>
      </c>
      <c r="C7" s="61" t="s">
        <v>560</v>
      </c>
      <c r="D7" s="60" t="s">
        <v>554</v>
      </c>
      <c r="E7" s="60" t="s">
        <v>664</v>
      </c>
      <c r="F7" s="60" t="s">
        <v>28</v>
      </c>
      <c r="G7" s="62">
        <v>27</v>
      </c>
      <c r="H7" s="63" t="s">
        <v>557</v>
      </c>
    </row>
    <row r="8" spans="1:8" ht="19.8" customHeight="1" x14ac:dyDescent="0.3">
      <c r="A8" s="59" t="s">
        <v>152</v>
      </c>
      <c r="B8" s="60" t="s">
        <v>26</v>
      </c>
      <c r="C8" s="61" t="s">
        <v>563</v>
      </c>
      <c r="D8" s="60" t="s">
        <v>554</v>
      </c>
      <c r="E8" s="60" t="s">
        <v>431</v>
      </c>
      <c r="F8" s="60" t="s">
        <v>28</v>
      </c>
      <c r="G8" s="62">
        <v>53</v>
      </c>
      <c r="H8" s="63" t="s">
        <v>557</v>
      </c>
    </row>
    <row r="9" spans="1:8" ht="19.8" customHeight="1" x14ac:dyDescent="0.3">
      <c r="A9" s="59" t="s">
        <v>152</v>
      </c>
      <c r="B9" s="60" t="s">
        <v>26</v>
      </c>
      <c r="C9" s="61" t="s">
        <v>566</v>
      </c>
      <c r="D9" s="60" t="s">
        <v>554</v>
      </c>
      <c r="E9" s="60" t="s">
        <v>434</v>
      </c>
      <c r="F9" s="60" t="s">
        <v>28</v>
      </c>
      <c r="G9" s="62">
        <v>49</v>
      </c>
      <c r="H9" s="63" t="s">
        <v>557</v>
      </c>
    </row>
    <row r="10" spans="1:8" ht="19.8" customHeight="1" x14ac:dyDescent="0.3">
      <c r="A10" s="59" t="s">
        <v>152</v>
      </c>
      <c r="B10" s="60" t="s">
        <v>36</v>
      </c>
      <c r="C10" s="61" t="s">
        <v>569</v>
      </c>
      <c r="D10" s="60" t="s">
        <v>554</v>
      </c>
      <c r="E10" s="60" t="s">
        <v>665</v>
      </c>
      <c r="F10" s="60" t="s">
        <v>38</v>
      </c>
      <c r="G10" s="62">
        <v>9</v>
      </c>
      <c r="H10" s="63" t="s">
        <v>570</v>
      </c>
    </row>
    <row r="11" spans="1:8" ht="19.8" customHeight="1" x14ac:dyDescent="0.3">
      <c r="A11" s="59" t="s">
        <v>152</v>
      </c>
      <c r="B11" s="60" t="s">
        <v>36</v>
      </c>
      <c r="C11" s="61" t="s">
        <v>573</v>
      </c>
      <c r="D11" s="60" t="s">
        <v>554</v>
      </c>
      <c r="E11" s="60" t="s">
        <v>666</v>
      </c>
      <c r="F11" s="60" t="s">
        <v>38</v>
      </c>
      <c r="G11" s="62">
        <v>9</v>
      </c>
      <c r="H11" s="63" t="s">
        <v>570</v>
      </c>
    </row>
    <row r="12" spans="1:8" ht="19.8" customHeight="1" x14ac:dyDescent="0.3">
      <c r="A12" s="59" t="s">
        <v>152</v>
      </c>
      <c r="B12" s="60" t="s">
        <v>36</v>
      </c>
      <c r="C12" s="61" t="s">
        <v>574</v>
      </c>
      <c r="D12" s="60" t="s">
        <v>554</v>
      </c>
      <c r="E12" s="60" t="s">
        <v>405</v>
      </c>
      <c r="F12" s="60" t="s">
        <v>38</v>
      </c>
      <c r="G12" s="62">
        <v>3</v>
      </c>
      <c r="H12" s="63" t="s">
        <v>570</v>
      </c>
    </row>
    <row r="13" spans="1:8" ht="19.8" customHeight="1" x14ac:dyDescent="0.3">
      <c r="A13" s="59" t="s">
        <v>152</v>
      </c>
      <c r="B13" s="60" t="s">
        <v>36</v>
      </c>
      <c r="C13" s="61" t="s">
        <v>575</v>
      </c>
      <c r="D13" s="60" t="s">
        <v>554</v>
      </c>
      <c r="E13" s="60" t="s">
        <v>500</v>
      </c>
      <c r="F13" s="60" t="s">
        <v>38</v>
      </c>
      <c r="G13" s="62">
        <v>6</v>
      </c>
      <c r="H13" s="63" t="s">
        <v>570</v>
      </c>
    </row>
    <row r="14" spans="1:8" ht="19.8" customHeight="1" x14ac:dyDescent="0.3">
      <c r="A14" s="59" t="s">
        <v>152</v>
      </c>
      <c r="B14" s="60" t="s">
        <v>36</v>
      </c>
      <c r="C14" s="61" t="s">
        <v>576</v>
      </c>
      <c r="D14" s="60" t="s">
        <v>554</v>
      </c>
      <c r="E14" s="60" t="s">
        <v>176</v>
      </c>
      <c r="F14" s="60" t="s">
        <v>38</v>
      </c>
      <c r="G14" s="62">
        <v>1</v>
      </c>
      <c r="H14" s="63" t="s">
        <v>570</v>
      </c>
    </row>
    <row r="15" spans="1:8" ht="19.8" customHeight="1" x14ac:dyDescent="0.3">
      <c r="A15" s="113" t="s">
        <v>152</v>
      </c>
      <c r="B15" s="71" t="s">
        <v>239</v>
      </c>
      <c r="C15" s="72" t="s">
        <v>581</v>
      </c>
      <c r="D15" s="71" t="s">
        <v>554</v>
      </c>
      <c r="E15" s="71" t="s">
        <v>667</v>
      </c>
      <c r="F15" s="71" t="s">
        <v>100</v>
      </c>
      <c r="G15" s="74">
        <v>9</v>
      </c>
      <c r="H15" s="75" t="s">
        <v>582</v>
      </c>
    </row>
    <row r="16" spans="1:8" ht="19.8" customHeight="1" x14ac:dyDescent="0.3">
      <c r="A16" s="100"/>
      <c r="B16" s="101"/>
      <c r="C16" s="101"/>
      <c r="D16" s="101"/>
      <c r="E16" s="101"/>
      <c r="F16" s="102" t="s">
        <v>686</v>
      </c>
      <c r="G16" s="101"/>
      <c r="H16" s="103"/>
    </row>
    <row r="17" spans="1:8" ht="19.8" customHeight="1" x14ac:dyDescent="0.3">
      <c r="A17" s="59" t="s">
        <v>204</v>
      </c>
      <c r="B17" s="60" t="s">
        <v>26</v>
      </c>
      <c r="C17" s="61" t="s">
        <v>555</v>
      </c>
      <c r="D17" s="60" t="s">
        <v>554</v>
      </c>
      <c r="E17" s="60" t="s">
        <v>663</v>
      </c>
      <c r="F17" s="60" t="s">
        <v>28</v>
      </c>
      <c r="G17" s="62">
        <v>5</v>
      </c>
      <c r="H17" s="63" t="s">
        <v>557</v>
      </c>
    </row>
    <row r="18" spans="1:8" ht="19.8" customHeight="1" x14ac:dyDescent="0.3">
      <c r="A18" s="59" t="s">
        <v>204</v>
      </c>
      <c r="B18" s="60" t="s">
        <v>26</v>
      </c>
      <c r="C18" s="61" t="s">
        <v>560</v>
      </c>
      <c r="D18" s="60" t="s">
        <v>554</v>
      </c>
      <c r="E18" s="60" t="s">
        <v>664</v>
      </c>
      <c r="F18" s="60" t="s">
        <v>28</v>
      </c>
      <c r="G18" s="62">
        <v>23</v>
      </c>
      <c r="H18" s="63" t="s">
        <v>557</v>
      </c>
    </row>
    <row r="19" spans="1:8" ht="19.8" customHeight="1" x14ac:dyDescent="0.3">
      <c r="A19" s="59" t="s">
        <v>204</v>
      </c>
      <c r="B19" s="60" t="s">
        <v>26</v>
      </c>
      <c r="C19" s="61" t="s">
        <v>563</v>
      </c>
      <c r="D19" s="60" t="s">
        <v>554</v>
      </c>
      <c r="E19" s="60" t="s">
        <v>431</v>
      </c>
      <c r="F19" s="60" t="s">
        <v>28</v>
      </c>
      <c r="G19" s="62">
        <v>16</v>
      </c>
      <c r="H19" s="63" t="s">
        <v>617</v>
      </c>
    </row>
    <row r="20" spans="1:8" ht="19.8" customHeight="1" x14ac:dyDescent="0.3">
      <c r="A20" s="59" t="s">
        <v>204</v>
      </c>
      <c r="B20" s="60" t="s">
        <v>26</v>
      </c>
      <c r="C20" s="61" t="s">
        <v>566</v>
      </c>
      <c r="D20" s="60" t="s">
        <v>554</v>
      </c>
      <c r="E20" s="60" t="s">
        <v>434</v>
      </c>
      <c r="F20" s="60" t="s">
        <v>28</v>
      </c>
      <c r="G20" s="62">
        <v>34</v>
      </c>
      <c r="H20" s="63" t="s">
        <v>617</v>
      </c>
    </row>
    <row r="21" spans="1:8" ht="19.8" customHeight="1" x14ac:dyDescent="0.3">
      <c r="A21" s="59" t="s">
        <v>204</v>
      </c>
      <c r="B21" s="60" t="s">
        <v>36</v>
      </c>
      <c r="C21" s="61" t="s">
        <v>577</v>
      </c>
      <c r="D21" s="60" t="s">
        <v>554</v>
      </c>
      <c r="E21" s="60" t="s">
        <v>401</v>
      </c>
      <c r="F21" s="60" t="s">
        <v>38</v>
      </c>
      <c r="G21" s="62">
        <v>3</v>
      </c>
      <c r="H21" s="63" t="s">
        <v>578</v>
      </c>
    </row>
    <row r="22" spans="1:8" ht="19.8" customHeight="1" x14ac:dyDescent="0.3">
      <c r="A22" s="59" t="s">
        <v>204</v>
      </c>
      <c r="B22" s="60" t="s">
        <v>36</v>
      </c>
      <c r="C22" s="61" t="s">
        <v>574</v>
      </c>
      <c r="D22" s="60" t="s">
        <v>554</v>
      </c>
      <c r="E22" s="60" t="s">
        <v>405</v>
      </c>
      <c r="F22" s="60" t="s">
        <v>38</v>
      </c>
      <c r="G22" s="62">
        <v>8</v>
      </c>
      <c r="H22" s="63" t="s">
        <v>578</v>
      </c>
    </row>
    <row r="23" spans="1:8" ht="19.8" customHeight="1" x14ac:dyDescent="0.3">
      <c r="A23" s="59" t="s">
        <v>204</v>
      </c>
      <c r="B23" s="60" t="s">
        <v>36</v>
      </c>
      <c r="C23" s="61" t="s">
        <v>580</v>
      </c>
      <c r="D23" s="60" t="s">
        <v>554</v>
      </c>
      <c r="E23" s="60" t="s">
        <v>669</v>
      </c>
      <c r="F23" s="60" t="s">
        <v>38</v>
      </c>
      <c r="G23" s="62">
        <v>8</v>
      </c>
      <c r="H23" s="63" t="s">
        <v>578</v>
      </c>
    </row>
    <row r="24" spans="1:8" ht="19.8" customHeight="1" x14ac:dyDescent="0.3">
      <c r="A24" s="59" t="s">
        <v>204</v>
      </c>
      <c r="B24" s="60" t="s">
        <v>36</v>
      </c>
      <c r="C24" s="61" t="s">
        <v>576</v>
      </c>
      <c r="D24" s="60" t="s">
        <v>554</v>
      </c>
      <c r="E24" s="60" t="s">
        <v>176</v>
      </c>
      <c r="F24" s="60" t="s">
        <v>38</v>
      </c>
      <c r="G24" s="62">
        <v>5</v>
      </c>
      <c r="H24" s="63" t="s">
        <v>578</v>
      </c>
    </row>
    <row r="25" spans="1:8" ht="19.8" customHeight="1" x14ac:dyDescent="0.3">
      <c r="A25" s="59" t="s">
        <v>204</v>
      </c>
      <c r="B25" s="60" t="s">
        <v>36</v>
      </c>
      <c r="C25" s="61" t="s">
        <v>569</v>
      </c>
      <c r="D25" s="60" t="s">
        <v>554</v>
      </c>
      <c r="E25" s="60" t="s">
        <v>665</v>
      </c>
      <c r="F25" s="60" t="s">
        <v>38</v>
      </c>
      <c r="G25" s="62">
        <v>6</v>
      </c>
      <c r="H25" s="63" t="s">
        <v>622</v>
      </c>
    </row>
    <row r="26" spans="1:8" ht="19.8" customHeight="1" x14ac:dyDescent="0.3">
      <c r="A26" s="113" t="s">
        <v>204</v>
      </c>
      <c r="B26" s="71" t="s">
        <v>36</v>
      </c>
      <c r="C26" s="72" t="s">
        <v>573</v>
      </c>
      <c r="D26" s="71" t="s">
        <v>554</v>
      </c>
      <c r="E26" s="71" t="s">
        <v>666</v>
      </c>
      <c r="F26" s="71" t="s">
        <v>38</v>
      </c>
      <c r="G26" s="74">
        <v>9</v>
      </c>
      <c r="H26" s="75" t="s">
        <v>622</v>
      </c>
    </row>
    <row r="27" spans="1:8" ht="19.8" customHeight="1" x14ac:dyDescent="0.3">
      <c r="A27" s="59" t="s">
        <v>205</v>
      </c>
      <c r="B27" s="60" t="s">
        <v>36</v>
      </c>
      <c r="C27" s="61" t="s">
        <v>672</v>
      </c>
      <c r="D27" s="60" t="s">
        <v>671</v>
      </c>
      <c r="E27" s="60" t="s">
        <v>498</v>
      </c>
      <c r="F27" s="60" t="s">
        <v>673</v>
      </c>
      <c r="G27" s="62">
        <v>9</v>
      </c>
      <c r="H27" s="63" t="s">
        <v>322</v>
      </c>
    </row>
    <row r="28" spans="1:8" ht="19.8" customHeight="1" x14ac:dyDescent="0.3">
      <c r="A28" s="59" t="s">
        <v>205</v>
      </c>
      <c r="B28" s="60" t="s">
        <v>36</v>
      </c>
      <c r="C28" s="61" t="s">
        <v>672</v>
      </c>
      <c r="D28" s="60" t="s">
        <v>671</v>
      </c>
      <c r="E28" s="60" t="s">
        <v>498</v>
      </c>
      <c r="F28" s="60" t="s">
        <v>41</v>
      </c>
      <c r="G28" s="62">
        <v>9</v>
      </c>
      <c r="H28" s="63" t="s">
        <v>682</v>
      </c>
    </row>
    <row r="29" spans="1:8" ht="19.8" customHeight="1" x14ac:dyDescent="0.3">
      <c r="A29" s="59" t="s">
        <v>205</v>
      </c>
      <c r="B29" s="60" t="s">
        <v>36</v>
      </c>
      <c r="C29" s="61" t="s">
        <v>672</v>
      </c>
      <c r="D29" s="60" t="s">
        <v>671</v>
      </c>
      <c r="E29" s="60" t="s">
        <v>498</v>
      </c>
      <c r="F29" s="60" t="s">
        <v>44</v>
      </c>
      <c r="G29" s="62">
        <v>9</v>
      </c>
      <c r="H29" s="63" t="s">
        <v>683</v>
      </c>
    </row>
    <row r="30" spans="1:8" ht="19.8" customHeight="1" x14ac:dyDescent="0.3">
      <c r="A30" s="100"/>
      <c r="B30" s="101"/>
      <c r="C30" s="101"/>
      <c r="D30" s="101"/>
      <c r="E30" s="101"/>
      <c r="F30" s="102" t="s">
        <v>686</v>
      </c>
      <c r="G30" s="101"/>
      <c r="H30" s="103"/>
    </row>
    <row r="31" spans="1:8" ht="19.8" customHeight="1" x14ac:dyDescent="0.3">
      <c r="A31" s="59" t="s">
        <v>205</v>
      </c>
      <c r="B31" s="60" t="s">
        <v>26</v>
      </c>
      <c r="C31" s="61" t="s">
        <v>555</v>
      </c>
      <c r="D31" s="60" t="s">
        <v>554</v>
      </c>
      <c r="E31" s="60" t="s">
        <v>663</v>
      </c>
      <c r="F31" s="60" t="s">
        <v>28</v>
      </c>
      <c r="G31" s="62">
        <v>9</v>
      </c>
      <c r="H31" s="63" t="s">
        <v>629</v>
      </c>
    </row>
    <row r="32" spans="1:8" ht="19.8" customHeight="1" x14ac:dyDescent="0.3">
      <c r="A32" s="59" t="s">
        <v>205</v>
      </c>
      <c r="B32" s="60" t="s">
        <v>36</v>
      </c>
      <c r="C32" s="61" t="s">
        <v>577</v>
      </c>
      <c r="D32" s="60" t="s">
        <v>554</v>
      </c>
      <c r="E32" s="60" t="s">
        <v>401</v>
      </c>
      <c r="F32" s="60" t="s">
        <v>38</v>
      </c>
      <c r="G32" s="62">
        <v>7</v>
      </c>
      <c r="H32" s="63" t="s">
        <v>622</v>
      </c>
    </row>
    <row r="33" spans="1:8" ht="19.8" customHeight="1" x14ac:dyDescent="0.3">
      <c r="A33" s="59" t="s">
        <v>205</v>
      </c>
      <c r="B33" s="60" t="s">
        <v>36</v>
      </c>
      <c r="C33" s="61" t="s">
        <v>580</v>
      </c>
      <c r="D33" s="60" t="s">
        <v>554</v>
      </c>
      <c r="E33" s="60" t="s">
        <v>669</v>
      </c>
      <c r="F33" s="60" t="s">
        <v>38</v>
      </c>
      <c r="G33" s="62">
        <v>9</v>
      </c>
      <c r="H33" s="63" t="s">
        <v>622</v>
      </c>
    </row>
    <row r="34" spans="1:8" ht="19.8" customHeight="1" x14ac:dyDescent="0.3">
      <c r="A34" s="59" t="s">
        <v>205</v>
      </c>
      <c r="B34" s="60" t="s">
        <v>26</v>
      </c>
      <c r="C34" s="61" t="s">
        <v>560</v>
      </c>
      <c r="D34" s="60" t="s">
        <v>554</v>
      </c>
      <c r="E34" s="60" t="s">
        <v>664</v>
      </c>
      <c r="F34" s="60" t="s">
        <v>28</v>
      </c>
      <c r="G34" s="62">
        <v>12</v>
      </c>
      <c r="H34" s="63" t="s">
        <v>632</v>
      </c>
    </row>
    <row r="35" spans="1:8" ht="19.8" customHeight="1" x14ac:dyDescent="0.3">
      <c r="A35" s="59" t="s">
        <v>205</v>
      </c>
      <c r="B35" s="60" t="s">
        <v>73</v>
      </c>
      <c r="C35" s="61" t="s">
        <v>591</v>
      </c>
      <c r="D35" s="60" t="s">
        <v>554</v>
      </c>
      <c r="E35" s="60" t="s">
        <v>650</v>
      </c>
      <c r="F35" s="60" t="s">
        <v>100</v>
      </c>
      <c r="G35" s="62">
        <v>1</v>
      </c>
      <c r="H35" s="63" t="s">
        <v>208</v>
      </c>
    </row>
    <row r="36" spans="1:8" ht="19.8" customHeight="1" x14ac:dyDescent="0.3">
      <c r="A36" s="59" t="s">
        <v>205</v>
      </c>
      <c r="B36" s="60" t="s">
        <v>36</v>
      </c>
      <c r="C36" s="61" t="s">
        <v>573</v>
      </c>
      <c r="D36" s="60" t="s">
        <v>554</v>
      </c>
      <c r="E36" s="60" t="s">
        <v>666</v>
      </c>
      <c r="F36" s="60" t="s">
        <v>38</v>
      </c>
      <c r="G36" s="62">
        <v>1</v>
      </c>
      <c r="H36" s="63" t="s">
        <v>579</v>
      </c>
    </row>
    <row r="37" spans="1:8" ht="19.8" customHeight="1" x14ac:dyDescent="0.3">
      <c r="A37" s="59" t="s">
        <v>205</v>
      </c>
      <c r="B37" s="60" t="s">
        <v>36</v>
      </c>
      <c r="C37" s="61" t="s">
        <v>574</v>
      </c>
      <c r="D37" s="60" t="s">
        <v>554</v>
      </c>
      <c r="E37" s="60" t="s">
        <v>405</v>
      </c>
      <c r="F37" s="60" t="s">
        <v>38</v>
      </c>
      <c r="G37" s="62">
        <v>9</v>
      </c>
      <c r="H37" s="63" t="s">
        <v>579</v>
      </c>
    </row>
    <row r="38" spans="1:8" ht="19.8" customHeight="1" x14ac:dyDescent="0.3">
      <c r="A38" s="59" t="s">
        <v>205</v>
      </c>
      <c r="B38" s="60" t="s">
        <v>586</v>
      </c>
      <c r="C38" s="61" t="s">
        <v>587</v>
      </c>
      <c r="D38" s="60" t="s">
        <v>554</v>
      </c>
      <c r="E38" s="60" t="s">
        <v>484</v>
      </c>
      <c r="F38" s="60" t="s">
        <v>100</v>
      </c>
      <c r="G38" s="62">
        <v>5</v>
      </c>
      <c r="H38" s="63" t="s">
        <v>640</v>
      </c>
    </row>
    <row r="39" spans="1:8" ht="19.8" customHeight="1" x14ac:dyDescent="0.3">
      <c r="A39" s="59" t="s">
        <v>205</v>
      </c>
      <c r="B39" s="60" t="s">
        <v>26</v>
      </c>
      <c r="C39" s="61" t="s">
        <v>563</v>
      </c>
      <c r="D39" s="60" t="s">
        <v>554</v>
      </c>
      <c r="E39" s="60" t="s">
        <v>431</v>
      </c>
      <c r="F39" s="60" t="s">
        <v>28</v>
      </c>
      <c r="G39" s="62">
        <v>10</v>
      </c>
      <c r="H39" s="63" t="s">
        <v>465</v>
      </c>
    </row>
    <row r="40" spans="1:8" ht="19.8" customHeight="1" x14ac:dyDescent="0.3">
      <c r="A40" s="113" t="s">
        <v>205</v>
      </c>
      <c r="B40" s="71" t="s">
        <v>26</v>
      </c>
      <c r="C40" s="72" t="s">
        <v>566</v>
      </c>
      <c r="D40" s="71" t="s">
        <v>554</v>
      </c>
      <c r="E40" s="71" t="s">
        <v>434</v>
      </c>
      <c r="F40" s="71" t="s">
        <v>28</v>
      </c>
      <c r="G40" s="74">
        <v>3</v>
      </c>
      <c r="H40" s="75" t="s">
        <v>465</v>
      </c>
    </row>
  </sheetData>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N56"/>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8.88671875" bestFit="1" customWidth="1"/>
  </cols>
  <sheetData>
    <row r="1" spans="1:92" ht="28.8" customHeight="1" x14ac:dyDescent="0.3">
      <c r="A1" s="261" t="s">
        <v>0</v>
      </c>
      <c r="B1" s="254"/>
      <c r="C1" s="254"/>
      <c r="D1" s="254"/>
      <c r="E1" s="254"/>
      <c r="F1" s="1" t="s">
        <v>687</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45980.430478784467</v>
      </c>
      <c r="H2" s="254"/>
      <c r="I2" s="254"/>
      <c r="J2" s="254"/>
      <c r="K2" s="263">
        <v>45980.430478784743</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45981</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36</v>
      </c>
      <c r="B6" s="8" t="s">
        <v>688</v>
      </c>
      <c r="C6" s="9">
        <v>0.33680555555555558</v>
      </c>
      <c r="D6" s="8" t="s">
        <v>38</v>
      </c>
      <c r="E6" s="8" t="s">
        <v>81</v>
      </c>
      <c r="F6" s="8" t="s">
        <v>689</v>
      </c>
      <c r="G6" s="265"/>
      <c r="H6" s="10"/>
      <c r="I6" s="11"/>
      <c r="J6" s="11"/>
      <c r="K6" s="11"/>
      <c r="L6" s="11"/>
      <c r="M6" s="11"/>
      <c r="N6" s="11"/>
      <c r="O6" s="12"/>
      <c r="P6" s="11"/>
      <c r="Q6" s="13"/>
      <c r="R6" s="14"/>
    </row>
    <row r="7" spans="1:92" ht="15" customHeight="1" x14ac:dyDescent="0.3">
      <c r="A7" s="15" t="s">
        <v>36</v>
      </c>
      <c r="B7" s="15" t="s">
        <v>688</v>
      </c>
      <c r="C7" s="16">
        <v>0.33680555555555558</v>
      </c>
      <c r="D7" s="15" t="s">
        <v>41</v>
      </c>
      <c r="E7" s="15" t="s">
        <v>82</v>
      </c>
      <c r="F7" s="15" t="s">
        <v>690</v>
      </c>
      <c r="G7" s="257"/>
      <c r="H7" s="10"/>
      <c r="I7" s="11"/>
      <c r="J7" s="11"/>
      <c r="K7" s="11"/>
      <c r="L7" s="11"/>
      <c r="M7" s="11"/>
      <c r="N7" s="11"/>
      <c r="O7" s="12"/>
      <c r="P7" s="11"/>
      <c r="Q7" s="13"/>
      <c r="R7" s="14"/>
    </row>
    <row r="8" spans="1:92" ht="15" customHeight="1" x14ac:dyDescent="0.3">
      <c r="A8" s="15" t="s">
        <v>36</v>
      </c>
      <c r="B8" s="15" t="s">
        <v>688</v>
      </c>
      <c r="C8" s="16">
        <v>0.33680555555555558</v>
      </c>
      <c r="D8" s="15" t="s">
        <v>44</v>
      </c>
      <c r="E8" s="15" t="s">
        <v>82</v>
      </c>
      <c r="F8" s="15" t="s">
        <v>40</v>
      </c>
      <c r="G8" s="257"/>
      <c r="H8" s="10"/>
      <c r="I8" s="11"/>
      <c r="J8" s="11"/>
      <c r="K8" s="11"/>
      <c r="L8" s="11"/>
      <c r="M8" s="11"/>
      <c r="N8" s="11"/>
      <c r="O8" s="12"/>
      <c r="P8" s="11"/>
      <c r="Q8" s="13"/>
      <c r="R8" s="14"/>
    </row>
    <row r="9" spans="1:92" ht="15" customHeight="1" x14ac:dyDescent="0.3">
      <c r="A9" s="19" t="s">
        <v>36</v>
      </c>
      <c r="B9" s="19" t="s">
        <v>691</v>
      </c>
      <c r="C9" s="20">
        <v>0.97222222222222221</v>
      </c>
      <c r="D9" s="19" t="s">
        <v>38</v>
      </c>
      <c r="E9" s="19" t="s">
        <v>47</v>
      </c>
      <c r="F9" s="19" t="s">
        <v>629</v>
      </c>
      <c r="G9" s="257"/>
      <c r="H9" s="10"/>
      <c r="I9" s="11"/>
      <c r="J9" s="11"/>
      <c r="K9" s="11"/>
      <c r="L9" s="11"/>
      <c r="M9" s="11"/>
      <c r="N9" s="11"/>
      <c r="O9" s="12"/>
      <c r="P9" s="11"/>
      <c r="Q9" s="13"/>
      <c r="R9" s="14"/>
    </row>
    <row r="10" spans="1:92" ht="15" customHeight="1" x14ac:dyDescent="0.3">
      <c r="A10" s="15" t="s">
        <v>36</v>
      </c>
      <c r="B10" s="15" t="s">
        <v>691</v>
      </c>
      <c r="C10" s="16">
        <v>0.97222222222222221</v>
      </c>
      <c r="D10" s="15" t="s">
        <v>41</v>
      </c>
      <c r="E10" s="15" t="s">
        <v>49</v>
      </c>
      <c r="F10" s="15" t="s">
        <v>93</v>
      </c>
      <c r="G10" s="257"/>
      <c r="H10" s="10"/>
      <c r="I10" s="11"/>
      <c r="J10" s="11"/>
      <c r="K10" s="11"/>
      <c r="L10" s="11"/>
      <c r="M10" s="11"/>
      <c r="N10" s="11"/>
      <c r="O10" s="12"/>
      <c r="P10" s="11"/>
      <c r="Q10" s="13"/>
      <c r="R10" s="14"/>
    </row>
    <row r="11" spans="1:92" ht="15" customHeight="1" x14ac:dyDescent="0.3">
      <c r="A11" s="15" t="s">
        <v>36</v>
      </c>
      <c r="B11" s="15" t="s">
        <v>691</v>
      </c>
      <c r="C11" s="16">
        <v>0.97222222222222221</v>
      </c>
      <c r="D11" s="15" t="s">
        <v>44</v>
      </c>
      <c r="E11" s="15" t="s">
        <v>49</v>
      </c>
      <c r="F11" s="15" t="s">
        <v>692</v>
      </c>
      <c r="G11" s="257"/>
      <c r="H11" s="10"/>
      <c r="I11" s="11"/>
      <c r="J11" s="11"/>
      <c r="K11" s="11"/>
      <c r="L11" s="11"/>
      <c r="M11" s="11"/>
      <c r="N11" s="11"/>
      <c r="O11" s="12"/>
      <c r="P11" s="11"/>
      <c r="Q11" s="13"/>
      <c r="R11" s="14"/>
    </row>
    <row r="12" spans="1:92" ht="15" customHeight="1" x14ac:dyDescent="0.3">
      <c r="A12" s="17" t="s">
        <v>26</v>
      </c>
      <c r="B12" s="17" t="s">
        <v>693</v>
      </c>
      <c r="C12" s="18">
        <v>0.44791666666666669</v>
      </c>
      <c r="D12" s="17" t="s">
        <v>28</v>
      </c>
      <c r="E12" s="17" t="s">
        <v>80</v>
      </c>
      <c r="F12" s="17" t="s">
        <v>694</v>
      </c>
      <c r="G12" s="257"/>
      <c r="H12" s="10"/>
      <c r="I12" s="11"/>
      <c r="J12" s="11"/>
      <c r="K12" s="11"/>
      <c r="L12" s="11"/>
      <c r="M12" s="11"/>
      <c r="N12" s="11"/>
      <c r="O12" s="12"/>
      <c r="P12" s="11"/>
      <c r="Q12" s="13"/>
      <c r="R12" s="14"/>
    </row>
    <row r="13" spans="1:92" ht="15" customHeight="1" x14ac:dyDescent="0.3">
      <c r="A13" s="15" t="s">
        <v>26</v>
      </c>
      <c r="B13" s="15" t="s">
        <v>693</v>
      </c>
      <c r="C13" s="16">
        <v>0.44791666666666669</v>
      </c>
      <c r="D13" s="15" t="s">
        <v>31</v>
      </c>
      <c r="E13" s="15" t="s">
        <v>49</v>
      </c>
      <c r="F13" s="15" t="s">
        <v>695</v>
      </c>
      <c r="G13" s="257"/>
      <c r="H13" s="10"/>
      <c r="I13" s="11"/>
      <c r="J13" s="11"/>
      <c r="K13" s="11"/>
      <c r="L13" s="11"/>
      <c r="M13" s="11"/>
      <c r="N13" s="11"/>
      <c r="O13" s="12"/>
      <c r="P13" s="11"/>
      <c r="Q13" s="13"/>
      <c r="R13" s="14"/>
    </row>
    <row r="14" spans="1:92" ht="15" customHeight="1" x14ac:dyDescent="0.3">
      <c r="A14" s="15" t="s">
        <v>26</v>
      </c>
      <c r="B14" s="15" t="s">
        <v>693</v>
      </c>
      <c r="C14" s="16">
        <v>0.44791666666666669</v>
      </c>
      <c r="D14" s="15" t="s">
        <v>34</v>
      </c>
      <c r="E14" s="15" t="s">
        <v>49</v>
      </c>
      <c r="F14" s="15" t="s">
        <v>696</v>
      </c>
      <c r="G14" s="257"/>
      <c r="H14" s="10"/>
      <c r="I14" s="11"/>
      <c r="J14" s="11"/>
      <c r="K14" s="11"/>
      <c r="L14" s="11"/>
      <c r="M14" s="11"/>
      <c r="N14" s="11"/>
      <c r="O14" s="12"/>
      <c r="P14" s="11"/>
      <c r="Q14" s="13"/>
      <c r="R14" s="14"/>
    </row>
    <row r="15" spans="1:92" ht="15" customHeight="1" x14ac:dyDescent="0.3">
      <c r="A15" s="17" t="s">
        <v>239</v>
      </c>
      <c r="B15" s="17" t="s">
        <v>697</v>
      </c>
      <c r="C15" s="18">
        <v>0.3611111111111111</v>
      </c>
      <c r="D15" s="17" t="s">
        <v>100</v>
      </c>
      <c r="E15" s="17" t="s">
        <v>55</v>
      </c>
      <c r="F15" s="17" t="s">
        <v>698</v>
      </c>
      <c r="G15" s="257"/>
      <c r="H15" s="10"/>
      <c r="I15" s="11"/>
      <c r="J15" s="11"/>
      <c r="K15" s="11"/>
      <c r="L15" s="11"/>
      <c r="M15" s="11"/>
      <c r="N15" s="11"/>
      <c r="O15" s="12"/>
      <c r="P15" s="11"/>
      <c r="Q15" s="13"/>
      <c r="R15" s="14"/>
    </row>
    <row r="16" spans="1:92" ht="15" customHeight="1" x14ac:dyDescent="0.3">
      <c r="A16" s="19" t="s">
        <v>239</v>
      </c>
      <c r="B16" s="19" t="s">
        <v>699</v>
      </c>
      <c r="C16" s="20">
        <v>0.75694444444444453</v>
      </c>
      <c r="D16" s="19" t="s">
        <v>100</v>
      </c>
      <c r="E16" s="19" t="s">
        <v>86</v>
      </c>
      <c r="F16" s="19" t="s">
        <v>700</v>
      </c>
      <c r="G16" s="257"/>
      <c r="H16" s="10"/>
      <c r="I16" s="11"/>
      <c r="J16" s="11"/>
      <c r="K16" s="11"/>
      <c r="L16" s="11"/>
      <c r="M16" s="11"/>
      <c r="N16" s="11"/>
      <c r="O16" s="12"/>
      <c r="P16" s="11"/>
      <c r="Q16" s="13"/>
      <c r="R16" s="14"/>
    </row>
    <row r="17" spans="1:18" ht="15" customHeight="1" x14ac:dyDescent="0.3">
      <c r="A17" s="17" t="s">
        <v>68</v>
      </c>
      <c r="B17" s="17" t="s">
        <v>701</v>
      </c>
      <c r="C17" s="18">
        <v>0.33680555555555558</v>
      </c>
      <c r="D17" s="17" t="s">
        <v>70</v>
      </c>
      <c r="E17" s="17" t="s">
        <v>55</v>
      </c>
      <c r="F17" s="17" t="s">
        <v>702</v>
      </c>
      <c r="G17" s="257"/>
      <c r="H17" s="10"/>
      <c r="I17" s="11"/>
      <c r="J17" s="11"/>
      <c r="K17" s="11"/>
      <c r="L17" s="11"/>
      <c r="M17" s="11"/>
      <c r="N17" s="11"/>
      <c r="O17" s="12"/>
      <c r="P17" s="11"/>
      <c r="Q17" s="13"/>
      <c r="R17" s="14"/>
    </row>
    <row r="18" spans="1:18" ht="15" customHeight="1" x14ac:dyDescent="0.3">
      <c r="A18" s="19" t="s">
        <v>68</v>
      </c>
      <c r="B18" s="19" t="s">
        <v>703</v>
      </c>
      <c r="C18" s="20">
        <v>0.97916666666666663</v>
      </c>
      <c r="D18" s="19" t="s">
        <v>70</v>
      </c>
      <c r="E18" s="19" t="s">
        <v>86</v>
      </c>
      <c r="F18" s="19" t="s">
        <v>704</v>
      </c>
      <c r="G18" s="257"/>
      <c r="H18" s="10"/>
      <c r="I18" s="11"/>
      <c r="J18" s="11"/>
      <c r="K18" s="11"/>
      <c r="L18" s="11"/>
      <c r="M18" s="11"/>
      <c r="N18" s="11"/>
      <c r="O18" s="12"/>
      <c r="P18" s="11"/>
      <c r="Q18" s="13"/>
      <c r="R18" s="14"/>
    </row>
    <row r="19" spans="1:18" ht="15" customHeight="1" x14ac:dyDescent="0.3">
      <c r="A19" s="19" t="s">
        <v>68</v>
      </c>
      <c r="B19" s="19" t="s">
        <v>705</v>
      </c>
      <c r="C19" s="20">
        <v>0.67708333333333337</v>
      </c>
      <c r="D19" s="19" t="s">
        <v>70</v>
      </c>
      <c r="E19" s="19" t="s">
        <v>86</v>
      </c>
      <c r="F19" s="19" t="s">
        <v>706</v>
      </c>
      <c r="G19" s="257"/>
      <c r="H19" s="10"/>
      <c r="I19" s="11"/>
      <c r="J19" s="11"/>
      <c r="K19" s="11"/>
      <c r="L19" s="11"/>
      <c r="M19" s="11"/>
      <c r="N19" s="11"/>
      <c r="O19" s="12"/>
      <c r="P19" s="11"/>
      <c r="Q19" s="13"/>
      <c r="R19" s="14"/>
    </row>
    <row r="20" spans="1:18" ht="15" customHeight="1" x14ac:dyDescent="0.3">
      <c r="A20" s="104" t="s">
        <v>73</v>
      </c>
      <c r="B20" s="104" t="s">
        <v>707</v>
      </c>
      <c r="C20" s="105">
        <v>0.72222222222222221</v>
      </c>
      <c r="D20" s="104" t="s">
        <v>100</v>
      </c>
      <c r="E20" s="104" t="s">
        <v>101</v>
      </c>
      <c r="F20" s="104" t="s">
        <v>215</v>
      </c>
      <c r="G20" s="257"/>
      <c r="H20" s="106" t="s">
        <v>708</v>
      </c>
      <c r="I20" s="198">
        <v>0.47339999999999999</v>
      </c>
      <c r="J20" s="108">
        <v>89</v>
      </c>
      <c r="K20" s="109" t="s">
        <v>103</v>
      </c>
      <c r="L20" s="108">
        <v>22</v>
      </c>
      <c r="M20" s="108">
        <v>0</v>
      </c>
      <c r="N20" s="108">
        <v>1</v>
      </c>
      <c r="O20" s="110" t="s">
        <v>179</v>
      </c>
      <c r="P20" s="111">
        <v>0.72222222222222221</v>
      </c>
      <c r="Q20" s="108">
        <v>188</v>
      </c>
      <c r="R20" s="112" t="s">
        <v>709</v>
      </c>
    </row>
    <row r="21" spans="1:18" ht="15" customHeight="1" thickBot="1" x14ac:dyDescent="0.35">
      <c r="A21" s="199" t="s">
        <v>52</v>
      </c>
      <c r="B21" s="199" t="s">
        <v>710</v>
      </c>
      <c r="C21" s="200">
        <v>0.44791666666666669</v>
      </c>
      <c r="D21" s="199" t="s">
        <v>57</v>
      </c>
      <c r="E21" s="199" t="s">
        <v>298</v>
      </c>
      <c r="F21" s="199" t="s">
        <v>711</v>
      </c>
      <c r="G21" s="258"/>
      <c r="H21" s="41"/>
      <c r="I21" s="42"/>
      <c r="J21" s="42"/>
      <c r="K21" s="42"/>
      <c r="L21" s="42"/>
      <c r="M21" s="42"/>
      <c r="N21" s="42"/>
      <c r="O21" s="43"/>
      <c r="P21" s="42"/>
      <c r="Q21" s="44"/>
      <c r="R21" s="45"/>
    </row>
    <row r="22" spans="1:18" ht="17.399999999999999" customHeight="1" thickBot="1" x14ac:dyDescent="0.35">
      <c r="A22" s="285"/>
      <c r="B22" s="286"/>
      <c r="C22" s="286"/>
      <c r="D22" s="286"/>
      <c r="E22" s="286"/>
      <c r="F22" s="286"/>
      <c r="G22" s="286"/>
      <c r="H22" s="286"/>
      <c r="I22" s="286"/>
      <c r="J22" s="286"/>
      <c r="K22" s="286"/>
      <c r="L22" s="286"/>
      <c r="M22" s="286"/>
      <c r="N22" s="286"/>
      <c r="O22" s="286"/>
      <c r="P22" s="286"/>
      <c r="Q22" s="286"/>
      <c r="R22" s="287"/>
    </row>
    <row r="23" spans="1:18" ht="22.05" customHeight="1" thickTop="1" thickBot="1" x14ac:dyDescent="0.35">
      <c r="A23" s="259" t="s">
        <v>6</v>
      </c>
      <c r="B23" s="251"/>
      <c r="C23" s="251"/>
      <c r="D23" s="251"/>
      <c r="E23" s="251"/>
      <c r="F23" s="252"/>
      <c r="G23" s="31">
        <v>45982</v>
      </c>
      <c r="H23" s="250" t="s">
        <v>7</v>
      </c>
      <c r="I23" s="251"/>
      <c r="J23" s="251"/>
      <c r="K23" s="251"/>
      <c r="L23" s="251"/>
      <c r="M23" s="251"/>
      <c r="N23" s="251"/>
      <c r="O23" s="251"/>
      <c r="P23" s="251"/>
      <c r="Q23" s="251"/>
      <c r="R23" s="252"/>
    </row>
    <row r="24" spans="1:18" ht="24" customHeight="1" x14ac:dyDescent="0.3">
      <c r="A24" s="32" t="s">
        <v>8</v>
      </c>
      <c r="B24" s="32" t="s">
        <v>9</v>
      </c>
      <c r="C24" s="33" t="s">
        <v>10</v>
      </c>
      <c r="D24" s="32" t="s">
        <v>11</v>
      </c>
      <c r="E24" s="32" t="s">
        <v>12</v>
      </c>
      <c r="F24" s="34" t="s">
        <v>13</v>
      </c>
      <c r="G24" s="35" t="s">
        <v>14</v>
      </c>
      <c r="H24" s="32" t="s">
        <v>15</v>
      </c>
      <c r="I24" s="36" t="s">
        <v>16</v>
      </c>
      <c r="J24" s="37" t="s">
        <v>17</v>
      </c>
      <c r="K24" s="38" t="s">
        <v>18</v>
      </c>
      <c r="L24" s="37" t="s">
        <v>19</v>
      </c>
      <c r="M24" s="37" t="s">
        <v>20</v>
      </c>
      <c r="N24" s="37" t="s">
        <v>21</v>
      </c>
      <c r="O24" s="32" t="s">
        <v>22</v>
      </c>
      <c r="P24" s="33" t="s">
        <v>23</v>
      </c>
      <c r="Q24" s="37" t="s">
        <v>24</v>
      </c>
      <c r="R24" s="32" t="s">
        <v>25</v>
      </c>
    </row>
    <row r="25" spans="1:18" ht="15" customHeight="1" x14ac:dyDescent="0.3">
      <c r="A25" s="8" t="s">
        <v>586</v>
      </c>
      <c r="B25" s="8" t="s">
        <v>712</v>
      </c>
      <c r="C25" s="9">
        <v>6.9444444444444441E-3</v>
      </c>
      <c r="D25" s="8" t="s">
        <v>100</v>
      </c>
      <c r="E25" s="8" t="s">
        <v>71</v>
      </c>
      <c r="F25" s="8" t="s">
        <v>713</v>
      </c>
      <c r="G25" s="256"/>
      <c r="H25" s="10"/>
      <c r="I25" s="11"/>
      <c r="J25" s="11"/>
      <c r="K25" s="11"/>
      <c r="L25" s="11"/>
      <c r="M25" s="11"/>
      <c r="N25" s="11"/>
      <c r="O25" s="12"/>
      <c r="P25" s="11"/>
      <c r="Q25" s="13"/>
      <c r="R25" s="14"/>
    </row>
    <row r="26" spans="1:18" ht="15" customHeight="1" x14ac:dyDescent="0.3">
      <c r="A26" s="19" t="s">
        <v>586</v>
      </c>
      <c r="B26" s="19" t="s">
        <v>714</v>
      </c>
      <c r="C26" s="20">
        <v>0.96527777777777779</v>
      </c>
      <c r="D26" s="19" t="s">
        <v>100</v>
      </c>
      <c r="E26" s="19" t="s">
        <v>61</v>
      </c>
      <c r="F26" s="19" t="s">
        <v>715</v>
      </c>
      <c r="G26" s="257"/>
      <c r="H26" s="10"/>
      <c r="I26" s="11"/>
      <c r="J26" s="11"/>
      <c r="K26" s="11"/>
      <c r="L26" s="11"/>
      <c r="M26" s="11"/>
      <c r="N26" s="11"/>
      <c r="O26" s="12"/>
      <c r="P26" s="11"/>
      <c r="Q26" s="13"/>
      <c r="R26" s="14"/>
    </row>
    <row r="27" spans="1:18" ht="15" customHeight="1" x14ac:dyDescent="0.3">
      <c r="A27" s="17" t="s">
        <v>26</v>
      </c>
      <c r="B27" s="17" t="s">
        <v>693</v>
      </c>
      <c r="C27" s="18">
        <v>0.44791666666666669</v>
      </c>
      <c r="D27" s="17" t="s">
        <v>28</v>
      </c>
      <c r="E27" s="17" t="s">
        <v>101</v>
      </c>
      <c r="F27" s="17" t="s">
        <v>465</v>
      </c>
      <c r="G27" s="257"/>
      <c r="H27" s="10"/>
      <c r="I27" s="11"/>
      <c r="J27" s="11"/>
      <c r="K27" s="11"/>
      <c r="L27" s="11"/>
      <c r="M27" s="11"/>
      <c r="N27" s="11"/>
      <c r="O27" s="12"/>
      <c r="P27" s="11"/>
      <c r="Q27" s="13"/>
      <c r="R27" s="14"/>
    </row>
    <row r="28" spans="1:18" ht="15" customHeight="1" x14ac:dyDescent="0.3">
      <c r="A28" s="15" t="s">
        <v>26</v>
      </c>
      <c r="B28" s="15" t="s">
        <v>693</v>
      </c>
      <c r="C28" s="16">
        <v>0.44791666666666669</v>
      </c>
      <c r="D28" s="15" t="s">
        <v>31</v>
      </c>
      <c r="E28" s="15" t="s">
        <v>319</v>
      </c>
      <c r="F28" s="15" t="s">
        <v>635</v>
      </c>
      <c r="G28" s="257"/>
      <c r="H28" s="10"/>
      <c r="I28" s="11"/>
      <c r="J28" s="11"/>
      <c r="K28" s="11"/>
      <c r="L28" s="11"/>
      <c r="M28" s="11"/>
      <c r="N28" s="11"/>
      <c r="O28" s="12"/>
      <c r="P28" s="11"/>
      <c r="Q28" s="13"/>
      <c r="R28" s="14"/>
    </row>
    <row r="29" spans="1:18" ht="15" customHeight="1" x14ac:dyDescent="0.3">
      <c r="A29" s="15" t="s">
        <v>26</v>
      </c>
      <c r="B29" s="15" t="s">
        <v>693</v>
      </c>
      <c r="C29" s="16">
        <v>0.44791666666666669</v>
      </c>
      <c r="D29" s="15" t="s">
        <v>34</v>
      </c>
      <c r="E29" s="15" t="s">
        <v>319</v>
      </c>
      <c r="F29" s="15" t="s">
        <v>716</v>
      </c>
      <c r="G29" s="257"/>
      <c r="H29" s="10"/>
      <c r="I29" s="11"/>
      <c r="J29" s="11"/>
      <c r="K29" s="11"/>
      <c r="L29" s="11"/>
      <c r="M29" s="11"/>
      <c r="N29" s="11"/>
      <c r="O29" s="12"/>
      <c r="P29" s="11"/>
      <c r="Q29" s="13"/>
      <c r="R29" s="14"/>
    </row>
    <row r="30" spans="1:18" ht="15" customHeight="1" x14ac:dyDescent="0.3">
      <c r="A30" s="17" t="s">
        <v>36</v>
      </c>
      <c r="B30" s="17" t="s">
        <v>691</v>
      </c>
      <c r="C30" s="18">
        <v>0.97222222222222221</v>
      </c>
      <c r="D30" s="17" t="s">
        <v>38</v>
      </c>
      <c r="E30" s="17" t="s">
        <v>29</v>
      </c>
      <c r="F30" s="17" t="s">
        <v>220</v>
      </c>
      <c r="G30" s="257"/>
      <c r="H30" s="10"/>
      <c r="I30" s="11"/>
      <c r="J30" s="11"/>
      <c r="K30" s="11"/>
      <c r="L30" s="11"/>
      <c r="M30" s="11"/>
      <c r="N30" s="11"/>
      <c r="O30" s="12"/>
      <c r="P30" s="11"/>
      <c r="Q30" s="13"/>
      <c r="R30" s="14"/>
    </row>
    <row r="31" spans="1:18" ht="15" customHeight="1" x14ac:dyDescent="0.3">
      <c r="A31" s="15" t="s">
        <v>36</v>
      </c>
      <c r="B31" s="15" t="s">
        <v>691</v>
      </c>
      <c r="C31" s="16">
        <v>0.97222222222222221</v>
      </c>
      <c r="D31" s="15" t="s">
        <v>41</v>
      </c>
      <c r="E31" s="15" t="s">
        <v>32</v>
      </c>
      <c r="F31" s="15" t="s">
        <v>636</v>
      </c>
      <c r="G31" s="257"/>
      <c r="H31" s="10"/>
      <c r="I31" s="11"/>
      <c r="J31" s="11"/>
      <c r="K31" s="11"/>
      <c r="L31" s="11"/>
      <c r="M31" s="11"/>
      <c r="N31" s="11"/>
      <c r="O31" s="12"/>
      <c r="P31" s="11"/>
      <c r="Q31" s="13"/>
      <c r="R31" s="14"/>
    </row>
    <row r="32" spans="1:18" ht="15" customHeight="1" x14ac:dyDescent="0.3">
      <c r="A32" s="15" t="s">
        <v>36</v>
      </c>
      <c r="B32" s="15" t="s">
        <v>691</v>
      </c>
      <c r="C32" s="16">
        <v>0.97222222222222221</v>
      </c>
      <c r="D32" s="15" t="s">
        <v>44</v>
      </c>
      <c r="E32" s="15" t="s">
        <v>32</v>
      </c>
      <c r="F32" s="15" t="s">
        <v>50</v>
      </c>
      <c r="G32" s="257"/>
      <c r="H32" s="10"/>
      <c r="I32" s="11"/>
      <c r="J32" s="11"/>
      <c r="K32" s="11"/>
      <c r="L32" s="11"/>
      <c r="M32" s="11"/>
      <c r="N32" s="11"/>
      <c r="O32" s="12"/>
      <c r="P32" s="11"/>
      <c r="Q32" s="13"/>
      <c r="R32" s="14"/>
    </row>
    <row r="33" spans="1:18" ht="15" customHeight="1" x14ac:dyDescent="0.3">
      <c r="A33" s="17" t="s">
        <v>239</v>
      </c>
      <c r="B33" s="17" t="s">
        <v>717</v>
      </c>
      <c r="C33" s="18">
        <v>0.80555555555555547</v>
      </c>
      <c r="D33" s="17" t="s">
        <v>100</v>
      </c>
      <c r="E33" s="17" t="s">
        <v>55</v>
      </c>
      <c r="F33" s="17" t="s">
        <v>718</v>
      </c>
      <c r="G33" s="257"/>
      <c r="H33" s="10"/>
      <c r="I33" s="11"/>
      <c r="J33" s="11"/>
      <c r="K33" s="11"/>
      <c r="L33" s="11"/>
      <c r="M33" s="11"/>
      <c r="N33" s="11"/>
      <c r="O33" s="12"/>
      <c r="P33" s="11"/>
      <c r="Q33" s="13"/>
      <c r="R33" s="14"/>
    </row>
    <row r="34" spans="1:18" ht="15" customHeight="1" x14ac:dyDescent="0.3">
      <c r="A34" s="85" t="s">
        <v>73</v>
      </c>
      <c r="B34" s="85" t="s">
        <v>707</v>
      </c>
      <c r="C34" s="86">
        <v>0.38194444444444442</v>
      </c>
      <c r="D34" s="85" t="s">
        <v>100</v>
      </c>
      <c r="E34" s="85" t="s">
        <v>80</v>
      </c>
      <c r="F34" s="85" t="s">
        <v>215</v>
      </c>
      <c r="G34" s="257"/>
      <c r="H34" s="87" t="s">
        <v>708</v>
      </c>
      <c r="I34" s="201">
        <v>0.52780000000000005</v>
      </c>
      <c r="J34" s="89">
        <v>95</v>
      </c>
      <c r="K34" s="90" t="s">
        <v>103</v>
      </c>
      <c r="L34" s="89">
        <v>51</v>
      </c>
      <c r="M34" s="89">
        <v>0</v>
      </c>
      <c r="N34" s="89">
        <v>5</v>
      </c>
      <c r="O34" s="91" t="s">
        <v>719</v>
      </c>
      <c r="P34" s="92">
        <v>0.38194444444444442</v>
      </c>
      <c r="Q34" s="89">
        <v>180</v>
      </c>
      <c r="R34" s="93" t="s">
        <v>720</v>
      </c>
    </row>
    <row r="35" spans="1:18" ht="15" customHeight="1" x14ac:dyDescent="0.3">
      <c r="A35" s="17" t="s">
        <v>68</v>
      </c>
      <c r="B35" s="17" t="s">
        <v>701</v>
      </c>
      <c r="C35" s="18">
        <v>0.33680555555555558</v>
      </c>
      <c r="D35" s="17" t="s">
        <v>70</v>
      </c>
      <c r="E35" s="17" t="s">
        <v>55</v>
      </c>
      <c r="F35" s="17" t="s">
        <v>706</v>
      </c>
      <c r="G35" s="257"/>
      <c r="H35" s="10"/>
      <c r="I35" s="11"/>
      <c r="J35" s="11"/>
      <c r="K35" s="11"/>
      <c r="L35" s="11"/>
      <c r="M35" s="11"/>
      <c r="N35" s="11"/>
      <c r="O35" s="12"/>
      <c r="P35" s="11"/>
      <c r="Q35" s="13"/>
      <c r="R35" s="14"/>
    </row>
    <row r="36" spans="1:18" ht="15" customHeight="1" x14ac:dyDescent="0.3">
      <c r="A36" s="19" t="s">
        <v>68</v>
      </c>
      <c r="B36" s="19" t="s">
        <v>703</v>
      </c>
      <c r="C36" s="20">
        <v>0.97916666666666663</v>
      </c>
      <c r="D36" s="19" t="s">
        <v>70</v>
      </c>
      <c r="E36" s="19" t="s">
        <v>86</v>
      </c>
      <c r="F36" s="19" t="s">
        <v>706</v>
      </c>
      <c r="G36" s="257"/>
      <c r="H36" s="10"/>
      <c r="I36" s="11"/>
      <c r="J36" s="11"/>
      <c r="K36" s="11"/>
      <c r="L36" s="11"/>
      <c r="M36" s="11"/>
      <c r="N36" s="11"/>
      <c r="O36" s="12"/>
      <c r="P36" s="11"/>
      <c r="Q36" s="13"/>
      <c r="R36" s="14"/>
    </row>
    <row r="37" spans="1:18" ht="15" customHeight="1" x14ac:dyDescent="0.3">
      <c r="A37" s="19" t="s">
        <v>68</v>
      </c>
      <c r="B37" s="19" t="s">
        <v>705</v>
      </c>
      <c r="C37" s="20">
        <v>0.67361111111111116</v>
      </c>
      <c r="D37" s="19" t="s">
        <v>70</v>
      </c>
      <c r="E37" s="19" t="s">
        <v>227</v>
      </c>
      <c r="F37" s="19" t="s">
        <v>721</v>
      </c>
      <c r="G37" s="257"/>
      <c r="H37" s="10"/>
      <c r="I37" s="11"/>
      <c r="J37" s="11"/>
      <c r="K37" s="11"/>
      <c r="L37" s="11"/>
      <c r="M37" s="11"/>
      <c r="N37" s="11"/>
      <c r="O37" s="12"/>
      <c r="P37" s="11"/>
      <c r="Q37" s="13"/>
      <c r="R37" s="14"/>
    </row>
    <row r="38" spans="1:18" ht="15" customHeight="1" thickBot="1" x14ac:dyDescent="0.35">
      <c r="A38" s="199" t="s">
        <v>52</v>
      </c>
      <c r="B38" s="199" t="s">
        <v>710</v>
      </c>
      <c r="C38" s="200">
        <v>0.44791666666666669</v>
      </c>
      <c r="D38" s="199" t="s">
        <v>57</v>
      </c>
      <c r="E38" s="199" t="s">
        <v>298</v>
      </c>
      <c r="F38" s="199" t="s">
        <v>648</v>
      </c>
      <c r="G38" s="258"/>
      <c r="H38" s="41"/>
      <c r="I38" s="42"/>
      <c r="J38" s="42"/>
      <c r="K38" s="42"/>
      <c r="L38" s="42"/>
      <c r="M38" s="42"/>
      <c r="N38" s="42"/>
      <c r="O38" s="43"/>
      <c r="P38" s="42"/>
      <c r="Q38" s="44"/>
      <c r="R38" s="45"/>
    </row>
    <row r="39" spans="1:18" ht="17.399999999999999" customHeight="1" thickBot="1" x14ac:dyDescent="0.35">
      <c r="A39" s="285"/>
      <c r="B39" s="286"/>
      <c r="C39" s="286"/>
      <c r="D39" s="286"/>
      <c r="E39" s="286"/>
      <c r="F39" s="286"/>
      <c r="G39" s="286"/>
      <c r="H39" s="286"/>
      <c r="I39" s="286"/>
      <c r="J39" s="286"/>
      <c r="K39" s="286"/>
      <c r="L39" s="286"/>
      <c r="M39" s="286"/>
      <c r="N39" s="286"/>
      <c r="O39" s="286"/>
      <c r="P39" s="286"/>
      <c r="Q39" s="286"/>
      <c r="R39" s="287"/>
    </row>
    <row r="40" spans="1:18" ht="22.05" customHeight="1" thickTop="1" thickBot="1" x14ac:dyDescent="0.35">
      <c r="A40" s="259" t="s">
        <v>6</v>
      </c>
      <c r="B40" s="251"/>
      <c r="C40" s="251"/>
      <c r="D40" s="251"/>
      <c r="E40" s="251"/>
      <c r="F40" s="252"/>
      <c r="G40" s="31">
        <v>45983</v>
      </c>
      <c r="H40" s="250" t="s">
        <v>7</v>
      </c>
      <c r="I40" s="251"/>
      <c r="J40" s="251"/>
      <c r="K40" s="251"/>
      <c r="L40" s="251"/>
      <c r="M40" s="251"/>
      <c r="N40" s="251"/>
      <c r="O40" s="251"/>
      <c r="P40" s="251"/>
      <c r="Q40" s="251"/>
      <c r="R40" s="252"/>
    </row>
    <row r="41" spans="1:18" ht="24" customHeight="1" x14ac:dyDescent="0.3">
      <c r="A41" s="32" t="s">
        <v>8</v>
      </c>
      <c r="B41" s="32" t="s">
        <v>9</v>
      </c>
      <c r="C41" s="33" t="s">
        <v>10</v>
      </c>
      <c r="D41" s="32" t="s">
        <v>11</v>
      </c>
      <c r="E41" s="32" t="s">
        <v>12</v>
      </c>
      <c r="F41" s="34" t="s">
        <v>13</v>
      </c>
      <c r="G41" s="35" t="s">
        <v>14</v>
      </c>
      <c r="H41" s="32" t="s">
        <v>15</v>
      </c>
      <c r="I41" s="36" t="s">
        <v>16</v>
      </c>
      <c r="J41" s="37" t="s">
        <v>17</v>
      </c>
      <c r="K41" s="38" t="s">
        <v>18</v>
      </c>
      <c r="L41" s="37" t="s">
        <v>19</v>
      </c>
      <c r="M41" s="37" t="s">
        <v>20</v>
      </c>
      <c r="N41" s="37" t="s">
        <v>21</v>
      </c>
      <c r="O41" s="32" t="s">
        <v>22</v>
      </c>
      <c r="P41" s="33" t="s">
        <v>23</v>
      </c>
      <c r="Q41" s="37" t="s">
        <v>24</v>
      </c>
      <c r="R41" s="32" t="s">
        <v>25</v>
      </c>
    </row>
    <row r="42" spans="1:18" ht="15" customHeight="1" x14ac:dyDescent="0.3">
      <c r="A42" s="8" t="s">
        <v>26</v>
      </c>
      <c r="B42" s="8" t="s">
        <v>693</v>
      </c>
      <c r="C42" s="9">
        <v>0.44791666666666669</v>
      </c>
      <c r="D42" s="8" t="s">
        <v>28</v>
      </c>
      <c r="E42" s="8" t="s">
        <v>81</v>
      </c>
      <c r="F42" s="8" t="s">
        <v>465</v>
      </c>
      <c r="G42" s="256"/>
      <c r="H42" s="10"/>
      <c r="I42" s="11"/>
      <c r="J42" s="11"/>
      <c r="K42" s="11"/>
      <c r="L42" s="11"/>
      <c r="M42" s="11"/>
      <c r="N42" s="11"/>
      <c r="O42" s="12"/>
      <c r="P42" s="11"/>
      <c r="Q42" s="13"/>
      <c r="R42" s="14"/>
    </row>
    <row r="43" spans="1:18" ht="15" customHeight="1" x14ac:dyDescent="0.3">
      <c r="A43" s="15" t="s">
        <v>26</v>
      </c>
      <c r="B43" s="15" t="s">
        <v>693</v>
      </c>
      <c r="C43" s="16">
        <v>0.44791666666666669</v>
      </c>
      <c r="D43" s="15" t="s">
        <v>31</v>
      </c>
      <c r="E43" s="15" t="s">
        <v>82</v>
      </c>
      <c r="F43" s="15" t="s">
        <v>635</v>
      </c>
      <c r="G43" s="257"/>
      <c r="H43" s="10"/>
      <c r="I43" s="11"/>
      <c r="J43" s="11"/>
      <c r="K43" s="11"/>
      <c r="L43" s="11"/>
      <c r="M43" s="11"/>
      <c r="N43" s="11"/>
      <c r="O43" s="12"/>
      <c r="P43" s="11"/>
      <c r="Q43" s="13"/>
      <c r="R43" s="14"/>
    </row>
    <row r="44" spans="1:18" ht="15" customHeight="1" x14ac:dyDescent="0.3">
      <c r="A44" s="15" t="s">
        <v>26</v>
      </c>
      <c r="B44" s="15" t="s">
        <v>693</v>
      </c>
      <c r="C44" s="16">
        <v>0.44791666666666669</v>
      </c>
      <c r="D44" s="15" t="s">
        <v>34</v>
      </c>
      <c r="E44" s="15" t="s">
        <v>82</v>
      </c>
      <c r="F44" s="15" t="s">
        <v>716</v>
      </c>
      <c r="G44" s="257"/>
      <c r="H44" s="10"/>
      <c r="I44" s="11"/>
      <c r="J44" s="11"/>
      <c r="K44" s="11"/>
      <c r="L44" s="11"/>
      <c r="M44" s="11"/>
      <c r="N44" s="11"/>
      <c r="O44" s="12"/>
      <c r="P44" s="11"/>
      <c r="Q44" s="13"/>
      <c r="R44" s="14"/>
    </row>
    <row r="45" spans="1:18" ht="15" customHeight="1" x14ac:dyDescent="0.3">
      <c r="A45" s="17" t="s">
        <v>36</v>
      </c>
      <c r="B45" s="17" t="s">
        <v>688</v>
      </c>
      <c r="C45" s="18">
        <v>0.33680555555555558</v>
      </c>
      <c r="D45" s="17" t="s">
        <v>38</v>
      </c>
      <c r="E45" s="17" t="s">
        <v>39</v>
      </c>
      <c r="F45" s="17" t="s">
        <v>220</v>
      </c>
      <c r="G45" s="257"/>
      <c r="H45" s="10"/>
      <c r="I45" s="11"/>
      <c r="J45" s="11"/>
      <c r="K45" s="11"/>
      <c r="L45" s="11"/>
      <c r="M45" s="11"/>
      <c r="N45" s="11"/>
      <c r="O45" s="12"/>
      <c r="P45" s="11"/>
      <c r="Q45" s="13"/>
      <c r="R45" s="14"/>
    </row>
    <row r="46" spans="1:18" ht="15" customHeight="1" x14ac:dyDescent="0.3">
      <c r="A46" s="15" t="s">
        <v>36</v>
      </c>
      <c r="B46" s="15" t="s">
        <v>688</v>
      </c>
      <c r="C46" s="16">
        <v>0.33680555555555558</v>
      </c>
      <c r="D46" s="15" t="s">
        <v>41</v>
      </c>
      <c r="E46" s="15" t="s">
        <v>42</v>
      </c>
      <c r="F46" s="15" t="s">
        <v>636</v>
      </c>
      <c r="G46" s="257"/>
      <c r="H46" s="10"/>
      <c r="I46" s="11"/>
      <c r="J46" s="11"/>
      <c r="K46" s="11"/>
      <c r="L46" s="11"/>
      <c r="M46" s="11"/>
      <c r="N46" s="11"/>
      <c r="O46" s="12"/>
      <c r="P46" s="11"/>
      <c r="Q46" s="13"/>
      <c r="R46" s="14"/>
    </row>
    <row r="47" spans="1:18" ht="15" customHeight="1" x14ac:dyDescent="0.3">
      <c r="A47" s="15" t="s">
        <v>36</v>
      </c>
      <c r="B47" s="15" t="s">
        <v>688</v>
      </c>
      <c r="C47" s="16">
        <v>0.33680555555555558</v>
      </c>
      <c r="D47" s="15" t="s">
        <v>44</v>
      </c>
      <c r="E47" s="15" t="s">
        <v>42</v>
      </c>
      <c r="F47" s="15" t="s">
        <v>50</v>
      </c>
      <c r="G47" s="257"/>
      <c r="H47" s="10"/>
      <c r="I47" s="11"/>
      <c r="J47" s="11"/>
      <c r="K47" s="11"/>
      <c r="L47" s="11"/>
      <c r="M47" s="11"/>
      <c r="N47" s="11"/>
      <c r="O47" s="12"/>
      <c r="P47" s="11"/>
      <c r="Q47" s="13"/>
      <c r="R47" s="14"/>
    </row>
    <row r="48" spans="1:18" ht="15" customHeight="1" x14ac:dyDescent="0.3">
      <c r="A48" s="19" t="s">
        <v>36</v>
      </c>
      <c r="B48" s="19" t="s">
        <v>691</v>
      </c>
      <c r="C48" s="20">
        <v>0.97222222222222221</v>
      </c>
      <c r="D48" s="19" t="s">
        <v>38</v>
      </c>
      <c r="E48" s="19" t="s">
        <v>231</v>
      </c>
      <c r="F48" s="19" t="s">
        <v>331</v>
      </c>
      <c r="G48" s="257"/>
      <c r="H48" s="10"/>
      <c r="I48" s="11"/>
      <c r="J48" s="11"/>
      <c r="K48" s="11"/>
      <c r="L48" s="11"/>
      <c r="M48" s="11"/>
      <c r="N48" s="11"/>
      <c r="O48" s="12"/>
      <c r="P48" s="11"/>
      <c r="Q48" s="13"/>
      <c r="R48" s="14"/>
    </row>
    <row r="49" spans="1:18" ht="15" customHeight="1" x14ac:dyDescent="0.3">
      <c r="A49" s="15" t="s">
        <v>36</v>
      </c>
      <c r="B49" s="15" t="s">
        <v>691</v>
      </c>
      <c r="C49" s="16">
        <v>0.97222222222222221</v>
      </c>
      <c r="D49" s="15" t="s">
        <v>41</v>
      </c>
      <c r="E49" s="15" t="s">
        <v>82</v>
      </c>
      <c r="F49" s="15" t="s">
        <v>35</v>
      </c>
      <c r="G49" s="257"/>
      <c r="H49" s="10"/>
      <c r="I49" s="11"/>
      <c r="J49" s="11"/>
      <c r="K49" s="11"/>
      <c r="L49" s="11"/>
      <c r="M49" s="11"/>
      <c r="N49" s="11"/>
      <c r="O49" s="12"/>
      <c r="P49" s="11"/>
      <c r="Q49" s="13"/>
      <c r="R49" s="14"/>
    </row>
    <row r="50" spans="1:18" ht="15" customHeight="1" x14ac:dyDescent="0.3">
      <c r="A50" s="15" t="s">
        <v>36</v>
      </c>
      <c r="B50" s="15" t="s">
        <v>691</v>
      </c>
      <c r="C50" s="16">
        <v>0.97222222222222221</v>
      </c>
      <c r="D50" s="15" t="s">
        <v>44</v>
      </c>
      <c r="E50" s="15" t="s">
        <v>82</v>
      </c>
      <c r="F50" s="15" t="s">
        <v>722</v>
      </c>
      <c r="G50" s="257"/>
      <c r="H50" s="10"/>
      <c r="I50" s="11"/>
      <c r="J50" s="11"/>
      <c r="K50" s="11"/>
      <c r="L50" s="11"/>
      <c r="M50" s="11"/>
      <c r="N50" s="11"/>
      <c r="O50" s="12"/>
      <c r="P50" s="11"/>
      <c r="Q50" s="13"/>
      <c r="R50" s="14"/>
    </row>
    <row r="51" spans="1:18" ht="15" customHeight="1" x14ac:dyDescent="0.3">
      <c r="A51" s="202" t="s">
        <v>73</v>
      </c>
      <c r="B51" s="202" t="s">
        <v>707</v>
      </c>
      <c r="C51" s="203">
        <v>0.72222222222222221</v>
      </c>
      <c r="D51" s="202" t="s">
        <v>100</v>
      </c>
      <c r="E51" s="202" t="s">
        <v>81</v>
      </c>
      <c r="F51" s="202" t="s">
        <v>215</v>
      </c>
      <c r="G51" s="257"/>
      <c r="H51" s="164" t="s">
        <v>708</v>
      </c>
      <c r="I51" s="165">
        <v>0.63329999999999997</v>
      </c>
      <c r="J51" s="166">
        <v>114</v>
      </c>
      <c r="K51" s="167" t="s">
        <v>253</v>
      </c>
      <c r="L51" s="166">
        <v>60</v>
      </c>
      <c r="M51" s="166">
        <v>2</v>
      </c>
      <c r="N51" s="166">
        <v>21</v>
      </c>
      <c r="O51" s="168" t="s">
        <v>364</v>
      </c>
      <c r="P51" s="169">
        <v>0.72222222222222221</v>
      </c>
      <c r="Q51" s="166">
        <v>180</v>
      </c>
      <c r="R51" s="170" t="s">
        <v>723</v>
      </c>
    </row>
    <row r="52" spans="1:18" ht="15" customHeight="1" x14ac:dyDescent="0.3">
      <c r="A52" s="17" t="s">
        <v>239</v>
      </c>
      <c r="B52" s="17" t="s">
        <v>699</v>
      </c>
      <c r="C52" s="18">
        <v>0.69444444444444453</v>
      </c>
      <c r="D52" s="17" t="s">
        <v>100</v>
      </c>
      <c r="E52" s="17" t="s">
        <v>55</v>
      </c>
      <c r="F52" s="17" t="s">
        <v>331</v>
      </c>
      <c r="G52" s="257"/>
      <c r="H52" s="10"/>
      <c r="I52" s="11"/>
      <c r="J52" s="11"/>
      <c r="K52" s="11"/>
      <c r="L52" s="11"/>
      <c r="M52" s="11"/>
      <c r="N52" s="11"/>
      <c r="O52" s="12"/>
      <c r="P52" s="11"/>
      <c r="Q52" s="13"/>
      <c r="R52" s="14"/>
    </row>
    <row r="53" spans="1:18" ht="15" customHeight="1" x14ac:dyDescent="0.3">
      <c r="A53" s="17" t="s">
        <v>266</v>
      </c>
      <c r="B53" s="17" t="s">
        <v>724</v>
      </c>
      <c r="C53" s="18">
        <v>0.78472222222222221</v>
      </c>
      <c r="D53" s="17" t="s">
        <v>268</v>
      </c>
      <c r="E53" s="17" t="s">
        <v>71</v>
      </c>
      <c r="F53" s="17" t="s">
        <v>725</v>
      </c>
      <c r="G53" s="257"/>
      <c r="H53" s="10"/>
      <c r="I53" s="11"/>
      <c r="J53" s="11"/>
      <c r="K53" s="11"/>
      <c r="L53" s="11"/>
      <c r="M53" s="11"/>
      <c r="N53" s="11"/>
      <c r="O53" s="12"/>
      <c r="P53" s="11"/>
      <c r="Q53" s="13"/>
      <c r="R53" s="14"/>
    </row>
    <row r="54" spans="1:18" ht="15" customHeight="1" x14ac:dyDescent="0.3">
      <c r="A54" s="15" t="s">
        <v>266</v>
      </c>
      <c r="B54" s="15" t="s">
        <v>724</v>
      </c>
      <c r="C54" s="16">
        <v>0.78472222222222221</v>
      </c>
      <c r="D54" s="15" t="s">
        <v>34</v>
      </c>
      <c r="E54" s="15" t="s">
        <v>209</v>
      </c>
      <c r="F54" s="15" t="s">
        <v>726</v>
      </c>
      <c r="G54" s="257"/>
      <c r="H54" s="10"/>
      <c r="I54" s="11"/>
      <c r="J54" s="11"/>
      <c r="K54" s="11"/>
      <c r="L54" s="11"/>
      <c r="M54" s="11"/>
      <c r="N54" s="11"/>
      <c r="O54" s="12"/>
      <c r="P54" s="11"/>
      <c r="Q54" s="13"/>
      <c r="R54" s="14"/>
    </row>
    <row r="55" spans="1:18" ht="15" customHeight="1" x14ac:dyDescent="0.3">
      <c r="A55" s="17" t="s">
        <v>68</v>
      </c>
      <c r="B55" s="17" t="s">
        <v>703</v>
      </c>
      <c r="C55" s="18">
        <v>0.97916666666666663</v>
      </c>
      <c r="D55" s="17" t="s">
        <v>70</v>
      </c>
      <c r="E55" s="17" t="s">
        <v>55</v>
      </c>
      <c r="F55" s="17" t="s">
        <v>727</v>
      </c>
      <c r="G55" s="257"/>
      <c r="H55" s="10"/>
      <c r="I55" s="11"/>
      <c r="J55" s="11"/>
      <c r="K55" s="11"/>
      <c r="L55" s="11"/>
      <c r="M55" s="11"/>
      <c r="N55" s="11"/>
      <c r="O55" s="12"/>
      <c r="P55" s="11"/>
      <c r="Q55" s="13"/>
      <c r="R55" s="14"/>
    </row>
    <row r="56" spans="1:18" ht="15" customHeight="1" x14ac:dyDescent="0.3">
      <c r="A56" s="199" t="s">
        <v>52</v>
      </c>
      <c r="B56" s="199" t="s">
        <v>710</v>
      </c>
      <c r="C56" s="200">
        <v>0.44791666666666669</v>
      </c>
      <c r="D56" s="199" t="s">
        <v>57</v>
      </c>
      <c r="E56" s="199" t="s">
        <v>298</v>
      </c>
      <c r="F56" s="199" t="s">
        <v>648</v>
      </c>
      <c r="G56" s="258"/>
      <c r="H56" s="41"/>
      <c r="I56" s="42"/>
      <c r="J56" s="42"/>
      <c r="K56" s="42"/>
      <c r="L56" s="42"/>
      <c r="M56" s="42"/>
      <c r="N56" s="42"/>
      <c r="O56" s="43"/>
      <c r="P56" s="42"/>
      <c r="Q56" s="44"/>
      <c r="R56" s="45"/>
    </row>
  </sheetData>
  <mergeCells count="18">
    <mergeCell ref="G42:G56"/>
    <mergeCell ref="G6:G21"/>
    <mergeCell ref="H4:R4"/>
    <mergeCell ref="A22:R22"/>
    <mergeCell ref="N1:R1"/>
    <mergeCell ref="H1:L1"/>
    <mergeCell ref="A1:E1"/>
    <mergeCell ref="G2:J2"/>
    <mergeCell ref="K2:R2"/>
    <mergeCell ref="A4:F4"/>
    <mergeCell ref="H23:R23"/>
    <mergeCell ref="A2:F2"/>
    <mergeCell ref="H40:R40"/>
    <mergeCell ref="A3:R3"/>
    <mergeCell ref="A39:R39"/>
    <mergeCell ref="G25:G38"/>
    <mergeCell ref="A23:F23"/>
    <mergeCell ref="A40:F40"/>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J5"/>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9.218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3" width="3.88671875" style="272" bestFit="1" customWidth="1"/>
    <col min="24" max="24" width="4.109375" style="272" bestFit="1" customWidth="1"/>
    <col min="25" max="25" width="4.44140625" style="272" bestFit="1" customWidth="1"/>
    <col min="26" max="26" width="4.109375" style="272" bestFit="1" customWidth="1"/>
    <col min="27" max="27" width="5" style="272" bestFit="1" customWidth="1"/>
    <col min="28" max="29" width="4.21875" style="272" bestFit="1" customWidth="1"/>
    <col min="30" max="31" width="4.5546875" style="272" bestFit="1" customWidth="1"/>
    <col min="32"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135</v>
      </c>
      <c r="B2" s="274">
        <v>45981</v>
      </c>
      <c r="C2" s="275" t="s">
        <v>708</v>
      </c>
      <c r="D2" s="276" t="s">
        <v>728</v>
      </c>
      <c r="E2" s="275" t="s">
        <v>687</v>
      </c>
      <c r="F2" s="275" t="s">
        <v>137</v>
      </c>
      <c r="G2" s="277">
        <v>0.47339999999999999</v>
      </c>
      <c r="H2" s="278">
        <v>188</v>
      </c>
      <c r="I2" s="278">
        <v>89</v>
      </c>
      <c r="J2" s="278">
        <v>0</v>
      </c>
      <c r="K2" s="275" t="s">
        <v>138</v>
      </c>
      <c r="L2" s="279" t="s">
        <v>103</v>
      </c>
      <c r="M2" s="278">
        <v>0</v>
      </c>
      <c r="N2" s="278">
        <v>1</v>
      </c>
      <c r="O2" s="278">
        <v>22</v>
      </c>
      <c r="P2" s="275" t="s">
        <v>179</v>
      </c>
      <c r="Q2" s="271"/>
      <c r="R2" s="271"/>
      <c r="S2" s="271"/>
      <c r="T2" s="271"/>
      <c r="U2" s="271"/>
      <c r="V2" s="271"/>
      <c r="W2" s="278" t="s">
        <v>729</v>
      </c>
      <c r="X2" s="278" t="s">
        <v>730</v>
      </c>
      <c r="Y2" s="278" t="s">
        <v>731</v>
      </c>
      <c r="Z2" s="278" t="s">
        <v>732</v>
      </c>
      <c r="AA2" s="271"/>
      <c r="AB2" s="271"/>
      <c r="AC2" s="271"/>
      <c r="AD2" s="278" t="s">
        <v>733</v>
      </c>
      <c r="AE2" s="278" t="s">
        <v>734</v>
      </c>
      <c r="AF2" s="278" t="s">
        <v>735</v>
      </c>
      <c r="AG2" s="271"/>
      <c r="AH2" s="271"/>
      <c r="AI2" s="271"/>
      <c r="AJ2" s="271"/>
    </row>
    <row r="3" spans="1:36" x14ac:dyDescent="0.3">
      <c r="A3" s="273" t="s">
        <v>390</v>
      </c>
      <c r="B3" s="274">
        <v>45982</v>
      </c>
      <c r="C3" s="275" t="s">
        <v>708</v>
      </c>
      <c r="D3" s="276" t="s">
        <v>136</v>
      </c>
      <c r="E3" s="275" t="s">
        <v>687</v>
      </c>
      <c r="F3" s="275" t="s">
        <v>137</v>
      </c>
      <c r="G3" s="277">
        <v>0.52780000000000005</v>
      </c>
      <c r="H3" s="278">
        <v>180</v>
      </c>
      <c r="I3" s="278">
        <v>95</v>
      </c>
      <c r="J3" s="278">
        <v>0</v>
      </c>
      <c r="K3" s="275" t="s">
        <v>138</v>
      </c>
      <c r="L3" s="279" t="s">
        <v>103</v>
      </c>
      <c r="M3" s="278">
        <v>0</v>
      </c>
      <c r="N3" s="278">
        <v>5</v>
      </c>
      <c r="O3" s="278">
        <v>51</v>
      </c>
      <c r="P3" s="275" t="s">
        <v>719</v>
      </c>
      <c r="Q3" s="271"/>
      <c r="R3" s="271"/>
      <c r="S3" s="271"/>
      <c r="T3" s="271"/>
      <c r="U3" s="271"/>
      <c r="V3" s="271"/>
      <c r="W3" s="278" t="s">
        <v>736</v>
      </c>
      <c r="X3" s="278" t="s">
        <v>737</v>
      </c>
      <c r="Y3" s="278" t="s">
        <v>731</v>
      </c>
      <c r="Z3" s="278" t="s">
        <v>738</v>
      </c>
      <c r="AA3" s="278" t="s">
        <v>366</v>
      </c>
      <c r="AB3" s="278" t="s">
        <v>367</v>
      </c>
      <c r="AC3" s="278" t="s">
        <v>656</v>
      </c>
      <c r="AD3" s="271"/>
      <c r="AE3" s="278" t="s">
        <v>739</v>
      </c>
      <c r="AF3" s="278" t="s">
        <v>382</v>
      </c>
      <c r="AG3" s="271"/>
      <c r="AH3" s="271"/>
      <c r="AI3" s="271"/>
      <c r="AJ3" s="271"/>
    </row>
    <row r="4" spans="1:36" x14ac:dyDescent="0.3">
      <c r="A4" s="273" t="s">
        <v>146</v>
      </c>
      <c r="B4" s="274">
        <v>45983</v>
      </c>
      <c r="C4" s="275" t="s">
        <v>708</v>
      </c>
      <c r="D4" s="276" t="s">
        <v>728</v>
      </c>
      <c r="E4" s="275" t="s">
        <v>687</v>
      </c>
      <c r="F4" s="275" t="s">
        <v>137</v>
      </c>
      <c r="G4" s="277">
        <v>0.63329999999999997</v>
      </c>
      <c r="H4" s="278">
        <v>180</v>
      </c>
      <c r="I4" s="278">
        <v>114</v>
      </c>
      <c r="J4" s="278">
        <v>0</v>
      </c>
      <c r="K4" s="275" t="s">
        <v>138</v>
      </c>
      <c r="L4" s="279" t="s">
        <v>253</v>
      </c>
      <c r="M4" s="278">
        <v>2</v>
      </c>
      <c r="N4" s="278">
        <v>21</v>
      </c>
      <c r="O4" s="278">
        <v>60</v>
      </c>
      <c r="P4" s="275" t="s">
        <v>364</v>
      </c>
      <c r="Q4" s="271"/>
      <c r="R4" s="271"/>
      <c r="S4" s="271"/>
      <c r="T4" s="271"/>
      <c r="U4" s="271"/>
      <c r="V4" s="271"/>
      <c r="W4" s="278" t="s">
        <v>740</v>
      </c>
      <c r="X4" s="278" t="s">
        <v>741</v>
      </c>
      <c r="Y4" s="278" t="s">
        <v>742</v>
      </c>
      <c r="Z4" s="278" t="s">
        <v>254</v>
      </c>
      <c r="AA4" s="278" t="s">
        <v>198</v>
      </c>
      <c r="AB4" s="278" t="s">
        <v>743</v>
      </c>
      <c r="AC4" s="278" t="s">
        <v>744</v>
      </c>
      <c r="AD4" s="278" t="s">
        <v>745</v>
      </c>
      <c r="AE4" s="278" t="s">
        <v>734</v>
      </c>
      <c r="AF4" s="278" t="s">
        <v>746</v>
      </c>
      <c r="AG4" s="271"/>
      <c r="AH4" s="271"/>
      <c r="AI4" s="271"/>
      <c r="AJ4" s="271"/>
    </row>
    <row r="5" spans="1:36" ht="21" x14ac:dyDescent="0.3">
      <c r="A5" s="280" t="s">
        <v>943</v>
      </c>
      <c r="B5" s="281"/>
      <c r="C5" s="280">
        <f>SUBTOTAL(103,CAI_DMM_LF_LEGACY[Flt])</f>
        <v>3</v>
      </c>
      <c r="D5" s="280"/>
      <c r="E5" s="280">
        <f>SUBTOTAL(103,CAI_DMM_LF_LEGACY[Brd-Off])</f>
        <v>3</v>
      </c>
      <c r="F5" s="280"/>
      <c r="G5" s="282">
        <f>SUBTOTAL(101,CAI_DMM_LF_LEGACY[LF%])</f>
        <v>0.54483333333333339</v>
      </c>
      <c r="H5" s="283">
        <f>SUBTOTAL(109,CAI_DMM_LF_LEGACY[CAP])</f>
        <v>548</v>
      </c>
      <c r="I5" s="283">
        <f>SUBTOTAL(109,CAI_DMM_LF_LEGACY[BKG(Y)])</f>
        <v>298</v>
      </c>
      <c r="J5" s="283">
        <f>SUBTOTAL(109,CAI_DMM_LF_LEGACY[GRP(Y)])</f>
        <v>0</v>
      </c>
      <c r="K5" s="280"/>
      <c r="L5" s="281"/>
      <c r="M5" s="283">
        <f>SUBTOTAL(109,CAI_DMM_LF_LEGACY[TO-DAY])</f>
        <v>2</v>
      </c>
      <c r="N5" s="283">
        <f>SUBTOTAL(109,CAI_DMM_LF_LEGACY[Y-DAY])</f>
        <v>27</v>
      </c>
      <c r="O5" s="283">
        <f>SUBTOTAL(109,CAI_DMM_LF_LEGACY[WEEKLY])</f>
        <v>133</v>
      </c>
      <c r="P5" s="284"/>
      <c r="Q5" s="283">
        <f>SUBTOTAL(109,CAI_DMM_LF_LEGACY[Y])</f>
        <v>0</v>
      </c>
      <c r="R5" s="283">
        <f>SUBTOTAL(109,CAI_DMM_LF_LEGACY[B])</f>
        <v>0</v>
      </c>
      <c r="S5" s="283">
        <f>SUBTOTAL(109,CAI_DMM_LF_LEGACY[M])</f>
        <v>0</v>
      </c>
      <c r="T5" s="283">
        <f>SUBTOTAL(109,CAI_DMM_LF_LEGACY[H])</f>
        <v>0</v>
      </c>
      <c r="U5" s="283">
        <f>SUBTOTAL(109,CAI_DMM_LF_LEGACY[Q])</f>
        <v>0</v>
      </c>
      <c r="V5" s="283">
        <f>SUBTOTAL(109,CAI_DMM_LF_LEGACY[K])</f>
        <v>0</v>
      </c>
      <c r="W5" s="283">
        <f>SUBTOTAL(109,CAI_DMM_LF_LEGACY[V])</f>
        <v>0</v>
      </c>
      <c r="X5" s="283">
        <f>SUBTOTAL(109,CAI_DMM_LF_LEGACY[L])</f>
        <v>0</v>
      </c>
      <c r="Y5" s="283">
        <f>SUBTOTAL(109,CAI_DMM_LF_LEGACY[G])</f>
        <v>0</v>
      </c>
      <c r="Z5" s="283">
        <f>SUBTOTAL(109,CAI_DMM_LF_LEGACY[S])</f>
        <v>0</v>
      </c>
      <c r="AA5" s="283">
        <f>SUBTOTAL(109,CAI_DMM_LF_LEGACY[W])</f>
        <v>0</v>
      </c>
      <c r="AB5" s="283">
        <f>SUBTOTAL(109,CAI_DMM_LF_LEGACY[T])</f>
        <v>0</v>
      </c>
      <c r="AC5" s="283">
        <f>SUBTOTAL(109,CAI_DMM_LF_LEGACY[X])</f>
        <v>0</v>
      </c>
      <c r="AD5" s="283">
        <f>SUBTOTAL(109,CAI_DMM_LF_LEGACY[U])</f>
        <v>0</v>
      </c>
      <c r="AE5" s="283">
        <f>SUBTOTAL(109,CAI_DMM_LF_LEGACY[O])</f>
        <v>0</v>
      </c>
      <c r="AF5" s="283">
        <f>SUBTOTAL(109,CAI_DMM_LF_LEGACY[I])</f>
        <v>0</v>
      </c>
      <c r="AG5" s="283">
        <f>SUBTOTAL(109,CAI_DMM_LF_LEGACY[E])</f>
        <v>0</v>
      </c>
      <c r="AH5" s="283">
        <f>SUBTOTAL(109,CAI_DMM_LF_LEGACY[A])</f>
        <v>0</v>
      </c>
      <c r="AI5" s="283">
        <f>SUBTOTAL(109,CAI_DMM_LF_LEGACY[P])</f>
        <v>0</v>
      </c>
      <c r="AJ5" s="283">
        <f>SUBTOTAL(103,CAI_DMM_LF_LEGACY[N])</f>
        <v>0</v>
      </c>
    </row>
  </sheetData>
  <pageMargins left="0.75" right="0.75" top="1" bottom="1" header="0.5" footer="0.5"/>
  <tableParts count="1">
    <tablePart r:id="rId1"/>
  </tableParts>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4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3.441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36</v>
      </c>
      <c r="C2" s="61" t="s">
        <v>688</v>
      </c>
      <c r="D2" s="60" t="s">
        <v>687</v>
      </c>
      <c r="E2" s="60" t="s">
        <v>193</v>
      </c>
      <c r="F2" s="60" t="s">
        <v>38</v>
      </c>
      <c r="G2" s="62">
        <v>1</v>
      </c>
      <c r="H2" s="63" t="s">
        <v>689</v>
      </c>
    </row>
    <row r="3" spans="1:8" ht="19.8" customHeight="1" x14ac:dyDescent="0.3">
      <c r="A3" s="59" t="s">
        <v>152</v>
      </c>
      <c r="B3" s="60" t="s">
        <v>26</v>
      </c>
      <c r="C3" s="61" t="s">
        <v>693</v>
      </c>
      <c r="D3" s="60" t="s">
        <v>687</v>
      </c>
      <c r="E3" s="60" t="s">
        <v>747</v>
      </c>
      <c r="F3" s="60" t="s">
        <v>28</v>
      </c>
      <c r="G3" s="62">
        <v>6</v>
      </c>
      <c r="H3" s="63" t="s">
        <v>694</v>
      </c>
    </row>
    <row r="4" spans="1:8" ht="19.8" customHeight="1" x14ac:dyDescent="0.3">
      <c r="A4" s="59" t="s">
        <v>152</v>
      </c>
      <c r="B4" s="60" t="s">
        <v>36</v>
      </c>
      <c r="C4" s="61" t="s">
        <v>691</v>
      </c>
      <c r="D4" s="60" t="s">
        <v>687</v>
      </c>
      <c r="E4" s="60" t="s">
        <v>748</v>
      </c>
      <c r="F4" s="60" t="s">
        <v>38</v>
      </c>
      <c r="G4" s="62">
        <v>6</v>
      </c>
      <c r="H4" s="63" t="s">
        <v>629</v>
      </c>
    </row>
    <row r="5" spans="1:8" ht="19.8" customHeight="1" x14ac:dyDescent="0.3">
      <c r="A5" s="59" t="s">
        <v>152</v>
      </c>
      <c r="B5" s="60" t="s">
        <v>36</v>
      </c>
      <c r="C5" s="61" t="s">
        <v>688</v>
      </c>
      <c r="D5" s="60" t="s">
        <v>687</v>
      </c>
      <c r="E5" s="60" t="s">
        <v>193</v>
      </c>
      <c r="F5" s="60" t="s">
        <v>41</v>
      </c>
      <c r="G5" s="62">
        <v>1</v>
      </c>
      <c r="H5" s="63" t="s">
        <v>690</v>
      </c>
    </row>
    <row r="6" spans="1:8" ht="19.8" customHeight="1" x14ac:dyDescent="0.3">
      <c r="A6" s="59" t="s">
        <v>152</v>
      </c>
      <c r="B6" s="60" t="s">
        <v>36</v>
      </c>
      <c r="C6" s="61" t="s">
        <v>691</v>
      </c>
      <c r="D6" s="60" t="s">
        <v>687</v>
      </c>
      <c r="E6" s="60" t="s">
        <v>748</v>
      </c>
      <c r="F6" s="60" t="s">
        <v>41</v>
      </c>
      <c r="G6" s="62">
        <v>6</v>
      </c>
      <c r="H6" s="63" t="s">
        <v>93</v>
      </c>
    </row>
    <row r="7" spans="1:8" ht="19.8" customHeight="1" x14ac:dyDescent="0.3">
      <c r="A7" s="59" t="s">
        <v>152</v>
      </c>
      <c r="B7" s="60" t="s">
        <v>239</v>
      </c>
      <c r="C7" s="61" t="s">
        <v>697</v>
      </c>
      <c r="D7" s="60" t="s">
        <v>687</v>
      </c>
      <c r="E7" s="60" t="s">
        <v>498</v>
      </c>
      <c r="F7" s="60" t="s">
        <v>100</v>
      </c>
      <c r="G7" s="62">
        <v>9</v>
      </c>
      <c r="H7" s="63" t="s">
        <v>698</v>
      </c>
    </row>
    <row r="8" spans="1:8" ht="19.8" customHeight="1" x14ac:dyDescent="0.3">
      <c r="A8" s="59" t="s">
        <v>152</v>
      </c>
      <c r="B8" s="60" t="s">
        <v>26</v>
      </c>
      <c r="C8" s="61" t="s">
        <v>693</v>
      </c>
      <c r="D8" s="60" t="s">
        <v>687</v>
      </c>
      <c r="E8" s="60" t="s">
        <v>747</v>
      </c>
      <c r="F8" s="60" t="s">
        <v>31</v>
      </c>
      <c r="G8" s="62">
        <v>6</v>
      </c>
      <c r="H8" s="63" t="s">
        <v>695</v>
      </c>
    </row>
    <row r="9" spans="1:8" ht="19.8" customHeight="1" x14ac:dyDescent="0.3">
      <c r="A9" s="59" t="s">
        <v>152</v>
      </c>
      <c r="B9" s="60" t="s">
        <v>68</v>
      </c>
      <c r="C9" s="61" t="s">
        <v>701</v>
      </c>
      <c r="D9" s="60" t="s">
        <v>687</v>
      </c>
      <c r="E9" s="60" t="s">
        <v>193</v>
      </c>
      <c r="F9" s="60" t="s">
        <v>70</v>
      </c>
      <c r="G9" s="62">
        <v>9</v>
      </c>
      <c r="H9" s="63" t="s">
        <v>702</v>
      </c>
    </row>
    <row r="10" spans="1:8" ht="19.8" customHeight="1" x14ac:dyDescent="0.3">
      <c r="A10" s="59" t="s">
        <v>152</v>
      </c>
      <c r="B10" s="60" t="s">
        <v>36</v>
      </c>
      <c r="C10" s="61" t="s">
        <v>688</v>
      </c>
      <c r="D10" s="60" t="s">
        <v>687</v>
      </c>
      <c r="E10" s="60" t="s">
        <v>193</v>
      </c>
      <c r="F10" s="60" t="s">
        <v>44</v>
      </c>
      <c r="G10" s="62">
        <v>1</v>
      </c>
      <c r="H10" s="63" t="s">
        <v>40</v>
      </c>
    </row>
    <row r="11" spans="1:8" ht="19.8" customHeight="1" x14ac:dyDescent="0.3">
      <c r="A11" s="59" t="s">
        <v>152</v>
      </c>
      <c r="B11" s="60" t="s">
        <v>239</v>
      </c>
      <c r="C11" s="61" t="s">
        <v>699</v>
      </c>
      <c r="D11" s="60" t="s">
        <v>687</v>
      </c>
      <c r="E11" s="60" t="s">
        <v>749</v>
      </c>
      <c r="F11" s="60" t="s">
        <v>100</v>
      </c>
      <c r="G11" s="62">
        <v>9</v>
      </c>
      <c r="H11" s="63" t="s">
        <v>700</v>
      </c>
    </row>
    <row r="12" spans="1:8" ht="19.8" customHeight="1" x14ac:dyDescent="0.3">
      <c r="A12" s="59" t="s">
        <v>152</v>
      </c>
      <c r="B12" s="60" t="s">
        <v>36</v>
      </c>
      <c r="C12" s="61" t="s">
        <v>691</v>
      </c>
      <c r="D12" s="60" t="s">
        <v>687</v>
      </c>
      <c r="E12" s="60" t="s">
        <v>748</v>
      </c>
      <c r="F12" s="60" t="s">
        <v>44</v>
      </c>
      <c r="G12" s="62">
        <v>6</v>
      </c>
      <c r="H12" s="63" t="s">
        <v>692</v>
      </c>
    </row>
    <row r="13" spans="1:8" ht="19.8" customHeight="1" x14ac:dyDescent="0.3">
      <c r="A13" s="99" t="s">
        <v>152</v>
      </c>
      <c r="B13" s="77" t="s">
        <v>73</v>
      </c>
      <c r="C13" s="78" t="s">
        <v>707</v>
      </c>
      <c r="D13" s="77" t="s">
        <v>687</v>
      </c>
      <c r="E13" s="77" t="s">
        <v>728</v>
      </c>
      <c r="F13" s="77" t="s">
        <v>100</v>
      </c>
      <c r="G13" s="80">
        <v>3</v>
      </c>
      <c r="H13" s="81" t="s">
        <v>215</v>
      </c>
    </row>
    <row r="14" spans="1:8" ht="19.8" customHeight="1" x14ac:dyDescent="0.3">
      <c r="A14" s="68">
        <v>45981</v>
      </c>
      <c r="B14" s="60" t="s">
        <v>68</v>
      </c>
      <c r="C14" s="61" t="s">
        <v>703</v>
      </c>
      <c r="D14" s="60" t="s">
        <v>687</v>
      </c>
      <c r="E14" s="69">
        <v>1.979166666666667</v>
      </c>
      <c r="F14" s="60" t="s">
        <v>70</v>
      </c>
      <c r="G14" s="62">
        <v>9</v>
      </c>
      <c r="H14" s="63" t="s">
        <v>704</v>
      </c>
    </row>
    <row r="15" spans="1:8" ht="19.8" customHeight="1" x14ac:dyDescent="0.3">
      <c r="A15" s="68">
        <v>45981</v>
      </c>
      <c r="B15" s="60" t="s">
        <v>26</v>
      </c>
      <c r="C15" s="61" t="s">
        <v>693</v>
      </c>
      <c r="D15" s="60" t="s">
        <v>687</v>
      </c>
      <c r="E15" s="69">
        <v>1.447916666666667</v>
      </c>
      <c r="F15" s="60" t="s">
        <v>34</v>
      </c>
      <c r="G15" s="62">
        <v>6</v>
      </c>
      <c r="H15" s="63" t="s">
        <v>696</v>
      </c>
    </row>
    <row r="16" spans="1:8" ht="19.8" customHeight="1" x14ac:dyDescent="0.3">
      <c r="A16" s="68">
        <v>45981</v>
      </c>
      <c r="B16" s="60" t="s">
        <v>52</v>
      </c>
      <c r="C16" s="61" t="s">
        <v>710</v>
      </c>
      <c r="D16" s="60" t="s">
        <v>687</v>
      </c>
      <c r="E16" s="69">
        <v>1.447916666666667</v>
      </c>
      <c r="F16" s="60" t="s">
        <v>57</v>
      </c>
      <c r="G16" s="62">
        <v>4</v>
      </c>
      <c r="H16" s="63" t="s">
        <v>711</v>
      </c>
    </row>
    <row r="17" spans="1:8" ht="19.8" customHeight="1" x14ac:dyDescent="0.3">
      <c r="A17" s="70">
        <v>45981</v>
      </c>
      <c r="B17" s="71" t="s">
        <v>68</v>
      </c>
      <c r="C17" s="72" t="s">
        <v>705</v>
      </c>
      <c r="D17" s="71" t="s">
        <v>687</v>
      </c>
      <c r="E17" s="73">
        <v>1.677083333333333</v>
      </c>
      <c r="F17" s="71" t="s">
        <v>70</v>
      </c>
      <c r="G17" s="74">
        <v>9</v>
      </c>
      <c r="H17" s="75" t="s">
        <v>706</v>
      </c>
    </row>
    <row r="18" spans="1:8" ht="19.8" customHeight="1" x14ac:dyDescent="0.3">
      <c r="A18" s="68">
        <v>45982</v>
      </c>
      <c r="B18" s="60" t="s">
        <v>586</v>
      </c>
      <c r="C18" s="61" t="s">
        <v>712</v>
      </c>
      <c r="D18" s="60" t="s">
        <v>687</v>
      </c>
      <c r="E18" s="69">
        <v>1.006944444444444</v>
      </c>
      <c r="F18" s="60" t="s">
        <v>100</v>
      </c>
      <c r="G18" s="62">
        <v>2</v>
      </c>
      <c r="H18" s="63" t="s">
        <v>713</v>
      </c>
    </row>
    <row r="19" spans="1:8" ht="19.8" customHeight="1" x14ac:dyDescent="0.3">
      <c r="A19" s="68">
        <v>45982</v>
      </c>
      <c r="B19" s="60" t="s">
        <v>26</v>
      </c>
      <c r="C19" s="61" t="s">
        <v>693</v>
      </c>
      <c r="D19" s="60" t="s">
        <v>687</v>
      </c>
      <c r="E19" s="69">
        <v>1.447916666666667</v>
      </c>
      <c r="F19" s="60" t="s">
        <v>28</v>
      </c>
      <c r="G19" s="62">
        <v>3</v>
      </c>
      <c r="H19" s="63" t="s">
        <v>465</v>
      </c>
    </row>
    <row r="20" spans="1:8" ht="19.8" customHeight="1" x14ac:dyDescent="0.3">
      <c r="A20" s="68">
        <v>45982</v>
      </c>
      <c r="B20" s="60" t="s">
        <v>586</v>
      </c>
      <c r="C20" s="61" t="s">
        <v>714</v>
      </c>
      <c r="D20" s="60" t="s">
        <v>687</v>
      </c>
      <c r="E20" s="69">
        <v>1.9652777777777779</v>
      </c>
      <c r="F20" s="60" t="s">
        <v>100</v>
      </c>
      <c r="G20" s="62">
        <v>4</v>
      </c>
      <c r="H20" s="63" t="s">
        <v>715</v>
      </c>
    </row>
    <row r="21" spans="1:8" ht="19.8" customHeight="1" x14ac:dyDescent="0.3">
      <c r="A21" s="68">
        <v>45982</v>
      </c>
      <c r="B21" s="60" t="s">
        <v>36</v>
      </c>
      <c r="C21" s="61" t="s">
        <v>691</v>
      </c>
      <c r="D21" s="60" t="s">
        <v>687</v>
      </c>
      <c r="E21" s="69">
        <v>1.9722222222222221</v>
      </c>
      <c r="F21" s="60" t="s">
        <v>38</v>
      </c>
      <c r="G21" s="62">
        <v>7</v>
      </c>
      <c r="H21" s="63" t="s">
        <v>220</v>
      </c>
    </row>
    <row r="22" spans="1:8" ht="19.8" customHeight="1" x14ac:dyDescent="0.3">
      <c r="A22" s="68">
        <v>45982</v>
      </c>
      <c r="B22" s="60" t="s">
        <v>239</v>
      </c>
      <c r="C22" s="61" t="s">
        <v>717</v>
      </c>
      <c r="D22" s="60" t="s">
        <v>687</v>
      </c>
      <c r="E22" s="69">
        <v>1.805555555555556</v>
      </c>
      <c r="F22" s="60" t="s">
        <v>100</v>
      </c>
      <c r="G22" s="62">
        <v>9</v>
      </c>
      <c r="H22" s="63" t="s">
        <v>718</v>
      </c>
    </row>
    <row r="23" spans="1:8" ht="19.8" customHeight="1" x14ac:dyDescent="0.3">
      <c r="A23" s="68">
        <v>45982</v>
      </c>
      <c r="B23" s="60" t="s">
        <v>36</v>
      </c>
      <c r="C23" s="61" t="s">
        <v>691</v>
      </c>
      <c r="D23" s="60" t="s">
        <v>687</v>
      </c>
      <c r="E23" s="69">
        <v>1.9722222222222221</v>
      </c>
      <c r="F23" s="60" t="s">
        <v>41</v>
      </c>
      <c r="G23" s="62">
        <v>7</v>
      </c>
      <c r="H23" s="63" t="s">
        <v>636</v>
      </c>
    </row>
    <row r="24" spans="1:8" ht="19.8" customHeight="1" x14ac:dyDescent="0.3">
      <c r="A24" s="76">
        <v>45982</v>
      </c>
      <c r="B24" s="77" t="s">
        <v>73</v>
      </c>
      <c r="C24" s="78" t="s">
        <v>707</v>
      </c>
      <c r="D24" s="77" t="s">
        <v>687</v>
      </c>
      <c r="E24" s="79">
        <v>1.381944444444444</v>
      </c>
      <c r="F24" s="77" t="s">
        <v>100</v>
      </c>
      <c r="G24" s="80">
        <v>6</v>
      </c>
      <c r="H24" s="81" t="s">
        <v>215</v>
      </c>
    </row>
    <row r="25" spans="1:8" ht="19.8" customHeight="1" x14ac:dyDescent="0.3">
      <c r="A25" s="68">
        <v>45982</v>
      </c>
      <c r="B25" s="60" t="s">
        <v>26</v>
      </c>
      <c r="C25" s="61" t="s">
        <v>693</v>
      </c>
      <c r="D25" s="60" t="s">
        <v>687</v>
      </c>
      <c r="E25" s="69">
        <v>1.447916666666667</v>
      </c>
      <c r="F25" s="60" t="s">
        <v>31</v>
      </c>
      <c r="G25" s="62">
        <v>3</v>
      </c>
      <c r="H25" s="63" t="s">
        <v>635</v>
      </c>
    </row>
    <row r="26" spans="1:8" ht="19.8" customHeight="1" x14ac:dyDescent="0.3">
      <c r="A26" s="68">
        <v>45982</v>
      </c>
      <c r="B26" s="60" t="s">
        <v>36</v>
      </c>
      <c r="C26" s="61" t="s">
        <v>691</v>
      </c>
      <c r="D26" s="60" t="s">
        <v>687</v>
      </c>
      <c r="E26" s="69">
        <v>1.9722222222222221</v>
      </c>
      <c r="F26" s="60" t="s">
        <v>44</v>
      </c>
      <c r="G26" s="62">
        <v>7</v>
      </c>
      <c r="H26" s="63" t="s">
        <v>50</v>
      </c>
    </row>
    <row r="27" spans="1:8" ht="19.8" customHeight="1" x14ac:dyDescent="0.3">
      <c r="A27" s="68">
        <v>45982</v>
      </c>
      <c r="B27" s="60" t="s">
        <v>68</v>
      </c>
      <c r="C27" s="61" t="s">
        <v>701</v>
      </c>
      <c r="D27" s="60" t="s">
        <v>687</v>
      </c>
      <c r="E27" s="69">
        <v>1.336805555555556</v>
      </c>
      <c r="F27" s="60" t="s">
        <v>70</v>
      </c>
      <c r="G27" s="62">
        <v>9</v>
      </c>
      <c r="H27" s="63" t="s">
        <v>706</v>
      </c>
    </row>
    <row r="28" spans="1:8" ht="19.8" customHeight="1" x14ac:dyDescent="0.3">
      <c r="A28" s="68">
        <v>45982</v>
      </c>
      <c r="B28" s="60" t="s">
        <v>68</v>
      </c>
      <c r="C28" s="61" t="s">
        <v>703</v>
      </c>
      <c r="D28" s="60" t="s">
        <v>687</v>
      </c>
      <c r="E28" s="69">
        <v>1.979166666666667</v>
      </c>
      <c r="F28" s="60" t="s">
        <v>70</v>
      </c>
      <c r="G28" s="62">
        <v>9</v>
      </c>
      <c r="H28" s="63" t="s">
        <v>706</v>
      </c>
    </row>
    <row r="29" spans="1:8" ht="19.8" customHeight="1" x14ac:dyDescent="0.3">
      <c r="A29" s="68">
        <v>45982</v>
      </c>
      <c r="B29" s="60" t="s">
        <v>52</v>
      </c>
      <c r="C29" s="61" t="s">
        <v>710</v>
      </c>
      <c r="D29" s="60" t="s">
        <v>687</v>
      </c>
      <c r="E29" s="69">
        <v>1.447916666666667</v>
      </c>
      <c r="F29" s="60" t="s">
        <v>57</v>
      </c>
      <c r="G29" s="62">
        <v>4</v>
      </c>
      <c r="H29" s="63" t="s">
        <v>648</v>
      </c>
    </row>
    <row r="30" spans="1:8" ht="19.8" customHeight="1" x14ac:dyDescent="0.3">
      <c r="A30" s="68">
        <v>45982</v>
      </c>
      <c r="B30" s="60" t="s">
        <v>26</v>
      </c>
      <c r="C30" s="61" t="s">
        <v>693</v>
      </c>
      <c r="D30" s="60" t="s">
        <v>687</v>
      </c>
      <c r="E30" s="69">
        <v>1.447916666666667</v>
      </c>
      <c r="F30" s="60" t="s">
        <v>34</v>
      </c>
      <c r="G30" s="62">
        <v>3</v>
      </c>
      <c r="H30" s="63" t="s">
        <v>716</v>
      </c>
    </row>
    <row r="31" spans="1:8" ht="19.8" customHeight="1" x14ac:dyDescent="0.3">
      <c r="A31" s="70">
        <v>45982</v>
      </c>
      <c r="B31" s="71" t="s">
        <v>68</v>
      </c>
      <c r="C31" s="72" t="s">
        <v>705</v>
      </c>
      <c r="D31" s="71" t="s">
        <v>687</v>
      </c>
      <c r="E31" s="73">
        <v>1.6736111111111109</v>
      </c>
      <c r="F31" s="71" t="s">
        <v>70</v>
      </c>
      <c r="G31" s="74">
        <v>7</v>
      </c>
      <c r="H31" s="75" t="s">
        <v>721</v>
      </c>
    </row>
    <row r="32" spans="1:8" ht="19.8" customHeight="1" x14ac:dyDescent="0.3">
      <c r="A32" s="68">
        <v>45983</v>
      </c>
      <c r="B32" s="60" t="s">
        <v>26</v>
      </c>
      <c r="C32" s="61" t="s">
        <v>693</v>
      </c>
      <c r="D32" s="60" t="s">
        <v>687</v>
      </c>
      <c r="E32" s="69">
        <v>1.447916666666667</v>
      </c>
      <c r="F32" s="60" t="s">
        <v>28</v>
      </c>
      <c r="G32" s="62">
        <v>1</v>
      </c>
      <c r="H32" s="63" t="s">
        <v>465</v>
      </c>
    </row>
    <row r="33" spans="1:8" ht="19.8" customHeight="1" x14ac:dyDescent="0.3">
      <c r="A33" s="68">
        <v>45983</v>
      </c>
      <c r="B33" s="60" t="s">
        <v>36</v>
      </c>
      <c r="C33" s="61" t="s">
        <v>688</v>
      </c>
      <c r="D33" s="60" t="s">
        <v>687</v>
      </c>
      <c r="E33" s="69">
        <v>1.336805555555556</v>
      </c>
      <c r="F33" s="60" t="s">
        <v>38</v>
      </c>
      <c r="G33" s="62">
        <v>9</v>
      </c>
      <c r="H33" s="63" t="s">
        <v>220</v>
      </c>
    </row>
    <row r="34" spans="1:8" ht="19.8" customHeight="1" x14ac:dyDescent="0.3">
      <c r="A34" s="68">
        <v>45983</v>
      </c>
      <c r="B34" s="60" t="s">
        <v>36</v>
      </c>
      <c r="C34" s="61" t="s">
        <v>688</v>
      </c>
      <c r="D34" s="60" t="s">
        <v>687</v>
      </c>
      <c r="E34" s="69">
        <v>1.336805555555556</v>
      </c>
      <c r="F34" s="60" t="s">
        <v>41</v>
      </c>
      <c r="G34" s="62">
        <v>9</v>
      </c>
      <c r="H34" s="63" t="s">
        <v>636</v>
      </c>
    </row>
    <row r="35" spans="1:8" ht="19.8" customHeight="1" x14ac:dyDescent="0.3">
      <c r="A35" s="76">
        <v>45983</v>
      </c>
      <c r="B35" s="77" t="s">
        <v>73</v>
      </c>
      <c r="C35" s="78" t="s">
        <v>707</v>
      </c>
      <c r="D35" s="77" t="s">
        <v>687</v>
      </c>
      <c r="E35" s="79">
        <v>1.7222222222222221</v>
      </c>
      <c r="F35" s="77" t="s">
        <v>100</v>
      </c>
      <c r="G35" s="80">
        <v>1</v>
      </c>
      <c r="H35" s="81" t="s">
        <v>215</v>
      </c>
    </row>
    <row r="36" spans="1:8" ht="19.8" customHeight="1" x14ac:dyDescent="0.3">
      <c r="A36" s="68">
        <v>45983</v>
      </c>
      <c r="B36" s="60" t="s">
        <v>26</v>
      </c>
      <c r="C36" s="61" t="s">
        <v>693</v>
      </c>
      <c r="D36" s="60" t="s">
        <v>687</v>
      </c>
      <c r="E36" s="69">
        <v>1.447916666666667</v>
      </c>
      <c r="F36" s="60" t="s">
        <v>31</v>
      </c>
      <c r="G36" s="62">
        <v>1</v>
      </c>
      <c r="H36" s="63" t="s">
        <v>635</v>
      </c>
    </row>
    <row r="37" spans="1:8" ht="19.8" customHeight="1" x14ac:dyDescent="0.3">
      <c r="A37" s="68">
        <v>45983</v>
      </c>
      <c r="B37" s="60" t="s">
        <v>36</v>
      </c>
      <c r="C37" s="61" t="s">
        <v>688</v>
      </c>
      <c r="D37" s="60" t="s">
        <v>687</v>
      </c>
      <c r="E37" s="69">
        <v>1.336805555555556</v>
      </c>
      <c r="F37" s="60" t="s">
        <v>44</v>
      </c>
      <c r="G37" s="62">
        <v>9</v>
      </c>
      <c r="H37" s="63" t="s">
        <v>50</v>
      </c>
    </row>
    <row r="38" spans="1:8" ht="19.8" customHeight="1" x14ac:dyDescent="0.3">
      <c r="A38" s="68">
        <v>45983</v>
      </c>
      <c r="B38" s="60" t="s">
        <v>239</v>
      </c>
      <c r="C38" s="61" t="s">
        <v>699</v>
      </c>
      <c r="D38" s="60" t="s">
        <v>687</v>
      </c>
      <c r="E38" s="69">
        <v>1.694444444444444</v>
      </c>
      <c r="F38" s="60" t="s">
        <v>100</v>
      </c>
      <c r="G38" s="62">
        <v>9</v>
      </c>
      <c r="H38" s="63" t="s">
        <v>331</v>
      </c>
    </row>
    <row r="39" spans="1:8" ht="19.8" customHeight="1" x14ac:dyDescent="0.3">
      <c r="A39" s="68">
        <v>45983</v>
      </c>
      <c r="B39" s="60" t="s">
        <v>36</v>
      </c>
      <c r="C39" s="61" t="s">
        <v>691</v>
      </c>
      <c r="D39" s="60" t="s">
        <v>687</v>
      </c>
      <c r="E39" s="69">
        <v>1.9722222222222221</v>
      </c>
      <c r="F39" s="60" t="s">
        <v>38</v>
      </c>
      <c r="G39" s="62">
        <v>1</v>
      </c>
      <c r="H39" s="63" t="s">
        <v>331</v>
      </c>
    </row>
    <row r="40" spans="1:8" ht="19.8" customHeight="1" x14ac:dyDescent="0.3">
      <c r="A40" s="68">
        <v>45983</v>
      </c>
      <c r="B40" s="60" t="s">
        <v>266</v>
      </c>
      <c r="C40" s="61" t="s">
        <v>724</v>
      </c>
      <c r="D40" s="60" t="s">
        <v>687</v>
      </c>
      <c r="E40" s="69">
        <v>1.7847222222222221</v>
      </c>
      <c r="F40" s="60" t="s">
        <v>268</v>
      </c>
      <c r="G40" s="62">
        <v>2</v>
      </c>
      <c r="H40" s="63" t="s">
        <v>725</v>
      </c>
    </row>
    <row r="41" spans="1:8" ht="19.8" customHeight="1" x14ac:dyDescent="0.3">
      <c r="A41" s="68">
        <v>45983</v>
      </c>
      <c r="B41" s="60" t="s">
        <v>36</v>
      </c>
      <c r="C41" s="61" t="s">
        <v>691</v>
      </c>
      <c r="D41" s="60" t="s">
        <v>687</v>
      </c>
      <c r="E41" s="69">
        <v>1.9722222222222221</v>
      </c>
      <c r="F41" s="60" t="s">
        <v>41</v>
      </c>
      <c r="G41" s="62">
        <v>1</v>
      </c>
      <c r="H41" s="63" t="s">
        <v>35</v>
      </c>
    </row>
    <row r="42" spans="1:8" ht="19.8" customHeight="1" x14ac:dyDescent="0.3">
      <c r="A42" s="68">
        <v>45983</v>
      </c>
      <c r="B42" s="60" t="s">
        <v>36</v>
      </c>
      <c r="C42" s="61" t="s">
        <v>691</v>
      </c>
      <c r="D42" s="60" t="s">
        <v>687</v>
      </c>
      <c r="E42" s="69">
        <v>1.9722222222222221</v>
      </c>
      <c r="F42" s="60" t="s">
        <v>44</v>
      </c>
      <c r="G42" s="62">
        <v>1</v>
      </c>
      <c r="H42" s="63" t="s">
        <v>722</v>
      </c>
    </row>
    <row r="43" spans="1:8" ht="19.8" customHeight="1" x14ac:dyDescent="0.3">
      <c r="A43" s="68">
        <v>45983</v>
      </c>
      <c r="B43" s="60" t="s">
        <v>266</v>
      </c>
      <c r="C43" s="61" t="s">
        <v>724</v>
      </c>
      <c r="D43" s="60" t="s">
        <v>687</v>
      </c>
      <c r="E43" s="69">
        <v>1.7847222222222221</v>
      </c>
      <c r="F43" s="60" t="s">
        <v>34</v>
      </c>
      <c r="G43" s="62">
        <v>2</v>
      </c>
      <c r="H43" s="63" t="s">
        <v>726</v>
      </c>
    </row>
    <row r="44" spans="1:8" ht="19.8" customHeight="1" x14ac:dyDescent="0.3">
      <c r="A44" s="68">
        <v>45983</v>
      </c>
      <c r="B44" s="60" t="s">
        <v>68</v>
      </c>
      <c r="C44" s="61" t="s">
        <v>703</v>
      </c>
      <c r="D44" s="60" t="s">
        <v>687</v>
      </c>
      <c r="E44" s="69">
        <v>1.979166666666667</v>
      </c>
      <c r="F44" s="60" t="s">
        <v>70</v>
      </c>
      <c r="G44" s="62">
        <v>9</v>
      </c>
      <c r="H44" s="63" t="s">
        <v>727</v>
      </c>
    </row>
    <row r="45" spans="1:8" ht="19.8" customHeight="1" x14ac:dyDescent="0.3">
      <c r="A45" s="68">
        <v>45983</v>
      </c>
      <c r="B45" s="60" t="s">
        <v>52</v>
      </c>
      <c r="C45" s="61" t="s">
        <v>710</v>
      </c>
      <c r="D45" s="60" t="s">
        <v>687</v>
      </c>
      <c r="E45" s="69">
        <v>1.447916666666667</v>
      </c>
      <c r="F45" s="60" t="s">
        <v>57</v>
      </c>
      <c r="G45" s="62">
        <v>4</v>
      </c>
      <c r="H45" s="63" t="s">
        <v>648</v>
      </c>
    </row>
    <row r="46" spans="1:8" ht="19.8" customHeight="1" x14ac:dyDescent="0.3">
      <c r="A46" s="70">
        <v>45983</v>
      </c>
      <c r="B46" s="71" t="s">
        <v>26</v>
      </c>
      <c r="C46" s="72" t="s">
        <v>693</v>
      </c>
      <c r="D46" s="71" t="s">
        <v>687</v>
      </c>
      <c r="E46" s="73">
        <v>1.447916666666667</v>
      </c>
      <c r="F46" s="71" t="s">
        <v>34</v>
      </c>
      <c r="G46" s="74">
        <v>1</v>
      </c>
      <c r="H46" s="75" t="s">
        <v>716</v>
      </c>
    </row>
  </sheetData>
  <pageMargins left="0.75" right="0.75" top="1" bottom="1" header="0.5" footer="0.5"/>
  <legacyDrawing r:id="rId1"/>
  <tableParts count="1">
    <tablePart r:id="rId2"/>
  </tableParts>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93.441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64" t="s">
        <v>152</v>
      </c>
      <c r="B2" s="65" t="s">
        <v>73</v>
      </c>
      <c r="C2" s="66" t="s">
        <v>707</v>
      </c>
      <c r="D2" s="65" t="s">
        <v>687</v>
      </c>
      <c r="E2" s="65" t="s">
        <v>728</v>
      </c>
      <c r="F2" s="65" t="s">
        <v>100</v>
      </c>
      <c r="G2" s="84">
        <v>3</v>
      </c>
      <c r="H2" s="67" t="s">
        <v>215</v>
      </c>
    </row>
    <row r="3" spans="1:8" ht="19.8" customHeight="1" x14ac:dyDescent="0.3">
      <c r="A3" s="82">
        <v>45982</v>
      </c>
      <c r="B3" s="65" t="s">
        <v>73</v>
      </c>
      <c r="C3" s="66" t="s">
        <v>707</v>
      </c>
      <c r="D3" s="65" t="s">
        <v>687</v>
      </c>
      <c r="E3" s="83">
        <v>1.381944444444444</v>
      </c>
      <c r="F3" s="65" t="s">
        <v>100</v>
      </c>
      <c r="G3" s="84">
        <v>6</v>
      </c>
      <c r="H3" s="67" t="s">
        <v>215</v>
      </c>
    </row>
    <row r="4" spans="1:8" ht="19.8" customHeight="1" x14ac:dyDescent="0.3">
      <c r="A4" s="82">
        <v>45983</v>
      </c>
      <c r="B4" s="65" t="s">
        <v>73</v>
      </c>
      <c r="C4" s="66" t="s">
        <v>707</v>
      </c>
      <c r="D4" s="65" t="s">
        <v>687</v>
      </c>
      <c r="E4" s="83">
        <v>1.7222222222222221</v>
      </c>
      <c r="F4" s="65" t="s">
        <v>100</v>
      </c>
      <c r="G4" s="84">
        <v>1</v>
      </c>
      <c r="H4" s="67" t="s">
        <v>215</v>
      </c>
    </row>
  </sheetData>
  <pageMargins left="0.75" right="0.75" top="1" bottom="1" header="0.5" footer="0.5"/>
  <legacyDrawing r:id="rId1"/>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N19"/>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67" bestFit="1" customWidth="1"/>
  </cols>
  <sheetData>
    <row r="1" spans="1:92" ht="28.8" customHeight="1" x14ac:dyDescent="0.3">
      <c r="A1" s="261" t="s">
        <v>0</v>
      </c>
      <c r="B1" s="254"/>
      <c r="C1" s="254"/>
      <c r="D1" s="254"/>
      <c r="E1" s="254"/>
      <c r="F1" s="1" t="s">
        <v>750</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45980.430487780672</v>
      </c>
      <c r="H2" s="254"/>
      <c r="I2" s="254"/>
      <c r="J2" s="254"/>
      <c r="K2" s="263">
        <v>45980.430487780941</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45982</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87" t="s">
        <v>73</v>
      </c>
      <c r="B6" s="187" t="s">
        <v>751</v>
      </c>
      <c r="C6" s="188">
        <v>7.2916666666666671E-2</v>
      </c>
      <c r="D6" s="187" t="s">
        <v>75</v>
      </c>
      <c r="E6" s="204"/>
      <c r="F6" s="187" t="s">
        <v>76</v>
      </c>
      <c r="G6" s="256"/>
      <c r="H6" s="152" t="s">
        <v>751</v>
      </c>
      <c r="I6" s="189">
        <v>0.98329999999999995</v>
      </c>
      <c r="J6" s="154">
        <v>177</v>
      </c>
      <c r="K6" s="155" t="s">
        <v>253</v>
      </c>
      <c r="L6" s="154">
        <v>25</v>
      </c>
      <c r="M6" s="154">
        <v>4</v>
      </c>
      <c r="N6" s="154">
        <v>3</v>
      </c>
      <c r="O6" s="156" t="s">
        <v>78</v>
      </c>
      <c r="P6" s="157">
        <v>7.2916666666666671E-2</v>
      </c>
      <c r="Q6" s="154">
        <v>180</v>
      </c>
      <c r="R6" s="158" t="s">
        <v>752</v>
      </c>
    </row>
    <row r="7" spans="1:92" ht="18" x14ac:dyDescent="0.3">
      <c r="A7" s="268" t="s">
        <v>753</v>
      </c>
      <c r="B7" s="269"/>
      <c r="C7" s="269"/>
      <c r="D7" s="269"/>
      <c r="E7" s="269"/>
      <c r="F7" s="270"/>
      <c r="G7" s="257"/>
      <c r="H7" s="94"/>
      <c r="I7" s="94"/>
      <c r="J7" s="94"/>
      <c r="K7" s="94"/>
      <c r="L7" s="94"/>
      <c r="M7" s="94"/>
      <c r="N7" s="94"/>
      <c r="O7" s="95"/>
      <c r="P7" s="94"/>
      <c r="Q7" s="55"/>
      <c r="R7" s="55"/>
    </row>
    <row r="8" spans="1:92" ht="15" customHeight="1" x14ac:dyDescent="0.3">
      <c r="A8" s="19" t="s">
        <v>586</v>
      </c>
      <c r="B8" s="19" t="s">
        <v>712</v>
      </c>
      <c r="C8" s="20" t="s">
        <v>754</v>
      </c>
      <c r="D8" s="19" t="s">
        <v>100</v>
      </c>
      <c r="E8" s="19" t="s">
        <v>454</v>
      </c>
      <c r="F8" s="19" t="s">
        <v>713</v>
      </c>
      <c r="G8" s="257"/>
      <c r="H8" s="94"/>
      <c r="I8" s="94"/>
      <c r="J8" s="94"/>
      <c r="K8" s="94"/>
      <c r="L8" s="94"/>
      <c r="M8" s="94"/>
      <c r="N8" s="94"/>
      <c r="O8" s="95"/>
      <c r="P8" s="94"/>
      <c r="Q8" s="55"/>
      <c r="R8" s="55"/>
    </row>
    <row r="9" spans="1:92" ht="15" customHeight="1" x14ac:dyDescent="0.3">
      <c r="A9" s="19" t="s">
        <v>26</v>
      </c>
      <c r="B9" s="19" t="s">
        <v>693</v>
      </c>
      <c r="C9" s="20" t="s">
        <v>747</v>
      </c>
      <c r="D9" s="19" t="s">
        <v>28</v>
      </c>
      <c r="E9" s="19" t="s">
        <v>482</v>
      </c>
      <c r="F9" s="19" t="s">
        <v>465</v>
      </c>
      <c r="G9" s="257"/>
      <c r="H9" s="94"/>
      <c r="I9" s="94"/>
      <c r="J9" s="94"/>
      <c r="K9" s="94"/>
      <c r="L9" s="94"/>
      <c r="M9" s="94"/>
      <c r="N9" s="94"/>
      <c r="O9" s="95"/>
      <c r="P9" s="94"/>
      <c r="Q9" s="55"/>
      <c r="R9" s="55"/>
    </row>
    <row r="10" spans="1:92" ht="15" customHeight="1" x14ac:dyDescent="0.3">
      <c r="A10" s="19" t="s">
        <v>586</v>
      </c>
      <c r="B10" s="19" t="s">
        <v>714</v>
      </c>
      <c r="C10" s="20" t="s">
        <v>755</v>
      </c>
      <c r="D10" s="19" t="s">
        <v>100</v>
      </c>
      <c r="E10" s="19" t="s">
        <v>192</v>
      </c>
      <c r="F10" s="19" t="s">
        <v>715</v>
      </c>
      <c r="G10" s="257"/>
      <c r="H10" s="94"/>
      <c r="I10" s="94"/>
      <c r="J10" s="94"/>
      <c r="K10" s="94"/>
      <c r="L10" s="94"/>
      <c r="M10" s="94"/>
      <c r="N10" s="94"/>
      <c r="O10" s="95"/>
      <c r="P10" s="94"/>
      <c r="Q10" s="55"/>
      <c r="R10" s="55"/>
    </row>
    <row r="11" spans="1:92" ht="15" customHeight="1" x14ac:dyDescent="0.3">
      <c r="A11" s="19" t="s">
        <v>36</v>
      </c>
      <c r="B11" s="19" t="s">
        <v>691</v>
      </c>
      <c r="C11" s="20" t="s">
        <v>748</v>
      </c>
      <c r="D11" s="19" t="s">
        <v>38</v>
      </c>
      <c r="E11" s="19" t="s">
        <v>168</v>
      </c>
      <c r="F11" s="19" t="s">
        <v>220</v>
      </c>
      <c r="G11" s="257"/>
      <c r="H11" s="94"/>
      <c r="I11" s="94"/>
      <c r="J11" s="94"/>
      <c r="K11" s="94"/>
      <c r="L11" s="94"/>
      <c r="M11" s="94"/>
      <c r="N11" s="94"/>
      <c r="O11" s="95"/>
      <c r="P11" s="94"/>
      <c r="Q11" s="55"/>
      <c r="R11" s="55"/>
    </row>
    <row r="12" spans="1:92" ht="15" customHeight="1" x14ac:dyDescent="0.3">
      <c r="A12" s="19" t="s">
        <v>239</v>
      </c>
      <c r="B12" s="19" t="s">
        <v>717</v>
      </c>
      <c r="C12" s="20" t="s">
        <v>756</v>
      </c>
      <c r="D12" s="19" t="s">
        <v>100</v>
      </c>
      <c r="E12" s="19" t="s">
        <v>171</v>
      </c>
      <c r="F12" s="19" t="s">
        <v>718</v>
      </c>
      <c r="G12" s="257"/>
      <c r="H12" s="94"/>
      <c r="I12" s="94"/>
      <c r="J12" s="94"/>
      <c r="K12" s="94"/>
      <c r="L12" s="94"/>
      <c r="M12" s="94"/>
      <c r="N12" s="94"/>
      <c r="O12" s="95"/>
      <c r="P12" s="94"/>
      <c r="Q12" s="55"/>
      <c r="R12" s="55"/>
    </row>
    <row r="13" spans="1:92" ht="15" customHeight="1" x14ac:dyDescent="0.3">
      <c r="A13" s="19" t="s">
        <v>36</v>
      </c>
      <c r="B13" s="19" t="s">
        <v>691</v>
      </c>
      <c r="C13" s="20" t="s">
        <v>748</v>
      </c>
      <c r="D13" s="19" t="s">
        <v>41</v>
      </c>
      <c r="E13" s="19" t="s">
        <v>168</v>
      </c>
      <c r="F13" s="19" t="s">
        <v>636</v>
      </c>
      <c r="G13" s="257"/>
      <c r="H13" s="94"/>
      <c r="I13" s="94"/>
      <c r="J13" s="94"/>
      <c r="K13" s="94"/>
      <c r="L13" s="94"/>
      <c r="M13" s="94"/>
      <c r="N13" s="94"/>
      <c r="O13" s="95"/>
      <c r="P13" s="94"/>
      <c r="Q13" s="55"/>
      <c r="R13" s="55"/>
    </row>
    <row r="14" spans="1:92" ht="15" customHeight="1" x14ac:dyDescent="0.3">
      <c r="A14" s="19" t="s">
        <v>73</v>
      </c>
      <c r="B14" s="19" t="s">
        <v>707</v>
      </c>
      <c r="C14" s="20" t="s">
        <v>136</v>
      </c>
      <c r="D14" s="19" t="s">
        <v>100</v>
      </c>
      <c r="E14" s="19" t="s">
        <v>170</v>
      </c>
      <c r="F14" s="19" t="s">
        <v>215</v>
      </c>
      <c r="G14" s="257"/>
      <c r="H14" s="94"/>
      <c r="I14" s="94"/>
      <c r="J14" s="94"/>
      <c r="K14" s="94"/>
      <c r="L14" s="94"/>
      <c r="M14" s="94"/>
      <c r="N14" s="94"/>
      <c r="O14" s="95"/>
      <c r="P14" s="94"/>
      <c r="Q14" s="55"/>
      <c r="R14" s="55"/>
    </row>
    <row r="15" spans="1:92" ht="15" customHeight="1" x14ac:dyDescent="0.3">
      <c r="A15" s="19" t="s">
        <v>26</v>
      </c>
      <c r="B15" s="19" t="s">
        <v>693</v>
      </c>
      <c r="C15" s="20" t="s">
        <v>747</v>
      </c>
      <c r="D15" s="19" t="s">
        <v>31</v>
      </c>
      <c r="E15" s="19" t="s">
        <v>482</v>
      </c>
      <c r="F15" s="19" t="s">
        <v>635</v>
      </c>
      <c r="G15" s="257"/>
      <c r="H15" s="94"/>
      <c r="I15" s="94"/>
      <c r="J15" s="94"/>
      <c r="K15" s="94"/>
      <c r="L15" s="94"/>
      <c r="M15" s="94"/>
      <c r="N15" s="94"/>
      <c r="O15" s="95"/>
      <c r="P15" s="94"/>
      <c r="Q15" s="55"/>
      <c r="R15" s="55"/>
    </row>
    <row r="16" spans="1:92" ht="15" customHeight="1" x14ac:dyDescent="0.3">
      <c r="A16" s="19" t="s">
        <v>36</v>
      </c>
      <c r="B16" s="19" t="s">
        <v>691</v>
      </c>
      <c r="C16" s="20" t="s">
        <v>748</v>
      </c>
      <c r="D16" s="19" t="s">
        <v>44</v>
      </c>
      <c r="E16" s="19" t="s">
        <v>168</v>
      </c>
      <c r="F16" s="19" t="s">
        <v>50</v>
      </c>
      <c r="G16" s="257"/>
      <c r="H16" s="94"/>
      <c r="I16" s="94"/>
      <c r="J16" s="94"/>
      <c r="K16" s="94"/>
      <c r="L16" s="94"/>
      <c r="M16" s="94"/>
      <c r="N16" s="94"/>
      <c r="O16" s="95"/>
      <c r="P16" s="94"/>
      <c r="Q16" s="55"/>
      <c r="R16" s="55"/>
    </row>
    <row r="17" spans="1:18" ht="15" customHeight="1" thickBot="1" x14ac:dyDescent="0.35">
      <c r="A17" s="39" t="s">
        <v>68</v>
      </c>
      <c r="B17" s="39" t="s">
        <v>701</v>
      </c>
      <c r="C17" s="40" t="s">
        <v>193</v>
      </c>
      <c r="D17" s="39" t="s">
        <v>70</v>
      </c>
      <c r="E17" s="39" t="s">
        <v>171</v>
      </c>
      <c r="F17" s="39" t="s">
        <v>706</v>
      </c>
      <c r="G17" s="258"/>
      <c r="H17" s="96"/>
      <c r="I17" s="96"/>
      <c r="J17" s="96"/>
      <c r="K17" s="96"/>
      <c r="L17" s="96"/>
      <c r="M17" s="96"/>
      <c r="N17" s="96"/>
      <c r="O17" s="97"/>
      <c r="P17" s="96"/>
      <c r="Q17" s="98"/>
      <c r="R17" s="98"/>
    </row>
    <row r="18" spans="1:18" ht="17.399999999999999" customHeight="1" thickBot="1" x14ac:dyDescent="0.35">
      <c r="A18" s="285"/>
      <c r="B18" s="286"/>
      <c r="C18" s="286"/>
      <c r="D18" s="286"/>
      <c r="E18" s="286"/>
      <c r="F18" s="286"/>
      <c r="G18" s="286"/>
      <c r="H18" s="286"/>
      <c r="I18" s="286"/>
      <c r="J18" s="286"/>
      <c r="K18" s="286"/>
      <c r="L18" s="286"/>
      <c r="M18" s="286"/>
      <c r="N18" s="286"/>
      <c r="O18" s="286"/>
      <c r="P18" s="286"/>
      <c r="Q18" s="286"/>
      <c r="R18" s="287"/>
    </row>
    <row r="19" spans="1:18" ht="15" thickTop="1" x14ac:dyDescent="0.3"/>
  </sheetData>
  <mergeCells count="12">
    <mergeCell ref="A18:R18"/>
    <mergeCell ref="N1:R1"/>
    <mergeCell ref="A2:F2"/>
    <mergeCell ref="A3:R3"/>
    <mergeCell ref="G6:G17"/>
    <mergeCell ref="H1:L1"/>
    <mergeCell ref="A1:E1"/>
    <mergeCell ref="G2:J2"/>
    <mergeCell ref="K2:R2"/>
    <mergeCell ref="A4:F4"/>
    <mergeCell ref="H4:R4"/>
    <mergeCell ref="A7:F7"/>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J3"/>
  <sheetViews>
    <sheetView workbookViewId="0"/>
  </sheetViews>
  <sheetFormatPr defaultRowHeight="15.6" outlineLevelCol="1" x14ac:dyDescent="0.3"/>
  <cols>
    <col min="1" max="1" width="6.88671875" style="272" bestFit="1" customWidth="1"/>
    <col min="2" max="2" width="10.44140625" style="272" bestFit="1" customWidth="1"/>
    <col min="3" max="3" width="6.77734375" style="272" bestFit="1" customWidth="1"/>
    <col min="4" max="4" width="5.5546875" style="272" bestFit="1" customWidth="1"/>
    <col min="5" max="5" width="9.4414062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2" width="3.88671875" style="272" bestFit="1" customWidth="1"/>
    <col min="23" max="23" width="4.33203125" style="272" bestFit="1" customWidth="1"/>
    <col min="24" max="24" width="4.109375" style="272" bestFit="1" customWidth="1"/>
    <col min="25" max="25" width="4.44140625" style="272" bestFit="1" customWidth="1"/>
    <col min="26" max="26" width="4.109375" style="272" bestFit="1" customWidth="1"/>
    <col min="27" max="27" width="5" style="272" bestFit="1" customWidth="1"/>
    <col min="28" max="29" width="4.21875" style="272" bestFit="1" customWidth="1"/>
    <col min="30" max="31" width="4.5546875" style="272" bestFit="1" customWidth="1"/>
    <col min="32"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390</v>
      </c>
      <c r="B2" s="274">
        <v>45982</v>
      </c>
      <c r="C2" s="275" t="s">
        <v>751</v>
      </c>
      <c r="D2" s="276" t="s">
        <v>757</v>
      </c>
      <c r="E2" s="275" t="s">
        <v>750</v>
      </c>
      <c r="F2" s="275" t="s">
        <v>137</v>
      </c>
      <c r="G2" s="277">
        <v>0.98329999999999995</v>
      </c>
      <c r="H2" s="278">
        <v>180</v>
      </c>
      <c r="I2" s="278">
        <v>177</v>
      </c>
      <c r="J2" s="278">
        <v>0</v>
      </c>
      <c r="K2" s="275" t="s">
        <v>138</v>
      </c>
      <c r="L2" s="279" t="s">
        <v>253</v>
      </c>
      <c r="M2" s="278">
        <v>4</v>
      </c>
      <c r="N2" s="278">
        <v>3</v>
      </c>
      <c r="O2" s="278">
        <v>25</v>
      </c>
      <c r="P2" s="275" t="s">
        <v>78</v>
      </c>
      <c r="Q2" s="278" t="s">
        <v>541</v>
      </c>
      <c r="R2" s="271"/>
      <c r="S2" s="271"/>
      <c r="T2" s="271"/>
      <c r="U2" s="271"/>
      <c r="V2" s="271"/>
      <c r="W2" s="278" t="s">
        <v>758</v>
      </c>
      <c r="X2" s="278" t="s">
        <v>759</v>
      </c>
      <c r="Y2" s="278" t="s">
        <v>760</v>
      </c>
      <c r="Z2" s="278" t="s">
        <v>761</v>
      </c>
      <c r="AA2" s="278" t="s">
        <v>762</v>
      </c>
      <c r="AB2" s="278" t="s">
        <v>763</v>
      </c>
      <c r="AC2" s="278" t="s">
        <v>764</v>
      </c>
      <c r="AD2" s="278" t="s">
        <v>765</v>
      </c>
      <c r="AE2" s="278" t="s">
        <v>766</v>
      </c>
      <c r="AF2" s="271"/>
      <c r="AG2" s="271"/>
      <c r="AH2" s="271"/>
      <c r="AI2" s="271"/>
      <c r="AJ2" s="271"/>
    </row>
    <row r="3" spans="1:36" ht="21" x14ac:dyDescent="0.3">
      <c r="A3" s="280" t="s">
        <v>943</v>
      </c>
      <c r="B3" s="281"/>
      <c r="C3" s="280">
        <f>SUBTOTAL(103,ATZ_DMM_LF_LEGACY[Flt])</f>
        <v>1</v>
      </c>
      <c r="D3" s="280"/>
      <c r="E3" s="280">
        <f>SUBTOTAL(103,ATZ_DMM_LF_LEGACY[Brd-Off])</f>
        <v>1</v>
      </c>
      <c r="F3" s="280"/>
      <c r="G3" s="282">
        <f>SUBTOTAL(101,ATZ_DMM_LF_LEGACY[LF%])</f>
        <v>0.98329999999999995</v>
      </c>
      <c r="H3" s="283">
        <f>SUBTOTAL(109,ATZ_DMM_LF_LEGACY[CAP])</f>
        <v>180</v>
      </c>
      <c r="I3" s="283">
        <f>SUBTOTAL(109,ATZ_DMM_LF_LEGACY[BKG(Y)])</f>
        <v>177</v>
      </c>
      <c r="J3" s="283">
        <f>SUBTOTAL(109,ATZ_DMM_LF_LEGACY[GRP(Y)])</f>
        <v>0</v>
      </c>
      <c r="K3" s="280"/>
      <c r="L3" s="281"/>
      <c r="M3" s="283">
        <f>SUBTOTAL(109,ATZ_DMM_LF_LEGACY[TO-DAY])</f>
        <v>4</v>
      </c>
      <c r="N3" s="283">
        <f>SUBTOTAL(109,ATZ_DMM_LF_LEGACY[Y-DAY])</f>
        <v>3</v>
      </c>
      <c r="O3" s="283">
        <f>SUBTOTAL(109,ATZ_DMM_LF_LEGACY[WEEKLY])</f>
        <v>25</v>
      </c>
      <c r="P3" s="284"/>
      <c r="Q3" s="283">
        <f>SUBTOTAL(109,ATZ_DMM_LF_LEGACY[Y])</f>
        <v>0</v>
      </c>
      <c r="R3" s="283">
        <f>SUBTOTAL(109,ATZ_DMM_LF_LEGACY[B])</f>
        <v>0</v>
      </c>
      <c r="S3" s="283">
        <f>SUBTOTAL(109,ATZ_DMM_LF_LEGACY[M])</f>
        <v>0</v>
      </c>
      <c r="T3" s="283">
        <f>SUBTOTAL(109,ATZ_DMM_LF_LEGACY[H])</f>
        <v>0</v>
      </c>
      <c r="U3" s="283">
        <f>SUBTOTAL(109,ATZ_DMM_LF_LEGACY[Q])</f>
        <v>0</v>
      </c>
      <c r="V3" s="283">
        <f>SUBTOTAL(109,ATZ_DMM_LF_LEGACY[K])</f>
        <v>0</v>
      </c>
      <c r="W3" s="283">
        <f>SUBTOTAL(109,ATZ_DMM_LF_LEGACY[V])</f>
        <v>0</v>
      </c>
      <c r="X3" s="283">
        <f>SUBTOTAL(109,ATZ_DMM_LF_LEGACY[L])</f>
        <v>0</v>
      </c>
      <c r="Y3" s="283">
        <f>SUBTOTAL(109,ATZ_DMM_LF_LEGACY[G])</f>
        <v>0</v>
      </c>
      <c r="Z3" s="283">
        <f>SUBTOTAL(109,ATZ_DMM_LF_LEGACY[S])</f>
        <v>0</v>
      </c>
      <c r="AA3" s="283">
        <f>SUBTOTAL(109,ATZ_DMM_LF_LEGACY[W])</f>
        <v>0</v>
      </c>
      <c r="AB3" s="283">
        <f>SUBTOTAL(109,ATZ_DMM_LF_LEGACY[T])</f>
        <v>0</v>
      </c>
      <c r="AC3" s="283">
        <f>SUBTOTAL(109,ATZ_DMM_LF_LEGACY[X])</f>
        <v>0</v>
      </c>
      <c r="AD3" s="283">
        <f>SUBTOTAL(109,ATZ_DMM_LF_LEGACY[U])</f>
        <v>0</v>
      </c>
      <c r="AE3" s="283">
        <f>SUBTOTAL(109,ATZ_DMM_LF_LEGACY[O])</f>
        <v>0</v>
      </c>
      <c r="AF3" s="283">
        <f>SUBTOTAL(109,ATZ_DMM_LF_LEGACY[I])</f>
        <v>0</v>
      </c>
      <c r="AG3" s="283">
        <f>SUBTOTAL(109,ATZ_DMM_LF_LEGACY[E])</f>
        <v>0</v>
      </c>
      <c r="AH3" s="283">
        <f>SUBTOTAL(109,ATZ_DMM_LF_LEGACY[A])</f>
        <v>0</v>
      </c>
      <c r="AI3" s="283">
        <f>SUBTOTAL(109,ATZ_DMM_LF_LEGACY[P])</f>
        <v>0</v>
      </c>
      <c r="AJ3" s="283">
        <f>SUBTOTAL(103,ATZ_DMM_LF_LEGACY[N])</f>
        <v>0</v>
      </c>
    </row>
  </sheetData>
  <pageMargins left="0.75" right="0.75" top="1" bottom="1" header="0.5" footer="0.5"/>
  <tableParts count="1">
    <tablePart r:id="rId1"/>
  </tableParts>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3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203.77734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767</v>
      </c>
      <c r="G2" s="101"/>
      <c r="H2" s="103"/>
    </row>
    <row r="3" spans="1:8" ht="19.8" customHeight="1" x14ac:dyDescent="0.3">
      <c r="A3" s="59" t="s">
        <v>152</v>
      </c>
      <c r="B3" s="60" t="s">
        <v>36</v>
      </c>
      <c r="C3" s="61" t="s">
        <v>688</v>
      </c>
      <c r="D3" s="60" t="s">
        <v>687</v>
      </c>
      <c r="E3" s="60" t="s">
        <v>193</v>
      </c>
      <c r="F3" s="60" t="s">
        <v>38</v>
      </c>
      <c r="G3" s="62">
        <v>1</v>
      </c>
      <c r="H3" s="63" t="s">
        <v>689</v>
      </c>
    </row>
    <row r="4" spans="1:8" ht="19.8" customHeight="1" x14ac:dyDescent="0.3">
      <c r="A4" s="59" t="s">
        <v>152</v>
      </c>
      <c r="B4" s="60" t="s">
        <v>26</v>
      </c>
      <c r="C4" s="61" t="s">
        <v>693</v>
      </c>
      <c r="D4" s="60" t="s">
        <v>687</v>
      </c>
      <c r="E4" s="60" t="s">
        <v>747</v>
      </c>
      <c r="F4" s="60" t="s">
        <v>28</v>
      </c>
      <c r="G4" s="62">
        <v>6</v>
      </c>
      <c r="H4" s="63" t="s">
        <v>694</v>
      </c>
    </row>
    <row r="5" spans="1:8" ht="19.8" customHeight="1" x14ac:dyDescent="0.3">
      <c r="A5" s="59" t="s">
        <v>152</v>
      </c>
      <c r="B5" s="60" t="s">
        <v>36</v>
      </c>
      <c r="C5" s="61" t="s">
        <v>691</v>
      </c>
      <c r="D5" s="60" t="s">
        <v>687</v>
      </c>
      <c r="E5" s="60" t="s">
        <v>748</v>
      </c>
      <c r="F5" s="60" t="s">
        <v>38</v>
      </c>
      <c r="G5" s="62">
        <v>6</v>
      </c>
      <c r="H5" s="63" t="s">
        <v>629</v>
      </c>
    </row>
    <row r="6" spans="1:8" ht="19.8" customHeight="1" x14ac:dyDescent="0.3">
      <c r="A6" s="59" t="s">
        <v>152</v>
      </c>
      <c r="B6" s="60" t="s">
        <v>36</v>
      </c>
      <c r="C6" s="61" t="s">
        <v>688</v>
      </c>
      <c r="D6" s="60" t="s">
        <v>687</v>
      </c>
      <c r="E6" s="60" t="s">
        <v>193</v>
      </c>
      <c r="F6" s="60" t="s">
        <v>41</v>
      </c>
      <c r="G6" s="62">
        <v>1</v>
      </c>
      <c r="H6" s="63" t="s">
        <v>690</v>
      </c>
    </row>
    <row r="7" spans="1:8" ht="19.8" customHeight="1" x14ac:dyDescent="0.3">
      <c r="A7" s="59" t="s">
        <v>152</v>
      </c>
      <c r="B7" s="60" t="s">
        <v>36</v>
      </c>
      <c r="C7" s="61" t="s">
        <v>691</v>
      </c>
      <c r="D7" s="60" t="s">
        <v>687</v>
      </c>
      <c r="E7" s="60" t="s">
        <v>748</v>
      </c>
      <c r="F7" s="60" t="s">
        <v>41</v>
      </c>
      <c r="G7" s="62">
        <v>6</v>
      </c>
      <c r="H7" s="63" t="s">
        <v>93</v>
      </c>
    </row>
    <row r="8" spans="1:8" ht="19.8" customHeight="1" x14ac:dyDescent="0.3">
      <c r="A8" s="59" t="s">
        <v>152</v>
      </c>
      <c r="B8" s="60" t="s">
        <v>239</v>
      </c>
      <c r="C8" s="61" t="s">
        <v>697</v>
      </c>
      <c r="D8" s="60" t="s">
        <v>687</v>
      </c>
      <c r="E8" s="60" t="s">
        <v>498</v>
      </c>
      <c r="F8" s="60" t="s">
        <v>100</v>
      </c>
      <c r="G8" s="62">
        <v>9</v>
      </c>
      <c r="H8" s="63" t="s">
        <v>698</v>
      </c>
    </row>
    <row r="9" spans="1:8" ht="19.8" customHeight="1" x14ac:dyDescent="0.3">
      <c r="A9" s="59" t="s">
        <v>152</v>
      </c>
      <c r="B9" s="60" t="s">
        <v>26</v>
      </c>
      <c r="C9" s="61" t="s">
        <v>693</v>
      </c>
      <c r="D9" s="60" t="s">
        <v>687</v>
      </c>
      <c r="E9" s="60" t="s">
        <v>747</v>
      </c>
      <c r="F9" s="60" t="s">
        <v>31</v>
      </c>
      <c r="G9" s="62">
        <v>6</v>
      </c>
      <c r="H9" s="63" t="s">
        <v>695</v>
      </c>
    </row>
    <row r="10" spans="1:8" ht="19.8" customHeight="1" x14ac:dyDescent="0.3">
      <c r="A10" s="59" t="s">
        <v>152</v>
      </c>
      <c r="B10" s="60" t="s">
        <v>68</v>
      </c>
      <c r="C10" s="61" t="s">
        <v>701</v>
      </c>
      <c r="D10" s="60" t="s">
        <v>687</v>
      </c>
      <c r="E10" s="60" t="s">
        <v>193</v>
      </c>
      <c r="F10" s="60" t="s">
        <v>70</v>
      </c>
      <c r="G10" s="62">
        <v>9</v>
      </c>
      <c r="H10" s="63" t="s">
        <v>702</v>
      </c>
    </row>
    <row r="11" spans="1:8" ht="19.8" customHeight="1" x14ac:dyDescent="0.3">
      <c r="A11" s="59" t="s">
        <v>152</v>
      </c>
      <c r="B11" s="60" t="s">
        <v>36</v>
      </c>
      <c r="C11" s="61" t="s">
        <v>688</v>
      </c>
      <c r="D11" s="60" t="s">
        <v>687</v>
      </c>
      <c r="E11" s="60" t="s">
        <v>193</v>
      </c>
      <c r="F11" s="60" t="s">
        <v>44</v>
      </c>
      <c r="G11" s="62">
        <v>1</v>
      </c>
      <c r="H11" s="63" t="s">
        <v>40</v>
      </c>
    </row>
    <row r="12" spans="1:8" ht="19.8" customHeight="1" x14ac:dyDescent="0.3">
      <c r="A12" s="113" t="s">
        <v>152</v>
      </c>
      <c r="B12" s="71" t="s">
        <v>239</v>
      </c>
      <c r="C12" s="72" t="s">
        <v>699</v>
      </c>
      <c r="D12" s="71" t="s">
        <v>687</v>
      </c>
      <c r="E12" s="71" t="s">
        <v>749</v>
      </c>
      <c r="F12" s="71" t="s">
        <v>100</v>
      </c>
      <c r="G12" s="74">
        <v>9</v>
      </c>
      <c r="H12" s="75" t="s">
        <v>700</v>
      </c>
    </row>
    <row r="13" spans="1:8" ht="19.8" customHeight="1" x14ac:dyDescent="0.3">
      <c r="A13" s="99" t="s">
        <v>204</v>
      </c>
      <c r="B13" s="77" t="s">
        <v>73</v>
      </c>
      <c r="C13" s="78" t="s">
        <v>768</v>
      </c>
      <c r="D13" s="77" t="s">
        <v>750</v>
      </c>
      <c r="E13" s="77" t="s">
        <v>757</v>
      </c>
      <c r="F13" s="77"/>
      <c r="G13" s="77"/>
      <c r="H13" s="81" t="s">
        <v>76</v>
      </c>
    </row>
    <row r="14" spans="1:8" ht="19.8" customHeight="1" x14ac:dyDescent="0.3">
      <c r="A14" s="100"/>
      <c r="B14" s="101"/>
      <c r="C14" s="101"/>
      <c r="D14" s="101"/>
      <c r="E14" s="101"/>
      <c r="F14" s="102" t="s">
        <v>767</v>
      </c>
      <c r="G14" s="101"/>
      <c r="H14" s="103"/>
    </row>
    <row r="15" spans="1:8" ht="19.8" customHeight="1" x14ac:dyDescent="0.3">
      <c r="A15" s="68">
        <v>45982</v>
      </c>
      <c r="B15" s="60" t="s">
        <v>586</v>
      </c>
      <c r="C15" s="61" t="s">
        <v>712</v>
      </c>
      <c r="D15" s="60" t="s">
        <v>687</v>
      </c>
      <c r="E15" s="69">
        <v>1.006944444444444</v>
      </c>
      <c r="F15" s="60" t="s">
        <v>100</v>
      </c>
      <c r="G15" s="62">
        <v>2</v>
      </c>
      <c r="H15" s="63" t="s">
        <v>713</v>
      </c>
    </row>
    <row r="16" spans="1:8" ht="19.8" customHeight="1" x14ac:dyDescent="0.3">
      <c r="A16" s="68">
        <v>45982</v>
      </c>
      <c r="B16" s="60" t="s">
        <v>26</v>
      </c>
      <c r="C16" s="61" t="s">
        <v>693</v>
      </c>
      <c r="D16" s="60" t="s">
        <v>687</v>
      </c>
      <c r="E16" s="69">
        <v>1.447916666666667</v>
      </c>
      <c r="F16" s="60" t="s">
        <v>28</v>
      </c>
      <c r="G16" s="62">
        <v>3</v>
      </c>
      <c r="H16" s="63" t="s">
        <v>465</v>
      </c>
    </row>
    <row r="17" spans="1:8" ht="19.8" customHeight="1" x14ac:dyDescent="0.3">
      <c r="A17" s="68">
        <v>45982</v>
      </c>
      <c r="B17" s="60" t="s">
        <v>586</v>
      </c>
      <c r="C17" s="61" t="s">
        <v>714</v>
      </c>
      <c r="D17" s="60" t="s">
        <v>687</v>
      </c>
      <c r="E17" s="69">
        <v>1.9652777777777779</v>
      </c>
      <c r="F17" s="60" t="s">
        <v>100</v>
      </c>
      <c r="G17" s="62">
        <v>4</v>
      </c>
      <c r="H17" s="63" t="s">
        <v>715</v>
      </c>
    </row>
    <row r="18" spans="1:8" ht="19.8" customHeight="1" x14ac:dyDescent="0.3">
      <c r="A18" s="68">
        <v>45982</v>
      </c>
      <c r="B18" s="60" t="s">
        <v>36</v>
      </c>
      <c r="C18" s="61" t="s">
        <v>691</v>
      </c>
      <c r="D18" s="60" t="s">
        <v>687</v>
      </c>
      <c r="E18" s="69">
        <v>1.9722222222222221</v>
      </c>
      <c r="F18" s="60" t="s">
        <v>38</v>
      </c>
      <c r="G18" s="62">
        <v>7</v>
      </c>
      <c r="H18" s="63" t="s">
        <v>220</v>
      </c>
    </row>
    <row r="19" spans="1:8" ht="19.8" customHeight="1" x14ac:dyDescent="0.3">
      <c r="A19" s="68">
        <v>45982</v>
      </c>
      <c r="B19" s="60" t="s">
        <v>239</v>
      </c>
      <c r="C19" s="61" t="s">
        <v>717</v>
      </c>
      <c r="D19" s="60" t="s">
        <v>687</v>
      </c>
      <c r="E19" s="69">
        <v>1.805555555555556</v>
      </c>
      <c r="F19" s="60" t="s">
        <v>100</v>
      </c>
      <c r="G19" s="62">
        <v>9</v>
      </c>
      <c r="H19" s="63" t="s">
        <v>718</v>
      </c>
    </row>
    <row r="20" spans="1:8" ht="19.8" customHeight="1" x14ac:dyDescent="0.3">
      <c r="A20" s="68">
        <v>45982</v>
      </c>
      <c r="B20" s="60" t="s">
        <v>36</v>
      </c>
      <c r="C20" s="61" t="s">
        <v>691</v>
      </c>
      <c r="D20" s="60" t="s">
        <v>687</v>
      </c>
      <c r="E20" s="69">
        <v>1.9722222222222221</v>
      </c>
      <c r="F20" s="60" t="s">
        <v>41</v>
      </c>
      <c r="G20" s="62">
        <v>7</v>
      </c>
      <c r="H20" s="63" t="s">
        <v>636</v>
      </c>
    </row>
    <row r="21" spans="1:8" ht="19.8" customHeight="1" x14ac:dyDescent="0.3">
      <c r="A21" s="68">
        <v>45982</v>
      </c>
      <c r="B21" s="60" t="s">
        <v>73</v>
      </c>
      <c r="C21" s="61" t="s">
        <v>707</v>
      </c>
      <c r="D21" s="60" t="s">
        <v>687</v>
      </c>
      <c r="E21" s="69">
        <v>1.381944444444444</v>
      </c>
      <c r="F21" s="60" t="s">
        <v>100</v>
      </c>
      <c r="G21" s="62">
        <v>6</v>
      </c>
      <c r="H21" s="63" t="s">
        <v>215</v>
      </c>
    </row>
    <row r="22" spans="1:8" ht="19.8" customHeight="1" x14ac:dyDescent="0.3">
      <c r="A22" s="68">
        <v>45982</v>
      </c>
      <c r="B22" s="60" t="s">
        <v>26</v>
      </c>
      <c r="C22" s="61" t="s">
        <v>693</v>
      </c>
      <c r="D22" s="60" t="s">
        <v>687</v>
      </c>
      <c r="E22" s="69">
        <v>1.447916666666667</v>
      </c>
      <c r="F22" s="60" t="s">
        <v>31</v>
      </c>
      <c r="G22" s="62">
        <v>3</v>
      </c>
      <c r="H22" s="63" t="s">
        <v>635</v>
      </c>
    </row>
    <row r="23" spans="1:8" ht="19.8" customHeight="1" x14ac:dyDescent="0.3">
      <c r="A23" s="68">
        <v>45982</v>
      </c>
      <c r="B23" s="60" t="s">
        <v>36</v>
      </c>
      <c r="C23" s="61" t="s">
        <v>691</v>
      </c>
      <c r="D23" s="60" t="s">
        <v>687</v>
      </c>
      <c r="E23" s="69">
        <v>1.9722222222222221</v>
      </c>
      <c r="F23" s="60" t="s">
        <v>44</v>
      </c>
      <c r="G23" s="62">
        <v>7</v>
      </c>
      <c r="H23" s="63" t="s">
        <v>50</v>
      </c>
    </row>
    <row r="24" spans="1:8" ht="19.8" customHeight="1" x14ac:dyDescent="0.3">
      <c r="A24" s="70">
        <v>45982</v>
      </c>
      <c r="B24" s="71" t="s">
        <v>68</v>
      </c>
      <c r="C24" s="72" t="s">
        <v>701</v>
      </c>
      <c r="D24" s="71" t="s">
        <v>687</v>
      </c>
      <c r="E24" s="73">
        <v>1.336805555555556</v>
      </c>
      <c r="F24" s="71" t="s">
        <v>70</v>
      </c>
      <c r="G24" s="74">
        <v>9</v>
      </c>
      <c r="H24" s="75" t="s">
        <v>706</v>
      </c>
    </row>
    <row r="25" spans="1:8" ht="19.8" customHeight="1" x14ac:dyDescent="0.3">
      <c r="A25" s="100"/>
      <c r="B25" s="101"/>
      <c r="C25" s="101"/>
      <c r="D25" s="101"/>
      <c r="E25" s="101"/>
      <c r="F25" s="102" t="s">
        <v>767</v>
      </c>
      <c r="G25" s="101"/>
      <c r="H25" s="103"/>
    </row>
    <row r="26" spans="1:8" ht="19.8" customHeight="1" x14ac:dyDescent="0.3">
      <c r="A26" s="68">
        <v>45983</v>
      </c>
      <c r="B26" s="60" t="s">
        <v>26</v>
      </c>
      <c r="C26" s="61" t="s">
        <v>693</v>
      </c>
      <c r="D26" s="60" t="s">
        <v>687</v>
      </c>
      <c r="E26" s="69">
        <v>1.447916666666667</v>
      </c>
      <c r="F26" s="60" t="s">
        <v>28</v>
      </c>
      <c r="G26" s="62">
        <v>1</v>
      </c>
      <c r="H26" s="63" t="s">
        <v>465</v>
      </c>
    </row>
    <row r="27" spans="1:8" ht="19.8" customHeight="1" x14ac:dyDescent="0.3">
      <c r="A27" s="68">
        <v>45983</v>
      </c>
      <c r="B27" s="60" t="s">
        <v>36</v>
      </c>
      <c r="C27" s="61" t="s">
        <v>688</v>
      </c>
      <c r="D27" s="60" t="s">
        <v>687</v>
      </c>
      <c r="E27" s="69">
        <v>1.336805555555556</v>
      </c>
      <c r="F27" s="60" t="s">
        <v>38</v>
      </c>
      <c r="G27" s="62">
        <v>9</v>
      </c>
      <c r="H27" s="63" t="s">
        <v>220</v>
      </c>
    </row>
    <row r="28" spans="1:8" ht="19.8" customHeight="1" x14ac:dyDescent="0.3">
      <c r="A28" s="68">
        <v>45983</v>
      </c>
      <c r="B28" s="60" t="s">
        <v>36</v>
      </c>
      <c r="C28" s="61" t="s">
        <v>688</v>
      </c>
      <c r="D28" s="60" t="s">
        <v>687</v>
      </c>
      <c r="E28" s="69">
        <v>1.336805555555556</v>
      </c>
      <c r="F28" s="60" t="s">
        <v>41</v>
      </c>
      <c r="G28" s="62">
        <v>9</v>
      </c>
      <c r="H28" s="63" t="s">
        <v>636</v>
      </c>
    </row>
    <row r="29" spans="1:8" ht="19.8" customHeight="1" x14ac:dyDescent="0.3">
      <c r="A29" s="68">
        <v>45983</v>
      </c>
      <c r="B29" s="60" t="s">
        <v>73</v>
      </c>
      <c r="C29" s="61" t="s">
        <v>707</v>
      </c>
      <c r="D29" s="60" t="s">
        <v>687</v>
      </c>
      <c r="E29" s="69">
        <v>1.7222222222222221</v>
      </c>
      <c r="F29" s="60" t="s">
        <v>100</v>
      </c>
      <c r="G29" s="62">
        <v>1</v>
      </c>
      <c r="H29" s="63" t="s">
        <v>215</v>
      </c>
    </row>
    <row r="30" spans="1:8" ht="19.8" customHeight="1" x14ac:dyDescent="0.3">
      <c r="A30" s="68">
        <v>45983</v>
      </c>
      <c r="B30" s="60" t="s">
        <v>26</v>
      </c>
      <c r="C30" s="61" t="s">
        <v>693</v>
      </c>
      <c r="D30" s="60" t="s">
        <v>687</v>
      </c>
      <c r="E30" s="69">
        <v>1.447916666666667</v>
      </c>
      <c r="F30" s="60" t="s">
        <v>31</v>
      </c>
      <c r="G30" s="62">
        <v>1</v>
      </c>
      <c r="H30" s="63" t="s">
        <v>635</v>
      </c>
    </row>
    <row r="31" spans="1:8" ht="19.8" customHeight="1" x14ac:dyDescent="0.3">
      <c r="A31" s="68">
        <v>45983</v>
      </c>
      <c r="B31" s="60" t="s">
        <v>36</v>
      </c>
      <c r="C31" s="61" t="s">
        <v>688</v>
      </c>
      <c r="D31" s="60" t="s">
        <v>687</v>
      </c>
      <c r="E31" s="69">
        <v>1.336805555555556</v>
      </c>
      <c r="F31" s="60" t="s">
        <v>44</v>
      </c>
      <c r="G31" s="62">
        <v>9</v>
      </c>
      <c r="H31" s="63" t="s">
        <v>50</v>
      </c>
    </row>
    <row r="32" spans="1:8" ht="19.8" customHeight="1" x14ac:dyDescent="0.3">
      <c r="A32" s="68">
        <v>45983</v>
      </c>
      <c r="B32" s="60" t="s">
        <v>239</v>
      </c>
      <c r="C32" s="61" t="s">
        <v>699</v>
      </c>
      <c r="D32" s="60" t="s">
        <v>687</v>
      </c>
      <c r="E32" s="69">
        <v>1.694444444444444</v>
      </c>
      <c r="F32" s="60" t="s">
        <v>100</v>
      </c>
      <c r="G32" s="62">
        <v>9</v>
      </c>
      <c r="H32" s="63" t="s">
        <v>331</v>
      </c>
    </row>
    <row r="33" spans="1:8" ht="19.8" customHeight="1" x14ac:dyDescent="0.3">
      <c r="A33" s="68">
        <v>45983</v>
      </c>
      <c r="B33" s="60" t="s">
        <v>36</v>
      </c>
      <c r="C33" s="61" t="s">
        <v>691</v>
      </c>
      <c r="D33" s="60" t="s">
        <v>687</v>
      </c>
      <c r="E33" s="69">
        <v>1.9722222222222221</v>
      </c>
      <c r="F33" s="60" t="s">
        <v>38</v>
      </c>
      <c r="G33" s="62">
        <v>1</v>
      </c>
      <c r="H33" s="63" t="s">
        <v>331</v>
      </c>
    </row>
    <row r="34" spans="1:8" ht="19.8" customHeight="1" x14ac:dyDescent="0.3">
      <c r="A34" s="68">
        <v>45983</v>
      </c>
      <c r="B34" s="60" t="s">
        <v>266</v>
      </c>
      <c r="C34" s="61" t="s">
        <v>724</v>
      </c>
      <c r="D34" s="60" t="s">
        <v>687</v>
      </c>
      <c r="E34" s="69">
        <v>1.7847222222222221</v>
      </c>
      <c r="F34" s="60" t="s">
        <v>268</v>
      </c>
      <c r="G34" s="62">
        <v>2</v>
      </c>
      <c r="H34" s="63" t="s">
        <v>725</v>
      </c>
    </row>
    <row r="35" spans="1:8" ht="19.8" customHeight="1" x14ac:dyDescent="0.3">
      <c r="A35" s="70">
        <v>45983</v>
      </c>
      <c r="B35" s="71" t="s">
        <v>36</v>
      </c>
      <c r="C35" s="72" t="s">
        <v>691</v>
      </c>
      <c r="D35" s="71" t="s">
        <v>687</v>
      </c>
      <c r="E35" s="73">
        <v>1.9722222222222221</v>
      </c>
      <c r="F35" s="71" t="s">
        <v>41</v>
      </c>
      <c r="G35" s="74">
        <v>1</v>
      </c>
      <c r="H35" s="75" t="s">
        <v>35</v>
      </c>
    </row>
  </sheetData>
  <pageMargins left="0.75" right="0.75" top="1" bottom="1" header="0.5" footer="0.5"/>
  <legacyDrawing r:id="rId1"/>
  <tableParts count="1">
    <tablePart r:id="rId2"/>
  </tablePar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3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203.77734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767</v>
      </c>
      <c r="G2" s="101"/>
      <c r="H2" s="103"/>
    </row>
    <row r="3" spans="1:8" ht="19.8" customHeight="1" x14ac:dyDescent="0.3">
      <c r="A3" s="59" t="s">
        <v>152</v>
      </c>
      <c r="B3" s="60" t="s">
        <v>36</v>
      </c>
      <c r="C3" s="61" t="s">
        <v>688</v>
      </c>
      <c r="D3" s="60" t="s">
        <v>687</v>
      </c>
      <c r="E3" s="60" t="s">
        <v>193</v>
      </c>
      <c r="F3" s="60" t="s">
        <v>38</v>
      </c>
      <c r="G3" s="62">
        <v>1</v>
      </c>
      <c r="H3" s="63" t="s">
        <v>689</v>
      </c>
    </row>
    <row r="4" spans="1:8" ht="19.8" customHeight="1" x14ac:dyDescent="0.3">
      <c r="A4" s="59" t="s">
        <v>152</v>
      </c>
      <c r="B4" s="60" t="s">
        <v>26</v>
      </c>
      <c r="C4" s="61" t="s">
        <v>693</v>
      </c>
      <c r="D4" s="60" t="s">
        <v>687</v>
      </c>
      <c r="E4" s="60" t="s">
        <v>747</v>
      </c>
      <c r="F4" s="60" t="s">
        <v>28</v>
      </c>
      <c r="G4" s="62">
        <v>6</v>
      </c>
      <c r="H4" s="63" t="s">
        <v>694</v>
      </c>
    </row>
    <row r="5" spans="1:8" ht="19.8" customHeight="1" x14ac:dyDescent="0.3">
      <c r="A5" s="59" t="s">
        <v>152</v>
      </c>
      <c r="B5" s="60" t="s">
        <v>36</v>
      </c>
      <c r="C5" s="61" t="s">
        <v>691</v>
      </c>
      <c r="D5" s="60" t="s">
        <v>687</v>
      </c>
      <c r="E5" s="60" t="s">
        <v>748</v>
      </c>
      <c r="F5" s="60" t="s">
        <v>38</v>
      </c>
      <c r="G5" s="62">
        <v>6</v>
      </c>
      <c r="H5" s="63" t="s">
        <v>629</v>
      </c>
    </row>
    <row r="6" spans="1:8" ht="19.8" customHeight="1" x14ac:dyDescent="0.3">
      <c r="A6" s="59" t="s">
        <v>152</v>
      </c>
      <c r="B6" s="60" t="s">
        <v>36</v>
      </c>
      <c r="C6" s="61" t="s">
        <v>688</v>
      </c>
      <c r="D6" s="60" t="s">
        <v>687</v>
      </c>
      <c r="E6" s="60" t="s">
        <v>193</v>
      </c>
      <c r="F6" s="60" t="s">
        <v>41</v>
      </c>
      <c r="G6" s="62">
        <v>1</v>
      </c>
      <c r="H6" s="63" t="s">
        <v>690</v>
      </c>
    </row>
    <row r="7" spans="1:8" ht="19.8" customHeight="1" x14ac:dyDescent="0.3">
      <c r="A7" s="59" t="s">
        <v>152</v>
      </c>
      <c r="B7" s="60" t="s">
        <v>36</v>
      </c>
      <c r="C7" s="61" t="s">
        <v>691</v>
      </c>
      <c r="D7" s="60" t="s">
        <v>687</v>
      </c>
      <c r="E7" s="60" t="s">
        <v>748</v>
      </c>
      <c r="F7" s="60" t="s">
        <v>41</v>
      </c>
      <c r="G7" s="62">
        <v>6</v>
      </c>
      <c r="H7" s="63" t="s">
        <v>93</v>
      </c>
    </row>
    <row r="8" spans="1:8" ht="19.8" customHeight="1" x14ac:dyDescent="0.3">
      <c r="A8" s="59" t="s">
        <v>152</v>
      </c>
      <c r="B8" s="60" t="s">
        <v>239</v>
      </c>
      <c r="C8" s="61" t="s">
        <v>697</v>
      </c>
      <c r="D8" s="60" t="s">
        <v>687</v>
      </c>
      <c r="E8" s="60" t="s">
        <v>498</v>
      </c>
      <c r="F8" s="60" t="s">
        <v>100</v>
      </c>
      <c r="G8" s="62">
        <v>9</v>
      </c>
      <c r="H8" s="63" t="s">
        <v>698</v>
      </c>
    </row>
    <row r="9" spans="1:8" ht="19.8" customHeight="1" x14ac:dyDescent="0.3">
      <c r="A9" s="59" t="s">
        <v>152</v>
      </c>
      <c r="B9" s="60" t="s">
        <v>26</v>
      </c>
      <c r="C9" s="61" t="s">
        <v>693</v>
      </c>
      <c r="D9" s="60" t="s">
        <v>687</v>
      </c>
      <c r="E9" s="60" t="s">
        <v>747</v>
      </c>
      <c r="F9" s="60" t="s">
        <v>31</v>
      </c>
      <c r="G9" s="62">
        <v>6</v>
      </c>
      <c r="H9" s="63" t="s">
        <v>695</v>
      </c>
    </row>
    <row r="10" spans="1:8" ht="19.8" customHeight="1" x14ac:dyDescent="0.3">
      <c r="A10" s="59" t="s">
        <v>152</v>
      </c>
      <c r="B10" s="60" t="s">
        <v>68</v>
      </c>
      <c r="C10" s="61" t="s">
        <v>701</v>
      </c>
      <c r="D10" s="60" t="s">
        <v>687</v>
      </c>
      <c r="E10" s="60" t="s">
        <v>193</v>
      </c>
      <c r="F10" s="60" t="s">
        <v>70</v>
      </c>
      <c r="G10" s="62">
        <v>9</v>
      </c>
      <c r="H10" s="63" t="s">
        <v>702</v>
      </c>
    </row>
    <row r="11" spans="1:8" ht="19.8" customHeight="1" x14ac:dyDescent="0.3">
      <c r="A11" s="59" t="s">
        <v>152</v>
      </c>
      <c r="B11" s="60" t="s">
        <v>36</v>
      </c>
      <c r="C11" s="61" t="s">
        <v>688</v>
      </c>
      <c r="D11" s="60" t="s">
        <v>687</v>
      </c>
      <c r="E11" s="60" t="s">
        <v>193</v>
      </c>
      <c r="F11" s="60" t="s">
        <v>44</v>
      </c>
      <c r="G11" s="62">
        <v>1</v>
      </c>
      <c r="H11" s="63" t="s">
        <v>40</v>
      </c>
    </row>
    <row r="12" spans="1:8" ht="19.8" customHeight="1" x14ac:dyDescent="0.3">
      <c r="A12" s="113" t="s">
        <v>152</v>
      </c>
      <c r="B12" s="71" t="s">
        <v>239</v>
      </c>
      <c r="C12" s="72" t="s">
        <v>699</v>
      </c>
      <c r="D12" s="71" t="s">
        <v>687</v>
      </c>
      <c r="E12" s="71" t="s">
        <v>749</v>
      </c>
      <c r="F12" s="71" t="s">
        <v>100</v>
      </c>
      <c r="G12" s="74">
        <v>9</v>
      </c>
      <c r="H12" s="75" t="s">
        <v>700</v>
      </c>
    </row>
    <row r="13" spans="1:8" ht="19.8" customHeight="1" x14ac:dyDescent="0.3">
      <c r="A13" s="99" t="s">
        <v>204</v>
      </c>
      <c r="B13" s="77" t="s">
        <v>73</v>
      </c>
      <c r="C13" s="78" t="s">
        <v>768</v>
      </c>
      <c r="D13" s="77" t="s">
        <v>750</v>
      </c>
      <c r="E13" s="77" t="s">
        <v>757</v>
      </c>
      <c r="F13" s="77"/>
      <c r="G13" s="77"/>
      <c r="H13" s="81" t="s">
        <v>76</v>
      </c>
    </row>
    <row r="14" spans="1:8" ht="19.8" customHeight="1" x14ac:dyDescent="0.3">
      <c r="A14" s="100"/>
      <c r="B14" s="101"/>
      <c r="C14" s="101"/>
      <c r="D14" s="101"/>
      <c r="E14" s="101"/>
      <c r="F14" s="102" t="s">
        <v>767</v>
      </c>
      <c r="G14" s="101"/>
      <c r="H14" s="103"/>
    </row>
    <row r="15" spans="1:8" ht="19.8" customHeight="1" x14ac:dyDescent="0.3">
      <c r="A15" s="68">
        <v>45982</v>
      </c>
      <c r="B15" s="60" t="s">
        <v>586</v>
      </c>
      <c r="C15" s="61" t="s">
        <v>712</v>
      </c>
      <c r="D15" s="60" t="s">
        <v>687</v>
      </c>
      <c r="E15" s="69">
        <v>1.006944444444444</v>
      </c>
      <c r="F15" s="60" t="s">
        <v>100</v>
      </c>
      <c r="G15" s="62">
        <v>2</v>
      </c>
      <c r="H15" s="63" t="s">
        <v>713</v>
      </c>
    </row>
    <row r="16" spans="1:8" ht="19.8" customHeight="1" x14ac:dyDescent="0.3">
      <c r="A16" s="68">
        <v>45982</v>
      </c>
      <c r="B16" s="60" t="s">
        <v>26</v>
      </c>
      <c r="C16" s="61" t="s">
        <v>693</v>
      </c>
      <c r="D16" s="60" t="s">
        <v>687</v>
      </c>
      <c r="E16" s="69">
        <v>1.447916666666667</v>
      </c>
      <c r="F16" s="60" t="s">
        <v>28</v>
      </c>
      <c r="G16" s="62">
        <v>3</v>
      </c>
      <c r="H16" s="63" t="s">
        <v>465</v>
      </c>
    </row>
    <row r="17" spans="1:8" ht="19.8" customHeight="1" x14ac:dyDescent="0.3">
      <c r="A17" s="68">
        <v>45982</v>
      </c>
      <c r="B17" s="60" t="s">
        <v>586</v>
      </c>
      <c r="C17" s="61" t="s">
        <v>714</v>
      </c>
      <c r="D17" s="60" t="s">
        <v>687</v>
      </c>
      <c r="E17" s="69">
        <v>1.9652777777777779</v>
      </c>
      <c r="F17" s="60" t="s">
        <v>100</v>
      </c>
      <c r="G17" s="62">
        <v>4</v>
      </c>
      <c r="H17" s="63" t="s">
        <v>715</v>
      </c>
    </row>
    <row r="18" spans="1:8" ht="19.8" customHeight="1" x14ac:dyDescent="0.3">
      <c r="A18" s="68">
        <v>45982</v>
      </c>
      <c r="B18" s="60" t="s">
        <v>36</v>
      </c>
      <c r="C18" s="61" t="s">
        <v>691</v>
      </c>
      <c r="D18" s="60" t="s">
        <v>687</v>
      </c>
      <c r="E18" s="69">
        <v>1.9722222222222221</v>
      </c>
      <c r="F18" s="60" t="s">
        <v>38</v>
      </c>
      <c r="G18" s="62">
        <v>7</v>
      </c>
      <c r="H18" s="63" t="s">
        <v>220</v>
      </c>
    </row>
    <row r="19" spans="1:8" ht="19.8" customHeight="1" x14ac:dyDescent="0.3">
      <c r="A19" s="68">
        <v>45982</v>
      </c>
      <c r="B19" s="60" t="s">
        <v>239</v>
      </c>
      <c r="C19" s="61" t="s">
        <v>717</v>
      </c>
      <c r="D19" s="60" t="s">
        <v>687</v>
      </c>
      <c r="E19" s="69">
        <v>1.805555555555556</v>
      </c>
      <c r="F19" s="60" t="s">
        <v>100</v>
      </c>
      <c r="G19" s="62">
        <v>9</v>
      </c>
      <c r="H19" s="63" t="s">
        <v>718</v>
      </c>
    </row>
    <row r="20" spans="1:8" ht="19.8" customHeight="1" x14ac:dyDescent="0.3">
      <c r="A20" s="68">
        <v>45982</v>
      </c>
      <c r="B20" s="60" t="s">
        <v>36</v>
      </c>
      <c r="C20" s="61" t="s">
        <v>691</v>
      </c>
      <c r="D20" s="60" t="s">
        <v>687</v>
      </c>
      <c r="E20" s="69">
        <v>1.9722222222222221</v>
      </c>
      <c r="F20" s="60" t="s">
        <v>41</v>
      </c>
      <c r="G20" s="62">
        <v>7</v>
      </c>
      <c r="H20" s="63" t="s">
        <v>636</v>
      </c>
    </row>
    <row r="21" spans="1:8" ht="19.8" customHeight="1" x14ac:dyDescent="0.3">
      <c r="A21" s="68">
        <v>45982</v>
      </c>
      <c r="B21" s="60" t="s">
        <v>73</v>
      </c>
      <c r="C21" s="61" t="s">
        <v>707</v>
      </c>
      <c r="D21" s="60" t="s">
        <v>687</v>
      </c>
      <c r="E21" s="69">
        <v>1.381944444444444</v>
      </c>
      <c r="F21" s="60" t="s">
        <v>100</v>
      </c>
      <c r="G21" s="62">
        <v>6</v>
      </c>
      <c r="H21" s="63" t="s">
        <v>215</v>
      </c>
    </row>
    <row r="22" spans="1:8" ht="19.8" customHeight="1" x14ac:dyDescent="0.3">
      <c r="A22" s="68">
        <v>45982</v>
      </c>
      <c r="B22" s="60" t="s">
        <v>26</v>
      </c>
      <c r="C22" s="61" t="s">
        <v>693</v>
      </c>
      <c r="D22" s="60" t="s">
        <v>687</v>
      </c>
      <c r="E22" s="69">
        <v>1.447916666666667</v>
      </c>
      <c r="F22" s="60" t="s">
        <v>31</v>
      </c>
      <c r="G22" s="62">
        <v>3</v>
      </c>
      <c r="H22" s="63" t="s">
        <v>635</v>
      </c>
    </row>
    <row r="23" spans="1:8" ht="19.8" customHeight="1" x14ac:dyDescent="0.3">
      <c r="A23" s="68">
        <v>45982</v>
      </c>
      <c r="B23" s="60" t="s">
        <v>36</v>
      </c>
      <c r="C23" s="61" t="s">
        <v>691</v>
      </c>
      <c r="D23" s="60" t="s">
        <v>687</v>
      </c>
      <c r="E23" s="69">
        <v>1.9722222222222221</v>
      </c>
      <c r="F23" s="60" t="s">
        <v>44</v>
      </c>
      <c r="G23" s="62">
        <v>7</v>
      </c>
      <c r="H23" s="63" t="s">
        <v>50</v>
      </c>
    </row>
    <row r="24" spans="1:8" ht="19.8" customHeight="1" x14ac:dyDescent="0.3">
      <c r="A24" s="70">
        <v>45982</v>
      </c>
      <c r="B24" s="71" t="s">
        <v>68</v>
      </c>
      <c r="C24" s="72" t="s">
        <v>701</v>
      </c>
      <c r="D24" s="71" t="s">
        <v>687</v>
      </c>
      <c r="E24" s="73">
        <v>1.336805555555556</v>
      </c>
      <c r="F24" s="71" t="s">
        <v>70</v>
      </c>
      <c r="G24" s="74">
        <v>9</v>
      </c>
      <c r="H24" s="75" t="s">
        <v>706</v>
      </c>
    </row>
    <row r="25" spans="1:8" ht="19.8" customHeight="1" x14ac:dyDescent="0.3">
      <c r="A25" s="100"/>
      <c r="B25" s="101"/>
      <c r="C25" s="101"/>
      <c r="D25" s="101"/>
      <c r="E25" s="101"/>
      <c r="F25" s="102" t="s">
        <v>767</v>
      </c>
      <c r="G25" s="101"/>
      <c r="H25" s="103"/>
    </row>
    <row r="26" spans="1:8" ht="19.8" customHeight="1" x14ac:dyDescent="0.3">
      <c r="A26" s="68">
        <v>45983</v>
      </c>
      <c r="B26" s="60" t="s">
        <v>26</v>
      </c>
      <c r="C26" s="61" t="s">
        <v>693</v>
      </c>
      <c r="D26" s="60" t="s">
        <v>687</v>
      </c>
      <c r="E26" s="69">
        <v>1.447916666666667</v>
      </c>
      <c r="F26" s="60" t="s">
        <v>28</v>
      </c>
      <c r="G26" s="62">
        <v>1</v>
      </c>
      <c r="H26" s="63" t="s">
        <v>465</v>
      </c>
    </row>
    <row r="27" spans="1:8" ht="19.8" customHeight="1" x14ac:dyDescent="0.3">
      <c r="A27" s="68">
        <v>45983</v>
      </c>
      <c r="B27" s="60" t="s">
        <v>36</v>
      </c>
      <c r="C27" s="61" t="s">
        <v>688</v>
      </c>
      <c r="D27" s="60" t="s">
        <v>687</v>
      </c>
      <c r="E27" s="69">
        <v>1.336805555555556</v>
      </c>
      <c r="F27" s="60" t="s">
        <v>38</v>
      </c>
      <c r="G27" s="62">
        <v>9</v>
      </c>
      <c r="H27" s="63" t="s">
        <v>220</v>
      </c>
    </row>
    <row r="28" spans="1:8" ht="19.8" customHeight="1" x14ac:dyDescent="0.3">
      <c r="A28" s="68">
        <v>45983</v>
      </c>
      <c r="B28" s="60" t="s">
        <v>36</v>
      </c>
      <c r="C28" s="61" t="s">
        <v>688</v>
      </c>
      <c r="D28" s="60" t="s">
        <v>687</v>
      </c>
      <c r="E28" s="69">
        <v>1.336805555555556</v>
      </c>
      <c r="F28" s="60" t="s">
        <v>41</v>
      </c>
      <c r="G28" s="62">
        <v>9</v>
      </c>
      <c r="H28" s="63" t="s">
        <v>636</v>
      </c>
    </row>
    <row r="29" spans="1:8" ht="19.8" customHeight="1" x14ac:dyDescent="0.3">
      <c r="A29" s="68">
        <v>45983</v>
      </c>
      <c r="B29" s="60" t="s">
        <v>73</v>
      </c>
      <c r="C29" s="61" t="s">
        <v>707</v>
      </c>
      <c r="D29" s="60" t="s">
        <v>687</v>
      </c>
      <c r="E29" s="69">
        <v>1.7222222222222221</v>
      </c>
      <c r="F29" s="60" t="s">
        <v>100</v>
      </c>
      <c r="G29" s="62">
        <v>1</v>
      </c>
      <c r="H29" s="63" t="s">
        <v>215</v>
      </c>
    </row>
    <row r="30" spans="1:8" ht="19.8" customHeight="1" x14ac:dyDescent="0.3">
      <c r="A30" s="68">
        <v>45983</v>
      </c>
      <c r="B30" s="60" t="s">
        <v>26</v>
      </c>
      <c r="C30" s="61" t="s">
        <v>693</v>
      </c>
      <c r="D30" s="60" t="s">
        <v>687</v>
      </c>
      <c r="E30" s="69">
        <v>1.447916666666667</v>
      </c>
      <c r="F30" s="60" t="s">
        <v>31</v>
      </c>
      <c r="G30" s="62">
        <v>1</v>
      </c>
      <c r="H30" s="63" t="s">
        <v>635</v>
      </c>
    </row>
    <row r="31" spans="1:8" ht="19.8" customHeight="1" x14ac:dyDescent="0.3">
      <c r="A31" s="68">
        <v>45983</v>
      </c>
      <c r="B31" s="60" t="s">
        <v>36</v>
      </c>
      <c r="C31" s="61" t="s">
        <v>688</v>
      </c>
      <c r="D31" s="60" t="s">
        <v>687</v>
      </c>
      <c r="E31" s="69">
        <v>1.336805555555556</v>
      </c>
      <c r="F31" s="60" t="s">
        <v>44</v>
      </c>
      <c r="G31" s="62">
        <v>9</v>
      </c>
      <c r="H31" s="63" t="s">
        <v>50</v>
      </c>
    </row>
    <row r="32" spans="1:8" ht="19.8" customHeight="1" x14ac:dyDescent="0.3">
      <c r="A32" s="68">
        <v>45983</v>
      </c>
      <c r="B32" s="60" t="s">
        <v>239</v>
      </c>
      <c r="C32" s="61" t="s">
        <v>699</v>
      </c>
      <c r="D32" s="60" t="s">
        <v>687</v>
      </c>
      <c r="E32" s="69">
        <v>1.694444444444444</v>
      </c>
      <c r="F32" s="60" t="s">
        <v>100</v>
      </c>
      <c r="G32" s="62">
        <v>9</v>
      </c>
      <c r="H32" s="63" t="s">
        <v>331</v>
      </c>
    </row>
    <row r="33" spans="1:8" ht="19.8" customHeight="1" x14ac:dyDescent="0.3">
      <c r="A33" s="68">
        <v>45983</v>
      </c>
      <c r="B33" s="60" t="s">
        <v>36</v>
      </c>
      <c r="C33" s="61" t="s">
        <v>691</v>
      </c>
      <c r="D33" s="60" t="s">
        <v>687</v>
      </c>
      <c r="E33" s="69">
        <v>1.9722222222222221</v>
      </c>
      <c r="F33" s="60" t="s">
        <v>38</v>
      </c>
      <c r="G33" s="62">
        <v>1</v>
      </c>
      <c r="H33" s="63" t="s">
        <v>331</v>
      </c>
    </row>
    <row r="34" spans="1:8" ht="19.8" customHeight="1" x14ac:dyDescent="0.3">
      <c r="A34" s="68">
        <v>45983</v>
      </c>
      <c r="B34" s="60" t="s">
        <v>266</v>
      </c>
      <c r="C34" s="61" t="s">
        <v>724</v>
      </c>
      <c r="D34" s="60" t="s">
        <v>687</v>
      </c>
      <c r="E34" s="69">
        <v>1.7847222222222221</v>
      </c>
      <c r="F34" s="60" t="s">
        <v>268</v>
      </c>
      <c r="G34" s="62">
        <v>2</v>
      </c>
      <c r="H34" s="63" t="s">
        <v>725</v>
      </c>
    </row>
    <row r="35" spans="1:8" ht="19.8" customHeight="1" x14ac:dyDescent="0.3">
      <c r="A35" s="70">
        <v>45983</v>
      </c>
      <c r="B35" s="71" t="s">
        <v>36</v>
      </c>
      <c r="C35" s="72" t="s">
        <v>691</v>
      </c>
      <c r="D35" s="71" t="s">
        <v>687</v>
      </c>
      <c r="E35" s="73">
        <v>1.9722222222222221</v>
      </c>
      <c r="F35" s="71" t="s">
        <v>41</v>
      </c>
      <c r="G35" s="74">
        <v>1</v>
      </c>
      <c r="H35" s="75" t="s">
        <v>35</v>
      </c>
    </row>
  </sheetData>
  <pageMargins left="0.75" right="0.75" top="1" bottom="1" header="0.5" footer="0.5"/>
  <legacyDrawing r:id="rId1"/>
  <tableParts count="1">
    <tablePart r:id="rId2"/>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N21"/>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3.21875" bestFit="1" customWidth="1"/>
  </cols>
  <sheetData>
    <row r="1" spans="1:92" ht="28.8" customHeight="1" x14ac:dyDescent="0.3">
      <c r="A1" s="261" t="s">
        <v>0</v>
      </c>
      <c r="B1" s="254"/>
      <c r="C1" s="254"/>
      <c r="D1" s="254"/>
      <c r="E1" s="254"/>
      <c r="F1" s="1" t="s">
        <v>769</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45980.43049262264</v>
      </c>
      <c r="H2" s="254"/>
      <c r="I2" s="254"/>
      <c r="J2" s="254"/>
      <c r="K2" s="263">
        <v>45980.430492623003</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45981</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239</v>
      </c>
      <c r="B6" s="8" t="s">
        <v>770</v>
      </c>
      <c r="C6" s="9">
        <v>0.75694444444444453</v>
      </c>
      <c r="D6" s="8" t="s">
        <v>100</v>
      </c>
      <c r="E6" s="8" t="s">
        <v>298</v>
      </c>
      <c r="F6" s="8" t="s">
        <v>771</v>
      </c>
      <c r="G6" s="256"/>
      <c r="H6" s="10"/>
      <c r="I6" s="11"/>
      <c r="J6" s="11"/>
      <c r="K6" s="11"/>
      <c r="L6" s="11"/>
      <c r="M6" s="11"/>
      <c r="N6" s="11"/>
      <c r="O6" s="12"/>
      <c r="P6" s="11"/>
      <c r="Q6" s="13"/>
      <c r="R6" s="14"/>
    </row>
    <row r="7" spans="1:92" ht="49.95" customHeight="1" x14ac:dyDescent="0.3">
      <c r="A7" s="202" t="s">
        <v>73</v>
      </c>
      <c r="B7" s="202" t="s">
        <v>772</v>
      </c>
      <c r="C7" s="203">
        <v>0.71180555555555547</v>
      </c>
      <c r="D7" s="202" t="s">
        <v>100</v>
      </c>
      <c r="E7" s="202" t="s">
        <v>55</v>
      </c>
      <c r="F7" s="202" t="s">
        <v>465</v>
      </c>
      <c r="G7" s="257"/>
      <c r="H7" s="164" t="s">
        <v>773</v>
      </c>
      <c r="I7" s="205">
        <v>0.36309999999999998</v>
      </c>
      <c r="J7" s="166">
        <v>65</v>
      </c>
      <c r="K7" s="167" t="s">
        <v>103</v>
      </c>
      <c r="L7" s="166">
        <v>34</v>
      </c>
      <c r="M7" s="166">
        <v>0</v>
      </c>
      <c r="N7" s="166">
        <v>6</v>
      </c>
      <c r="O7" s="168" t="s">
        <v>202</v>
      </c>
      <c r="P7" s="169">
        <v>0.71180555555555547</v>
      </c>
      <c r="Q7" s="166">
        <v>179</v>
      </c>
      <c r="R7" s="170" t="s">
        <v>774</v>
      </c>
    </row>
    <row r="8" spans="1:92" ht="49.95" customHeight="1" thickBot="1" x14ac:dyDescent="0.35">
      <c r="A8" s="199" t="s">
        <v>68</v>
      </c>
      <c r="B8" s="199" t="s">
        <v>775</v>
      </c>
      <c r="C8" s="200">
        <v>0.98263888888888884</v>
      </c>
      <c r="D8" s="199" t="s">
        <v>70</v>
      </c>
      <c r="E8" s="199" t="s">
        <v>55</v>
      </c>
      <c r="F8" s="199" t="s">
        <v>776</v>
      </c>
      <c r="G8" s="258"/>
      <c r="H8" s="41"/>
      <c r="I8" s="42"/>
      <c r="J8" s="42"/>
      <c r="K8" s="42"/>
      <c r="L8" s="42"/>
      <c r="M8" s="42"/>
      <c r="N8" s="42"/>
      <c r="O8" s="43"/>
      <c r="P8" s="42"/>
      <c r="Q8" s="44"/>
      <c r="R8" s="45"/>
    </row>
    <row r="9" spans="1:92" ht="17.399999999999999" customHeight="1" thickBot="1" x14ac:dyDescent="0.35">
      <c r="A9" s="285"/>
      <c r="B9" s="286"/>
      <c r="C9" s="286"/>
      <c r="D9" s="286"/>
      <c r="E9" s="286"/>
      <c r="F9" s="286"/>
      <c r="G9" s="286"/>
      <c r="H9" s="286"/>
      <c r="I9" s="286"/>
      <c r="J9" s="286"/>
      <c r="K9" s="286"/>
      <c r="L9" s="286"/>
      <c r="M9" s="286"/>
      <c r="N9" s="286"/>
      <c r="O9" s="286"/>
      <c r="P9" s="286"/>
      <c r="Q9" s="286"/>
      <c r="R9" s="287"/>
    </row>
    <row r="10" spans="1:92" ht="22.05" customHeight="1" thickTop="1" thickBot="1" x14ac:dyDescent="0.35">
      <c r="A10" s="259" t="s">
        <v>6</v>
      </c>
      <c r="B10" s="251"/>
      <c r="C10" s="251"/>
      <c r="D10" s="251"/>
      <c r="E10" s="251"/>
      <c r="F10" s="252"/>
      <c r="G10" s="31">
        <v>45982</v>
      </c>
      <c r="H10" s="250" t="s">
        <v>7</v>
      </c>
      <c r="I10" s="251"/>
      <c r="J10" s="251"/>
      <c r="K10" s="251"/>
      <c r="L10" s="251"/>
      <c r="M10" s="251"/>
      <c r="N10" s="251"/>
      <c r="O10" s="251"/>
      <c r="P10" s="251"/>
      <c r="Q10" s="251"/>
      <c r="R10" s="252"/>
    </row>
    <row r="11" spans="1:92" ht="24" customHeight="1" x14ac:dyDescent="0.3">
      <c r="A11" s="32" t="s">
        <v>8</v>
      </c>
      <c r="B11" s="32" t="s">
        <v>9</v>
      </c>
      <c r="C11" s="33" t="s">
        <v>10</v>
      </c>
      <c r="D11" s="32" t="s">
        <v>11</v>
      </c>
      <c r="E11" s="32" t="s">
        <v>12</v>
      </c>
      <c r="F11" s="34" t="s">
        <v>13</v>
      </c>
      <c r="G11" s="35" t="s">
        <v>14</v>
      </c>
      <c r="H11" s="32" t="s">
        <v>15</v>
      </c>
      <c r="I11" s="36" t="s">
        <v>16</v>
      </c>
      <c r="J11" s="37" t="s">
        <v>17</v>
      </c>
      <c r="K11" s="38" t="s">
        <v>18</v>
      </c>
      <c r="L11" s="37" t="s">
        <v>19</v>
      </c>
      <c r="M11" s="37" t="s">
        <v>20</v>
      </c>
      <c r="N11" s="37" t="s">
        <v>21</v>
      </c>
      <c r="O11" s="32" t="s">
        <v>22</v>
      </c>
      <c r="P11" s="33" t="s">
        <v>23</v>
      </c>
      <c r="Q11" s="37" t="s">
        <v>24</v>
      </c>
      <c r="R11" s="32" t="s">
        <v>25</v>
      </c>
    </row>
    <row r="12" spans="1:92" ht="49.95" customHeight="1" x14ac:dyDescent="0.3">
      <c r="A12" s="8" t="s">
        <v>266</v>
      </c>
      <c r="B12" s="8" t="s">
        <v>777</v>
      </c>
      <c r="C12" s="9">
        <v>0.49652777777777768</v>
      </c>
      <c r="D12" s="8" t="s">
        <v>268</v>
      </c>
      <c r="E12" s="8" t="s">
        <v>39</v>
      </c>
      <c r="F12" s="8" t="s">
        <v>778</v>
      </c>
      <c r="G12" s="256"/>
      <c r="H12" s="10"/>
      <c r="I12" s="11"/>
      <c r="J12" s="11"/>
      <c r="K12" s="11"/>
      <c r="L12" s="11"/>
      <c r="M12" s="11"/>
      <c r="N12" s="11"/>
      <c r="O12" s="12"/>
      <c r="P12" s="11"/>
      <c r="Q12" s="13"/>
      <c r="R12" s="14"/>
    </row>
    <row r="13" spans="1:92" ht="49.95" customHeight="1" x14ac:dyDescent="0.3">
      <c r="A13" s="15" t="s">
        <v>266</v>
      </c>
      <c r="B13" s="15" t="s">
        <v>777</v>
      </c>
      <c r="C13" s="16">
        <v>0.49652777777777768</v>
      </c>
      <c r="D13" s="15" t="s">
        <v>34</v>
      </c>
      <c r="E13" s="15" t="s">
        <v>42</v>
      </c>
      <c r="F13" s="15" t="s">
        <v>779</v>
      </c>
      <c r="G13" s="257"/>
      <c r="H13" s="10"/>
      <c r="I13" s="11"/>
      <c r="J13" s="11"/>
      <c r="K13" s="11"/>
      <c r="L13" s="11"/>
      <c r="M13" s="11"/>
      <c r="N13" s="11"/>
      <c r="O13" s="12"/>
      <c r="P13" s="11"/>
      <c r="Q13" s="13"/>
      <c r="R13" s="14"/>
    </row>
    <row r="14" spans="1:92" ht="49.95" customHeight="1" x14ac:dyDescent="0.3">
      <c r="A14" s="17" t="s">
        <v>586</v>
      </c>
      <c r="B14" s="17" t="s">
        <v>780</v>
      </c>
      <c r="C14" s="18">
        <v>0.98611111111111116</v>
      </c>
      <c r="D14" s="17" t="s">
        <v>100</v>
      </c>
      <c r="E14" s="17" t="s">
        <v>55</v>
      </c>
      <c r="F14" s="17" t="s">
        <v>465</v>
      </c>
      <c r="G14" s="257"/>
      <c r="H14" s="10"/>
      <c r="I14" s="11"/>
      <c r="J14" s="11"/>
      <c r="K14" s="11"/>
      <c r="L14" s="11"/>
      <c r="M14" s="11"/>
      <c r="N14" s="11"/>
      <c r="O14" s="12"/>
      <c r="P14" s="11"/>
      <c r="Q14" s="13"/>
      <c r="R14" s="14"/>
    </row>
    <row r="15" spans="1:92" ht="49.95" customHeight="1" x14ac:dyDescent="0.3">
      <c r="A15" s="17" t="s">
        <v>68</v>
      </c>
      <c r="B15" s="17" t="s">
        <v>775</v>
      </c>
      <c r="C15" s="18">
        <v>0.98263888888888884</v>
      </c>
      <c r="D15" s="17" t="s">
        <v>70</v>
      </c>
      <c r="E15" s="17" t="s">
        <v>55</v>
      </c>
      <c r="F15" s="17" t="s">
        <v>776</v>
      </c>
      <c r="G15" s="257"/>
      <c r="H15" s="10"/>
      <c r="I15" s="11"/>
      <c r="J15" s="11"/>
      <c r="K15" s="11"/>
      <c r="L15" s="11"/>
      <c r="M15" s="11"/>
      <c r="N15" s="11"/>
      <c r="O15" s="12"/>
      <c r="P15" s="11"/>
      <c r="Q15" s="13"/>
      <c r="R15" s="14"/>
    </row>
    <row r="16" spans="1:92" ht="49.95" customHeight="1" thickBot="1" x14ac:dyDescent="0.35">
      <c r="A16" s="199" t="s">
        <v>239</v>
      </c>
      <c r="B16" s="199" t="s">
        <v>781</v>
      </c>
      <c r="C16" s="200">
        <v>0.75694444444444453</v>
      </c>
      <c r="D16" s="199" t="s">
        <v>100</v>
      </c>
      <c r="E16" s="199" t="s">
        <v>269</v>
      </c>
      <c r="F16" s="199" t="s">
        <v>329</v>
      </c>
      <c r="G16" s="258"/>
      <c r="H16" s="41"/>
      <c r="I16" s="42"/>
      <c r="J16" s="42"/>
      <c r="K16" s="42"/>
      <c r="L16" s="42"/>
      <c r="M16" s="42"/>
      <c r="N16" s="42"/>
      <c r="O16" s="43"/>
      <c r="P16" s="42"/>
      <c r="Q16" s="44"/>
      <c r="R16" s="45"/>
    </row>
    <row r="17" spans="1:18" ht="17.399999999999999" customHeight="1" thickBot="1" x14ac:dyDescent="0.35">
      <c r="A17" s="285"/>
      <c r="B17" s="286"/>
      <c r="C17" s="286"/>
      <c r="D17" s="286"/>
      <c r="E17" s="286"/>
      <c r="F17" s="286"/>
      <c r="G17" s="286"/>
      <c r="H17" s="286"/>
      <c r="I17" s="286"/>
      <c r="J17" s="286"/>
      <c r="K17" s="286"/>
      <c r="L17" s="286"/>
      <c r="M17" s="286"/>
      <c r="N17" s="286"/>
      <c r="O17" s="286"/>
      <c r="P17" s="286"/>
      <c r="Q17" s="286"/>
      <c r="R17" s="287"/>
    </row>
    <row r="18" spans="1:18" ht="22.05" customHeight="1" thickTop="1" thickBot="1" x14ac:dyDescent="0.35">
      <c r="A18" s="259" t="s">
        <v>6</v>
      </c>
      <c r="B18" s="251"/>
      <c r="C18" s="251"/>
      <c r="D18" s="251"/>
      <c r="E18" s="251"/>
      <c r="F18" s="252"/>
      <c r="G18" s="31">
        <v>45983</v>
      </c>
      <c r="H18" s="250" t="s">
        <v>7</v>
      </c>
      <c r="I18" s="251"/>
      <c r="J18" s="251"/>
      <c r="K18" s="251"/>
      <c r="L18" s="251"/>
      <c r="M18" s="251"/>
      <c r="N18" s="251"/>
      <c r="O18" s="251"/>
      <c r="P18" s="251"/>
      <c r="Q18" s="251"/>
      <c r="R18" s="252"/>
    </row>
    <row r="19" spans="1:18" ht="24" customHeight="1" x14ac:dyDescent="0.3">
      <c r="A19" s="32" t="s">
        <v>8</v>
      </c>
      <c r="B19" s="32" t="s">
        <v>9</v>
      </c>
      <c r="C19" s="33" t="s">
        <v>10</v>
      </c>
      <c r="D19" s="32" t="s">
        <v>11</v>
      </c>
      <c r="E19" s="32" t="s">
        <v>12</v>
      </c>
      <c r="F19" s="34" t="s">
        <v>13</v>
      </c>
      <c r="G19" s="35" t="s">
        <v>14</v>
      </c>
      <c r="H19" s="32" t="s">
        <v>15</v>
      </c>
      <c r="I19" s="36" t="s">
        <v>16</v>
      </c>
      <c r="J19" s="37" t="s">
        <v>17</v>
      </c>
      <c r="K19" s="38" t="s">
        <v>18</v>
      </c>
      <c r="L19" s="37" t="s">
        <v>19</v>
      </c>
      <c r="M19" s="37" t="s">
        <v>20</v>
      </c>
      <c r="N19" s="37" t="s">
        <v>21</v>
      </c>
      <c r="O19" s="32" t="s">
        <v>22</v>
      </c>
      <c r="P19" s="33" t="s">
        <v>23</v>
      </c>
      <c r="Q19" s="37" t="s">
        <v>24</v>
      </c>
      <c r="R19" s="32" t="s">
        <v>25</v>
      </c>
    </row>
    <row r="20" spans="1:18" ht="49.95" customHeight="1" x14ac:dyDescent="0.3">
      <c r="A20" s="187" t="s">
        <v>73</v>
      </c>
      <c r="B20" s="187" t="s">
        <v>772</v>
      </c>
      <c r="C20" s="188">
        <v>0.83680555555555547</v>
      </c>
      <c r="D20" s="187" t="s">
        <v>100</v>
      </c>
      <c r="E20" s="187" t="s">
        <v>29</v>
      </c>
      <c r="F20" s="187" t="s">
        <v>782</v>
      </c>
      <c r="G20" s="256"/>
      <c r="H20" s="152" t="s">
        <v>773</v>
      </c>
      <c r="I20" s="153">
        <v>0.66969999999999996</v>
      </c>
      <c r="J20" s="154">
        <v>73</v>
      </c>
      <c r="K20" s="155" t="s">
        <v>103</v>
      </c>
      <c r="L20" s="154">
        <v>40</v>
      </c>
      <c r="M20" s="154">
        <v>0</v>
      </c>
      <c r="N20" s="154">
        <v>14</v>
      </c>
      <c r="O20" s="156" t="s">
        <v>182</v>
      </c>
      <c r="P20" s="157">
        <v>0.83680555555555547</v>
      </c>
      <c r="Q20" s="154">
        <v>109</v>
      </c>
      <c r="R20" s="158" t="s">
        <v>783</v>
      </c>
    </row>
    <row r="21" spans="1:18" ht="49.95" customHeight="1" x14ac:dyDescent="0.3">
      <c r="A21" s="199" t="s">
        <v>239</v>
      </c>
      <c r="B21" s="199" t="s">
        <v>770</v>
      </c>
      <c r="C21" s="200">
        <v>0.75694444444444453</v>
      </c>
      <c r="D21" s="199" t="s">
        <v>100</v>
      </c>
      <c r="E21" s="199" t="s">
        <v>298</v>
      </c>
      <c r="F21" s="199" t="s">
        <v>329</v>
      </c>
      <c r="G21" s="258"/>
      <c r="H21" s="41"/>
      <c r="I21" s="42"/>
      <c r="J21" s="42"/>
      <c r="K21" s="42"/>
      <c r="L21" s="42"/>
      <c r="M21" s="42"/>
      <c r="N21" s="42"/>
      <c r="O21" s="43"/>
      <c r="P21" s="42"/>
      <c r="Q21" s="44"/>
      <c r="R21" s="45"/>
    </row>
  </sheetData>
  <mergeCells count="18">
    <mergeCell ref="G20:G21"/>
    <mergeCell ref="N1:R1"/>
    <mergeCell ref="G12:G16"/>
    <mergeCell ref="H18:R18"/>
    <mergeCell ref="H4:R4"/>
    <mergeCell ref="A17:R17"/>
    <mergeCell ref="A18:F18"/>
    <mergeCell ref="A2:F2"/>
    <mergeCell ref="A3:R3"/>
    <mergeCell ref="A10:F10"/>
    <mergeCell ref="A9:R9"/>
    <mergeCell ref="H1:L1"/>
    <mergeCell ref="A1:E1"/>
    <mergeCell ref="G2:J2"/>
    <mergeCell ref="K2:R2"/>
    <mergeCell ref="A4:F4"/>
    <mergeCell ref="H10:R10"/>
    <mergeCell ref="G6:G8"/>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J4"/>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8.3320312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30" width="3.88671875" style="272" bestFit="1" customWidth="1"/>
    <col min="31" max="31" width="4.5546875" style="272" bestFit="1" customWidth="1"/>
    <col min="32"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135</v>
      </c>
      <c r="B2" s="274">
        <v>45981</v>
      </c>
      <c r="C2" s="275" t="s">
        <v>773</v>
      </c>
      <c r="D2" s="276" t="s">
        <v>784</v>
      </c>
      <c r="E2" s="275" t="s">
        <v>769</v>
      </c>
      <c r="F2" s="275" t="s">
        <v>137</v>
      </c>
      <c r="G2" s="277">
        <v>0.36309999999999998</v>
      </c>
      <c r="H2" s="278">
        <v>179</v>
      </c>
      <c r="I2" s="278">
        <v>65</v>
      </c>
      <c r="J2" s="278">
        <v>0</v>
      </c>
      <c r="K2" s="275" t="s">
        <v>138</v>
      </c>
      <c r="L2" s="279" t="s">
        <v>103</v>
      </c>
      <c r="M2" s="278">
        <v>0</v>
      </c>
      <c r="N2" s="278">
        <v>6</v>
      </c>
      <c r="O2" s="278">
        <v>34</v>
      </c>
      <c r="P2" s="275" t="s">
        <v>202</v>
      </c>
      <c r="Q2" s="271"/>
      <c r="R2" s="271"/>
      <c r="S2" s="271"/>
      <c r="T2" s="271"/>
      <c r="U2" s="271"/>
      <c r="V2" s="271"/>
      <c r="W2" s="271"/>
      <c r="X2" s="271"/>
      <c r="Y2" s="271"/>
      <c r="Z2" s="278" t="s">
        <v>139</v>
      </c>
      <c r="AA2" s="271"/>
      <c r="AB2" s="271"/>
      <c r="AC2" s="271"/>
      <c r="AD2" s="278" t="s">
        <v>785</v>
      </c>
      <c r="AE2" s="278" t="s">
        <v>734</v>
      </c>
      <c r="AF2" s="278" t="s">
        <v>786</v>
      </c>
      <c r="AG2" s="271"/>
      <c r="AH2" s="271"/>
      <c r="AI2" s="271"/>
      <c r="AJ2" s="271"/>
    </row>
    <row r="3" spans="1:36" x14ac:dyDescent="0.3">
      <c r="A3" s="273" t="s">
        <v>146</v>
      </c>
      <c r="B3" s="274">
        <v>45983</v>
      </c>
      <c r="C3" s="275" t="s">
        <v>773</v>
      </c>
      <c r="D3" s="276" t="s">
        <v>437</v>
      </c>
      <c r="E3" s="275" t="s">
        <v>769</v>
      </c>
      <c r="F3" s="275" t="s">
        <v>787</v>
      </c>
      <c r="G3" s="277">
        <v>0.66969999999999996</v>
      </c>
      <c r="H3" s="278">
        <v>109</v>
      </c>
      <c r="I3" s="278">
        <v>73</v>
      </c>
      <c r="J3" s="278">
        <v>0</v>
      </c>
      <c r="K3" s="275" t="s">
        <v>138</v>
      </c>
      <c r="L3" s="279" t="s">
        <v>103</v>
      </c>
      <c r="M3" s="278">
        <v>0</v>
      </c>
      <c r="N3" s="278">
        <v>14</v>
      </c>
      <c r="O3" s="278">
        <v>40</v>
      </c>
      <c r="P3" s="275" t="s">
        <v>182</v>
      </c>
      <c r="Q3" s="271"/>
      <c r="R3" s="271"/>
      <c r="S3" s="271"/>
      <c r="T3" s="271"/>
      <c r="U3" s="271"/>
      <c r="V3" s="271"/>
      <c r="W3" s="271"/>
      <c r="X3" s="271"/>
      <c r="Y3" s="271"/>
      <c r="Z3" s="278" t="s">
        <v>254</v>
      </c>
      <c r="AA3" s="271"/>
      <c r="AB3" s="271"/>
      <c r="AC3" s="271"/>
      <c r="AD3" s="278" t="s">
        <v>785</v>
      </c>
      <c r="AE3" s="278" t="s">
        <v>142</v>
      </c>
      <c r="AF3" s="278" t="s">
        <v>788</v>
      </c>
      <c r="AG3" s="271"/>
      <c r="AH3" s="271"/>
      <c r="AI3" s="271"/>
      <c r="AJ3" s="271"/>
    </row>
    <row r="4" spans="1:36" ht="21" x14ac:dyDescent="0.3">
      <c r="A4" s="280" t="s">
        <v>943</v>
      </c>
      <c r="B4" s="281"/>
      <c r="C4" s="280">
        <f>SUBTOTAL(103,CAI_TUU_LF_LEGACY[Flt])</f>
        <v>2</v>
      </c>
      <c r="D4" s="280"/>
      <c r="E4" s="280">
        <f>SUBTOTAL(103,CAI_TUU_LF_LEGACY[Brd-Off])</f>
        <v>2</v>
      </c>
      <c r="F4" s="280"/>
      <c r="G4" s="282">
        <f>SUBTOTAL(101,CAI_TUU_LF_LEGACY[LF%])</f>
        <v>0.51639999999999997</v>
      </c>
      <c r="H4" s="283">
        <f>SUBTOTAL(109,CAI_TUU_LF_LEGACY[CAP])</f>
        <v>288</v>
      </c>
      <c r="I4" s="283">
        <f>SUBTOTAL(109,CAI_TUU_LF_LEGACY[BKG(Y)])</f>
        <v>138</v>
      </c>
      <c r="J4" s="283">
        <f>SUBTOTAL(109,CAI_TUU_LF_LEGACY[GRP(Y)])</f>
        <v>0</v>
      </c>
      <c r="K4" s="280"/>
      <c r="L4" s="281"/>
      <c r="M4" s="283">
        <f>SUBTOTAL(109,CAI_TUU_LF_LEGACY[TO-DAY])</f>
        <v>0</v>
      </c>
      <c r="N4" s="283">
        <f>SUBTOTAL(109,CAI_TUU_LF_LEGACY[Y-DAY])</f>
        <v>20</v>
      </c>
      <c r="O4" s="283">
        <f>SUBTOTAL(109,CAI_TUU_LF_LEGACY[WEEKLY])</f>
        <v>74</v>
      </c>
      <c r="P4" s="284"/>
      <c r="Q4" s="283">
        <f>SUBTOTAL(109,CAI_TUU_LF_LEGACY[Y])</f>
        <v>0</v>
      </c>
      <c r="R4" s="283">
        <f>SUBTOTAL(109,CAI_TUU_LF_LEGACY[B])</f>
        <v>0</v>
      </c>
      <c r="S4" s="283">
        <f>SUBTOTAL(109,CAI_TUU_LF_LEGACY[M])</f>
        <v>0</v>
      </c>
      <c r="T4" s="283">
        <f>SUBTOTAL(109,CAI_TUU_LF_LEGACY[H])</f>
        <v>0</v>
      </c>
      <c r="U4" s="283">
        <f>SUBTOTAL(109,CAI_TUU_LF_LEGACY[Q])</f>
        <v>0</v>
      </c>
      <c r="V4" s="283">
        <f>SUBTOTAL(109,CAI_TUU_LF_LEGACY[K])</f>
        <v>0</v>
      </c>
      <c r="W4" s="283">
        <f>SUBTOTAL(109,CAI_TUU_LF_LEGACY[V])</f>
        <v>0</v>
      </c>
      <c r="X4" s="283">
        <f>SUBTOTAL(109,CAI_TUU_LF_LEGACY[L])</f>
        <v>0</v>
      </c>
      <c r="Y4" s="283">
        <f>SUBTOTAL(109,CAI_TUU_LF_LEGACY[G])</f>
        <v>0</v>
      </c>
      <c r="Z4" s="283">
        <f>SUBTOTAL(109,CAI_TUU_LF_LEGACY[S])</f>
        <v>0</v>
      </c>
      <c r="AA4" s="283">
        <f>SUBTOTAL(109,CAI_TUU_LF_LEGACY[W])</f>
        <v>0</v>
      </c>
      <c r="AB4" s="283">
        <f>SUBTOTAL(109,CAI_TUU_LF_LEGACY[T])</f>
        <v>0</v>
      </c>
      <c r="AC4" s="283">
        <f>SUBTOTAL(109,CAI_TUU_LF_LEGACY[X])</f>
        <v>0</v>
      </c>
      <c r="AD4" s="283">
        <f>SUBTOTAL(109,CAI_TUU_LF_LEGACY[U])</f>
        <v>0</v>
      </c>
      <c r="AE4" s="283">
        <f>SUBTOTAL(109,CAI_TUU_LF_LEGACY[O])</f>
        <v>0</v>
      </c>
      <c r="AF4" s="283">
        <f>SUBTOTAL(109,CAI_TUU_LF_LEGACY[I])</f>
        <v>0</v>
      </c>
      <c r="AG4" s="283">
        <f>SUBTOTAL(109,CAI_TUU_LF_LEGACY[E])</f>
        <v>0</v>
      </c>
      <c r="AH4" s="283">
        <f>SUBTOTAL(109,CAI_TUU_LF_LEGACY[A])</f>
        <v>0</v>
      </c>
      <c r="AI4" s="283">
        <f>SUBTOTAL(109,CAI_TUU_LF_LEGACY[P])</f>
        <v>0</v>
      </c>
      <c r="AJ4" s="283">
        <f>SUBTOTAL(103,CAI_TUU_LF_LEGACY[N])</f>
        <v>0</v>
      </c>
    </row>
  </sheetData>
  <pageMargins left="0.75" right="0.75" top="1" bottom="1" header="0.5" footer="0.5"/>
  <tableParts count="1">
    <tablePart r:id="rId1"/>
  </tableParts>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1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3.109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239</v>
      </c>
      <c r="C2" s="61" t="s">
        <v>770</v>
      </c>
      <c r="D2" s="60" t="s">
        <v>769</v>
      </c>
      <c r="E2" s="60" t="s">
        <v>749</v>
      </c>
      <c r="F2" s="60" t="s">
        <v>100</v>
      </c>
      <c r="G2" s="62">
        <v>4</v>
      </c>
      <c r="H2" s="63" t="s">
        <v>771</v>
      </c>
    </row>
    <row r="3" spans="1:8" ht="19.8" customHeight="1" x14ac:dyDescent="0.3">
      <c r="A3" s="99" t="s">
        <v>152</v>
      </c>
      <c r="B3" s="77" t="s">
        <v>73</v>
      </c>
      <c r="C3" s="78" t="s">
        <v>772</v>
      </c>
      <c r="D3" s="77" t="s">
        <v>769</v>
      </c>
      <c r="E3" s="77" t="s">
        <v>784</v>
      </c>
      <c r="F3" s="77" t="s">
        <v>100</v>
      </c>
      <c r="G3" s="80">
        <v>9</v>
      </c>
      <c r="H3" s="81" t="s">
        <v>465</v>
      </c>
    </row>
    <row r="4" spans="1:8" ht="19.8" customHeight="1" x14ac:dyDescent="0.3">
      <c r="A4" s="70">
        <v>45981</v>
      </c>
      <c r="B4" s="71" t="s">
        <v>68</v>
      </c>
      <c r="C4" s="72" t="s">
        <v>775</v>
      </c>
      <c r="D4" s="71" t="s">
        <v>769</v>
      </c>
      <c r="E4" s="73">
        <v>1.9826388888888891</v>
      </c>
      <c r="F4" s="71" t="s">
        <v>70</v>
      </c>
      <c r="G4" s="74">
        <v>9</v>
      </c>
      <c r="H4" s="75" t="s">
        <v>776</v>
      </c>
    </row>
    <row r="5" spans="1:8" ht="19.8" customHeight="1" x14ac:dyDescent="0.3">
      <c r="A5" s="68">
        <v>45982</v>
      </c>
      <c r="B5" s="60" t="s">
        <v>266</v>
      </c>
      <c r="C5" s="61" t="s">
        <v>777</v>
      </c>
      <c r="D5" s="60" t="s">
        <v>769</v>
      </c>
      <c r="E5" s="69">
        <v>1.4965277777777779</v>
      </c>
      <c r="F5" s="60" t="s">
        <v>268</v>
      </c>
      <c r="G5" s="62">
        <v>9</v>
      </c>
      <c r="H5" s="63" t="s">
        <v>778</v>
      </c>
    </row>
    <row r="6" spans="1:8" ht="19.8" customHeight="1" x14ac:dyDescent="0.3">
      <c r="A6" s="68">
        <v>45982</v>
      </c>
      <c r="B6" s="60" t="s">
        <v>586</v>
      </c>
      <c r="C6" s="61" t="s">
        <v>780</v>
      </c>
      <c r="D6" s="60" t="s">
        <v>769</v>
      </c>
      <c r="E6" s="69">
        <v>1.9861111111111109</v>
      </c>
      <c r="F6" s="60" t="s">
        <v>100</v>
      </c>
      <c r="G6" s="62">
        <v>9</v>
      </c>
      <c r="H6" s="63" t="s">
        <v>465</v>
      </c>
    </row>
    <row r="7" spans="1:8" ht="19.8" customHeight="1" x14ac:dyDescent="0.3">
      <c r="A7" s="68">
        <v>45982</v>
      </c>
      <c r="B7" s="60" t="s">
        <v>68</v>
      </c>
      <c r="C7" s="61" t="s">
        <v>775</v>
      </c>
      <c r="D7" s="60" t="s">
        <v>769</v>
      </c>
      <c r="E7" s="69">
        <v>1.9826388888888891</v>
      </c>
      <c r="F7" s="60" t="s">
        <v>70</v>
      </c>
      <c r="G7" s="62">
        <v>9</v>
      </c>
      <c r="H7" s="63" t="s">
        <v>776</v>
      </c>
    </row>
    <row r="8" spans="1:8" ht="19.8" customHeight="1" x14ac:dyDescent="0.3">
      <c r="A8" s="68">
        <v>45982</v>
      </c>
      <c r="B8" s="60" t="s">
        <v>239</v>
      </c>
      <c r="C8" s="61" t="s">
        <v>781</v>
      </c>
      <c r="D8" s="60" t="s">
        <v>769</v>
      </c>
      <c r="E8" s="69">
        <v>1.756944444444444</v>
      </c>
      <c r="F8" s="60" t="s">
        <v>100</v>
      </c>
      <c r="G8" s="62">
        <v>5</v>
      </c>
      <c r="H8" s="63" t="s">
        <v>329</v>
      </c>
    </row>
    <row r="9" spans="1:8" ht="19.8" customHeight="1" x14ac:dyDescent="0.3">
      <c r="A9" s="70">
        <v>45982</v>
      </c>
      <c r="B9" s="71" t="s">
        <v>266</v>
      </c>
      <c r="C9" s="72" t="s">
        <v>777</v>
      </c>
      <c r="D9" s="71" t="s">
        <v>769</v>
      </c>
      <c r="E9" s="73">
        <v>1.4965277777777779</v>
      </c>
      <c r="F9" s="71" t="s">
        <v>34</v>
      </c>
      <c r="G9" s="74">
        <v>9</v>
      </c>
      <c r="H9" s="75" t="s">
        <v>779</v>
      </c>
    </row>
    <row r="10" spans="1:8" ht="19.8" customHeight="1" x14ac:dyDescent="0.3">
      <c r="A10" s="76">
        <v>45983</v>
      </c>
      <c r="B10" s="77" t="s">
        <v>73</v>
      </c>
      <c r="C10" s="78" t="s">
        <v>772</v>
      </c>
      <c r="D10" s="77" t="s">
        <v>769</v>
      </c>
      <c r="E10" s="79">
        <v>1.836805555555556</v>
      </c>
      <c r="F10" s="77" t="s">
        <v>100</v>
      </c>
      <c r="G10" s="80">
        <v>7</v>
      </c>
      <c r="H10" s="81" t="s">
        <v>782</v>
      </c>
    </row>
    <row r="11" spans="1:8" ht="19.8" customHeight="1" x14ac:dyDescent="0.3">
      <c r="A11" s="70">
        <v>45983</v>
      </c>
      <c r="B11" s="71" t="s">
        <v>239</v>
      </c>
      <c r="C11" s="72" t="s">
        <v>770</v>
      </c>
      <c r="D11" s="71" t="s">
        <v>769</v>
      </c>
      <c r="E11" s="73">
        <v>1.756944444444444</v>
      </c>
      <c r="F11" s="71" t="s">
        <v>100</v>
      </c>
      <c r="G11" s="74">
        <v>4</v>
      </c>
      <c r="H11" s="75" t="s">
        <v>329</v>
      </c>
    </row>
  </sheetData>
  <pageMargins left="0.75" right="0.75" top="1" bottom="1" header="0.5" footer="0.5"/>
  <legacyDrawing r:id="rId1"/>
  <tableParts count="1">
    <tablePart r:id="rId2"/>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3.109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239</v>
      </c>
      <c r="C2" s="61" t="s">
        <v>770</v>
      </c>
      <c r="D2" s="60" t="s">
        <v>769</v>
      </c>
      <c r="E2" s="60" t="s">
        <v>749</v>
      </c>
      <c r="F2" s="60" t="s">
        <v>100</v>
      </c>
      <c r="G2" s="62">
        <v>4</v>
      </c>
      <c r="H2" s="63" t="s">
        <v>771</v>
      </c>
    </row>
    <row r="3" spans="1:8" ht="19.8" customHeight="1" x14ac:dyDescent="0.3">
      <c r="A3" s="64" t="s">
        <v>152</v>
      </c>
      <c r="B3" s="65" t="s">
        <v>73</v>
      </c>
      <c r="C3" s="66" t="s">
        <v>772</v>
      </c>
      <c r="D3" s="65" t="s">
        <v>769</v>
      </c>
      <c r="E3" s="65" t="s">
        <v>784</v>
      </c>
      <c r="F3" s="65" t="s">
        <v>100</v>
      </c>
      <c r="G3" s="84">
        <v>9</v>
      </c>
      <c r="H3" s="67" t="s">
        <v>465</v>
      </c>
    </row>
    <row r="4" spans="1:8" ht="19.8" customHeight="1" x14ac:dyDescent="0.3">
      <c r="A4" s="68">
        <v>45982</v>
      </c>
      <c r="B4" s="60" t="s">
        <v>266</v>
      </c>
      <c r="C4" s="61" t="s">
        <v>777</v>
      </c>
      <c r="D4" s="60" t="s">
        <v>769</v>
      </c>
      <c r="E4" s="69">
        <v>1.4965277777777779</v>
      </c>
      <c r="F4" s="60" t="s">
        <v>268</v>
      </c>
      <c r="G4" s="62">
        <v>9</v>
      </c>
      <c r="H4" s="63" t="s">
        <v>778</v>
      </c>
    </row>
    <row r="5" spans="1:8" ht="19.8" customHeight="1" x14ac:dyDescent="0.3">
      <c r="A5" s="68">
        <v>45982</v>
      </c>
      <c r="B5" s="60" t="s">
        <v>586</v>
      </c>
      <c r="C5" s="61" t="s">
        <v>780</v>
      </c>
      <c r="D5" s="60" t="s">
        <v>769</v>
      </c>
      <c r="E5" s="69">
        <v>1.9861111111111109</v>
      </c>
      <c r="F5" s="60" t="s">
        <v>100</v>
      </c>
      <c r="G5" s="62">
        <v>9</v>
      </c>
      <c r="H5" s="63" t="s">
        <v>465</v>
      </c>
    </row>
    <row r="6" spans="1:8" ht="19.8" customHeight="1" x14ac:dyDescent="0.3">
      <c r="A6" s="68">
        <v>45982</v>
      </c>
      <c r="B6" s="60" t="s">
        <v>68</v>
      </c>
      <c r="C6" s="61" t="s">
        <v>775</v>
      </c>
      <c r="D6" s="60" t="s">
        <v>769</v>
      </c>
      <c r="E6" s="69">
        <v>1.9826388888888891</v>
      </c>
      <c r="F6" s="60" t="s">
        <v>70</v>
      </c>
      <c r="G6" s="62">
        <v>9</v>
      </c>
      <c r="H6" s="63" t="s">
        <v>776</v>
      </c>
    </row>
    <row r="7" spans="1:8" ht="19.8" customHeight="1" x14ac:dyDescent="0.3">
      <c r="A7" s="68">
        <v>45982</v>
      </c>
      <c r="B7" s="60" t="s">
        <v>239</v>
      </c>
      <c r="C7" s="61" t="s">
        <v>781</v>
      </c>
      <c r="D7" s="60" t="s">
        <v>769</v>
      </c>
      <c r="E7" s="69">
        <v>1.756944444444444</v>
      </c>
      <c r="F7" s="60" t="s">
        <v>100</v>
      </c>
      <c r="G7" s="62">
        <v>5</v>
      </c>
      <c r="H7" s="63" t="s">
        <v>329</v>
      </c>
    </row>
    <row r="8" spans="1:8" ht="19.8" customHeight="1" x14ac:dyDescent="0.3">
      <c r="A8" s="70">
        <v>45982</v>
      </c>
      <c r="B8" s="71" t="s">
        <v>266</v>
      </c>
      <c r="C8" s="72" t="s">
        <v>777</v>
      </c>
      <c r="D8" s="71" t="s">
        <v>769</v>
      </c>
      <c r="E8" s="73">
        <v>1.4965277777777779</v>
      </c>
      <c r="F8" s="71" t="s">
        <v>34</v>
      </c>
      <c r="G8" s="74">
        <v>9</v>
      </c>
      <c r="H8" s="75" t="s">
        <v>779</v>
      </c>
    </row>
    <row r="9" spans="1:8" ht="19.8" customHeight="1" x14ac:dyDescent="0.3">
      <c r="A9" s="82">
        <v>45983</v>
      </c>
      <c r="B9" s="65" t="s">
        <v>73</v>
      </c>
      <c r="C9" s="66" t="s">
        <v>772</v>
      </c>
      <c r="D9" s="65" t="s">
        <v>769</v>
      </c>
      <c r="E9" s="83">
        <v>1.836805555555556</v>
      </c>
      <c r="F9" s="65" t="s">
        <v>100</v>
      </c>
      <c r="G9" s="84">
        <v>7</v>
      </c>
      <c r="H9" s="67" t="s">
        <v>782</v>
      </c>
    </row>
  </sheetData>
  <pageMargins left="0.75" right="0.75" top="1" bottom="1" header="0.5" footer="0.5"/>
  <legacyDrawing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N14"/>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10.77734375" bestFit="1" customWidth="1"/>
  </cols>
  <sheetData>
    <row r="1" spans="1:92" ht="28.8" customHeight="1" x14ac:dyDescent="0.3">
      <c r="A1" s="261" t="s">
        <v>0</v>
      </c>
      <c r="B1" s="254"/>
      <c r="C1" s="254"/>
      <c r="D1" s="254"/>
      <c r="E1" s="254"/>
      <c r="F1" s="1" t="s">
        <v>789</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45980.430496503563</v>
      </c>
      <c r="H2" s="254"/>
      <c r="I2" s="254"/>
      <c r="J2" s="254"/>
      <c r="K2" s="263">
        <v>45980.430496504028</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45982</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87" t="s">
        <v>73</v>
      </c>
      <c r="B6" s="187" t="s">
        <v>790</v>
      </c>
      <c r="C6" s="188">
        <v>0.37847222222222232</v>
      </c>
      <c r="D6" s="187" t="s">
        <v>100</v>
      </c>
      <c r="E6" s="187" t="s">
        <v>269</v>
      </c>
      <c r="F6" s="187" t="s">
        <v>791</v>
      </c>
      <c r="G6" s="256"/>
      <c r="H6" s="152" t="s">
        <v>792</v>
      </c>
      <c r="I6" s="206">
        <v>0.41899999999999998</v>
      </c>
      <c r="J6" s="154">
        <v>75</v>
      </c>
      <c r="K6" s="155" t="s">
        <v>103</v>
      </c>
      <c r="L6" s="154">
        <v>45</v>
      </c>
      <c r="M6" s="154">
        <v>0</v>
      </c>
      <c r="N6" s="154">
        <v>6</v>
      </c>
      <c r="O6" s="156" t="s">
        <v>382</v>
      </c>
      <c r="P6" s="157">
        <v>0.37847222222222232</v>
      </c>
      <c r="Q6" s="154">
        <v>179</v>
      </c>
      <c r="R6" s="158" t="s">
        <v>793</v>
      </c>
    </row>
    <row r="7" spans="1:92" ht="18" x14ac:dyDescent="0.3">
      <c r="A7" s="268" t="s">
        <v>794</v>
      </c>
      <c r="B7" s="269"/>
      <c r="C7" s="269"/>
      <c r="D7" s="269"/>
      <c r="E7" s="269"/>
      <c r="F7" s="270"/>
      <c r="G7" s="257"/>
      <c r="H7" s="94"/>
      <c r="I7" s="94"/>
      <c r="J7" s="94"/>
      <c r="K7" s="94"/>
      <c r="L7" s="94"/>
      <c r="M7" s="94"/>
      <c r="N7" s="94"/>
      <c r="O7" s="95"/>
      <c r="P7" s="94"/>
      <c r="Q7" s="55"/>
      <c r="R7" s="55"/>
    </row>
    <row r="8" spans="1:92" ht="15" customHeight="1" x14ac:dyDescent="0.3">
      <c r="A8" s="19" t="s">
        <v>266</v>
      </c>
      <c r="B8" s="19" t="s">
        <v>777</v>
      </c>
      <c r="C8" s="20" t="s">
        <v>795</v>
      </c>
      <c r="D8" s="19" t="s">
        <v>268</v>
      </c>
      <c r="E8" s="19" t="s">
        <v>169</v>
      </c>
      <c r="F8" s="19" t="s">
        <v>778</v>
      </c>
      <c r="G8" s="257"/>
      <c r="H8" s="94"/>
      <c r="I8" s="94"/>
      <c r="J8" s="94"/>
      <c r="K8" s="94"/>
      <c r="L8" s="94"/>
      <c r="M8" s="94"/>
      <c r="N8" s="94"/>
      <c r="O8" s="95"/>
      <c r="P8" s="94"/>
      <c r="Q8" s="55"/>
      <c r="R8" s="55"/>
    </row>
    <row r="9" spans="1:92" ht="15" customHeight="1" x14ac:dyDescent="0.3">
      <c r="A9" s="19" t="s">
        <v>586</v>
      </c>
      <c r="B9" s="19" t="s">
        <v>780</v>
      </c>
      <c r="C9" s="20" t="s">
        <v>796</v>
      </c>
      <c r="D9" s="19" t="s">
        <v>100</v>
      </c>
      <c r="E9" s="19" t="s">
        <v>171</v>
      </c>
      <c r="F9" s="19" t="s">
        <v>465</v>
      </c>
      <c r="G9" s="257"/>
      <c r="H9" s="94"/>
      <c r="I9" s="94"/>
      <c r="J9" s="94"/>
      <c r="K9" s="94"/>
      <c r="L9" s="94"/>
      <c r="M9" s="94"/>
      <c r="N9" s="94"/>
      <c r="O9" s="95"/>
      <c r="P9" s="94"/>
      <c r="Q9" s="55"/>
      <c r="R9" s="55"/>
    </row>
    <row r="10" spans="1:92" ht="15" customHeight="1" x14ac:dyDescent="0.3">
      <c r="A10" s="19" t="s">
        <v>68</v>
      </c>
      <c r="B10" s="19" t="s">
        <v>775</v>
      </c>
      <c r="C10" s="20" t="s">
        <v>797</v>
      </c>
      <c r="D10" s="19" t="s">
        <v>70</v>
      </c>
      <c r="E10" s="19" t="s">
        <v>171</v>
      </c>
      <c r="F10" s="19" t="s">
        <v>776</v>
      </c>
      <c r="G10" s="257"/>
      <c r="H10" s="94"/>
      <c r="I10" s="94"/>
      <c r="J10" s="94"/>
      <c r="K10" s="94"/>
      <c r="L10" s="94"/>
      <c r="M10" s="94"/>
      <c r="N10" s="94"/>
      <c r="O10" s="95"/>
      <c r="P10" s="94"/>
      <c r="Q10" s="55"/>
      <c r="R10" s="55"/>
    </row>
    <row r="11" spans="1:92" ht="15" customHeight="1" x14ac:dyDescent="0.3">
      <c r="A11" s="19" t="s">
        <v>239</v>
      </c>
      <c r="B11" s="19" t="s">
        <v>781</v>
      </c>
      <c r="C11" s="20" t="s">
        <v>749</v>
      </c>
      <c r="D11" s="19" t="s">
        <v>100</v>
      </c>
      <c r="E11" s="19" t="s">
        <v>685</v>
      </c>
      <c r="F11" s="19" t="s">
        <v>329</v>
      </c>
      <c r="G11" s="257"/>
      <c r="H11" s="94"/>
      <c r="I11" s="94"/>
      <c r="J11" s="94"/>
      <c r="K11" s="94"/>
      <c r="L11" s="94"/>
      <c r="M11" s="94"/>
      <c r="N11" s="94"/>
      <c r="O11" s="95"/>
      <c r="P11" s="94"/>
      <c r="Q11" s="55"/>
      <c r="R11" s="55"/>
    </row>
    <row r="12" spans="1:92" ht="15" customHeight="1" thickBot="1" x14ac:dyDescent="0.35">
      <c r="A12" s="39" t="s">
        <v>266</v>
      </c>
      <c r="B12" s="39" t="s">
        <v>777</v>
      </c>
      <c r="C12" s="40" t="s">
        <v>795</v>
      </c>
      <c r="D12" s="39" t="s">
        <v>34</v>
      </c>
      <c r="E12" s="39" t="s">
        <v>169</v>
      </c>
      <c r="F12" s="39" t="s">
        <v>779</v>
      </c>
      <c r="G12" s="258"/>
      <c r="H12" s="96"/>
      <c r="I12" s="96"/>
      <c r="J12" s="96"/>
      <c r="K12" s="96"/>
      <c r="L12" s="96"/>
      <c r="M12" s="96"/>
      <c r="N12" s="96"/>
      <c r="O12" s="97"/>
      <c r="P12" s="96"/>
      <c r="Q12" s="98"/>
      <c r="R12" s="98"/>
    </row>
    <row r="13" spans="1:92" ht="17.399999999999999" customHeight="1" thickBot="1" x14ac:dyDescent="0.35">
      <c r="A13" s="285"/>
      <c r="B13" s="286"/>
      <c r="C13" s="286"/>
      <c r="D13" s="286"/>
      <c r="E13" s="286"/>
      <c r="F13" s="286"/>
      <c r="G13" s="286"/>
      <c r="H13" s="286"/>
      <c r="I13" s="286"/>
      <c r="J13" s="286"/>
      <c r="K13" s="286"/>
      <c r="L13" s="286"/>
      <c r="M13" s="286"/>
      <c r="N13" s="286"/>
      <c r="O13" s="286"/>
      <c r="P13" s="286"/>
      <c r="Q13" s="286"/>
      <c r="R13" s="287"/>
    </row>
    <row r="14" spans="1:92" ht="15" thickTop="1" x14ac:dyDescent="0.3"/>
  </sheetData>
  <mergeCells count="12">
    <mergeCell ref="A2:F2"/>
    <mergeCell ref="A3:R3"/>
    <mergeCell ref="G6:G12"/>
    <mergeCell ref="A13:R13"/>
    <mergeCell ref="H1:L1"/>
    <mergeCell ref="A1:E1"/>
    <mergeCell ref="G2:J2"/>
    <mergeCell ref="K2:R2"/>
    <mergeCell ref="A4:F4"/>
    <mergeCell ref="H4:R4"/>
    <mergeCell ref="A7:F7"/>
    <mergeCell ref="N1:R1"/>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J3"/>
  <sheetViews>
    <sheetView workbookViewId="0"/>
  </sheetViews>
  <sheetFormatPr defaultRowHeight="15.6" outlineLevelCol="1" x14ac:dyDescent="0.3"/>
  <cols>
    <col min="1" max="1" width="6.88671875" style="272" bestFit="1" customWidth="1"/>
    <col min="2" max="2" width="10.44140625" style="272" bestFit="1" customWidth="1"/>
    <col min="3" max="3" width="6.77734375" style="272" bestFit="1" customWidth="1"/>
    <col min="4" max="4" width="5.5546875" style="272" bestFit="1" customWidth="1"/>
    <col min="5" max="5" width="8.55468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390</v>
      </c>
      <c r="B2" s="274">
        <v>45982</v>
      </c>
      <c r="C2" s="275" t="s">
        <v>792</v>
      </c>
      <c r="D2" s="276" t="s">
        <v>798</v>
      </c>
      <c r="E2" s="275" t="s">
        <v>789</v>
      </c>
      <c r="F2" s="275" t="s">
        <v>137</v>
      </c>
      <c r="G2" s="277">
        <v>0.41899999999999998</v>
      </c>
      <c r="H2" s="278">
        <v>179</v>
      </c>
      <c r="I2" s="278">
        <v>75</v>
      </c>
      <c r="J2" s="278">
        <v>0</v>
      </c>
      <c r="K2" s="275" t="s">
        <v>138</v>
      </c>
      <c r="L2" s="279" t="s">
        <v>103</v>
      </c>
      <c r="M2" s="278">
        <v>0</v>
      </c>
      <c r="N2" s="278">
        <v>6</v>
      </c>
      <c r="O2" s="278">
        <v>45</v>
      </c>
      <c r="P2" s="275" t="s">
        <v>382</v>
      </c>
      <c r="Q2" s="271"/>
      <c r="R2" s="271"/>
      <c r="S2" s="271"/>
      <c r="T2" s="271"/>
      <c r="U2" s="271"/>
      <c r="V2" s="271"/>
      <c r="W2" s="271"/>
      <c r="X2" s="271"/>
      <c r="Y2" s="271"/>
      <c r="Z2" s="271"/>
      <c r="AA2" s="271"/>
      <c r="AB2" s="271"/>
      <c r="AC2" s="271"/>
      <c r="AD2" s="271"/>
      <c r="AE2" s="271"/>
      <c r="AF2" s="278" t="s">
        <v>793</v>
      </c>
      <c r="AG2" s="271"/>
      <c r="AH2" s="271"/>
      <c r="AI2" s="271"/>
      <c r="AJ2" s="271"/>
    </row>
    <row r="3" spans="1:36" ht="21" x14ac:dyDescent="0.3">
      <c r="A3" s="280" t="s">
        <v>943</v>
      </c>
      <c r="B3" s="281"/>
      <c r="C3" s="280">
        <f>SUBTOTAL(103,ATZ_TUU_LF_LEGACY[Flt])</f>
        <v>1</v>
      </c>
      <c r="D3" s="280"/>
      <c r="E3" s="280">
        <f>SUBTOTAL(103,ATZ_TUU_LF_LEGACY[Brd-Off])</f>
        <v>1</v>
      </c>
      <c r="F3" s="280"/>
      <c r="G3" s="282">
        <f>SUBTOTAL(101,ATZ_TUU_LF_LEGACY[LF%])</f>
        <v>0.41899999999999998</v>
      </c>
      <c r="H3" s="283">
        <f>SUBTOTAL(109,ATZ_TUU_LF_LEGACY[CAP])</f>
        <v>179</v>
      </c>
      <c r="I3" s="283">
        <f>SUBTOTAL(109,ATZ_TUU_LF_LEGACY[BKG(Y)])</f>
        <v>75</v>
      </c>
      <c r="J3" s="283">
        <f>SUBTOTAL(109,ATZ_TUU_LF_LEGACY[GRP(Y)])</f>
        <v>0</v>
      </c>
      <c r="K3" s="280"/>
      <c r="L3" s="281"/>
      <c r="M3" s="283">
        <f>SUBTOTAL(109,ATZ_TUU_LF_LEGACY[TO-DAY])</f>
        <v>0</v>
      </c>
      <c r="N3" s="283">
        <f>SUBTOTAL(109,ATZ_TUU_LF_LEGACY[Y-DAY])</f>
        <v>6</v>
      </c>
      <c r="O3" s="283">
        <f>SUBTOTAL(109,ATZ_TUU_LF_LEGACY[WEEKLY])</f>
        <v>45</v>
      </c>
      <c r="P3" s="284"/>
      <c r="Q3" s="283">
        <f>SUBTOTAL(109,ATZ_TUU_LF_LEGACY[Y])</f>
        <v>0</v>
      </c>
      <c r="R3" s="283">
        <f>SUBTOTAL(109,ATZ_TUU_LF_LEGACY[B])</f>
        <v>0</v>
      </c>
      <c r="S3" s="283">
        <f>SUBTOTAL(109,ATZ_TUU_LF_LEGACY[M])</f>
        <v>0</v>
      </c>
      <c r="T3" s="283">
        <f>SUBTOTAL(109,ATZ_TUU_LF_LEGACY[H])</f>
        <v>0</v>
      </c>
      <c r="U3" s="283">
        <f>SUBTOTAL(109,ATZ_TUU_LF_LEGACY[Q])</f>
        <v>0</v>
      </c>
      <c r="V3" s="283">
        <f>SUBTOTAL(109,ATZ_TUU_LF_LEGACY[K])</f>
        <v>0</v>
      </c>
      <c r="W3" s="283">
        <f>SUBTOTAL(109,ATZ_TUU_LF_LEGACY[V])</f>
        <v>0</v>
      </c>
      <c r="X3" s="283">
        <f>SUBTOTAL(109,ATZ_TUU_LF_LEGACY[L])</f>
        <v>0</v>
      </c>
      <c r="Y3" s="283">
        <f>SUBTOTAL(109,ATZ_TUU_LF_LEGACY[G])</f>
        <v>0</v>
      </c>
      <c r="Z3" s="283">
        <f>SUBTOTAL(109,ATZ_TUU_LF_LEGACY[S])</f>
        <v>0</v>
      </c>
      <c r="AA3" s="283">
        <f>SUBTOTAL(109,ATZ_TUU_LF_LEGACY[W])</f>
        <v>0</v>
      </c>
      <c r="AB3" s="283">
        <f>SUBTOTAL(109,ATZ_TUU_LF_LEGACY[T])</f>
        <v>0</v>
      </c>
      <c r="AC3" s="283">
        <f>SUBTOTAL(109,ATZ_TUU_LF_LEGACY[X])</f>
        <v>0</v>
      </c>
      <c r="AD3" s="283">
        <f>SUBTOTAL(109,ATZ_TUU_LF_LEGACY[U])</f>
        <v>0</v>
      </c>
      <c r="AE3" s="283">
        <f>SUBTOTAL(109,ATZ_TUU_LF_LEGACY[O])</f>
        <v>0</v>
      </c>
      <c r="AF3" s="283">
        <f>SUBTOTAL(109,ATZ_TUU_LF_LEGACY[I])</f>
        <v>0</v>
      </c>
      <c r="AG3" s="283">
        <f>SUBTOTAL(109,ATZ_TUU_LF_LEGACY[E])</f>
        <v>0</v>
      </c>
      <c r="AH3" s="283">
        <f>SUBTOTAL(109,ATZ_TUU_LF_LEGACY[A])</f>
        <v>0</v>
      </c>
      <c r="AI3" s="283">
        <f>SUBTOTAL(109,ATZ_TUU_LF_LEGACY[P])</f>
        <v>0</v>
      </c>
      <c r="AJ3" s="283">
        <f>SUBTOTAL(103,ATZ_TUU_LF_LEGACY[N])</f>
        <v>0</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1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46.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799</v>
      </c>
      <c r="G2" s="101"/>
      <c r="H2" s="103"/>
    </row>
    <row r="3" spans="1:8" ht="19.8" customHeight="1" x14ac:dyDescent="0.3">
      <c r="A3" s="59" t="s">
        <v>152</v>
      </c>
      <c r="B3" s="60" t="s">
        <v>239</v>
      </c>
      <c r="C3" s="61" t="s">
        <v>770</v>
      </c>
      <c r="D3" s="60" t="s">
        <v>769</v>
      </c>
      <c r="E3" s="60" t="s">
        <v>749</v>
      </c>
      <c r="F3" s="60" t="s">
        <v>100</v>
      </c>
      <c r="G3" s="62">
        <v>4</v>
      </c>
      <c r="H3" s="63" t="s">
        <v>771</v>
      </c>
    </row>
    <row r="4" spans="1:8" ht="19.8" customHeight="1" x14ac:dyDescent="0.3">
      <c r="A4" s="59" t="s">
        <v>152</v>
      </c>
      <c r="B4" s="60" t="s">
        <v>73</v>
      </c>
      <c r="C4" s="61" t="s">
        <v>772</v>
      </c>
      <c r="D4" s="60" t="s">
        <v>769</v>
      </c>
      <c r="E4" s="60" t="s">
        <v>784</v>
      </c>
      <c r="F4" s="60" t="s">
        <v>100</v>
      </c>
      <c r="G4" s="62">
        <v>9</v>
      </c>
      <c r="H4" s="63" t="s">
        <v>465</v>
      </c>
    </row>
    <row r="5" spans="1:8" ht="19.8" customHeight="1" x14ac:dyDescent="0.3">
      <c r="A5" s="113" t="s">
        <v>152</v>
      </c>
      <c r="B5" s="71" t="s">
        <v>68</v>
      </c>
      <c r="C5" s="72" t="s">
        <v>775</v>
      </c>
      <c r="D5" s="71" t="s">
        <v>769</v>
      </c>
      <c r="E5" s="71" t="s">
        <v>797</v>
      </c>
      <c r="F5" s="71" t="s">
        <v>70</v>
      </c>
      <c r="G5" s="74">
        <v>9</v>
      </c>
      <c r="H5" s="75" t="s">
        <v>776</v>
      </c>
    </row>
    <row r="6" spans="1:8" ht="19.8" customHeight="1" x14ac:dyDescent="0.3">
      <c r="A6" s="99" t="s">
        <v>204</v>
      </c>
      <c r="B6" s="77" t="s">
        <v>73</v>
      </c>
      <c r="C6" s="78" t="s">
        <v>790</v>
      </c>
      <c r="D6" s="77" t="s">
        <v>789</v>
      </c>
      <c r="E6" s="77" t="s">
        <v>798</v>
      </c>
      <c r="F6" s="77" t="s">
        <v>100</v>
      </c>
      <c r="G6" s="80">
        <v>5</v>
      </c>
      <c r="H6" s="81" t="s">
        <v>791</v>
      </c>
    </row>
    <row r="7" spans="1:8" ht="19.8" customHeight="1" x14ac:dyDescent="0.3">
      <c r="A7" s="100"/>
      <c r="B7" s="101"/>
      <c r="C7" s="101"/>
      <c r="D7" s="101"/>
      <c r="E7" s="101"/>
      <c r="F7" s="102" t="s">
        <v>799</v>
      </c>
      <c r="G7" s="101"/>
      <c r="H7" s="103"/>
    </row>
    <row r="8" spans="1:8" ht="19.8" customHeight="1" x14ac:dyDescent="0.3">
      <c r="A8" s="68">
        <v>45982</v>
      </c>
      <c r="B8" s="60" t="s">
        <v>266</v>
      </c>
      <c r="C8" s="61" t="s">
        <v>777</v>
      </c>
      <c r="D8" s="60" t="s">
        <v>769</v>
      </c>
      <c r="E8" s="69">
        <v>1.4965277777777779</v>
      </c>
      <c r="F8" s="60" t="s">
        <v>268</v>
      </c>
      <c r="G8" s="62">
        <v>9</v>
      </c>
      <c r="H8" s="63" t="s">
        <v>778</v>
      </c>
    </row>
    <row r="9" spans="1:8" ht="19.8" customHeight="1" x14ac:dyDescent="0.3">
      <c r="A9" s="68">
        <v>45982</v>
      </c>
      <c r="B9" s="60" t="s">
        <v>586</v>
      </c>
      <c r="C9" s="61" t="s">
        <v>780</v>
      </c>
      <c r="D9" s="60" t="s">
        <v>769</v>
      </c>
      <c r="E9" s="69">
        <v>1.9861111111111109</v>
      </c>
      <c r="F9" s="60" t="s">
        <v>100</v>
      </c>
      <c r="G9" s="62">
        <v>9</v>
      </c>
      <c r="H9" s="63" t="s">
        <v>465</v>
      </c>
    </row>
    <row r="10" spans="1:8" ht="19.8" customHeight="1" x14ac:dyDescent="0.3">
      <c r="A10" s="68">
        <v>45982</v>
      </c>
      <c r="B10" s="60" t="s">
        <v>68</v>
      </c>
      <c r="C10" s="61" t="s">
        <v>775</v>
      </c>
      <c r="D10" s="60" t="s">
        <v>769</v>
      </c>
      <c r="E10" s="69">
        <v>1.9826388888888891</v>
      </c>
      <c r="F10" s="60" t="s">
        <v>70</v>
      </c>
      <c r="G10" s="62">
        <v>9</v>
      </c>
      <c r="H10" s="63" t="s">
        <v>776</v>
      </c>
    </row>
    <row r="11" spans="1:8" ht="19.8" customHeight="1" x14ac:dyDescent="0.3">
      <c r="A11" s="68">
        <v>45982</v>
      </c>
      <c r="B11" s="60" t="s">
        <v>239</v>
      </c>
      <c r="C11" s="61" t="s">
        <v>781</v>
      </c>
      <c r="D11" s="60" t="s">
        <v>769</v>
      </c>
      <c r="E11" s="69">
        <v>1.756944444444444</v>
      </c>
      <c r="F11" s="60" t="s">
        <v>100</v>
      </c>
      <c r="G11" s="62">
        <v>5</v>
      </c>
      <c r="H11" s="63" t="s">
        <v>329</v>
      </c>
    </row>
    <row r="12" spans="1:8" ht="19.8" customHeight="1" x14ac:dyDescent="0.3">
      <c r="A12" s="70">
        <v>45982</v>
      </c>
      <c r="B12" s="71" t="s">
        <v>266</v>
      </c>
      <c r="C12" s="72" t="s">
        <v>777</v>
      </c>
      <c r="D12" s="71" t="s">
        <v>769</v>
      </c>
      <c r="E12" s="73">
        <v>1.4965277777777779</v>
      </c>
      <c r="F12" s="71" t="s">
        <v>34</v>
      </c>
      <c r="G12" s="74">
        <v>9</v>
      </c>
      <c r="H12" s="75" t="s">
        <v>779</v>
      </c>
    </row>
    <row r="13" spans="1:8" ht="19.8" customHeight="1" x14ac:dyDescent="0.3">
      <c r="A13" s="100"/>
      <c r="B13" s="101"/>
      <c r="C13" s="101"/>
      <c r="D13" s="101"/>
      <c r="E13" s="101"/>
      <c r="F13" s="102" t="s">
        <v>799</v>
      </c>
      <c r="G13" s="101"/>
      <c r="H13" s="103"/>
    </row>
    <row r="14" spans="1:8" ht="19.8" customHeight="1" x14ac:dyDescent="0.3">
      <c r="A14" s="68">
        <v>45983</v>
      </c>
      <c r="B14" s="60" t="s">
        <v>73</v>
      </c>
      <c r="C14" s="61" t="s">
        <v>772</v>
      </c>
      <c r="D14" s="60" t="s">
        <v>769</v>
      </c>
      <c r="E14" s="69">
        <v>1.836805555555556</v>
      </c>
      <c r="F14" s="60" t="s">
        <v>100</v>
      </c>
      <c r="G14" s="62">
        <v>7</v>
      </c>
      <c r="H14" s="63" t="s">
        <v>782</v>
      </c>
    </row>
    <row r="15" spans="1:8" ht="19.8" customHeight="1" x14ac:dyDescent="0.3">
      <c r="A15" s="70">
        <v>45983</v>
      </c>
      <c r="B15" s="71" t="s">
        <v>239</v>
      </c>
      <c r="C15" s="72" t="s">
        <v>770</v>
      </c>
      <c r="D15" s="71" t="s">
        <v>769</v>
      </c>
      <c r="E15" s="73">
        <v>1.756944444444444</v>
      </c>
      <c r="F15" s="71" t="s">
        <v>100</v>
      </c>
      <c r="G15" s="74">
        <v>4</v>
      </c>
      <c r="H15" s="75" t="s">
        <v>329</v>
      </c>
    </row>
  </sheetData>
  <pageMargins left="0.75" right="0.75" top="1" bottom="1" header="0.5" footer="0.5"/>
  <legacyDrawing r:id="rId1"/>
  <tableParts count="1">
    <tablePart r:id="rId2"/>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1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46.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799</v>
      </c>
      <c r="G2" s="101"/>
      <c r="H2" s="103"/>
    </row>
    <row r="3" spans="1:8" ht="19.8" customHeight="1" x14ac:dyDescent="0.3">
      <c r="A3" s="59" t="s">
        <v>152</v>
      </c>
      <c r="B3" s="60" t="s">
        <v>239</v>
      </c>
      <c r="C3" s="61" t="s">
        <v>770</v>
      </c>
      <c r="D3" s="60" t="s">
        <v>769</v>
      </c>
      <c r="E3" s="60" t="s">
        <v>749</v>
      </c>
      <c r="F3" s="60" t="s">
        <v>100</v>
      </c>
      <c r="G3" s="62">
        <v>4</v>
      </c>
      <c r="H3" s="63" t="s">
        <v>771</v>
      </c>
    </row>
    <row r="4" spans="1:8" ht="19.8" customHeight="1" x14ac:dyDescent="0.3">
      <c r="A4" s="59" t="s">
        <v>152</v>
      </c>
      <c r="B4" s="60" t="s">
        <v>73</v>
      </c>
      <c r="C4" s="61" t="s">
        <v>772</v>
      </c>
      <c r="D4" s="60" t="s">
        <v>769</v>
      </c>
      <c r="E4" s="60" t="s">
        <v>784</v>
      </c>
      <c r="F4" s="60" t="s">
        <v>100</v>
      </c>
      <c r="G4" s="62">
        <v>9</v>
      </c>
      <c r="H4" s="63" t="s">
        <v>465</v>
      </c>
    </row>
    <row r="5" spans="1:8" ht="19.8" customHeight="1" x14ac:dyDescent="0.3">
      <c r="A5" s="113" t="s">
        <v>152</v>
      </c>
      <c r="B5" s="71" t="s">
        <v>68</v>
      </c>
      <c r="C5" s="72" t="s">
        <v>775</v>
      </c>
      <c r="D5" s="71" t="s">
        <v>769</v>
      </c>
      <c r="E5" s="71" t="s">
        <v>797</v>
      </c>
      <c r="F5" s="71" t="s">
        <v>70</v>
      </c>
      <c r="G5" s="74">
        <v>9</v>
      </c>
      <c r="H5" s="75" t="s">
        <v>776</v>
      </c>
    </row>
    <row r="6" spans="1:8" ht="19.8" customHeight="1" x14ac:dyDescent="0.3">
      <c r="A6" s="99" t="s">
        <v>204</v>
      </c>
      <c r="B6" s="77" t="s">
        <v>73</v>
      </c>
      <c r="C6" s="78" t="s">
        <v>790</v>
      </c>
      <c r="D6" s="77" t="s">
        <v>789</v>
      </c>
      <c r="E6" s="77" t="s">
        <v>798</v>
      </c>
      <c r="F6" s="77" t="s">
        <v>100</v>
      </c>
      <c r="G6" s="80">
        <v>5</v>
      </c>
      <c r="H6" s="81" t="s">
        <v>791</v>
      </c>
    </row>
    <row r="7" spans="1:8" ht="19.8" customHeight="1" x14ac:dyDescent="0.3">
      <c r="A7" s="100"/>
      <c r="B7" s="101"/>
      <c r="C7" s="101"/>
      <c r="D7" s="101"/>
      <c r="E7" s="101"/>
      <c r="F7" s="102" t="s">
        <v>799</v>
      </c>
      <c r="G7" s="101"/>
      <c r="H7" s="103"/>
    </row>
    <row r="8" spans="1:8" ht="19.8" customHeight="1" x14ac:dyDescent="0.3">
      <c r="A8" s="68">
        <v>45982</v>
      </c>
      <c r="B8" s="60" t="s">
        <v>266</v>
      </c>
      <c r="C8" s="61" t="s">
        <v>777</v>
      </c>
      <c r="D8" s="60" t="s">
        <v>769</v>
      </c>
      <c r="E8" s="69">
        <v>1.4965277777777779</v>
      </c>
      <c r="F8" s="60" t="s">
        <v>268</v>
      </c>
      <c r="G8" s="62">
        <v>9</v>
      </c>
      <c r="H8" s="63" t="s">
        <v>778</v>
      </c>
    </row>
    <row r="9" spans="1:8" ht="19.8" customHeight="1" x14ac:dyDescent="0.3">
      <c r="A9" s="68">
        <v>45982</v>
      </c>
      <c r="B9" s="60" t="s">
        <v>586</v>
      </c>
      <c r="C9" s="61" t="s">
        <v>780</v>
      </c>
      <c r="D9" s="60" t="s">
        <v>769</v>
      </c>
      <c r="E9" s="69">
        <v>1.9861111111111109</v>
      </c>
      <c r="F9" s="60" t="s">
        <v>100</v>
      </c>
      <c r="G9" s="62">
        <v>9</v>
      </c>
      <c r="H9" s="63" t="s">
        <v>465</v>
      </c>
    </row>
    <row r="10" spans="1:8" ht="19.8" customHeight="1" x14ac:dyDescent="0.3">
      <c r="A10" s="68">
        <v>45982</v>
      </c>
      <c r="B10" s="60" t="s">
        <v>68</v>
      </c>
      <c r="C10" s="61" t="s">
        <v>775</v>
      </c>
      <c r="D10" s="60" t="s">
        <v>769</v>
      </c>
      <c r="E10" s="69">
        <v>1.9826388888888891</v>
      </c>
      <c r="F10" s="60" t="s">
        <v>70</v>
      </c>
      <c r="G10" s="62">
        <v>9</v>
      </c>
      <c r="H10" s="63" t="s">
        <v>776</v>
      </c>
    </row>
    <row r="11" spans="1:8" ht="19.8" customHeight="1" x14ac:dyDescent="0.3">
      <c r="A11" s="68">
        <v>45982</v>
      </c>
      <c r="B11" s="60" t="s">
        <v>239</v>
      </c>
      <c r="C11" s="61" t="s">
        <v>781</v>
      </c>
      <c r="D11" s="60" t="s">
        <v>769</v>
      </c>
      <c r="E11" s="69">
        <v>1.756944444444444</v>
      </c>
      <c r="F11" s="60" t="s">
        <v>100</v>
      </c>
      <c r="G11" s="62">
        <v>5</v>
      </c>
      <c r="H11" s="63" t="s">
        <v>329</v>
      </c>
    </row>
    <row r="12" spans="1:8" ht="19.8" customHeight="1" x14ac:dyDescent="0.3">
      <c r="A12" s="70">
        <v>45982</v>
      </c>
      <c r="B12" s="71" t="s">
        <v>266</v>
      </c>
      <c r="C12" s="72" t="s">
        <v>777</v>
      </c>
      <c r="D12" s="71" t="s">
        <v>769</v>
      </c>
      <c r="E12" s="73">
        <v>1.4965277777777779</v>
      </c>
      <c r="F12" s="71" t="s">
        <v>34</v>
      </c>
      <c r="G12" s="74">
        <v>9</v>
      </c>
      <c r="H12" s="75" t="s">
        <v>779</v>
      </c>
    </row>
    <row r="13" spans="1:8" ht="19.8" customHeight="1" x14ac:dyDescent="0.3">
      <c r="A13" s="100"/>
      <c r="B13" s="101"/>
      <c r="C13" s="101"/>
      <c r="D13" s="101"/>
      <c r="E13" s="101"/>
      <c r="F13" s="102" t="s">
        <v>799</v>
      </c>
      <c r="G13" s="101"/>
      <c r="H13" s="103"/>
    </row>
    <row r="14" spans="1:8" ht="19.8" customHeight="1" x14ac:dyDescent="0.3">
      <c r="A14" s="68">
        <v>45983</v>
      </c>
      <c r="B14" s="60" t="s">
        <v>73</v>
      </c>
      <c r="C14" s="61" t="s">
        <v>772</v>
      </c>
      <c r="D14" s="60" t="s">
        <v>769</v>
      </c>
      <c r="E14" s="69">
        <v>1.836805555555556</v>
      </c>
      <c r="F14" s="60" t="s">
        <v>100</v>
      </c>
      <c r="G14" s="62">
        <v>7</v>
      </c>
      <c r="H14" s="63" t="s">
        <v>782</v>
      </c>
    </row>
    <row r="15" spans="1:8" ht="19.8" customHeight="1" x14ac:dyDescent="0.3">
      <c r="A15" s="70">
        <v>45983</v>
      </c>
      <c r="B15" s="71" t="s">
        <v>239</v>
      </c>
      <c r="C15" s="72" t="s">
        <v>770</v>
      </c>
      <c r="D15" s="71" t="s">
        <v>769</v>
      </c>
      <c r="E15" s="73">
        <v>1.756944444444444</v>
      </c>
      <c r="F15" s="71" t="s">
        <v>100</v>
      </c>
      <c r="G15" s="74">
        <v>4</v>
      </c>
      <c r="H15" s="75" t="s">
        <v>329</v>
      </c>
    </row>
  </sheetData>
  <pageMargins left="0.75" right="0.75" top="1" bottom="1" header="0.5" footer="0.5"/>
  <legacyDrawing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11"/>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0.109375" bestFit="1" customWidth="1"/>
  </cols>
  <sheetData>
    <row r="1" spans="1:92" ht="28.8" customHeight="1" x14ac:dyDescent="0.3">
      <c r="A1" s="261" t="s">
        <v>0</v>
      </c>
      <c r="B1" s="254"/>
      <c r="C1" s="254"/>
      <c r="D1" s="254"/>
      <c r="E1" s="254"/>
      <c r="F1" s="1" t="s">
        <v>800</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45980.430499696318</v>
      </c>
      <c r="H2" s="254"/>
      <c r="I2" s="254"/>
      <c r="J2" s="254"/>
      <c r="K2" s="263">
        <v>45980.430499696653</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45981</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239</v>
      </c>
      <c r="B6" s="8" t="s">
        <v>801</v>
      </c>
      <c r="C6" s="9">
        <v>0.70138888888888884</v>
      </c>
      <c r="D6" s="8" t="s">
        <v>100</v>
      </c>
      <c r="E6" s="8" t="s">
        <v>55</v>
      </c>
      <c r="F6" s="8" t="s">
        <v>802</v>
      </c>
      <c r="G6" s="256"/>
      <c r="H6" s="10"/>
      <c r="I6" s="11"/>
      <c r="J6" s="11"/>
      <c r="K6" s="11"/>
      <c r="L6" s="11"/>
      <c r="M6" s="11"/>
      <c r="N6" s="11"/>
      <c r="O6" s="12"/>
      <c r="P6" s="11"/>
      <c r="Q6" s="13"/>
      <c r="R6" s="14"/>
    </row>
    <row r="7" spans="1:92" ht="49.95" customHeight="1" thickTop="1" thickBot="1" x14ac:dyDescent="0.35">
      <c r="A7" s="207" t="s">
        <v>73</v>
      </c>
      <c r="B7" s="207" t="s">
        <v>803</v>
      </c>
      <c r="C7" s="208">
        <v>0.76736111111111116</v>
      </c>
      <c r="D7" s="207" t="s">
        <v>100</v>
      </c>
      <c r="E7" s="207" t="s">
        <v>55</v>
      </c>
      <c r="F7" s="207" t="s">
        <v>804</v>
      </c>
      <c r="G7" s="258"/>
      <c r="H7" s="209" t="s">
        <v>805</v>
      </c>
      <c r="I7" s="210">
        <v>0.29049999999999998</v>
      </c>
      <c r="J7" s="211">
        <v>52</v>
      </c>
      <c r="K7" s="212" t="s">
        <v>103</v>
      </c>
      <c r="L7" s="211">
        <v>31</v>
      </c>
      <c r="M7" s="211">
        <v>0</v>
      </c>
      <c r="N7" s="211">
        <v>8</v>
      </c>
      <c r="O7" s="213" t="s">
        <v>380</v>
      </c>
      <c r="P7" s="214">
        <v>0.76736111111111116</v>
      </c>
      <c r="Q7" s="211">
        <v>179</v>
      </c>
      <c r="R7" s="215" t="s">
        <v>806</v>
      </c>
    </row>
    <row r="8" spans="1:92" ht="17.399999999999999" customHeight="1" thickBot="1" x14ac:dyDescent="0.35">
      <c r="A8" s="285"/>
      <c r="B8" s="286"/>
      <c r="C8" s="286"/>
      <c r="D8" s="286"/>
      <c r="E8" s="286"/>
      <c r="F8" s="286"/>
      <c r="G8" s="286"/>
      <c r="H8" s="286"/>
      <c r="I8" s="286"/>
      <c r="J8" s="286"/>
      <c r="K8" s="286"/>
      <c r="L8" s="286"/>
      <c r="M8" s="286"/>
      <c r="N8" s="286"/>
      <c r="O8" s="286"/>
      <c r="P8" s="286"/>
      <c r="Q8" s="286"/>
      <c r="R8" s="287"/>
    </row>
    <row r="9" spans="1:92" ht="22.05" customHeight="1" thickTop="1" thickBot="1" x14ac:dyDescent="0.35">
      <c r="A9" s="259" t="s">
        <v>6</v>
      </c>
      <c r="B9" s="251"/>
      <c r="C9" s="251"/>
      <c r="D9" s="251"/>
      <c r="E9" s="251"/>
      <c r="F9" s="252"/>
      <c r="G9" s="31">
        <v>45983</v>
      </c>
      <c r="H9" s="250" t="s">
        <v>7</v>
      </c>
      <c r="I9" s="251"/>
      <c r="J9" s="251"/>
      <c r="K9" s="251"/>
      <c r="L9" s="251"/>
      <c r="M9" s="251"/>
      <c r="N9" s="251"/>
      <c r="O9" s="251"/>
      <c r="P9" s="251"/>
      <c r="Q9" s="251"/>
      <c r="R9" s="252"/>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45">
      <c r="A11" s="173" t="s">
        <v>73</v>
      </c>
      <c r="B11" s="173" t="s">
        <v>803</v>
      </c>
      <c r="C11" s="174">
        <v>0.71875</v>
      </c>
      <c r="D11" s="173" t="s">
        <v>100</v>
      </c>
      <c r="E11" s="173" t="s">
        <v>71</v>
      </c>
      <c r="F11" s="173" t="s">
        <v>807</v>
      </c>
      <c r="G11" s="256"/>
      <c r="H11" s="216" t="s">
        <v>805</v>
      </c>
      <c r="I11" s="217">
        <v>0.56979999999999997</v>
      </c>
      <c r="J11" s="218">
        <v>102</v>
      </c>
      <c r="K11" s="219" t="s">
        <v>103</v>
      </c>
      <c r="L11" s="218">
        <v>52</v>
      </c>
      <c r="M11" s="218">
        <v>0</v>
      </c>
      <c r="N11" s="218">
        <v>22</v>
      </c>
      <c r="O11" s="220" t="s">
        <v>139</v>
      </c>
      <c r="P11" s="221">
        <v>0.71875</v>
      </c>
      <c r="Q11" s="218">
        <v>179</v>
      </c>
      <c r="R11" s="222" t="s">
        <v>808</v>
      </c>
    </row>
  </sheetData>
  <mergeCells count="14">
    <mergeCell ref="G11"/>
    <mergeCell ref="A8:R8"/>
    <mergeCell ref="H4:R4"/>
    <mergeCell ref="N1:R1"/>
    <mergeCell ref="H1:L1"/>
    <mergeCell ref="A1:E1"/>
    <mergeCell ref="G2:J2"/>
    <mergeCell ref="K2:R2"/>
    <mergeCell ref="A4:F4"/>
    <mergeCell ref="A2:F2"/>
    <mergeCell ref="A3:R3"/>
    <mergeCell ref="H9:R9"/>
    <mergeCell ref="A9:F9"/>
    <mergeCell ref="G6:G7"/>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J4"/>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7.4414062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5" width="3.88671875" style="272" bestFit="1" customWidth="1"/>
    <col min="26" max="26" width="4.109375" style="272" bestFit="1" customWidth="1"/>
    <col min="27" max="28" width="3.88671875" style="272" bestFit="1" customWidth="1"/>
    <col min="29" max="29" width="4.21875" style="272" bestFit="1" customWidth="1"/>
    <col min="30" max="30" width="4.5546875" style="272" bestFit="1" customWidth="1"/>
    <col min="31"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135</v>
      </c>
      <c r="B2" s="274">
        <v>45981</v>
      </c>
      <c r="C2" s="275" t="s">
        <v>805</v>
      </c>
      <c r="D2" s="276" t="s">
        <v>809</v>
      </c>
      <c r="E2" s="275" t="s">
        <v>800</v>
      </c>
      <c r="F2" s="275" t="s">
        <v>137</v>
      </c>
      <c r="G2" s="277">
        <v>0.29049999999999998</v>
      </c>
      <c r="H2" s="278">
        <v>179</v>
      </c>
      <c r="I2" s="278">
        <v>52</v>
      </c>
      <c r="J2" s="278">
        <v>0</v>
      </c>
      <c r="K2" s="275" t="s">
        <v>138</v>
      </c>
      <c r="L2" s="279" t="s">
        <v>103</v>
      </c>
      <c r="M2" s="278">
        <v>0</v>
      </c>
      <c r="N2" s="278">
        <v>8</v>
      </c>
      <c r="O2" s="278">
        <v>31</v>
      </c>
      <c r="P2" s="275" t="s">
        <v>380</v>
      </c>
      <c r="Q2" s="271"/>
      <c r="R2" s="271"/>
      <c r="S2" s="271"/>
      <c r="T2" s="271"/>
      <c r="U2" s="271"/>
      <c r="V2" s="271"/>
      <c r="W2" s="271"/>
      <c r="X2" s="271"/>
      <c r="Y2" s="271"/>
      <c r="Z2" s="278" t="s">
        <v>810</v>
      </c>
      <c r="AA2" s="271"/>
      <c r="AB2" s="271"/>
      <c r="AC2" s="278" t="s">
        <v>811</v>
      </c>
      <c r="AD2" s="278" t="s">
        <v>141</v>
      </c>
      <c r="AE2" s="278" t="s">
        <v>734</v>
      </c>
      <c r="AF2" s="278" t="s">
        <v>812</v>
      </c>
      <c r="AG2" s="271"/>
      <c r="AH2" s="271"/>
      <c r="AI2" s="271"/>
      <c r="AJ2" s="271"/>
    </row>
    <row r="3" spans="1:36" x14ac:dyDescent="0.3">
      <c r="A3" s="273" t="s">
        <v>146</v>
      </c>
      <c r="B3" s="274">
        <v>45983</v>
      </c>
      <c r="C3" s="275" t="s">
        <v>805</v>
      </c>
      <c r="D3" s="276" t="s">
        <v>813</v>
      </c>
      <c r="E3" s="275" t="s">
        <v>800</v>
      </c>
      <c r="F3" s="275" t="s">
        <v>137</v>
      </c>
      <c r="G3" s="277">
        <v>0.56979999999999997</v>
      </c>
      <c r="H3" s="278">
        <v>179</v>
      </c>
      <c r="I3" s="278">
        <v>102</v>
      </c>
      <c r="J3" s="278">
        <v>0</v>
      </c>
      <c r="K3" s="275" t="s">
        <v>138</v>
      </c>
      <c r="L3" s="279" t="s">
        <v>103</v>
      </c>
      <c r="M3" s="278">
        <v>0</v>
      </c>
      <c r="N3" s="278">
        <v>22</v>
      </c>
      <c r="O3" s="278">
        <v>52</v>
      </c>
      <c r="P3" s="275" t="s">
        <v>139</v>
      </c>
      <c r="Q3" s="271"/>
      <c r="R3" s="271"/>
      <c r="S3" s="271"/>
      <c r="T3" s="271"/>
      <c r="U3" s="271"/>
      <c r="V3" s="271"/>
      <c r="W3" s="271"/>
      <c r="X3" s="271"/>
      <c r="Y3" s="278" t="s">
        <v>814</v>
      </c>
      <c r="Z3" s="278" t="s">
        <v>815</v>
      </c>
      <c r="AA3" s="271"/>
      <c r="AB3" s="271"/>
      <c r="AC3" s="278" t="s">
        <v>816</v>
      </c>
      <c r="AD3" s="271"/>
      <c r="AE3" s="271"/>
      <c r="AF3" s="278" t="s">
        <v>375</v>
      </c>
      <c r="AG3" s="271"/>
      <c r="AH3" s="271"/>
      <c r="AI3" s="271"/>
      <c r="AJ3" s="271"/>
    </row>
    <row r="4" spans="1:36" ht="21" x14ac:dyDescent="0.3">
      <c r="A4" s="280" t="s">
        <v>943</v>
      </c>
      <c r="B4" s="281"/>
      <c r="C4" s="280">
        <f>SUBTOTAL(103,CAI_AJF_LF_LEGACY[Flt])</f>
        <v>2</v>
      </c>
      <c r="D4" s="280"/>
      <c r="E4" s="280">
        <f>SUBTOTAL(103,CAI_AJF_LF_LEGACY[Brd-Off])</f>
        <v>2</v>
      </c>
      <c r="F4" s="280"/>
      <c r="G4" s="282">
        <f>SUBTOTAL(101,CAI_AJF_LF_LEGACY[LF%])</f>
        <v>0.43014999999999998</v>
      </c>
      <c r="H4" s="283">
        <f>SUBTOTAL(109,CAI_AJF_LF_LEGACY[CAP])</f>
        <v>358</v>
      </c>
      <c r="I4" s="283">
        <f>SUBTOTAL(109,CAI_AJF_LF_LEGACY[BKG(Y)])</f>
        <v>154</v>
      </c>
      <c r="J4" s="283">
        <f>SUBTOTAL(109,CAI_AJF_LF_LEGACY[GRP(Y)])</f>
        <v>0</v>
      </c>
      <c r="K4" s="280"/>
      <c r="L4" s="281"/>
      <c r="M4" s="283">
        <f>SUBTOTAL(109,CAI_AJF_LF_LEGACY[TO-DAY])</f>
        <v>0</v>
      </c>
      <c r="N4" s="283">
        <f>SUBTOTAL(109,CAI_AJF_LF_LEGACY[Y-DAY])</f>
        <v>30</v>
      </c>
      <c r="O4" s="283">
        <f>SUBTOTAL(109,CAI_AJF_LF_LEGACY[WEEKLY])</f>
        <v>83</v>
      </c>
      <c r="P4" s="284"/>
      <c r="Q4" s="283">
        <f>SUBTOTAL(109,CAI_AJF_LF_LEGACY[Y])</f>
        <v>0</v>
      </c>
      <c r="R4" s="283">
        <f>SUBTOTAL(109,CAI_AJF_LF_LEGACY[B])</f>
        <v>0</v>
      </c>
      <c r="S4" s="283">
        <f>SUBTOTAL(109,CAI_AJF_LF_LEGACY[M])</f>
        <v>0</v>
      </c>
      <c r="T4" s="283">
        <f>SUBTOTAL(109,CAI_AJF_LF_LEGACY[H])</f>
        <v>0</v>
      </c>
      <c r="U4" s="283">
        <f>SUBTOTAL(109,CAI_AJF_LF_LEGACY[Q])</f>
        <v>0</v>
      </c>
      <c r="V4" s="283">
        <f>SUBTOTAL(109,CAI_AJF_LF_LEGACY[K])</f>
        <v>0</v>
      </c>
      <c r="W4" s="283">
        <f>SUBTOTAL(109,CAI_AJF_LF_LEGACY[V])</f>
        <v>0</v>
      </c>
      <c r="X4" s="283">
        <f>SUBTOTAL(109,CAI_AJF_LF_LEGACY[L])</f>
        <v>0</v>
      </c>
      <c r="Y4" s="283">
        <f>SUBTOTAL(109,CAI_AJF_LF_LEGACY[G])</f>
        <v>0</v>
      </c>
      <c r="Z4" s="283">
        <f>SUBTOTAL(109,CAI_AJF_LF_LEGACY[S])</f>
        <v>0</v>
      </c>
      <c r="AA4" s="283">
        <f>SUBTOTAL(109,CAI_AJF_LF_LEGACY[W])</f>
        <v>0</v>
      </c>
      <c r="AB4" s="283">
        <f>SUBTOTAL(109,CAI_AJF_LF_LEGACY[T])</f>
        <v>0</v>
      </c>
      <c r="AC4" s="283">
        <f>SUBTOTAL(109,CAI_AJF_LF_LEGACY[X])</f>
        <v>0</v>
      </c>
      <c r="AD4" s="283">
        <f>SUBTOTAL(109,CAI_AJF_LF_LEGACY[U])</f>
        <v>0</v>
      </c>
      <c r="AE4" s="283">
        <f>SUBTOTAL(109,CAI_AJF_LF_LEGACY[O])</f>
        <v>0</v>
      </c>
      <c r="AF4" s="283">
        <f>SUBTOTAL(109,CAI_AJF_LF_LEGACY[I])</f>
        <v>0</v>
      </c>
      <c r="AG4" s="283">
        <f>SUBTOTAL(109,CAI_AJF_LF_LEGACY[E])</f>
        <v>0</v>
      </c>
      <c r="AH4" s="283">
        <f>SUBTOTAL(109,CAI_AJF_LF_LEGACY[A])</f>
        <v>0</v>
      </c>
      <c r="AI4" s="283">
        <f>SUBTOTAL(109,CAI_AJF_LF_LEGACY[P])</f>
        <v>0</v>
      </c>
      <c r="AJ4" s="283">
        <f>SUBTOTAL(103,CAI_AJF_LF_LEGACY[N])</f>
        <v>0</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67.109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239</v>
      </c>
      <c r="C2" s="61" t="s">
        <v>801</v>
      </c>
      <c r="D2" s="60" t="s">
        <v>800</v>
      </c>
      <c r="E2" s="60" t="s">
        <v>817</v>
      </c>
      <c r="F2" s="60" t="s">
        <v>100</v>
      </c>
      <c r="G2" s="62">
        <v>9</v>
      </c>
      <c r="H2" s="63" t="s">
        <v>802</v>
      </c>
    </row>
    <row r="3" spans="1:8" ht="19.8" customHeight="1" x14ac:dyDescent="0.3">
      <c r="A3" s="64" t="s">
        <v>152</v>
      </c>
      <c r="B3" s="65" t="s">
        <v>73</v>
      </c>
      <c r="C3" s="66" t="s">
        <v>803</v>
      </c>
      <c r="D3" s="65" t="s">
        <v>800</v>
      </c>
      <c r="E3" s="65" t="s">
        <v>809</v>
      </c>
      <c r="F3" s="65" t="s">
        <v>100</v>
      </c>
      <c r="G3" s="84">
        <v>9</v>
      </c>
      <c r="H3" s="67" t="s">
        <v>804</v>
      </c>
    </row>
    <row r="4" spans="1:8" ht="19.8" customHeight="1" x14ac:dyDescent="0.3">
      <c r="A4" s="82">
        <v>45983</v>
      </c>
      <c r="B4" s="65" t="s">
        <v>73</v>
      </c>
      <c r="C4" s="66" t="s">
        <v>803</v>
      </c>
      <c r="D4" s="65" t="s">
        <v>800</v>
      </c>
      <c r="E4" s="83">
        <v>1.71875</v>
      </c>
      <c r="F4" s="65" t="s">
        <v>100</v>
      </c>
      <c r="G4" s="84">
        <v>2</v>
      </c>
      <c r="H4" s="67" t="s">
        <v>807</v>
      </c>
    </row>
  </sheetData>
  <pageMargins left="0.75" right="0.75" top="1" bottom="1" header="0.5" footer="0.5"/>
  <legacyDrawing r:id="rId1"/>
  <tableParts count="1">
    <tablePart r:id="rId2"/>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I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67.109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64" t="s">
        <v>152</v>
      </c>
      <c r="B2" s="65" t="s">
        <v>73</v>
      </c>
      <c r="C2" s="66" t="s">
        <v>803</v>
      </c>
      <c r="D2" s="65" t="s">
        <v>800</v>
      </c>
      <c r="E2" s="65" t="s">
        <v>809</v>
      </c>
      <c r="F2" s="65" t="s">
        <v>100</v>
      </c>
      <c r="G2" s="84">
        <v>9</v>
      </c>
      <c r="H2" s="67" t="s">
        <v>804</v>
      </c>
    </row>
    <row r="3" spans="1:8" ht="19.8" customHeight="1" x14ac:dyDescent="0.3">
      <c r="A3" s="82">
        <v>45983</v>
      </c>
      <c r="B3" s="65" t="s">
        <v>73</v>
      </c>
      <c r="C3" s="66" t="s">
        <v>803</v>
      </c>
      <c r="D3" s="65" t="s">
        <v>800</v>
      </c>
      <c r="E3" s="83">
        <v>1.71875</v>
      </c>
      <c r="F3" s="65" t="s">
        <v>100</v>
      </c>
      <c r="G3" s="84">
        <v>2</v>
      </c>
      <c r="H3" s="67" t="s">
        <v>807</v>
      </c>
    </row>
  </sheetData>
  <pageMargins left="0.75" right="0.75" top="1" bottom="1" header="0.5" footer="0.5"/>
  <legacyDrawing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N8"/>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7.21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4.6640625" bestFit="1" customWidth="1"/>
  </cols>
  <sheetData>
    <row r="1" spans="1:92" ht="28.8" customHeight="1" x14ac:dyDescent="0.3">
      <c r="A1" s="261" t="s">
        <v>0</v>
      </c>
      <c r="B1" s="254"/>
      <c r="C1" s="254"/>
      <c r="D1" s="254"/>
      <c r="E1" s="254"/>
      <c r="F1" s="1" t="s">
        <v>818</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45980.43050180265</v>
      </c>
      <c r="H2" s="254"/>
      <c r="I2" s="254"/>
      <c r="J2" s="254"/>
      <c r="K2" s="263">
        <v>45980.430501803014</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45982</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148" t="s">
        <v>73</v>
      </c>
      <c r="B6" s="148" t="s">
        <v>819</v>
      </c>
      <c r="C6" s="149">
        <v>0.47916666666666669</v>
      </c>
      <c r="D6" s="148" t="s">
        <v>100</v>
      </c>
      <c r="E6" s="148" t="s">
        <v>298</v>
      </c>
      <c r="F6" s="148" t="s">
        <v>820</v>
      </c>
      <c r="G6" s="256"/>
      <c r="H6" s="48" t="s">
        <v>821</v>
      </c>
      <c r="I6" s="223">
        <v>0.51400000000000001</v>
      </c>
      <c r="J6" s="50">
        <v>92</v>
      </c>
      <c r="K6" s="51" t="s">
        <v>103</v>
      </c>
      <c r="L6" s="50">
        <v>56</v>
      </c>
      <c r="M6" s="50">
        <v>0</v>
      </c>
      <c r="N6" s="50">
        <v>7</v>
      </c>
      <c r="O6" s="52" t="s">
        <v>785</v>
      </c>
      <c r="P6" s="53">
        <v>0.47916666666666669</v>
      </c>
      <c r="Q6" s="50">
        <v>179</v>
      </c>
      <c r="R6" s="54" t="s">
        <v>822</v>
      </c>
    </row>
    <row r="7" spans="1:92" ht="17.399999999999999" customHeight="1" thickBot="1" x14ac:dyDescent="0.35">
      <c r="A7" s="285"/>
      <c r="B7" s="286"/>
      <c r="C7" s="286"/>
      <c r="D7" s="286"/>
      <c r="E7" s="286"/>
      <c r="F7" s="286"/>
      <c r="G7" s="286"/>
      <c r="H7" s="286"/>
      <c r="I7" s="286"/>
      <c r="J7" s="286"/>
      <c r="K7" s="286"/>
      <c r="L7" s="286"/>
      <c r="M7" s="286"/>
      <c r="N7" s="286"/>
      <c r="O7" s="286"/>
      <c r="P7" s="286"/>
      <c r="Q7" s="286"/>
      <c r="R7" s="287"/>
    </row>
    <row r="8" spans="1:92" ht="15" thickTop="1" x14ac:dyDescent="0.3"/>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J3"/>
  <sheetViews>
    <sheetView workbookViewId="0"/>
  </sheetViews>
  <sheetFormatPr defaultRowHeight="15.6" outlineLevelCol="1" x14ac:dyDescent="0.3"/>
  <cols>
    <col min="1" max="1" width="6.88671875" style="272" bestFit="1" customWidth="1"/>
    <col min="2" max="2" width="10.44140625" style="272" bestFit="1" customWidth="1"/>
    <col min="3" max="3" width="6.77734375" style="272" bestFit="1" customWidth="1"/>
    <col min="4" max="4" width="5.5546875" style="272" bestFit="1" customWidth="1"/>
    <col min="5" max="5" width="7.55468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9" width="3.88671875" style="272" bestFit="1" customWidth="1"/>
    <col min="30" max="31" width="4.5546875" style="272" bestFit="1" customWidth="1"/>
    <col min="32"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390</v>
      </c>
      <c r="B2" s="274">
        <v>45982</v>
      </c>
      <c r="C2" s="275" t="s">
        <v>821</v>
      </c>
      <c r="D2" s="276" t="s">
        <v>177</v>
      </c>
      <c r="E2" s="275" t="s">
        <v>818</v>
      </c>
      <c r="F2" s="275" t="s">
        <v>137</v>
      </c>
      <c r="G2" s="277">
        <v>0.51400000000000001</v>
      </c>
      <c r="H2" s="278">
        <v>179</v>
      </c>
      <c r="I2" s="278">
        <v>92</v>
      </c>
      <c r="J2" s="278">
        <v>0</v>
      </c>
      <c r="K2" s="275" t="s">
        <v>138</v>
      </c>
      <c r="L2" s="279" t="s">
        <v>103</v>
      </c>
      <c r="M2" s="278">
        <v>0</v>
      </c>
      <c r="N2" s="278">
        <v>7</v>
      </c>
      <c r="O2" s="278">
        <v>56</v>
      </c>
      <c r="P2" s="275" t="s">
        <v>785</v>
      </c>
      <c r="Q2" s="271"/>
      <c r="R2" s="271"/>
      <c r="S2" s="271"/>
      <c r="T2" s="271"/>
      <c r="U2" s="271"/>
      <c r="V2" s="271"/>
      <c r="W2" s="271"/>
      <c r="X2" s="271"/>
      <c r="Y2" s="271"/>
      <c r="Z2" s="271"/>
      <c r="AA2" s="271"/>
      <c r="AB2" s="271"/>
      <c r="AC2" s="278" t="s">
        <v>523</v>
      </c>
      <c r="AD2" s="278" t="s">
        <v>368</v>
      </c>
      <c r="AE2" s="278" t="s">
        <v>823</v>
      </c>
      <c r="AF2" s="278" t="s">
        <v>387</v>
      </c>
      <c r="AG2" s="271"/>
      <c r="AH2" s="271"/>
      <c r="AI2" s="271"/>
      <c r="AJ2" s="271"/>
    </row>
    <row r="3" spans="1:36" ht="21" x14ac:dyDescent="0.3">
      <c r="A3" s="280" t="s">
        <v>943</v>
      </c>
      <c r="B3" s="281"/>
      <c r="C3" s="280">
        <f>SUBTOTAL(103,ATZ_AJF_LF_LEGACY[Flt])</f>
        <v>1</v>
      </c>
      <c r="D3" s="280"/>
      <c r="E3" s="280">
        <f>SUBTOTAL(103,ATZ_AJF_LF_LEGACY[Brd-Off])</f>
        <v>1</v>
      </c>
      <c r="F3" s="280"/>
      <c r="G3" s="282">
        <f>SUBTOTAL(101,ATZ_AJF_LF_LEGACY[LF%])</f>
        <v>0.51400000000000001</v>
      </c>
      <c r="H3" s="283">
        <f>SUBTOTAL(109,ATZ_AJF_LF_LEGACY[CAP])</f>
        <v>179</v>
      </c>
      <c r="I3" s="283">
        <f>SUBTOTAL(109,ATZ_AJF_LF_LEGACY[BKG(Y)])</f>
        <v>92</v>
      </c>
      <c r="J3" s="283">
        <f>SUBTOTAL(109,ATZ_AJF_LF_LEGACY[GRP(Y)])</f>
        <v>0</v>
      </c>
      <c r="K3" s="280"/>
      <c r="L3" s="281"/>
      <c r="M3" s="283">
        <f>SUBTOTAL(109,ATZ_AJF_LF_LEGACY[TO-DAY])</f>
        <v>0</v>
      </c>
      <c r="N3" s="283">
        <f>SUBTOTAL(109,ATZ_AJF_LF_LEGACY[Y-DAY])</f>
        <v>7</v>
      </c>
      <c r="O3" s="283">
        <f>SUBTOTAL(109,ATZ_AJF_LF_LEGACY[WEEKLY])</f>
        <v>56</v>
      </c>
      <c r="P3" s="284"/>
      <c r="Q3" s="283">
        <f>SUBTOTAL(109,ATZ_AJF_LF_LEGACY[Y])</f>
        <v>0</v>
      </c>
      <c r="R3" s="283">
        <f>SUBTOTAL(109,ATZ_AJF_LF_LEGACY[B])</f>
        <v>0</v>
      </c>
      <c r="S3" s="283">
        <f>SUBTOTAL(109,ATZ_AJF_LF_LEGACY[M])</f>
        <v>0</v>
      </c>
      <c r="T3" s="283">
        <f>SUBTOTAL(109,ATZ_AJF_LF_LEGACY[H])</f>
        <v>0</v>
      </c>
      <c r="U3" s="283">
        <f>SUBTOTAL(109,ATZ_AJF_LF_LEGACY[Q])</f>
        <v>0</v>
      </c>
      <c r="V3" s="283">
        <f>SUBTOTAL(109,ATZ_AJF_LF_LEGACY[K])</f>
        <v>0</v>
      </c>
      <c r="W3" s="283">
        <f>SUBTOTAL(109,ATZ_AJF_LF_LEGACY[V])</f>
        <v>0</v>
      </c>
      <c r="X3" s="283">
        <f>SUBTOTAL(109,ATZ_AJF_LF_LEGACY[L])</f>
        <v>0</v>
      </c>
      <c r="Y3" s="283">
        <f>SUBTOTAL(109,ATZ_AJF_LF_LEGACY[G])</f>
        <v>0</v>
      </c>
      <c r="Z3" s="283">
        <f>SUBTOTAL(109,ATZ_AJF_LF_LEGACY[S])</f>
        <v>0</v>
      </c>
      <c r="AA3" s="283">
        <f>SUBTOTAL(109,ATZ_AJF_LF_LEGACY[W])</f>
        <v>0</v>
      </c>
      <c r="AB3" s="283">
        <f>SUBTOTAL(109,ATZ_AJF_LF_LEGACY[T])</f>
        <v>0</v>
      </c>
      <c r="AC3" s="283">
        <f>SUBTOTAL(109,ATZ_AJF_LF_LEGACY[X])</f>
        <v>0</v>
      </c>
      <c r="AD3" s="283">
        <f>SUBTOTAL(109,ATZ_AJF_LF_LEGACY[U])</f>
        <v>0</v>
      </c>
      <c r="AE3" s="283">
        <f>SUBTOTAL(109,ATZ_AJF_LF_LEGACY[O])</f>
        <v>0</v>
      </c>
      <c r="AF3" s="283">
        <f>SUBTOTAL(109,ATZ_AJF_LF_LEGACY[I])</f>
        <v>0</v>
      </c>
      <c r="AG3" s="283">
        <f>SUBTOTAL(109,ATZ_AJF_LF_LEGACY[E])</f>
        <v>0</v>
      </c>
      <c r="AH3" s="283">
        <f>SUBTOTAL(109,ATZ_AJF_LF_LEGACY[A])</f>
        <v>0</v>
      </c>
      <c r="AI3" s="283">
        <f>SUBTOTAL(109,ATZ_AJF_LF_LEGACY[P])</f>
        <v>0</v>
      </c>
      <c r="AJ3" s="283">
        <f>SUBTOTAL(103,ATZ_AJF_LF_LEGACY[N])</f>
        <v>0</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I7"/>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163.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824</v>
      </c>
      <c r="G2" s="101"/>
      <c r="H2" s="103"/>
    </row>
    <row r="3" spans="1:8" ht="19.8" customHeight="1" x14ac:dyDescent="0.3">
      <c r="A3" s="59" t="s">
        <v>152</v>
      </c>
      <c r="B3" s="60" t="s">
        <v>239</v>
      </c>
      <c r="C3" s="61" t="s">
        <v>801</v>
      </c>
      <c r="D3" s="60" t="s">
        <v>800</v>
      </c>
      <c r="E3" s="60" t="s">
        <v>817</v>
      </c>
      <c r="F3" s="60" t="s">
        <v>100</v>
      </c>
      <c r="G3" s="62">
        <v>9</v>
      </c>
      <c r="H3" s="63" t="s">
        <v>802</v>
      </c>
    </row>
    <row r="4" spans="1:8" ht="19.8" customHeight="1" x14ac:dyDescent="0.3">
      <c r="A4" s="113" t="s">
        <v>152</v>
      </c>
      <c r="B4" s="71" t="s">
        <v>73</v>
      </c>
      <c r="C4" s="72" t="s">
        <v>803</v>
      </c>
      <c r="D4" s="71" t="s">
        <v>800</v>
      </c>
      <c r="E4" s="71" t="s">
        <v>809</v>
      </c>
      <c r="F4" s="71" t="s">
        <v>100</v>
      </c>
      <c r="G4" s="74">
        <v>9</v>
      </c>
      <c r="H4" s="75" t="s">
        <v>804</v>
      </c>
    </row>
    <row r="5" spans="1:8" ht="19.8" customHeight="1" x14ac:dyDescent="0.3">
      <c r="A5" s="64" t="s">
        <v>204</v>
      </c>
      <c r="B5" s="65" t="s">
        <v>73</v>
      </c>
      <c r="C5" s="66" t="s">
        <v>819</v>
      </c>
      <c r="D5" s="65" t="s">
        <v>818</v>
      </c>
      <c r="E5" s="65" t="s">
        <v>177</v>
      </c>
      <c r="F5" s="65" t="s">
        <v>100</v>
      </c>
      <c r="G5" s="84">
        <v>4</v>
      </c>
      <c r="H5" s="67" t="s">
        <v>820</v>
      </c>
    </row>
    <row r="6" spans="1:8" ht="19.8" customHeight="1" x14ac:dyDescent="0.3">
      <c r="A6" s="100"/>
      <c r="B6" s="101"/>
      <c r="C6" s="101"/>
      <c r="D6" s="101"/>
      <c r="E6" s="101"/>
      <c r="F6" s="102" t="s">
        <v>824</v>
      </c>
      <c r="G6" s="101"/>
      <c r="H6" s="103"/>
    </row>
    <row r="7" spans="1:8" ht="19.8" customHeight="1" x14ac:dyDescent="0.3">
      <c r="A7" s="70">
        <v>45983</v>
      </c>
      <c r="B7" s="71" t="s">
        <v>73</v>
      </c>
      <c r="C7" s="72" t="s">
        <v>803</v>
      </c>
      <c r="D7" s="71" t="s">
        <v>800</v>
      </c>
      <c r="E7" s="73">
        <v>1.71875</v>
      </c>
      <c r="F7" s="71" t="s">
        <v>100</v>
      </c>
      <c r="G7" s="74">
        <v>2</v>
      </c>
      <c r="H7" s="75" t="s">
        <v>807</v>
      </c>
    </row>
  </sheetData>
  <pageMargins left="0.75" right="0.75" top="1" bottom="1" header="0.5" footer="0.5"/>
  <legacyDrawing r:id="rId1"/>
  <tableParts count="1">
    <tablePart r:id="rId2"/>
  </tableParts>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I7"/>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163.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824</v>
      </c>
      <c r="G2" s="101"/>
      <c r="H2" s="103"/>
    </row>
    <row r="3" spans="1:8" ht="19.8" customHeight="1" x14ac:dyDescent="0.3">
      <c r="A3" s="59" t="s">
        <v>152</v>
      </c>
      <c r="B3" s="60" t="s">
        <v>239</v>
      </c>
      <c r="C3" s="61" t="s">
        <v>801</v>
      </c>
      <c r="D3" s="60" t="s">
        <v>800</v>
      </c>
      <c r="E3" s="60" t="s">
        <v>817</v>
      </c>
      <c r="F3" s="60" t="s">
        <v>100</v>
      </c>
      <c r="G3" s="62">
        <v>9</v>
      </c>
      <c r="H3" s="63" t="s">
        <v>802</v>
      </c>
    </row>
    <row r="4" spans="1:8" ht="19.8" customHeight="1" x14ac:dyDescent="0.3">
      <c r="A4" s="113" t="s">
        <v>152</v>
      </c>
      <c r="B4" s="71" t="s">
        <v>73</v>
      </c>
      <c r="C4" s="72" t="s">
        <v>803</v>
      </c>
      <c r="D4" s="71" t="s">
        <v>800</v>
      </c>
      <c r="E4" s="71" t="s">
        <v>809</v>
      </c>
      <c r="F4" s="71" t="s">
        <v>100</v>
      </c>
      <c r="G4" s="74">
        <v>9</v>
      </c>
      <c r="H4" s="75" t="s">
        <v>804</v>
      </c>
    </row>
    <row r="5" spans="1:8" ht="19.8" customHeight="1" x14ac:dyDescent="0.3">
      <c r="A5" s="64" t="s">
        <v>204</v>
      </c>
      <c r="B5" s="65" t="s">
        <v>73</v>
      </c>
      <c r="C5" s="66" t="s">
        <v>819</v>
      </c>
      <c r="D5" s="65" t="s">
        <v>818</v>
      </c>
      <c r="E5" s="65" t="s">
        <v>177</v>
      </c>
      <c r="F5" s="65" t="s">
        <v>100</v>
      </c>
      <c r="G5" s="84">
        <v>4</v>
      </c>
      <c r="H5" s="67" t="s">
        <v>820</v>
      </c>
    </row>
    <row r="6" spans="1:8" ht="19.8" customHeight="1" x14ac:dyDescent="0.3">
      <c r="A6" s="100"/>
      <c r="B6" s="101"/>
      <c r="C6" s="101"/>
      <c r="D6" s="101"/>
      <c r="E6" s="101"/>
      <c r="F6" s="102" t="s">
        <v>824</v>
      </c>
      <c r="G6" s="101"/>
      <c r="H6" s="103"/>
    </row>
    <row r="7" spans="1:8" ht="19.8" customHeight="1" x14ac:dyDescent="0.3">
      <c r="A7" s="70">
        <v>45983</v>
      </c>
      <c r="B7" s="71" t="s">
        <v>73</v>
      </c>
      <c r="C7" s="72" t="s">
        <v>803</v>
      </c>
      <c r="D7" s="71" t="s">
        <v>800</v>
      </c>
      <c r="E7" s="73">
        <v>1.71875</v>
      </c>
      <c r="F7" s="71" t="s">
        <v>100</v>
      </c>
      <c r="G7" s="74">
        <v>2</v>
      </c>
      <c r="H7" s="75" t="s">
        <v>807</v>
      </c>
    </row>
  </sheetData>
  <pageMargins left="0.75" right="0.75" top="1" bottom="1" header="0.5" footer="0.5"/>
  <legacyDrawing r:id="rId1"/>
  <tableParts count="1">
    <tablePart r:id="rId2"/>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CN15"/>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2.88671875" bestFit="1" customWidth="1"/>
  </cols>
  <sheetData>
    <row r="1" spans="1:92" ht="28.8" customHeight="1" x14ac:dyDescent="0.3">
      <c r="A1" s="261" t="s">
        <v>0</v>
      </c>
      <c r="B1" s="254"/>
      <c r="C1" s="254"/>
      <c r="D1" s="254"/>
      <c r="E1" s="254"/>
      <c r="F1" s="1" t="s">
        <v>825</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45980.430503676471</v>
      </c>
      <c r="H2" s="254"/>
      <c r="I2" s="254"/>
      <c r="J2" s="254"/>
      <c r="K2" s="263">
        <v>45980.430503676776</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45981</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5" t="s">
        <v>73</v>
      </c>
      <c r="B6" s="85" t="s">
        <v>826</v>
      </c>
      <c r="C6" s="86">
        <v>0.4375</v>
      </c>
      <c r="D6" s="85" t="s">
        <v>100</v>
      </c>
      <c r="E6" s="85" t="s">
        <v>827</v>
      </c>
      <c r="F6" s="85" t="s">
        <v>828</v>
      </c>
      <c r="G6" s="256"/>
      <c r="H6" s="87" t="s">
        <v>829</v>
      </c>
      <c r="I6" s="88">
        <v>0.89939999999999998</v>
      </c>
      <c r="J6" s="89">
        <v>161</v>
      </c>
      <c r="K6" s="90" t="s">
        <v>103</v>
      </c>
      <c r="L6" s="89">
        <v>31</v>
      </c>
      <c r="M6" s="89">
        <v>0</v>
      </c>
      <c r="N6" s="89">
        <v>11</v>
      </c>
      <c r="O6" s="91" t="s">
        <v>421</v>
      </c>
      <c r="P6" s="92">
        <v>0.4375</v>
      </c>
      <c r="Q6" s="89">
        <v>179</v>
      </c>
      <c r="R6" s="93" t="s">
        <v>830</v>
      </c>
    </row>
    <row r="7" spans="1:92" ht="49.95" customHeight="1" thickBot="1" x14ac:dyDescent="0.35">
      <c r="A7" s="199" t="s">
        <v>239</v>
      </c>
      <c r="B7" s="199" t="s">
        <v>831</v>
      </c>
      <c r="C7" s="200">
        <v>2.0833333333333329E-2</v>
      </c>
      <c r="D7" s="199" t="s">
        <v>100</v>
      </c>
      <c r="E7" s="199" t="s">
        <v>101</v>
      </c>
      <c r="F7" s="199" t="s">
        <v>832</v>
      </c>
      <c r="G7" s="258"/>
      <c r="H7" s="41"/>
      <c r="I7" s="42"/>
      <c r="J7" s="42"/>
      <c r="K7" s="42"/>
      <c r="L7" s="42"/>
      <c r="M7" s="42"/>
      <c r="N7" s="42"/>
      <c r="O7" s="43"/>
      <c r="P7" s="42"/>
      <c r="Q7" s="44"/>
      <c r="R7" s="45"/>
    </row>
    <row r="8" spans="1:92" ht="17.399999999999999" customHeight="1" thickBot="1" x14ac:dyDescent="0.35">
      <c r="A8" s="285"/>
      <c r="B8" s="286"/>
      <c r="C8" s="286"/>
      <c r="D8" s="286"/>
      <c r="E8" s="286"/>
      <c r="F8" s="286"/>
      <c r="G8" s="286"/>
      <c r="H8" s="286"/>
      <c r="I8" s="286"/>
      <c r="J8" s="286"/>
      <c r="K8" s="286"/>
      <c r="L8" s="286"/>
      <c r="M8" s="286"/>
      <c r="N8" s="286"/>
      <c r="O8" s="286"/>
      <c r="P8" s="286"/>
      <c r="Q8" s="286"/>
      <c r="R8" s="287"/>
    </row>
    <row r="9" spans="1:92" ht="22.05" customHeight="1" thickTop="1" thickBot="1" x14ac:dyDescent="0.35">
      <c r="A9" s="259" t="s">
        <v>6</v>
      </c>
      <c r="B9" s="251"/>
      <c r="C9" s="251"/>
      <c r="D9" s="251"/>
      <c r="E9" s="251"/>
      <c r="F9" s="252"/>
      <c r="G9" s="31">
        <v>45982</v>
      </c>
      <c r="H9" s="250" t="s">
        <v>7</v>
      </c>
      <c r="I9" s="251"/>
      <c r="J9" s="251"/>
      <c r="K9" s="251"/>
      <c r="L9" s="251"/>
      <c r="M9" s="251"/>
      <c r="N9" s="251"/>
      <c r="O9" s="251"/>
      <c r="P9" s="251"/>
      <c r="Q9" s="251"/>
      <c r="R9" s="252"/>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thickTop="1" thickBot="1" x14ac:dyDescent="0.5">
      <c r="A11" s="178" t="s">
        <v>73</v>
      </c>
      <c r="B11" s="178" t="s">
        <v>826</v>
      </c>
      <c r="C11" s="179">
        <v>0.16666666666666671</v>
      </c>
      <c r="D11" s="178" t="s">
        <v>100</v>
      </c>
      <c r="E11" s="178" t="s">
        <v>55</v>
      </c>
      <c r="F11" s="178" t="s">
        <v>833</v>
      </c>
      <c r="G11" s="256"/>
      <c r="H11" s="224" t="s">
        <v>829</v>
      </c>
      <c r="I11" s="225">
        <v>0.80449999999999999</v>
      </c>
      <c r="J11" s="226">
        <v>144</v>
      </c>
      <c r="K11" s="227" t="s">
        <v>103</v>
      </c>
      <c r="L11" s="226">
        <v>46</v>
      </c>
      <c r="M11" s="226">
        <v>0</v>
      </c>
      <c r="N11" s="226">
        <v>4</v>
      </c>
      <c r="O11" s="228" t="s">
        <v>259</v>
      </c>
      <c r="P11" s="229">
        <v>0.16666666666666671</v>
      </c>
      <c r="Q11" s="226">
        <v>179</v>
      </c>
      <c r="R11" s="230" t="s">
        <v>834</v>
      </c>
    </row>
    <row r="12" spans="1:92" ht="17.399999999999999" customHeight="1" thickBot="1" x14ac:dyDescent="0.35">
      <c r="A12" s="285"/>
      <c r="B12" s="286"/>
      <c r="C12" s="286"/>
      <c r="D12" s="286"/>
      <c r="E12" s="286"/>
      <c r="F12" s="286"/>
      <c r="G12" s="286"/>
      <c r="H12" s="286"/>
      <c r="I12" s="286"/>
      <c r="J12" s="286"/>
      <c r="K12" s="286"/>
      <c r="L12" s="286"/>
      <c r="M12" s="286"/>
      <c r="N12" s="286"/>
      <c r="O12" s="286"/>
      <c r="P12" s="286"/>
      <c r="Q12" s="286"/>
      <c r="R12" s="287"/>
    </row>
    <row r="13" spans="1:92" ht="22.05" customHeight="1" thickTop="1" thickBot="1" x14ac:dyDescent="0.35">
      <c r="A13" s="259" t="s">
        <v>6</v>
      </c>
      <c r="B13" s="251"/>
      <c r="C13" s="251"/>
      <c r="D13" s="251"/>
      <c r="E13" s="251"/>
      <c r="F13" s="252"/>
      <c r="G13" s="31">
        <v>45983</v>
      </c>
      <c r="H13" s="250" t="s">
        <v>7</v>
      </c>
      <c r="I13" s="251"/>
      <c r="J13" s="251"/>
      <c r="K13" s="251"/>
      <c r="L13" s="251"/>
      <c r="M13" s="251"/>
      <c r="N13" s="251"/>
      <c r="O13" s="251"/>
      <c r="P13" s="251"/>
      <c r="Q13" s="251"/>
      <c r="R13" s="252"/>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x14ac:dyDescent="0.45">
      <c r="A15" s="104" t="s">
        <v>73</v>
      </c>
      <c r="B15" s="104" t="s">
        <v>829</v>
      </c>
      <c r="C15" s="105">
        <v>0.125</v>
      </c>
      <c r="D15" s="104" t="s">
        <v>75</v>
      </c>
      <c r="E15" s="231"/>
      <c r="F15" s="104" t="s">
        <v>76</v>
      </c>
      <c r="G15" s="256"/>
      <c r="H15" s="232" t="s">
        <v>829</v>
      </c>
      <c r="I15" s="233">
        <v>1</v>
      </c>
      <c r="J15" s="234">
        <v>179</v>
      </c>
      <c r="K15" s="235" t="s">
        <v>77</v>
      </c>
      <c r="L15" s="234">
        <v>10</v>
      </c>
      <c r="M15" s="234">
        <v>0</v>
      </c>
      <c r="N15" s="234">
        <v>0</v>
      </c>
      <c r="O15" s="236" t="s">
        <v>78</v>
      </c>
      <c r="P15" s="237">
        <v>0.125</v>
      </c>
      <c r="Q15" s="234">
        <v>179</v>
      </c>
      <c r="R15" s="238" t="s">
        <v>835</v>
      </c>
    </row>
  </sheetData>
  <mergeCells count="18">
    <mergeCell ref="G15"/>
    <mergeCell ref="A8:R8"/>
    <mergeCell ref="H4:R4"/>
    <mergeCell ref="A12:R12"/>
    <mergeCell ref="N1:R1"/>
    <mergeCell ref="H1:L1"/>
    <mergeCell ref="A1:E1"/>
    <mergeCell ref="G2:J2"/>
    <mergeCell ref="K2:R2"/>
    <mergeCell ref="A4:F4"/>
    <mergeCell ref="A2:F2"/>
    <mergeCell ref="A3:R3"/>
    <mergeCell ref="H9:R9"/>
    <mergeCell ref="A13:F13"/>
    <mergeCell ref="H13:R13"/>
    <mergeCell ref="A9:F9"/>
    <mergeCell ref="G6:G7"/>
    <mergeCell ref="G11"/>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J5"/>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8.1093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4" width="3.88671875" style="272" bestFit="1" customWidth="1"/>
    <col min="25" max="25" width="4.44140625" style="272" bestFit="1" customWidth="1"/>
    <col min="26" max="26" width="4.109375" style="272" bestFit="1" customWidth="1"/>
    <col min="27" max="27" width="5" style="272" bestFit="1" customWidth="1"/>
    <col min="28" max="29" width="4.21875" style="272" bestFit="1" customWidth="1"/>
    <col min="30" max="30" width="4.5546875" style="272" bestFit="1" customWidth="1"/>
    <col min="31" max="34" width="3.88671875" style="272" bestFit="1" customWidth="1"/>
    <col min="35" max="35" width="5.21875" style="272" bestFit="1" customWidth="1"/>
    <col min="36"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135</v>
      </c>
      <c r="B2" s="274">
        <v>45981</v>
      </c>
      <c r="C2" s="275" t="s">
        <v>829</v>
      </c>
      <c r="D2" s="276" t="s">
        <v>401</v>
      </c>
      <c r="E2" s="275" t="s">
        <v>825</v>
      </c>
      <c r="F2" s="275" t="s">
        <v>137</v>
      </c>
      <c r="G2" s="277">
        <v>0.89939999999999998</v>
      </c>
      <c r="H2" s="278">
        <v>179</v>
      </c>
      <c r="I2" s="278">
        <v>161</v>
      </c>
      <c r="J2" s="278">
        <v>91</v>
      </c>
      <c r="K2" s="275" t="s">
        <v>138</v>
      </c>
      <c r="L2" s="279" t="s">
        <v>103</v>
      </c>
      <c r="M2" s="278">
        <v>0</v>
      </c>
      <c r="N2" s="278">
        <v>11</v>
      </c>
      <c r="O2" s="278">
        <v>31</v>
      </c>
      <c r="P2" s="275" t="s">
        <v>421</v>
      </c>
      <c r="Q2" s="271"/>
      <c r="R2" s="271"/>
      <c r="S2" s="271"/>
      <c r="T2" s="271"/>
      <c r="U2" s="271"/>
      <c r="V2" s="271"/>
      <c r="W2" s="271"/>
      <c r="X2" s="271"/>
      <c r="Y2" s="278" t="s">
        <v>359</v>
      </c>
      <c r="Z2" s="278" t="s">
        <v>197</v>
      </c>
      <c r="AA2" s="278" t="s">
        <v>836</v>
      </c>
      <c r="AB2" s="278" t="s">
        <v>743</v>
      </c>
      <c r="AC2" s="278" t="s">
        <v>542</v>
      </c>
      <c r="AD2" s="278" t="s">
        <v>785</v>
      </c>
      <c r="AE2" s="271"/>
      <c r="AF2" s="271"/>
      <c r="AG2" s="271"/>
      <c r="AH2" s="271"/>
      <c r="AI2" s="278" t="s">
        <v>837</v>
      </c>
      <c r="AJ2" s="271"/>
    </row>
    <row r="3" spans="1:36" x14ac:dyDescent="0.3">
      <c r="A3" s="273" t="s">
        <v>390</v>
      </c>
      <c r="B3" s="274">
        <v>45982</v>
      </c>
      <c r="C3" s="275" t="s">
        <v>829</v>
      </c>
      <c r="D3" s="276" t="s">
        <v>838</v>
      </c>
      <c r="E3" s="275" t="s">
        <v>825</v>
      </c>
      <c r="F3" s="275" t="s">
        <v>137</v>
      </c>
      <c r="G3" s="277">
        <v>0.80449999999999999</v>
      </c>
      <c r="H3" s="278">
        <v>179</v>
      </c>
      <c r="I3" s="278">
        <v>144</v>
      </c>
      <c r="J3" s="278">
        <v>41</v>
      </c>
      <c r="K3" s="275" t="s">
        <v>138</v>
      </c>
      <c r="L3" s="279" t="s">
        <v>103</v>
      </c>
      <c r="M3" s="278">
        <v>0</v>
      </c>
      <c r="N3" s="278">
        <v>4</v>
      </c>
      <c r="O3" s="278">
        <v>46</v>
      </c>
      <c r="P3" s="275" t="s">
        <v>259</v>
      </c>
      <c r="Q3" s="271"/>
      <c r="R3" s="271"/>
      <c r="S3" s="271"/>
      <c r="T3" s="271"/>
      <c r="U3" s="271"/>
      <c r="V3" s="271"/>
      <c r="W3" s="271"/>
      <c r="X3" s="278" t="s">
        <v>364</v>
      </c>
      <c r="Y3" s="278" t="s">
        <v>839</v>
      </c>
      <c r="Z3" s="278" t="s">
        <v>840</v>
      </c>
      <c r="AA3" s="278" t="s">
        <v>841</v>
      </c>
      <c r="AB3" s="278" t="s">
        <v>842</v>
      </c>
      <c r="AC3" s="278" t="s">
        <v>843</v>
      </c>
      <c r="AD3" s="278" t="s">
        <v>844</v>
      </c>
      <c r="AE3" s="271"/>
      <c r="AF3" s="271"/>
      <c r="AG3" s="271"/>
      <c r="AH3" s="271"/>
      <c r="AI3" s="278" t="s">
        <v>400</v>
      </c>
      <c r="AJ3" s="271"/>
    </row>
    <row r="4" spans="1:36" x14ac:dyDescent="0.3">
      <c r="A4" s="273" t="s">
        <v>146</v>
      </c>
      <c r="B4" s="274">
        <v>45983</v>
      </c>
      <c r="C4" s="275" t="s">
        <v>829</v>
      </c>
      <c r="D4" s="276" t="s">
        <v>845</v>
      </c>
      <c r="E4" s="275" t="s">
        <v>825</v>
      </c>
      <c r="F4" s="275" t="s">
        <v>137</v>
      </c>
      <c r="G4" s="277">
        <v>1</v>
      </c>
      <c r="H4" s="278">
        <v>179</v>
      </c>
      <c r="I4" s="278">
        <v>179</v>
      </c>
      <c r="J4" s="278">
        <v>146</v>
      </c>
      <c r="K4" s="275" t="s">
        <v>138</v>
      </c>
      <c r="L4" s="279" t="s">
        <v>77</v>
      </c>
      <c r="M4" s="278">
        <v>0</v>
      </c>
      <c r="N4" s="278">
        <v>0</v>
      </c>
      <c r="O4" s="278">
        <v>10</v>
      </c>
      <c r="P4" s="275" t="s">
        <v>78</v>
      </c>
      <c r="Q4" s="271"/>
      <c r="R4" s="271"/>
      <c r="S4" s="271"/>
      <c r="T4" s="271"/>
      <c r="U4" s="271"/>
      <c r="V4" s="271"/>
      <c r="W4" s="278" t="s">
        <v>846</v>
      </c>
      <c r="X4" s="271"/>
      <c r="Y4" s="271"/>
      <c r="Z4" s="278" t="s">
        <v>254</v>
      </c>
      <c r="AA4" s="278" t="s">
        <v>308</v>
      </c>
      <c r="AB4" s="278" t="s">
        <v>847</v>
      </c>
      <c r="AC4" s="278" t="s">
        <v>416</v>
      </c>
      <c r="AD4" s="271"/>
      <c r="AE4" s="271"/>
      <c r="AF4" s="271"/>
      <c r="AG4" s="271"/>
      <c r="AH4" s="271"/>
      <c r="AI4" s="278" t="s">
        <v>848</v>
      </c>
      <c r="AJ4" s="278" t="s">
        <v>389</v>
      </c>
    </row>
    <row r="5" spans="1:36" ht="21" x14ac:dyDescent="0.3">
      <c r="A5" s="280" t="s">
        <v>943</v>
      </c>
      <c r="B5" s="281"/>
      <c r="C5" s="280">
        <f>SUBTOTAL(103,CAI_YNB_LF_LEGACY[Flt])</f>
        <v>3</v>
      </c>
      <c r="D5" s="280"/>
      <c r="E5" s="280">
        <f>SUBTOTAL(103,CAI_YNB_LF_LEGACY[Brd-Off])</f>
        <v>3</v>
      </c>
      <c r="F5" s="280"/>
      <c r="G5" s="282">
        <f>SUBTOTAL(101,CAI_YNB_LF_LEGACY[LF%])</f>
        <v>0.90129999999999999</v>
      </c>
      <c r="H5" s="283">
        <f>SUBTOTAL(109,CAI_YNB_LF_LEGACY[CAP])</f>
        <v>537</v>
      </c>
      <c r="I5" s="283">
        <f>SUBTOTAL(109,CAI_YNB_LF_LEGACY[BKG(Y)])</f>
        <v>484</v>
      </c>
      <c r="J5" s="283">
        <f>SUBTOTAL(109,CAI_YNB_LF_LEGACY[GRP(Y)])</f>
        <v>278</v>
      </c>
      <c r="K5" s="280"/>
      <c r="L5" s="281"/>
      <c r="M5" s="283">
        <f>SUBTOTAL(109,CAI_YNB_LF_LEGACY[TO-DAY])</f>
        <v>0</v>
      </c>
      <c r="N5" s="283">
        <f>SUBTOTAL(109,CAI_YNB_LF_LEGACY[Y-DAY])</f>
        <v>15</v>
      </c>
      <c r="O5" s="283">
        <f>SUBTOTAL(109,CAI_YNB_LF_LEGACY[WEEKLY])</f>
        <v>87</v>
      </c>
      <c r="P5" s="284"/>
      <c r="Q5" s="283">
        <f>SUBTOTAL(109,CAI_YNB_LF_LEGACY[Y])</f>
        <v>0</v>
      </c>
      <c r="R5" s="283">
        <f>SUBTOTAL(109,CAI_YNB_LF_LEGACY[B])</f>
        <v>0</v>
      </c>
      <c r="S5" s="283">
        <f>SUBTOTAL(109,CAI_YNB_LF_LEGACY[M])</f>
        <v>0</v>
      </c>
      <c r="T5" s="283">
        <f>SUBTOTAL(109,CAI_YNB_LF_LEGACY[H])</f>
        <v>0</v>
      </c>
      <c r="U5" s="283">
        <f>SUBTOTAL(109,CAI_YNB_LF_LEGACY[Q])</f>
        <v>0</v>
      </c>
      <c r="V5" s="283">
        <f>SUBTOTAL(109,CAI_YNB_LF_LEGACY[K])</f>
        <v>0</v>
      </c>
      <c r="W5" s="283">
        <f>SUBTOTAL(109,CAI_YNB_LF_LEGACY[V])</f>
        <v>0</v>
      </c>
      <c r="X5" s="283">
        <f>SUBTOTAL(109,CAI_YNB_LF_LEGACY[L])</f>
        <v>0</v>
      </c>
      <c r="Y5" s="283">
        <f>SUBTOTAL(109,CAI_YNB_LF_LEGACY[G])</f>
        <v>0</v>
      </c>
      <c r="Z5" s="283">
        <f>SUBTOTAL(109,CAI_YNB_LF_LEGACY[S])</f>
        <v>0</v>
      </c>
      <c r="AA5" s="283">
        <f>SUBTOTAL(109,CAI_YNB_LF_LEGACY[W])</f>
        <v>0</v>
      </c>
      <c r="AB5" s="283">
        <f>SUBTOTAL(109,CAI_YNB_LF_LEGACY[T])</f>
        <v>0</v>
      </c>
      <c r="AC5" s="283">
        <f>SUBTOTAL(109,CAI_YNB_LF_LEGACY[X])</f>
        <v>0</v>
      </c>
      <c r="AD5" s="283">
        <f>SUBTOTAL(109,CAI_YNB_LF_LEGACY[U])</f>
        <v>0</v>
      </c>
      <c r="AE5" s="283">
        <f>SUBTOTAL(109,CAI_YNB_LF_LEGACY[O])</f>
        <v>0</v>
      </c>
      <c r="AF5" s="283">
        <f>SUBTOTAL(109,CAI_YNB_LF_LEGACY[I])</f>
        <v>0</v>
      </c>
      <c r="AG5" s="283">
        <f>SUBTOTAL(109,CAI_YNB_LF_LEGACY[E])</f>
        <v>0</v>
      </c>
      <c r="AH5" s="283">
        <f>SUBTOTAL(109,CAI_YNB_LF_LEGACY[A])</f>
        <v>0</v>
      </c>
      <c r="AI5" s="283">
        <f>SUBTOTAL(109,CAI_YNB_LF_LEGACY[P])</f>
        <v>0</v>
      </c>
      <c r="AJ5" s="283">
        <f>SUBTOTAL(103,CAI_YNB_LF_LEGACY[N])</f>
        <v>1</v>
      </c>
    </row>
  </sheetData>
  <pageMargins left="0.75" right="0.75" top="1" bottom="1" header="0.5" footer="0.5"/>
  <tableParts count="1">
    <tablePart r:id="rId1"/>
  </tablePar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5"/>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6.5546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99" t="s">
        <v>152</v>
      </c>
      <c r="B2" s="77" t="s">
        <v>73</v>
      </c>
      <c r="C2" s="78" t="s">
        <v>826</v>
      </c>
      <c r="D2" s="77" t="s">
        <v>825</v>
      </c>
      <c r="E2" s="77" t="s">
        <v>401</v>
      </c>
      <c r="F2" s="77" t="s">
        <v>100</v>
      </c>
      <c r="G2" s="80">
        <v>8</v>
      </c>
      <c r="H2" s="81" t="s">
        <v>828</v>
      </c>
    </row>
    <row r="3" spans="1:8" ht="19.8" customHeight="1" x14ac:dyDescent="0.3">
      <c r="A3" s="70">
        <v>45981</v>
      </c>
      <c r="B3" s="71" t="s">
        <v>239</v>
      </c>
      <c r="C3" s="72" t="s">
        <v>831</v>
      </c>
      <c r="D3" s="71" t="s">
        <v>825</v>
      </c>
      <c r="E3" s="73">
        <v>1.020833333333333</v>
      </c>
      <c r="F3" s="71" t="s">
        <v>100</v>
      </c>
      <c r="G3" s="74">
        <v>3</v>
      </c>
      <c r="H3" s="75" t="s">
        <v>832</v>
      </c>
    </row>
    <row r="4" spans="1:8" ht="19.8" customHeight="1" x14ac:dyDescent="0.3">
      <c r="A4" s="82">
        <v>45982</v>
      </c>
      <c r="B4" s="65" t="s">
        <v>73</v>
      </c>
      <c r="C4" s="66" t="s">
        <v>826</v>
      </c>
      <c r="D4" s="65" t="s">
        <v>825</v>
      </c>
      <c r="E4" s="83">
        <v>1.166666666666667</v>
      </c>
      <c r="F4" s="65" t="s">
        <v>100</v>
      </c>
      <c r="G4" s="84">
        <v>9</v>
      </c>
      <c r="H4" s="67" t="s">
        <v>833</v>
      </c>
    </row>
    <row r="5" spans="1:8" ht="19.8" customHeight="1" x14ac:dyDescent="0.3">
      <c r="A5" s="82">
        <v>45983</v>
      </c>
      <c r="B5" s="65" t="s">
        <v>73</v>
      </c>
      <c r="C5" s="66" t="s">
        <v>826</v>
      </c>
      <c r="D5" s="65" t="s">
        <v>825</v>
      </c>
      <c r="E5" s="83">
        <v>1.125</v>
      </c>
      <c r="F5" s="65"/>
      <c r="G5" s="65"/>
      <c r="H5" s="67" t="s">
        <v>76</v>
      </c>
    </row>
  </sheetData>
  <pageMargins left="0.75" right="0.75" top="1" bottom="1" header="0.5" footer="0.5"/>
  <legacyDrawing r:id="rId1"/>
  <tableParts count="1">
    <tablePart r:id="rId2"/>
  </tableParts>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I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6.5546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64" t="s">
        <v>152</v>
      </c>
      <c r="B2" s="65" t="s">
        <v>73</v>
      </c>
      <c r="C2" s="66" t="s">
        <v>826</v>
      </c>
      <c r="D2" s="65" t="s">
        <v>825</v>
      </c>
      <c r="E2" s="65" t="s">
        <v>401</v>
      </c>
      <c r="F2" s="65" t="s">
        <v>100</v>
      </c>
      <c r="G2" s="84">
        <v>8</v>
      </c>
      <c r="H2" s="67" t="s">
        <v>828</v>
      </c>
    </row>
    <row r="3" spans="1:8" ht="19.8" customHeight="1" x14ac:dyDescent="0.3">
      <c r="A3" s="82">
        <v>45982</v>
      </c>
      <c r="B3" s="65" t="s">
        <v>73</v>
      </c>
      <c r="C3" s="66" t="s">
        <v>826</v>
      </c>
      <c r="D3" s="65" t="s">
        <v>825</v>
      </c>
      <c r="E3" s="83">
        <v>1.166666666666667</v>
      </c>
      <c r="F3" s="65" t="s">
        <v>100</v>
      </c>
      <c r="G3" s="84">
        <v>9</v>
      </c>
      <c r="H3" s="67" t="s">
        <v>833</v>
      </c>
    </row>
    <row r="4" spans="1:8" ht="19.8" customHeight="1" x14ac:dyDescent="0.3">
      <c r="A4" s="82">
        <v>45983</v>
      </c>
      <c r="B4" s="65" t="s">
        <v>73</v>
      </c>
      <c r="C4" s="66" t="s">
        <v>826</v>
      </c>
      <c r="D4" s="65" t="s">
        <v>825</v>
      </c>
      <c r="E4" s="83">
        <v>1.125</v>
      </c>
      <c r="F4" s="65"/>
      <c r="G4" s="65"/>
      <c r="H4" s="67" t="s">
        <v>76</v>
      </c>
    </row>
  </sheetData>
  <pageMargins left="0.75" right="0.75" top="1" bottom="1" header="0.5" footer="0.5"/>
  <legacyDrawing r:id="rId1"/>
  <tableParts count="1">
    <tablePart r:id="rId2"/>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CN12"/>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93.21875" bestFit="1" customWidth="1"/>
  </cols>
  <sheetData>
    <row r="1" spans="1:92" ht="28.8" customHeight="1" x14ac:dyDescent="0.3">
      <c r="A1" s="261" t="s">
        <v>0</v>
      </c>
      <c r="B1" s="254"/>
      <c r="C1" s="254"/>
      <c r="D1" s="254"/>
      <c r="E1" s="254"/>
      <c r="F1" s="1" t="s">
        <v>849</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45980.430506560428</v>
      </c>
      <c r="H2" s="254"/>
      <c r="I2" s="254"/>
      <c r="J2" s="254"/>
      <c r="K2" s="263">
        <v>45980.430506560762</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45981</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239</v>
      </c>
      <c r="B6" s="8" t="s">
        <v>850</v>
      </c>
      <c r="C6" s="9">
        <v>0.91666666666666663</v>
      </c>
      <c r="D6" s="8" t="s">
        <v>100</v>
      </c>
      <c r="E6" s="8" t="s">
        <v>269</v>
      </c>
      <c r="F6" s="8" t="s">
        <v>851</v>
      </c>
      <c r="G6" s="256"/>
      <c r="H6" s="10"/>
      <c r="I6" s="11"/>
      <c r="J6" s="11"/>
      <c r="K6" s="11"/>
      <c r="L6" s="11"/>
      <c r="M6" s="11"/>
      <c r="N6" s="11"/>
      <c r="O6" s="12"/>
      <c r="P6" s="11"/>
      <c r="Q6" s="13"/>
      <c r="R6" s="14"/>
    </row>
    <row r="7" spans="1:92" ht="49.95" customHeight="1" thickTop="1" thickBot="1" x14ac:dyDescent="0.35">
      <c r="A7" s="239" t="s">
        <v>73</v>
      </c>
      <c r="B7" s="239" t="s">
        <v>852</v>
      </c>
      <c r="C7" s="240">
        <v>0.80208333333333337</v>
      </c>
      <c r="D7" s="239" t="s">
        <v>100</v>
      </c>
      <c r="E7" s="239" t="s">
        <v>81</v>
      </c>
      <c r="F7" s="239" t="s">
        <v>853</v>
      </c>
      <c r="G7" s="258"/>
      <c r="H7" s="224" t="s">
        <v>854</v>
      </c>
      <c r="I7" s="241">
        <v>0.96089999999999998</v>
      </c>
      <c r="J7" s="226">
        <v>172</v>
      </c>
      <c r="K7" s="227" t="s">
        <v>103</v>
      </c>
      <c r="L7" s="226">
        <v>64</v>
      </c>
      <c r="M7" s="226">
        <v>0</v>
      </c>
      <c r="N7" s="226">
        <v>9</v>
      </c>
      <c r="O7" s="228" t="s">
        <v>855</v>
      </c>
      <c r="P7" s="229">
        <v>0.80208333333333337</v>
      </c>
      <c r="Q7" s="226">
        <v>179</v>
      </c>
      <c r="R7" s="230" t="s">
        <v>856</v>
      </c>
    </row>
    <row r="8" spans="1:92" ht="17.399999999999999" customHeight="1" thickBot="1" x14ac:dyDescent="0.35">
      <c r="A8" s="285"/>
      <c r="B8" s="286"/>
      <c r="C8" s="286"/>
      <c r="D8" s="286"/>
      <c r="E8" s="286"/>
      <c r="F8" s="286"/>
      <c r="G8" s="286"/>
      <c r="H8" s="286"/>
      <c r="I8" s="286"/>
      <c r="J8" s="286"/>
      <c r="K8" s="286"/>
      <c r="L8" s="286"/>
      <c r="M8" s="286"/>
      <c r="N8" s="286"/>
      <c r="O8" s="286"/>
      <c r="P8" s="286"/>
      <c r="Q8" s="286"/>
      <c r="R8" s="287"/>
    </row>
    <row r="9" spans="1:92" ht="22.05" customHeight="1" thickTop="1" thickBot="1" x14ac:dyDescent="0.35">
      <c r="A9" s="259" t="s">
        <v>6</v>
      </c>
      <c r="B9" s="251"/>
      <c r="C9" s="251"/>
      <c r="D9" s="251"/>
      <c r="E9" s="251"/>
      <c r="F9" s="252"/>
      <c r="G9" s="31">
        <v>45983</v>
      </c>
      <c r="H9" s="250" t="s">
        <v>7</v>
      </c>
      <c r="I9" s="251"/>
      <c r="J9" s="251"/>
      <c r="K9" s="251"/>
      <c r="L9" s="251"/>
      <c r="M9" s="251"/>
      <c r="N9" s="251"/>
      <c r="O9" s="251"/>
      <c r="P9" s="251"/>
      <c r="Q9" s="251"/>
      <c r="R9" s="252"/>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3">
      <c r="A11" s="8" t="s">
        <v>239</v>
      </c>
      <c r="B11" s="8" t="s">
        <v>857</v>
      </c>
      <c r="C11" s="9">
        <v>3.472222222222222E-3</v>
      </c>
      <c r="D11" s="8" t="s">
        <v>100</v>
      </c>
      <c r="E11" s="8" t="s">
        <v>55</v>
      </c>
      <c r="F11" s="8" t="s">
        <v>851</v>
      </c>
      <c r="G11" s="256"/>
      <c r="H11" s="10"/>
      <c r="I11" s="11"/>
      <c r="J11" s="11"/>
      <c r="K11" s="11"/>
      <c r="L11" s="11"/>
      <c r="M11" s="11"/>
      <c r="N11" s="11"/>
      <c r="O11" s="12"/>
      <c r="P11" s="11"/>
      <c r="Q11" s="13"/>
      <c r="R11" s="14"/>
    </row>
    <row r="12" spans="1:92" ht="49.95" customHeight="1" x14ac:dyDescent="0.3">
      <c r="A12" s="239" t="s">
        <v>73</v>
      </c>
      <c r="B12" s="239" t="s">
        <v>852</v>
      </c>
      <c r="C12" s="240">
        <v>0.80208333333333337</v>
      </c>
      <c r="D12" s="239" t="s">
        <v>100</v>
      </c>
      <c r="E12" s="239" t="s">
        <v>55</v>
      </c>
      <c r="F12" s="239" t="s">
        <v>853</v>
      </c>
      <c r="G12" s="258"/>
      <c r="H12" s="224" t="s">
        <v>854</v>
      </c>
      <c r="I12" s="225">
        <v>0.83799999999999997</v>
      </c>
      <c r="J12" s="226">
        <v>150</v>
      </c>
      <c r="K12" s="227" t="s">
        <v>103</v>
      </c>
      <c r="L12" s="226">
        <v>20</v>
      </c>
      <c r="M12" s="226">
        <v>0</v>
      </c>
      <c r="N12" s="226">
        <v>5</v>
      </c>
      <c r="O12" s="228" t="s">
        <v>858</v>
      </c>
      <c r="P12" s="229">
        <v>0.80208333333333337</v>
      </c>
      <c r="Q12" s="226">
        <v>179</v>
      </c>
      <c r="R12" s="230" t="s">
        <v>859</v>
      </c>
    </row>
  </sheetData>
  <mergeCells count="14">
    <mergeCell ref="G11:G12"/>
    <mergeCell ref="A8:R8"/>
    <mergeCell ref="H4:R4"/>
    <mergeCell ref="N1:R1"/>
    <mergeCell ref="H1:L1"/>
    <mergeCell ref="A1:E1"/>
    <mergeCell ref="G2:J2"/>
    <mergeCell ref="K2:R2"/>
    <mergeCell ref="A4:F4"/>
    <mergeCell ref="A2:F2"/>
    <mergeCell ref="A3:R3"/>
    <mergeCell ref="H9:R9"/>
    <mergeCell ref="A9:F9"/>
    <mergeCell ref="G6:G7"/>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J4"/>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8.1093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19" width="3.88671875" style="272" bestFit="1" customWidth="1"/>
    <col min="20" max="20" width="4.44140625" style="272" bestFit="1" customWidth="1"/>
    <col min="21" max="21" width="4.5546875" style="272" bestFit="1" customWidth="1"/>
    <col min="22" max="22" width="4.21875" style="272" bestFit="1" customWidth="1"/>
    <col min="23" max="23" width="4.33203125" style="272" bestFit="1" customWidth="1"/>
    <col min="24" max="24" width="4.109375" style="272" bestFit="1" customWidth="1"/>
    <col min="25" max="25" width="4.44140625" style="272" bestFit="1" customWidth="1"/>
    <col min="26" max="26" width="3.88671875" style="272" bestFit="1" customWidth="1"/>
    <col min="27" max="27" width="4" style="272" bestFit="1" customWidth="1"/>
    <col min="28" max="28" width="4.21875" style="272" bestFit="1" customWidth="1"/>
    <col min="29" max="30" width="3.88671875" style="272" bestFit="1" customWidth="1"/>
    <col min="31" max="31" width="4.5546875" style="272" bestFit="1" customWidth="1"/>
    <col min="32"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135</v>
      </c>
      <c r="B2" s="274">
        <v>45981</v>
      </c>
      <c r="C2" s="275" t="s">
        <v>854</v>
      </c>
      <c r="D2" s="276" t="s">
        <v>196</v>
      </c>
      <c r="E2" s="275" t="s">
        <v>849</v>
      </c>
      <c r="F2" s="275" t="s">
        <v>137</v>
      </c>
      <c r="G2" s="277">
        <v>0.96089999999999998</v>
      </c>
      <c r="H2" s="278">
        <v>179</v>
      </c>
      <c r="I2" s="278">
        <v>172</v>
      </c>
      <c r="J2" s="278">
        <v>0</v>
      </c>
      <c r="K2" s="275" t="s">
        <v>138</v>
      </c>
      <c r="L2" s="279" t="s">
        <v>103</v>
      </c>
      <c r="M2" s="278">
        <v>0</v>
      </c>
      <c r="N2" s="278">
        <v>9</v>
      </c>
      <c r="O2" s="278">
        <v>64</v>
      </c>
      <c r="P2" s="275" t="s">
        <v>855</v>
      </c>
      <c r="Q2" s="271"/>
      <c r="R2" s="278" t="s">
        <v>860</v>
      </c>
      <c r="S2" s="278" t="s">
        <v>861</v>
      </c>
      <c r="T2" s="278" t="s">
        <v>862</v>
      </c>
      <c r="U2" s="278" t="s">
        <v>863</v>
      </c>
      <c r="V2" s="278" t="s">
        <v>864</v>
      </c>
      <c r="W2" s="278" t="s">
        <v>865</v>
      </c>
      <c r="X2" s="278" t="s">
        <v>866</v>
      </c>
      <c r="Y2" s="278" t="s">
        <v>867</v>
      </c>
      <c r="Z2" s="278" t="s">
        <v>360</v>
      </c>
      <c r="AA2" s="278" t="s">
        <v>655</v>
      </c>
      <c r="AB2" s="278" t="s">
        <v>763</v>
      </c>
      <c r="AC2" s="278" t="s">
        <v>380</v>
      </c>
      <c r="AD2" s="278" t="s">
        <v>868</v>
      </c>
      <c r="AE2" s="278" t="s">
        <v>182</v>
      </c>
      <c r="AF2" s="278" t="s">
        <v>544</v>
      </c>
      <c r="AG2" s="271"/>
      <c r="AH2" s="271"/>
      <c r="AI2" s="271"/>
      <c r="AJ2" s="271"/>
    </row>
    <row r="3" spans="1:36" x14ac:dyDescent="0.3">
      <c r="A3" s="273" t="s">
        <v>146</v>
      </c>
      <c r="B3" s="274">
        <v>45983</v>
      </c>
      <c r="C3" s="275" t="s">
        <v>854</v>
      </c>
      <c r="D3" s="276" t="s">
        <v>196</v>
      </c>
      <c r="E3" s="275" t="s">
        <v>849</v>
      </c>
      <c r="F3" s="275" t="s">
        <v>137</v>
      </c>
      <c r="G3" s="277">
        <v>0.83799999999999997</v>
      </c>
      <c r="H3" s="278">
        <v>179</v>
      </c>
      <c r="I3" s="278">
        <v>150</v>
      </c>
      <c r="J3" s="278">
        <v>0</v>
      </c>
      <c r="K3" s="275" t="s">
        <v>138</v>
      </c>
      <c r="L3" s="279" t="s">
        <v>103</v>
      </c>
      <c r="M3" s="278">
        <v>0</v>
      </c>
      <c r="N3" s="278">
        <v>5</v>
      </c>
      <c r="O3" s="278">
        <v>20</v>
      </c>
      <c r="P3" s="275" t="s">
        <v>858</v>
      </c>
      <c r="Q3" s="271"/>
      <c r="R3" s="271"/>
      <c r="S3" s="271"/>
      <c r="T3" s="278" t="s">
        <v>869</v>
      </c>
      <c r="U3" s="278" t="s">
        <v>870</v>
      </c>
      <c r="V3" s="278" t="s">
        <v>871</v>
      </c>
      <c r="W3" s="278" t="s">
        <v>872</v>
      </c>
      <c r="X3" s="278" t="s">
        <v>873</v>
      </c>
      <c r="Y3" s="278" t="s">
        <v>839</v>
      </c>
      <c r="Z3" s="278" t="s">
        <v>365</v>
      </c>
      <c r="AA3" s="278" t="s">
        <v>336</v>
      </c>
      <c r="AB3" s="278" t="s">
        <v>874</v>
      </c>
      <c r="AC3" s="278" t="s">
        <v>744</v>
      </c>
      <c r="AD3" s="278" t="s">
        <v>875</v>
      </c>
      <c r="AE3" s="278" t="s">
        <v>142</v>
      </c>
      <c r="AF3" s="278" t="s">
        <v>382</v>
      </c>
      <c r="AG3" s="271"/>
      <c r="AH3" s="271"/>
      <c r="AI3" s="271"/>
      <c r="AJ3" s="271"/>
    </row>
    <row r="4" spans="1:36" ht="21" x14ac:dyDescent="0.3">
      <c r="A4" s="280" t="s">
        <v>943</v>
      </c>
      <c r="B4" s="281"/>
      <c r="C4" s="280">
        <f>SUBTOTAL(103,CAI_AHB_LF_LEGACY[Flt])</f>
        <v>2</v>
      </c>
      <c r="D4" s="280"/>
      <c r="E4" s="280">
        <f>SUBTOTAL(103,CAI_AHB_LF_LEGACY[Brd-Off])</f>
        <v>2</v>
      </c>
      <c r="F4" s="280"/>
      <c r="G4" s="282">
        <f>SUBTOTAL(101,CAI_AHB_LF_LEGACY[LF%])</f>
        <v>0.89944999999999997</v>
      </c>
      <c r="H4" s="283">
        <f>SUBTOTAL(109,CAI_AHB_LF_LEGACY[CAP])</f>
        <v>358</v>
      </c>
      <c r="I4" s="283">
        <f>SUBTOTAL(109,CAI_AHB_LF_LEGACY[BKG(Y)])</f>
        <v>322</v>
      </c>
      <c r="J4" s="283">
        <f>SUBTOTAL(109,CAI_AHB_LF_LEGACY[GRP(Y)])</f>
        <v>0</v>
      </c>
      <c r="K4" s="280"/>
      <c r="L4" s="281"/>
      <c r="M4" s="283">
        <f>SUBTOTAL(109,CAI_AHB_LF_LEGACY[TO-DAY])</f>
        <v>0</v>
      </c>
      <c r="N4" s="283">
        <f>SUBTOTAL(109,CAI_AHB_LF_LEGACY[Y-DAY])</f>
        <v>14</v>
      </c>
      <c r="O4" s="283">
        <f>SUBTOTAL(109,CAI_AHB_LF_LEGACY[WEEKLY])</f>
        <v>84</v>
      </c>
      <c r="P4" s="284"/>
      <c r="Q4" s="283">
        <f>SUBTOTAL(109,CAI_AHB_LF_LEGACY[Y])</f>
        <v>0</v>
      </c>
      <c r="R4" s="283">
        <f>SUBTOTAL(109,CAI_AHB_LF_LEGACY[B])</f>
        <v>0</v>
      </c>
      <c r="S4" s="283">
        <f>SUBTOTAL(109,CAI_AHB_LF_LEGACY[M])</f>
        <v>0</v>
      </c>
      <c r="T4" s="283">
        <f>SUBTOTAL(109,CAI_AHB_LF_LEGACY[H])</f>
        <v>0</v>
      </c>
      <c r="U4" s="283">
        <f>SUBTOTAL(109,CAI_AHB_LF_LEGACY[Q])</f>
        <v>0</v>
      </c>
      <c r="V4" s="283">
        <f>SUBTOTAL(109,CAI_AHB_LF_LEGACY[K])</f>
        <v>0</v>
      </c>
      <c r="W4" s="283">
        <f>SUBTOTAL(109,CAI_AHB_LF_LEGACY[V])</f>
        <v>0</v>
      </c>
      <c r="X4" s="283">
        <f>SUBTOTAL(109,CAI_AHB_LF_LEGACY[L])</f>
        <v>0</v>
      </c>
      <c r="Y4" s="283">
        <f>SUBTOTAL(109,CAI_AHB_LF_LEGACY[G])</f>
        <v>0</v>
      </c>
      <c r="Z4" s="283">
        <f>SUBTOTAL(109,CAI_AHB_LF_LEGACY[S])</f>
        <v>0</v>
      </c>
      <c r="AA4" s="283">
        <f>SUBTOTAL(109,CAI_AHB_LF_LEGACY[W])</f>
        <v>0</v>
      </c>
      <c r="AB4" s="283">
        <f>SUBTOTAL(109,CAI_AHB_LF_LEGACY[T])</f>
        <v>0</v>
      </c>
      <c r="AC4" s="283">
        <f>SUBTOTAL(109,CAI_AHB_LF_LEGACY[X])</f>
        <v>0</v>
      </c>
      <c r="AD4" s="283">
        <f>SUBTOTAL(109,CAI_AHB_LF_LEGACY[U])</f>
        <v>0</v>
      </c>
      <c r="AE4" s="283">
        <f>SUBTOTAL(109,CAI_AHB_LF_LEGACY[O])</f>
        <v>0</v>
      </c>
      <c r="AF4" s="283">
        <f>SUBTOTAL(109,CAI_AHB_LF_LEGACY[I])</f>
        <v>0</v>
      </c>
      <c r="AG4" s="283">
        <f>SUBTOTAL(109,CAI_AHB_LF_LEGACY[E])</f>
        <v>0</v>
      </c>
      <c r="AH4" s="283">
        <f>SUBTOTAL(109,CAI_AHB_LF_LEGACY[A])</f>
        <v>0</v>
      </c>
      <c r="AI4" s="283">
        <f>SUBTOTAL(109,CAI_AHB_LF_LEGACY[P])</f>
        <v>0</v>
      </c>
      <c r="AJ4" s="283">
        <f>SUBTOTAL(103,CAI_AHB_LF_LEGACY[N])</f>
        <v>0</v>
      </c>
    </row>
  </sheetData>
  <pageMargins left="0.75" right="0.75" top="1" bottom="1" header="0.5" footer="0.5"/>
  <tableParts count="1">
    <tablePart r:id="rId1"/>
  </tableParts>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I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18.77734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239</v>
      </c>
      <c r="C2" s="61" t="s">
        <v>850</v>
      </c>
      <c r="D2" s="60" t="s">
        <v>849</v>
      </c>
      <c r="E2" s="60" t="s">
        <v>876</v>
      </c>
      <c r="F2" s="60" t="s">
        <v>100</v>
      </c>
      <c r="G2" s="62">
        <v>5</v>
      </c>
      <c r="H2" s="63" t="s">
        <v>851</v>
      </c>
    </row>
    <row r="3" spans="1:8" ht="19.8" customHeight="1" x14ac:dyDescent="0.3">
      <c r="A3" s="64" t="s">
        <v>152</v>
      </c>
      <c r="B3" s="65" t="s">
        <v>73</v>
      </c>
      <c r="C3" s="66" t="s">
        <v>852</v>
      </c>
      <c r="D3" s="65" t="s">
        <v>849</v>
      </c>
      <c r="E3" s="65" t="s">
        <v>196</v>
      </c>
      <c r="F3" s="65" t="s">
        <v>100</v>
      </c>
      <c r="G3" s="84">
        <v>1</v>
      </c>
      <c r="H3" s="67" t="s">
        <v>853</v>
      </c>
    </row>
    <row r="4" spans="1:8" ht="19.8" customHeight="1" x14ac:dyDescent="0.3">
      <c r="A4" s="68">
        <v>45983</v>
      </c>
      <c r="B4" s="60" t="s">
        <v>239</v>
      </c>
      <c r="C4" s="61" t="s">
        <v>857</v>
      </c>
      <c r="D4" s="60" t="s">
        <v>849</v>
      </c>
      <c r="E4" s="69">
        <v>1.0034722222222221</v>
      </c>
      <c r="F4" s="60" t="s">
        <v>100</v>
      </c>
      <c r="G4" s="62">
        <v>9</v>
      </c>
      <c r="H4" s="63" t="s">
        <v>851</v>
      </c>
    </row>
    <row r="5" spans="1:8" ht="19.8" customHeight="1" x14ac:dyDescent="0.3">
      <c r="A5" s="82">
        <v>45983</v>
      </c>
      <c r="B5" s="65" t="s">
        <v>73</v>
      </c>
      <c r="C5" s="66" t="s">
        <v>852</v>
      </c>
      <c r="D5" s="65" t="s">
        <v>849</v>
      </c>
      <c r="E5" s="83">
        <v>1.802083333333333</v>
      </c>
      <c r="F5" s="65" t="s">
        <v>100</v>
      </c>
      <c r="G5" s="84">
        <v>9</v>
      </c>
      <c r="H5" s="67" t="s">
        <v>853</v>
      </c>
    </row>
  </sheetData>
  <pageMargins left="0.75" right="0.75" top="1" bottom="1" header="0.5" footer="0.5"/>
  <legacyDrawing r:id="rId1"/>
  <tableParts count="1">
    <tablePart r:id="rId2"/>
  </tableParts>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I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18.77734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64" t="s">
        <v>152</v>
      </c>
      <c r="B2" s="65" t="s">
        <v>73</v>
      </c>
      <c r="C2" s="66" t="s">
        <v>852</v>
      </c>
      <c r="D2" s="65" t="s">
        <v>849</v>
      </c>
      <c r="E2" s="65" t="s">
        <v>196</v>
      </c>
      <c r="F2" s="65" t="s">
        <v>100</v>
      </c>
      <c r="G2" s="84">
        <v>1</v>
      </c>
      <c r="H2" s="67" t="s">
        <v>853</v>
      </c>
    </row>
    <row r="3" spans="1:8" ht="19.8" customHeight="1" x14ac:dyDescent="0.3">
      <c r="A3" s="82">
        <v>45983</v>
      </c>
      <c r="B3" s="65" t="s">
        <v>73</v>
      </c>
      <c r="C3" s="66" t="s">
        <v>852</v>
      </c>
      <c r="D3" s="65" t="s">
        <v>849</v>
      </c>
      <c r="E3" s="83">
        <v>1.802083333333333</v>
      </c>
      <c r="F3" s="65" t="s">
        <v>100</v>
      </c>
      <c r="G3" s="84">
        <v>9</v>
      </c>
      <c r="H3" s="67" t="s">
        <v>853</v>
      </c>
    </row>
  </sheetData>
  <pageMargins left="0.75" right="0.75" top="1" bottom="1" header="0.5" footer="0.5"/>
  <legacyDrawing r:id="rId1"/>
  <tableParts count="1">
    <tablePart r:id="rId2"/>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CN8"/>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3.21875" bestFit="1" customWidth="1"/>
  </cols>
  <sheetData>
    <row r="1" spans="1:92" ht="28.8" customHeight="1" x14ac:dyDescent="0.3">
      <c r="A1" s="261" t="s">
        <v>0</v>
      </c>
      <c r="B1" s="254"/>
      <c r="C1" s="254"/>
      <c r="D1" s="254"/>
      <c r="E1" s="254"/>
      <c r="F1" s="1" t="s">
        <v>877</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45980.430509693921</v>
      </c>
      <c r="H2" s="254"/>
      <c r="I2" s="254"/>
      <c r="J2" s="254"/>
      <c r="K2" s="263">
        <v>45980.430509694233</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45982</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85" t="s">
        <v>73</v>
      </c>
      <c r="B6" s="85" t="s">
        <v>878</v>
      </c>
      <c r="C6" s="86">
        <v>0.58333333333333337</v>
      </c>
      <c r="D6" s="85" t="s">
        <v>100</v>
      </c>
      <c r="E6" s="85" t="s">
        <v>55</v>
      </c>
      <c r="F6" s="85" t="s">
        <v>879</v>
      </c>
      <c r="G6" s="256"/>
      <c r="H6" s="209" t="s">
        <v>880</v>
      </c>
      <c r="I6" s="242">
        <v>0.92179999999999995</v>
      </c>
      <c r="J6" s="211">
        <v>165</v>
      </c>
      <c r="K6" s="212" t="s">
        <v>253</v>
      </c>
      <c r="L6" s="211">
        <v>54</v>
      </c>
      <c r="M6" s="211">
        <v>6</v>
      </c>
      <c r="N6" s="211">
        <v>3</v>
      </c>
      <c r="O6" s="213" t="s">
        <v>881</v>
      </c>
      <c r="P6" s="214">
        <v>0.58333333333333337</v>
      </c>
      <c r="Q6" s="211">
        <v>179</v>
      </c>
      <c r="R6" s="215" t="s">
        <v>882</v>
      </c>
    </row>
    <row r="7" spans="1:92" ht="17.399999999999999" customHeight="1" thickBot="1" x14ac:dyDescent="0.35">
      <c r="A7" s="285"/>
      <c r="B7" s="286"/>
      <c r="C7" s="286"/>
      <c r="D7" s="286"/>
      <c r="E7" s="286"/>
      <c r="F7" s="286"/>
      <c r="G7" s="286"/>
      <c r="H7" s="286"/>
      <c r="I7" s="286"/>
      <c r="J7" s="286"/>
      <c r="K7" s="286"/>
      <c r="L7" s="286"/>
      <c r="M7" s="286"/>
      <c r="N7" s="286"/>
      <c r="O7" s="286"/>
      <c r="P7" s="286"/>
      <c r="Q7" s="286"/>
      <c r="R7" s="287"/>
    </row>
    <row r="8" spans="1:92" ht="15" thickTop="1" x14ac:dyDescent="0.3"/>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J3"/>
  <sheetViews>
    <sheetView workbookViewId="0"/>
  </sheetViews>
  <sheetFormatPr defaultRowHeight="15.6" outlineLevelCol="1" x14ac:dyDescent="0.3"/>
  <cols>
    <col min="1" max="1" width="6.88671875" style="272" bestFit="1" customWidth="1"/>
    <col min="2" max="2" width="10.44140625" style="272" bestFit="1" customWidth="1"/>
    <col min="3" max="3" width="6.77734375" style="272" bestFit="1" customWidth="1"/>
    <col min="4" max="4" width="5.5546875" style="272" bestFit="1" customWidth="1"/>
    <col min="5" max="5" width="8.3320312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4" width="3.88671875" style="272" bestFit="1" customWidth="1"/>
    <col min="25" max="25" width="4.44140625" style="272" bestFit="1" customWidth="1"/>
    <col min="26" max="26" width="4.109375" style="272" bestFit="1" customWidth="1"/>
    <col min="27" max="27" width="5" style="272" bestFit="1" customWidth="1"/>
    <col min="28" max="29" width="4.21875" style="272" bestFit="1" customWidth="1"/>
    <col min="30" max="31" width="4.5546875" style="272" bestFit="1" customWidth="1"/>
    <col min="32"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390</v>
      </c>
      <c r="B2" s="274">
        <v>45982</v>
      </c>
      <c r="C2" s="275" t="s">
        <v>880</v>
      </c>
      <c r="D2" s="276" t="s">
        <v>883</v>
      </c>
      <c r="E2" s="275" t="s">
        <v>877</v>
      </c>
      <c r="F2" s="275" t="s">
        <v>137</v>
      </c>
      <c r="G2" s="277">
        <v>0.92179999999999995</v>
      </c>
      <c r="H2" s="278">
        <v>179</v>
      </c>
      <c r="I2" s="278">
        <v>165</v>
      </c>
      <c r="J2" s="278">
        <v>0</v>
      </c>
      <c r="K2" s="275" t="s">
        <v>138</v>
      </c>
      <c r="L2" s="279" t="s">
        <v>253</v>
      </c>
      <c r="M2" s="278">
        <v>6</v>
      </c>
      <c r="N2" s="278">
        <v>3</v>
      </c>
      <c r="O2" s="278">
        <v>54</v>
      </c>
      <c r="P2" s="275" t="s">
        <v>881</v>
      </c>
      <c r="Q2" s="271"/>
      <c r="R2" s="271"/>
      <c r="S2" s="271"/>
      <c r="T2" s="271"/>
      <c r="U2" s="271"/>
      <c r="V2" s="271"/>
      <c r="W2" s="271"/>
      <c r="X2" s="278" t="s">
        <v>737</v>
      </c>
      <c r="Y2" s="278" t="s">
        <v>884</v>
      </c>
      <c r="Z2" s="278" t="s">
        <v>532</v>
      </c>
      <c r="AA2" s="278" t="s">
        <v>885</v>
      </c>
      <c r="AB2" s="278" t="s">
        <v>886</v>
      </c>
      <c r="AC2" s="278" t="s">
        <v>542</v>
      </c>
      <c r="AD2" s="278" t="s">
        <v>536</v>
      </c>
      <c r="AE2" s="278" t="s">
        <v>887</v>
      </c>
      <c r="AF2" s="271"/>
      <c r="AG2" s="271"/>
      <c r="AH2" s="271"/>
      <c r="AI2" s="271"/>
      <c r="AJ2" s="271"/>
    </row>
    <row r="3" spans="1:36" ht="21" x14ac:dyDescent="0.3">
      <c r="A3" s="280" t="s">
        <v>943</v>
      </c>
      <c r="B3" s="281"/>
      <c r="C3" s="280">
        <f>SUBTOTAL(103,ATZ_AHB_LF_LEGACY[Flt])</f>
        <v>1</v>
      </c>
      <c r="D3" s="280"/>
      <c r="E3" s="280">
        <f>SUBTOTAL(103,ATZ_AHB_LF_LEGACY[Brd-Off])</f>
        <v>1</v>
      </c>
      <c r="F3" s="280"/>
      <c r="G3" s="282">
        <f>SUBTOTAL(101,ATZ_AHB_LF_LEGACY[LF%])</f>
        <v>0.92179999999999995</v>
      </c>
      <c r="H3" s="283">
        <f>SUBTOTAL(109,ATZ_AHB_LF_LEGACY[CAP])</f>
        <v>179</v>
      </c>
      <c r="I3" s="283">
        <f>SUBTOTAL(109,ATZ_AHB_LF_LEGACY[BKG(Y)])</f>
        <v>165</v>
      </c>
      <c r="J3" s="283">
        <f>SUBTOTAL(109,ATZ_AHB_LF_LEGACY[GRP(Y)])</f>
        <v>0</v>
      </c>
      <c r="K3" s="280"/>
      <c r="L3" s="281"/>
      <c r="M3" s="283">
        <f>SUBTOTAL(109,ATZ_AHB_LF_LEGACY[TO-DAY])</f>
        <v>6</v>
      </c>
      <c r="N3" s="283">
        <f>SUBTOTAL(109,ATZ_AHB_LF_LEGACY[Y-DAY])</f>
        <v>3</v>
      </c>
      <c r="O3" s="283">
        <f>SUBTOTAL(109,ATZ_AHB_LF_LEGACY[WEEKLY])</f>
        <v>54</v>
      </c>
      <c r="P3" s="284"/>
      <c r="Q3" s="283">
        <f>SUBTOTAL(109,ATZ_AHB_LF_LEGACY[Y])</f>
        <v>0</v>
      </c>
      <c r="R3" s="283">
        <f>SUBTOTAL(109,ATZ_AHB_LF_LEGACY[B])</f>
        <v>0</v>
      </c>
      <c r="S3" s="283">
        <f>SUBTOTAL(109,ATZ_AHB_LF_LEGACY[M])</f>
        <v>0</v>
      </c>
      <c r="T3" s="283">
        <f>SUBTOTAL(109,ATZ_AHB_LF_LEGACY[H])</f>
        <v>0</v>
      </c>
      <c r="U3" s="283">
        <f>SUBTOTAL(109,ATZ_AHB_LF_LEGACY[Q])</f>
        <v>0</v>
      </c>
      <c r="V3" s="283">
        <f>SUBTOTAL(109,ATZ_AHB_LF_LEGACY[K])</f>
        <v>0</v>
      </c>
      <c r="W3" s="283">
        <f>SUBTOTAL(109,ATZ_AHB_LF_LEGACY[V])</f>
        <v>0</v>
      </c>
      <c r="X3" s="283">
        <f>SUBTOTAL(109,ATZ_AHB_LF_LEGACY[L])</f>
        <v>0</v>
      </c>
      <c r="Y3" s="283">
        <f>SUBTOTAL(109,ATZ_AHB_LF_LEGACY[G])</f>
        <v>0</v>
      </c>
      <c r="Z3" s="283">
        <f>SUBTOTAL(109,ATZ_AHB_LF_LEGACY[S])</f>
        <v>0</v>
      </c>
      <c r="AA3" s="283">
        <f>SUBTOTAL(109,ATZ_AHB_LF_LEGACY[W])</f>
        <v>0</v>
      </c>
      <c r="AB3" s="283">
        <f>SUBTOTAL(109,ATZ_AHB_LF_LEGACY[T])</f>
        <v>0</v>
      </c>
      <c r="AC3" s="283">
        <f>SUBTOTAL(109,ATZ_AHB_LF_LEGACY[X])</f>
        <v>0</v>
      </c>
      <c r="AD3" s="283">
        <f>SUBTOTAL(109,ATZ_AHB_LF_LEGACY[U])</f>
        <v>0</v>
      </c>
      <c r="AE3" s="283">
        <f>SUBTOTAL(109,ATZ_AHB_LF_LEGACY[O])</f>
        <v>0</v>
      </c>
      <c r="AF3" s="283">
        <f>SUBTOTAL(109,ATZ_AHB_LF_LEGACY[I])</f>
        <v>0</v>
      </c>
      <c r="AG3" s="283">
        <f>SUBTOTAL(109,ATZ_AHB_LF_LEGACY[E])</f>
        <v>0</v>
      </c>
      <c r="AH3" s="283">
        <f>SUBTOTAL(109,ATZ_AHB_LF_LEGACY[A])</f>
        <v>0</v>
      </c>
      <c r="AI3" s="283">
        <f>SUBTOTAL(109,ATZ_AHB_LF_LEGACY[P])</f>
        <v>0</v>
      </c>
      <c r="AJ3" s="283">
        <f>SUBTOTAL(103,ATZ_AHB_LF_LEGACY[N])</f>
        <v>0</v>
      </c>
    </row>
  </sheetData>
  <pageMargins left="0.75" right="0.75" top="1" bottom="1" header="0.5" footer="0.5"/>
  <tableParts count="1">
    <tablePart r:id="rId1"/>
  </tableParts>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I8"/>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77734375" bestFit="1" customWidth="1"/>
    <col min="7" max="7" width="20" bestFit="1" customWidth="1"/>
    <col min="8" max="8" width="23.6640625" bestFit="1" customWidth="1"/>
    <col min="9" max="9" width="188.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888</v>
      </c>
      <c r="G2" s="101"/>
      <c r="H2" s="103"/>
    </row>
    <row r="3" spans="1:8" ht="19.8" customHeight="1" x14ac:dyDescent="0.3">
      <c r="A3" s="59" t="s">
        <v>152</v>
      </c>
      <c r="B3" s="60" t="s">
        <v>239</v>
      </c>
      <c r="C3" s="61" t="s">
        <v>850</v>
      </c>
      <c r="D3" s="60" t="s">
        <v>849</v>
      </c>
      <c r="E3" s="60" t="s">
        <v>876</v>
      </c>
      <c r="F3" s="60" t="s">
        <v>100</v>
      </c>
      <c r="G3" s="62">
        <v>5</v>
      </c>
      <c r="H3" s="63" t="s">
        <v>851</v>
      </c>
    </row>
    <row r="4" spans="1:8" ht="19.8" customHeight="1" x14ac:dyDescent="0.3">
      <c r="A4" s="113" t="s">
        <v>152</v>
      </c>
      <c r="B4" s="71" t="s">
        <v>73</v>
      </c>
      <c r="C4" s="72" t="s">
        <v>852</v>
      </c>
      <c r="D4" s="71" t="s">
        <v>849</v>
      </c>
      <c r="E4" s="71" t="s">
        <v>196</v>
      </c>
      <c r="F4" s="71" t="s">
        <v>100</v>
      </c>
      <c r="G4" s="74">
        <v>1</v>
      </c>
      <c r="H4" s="75" t="s">
        <v>853</v>
      </c>
    </row>
    <row r="5" spans="1:8" ht="19.8" customHeight="1" x14ac:dyDescent="0.3">
      <c r="A5" s="64" t="s">
        <v>204</v>
      </c>
      <c r="B5" s="65" t="s">
        <v>73</v>
      </c>
      <c r="C5" s="66" t="s">
        <v>878</v>
      </c>
      <c r="D5" s="65" t="s">
        <v>877</v>
      </c>
      <c r="E5" s="65" t="s">
        <v>883</v>
      </c>
      <c r="F5" s="65" t="s">
        <v>100</v>
      </c>
      <c r="G5" s="84">
        <v>9</v>
      </c>
      <c r="H5" s="67" t="s">
        <v>879</v>
      </c>
    </row>
    <row r="6" spans="1:8" ht="19.8" customHeight="1" x14ac:dyDescent="0.3">
      <c r="A6" s="100"/>
      <c r="B6" s="101"/>
      <c r="C6" s="101"/>
      <c r="D6" s="101"/>
      <c r="E6" s="101"/>
      <c r="F6" s="102" t="s">
        <v>888</v>
      </c>
      <c r="G6" s="101"/>
      <c r="H6" s="103"/>
    </row>
    <row r="7" spans="1:8" ht="19.8" customHeight="1" x14ac:dyDescent="0.3">
      <c r="A7" s="68">
        <v>45983</v>
      </c>
      <c r="B7" s="60" t="s">
        <v>239</v>
      </c>
      <c r="C7" s="61" t="s">
        <v>857</v>
      </c>
      <c r="D7" s="60" t="s">
        <v>849</v>
      </c>
      <c r="E7" s="69">
        <v>1.0034722222222221</v>
      </c>
      <c r="F7" s="60" t="s">
        <v>100</v>
      </c>
      <c r="G7" s="62">
        <v>9</v>
      </c>
      <c r="H7" s="63" t="s">
        <v>851</v>
      </c>
    </row>
    <row r="8" spans="1:8" ht="19.8" customHeight="1" x14ac:dyDescent="0.3">
      <c r="A8" s="70">
        <v>45983</v>
      </c>
      <c r="B8" s="71" t="s">
        <v>73</v>
      </c>
      <c r="C8" s="72" t="s">
        <v>852</v>
      </c>
      <c r="D8" s="71" t="s">
        <v>849</v>
      </c>
      <c r="E8" s="73">
        <v>1.802083333333333</v>
      </c>
      <c r="F8" s="71" t="s">
        <v>100</v>
      </c>
      <c r="G8" s="74">
        <v>9</v>
      </c>
      <c r="H8" s="75" t="s">
        <v>853</v>
      </c>
    </row>
  </sheetData>
  <pageMargins left="0.75" right="0.75" top="1" bottom="1" header="0.5" footer="0.5"/>
  <legacyDrawing r:id="rId1"/>
  <tableParts count="1">
    <tablePart r:id="rId2"/>
  </tableParts>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I8"/>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77734375" bestFit="1" customWidth="1"/>
    <col min="7" max="7" width="20" bestFit="1" customWidth="1"/>
    <col min="8" max="8" width="23.6640625" bestFit="1" customWidth="1"/>
    <col min="9" max="9" width="188.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888</v>
      </c>
      <c r="G2" s="101"/>
      <c r="H2" s="103"/>
    </row>
    <row r="3" spans="1:8" ht="19.8" customHeight="1" x14ac:dyDescent="0.3">
      <c r="A3" s="59" t="s">
        <v>152</v>
      </c>
      <c r="B3" s="60" t="s">
        <v>239</v>
      </c>
      <c r="C3" s="61" t="s">
        <v>850</v>
      </c>
      <c r="D3" s="60" t="s">
        <v>849</v>
      </c>
      <c r="E3" s="60" t="s">
        <v>876</v>
      </c>
      <c r="F3" s="60" t="s">
        <v>100</v>
      </c>
      <c r="G3" s="62">
        <v>5</v>
      </c>
      <c r="H3" s="63" t="s">
        <v>851</v>
      </c>
    </row>
    <row r="4" spans="1:8" ht="19.8" customHeight="1" x14ac:dyDescent="0.3">
      <c r="A4" s="113" t="s">
        <v>152</v>
      </c>
      <c r="B4" s="71" t="s">
        <v>73</v>
      </c>
      <c r="C4" s="72" t="s">
        <v>852</v>
      </c>
      <c r="D4" s="71" t="s">
        <v>849</v>
      </c>
      <c r="E4" s="71" t="s">
        <v>196</v>
      </c>
      <c r="F4" s="71" t="s">
        <v>100</v>
      </c>
      <c r="G4" s="74">
        <v>1</v>
      </c>
      <c r="H4" s="75" t="s">
        <v>853</v>
      </c>
    </row>
    <row r="5" spans="1:8" ht="19.8" customHeight="1" x14ac:dyDescent="0.3">
      <c r="A5" s="64" t="s">
        <v>204</v>
      </c>
      <c r="B5" s="65" t="s">
        <v>73</v>
      </c>
      <c r="C5" s="66" t="s">
        <v>878</v>
      </c>
      <c r="D5" s="65" t="s">
        <v>877</v>
      </c>
      <c r="E5" s="65" t="s">
        <v>883</v>
      </c>
      <c r="F5" s="65" t="s">
        <v>100</v>
      </c>
      <c r="G5" s="84">
        <v>9</v>
      </c>
      <c r="H5" s="67" t="s">
        <v>879</v>
      </c>
    </row>
    <row r="6" spans="1:8" ht="19.8" customHeight="1" x14ac:dyDescent="0.3">
      <c r="A6" s="100"/>
      <c r="B6" s="101"/>
      <c r="C6" s="101"/>
      <c r="D6" s="101"/>
      <c r="E6" s="101"/>
      <c r="F6" s="102" t="s">
        <v>888</v>
      </c>
      <c r="G6" s="101"/>
      <c r="H6" s="103"/>
    </row>
    <row r="7" spans="1:8" ht="19.8" customHeight="1" x14ac:dyDescent="0.3">
      <c r="A7" s="68">
        <v>45983</v>
      </c>
      <c r="B7" s="60" t="s">
        <v>239</v>
      </c>
      <c r="C7" s="61" t="s">
        <v>857</v>
      </c>
      <c r="D7" s="60" t="s">
        <v>849</v>
      </c>
      <c r="E7" s="69">
        <v>1.0034722222222221</v>
      </c>
      <c r="F7" s="60" t="s">
        <v>100</v>
      </c>
      <c r="G7" s="62">
        <v>9</v>
      </c>
      <c r="H7" s="63" t="s">
        <v>851</v>
      </c>
    </row>
    <row r="8" spans="1:8" ht="19.8" customHeight="1" x14ac:dyDescent="0.3">
      <c r="A8" s="70">
        <v>45983</v>
      </c>
      <c r="B8" s="71" t="s">
        <v>73</v>
      </c>
      <c r="C8" s="72" t="s">
        <v>852</v>
      </c>
      <c r="D8" s="71" t="s">
        <v>849</v>
      </c>
      <c r="E8" s="73">
        <v>1.802083333333333</v>
      </c>
      <c r="F8" s="71" t="s">
        <v>100</v>
      </c>
      <c r="G8" s="74">
        <v>9</v>
      </c>
      <c r="H8" s="75" t="s">
        <v>853</v>
      </c>
    </row>
  </sheetData>
  <pageMargins left="0.75" right="0.75" top="1" bottom="1" header="0.5" footer="0.5"/>
  <legacyDrawing r:id="rId1"/>
  <tableParts count="1">
    <tablePart r:id="rId2"/>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N24"/>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6.77734375" bestFit="1" customWidth="1"/>
  </cols>
  <sheetData>
    <row r="1" spans="1:92" ht="28.8" customHeight="1" x14ac:dyDescent="0.3">
      <c r="A1" s="261" t="s">
        <v>0</v>
      </c>
      <c r="B1" s="254"/>
      <c r="C1" s="254"/>
      <c r="D1" s="254"/>
      <c r="E1" s="254"/>
      <c r="F1" s="1" t="s">
        <v>889</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45980.430511674851</v>
      </c>
      <c r="H2" s="254"/>
      <c r="I2" s="254"/>
      <c r="J2" s="254"/>
      <c r="K2" s="263">
        <v>45980.4305116752</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45981</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239</v>
      </c>
      <c r="B6" s="8" t="s">
        <v>890</v>
      </c>
      <c r="C6" s="9">
        <v>0.48958333333333331</v>
      </c>
      <c r="D6" s="8" t="s">
        <v>100</v>
      </c>
      <c r="E6" s="8" t="s">
        <v>55</v>
      </c>
      <c r="F6" s="8" t="s">
        <v>771</v>
      </c>
      <c r="G6" s="265"/>
      <c r="H6" s="10"/>
      <c r="I6" s="11"/>
      <c r="J6" s="11"/>
      <c r="K6" s="11"/>
      <c r="L6" s="11"/>
      <c r="M6" s="11"/>
      <c r="N6" s="11"/>
      <c r="O6" s="12"/>
      <c r="P6" s="11"/>
      <c r="Q6" s="13"/>
      <c r="R6" s="14"/>
    </row>
    <row r="7" spans="1:92" ht="15" customHeight="1" x14ac:dyDescent="0.3">
      <c r="A7" s="17" t="s">
        <v>586</v>
      </c>
      <c r="B7" s="17" t="s">
        <v>891</v>
      </c>
      <c r="C7" s="18">
        <v>0.4548611111111111</v>
      </c>
      <c r="D7" s="17" t="s">
        <v>100</v>
      </c>
      <c r="E7" s="17" t="s">
        <v>55</v>
      </c>
      <c r="F7" s="17" t="s">
        <v>892</v>
      </c>
      <c r="G7" s="257"/>
      <c r="H7" s="10"/>
      <c r="I7" s="11"/>
      <c r="J7" s="11"/>
      <c r="K7" s="11"/>
      <c r="L7" s="11"/>
      <c r="M7" s="11"/>
      <c r="N7" s="11"/>
      <c r="O7" s="12"/>
      <c r="P7" s="11"/>
      <c r="Q7" s="13"/>
      <c r="R7" s="14"/>
    </row>
    <row r="8" spans="1:92" ht="15" customHeight="1" x14ac:dyDescent="0.3">
      <c r="A8" s="173" t="s">
        <v>73</v>
      </c>
      <c r="B8" s="173" t="s">
        <v>893</v>
      </c>
      <c r="C8" s="174">
        <v>0.63194444444444442</v>
      </c>
      <c r="D8" s="173" t="s">
        <v>100</v>
      </c>
      <c r="E8" s="173" t="s">
        <v>55</v>
      </c>
      <c r="F8" s="173" t="s">
        <v>894</v>
      </c>
      <c r="G8" s="257"/>
      <c r="H8" s="125" t="s">
        <v>895</v>
      </c>
      <c r="I8" s="243">
        <v>0.58099999999999996</v>
      </c>
      <c r="J8" s="127">
        <v>104</v>
      </c>
      <c r="K8" s="128" t="s">
        <v>103</v>
      </c>
      <c r="L8" s="127">
        <v>44</v>
      </c>
      <c r="M8" s="127">
        <v>0</v>
      </c>
      <c r="N8" s="127">
        <v>7</v>
      </c>
      <c r="O8" s="129" t="s">
        <v>521</v>
      </c>
      <c r="P8" s="130">
        <v>0.63194444444444442</v>
      </c>
      <c r="Q8" s="127">
        <v>179</v>
      </c>
      <c r="R8" s="131" t="s">
        <v>896</v>
      </c>
    </row>
    <row r="9" spans="1:92" ht="15" customHeight="1" x14ac:dyDescent="0.3">
      <c r="A9" s="17" t="s">
        <v>266</v>
      </c>
      <c r="B9" s="17" t="s">
        <v>897</v>
      </c>
      <c r="C9" s="18">
        <v>0.76736111111111116</v>
      </c>
      <c r="D9" s="17" t="s">
        <v>268</v>
      </c>
      <c r="E9" s="17" t="s">
        <v>39</v>
      </c>
      <c r="F9" s="17" t="s">
        <v>898</v>
      </c>
      <c r="G9" s="257"/>
      <c r="H9" s="10"/>
      <c r="I9" s="11"/>
      <c r="J9" s="11"/>
      <c r="K9" s="11"/>
      <c r="L9" s="11"/>
      <c r="M9" s="11"/>
      <c r="N9" s="11"/>
      <c r="O9" s="12"/>
      <c r="P9" s="11"/>
      <c r="Q9" s="13"/>
      <c r="R9" s="14"/>
    </row>
    <row r="10" spans="1:92" ht="15" customHeight="1" x14ac:dyDescent="0.3">
      <c r="A10" s="15" t="s">
        <v>266</v>
      </c>
      <c r="B10" s="15" t="s">
        <v>897</v>
      </c>
      <c r="C10" s="16">
        <v>0.76736111111111116</v>
      </c>
      <c r="D10" s="15" t="s">
        <v>34</v>
      </c>
      <c r="E10" s="15" t="s">
        <v>42</v>
      </c>
      <c r="F10" s="15" t="s">
        <v>899</v>
      </c>
      <c r="G10" s="257"/>
      <c r="H10" s="10"/>
      <c r="I10" s="11"/>
      <c r="J10" s="11"/>
      <c r="K10" s="11"/>
      <c r="L10" s="11"/>
      <c r="M10" s="11"/>
      <c r="N10" s="11"/>
      <c r="O10" s="12"/>
      <c r="P10" s="11"/>
      <c r="Q10" s="13"/>
      <c r="R10" s="14"/>
    </row>
    <row r="11" spans="1:92" ht="15" customHeight="1" thickBot="1" x14ac:dyDescent="0.35">
      <c r="A11" s="199" t="s">
        <v>68</v>
      </c>
      <c r="B11" s="199" t="s">
        <v>900</v>
      </c>
      <c r="C11" s="200">
        <v>0.87152777777777779</v>
      </c>
      <c r="D11" s="199" t="s">
        <v>70</v>
      </c>
      <c r="E11" s="199" t="s">
        <v>55</v>
      </c>
      <c r="F11" s="199" t="s">
        <v>901</v>
      </c>
      <c r="G11" s="258"/>
      <c r="H11" s="41"/>
      <c r="I11" s="42"/>
      <c r="J11" s="42"/>
      <c r="K11" s="42"/>
      <c r="L11" s="42"/>
      <c r="M11" s="42"/>
      <c r="N11" s="42"/>
      <c r="O11" s="43"/>
      <c r="P11" s="42"/>
      <c r="Q11" s="44"/>
      <c r="R11" s="45"/>
    </row>
    <row r="12" spans="1:92" ht="17.399999999999999" customHeight="1" thickBot="1" x14ac:dyDescent="0.35">
      <c r="A12" s="285"/>
      <c r="B12" s="286"/>
      <c r="C12" s="286"/>
      <c r="D12" s="286"/>
      <c r="E12" s="286"/>
      <c r="F12" s="286"/>
      <c r="G12" s="286"/>
      <c r="H12" s="286"/>
      <c r="I12" s="286"/>
      <c r="J12" s="286"/>
      <c r="K12" s="286"/>
      <c r="L12" s="286"/>
      <c r="M12" s="286"/>
      <c r="N12" s="286"/>
      <c r="O12" s="286"/>
      <c r="P12" s="286"/>
      <c r="Q12" s="286"/>
      <c r="R12" s="287"/>
    </row>
    <row r="13" spans="1:92" ht="22.05" customHeight="1" thickTop="1" thickBot="1" x14ac:dyDescent="0.35">
      <c r="A13" s="259" t="s">
        <v>6</v>
      </c>
      <c r="B13" s="251"/>
      <c r="C13" s="251"/>
      <c r="D13" s="251"/>
      <c r="E13" s="251"/>
      <c r="F13" s="252"/>
      <c r="G13" s="31">
        <v>45982</v>
      </c>
      <c r="H13" s="250" t="s">
        <v>7</v>
      </c>
      <c r="I13" s="251"/>
      <c r="J13" s="251"/>
      <c r="K13" s="251"/>
      <c r="L13" s="251"/>
      <c r="M13" s="251"/>
      <c r="N13" s="251"/>
      <c r="O13" s="251"/>
      <c r="P13" s="251"/>
      <c r="Q13" s="251"/>
      <c r="R13" s="252"/>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x14ac:dyDescent="0.3">
      <c r="A15" s="8" t="s">
        <v>586</v>
      </c>
      <c r="B15" s="8" t="s">
        <v>891</v>
      </c>
      <c r="C15" s="9">
        <v>0.69791666666666663</v>
      </c>
      <c r="D15" s="8" t="s">
        <v>100</v>
      </c>
      <c r="E15" s="8" t="s">
        <v>101</v>
      </c>
      <c r="F15" s="8" t="s">
        <v>807</v>
      </c>
      <c r="G15" s="256"/>
      <c r="H15" s="10"/>
      <c r="I15" s="11"/>
      <c r="J15" s="11"/>
      <c r="K15" s="11"/>
      <c r="L15" s="11"/>
      <c r="M15" s="11"/>
      <c r="N15" s="11"/>
      <c r="O15" s="12"/>
      <c r="P15" s="11"/>
      <c r="Q15" s="13"/>
      <c r="R15" s="14"/>
    </row>
    <row r="16" spans="1:92" ht="49.95" customHeight="1" x14ac:dyDescent="0.3">
      <c r="A16" s="114" t="s">
        <v>73</v>
      </c>
      <c r="B16" s="114" t="s">
        <v>893</v>
      </c>
      <c r="C16" s="115">
        <v>0.82986111111111116</v>
      </c>
      <c r="D16" s="114" t="s">
        <v>100</v>
      </c>
      <c r="E16" s="114" t="s">
        <v>101</v>
      </c>
      <c r="F16" s="114" t="s">
        <v>894</v>
      </c>
      <c r="G16" s="257"/>
      <c r="H16" s="116" t="s">
        <v>895</v>
      </c>
      <c r="I16" s="244">
        <v>0.44130000000000003</v>
      </c>
      <c r="J16" s="118">
        <v>79</v>
      </c>
      <c r="K16" s="119" t="s">
        <v>103</v>
      </c>
      <c r="L16" s="118">
        <v>50</v>
      </c>
      <c r="M16" s="118">
        <v>0</v>
      </c>
      <c r="N16" s="118">
        <v>15</v>
      </c>
      <c r="O16" s="120" t="s">
        <v>254</v>
      </c>
      <c r="P16" s="121">
        <v>0.82986111111111116</v>
      </c>
      <c r="Q16" s="118">
        <v>179</v>
      </c>
      <c r="R16" s="122" t="s">
        <v>902</v>
      </c>
    </row>
    <row r="17" spans="1:18" ht="49.95" customHeight="1" x14ac:dyDescent="0.3">
      <c r="A17" s="17" t="s">
        <v>239</v>
      </c>
      <c r="B17" s="17" t="s">
        <v>890</v>
      </c>
      <c r="C17" s="18">
        <v>0.48958333333333331</v>
      </c>
      <c r="D17" s="17" t="s">
        <v>100</v>
      </c>
      <c r="E17" s="17" t="s">
        <v>55</v>
      </c>
      <c r="F17" s="17" t="s">
        <v>903</v>
      </c>
      <c r="G17" s="257"/>
      <c r="H17" s="10"/>
      <c r="I17" s="11"/>
      <c r="J17" s="11"/>
      <c r="K17" s="11"/>
      <c r="L17" s="11"/>
      <c r="M17" s="11"/>
      <c r="N17" s="11"/>
      <c r="O17" s="12"/>
      <c r="P17" s="11"/>
      <c r="Q17" s="13"/>
      <c r="R17" s="14"/>
    </row>
    <row r="18" spans="1:18" ht="49.95" customHeight="1" thickBot="1" x14ac:dyDescent="0.35">
      <c r="A18" s="199" t="s">
        <v>68</v>
      </c>
      <c r="B18" s="199" t="s">
        <v>900</v>
      </c>
      <c r="C18" s="200">
        <v>0.86805555555555547</v>
      </c>
      <c r="D18" s="199" t="s">
        <v>70</v>
      </c>
      <c r="E18" s="199" t="s">
        <v>55</v>
      </c>
      <c r="F18" s="199" t="s">
        <v>904</v>
      </c>
      <c r="G18" s="258"/>
      <c r="H18" s="41"/>
      <c r="I18" s="42"/>
      <c r="J18" s="42"/>
      <c r="K18" s="42"/>
      <c r="L18" s="42"/>
      <c r="M18" s="42"/>
      <c r="N18" s="42"/>
      <c r="O18" s="43"/>
      <c r="P18" s="42"/>
      <c r="Q18" s="44"/>
      <c r="R18" s="45"/>
    </row>
    <row r="19" spans="1:18" ht="17.399999999999999" customHeight="1" thickBot="1" x14ac:dyDescent="0.35">
      <c r="A19" s="285"/>
      <c r="B19" s="286"/>
      <c r="C19" s="286"/>
      <c r="D19" s="286"/>
      <c r="E19" s="286"/>
      <c r="F19" s="286"/>
      <c r="G19" s="286"/>
      <c r="H19" s="286"/>
      <c r="I19" s="286"/>
      <c r="J19" s="286"/>
      <c r="K19" s="286"/>
      <c r="L19" s="286"/>
      <c r="M19" s="286"/>
      <c r="N19" s="286"/>
      <c r="O19" s="286"/>
      <c r="P19" s="286"/>
      <c r="Q19" s="286"/>
      <c r="R19" s="287"/>
    </row>
    <row r="20" spans="1:18" ht="22.05" customHeight="1" thickTop="1" thickBot="1" x14ac:dyDescent="0.35">
      <c r="A20" s="259" t="s">
        <v>6</v>
      </c>
      <c r="B20" s="251"/>
      <c r="C20" s="251"/>
      <c r="D20" s="251"/>
      <c r="E20" s="251"/>
      <c r="F20" s="252"/>
      <c r="G20" s="31">
        <v>45983</v>
      </c>
      <c r="H20" s="250" t="s">
        <v>7</v>
      </c>
      <c r="I20" s="251"/>
      <c r="J20" s="251"/>
      <c r="K20" s="251"/>
      <c r="L20" s="251"/>
      <c r="M20" s="251"/>
      <c r="N20" s="251"/>
      <c r="O20" s="251"/>
      <c r="P20" s="251"/>
      <c r="Q20" s="251"/>
      <c r="R20" s="252"/>
    </row>
    <row r="21" spans="1:18" ht="24" customHeight="1" x14ac:dyDescent="0.3">
      <c r="A21" s="32" t="s">
        <v>8</v>
      </c>
      <c r="B21" s="32" t="s">
        <v>9</v>
      </c>
      <c r="C21" s="33" t="s">
        <v>10</v>
      </c>
      <c r="D21" s="32" t="s">
        <v>11</v>
      </c>
      <c r="E21" s="32" t="s">
        <v>12</v>
      </c>
      <c r="F21" s="34" t="s">
        <v>13</v>
      </c>
      <c r="G21" s="35" t="s">
        <v>14</v>
      </c>
      <c r="H21" s="32" t="s">
        <v>15</v>
      </c>
      <c r="I21" s="36" t="s">
        <v>16</v>
      </c>
      <c r="J21" s="37" t="s">
        <v>17</v>
      </c>
      <c r="K21" s="38" t="s">
        <v>18</v>
      </c>
      <c r="L21" s="37" t="s">
        <v>19</v>
      </c>
      <c r="M21" s="37" t="s">
        <v>20</v>
      </c>
      <c r="N21" s="37" t="s">
        <v>21</v>
      </c>
      <c r="O21" s="32" t="s">
        <v>22</v>
      </c>
      <c r="P21" s="33" t="s">
        <v>23</v>
      </c>
      <c r="Q21" s="37" t="s">
        <v>24</v>
      </c>
      <c r="R21" s="32" t="s">
        <v>25</v>
      </c>
    </row>
    <row r="22" spans="1:18" ht="49.95" customHeight="1" x14ac:dyDescent="0.3">
      <c r="A22" s="8" t="s">
        <v>586</v>
      </c>
      <c r="B22" s="8" t="s">
        <v>891</v>
      </c>
      <c r="C22" s="9">
        <v>0.4375</v>
      </c>
      <c r="D22" s="8" t="s">
        <v>100</v>
      </c>
      <c r="E22" s="8" t="s">
        <v>55</v>
      </c>
      <c r="F22" s="8" t="s">
        <v>807</v>
      </c>
      <c r="G22" s="256"/>
      <c r="H22" s="10"/>
      <c r="I22" s="11"/>
      <c r="J22" s="11"/>
      <c r="K22" s="11"/>
      <c r="L22" s="11"/>
      <c r="M22" s="11"/>
      <c r="N22" s="11"/>
      <c r="O22" s="12"/>
      <c r="P22" s="11"/>
      <c r="Q22" s="13"/>
      <c r="R22" s="14"/>
    </row>
    <row r="23" spans="1:18" ht="49.95" customHeight="1" x14ac:dyDescent="0.3">
      <c r="A23" s="17" t="s">
        <v>239</v>
      </c>
      <c r="B23" s="17" t="s">
        <v>905</v>
      </c>
      <c r="C23" s="18">
        <v>0.8125</v>
      </c>
      <c r="D23" s="17" t="s">
        <v>100</v>
      </c>
      <c r="E23" s="17" t="s">
        <v>101</v>
      </c>
      <c r="F23" s="17" t="s">
        <v>903</v>
      </c>
      <c r="G23" s="257"/>
      <c r="H23" s="10"/>
      <c r="I23" s="11"/>
      <c r="J23" s="11"/>
      <c r="K23" s="11"/>
      <c r="L23" s="11"/>
      <c r="M23" s="11"/>
      <c r="N23" s="11"/>
      <c r="O23" s="12"/>
      <c r="P23" s="11"/>
      <c r="Q23" s="13"/>
      <c r="R23" s="14"/>
    </row>
    <row r="24" spans="1:18" ht="49.95" customHeight="1" x14ac:dyDescent="0.3">
      <c r="A24" s="199" t="s">
        <v>68</v>
      </c>
      <c r="B24" s="199" t="s">
        <v>900</v>
      </c>
      <c r="C24" s="200">
        <v>0.87152777777777779</v>
      </c>
      <c r="D24" s="199" t="s">
        <v>70</v>
      </c>
      <c r="E24" s="199" t="s">
        <v>55</v>
      </c>
      <c r="F24" s="199" t="s">
        <v>906</v>
      </c>
      <c r="G24" s="258"/>
      <c r="H24" s="41"/>
      <c r="I24" s="42"/>
      <c r="J24" s="42"/>
      <c r="K24" s="42"/>
      <c r="L24" s="42"/>
      <c r="M24" s="42"/>
      <c r="N24" s="42"/>
      <c r="O24" s="43"/>
      <c r="P24" s="42"/>
      <c r="Q24" s="44"/>
      <c r="R24" s="45"/>
    </row>
  </sheetData>
  <mergeCells count="18">
    <mergeCell ref="H1:L1"/>
    <mergeCell ref="A1:E1"/>
    <mergeCell ref="G2:J2"/>
    <mergeCell ref="K2:R2"/>
    <mergeCell ref="A4:F4"/>
    <mergeCell ref="H4:R4"/>
    <mergeCell ref="N1:R1"/>
    <mergeCell ref="A2:F2"/>
    <mergeCell ref="A3:R3"/>
    <mergeCell ref="G22:G24"/>
    <mergeCell ref="A13:F13"/>
    <mergeCell ref="A19:R19"/>
    <mergeCell ref="H20:R20"/>
    <mergeCell ref="H13:R13"/>
    <mergeCell ref="G6:G11"/>
    <mergeCell ref="A20:F20"/>
    <mergeCell ref="G15:G18"/>
    <mergeCell ref="A12:R12"/>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J4"/>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7.886718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5" width="3.88671875" style="272" bestFit="1" customWidth="1"/>
    <col min="26" max="26" width="4.109375" style="272" bestFit="1" customWidth="1"/>
    <col min="27" max="27" width="5" style="272" bestFit="1" customWidth="1"/>
    <col min="28"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135</v>
      </c>
      <c r="B2" s="274">
        <v>45981</v>
      </c>
      <c r="C2" s="275" t="s">
        <v>895</v>
      </c>
      <c r="D2" s="276" t="s">
        <v>666</v>
      </c>
      <c r="E2" s="275" t="s">
        <v>889</v>
      </c>
      <c r="F2" s="275" t="s">
        <v>137</v>
      </c>
      <c r="G2" s="277">
        <v>0.58099999999999996</v>
      </c>
      <c r="H2" s="278">
        <v>179</v>
      </c>
      <c r="I2" s="278">
        <v>104</v>
      </c>
      <c r="J2" s="278">
        <v>0</v>
      </c>
      <c r="K2" s="275" t="s">
        <v>138</v>
      </c>
      <c r="L2" s="279" t="s">
        <v>103</v>
      </c>
      <c r="M2" s="278">
        <v>0</v>
      </c>
      <c r="N2" s="278">
        <v>7</v>
      </c>
      <c r="O2" s="278">
        <v>44</v>
      </c>
      <c r="P2" s="275" t="s">
        <v>521</v>
      </c>
      <c r="Q2" s="271"/>
      <c r="R2" s="271"/>
      <c r="S2" s="271"/>
      <c r="T2" s="271"/>
      <c r="U2" s="271"/>
      <c r="V2" s="271"/>
      <c r="W2" s="271"/>
      <c r="X2" s="271"/>
      <c r="Y2" s="278" t="s">
        <v>907</v>
      </c>
      <c r="Z2" s="278" t="s">
        <v>738</v>
      </c>
      <c r="AA2" s="278" t="s">
        <v>908</v>
      </c>
      <c r="AB2" s="271"/>
      <c r="AC2" s="271"/>
      <c r="AD2" s="278" t="s">
        <v>189</v>
      </c>
      <c r="AE2" s="278" t="s">
        <v>909</v>
      </c>
      <c r="AF2" s="278" t="s">
        <v>654</v>
      </c>
      <c r="AG2" s="271"/>
      <c r="AH2" s="271"/>
      <c r="AI2" s="271"/>
      <c r="AJ2" s="271"/>
    </row>
    <row r="3" spans="1:36" x14ac:dyDescent="0.3">
      <c r="A3" s="273" t="s">
        <v>390</v>
      </c>
      <c r="B3" s="274">
        <v>45982</v>
      </c>
      <c r="C3" s="275" t="s">
        <v>895</v>
      </c>
      <c r="D3" s="276" t="s">
        <v>910</v>
      </c>
      <c r="E3" s="275" t="s">
        <v>889</v>
      </c>
      <c r="F3" s="275" t="s">
        <v>137</v>
      </c>
      <c r="G3" s="277">
        <v>0.44130000000000003</v>
      </c>
      <c r="H3" s="278">
        <v>179</v>
      </c>
      <c r="I3" s="278">
        <v>79</v>
      </c>
      <c r="J3" s="278">
        <v>0</v>
      </c>
      <c r="K3" s="275" t="s">
        <v>138</v>
      </c>
      <c r="L3" s="279" t="s">
        <v>103</v>
      </c>
      <c r="M3" s="278">
        <v>0</v>
      </c>
      <c r="N3" s="278">
        <v>15</v>
      </c>
      <c r="O3" s="278">
        <v>50</v>
      </c>
      <c r="P3" s="275" t="s">
        <v>254</v>
      </c>
      <c r="Q3" s="271"/>
      <c r="R3" s="271"/>
      <c r="S3" s="271"/>
      <c r="T3" s="271"/>
      <c r="U3" s="271"/>
      <c r="V3" s="271"/>
      <c r="W3" s="271"/>
      <c r="X3" s="271"/>
      <c r="Y3" s="278" t="s">
        <v>911</v>
      </c>
      <c r="Z3" s="278" t="s">
        <v>180</v>
      </c>
      <c r="AA3" s="278" t="s">
        <v>912</v>
      </c>
      <c r="AB3" s="271"/>
      <c r="AC3" s="271"/>
      <c r="AD3" s="271"/>
      <c r="AE3" s="278" t="s">
        <v>381</v>
      </c>
      <c r="AF3" s="278" t="s">
        <v>375</v>
      </c>
      <c r="AG3" s="271"/>
      <c r="AH3" s="271"/>
      <c r="AI3" s="271"/>
      <c r="AJ3" s="271"/>
    </row>
    <row r="4" spans="1:36" ht="21" x14ac:dyDescent="0.3">
      <c r="A4" s="280" t="s">
        <v>943</v>
      </c>
      <c r="B4" s="281"/>
      <c r="C4" s="280">
        <f>SUBTOTAL(103,CAI_ELQ_LF_LEGACY[Flt])</f>
        <v>2</v>
      </c>
      <c r="D4" s="280"/>
      <c r="E4" s="280">
        <f>SUBTOTAL(103,CAI_ELQ_LF_LEGACY[Brd-Off])</f>
        <v>2</v>
      </c>
      <c r="F4" s="280"/>
      <c r="G4" s="282">
        <f>SUBTOTAL(101,CAI_ELQ_LF_LEGACY[LF%])</f>
        <v>0.51114999999999999</v>
      </c>
      <c r="H4" s="283">
        <f>SUBTOTAL(109,CAI_ELQ_LF_LEGACY[CAP])</f>
        <v>358</v>
      </c>
      <c r="I4" s="283">
        <f>SUBTOTAL(109,CAI_ELQ_LF_LEGACY[BKG(Y)])</f>
        <v>183</v>
      </c>
      <c r="J4" s="283">
        <f>SUBTOTAL(109,CAI_ELQ_LF_LEGACY[GRP(Y)])</f>
        <v>0</v>
      </c>
      <c r="K4" s="280"/>
      <c r="L4" s="281"/>
      <c r="M4" s="283">
        <f>SUBTOTAL(109,CAI_ELQ_LF_LEGACY[TO-DAY])</f>
        <v>0</v>
      </c>
      <c r="N4" s="283">
        <f>SUBTOTAL(109,CAI_ELQ_LF_LEGACY[Y-DAY])</f>
        <v>22</v>
      </c>
      <c r="O4" s="283">
        <f>SUBTOTAL(109,CAI_ELQ_LF_LEGACY[WEEKLY])</f>
        <v>94</v>
      </c>
      <c r="P4" s="284"/>
      <c r="Q4" s="283">
        <f>SUBTOTAL(109,CAI_ELQ_LF_LEGACY[Y])</f>
        <v>0</v>
      </c>
      <c r="R4" s="283">
        <f>SUBTOTAL(109,CAI_ELQ_LF_LEGACY[B])</f>
        <v>0</v>
      </c>
      <c r="S4" s="283">
        <f>SUBTOTAL(109,CAI_ELQ_LF_LEGACY[M])</f>
        <v>0</v>
      </c>
      <c r="T4" s="283">
        <f>SUBTOTAL(109,CAI_ELQ_LF_LEGACY[H])</f>
        <v>0</v>
      </c>
      <c r="U4" s="283">
        <f>SUBTOTAL(109,CAI_ELQ_LF_LEGACY[Q])</f>
        <v>0</v>
      </c>
      <c r="V4" s="283">
        <f>SUBTOTAL(109,CAI_ELQ_LF_LEGACY[K])</f>
        <v>0</v>
      </c>
      <c r="W4" s="283">
        <f>SUBTOTAL(109,CAI_ELQ_LF_LEGACY[V])</f>
        <v>0</v>
      </c>
      <c r="X4" s="283">
        <f>SUBTOTAL(109,CAI_ELQ_LF_LEGACY[L])</f>
        <v>0</v>
      </c>
      <c r="Y4" s="283">
        <f>SUBTOTAL(109,CAI_ELQ_LF_LEGACY[G])</f>
        <v>0</v>
      </c>
      <c r="Z4" s="283">
        <f>SUBTOTAL(109,CAI_ELQ_LF_LEGACY[S])</f>
        <v>0</v>
      </c>
      <c r="AA4" s="283">
        <f>SUBTOTAL(109,CAI_ELQ_LF_LEGACY[W])</f>
        <v>0</v>
      </c>
      <c r="AB4" s="283">
        <f>SUBTOTAL(109,CAI_ELQ_LF_LEGACY[T])</f>
        <v>0</v>
      </c>
      <c r="AC4" s="283">
        <f>SUBTOTAL(109,CAI_ELQ_LF_LEGACY[X])</f>
        <v>0</v>
      </c>
      <c r="AD4" s="283">
        <f>SUBTOTAL(109,CAI_ELQ_LF_LEGACY[U])</f>
        <v>0</v>
      </c>
      <c r="AE4" s="283">
        <f>SUBTOTAL(109,CAI_ELQ_LF_LEGACY[O])</f>
        <v>0</v>
      </c>
      <c r="AF4" s="283">
        <f>SUBTOTAL(109,CAI_ELQ_LF_LEGACY[I])</f>
        <v>0</v>
      </c>
      <c r="AG4" s="283">
        <f>SUBTOTAL(109,CAI_ELQ_LF_LEGACY[E])</f>
        <v>0</v>
      </c>
      <c r="AH4" s="283">
        <f>SUBTOTAL(109,CAI_ELQ_LF_LEGACY[A])</f>
        <v>0</v>
      </c>
      <c r="AI4" s="283">
        <f>SUBTOTAL(109,CAI_ELQ_LF_LEGACY[P])</f>
        <v>0</v>
      </c>
      <c r="AJ4" s="283">
        <f>SUBTOTAL(103,CAI_ELQ_LF_LEGACY[N])</f>
        <v>0</v>
      </c>
    </row>
  </sheetData>
  <pageMargins left="0.75" right="0.75" top="1" bottom="1" header="0.5" footer="0.5"/>
  <tableParts count="1">
    <tablePart r:id="rId1"/>
  </tableParts>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I14"/>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3.441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239</v>
      </c>
      <c r="C2" s="61" t="s">
        <v>890</v>
      </c>
      <c r="D2" s="60" t="s">
        <v>889</v>
      </c>
      <c r="E2" s="60" t="s">
        <v>432</v>
      </c>
      <c r="F2" s="60" t="s">
        <v>100</v>
      </c>
      <c r="G2" s="62">
        <v>9</v>
      </c>
      <c r="H2" s="63" t="s">
        <v>771</v>
      </c>
    </row>
    <row r="3" spans="1:8" ht="19.8" customHeight="1" x14ac:dyDescent="0.3">
      <c r="A3" s="59" t="s">
        <v>152</v>
      </c>
      <c r="B3" s="60" t="s">
        <v>586</v>
      </c>
      <c r="C3" s="61" t="s">
        <v>891</v>
      </c>
      <c r="D3" s="60" t="s">
        <v>889</v>
      </c>
      <c r="E3" s="60" t="s">
        <v>913</v>
      </c>
      <c r="F3" s="60" t="s">
        <v>100</v>
      </c>
      <c r="G3" s="62">
        <v>9</v>
      </c>
      <c r="H3" s="63" t="s">
        <v>892</v>
      </c>
    </row>
    <row r="4" spans="1:8" ht="19.8" customHeight="1" x14ac:dyDescent="0.3">
      <c r="A4" s="99" t="s">
        <v>152</v>
      </c>
      <c r="B4" s="77" t="s">
        <v>73</v>
      </c>
      <c r="C4" s="78" t="s">
        <v>893</v>
      </c>
      <c r="D4" s="77" t="s">
        <v>889</v>
      </c>
      <c r="E4" s="77" t="s">
        <v>666</v>
      </c>
      <c r="F4" s="77" t="s">
        <v>100</v>
      </c>
      <c r="G4" s="80">
        <v>9</v>
      </c>
      <c r="H4" s="81" t="s">
        <v>894</v>
      </c>
    </row>
    <row r="5" spans="1:8" ht="19.8" customHeight="1" x14ac:dyDescent="0.3">
      <c r="A5" s="68">
        <v>45981</v>
      </c>
      <c r="B5" s="60" t="s">
        <v>266</v>
      </c>
      <c r="C5" s="61" t="s">
        <v>897</v>
      </c>
      <c r="D5" s="60" t="s">
        <v>889</v>
      </c>
      <c r="E5" s="69">
        <v>1.7673611111111109</v>
      </c>
      <c r="F5" s="60" t="s">
        <v>268</v>
      </c>
      <c r="G5" s="62">
        <v>9</v>
      </c>
      <c r="H5" s="63" t="s">
        <v>898</v>
      </c>
    </row>
    <row r="6" spans="1:8" ht="19.8" customHeight="1" x14ac:dyDescent="0.3">
      <c r="A6" s="68">
        <v>45981</v>
      </c>
      <c r="B6" s="60" t="s">
        <v>68</v>
      </c>
      <c r="C6" s="61" t="s">
        <v>900</v>
      </c>
      <c r="D6" s="60" t="s">
        <v>889</v>
      </c>
      <c r="E6" s="69">
        <v>1.8715277777777779</v>
      </c>
      <c r="F6" s="60" t="s">
        <v>70</v>
      </c>
      <c r="G6" s="62">
        <v>9</v>
      </c>
      <c r="H6" s="63" t="s">
        <v>901</v>
      </c>
    </row>
    <row r="7" spans="1:8" ht="19.8" customHeight="1" x14ac:dyDescent="0.3">
      <c r="A7" s="70">
        <v>45981</v>
      </c>
      <c r="B7" s="71" t="s">
        <v>266</v>
      </c>
      <c r="C7" s="72" t="s">
        <v>897</v>
      </c>
      <c r="D7" s="71" t="s">
        <v>889</v>
      </c>
      <c r="E7" s="73">
        <v>1.7673611111111109</v>
      </c>
      <c r="F7" s="71" t="s">
        <v>34</v>
      </c>
      <c r="G7" s="74">
        <v>9</v>
      </c>
      <c r="H7" s="75" t="s">
        <v>899</v>
      </c>
    </row>
    <row r="8" spans="1:8" ht="19.8" customHeight="1" x14ac:dyDescent="0.3">
      <c r="A8" s="68">
        <v>45982</v>
      </c>
      <c r="B8" s="60" t="s">
        <v>586</v>
      </c>
      <c r="C8" s="61" t="s">
        <v>891</v>
      </c>
      <c r="D8" s="60" t="s">
        <v>889</v>
      </c>
      <c r="E8" s="69">
        <v>1.697916666666667</v>
      </c>
      <c r="F8" s="60" t="s">
        <v>100</v>
      </c>
      <c r="G8" s="62">
        <v>3</v>
      </c>
      <c r="H8" s="63" t="s">
        <v>807</v>
      </c>
    </row>
    <row r="9" spans="1:8" ht="19.8" customHeight="1" x14ac:dyDescent="0.3">
      <c r="A9" s="76">
        <v>45982</v>
      </c>
      <c r="B9" s="77" t="s">
        <v>73</v>
      </c>
      <c r="C9" s="78" t="s">
        <v>893</v>
      </c>
      <c r="D9" s="77" t="s">
        <v>889</v>
      </c>
      <c r="E9" s="79">
        <v>1.8298611111111109</v>
      </c>
      <c r="F9" s="77" t="s">
        <v>100</v>
      </c>
      <c r="G9" s="80">
        <v>3</v>
      </c>
      <c r="H9" s="81" t="s">
        <v>894</v>
      </c>
    </row>
    <row r="10" spans="1:8" ht="19.8" customHeight="1" x14ac:dyDescent="0.3">
      <c r="A10" s="68">
        <v>45982</v>
      </c>
      <c r="B10" s="60" t="s">
        <v>239</v>
      </c>
      <c r="C10" s="61" t="s">
        <v>890</v>
      </c>
      <c r="D10" s="60" t="s">
        <v>889</v>
      </c>
      <c r="E10" s="69">
        <v>1.489583333333333</v>
      </c>
      <c r="F10" s="60" t="s">
        <v>100</v>
      </c>
      <c r="G10" s="62">
        <v>9</v>
      </c>
      <c r="H10" s="63" t="s">
        <v>903</v>
      </c>
    </row>
    <row r="11" spans="1:8" ht="19.8" customHeight="1" x14ac:dyDescent="0.3">
      <c r="A11" s="70">
        <v>45982</v>
      </c>
      <c r="B11" s="71" t="s">
        <v>68</v>
      </c>
      <c r="C11" s="72" t="s">
        <v>900</v>
      </c>
      <c r="D11" s="71" t="s">
        <v>889</v>
      </c>
      <c r="E11" s="73">
        <v>1.868055555555556</v>
      </c>
      <c r="F11" s="71" t="s">
        <v>70</v>
      </c>
      <c r="G11" s="74">
        <v>9</v>
      </c>
      <c r="H11" s="75" t="s">
        <v>904</v>
      </c>
    </row>
    <row r="12" spans="1:8" ht="19.8" customHeight="1" x14ac:dyDescent="0.3">
      <c r="A12" s="68">
        <v>45983</v>
      </c>
      <c r="B12" s="60" t="s">
        <v>586</v>
      </c>
      <c r="C12" s="61" t="s">
        <v>891</v>
      </c>
      <c r="D12" s="60" t="s">
        <v>889</v>
      </c>
      <c r="E12" s="69">
        <v>1.4375</v>
      </c>
      <c r="F12" s="60" t="s">
        <v>100</v>
      </c>
      <c r="G12" s="62">
        <v>9</v>
      </c>
      <c r="H12" s="63" t="s">
        <v>807</v>
      </c>
    </row>
    <row r="13" spans="1:8" ht="19.8" customHeight="1" x14ac:dyDescent="0.3">
      <c r="A13" s="68">
        <v>45983</v>
      </c>
      <c r="B13" s="60" t="s">
        <v>239</v>
      </c>
      <c r="C13" s="61" t="s">
        <v>905</v>
      </c>
      <c r="D13" s="60" t="s">
        <v>889</v>
      </c>
      <c r="E13" s="69">
        <v>1.8125</v>
      </c>
      <c r="F13" s="60" t="s">
        <v>100</v>
      </c>
      <c r="G13" s="62">
        <v>3</v>
      </c>
      <c r="H13" s="63" t="s">
        <v>903</v>
      </c>
    </row>
    <row r="14" spans="1:8" ht="19.8" customHeight="1" x14ac:dyDescent="0.3">
      <c r="A14" s="70">
        <v>45983</v>
      </c>
      <c r="B14" s="71" t="s">
        <v>68</v>
      </c>
      <c r="C14" s="72" t="s">
        <v>900</v>
      </c>
      <c r="D14" s="71" t="s">
        <v>889</v>
      </c>
      <c r="E14" s="73">
        <v>1.8715277777777779</v>
      </c>
      <c r="F14" s="71" t="s">
        <v>70</v>
      </c>
      <c r="G14" s="74">
        <v>9</v>
      </c>
      <c r="H14" s="75" t="s">
        <v>906</v>
      </c>
    </row>
  </sheetData>
  <pageMargins left="0.75" right="0.75" top="1" bottom="1" header="0.5" footer="0.5"/>
  <legacyDrawing r:id="rId1"/>
  <tableParts count="1">
    <tablePart r:id="rId2"/>
  </tableParts>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I6"/>
  <sheetViews>
    <sheetView workbookViewId="0"/>
  </sheetViews>
  <sheetFormatPr defaultRowHeight="14.4" x14ac:dyDescent="0.3"/>
  <cols>
    <col min="1" max="1" width="11.21875" bestFit="1" customWidth="1"/>
    <col min="2" max="2" width="15.554687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173.441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64" t="s">
        <v>152</v>
      </c>
      <c r="B2" s="65" t="s">
        <v>73</v>
      </c>
      <c r="C2" s="66" t="s">
        <v>893</v>
      </c>
      <c r="D2" s="65" t="s">
        <v>889</v>
      </c>
      <c r="E2" s="65" t="s">
        <v>666</v>
      </c>
      <c r="F2" s="65" t="s">
        <v>100</v>
      </c>
      <c r="G2" s="84">
        <v>9</v>
      </c>
      <c r="H2" s="67" t="s">
        <v>894</v>
      </c>
    </row>
    <row r="3" spans="1:8" ht="19.8" customHeight="1" x14ac:dyDescent="0.3">
      <c r="A3" s="82">
        <v>45982</v>
      </c>
      <c r="B3" s="65" t="s">
        <v>73</v>
      </c>
      <c r="C3" s="66" t="s">
        <v>893</v>
      </c>
      <c r="D3" s="65" t="s">
        <v>889</v>
      </c>
      <c r="E3" s="83">
        <v>1.8298611111111109</v>
      </c>
      <c r="F3" s="65" t="s">
        <v>100</v>
      </c>
      <c r="G3" s="84">
        <v>3</v>
      </c>
      <c r="H3" s="67" t="s">
        <v>894</v>
      </c>
    </row>
    <row r="4" spans="1:8" ht="19.8" customHeight="1" x14ac:dyDescent="0.3">
      <c r="A4" s="68">
        <v>45983</v>
      </c>
      <c r="B4" s="60" t="s">
        <v>586</v>
      </c>
      <c r="C4" s="61" t="s">
        <v>891</v>
      </c>
      <c r="D4" s="60" t="s">
        <v>889</v>
      </c>
      <c r="E4" s="69">
        <v>1.4375</v>
      </c>
      <c r="F4" s="60" t="s">
        <v>100</v>
      </c>
      <c r="G4" s="62">
        <v>9</v>
      </c>
      <c r="H4" s="63" t="s">
        <v>807</v>
      </c>
    </row>
    <row r="5" spans="1:8" ht="19.8" customHeight="1" x14ac:dyDescent="0.3">
      <c r="A5" s="68">
        <v>45983</v>
      </c>
      <c r="B5" s="60" t="s">
        <v>239</v>
      </c>
      <c r="C5" s="61" t="s">
        <v>905</v>
      </c>
      <c r="D5" s="60" t="s">
        <v>889</v>
      </c>
      <c r="E5" s="69">
        <v>1.8125</v>
      </c>
      <c r="F5" s="60" t="s">
        <v>100</v>
      </c>
      <c r="G5" s="62">
        <v>3</v>
      </c>
      <c r="H5" s="63" t="s">
        <v>903</v>
      </c>
    </row>
    <row r="6" spans="1:8" ht="19.8" customHeight="1" x14ac:dyDescent="0.3">
      <c r="A6" s="70">
        <v>45983</v>
      </c>
      <c r="B6" s="71" t="s">
        <v>68</v>
      </c>
      <c r="C6" s="72" t="s">
        <v>900</v>
      </c>
      <c r="D6" s="71" t="s">
        <v>889</v>
      </c>
      <c r="E6" s="73">
        <v>1.8715277777777779</v>
      </c>
      <c r="F6" s="71" t="s">
        <v>70</v>
      </c>
      <c r="G6" s="74">
        <v>9</v>
      </c>
      <c r="H6" s="75" t="s">
        <v>906</v>
      </c>
    </row>
  </sheetData>
  <pageMargins left="0.75" right="0.75" top="1" bottom="1" header="0.5" footer="0.5"/>
  <legacyDrawing r:id="rId1"/>
  <tableParts count="1">
    <tablePart r:id="rId2"/>
  </tablePart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CN10"/>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5.6640625" bestFit="1" customWidth="1"/>
  </cols>
  <sheetData>
    <row r="1" spans="1:92" ht="28.8" customHeight="1" x14ac:dyDescent="0.3">
      <c r="A1" s="261" t="s">
        <v>0</v>
      </c>
      <c r="B1" s="254"/>
      <c r="C1" s="254"/>
      <c r="D1" s="254"/>
      <c r="E1" s="254"/>
      <c r="F1" s="1" t="s">
        <v>914</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45980.430515853193</v>
      </c>
      <c r="H2" s="254"/>
      <c r="I2" s="254"/>
      <c r="J2" s="254"/>
      <c r="K2" s="263">
        <v>45980.430515853477</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45983</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78" t="s">
        <v>73</v>
      </c>
      <c r="B6" s="178" t="s">
        <v>915</v>
      </c>
      <c r="C6" s="179">
        <v>0.69097222222222221</v>
      </c>
      <c r="D6" s="178" t="s">
        <v>100</v>
      </c>
      <c r="E6" s="178" t="s">
        <v>269</v>
      </c>
      <c r="F6" s="178" t="s">
        <v>222</v>
      </c>
      <c r="G6" s="256"/>
      <c r="H6" s="180" t="s">
        <v>916</v>
      </c>
      <c r="I6" s="245">
        <v>0.48599999999999999</v>
      </c>
      <c r="J6" s="182">
        <v>87</v>
      </c>
      <c r="K6" s="183" t="s">
        <v>103</v>
      </c>
      <c r="L6" s="182">
        <v>37</v>
      </c>
      <c r="M6" s="182">
        <v>0</v>
      </c>
      <c r="N6" s="182">
        <v>4</v>
      </c>
      <c r="O6" s="184" t="s">
        <v>531</v>
      </c>
      <c r="P6" s="185">
        <v>0.69097222222222221</v>
      </c>
      <c r="Q6" s="182">
        <v>179</v>
      </c>
      <c r="R6" s="186" t="s">
        <v>917</v>
      </c>
    </row>
    <row r="7" spans="1:92" ht="18" x14ac:dyDescent="0.3">
      <c r="A7" s="268" t="s">
        <v>918</v>
      </c>
      <c r="B7" s="269"/>
      <c r="C7" s="269"/>
      <c r="D7" s="269"/>
      <c r="E7" s="269"/>
      <c r="F7" s="270"/>
      <c r="G7" s="257"/>
      <c r="H7" s="94"/>
      <c r="I7" s="94"/>
      <c r="J7" s="94"/>
      <c r="K7" s="94"/>
      <c r="L7" s="94"/>
      <c r="M7" s="94"/>
      <c r="N7" s="94"/>
      <c r="O7" s="95"/>
      <c r="P7" s="94"/>
      <c r="Q7" s="55"/>
      <c r="R7" s="55"/>
    </row>
    <row r="8" spans="1:92" ht="49.95" customHeight="1" x14ac:dyDescent="0.3">
      <c r="A8" s="19" t="s">
        <v>586</v>
      </c>
      <c r="B8" s="19" t="s">
        <v>891</v>
      </c>
      <c r="C8" s="20" t="s">
        <v>401</v>
      </c>
      <c r="D8" s="19" t="s">
        <v>100</v>
      </c>
      <c r="E8" s="19" t="s">
        <v>171</v>
      </c>
      <c r="F8" s="19" t="s">
        <v>807</v>
      </c>
      <c r="G8" s="257"/>
      <c r="H8" s="94"/>
      <c r="I8" s="94"/>
      <c r="J8" s="94"/>
      <c r="K8" s="94"/>
      <c r="L8" s="94"/>
      <c r="M8" s="94"/>
      <c r="N8" s="94"/>
      <c r="O8" s="95"/>
      <c r="P8" s="94"/>
      <c r="Q8" s="55"/>
      <c r="R8" s="55"/>
    </row>
    <row r="9" spans="1:92" ht="49.95" customHeight="1" x14ac:dyDescent="0.3">
      <c r="A9" s="19" t="s">
        <v>239</v>
      </c>
      <c r="B9" s="19" t="s">
        <v>905</v>
      </c>
      <c r="C9" s="20" t="s">
        <v>919</v>
      </c>
      <c r="D9" s="19" t="s">
        <v>100</v>
      </c>
      <c r="E9" s="19" t="s">
        <v>482</v>
      </c>
      <c r="F9" s="19" t="s">
        <v>903</v>
      </c>
      <c r="G9" s="257"/>
      <c r="H9" s="94"/>
      <c r="I9" s="94"/>
      <c r="J9" s="94"/>
      <c r="K9" s="94"/>
      <c r="L9" s="94"/>
      <c r="M9" s="94"/>
      <c r="N9" s="94"/>
      <c r="O9" s="95"/>
      <c r="P9" s="94"/>
      <c r="Q9" s="55"/>
      <c r="R9" s="55"/>
    </row>
    <row r="10" spans="1:92" ht="49.95" customHeight="1" x14ac:dyDescent="0.3">
      <c r="A10" s="39" t="s">
        <v>68</v>
      </c>
      <c r="B10" s="39" t="s">
        <v>900</v>
      </c>
      <c r="C10" s="40" t="s">
        <v>920</v>
      </c>
      <c r="D10" s="39" t="s">
        <v>70</v>
      </c>
      <c r="E10" s="39" t="s">
        <v>171</v>
      </c>
      <c r="F10" s="39" t="s">
        <v>906</v>
      </c>
      <c r="G10" s="258"/>
      <c r="H10" s="96"/>
      <c r="I10" s="96"/>
      <c r="J10" s="96"/>
      <c r="K10" s="96"/>
      <c r="L10" s="96"/>
      <c r="M10" s="96"/>
      <c r="N10" s="96"/>
      <c r="O10" s="97"/>
      <c r="P10" s="96"/>
      <c r="Q10" s="98"/>
      <c r="R10" s="98"/>
    </row>
  </sheetData>
  <mergeCells count="11">
    <mergeCell ref="A4:F4"/>
    <mergeCell ref="G6:G10"/>
    <mergeCell ref="H4:R4"/>
    <mergeCell ref="A7:F7"/>
    <mergeCell ref="N1:R1"/>
    <mergeCell ref="A2:F2"/>
    <mergeCell ref="A3:R3"/>
    <mergeCell ref="H1:L1"/>
    <mergeCell ref="A1:E1"/>
    <mergeCell ref="G2:J2"/>
    <mergeCell ref="K2:R2"/>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J3"/>
  <sheetViews>
    <sheetView workbookViewId="0"/>
  </sheetViews>
  <sheetFormatPr defaultRowHeight="15.6" outlineLevelCol="1" x14ac:dyDescent="0.3"/>
  <cols>
    <col min="1" max="1" width="9.77734375" style="272" bestFit="1" customWidth="1"/>
    <col min="2" max="2" width="10.44140625" style="272" bestFit="1" customWidth="1"/>
    <col min="3" max="3" width="6.77734375" style="272" bestFit="1" customWidth="1"/>
    <col min="4" max="4" width="5.5546875" style="272" bestFit="1" customWidth="1"/>
    <col min="5" max="5" width="8.1093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4" width="3.88671875" style="272" bestFit="1" customWidth="1"/>
    <col min="25" max="25" width="4.44140625" style="272" bestFit="1" customWidth="1"/>
    <col min="26" max="26" width="3.88671875" style="272" bestFit="1" customWidth="1"/>
    <col min="27" max="27" width="4" style="272" bestFit="1" customWidth="1"/>
    <col min="28" max="28" width="3.88671875" style="272" bestFit="1" customWidth="1"/>
    <col min="29" max="29" width="4.21875" style="272" bestFit="1" customWidth="1"/>
    <col min="30" max="31" width="4.5546875" style="272" bestFit="1" customWidth="1"/>
    <col min="32"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146</v>
      </c>
      <c r="B2" s="274">
        <v>45983</v>
      </c>
      <c r="C2" s="275" t="s">
        <v>916</v>
      </c>
      <c r="D2" s="276" t="s">
        <v>552</v>
      </c>
      <c r="E2" s="275" t="s">
        <v>914</v>
      </c>
      <c r="F2" s="275" t="s">
        <v>137</v>
      </c>
      <c r="G2" s="277">
        <v>0.48599999999999999</v>
      </c>
      <c r="H2" s="278">
        <v>179</v>
      </c>
      <c r="I2" s="278">
        <v>87</v>
      </c>
      <c r="J2" s="278">
        <v>0</v>
      </c>
      <c r="K2" s="275" t="s">
        <v>138</v>
      </c>
      <c r="L2" s="279" t="s">
        <v>103</v>
      </c>
      <c r="M2" s="278">
        <v>0</v>
      </c>
      <c r="N2" s="278">
        <v>4</v>
      </c>
      <c r="O2" s="278">
        <v>37</v>
      </c>
      <c r="P2" s="275" t="s">
        <v>531</v>
      </c>
      <c r="Q2" s="271"/>
      <c r="R2" s="271"/>
      <c r="S2" s="271"/>
      <c r="T2" s="271"/>
      <c r="U2" s="271"/>
      <c r="V2" s="271"/>
      <c r="W2" s="271"/>
      <c r="X2" s="278" t="s">
        <v>364</v>
      </c>
      <c r="Y2" s="278" t="s">
        <v>921</v>
      </c>
      <c r="Z2" s="278" t="s">
        <v>365</v>
      </c>
      <c r="AA2" s="278" t="s">
        <v>308</v>
      </c>
      <c r="AB2" s="278" t="s">
        <v>922</v>
      </c>
      <c r="AC2" s="278" t="s">
        <v>656</v>
      </c>
      <c r="AD2" s="278" t="s">
        <v>923</v>
      </c>
      <c r="AE2" s="278" t="s">
        <v>417</v>
      </c>
      <c r="AF2" s="278" t="s">
        <v>403</v>
      </c>
      <c r="AG2" s="271"/>
      <c r="AH2" s="271"/>
      <c r="AI2" s="271"/>
      <c r="AJ2" s="271"/>
    </row>
    <row r="3" spans="1:36" ht="21" x14ac:dyDescent="0.3">
      <c r="A3" s="280" t="s">
        <v>943</v>
      </c>
      <c r="B3" s="281"/>
      <c r="C3" s="280">
        <f>SUBTOTAL(103,ATZ_ELQ_LF_LEGACY[Flt])</f>
        <v>1</v>
      </c>
      <c r="D3" s="280"/>
      <c r="E3" s="280">
        <f>SUBTOTAL(103,ATZ_ELQ_LF_LEGACY[Brd-Off])</f>
        <v>1</v>
      </c>
      <c r="F3" s="280"/>
      <c r="G3" s="282">
        <f>SUBTOTAL(101,ATZ_ELQ_LF_LEGACY[LF%])</f>
        <v>0.48599999999999999</v>
      </c>
      <c r="H3" s="283">
        <f>SUBTOTAL(109,ATZ_ELQ_LF_LEGACY[CAP])</f>
        <v>179</v>
      </c>
      <c r="I3" s="283">
        <f>SUBTOTAL(109,ATZ_ELQ_LF_LEGACY[BKG(Y)])</f>
        <v>87</v>
      </c>
      <c r="J3" s="283">
        <f>SUBTOTAL(109,ATZ_ELQ_LF_LEGACY[GRP(Y)])</f>
        <v>0</v>
      </c>
      <c r="K3" s="280"/>
      <c r="L3" s="281"/>
      <c r="M3" s="283">
        <f>SUBTOTAL(109,ATZ_ELQ_LF_LEGACY[TO-DAY])</f>
        <v>0</v>
      </c>
      <c r="N3" s="283">
        <f>SUBTOTAL(109,ATZ_ELQ_LF_LEGACY[Y-DAY])</f>
        <v>4</v>
      </c>
      <c r="O3" s="283">
        <f>SUBTOTAL(109,ATZ_ELQ_LF_LEGACY[WEEKLY])</f>
        <v>37</v>
      </c>
      <c r="P3" s="284"/>
      <c r="Q3" s="283">
        <f>SUBTOTAL(109,ATZ_ELQ_LF_LEGACY[Y])</f>
        <v>0</v>
      </c>
      <c r="R3" s="283">
        <f>SUBTOTAL(109,ATZ_ELQ_LF_LEGACY[B])</f>
        <v>0</v>
      </c>
      <c r="S3" s="283">
        <f>SUBTOTAL(109,ATZ_ELQ_LF_LEGACY[M])</f>
        <v>0</v>
      </c>
      <c r="T3" s="283">
        <f>SUBTOTAL(109,ATZ_ELQ_LF_LEGACY[H])</f>
        <v>0</v>
      </c>
      <c r="U3" s="283">
        <f>SUBTOTAL(109,ATZ_ELQ_LF_LEGACY[Q])</f>
        <v>0</v>
      </c>
      <c r="V3" s="283">
        <f>SUBTOTAL(109,ATZ_ELQ_LF_LEGACY[K])</f>
        <v>0</v>
      </c>
      <c r="W3" s="283">
        <f>SUBTOTAL(109,ATZ_ELQ_LF_LEGACY[V])</f>
        <v>0</v>
      </c>
      <c r="X3" s="283">
        <f>SUBTOTAL(109,ATZ_ELQ_LF_LEGACY[L])</f>
        <v>0</v>
      </c>
      <c r="Y3" s="283">
        <f>SUBTOTAL(109,ATZ_ELQ_LF_LEGACY[G])</f>
        <v>0</v>
      </c>
      <c r="Z3" s="283">
        <f>SUBTOTAL(109,ATZ_ELQ_LF_LEGACY[S])</f>
        <v>0</v>
      </c>
      <c r="AA3" s="283">
        <f>SUBTOTAL(109,ATZ_ELQ_LF_LEGACY[W])</f>
        <v>0</v>
      </c>
      <c r="AB3" s="283">
        <f>SUBTOTAL(109,ATZ_ELQ_LF_LEGACY[T])</f>
        <v>0</v>
      </c>
      <c r="AC3" s="283">
        <f>SUBTOTAL(109,ATZ_ELQ_LF_LEGACY[X])</f>
        <v>0</v>
      </c>
      <c r="AD3" s="283">
        <f>SUBTOTAL(109,ATZ_ELQ_LF_LEGACY[U])</f>
        <v>0</v>
      </c>
      <c r="AE3" s="283">
        <f>SUBTOTAL(109,ATZ_ELQ_LF_LEGACY[O])</f>
        <v>0</v>
      </c>
      <c r="AF3" s="283">
        <f>SUBTOTAL(109,ATZ_ELQ_LF_LEGACY[I])</f>
        <v>0</v>
      </c>
      <c r="AG3" s="283">
        <f>SUBTOTAL(109,ATZ_ELQ_LF_LEGACY[E])</f>
        <v>0</v>
      </c>
      <c r="AH3" s="283">
        <f>SUBTOTAL(109,ATZ_ELQ_LF_LEGACY[A])</f>
        <v>0</v>
      </c>
      <c r="AI3" s="283">
        <f>SUBTOTAL(109,ATZ_ELQ_LF_LEGACY[P])</f>
        <v>0</v>
      </c>
      <c r="AJ3" s="283">
        <f>SUBTOTAL(103,ATZ_ELQ_LF_LEGACY[N])</f>
        <v>0</v>
      </c>
    </row>
  </sheetData>
  <pageMargins left="0.75" right="0.75" top="1" bottom="1" header="0.5" footer="0.5"/>
  <tableParts count="1">
    <tablePart r:id="rId1"/>
  </tableParts>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I1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7.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924</v>
      </c>
      <c r="G2" s="101"/>
      <c r="H2" s="103"/>
    </row>
    <row r="3" spans="1:8" ht="19.8" customHeight="1" x14ac:dyDescent="0.3">
      <c r="A3" s="59" t="s">
        <v>152</v>
      </c>
      <c r="B3" s="60" t="s">
        <v>239</v>
      </c>
      <c r="C3" s="61" t="s">
        <v>890</v>
      </c>
      <c r="D3" s="60" t="s">
        <v>889</v>
      </c>
      <c r="E3" s="60" t="s">
        <v>432</v>
      </c>
      <c r="F3" s="60" t="s">
        <v>100</v>
      </c>
      <c r="G3" s="62">
        <v>9</v>
      </c>
      <c r="H3" s="63" t="s">
        <v>771</v>
      </c>
    </row>
    <row r="4" spans="1:8" ht="19.8" customHeight="1" x14ac:dyDescent="0.3">
      <c r="A4" s="59" t="s">
        <v>152</v>
      </c>
      <c r="B4" s="60" t="s">
        <v>586</v>
      </c>
      <c r="C4" s="61" t="s">
        <v>891</v>
      </c>
      <c r="D4" s="60" t="s">
        <v>889</v>
      </c>
      <c r="E4" s="60" t="s">
        <v>913</v>
      </c>
      <c r="F4" s="60" t="s">
        <v>100</v>
      </c>
      <c r="G4" s="62">
        <v>9</v>
      </c>
      <c r="H4" s="63" t="s">
        <v>892</v>
      </c>
    </row>
    <row r="5" spans="1:8" ht="19.8" customHeight="1" x14ac:dyDescent="0.3">
      <c r="A5" s="59" t="s">
        <v>152</v>
      </c>
      <c r="B5" s="60" t="s">
        <v>73</v>
      </c>
      <c r="C5" s="61" t="s">
        <v>893</v>
      </c>
      <c r="D5" s="60" t="s">
        <v>889</v>
      </c>
      <c r="E5" s="60" t="s">
        <v>666</v>
      </c>
      <c r="F5" s="60" t="s">
        <v>100</v>
      </c>
      <c r="G5" s="62">
        <v>9</v>
      </c>
      <c r="H5" s="63" t="s">
        <v>894</v>
      </c>
    </row>
    <row r="6" spans="1:8" ht="19.8" customHeight="1" x14ac:dyDescent="0.3">
      <c r="A6" s="59" t="s">
        <v>152</v>
      </c>
      <c r="B6" s="60" t="s">
        <v>266</v>
      </c>
      <c r="C6" s="61" t="s">
        <v>897</v>
      </c>
      <c r="D6" s="60" t="s">
        <v>889</v>
      </c>
      <c r="E6" s="60" t="s">
        <v>809</v>
      </c>
      <c r="F6" s="60" t="s">
        <v>268</v>
      </c>
      <c r="G6" s="62">
        <v>9</v>
      </c>
      <c r="H6" s="63" t="s">
        <v>898</v>
      </c>
    </row>
    <row r="7" spans="1:8" ht="19.8" customHeight="1" x14ac:dyDescent="0.3">
      <c r="A7" s="59" t="s">
        <v>152</v>
      </c>
      <c r="B7" s="60" t="s">
        <v>68</v>
      </c>
      <c r="C7" s="61" t="s">
        <v>900</v>
      </c>
      <c r="D7" s="60" t="s">
        <v>889</v>
      </c>
      <c r="E7" s="60" t="s">
        <v>920</v>
      </c>
      <c r="F7" s="60" t="s">
        <v>70</v>
      </c>
      <c r="G7" s="62">
        <v>9</v>
      </c>
      <c r="H7" s="63" t="s">
        <v>901</v>
      </c>
    </row>
    <row r="8" spans="1:8" ht="19.8" customHeight="1" x14ac:dyDescent="0.3">
      <c r="A8" s="113" t="s">
        <v>152</v>
      </c>
      <c r="B8" s="71" t="s">
        <v>266</v>
      </c>
      <c r="C8" s="72" t="s">
        <v>897</v>
      </c>
      <c r="D8" s="71" t="s">
        <v>889</v>
      </c>
      <c r="E8" s="71" t="s">
        <v>809</v>
      </c>
      <c r="F8" s="71" t="s">
        <v>34</v>
      </c>
      <c r="G8" s="74">
        <v>9</v>
      </c>
      <c r="H8" s="75" t="s">
        <v>899</v>
      </c>
    </row>
    <row r="9" spans="1:8" ht="19.8" customHeight="1" x14ac:dyDescent="0.3">
      <c r="A9" s="100"/>
      <c r="B9" s="101"/>
      <c r="C9" s="101"/>
      <c r="D9" s="101"/>
      <c r="E9" s="101"/>
      <c r="F9" s="102" t="s">
        <v>924</v>
      </c>
      <c r="G9" s="101"/>
      <c r="H9" s="103"/>
    </row>
    <row r="10" spans="1:8" ht="19.8" customHeight="1" x14ac:dyDescent="0.3">
      <c r="A10" s="59" t="s">
        <v>204</v>
      </c>
      <c r="B10" s="60" t="s">
        <v>586</v>
      </c>
      <c r="C10" s="61" t="s">
        <v>891</v>
      </c>
      <c r="D10" s="60" t="s">
        <v>889</v>
      </c>
      <c r="E10" s="60" t="s">
        <v>176</v>
      </c>
      <c r="F10" s="60" t="s">
        <v>100</v>
      </c>
      <c r="G10" s="62">
        <v>3</v>
      </c>
      <c r="H10" s="63" t="s">
        <v>807</v>
      </c>
    </row>
    <row r="11" spans="1:8" ht="19.8" customHeight="1" x14ac:dyDescent="0.3">
      <c r="A11" s="59" t="s">
        <v>204</v>
      </c>
      <c r="B11" s="60" t="s">
        <v>73</v>
      </c>
      <c r="C11" s="61" t="s">
        <v>893</v>
      </c>
      <c r="D11" s="60" t="s">
        <v>889</v>
      </c>
      <c r="E11" s="60" t="s">
        <v>910</v>
      </c>
      <c r="F11" s="60" t="s">
        <v>100</v>
      </c>
      <c r="G11" s="62">
        <v>3</v>
      </c>
      <c r="H11" s="63" t="s">
        <v>894</v>
      </c>
    </row>
    <row r="12" spans="1:8" ht="19.8" customHeight="1" x14ac:dyDescent="0.3">
      <c r="A12" s="59" t="s">
        <v>204</v>
      </c>
      <c r="B12" s="60" t="s">
        <v>239</v>
      </c>
      <c r="C12" s="61" t="s">
        <v>890</v>
      </c>
      <c r="D12" s="60" t="s">
        <v>889</v>
      </c>
      <c r="E12" s="60" t="s">
        <v>432</v>
      </c>
      <c r="F12" s="60" t="s">
        <v>100</v>
      </c>
      <c r="G12" s="62">
        <v>9</v>
      </c>
      <c r="H12" s="63" t="s">
        <v>903</v>
      </c>
    </row>
    <row r="13" spans="1:8" ht="19.8" customHeight="1" x14ac:dyDescent="0.3">
      <c r="A13" s="113" t="s">
        <v>204</v>
      </c>
      <c r="B13" s="71" t="s">
        <v>68</v>
      </c>
      <c r="C13" s="72" t="s">
        <v>900</v>
      </c>
      <c r="D13" s="71" t="s">
        <v>889</v>
      </c>
      <c r="E13" s="71" t="s">
        <v>925</v>
      </c>
      <c r="F13" s="71" t="s">
        <v>70</v>
      </c>
      <c r="G13" s="74">
        <v>9</v>
      </c>
      <c r="H13" s="75" t="s">
        <v>904</v>
      </c>
    </row>
    <row r="14" spans="1:8" ht="19.8" customHeight="1" x14ac:dyDescent="0.3">
      <c r="A14" s="99" t="s">
        <v>205</v>
      </c>
      <c r="B14" s="77" t="s">
        <v>73</v>
      </c>
      <c r="C14" s="78" t="s">
        <v>915</v>
      </c>
      <c r="D14" s="77" t="s">
        <v>914</v>
      </c>
      <c r="E14" s="77" t="s">
        <v>552</v>
      </c>
      <c r="F14" s="77" t="s">
        <v>100</v>
      </c>
      <c r="G14" s="80">
        <v>5</v>
      </c>
      <c r="H14" s="81" t="s">
        <v>222</v>
      </c>
    </row>
    <row r="15" spans="1:8" ht="19.8" customHeight="1" x14ac:dyDescent="0.3">
      <c r="A15" s="100"/>
      <c r="B15" s="101"/>
      <c r="C15" s="101"/>
      <c r="D15" s="101"/>
      <c r="E15" s="101"/>
      <c r="F15" s="102" t="s">
        <v>924</v>
      </c>
      <c r="G15" s="101"/>
      <c r="H15" s="103"/>
    </row>
    <row r="16" spans="1:8" ht="19.8" customHeight="1" x14ac:dyDescent="0.3">
      <c r="A16" s="68">
        <v>45983</v>
      </c>
      <c r="B16" s="60" t="s">
        <v>586</v>
      </c>
      <c r="C16" s="61" t="s">
        <v>891</v>
      </c>
      <c r="D16" s="60" t="s">
        <v>889</v>
      </c>
      <c r="E16" s="69">
        <v>1.4375</v>
      </c>
      <c r="F16" s="60" t="s">
        <v>100</v>
      </c>
      <c r="G16" s="62">
        <v>9</v>
      </c>
      <c r="H16" s="63" t="s">
        <v>807</v>
      </c>
    </row>
    <row r="17" spans="1:8" ht="19.8" customHeight="1" x14ac:dyDescent="0.3">
      <c r="A17" s="68">
        <v>45983</v>
      </c>
      <c r="B17" s="60" t="s">
        <v>239</v>
      </c>
      <c r="C17" s="61" t="s">
        <v>905</v>
      </c>
      <c r="D17" s="60" t="s">
        <v>889</v>
      </c>
      <c r="E17" s="69">
        <v>1.8125</v>
      </c>
      <c r="F17" s="60" t="s">
        <v>100</v>
      </c>
      <c r="G17" s="62">
        <v>3</v>
      </c>
      <c r="H17" s="63" t="s">
        <v>903</v>
      </c>
    </row>
    <row r="18" spans="1:8" ht="19.8" customHeight="1" x14ac:dyDescent="0.3">
      <c r="A18" s="70">
        <v>45983</v>
      </c>
      <c r="B18" s="71" t="s">
        <v>68</v>
      </c>
      <c r="C18" s="72" t="s">
        <v>900</v>
      </c>
      <c r="D18" s="71" t="s">
        <v>889</v>
      </c>
      <c r="E18" s="73">
        <v>1.8715277777777779</v>
      </c>
      <c r="F18" s="71" t="s">
        <v>70</v>
      </c>
      <c r="G18" s="74">
        <v>9</v>
      </c>
      <c r="H18" s="75" t="s">
        <v>906</v>
      </c>
    </row>
  </sheetData>
  <pageMargins left="0.75" right="0.75" top="1" bottom="1" header="0.5" footer="0.5"/>
  <legacyDrawing r:id="rId1"/>
  <tableParts count="1">
    <tablePart r:id="rId2"/>
  </tableParts>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I1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7.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924</v>
      </c>
      <c r="G2" s="101"/>
      <c r="H2" s="103"/>
    </row>
    <row r="3" spans="1:8" ht="19.8" customHeight="1" x14ac:dyDescent="0.3">
      <c r="A3" s="59" t="s">
        <v>152</v>
      </c>
      <c r="B3" s="60" t="s">
        <v>239</v>
      </c>
      <c r="C3" s="61" t="s">
        <v>890</v>
      </c>
      <c r="D3" s="60" t="s">
        <v>889</v>
      </c>
      <c r="E3" s="60" t="s">
        <v>432</v>
      </c>
      <c r="F3" s="60" t="s">
        <v>100</v>
      </c>
      <c r="G3" s="62">
        <v>9</v>
      </c>
      <c r="H3" s="63" t="s">
        <v>771</v>
      </c>
    </row>
    <row r="4" spans="1:8" ht="19.8" customHeight="1" x14ac:dyDescent="0.3">
      <c r="A4" s="59" t="s">
        <v>152</v>
      </c>
      <c r="B4" s="60" t="s">
        <v>586</v>
      </c>
      <c r="C4" s="61" t="s">
        <v>891</v>
      </c>
      <c r="D4" s="60" t="s">
        <v>889</v>
      </c>
      <c r="E4" s="60" t="s">
        <v>913</v>
      </c>
      <c r="F4" s="60" t="s">
        <v>100</v>
      </c>
      <c r="G4" s="62">
        <v>9</v>
      </c>
      <c r="H4" s="63" t="s">
        <v>892</v>
      </c>
    </row>
    <row r="5" spans="1:8" ht="19.8" customHeight="1" x14ac:dyDescent="0.3">
      <c r="A5" s="59" t="s">
        <v>152</v>
      </c>
      <c r="B5" s="60" t="s">
        <v>73</v>
      </c>
      <c r="C5" s="61" t="s">
        <v>893</v>
      </c>
      <c r="D5" s="60" t="s">
        <v>889</v>
      </c>
      <c r="E5" s="60" t="s">
        <v>666</v>
      </c>
      <c r="F5" s="60" t="s">
        <v>100</v>
      </c>
      <c r="G5" s="62">
        <v>9</v>
      </c>
      <c r="H5" s="63" t="s">
        <v>894</v>
      </c>
    </row>
    <row r="6" spans="1:8" ht="19.8" customHeight="1" x14ac:dyDescent="0.3">
      <c r="A6" s="59" t="s">
        <v>152</v>
      </c>
      <c r="B6" s="60" t="s">
        <v>266</v>
      </c>
      <c r="C6" s="61" t="s">
        <v>897</v>
      </c>
      <c r="D6" s="60" t="s">
        <v>889</v>
      </c>
      <c r="E6" s="60" t="s">
        <v>809</v>
      </c>
      <c r="F6" s="60" t="s">
        <v>268</v>
      </c>
      <c r="G6" s="62">
        <v>9</v>
      </c>
      <c r="H6" s="63" t="s">
        <v>898</v>
      </c>
    </row>
    <row r="7" spans="1:8" ht="19.8" customHeight="1" x14ac:dyDescent="0.3">
      <c r="A7" s="59" t="s">
        <v>152</v>
      </c>
      <c r="B7" s="60" t="s">
        <v>68</v>
      </c>
      <c r="C7" s="61" t="s">
        <v>900</v>
      </c>
      <c r="D7" s="60" t="s">
        <v>889</v>
      </c>
      <c r="E7" s="60" t="s">
        <v>920</v>
      </c>
      <c r="F7" s="60" t="s">
        <v>70</v>
      </c>
      <c r="G7" s="62">
        <v>9</v>
      </c>
      <c r="H7" s="63" t="s">
        <v>901</v>
      </c>
    </row>
    <row r="8" spans="1:8" ht="19.8" customHeight="1" x14ac:dyDescent="0.3">
      <c r="A8" s="113" t="s">
        <v>152</v>
      </c>
      <c r="B8" s="71" t="s">
        <v>266</v>
      </c>
      <c r="C8" s="72" t="s">
        <v>897</v>
      </c>
      <c r="D8" s="71" t="s">
        <v>889</v>
      </c>
      <c r="E8" s="71" t="s">
        <v>809</v>
      </c>
      <c r="F8" s="71" t="s">
        <v>34</v>
      </c>
      <c r="G8" s="74">
        <v>9</v>
      </c>
      <c r="H8" s="75" t="s">
        <v>899</v>
      </c>
    </row>
    <row r="9" spans="1:8" ht="19.8" customHeight="1" x14ac:dyDescent="0.3">
      <c r="A9" s="100"/>
      <c r="B9" s="101"/>
      <c r="C9" s="101"/>
      <c r="D9" s="101"/>
      <c r="E9" s="101"/>
      <c r="F9" s="102" t="s">
        <v>924</v>
      </c>
      <c r="G9" s="101"/>
      <c r="H9" s="103"/>
    </row>
    <row r="10" spans="1:8" ht="19.8" customHeight="1" x14ac:dyDescent="0.3">
      <c r="A10" s="59" t="s">
        <v>204</v>
      </c>
      <c r="B10" s="60" t="s">
        <v>586</v>
      </c>
      <c r="C10" s="61" t="s">
        <v>891</v>
      </c>
      <c r="D10" s="60" t="s">
        <v>889</v>
      </c>
      <c r="E10" s="60" t="s">
        <v>176</v>
      </c>
      <c r="F10" s="60" t="s">
        <v>100</v>
      </c>
      <c r="G10" s="62">
        <v>3</v>
      </c>
      <c r="H10" s="63" t="s">
        <v>807</v>
      </c>
    </row>
    <row r="11" spans="1:8" ht="19.8" customHeight="1" x14ac:dyDescent="0.3">
      <c r="A11" s="59" t="s">
        <v>204</v>
      </c>
      <c r="B11" s="60" t="s">
        <v>73</v>
      </c>
      <c r="C11" s="61" t="s">
        <v>893</v>
      </c>
      <c r="D11" s="60" t="s">
        <v>889</v>
      </c>
      <c r="E11" s="60" t="s">
        <v>910</v>
      </c>
      <c r="F11" s="60" t="s">
        <v>100</v>
      </c>
      <c r="G11" s="62">
        <v>3</v>
      </c>
      <c r="H11" s="63" t="s">
        <v>894</v>
      </c>
    </row>
    <row r="12" spans="1:8" ht="19.8" customHeight="1" x14ac:dyDescent="0.3">
      <c r="A12" s="59" t="s">
        <v>204</v>
      </c>
      <c r="B12" s="60" t="s">
        <v>239</v>
      </c>
      <c r="C12" s="61" t="s">
        <v>890</v>
      </c>
      <c r="D12" s="60" t="s">
        <v>889</v>
      </c>
      <c r="E12" s="60" t="s">
        <v>432</v>
      </c>
      <c r="F12" s="60" t="s">
        <v>100</v>
      </c>
      <c r="G12" s="62">
        <v>9</v>
      </c>
      <c r="H12" s="63" t="s">
        <v>903</v>
      </c>
    </row>
    <row r="13" spans="1:8" ht="19.8" customHeight="1" x14ac:dyDescent="0.3">
      <c r="A13" s="113" t="s">
        <v>204</v>
      </c>
      <c r="B13" s="71" t="s">
        <v>68</v>
      </c>
      <c r="C13" s="72" t="s">
        <v>900</v>
      </c>
      <c r="D13" s="71" t="s">
        <v>889</v>
      </c>
      <c r="E13" s="71" t="s">
        <v>925</v>
      </c>
      <c r="F13" s="71" t="s">
        <v>70</v>
      </c>
      <c r="G13" s="74">
        <v>9</v>
      </c>
      <c r="H13" s="75" t="s">
        <v>904</v>
      </c>
    </row>
    <row r="14" spans="1:8" ht="19.8" customHeight="1" x14ac:dyDescent="0.3">
      <c r="A14" s="99" t="s">
        <v>205</v>
      </c>
      <c r="B14" s="77" t="s">
        <v>73</v>
      </c>
      <c r="C14" s="78" t="s">
        <v>915</v>
      </c>
      <c r="D14" s="77" t="s">
        <v>914</v>
      </c>
      <c r="E14" s="77" t="s">
        <v>552</v>
      </c>
      <c r="F14" s="77" t="s">
        <v>100</v>
      </c>
      <c r="G14" s="80">
        <v>5</v>
      </c>
      <c r="H14" s="81" t="s">
        <v>222</v>
      </c>
    </row>
    <row r="15" spans="1:8" ht="19.8" customHeight="1" x14ac:dyDescent="0.3">
      <c r="A15" s="100"/>
      <c r="B15" s="101"/>
      <c r="C15" s="101"/>
      <c r="D15" s="101"/>
      <c r="E15" s="101"/>
      <c r="F15" s="102" t="s">
        <v>924</v>
      </c>
      <c r="G15" s="101"/>
      <c r="H15" s="103"/>
    </row>
    <row r="16" spans="1:8" ht="19.8" customHeight="1" x14ac:dyDescent="0.3">
      <c r="A16" s="68">
        <v>45983</v>
      </c>
      <c r="B16" s="60" t="s">
        <v>586</v>
      </c>
      <c r="C16" s="61" t="s">
        <v>891</v>
      </c>
      <c r="D16" s="60" t="s">
        <v>889</v>
      </c>
      <c r="E16" s="69">
        <v>1.4375</v>
      </c>
      <c r="F16" s="60" t="s">
        <v>100</v>
      </c>
      <c r="G16" s="62">
        <v>9</v>
      </c>
      <c r="H16" s="63" t="s">
        <v>807</v>
      </c>
    </row>
    <row r="17" spans="1:8" ht="19.8" customHeight="1" x14ac:dyDescent="0.3">
      <c r="A17" s="68">
        <v>45983</v>
      </c>
      <c r="B17" s="60" t="s">
        <v>239</v>
      </c>
      <c r="C17" s="61" t="s">
        <v>905</v>
      </c>
      <c r="D17" s="60" t="s">
        <v>889</v>
      </c>
      <c r="E17" s="69">
        <v>1.8125</v>
      </c>
      <c r="F17" s="60" t="s">
        <v>100</v>
      </c>
      <c r="G17" s="62">
        <v>3</v>
      </c>
      <c r="H17" s="63" t="s">
        <v>903</v>
      </c>
    </row>
    <row r="18" spans="1:8" ht="19.8" customHeight="1" x14ac:dyDescent="0.3">
      <c r="A18" s="70">
        <v>45983</v>
      </c>
      <c r="B18" s="71" t="s">
        <v>68</v>
      </c>
      <c r="C18" s="72" t="s">
        <v>900</v>
      </c>
      <c r="D18" s="71" t="s">
        <v>889</v>
      </c>
      <c r="E18" s="73">
        <v>1.8715277777777779</v>
      </c>
      <c r="F18" s="71" t="s">
        <v>70</v>
      </c>
      <c r="G18" s="74">
        <v>9</v>
      </c>
      <c r="H18" s="75" t="s">
        <v>906</v>
      </c>
    </row>
  </sheetData>
  <pageMargins left="0.75" right="0.75" top="1" bottom="1" header="0.5" footer="0.5"/>
  <legacyDrawing r:id="rId1"/>
  <tableParts count="1">
    <tablePart r:id="rId2"/>
  </tablePart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N14"/>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2" bestFit="1" customWidth="1"/>
  </cols>
  <sheetData>
    <row r="1" spans="1:92" ht="28.8" customHeight="1" x14ac:dyDescent="0.3">
      <c r="A1" s="261" t="s">
        <v>0</v>
      </c>
      <c r="B1" s="254"/>
      <c r="C1" s="254"/>
      <c r="D1" s="254"/>
      <c r="E1" s="254"/>
      <c r="F1" s="1" t="s">
        <v>926</v>
      </c>
      <c r="G1" s="2" t="s">
        <v>2</v>
      </c>
      <c r="H1" s="260">
        <v>45981</v>
      </c>
      <c r="I1" s="254"/>
      <c r="J1" s="254"/>
      <c r="K1" s="254"/>
      <c r="L1" s="254"/>
      <c r="M1" s="1" t="s">
        <v>3</v>
      </c>
      <c r="N1" s="267">
        <v>45983</v>
      </c>
      <c r="O1" s="254"/>
      <c r="P1" s="254"/>
      <c r="Q1" s="254"/>
      <c r="R1" s="254"/>
      <c r="CA1" s="3"/>
      <c r="CB1" s="3"/>
      <c r="CC1" s="3"/>
      <c r="CD1" s="3"/>
      <c r="CE1" s="3"/>
      <c r="CF1" s="3"/>
      <c r="CG1" s="3"/>
      <c r="CH1" s="3"/>
      <c r="CI1" s="3"/>
      <c r="CJ1" s="3"/>
      <c r="CK1" s="3"/>
      <c r="CL1" s="3"/>
      <c r="CM1" s="3"/>
      <c r="CN1" s="3"/>
    </row>
    <row r="2" spans="1:92" ht="23.4" customHeight="1" x14ac:dyDescent="0.3">
      <c r="A2" s="253" t="s">
        <v>4</v>
      </c>
      <c r="B2" s="254"/>
      <c r="C2" s="254"/>
      <c r="D2" s="254"/>
      <c r="E2" s="254"/>
      <c r="F2" s="254"/>
      <c r="G2" s="262">
        <v>45980.430518750152</v>
      </c>
      <c r="H2" s="254"/>
      <c r="I2" s="254"/>
      <c r="J2" s="254"/>
      <c r="K2" s="263">
        <v>45980.430518750472</v>
      </c>
      <c r="L2" s="254"/>
      <c r="M2" s="254"/>
      <c r="N2" s="254"/>
      <c r="O2" s="254"/>
      <c r="P2" s="254"/>
      <c r="Q2" s="254"/>
      <c r="R2" s="254"/>
      <c r="CA2" s="3"/>
      <c r="CB2" s="3"/>
      <c r="CC2" s="3"/>
      <c r="CD2" s="3"/>
      <c r="CE2" s="3"/>
      <c r="CF2" s="3"/>
      <c r="CG2" s="3"/>
      <c r="CH2" s="3"/>
      <c r="CI2" s="3"/>
      <c r="CJ2" s="3"/>
      <c r="CK2" s="3"/>
      <c r="CL2" s="3"/>
      <c r="CM2" s="3"/>
      <c r="CN2" s="3"/>
    </row>
    <row r="3" spans="1:92" ht="24" customHeight="1" x14ac:dyDescent="0.3">
      <c r="A3" s="255" t="s">
        <v>5</v>
      </c>
      <c r="B3" s="254"/>
      <c r="C3" s="254"/>
      <c r="D3" s="254"/>
      <c r="E3" s="254"/>
      <c r="F3" s="254"/>
      <c r="G3" s="254"/>
      <c r="H3" s="254"/>
      <c r="I3" s="254"/>
      <c r="J3" s="254"/>
      <c r="K3" s="254"/>
      <c r="L3" s="254"/>
      <c r="M3" s="254"/>
      <c r="N3" s="254"/>
      <c r="O3" s="254"/>
      <c r="P3" s="254"/>
      <c r="Q3" s="254"/>
      <c r="R3" s="254"/>
      <c r="CA3" s="3"/>
      <c r="CB3" s="3"/>
      <c r="CC3" s="3"/>
      <c r="CD3" s="3"/>
      <c r="CE3" s="3"/>
      <c r="CF3" s="3"/>
      <c r="CG3" s="3"/>
      <c r="CH3" s="3"/>
      <c r="CI3" s="3"/>
      <c r="CJ3" s="3"/>
      <c r="CK3" s="3"/>
      <c r="CL3" s="3"/>
      <c r="CM3" s="3"/>
      <c r="CN3" s="3"/>
    </row>
    <row r="4" spans="1:92" ht="22.05" customHeight="1" x14ac:dyDescent="0.3">
      <c r="A4" s="264" t="s">
        <v>6</v>
      </c>
      <c r="B4" s="251"/>
      <c r="C4" s="251"/>
      <c r="D4" s="251"/>
      <c r="E4" s="251"/>
      <c r="F4" s="252"/>
      <c r="G4" s="4">
        <v>45981</v>
      </c>
      <c r="H4" s="266" t="s">
        <v>7</v>
      </c>
      <c r="I4" s="251"/>
      <c r="J4" s="251"/>
      <c r="K4" s="251"/>
      <c r="L4" s="251"/>
      <c r="M4" s="251"/>
      <c r="N4" s="251"/>
      <c r="O4" s="251"/>
      <c r="P4" s="251"/>
      <c r="Q4" s="251"/>
      <c r="R4" s="25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239</v>
      </c>
      <c r="B6" s="8" t="s">
        <v>927</v>
      </c>
      <c r="C6" s="9">
        <v>0.33680555555555558</v>
      </c>
      <c r="D6" s="8" t="s">
        <v>100</v>
      </c>
      <c r="E6" s="8" t="s">
        <v>55</v>
      </c>
      <c r="F6" s="8" t="s">
        <v>928</v>
      </c>
      <c r="G6" s="256"/>
      <c r="H6" s="10"/>
      <c r="I6" s="11"/>
      <c r="J6" s="11"/>
      <c r="K6" s="11"/>
      <c r="L6" s="11"/>
      <c r="M6" s="11"/>
      <c r="N6" s="11"/>
      <c r="O6" s="12"/>
      <c r="P6" s="11"/>
      <c r="Q6" s="13"/>
      <c r="R6" s="14"/>
    </row>
    <row r="7" spans="1:92" ht="49.95" customHeight="1" x14ac:dyDescent="0.3">
      <c r="A7" s="17" t="s">
        <v>266</v>
      </c>
      <c r="B7" s="17" t="s">
        <v>929</v>
      </c>
      <c r="C7" s="18">
        <v>0.98263888888888884</v>
      </c>
      <c r="D7" s="17" t="s">
        <v>268</v>
      </c>
      <c r="E7" s="17" t="s">
        <v>39</v>
      </c>
      <c r="F7" s="17" t="s">
        <v>930</v>
      </c>
      <c r="G7" s="257"/>
      <c r="H7" s="10"/>
      <c r="I7" s="11"/>
      <c r="J7" s="11"/>
      <c r="K7" s="11"/>
      <c r="L7" s="11"/>
      <c r="M7" s="11"/>
      <c r="N7" s="11"/>
      <c r="O7" s="12"/>
      <c r="P7" s="11"/>
      <c r="Q7" s="13"/>
      <c r="R7" s="14"/>
    </row>
    <row r="8" spans="1:92" ht="49.95" customHeight="1" x14ac:dyDescent="0.3">
      <c r="A8" s="15" t="s">
        <v>266</v>
      </c>
      <c r="B8" s="15" t="s">
        <v>929</v>
      </c>
      <c r="C8" s="16">
        <v>0.98263888888888884</v>
      </c>
      <c r="D8" s="15" t="s">
        <v>34</v>
      </c>
      <c r="E8" s="15" t="s">
        <v>42</v>
      </c>
      <c r="F8" s="15" t="s">
        <v>931</v>
      </c>
      <c r="G8" s="257"/>
      <c r="H8" s="10"/>
      <c r="I8" s="11"/>
      <c r="J8" s="11"/>
      <c r="K8" s="11"/>
      <c r="L8" s="11"/>
      <c r="M8" s="11"/>
      <c r="N8" s="11"/>
      <c r="O8" s="12"/>
      <c r="P8" s="11"/>
      <c r="Q8" s="13"/>
      <c r="R8" s="14"/>
    </row>
    <row r="9" spans="1:92" ht="49.95" customHeight="1" thickBot="1" x14ac:dyDescent="0.35">
      <c r="A9" s="21" t="s">
        <v>73</v>
      </c>
      <c r="B9" s="21" t="s">
        <v>932</v>
      </c>
      <c r="C9" s="22">
        <v>0.8125</v>
      </c>
      <c r="D9" s="21" t="s">
        <v>100</v>
      </c>
      <c r="E9" s="21" t="s">
        <v>71</v>
      </c>
      <c r="F9" s="21" t="s">
        <v>933</v>
      </c>
      <c r="G9" s="258"/>
      <c r="H9" s="24" t="s">
        <v>934</v>
      </c>
      <c r="I9" s="246">
        <v>0.71509999999999996</v>
      </c>
      <c r="J9" s="26">
        <v>128</v>
      </c>
      <c r="K9" s="27" t="s">
        <v>103</v>
      </c>
      <c r="L9" s="26">
        <v>32</v>
      </c>
      <c r="M9" s="26">
        <v>0</v>
      </c>
      <c r="N9" s="26">
        <v>7</v>
      </c>
      <c r="O9" s="28" t="s">
        <v>181</v>
      </c>
      <c r="P9" s="29">
        <v>0.8125</v>
      </c>
      <c r="Q9" s="26">
        <v>179</v>
      </c>
      <c r="R9" s="30" t="s">
        <v>935</v>
      </c>
    </row>
    <row r="10" spans="1:92" ht="17.399999999999999" customHeight="1" thickBot="1" x14ac:dyDescent="0.35">
      <c r="A10" s="285"/>
      <c r="B10" s="286"/>
      <c r="C10" s="286"/>
      <c r="D10" s="286"/>
      <c r="E10" s="286"/>
      <c r="F10" s="286"/>
      <c r="G10" s="286"/>
      <c r="H10" s="286"/>
      <c r="I10" s="286"/>
      <c r="J10" s="286"/>
      <c r="K10" s="286"/>
      <c r="L10" s="286"/>
      <c r="M10" s="286"/>
      <c r="N10" s="286"/>
      <c r="O10" s="286"/>
      <c r="P10" s="286"/>
      <c r="Q10" s="286"/>
      <c r="R10" s="287"/>
    </row>
    <row r="11" spans="1:92" ht="22.05" customHeight="1" thickTop="1" thickBot="1" x14ac:dyDescent="0.35">
      <c r="A11" s="259" t="s">
        <v>6</v>
      </c>
      <c r="B11" s="251"/>
      <c r="C11" s="251"/>
      <c r="D11" s="251"/>
      <c r="E11" s="251"/>
      <c r="F11" s="252"/>
      <c r="G11" s="31">
        <v>45983</v>
      </c>
      <c r="H11" s="250" t="s">
        <v>7</v>
      </c>
      <c r="I11" s="251"/>
      <c r="J11" s="251"/>
      <c r="K11" s="251"/>
      <c r="L11" s="251"/>
      <c r="M11" s="251"/>
      <c r="N11" s="251"/>
      <c r="O11" s="251"/>
      <c r="P11" s="251"/>
      <c r="Q11" s="251"/>
      <c r="R11" s="252"/>
    </row>
    <row r="12" spans="1:92" ht="24" customHeight="1" x14ac:dyDescent="0.3">
      <c r="A12" s="32" t="s">
        <v>8</v>
      </c>
      <c r="B12" s="32" t="s">
        <v>9</v>
      </c>
      <c r="C12" s="33" t="s">
        <v>10</v>
      </c>
      <c r="D12" s="32" t="s">
        <v>11</v>
      </c>
      <c r="E12" s="32" t="s">
        <v>12</v>
      </c>
      <c r="F12" s="34" t="s">
        <v>13</v>
      </c>
      <c r="G12" s="35" t="s">
        <v>14</v>
      </c>
      <c r="H12" s="32" t="s">
        <v>15</v>
      </c>
      <c r="I12" s="36" t="s">
        <v>16</v>
      </c>
      <c r="J12" s="37" t="s">
        <v>17</v>
      </c>
      <c r="K12" s="38" t="s">
        <v>18</v>
      </c>
      <c r="L12" s="37" t="s">
        <v>19</v>
      </c>
      <c r="M12" s="37" t="s">
        <v>20</v>
      </c>
      <c r="N12" s="37" t="s">
        <v>21</v>
      </c>
      <c r="O12" s="32" t="s">
        <v>22</v>
      </c>
      <c r="P12" s="33" t="s">
        <v>23</v>
      </c>
      <c r="Q12" s="37" t="s">
        <v>24</v>
      </c>
      <c r="R12" s="32" t="s">
        <v>25</v>
      </c>
    </row>
    <row r="13" spans="1:92" ht="49.95" customHeight="1" x14ac:dyDescent="0.3">
      <c r="A13" s="8" t="s">
        <v>239</v>
      </c>
      <c r="B13" s="8" t="s">
        <v>927</v>
      </c>
      <c r="C13" s="9">
        <v>0.33680555555555558</v>
      </c>
      <c r="D13" s="8" t="s">
        <v>100</v>
      </c>
      <c r="E13" s="8" t="s">
        <v>298</v>
      </c>
      <c r="F13" s="8" t="s">
        <v>936</v>
      </c>
      <c r="G13" s="256"/>
      <c r="H13" s="10"/>
      <c r="I13" s="11"/>
      <c r="J13" s="11"/>
      <c r="K13" s="11"/>
      <c r="L13" s="11"/>
      <c r="M13" s="11"/>
      <c r="N13" s="11"/>
      <c r="O13" s="12"/>
      <c r="P13" s="11"/>
      <c r="Q13" s="13"/>
      <c r="R13" s="14"/>
    </row>
    <row r="14" spans="1:92" ht="49.95" customHeight="1" x14ac:dyDescent="0.3">
      <c r="A14" s="247" t="s">
        <v>73</v>
      </c>
      <c r="B14" s="247" t="s">
        <v>932</v>
      </c>
      <c r="C14" s="248">
        <v>0.8125</v>
      </c>
      <c r="D14" s="247" t="s">
        <v>100</v>
      </c>
      <c r="E14" s="247" t="s">
        <v>55</v>
      </c>
      <c r="F14" s="247" t="s">
        <v>937</v>
      </c>
      <c r="G14" s="258"/>
      <c r="H14" s="216" t="s">
        <v>934</v>
      </c>
      <c r="I14" s="217">
        <v>0.77090000000000003</v>
      </c>
      <c r="J14" s="218">
        <v>138</v>
      </c>
      <c r="K14" s="219" t="s">
        <v>253</v>
      </c>
      <c r="L14" s="218">
        <v>66</v>
      </c>
      <c r="M14" s="218">
        <v>2</v>
      </c>
      <c r="N14" s="218">
        <v>6</v>
      </c>
      <c r="O14" s="220" t="s">
        <v>490</v>
      </c>
      <c r="P14" s="221">
        <v>0.8125</v>
      </c>
      <c r="Q14" s="218">
        <v>179</v>
      </c>
      <c r="R14" s="222" t="s">
        <v>938</v>
      </c>
    </row>
  </sheetData>
  <mergeCells count="14">
    <mergeCell ref="G13:G14"/>
    <mergeCell ref="H1:L1"/>
    <mergeCell ref="A1:E1"/>
    <mergeCell ref="G2:J2"/>
    <mergeCell ref="K2:R2"/>
    <mergeCell ref="A4:F4"/>
    <mergeCell ref="G6:G9"/>
    <mergeCell ref="H4:R4"/>
    <mergeCell ref="N1:R1"/>
    <mergeCell ref="A2:F2"/>
    <mergeCell ref="A11:F11"/>
    <mergeCell ref="A3:R3"/>
    <mergeCell ref="H11:R11"/>
    <mergeCell ref="A10:R10"/>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J4"/>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7.44140625" style="272" bestFit="1" customWidth="1"/>
    <col min="6" max="6" width="4.21875" style="272" bestFit="1" customWidth="1"/>
    <col min="7" max="7" width="10" style="272" bestFit="1" customWidth="1"/>
    <col min="8" max="10" width="7" style="272" bestFit="1" customWidth="1"/>
    <col min="11" max="11" width="10.5546875" style="272" bestFit="1" customWidth="1"/>
    <col min="12" max="12" width="18.664062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6" width="3.88671875" style="272" bestFit="1" customWidth="1"/>
    <col min="27" max="27" width="5" style="272" bestFit="1" customWidth="1"/>
    <col min="28" max="28" width="3.88671875" style="272" bestFit="1" customWidth="1"/>
    <col min="29" max="29" width="4.21875" style="272" bestFit="1" customWidth="1"/>
    <col min="30" max="31" width="4.5546875" style="272" bestFit="1" customWidth="1"/>
    <col min="32" max="36" width="3.88671875" style="272" bestFit="1" customWidth="1"/>
    <col min="37" max="16384" width="8.88671875" style="272"/>
  </cols>
  <sheetData>
    <row r="1" spans="1:36" x14ac:dyDescent="0.3">
      <c r="A1" s="271" t="s">
        <v>106</v>
      </c>
      <c r="B1" s="271" t="s">
        <v>107</v>
      </c>
      <c r="C1" s="271" t="s">
        <v>108</v>
      </c>
      <c r="D1" s="271" t="s">
        <v>23</v>
      </c>
      <c r="E1" s="271" t="s">
        <v>109</v>
      </c>
      <c r="F1" s="271" t="s">
        <v>110</v>
      </c>
      <c r="G1" s="271" t="s">
        <v>16</v>
      </c>
      <c r="H1" s="271" t="s">
        <v>111</v>
      </c>
      <c r="I1" s="271" t="s">
        <v>112</v>
      </c>
      <c r="J1" s="271" t="s">
        <v>113</v>
      </c>
      <c r="K1" s="271" t="s">
        <v>114</v>
      </c>
      <c r="L1" s="271" t="s">
        <v>18</v>
      </c>
      <c r="M1" s="271" t="s">
        <v>20</v>
      </c>
      <c r="N1" s="271" t="s">
        <v>21</v>
      </c>
      <c r="O1" s="271" t="s">
        <v>19</v>
      </c>
      <c r="P1" s="271" t="s">
        <v>22</v>
      </c>
      <c r="Q1" s="271" t="s">
        <v>115</v>
      </c>
      <c r="R1" s="271" t="s">
        <v>116</v>
      </c>
      <c r="S1" s="271" t="s">
        <v>117</v>
      </c>
      <c r="T1" s="271" t="s">
        <v>118</v>
      </c>
      <c r="U1" s="271" t="s">
        <v>119</v>
      </c>
      <c r="V1" s="271" t="s">
        <v>120</v>
      </c>
      <c r="W1" s="271" t="s">
        <v>121</v>
      </c>
      <c r="X1" s="271" t="s">
        <v>122</v>
      </c>
      <c r="Y1" s="271" t="s">
        <v>123</v>
      </c>
      <c r="Z1" s="271" t="s">
        <v>124</v>
      </c>
      <c r="AA1" s="271" t="s">
        <v>125</v>
      </c>
      <c r="AB1" s="271" t="s">
        <v>126</v>
      </c>
      <c r="AC1" s="271" t="s">
        <v>127</v>
      </c>
      <c r="AD1" s="271" t="s">
        <v>128</v>
      </c>
      <c r="AE1" s="271" t="s">
        <v>129</v>
      </c>
      <c r="AF1" s="271" t="s">
        <v>130</v>
      </c>
      <c r="AG1" s="271" t="s">
        <v>131</v>
      </c>
      <c r="AH1" s="271" t="s">
        <v>132</v>
      </c>
      <c r="AI1" s="271" t="s">
        <v>133</v>
      </c>
      <c r="AJ1" s="271" t="s">
        <v>134</v>
      </c>
    </row>
    <row r="2" spans="1:36" x14ac:dyDescent="0.3">
      <c r="A2" s="273" t="s">
        <v>135</v>
      </c>
      <c r="B2" s="274">
        <v>45981</v>
      </c>
      <c r="C2" s="275" t="s">
        <v>934</v>
      </c>
      <c r="D2" s="276" t="s">
        <v>919</v>
      </c>
      <c r="E2" s="275" t="s">
        <v>926</v>
      </c>
      <c r="F2" s="275" t="s">
        <v>137</v>
      </c>
      <c r="G2" s="277">
        <v>0.71509999999999996</v>
      </c>
      <c r="H2" s="278">
        <v>179</v>
      </c>
      <c r="I2" s="278">
        <v>128</v>
      </c>
      <c r="J2" s="278">
        <v>0</v>
      </c>
      <c r="K2" s="275" t="s">
        <v>138</v>
      </c>
      <c r="L2" s="279" t="s">
        <v>103</v>
      </c>
      <c r="M2" s="278">
        <v>0</v>
      </c>
      <c r="N2" s="278">
        <v>7</v>
      </c>
      <c r="O2" s="278">
        <v>32</v>
      </c>
      <c r="P2" s="275" t="s">
        <v>181</v>
      </c>
      <c r="Q2" s="271"/>
      <c r="R2" s="271"/>
      <c r="S2" s="271"/>
      <c r="T2" s="271"/>
      <c r="U2" s="271"/>
      <c r="V2" s="271"/>
      <c r="W2" s="271"/>
      <c r="X2" s="271"/>
      <c r="Y2" s="271"/>
      <c r="Z2" s="278" t="s">
        <v>360</v>
      </c>
      <c r="AA2" s="278" t="s">
        <v>198</v>
      </c>
      <c r="AB2" s="278" t="s">
        <v>333</v>
      </c>
      <c r="AC2" s="278" t="s">
        <v>939</v>
      </c>
      <c r="AD2" s="278" t="s">
        <v>940</v>
      </c>
      <c r="AE2" s="278" t="s">
        <v>941</v>
      </c>
      <c r="AF2" s="278" t="s">
        <v>812</v>
      </c>
      <c r="AG2" s="271"/>
      <c r="AH2" s="271"/>
      <c r="AI2" s="271"/>
      <c r="AJ2" s="271"/>
    </row>
    <row r="3" spans="1:36" x14ac:dyDescent="0.3">
      <c r="A3" s="273" t="s">
        <v>146</v>
      </c>
      <c r="B3" s="274">
        <v>45983</v>
      </c>
      <c r="C3" s="275" t="s">
        <v>934</v>
      </c>
      <c r="D3" s="276" t="s">
        <v>919</v>
      </c>
      <c r="E3" s="275" t="s">
        <v>926</v>
      </c>
      <c r="F3" s="275" t="s">
        <v>137</v>
      </c>
      <c r="G3" s="277">
        <v>0.77090000000000003</v>
      </c>
      <c r="H3" s="278">
        <v>179</v>
      </c>
      <c r="I3" s="278">
        <v>138</v>
      </c>
      <c r="J3" s="278">
        <v>0</v>
      </c>
      <c r="K3" s="275" t="s">
        <v>138</v>
      </c>
      <c r="L3" s="279" t="s">
        <v>253</v>
      </c>
      <c r="M3" s="278">
        <v>2</v>
      </c>
      <c r="N3" s="278">
        <v>6</v>
      </c>
      <c r="O3" s="278">
        <v>66</v>
      </c>
      <c r="P3" s="275" t="s">
        <v>490</v>
      </c>
      <c r="Q3" s="271"/>
      <c r="R3" s="271"/>
      <c r="S3" s="271"/>
      <c r="T3" s="271"/>
      <c r="U3" s="271"/>
      <c r="V3" s="271"/>
      <c r="W3" s="271"/>
      <c r="X3" s="271"/>
      <c r="Y3" s="271"/>
      <c r="Z3" s="271"/>
      <c r="AA3" s="278" t="s">
        <v>366</v>
      </c>
      <c r="AB3" s="278" t="s">
        <v>847</v>
      </c>
      <c r="AC3" s="278" t="s">
        <v>942</v>
      </c>
      <c r="AD3" s="278" t="s">
        <v>141</v>
      </c>
      <c r="AE3" s="278" t="s">
        <v>142</v>
      </c>
      <c r="AF3" s="278" t="s">
        <v>382</v>
      </c>
      <c r="AG3" s="271"/>
      <c r="AH3" s="271"/>
      <c r="AI3" s="271"/>
      <c r="AJ3" s="271"/>
    </row>
    <row r="4" spans="1:36" ht="21" x14ac:dyDescent="0.3">
      <c r="A4" s="280" t="s">
        <v>943</v>
      </c>
      <c r="B4" s="281"/>
      <c r="C4" s="280">
        <f>SUBTOTAL(103,CAI_GIZ_LF_LEGACY[Flt])</f>
        <v>2</v>
      </c>
      <c r="D4" s="280"/>
      <c r="E4" s="280">
        <f>SUBTOTAL(103,CAI_GIZ_LF_LEGACY[Brd-Off])</f>
        <v>2</v>
      </c>
      <c r="F4" s="280"/>
      <c r="G4" s="282">
        <f>SUBTOTAL(101,CAI_GIZ_LF_LEGACY[LF%])</f>
        <v>0.74299999999999999</v>
      </c>
      <c r="H4" s="283">
        <f>SUBTOTAL(109,CAI_GIZ_LF_LEGACY[CAP])</f>
        <v>358</v>
      </c>
      <c r="I4" s="283">
        <f>SUBTOTAL(109,CAI_GIZ_LF_LEGACY[BKG(Y)])</f>
        <v>266</v>
      </c>
      <c r="J4" s="283">
        <f>SUBTOTAL(109,CAI_GIZ_LF_LEGACY[GRP(Y)])</f>
        <v>0</v>
      </c>
      <c r="K4" s="280"/>
      <c r="L4" s="281"/>
      <c r="M4" s="283">
        <f>SUBTOTAL(109,CAI_GIZ_LF_LEGACY[TO-DAY])</f>
        <v>2</v>
      </c>
      <c r="N4" s="283">
        <f>SUBTOTAL(109,CAI_GIZ_LF_LEGACY[Y-DAY])</f>
        <v>13</v>
      </c>
      <c r="O4" s="283">
        <f>SUBTOTAL(109,CAI_GIZ_LF_LEGACY[WEEKLY])</f>
        <v>98</v>
      </c>
      <c r="P4" s="284"/>
      <c r="Q4" s="283">
        <f>SUBTOTAL(109,CAI_GIZ_LF_LEGACY[Y])</f>
        <v>0</v>
      </c>
      <c r="R4" s="283">
        <f>SUBTOTAL(109,CAI_GIZ_LF_LEGACY[B])</f>
        <v>0</v>
      </c>
      <c r="S4" s="283">
        <f>SUBTOTAL(109,CAI_GIZ_LF_LEGACY[M])</f>
        <v>0</v>
      </c>
      <c r="T4" s="283">
        <f>SUBTOTAL(109,CAI_GIZ_LF_LEGACY[H])</f>
        <v>0</v>
      </c>
      <c r="U4" s="283">
        <f>SUBTOTAL(109,CAI_GIZ_LF_LEGACY[Q])</f>
        <v>0</v>
      </c>
      <c r="V4" s="283">
        <f>SUBTOTAL(109,CAI_GIZ_LF_LEGACY[K])</f>
        <v>0</v>
      </c>
      <c r="W4" s="283">
        <f>SUBTOTAL(109,CAI_GIZ_LF_LEGACY[V])</f>
        <v>0</v>
      </c>
      <c r="X4" s="283">
        <f>SUBTOTAL(109,CAI_GIZ_LF_LEGACY[L])</f>
        <v>0</v>
      </c>
      <c r="Y4" s="283">
        <f>SUBTOTAL(109,CAI_GIZ_LF_LEGACY[G])</f>
        <v>0</v>
      </c>
      <c r="Z4" s="283">
        <f>SUBTOTAL(109,CAI_GIZ_LF_LEGACY[S])</f>
        <v>0</v>
      </c>
      <c r="AA4" s="283">
        <f>SUBTOTAL(109,CAI_GIZ_LF_LEGACY[W])</f>
        <v>0</v>
      </c>
      <c r="AB4" s="283">
        <f>SUBTOTAL(109,CAI_GIZ_LF_LEGACY[T])</f>
        <v>0</v>
      </c>
      <c r="AC4" s="283">
        <f>SUBTOTAL(109,CAI_GIZ_LF_LEGACY[X])</f>
        <v>0</v>
      </c>
      <c r="AD4" s="283">
        <f>SUBTOTAL(109,CAI_GIZ_LF_LEGACY[U])</f>
        <v>0</v>
      </c>
      <c r="AE4" s="283">
        <f>SUBTOTAL(109,CAI_GIZ_LF_LEGACY[O])</f>
        <v>0</v>
      </c>
      <c r="AF4" s="283">
        <f>SUBTOTAL(109,CAI_GIZ_LF_LEGACY[I])</f>
        <v>0</v>
      </c>
      <c r="AG4" s="283">
        <f>SUBTOTAL(109,CAI_GIZ_LF_LEGACY[E])</f>
        <v>0</v>
      </c>
      <c r="AH4" s="283">
        <f>SUBTOTAL(109,CAI_GIZ_LF_LEGACY[A])</f>
        <v>0</v>
      </c>
      <c r="AI4" s="283">
        <f>SUBTOTAL(109,CAI_GIZ_LF_LEGACY[P])</f>
        <v>0</v>
      </c>
      <c r="AJ4" s="283">
        <f>SUBTOTAL(103,CAI_GIZ_LF_LEGACY[N])</f>
        <v>0</v>
      </c>
    </row>
  </sheetData>
  <pageMargins left="0.75" right="0.75" top="1" bottom="1" header="0.5" footer="0.5"/>
  <tableParts count="1">
    <tablePart r:id="rId1"/>
  </tableParts>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I7"/>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7.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239</v>
      </c>
      <c r="C2" s="61" t="s">
        <v>927</v>
      </c>
      <c r="D2" s="60" t="s">
        <v>926</v>
      </c>
      <c r="E2" s="60" t="s">
        <v>193</v>
      </c>
      <c r="F2" s="60" t="s">
        <v>100</v>
      </c>
      <c r="G2" s="62">
        <v>9</v>
      </c>
      <c r="H2" s="63" t="s">
        <v>928</v>
      </c>
    </row>
    <row r="3" spans="1:8" ht="19.8" customHeight="1" x14ac:dyDescent="0.3">
      <c r="A3" s="59" t="s">
        <v>152</v>
      </c>
      <c r="B3" s="60" t="s">
        <v>266</v>
      </c>
      <c r="C3" s="61" t="s">
        <v>929</v>
      </c>
      <c r="D3" s="60" t="s">
        <v>926</v>
      </c>
      <c r="E3" s="60" t="s">
        <v>797</v>
      </c>
      <c r="F3" s="60" t="s">
        <v>268</v>
      </c>
      <c r="G3" s="62">
        <v>9</v>
      </c>
      <c r="H3" s="63" t="s">
        <v>930</v>
      </c>
    </row>
    <row r="4" spans="1:8" ht="19.8" customHeight="1" x14ac:dyDescent="0.3">
      <c r="A4" s="99" t="s">
        <v>152</v>
      </c>
      <c r="B4" s="77" t="s">
        <v>73</v>
      </c>
      <c r="C4" s="78" t="s">
        <v>932</v>
      </c>
      <c r="D4" s="77" t="s">
        <v>926</v>
      </c>
      <c r="E4" s="77" t="s">
        <v>919</v>
      </c>
      <c r="F4" s="77" t="s">
        <v>100</v>
      </c>
      <c r="G4" s="80">
        <v>2</v>
      </c>
      <c r="H4" s="81" t="s">
        <v>933</v>
      </c>
    </row>
    <row r="5" spans="1:8" ht="19.8" customHeight="1" x14ac:dyDescent="0.3">
      <c r="A5" s="70">
        <v>45981</v>
      </c>
      <c r="B5" s="71" t="s">
        <v>266</v>
      </c>
      <c r="C5" s="72" t="s">
        <v>929</v>
      </c>
      <c r="D5" s="71" t="s">
        <v>926</v>
      </c>
      <c r="E5" s="73">
        <v>1.9826388888888891</v>
      </c>
      <c r="F5" s="71" t="s">
        <v>34</v>
      </c>
      <c r="G5" s="74">
        <v>9</v>
      </c>
      <c r="H5" s="75" t="s">
        <v>931</v>
      </c>
    </row>
    <row r="6" spans="1:8" ht="19.8" customHeight="1" x14ac:dyDescent="0.3">
      <c r="A6" s="68">
        <v>45983</v>
      </c>
      <c r="B6" s="60" t="s">
        <v>239</v>
      </c>
      <c r="C6" s="61" t="s">
        <v>927</v>
      </c>
      <c r="D6" s="60" t="s">
        <v>926</v>
      </c>
      <c r="E6" s="69">
        <v>1.336805555555556</v>
      </c>
      <c r="F6" s="60" t="s">
        <v>100</v>
      </c>
      <c r="G6" s="62">
        <v>4</v>
      </c>
      <c r="H6" s="63" t="s">
        <v>936</v>
      </c>
    </row>
    <row r="7" spans="1:8" ht="19.8" customHeight="1" x14ac:dyDescent="0.3">
      <c r="A7" s="82">
        <v>45983</v>
      </c>
      <c r="B7" s="65" t="s">
        <v>73</v>
      </c>
      <c r="C7" s="66" t="s">
        <v>932</v>
      </c>
      <c r="D7" s="65" t="s">
        <v>926</v>
      </c>
      <c r="E7" s="83">
        <v>1.8125</v>
      </c>
      <c r="F7" s="65" t="s">
        <v>100</v>
      </c>
      <c r="G7" s="84">
        <v>9</v>
      </c>
      <c r="H7" s="67" t="s">
        <v>937</v>
      </c>
    </row>
  </sheetData>
  <pageMargins left="0.75" right="0.75" top="1" bottom="1" header="0.5" footer="0.5"/>
  <legacyDrawing r:id="rId1"/>
  <tableParts count="1">
    <tablePart r:id="rId2"/>
  </tableParts>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I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77.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64" t="s">
        <v>152</v>
      </c>
      <c r="B2" s="65" t="s">
        <v>73</v>
      </c>
      <c r="C2" s="66" t="s">
        <v>932</v>
      </c>
      <c r="D2" s="65" t="s">
        <v>926</v>
      </c>
      <c r="E2" s="65" t="s">
        <v>919</v>
      </c>
      <c r="F2" s="65" t="s">
        <v>100</v>
      </c>
      <c r="G2" s="84">
        <v>2</v>
      </c>
      <c r="H2" s="67" t="s">
        <v>933</v>
      </c>
    </row>
    <row r="3" spans="1:8" ht="19.8" customHeight="1" x14ac:dyDescent="0.3">
      <c r="A3" s="82">
        <v>45983</v>
      </c>
      <c r="B3" s="65" t="s">
        <v>73</v>
      </c>
      <c r="C3" s="66" t="s">
        <v>932</v>
      </c>
      <c r="D3" s="65" t="s">
        <v>926</v>
      </c>
      <c r="E3" s="83">
        <v>1.8125</v>
      </c>
      <c r="F3" s="65" t="s">
        <v>100</v>
      </c>
      <c r="G3" s="84">
        <v>9</v>
      </c>
      <c r="H3" s="67" t="s">
        <v>937</v>
      </c>
    </row>
  </sheetData>
  <pageMargins left="0.75" right="0.75" top="1" bottom="1" header="0.5" footer="0.5"/>
  <legacyDrawing r:id="rId1"/>
  <tableParts count="1">
    <tablePart r:id="rId2"/>
  </tablePart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J54"/>
  <sheetViews>
    <sheetView workbookViewId="0"/>
  </sheetViews>
  <sheetFormatPr defaultRowHeight="14.4" x14ac:dyDescent="0.3"/>
  <cols>
    <col min="1" max="1" width="9.88671875" bestFit="1" customWidth="1"/>
    <col min="2" max="2" width="17" bestFit="1" customWidth="1"/>
    <col min="3" max="3" width="6.5546875" bestFit="1" customWidth="1"/>
    <col min="4" max="4" width="5.5546875" bestFit="1" customWidth="1"/>
    <col min="5" max="5" width="9.21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18.6640625"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33" width="3" bestFit="1" customWidth="1"/>
    <col min="34" max="34" width="2.21875" bestFit="1" customWidth="1"/>
    <col min="35" max="35" width="4" bestFit="1" customWidth="1"/>
    <col min="36" max="36" width="2.33203125" bestFit="1" customWidth="1"/>
  </cols>
  <sheetData>
    <row r="1" spans="1:36" x14ac:dyDescent="0.3">
      <c r="A1" s="55" t="s">
        <v>106</v>
      </c>
      <c r="B1" s="55" t="s">
        <v>107</v>
      </c>
      <c r="C1" s="55" t="s">
        <v>108</v>
      </c>
      <c r="D1" s="55" t="s">
        <v>23</v>
      </c>
      <c r="E1" s="55" t="s">
        <v>109</v>
      </c>
      <c r="F1" s="55" t="s">
        <v>110</v>
      </c>
      <c r="G1" s="55" t="s">
        <v>16</v>
      </c>
      <c r="H1" s="55" t="s">
        <v>111</v>
      </c>
      <c r="I1" s="55" t="s">
        <v>112</v>
      </c>
      <c r="J1" s="55" t="s">
        <v>113</v>
      </c>
      <c r="K1" s="55" t="s">
        <v>114</v>
      </c>
      <c r="L1" s="55" t="s">
        <v>18</v>
      </c>
      <c r="M1" s="55" t="s">
        <v>20</v>
      </c>
      <c r="N1" s="55" t="s">
        <v>21</v>
      </c>
      <c r="O1" s="55" t="s">
        <v>19</v>
      </c>
      <c r="P1" s="55" t="s">
        <v>22</v>
      </c>
      <c r="Q1" s="55" t="s">
        <v>115</v>
      </c>
      <c r="R1" s="55" t="s">
        <v>116</v>
      </c>
      <c r="S1" s="55" t="s">
        <v>117</v>
      </c>
      <c r="T1" s="55" t="s">
        <v>118</v>
      </c>
      <c r="U1" s="55" t="s">
        <v>119</v>
      </c>
      <c r="V1" s="55" t="s">
        <v>120</v>
      </c>
      <c r="W1" s="55" t="s">
        <v>121</v>
      </c>
      <c r="X1" s="55" t="s">
        <v>122</v>
      </c>
      <c r="Y1" s="55" t="s">
        <v>123</v>
      </c>
      <c r="Z1" s="55" t="s">
        <v>124</v>
      </c>
      <c r="AA1" s="55" t="s">
        <v>125</v>
      </c>
      <c r="AB1" s="55" t="s">
        <v>126</v>
      </c>
      <c r="AC1" s="55" t="s">
        <v>127</v>
      </c>
      <c r="AD1" s="55" t="s">
        <v>128</v>
      </c>
      <c r="AE1" s="55" t="s">
        <v>129</v>
      </c>
      <c r="AF1" s="55" t="s">
        <v>130</v>
      </c>
      <c r="AG1" s="55" t="s">
        <v>131</v>
      </c>
      <c r="AH1" s="55" t="s">
        <v>132</v>
      </c>
      <c r="AI1" s="55" t="s">
        <v>133</v>
      </c>
      <c r="AJ1" s="55" t="s">
        <v>134</v>
      </c>
    </row>
    <row r="2" spans="1:36" x14ac:dyDescent="0.3">
      <c r="A2" t="s">
        <v>135</v>
      </c>
      <c r="B2" s="249">
        <v>45981</v>
      </c>
      <c r="C2" t="s">
        <v>509</v>
      </c>
      <c r="D2" t="s">
        <v>520</v>
      </c>
      <c r="E2" t="s">
        <v>502</v>
      </c>
      <c r="F2" t="s">
        <v>137</v>
      </c>
      <c r="G2">
        <v>0.92779999999999996</v>
      </c>
      <c r="H2">
        <v>180</v>
      </c>
      <c r="I2">
        <v>167</v>
      </c>
      <c r="J2">
        <v>133</v>
      </c>
      <c r="K2" t="s">
        <v>138</v>
      </c>
      <c r="L2" t="s">
        <v>103</v>
      </c>
      <c r="M2">
        <v>0</v>
      </c>
      <c r="N2">
        <v>5</v>
      </c>
      <c r="O2">
        <v>22</v>
      </c>
      <c r="P2" t="s">
        <v>254</v>
      </c>
      <c r="Q2">
        <v>0</v>
      </c>
      <c r="R2">
        <v>0</v>
      </c>
      <c r="S2">
        <v>0</v>
      </c>
      <c r="T2">
        <v>0</v>
      </c>
      <c r="U2">
        <v>0</v>
      </c>
      <c r="V2">
        <v>0</v>
      </c>
      <c r="W2">
        <v>0</v>
      </c>
      <c r="X2">
        <v>0</v>
      </c>
      <c r="Y2">
        <v>0</v>
      </c>
      <c r="Z2">
        <v>9</v>
      </c>
      <c r="AA2">
        <v>24</v>
      </c>
      <c r="AB2">
        <v>0</v>
      </c>
      <c r="AC2">
        <v>1</v>
      </c>
      <c r="AD2">
        <v>0</v>
      </c>
      <c r="AE2">
        <v>0</v>
      </c>
      <c r="AF2">
        <v>0</v>
      </c>
      <c r="AG2">
        <v>47</v>
      </c>
      <c r="AH2">
        <v>0</v>
      </c>
      <c r="AI2">
        <v>86</v>
      </c>
      <c r="AJ2">
        <v>0</v>
      </c>
    </row>
    <row r="3" spans="1:36" x14ac:dyDescent="0.3">
      <c r="A3" t="s">
        <v>135</v>
      </c>
      <c r="B3" s="249">
        <v>45981</v>
      </c>
      <c r="C3" t="s">
        <v>505</v>
      </c>
      <c r="D3" t="s">
        <v>526</v>
      </c>
      <c r="E3" t="s">
        <v>502</v>
      </c>
      <c r="F3" t="s">
        <v>137</v>
      </c>
      <c r="G3">
        <v>0.81669999999999998</v>
      </c>
      <c r="H3">
        <v>180</v>
      </c>
      <c r="I3">
        <v>147</v>
      </c>
      <c r="J3">
        <v>94</v>
      </c>
      <c r="K3" t="s">
        <v>138</v>
      </c>
      <c r="L3" t="s">
        <v>103</v>
      </c>
      <c r="M3">
        <v>0</v>
      </c>
      <c r="N3">
        <v>9</v>
      </c>
      <c r="O3">
        <v>37</v>
      </c>
      <c r="P3" t="s">
        <v>198</v>
      </c>
      <c r="Q3">
        <v>0</v>
      </c>
      <c r="R3">
        <v>0</v>
      </c>
      <c r="S3">
        <v>0</v>
      </c>
      <c r="T3">
        <v>0</v>
      </c>
      <c r="U3">
        <v>0</v>
      </c>
      <c r="V3">
        <v>0</v>
      </c>
      <c r="W3">
        <v>0</v>
      </c>
      <c r="X3">
        <v>0</v>
      </c>
      <c r="Y3">
        <v>0</v>
      </c>
      <c r="Z3">
        <v>23</v>
      </c>
      <c r="AA3">
        <v>29</v>
      </c>
      <c r="AB3">
        <v>0</v>
      </c>
      <c r="AC3">
        <v>0</v>
      </c>
      <c r="AD3">
        <v>0</v>
      </c>
      <c r="AE3">
        <v>0</v>
      </c>
      <c r="AF3">
        <v>0</v>
      </c>
      <c r="AG3">
        <v>0</v>
      </c>
      <c r="AH3">
        <v>0</v>
      </c>
      <c r="AI3">
        <v>95</v>
      </c>
      <c r="AJ3">
        <v>0</v>
      </c>
    </row>
    <row r="4" spans="1:36" x14ac:dyDescent="0.3">
      <c r="A4" t="s">
        <v>135</v>
      </c>
      <c r="B4" s="249">
        <v>45981</v>
      </c>
      <c r="C4" t="s">
        <v>854</v>
      </c>
      <c r="D4" t="s">
        <v>196</v>
      </c>
      <c r="E4" t="s">
        <v>849</v>
      </c>
      <c r="F4" t="s">
        <v>137</v>
      </c>
      <c r="G4">
        <v>0.96089999999999998</v>
      </c>
      <c r="H4">
        <v>179</v>
      </c>
      <c r="I4">
        <v>172</v>
      </c>
      <c r="J4">
        <v>0</v>
      </c>
      <c r="K4" t="s">
        <v>138</v>
      </c>
      <c r="L4" t="s">
        <v>103</v>
      </c>
      <c r="M4">
        <v>0</v>
      </c>
      <c r="N4">
        <v>9</v>
      </c>
      <c r="O4">
        <v>64</v>
      </c>
      <c r="P4" t="s">
        <v>855</v>
      </c>
      <c r="Q4">
        <v>0</v>
      </c>
      <c r="R4">
        <v>2</v>
      </c>
      <c r="S4">
        <v>8</v>
      </c>
      <c r="T4">
        <v>18</v>
      </c>
      <c r="U4">
        <v>18</v>
      </c>
      <c r="V4">
        <v>18</v>
      </c>
      <c r="W4">
        <v>18</v>
      </c>
      <c r="X4">
        <v>23</v>
      </c>
      <c r="Y4">
        <v>12</v>
      </c>
      <c r="Z4">
        <v>8</v>
      </c>
      <c r="AA4">
        <v>4</v>
      </c>
      <c r="AB4">
        <v>16</v>
      </c>
      <c r="AC4">
        <v>9</v>
      </c>
      <c r="AD4">
        <v>9</v>
      </c>
      <c r="AE4">
        <v>7</v>
      </c>
      <c r="AF4">
        <v>2</v>
      </c>
      <c r="AG4">
        <v>0</v>
      </c>
      <c r="AH4">
        <v>0</v>
      </c>
      <c r="AI4">
        <v>0</v>
      </c>
      <c r="AJ4">
        <v>0</v>
      </c>
    </row>
    <row r="5" spans="1:36" x14ac:dyDescent="0.3">
      <c r="A5" t="s">
        <v>135</v>
      </c>
      <c r="B5" s="249">
        <v>45981</v>
      </c>
      <c r="C5" t="s">
        <v>805</v>
      </c>
      <c r="D5" t="s">
        <v>809</v>
      </c>
      <c r="E5" t="s">
        <v>800</v>
      </c>
      <c r="F5" t="s">
        <v>137</v>
      </c>
      <c r="G5">
        <v>0.29049999999999998</v>
      </c>
      <c r="H5">
        <v>179</v>
      </c>
      <c r="I5">
        <v>52</v>
      </c>
      <c r="J5">
        <v>0</v>
      </c>
      <c r="K5" t="s">
        <v>138</v>
      </c>
      <c r="L5" t="s">
        <v>103</v>
      </c>
      <c r="M5">
        <v>0</v>
      </c>
      <c r="N5">
        <v>8</v>
      </c>
      <c r="O5">
        <v>31</v>
      </c>
      <c r="P5" t="s">
        <v>380</v>
      </c>
      <c r="Q5">
        <v>0</v>
      </c>
      <c r="R5">
        <v>0</v>
      </c>
      <c r="S5">
        <v>0</v>
      </c>
      <c r="T5">
        <v>0</v>
      </c>
      <c r="U5">
        <v>0</v>
      </c>
      <c r="V5">
        <v>0</v>
      </c>
      <c r="W5">
        <v>0</v>
      </c>
      <c r="X5">
        <v>0</v>
      </c>
      <c r="Y5">
        <v>0</v>
      </c>
      <c r="Z5">
        <v>15</v>
      </c>
      <c r="AA5">
        <v>0</v>
      </c>
      <c r="AB5">
        <v>0</v>
      </c>
      <c r="AC5">
        <v>22</v>
      </c>
      <c r="AD5">
        <v>11</v>
      </c>
      <c r="AE5">
        <v>3</v>
      </c>
      <c r="AF5">
        <v>1</v>
      </c>
      <c r="AG5">
        <v>0</v>
      </c>
      <c r="AH5">
        <v>0</v>
      </c>
      <c r="AI5">
        <v>0</v>
      </c>
      <c r="AJ5">
        <v>0</v>
      </c>
    </row>
    <row r="6" spans="1:36" x14ac:dyDescent="0.3">
      <c r="A6" t="s">
        <v>135</v>
      </c>
      <c r="B6" s="249">
        <v>45981</v>
      </c>
      <c r="C6" t="s">
        <v>708</v>
      </c>
      <c r="D6" t="s">
        <v>728</v>
      </c>
      <c r="E6" t="s">
        <v>687</v>
      </c>
      <c r="F6" t="s">
        <v>137</v>
      </c>
      <c r="G6">
        <v>0.47339999999999999</v>
      </c>
      <c r="H6">
        <v>188</v>
      </c>
      <c r="I6">
        <v>89</v>
      </c>
      <c r="J6">
        <v>0</v>
      </c>
      <c r="K6" t="s">
        <v>138</v>
      </c>
      <c r="L6" t="s">
        <v>103</v>
      </c>
      <c r="M6">
        <v>0</v>
      </c>
      <c r="N6">
        <v>1</v>
      </c>
      <c r="O6">
        <v>22</v>
      </c>
      <c r="P6" t="s">
        <v>179</v>
      </c>
      <c r="Q6">
        <v>0</v>
      </c>
      <c r="R6">
        <v>0</v>
      </c>
      <c r="S6">
        <v>0</v>
      </c>
      <c r="T6">
        <v>0</v>
      </c>
      <c r="U6">
        <v>0</v>
      </c>
      <c r="V6">
        <v>0</v>
      </c>
      <c r="W6">
        <v>2</v>
      </c>
      <c r="X6">
        <v>7</v>
      </c>
      <c r="Y6">
        <v>10</v>
      </c>
      <c r="Z6">
        <v>27</v>
      </c>
      <c r="AA6">
        <v>0</v>
      </c>
      <c r="AB6">
        <v>0</v>
      </c>
      <c r="AC6">
        <v>0</v>
      </c>
      <c r="AD6">
        <v>36</v>
      </c>
      <c r="AE6">
        <v>3</v>
      </c>
      <c r="AF6">
        <v>4</v>
      </c>
      <c r="AG6">
        <v>0</v>
      </c>
      <c r="AH6">
        <v>0</v>
      </c>
      <c r="AI6">
        <v>0</v>
      </c>
      <c r="AJ6">
        <v>0</v>
      </c>
    </row>
    <row r="7" spans="1:36" x14ac:dyDescent="0.3">
      <c r="A7" t="s">
        <v>135</v>
      </c>
      <c r="B7" s="249">
        <v>45981</v>
      </c>
      <c r="C7" t="s">
        <v>895</v>
      </c>
      <c r="D7" t="s">
        <v>666</v>
      </c>
      <c r="E7" t="s">
        <v>889</v>
      </c>
      <c r="F7" t="s">
        <v>137</v>
      </c>
      <c r="G7">
        <v>0.58099999999999996</v>
      </c>
      <c r="H7">
        <v>179</v>
      </c>
      <c r="I7">
        <v>104</v>
      </c>
      <c r="J7">
        <v>0</v>
      </c>
      <c r="K7" t="s">
        <v>138</v>
      </c>
      <c r="L7" t="s">
        <v>103</v>
      </c>
      <c r="M7">
        <v>0</v>
      </c>
      <c r="N7">
        <v>7</v>
      </c>
      <c r="O7">
        <v>44</v>
      </c>
      <c r="P7" t="s">
        <v>521</v>
      </c>
      <c r="Q7">
        <v>0</v>
      </c>
      <c r="R7">
        <v>0</v>
      </c>
      <c r="S7">
        <v>0</v>
      </c>
      <c r="T7">
        <v>0</v>
      </c>
      <c r="U7">
        <v>0</v>
      </c>
      <c r="V7">
        <v>0</v>
      </c>
      <c r="W7">
        <v>0</v>
      </c>
      <c r="X7">
        <v>0</v>
      </c>
      <c r="Y7">
        <v>6</v>
      </c>
      <c r="Z7">
        <v>10</v>
      </c>
      <c r="AA7">
        <v>47</v>
      </c>
      <c r="AB7">
        <v>0</v>
      </c>
      <c r="AC7">
        <v>0</v>
      </c>
      <c r="AD7">
        <v>1</v>
      </c>
      <c r="AE7">
        <v>6</v>
      </c>
      <c r="AF7">
        <v>34</v>
      </c>
      <c r="AG7">
        <v>0</v>
      </c>
      <c r="AH7">
        <v>0</v>
      </c>
      <c r="AI7">
        <v>0</v>
      </c>
      <c r="AJ7">
        <v>0</v>
      </c>
    </row>
    <row r="8" spans="1:36" x14ac:dyDescent="0.3">
      <c r="A8" t="s">
        <v>135</v>
      </c>
      <c r="B8" s="249">
        <v>45981</v>
      </c>
      <c r="C8" t="s">
        <v>934</v>
      </c>
      <c r="D8" t="s">
        <v>919</v>
      </c>
      <c r="E8" t="s">
        <v>926</v>
      </c>
      <c r="F8" t="s">
        <v>137</v>
      </c>
      <c r="G8">
        <v>0.71509999999999996</v>
      </c>
      <c r="H8">
        <v>179</v>
      </c>
      <c r="I8">
        <v>128</v>
      </c>
      <c r="J8">
        <v>0</v>
      </c>
      <c r="K8" t="s">
        <v>138</v>
      </c>
      <c r="L8" t="s">
        <v>103</v>
      </c>
      <c r="M8">
        <v>0</v>
      </c>
      <c r="N8">
        <v>7</v>
      </c>
      <c r="O8">
        <v>32</v>
      </c>
      <c r="P8" t="s">
        <v>181</v>
      </c>
      <c r="Q8">
        <v>0</v>
      </c>
      <c r="R8">
        <v>0</v>
      </c>
      <c r="S8">
        <v>0</v>
      </c>
      <c r="T8">
        <v>0</v>
      </c>
      <c r="U8">
        <v>0</v>
      </c>
      <c r="V8">
        <v>0</v>
      </c>
      <c r="W8">
        <v>0</v>
      </c>
      <c r="X8">
        <v>0</v>
      </c>
      <c r="Y8">
        <v>0</v>
      </c>
      <c r="Z8">
        <v>8</v>
      </c>
      <c r="AA8">
        <v>1</v>
      </c>
      <c r="AB8">
        <v>1</v>
      </c>
      <c r="AC8">
        <v>57</v>
      </c>
      <c r="AD8">
        <v>38</v>
      </c>
      <c r="AE8">
        <v>22</v>
      </c>
      <c r="AF8">
        <v>1</v>
      </c>
      <c r="AG8">
        <v>0</v>
      </c>
      <c r="AH8">
        <v>0</v>
      </c>
      <c r="AI8">
        <v>0</v>
      </c>
      <c r="AJ8">
        <v>0</v>
      </c>
    </row>
    <row r="9" spans="1:36" x14ac:dyDescent="0.3">
      <c r="A9" t="s">
        <v>135</v>
      </c>
      <c r="B9" s="249">
        <v>45981</v>
      </c>
      <c r="C9" t="s">
        <v>258</v>
      </c>
      <c r="D9" t="s">
        <v>384</v>
      </c>
      <c r="E9" t="s">
        <v>206</v>
      </c>
      <c r="F9" t="s">
        <v>137</v>
      </c>
      <c r="G9">
        <v>0.82779999999999998</v>
      </c>
      <c r="H9">
        <v>180</v>
      </c>
      <c r="I9">
        <v>149</v>
      </c>
      <c r="J9">
        <v>30</v>
      </c>
      <c r="K9" t="s">
        <v>138</v>
      </c>
      <c r="L9" t="s">
        <v>253</v>
      </c>
      <c r="M9">
        <v>2</v>
      </c>
      <c r="N9">
        <v>9</v>
      </c>
      <c r="O9">
        <v>51</v>
      </c>
      <c r="P9" t="s">
        <v>259</v>
      </c>
      <c r="Q9">
        <v>0</v>
      </c>
      <c r="R9">
        <v>0</v>
      </c>
      <c r="S9">
        <v>0</v>
      </c>
      <c r="T9">
        <v>0</v>
      </c>
      <c r="U9">
        <v>0</v>
      </c>
      <c r="V9">
        <v>0</v>
      </c>
      <c r="W9">
        <v>0</v>
      </c>
      <c r="X9">
        <v>0</v>
      </c>
      <c r="Y9">
        <v>1</v>
      </c>
      <c r="Z9">
        <v>12</v>
      </c>
      <c r="AA9">
        <v>11</v>
      </c>
      <c r="AB9">
        <v>11</v>
      </c>
      <c r="AC9">
        <v>11</v>
      </c>
      <c r="AD9">
        <v>12</v>
      </c>
      <c r="AE9">
        <v>11</v>
      </c>
      <c r="AF9">
        <v>50</v>
      </c>
      <c r="AG9">
        <v>29</v>
      </c>
      <c r="AH9">
        <v>0</v>
      </c>
      <c r="AI9">
        <v>0</v>
      </c>
      <c r="AJ9">
        <v>1</v>
      </c>
    </row>
    <row r="10" spans="1:36" x14ac:dyDescent="0.3">
      <c r="A10" t="s">
        <v>135</v>
      </c>
      <c r="B10" s="249">
        <v>45981</v>
      </c>
      <c r="C10" t="s">
        <v>244</v>
      </c>
      <c r="D10" t="s">
        <v>363</v>
      </c>
      <c r="E10" t="s">
        <v>206</v>
      </c>
      <c r="F10" t="s">
        <v>137</v>
      </c>
      <c r="G10">
        <v>0.91110000000000002</v>
      </c>
      <c r="H10">
        <v>180</v>
      </c>
      <c r="I10">
        <v>164</v>
      </c>
      <c r="J10">
        <v>92</v>
      </c>
      <c r="K10" t="s">
        <v>138</v>
      </c>
      <c r="L10" t="s">
        <v>103</v>
      </c>
      <c r="M10">
        <v>0</v>
      </c>
      <c r="N10">
        <v>2</v>
      </c>
      <c r="O10">
        <v>49</v>
      </c>
      <c r="P10" t="s">
        <v>245</v>
      </c>
      <c r="Q10">
        <v>0</v>
      </c>
      <c r="R10">
        <v>0</v>
      </c>
      <c r="S10">
        <v>0</v>
      </c>
      <c r="T10">
        <v>0</v>
      </c>
      <c r="U10">
        <v>0</v>
      </c>
      <c r="V10">
        <v>0</v>
      </c>
      <c r="W10">
        <v>0</v>
      </c>
      <c r="X10">
        <v>1</v>
      </c>
      <c r="Y10">
        <v>0</v>
      </c>
      <c r="Z10">
        <v>4</v>
      </c>
      <c r="AA10">
        <v>10</v>
      </c>
      <c r="AB10">
        <v>10</v>
      </c>
      <c r="AC10">
        <v>10</v>
      </c>
      <c r="AD10">
        <v>10</v>
      </c>
      <c r="AE10">
        <v>15</v>
      </c>
      <c r="AF10">
        <v>10</v>
      </c>
      <c r="AG10">
        <v>0</v>
      </c>
      <c r="AH10">
        <v>0</v>
      </c>
      <c r="AI10">
        <v>92</v>
      </c>
      <c r="AJ10">
        <v>2</v>
      </c>
    </row>
    <row r="11" spans="1:36" x14ac:dyDescent="0.3">
      <c r="A11" t="s">
        <v>135</v>
      </c>
      <c r="B11" s="249">
        <v>45981</v>
      </c>
      <c r="C11" t="s">
        <v>248</v>
      </c>
      <c r="D11" t="s">
        <v>195</v>
      </c>
      <c r="E11" t="s">
        <v>206</v>
      </c>
      <c r="F11" t="s">
        <v>137</v>
      </c>
      <c r="G11">
        <v>0.9385</v>
      </c>
      <c r="H11">
        <v>179</v>
      </c>
      <c r="I11">
        <v>168</v>
      </c>
      <c r="J11">
        <v>74</v>
      </c>
      <c r="K11" t="s">
        <v>138</v>
      </c>
      <c r="L11" t="s">
        <v>103</v>
      </c>
      <c r="M11">
        <v>0</v>
      </c>
      <c r="N11">
        <v>2</v>
      </c>
      <c r="O11">
        <v>83</v>
      </c>
      <c r="P11" t="s">
        <v>249</v>
      </c>
      <c r="Q11">
        <v>0</v>
      </c>
      <c r="R11">
        <v>0</v>
      </c>
      <c r="S11">
        <v>0</v>
      </c>
      <c r="T11">
        <v>0</v>
      </c>
      <c r="U11">
        <v>0</v>
      </c>
      <c r="V11">
        <v>0</v>
      </c>
      <c r="W11">
        <v>0</v>
      </c>
      <c r="X11">
        <v>0</v>
      </c>
      <c r="Y11">
        <v>0</v>
      </c>
      <c r="Z11">
        <v>6</v>
      </c>
      <c r="AA11">
        <v>12</v>
      </c>
      <c r="AB11">
        <v>11</v>
      </c>
      <c r="AC11">
        <v>11</v>
      </c>
      <c r="AD11">
        <v>12</v>
      </c>
      <c r="AE11">
        <v>11</v>
      </c>
      <c r="AF11">
        <v>31</v>
      </c>
      <c r="AG11">
        <v>34</v>
      </c>
      <c r="AH11">
        <v>0</v>
      </c>
      <c r="AI11">
        <v>40</v>
      </c>
      <c r="AJ11">
        <v>0</v>
      </c>
    </row>
    <row r="12" spans="1:36" x14ac:dyDescent="0.3">
      <c r="A12" t="s">
        <v>135</v>
      </c>
      <c r="B12" s="249">
        <v>45981</v>
      </c>
      <c r="C12" t="s">
        <v>252</v>
      </c>
      <c r="D12" t="s">
        <v>358</v>
      </c>
      <c r="E12" t="s">
        <v>206</v>
      </c>
      <c r="F12" t="s">
        <v>137</v>
      </c>
      <c r="G12">
        <v>0.84440000000000004</v>
      </c>
      <c r="H12">
        <v>180</v>
      </c>
      <c r="I12">
        <v>152</v>
      </c>
      <c r="J12">
        <v>46</v>
      </c>
      <c r="K12" t="s">
        <v>138</v>
      </c>
      <c r="L12" t="s">
        <v>253</v>
      </c>
      <c r="M12">
        <v>1</v>
      </c>
      <c r="N12">
        <v>3</v>
      </c>
      <c r="O12">
        <v>93</v>
      </c>
      <c r="P12" t="s">
        <v>254</v>
      </c>
      <c r="Q12">
        <v>0</v>
      </c>
      <c r="R12">
        <v>0</v>
      </c>
      <c r="S12">
        <v>0</v>
      </c>
      <c r="T12">
        <v>0</v>
      </c>
      <c r="U12">
        <v>0</v>
      </c>
      <c r="V12">
        <v>0</v>
      </c>
      <c r="W12">
        <v>0</v>
      </c>
      <c r="X12">
        <v>0</v>
      </c>
      <c r="Y12">
        <v>1</v>
      </c>
      <c r="Z12">
        <v>8</v>
      </c>
      <c r="AA12">
        <v>12</v>
      </c>
      <c r="AB12">
        <v>11</v>
      </c>
      <c r="AC12">
        <v>11</v>
      </c>
      <c r="AD12">
        <v>12</v>
      </c>
      <c r="AE12">
        <v>11</v>
      </c>
      <c r="AF12">
        <v>40</v>
      </c>
      <c r="AG12">
        <v>0</v>
      </c>
      <c r="AH12">
        <v>0</v>
      </c>
      <c r="AI12">
        <v>46</v>
      </c>
      <c r="AJ12">
        <v>0</v>
      </c>
    </row>
    <row r="13" spans="1:36" x14ac:dyDescent="0.3">
      <c r="A13" t="s">
        <v>135</v>
      </c>
      <c r="B13" s="249">
        <v>45981</v>
      </c>
      <c r="C13" t="s">
        <v>261</v>
      </c>
      <c r="D13" t="s">
        <v>372</v>
      </c>
      <c r="E13" t="s">
        <v>206</v>
      </c>
      <c r="F13" t="s">
        <v>137</v>
      </c>
      <c r="G13">
        <v>1.0111000000000001</v>
      </c>
      <c r="H13">
        <v>180</v>
      </c>
      <c r="I13">
        <v>182</v>
      </c>
      <c r="J13">
        <v>140</v>
      </c>
      <c r="K13" t="s">
        <v>138</v>
      </c>
      <c r="L13" t="s">
        <v>262</v>
      </c>
      <c r="M13">
        <v>0</v>
      </c>
      <c r="N13">
        <v>0</v>
      </c>
      <c r="O13">
        <v>0</v>
      </c>
      <c r="P13" t="s">
        <v>78</v>
      </c>
      <c r="Q13">
        <v>0</v>
      </c>
      <c r="R13">
        <v>0</v>
      </c>
      <c r="S13">
        <v>0</v>
      </c>
      <c r="T13">
        <v>0</v>
      </c>
      <c r="U13">
        <v>0</v>
      </c>
      <c r="V13">
        <v>0</v>
      </c>
      <c r="W13">
        <v>0</v>
      </c>
      <c r="X13">
        <v>0</v>
      </c>
      <c r="Y13">
        <v>0</v>
      </c>
      <c r="Z13">
        <v>11</v>
      </c>
      <c r="AA13">
        <v>0</v>
      </c>
      <c r="AB13">
        <v>0</v>
      </c>
      <c r="AC13">
        <v>2</v>
      </c>
      <c r="AD13">
        <v>0</v>
      </c>
      <c r="AE13">
        <v>4</v>
      </c>
      <c r="AF13">
        <v>17</v>
      </c>
      <c r="AG13">
        <v>0</v>
      </c>
      <c r="AH13">
        <v>0</v>
      </c>
      <c r="AI13">
        <v>142</v>
      </c>
      <c r="AJ13">
        <v>6</v>
      </c>
    </row>
    <row r="14" spans="1:36" x14ac:dyDescent="0.3">
      <c r="A14" t="s">
        <v>135</v>
      </c>
      <c r="B14" s="249">
        <v>45981</v>
      </c>
      <c r="C14" t="s">
        <v>264</v>
      </c>
      <c r="D14" t="s">
        <v>378</v>
      </c>
      <c r="E14" t="s">
        <v>206</v>
      </c>
      <c r="F14" t="s">
        <v>137</v>
      </c>
      <c r="G14">
        <v>0.98329999999999995</v>
      </c>
      <c r="H14">
        <v>180</v>
      </c>
      <c r="I14">
        <v>177</v>
      </c>
      <c r="J14">
        <v>135</v>
      </c>
      <c r="K14" t="s">
        <v>138</v>
      </c>
      <c r="L14" t="s">
        <v>164</v>
      </c>
      <c r="M14">
        <v>0</v>
      </c>
      <c r="N14">
        <v>0</v>
      </c>
      <c r="O14">
        <v>52</v>
      </c>
      <c r="P14" t="s">
        <v>78</v>
      </c>
      <c r="Q14">
        <v>0</v>
      </c>
      <c r="R14">
        <v>0</v>
      </c>
      <c r="S14">
        <v>0</v>
      </c>
      <c r="T14">
        <v>0</v>
      </c>
      <c r="U14">
        <v>0</v>
      </c>
      <c r="V14">
        <v>0</v>
      </c>
      <c r="W14">
        <v>0</v>
      </c>
      <c r="X14">
        <v>0</v>
      </c>
      <c r="Y14">
        <v>0</v>
      </c>
      <c r="Z14">
        <v>7</v>
      </c>
      <c r="AA14">
        <v>0</v>
      </c>
      <c r="AB14">
        <v>4</v>
      </c>
      <c r="AC14">
        <v>9</v>
      </c>
      <c r="AD14">
        <v>10</v>
      </c>
      <c r="AE14">
        <v>5</v>
      </c>
      <c r="AF14">
        <v>5</v>
      </c>
      <c r="AG14">
        <v>0</v>
      </c>
      <c r="AH14">
        <v>0</v>
      </c>
      <c r="AI14">
        <v>137</v>
      </c>
      <c r="AJ14">
        <v>0</v>
      </c>
    </row>
    <row r="15" spans="1:36" x14ac:dyDescent="0.3">
      <c r="A15" t="s">
        <v>135</v>
      </c>
      <c r="B15" s="249">
        <v>45981</v>
      </c>
      <c r="C15" t="s">
        <v>74</v>
      </c>
      <c r="D15" t="s">
        <v>136</v>
      </c>
      <c r="E15" t="s">
        <v>1</v>
      </c>
      <c r="F15" t="s">
        <v>137</v>
      </c>
      <c r="G15">
        <v>0.97870000000000001</v>
      </c>
      <c r="H15">
        <v>188</v>
      </c>
      <c r="I15">
        <v>184</v>
      </c>
      <c r="J15">
        <v>135</v>
      </c>
      <c r="K15" t="s">
        <v>138</v>
      </c>
      <c r="L15" t="s">
        <v>77</v>
      </c>
      <c r="M15">
        <v>0</v>
      </c>
      <c r="N15">
        <v>0</v>
      </c>
      <c r="O15">
        <v>39</v>
      </c>
      <c r="P15" t="s">
        <v>78</v>
      </c>
      <c r="Q15">
        <v>0</v>
      </c>
      <c r="R15">
        <v>0</v>
      </c>
      <c r="S15">
        <v>0</v>
      </c>
      <c r="T15">
        <v>0</v>
      </c>
      <c r="U15">
        <v>0</v>
      </c>
      <c r="V15">
        <v>0</v>
      </c>
      <c r="W15">
        <v>3</v>
      </c>
      <c r="X15">
        <v>0</v>
      </c>
      <c r="Y15">
        <v>0</v>
      </c>
      <c r="Z15">
        <v>2</v>
      </c>
      <c r="AA15">
        <v>0</v>
      </c>
      <c r="AB15">
        <v>0</v>
      </c>
      <c r="AC15">
        <v>10</v>
      </c>
      <c r="AD15">
        <v>11</v>
      </c>
      <c r="AE15">
        <v>11</v>
      </c>
      <c r="AF15">
        <v>10</v>
      </c>
      <c r="AG15">
        <v>0</v>
      </c>
      <c r="AH15">
        <v>0</v>
      </c>
      <c r="AI15">
        <v>130</v>
      </c>
      <c r="AJ15">
        <v>7</v>
      </c>
    </row>
    <row r="16" spans="1:36" x14ac:dyDescent="0.3">
      <c r="A16" t="s">
        <v>135</v>
      </c>
      <c r="B16" s="249">
        <v>45981</v>
      </c>
      <c r="C16" t="s">
        <v>593</v>
      </c>
      <c r="D16" t="s">
        <v>650</v>
      </c>
      <c r="E16" t="s">
        <v>554</v>
      </c>
      <c r="F16" t="s">
        <v>137</v>
      </c>
      <c r="G16">
        <v>0.56979999999999997</v>
      </c>
      <c r="H16">
        <v>179</v>
      </c>
      <c r="I16">
        <v>102</v>
      </c>
      <c r="J16">
        <v>0</v>
      </c>
      <c r="K16" t="s">
        <v>138</v>
      </c>
      <c r="L16" t="s">
        <v>103</v>
      </c>
      <c r="M16">
        <v>0</v>
      </c>
      <c r="N16">
        <v>5</v>
      </c>
      <c r="O16">
        <v>44</v>
      </c>
      <c r="P16" t="s">
        <v>380</v>
      </c>
      <c r="Q16">
        <v>0</v>
      </c>
      <c r="R16">
        <v>0</v>
      </c>
      <c r="S16">
        <v>0</v>
      </c>
      <c r="T16">
        <v>0</v>
      </c>
      <c r="U16">
        <v>0</v>
      </c>
      <c r="V16">
        <v>0</v>
      </c>
      <c r="W16">
        <v>0</v>
      </c>
      <c r="X16">
        <v>0</v>
      </c>
      <c r="Y16">
        <v>0</v>
      </c>
      <c r="Z16">
        <v>0</v>
      </c>
      <c r="AA16">
        <v>0</v>
      </c>
      <c r="AB16">
        <v>3</v>
      </c>
      <c r="AC16">
        <v>30</v>
      </c>
      <c r="AD16">
        <v>20</v>
      </c>
      <c r="AE16">
        <v>15</v>
      </c>
      <c r="AF16">
        <v>34</v>
      </c>
      <c r="AG16">
        <v>0</v>
      </c>
      <c r="AH16">
        <v>0</v>
      </c>
      <c r="AI16">
        <v>0</v>
      </c>
      <c r="AJ16">
        <v>0</v>
      </c>
    </row>
    <row r="17" spans="1:36" x14ac:dyDescent="0.3">
      <c r="A17" t="s">
        <v>135</v>
      </c>
      <c r="B17" s="249">
        <v>45981</v>
      </c>
      <c r="C17" t="s">
        <v>773</v>
      </c>
      <c r="D17" t="s">
        <v>784</v>
      </c>
      <c r="E17" t="s">
        <v>769</v>
      </c>
      <c r="F17" t="s">
        <v>137</v>
      </c>
      <c r="G17">
        <v>0.36309999999999998</v>
      </c>
      <c r="H17">
        <v>179</v>
      </c>
      <c r="I17">
        <v>65</v>
      </c>
      <c r="J17">
        <v>0</v>
      </c>
      <c r="K17" t="s">
        <v>138</v>
      </c>
      <c r="L17" t="s">
        <v>103</v>
      </c>
      <c r="M17">
        <v>0</v>
      </c>
      <c r="N17">
        <v>6</v>
      </c>
      <c r="O17">
        <v>34</v>
      </c>
      <c r="P17" t="s">
        <v>202</v>
      </c>
      <c r="Q17">
        <v>0</v>
      </c>
      <c r="R17">
        <v>0</v>
      </c>
      <c r="S17">
        <v>0</v>
      </c>
      <c r="T17">
        <v>0</v>
      </c>
      <c r="U17">
        <v>0</v>
      </c>
      <c r="V17">
        <v>0</v>
      </c>
      <c r="W17">
        <v>0</v>
      </c>
      <c r="X17">
        <v>0</v>
      </c>
      <c r="Y17">
        <v>0</v>
      </c>
      <c r="Z17">
        <v>2</v>
      </c>
      <c r="AA17">
        <v>0</v>
      </c>
      <c r="AB17">
        <v>0</v>
      </c>
      <c r="AC17">
        <v>0</v>
      </c>
      <c r="AD17">
        <v>4</v>
      </c>
      <c r="AE17">
        <v>3</v>
      </c>
      <c r="AF17">
        <v>56</v>
      </c>
      <c r="AG17">
        <v>0</v>
      </c>
      <c r="AH17">
        <v>0</v>
      </c>
      <c r="AI17">
        <v>0</v>
      </c>
      <c r="AJ17">
        <v>0</v>
      </c>
    </row>
    <row r="18" spans="1:36" x14ac:dyDescent="0.3">
      <c r="A18" t="s">
        <v>135</v>
      </c>
      <c r="B18" s="249">
        <v>45981</v>
      </c>
      <c r="C18" t="s">
        <v>829</v>
      </c>
      <c r="D18" t="s">
        <v>401</v>
      </c>
      <c r="E18" t="s">
        <v>825</v>
      </c>
      <c r="F18" t="s">
        <v>137</v>
      </c>
      <c r="G18">
        <v>0.89939999999999998</v>
      </c>
      <c r="H18">
        <v>179</v>
      </c>
      <c r="I18">
        <v>161</v>
      </c>
      <c r="J18">
        <v>91</v>
      </c>
      <c r="K18" t="s">
        <v>138</v>
      </c>
      <c r="L18" t="s">
        <v>103</v>
      </c>
      <c r="M18">
        <v>0</v>
      </c>
      <c r="N18">
        <v>11</v>
      </c>
      <c r="O18">
        <v>31</v>
      </c>
      <c r="P18" t="s">
        <v>421</v>
      </c>
      <c r="Q18">
        <v>0</v>
      </c>
      <c r="R18">
        <v>0</v>
      </c>
      <c r="S18">
        <v>0</v>
      </c>
      <c r="T18">
        <v>0</v>
      </c>
      <c r="U18">
        <v>0</v>
      </c>
      <c r="V18">
        <v>0</v>
      </c>
      <c r="W18">
        <v>0</v>
      </c>
      <c r="X18">
        <v>0</v>
      </c>
      <c r="Y18">
        <v>1</v>
      </c>
      <c r="Z18">
        <v>7</v>
      </c>
      <c r="AA18">
        <v>35</v>
      </c>
      <c r="AB18">
        <v>6</v>
      </c>
      <c r="AC18">
        <v>17</v>
      </c>
      <c r="AD18">
        <v>4</v>
      </c>
      <c r="AE18">
        <v>0</v>
      </c>
      <c r="AF18">
        <v>0</v>
      </c>
      <c r="AG18">
        <v>0</v>
      </c>
      <c r="AH18">
        <v>0</v>
      </c>
      <c r="AI18">
        <v>91</v>
      </c>
      <c r="AJ18">
        <v>0</v>
      </c>
    </row>
    <row r="19" spans="1:36" x14ac:dyDescent="0.3">
      <c r="A19" t="s">
        <v>135</v>
      </c>
      <c r="B19" s="249">
        <v>45981</v>
      </c>
      <c r="C19" t="s">
        <v>451</v>
      </c>
      <c r="D19" t="s">
        <v>484</v>
      </c>
      <c r="E19" t="s">
        <v>441</v>
      </c>
      <c r="F19" t="s">
        <v>137</v>
      </c>
      <c r="G19">
        <v>1</v>
      </c>
      <c r="H19">
        <v>180</v>
      </c>
      <c r="I19">
        <v>180</v>
      </c>
      <c r="J19">
        <v>130</v>
      </c>
      <c r="K19" t="s">
        <v>138</v>
      </c>
      <c r="L19" t="s">
        <v>103</v>
      </c>
      <c r="M19">
        <v>0</v>
      </c>
      <c r="N19">
        <v>2</v>
      </c>
      <c r="O19">
        <v>18</v>
      </c>
      <c r="P19" t="s">
        <v>78</v>
      </c>
      <c r="Q19">
        <v>0</v>
      </c>
      <c r="R19">
        <v>0</v>
      </c>
      <c r="S19">
        <v>0</v>
      </c>
      <c r="T19">
        <v>0</v>
      </c>
      <c r="U19">
        <v>0</v>
      </c>
      <c r="V19">
        <v>0</v>
      </c>
      <c r="W19">
        <v>0</v>
      </c>
      <c r="X19">
        <v>0</v>
      </c>
      <c r="Y19">
        <v>0</v>
      </c>
      <c r="Z19">
        <v>3</v>
      </c>
      <c r="AA19">
        <v>0</v>
      </c>
      <c r="AB19">
        <v>12</v>
      </c>
      <c r="AC19">
        <v>13</v>
      </c>
      <c r="AD19">
        <v>3</v>
      </c>
      <c r="AE19">
        <v>2</v>
      </c>
      <c r="AF19">
        <v>17</v>
      </c>
      <c r="AG19">
        <v>0</v>
      </c>
      <c r="AH19">
        <v>0</v>
      </c>
      <c r="AI19">
        <v>130</v>
      </c>
      <c r="AJ19">
        <v>0</v>
      </c>
    </row>
    <row r="20" spans="1:36" x14ac:dyDescent="0.3">
      <c r="A20" t="s">
        <v>135</v>
      </c>
      <c r="B20" s="249">
        <v>45981</v>
      </c>
      <c r="C20" t="s">
        <v>163</v>
      </c>
      <c r="D20" t="s">
        <v>177</v>
      </c>
      <c r="E20" t="s">
        <v>160</v>
      </c>
      <c r="F20" t="s">
        <v>137</v>
      </c>
      <c r="G20">
        <v>0.98329999999999995</v>
      </c>
      <c r="H20">
        <v>180</v>
      </c>
      <c r="I20">
        <v>177</v>
      </c>
      <c r="J20">
        <v>135</v>
      </c>
      <c r="K20" t="s">
        <v>138</v>
      </c>
      <c r="L20" t="s">
        <v>164</v>
      </c>
      <c r="M20">
        <v>0</v>
      </c>
      <c r="N20">
        <v>0</v>
      </c>
      <c r="O20">
        <v>50</v>
      </c>
      <c r="P20" t="s">
        <v>165</v>
      </c>
      <c r="Q20">
        <v>0</v>
      </c>
      <c r="R20">
        <v>0</v>
      </c>
      <c r="S20">
        <v>0</v>
      </c>
      <c r="T20">
        <v>0</v>
      </c>
      <c r="U20">
        <v>3</v>
      </c>
      <c r="V20">
        <v>0</v>
      </c>
      <c r="W20">
        <v>0</v>
      </c>
      <c r="X20">
        <v>3</v>
      </c>
      <c r="Y20">
        <v>0</v>
      </c>
      <c r="Z20">
        <v>17</v>
      </c>
      <c r="AA20">
        <v>0</v>
      </c>
      <c r="AB20">
        <v>0</v>
      </c>
      <c r="AC20">
        <v>2</v>
      </c>
      <c r="AD20">
        <v>0</v>
      </c>
      <c r="AE20">
        <v>7</v>
      </c>
      <c r="AF20">
        <v>10</v>
      </c>
      <c r="AG20">
        <v>45</v>
      </c>
      <c r="AH20">
        <v>0</v>
      </c>
      <c r="AI20">
        <v>90</v>
      </c>
      <c r="AJ20">
        <v>0</v>
      </c>
    </row>
    <row r="21" spans="1:36" x14ac:dyDescent="0.3">
      <c r="A21" t="s">
        <v>390</v>
      </c>
      <c r="B21" s="249">
        <v>45982</v>
      </c>
      <c r="C21" t="s">
        <v>880</v>
      </c>
      <c r="D21" t="s">
        <v>883</v>
      </c>
      <c r="E21" t="s">
        <v>877</v>
      </c>
      <c r="F21" t="s">
        <v>137</v>
      </c>
      <c r="G21">
        <v>0.92179999999999995</v>
      </c>
      <c r="H21">
        <v>179</v>
      </c>
      <c r="I21">
        <v>165</v>
      </c>
      <c r="J21">
        <v>0</v>
      </c>
      <c r="K21" t="s">
        <v>138</v>
      </c>
      <c r="L21" t="s">
        <v>253</v>
      </c>
      <c r="M21">
        <v>6</v>
      </c>
      <c r="N21">
        <v>3</v>
      </c>
      <c r="O21">
        <v>54</v>
      </c>
      <c r="P21" t="s">
        <v>881</v>
      </c>
      <c r="Q21">
        <v>0</v>
      </c>
      <c r="R21">
        <v>0</v>
      </c>
      <c r="S21">
        <v>0</v>
      </c>
      <c r="T21">
        <v>0</v>
      </c>
      <c r="U21">
        <v>0</v>
      </c>
      <c r="V21">
        <v>0</v>
      </c>
      <c r="W21">
        <v>0</v>
      </c>
      <c r="X21">
        <v>4</v>
      </c>
      <c r="Y21">
        <v>18</v>
      </c>
      <c r="Z21">
        <v>18</v>
      </c>
      <c r="AA21">
        <v>49</v>
      </c>
      <c r="AB21">
        <v>13</v>
      </c>
      <c r="AC21">
        <v>17</v>
      </c>
      <c r="AD21">
        <v>18</v>
      </c>
      <c r="AE21">
        <v>28</v>
      </c>
      <c r="AF21">
        <v>0</v>
      </c>
      <c r="AG21">
        <v>0</v>
      </c>
      <c r="AH21">
        <v>0</v>
      </c>
      <c r="AI21">
        <v>0</v>
      </c>
      <c r="AJ21">
        <v>0</v>
      </c>
    </row>
    <row r="22" spans="1:36" x14ac:dyDescent="0.3">
      <c r="A22" t="s">
        <v>390</v>
      </c>
      <c r="B22" s="249">
        <v>45982</v>
      </c>
      <c r="C22" t="s">
        <v>821</v>
      </c>
      <c r="D22" t="s">
        <v>177</v>
      </c>
      <c r="E22" t="s">
        <v>818</v>
      </c>
      <c r="F22" t="s">
        <v>137</v>
      </c>
      <c r="G22">
        <v>0.51400000000000001</v>
      </c>
      <c r="H22">
        <v>179</v>
      </c>
      <c r="I22">
        <v>92</v>
      </c>
      <c r="J22">
        <v>0</v>
      </c>
      <c r="K22" t="s">
        <v>138</v>
      </c>
      <c r="L22" t="s">
        <v>103</v>
      </c>
      <c r="M22">
        <v>0</v>
      </c>
      <c r="N22">
        <v>7</v>
      </c>
      <c r="O22">
        <v>56</v>
      </c>
      <c r="P22" t="s">
        <v>785</v>
      </c>
      <c r="Q22">
        <v>0</v>
      </c>
      <c r="R22">
        <v>0</v>
      </c>
      <c r="S22">
        <v>0</v>
      </c>
      <c r="T22">
        <v>0</v>
      </c>
      <c r="U22">
        <v>0</v>
      </c>
      <c r="V22">
        <v>0</v>
      </c>
      <c r="W22">
        <v>0</v>
      </c>
      <c r="X22">
        <v>0</v>
      </c>
      <c r="Y22">
        <v>0</v>
      </c>
      <c r="Z22">
        <v>0</v>
      </c>
      <c r="AA22">
        <v>0</v>
      </c>
      <c r="AB22">
        <v>0</v>
      </c>
      <c r="AC22">
        <v>1</v>
      </c>
      <c r="AD22">
        <v>10</v>
      </c>
      <c r="AE22">
        <v>31</v>
      </c>
      <c r="AF22">
        <v>50</v>
      </c>
      <c r="AG22">
        <v>0</v>
      </c>
      <c r="AH22">
        <v>0</v>
      </c>
      <c r="AI22">
        <v>0</v>
      </c>
      <c r="AJ22">
        <v>0</v>
      </c>
    </row>
    <row r="23" spans="1:36" x14ac:dyDescent="0.3">
      <c r="A23" t="s">
        <v>390</v>
      </c>
      <c r="B23" s="249">
        <v>45982</v>
      </c>
      <c r="C23" t="s">
        <v>751</v>
      </c>
      <c r="D23" t="s">
        <v>757</v>
      </c>
      <c r="E23" t="s">
        <v>750</v>
      </c>
      <c r="F23" t="s">
        <v>137</v>
      </c>
      <c r="G23">
        <v>0.98329999999999995</v>
      </c>
      <c r="H23">
        <v>180</v>
      </c>
      <c r="I23">
        <v>177</v>
      </c>
      <c r="J23">
        <v>0</v>
      </c>
      <c r="K23" t="s">
        <v>138</v>
      </c>
      <c r="L23" t="s">
        <v>253</v>
      </c>
      <c r="M23">
        <v>4</v>
      </c>
      <c r="N23">
        <v>3</v>
      </c>
      <c r="O23">
        <v>25</v>
      </c>
      <c r="P23" t="s">
        <v>78</v>
      </c>
      <c r="Q23">
        <v>1</v>
      </c>
      <c r="R23">
        <v>0</v>
      </c>
      <c r="S23">
        <v>0</v>
      </c>
      <c r="T23">
        <v>0</v>
      </c>
      <c r="U23">
        <v>0</v>
      </c>
      <c r="V23">
        <v>0</v>
      </c>
      <c r="W23">
        <v>10</v>
      </c>
      <c r="X23">
        <v>11</v>
      </c>
      <c r="Y23">
        <v>20</v>
      </c>
      <c r="Z23">
        <v>20</v>
      </c>
      <c r="AA23">
        <v>31</v>
      </c>
      <c r="AB23">
        <v>16</v>
      </c>
      <c r="AC23">
        <v>19</v>
      </c>
      <c r="AD23">
        <v>30</v>
      </c>
      <c r="AE23">
        <v>19</v>
      </c>
      <c r="AF23">
        <v>0</v>
      </c>
      <c r="AG23">
        <v>0</v>
      </c>
      <c r="AH23">
        <v>0</v>
      </c>
      <c r="AI23">
        <v>0</v>
      </c>
      <c r="AJ23">
        <v>0</v>
      </c>
    </row>
    <row r="24" spans="1:36" x14ac:dyDescent="0.3">
      <c r="A24" t="s">
        <v>390</v>
      </c>
      <c r="B24" s="249">
        <v>45982</v>
      </c>
      <c r="C24" t="s">
        <v>514</v>
      </c>
      <c r="D24" t="s">
        <v>530</v>
      </c>
      <c r="E24" t="s">
        <v>502</v>
      </c>
      <c r="F24" t="s">
        <v>137</v>
      </c>
      <c r="G24">
        <v>0.72219999999999995</v>
      </c>
      <c r="H24">
        <v>180</v>
      </c>
      <c r="I24">
        <v>130</v>
      </c>
      <c r="J24">
        <v>0</v>
      </c>
      <c r="K24" t="s">
        <v>138</v>
      </c>
      <c r="L24" t="s">
        <v>253</v>
      </c>
      <c r="M24">
        <v>2</v>
      </c>
      <c r="N24">
        <v>4</v>
      </c>
      <c r="O24">
        <v>99</v>
      </c>
      <c r="P24" t="s">
        <v>198</v>
      </c>
      <c r="Q24">
        <v>0</v>
      </c>
      <c r="R24">
        <v>0</v>
      </c>
      <c r="S24">
        <v>0</v>
      </c>
      <c r="T24">
        <v>0</v>
      </c>
      <c r="U24">
        <v>0</v>
      </c>
      <c r="V24">
        <v>0</v>
      </c>
      <c r="W24">
        <v>0</v>
      </c>
      <c r="X24">
        <v>0</v>
      </c>
      <c r="Y24">
        <v>5</v>
      </c>
      <c r="Z24">
        <v>18</v>
      </c>
      <c r="AA24">
        <v>17</v>
      </c>
      <c r="AB24">
        <v>18</v>
      </c>
      <c r="AC24">
        <v>18</v>
      </c>
      <c r="AD24">
        <v>18</v>
      </c>
      <c r="AE24">
        <v>18</v>
      </c>
      <c r="AF24">
        <v>18</v>
      </c>
      <c r="AG24">
        <v>0</v>
      </c>
      <c r="AH24">
        <v>0</v>
      </c>
      <c r="AI24">
        <v>0</v>
      </c>
      <c r="AJ24">
        <v>0</v>
      </c>
    </row>
    <row r="25" spans="1:36" x14ac:dyDescent="0.3">
      <c r="A25" t="s">
        <v>390</v>
      </c>
      <c r="B25" s="249">
        <v>45982</v>
      </c>
      <c r="C25" t="s">
        <v>792</v>
      </c>
      <c r="D25" t="s">
        <v>798</v>
      </c>
      <c r="E25" t="s">
        <v>789</v>
      </c>
      <c r="F25" t="s">
        <v>137</v>
      </c>
      <c r="G25">
        <v>0.41899999999999998</v>
      </c>
      <c r="H25">
        <v>179</v>
      </c>
      <c r="I25">
        <v>75</v>
      </c>
      <c r="J25">
        <v>0</v>
      </c>
      <c r="K25" t="s">
        <v>138</v>
      </c>
      <c r="L25" t="s">
        <v>103</v>
      </c>
      <c r="M25">
        <v>0</v>
      </c>
      <c r="N25">
        <v>6</v>
      </c>
      <c r="O25">
        <v>45</v>
      </c>
      <c r="P25" t="s">
        <v>382</v>
      </c>
      <c r="Q25">
        <v>0</v>
      </c>
      <c r="R25">
        <v>0</v>
      </c>
      <c r="S25">
        <v>0</v>
      </c>
      <c r="T25">
        <v>0</v>
      </c>
      <c r="U25">
        <v>0</v>
      </c>
      <c r="V25">
        <v>0</v>
      </c>
      <c r="W25">
        <v>0</v>
      </c>
      <c r="X25">
        <v>0</v>
      </c>
      <c r="Y25">
        <v>0</v>
      </c>
      <c r="Z25">
        <v>0</v>
      </c>
      <c r="AA25">
        <v>0</v>
      </c>
      <c r="AB25">
        <v>0</v>
      </c>
      <c r="AC25">
        <v>0</v>
      </c>
      <c r="AD25">
        <v>0</v>
      </c>
      <c r="AE25">
        <v>0</v>
      </c>
      <c r="AF25">
        <v>75</v>
      </c>
      <c r="AG25">
        <v>0</v>
      </c>
      <c r="AH25">
        <v>0</v>
      </c>
      <c r="AI25">
        <v>0</v>
      </c>
      <c r="AJ25">
        <v>0</v>
      </c>
    </row>
    <row r="26" spans="1:36" x14ac:dyDescent="0.3">
      <c r="A26" t="s">
        <v>390</v>
      </c>
      <c r="B26" s="249">
        <v>45982</v>
      </c>
      <c r="C26" t="s">
        <v>708</v>
      </c>
      <c r="D26" t="s">
        <v>136</v>
      </c>
      <c r="E26" t="s">
        <v>687</v>
      </c>
      <c r="F26" t="s">
        <v>137</v>
      </c>
      <c r="G26">
        <v>0.52780000000000005</v>
      </c>
      <c r="H26">
        <v>180</v>
      </c>
      <c r="I26">
        <v>95</v>
      </c>
      <c r="J26">
        <v>0</v>
      </c>
      <c r="K26" t="s">
        <v>138</v>
      </c>
      <c r="L26" t="s">
        <v>103</v>
      </c>
      <c r="M26">
        <v>0</v>
      </c>
      <c r="N26">
        <v>5</v>
      </c>
      <c r="O26">
        <v>51</v>
      </c>
      <c r="P26" t="s">
        <v>719</v>
      </c>
      <c r="Q26">
        <v>0</v>
      </c>
      <c r="R26">
        <v>0</v>
      </c>
      <c r="S26">
        <v>0</v>
      </c>
      <c r="T26">
        <v>0</v>
      </c>
      <c r="U26">
        <v>0</v>
      </c>
      <c r="V26">
        <v>0</v>
      </c>
      <c r="W26">
        <v>1</v>
      </c>
      <c r="X26">
        <v>4</v>
      </c>
      <c r="Y26">
        <v>10</v>
      </c>
      <c r="Z26">
        <v>10</v>
      </c>
      <c r="AA26">
        <v>10</v>
      </c>
      <c r="AB26">
        <v>10</v>
      </c>
      <c r="AC26">
        <v>20</v>
      </c>
      <c r="AD26">
        <v>0</v>
      </c>
      <c r="AE26">
        <v>25</v>
      </c>
      <c r="AF26">
        <v>5</v>
      </c>
      <c r="AG26">
        <v>0</v>
      </c>
      <c r="AH26">
        <v>0</v>
      </c>
      <c r="AI26">
        <v>0</v>
      </c>
      <c r="AJ26">
        <v>0</v>
      </c>
    </row>
    <row r="27" spans="1:36" x14ac:dyDescent="0.3">
      <c r="A27" t="s">
        <v>390</v>
      </c>
      <c r="B27" s="249">
        <v>45982</v>
      </c>
      <c r="C27" t="s">
        <v>895</v>
      </c>
      <c r="D27" t="s">
        <v>910</v>
      </c>
      <c r="E27" t="s">
        <v>889</v>
      </c>
      <c r="F27" t="s">
        <v>137</v>
      </c>
      <c r="G27">
        <v>0.44130000000000003</v>
      </c>
      <c r="H27">
        <v>179</v>
      </c>
      <c r="I27">
        <v>79</v>
      </c>
      <c r="J27">
        <v>0</v>
      </c>
      <c r="K27" t="s">
        <v>138</v>
      </c>
      <c r="L27" t="s">
        <v>103</v>
      </c>
      <c r="M27">
        <v>0</v>
      </c>
      <c r="N27">
        <v>15</v>
      </c>
      <c r="O27">
        <v>50</v>
      </c>
      <c r="P27" t="s">
        <v>254</v>
      </c>
      <c r="Q27">
        <v>0</v>
      </c>
      <c r="R27">
        <v>0</v>
      </c>
      <c r="S27">
        <v>0</v>
      </c>
      <c r="T27">
        <v>0</v>
      </c>
      <c r="U27">
        <v>0</v>
      </c>
      <c r="V27">
        <v>0</v>
      </c>
      <c r="W27">
        <v>0</v>
      </c>
      <c r="X27">
        <v>0</v>
      </c>
      <c r="Y27">
        <v>2</v>
      </c>
      <c r="Z27">
        <v>17</v>
      </c>
      <c r="AA27">
        <v>38</v>
      </c>
      <c r="AB27">
        <v>0</v>
      </c>
      <c r="AC27">
        <v>0</v>
      </c>
      <c r="AD27">
        <v>0</v>
      </c>
      <c r="AE27">
        <v>5</v>
      </c>
      <c r="AF27">
        <v>17</v>
      </c>
      <c r="AG27">
        <v>0</v>
      </c>
      <c r="AH27">
        <v>0</v>
      </c>
      <c r="AI27">
        <v>0</v>
      </c>
      <c r="AJ27">
        <v>0</v>
      </c>
    </row>
    <row r="28" spans="1:36" x14ac:dyDescent="0.3">
      <c r="A28" t="s">
        <v>390</v>
      </c>
      <c r="B28" s="249">
        <v>45982</v>
      </c>
      <c r="C28" t="s">
        <v>302</v>
      </c>
      <c r="D28" t="s">
        <v>410</v>
      </c>
      <c r="E28" t="s">
        <v>206</v>
      </c>
      <c r="F28" t="s">
        <v>137</v>
      </c>
      <c r="G28">
        <v>0.75139999999999996</v>
      </c>
      <c r="H28">
        <v>177</v>
      </c>
      <c r="I28">
        <v>133</v>
      </c>
      <c r="J28">
        <v>0</v>
      </c>
      <c r="K28" t="s">
        <v>138</v>
      </c>
      <c r="L28" t="s">
        <v>253</v>
      </c>
      <c r="M28">
        <v>1</v>
      </c>
      <c r="N28">
        <v>26</v>
      </c>
      <c r="O28">
        <v>83</v>
      </c>
      <c r="P28" t="s">
        <v>303</v>
      </c>
      <c r="Q28">
        <v>0</v>
      </c>
      <c r="R28">
        <v>0</v>
      </c>
      <c r="S28">
        <v>0</v>
      </c>
      <c r="T28">
        <v>0</v>
      </c>
      <c r="U28">
        <v>0</v>
      </c>
      <c r="V28">
        <v>0</v>
      </c>
      <c r="W28">
        <v>0</v>
      </c>
      <c r="X28">
        <v>0</v>
      </c>
      <c r="Y28">
        <v>0</v>
      </c>
      <c r="Z28">
        <v>0</v>
      </c>
      <c r="AA28">
        <v>9</v>
      </c>
      <c r="AB28">
        <v>25</v>
      </c>
      <c r="AC28">
        <v>37</v>
      </c>
      <c r="AD28">
        <v>12</v>
      </c>
      <c r="AE28">
        <v>17</v>
      </c>
      <c r="AF28">
        <v>33</v>
      </c>
      <c r="AG28">
        <v>0</v>
      </c>
      <c r="AH28">
        <v>0</v>
      </c>
      <c r="AI28">
        <v>0</v>
      </c>
      <c r="AJ28">
        <v>0</v>
      </c>
    </row>
    <row r="29" spans="1:36" x14ac:dyDescent="0.3">
      <c r="A29" t="s">
        <v>390</v>
      </c>
      <c r="B29" s="249">
        <v>45982</v>
      </c>
      <c r="C29" t="s">
        <v>306</v>
      </c>
      <c r="D29" t="s">
        <v>405</v>
      </c>
      <c r="E29" t="s">
        <v>206</v>
      </c>
      <c r="F29" t="s">
        <v>137</v>
      </c>
      <c r="G29">
        <v>0.60560000000000003</v>
      </c>
      <c r="H29">
        <v>180</v>
      </c>
      <c r="I29">
        <v>109</v>
      </c>
      <c r="J29">
        <v>0</v>
      </c>
      <c r="K29" t="s">
        <v>138</v>
      </c>
      <c r="L29" t="s">
        <v>253</v>
      </c>
      <c r="M29">
        <v>1</v>
      </c>
      <c r="N29">
        <v>4</v>
      </c>
      <c r="O29">
        <v>52</v>
      </c>
      <c r="P29" t="s">
        <v>198</v>
      </c>
      <c r="Q29">
        <v>0</v>
      </c>
      <c r="R29">
        <v>0</v>
      </c>
      <c r="S29">
        <v>0</v>
      </c>
      <c r="T29">
        <v>0</v>
      </c>
      <c r="U29">
        <v>0</v>
      </c>
      <c r="V29">
        <v>0</v>
      </c>
      <c r="W29">
        <v>0</v>
      </c>
      <c r="X29">
        <v>0</v>
      </c>
      <c r="Y29">
        <v>0</v>
      </c>
      <c r="Z29">
        <v>0</v>
      </c>
      <c r="AA29">
        <v>10</v>
      </c>
      <c r="AB29">
        <v>12</v>
      </c>
      <c r="AC29">
        <v>26</v>
      </c>
      <c r="AD29">
        <v>11</v>
      </c>
      <c r="AE29">
        <v>20</v>
      </c>
      <c r="AF29">
        <v>30</v>
      </c>
      <c r="AG29">
        <v>0</v>
      </c>
      <c r="AH29">
        <v>0</v>
      </c>
      <c r="AI29">
        <v>0</v>
      </c>
      <c r="AJ29">
        <v>0</v>
      </c>
    </row>
    <row r="30" spans="1:36" x14ac:dyDescent="0.3">
      <c r="A30" t="s">
        <v>390</v>
      </c>
      <c r="B30" s="249">
        <v>45982</v>
      </c>
      <c r="C30" t="s">
        <v>252</v>
      </c>
      <c r="D30" t="s">
        <v>391</v>
      </c>
      <c r="E30" t="s">
        <v>206</v>
      </c>
      <c r="F30" t="s">
        <v>137</v>
      </c>
      <c r="G30">
        <v>0.62780000000000002</v>
      </c>
      <c r="H30">
        <v>180</v>
      </c>
      <c r="I30">
        <v>113</v>
      </c>
      <c r="J30">
        <v>0</v>
      </c>
      <c r="K30" t="s">
        <v>138</v>
      </c>
      <c r="L30" t="s">
        <v>103</v>
      </c>
      <c r="M30">
        <v>0</v>
      </c>
      <c r="N30">
        <v>4</v>
      </c>
      <c r="O30">
        <v>58</v>
      </c>
      <c r="P30" t="s">
        <v>308</v>
      </c>
      <c r="Q30">
        <v>0</v>
      </c>
      <c r="R30">
        <v>0</v>
      </c>
      <c r="S30">
        <v>0</v>
      </c>
      <c r="T30">
        <v>0</v>
      </c>
      <c r="U30">
        <v>0</v>
      </c>
      <c r="V30">
        <v>0</v>
      </c>
      <c r="W30">
        <v>0</v>
      </c>
      <c r="X30">
        <v>0</v>
      </c>
      <c r="Y30">
        <v>0</v>
      </c>
      <c r="Z30">
        <v>5</v>
      </c>
      <c r="AA30">
        <v>9</v>
      </c>
      <c r="AB30">
        <v>30</v>
      </c>
      <c r="AC30">
        <v>10</v>
      </c>
      <c r="AD30">
        <v>12</v>
      </c>
      <c r="AE30">
        <v>18</v>
      </c>
      <c r="AF30">
        <v>29</v>
      </c>
      <c r="AG30">
        <v>0</v>
      </c>
      <c r="AH30">
        <v>0</v>
      </c>
      <c r="AI30">
        <v>0</v>
      </c>
      <c r="AJ30">
        <v>0</v>
      </c>
    </row>
    <row r="31" spans="1:36" x14ac:dyDescent="0.3">
      <c r="A31" t="s">
        <v>390</v>
      </c>
      <c r="B31" s="249">
        <v>45982</v>
      </c>
      <c r="C31" t="s">
        <v>261</v>
      </c>
      <c r="D31" t="s">
        <v>395</v>
      </c>
      <c r="E31" t="s">
        <v>206</v>
      </c>
      <c r="F31" t="s">
        <v>137</v>
      </c>
      <c r="G31">
        <v>0.7944</v>
      </c>
      <c r="H31">
        <v>180</v>
      </c>
      <c r="I31">
        <v>143</v>
      </c>
      <c r="J31">
        <v>41</v>
      </c>
      <c r="K31" t="s">
        <v>138</v>
      </c>
      <c r="L31" t="s">
        <v>253</v>
      </c>
      <c r="M31">
        <v>1</v>
      </c>
      <c r="N31">
        <v>66</v>
      </c>
      <c r="O31">
        <v>99</v>
      </c>
      <c r="P31" t="s">
        <v>303</v>
      </c>
      <c r="Q31">
        <v>0</v>
      </c>
      <c r="R31">
        <v>0</v>
      </c>
      <c r="S31">
        <v>0</v>
      </c>
      <c r="T31">
        <v>0</v>
      </c>
      <c r="U31">
        <v>0</v>
      </c>
      <c r="V31">
        <v>0</v>
      </c>
      <c r="W31">
        <v>0</v>
      </c>
      <c r="X31">
        <v>0</v>
      </c>
      <c r="Y31">
        <v>0</v>
      </c>
      <c r="Z31">
        <v>1</v>
      </c>
      <c r="AA31">
        <v>6</v>
      </c>
      <c r="AB31">
        <v>25</v>
      </c>
      <c r="AC31">
        <v>33</v>
      </c>
      <c r="AD31">
        <v>12</v>
      </c>
      <c r="AE31">
        <v>15</v>
      </c>
      <c r="AF31">
        <v>10</v>
      </c>
      <c r="AG31">
        <v>0</v>
      </c>
      <c r="AH31">
        <v>0</v>
      </c>
      <c r="AI31">
        <v>41</v>
      </c>
      <c r="AJ31">
        <v>0</v>
      </c>
    </row>
    <row r="32" spans="1:36" x14ac:dyDescent="0.3">
      <c r="A32" t="s">
        <v>390</v>
      </c>
      <c r="B32" s="249">
        <v>45982</v>
      </c>
      <c r="C32" t="s">
        <v>264</v>
      </c>
      <c r="D32" t="s">
        <v>401</v>
      </c>
      <c r="E32" t="s">
        <v>206</v>
      </c>
      <c r="F32" t="s">
        <v>137</v>
      </c>
      <c r="G32">
        <v>0.63329999999999997</v>
      </c>
      <c r="H32">
        <v>180</v>
      </c>
      <c r="I32">
        <v>114</v>
      </c>
      <c r="J32">
        <v>50</v>
      </c>
      <c r="K32" t="s">
        <v>138</v>
      </c>
      <c r="L32" t="s">
        <v>103</v>
      </c>
      <c r="M32">
        <v>0</v>
      </c>
      <c r="N32">
        <v>3</v>
      </c>
      <c r="O32">
        <v>39</v>
      </c>
      <c r="P32" t="s">
        <v>198</v>
      </c>
      <c r="Q32">
        <v>0</v>
      </c>
      <c r="R32">
        <v>0</v>
      </c>
      <c r="S32">
        <v>0</v>
      </c>
      <c r="T32">
        <v>0</v>
      </c>
      <c r="U32">
        <v>0</v>
      </c>
      <c r="V32">
        <v>0</v>
      </c>
      <c r="W32">
        <v>0</v>
      </c>
      <c r="X32">
        <v>0</v>
      </c>
      <c r="Y32">
        <v>0</v>
      </c>
      <c r="Z32">
        <v>0</v>
      </c>
      <c r="AA32">
        <v>9</v>
      </c>
      <c r="AB32">
        <v>10</v>
      </c>
      <c r="AC32">
        <v>10</v>
      </c>
      <c r="AD32">
        <v>10</v>
      </c>
      <c r="AE32">
        <v>10</v>
      </c>
      <c r="AF32">
        <v>15</v>
      </c>
      <c r="AG32">
        <v>0</v>
      </c>
      <c r="AH32">
        <v>0</v>
      </c>
      <c r="AI32">
        <v>50</v>
      </c>
      <c r="AJ32">
        <v>0</v>
      </c>
    </row>
    <row r="33" spans="1:36" x14ac:dyDescent="0.3">
      <c r="A33" t="s">
        <v>390</v>
      </c>
      <c r="B33" s="249">
        <v>45982</v>
      </c>
      <c r="C33" t="s">
        <v>593</v>
      </c>
      <c r="D33" t="s">
        <v>372</v>
      </c>
      <c r="E33" t="s">
        <v>554</v>
      </c>
      <c r="F33" t="s">
        <v>137</v>
      </c>
      <c r="G33">
        <v>0.53069999999999995</v>
      </c>
      <c r="H33">
        <v>179</v>
      </c>
      <c r="I33">
        <v>95</v>
      </c>
      <c r="J33">
        <v>0</v>
      </c>
      <c r="K33" t="s">
        <v>138</v>
      </c>
      <c r="L33" t="s">
        <v>253</v>
      </c>
      <c r="M33">
        <v>3</v>
      </c>
      <c r="N33">
        <v>7</v>
      </c>
      <c r="O33">
        <v>48</v>
      </c>
      <c r="P33" t="s">
        <v>490</v>
      </c>
      <c r="Q33">
        <v>0</v>
      </c>
      <c r="R33">
        <v>0</v>
      </c>
      <c r="S33">
        <v>0</v>
      </c>
      <c r="T33">
        <v>0</v>
      </c>
      <c r="U33">
        <v>0</v>
      </c>
      <c r="V33">
        <v>0</v>
      </c>
      <c r="W33">
        <v>0</v>
      </c>
      <c r="X33">
        <v>0</v>
      </c>
      <c r="Y33">
        <v>0</v>
      </c>
      <c r="Z33">
        <v>2</v>
      </c>
      <c r="AA33">
        <v>4</v>
      </c>
      <c r="AB33">
        <v>14</v>
      </c>
      <c r="AC33">
        <v>20</v>
      </c>
      <c r="AD33">
        <v>10</v>
      </c>
      <c r="AE33">
        <v>17</v>
      </c>
      <c r="AF33">
        <v>28</v>
      </c>
      <c r="AG33">
        <v>0</v>
      </c>
      <c r="AH33">
        <v>0</v>
      </c>
      <c r="AI33">
        <v>0</v>
      </c>
      <c r="AJ33">
        <v>0</v>
      </c>
    </row>
    <row r="34" spans="1:36" x14ac:dyDescent="0.3">
      <c r="A34" t="s">
        <v>390</v>
      </c>
      <c r="B34" s="249">
        <v>45982</v>
      </c>
      <c r="C34" t="s">
        <v>625</v>
      </c>
      <c r="D34" t="s">
        <v>658</v>
      </c>
      <c r="E34" t="s">
        <v>554</v>
      </c>
      <c r="F34" t="s">
        <v>137</v>
      </c>
      <c r="G34">
        <v>0.43580000000000002</v>
      </c>
      <c r="H34">
        <v>179</v>
      </c>
      <c r="I34">
        <v>78</v>
      </c>
      <c r="J34">
        <v>0</v>
      </c>
      <c r="K34" t="s">
        <v>138</v>
      </c>
      <c r="L34" t="s">
        <v>103</v>
      </c>
      <c r="M34">
        <v>0</v>
      </c>
      <c r="N34">
        <v>6</v>
      </c>
      <c r="O34">
        <v>27</v>
      </c>
      <c r="P34" t="s">
        <v>490</v>
      </c>
      <c r="Q34">
        <v>0</v>
      </c>
      <c r="R34">
        <v>0</v>
      </c>
      <c r="S34">
        <v>0</v>
      </c>
      <c r="T34">
        <v>0</v>
      </c>
      <c r="U34">
        <v>0</v>
      </c>
      <c r="V34">
        <v>0</v>
      </c>
      <c r="W34">
        <v>0</v>
      </c>
      <c r="X34">
        <v>0</v>
      </c>
      <c r="Y34">
        <v>0</v>
      </c>
      <c r="Z34">
        <v>0</v>
      </c>
      <c r="AA34">
        <v>4</v>
      </c>
      <c r="AB34">
        <v>14</v>
      </c>
      <c r="AC34">
        <v>10</v>
      </c>
      <c r="AD34">
        <v>14</v>
      </c>
      <c r="AE34">
        <v>10</v>
      </c>
      <c r="AF34">
        <v>26</v>
      </c>
      <c r="AG34">
        <v>0</v>
      </c>
      <c r="AH34">
        <v>0</v>
      </c>
      <c r="AI34">
        <v>0</v>
      </c>
      <c r="AJ34">
        <v>0</v>
      </c>
    </row>
    <row r="35" spans="1:36" x14ac:dyDescent="0.3">
      <c r="A35" t="s">
        <v>390</v>
      </c>
      <c r="B35" s="249">
        <v>45982</v>
      </c>
      <c r="C35" t="s">
        <v>829</v>
      </c>
      <c r="D35" t="s">
        <v>838</v>
      </c>
      <c r="E35" t="s">
        <v>825</v>
      </c>
      <c r="F35" t="s">
        <v>137</v>
      </c>
      <c r="G35">
        <v>0.80449999999999999</v>
      </c>
      <c r="H35">
        <v>179</v>
      </c>
      <c r="I35">
        <v>144</v>
      </c>
      <c r="J35">
        <v>41</v>
      </c>
      <c r="K35" t="s">
        <v>138</v>
      </c>
      <c r="L35" t="s">
        <v>103</v>
      </c>
      <c r="M35">
        <v>0</v>
      </c>
      <c r="N35">
        <v>4</v>
      </c>
      <c r="O35">
        <v>46</v>
      </c>
      <c r="P35" t="s">
        <v>259</v>
      </c>
      <c r="Q35">
        <v>0</v>
      </c>
      <c r="R35">
        <v>0</v>
      </c>
      <c r="S35">
        <v>0</v>
      </c>
      <c r="T35">
        <v>0</v>
      </c>
      <c r="U35">
        <v>0</v>
      </c>
      <c r="V35">
        <v>0</v>
      </c>
      <c r="W35">
        <v>0</v>
      </c>
      <c r="X35">
        <v>1</v>
      </c>
      <c r="Y35">
        <v>13</v>
      </c>
      <c r="Z35">
        <v>14</v>
      </c>
      <c r="AA35">
        <v>15</v>
      </c>
      <c r="AB35">
        <v>20</v>
      </c>
      <c r="AC35">
        <v>21</v>
      </c>
      <c r="AD35">
        <v>19</v>
      </c>
      <c r="AE35">
        <v>0</v>
      </c>
      <c r="AF35">
        <v>0</v>
      </c>
      <c r="AG35">
        <v>0</v>
      </c>
      <c r="AH35">
        <v>0</v>
      </c>
      <c r="AI35">
        <v>41</v>
      </c>
      <c r="AJ35">
        <v>0</v>
      </c>
    </row>
    <row r="36" spans="1:36" x14ac:dyDescent="0.3">
      <c r="A36" t="s">
        <v>390</v>
      </c>
      <c r="B36" s="249">
        <v>45982</v>
      </c>
      <c r="C36" t="s">
        <v>451</v>
      </c>
      <c r="D36" t="s">
        <v>153</v>
      </c>
      <c r="E36" t="s">
        <v>441</v>
      </c>
      <c r="F36" t="s">
        <v>137</v>
      </c>
      <c r="G36">
        <v>0.74439999999999995</v>
      </c>
      <c r="H36">
        <v>180</v>
      </c>
      <c r="I36">
        <v>134</v>
      </c>
      <c r="J36">
        <v>45</v>
      </c>
      <c r="K36" t="s">
        <v>138</v>
      </c>
      <c r="L36" t="s">
        <v>103</v>
      </c>
      <c r="M36">
        <v>0</v>
      </c>
      <c r="N36">
        <v>16</v>
      </c>
      <c r="O36">
        <v>60</v>
      </c>
      <c r="P36" t="s">
        <v>396</v>
      </c>
      <c r="Q36">
        <v>0</v>
      </c>
      <c r="R36">
        <v>0</v>
      </c>
      <c r="S36">
        <v>0</v>
      </c>
      <c r="T36">
        <v>0</v>
      </c>
      <c r="U36">
        <v>0</v>
      </c>
      <c r="V36">
        <v>0</v>
      </c>
      <c r="W36">
        <v>0</v>
      </c>
      <c r="X36">
        <v>2</v>
      </c>
      <c r="Y36">
        <v>1</v>
      </c>
      <c r="Z36">
        <v>17</v>
      </c>
      <c r="AA36">
        <v>18</v>
      </c>
      <c r="AB36">
        <v>9</v>
      </c>
      <c r="AC36">
        <v>27</v>
      </c>
      <c r="AD36">
        <v>5</v>
      </c>
      <c r="AE36">
        <v>5</v>
      </c>
      <c r="AF36">
        <v>5</v>
      </c>
      <c r="AG36">
        <v>0</v>
      </c>
      <c r="AH36">
        <v>0</v>
      </c>
      <c r="AI36">
        <v>45</v>
      </c>
      <c r="AJ36">
        <v>0</v>
      </c>
    </row>
    <row r="37" spans="1:36" x14ac:dyDescent="0.3">
      <c r="A37" t="s">
        <v>146</v>
      </c>
      <c r="B37" s="249">
        <v>45983</v>
      </c>
      <c r="C37" t="s">
        <v>916</v>
      </c>
      <c r="D37" t="s">
        <v>552</v>
      </c>
      <c r="E37" t="s">
        <v>914</v>
      </c>
      <c r="F37" t="s">
        <v>137</v>
      </c>
      <c r="G37">
        <v>0.48599999999999999</v>
      </c>
      <c r="H37">
        <v>179</v>
      </c>
      <c r="I37">
        <v>87</v>
      </c>
      <c r="J37">
        <v>0</v>
      </c>
      <c r="K37" t="s">
        <v>138</v>
      </c>
      <c r="L37" t="s">
        <v>103</v>
      </c>
      <c r="M37">
        <v>0</v>
      </c>
      <c r="N37">
        <v>4</v>
      </c>
      <c r="O37">
        <v>37</v>
      </c>
      <c r="P37" t="s">
        <v>531</v>
      </c>
      <c r="Q37">
        <v>0</v>
      </c>
      <c r="R37">
        <v>0</v>
      </c>
      <c r="S37">
        <v>0</v>
      </c>
      <c r="T37">
        <v>0</v>
      </c>
      <c r="U37">
        <v>0</v>
      </c>
      <c r="V37">
        <v>0</v>
      </c>
      <c r="W37">
        <v>0</v>
      </c>
      <c r="X37">
        <v>1</v>
      </c>
      <c r="Y37">
        <v>17</v>
      </c>
      <c r="Z37">
        <v>4</v>
      </c>
      <c r="AA37">
        <v>3</v>
      </c>
      <c r="AB37">
        <v>2</v>
      </c>
      <c r="AC37">
        <v>20</v>
      </c>
      <c r="AD37">
        <v>13</v>
      </c>
      <c r="AE37">
        <v>12</v>
      </c>
      <c r="AF37">
        <v>15</v>
      </c>
      <c r="AG37">
        <v>0</v>
      </c>
      <c r="AH37">
        <v>0</v>
      </c>
      <c r="AI37">
        <v>0</v>
      </c>
      <c r="AJ37">
        <v>0</v>
      </c>
    </row>
    <row r="38" spans="1:36" x14ac:dyDescent="0.3">
      <c r="A38" t="s">
        <v>146</v>
      </c>
      <c r="B38" s="249">
        <v>45983</v>
      </c>
      <c r="C38" t="s">
        <v>509</v>
      </c>
      <c r="D38" t="s">
        <v>538</v>
      </c>
      <c r="E38" t="s">
        <v>502</v>
      </c>
      <c r="F38" t="s">
        <v>137</v>
      </c>
      <c r="G38">
        <v>0.86670000000000003</v>
      </c>
      <c r="H38">
        <v>180</v>
      </c>
      <c r="I38">
        <v>156</v>
      </c>
      <c r="J38">
        <v>90</v>
      </c>
      <c r="K38" t="s">
        <v>138</v>
      </c>
      <c r="L38" t="s">
        <v>103</v>
      </c>
      <c r="M38">
        <v>0</v>
      </c>
      <c r="N38">
        <v>5</v>
      </c>
      <c r="O38">
        <v>35</v>
      </c>
      <c r="P38" t="s">
        <v>333</v>
      </c>
      <c r="Q38">
        <v>0</v>
      </c>
      <c r="R38">
        <v>0</v>
      </c>
      <c r="S38">
        <v>0</v>
      </c>
      <c r="T38">
        <v>0</v>
      </c>
      <c r="U38">
        <v>0</v>
      </c>
      <c r="V38">
        <v>0</v>
      </c>
      <c r="W38">
        <v>0</v>
      </c>
      <c r="X38">
        <v>0</v>
      </c>
      <c r="Y38">
        <v>0</v>
      </c>
      <c r="Z38">
        <v>2</v>
      </c>
      <c r="AA38">
        <v>11</v>
      </c>
      <c r="AB38">
        <v>9</v>
      </c>
      <c r="AC38">
        <v>10</v>
      </c>
      <c r="AD38">
        <v>24</v>
      </c>
      <c r="AE38">
        <v>5</v>
      </c>
      <c r="AF38">
        <v>5</v>
      </c>
      <c r="AG38">
        <v>0</v>
      </c>
      <c r="AH38">
        <v>0</v>
      </c>
      <c r="AI38">
        <v>90</v>
      </c>
      <c r="AJ38">
        <v>0</v>
      </c>
    </row>
    <row r="39" spans="1:36" x14ac:dyDescent="0.3">
      <c r="A39" t="s">
        <v>146</v>
      </c>
      <c r="B39" s="249">
        <v>45983</v>
      </c>
      <c r="C39" t="s">
        <v>505</v>
      </c>
      <c r="D39" t="s">
        <v>540</v>
      </c>
      <c r="E39" t="s">
        <v>502</v>
      </c>
      <c r="F39" t="s">
        <v>137</v>
      </c>
      <c r="G39">
        <v>0.99439999999999995</v>
      </c>
      <c r="H39">
        <v>180</v>
      </c>
      <c r="I39">
        <v>179</v>
      </c>
      <c r="J39">
        <v>100</v>
      </c>
      <c r="K39" t="s">
        <v>138</v>
      </c>
      <c r="L39" t="s">
        <v>103</v>
      </c>
      <c r="M39">
        <v>0</v>
      </c>
      <c r="N39">
        <v>8</v>
      </c>
      <c r="O39">
        <v>30</v>
      </c>
      <c r="P39" t="s">
        <v>78</v>
      </c>
      <c r="Q39">
        <v>1</v>
      </c>
      <c r="R39">
        <v>0</v>
      </c>
      <c r="S39">
        <v>0</v>
      </c>
      <c r="T39">
        <v>0</v>
      </c>
      <c r="U39">
        <v>0</v>
      </c>
      <c r="V39">
        <v>0</v>
      </c>
      <c r="W39">
        <v>0</v>
      </c>
      <c r="X39">
        <v>0</v>
      </c>
      <c r="Y39">
        <v>0</v>
      </c>
      <c r="Z39">
        <v>5</v>
      </c>
      <c r="AA39">
        <v>12</v>
      </c>
      <c r="AB39">
        <v>11</v>
      </c>
      <c r="AC39">
        <v>17</v>
      </c>
      <c r="AD39">
        <v>31</v>
      </c>
      <c r="AE39">
        <v>0</v>
      </c>
      <c r="AF39">
        <v>2</v>
      </c>
      <c r="AG39">
        <v>0</v>
      </c>
      <c r="AH39">
        <v>0</v>
      </c>
      <c r="AI39">
        <v>100</v>
      </c>
      <c r="AJ39">
        <v>0</v>
      </c>
    </row>
    <row r="40" spans="1:36" x14ac:dyDescent="0.3">
      <c r="A40" t="s">
        <v>146</v>
      </c>
      <c r="B40" s="249">
        <v>45983</v>
      </c>
      <c r="C40" t="s">
        <v>188</v>
      </c>
      <c r="D40" t="s">
        <v>196</v>
      </c>
      <c r="E40" t="s">
        <v>185</v>
      </c>
      <c r="F40" t="s">
        <v>137</v>
      </c>
      <c r="G40">
        <v>0.9</v>
      </c>
      <c r="H40">
        <v>180</v>
      </c>
      <c r="I40">
        <v>162</v>
      </c>
      <c r="J40">
        <v>105</v>
      </c>
      <c r="K40" t="s">
        <v>138</v>
      </c>
      <c r="L40" t="s">
        <v>103</v>
      </c>
      <c r="M40">
        <v>0</v>
      </c>
      <c r="N40">
        <v>3</v>
      </c>
      <c r="O40">
        <v>19</v>
      </c>
      <c r="P40" t="s">
        <v>189</v>
      </c>
      <c r="Q40">
        <v>0</v>
      </c>
      <c r="R40">
        <v>0</v>
      </c>
      <c r="S40">
        <v>0</v>
      </c>
      <c r="T40">
        <v>0</v>
      </c>
      <c r="U40">
        <v>0</v>
      </c>
      <c r="V40">
        <v>0</v>
      </c>
      <c r="W40">
        <v>0</v>
      </c>
      <c r="X40">
        <v>0</v>
      </c>
      <c r="Y40">
        <v>0</v>
      </c>
      <c r="Z40">
        <v>7</v>
      </c>
      <c r="AA40">
        <v>1</v>
      </c>
      <c r="AB40">
        <v>5</v>
      </c>
      <c r="AC40">
        <v>15</v>
      </c>
      <c r="AD40">
        <v>11</v>
      </c>
      <c r="AE40">
        <v>9</v>
      </c>
      <c r="AF40">
        <v>9</v>
      </c>
      <c r="AG40">
        <v>0</v>
      </c>
      <c r="AH40">
        <v>0</v>
      </c>
      <c r="AI40">
        <v>105</v>
      </c>
      <c r="AJ40">
        <v>0</v>
      </c>
    </row>
    <row r="41" spans="1:36" x14ac:dyDescent="0.3">
      <c r="A41" t="s">
        <v>146</v>
      </c>
      <c r="B41" s="249">
        <v>45983</v>
      </c>
      <c r="C41" t="s">
        <v>854</v>
      </c>
      <c r="D41" t="s">
        <v>196</v>
      </c>
      <c r="E41" t="s">
        <v>849</v>
      </c>
      <c r="F41" t="s">
        <v>137</v>
      </c>
      <c r="G41">
        <v>0.83799999999999997</v>
      </c>
      <c r="H41">
        <v>179</v>
      </c>
      <c r="I41">
        <v>150</v>
      </c>
      <c r="J41">
        <v>0</v>
      </c>
      <c r="K41" t="s">
        <v>138</v>
      </c>
      <c r="L41" t="s">
        <v>103</v>
      </c>
      <c r="M41">
        <v>0</v>
      </c>
      <c r="N41">
        <v>5</v>
      </c>
      <c r="O41">
        <v>20</v>
      </c>
      <c r="P41" t="s">
        <v>858</v>
      </c>
      <c r="Q41">
        <v>0</v>
      </c>
      <c r="R41">
        <v>0</v>
      </c>
      <c r="S41">
        <v>0</v>
      </c>
      <c r="T41">
        <v>15</v>
      </c>
      <c r="U41">
        <v>15</v>
      </c>
      <c r="V41">
        <v>15</v>
      </c>
      <c r="W41">
        <v>15</v>
      </c>
      <c r="X41">
        <v>24</v>
      </c>
      <c r="Y41">
        <v>13</v>
      </c>
      <c r="Z41">
        <v>4</v>
      </c>
      <c r="AA41">
        <v>2</v>
      </c>
      <c r="AB41">
        <v>17</v>
      </c>
      <c r="AC41">
        <v>8</v>
      </c>
      <c r="AD41">
        <v>6</v>
      </c>
      <c r="AE41">
        <v>11</v>
      </c>
      <c r="AF41">
        <v>5</v>
      </c>
      <c r="AG41">
        <v>0</v>
      </c>
      <c r="AH41">
        <v>0</v>
      </c>
      <c r="AI41">
        <v>0</v>
      </c>
      <c r="AJ41">
        <v>0</v>
      </c>
    </row>
    <row r="42" spans="1:36" x14ac:dyDescent="0.3">
      <c r="A42" t="s">
        <v>146</v>
      </c>
      <c r="B42" s="249">
        <v>45983</v>
      </c>
      <c r="C42" t="s">
        <v>805</v>
      </c>
      <c r="D42" t="s">
        <v>813</v>
      </c>
      <c r="E42" t="s">
        <v>800</v>
      </c>
      <c r="F42" t="s">
        <v>137</v>
      </c>
      <c r="G42">
        <v>0.56979999999999997</v>
      </c>
      <c r="H42">
        <v>179</v>
      </c>
      <c r="I42">
        <v>102</v>
      </c>
      <c r="J42">
        <v>0</v>
      </c>
      <c r="K42" t="s">
        <v>138</v>
      </c>
      <c r="L42" t="s">
        <v>103</v>
      </c>
      <c r="M42">
        <v>0</v>
      </c>
      <c r="N42">
        <v>22</v>
      </c>
      <c r="O42">
        <v>52</v>
      </c>
      <c r="P42" t="s">
        <v>139</v>
      </c>
      <c r="Q42">
        <v>0</v>
      </c>
      <c r="R42">
        <v>0</v>
      </c>
      <c r="S42">
        <v>0</v>
      </c>
      <c r="T42">
        <v>0</v>
      </c>
      <c r="U42">
        <v>0</v>
      </c>
      <c r="V42">
        <v>0</v>
      </c>
      <c r="W42">
        <v>0</v>
      </c>
      <c r="X42">
        <v>0</v>
      </c>
      <c r="Y42">
        <v>4</v>
      </c>
      <c r="Z42">
        <v>74</v>
      </c>
      <c r="AA42">
        <v>0</v>
      </c>
      <c r="AB42">
        <v>0</v>
      </c>
      <c r="AC42">
        <v>7</v>
      </c>
      <c r="AD42">
        <v>0</v>
      </c>
      <c r="AE42">
        <v>0</v>
      </c>
      <c r="AF42">
        <v>17</v>
      </c>
      <c r="AG42">
        <v>0</v>
      </c>
      <c r="AH42">
        <v>0</v>
      </c>
      <c r="AI42">
        <v>0</v>
      </c>
      <c r="AJ42">
        <v>0</v>
      </c>
    </row>
    <row r="43" spans="1:36" x14ac:dyDescent="0.3">
      <c r="A43" t="s">
        <v>146</v>
      </c>
      <c r="B43" s="249">
        <v>45983</v>
      </c>
      <c r="C43" t="s">
        <v>708</v>
      </c>
      <c r="D43" t="s">
        <v>728</v>
      </c>
      <c r="E43" t="s">
        <v>687</v>
      </c>
      <c r="F43" t="s">
        <v>137</v>
      </c>
      <c r="G43">
        <v>0.63329999999999997</v>
      </c>
      <c r="H43">
        <v>180</v>
      </c>
      <c r="I43">
        <v>114</v>
      </c>
      <c r="J43">
        <v>0</v>
      </c>
      <c r="K43" t="s">
        <v>138</v>
      </c>
      <c r="L43" t="s">
        <v>253</v>
      </c>
      <c r="M43">
        <v>2</v>
      </c>
      <c r="N43">
        <v>21</v>
      </c>
      <c r="O43">
        <v>60</v>
      </c>
      <c r="P43" t="s">
        <v>364</v>
      </c>
      <c r="Q43">
        <v>0</v>
      </c>
      <c r="R43">
        <v>0</v>
      </c>
      <c r="S43">
        <v>0</v>
      </c>
      <c r="T43">
        <v>0</v>
      </c>
      <c r="U43">
        <v>0</v>
      </c>
      <c r="V43">
        <v>0</v>
      </c>
      <c r="W43">
        <v>5</v>
      </c>
      <c r="X43">
        <v>14</v>
      </c>
      <c r="Y43">
        <v>46</v>
      </c>
      <c r="Z43">
        <v>3</v>
      </c>
      <c r="AA43">
        <v>1</v>
      </c>
      <c r="AB43">
        <v>6</v>
      </c>
      <c r="AC43">
        <v>8</v>
      </c>
      <c r="AD43">
        <v>22</v>
      </c>
      <c r="AE43">
        <v>3</v>
      </c>
      <c r="AF43">
        <v>6</v>
      </c>
      <c r="AG43">
        <v>0</v>
      </c>
      <c r="AH43">
        <v>0</v>
      </c>
      <c r="AI43">
        <v>0</v>
      </c>
      <c r="AJ43">
        <v>0</v>
      </c>
    </row>
    <row r="44" spans="1:36" x14ac:dyDescent="0.3">
      <c r="A44" t="s">
        <v>146</v>
      </c>
      <c r="B44" s="249">
        <v>45983</v>
      </c>
      <c r="C44" t="s">
        <v>934</v>
      </c>
      <c r="D44" t="s">
        <v>919</v>
      </c>
      <c r="E44" t="s">
        <v>926</v>
      </c>
      <c r="F44" t="s">
        <v>137</v>
      </c>
      <c r="G44">
        <v>0.77090000000000003</v>
      </c>
      <c r="H44">
        <v>179</v>
      </c>
      <c r="I44">
        <v>138</v>
      </c>
      <c r="J44">
        <v>0</v>
      </c>
      <c r="K44" t="s">
        <v>138</v>
      </c>
      <c r="L44" t="s">
        <v>253</v>
      </c>
      <c r="M44">
        <v>2</v>
      </c>
      <c r="N44">
        <v>6</v>
      </c>
      <c r="O44">
        <v>66</v>
      </c>
      <c r="P44" t="s">
        <v>490</v>
      </c>
      <c r="Q44">
        <v>0</v>
      </c>
      <c r="R44">
        <v>0</v>
      </c>
      <c r="S44">
        <v>0</v>
      </c>
      <c r="T44">
        <v>0</v>
      </c>
      <c r="U44">
        <v>0</v>
      </c>
      <c r="V44">
        <v>0</v>
      </c>
      <c r="W44">
        <v>0</v>
      </c>
      <c r="X44">
        <v>0</v>
      </c>
      <c r="Y44">
        <v>0</v>
      </c>
      <c r="Z44">
        <v>0</v>
      </c>
      <c r="AA44">
        <v>10</v>
      </c>
      <c r="AB44">
        <v>8</v>
      </c>
      <c r="AC44">
        <v>93</v>
      </c>
      <c r="AD44">
        <v>11</v>
      </c>
      <c r="AE44">
        <v>11</v>
      </c>
      <c r="AF44">
        <v>5</v>
      </c>
      <c r="AG44">
        <v>0</v>
      </c>
      <c r="AH44">
        <v>0</v>
      </c>
      <c r="AI44">
        <v>0</v>
      </c>
      <c r="AJ44">
        <v>0</v>
      </c>
    </row>
    <row r="45" spans="1:36" x14ac:dyDescent="0.3">
      <c r="A45" t="s">
        <v>146</v>
      </c>
      <c r="B45" s="249">
        <v>45983</v>
      </c>
      <c r="C45" t="s">
        <v>258</v>
      </c>
      <c r="D45" t="s">
        <v>426</v>
      </c>
      <c r="E45" t="s">
        <v>206</v>
      </c>
      <c r="F45" t="s">
        <v>137</v>
      </c>
      <c r="G45">
        <v>0.86109999999999998</v>
      </c>
      <c r="H45">
        <v>180</v>
      </c>
      <c r="I45">
        <v>155</v>
      </c>
      <c r="J45">
        <v>45</v>
      </c>
      <c r="K45" t="s">
        <v>138</v>
      </c>
      <c r="L45" t="s">
        <v>253</v>
      </c>
      <c r="M45">
        <v>1</v>
      </c>
      <c r="N45">
        <v>15</v>
      </c>
      <c r="O45">
        <v>99</v>
      </c>
      <c r="P45" t="s">
        <v>333</v>
      </c>
      <c r="Q45">
        <v>0</v>
      </c>
      <c r="R45">
        <v>0</v>
      </c>
      <c r="S45">
        <v>0</v>
      </c>
      <c r="T45">
        <v>0</v>
      </c>
      <c r="U45">
        <v>0</v>
      </c>
      <c r="V45">
        <v>0</v>
      </c>
      <c r="W45">
        <v>0</v>
      </c>
      <c r="X45">
        <v>0</v>
      </c>
      <c r="Y45">
        <v>0</v>
      </c>
      <c r="Z45">
        <v>1</v>
      </c>
      <c r="AA45">
        <v>9</v>
      </c>
      <c r="AB45">
        <v>33</v>
      </c>
      <c r="AC45">
        <v>11</v>
      </c>
      <c r="AD45">
        <v>11</v>
      </c>
      <c r="AE45">
        <v>11</v>
      </c>
      <c r="AF45">
        <v>33</v>
      </c>
      <c r="AG45">
        <v>0</v>
      </c>
      <c r="AH45">
        <v>0</v>
      </c>
      <c r="AI45">
        <v>45</v>
      </c>
      <c r="AJ45">
        <v>1</v>
      </c>
    </row>
    <row r="46" spans="1:36" x14ac:dyDescent="0.3">
      <c r="A46" t="s">
        <v>146</v>
      </c>
      <c r="B46" s="249">
        <v>45983</v>
      </c>
      <c r="C46" t="s">
        <v>248</v>
      </c>
      <c r="D46" t="s">
        <v>414</v>
      </c>
      <c r="E46" t="s">
        <v>206</v>
      </c>
      <c r="F46" t="s">
        <v>137</v>
      </c>
      <c r="G46">
        <v>0.99439999999999995</v>
      </c>
      <c r="H46">
        <v>180</v>
      </c>
      <c r="I46">
        <v>179</v>
      </c>
      <c r="J46">
        <v>113</v>
      </c>
      <c r="K46" t="s">
        <v>138</v>
      </c>
      <c r="L46" t="s">
        <v>103</v>
      </c>
      <c r="M46">
        <v>0</v>
      </c>
      <c r="N46">
        <v>11</v>
      </c>
      <c r="O46">
        <v>37</v>
      </c>
      <c r="P46" t="s">
        <v>333</v>
      </c>
      <c r="Q46">
        <v>0</v>
      </c>
      <c r="R46">
        <v>0</v>
      </c>
      <c r="S46">
        <v>0</v>
      </c>
      <c r="T46">
        <v>0</v>
      </c>
      <c r="U46">
        <v>0</v>
      </c>
      <c r="V46">
        <v>0</v>
      </c>
      <c r="W46">
        <v>0</v>
      </c>
      <c r="X46">
        <v>0</v>
      </c>
      <c r="Y46">
        <v>0</v>
      </c>
      <c r="Z46">
        <v>1</v>
      </c>
      <c r="AA46">
        <v>0</v>
      </c>
      <c r="AB46">
        <v>7</v>
      </c>
      <c r="AC46">
        <v>12</v>
      </c>
      <c r="AD46">
        <v>12</v>
      </c>
      <c r="AE46">
        <v>12</v>
      </c>
      <c r="AF46">
        <v>22</v>
      </c>
      <c r="AG46">
        <v>49</v>
      </c>
      <c r="AH46">
        <v>0</v>
      </c>
      <c r="AI46">
        <v>64</v>
      </c>
      <c r="AJ46">
        <v>0</v>
      </c>
    </row>
    <row r="47" spans="1:36" x14ac:dyDescent="0.3">
      <c r="A47" t="s">
        <v>146</v>
      </c>
      <c r="B47" s="249">
        <v>45983</v>
      </c>
      <c r="C47" t="s">
        <v>252</v>
      </c>
      <c r="D47" t="s">
        <v>358</v>
      </c>
      <c r="E47" t="s">
        <v>206</v>
      </c>
      <c r="F47" t="s">
        <v>137</v>
      </c>
      <c r="G47">
        <v>0.98870000000000002</v>
      </c>
      <c r="H47">
        <v>177</v>
      </c>
      <c r="I47">
        <v>175</v>
      </c>
      <c r="J47">
        <v>94</v>
      </c>
      <c r="K47" t="s">
        <v>138</v>
      </c>
      <c r="L47" t="s">
        <v>103</v>
      </c>
      <c r="M47">
        <v>0</v>
      </c>
      <c r="N47">
        <v>1</v>
      </c>
      <c r="O47">
        <v>46</v>
      </c>
      <c r="P47" t="s">
        <v>336</v>
      </c>
      <c r="Q47">
        <v>0</v>
      </c>
      <c r="R47">
        <v>0</v>
      </c>
      <c r="S47">
        <v>0</v>
      </c>
      <c r="T47">
        <v>0</v>
      </c>
      <c r="U47">
        <v>0</v>
      </c>
      <c r="V47">
        <v>0</v>
      </c>
      <c r="W47">
        <v>0</v>
      </c>
      <c r="X47">
        <v>0</v>
      </c>
      <c r="Y47">
        <v>0</v>
      </c>
      <c r="Z47">
        <v>1</v>
      </c>
      <c r="AA47">
        <v>8</v>
      </c>
      <c r="AB47">
        <v>11</v>
      </c>
      <c r="AC47">
        <v>11</v>
      </c>
      <c r="AD47">
        <v>12</v>
      </c>
      <c r="AE47">
        <v>11</v>
      </c>
      <c r="AF47">
        <v>25</v>
      </c>
      <c r="AG47">
        <v>0</v>
      </c>
      <c r="AH47">
        <v>0</v>
      </c>
      <c r="AI47">
        <v>94</v>
      </c>
      <c r="AJ47">
        <v>2</v>
      </c>
    </row>
    <row r="48" spans="1:36" x14ac:dyDescent="0.3">
      <c r="A48" t="s">
        <v>146</v>
      </c>
      <c r="B48" s="249">
        <v>45983</v>
      </c>
      <c r="C48" t="s">
        <v>261</v>
      </c>
      <c r="D48" t="s">
        <v>424</v>
      </c>
      <c r="E48" t="s">
        <v>206</v>
      </c>
      <c r="F48" t="s">
        <v>137</v>
      </c>
      <c r="G48">
        <v>0.99439999999999995</v>
      </c>
      <c r="H48">
        <v>180</v>
      </c>
      <c r="I48">
        <v>179</v>
      </c>
      <c r="J48">
        <v>125</v>
      </c>
      <c r="K48" t="s">
        <v>138</v>
      </c>
      <c r="L48" t="s">
        <v>338</v>
      </c>
      <c r="M48">
        <v>0</v>
      </c>
      <c r="N48">
        <v>0</v>
      </c>
      <c r="O48">
        <v>23</v>
      </c>
      <c r="P48" t="s">
        <v>78</v>
      </c>
      <c r="Q48">
        <v>0</v>
      </c>
      <c r="R48">
        <v>0</v>
      </c>
      <c r="S48">
        <v>0</v>
      </c>
      <c r="T48">
        <v>0</v>
      </c>
      <c r="U48">
        <v>0</v>
      </c>
      <c r="V48">
        <v>0</v>
      </c>
      <c r="W48">
        <v>0</v>
      </c>
      <c r="X48">
        <v>0</v>
      </c>
      <c r="Y48">
        <v>1</v>
      </c>
      <c r="Z48">
        <v>1</v>
      </c>
      <c r="AA48">
        <v>0</v>
      </c>
      <c r="AB48">
        <v>0</v>
      </c>
      <c r="AC48">
        <v>9</v>
      </c>
      <c r="AD48">
        <v>12</v>
      </c>
      <c r="AE48">
        <v>15</v>
      </c>
      <c r="AF48">
        <v>15</v>
      </c>
      <c r="AG48">
        <v>0</v>
      </c>
      <c r="AH48">
        <v>0</v>
      </c>
      <c r="AI48">
        <v>125</v>
      </c>
      <c r="AJ48">
        <v>1</v>
      </c>
    </row>
    <row r="49" spans="1:36" x14ac:dyDescent="0.3">
      <c r="A49" t="s">
        <v>146</v>
      </c>
      <c r="B49" s="249">
        <v>45983</v>
      </c>
      <c r="C49" t="s">
        <v>74</v>
      </c>
      <c r="D49" t="s">
        <v>147</v>
      </c>
      <c r="E49" t="s">
        <v>1</v>
      </c>
      <c r="F49" t="s">
        <v>137</v>
      </c>
      <c r="G49">
        <v>0.9778</v>
      </c>
      <c r="H49">
        <v>180</v>
      </c>
      <c r="I49">
        <v>176</v>
      </c>
      <c r="J49">
        <v>176</v>
      </c>
      <c r="K49" t="s">
        <v>138</v>
      </c>
      <c r="L49" t="s">
        <v>103</v>
      </c>
      <c r="M49">
        <v>0</v>
      </c>
      <c r="N49">
        <v>46</v>
      </c>
      <c r="O49">
        <v>46</v>
      </c>
      <c r="P49" t="s">
        <v>104</v>
      </c>
      <c r="Q49">
        <v>0</v>
      </c>
      <c r="R49">
        <v>0</v>
      </c>
      <c r="S49">
        <v>0</v>
      </c>
      <c r="T49">
        <v>0</v>
      </c>
      <c r="U49">
        <v>0</v>
      </c>
      <c r="V49">
        <v>0</v>
      </c>
      <c r="W49">
        <v>0</v>
      </c>
      <c r="X49">
        <v>0</v>
      </c>
      <c r="Y49">
        <v>0</v>
      </c>
      <c r="Z49">
        <v>0</v>
      </c>
      <c r="AA49">
        <v>0</v>
      </c>
      <c r="AB49">
        <v>0</v>
      </c>
      <c r="AC49">
        <v>0</v>
      </c>
      <c r="AD49">
        <v>0</v>
      </c>
      <c r="AE49">
        <v>0</v>
      </c>
      <c r="AF49">
        <v>0</v>
      </c>
      <c r="AG49">
        <v>45</v>
      </c>
      <c r="AH49">
        <v>0</v>
      </c>
      <c r="AI49">
        <v>131</v>
      </c>
      <c r="AJ49">
        <v>0</v>
      </c>
    </row>
    <row r="50" spans="1:36" x14ac:dyDescent="0.3">
      <c r="A50" t="s">
        <v>146</v>
      </c>
      <c r="B50" s="249">
        <v>45983</v>
      </c>
      <c r="C50" t="s">
        <v>593</v>
      </c>
      <c r="D50" t="s">
        <v>650</v>
      </c>
      <c r="E50" t="s">
        <v>554</v>
      </c>
      <c r="F50" t="s">
        <v>137</v>
      </c>
      <c r="G50">
        <v>0.58099999999999996</v>
      </c>
      <c r="H50">
        <v>179</v>
      </c>
      <c r="I50">
        <v>104</v>
      </c>
      <c r="J50">
        <v>0</v>
      </c>
      <c r="K50" t="s">
        <v>138</v>
      </c>
      <c r="L50" t="s">
        <v>103</v>
      </c>
      <c r="M50">
        <v>0</v>
      </c>
      <c r="N50">
        <v>17</v>
      </c>
      <c r="O50">
        <v>57</v>
      </c>
      <c r="P50" t="s">
        <v>333</v>
      </c>
      <c r="Q50">
        <v>0</v>
      </c>
      <c r="R50">
        <v>0</v>
      </c>
      <c r="S50">
        <v>0</v>
      </c>
      <c r="T50">
        <v>0</v>
      </c>
      <c r="U50">
        <v>0</v>
      </c>
      <c r="V50">
        <v>0</v>
      </c>
      <c r="W50">
        <v>0</v>
      </c>
      <c r="X50">
        <v>0</v>
      </c>
      <c r="Y50">
        <v>0</v>
      </c>
      <c r="Z50">
        <v>4</v>
      </c>
      <c r="AA50">
        <v>10</v>
      </c>
      <c r="AB50">
        <v>18</v>
      </c>
      <c r="AC50">
        <v>10</v>
      </c>
      <c r="AD50">
        <v>17</v>
      </c>
      <c r="AE50">
        <v>10</v>
      </c>
      <c r="AF50">
        <v>35</v>
      </c>
      <c r="AG50">
        <v>0</v>
      </c>
      <c r="AH50">
        <v>0</v>
      </c>
      <c r="AI50">
        <v>0</v>
      </c>
      <c r="AJ50">
        <v>0</v>
      </c>
    </row>
    <row r="51" spans="1:36" x14ac:dyDescent="0.3">
      <c r="A51" t="s">
        <v>146</v>
      </c>
      <c r="B51" s="249">
        <v>45983</v>
      </c>
      <c r="C51" t="s">
        <v>773</v>
      </c>
      <c r="D51" t="s">
        <v>437</v>
      </c>
      <c r="E51" t="s">
        <v>769</v>
      </c>
      <c r="F51" t="s">
        <v>787</v>
      </c>
      <c r="G51">
        <v>0.66969999999999996</v>
      </c>
      <c r="H51">
        <v>109</v>
      </c>
      <c r="I51">
        <v>73</v>
      </c>
      <c r="J51">
        <v>0</v>
      </c>
      <c r="K51" t="s">
        <v>138</v>
      </c>
      <c r="L51" t="s">
        <v>103</v>
      </c>
      <c r="M51">
        <v>0</v>
      </c>
      <c r="N51">
        <v>14</v>
      </c>
      <c r="O51">
        <v>40</v>
      </c>
      <c r="P51" t="s">
        <v>182</v>
      </c>
      <c r="Q51">
        <v>0</v>
      </c>
      <c r="R51">
        <v>0</v>
      </c>
      <c r="S51">
        <v>0</v>
      </c>
      <c r="T51">
        <v>0</v>
      </c>
      <c r="U51">
        <v>0</v>
      </c>
      <c r="V51">
        <v>0</v>
      </c>
      <c r="W51">
        <v>0</v>
      </c>
      <c r="X51">
        <v>0</v>
      </c>
      <c r="Y51">
        <v>0</v>
      </c>
      <c r="Z51">
        <v>3</v>
      </c>
      <c r="AA51">
        <v>0</v>
      </c>
      <c r="AB51">
        <v>0</v>
      </c>
      <c r="AC51">
        <v>0</v>
      </c>
      <c r="AD51">
        <v>4</v>
      </c>
      <c r="AE51">
        <v>11</v>
      </c>
      <c r="AF51">
        <v>55</v>
      </c>
      <c r="AG51">
        <v>0</v>
      </c>
      <c r="AH51">
        <v>0</v>
      </c>
      <c r="AI51">
        <v>0</v>
      </c>
      <c r="AJ51">
        <v>0</v>
      </c>
    </row>
    <row r="52" spans="1:36" x14ac:dyDescent="0.3">
      <c r="A52" t="s">
        <v>146</v>
      </c>
      <c r="B52" s="249">
        <v>45983</v>
      </c>
      <c r="C52" t="s">
        <v>829</v>
      </c>
      <c r="D52" t="s">
        <v>845</v>
      </c>
      <c r="E52" t="s">
        <v>825</v>
      </c>
      <c r="F52" t="s">
        <v>137</v>
      </c>
      <c r="G52">
        <v>1</v>
      </c>
      <c r="H52">
        <v>179</v>
      </c>
      <c r="I52">
        <v>179</v>
      </c>
      <c r="J52">
        <v>146</v>
      </c>
      <c r="K52" t="s">
        <v>138</v>
      </c>
      <c r="L52" t="s">
        <v>77</v>
      </c>
      <c r="M52">
        <v>0</v>
      </c>
      <c r="N52">
        <v>0</v>
      </c>
      <c r="O52">
        <v>10</v>
      </c>
      <c r="P52" t="s">
        <v>78</v>
      </c>
      <c r="Q52">
        <v>0</v>
      </c>
      <c r="R52">
        <v>0</v>
      </c>
      <c r="S52">
        <v>0</v>
      </c>
      <c r="T52">
        <v>0</v>
      </c>
      <c r="U52">
        <v>0</v>
      </c>
      <c r="V52">
        <v>0</v>
      </c>
      <c r="W52">
        <v>6</v>
      </c>
      <c r="X52">
        <v>0</v>
      </c>
      <c r="Y52">
        <v>0</v>
      </c>
      <c r="Z52">
        <v>3</v>
      </c>
      <c r="AA52">
        <v>3</v>
      </c>
      <c r="AB52">
        <v>8</v>
      </c>
      <c r="AC52">
        <v>12</v>
      </c>
      <c r="AD52">
        <v>0</v>
      </c>
      <c r="AE52">
        <v>0</v>
      </c>
      <c r="AF52">
        <v>0</v>
      </c>
      <c r="AG52">
        <v>0</v>
      </c>
      <c r="AH52">
        <v>0</v>
      </c>
      <c r="AI52">
        <v>146</v>
      </c>
      <c r="AJ52">
        <v>1</v>
      </c>
    </row>
    <row r="53" spans="1:36" x14ac:dyDescent="0.3">
      <c r="A53" t="s">
        <v>146</v>
      </c>
      <c r="B53" s="249">
        <v>45983</v>
      </c>
      <c r="C53" t="s">
        <v>451</v>
      </c>
      <c r="D53" t="s">
        <v>496</v>
      </c>
      <c r="E53" t="s">
        <v>441</v>
      </c>
      <c r="F53" t="s">
        <v>137</v>
      </c>
      <c r="G53">
        <v>0.88329999999999997</v>
      </c>
      <c r="H53">
        <v>180</v>
      </c>
      <c r="I53">
        <v>159</v>
      </c>
      <c r="J53">
        <v>90</v>
      </c>
      <c r="K53" t="s">
        <v>138</v>
      </c>
      <c r="L53" t="s">
        <v>103</v>
      </c>
      <c r="M53">
        <v>0</v>
      </c>
      <c r="N53">
        <v>8</v>
      </c>
      <c r="O53">
        <v>37</v>
      </c>
      <c r="P53" t="s">
        <v>472</v>
      </c>
      <c r="Q53">
        <v>0</v>
      </c>
      <c r="R53">
        <v>0</v>
      </c>
      <c r="S53">
        <v>0</v>
      </c>
      <c r="T53">
        <v>0</v>
      </c>
      <c r="U53">
        <v>0</v>
      </c>
      <c r="V53">
        <v>0</v>
      </c>
      <c r="W53">
        <v>0</v>
      </c>
      <c r="X53">
        <v>0</v>
      </c>
      <c r="Y53">
        <v>0</v>
      </c>
      <c r="Z53">
        <v>11</v>
      </c>
      <c r="AA53">
        <v>8</v>
      </c>
      <c r="AB53">
        <v>15</v>
      </c>
      <c r="AC53">
        <v>15</v>
      </c>
      <c r="AD53">
        <v>10</v>
      </c>
      <c r="AE53">
        <v>10</v>
      </c>
      <c r="AF53">
        <v>0</v>
      </c>
      <c r="AG53">
        <v>0</v>
      </c>
      <c r="AH53">
        <v>0</v>
      </c>
      <c r="AI53">
        <v>90</v>
      </c>
      <c r="AJ53">
        <v>0</v>
      </c>
    </row>
    <row r="54" spans="1:36" x14ac:dyDescent="0.3">
      <c r="A54" t="s">
        <v>146</v>
      </c>
      <c r="B54" s="249">
        <v>45983</v>
      </c>
      <c r="C54" t="s">
        <v>470</v>
      </c>
      <c r="D54" t="s">
        <v>493</v>
      </c>
      <c r="E54" t="s">
        <v>441</v>
      </c>
      <c r="F54" t="s">
        <v>137</v>
      </c>
      <c r="G54">
        <v>0.95</v>
      </c>
      <c r="H54">
        <v>180</v>
      </c>
      <c r="I54">
        <v>171</v>
      </c>
      <c r="J54">
        <v>127</v>
      </c>
      <c r="K54" t="s">
        <v>138</v>
      </c>
      <c r="L54" t="s">
        <v>103</v>
      </c>
      <c r="M54">
        <v>0</v>
      </c>
      <c r="N54">
        <v>4</v>
      </c>
      <c r="O54">
        <v>20</v>
      </c>
      <c r="P54" t="s">
        <v>333</v>
      </c>
      <c r="Q54">
        <v>0</v>
      </c>
      <c r="R54">
        <v>0</v>
      </c>
      <c r="S54">
        <v>0</v>
      </c>
      <c r="T54">
        <v>0</v>
      </c>
      <c r="U54">
        <v>0</v>
      </c>
      <c r="V54">
        <v>0</v>
      </c>
      <c r="W54">
        <v>0</v>
      </c>
      <c r="X54">
        <v>0</v>
      </c>
      <c r="Y54">
        <v>0</v>
      </c>
      <c r="Z54">
        <v>7</v>
      </c>
      <c r="AA54">
        <v>3</v>
      </c>
      <c r="AB54">
        <v>14</v>
      </c>
      <c r="AC54">
        <v>15</v>
      </c>
      <c r="AD54">
        <v>5</v>
      </c>
      <c r="AE54">
        <v>0</v>
      </c>
      <c r="AF54">
        <v>0</v>
      </c>
      <c r="AG54">
        <v>0</v>
      </c>
      <c r="AH54">
        <v>0</v>
      </c>
      <c r="AI54">
        <v>127</v>
      </c>
      <c r="AJ54">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97</vt:i4>
      </vt:variant>
    </vt:vector>
  </HeadingPairs>
  <TitlesOfParts>
    <vt:vector size="97" baseType="lpstr">
      <vt:lpstr>CAI-MED</vt:lpstr>
      <vt:lpstr>CAI-MED LF LEGACY</vt:lpstr>
      <vt:lpstr>CAI-MED - FOCUS MODE</vt:lpstr>
      <vt:lpstr>CAI-MED - OAL Threats Alert</vt:lpstr>
      <vt:lpstr>HBE-MED</vt:lpstr>
      <vt:lpstr>HBE-MED LF LEGACY</vt:lpstr>
      <vt:lpstr>HBE-MED - FOCUS MODE</vt:lpstr>
      <vt:lpstr>HBE-MED - OAL Threats Alert</vt:lpstr>
      <vt:lpstr>ATZ-MED</vt:lpstr>
      <vt:lpstr>ATZ-MED LF LEGACY</vt:lpstr>
      <vt:lpstr>ATZ-MED - FOCUS MODE</vt:lpstr>
      <vt:lpstr>ATZ-MED - OAL Threats Alert</vt:lpstr>
      <vt:lpstr>CAI-JED</vt:lpstr>
      <vt:lpstr>CAI-JED LF LEGACY</vt:lpstr>
      <vt:lpstr>CAI-JED - FOCUS MODE</vt:lpstr>
      <vt:lpstr>CAI-JED - OAL Threats Alert</vt:lpstr>
      <vt:lpstr>HBE-JED</vt:lpstr>
      <vt:lpstr>HBE-JED LF LEGACY</vt:lpstr>
      <vt:lpstr>HBE-JED - FOCUS MODE</vt:lpstr>
      <vt:lpstr>HBE-JED - OAL Threats Alert</vt:lpstr>
      <vt:lpstr>ATZ-JED</vt:lpstr>
      <vt:lpstr>ATZ-JED LF LEGACY</vt:lpstr>
      <vt:lpstr>ATZ-JED - FOCUS MODE</vt:lpstr>
      <vt:lpstr>ATZ-JED - OAL Threats Alert</vt:lpstr>
      <vt:lpstr>LXR-JED</vt:lpstr>
      <vt:lpstr>LXR-JED LF LEGACY</vt:lpstr>
      <vt:lpstr>LXR-JED - FOCUS MODE</vt:lpstr>
      <vt:lpstr>LXR-JED - OAL Threats Alert</vt:lpstr>
      <vt:lpstr>ASW-JED</vt:lpstr>
      <vt:lpstr>ASW-JED LF LEGACY</vt:lpstr>
      <vt:lpstr>ASW-JED - FOCUS MODE</vt:lpstr>
      <vt:lpstr>ASW-JED - OAL Threats Alert</vt:lpstr>
      <vt:lpstr>SSH-JED</vt:lpstr>
      <vt:lpstr>SSH-JED LF LEGACY</vt:lpstr>
      <vt:lpstr>SSH-JED - FOCUS MODE</vt:lpstr>
      <vt:lpstr>SSH-JED - OAL Threats Alert</vt:lpstr>
      <vt:lpstr>HRG-JED</vt:lpstr>
      <vt:lpstr>HRG-JED LF LEGACY</vt:lpstr>
      <vt:lpstr>HRG-JED - FOCUS MODE</vt:lpstr>
      <vt:lpstr>HRG-JED - OAL Threats Alert</vt:lpstr>
      <vt:lpstr>CAI-RUH</vt:lpstr>
      <vt:lpstr>CAI-RUH LF LEGACY</vt:lpstr>
      <vt:lpstr>CAI-RUH - FOCUS MODE</vt:lpstr>
      <vt:lpstr>CAI-RUH - OAL Threats Alert</vt:lpstr>
      <vt:lpstr>ATZ-RUH</vt:lpstr>
      <vt:lpstr>ATZ-RUH LF LEGACY</vt:lpstr>
      <vt:lpstr>ATZ-RUH - FOCUS MODE</vt:lpstr>
      <vt:lpstr>ATZ-RUH - OAL Threats Alert</vt:lpstr>
      <vt:lpstr>CAI-DMM</vt:lpstr>
      <vt:lpstr>CAI-DMM LF LEGACY</vt:lpstr>
      <vt:lpstr>CAI-DMM - FOCUS MODE</vt:lpstr>
      <vt:lpstr>CAI-DMM - OAL Threats Alert</vt:lpstr>
      <vt:lpstr>ATZ-DMM</vt:lpstr>
      <vt:lpstr>ATZ-DMM LF LEGACY</vt:lpstr>
      <vt:lpstr>ATZ-DMM - FOCUS MODE</vt:lpstr>
      <vt:lpstr>ATZ-DMM - OAL Threats Alert</vt:lpstr>
      <vt:lpstr>CAI-TUU</vt:lpstr>
      <vt:lpstr>CAI-TUU LF LEGACY</vt:lpstr>
      <vt:lpstr>CAI-TUU - FOCUS MODE</vt:lpstr>
      <vt:lpstr>CAI-TUU - OAL Threats Alert</vt:lpstr>
      <vt:lpstr>ATZ-TUU</vt:lpstr>
      <vt:lpstr>ATZ-TUU LF LEGACY</vt:lpstr>
      <vt:lpstr>ATZ-TUU - FOCUS MODE</vt:lpstr>
      <vt:lpstr>ATZ-TUU - OAL Threats Alert</vt:lpstr>
      <vt:lpstr>CAI-AJF</vt:lpstr>
      <vt:lpstr>CAI-AJF LF LEGACY</vt:lpstr>
      <vt:lpstr>CAI-AJF - FOCUS MODE</vt:lpstr>
      <vt:lpstr>CAI-AJF - OAL Threats Alert</vt:lpstr>
      <vt:lpstr>ATZ-AJF</vt:lpstr>
      <vt:lpstr>ATZ-AJF LF LEGACY</vt:lpstr>
      <vt:lpstr>ATZ-AJF - FOCUS MODE</vt:lpstr>
      <vt:lpstr>ATZ-AJF - OAL Threats Alert</vt:lpstr>
      <vt:lpstr>CAI-YNB</vt:lpstr>
      <vt:lpstr>CAI-YNB LF LEGACY</vt:lpstr>
      <vt:lpstr>CAI-YNB - FOCUS MODE</vt:lpstr>
      <vt:lpstr>CAI-YNB - OAL Threats Alert</vt:lpstr>
      <vt:lpstr>CAI-AHB</vt:lpstr>
      <vt:lpstr>CAI-AHB LF LEGACY</vt:lpstr>
      <vt:lpstr>CAI-AHB - FOCUS MODE</vt:lpstr>
      <vt:lpstr>CAI-AHB - OAL Threats Alert</vt:lpstr>
      <vt:lpstr>ATZ-AHB</vt:lpstr>
      <vt:lpstr>ATZ-AHB LF LEGACY</vt:lpstr>
      <vt:lpstr>ATZ-AHB - FOCUS MODE</vt:lpstr>
      <vt:lpstr>ATZ-AHB - OAL Threats Alert</vt:lpstr>
      <vt:lpstr>CAI-ELQ</vt:lpstr>
      <vt:lpstr>CAI-ELQ LF LEGACY</vt:lpstr>
      <vt:lpstr>CAI-ELQ - FOCUS MODE</vt:lpstr>
      <vt:lpstr>CAI-ELQ - OAL Threats Alert</vt:lpstr>
      <vt:lpstr>ATZ-ELQ</vt:lpstr>
      <vt:lpstr>ATZ-ELQ LF LEGACY</vt:lpstr>
      <vt:lpstr>ATZ-ELQ - FOCUS MODE</vt:lpstr>
      <vt:lpstr>ATZ-ELQ - OAL Threats Alert</vt:lpstr>
      <vt:lpstr>CAI-GIZ</vt:lpstr>
      <vt:lpstr>CAI-GIZ LF LEGACY</vt:lpstr>
      <vt:lpstr>CAI-GIZ - FOCUS MODE</vt:lpstr>
      <vt:lpstr>CAI-GIZ - OAL Threats Alert</vt:lpstr>
      <vt:lpstr>EGY_TO_KSA_ALL_ROUTES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2025-11-19T07:22:28Z</dcterms:created>
  <dcterms:modified xsi:type="dcterms:W3CDTF">2025-11-19T07:25:01Z</dcterms:modified>
</cp:coreProperties>
</file>