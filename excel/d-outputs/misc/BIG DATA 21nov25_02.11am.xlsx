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B2A4A4D-FAD1-468F-9A2A-785FAA8D0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  <sheet name="JED-ATZ" sheetId="8" r:id="rId8"/>
    <sheet name="JED-ATZ LF LEGACY" sheetId="9" r:id="rId9"/>
    <sheet name="JED-ATZ - FOCUS MO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9" l="1"/>
  <c r="E4" i="9"/>
  <c r="G4" i="9"/>
  <c r="H4" i="9"/>
  <c r="I4" i="9"/>
  <c r="J4" i="9"/>
  <c r="M4" i="9"/>
  <c r="N4" i="9"/>
  <c r="O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C4" i="6"/>
  <c r="E4" i="6"/>
  <c r="G4" i="6"/>
  <c r="H4" i="6"/>
  <c r="I4" i="6"/>
  <c r="J4" i="6"/>
  <c r="M4" i="6"/>
  <c r="N4" i="6"/>
  <c r="O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C5" i="2"/>
  <c r="E5" i="2"/>
  <c r="G5" i="2"/>
  <c r="H5" i="2"/>
  <c r="I5" i="2"/>
  <c r="J5" i="2"/>
  <c r="M5" i="2"/>
  <c r="N5" i="2"/>
  <c r="O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31" authorId="0" shapeId="0" xr:uid="{35975693-E748-46C8-809D-819410F48C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B31" authorId="0" shapeId="0" xr:uid="{5DF62B08-ECFD-48B6-B621-14D4848D8B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C31" authorId="0" shapeId="0" xr:uid="{8C5CE042-1BE8-4B41-848E-F012CCC119B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D31" authorId="0" shapeId="0" xr:uid="{B808385F-94EC-43C1-8208-D7C7212F66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E31" authorId="0" shapeId="0" xr:uid="{E72D2591-6F33-4CE0-9EAD-DFB8717DA3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F31" authorId="0" shapeId="0" xr:uid="{2573AD5F-9BA3-46B0-B6D0-64E576D351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G31" authorId="0" shapeId="0" xr:uid="{DACF3F89-9157-47B6-932F-28C7FEB50A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H31" authorId="0" shapeId="0" xr:uid="{06D386E3-8477-45BA-AFDE-4456F522816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A59" authorId="0" shapeId="0" xr:uid="{270B498E-69BB-4A3F-A6A3-7053F857FD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B59" authorId="0" shapeId="0" xr:uid="{26040C01-9B3F-4323-B94E-21406FFFAB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C59" authorId="0" shapeId="0" xr:uid="{7448D832-9E1D-4476-9766-3D167310778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D59" authorId="0" shapeId="0" xr:uid="{5A07BBB7-BC51-42E1-9D6A-E16E1E2F01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E59" authorId="0" shapeId="0" xr:uid="{2DE826D9-03CD-49AC-A0A0-AC446B2D392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F59" authorId="0" shapeId="0" xr:uid="{C65CE837-9451-4BB1-ADF3-F6B90CC4CE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G59" authorId="0" shapeId="0" xr:uid="{2C0F734E-83A5-470A-B932-C047C79EA6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H59" authorId="0" shapeId="0" xr:uid="{83358083-0B2C-45D1-A018-95365A6E07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A60" authorId="0" shapeId="0" xr:uid="{D2E28F1D-229A-444C-98BF-7438F15AD8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B60" authorId="0" shapeId="0" xr:uid="{DB2E0E0A-FC45-4F0E-93E5-2F1E442436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C60" authorId="0" shapeId="0" xr:uid="{3F4D3375-1A0C-4CA4-B735-147B430EC4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D60" authorId="0" shapeId="0" xr:uid="{13F9EA01-A32E-40DF-8240-9E0B4165E3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E60" authorId="0" shapeId="0" xr:uid="{5A571CE1-9395-4561-B303-969E4F1A94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F60" authorId="0" shapeId="0" xr:uid="{670FB35A-1786-4314-90C5-6B73738CB8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G60" authorId="0" shapeId="0" xr:uid="{1C935A85-2A4A-4E39-BA46-1BA6E640B2D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H60" authorId="0" shapeId="0" xr:uid="{B09FE518-1E92-4F3E-A517-293A80143C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74B293C2-5BD8-465C-B5AB-45C8FB0875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B2" authorId="0" shapeId="0" xr:uid="{698A4D77-DB89-4678-8E21-486BA69A1D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C2" authorId="0" shapeId="0" xr:uid="{F385838C-E3DD-4CFA-A2F3-5109AA1338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D2" authorId="0" shapeId="0" xr:uid="{FDE10882-E5B2-4232-8640-30B6CCC294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E2" authorId="0" shapeId="0" xr:uid="{A72BA203-60B6-42D9-836B-57672767E1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F2" authorId="0" shapeId="0" xr:uid="{F11111BF-7C35-458A-9C8F-E0240D35D7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G2" authorId="0" shapeId="0" xr:uid="{F210689A-5663-43E7-8FBC-9F24343D3C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H2" authorId="0" shapeId="0" xr:uid="{7F203C4C-C3E4-46BE-9C30-BF5535F83D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99.4%]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G3 &amp; S3 &amp; W4 &amp; T10 &amp; X12 &amp; U5 &amp; O6 &amp; I4 &amp; E45 &amp; P82 &amp; N1</t>
        </r>
      </text>
    </comment>
    <comment ref="A3" authorId="0" shapeId="0" xr:uid="{F481D2CF-6397-4374-ADF9-657261557E1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B3" authorId="0" shapeId="0" xr:uid="{5A52551F-1913-4499-83DF-0B08806A21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C3" authorId="0" shapeId="0" xr:uid="{24ED0410-2B35-4527-A740-21679F079E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D3" authorId="0" shapeId="0" xr:uid="{C98844E1-46F5-4E4A-B714-30C9479696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E3" authorId="0" shapeId="0" xr:uid="{F02F3908-5DD6-470C-849E-4C03EE8CE5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F3" authorId="0" shapeId="0" xr:uid="{0FD4F2AF-E29D-4DDC-9B7D-87D5084709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G3" authorId="0" shapeId="0" xr:uid="{AFB1F26E-20E3-4D95-8041-676B915AF9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H3" authorId="0" shapeId="0" xr:uid="{F2EA52B1-2013-4B48-9FB3-0EBDAFBC91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G16 &amp; S17 &amp; W21 &amp; T10 &amp; X9 &amp; U17 &amp; O16 &amp; I16 &amp; P50</t>
        </r>
      </text>
    </comment>
    <comment ref="A4" authorId="0" shapeId="0" xr:uid="{485D1530-B9D8-4660-BFEA-BE203CDE43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B4" authorId="0" shapeId="0" xr:uid="{0271CDF1-D926-4344-82AE-BB2522BF50D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C4" authorId="0" shapeId="0" xr:uid="{AABC3B84-0EC5-4456-A463-4BC9B0DF8C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D4" authorId="0" shapeId="0" xr:uid="{9420F23A-F681-465F-A7AB-AB72CEAB03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E4" authorId="0" shapeId="0" xr:uid="{6EB40E65-6FD6-4E28-80D9-C0B25F45B5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F4" authorId="0" shapeId="0" xr:uid="{4AD21883-A220-43D9-8427-637DE6F41E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G4" authorId="0" shapeId="0" xr:uid="{9F186741-9F1C-48F0-BDDB-ADA3950DE5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  <comment ref="H4" authorId="0" shapeId="0" xr:uid="{8A48794B-18BF-40BC-82BF-DAF9D643BB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K5 &amp; L6 &amp; S24 &amp; W5 &amp; P135 &amp; N4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8" authorId="0" shapeId="0" xr:uid="{6B002478-EB55-4701-98D7-E56D6ADC06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B8" authorId="0" shapeId="0" xr:uid="{AA90CAF0-9301-4706-A9E1-97CFC696AC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C8" authorId="0" shapeId="0" xr:uid="{00B241CE-1ECC-4F07-B625-DE86DB2BDF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D8" authorId="0" shapeId="0" xr:uid="{14A2A649-EF7A-465D-8E1D-BB213A5611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E8" authorId="0" shapeId="0" xr:uid="{DB709B46-E0D1-4920-960E-068D02BD62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F8" authorId="0" shapeId="0" xr:uid="{375FB143-B93B-494D-AFDD-70ADB6E2ABE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G8" authorId="0" shapeId="0" xr:uid="{7828911E-840D-4A3E-91D8-0465E63E61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H8" authorId="0" shapeId="0" xr:uid="{871BE30B-F2C7-4A7E-81B5-0774DCBEBB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L11 &amp; S16 &amp; W2 &amp; T15 &amp; X17 &amp; P118</t>
        </r>
      </text>
    </comment>
    <comment ref="A9" authorId="0" shapeId="0" xr:uid="{37125C5B-B8C7-4C8D-81F2-2CEF964CD0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B9" authorId="0" shapeId="0" xr:uid="{DC9A7FF0-3135-4209-AF6B-71241DFE7B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C9" authorId="0" shapeId="0" xr:uid="{DE5A5797-5402-4460-906A-54FDDD3DDA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D9" authorId="0" shapeId="0" xr:uid="{F83B73B9-1B31-4857-AE30-963F4B5806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E9" authorId="0" shapeId="0" xr:uid="{8AAD6347-A2ED-43E6-B1CA-723CB5205F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F9" authorId="0" shapeId="0" xr:uid="{DC77AFF0-45F6-44D6-95E0-76E6D774281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G9" authorId="0" shapeId="0" xr:uid="{1EB248D5-2ED8-42E7-A15C-13842AACBC1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  <comment ref="H9" authorId="0" shapeId="0" xr:uid="{9A2CB63A-2C93-4B9E-BBEB-3D3A5BEFCB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K3 &amp; V5 &amp; L14 &amp; S7 &amp; X14 &amp; P136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C4FA8521-7277-4D83-8DF1-A18E69BF70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B2" authorId="0" shapeId="0" xr:uid="{7C043705-4D24-4FE2-900E-54BD7A8EF82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C2" authorId="0" shapeId="0" xr:uid="{E3ED72D4-953C-434E-B4C0-6C6E779FEE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D2" authorId="0" shapeId="0" xr:uid="{E69C2B59-F049-4D61-833D-146A16312B7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E2" authorId="0" shapeId="0" xr:uid="{489BEEF0-E035-4B33-9D48-E74259A323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F2" authorId="0" shapeId="0" xr:uid="{ABBBF884-C6CA-4F49-AA9A-C5DBF48B18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G2" authorId="0" shapeId="0" xr:uid="{DD99E9A3-A581-48CC-92DA-D6E7181069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H2" authorId="0" shapeId="0" xr:uid="{831356E5-E588-4F0B-A948-DF652921F2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81.5%]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W1 &amp; X20 &amp; U20 &amp; O40 &amp; I20 &amp; P34</t>
        </r>
      </text>
    </comment>
    <comment ref="A3" authorId="0" shapeId="0" xr:uid="{030A8D39-1B23-4E1D-9952-D8489B5D33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B3" authorId="0" shapeId="0" xr:uid="{9E13D2A3-3795-4976-B736-2A47703F7F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C3" authorId="0" shapeId="0" xr:uid="{DA8ACAF8-CCA7-4002-BCA9-ECD686B437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D3" authorId="0" shapeId="0" xr:uid="{1C81476B-792D-4C80-86CE-40ECC28494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E3" authorId="0" shapeId="0" xr:uid="{7A7F9046-71DB-45DA-8AC8-50A57A148B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F3" authorId="0" shapeId="0" xr:uid="{F092D8B5-C7C5-40AD-B02C-DE7995E60D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G3" authorId="0" shapeId="0" xr:uid="{160698E2-ACC5-4DD8-85FF-5AF702B589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  <comment ref="H3" authorId="0" shapeId="0" xr:uid="{EDDBF033-4DE6-4CEB-88D7-44872523BB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72.0%]   -  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9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G1 &amp; S2 &amp; X8 &amp; U19 &amp; P91</t>
        </r>
      </text>
    </comment>
  </commentList>
</comments>
</file>

<file path=xl/sharedStrings.xml><?xml version="1.0" encoding="utf-8"?>
<sst xmlns="http://schemas.openxmlformats.org/spreadsheetml/2006/main" count="1301" uniqueCount="278">
  <si>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</si>
  <si>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</si>
  <si>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</si>
  <si>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</si>
  <si>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</si>
  <si>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</si>
  <si>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</si>
  <si>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</si>
  <si>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</si>
  <si>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</si>
  <si>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</si>
  <si>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</si>
  <si>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</si>
  <si>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</si>
  <si>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</si>
  <si>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</si>
  <si>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</si>
  <si>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</si>
  <si>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</si>
  <si>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</si>
  <si>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</si>
  <si>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</si>
  <si>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</si>
  <si>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</si>
  <si>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</si>
  <si>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</si>
  <si>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</si>
  <si>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F3-761</t>
  </si>
  <si>
    <t>Cabin: 0 KG | Check-in: 15 KG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</si>
  <si>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</si>
  <si>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639 SAR</t>
  </si>
  <si>
    <t>F3-763</t>
  </si>
  <si>
    <r>
      <rPr>
        <b/>
        <i/>
        <sz val="13"/>
        <rFont val="Calibri"/>
      </rPr>
      <t>16</t>
    </r>
    <r>
      <rPr>
        <b/>
        <i/>
        <sz val="10"/>
        <rFont val="Calibri"/>
      </rPr>
      <t xml:space="preserve"> FOR SAME CLASS</t>
    </r>
  </si>
  <si>
    <t>F3-753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</si>
  <si>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</si>
  <si>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t>689 SAR</t>
  </si>
  <si>
    <t>F3-755</t>
  </si>
  <si>
    <r>
      <rPr>
        <b/>
        <i/>
        <sz val="13"/>
        <rFont val="Calibri"/>
      </rPr>
      <t>15</t>
    </r>
    <r>
      <rPr>
        <b/>
        <i/>
        <sz val="10"/>
        <rFont val="Calibri"/>
      </rPr>
      <t xml:space="preserve"> FOR SAME CLASS</t>
    </r>
  </si>
  <si>
    <t>flynas</t>
  </si>
  <si>
    <t>XY-565</t>
  </si>
  <si>
    <t>Cabin: 7 KG / Check-in: 20 KG</t>
  </si>
  <si>
    <t>669 SAR</t>
  </si>
  <si>
    <t>Cabin: 7 KG / Check-in: 30 KG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</si>
  <si>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</si>
  <si>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769 SAR</t>
  </si>
  <si>
    <t>Cabin: 7 KG / Check-in: 2 x 40 KG</t>
  </si>
  <si>
    <t>859 SAR</t>
  </si>
  <si>
    <t>XY-567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</si>
  <si>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</si>
  <si>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</si>
  <si>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XY-573</t>
  </si>
  <si>
    <t>XY-589</t>
  </si>
  <si>
    <t>XY-569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</si>
  <si>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</si>
  <si>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719 SAR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</si>
  <si>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</si>
  <si>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819 SAR</t>
  </si>
  <si>
    <t>909 SAR</t>
  </si>
  <si>
    <t>XY-571</t>
  </si>
  <si>
    <t>XY-577</t>
  </si>
  <si>
    <t>Air Arabia Egypt</t>
  </si>
  <si>
    <t>E5-362</t>
  </si>
  <si>
    <t>Cabin: 10 KG |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</si>
  <si>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</si>
  <si>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671 SAR</t>
  </si>
  <si>
    <t>E5-328</t>
  </si>
  <si>
    <t>692 SAR</t>
  </si>
  <si>
    <t>Nile Air</t>
  </si>
  <si>
    <t>NP-128</t>
  </si>
  <si>
    <t>Cabin: 7 KG | Check-in: 30 KG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</si>
  <si>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</si>
  <si>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691 SAR</t>
  </si>
  <si>
    <t>Nesma Airlines</t>
  </si>
  <si>
    <t>NE-171</t>
  </si>
  <si>
    <t>835 SAR</t>
  </si>
  <si>
    <t>Air Cairo</t>
  </si>
  <si>
    <t>SM-478</t>
  </si>
  <si>
    <t>Cabin: 7 KG | Check-in: 40 KG</t>
  </si>
  <si>
    <t>1,066 SAR</t>
  </si>
  <si>
    <t>SM478</t>
  </si>
  <si>
    <t>K1</t>
  </si>
  <si>
    <t>K3 &amp; G3 &amp; S3 &amp; W4 &amp; T10 &amp; X12 &amp; U5 &amp; O6 &amp; I4 &amp; E45 &amp; P82 &amp; N1</t>
  </si>
  <si>
    <t>SM450</t>
  </si>
  <si>
    <t>30KG + 7KG CABIN</t>
  </si>
  <si>
    <t>FULLY BOOKED</t>
  </si>
  <si>
    <t>CLOSED</t>
  </si>
  <si>
    <t>V7 &amp; G16 &amp; S17 &amp; W21 &amp; T10 &amp; X9 &amp; U17 &amp; O16 &amp; I16 &amp; P50</t>
  </si>
  <si>
    <t>SM476</t>
  </si>
  <si>
    <t>K5 &amp; L6 &amp; S24 &amp; W5 &amp; P135 &amp; N4</t>
  </si>
  <si>
    <t>Saudia</t>
  </si>
  <si>
    <t>SV-301</t>
  </si>
  <si>
    <t>Cabin: 7 KG / Check-in: 23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</si>
  <si>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</si>
  <si>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1,193 SAR</t>
  </si>
  <si>
    <t>Cabin: 7 KG / Check-in: 2 x 46 KG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</si>
  <si>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</si>
  <si>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1,326 SAR</t>
  </si>
  <si>
    <t>SV-303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</si>
  <si>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</si>
  <si>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SV-335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</si>
  <si>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</si>
  <si>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t>SV-383</t>
  </si>
  <si>
    <t>SV-387</t>
  </si>
  <si>
    <t>SV-309</t>
  </si>
  <si>
    <t>1,586 SAR</t>
  </si>
  <si>
    <t>1,719 SAR</t>
  </si>
  <si>
    <t>SV-6664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</si>
  <si>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</si>
  <si>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1,721 SAR</t>
  </si>
  <si>
    <t>SV-305</t>
  </si>
  <si>
    <t>1,828 SAR</t>
  </si>
  <si>
    <t>1,961 SAR</t>
  </si>
  <si>
    <t>SV-389</t>
  </si>
  <si>
    <t>SV-6891</t>
  </si>
  <si>
    <t>1,944 SAR</t>
  </si>
  <si>
    <t>SV-6893</t>
  </si>
  <si>
    <t>SV-6895</t>
  </si>
  <si>
    <t>EgyptAir</t>
  </si>
  <si>
    <t>MS-666</t>
  </si>
  <si>
    <t>Cabin: 7 KG | Check-in: 2 PIECE</t>
  </si>
  <si>
    <t>1,260 SAR</t>
  </si>
  <si>
    <t>MS-674</t>
  </si>
  <si>
    <t>MS-644</t>
  </si>
  <si>
    <t>1,264 SAR</t>
  </si>
  <si>
    <t>MS-662</t>
  </si>
  <si>
    <t>1,642 SAR</t>
  </si>
  <si>
    <t>MS-664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</si>
  <si>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</si>
  <si>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MS-670</t>
  </si>
  <si>
    <t>MS-668</t>
  </si>
  <si>
    <t>1,844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</si>
  <si>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</si>
  <si>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</si>
  <si>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</si>
  <si>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</si>
  <si>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</si>
  <si>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</si>
  <si>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</si>
  <si>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</si>
  <si>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</si>
  <si>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</si>
  <si>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</si>
  <si>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</si>
  <si>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</si>
  <si>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</si>
  <si>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</si>
  <si>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</si>
  <si>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</si>
  <si>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</si>
  <si>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</si>
  <si>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</si>
  <si>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</si>
  <si>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</si>
  <si>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</si>
  <si>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</si>
  <si>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</si>
  <si>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</si>
  <si>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</si>
  <si>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</si>
  <si>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</si>
  <si>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</si>
  <si>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05:40</t>
  </si>
  <si>
    <t>320</t>
  </si>
  <si>
    <t>UPCOMING</t>
  </si>
  <si>
    <t>V7</t>
  </si>
  <si>
    <t>G16</t>
  </si>
  <si>
    <t>S17</t>
  </si>
  <si>
    <t>W21</t>
  </si>
  <si>
    <t>T10</t>
  </si>
  <si>
    <t>X9</t>
  </si>
  <si>
    <t>U17</t>
  </si>
  <si>
    <t>O16</t>
  </si>
  <si>
    <t>I16</t>
  </si>
  <si>
    <t>P50</t>
  </si>
  <si>
    <t>08:00</t>
  </si>
  <si>
    <t>K5</t>
  </si>
  <si>
    <t>L6</t>
  </si>
  <si>
    <t>S24</t>
  </si>
  <si>
    <t>W5</t>
  </si>
  <si>
    <t>P135</t>
  </si>
  <si>
    <t>N4</t>
  </si>
  <si>
    <t>16:20</t>
  </si>
  <si>
    <t>K3</t>
  </si>
  <si>
    <t>G3</t>
  </si>
  <si>
    <t>S3</t>
  </si>
  <si>
    <t>W4</t>
  </si>
  <si>
    <t>X12</t>
  </si>
  <si>
    <t>U5</t>
  </si>
  <si>
    <t>O6</t>
  </si>
  <si>
    <t>I4</t>
  </si>
  <si>
    <t>E45</t>
  </si>
  <si>
    <t>P82</t>
  </si>
  <si>
    <t>N1</t>
  </si>
  <si>
    <t>DATE</t>
  </si>
  <si>
    <t>ROUTE</t>
  </si>
  <si>
    <t>2025-11-22</t>
  </si>
  <si>
    <t>18:55</t>
  </si>
  <si>
    <t>21:20</t>
  </si>
  <si>
    <t>06:10</t>
  </si>
  <si>
    <t>21:40</t>
  </si>
  <si>
    <t>20:30</t>
  </si>
  <si>
    <t>19:10</t>
  </si>
  <si>
    <t>05:10</t>
  </si>
  <si>
    <t>07:15</t>
  </si>
  <si>
    <t>03:05</t>
  </si>
  <si>
    <t>16:00</t>
  </si>
  <si>
    <t>06:55</t>
  </si>
  <si>
    <t>15:50</t>
  </si>
  <si>
    <t>12:25</t>
  </si>
  <si>
    <t>09:30</t>
  </si>
  <si>
    <t>06:30</t>
  </si>
  <si>
    <t>JED-HBE</t>
  </si>
  <si>
    <t>F3-773</t>
  </si>
  <si>
    <t>Hand baggage only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</si>
  <si>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</si>
  <si>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849 SAR</t>
  </si>
  <si>
    <t>Cabin: 10 KG</t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</si>
  <si>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</si>
  <si>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908 SAR</t>
  </si>
  <si>
    <t>Cabin: 10 KG / Check-in: 20 KG</t>
  </si>
  <si>
    <t>932 SAR</t>
  </si>
  <si>
    <t>Cabin: 10 KG / Check-in: 32 KG</t>
  </si>
  <si>
    <t>1,099 SAR</t>
  </si>
  <si>
    <t>SV-411</t>
  </si>
  <si>
    <t>2,275 SAR</t>
  </si>
  <si>
    <t>2,403 SAR</t>
  </si>
  <si>
    <t>SM458</t>
  </si>
  <si>
    <t>L11 &amp; S16 &amp; W2 &amp; T15 &amp; X17 &amp; P118</t>
  </si>
  <si>
    <t>SM452</t>
  </si>
  <si>
    <t>K3 &amp; V5 &amp; L14 &amp; S7 &amp; X14 &amp; P136</t>
  </si>
  <si>
    <t>Indirect competition route JED – CAI - diversion ratio &amp; passenger leakage</t>
  </si>
  <si>
    <t>1 FOR SAME CLASS</t>
  </si>
  <si>
    <t>16 FOR SAME CLASS</t>
  </si>
  <si>
    <t>9 FOR SAME CLASS</t>
  </si>
  <si>
    <t>7 FOR SAME CLASS</t>
  </si>
  <si>
    <t>15 FOR SAME CLASS</t>
  </si>
  <si>
    <t>8 FOR SAME CLASS</t>
  </si>
  <si>
    <t>11:00</t>
  </si>
  <si>
    <t>L11</t>
  </si>
  <si>
    <t>S16</t>
  </si>
  <si>
    <t>W2</t>
  </si>
  <si>
    <t>T15</t>
  </si>
  <si>
    <t>X17</t>
  </si>
  <si>
    <t>P118</t>
  </si>
  <si>
    <t>19:00</t>
  </si>
  <si>
    <t>V5</t>
  </si>
  <si>
    <t>L14</t>
  </si>
  <si>
    <t>S7</t>
  </si>
  <si>
    <t>X14</t>
  </si>
  <si>
    <t>P136</t>
  </si>
  <si>
    <t>17:05</t>
  </si>
  <si>
    <t>JED-CAI AS ALTERNATIVE ROUTE</t>
  </si>
  <si>
    <t>JED-ATZ</t>
  </si>
  <si>
    <t>SM-454</t>
  </si>
  <si>
    <t>526 SAR</t>
  </si>
  <si>
    <t>SM454</t>
  </si>
  <si>
    <t>X8</t>
  </si>
  <si>
    <t>S2 &amp; W1 &amp; X20 &amp; U20 &amp; O40 &amp; I20 &amp; P34</t>
  </si>
  <si>
    <t>SM-456</t>
  </si>
  <si>
    <t>SM456</t>
  </si>
  <si>
    <t>G1 &amp; S2 &amp; X8 &amp; U19 &amp; P91</t>
  </si>
  <si>
    <t>MS-8224</t>
  </si>
  <si>
    <t>Cabin: 7 KG | Check-in: 1 PIECE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</si>
  <si>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</si>
  <si>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640 SAR</t>
  </si>
  <si>
    <t>11:05</t>
  </si>
  <si>
    <t>S2</t>
  </si>
  <si>
    <t>W1</t>
  </si>
  <si>
    <t>X20</t>
  </si>
  <si>
    <t>U20</t>
  </si>
  <si>
    <t>O40</t>
  </si>
  <si>
    <t>I20</t>
  </si>
  <si>
    <t>P34</t>
  </si>
  <si>
    <t>16:30</t>
  </si>
  <si>
    <t>G1</t>
  </si>
  <si>
    <t>U19</t>
  </si>
  <si>
    <t>P91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</si>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</sst>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10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168" fontId="10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69" fontId="17" fillId="8" borderId="10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168" fontId="16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68" fontId="14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69" fontId="17" fillId="9" borderId="10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168" fontId="16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168" fontId="14" fillId="10" borderId="2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69" fontId="17" fillId="10" borderId="10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168" fontId="16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168" fontId="14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171" fontId="20" fillId="0" borderId="26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72" fontId="20" fillId="0" borderId="24" xfId="0" applyNumberFormat="1" applyFont="1" applyBorder="1" applyAlignment="1">
      <alignment horizontal="center" vertical="center"/>
    </xf>
    <xf numFmtId="173" fontId="20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172" fontId="21" fillId="0" borderId="24" xfId="0" applyNumberFormat="1" applyFont="1" applyBorder="1" applyAlignment="1">
      <alignment horizontal="center" vertical="center"/>
    </xf>
    <xf numFmtId="173" fontId="21" fillId="0" borderId="25" xfId="0" applyNumberFormat="1" applyFont="1" applyBorder="1" applyAlignment="1">
      <alignment horizontal="center" vertical="center"/>
    </xf>
    <xf numFmtId="172" fontId="21" fillId="0" borderId="27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173" fontId="21" fillId="0" borderId="28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49" fontId="10" fillId="10" borderId="2" xfId="0" applyNumberFormat="1" applyFont="1" applyFill="1" applyBorder="1" applyAlignment="1">
      <alignment horizontal="center" vertical="center"/>
    </xf>
    <xf numFmtId="168" fontId="10" fillId="10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168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69" fontId="17" fillId="12" borderId="10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168" fontId="16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2" fillId="0" borderId="25" xfId="0" applyFont="1" applyBorder="1" applyAlignment="1">
      <alignment horizontal="center" vertical="center"/>
    </xf>
    <xf numFmtId="0" fontId="0" fillId="0" borderId="26" xfId="0" applyBorder="1"/>
    <xf numFmtId="172" fontId="20" fillId="0" borderId="27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73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171" fontId="20" fillId="0" borderId="29" xfId="0" applyNumberFormat="1" applyFont="1" applyBorder="1" applyAlignment="1">
      <alignment horizontal="center" vertical="center"/>
    </xf>
    <xf numFmtId="49" fontId="10" fillId="13" borderId="2" xfId="0" applyNumberFormat="1" applyFont="1" applyFill="1" applyBorder="1" applyAlignment="1">
      <alignment horizontal="center" vertical="center"/>
    </xf>
    <xf numFmtId="168" fontId="10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69" fontId="16" fillId="13" borderId="10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168" fontId="16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168" fontId="14" fillId="8" borderId="2" xfId="0" applyNumberFormat="1" applyFont="1" applyFill="1" applyBorder="1" applyAlignment="1">
      <alignment horizontal="center" vertical="center"/>
    </xf>
    <xf numFmtId="169" fontId="16" fillId="8" borderId="10" xfId="0" applyNumberFormat="1" applyFont="1" applyFill="1" applyBorder="1" applyAlignment="1">
      <alignment horizontal="center" vertical="center"/>
    </xf>
    <xf numFmtId="171" fontId="21" fillId="0" borderId="26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/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49" fontId="22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7" fillId="0" borderId="0" xfId="0" applyFont="1" applyAlignment="1">
      <alignment horizontal="center" vertical="center"/>
    </xf>
    <xf numFmtId="0" fontId="27" fillId="0" borderId="0" xfId="0" applyFont="1"/>
    <xf numFmtId="170" fontId="27" fillId="0" borderId="0" xfId="0" applyNumberFormat="1" applyFont="1" applyAlignment="1">
      <alignment horizontal="center" vertical="center"/>
    </xf>
    <xf numFmtId="15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8" fontId="27" fillId="0" borderId="0" xfId="0" applyNumberFormat="1" applyFont="1" applyAlignment="1">
      <alignment horizontal="center" vertical="center"/>
    </xf>
    <xf numFmtId="169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" fontId="27" fillId="0" borderId="0" xfId="0" applyNumberFormat="1" applyFont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5" fontId="28" fillId="14" borderId="0" xfId="0" applyNumberFormat="1" applyFont="1" applyFill="1" applyAlignment="1">
      <alignment horizontal="center" vertical="center"/>
    </xf>
    <xf numFmtId="169" fontId="28" fillId="14" borderId="0" xfId="0" applyNumberFormat="1" applyFont="1" applyFill="1" applyAlignment="1">
      <alignment horizontal="center" vertical="center"/>
    </xf>
    <xf numFmtId="1" fontId="28" fillId="14" borderId="0" xfId="0" applyNumberFormat="1" applyFont="1" applyFill="1" applyAlignment="1">
      <alignment horizontal="center" vertical="center"/>
    </xf>
    <xf numFmtId="0" fontId="28" fillId="1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5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60" totalsRowShown="0">
  <autoFilter ref="A1:H6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4" totalsRowShown="0">
  <autoFilter ref="A1:H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4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20" totalsRowShown="0">
  <autoFilter ref="A1:H2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JED_ATZ_LF_LEGACY" displayName="JED_ATZ_LF_LEGACY" ref="A1:AJ4" totalsRowCount="1" headerRowDxfId="74" dataDxfId="37" totalsRowDxfId="0">
  <tableColumns count="36">
    <tableColumn id="1" xr3:uid="{00000000-0010-0000-0500-000001000000}" name="Day" totalsRowLabel="TOTAL" dataDxfId="73" totalsRowDxfId="36"/>
    <tableColumn id="2" xr3:uid="{00000000-0010-0000-0500-000002000000}" name="Flt Dt" dataDxfId="72" totalsRowDxfId="35"/>
    <tableColumn id="3" xr3:uid="{00000000-0010-0000-0500-000003000000}" name="Flt" totalsRowFunction="count" dataDxfId="71" totalsRowDxfId="34"/>
    <tableColumn id="4" xr3:uid="{00000000-0010-0000-0500-000004000000}" name="DEP" dataDxfId="70" totalsRowDxfId="33"/>
    <tableColumn id="5" xr3:uid="{00000000-0010-0000-0500-000005000000}" name="Brd-Off" totalsRowFunction="count" dataDxfId="69" totalsRowDxfId="32"/>
    <tableColumn id="6" xr3:uid="{00000000-0010-0000-0500-000006000000}" name="Eqp" dataDxfId="68" totalsRowDxfId="31"/>
    <tableColumn id="7" xr3:uid="{00000000-0010-0000-0500-000007000000}" name="LF%" totalsRowFunction="average" dataDxfId="67" totalsRowDxfId="30"/>
    <tableColumn id="8" xr3:uid="{00000000-0010-0000-0500-000008000000}" name="CAP" totalsRowFunction="sum" dataDxfId="66" totalsRowDxfId="29"/>
    <tableColumn id="9" xr3:uid="{00000000-0010-0000-0500-000009000000}" name="BKG(Y)" totalsRowFunction="sum" dataDxfId="65" totalsRowDxfId="28"/>
    <tableColumn id="10" xr3:uid="{00000000-0010-0000-0500-00000A000000}" name="GRP(Y)" totalsRowFunction="sum" dataDxfId="64" totalsRowDxfId="27"/>
    <tableColumn id="11" xr3:uid="{00000000-0010-0000-0500-00000B000000}" name="FLT ST" dataDxfId="63" totalsRowDxfId="26"/>
    <tableColumn id="12" xr3:uid="{00000000-0010-0000-0500-00000C000000}" name="LST-SOLD" dataDxfId="62" totalsRowDxfId="25"/>
    <tableColumn id="13" xr3:uid="{00000000-0010-0000-0500-00000D000000}" name="TO-DAY" totalsRowFunction="sum" dataDxfId="61" totalsRowDxfId="24"/>
    <tableColumn id="14" xr3:uid="{00000000-0010-0000-0500-00000E000000}" name="Y-DAY" totalsRowFunction="sum" dataDxfId="60" totalsRowDxfId="23"/>
    <tableColumn id="15" xr3:uid="{00000000-0010-0000-0500-00000F000000}" name="WEEKLY" totalsRowFunction="sum" dataDxfId="59" totalsRowDxfId="22"/>
    <tableColumn id="16" xr3:uid="{00000000-0010-0000-0500-000010000000}" name="LOWEST AVAIL" dataDxfId="58" totalsRowDxfId="21"/>
    <tableColumn id="17" xr3:uid="{00000000-0010-0000-0500-000011000000}" name="Y" totalsRowFunction="sum" dataDxfId="57" totalsRowDxfId="20"/>
    <tableColumn id="18" xr3:uid="{00000000-0010-0000-0500-000012000000}" name="B" totalsRowFunction="sum" dataDxfId="56" totalsRowDxfId="19"/>
    <tableColumn id="19" xr3:uid="{00000000-0010-0000-0500-000013000000}" name="M" totalsRowFunction="sum" dataDxfId="55" totalsRowDxfId="18"/>
    <tableColumn id="20" xr3:uid="{00000000-0010-0000-0500-000014000000}" name="H" totalsRowFunction="sum" dataDxfId="54" totalsRowDxfId="17"/>
    <tableColumn id="21" xr3:uid="{00000000-0010-0000-0500-000015000000}" name="Q" totalsRowFunction="sum" dataDxfId="53" totalsRowDxfId="16"/>
    <tableColumn id="22" xr3:uid="{00000000-0010-0000-0500-000016000000}" name="K" totalsRowFunction="sum" dataDxfId="52" totalsRowDxfId="15"/>
    <tableColumn id="23" xr3:uid="{00000000-0010-0000-0500-000017000000}" name="V" totalsRowFunction="sum" dataDxfId="51" totalsRowDxfId="14"/>
    <tableColumn id="24" xr3:uid="{00000000-0010-0000-0500-000018000000}" name="L" totalsRowFunction="sum" dataDxfId="50" totalsRowDxfId="13"/>
    <tableColumn id="25" xr3:uid="{00000000-0010-0000-0500-000019000000}" name="G" totalsRowFunction="sum" dataDxfId="49" totalsRowDxfId="12"/>
    <tableColumn id="26" xr3:uid="{00000000-0010-0000-0500-00001A000000}" name="S" totalsRowFunction="sum" dataDxfId="48" totalsRowDxfId="11"/>
    <tableColumn id="27" xr3:uid="{00000000-0010-0000-0500-00001B000000}" name="W" totalsRowFunction="sum" dataDxfId="47" totalsRowDxfId="10"/>
    <tableColumn id="28" xr3:uid="{00000000-0010-0000-0500-00001C000000}" name="T" totalsRowFunction="sum" dataDxfId="46" totalsRowDxfId="9"/>
    <tableColumn id="29" xr3:uid="{00000000-0010-0000-0500-00001D000000}" name="X" totalsRowFunction="sum" dataDxfId="45" totalsRowDxfId="8"/>
    <tableColumn id="30" xr3:uid="{00000000-0010-0000-0500-00001E000000}" name="U" totalsRowFunction="sum" dataDxfId="44" totalsRowDxfId="7"/>
    <tableColumn id="31" xr3:uid="{00000000-0010-0000-0500-00001F000000}" name="O" totalsRowFunction="sum" dataDxfId="43" totalsRowDxfId="6"/>
    <tableColumn id="32" xr3:uid="{00000000-0010-0000-0500-000020000000}" name="I" totalsRowFunction="sum" dataDxfId="42" totalsRowDxfId="5"/>
    <tableColumn id="33" xr3:uid="{00000000-0010-0000-0500-000021000000}" name="E" totalsRowFunction="sum" dataDxfId="41" totalsRowDxfId="4"/>
    <tableColumn id="34" xr3:uid="{00000000-0010-0000-0500-000022000000}" name="A" totalsRowFunction="sum" dataDxfId="40" totalsRowDxfId="3"/>
    <tableColumn id="35" xr3:uid="{00000000-0010-0000-0500-000023000000}" name="P" totalsRowFunction="sum" dataDxfId="39" totalsRowDxfId="2"/>
    <tableColumn id="36" xr3:uid="{00000000-0010-0000-0500-000024000000}" name="N" totalsRowFunction="count" dataDxfId="38" totalsRow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ATZ" displayName="FocusMode_JED_ATZ" ref="A1:H15" totalsRowShown="0">
  <autoFilter ref="A1:H1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4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1.6640625" bestFit="1" customWidth="1"/>
  </cols>
  <sheetData>
    <row r="1" spans="1:92" ht="28.8" customHeight="1" x14ac:dyDescent="0.3">
      <c r="A1" s="126" t="s">
        <v>0</v>
      </c>
      <c r="B1" s="123"/>
      <c r="C1" s="123"/>
      <c r="D1" s="123"/>
      <c r="E1" s="123"/>
      <c r="F1" s="1" t="s">
        <v>1</v>
      </c>
      <c r="G1" s="2" t="s">
        <v>2</v>
      </c>
      <c r="H1" s="125">
        <v>45983</v>
      </c>
      <c r="I1" s="123"/>
      <c r="J1" s="123"/>
      <c r="K1" s="123"/>
      <c r="L1" s="123"/>
      <c r="M1" s="1" t="s">
        <v>3</v>
      </c>
      <c r="N1" s="136">
        <v>45983</v>
      </c>
      <c r="O1" s="123"/>
      <c r="P1" s="123"/>
      <c r="Q1" s="123"/>
      <c r="R1" s="12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2" t="s">
        <v>4</v>
      </c>
      <c r="B2" s="123"/>
      <c r="C2" s="123"/>
      <c r="D2" s="123"/>
      <c r="E2" s="123"/>
      <c r="F2" s="123"/>
      <c r="G2" s="127">
        <v>45982.091192313434</v>
      </c>
      <c r="H2" s="123"/>
      <c r="I2" s="123"/>
      <c r="J2" s="123"/>
      <c r="K2" s="128">
        <v>45982.091192313703</v>
      </c>
      <c r="L2" s="123"/>
      <c r="M2" s="123"/>
      <c r="N2" s="123"/>
      <c r="O2" s="123"/>
      <c r="P2" s="123"/>
      <c r="Q2" s="123"/>
      <c r="R2" s="12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4" t="s">
        <v>5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9" t="s">
        <v>6</v>
      </c>
      <c r="B4" s="130"/>
      <c r="C4" s="130"/>
      <c r="D4" s="130"/>
      <c r="E4" s="130"/>
      <c r="F4" s="131"/>
      <c r="G4" s="4">
        <v>45983</v>
      </c>
      <c r="H4" s="135" t="s">
        <v>7</v>
      </c>
      <c r="I4" s="130"/>
      <c r="J4" s="130"/>
      <c r="K4" s="130"/>
      <c r="L4" s="130"/>
      <c r="M4" s="130"/>
      <c r="N4" s="130"/>
      <c r="O4" s="130"/>
      <c r="P4" s="130"/>
      <c r="Q4" s="130"/>
      <c r="R4" s="1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0.78819444444444453</v>
      </c>
      <c r="D6" s="8" t="s">
        <v>28</v>
      </c>
      <c r="E6" s="8" t="s">
        <v>29</v>
      </c>
      <c r="F6" s="8" t="s">
        <v>30</v>
      </c>
      <c r="G6" s="132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31</v>
      </c>
      <c r="C7" s="16">
        <v>0.88888888888888884</v>
      </c>
      <c r="D7" s="15" t="s">
        <v>28</v>
      </c>
      <c r="E7" s="15" t="s">
        <v>32</v>
      </c>
      <c r="F7" s="15" t="s">
        <v>30</v>
      </c>
      <c r="G7" s="133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33</v>
      </c>
      <c r="C8" s="16">
        <v>0.30208333333333331</v>
      </c>
      <c r="D8" s="15" t="s">
        <v>28</v>
      </c>
      <c r="E8" s="15" t="s">
        <v>34</v>
      </c>
      <c r="F8" s="15" t="s">
        <v>35</v>
      </c>
      <c r="G8" s="133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26</v>
      </c>
      <c r="B9" s="15" t="s">
        <v>36</v>
      </c>
      <c r="C9" s="16">
        <v>0.12847222222222221</v>
      </c>
      <c r="D9" s="15" t="s">
        <v>28</v>
      </c>
      <c r="E9" s="15" t="s">
        <v>37</v>
      </c>
      <c r="F9" s="15" t="s">
        <v>35</v>
      </c>
      <c r="G9" s="133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7" t="s">
        <v>38</v>
      </c>
      <c r="B10" s="17" t="s">
        <v>39</v>
      </c>
      <c r="C10" s="18">
        <v>0.25694444444444448</v>
      </c>
      <c r="D10" s="17" t="s">
        <v>40</v>
      </c>
      <c r="E10" s="17" t="s">
        <v>29</v>
      </c>
      <c r="F10" s="17" t="s">
        <v>41</v>
      </c>
      <c r="G10" s="133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9" t="s">
        <v>38</v>
      </c>
      <c r="B11" s="19" t="s">
        <v>39</v>
      </c>
      <c r="C11" s="20">
        <v>0.25694444444444448</v>
      </c>
      <c r="D11" s="19" t="s">
        <v>42</v>
      </c>
      <c r="E11" s="19" t="s">
        <v>43</v>
      </c>
      <c r="F11" s="19" t="s">
        <v>44</v>
      </c>
      <c r="G11" s="133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38</v>
      </c>
      <c r="B12" s="19" t="s">
        <v>39</v>
      </c>
      <c r="C12" s="20">
        <v>0.25694444444444448</v>
      </c>
      <c r="D12" s="19" t="s">
        <v>45</v>
      </c>
      <c r="E12" s="19" t="s">
        <v>43</v>
      </c>
      <c r="F12" s="19" t="s">
        <v>46</v>
      </c>
      <c r="G12" s="133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38</v>
      </c>
      <c r="B13" s="15" t="s">
        <v>47</v>
      </c>
      <c r="C13" s="16">
        <v>0.90277777777777779</v>
      </c>
      <c r="D13" s="15" t="s">
        <v>40</v>
      </c>
      <c r="E13" s="15" t="s">
        <v>48</v>
      </c>
      <c r="F13" s="15" t="s">
        <v>41</v>
      </c>
      <c r="G13" s="133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9" t="s">
        <v>38</v>
      </c>
      <c r="B14" s="19" t="s">
        <v>47</v>
      </c>
      <c r="C14" s="20">
        <v>0.90277777777777779</v>
      </c>
      <c r="D14" s="19" t="s">
        <v>42</v>
      </c>
      <c r="E14" s="19" t="s">
        <v>49</v>
      </c>
      <c r="F14" s="19" t="s">
        <v>44</v>
      </c>
      <c r="G14" s="133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9" t="s">
        <v>38</v>
      </c>
      <c r="B15" s="19" t="s">
        <v>47</v>
      </c>
      <c r="C15" s="20">
        <v>0.90277777777777779</v>
      </c>
      <c r="D15" s="19" t="s">
        <v>45</v>
      </c>
      <c r="E15" s="19" t="s">
        <v>49</v>
      </c>
      <c r="F15" s="19" t="s">
        <v>46</v>
      </c>
      <c r="G15" s="133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38</v>
      </c>
      <c r="B16" s="15" t="s">
        <v>50</v>
      </c>
      <c r="C16" s="16">
        <v>0.85416666666666663</v>
      </c>
      <c r="D16" s="15" t="s">
        <v>40</v>
      </c>
      <c r="E16" s="15" t="s">
        <v>48</v>
      </c>
      <c r="F16" s="15" t="s">
        <v>41</v>
      </c>
      <c r="G16" s="133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9" t="s">
        <v>38</v>
      </c>
      <c r="B17" s="19" t="s">
        <v>50</v>
      </c>
      <c r="C17" s="20">
        <v>0.85416666666666663</v>
      </c>
      <c r="D17" s="19" t="s">
        <v>42</v>
      </c>
      <c r="E17" s="19" t="s">
        <v>49</v>
      </c>
      <c r="F17" s="19" t="s">
        <v>44</v>
      </c>
      <c r="G17" s="133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9" t="s">
        <v>38</v>
      </c>
      <c r="B18" s="19" t="s">
        <v>50</v>
      </c>
      <c r="C18" s="20">
        <v>0.85416666666666663</v>
      </c>
      <c r="D18" s="19" t="s">
        <v>45</v>
      </c>
      <c r="E18" s="19" t="s">
        <v>49</v>
      </c>
      <c r="F18" s="19" t="s">
        <v>46</v>
      </c>
      <c r="G18" s="133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38</v>
      </c>
      <c r="B19" s="15" t="s">
        <v>51</v>
      </c>
      <c r="C19" s="16">
        <v>0.79861111111111116</v>
      </c>
      <c r="D19" s="15" t="s">
        <v>40</v>
      </c>
      <c r="E19" s="15" t="s">
        <v>48</v>
      </c>
      <c r="F19" s="15" t="s">
        <v>41</v>
      </c>
      <c r="G19" s="133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9" t="s">
        <v>38</v>
      </c>
      <c r="B20" s="19" t="s">
        <v>51</v>
      </c>
      <c r="C20" s="20">
        <v>0.79861111111111116</v>
      </c>
      <c r="D20" s="19" t="s">
        <v>42</v>
      </c>
      <c r="E20" s="19" t="s">
        <v>49</v>
      </c>
      <c r="F20" s="19" t="s">
        <v>44</v>
      </c>
      <c r="G20" s="133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38</v>
      </c>
      <c r="B21" s="19" t="s">
        <v>51</v>
      </c>
      <c r="C21" s="20">
        <v>0.79861111111111116</v>
      </c>
      <c r="D21" s="19" t="s">
        <v>45</v>
      </c>
      <c r="E21" s="19" t="s">
        <v>49</v>
      </c>
      <c r="F21" s="19" t="s">
        <v>46</v>
      </c>
      <c r="G21" s="133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38</v>
      </c>
      <c r="B22" s="15" t="s">
        <v>52</v>
      </c>
      <c r="C22" s="16">
        <v>0.65972222222222221</v>
      </c>
      <c r="D22" s="15" t="s">
        <v>40</v>
      </c>
      <c r="E22" s="15" t="s">
        <v>53</v>
      </c>
      <c r="F22" s="15" t="s">
        <v>54</v>
      </c>
      <c r="G22" s="133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9" t="s">
        <v>38</v>
      </c>
      <c r="B23" s="19" t="s">
        <v>52</v>
      </c>
      <c r="C23" s="20">
        <v>0.65972222222222221</v>
      </c>
      <c r="D23" s="19" t="s">
        <v>42</v>
      </c>
      <c r="E23" s="19" t="s">
        <v>55</v>
      </c>
      <c r="F23" s="19" t="s">
        <v>56</v>
      </c>
      <c r="G23" s="133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9" t="s">
        <v>38</v>
      </c>
      <c r="B24" s="19" t="s">
        <v>52</v>
      </c>
      <c r="C24" s="20">
        <v>0.65972222222222221</v>
      </c>
      <c r="D24" s="19" t="s">
        <v>45</v>
      </c>
      <c r="E24" s="19" t="s">
        <v>55</v>
      </c>
      <c r="F24" s="19" t="s">
        <v>57</v>
      </c>
      <c r="G24" s="133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38</v>
      </c>
      <c r="B25" s="15" t="s">
        <v>58</v>
      </c>
      <c r="C25" s="16">
        <v>0.51736111111111105</v>
      </c>
      <c r="D25" s="15" t="s">
        <v>40</v>
      </c>
      <c r="E25" s="15" t="s">
        <v>48</v>
      </c>
      <c r="F25" s="15" t="s">
        <v>54</v>
      </c>
      <c r="G25" s="133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9" t="s">
        <v>38</v>
      </c>
      <c r="B26" s="19" t="s">
        <v>58</v>
      </c>
      <c r="C26" s="20">
        <v>0.51736111111111105</v>
      </c>
      <c r="D26" s="19" t="s">
        <v>42</v>
      </c>
      <c r="E26" s="19" t="s">
        <v>49</v>
      </c>
      <c r="F26" s="19" t="s">
        <v>56</v>
      </c>
      <c r="G26" s="133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9" t="s">
        <v>38</v>
      </c>
      <c r="B27" s="19" t="s">
        <v>58</v>
      </c>
      <c r="C27" s="20">
        <v>0.51736111111111105</v>
      </c>
      <c r="D27" s="19" t="s">
        <v>45</v>
      </c>
      <c r="E27" s="19" t="s">
        <v>49</v>
      </c>
      <c r="F27" s="19" t="s">
        <v>57</v>
      </c>
      <c r="G27" s="133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38</v>
      </c>
      <c r="B28" s="15" t="s">
        <v>59</v>
      </c>
      <c r="C28" s="16">
        <v>0.39583333333333331</v>
      </c>
      <c r="D28" s="15" t="s">
        <v>40</v>
      </c>
      <c r="E28" s="15" t="s">
        <v>48</v>
      </c>
      <c r="F28" s="15" t="s">
        <v>54</v>
      </c>
      <c r="G28" s="133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9" t="s">
        <v>38</v>
      </c>
      <c r="B29" s="19" t="s">
        <v>59</v>
      </c>
      <c r="C29" s="20">
        <v>0.39583333333333331</v>
      </c>
      <c r="D29" s="19" t="s">
        <v>42</v>
      </c>
      <c r="E29" s="19" t="s">
        <v>49</v>
      </c>
      <c r="F29" s="19" t="s">
        <v>56</v>
      </c>
      <c r="G29" s="133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9" t="s">
        <v>38</v>
      </c>
      <c r="B30" s="19" t="s">
        <v>59</v>
      </c>
      <c r="C30" s="20">
        <v>0.39583333333333331</v>
      </c>
      <c r="D30" s="19" t="s">
        <v>45</v>
      </c>
      <c r="E30" s="19" t="s">
        <v>49</v>
      </c>
      <c r="F30" s="19" t="s">
        <v>57</v>
      </c>
      <c r="G30" s="133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7" t="s">
        <v>60</v>
      </c>
      <c r="B31" s="17" t="s">
        <v>61</v>
      </c>
      <c r="C31" s="18">
        <v>0.21527777777777779</v>
      </c>
      <c r="D31" s="17" t="s">
        <v>62</v>
      </c>
      <c r="E31" s="17" t="s">
        <v>63</v>
      </c>
      <c r="F31" s="17" t="s">
        <v>64</v>
      </c>
      <c r="G31" s="133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60</v>
      </c>
      <c r="B32" s="15" t="s">
        <v>65</v>
      </c>
      <c r="C32" s="16">
        <v>0.28819444444444448</v>
      </c>
      <c r="D32" s="15" t="s">
        <v>62</v>
      </c>
      <c r="E32" s="15" t="s">
        <v>34</v>
      </c>
      <c r="F32" s="15" t="s">
        <v>66</v>
      </c>
      <c r="G32" s="133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7" t="s">
        <v>67</v>
      </c>
      <c r="B33" s="17" t="s">
        <v>68</v>
      </c>
      <c r="C33" s="18">
        <v>0.66666666666666663</v>
      </c>
      <c r="D33" s="17" t="s">
        <v>69</v>
      </c>
      <c r="E33" s="17" t="s">
        <v>70</v>
      </c>
      <c r="F33" s="17" t="s">
        <v>71</v>
      </c>
      <c r="G33" s="133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7" t="s">
        <v>72</v>
      </c>
      <c r="B34" s="17" t="s">
        <v>73</v>
      </c>
      <c r="C34" s="18">
        <v>0.27083333333333331</v>
      </c>
      <c r="D34" s="17" t="s">
        <v>69</v>
      </c>
      <c r="E34" s="17" t="s">
        <v>29</v>
      </c>
      <c r="F34" s="17" t="s">
        <v>74</v>
      </c>
      <c r="G34" s="133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21" t="s">
        <v>75</v>
      </c>
      <c r="B35" s="21" t="s">
        <v>76</v>
      </c>
      <c r="C35" s="22">
        <v>0.68055555555555547</v>
      </c>
      <c r="D35" s="21" t="s">
        <v>77</v>
      </c>
      <c r="E35" s="21" t="s">
        <v>29</v>
      </c>
      <c r="F35" s="21" t="s">
        <v>78</v>
      </c>
      <c r="G35" s="133"/>
      <c r="H35" s="23" t="s">
        <v>79</v>
      </c>
      <c r="I35" s="24">
        <v>0.99439999999999995</v>
      </c>
      <c r="J35" s="25">
        <v>178</v>
      </c>
      <c r="K35" s="26">
        <v>45981</v>
      </c>
      <c r="L35" s="25">
        <v>6</v>
      </c>
      <c r="M35" s="25">
        <v>0</v>
      </c>
      <c r="N35" s="25">
        <v>3</v>
      </c>
      <c r="O35" s="27" t="s">
        <v>80</v>
      </c>
      <c r="P35" s="28">
        <v>0.68055555555555547</v>
      </c>
      <c r="Q35" s="25">
        <v>179</v>
      </c>
      <c r="R35" s="29" t="s">
        <v>81</v>
      </c>
    </row>
    <row r="36" spans="1:18" ht="15" customHeight="1" x14ac:dyDescent="0.3">
      <c r="A36" s="30" t="s">
        <v>75</v>
      </c>
      <c r="B36" s="30" t="s">
        <v>82</v>
      </c>
      <c r="C36" s="31">
        <v>0.2361111111111111</v>
      </c>
      <c r="D36" s="30" t="s">
        <v>83</v>
      </c>
      <c r="E36" s="32"/>
      <c r="F36" s="30" t="s">
        <v>84</v>
      </c>
      <c r="G36" s="133"/>
      <c r="H36" s="33" t="s">
        <v>82</v>
      </c>
      <c r="I36" s="34">
        <v>1</v>
      </c>
      <c r="J36" s="35">
        <v>179</v>
      </c>
      <c r="K36" s="36">
        <v>45981</v>
      </c>
      <c r="L36" s="35">
        <v>9</v>
      </c>
      <c r="M36" s="35">
        <v>0</v>
      </c>
      <c r="N36" s="35">
        <v>9</v>
      </c>
      <c r="O36" s="37" t="s">
        <v>85</v>
      </c>
      <c r="P36" s="38">
        <v>0.2361111111111111</v>
      </c>
      <c r="Q36" s="35">
        <v>179</v>
      </c>
      <c r="R36" s="39" t="s">
        <v>86</v>
      </c>
    </row>
    <row r="37" spans="1:18" ht="15" customHeight="1" x14ac:dyDescent="0.3">
      <c r="A37" s="40" t="s">
        <v>75</v>
      </c>
      <c r="B37" s="40" t="s">
        <v>87</v>
      </c>
      <c r="C37" s="41">
        <v>0.33333333333333331</v>
      </c>
      <c r="D37" s="40" t="s">
        <v>83</v>
      </c>
      <c r="E37" s="42"/>
      <c r="F37" s="40" t="s">
        <v>84</v>
      </c>
      <c r="G37" s="133"/>
      <c r="H37" s="43" t="s">
        <v>87</v>
      </c>
      <c r="I37" s="44">
        <v>1</v>
      </c>
      <c r="J37" s="45">
        <v>179</v>
      </c>
      <c r="K37" s="46">
        <v>45979</v>
      </c>
      <c r="L37" s="45">
        <v>4</v>
      </c>
      <c r="M37" s="45">
        <v>0</v>
      </c>
      <c r="N37" s="45">
        <v>0</v>
      </c>
      <c r="O37" s="47" t="s">
        <v>85</v>
      </c>
      <c r="P37" s="48">
        <v>0.33333333333333331</v>
      </c>
      <c r="Q37" s="45">
        <v>179</v>
      </c>
      <c r="R37" s="49" t="s">
        <v>88</v>
      </c>
    </row>
    <row r="38" spans="1:18" ht="15" customHeight="1" x14ac:dyDescent="0.3">
      <c r="A38" s="17" t="s">
        <v>89</v>
      </c>
      <c r="B38" s="17" t="s">
        <v>90</v>
      </c>
      <c r="C38" s="18">
        <v>0.37847222222222232</v>
      </c>
      <c r="D38" s="17" t="s">
        <v>91</v>
      </c>
      <c r="E38" s="17" t="s">
        <v>92</v>
      </c>
      <c r="F38" s="17" t="s">
        <v>93</v>
      </c>
      <c r="G38" s="133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9" t="s">
        <v>89</v>
      </c>
      <c r="B39" s="19" t="s">
        <v>90</v>
      </c>
      <c r="C39" s="20">
        <v>0.37847222222222232</v>
      </c>
      <c r="D39" s="19" t="s">
        <v>94</v>
      </c>
      <c r="E39" s="19" t="s">
        <v>95</v>
      </c>
      <c r="F39" s="19" t="s">
        <v>96</v>
      </c>
      <c r="G39" s="133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89</v>
      </c>
      <c r="B40" s="15" t="s">
        <v>97</v>
      </c>
      <c r="C40" s="16">
        <v>0.71875</v>
      </c>
      <c r="D40" s="15" t="s">
        <v>91</v>
      </c>
      <c r="E40" s="15" t="s">
        <v>98</v>
      </c>
      <c r="F40" s="15" t="s">
        <v>93</v>
      </c>
      <c r="G40" s="133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9" t="s">
        <v>89</v>
      </c>
      <c r="B41" s="19" t="s">
        <v>97</v>
      </c>
      <c r="C41" s="20">
        <v>0.71875</v>
      </c>
      <c r="D41" s="19" t="s">
        <v>94</v>
      </c>
      <c r="E41" s="19" t="s">
        <v>95</v>
      </c>
      <c r="F41" s="19" t="s">
        <v>96</v>
      </c>
      <c r="G41" s="133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89</v>
      </c>
      <c r="B42" s="15" t="s">
        <v>99</v>
      </c>
      <c r="C42" s="16">
        <v>0.24305555555555561</v>
      </c>
      <c r="D42" s="15" t="s">
        <v>91</v>
      </c>
      <c r="E42" s="15" t="s">
        <v>100</v>
      </c>
      <c r="F42" s="15" t="s">
        <v>93</v>
      </c>
      <c r="G42" s="133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89</v>
      </c>
      <c r="B43" s="19" t="s">
        <v>99</v>
      </c>
      <c r="C43" s="20">
        <v>0.24305555555555561</v>
      </c>
      <c r="D43" s="19" t="s">
        <v>94</v>
      </c>
      <c r="E43" s="19" t="s">
        <v>43</v>
      </c>
      <c r="F43" s="19" t="s">
        <v>96</v>
      </c>
      <c r="G43" s="133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5" t="s">
        <v>89</v>
      </c>
      <c r="B44" s="15" t="s">
        <v>101</v>
      </c>
      <c r="C44" s="16">
        <v>0.1423611111111111</v>
      </c>
      <c r="D44" s="15" t="s">
        <v>91</v>
      </c>
      <c r="E44" s="15" t="s">
        <v>98</v>
      </c>
      <c r="F44" s="15" t="s">
        <v>93</v>
      </c>
      <c r="G44" s="133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9" t="s">
        <v>89</v>
      </c>
      <c r="B45" s="19" t="s">
        <v>101</v>
      </c>
      <c r="C45" s="20">
        <v>0.1423611111111111</v>
      </c>
      <c r="D45" s="19" t="s">
        <v>94</v>
      </c>
      <c r="E45" s="19" t="s">
        <v>95</v>
      </c>
      <c r="F45" s="19" t="s">
        <v>96</v>
      </c>
      <c r="G45" s="133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5" t="s">
        <v>89</v>
      </c>
      <c r="B46" s="15" t="s">
        <v>102</v>
      </c>
      <c r="C46" s="16">
        <v>0.93055555555555547</v>
      </c>
      <c r="D46" s="15" t="s">
        <v>91</v>
      </c>
      <c r="E46" s="15" t="s">
        <v>98</v>
      </c>
      <c r="F46" s="15" t="s">
        <v>93</v>
      </c>
      <c r="G46" s="133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9" t="s">
        <v>89</v>
      </c>
      <c r="B47" s="19" t="s">
        <v>102</v>
      </c>
      <c r="C47" s="20">
        <v>0.93055555555555547</v>
      </c>
      <c r="D47" s="19" t="s">
        <v>94</v>
      </c>
      <c r="E47" s="19" t="s">
        <v>95</v>
      </c>
      <c r="F47" s="19" t="s">
        <v>96</v>
      </c>
      <c r="G47" s="133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5" t="s">
        <v>89</v>
      </c>
      <c r="B48" s="15" t="s">
        <v>103</v>
      </c>
      <c r="C48" s="16">
        <v>6.9444444444444441E-3</v>
      </c>
      <c r="D48" s="15" t="s">
        <v>91</v>
      </c>
      <c r="E48" s="15" t="s">
        <v>98</v>
      </c>
      <c r="F48" s="15" t="s">
        <v>104</v>
      </c>
      <c r="G48" s="133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9" t="s">
        <v>89</v>
      </c>
      <c r="B49" s="19" t="s">
        <v>103</v>
      </c>
      <c r="C49" s="20">
        <v>6.9444444444444441E-3</v>
      </c>
      <c r="D49" s="19" t="s">
        <v>94</v>
      </c>
      <c r="E49" s="19" t="s">
        <v>95</v>
      </c>
      <c r="F49" s="19" t="s">
        <v>105</v>
      </c>
      <c r="G49" s="133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5" t="s">
        <v>89</v>
      </c>
      <c r="B50" s="15" t="s">
        <v>106</v>
      </c>
      <c r="C50" s="16">
        <v>0.88888888888888884</v>
      </c>
      <c r="D50" s="15" t="s">
        <v>94</v>
      </c>
      <c r="E50" s="15" t="s">
        <v>107</v>
      </c>
      <c r="F50" s="15" t="s">
        <v>108</v>
      </c>
      <c r="G50" s="133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5" t="s">
        <v>89</v>
      </c>
      <c r="B51" s="15" t="s">
        <v>109</v>
      </c>
      <c r="C51" s="16">
        <v>0.61111111111111105</v>
      </c>
      <c r="D51" s="15" t="s">
        <v>91</v>
      </c>
      <c r="E51" s="15" t="s">
        <v>98</v>
      </c>
      <c r="F51" s="15" t="s">
        <v>110</v>
      </c>
      <c r="G51" s="133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9" t="s">
        <v>89</v>
      </c>
      <c r="B52" s="19" t="s">
        <v>109</v>
      </c>
      <c r="C52" s="20">
        <v>0.61111111111111105</v>
      </c>
      <c r="D52" s="19" t="s">
        <v>94</v>
      </c>
      <c r="E52" s="19" t="s">
        <v>95</v>
      </c>
      <c r="F52" s="19" t="s">
        <v>111</v>
      </c>
      <c r="G52" s="133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89</v>
      </c>
      <c r="B53" s="15" t="s">
        <v>112</v>
      </c>
      <c r="C53" s="16">
        <v>0.82986111111111116</v>
      </c>
      <c r="D53" s="15" t="s">
        <v>91</v>
      </c>
      <c r="E53" s="15" t="s">
        <v>98</v>
      </c>
      <c r="F53" s="15" t="s">
        <v>110</v>
      </c>
      <c r="G53" s="133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9" t="s">
        <v>89</v>
      </c>
      <c r="B54" s="19" t="s">
        <v>112</v>
      </c>
      <c r="C54" s="20">
        <v>0.82986111111111116</v>
      </c>
      <c r="D54" s="19" t="s">
        <v>94</v>
      </c>
      <c r="E54" s="19" t="s">
        <v>95</v>
      </c>
      <c r="F54" s="19" t="s">
        <v>111</v>
      </c>
      <c r="G54" s="133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89</v>
      </c>
      <c r="B55" s="15" t="s">
        <v>113</v>
      </c>
      <c r="C55" s="16">
        <v>0.30208333333333331</v>
      </c>
      <c r="D55" s="15" t="s">
        <v>94</v>
      </c>
      <c r="E55" s="15" t="s">
        <v>107</v>
      </c>
      <c r="F55" s="15" t="s">
        <v>114</v>
      </c>
      <c r="G55" s="133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5" t="s">
        <v>89</v>
      </c>
      <c r="B56" s="15" t="s">
        <v>115</v>
      </c>
      <c r="C56" s="16">
        <v>0.12847222222222221</v>
      </c>
      <c r="D56" s="15" t="s">
        <v>94</v>
      </c>
      <c r="E56" s="15" t="s">
        <v>107</v>
      </c>
      <c r="F56" s="15" t="s">
        <v>114</v>
      </c>
      <c r="G56" s="133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89</v>
      </c>
      <c r="B57" s="15" t="s">
        <v>116</v>
      </c>
      <c r="C57" s="16">
        <v>0.78819444444444453</v>
      </c>
      <c r="D57" s="15" t="s">
        <v>94</v>
      </c>
      <c r="E57" s="15" t="s">
        <v>107</v>
      </c>
      <c r="F57" s="15" t="s">
        <v>114</v>
      </c>
      <c r="G57" s="133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7" t="s">
        <v>117</v>
      </c>
      <c r="B58" s="17" t="s">
        <v>118</v>
      </c>
      <c r="C58" s="18">
        <v>0.27777777777777779</v>
      </c>
      <c r="D58" s="17" t="s">
        <v>119</v>
      </c>
      <c r="E58" s="17" t="s">
        <v>92</v>
      </c>
      <c r="F58" s="17" t="s">
        <v>120</v>
      </c>
      <c r="G58" s="133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117</v>
      </c>
      <c r="B59" s="15" t="s">
        <v>121</v>
      </c>
      <c r="C59" s="16">
        <v>0.22916666666666671</v>
      </c>
      <c r="D59" s="15" t="s">
        <v>119</v>
      </c>
      <c r="E59" s="15" t="s">
        <v>98</v>
      </c>
      <c r="F59" s="15" t="s">
        <v>120</v>
      </c>
      <c r="G59" s="133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5" t="s">
        <v>117</v>
      </c>
      <c r="B60" s="15" t="s">
        <v>122</v>
      </c>
      <c r="C60" s="16">
        <v>2.0833333333333329E-2</v>
      </c>
      <c r="D60" s="15" t="s">
        <v>119</v>
      </c>
      <c r="E60" s="15" t="s">
        <v>98</v>
      </c>
      <c r="F60" s="15" t="s">
        <v>123</v>
      </c>
      <c r="G60" s="133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117</v>
      </c>
      <c r="B61" s="15" t="s">
        <v>124</v>
      </c>
      <c r="C61" s="16">
        <v>0.4861111111111111</v>
      </c>
      <c r="D61" s="15" t="s">
        <v>119</v>
      </c>
      <c r="E61" s="15" t="s">
        <v>53</v>
      </c>
      <c r="F61" s="15" t="s">
        <v>125</v>
      </c>
      <c r="G61" s="133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117</v>
      </c>
      <c r="B62" s="15" t="s">
        <v>126</v>
      </c>
      <c r="C62" s="16">
        <v>0.14583333333333329</v>
      </c>
      <c r="D62" s="15" t="s">
        <v>119</v>
      </c>
      <c r="E62" s="15" t="s">
        <v>127</v>
      </c>
      <c r="F62" s="15" t="s">
        <v>125</v>
      </c>
      <c r="G62" s="133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117</v>
      </c>
      <c r="B63" s="15" t="s">
        <v>128</v>
      </c>
      <c r="C63" s="16">
        <v>0.95833333333333337</v>
      </c>
      <c r="D63" s="15" t="s">
        <v>119</v>
      </c>
      <c r="E63" s="15" t="s">
        <v>107</v>
      </c>
      <c r="F63" s="15" t="s">
        <v>125</v>
      </c>
      <c r="G63" s="133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50" t="s">
        <v>117</v>
      </c>
      <c r="B64" s="50" t="s">
        <v>129</v>
      </c>
      <c r="C64" s="51">
        <v>0.54166666666666663</v>
      </c>
      <c r="D64" s="50" t="s">
        <v>119</v>
      </c>
      <c r="E64" s="50" t="s">
        <v>53</v>
      </c>
      <c r="F64" s="50" t="s">
        <v>130</v>
      </c>
      <c r="G64" s="134"/>
      <c r="H64" s="52"/>
      <c r="I64" s="53"/>
      <c r="J64" s="53"/>
      <c r="K64" s="53"/>
      <c r="L64" s="53"/>
      <c r="M64" s="53"/>
      <c r="N64" s="53"/>
      <c r="O64" s="54"/>
      <c r="P64" s="53"/>
      <c r="Q64" s="55"/>
      <c r="R64" s="56"/>
    </row>
  </sheetData>
  <mergeCells count="10">
    <mergeCell ref="A4:F4"/>
    <mergeCell ref="G6:G64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/>
  </sheetViews>
  <sheetFormatPr defaultRowHeight="15.6" outlineLevelCol="1" x14ac:dyDescent="0.3"/>
  <cols>
    <col min="1" max="1" width="11.6640625" style="141" bestFit="1" customWidth="1"/>
    <col min="2" max="2" width="11.109375" style="141" bestFit="1" customWidth="1"/>
    <col min="3" max="3" width="7.88671875" style="141" bestFit="1" customWidth="1"/>
    <col min="4" max="4" width="6.77734375" style="141" bestFit="1" customWidth="1"/>
    <col min="5" max="5" width="8.6640625" style="141" bestFit="1" customWidth="1"/>
    <col min="6" max="6" width="5.21875" style="141" bestFit="1" customWidth="1"/>
    <col min="7" max="7" width="10" style="141" bestFit="1" customWidth="1"/>
    <col min="8" max="8" width="7" style="141" bestFit="1" customWidth="1" outlineLevel="1"/>
    <col min="9" max="10" width="8" style="141" bestFit="1" customWidth="1" outlineLevel="1"/>
    <col min="11" max="11" width="12.21875" style="141" bestFit="1" customWidth="1"/>
    <col min="12" max="12" width="10.109375" style="141" bestFit="1" customWidth="1"/>
    <col min="13" max="13" width="8.77734375" style="141" bestFit="1" customWidth="1" outlineLevel="1"/>
    <col min="14" max="14" width="7.33203125" style="141" bestFit="1" customWidth="1" outlineLevel="1"/>
    <col min="15" max="15" width="9.109375" style="141" bestFit="1" customWidth="1" outlineLevel="1"/>
    <col min="16" max="16" width="15.33203125" style="141" bestFit="1" customWidth="1"/>
    <col min="17" max="21" width="3.88671875" style="141" bestFit="1" customWidth="1" outlineLevel="1"/>
    <col min="22" max="22" width="4" style="141" bestFit="1" customWidth="1" outlineLevel="1"/>
    <col min="23" max="23" width="4.109375" style="141" bestFit="1" customWidth="1" outlineLevel="1"/>
    <col min="24" max="24" width="3.88671875" style="141" bestFit="1" customWidth="1" outlineLevel="1"/>
    <col min="25" max="25" width="5.33203125" style="141" bestFit="1" customWidth="1" outlineLevel="1"/>
    <col min="26" max="26" width="4.88671875" style="141" bestFit="1" customWidth="1" outlineLevel="1"/>
    <col min="27" max="27" width="5.88671875" style="141" bestFit="1" customWidth="1" outlineLevel="1"/>
    <col min="28" max="28" width="5" style="141" bestFit="1" customWidth="1" outlineLevel="1"/>
    <col min="29" max="29" width="5.109375" style="141" bestFit="1" customWidth="1" outlineLevel="1"/>
    <col min="30" max="31" width="5.33203125" style="141" bestFit="1" customWidth="1" outlineLevel="1"/>
    <col min="32" max="32" width="4.44140625" style="141" bestFit="1" customWidth="1" outlineLevel="1"/>
    <col min="33" max="33" width="5" style="141" bestFit="1" customWidth="1" outlineLevel="1"/>
    <col min="34" max="34" width="3.88671875" style="141" bestFit="1" customWidth="1" outlineLevel="1"/>
    <col min="35" max="35" width="6.21875" style="141" bestFit="1" customWidth="1" outlineLevel="1"/>
    <col min="36" max="36" width="4.21875" style="141" bestFit="1" customWidth="1" outlineLevel="1"/>
    <col min="37" max="16384" width="8.88671875" style="141"/>
  </cols>
  <sheetData>
    <row r="1" spans="1:36" x14ac:dyDescent="0.3">
      <c r="A1" s="140" t="s">
        <v>131</v>
      </c>
      <c r="B1" s="140" t="s">
        <v>132</v>
      </c>
      <c r="C1" s="140" t="s">
        <v>133</v>
      </c>
      <c r="D1" s="140" t="s">
        <v>23</v>
      </c>
      <c r="E1" s="140" t="s">
        <v>134</v>
      </c>
      <c r="F1" s="140" t="s">
        <v>135</v>
      </c>
      <c r="G1" s="140" t="s">
        <v>16</v>
      </c>
      <c r="H1" s="140" t="s">
        <v>136</v>
      </c>
      <c r="I1" s="140" t="s">
        <v>137</v>
      </c>
      <c r="J1" s="140" t="s">
        <v>138</v>
      </c>
      <c r="K1" s="140" t="s">
        <v>139</v>
      </c>
      <c r="L1" s="140" t="s">
        <v>18</v>
      </c>
      <c r="M1" s="140" t="s">
        <v>20</v>
      </c>
      <c r="N1" s="140" t="s">
        <v>21</v>
      </c>
      <c r="O1" s="140" t="s">
        <v>19</v>
      </c>
      <c r="P1" s="140" t="s">
        <v>22</v>
      </c>
      <c r="Q1" s="140" t="s">
        <v>140</v>
      </c>
      <c r="R1" s="140" t="s">
        <v>141</v>
      </c>
      <c r="S1" s="140" t="s">
        <v>142</v>
      </c>
      <c r="T1" s="140" t="s">
        <v>143</v>
      </c>
      <c r="U1" s="140" t="s">
        <v>144</v>
      </c>
      <c r="V1" s="140" t="s">
        <v>145</v>
      </c>
      <c r="W1" s="140" t="s">
        <v>146</v>
      </c>
      <c r="X1" s="140" t="s">
        <v>147</v>
      </c>
      <c r="Y1" s="140" t="s">
        <v>148</v>
      </c>
      <c r="Z1" s="140" t="s">
        <v>149</v>
      </c>
      <c r="AA1" s="140" t="s">
        <v>150</v>
      </c>
      <c r="AB1" s="140" t="s">
        <v>151</v>
      </c>
      <c r="AC1" s="140" t="s">
        <v>152</v>
      </c>
      <c r="AD1" s="140" t="s">
        <v>153</v>
      </c>
      <c r="AE1" s="140" t="s">
        <v>154</v>
      </c>
      <c r="AF1" s="140" t="s">
        <v>155</v>
      </c>
      <c r="AG1" s="140" t="s">
        <v>156</v>
      </c>
      <c r="AH1" s="140" t="s">
        <v>157</v>
      </c>
      <c r="AI1" s="140" t="s">
        <v>158</v>
      </c>
      <c r="AJ1" s="140" t="s">
        <v>159</v>
      </c>
    </row>
    <row r="2" spans="1:36" x14ac:dyDescent="0.3">
      <c r="A2" s="142" t="s">
        <v>160</v>
      </c>
      <c r="B2" s="143">
        <v>45983</v>
      </c>
      <c r="C2" s="144" t="s">
        <v>82</v>
      </c>
      <c r="D2" s="145" t="s">
        <v>161</v>
      </c>
      <c r="E2" s="144" t="s">
        <v>1</v>
      </c>
      <c r="F2" s="144" t="s">
        <v>162</v>
      </c>
      <c r="G2" s="146">
        <v>1</v>
      </c>
      <c r="H2" s="147">
        <v>179</v>
      </c>
      <c r="I2" s="147">
        <v>179</v>
      </c>
      <c r="J2" s="147">
        <v>50</v>
      </c>
      <c r="K2" s="144" t="s">
        <v>163</v>
      </c>
      <c r="L2" s="148">
        <v>45981</v>
      </c>
      <c r="M2" s="147">
        <v>0</v>
      </c>
      <c r="N2" s="147">
        <v>9</v>
      </c>
      <c r="O2" s="147">
        <v>9</v>
      </c>
      <c r="P2" s="144" t="s">
        <v>85</v>
      </c>
      <c r="Q2" s="140"/>
      <c r="R2" s="140"/>
      <c r="S2" s="140"/>
      <c r="T2" s="140"/>
      <c r="U2" s="140"/>
      <c r="V2" s="140"/>
      <c r="W2" s="147" t="s">
        <v>164</v>
      </c>
      <c r="X2" s="140"/>
      <c r="Y2" s="147" t="s">
        <v>165</v>
      </c>
      <c r="Z2" s="147" t="s">
        <v>166</v>
      </c>
      <c r="AA2" s="147" t="s">
        <v>167</v>
      </c>
      <c r="AB2" s="147" t="s">
        <v>168</v>
      </c>
      <c r="AC2" s="147" t="s">
        <v>169</v>
      </c>
      <c r="AD2" s="147" t="s">
        <v>170</v>
      </c>
      <c r="AE2" s="147" t="s">
        <v>171</v>
      </c>
      <c r="AF2" s="147" t="s">
        <v>172</v>
      </c>
      <c r="AG2" s="140"/>
      <c r="AH2" s="140"/>
      <c r="AI2" s="147" t="s">
        <v>173</v>
      </c>
      <c r="AJ2" s="140"/>
    </row>
    <row r="3" spans="1:36" x14ac:dyDescent="0.3">
      <c r="A3" s="142" t="s">
        <v>160</v>
      </c>
      <c r="B3" s="143">
        <v>45983</v>
      </c>
      <c r="C3" s="144" t="s">
        <v>87</v>
      </c>
      <c r="D3" s="145" t="s">
        <v>174</v>
      </c>
      <c r="E3" s="144" t="s">
        <v>1</v>
      </c>
      <c r="F3" s="144" t="s">
        <v>162</v>
      </c>
      <c r="G3" s="146">
        <v>1</v>
      </c>
      <c r="H3" s="147">
        <v>179</v>
      </c>
      <c r="I3" s="147">
        <v>179</v>
      </c>
      <c r="J3" s="147">
        <v>134</v>
      </c>
      <c r="K3" s="144" t="s">
        <v>163</v>
      </c>
      <c r="L3" s="148">
        <v>45979</v>
      </c>
      <c r="M3" s="147">
        <v>0</v>
      </c>
      <c r="N3" s="147">
        <v>0</v>
      </c>
      <c r="O3" s="147">
        <v>4</v>
      </c>
      <c r="P3" s="144" t="s">
        <v>85</v>
      </c>
      <c r="Q3" s="140"/>
      <c r="R3" s="140"/>
      <c r="S3" s="140"/>
      <c r="T3" s="140"/>
      <c r="U3" s="140"/>
      <c r="V3" s="147" t="s">
        <v>175</v>
      </c>
      <c r="W3" s="140"/>
      <c r="X3" s="147" t="s">
        <v>176</v>
      </c>
      <c r="Y3" s="140"/>
      <c r="Z3" s="147" t="s">
        <v>177</v>
      </c>
      <c r="AA3" s="147" t="s">
        <v>178</v>
      </c>
      <c r="AB3" s="140"/>
      <c r="AC3" s="140"/>
      <c r="AD3" s="140"/>
      <c r="AE3" s="140"/>
      <c r="AF3" s="140"/>
      <c r="AG3" s="140"/>
      <c r="AH3" s="140"/>
      <c r="AI3" s="147" t="s">
        <v>179</v>
      </c>
      <c r="AJ3" s="147" t="s">
        <v>180</v>
      </c>
    </row>
    <row r="4" spans="1:36" x14ac:dyDescent="0.3">
      <c r="A4" s="142" t="s">
        <v>160</v>
      </c>
      <c r="B4" s="143">
        <v>45983</v>
      </c>
      <c r="C4" s="144" t="s">
        <v>79</v>
      </c>
      <c r="D4" s="145" t="s">
        <v>181</v>
      </c>
      <c r="E4" s="144" t="s">
        <v>1</v>
      </c>
      <c r="F4" s="144" t="s">
        <v>162</v>
      </c>
      <c r="G4" s="146">
        <v>0.99439999999999995</v>
      </c>
      <c r="H4" s="147">
        <v>179</v>
      </c>
      <c r="I4" s="147">
        <v>178</v>
      </c>
      <c r="J4" s="147">
        <v>127</v>
      </c>
      <c r="K4" s="144" t="s">
        <v>163</v>
      </c>
      <c r="L4" s="148">
        <v>45981</v>
      </c>
      <c r="M4" s="147">
        <v>0</v>
      </c>
      <c r="N4" s="147">
        <v>3</v>
      </c>
      <c r="O4" s="147">
        <v>6</v>
      </c>
      <c r="P4" s="144" t="s">
        <v>80</v>
      </c>
      <c r="Q4" s="140"/>
      <c r="R4" s="140"/>
      <c r="S4" s="140"/>
      <c r="T4" s="140"/>
      <c r="U4" s="140"/>
      <c r="V4" s="147" t="s">
        <v>182</v>
      </c>
      <c r="W4" s="140"/>
      <c r="X4" s="140"/>
      <c r="Y4" s="147" t="s">
        <v>183</v>
      </c>
      <c r="Z4" s="147" t="s">
        <v>184</v>
      </c>
      <c r="AA4" s="147" t="s">
        <v>185</v>
      </c>
      <c r="AB4" s="147" t="s">
        <v>168</v>
      </c>
      <c r="AC4" s="147" t="s">
        <v>186</v>
      </c>
      <c r="AD4" s="147" t="s">
        <v>187</v>
      </c>
      <c r="AE4" s="147" t="s">
        <v>188</v>
      </c>
      <c r="AF4" s="147" t="s">
        <v>189</v>
      </c>
      <c r="AG4" s="147" t="s">
        <v>190</v>
      </c>
      <c r="AH4" s="140"/>
      <c r="AI4" s="147" t="s">
        <v>191</v>
      </c>
      <c r="AJ4" s="147" t="s">
        <v>192</v>
      </c>
    </row>
    <row r="5" spans="1:36" ht="21" x14ac:dyDescent="0.3">
      <c r="A5" s="149" t="s">
        <v>277</v>
      </c>
      <c r="B5" s="150"/>
      <c r="C5" s="149">
        <f>SUBTOTAL(103,JED_CAI_LF_LEGACY[Flt])</f>
        <v>3</v>
      </c>
      <c r="D5" s="149"/>
      <c r="E5" s="149">
        <f>SUBTOTAL(103,JED_CAI_LF_LEGACY[Brd-Off])</f>
        <v>3</v>
      </c>
      <c r="F5" s="149"/>
      <c r="G5" s="151">
        <f>SUBTOTAL(101,JED_CAI_LF_LEGACY[LF%])</f>
        <v>0.99813333333333321</v>
      </c>
      <c r="H5" s="152">
        <f>SUBTOTAL(109,JED_CAI_LF_LEGACY[CAP])</f>
        <v>537</v>
      </c>
      <c r="I5" s="152">
        <f>SUBTOTAL(109,JED_CAI_LF_LEGACY[BKG(Y)])</f>
        <v>536</v>
      </c>
      <c r="J5" s="152">
        <f>SUBTOTAL(109,JED_CAI_LF_LEGACY[GRP(Y)])</f>
        <v>311</v>
      </c>
      <c r="K5" s="149"/>
      <c r="L5" s="150"/>
      <c r="M5" s="152">
        <f>SUBTOTAL(109,JED_CAI_LF_LEGACY[TO-DAY])</f>
        <v>0</v>
      </c>
      <c r="N5" s="152">
        <f>SUBTOTAL(109,JED_CAI_LF_LEGACY[Y-DAY])</f>
        <v>12</v>
      </c>
      <c r="O5" s="152">
        <f>SUBTOTAL(109,JED_CAI_LF_LEGACY[WEEKLY])</f>
        <v>19</v>
      </c>
      <c r="P5" s="153"/>
      <c r="Q5" s="149">
        <f>SUBTOTAL(109,JED_CAI_LF_LEGACY[Y])</f>
        <v>0</v>
      </c>
      <c r="R5" s="149">
        <f>SUBTOTAL(109,JED_CAI_LF_LEGACY[B])</f>
        <v>0</v>
      </c>
      <c r="S5" s="149">
        <f>SUBTOTAL(109,JED_CAI_LF_LEGACY[M])</f>
        <v>0</v>
      </c>
      <c r="T5" s="149">
        <f>SUBTOTAL(109,JED_CAI_LF_LEGACY[H])</f>
        <v>0</v>
      </c>
      <c r="U5" s="149">
        <f>SUBTOTAL(109,JED_CAI_LF_LEGACY[Q])</f>
        <v>0</v>
      </c>
      <c r="V5" s="152">
        <f>SUBTOTAL(109,JED_CAI_LF_LEGACY[K])</f>
        <v>0</v>
      </c>
      <c r="W5" s="149">
        <f>SUBTOTAL(109,JED_CAI_LF_LEGACY[V])</f>
        <v>0</v>
      </c>
      <c r="X5" s="149">
        <f>SUBTOTAL(109,JED_CAI_LF_LEGACY[L])</f>
        <v>0</v>
      </c>
      <c r="Y5" s="152">
        <f>SUBTOTAL(109,JED_CAI_LF_LEGACY[G])</f>
        <v>0</v>
      </c>
      <c r="Z5" s="152">
        <f>SUBTOTAL(109,JED_CAI_LF_LEGACY[S])</f>
        <v>0</v>
      </c>
      <c r="AA5" s="152">
        <f>SUBTOTAL(109,JED_CAI_LF_LEGACY[W])</f>
        <v>0</v>
      </c>
      <c r="AB5" s="152">
        <f>SUBTOTAL(109,JED_CAI_LF_LEGACY[T])</f>
        <v>0</v>
      </c>
      <c r="AC5" s="152">
        <f>SUBTOTAL(109,JED_CAI_LF_LEGACY[X])</f>
        <v>0</v>
      </c>
      <c r="AD5" s="152">
        <f>SUBTOTAL(109,JED_CAI_LF_LEGACY[U])</f>
        <v>0</v>
      </c>
      <c r="AE5" s="152">
        <f>SUBTOTAL(109,JED_CAI_LF_LEGACY[O])</f>
        <v>0</v>
      </c>
      <c r="AF5" s="152">
        <f>SUBTOTAL(109,JED_CAI_LF_LEGACY[I])</f>
        <v>0</v>
      </c>
      <c r="AG5" s="149">
        <f>SUBTOTAL(109,JED_CAI_LF_LEGACY[E])</f>
        <v>0</v>
      </c>
      <c r="AH5" s="149">
        <f>SUBTOTAL(109,JED_CAI_LF_LEGACY[A])</f>
        <v>0</v>
      </c>
      <c r="AI5" s="152">
        <f>SUBTOTAL(109,JED_CAI_LF_LEGACY[P])</f>
        <v>0</v>
      </c>
      <c r="AJ5" s="149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58" t="s">
        <v>193</v>
      </c>
      <c r="B1" s="59" t="s">
        <v>8</v>
      </c>
      <c r="C1" s="59" t="s">
        <v>9</v>
      </c>
      <c r="D1" s="59" t="s">
        <v>194</v>
      </c>
      <c r="E1" s="59" t="s">
        <v>10</v>
      </c>
      <c r="F1" s="59" t="s">
        <v>11</v>
      </c>
      <c r="G1" s="59" t="s">
        <v>12</v>
      </c>
      <c r="H1" s="60" t="s">
        <v>13</v>
      </c>
    </row>
    <row r="2" spans="1:8" ht="19.8" customHeight="1" x14ac:dyDescent="0.3">
      <c r="A2" s="61" t="s">
        <v>195</v>
      </c>
      <c r="B2" s="62" t="s">
        <v>26</v>
      </c>
      <c r="C2" s="63" t="s">
        <v>27</v>
      </c>
      <c r="D2" s="62" t="s">
        <v>1</v>
      </c>
      <c r="E2" s="62" t="s">
        <v>196</v>
      </c>
      <c r="F2" s="62" t="s">
        <v>28</v>
      </c>
      <c r="G2" s="64">
        <v>1</v>
      </c>
      <c r="H2" s="65">
        <v>639</v>
      </c>
    </row>
    <row r="3" spans="1:8" ht="19.8" customHeight="1" x14ac:dyDescent="0.3">
      <c r="A3" s="61" t="s">
        <v>195</v>
      </c>
      <c r="B3" s="62" t="s">
        <v>26</v>
      </c>
      <c r="C3" s="63" t="s">
        <v>31</v>
      </c>
      <c r="D3" s="62" t="s">
        <v>1</v>
      </c>
      <c r="E3" s="62" t="s">
        <v>197</v>
      </c>
      <c r="F3" s="62" t="s">
        <v>28</v>
      </c>
      <c r="G3" s="64">
        <v>16</v>
      </c>
      <c r="H3" s="65">
        <v>639</v>
      </c>
    </row>
    <row r="4" spans="1:8" ht="19.8" customHeight="1" x14ac:dyDescent="0.3">
      <c r="A4" s="61" t="s">
        <v>195</v>
      </c>
      <c r="B4" s="62" t="s">
        <v>38</v>
      </c>
      <c r="C4" s="63" t="s">
        <v>39</v>
      </c>
      <c r="D4" s="62" t="s">
        <v>1</v>
      </c>
      <c r="E4" s="62" t="s">
        <v>198</v>
      </c>
      <c r="F4" s="62" t="s">
        <v>40</v>
      </c>
      <c r="G4" s="64">
        <v>1</v>
      </c>
      <c r="H4" s="65">
        <v>669</v>
      </c>
    </row>
    <row r="5" spans="1:8" ht="19.8" customHeight="1" x14ac:dyDescent="0.3">
      <c r="A5" s="61" t="s">
        <v>195</v>
      </c>
      <c r="B5" s="62" t="s">
        <v>38</v>
      </c>
      <c r="C5" s="63" t="s">
        <v>47</v>
      </c>
      <c r="D5" s="62" t="s">
        <v>1</v>
      </c>
      <c r="E5" s="62" t="s">
        <v>199</v>
      </c>
      <c r="F5" s="62" t="s">
        <v>40</v>
      </c>
      <c r="G5" s="64">
        <v>9</v>
      </c>
      <c r="H5" s="65">
        <v>669</v>
      </c>
    </row>
    <row r="6" spans="1:8" ht="19.8" customHeight="1" x14ac:dyDescent="0.3">
      <c r="A6" s="61" t="s">
        <v>195</v>
      </c>
      <c r="B6" s="62" t="s">
        <v>38</v>
      </c>
      <c r="C6" s="63" t="s">
        <v>50</v>
      </c>
      <c r="D6" s="62" t="s">
        <v>1</v>
      </c>
      <c r="E6" s="62" t="s">
        <v>200</v>
      </c>
      <c r="F6" s="62" t="s">
        <v>40</v>
      </c>
      <c r="G6" s="64">
        <v>9</v>
      </c>
      <c r="H6" s="65">
        <v>669</v>
      </c>
    </row>
    <row r="7" spans="1:8" ht="19.8" customHeight="1" x14ac:dyDescent="0.3">
      <c r="A7" s="61" t="s">
        <v>195</v>
      </c>
      <c r="B7" s="62" t="s">
        <v>38</v>
      </c>
      <c r="C7" s="63" t="s">
        <v>51</v>
      </c>
      <c r="D7" s="62" t="s">
        <v>1</v>
      </c>
      <c r="E7" s="62" t="s">
        <v>201</v>
      </c>
      <c r="F7" s="62" t="s">
        <v>40</v>
      </c>
      <c r="G7" s="64">
        <v>9</v>
      </c>
      <c r="H7" s="65">
        <v>669</v>
      </c>
    </row>
    <row r="8" spans="1:8" ht="19.8" customHeight="1" x14ac:dyDescent="0.3">
      <c r="A8" s="61" t="s">
        <v>195</v>
      </c>
      <c r="B8" s="62" t="s">
        <v>60</v>
      </c>
      <c r="C8" s="63" t="s">
        <v>61</v>
      </c>
      <c r="D8" s="62" t="s">
        <v>1</v>
      </c>
      <c r="E8" s="62" t="s">
        <v>202</v>
      </c>
      <c r="F8" s="62" t="s">
        <v>62</v>
      </c>
      <c r="G8" s="64">
        <v>9</v>
      </c>
      <c r="H8" s="65">
        <v>671</v>
      </c>
    </row>
    <row r="9" spans="1:8" ht="19.8" customHeight="1" x14ac:dyDescent="0.3">
      <c r="A9" s="61" t="s">
        <v>195</v>
      </c>
      <c r="B9" s="62" t="s">
        <v>26</v>
      </c>
      <c r="C9" s="63" t="s">
        <v>33</v>
      </c>
      <c r="D9" s="62" t="s">
        <v>1</v>
      </c>
      <c r="E9" s="62" t="s">
        <v>203</v>
      </c>
      <c r="F9" s="62" t="s">
        <v>28</v>
      </c>
      <c r="G9" s="64">
        <v>7</v>
      </c>
      <c r="H9" s="65">
        <v>689</v>
      </c>
    </row>
    <row r="10" spans="1:8" ht="19.8" customHeight="1" x14ac:dyDescent="0.3">
      <c r="A10" s="61" t="s">
        <v>195</v>
      </c>
      <c r="B10" s="62" t="s">
        <v>26</v>
      </c>
      <c r="C10" s="63" t="s">
        <v>36</v>
      </c>
      <c r="D10" s="62" t="s">
        <v>1</v>
      </c>
      <c r="E10" s="62" t="s">
        <v>204</v>
      </c>
      <c r="F10" s="62" t="s">
        <v>28</v>
      </c>
      <c r="G10" s="64">
        <v>15</v>
      </c>
      <c r="H10" s="65">
        <v>689</v>
      </c>
    </row>
    <row r="11" spans="1:8" ht="19.8" customHeight="1" x14ac:dyDescent="0.3">
      <c r="A11" s="61" t="s">
        <v>195</v>
      </c>
      <c r="B11" s="62" t="s">
        <v>67</v>
      </c>
      <c r="C11" s="63" t="s">
        <v>68</v>
      </c>
      <c r="D11" s="62" t="s">
        <v>1</v>
      </c>
      <c r="E11" s="62" t="s">
        <v>205</v>
      </c>
      <c r="F11" s="62" t="s">
        <v>69</v>
      </c>
      <c r="G11" s="64">
        <v>8</v>
      </c>
      <c r="H11" s="65">
        <v>691</v>
      </c>
    </row>
    <row r="12" spans="1:8" ht="19.8" customHeight="1" x14ac:dyDescent="0.3">
      <c r="A12" s="61" t="s">
        <v>195</v>
      </c>
      <c r="B12" s="62" t="s">
        <v>60</v>
      </c>
      <c r="C12" s="63" t="s">
        <v>65</v>
      </c>
      <c r="D12" s="62" t="s">
        <v>1</v>
      </c>
      <c r="E12" s="62" t="s">
        <v>206</v>
      </c>
      <c r="F12" s="62" t="s">
        <v>62</v>
      </c>
      <c r="G12" s="64">
        <v>7</v>
      </c>
      <c r="H12" s="65">
        <v>692</v>
      </c>
    </row>
    <row r="13" spans="1:8" ht="19.8" customHeight="1" x14ac:dyDescent="0.3">
      <c r="A13" s="61" t="s">
        <v>195</v>
      </c>
      <c r="B13" s="62" t="s">
        <v>38</v>
      </c>
      <c r="C13" s="63" t="s">
        <v>52</v>
      </c>
      <c r="D13" s="62" t="s">
        <v>1</v>
      </c>
      <c r="E13" s="62" t="s">
        <v>207</v>
      </c>
      <c r="F13" s="62" t="s">
        <v>40</v>
      </c>
      <c r="G13" s="64">
        <v>2</v>
      </c>
      <c r="H13" s="65">
        <v>719</v>
      </c>
    </row>
    <row r="14" spans="1:8" ht="19.8" customHeight="1" x14ac:dyDescent="0.3">
      <c r="A14" s="61" t="s">
        <v>195</v>
      </c>
      <c r="B14" s="62" t="s">
        <v>38</v>
      </c>
      <c r="C14" s="63" t="s">
        <v>58</v>
      </c>
      <c r="D14" s="62" t="s">
        <v>1</v>
      </c>
      <c r="E14" s="62" t="s">
        <v>208</v>
      </c>
      <c r="F14" s="62" t="s">
        <v>40</v>
      </c>
      <c r="G14" s="64">
        <v>9</v>
      </c>
      <c r="H14" s="65">
        <v>719</v>
      </c>
    </row>
    <row r="15" spans="1:8" ht="19.8" customHeight="1" x14ac:dyDescent="0.3">
      <c r="A15" s="61" t="s">
        <v>195</v>
      </c>
      <c r="B15" s="62" t="s">
        <v>38</v>
      </c>
      <c r="C15" s="63" t="s">
        <v>59</v>
      </c>
      <c r="D15" s="62" t="s">
        <v>1</v>
      </c>
      <c r="E15" s="62" t="s">
        <v>209</v>
      </c>
      <c r="F15" s="62" t="s">
        <v>40</v>
      </c>
      <c r="G15" s="64">
        <v>9</v>
      </c>
      <c r="H15" s="65">
        <v>719</v>
      </c>
    </row>
    <row r="16" spans="1:8" ht="19.8" customHeight="1" x14ac:dyDescent="0.3">
      <c r="A16" s="61" t="s">
        <v>195</v>
      </c>
      <c r="B16" s="62" t="s">
        <v>38</v>
      </c>
      <c r="C16" s="63" t="s">
        <v>39</v>
      </c>
      <c r="D16" s="62" t="s">
        <v>1</v>
      </c>
      <c r="E16" s="62" t="s">
        <v>198</v>
      </c>
      <c r="F16" s="62" t="s">
        <v>42</v>
      </c>
      <c r="G16" s="64">
        <v>1</v>
      </c>
      <c r="H16" s="65">
        <v>769</v>
      </c>
    </row>
    <row r="17" spans="1:8" ht="19.8" customHeight="1" x14ac:dyDescent="0.3">
      <c r="A17" s="61" t="s">
        <v>195</v>
      </c>
      <c r="B17" s="62" t="s">
        <v>38</v>
      </c>
      <c r="C17" s="63" t="s">
        <v>47</v>
      </c>
      <c r="D17" s="62" t="s">
        <v>1</v>
      </c>
      <c r="E17" s="62" t="s">
        <v>199</v>
      </c>
      <c r="F17" s="62" t="s">
        <v>42</v>
      </c>
      <c r="G17" s="64">
        <v>9</v>
      </c>
      <c r="H17" s="65">
        <v>769</v>
      </c>
    </row>
    <row r="18" spans="1:8" ht="19.8" customHeight="1" x14ac:dyDescent="0.3">
      <c r="A18" s="61" t="s">
        <v>195</v>
      </c>
      <c r="B18" s="62" t="s">
        <v>38</v>
      </c>
      <c r="C18" s="63" t="s">
        <v>50</v>
      </c>
      <c r="D18" s="62" t="s">
        <v>1</v>
      </c>
      <c r="E18" s="62" t="s">
        <v>200</v>
      </c>
      <c r="F18" s="62" t="s">
        <v>42</v>
      </c>
      <c r="G18" s="64">
        <v>9</v>
      </c>
      <c r="H18" s="65">
        <v>769</v>
      </c>
    </row>
    <row r="19" spans="1:8" ht="19.8" customHeight="1" x14ac:dyDescent="0.3">
      <c r="A19" s="61" t="s">
        <v>195</v>
      </c>
      <c r="B19" s="62" t="s">
        <v>38</v>
      </c>
      <c r="C19" s="63" t="s">
        <v>51</v>
      </c>
      <c r="D19" s="62" t="s">
        <v>1</v>
      </c>
      <c r="E19" s="62" t="s">
        <v>201</v>
      </c>
      <c r="F19" s="62" t="s">
        <v>42</v>
      </c>
      <c r="G19" s="64">
        <v>9</v>
      </c>
      <c r="H19" s="65">
        <v>769</v>
      </c>
    </row>
    <row r="20" spans="1:8" ht="19.8" customHeight="1" x14ac:dyDescent="0.3">
      <c r="A20" s="61" t="s">
        <v>195</v>
      </c>
      <c r="B20" s="62" t="s">
        <v>38</v>
      </c>
      <c r="C20" s="63" t="s">
        <v>52</v>
      </c>
      <c r="D20" s="62" t="s">
        <v>1</v>
      </c>
      <c r="E20" s="62" t="s">
        <v>207</v>
      </c>
      <c r="F20" s="62" t="s">
        <v>42</v>
      </c>
      <c r="G20" s="64">
        <v>2</v>
      </c>
      <c r="H20" s="65">
        <v>819</v>
      </c>
    </row>
    <row r="21" spans="1:8" ht="19.8" customHeight="1" x14ac:dyDescent="0.3">
      <c r="A21" s="61" t="s">
        <v>195</v>
      </c>
      <c r="B21" s="62" t="s">
        <v>38</v>
      </c>
      <c r="C21" s="63" t="s">
        <v>58</v>
      </c>
      <c r="D21" s="62" t="s">
        <v>1</v>
      </c>
      <c r="E21" s="62" t="s">
        <v>208</v>
      </c>
      <c r="F21" s="62" t="s">
        <v>42</v>
      </c>
      <c r="G21" s="64">
        <v>9</v>
      </c>
      <c r="H21" s="65">
        <v>819</v>
      </c>
    </row>
    <row r="22" spans="1:8" ht="19.8" customHeight="1" x14ac:dyDescent="0.3">
      <c r="A22" s="61" t="s">
        <v>195</v>
      </c>
      <c r="B22" s="62" t="s">
        <v>38</v>
      </c>
      <c r="C22" s="63" t="s">
        <v>59</v>
      </c>
      <c r="D22" s="62" t="s">
        <v>1</v>
      </c>
      <c r="E22" s="62" t="s">
        <v>209</v>
      </c>
      <c r="F22" s="62" t="s">
        <v>42</v>
      </c>
      <c r="G22" s="64">
        <v>9</v>
      </c>
      <c r="H22" s="65">
        <v>819</v>
      </c>
    </row>
    <row r="23" spans="1:8" ht="19.8" customHeight="1" x14ac:dyDescent="0.3">
      <c r="A23" s="61" t="s">
        <v>195</v>
      </c>
      <c r="B23" s="62" t="s">
        <v>72</v>
      </c>
      <c r="C23" s="63" t="s">
        <v>73</v>
      </c>
      <c r="D23" s="62" t="s">
        <v>1</v>
      </c>
      <c r="E23" s="62" t="s">
        <v>210</v>
      </c>
      <c r="F23" s="62" t="s">
        <v>69</v>
      </c>
      <c r="G23" s="64">
        <v>1</v>
      </c>
      <c r="H23" s="65">
        <v>835</v>
      </c>
    </row>
    <row r="24" spans="1:8" ht="19.8" customHeight="1" x14ac:dyDescent="0.3">
      <c r="A24" s="61" t="s">
        <v>195</v>
      </c>
      <c r="B24" s="62" t="s">
        <v>38</v>
      </c>
      <c r="C24" s="63" t="s">
        <v>39</v>
      </c>
      <c r="D24" s="62" t="s">
        <v>1</v>
      </c>
      <c r="E24" s="62" t="s">
        <v>198</v>
      </c>
      <c r="F24" s="62" t="s">
        <v>45</v>
      </c>
      <c r="G24" s="64">
        <v>1</v>
      </c>
      <c r="H24" s="65">
        <v>859</v>
      </c>
    </row>
    <row r="25" spans="1:8" ht="19.8" customHeight="1" x14ac:dyDescent="0.3">
      <c r="A25" s="61" t="s">
        <v>195</v>
      </c>
      <c r="B25" s="62" t="s">
        <v>38</v>
      </c>
      <c r="C25" s="63" t="s">
        <v>47</v>
      </c>
      <c r="D25" s="62" t="s">
        <v>1</v>
      </c>
      <c r="E25" s="62" t="s">
        <v>199</v>
      </c>
      <c r="F25" s="62" t="s">
        <v>45</v>
      </c>
      <c r="G25" s="64">
        <v>9</v>
      </c>
      <c r="H25" s="65">
        <v>859</v>
      </c>
    </row>
    <row r="26" spans="1:8" ht="19.8" customHeight="1" x14ac:dyDescent="0.3">
      <c r="A26" s="61" t="s">
        <v>195</v>
      </c>
      <c r="B26" s="62" t="s">
        <v>38</v>
      </c>
      <c r="C26" s="63" t="s">
        <v>50</v>
      </c>
      <c r="D26" s="62" t="s">
        <v>1</v>
      </c>
      <c r="E26" s="62" t="s">
        <v>200</v>
      </c>
      <c r="F26" s="62" t="s">
        <v>45</v>
      </c>
      <c r="G26" s="64">
        <v>9</v>
      </c>
      <c r="H26" s="65">
        <v>859</v>
      </c>
    </row>
    <row r="27" spans="1:8" ht="19.8" customHeight="1" x14ac:dyDescent="0.3">
      <c r="A27" s="61" t="s">
        <v>195</v>
      </c>
      <c r="B27" s="62" t="s">
        <v>38</v>
      </c>
      <c r="C27" s="63" t="s">
        <v>51</v>
      </c>
      <c r="D27" s="62" t="s">
        <v>1</v>
      </c>
      <c r="E27" s="62" t="s">
        <v>201</v>
      </c>
      <c r="F27" s="62" t="s">
        <v>45</v>
      </c>
      <c r="G27" s="64">
        <v>9</v>
      </c>
      <c r="H27" s="65">
        <v>859</v>
      </c>
    </row>
    <row r="28" spans="1:8" ht="19.8" customHeight="1" x14ac:dyDescent="0.3">
      <c r="A28" s="61" t="s">
        <v>195</v>
      </c>
      <c r="B28" s="62" t="s">
        <v>38</v>
      </c>
      <c r="C28" s="63" t="s">
        <v>52</v>
      </c>
      <c r="D28" s="62" t="s">
        <v>1</v>
      </c>
      <c r="E28" s="62" t="s">
        <v>207</v>
      </c>
      <c r="F28" s="62" t="s">
        <v>45</v>
      </c>
      <c r="G28" s="64">
        <v>2</v>
      </c>
      <c r="H28" s="65">
        <v>909</v>
      </c>
    </row>
    <row r="29" spans="1:8" ht="19.8" customHeight="1" x14ac:dyDescent="0.3">
      <c r="A29" s="61" t="s">
        <v>195</v>
      </c>
      <c r="B29" s="62" t="s">
        <v>38</v>
      </c>
      <c r="C29" s="63" t="s">
        <v>58</v>
      </c>
      <c r="D29" s="62" t="s">
        <v>1</v>
      </c>
      <c r="E29" s="62" t="s">
        <v>208</v>
      </c>
      <c r="F29" s="62" t="s">
        <v>45</v>
      </c>
      <c r="G29" s="64">
        <v>9</v>
      </c>
      <c r="H29" s="65">
        <v>909</v>
      </c>
    </row>
    <row r="30" spans="1:8" ht="19.8" customHeight="1" x14ac:dyDescent="0.3">
      <c r="A30" s="61" t="s">
        <v>195</v>
      </c>
      <c r="B30" s="62" t="s">
        <v>38</v>
      </c>
      <c r="C30" s="63" t="s">
        <v>59</v>
      </c>
      <c r="D30" s="62" t="s">
        <v>1</v>
      </c>
      <c r="E30" s="62" t="s">
        <v>209</v>
      </c>
      <c r="F30" s="62" t="s">
        <v>45</v>
      </c>
      <c r="G30" s="64">
        <v>9</v>
      </c>
      <c r="H30" s="65">
        <v>909</v>
      </c>
    </row>
    <row r="31" spans="1:8" ht="19.8" customHeight="1" x14ac:dyDescent="0.3">
      <c r="A31" s="66" t="s">
        <v>195</v>
      </c>
      <c r="B31" s="67" t="s">
        <v>75</v>
      </c>
      <c r="C31" s="68" t="s">
        <v>76</v>
      </c>
      <c r="D31" s="67" t="s">
        <v>1</v>
      </c>
      <c r="E31" s="67" t="s">
        <v>181</v>
      </c>
      <c r="F31" s="67" t="s">
        <v>77</v>
      </c>
      <c r="G31" s="69">
        <v>1</v>
      </c>
      <c r="H31" s="70" t="s">
        <v>78</v>
      </c>
    </row>
    <row r="32" spans="1:8" ht="19.8" customHeight="1" x14ac:dyDescent="0.3">
      <c r="A32" s="71">
        <v>45983</v>
      </c>
      <c r="B32" s="62" t="s">
        <v>89</v>
      </c>
      <c r="C32" s="63" t="s">
        <v>90</v>
      </c>
      <c r="D32" s="62" t="s">
        <v>1</v>
      </c>
      <c r="E32" s="72">
        <v>1.3784722222222221</v>
      </c>
      <c r="F32" s="62" t="s">
        <v>91</v>
      </c>
      <c r="G32" s="64">
        <v>9</v>
      </c>
      <c r="H32" s="73" t="s">
        <v>93</v>
      </c>
    </row>
    <row r="33" spans="1:8" ht="19.8" customHeight="1" x14ac:dyDescent="0.3">
      <c r="A33" s="71">
        <v>45983</v>
      </c>
      <c r="B33" s="62" t="s">
        <v>89</v>
      </c>
      <c r="C33" s="63" t="s">
        <v>97</v>
      </c>
      <c r="D33" s="62" t="s">
        <v>1</v>
      </c>
      <c r="E33" s="72">
        <v>1.71875</v>
      </c>
      <c r="F33" s="62" t="s">
        <v>91</v>
      </c>
      <c r="G33" s="64">
        <v>9</v>
      </c>
      <c r="H33" s="73" t="s">
        <v>93</v>
      </c>
    </row>
    <row r="34" spans="1:8" ht="19.8" customHeight="1" x14ac:dyDescent="0.3">
      <c r="A34" s="71">
        <v>45983</v>
      </c>
      <c r="B34" s="62" t="s">
        <v>89</v>
      </c>
      <c r="C34" s="63" t="s">
        <v>99</v>
      </c>
      <c r="D34" s="62" t="s">
        <v>1</v>
      </c>
      <c r="E34" s="72">
        <v>1.243055555555556</v>
      </c>
      <c r="F34" s="62" t="s">
        <v>91</v>
      </c>
      <c r="G34" s="64">
        <v>1</v>
      </c>
      <c r="H34" s="73" t="s">
        <v>93</v>
      </c>
    </row>
    <row r="35" spans="1:8" ht="19.8" customHeight="1" x14ac:dyDescent="0.3">
      <c r="A35" s="71">
        <v>45983</v>
      </c>
      <c r="B35" s="62" t="s">
        <v>89</v>
      </c>
      <c r="C35" s="63" t="s">
        <v>101</v>
      </c>
      <c r="D35" s="62" t="s">
        <v>1</v>
      </c>
      <c r="E35" s="72">
        <v>1.1423611111111109</v>
      </c>
      <c r="F35" s="62" t="s">
        <v>91</v>
      </c>
      <c r="G35" s="64">
        <v>9</v>
      </c>
      <c r="H35" s="73" t="s">
        <v>93</v>
      </c>
    </row>
    <row r="36" spans="1:8" ht="19.8" customHeight="1" x14ac:dyDescent="0.3">
      <c r="A36" s="71">
        <v>45983</v>
      </c>
      <c r="B36" s="62" t="s">
        <v>89</v>
      </c>
      <c r="C36" s="63" t="s">
        <v>102</v>
      </c>
      <c r="D36" s="62" t="s">
        <v>1</v>
      </c>
      <c r="E36" s="72">
        <v>1.930555555555556</v>
      </c>
      <c r="F36" s="62" t="s">
        <v>91</v>
      </c>
      <c r="G36" s="64">
        <v>9</v>
      </c>
      <c r="H36" s="73" t="s">
        <v>93</v>
      </c>
    </row>
    <row r="37" spans="1:8" ht="19.8" customHeight="1" x14ac:dyDescent="0.3">
      <c r="A37" s="71">
        <v>45983</v>
      </c>
      <c r="B37" s="62" t="s">
        <v>117</v>
      </c>
      <c r="C37" s="63" t="s">
        <v>118</v>
      </c>
      <c r="D37" s="62" t="s">
        <v>1</v>
      </c>
      <c r="E37" s="72">
        <v>1.2777777777777779</v>
      </c>
      <c r="F37" s="62" t="s">
        <v>119</v>
      </c>
      <c r="G37" s="64">
        <v>9</v>
      </c>
      <c r="H37" s="73" t="s">
        <v>120</v>
      </c>
    </row>
    <row r="38" spans="1:8" ht="19.8" customHeight="1" x14ac:dyDescent="0.3">
      <c r="A38" s="71">
        <v>45983</v>
      </c>
      <c r="B38" s="62" t="s">
        <v>117</v>
      </c>
      <c r="C38" s="63" t="s">
        <v>121</v>
      </c>
      <c r="D38" s="62" t="s">
        <v>1</v>
      </c>
      <c r="E38" s="72">
        <v>1.229166666666667</v>
      </c>
      <c r="F38" s="62" t="s">
        <v>119</v>
      </c>
      <c r="G38" s="64">
        <v>9</v>
      </c>
      <c r="H38" s="73" t="s">
        <v>120</v>
      </c>
    </row>
    <row r="39" spans="1:8" ht="19.8" customHeight="1" x14ac:dyDescent="0.3">
      <c r="A39" s="71">
        <v>45983</v>
      </c>
      <c r="B39" s="62" t="s">
        <v>117</v>
      </c>
      <c r="C39" s="63" t="s">
        <v>122</v>
      </c>
      <c r="D39" s="62" t="s">
        <v>1</v>
      </c>
      <c r="E39" s="72">
        <v>1.020833333333333</v>
      </c>
      <c r="F39" s="62" t="s">
        <v>119</v>
      </c>
      <c r="G39" s="64">
        <v>9</v>
      </c>
      <c r="H39" s="73" t="s">
        <v>123</v>
      </c>
    </row>
    <row r="40" spans="1:8" ht="19.8" customHeight="1" x14ac:dyDescent="0.3">
      <c r="A40" s="71">
        <v>45983</v>
      </c>
      <c r="B40" s="62" t="s">
        <v>89</v>
      </c>
      <c r="C40" s="63" t="s">
        <v>90</v>
      </c>
      <c r="D40" s="62" t="s">
        <v>1</v>
      </c>
      <c r="E40" s="72">
        <v>1.3784722222222221</v>
      </c>
      <c r="F40" s="62" t="s">
        <v>94</v>
      </c>
      <c r="G40" s="64">
        <v>9</v>
      </c>
      <c r="H40" s="73" t="s">
        <v>96</v>
      </c>
    </row>
    <row r="41" spans="1:8" ht="19.8" customHeight="1" x14ac:dyDescent="0.3">
      <c r="A41" s="71">
        <v>45983</v>
      </c>
      <c r="B41" s="62" t="s">
        <v>89</v>
      </c>
      <c r="C41" s="63" t="s">
        <v>97</v>
      </c>
      <c r="D41" s="62" t="s">
        <v>1</v>
      </c>
      <c r="E41" s="72">
        <v>1.71875</v>
      </c>
      <c r="F41" s="62" t="s">
        <v>94</v>
      </c>
      <c r="G41" s="64">
        <v>9</v>
      </c>
      <c r="H41" s="73" t="s">
        <v>96</v>
      </c>
    </row>
    <row r="42" spans="1:8" ht="19.8" customHeight="1" x14ac:dyDescent="0.3">
      <c r="A42" s="71">
        <v>45983</v>
      </c>
      <c r="B42" s="62" t="s">
        <v>89</v>
      </c>
      <c r="C42" s="63" t="s">
        <v>99</v>
      </c>
      <c r="D42" s="62" t="s">
        <v>1</v>
      </c>
      <c r="E42" s="72">
        <v>1.243055555555556</v>
      </c>
      <c r="F42" s="62" t="s">
        <v>94</v>
      </c>
      <c r="G42" s="64">
        <v>1</v>
      </c>
      <c r="H42" s="73" t="s">
        <v>96</v>
      </c>
    </row>
    <row r="43" spans="1:8" ht="19.8" customHeight="1" x14ac:dyDescent="0.3">
      <c r="A43" s="71">
        <v>45983</v>
      </c>
      <c r="B43" s="62" t="s">
        <v>89</v>
      </c>
      <c r="C43" s="63" t="s">
        <v>101</v>
      </c>
      <c r="D43" s="62" t="s">
        <v>1</v>
      </c>
      <c r="E43" s="72">
        <v>1.1423611111111109</v>
      </c>
      <c r="F43" s="62" t="s">
        <v>94</v>
      </c>
      <c r="G43" s="64">
        <v>9</v>
      </c>
      <c r="H43" s="73" t="s">
        <v>96</v>
      </c>
    </row>
    <row r="44" spans="1:8" ht="19.8" customHeight="1" x14ac:dyDescent="0.3">
      <c r="A44" s="71">
        <v>45983</v>
      </c>
      <c r="B44" s="62" t="s">
        <v>89</v>
      </c>
      <c r="C44" s="63" t="s">
        <v>102</v>
      </c>
      <c r="D44" s="62" t="s">
        <v>1</v>
      </c>
      <c r="E44" s="72">
        <v>1.930555555555556</v>
      </c>
      <c r="F44" s="62" t="s">
        <v>94</v>
      </c>
      <c r="G44" s="64">
        <v>9</v>
      </c>
      <c r="H44" s="73" t="s">
        <v>96</v>
      </c>
    </row>
    <row r="45" spans="1:8" ht="19.8" customHeight="1" x14ac:dyDescent="0.3">
      <c r="A45" s="71">
        <v>45983</v>
      </c>
      <c r="B45" s="62" t="s">
        <v>89</v>
      </c>
      <c r="C45" s="63" t="s">
        <v>103</v>
      </c>
      <c r="D45" s="62" t="s">
        <v>1</v>
      </c>
      <c r="E45" s="72">
        <v>1.006944444444444</v>
      </c>
      <c r="F45" s="62" t="s">
        <v>91</v>
      </c>
      <c r="G45" s="64">
        <v>9</v>
      </c>
      <c r="H45" s="73" t="s">
        <v>104</v>
      </c>
    </row>
    <row r="46" spans="1:8" ht="19.8" customHeight="1" x14ac:dyDescent="0.3">
      <c r="A46" s="71">
        <v>45983</v>
      </c>
      <c r="B46" s="62" t="s">
        <v>117</v>
      </c>
      <c r="C46" s="63" t="s">
        <v>124</v>
      </c>
      <c r="D46" s="62" t="s">
        <v>1</v>
      </c>
      <c r="E46" s="72">
        <v>1.4861111111111109</v>
      </c>
      <c r="F46" s="62" t="s">
        <v>119</v>
      </c>
      <c r="G46" s="64">
        <v>2</v>
      </c>
      <c r="H46" s="73" t="s">
        <v>125</v>
      </c>
    </row>
    <row r="47" spans="1:8" ht="19.8" customHeight="1" x14ac:dyDescent="0.3">
      <c r="A47" s="71">
        <v>45983</v>
      </c>
      <c r="B47" s="62" t="s">
        <v>117</v>
      </c>
      <c r="C47" s="63" t="s">
        <v>126</v>
      </c>
      <c r="D47" s="62" t="s">
        <v>1</v>
      </c>
      <c r="E47" s="72">
        <v>1.145833333333333</v>
      </c>
      <c r="F47" s="62" t="s">
        <v>119</v>
      </c>
      <c r="G47" s="64">
        <v>6</v>
      </c>
      <c r="H47" s="73" t="s">
        <v>125</v>
      </c>
    </row>
    <row r="48" spans="1:8" ht="19.8" customHeight="1" x14ac:dyDescent="0.3">
      <c r="A48" s="71">
        <v>45983</v>
      </c>
      <c r="B48" s="62" t="s">
        <v>117</v>
      </c>
      <c r="C48" s="63" t="s">
        <v>128</v>
      </c>
      <c r="D48" s="62" t="s">
        <v>1</v>
      </c>
      <c r="E48" s="72">
        <v>1.958333333333333</v>
      </c>
      <c r="F48" s="62" t="s">
        <v>119</v>
      </c>
      <c r="G48" s="64">
        <v>4</v>
      </c>
      <c r="H48" s="73" t="s">
        <v>125</v>
      </c>
    </row>
    <row r="49" spans="1:8" ht="19.8" customHeight="1" x14ac:dyDescent="0.3">
      <c r="A49" s="71">
        <v>45983</v>
      </c>
      <c r="B49" s="62" t="s">
        <v>89</v>
      </c>
      <c r="C49" s="63" t="s">
        <v>103</v>
      </c>
      <c r="D49" s="62" t="s">
        <v>1</v>
      </c>
      <c r="E49" s="72">
        <v>1.006944444444444</v>
      </c>
      <c r="F49" s="62" t="s">
        <v>94</v>
      </c>
      <c r="G49" s="64">
        <v>9</v>
      </c>
      <c r="H49" s="73" t="s">
        <v>105</v>
      </c>
    </row>
    <row r="50" spans="1:8" ht="19.8" customHeight="1" x14ac:dyDescent="0.3">
      <c r="A50" s="71">
        <v>45983</v>
      </c>
      <c r="B50" s="62" t="s">
        <v>89</v>
      </c>
      <c r="C50" s="63" t="s">
        <v>106</v>
      </c>
      <c r="D50" s="62" t="s">
        <v>1</v>
      </c>
      <c r="E50" s="72">
        <v>1.8888888888888891</v>
      </c>
      <c r="F50" s="62" t="s">
        <v>94</v>
      </c>
      <c r="G50" s="64">
        <v>4</v>
      </c>
      <c r="H50" s="73" t="s">
        <v>108</v>
      </c>
    </row>
    <row r="51" spans="1:8" ht="19.8" customHeight="1" x14ac:dyDescent="0.3">
      <c r="A51" s="71">
        <v>45983</v>
      </c>
      <c r="B51" s="62" t="s">
        <v>89</v>
      </c>
      <c r="C51" s="63" t="s">
        <v>109</v>
      </c>
      <c r="D51" s="62" t="s">
        <v>1</v>
      </c>
      <c r="E51" s="72">
        <v>1.6111111111111109</v>
      </c>
      <c r="F51" s="62" t="s">
        <v>91</v>
      </c>
      <c r="G51" s="64">
        <v>9</v>
      </c>
      <c r="H51" s="73" t="s">
        <v>110</v>
      </c>
    </row>
    <row r="52" spans="1:8" ht="19.8" customHeight="1" x14ac:dyDescent="0.3">
      <c r="A52" s="71">
        <v>45983</v>
      </c>
      <c r="B52" s="62" t="s">
        <v>89</v>
      </c>
      <c r="C52" s="63" t="s">
        <v>112</v>
      </c>
      <c r="D52" s="62" t="s">
        <v>1</v>
      </c>
      <c r="E52" s="72">
        <v>1.8298611111111109</v>
      </c>
      <c r="F52" s="62" t="s">
        <v>91</v>
      </c>
      <c r="G52" s="64">
        <v>9</v>
      </c>
      <c r="H52" s="73" t="s">
        <v>110</v>
      </c>
    </row>
    <row r="53" spans="1:8" ht="19.8" customHeight="1" x14ac:dyDescent="0.3">
      <c r="A53" s="71">
        <v>45983</v>
      </c>
      <c r="B53" s="62" t="s">
        <v>117</v>
      </c>
      <c r="C53" s="63" t="s">
        <v>129</v>
      </c>
      <c r="D53" s="62" t="s">
        <v>1</v>
      </c>
      <c r="E53" s="72">
        <v>1.541666666666667</v>
      </c>
      <c r="F53" s="62" t="s">
        <v>119</v>
      </c>
      <c r="G53" s="64">
        <v>2</v>
      </c>
      <c r="H53" s="73" t="s">
        <v>130</v>
      </c>
    </row>
    <row r="54" spans="1:8" ht="19.8" customHeight="1" x14ac:dyDescent="0.3">
      <c r="A54" s="71">
        <v>45983</v>
      </c>
      <c r="B54" s="62" t="s">
        <v>89</v>
      </c>
      <c r="C54" s="63" t="s">
        <v>113</v>
      </c>
      <c r="D54" s="62" t="s">
        <v>1</v>
      </c>
      <c r="E54" s="72">
        <v>1.302083333333333</v>
      </c>
      <c r="F54" s="62" t="s">
        <v>94</v>
      </c>
      <c r="G54" s="64">
        <v>4</v>
      </c>
      <c r="H54" s="73" t="s">
        <v>114</v>
      </c>
    </row>
    <row r="55" spans="1:8" ht="19.8" customHeight="1" x14ac:dyDescent="0.3">
      <c r="A55" s="71">
        <v>45983</v>
      </c>
      <c r="B55" s="62" t="s">
        <v>89</v>
      </c>
      <c r="C55" s="63" t="s">
        <v>115</v>
      </c>
      <c r="D55" s="62" t="s">
        <v>1</v>
      </c>
      <c r="E55" s="72">
        <v>1.1284722222222221</v>
      </c>
      <c r="F55" s="62" t="s">
        <v>94</v>
      </c>
      <c r="G55" s="64">
        <v>4</v>
      </c>
      <c r="H55" s="73" t="s">
        <v>114</v>
      </c>
    </row>
    <row r="56" spans="1:8" ht="19.8" customHeight="1" x14ac:dyDescent="0.3">
      <c r="A56" s="71">
        <v>45983</v>
      </c>
      <c r="B56" s="62" t="s">
        <v>89</v>
      </c>
      <c r="C56" s="63" t="s">
        <v>116</v>
      </c>
      <c r="D56" s="62" t="s">
        <v>1</v>
      </c>
      <c r="E56" s="72">
        <v>1.788194444444444</v>
      </c>
      <c r="F56" s="62" t="s">
        <v>94</v>
      </c>
      <c r="G56" s="64">
        <v>4</v>
      </c>
      <c r="H56" s="73" t="s">
        <v>114</v>
      </c>
    </row>
    <row r="57" spans="1:8" ht="19.8" customHeight="1" x14ac:dyDescent="0.3">
      <c r="A57" s="71">
        <v>45983</v>
      </c>
      <c r="B57" s="62" t="s">
        <v>89</v>
      </c>
      <c r="C57" s="63" t="s">
        <v>109</v>
      </c>
      <c r="D57" s="62" t="s">
        <v>1</v>
      </c>
      <c r="E57" s="72">
        <v>1.6111111111111109</v>
      </c>
      <c r="F57" s="62" t="s">
        <v>94</v>
      </c>
      <c r="G57" s="64">
        <v>9</v>
      </c>
      <c r="H57" s="73" t="s">
        <v>111</v>
      </c>
    </row>
    <row r="58" spans="1:8" ht="19.8" customHeight="1" x14ac:dyDescent="0.3">
      <c r="A58" s="71">
        <v>45983</v>
      </c>
      <c r="B58" s="62" t="s">
        <v>89</v>
      </c>
      <c r="C58" s="63" t="s">
        <v>112</v>
      </c>
      <c r="D58" s="62" t="s">
        <v>1</v>
      </c>
      <c r="E58" s="72">
        <v>1.8298611111111109</v>
      </c>
      <c r="F58" s="62" t="s">
        <v>94</v>
      </c>
      <c r="G58" s="64">
        <v>9</v>
      </c>
      <c r="H58" s="73" t="s">
        <v>111</v>
      </c>
    </row>
    <row r="59" spans="1:8" ht="19.8" customHeight="1" x14ac:dyDescent="0.3">
      <c r="A59" s="74">
        <v>45983</v>
      </c>
      <c r="B59" s="67" t="s">
        <v>75</v>
      </c>
      <c r="C59" s="68" t="s">
        <v>82</v>
      </c>
      <c r="D59" s="67" t="s">
        <v>1</v>
      </c>
      <c r="E59" s="75">
        <v>1.2361111111111109</v>
      </c>
      <c r="F59" s="67" t="s">
        <v>83</v>
      </c>
      <c r="G59" s="67"/>
      <c r="H59" s="70" t="s">
        <v>84</v>
      </c>
    </row>
    <row r="60" spans="1:8" ht="19.8" customHeight="1" x14ac:dyDescent="0.3">
      <c r="A60" s="76">
        <v>45983</v>
      </c>
      <c r="B60" s="77" t="s">
        <v>75</v>
      </c>
      <c r="C60" s="78" t="s">
        <v>87</v>
      </c>
      <c r="D60" s="77" t="s">
        <v>1</v>
      </c>
      <c r="E60" s="79">
        <v>1.333333333333333</v>
      </c>
      <c r="F60" s="77" t="s">
        <v>83</v>
      </c>
      <c r="G60" s="77"/>
      <c r="H60" s="80" t="s">
        <v>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58" t="s">
        <v>193</v>
      </c>
      <c r="B1" s="59" t="s">
        <v>8</v>
      </c>
      <c r="C1" s="59" t="s">
        <v>9</v>
      </c>
      <c r="D1" s="59" t="s">
        <v>194</v>
      </c>
      <c r="E1" s="59" t="s">
        <v>10</v>
      </c>
      <c r="F1" s="59" t="s">
        <v>11</v>
      </c>
      <c r="G1" s="59" t="s">
        <v>12</v>
      </c>
      <c r="H1" s="60" t="s">
        <v>13</v>
      </c>
    </row>
    <row r="2" spans="1:8" ht="19.8" customHeight="1" x14ac:dyDescent="0.3">
      <c r="A2" s="66" t="s">
        <v>195</v>
      </c>
      <c r="B2" s="67" t="s">
        <v>75</v>
      </c>
      <c r="C2" s="68" t="s">
        <v>76</v>
      </c>
      <c r="D2" s="67" t="s">
        <v>1</v>
      </c>
      <c r="E2" s="67" t="s">
        <v>181</v>
      </c>
      <c r="F2" s="67" t="s">
        <v>77</v>
      </c>
      <c r="G2" s="69">
        <v>1</v>
      </c>
      <c r="H2" s="70" t="s">
        <v>78</v>
      </c>
    </row>
    <row r="3" spans="1:8" ht="19.8" customHeight="1" x14ac:dyDescent="0.3">
      <c r="A3" s="74">
        <v>45983</v>
      </c>
      <c r="B3" s="67" t="s">
        <v>75</v>
      </c>
      <c r="C3" s="68" t="s">
        <v>82</v>
      </c>
      <c r="D3" s="67" t="s">
        <v>1</v>
      </c>
      <c r="E3" s="75">
        <v>1.2361111111111109</v>
      </c>
      <c r="F3" s="67" t="s">
        <v>83</v>
      </c>
      <c r="G3" s="67"/>
      <c r="H3" s="70" t="s">
        <v>84</v>
      </c>
    </row>
    <row r="4" spans="1:8" ht="19.8" customHeight="1" x14ac:dyDescent="0.3">
      <c r="A4" s="76">
        <v>45983</v>
      </c>
      <c r="B4" s="77" t="s">
        <v>75</v>
      </c>
      <c r="C4" s="78" t="s">
        <v>87</v>
      </c>
      <c r="D4" s="77" t="s">
        <v>1</v>
      </c>
      <c r="E4" s="79">
        <v>1.333333333333333</v>
      </c>
      <c r="F4" s="77" t="s">
        <v>83</v>
      </c>
      <c r="G4" s="77"/>
      <c r="H4" s="80" t="s">
        <v>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4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1.77734375" bestFit="1" customWidth="1"/>
    <col min="5" max="5" width="20.1093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0" bestFit="1" customWidth="1"/>
  </cols>
  <sheetData>
    <row r="1" spans="1:92" ht="28.8" customHeight="1" x14ac:dyDescent="0.3">
      <c r="A1" s="126" t="s">
        <v>0</v>
      </c>
      <c r="B1" s="123"/>
      <c r="C1" s="123"/>
      <c r="D1" s="123"/>
      <c r="E1" s="123"/>
      <c r="F1" s="1" t="s">
        <v>211</v>
      </c>
      <c r="G1" s="2" t="s">
        <v>2</v>
      </c>
      <c r="H1" s="125">
        <v>45983</v>
      </c>
      <c r="I1" s="123"/>
      <c r="J1" s="123"/>
      <c r="K1" s="123"/>
      <c r="L1" s="123"/>
      <c r="M1" s="1" t="s">
        <v>3</v>
      </c>
      <c r="N1" s="136">
        <v>45983</v>
      </c>
      <c r="O1" s="123"/>
      <c r="P1" s="123"/>
      <c r="Q1" s="123"/>
      <c r="R1" s="12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2" t="s">
        <v>4</v>
      </c>
      <c r="B2" s="123"/>
      <c r="C2" s="123"/>
      <c r="D2" s="123"/>
      <c r="E2" s="123"/>
      <c r="F2" s="123"/>
      <c r="G2" s="127">
        <v>45982.091223318414</v>
      </c>
      <c r="H2" s="123"/>
      <c r="I2" s="123"/>
      <c r="J2" s="123"/>
      <c r="K2" s="128">
        <v>45982.091223318661</v>
      </c>
      <c r="L2" s="123"/>
      <c r="M2" s="123"/>
      <c r="N2" s="123"/>
      <c r="O2" s="123"/>
      <c r="P2" s="123"/>
      <c r="Q2" s="123"/>
      <c r="R2" s="12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4" t="s">
        <v>5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9" t="s">
        <v>6</v>
      </c>
      <c r="B4" s="130"/>
      <c r="C4" s="130"/>
      <c r="D4" s="130"/>
      <c r="E4" s="130"/>
      <c r="F4" s="131"/>
      <c r="G4" s="4">
        <v>45983</v>
      </c>
      <c r="H4" s="135" t="s">
        <v>7</v>
      </c>
      <c r="I4" s="130"/>
      <c r="J4" s="130"/>
      <c r="K4" s="130"/>
      <c r="L4" s="130"/>
      <c r="M4" s="130"/>
      <c r="N4" s="130"/>
      <c r="O4" s="130"/>
      <c r="P4" s="130"/>
      <c r="Q4" s="130"/>
      <c r="R4" s="1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212</v>
      </c>
      <c r="C6" s="9">
        <v>0.25694444444444448</v>
      </c>
      <c r="D6" s="8" t="s">
        <v>213</v>
      </c>
      <c r="E6" s="8" t="s">
        <v>214</v>
      </c>
      <c r="F6" s="8" t="s">
        <v>215</v>
      </c>
      <c r="G6" s="132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9" t="s">
        <v>26</v>
      </c>
      <c r="B7" s="19" t="s">
        <v>212</v>
      </c>
      <c r="C7" s="20">
        <v>0.25694444444444448</v>
      </c>
      <c r="D7" s="19" t="s">
        <v>216</v>
      </c>
      <c r="E7" s="19" t="s">
        <v>217</v>
      </c>
      <c r="F7" s="19" t="s">
        <v>218</v>
      </c>
      <c r="G7" s="133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9" t="s">
        <v>26</v>
      </c>
      <c r="B8" s="19" t="s">
        <v>212</v>
      </c>
      <c r="C8" s="20">
        <v>0.25694444444444448</v>
      </c>
      <c r="D8" s="19" t="s">
        <v>219</v>
      </c>
      <c r="E8" s="19" t="s">
        <v>217</v>
      </c>
      <c r="F8" s="19" t="s">
        <v>220</v>
      </c>
      <c r="G8" s="133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9" t="s">
        <v>26</v>
      </c>
      <c r="B9" s="19" t="s">
        <v>212</v>
      </c>
      <c r="C9" s="20">
        <v>0.25694444444444448</v>
      </c>
      <c r="D9" s="19" t="s">
        <v>221</v>
      </c>
      <c r="E9" s="19" t="s">
        <v>217</v>
      </c>
      <c r="F9" s="19" t="s">
        <v>222</v>
      </c>
      <c r="G9" s="133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7" t="s">
        <v>89</v>
      </c>
      <c r="B10" s="17" t="s">
        <v>223</v>
      </c>
      <c r="C10" s="18">
        <v>0.71180555555555547</v>
      </c>
      <c r="D10" s="17" t="s">
        <v>91</v>
      </c>
      <c r="E10" s="17" t="s">
        <v>29</v>
      </c>
      <c r="F10" s="17" t="s">
        <v>224</v>
      </c>
      <c r="G10" s="133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9" t="s">
        <v>89</v>
      </c>
      <c r="B11" s="19" t="s">
        <v>223</v>
      </c>
      <c r="C11" s="20">
        <v>0.71180555555555547</v>
      </c>
      <c r="D11" s="19" t="s">
        <v>94</v>
      </c>
      <c r="E11" s="19" t="s">
        <v>43</v>
      </c>
      <c r="F11" s="19" t="s">
        <v>225</v>
      </c>
      <c r="G11" s="133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81" t="s">
        <v>75</v>
      </c>
      <c r="B12" s="81" t="s">
        <v>226</v>
      </c>
      <c r="C12" s="82">
        <v>0.45833333333333331</v>
      </c>
      <c r="D12" s="81" t="s">
        <v>83</v>
      </c>
      <c r="E12" s="83"/>
      <c r="F12" s="81" t="s">
        <v>84</v>
      </c>
      <c r="G12" s="133"/>
      <c r="H12" s="43" t="s">
        <v>226</v>
      </c>
      <c r="I12" s="44">
        <v>1</v>
      </c>
      <c r="J12" s="45">
        <v>179</v>
      </c>
      <c r="K12" s="46">
        <v>45980</v>
      </c>
      <c r="L12" s="45">
        <v>12</v>
      </c>
      <c r="M12" s="45">
        <v>0</v>
      </c>
      <c r="N12" s="45">
        <v>0</v>
      </c>
      <c r="O12" s="47" t="s">
        <v>85</v>
      </c>
      <c r="P12" s="48">
        <v>0.45833333333333331</v>
      </c>
      <c r="Q12" s="45">
        <v>179</v>
      </c>
      <c r="R12" s="49" t="s">
        <v>227</v>
      </c>
    </row>
    <row r="13" spans="1:92" ht="15" customHeight="1" x14ac:dyDescent="0.3">
      <c r="A13" s="84" t="s">
        <v>75</v>
      </c>
      <c r="B13" s="84" t="s">
        <v>228</v>
      </c>
      <c r="C13" s="85">
        <v>0.79166666666666663</v>
      </c>
      <c r="D13" s="84" t="s">
        <v>83</v>
      </c>
      <c r="E13" s="86"/>
      <c r="F13" s="84" t="s">
        <v>84</v>
      </c>
      <c r="G13" s="133"/>
      <c r="H13" s="87" t="s">
        <v>228</v>
      </c>
      <c r="I13" s="88">
        <v>1</v>
      </c>
      <c r="J13" s="89">
        <v>179</v>
      </c>
      <c r="K13" s="90">
        <v>45980</v>
      </c>
      <c r="L13" s="89">
        <v>8</v>
      </c>
      <c r="M13" s="89">
        <v>0</v>
      </c>
      <c r="N13" s="89">
        <v>0</v>
      </c>
      <c r="O13" s="91" t="s">
        <v>85</v>
      </c>
      <c r="P13" s="92">
        <v>0.79166666666666663</v>
      </c>
      <c r="Q13" s="89">
        <v>179</v>
      </c>
      <c r="R13" s="93" t="s">
        <v>229</v>
      </c>
    </row>
    <row r="14" spans="1:92" ht="18" x14ac:dyDescent="0.3">
      <c r="A14" s="137" t="s">
        <v>230</v>
      </c>
      <c r="B14" s="138"/>
      <c r="C14" s="138"/>
      <c r="D14" s="138"/>
      <c r="E14" s="138"/>
      <c r="F14" s="139"/>
      <c r="G14" s="133"/>
      <c r="H14" s="94"/>
      <c r="I14" s="94"/>
      <c r="J14" s="94"/>
      <c r="K14" s="94"/>
      <c r="L14" s="94"/>
      <c r="M14" s="94"/>
      <c r="N14" s="94"/>
      <c r="O14" s="95"/>
      <c r="P14" s="94"/>
      <c r="Q14" s="57"/>
      <c r="R14" s="57"/>
    </row>
    <row r="15" spans="1:92" ht="15" customHeight="1" x14ac:dyDescent="0.3">
      <c r="A15" s="15" t="s">
        <v>26</v>
      </c>
      <c r="B15" s="15" t="s">
        <v>27</v>
      </c>
      <c r="C15" s="16" t="s">
        <v>196</v>
      </c>
      <c r="D15" s="15" t="s">
        <v>28</v>
      </c>
      <c r="E15" s="15" t="s">
        <v>231</v>
      </c>
      <c r="F15" s="15" t="s">
        <v>30</v>
      </c>
      <c r="G15" s="133"/>
      <c r="H15" s="94"/>
      <c r="I15" s="94"/>
      <c r="J15" s="94"/>
      <c r="K15" s="94"/>
      <c r="L15" s="94"/>
      <c r="M15" s="94"/>
      <c r="N15" s="94"/>
      <c r="O15" s="95"/>
      <c r="P15" s="94"/>
      <c r="Q15" s="57"/>
      <c r="R15" s="57"/>
    </row>
    <row r="16" spans="1:92" ht="15" customHeight="1" x14ac:dyDescent="0.3">
      <c r="A16" s="15" t="s">
        <v>26</v>
      </c>
      <c r="B16" s="15" t="s">
        <v>31</v>
      </c>
      <c r="C16" s="16" t="s">
        <v>197</v>
      </c>
      <c r="D16" s="15" t="s">
        <v>28</v>
      </c>
      <c r="E16" s="15" t="s">
        <v>232</v>
      </c>
      <c r="F16" s="15" t="s">
        <v>30</v>
      </c>
      <c r="G16" s="133"/>
      <c r="H16" s="94"/>
      <c r="I16" s="94"/>
      <c r="J16" s="94"/>
      <c r="K16" s="94"/>
      <c r="L16" s="94"/>
      <c r="M16" s="94"/>
      <c r="N16" s="94"/>
      <c r="O16" s="95"/>
      <c r="P16" s="94"/>
      <c r="Q16" s="57"/>
      <c r="R16" s="57"/>
    </row>
    <row r="17" spans="1:18" ht="15" customHeight="1" x14ac:dyDescent="0.3">
      <c r="A17" s="15" t="s">
        <v>38</v>
      </c>
      <c r="B17" s="15" t="s">
        <v>39</v>
      </c>
      <c r="C17" s="16" t="s">
        <v>198</v>
      </c>
      <c r="D17" s="15" t="s">
        <v>40</v>
      </c>
      <c r="E17" s="15" t="s">
        <v>231</v>
      </c>
      <c r="F17" s="15" t="s">
        <v>41</v>
      </c>
      <c r="G17" s="133"/>
      <c r="H17" s="94"/>
      <c r="I17" s="94"/>
      <c r="J17" s="94"/>
      <c r="K17" s="94"/>
      <c r="L17" s="94"/>
      <c r="M17" s="94"/>
      <c r="N17" s="94"/>
      <c r="O17" s="95"/>
      <c r="P17" s="94"/>
      <c r="Q17" s="57"/>
      <c r="R17" s="57"/>
    </row>
    <row r="18" spans="1:18" ht="15" customHeight="1" x14ac:dyDescent="0.3">
      <c r="A18" s="15" t="s">
        <v>38</v>
      </c>
      <c r="B18" s="15" t="s">
        <v>47</v>
      </c>
      <c r="C18" s="16" t="s">
        <v>199</v>
      </c>
      <c r="D18" s="15" t="s">
        <v>40</v>
      </c>
      <c r="E18" s="15" t="s">
        <v>233</v>
      </c>
      <c r="F18" s="15" t="s">
        <v>41</v>
      </c>
      <c r="G18" s="133"/>
      <c r="H18" s="94"/>
      <c r="I18" s="94"/>
      <c r="J18" s="94"/>
      <c r="K18" s="94"/>
      <c r="L18" s="94"/>
      <c r="M18" s="94"/>
      <c r="N18" s="94"/>
      <c r="O18" s="95"/>
      <c r="P18" s="94"/>
      <c r="Q18" s="57"/>
      <c r="R18" s="57"/>
    </row>
    <row r="19" spans="1:18" ht="15" customHeight="1" x14ac:dyDescent="0.3">
      <c r="A19" s="15" t="s">
        <v>38</v>
      </c>
      <c r="B19" s="15" t="s">
        <v>50</v>
      </c>
      <c r="C19" s="16" t="s">
        <v>200</v>
      </c>
      <c r="D19" s="15" t="s">
        <v>40</v>
      </c>
      <c r="E19" s="15" t="s">
        <v>233</v>
      </c>
      <c r="F19" s="15" t="s">
        <v>41</v>
      </c>
      <c r="G19" s="133"/>
      <c r="H19" s="94"/>
      <c r="I19" s="94"/>
      <c r="J19" s="94"/>
      <c r="K19" s="94"/>
      <c r="L19" s="94"/>
      <c r="M19" s="94"/>
      <c r="N19" s="94"/>
      <c r="O19" s="95"/>
      <c r="P19" s="94"/>
      <c r="Q19" s="57"/>
      <c r="R19" s="57"/>
    </row>
    <row r="20" spans="1:18" ht="15" customHeight="1" x14ac:dyDescent="0.3">
      <c r="A20" s="15" t="s">
        <v>38</v>
      </c>
      <c r="B20" s="15" t="s">
        <v>51</v>
      </c>
      <c r="C20" s="16" t="s">
        <v>201</v>
      </c>
      <c r="D20" s="15" t="s">
        <v>40</v>
      </c>
      <c r="E20" s="15" t="s">
        <v>233</v>
      </c>
      <c r="F20" s="15" t="s">
        <v>41</v>
      </c>
      <c r="G20" s="133"/>
      <c r="H20" s="94"/>
      <c r="I20" s="94"/>
      <c r="J20" s="94"/>
      <c r="K20" s="94"/>
      <c r="L20" s="94"/>
      <c r="M20" s="94"/>
      <c r="N20" s="94"/>
      <c r="O20" s="95"/>
      <c r="P20" s="94"/>
      <c r="Q20" s="57"/>
      <c r="R20" s="57"/>
    </row>
    <row r="21" spans="1:18" ht="15" customHeight="1" x14ac:dyDescent="0.3">
      <c r="A21" s="15" t="s">
        <v>60</v>
      </c>
      <c r="B21" s="15" t="s">
        <v>61</v>
      </c>
      <c r="C21" s="16" t="s">
        <v>202</v>
      </c>
      <c r="D21" s="15" t="s">
        <v>62</v>
      </c>
      <c r="E21" s="15" t="s">
        <v>233</v>
      </c>
      <c r="F21" s="15" t="s">
        <v>64</v>
      </c>
      <c r="G21" s="133"/>
      <c r="H21" s="94"/>
      <c r="I21" s="94"/>
      <c r="J21" s="94"/>
      <c r="K21" s="94"/>
      <c r="L21" s="94"/>
      <c r="M21" s="94"/>
      <c r="N21" s="94"/>
      <c r="O21" s="95"/>
      <c r="P21" s="94"/>
      <c r="Q21" s="57"/>
      <c r="R21" s="57"/>
    </row>
    <row r="22" spans="1:18" ht="15" customHeight="1" x14ac:dyDescent="0.3">
      <c r="A22" s="15" t="s">
        <v>26</v>
      </c>
      <c r="B22" s="15" t="s">
        <v>33</v>
      </c>
      <c r="C22" s="16" t="s">
        <v>203</v>
      </c>
      <c r="D22" s="15" t="s">
        <v>28</v>
      </c>
      <c r="E22" s="15" t="s">
        <v>234</v>
      </c>
      <c r="F22" s="15" t="s">
        <v>35</v>
      </c>
      <c r="G22" s="133"/>
      <c r="H22" s="94"/>
      <c r="I22" s="94"/>
      <c r="J22" s="94"/>
      <c r="K22" s="94"/>
      <c r="L22" s="94"/>
      <c r="M22" s="94"/>
      <c r="N22" s="94"/>
      <c r="O22" s="95"/>
      <c r="P22" s="94"/>
      <c r="Q22" s="57"/>
      <c r="R22" s="57"/>
    </row>
    <row r="23" spans="1:18" ht="15" customHeight="1" x14ac:dyDescent="0.3">
      <c r="A23" s="15" t="s">
        <v>26</v>
      </c>
      <c r="B23" s="15" t="s">
        <v>36</v>
      </c>
      <c r="C23" s="16" t="s">
        <v>204</v>
      </c>
      <c r="D23" s="15" t="s">
        <v>28</v>
      </c>
      <c r="E23" s="15" t="s">
        <v>235</v>
      </c>
      <c r="F23" s="15" t="s">
        <v>35</v>
      </c>
      <c r="G23" s="133"/>
      <c r="H23" s="94"/>
      <c r="I23" s="94"/>
      <c r="J23" s="94"/>
      <c r="K23" s="94"/>
      <c r="L23" s="94"/>
      <c r="M23" s="94"/>
      <c r="N23" s="94"/>
      <c r="O23" s="95"/>
      <c r="P23" s="94"/>
      <c r="Q23" s="57"/>
      <c r="R23" s="57"/>
    </row>
    <row r="24" spans="1:18" ht="15" customHeight="1" x14ac:dyDescent="0.3">
      <c r="A24" s="50" t="s">
        <v>67</v>
      </c>
      <c r="B24" s="50" t="s">
        <v>68</v>
      </c>
      <c r="C24" s="51" t="s">
        <v>205</v>
      </c>
      <c r="D24" s="50" t="s">
        <v>69</v>
      </c>
      <c r="E24" s="50" t="s">
        <v>236</v>
      </c>
      <c r="F24" s="50" t="s">
        <v>71</v>
      </c>
      <c r="G24" s="134"/>
      <c r="H24" s="96"/>
      <c r="I24" s="96"/>
      <c r="J24" s="96"/>
      <c r="K24" s="96"/>
      <c r="L24" s="96"/>
      <c r="M24" s="96"/>
      <c r="N24" s="96"/>
      <c r="O24" s="97"/>
      <c r="P24" s="96"/>
      <c r="Q24" s="98"/>
      <c r="R24" s="98"/>
    </row>
  </sheetData>
  <mergeCells count="11">
    <mergeCell ref="A2:F2"/>
    <mergeCell ref="A3:R3"/>
    <mergeCell ref="A14:F14"/>
    <mergeCell ref="H1:L1"/>
    <mergeCell ref="A1:E1"/>
    <mergeCell ref="G2:J2"/>
    <mergeCell ref="K2:R2"/>
    <mergeCell ref="A4:F4"/>
    <mergeCell ref="G6:G24"/>
    <mergeCell ref="H4:R4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RowHeight="15.6" outlineLevelCol="1" x14ac:dyDescent="0.3"/>
  <cols>
    <col min="1" max="1" width="11.6640625" style="141" bestFit="1" customWidth="1"/>
    <col min="2" max="2" width="11.109375" style="141" bestFit="1" customWidth="1"/>
    <col min="3" max="3" width="7.88671875" style="141" bestFit="1" customWidth="1"/>
    <col min="4" max="4" width="6.77734375" style="141" bestFit="1" customWidth="1"/>
    <col min="5" max="5" width="9.44140625" style="141" bestFit="1" customWidth="1"/>
    <col min="6" max="6" width="5.21875" style="141" bestFit="1" customWidth="1"/>
    <col min="7" max="7" width="11.5546875" style="141" bestFit="1" customWidth="1"/>
    <col min="8" max="8" width="7" style="141" bestFit="1" customWidth="1" outlineLevel="1"/>
    <col min="9" max="10" width="8" style="141" bestFit="1" customWidth="1" outlineLevel="1"/>
    <col min="11" max="11" width="12.21875" style="141" bestFit="1" customWidth="1"/>
    <col min="12" max="12" width="10.109375" style="141" bestFit="1" customWidth="1"/>
    <col min="13" max="13" width="8.77734375" style="141" bestFit="1" customWidth="1" outlineLevel="1"/>
    <col min="14" max="14" width="7.33203125" style="141" bestFit="1" customWidth="1" outlineLevel="1"/>
    <col min="15" max="15" width="9.109375" style="141" bestFit="1" customWidth="1" outlineLevel="1"/>
    <col min="16" max="16" width="15.33203125" style="141" bestFit="1" customWidth="1"/>
    <col min="17" max="21" width="3.88671875" style="141" bestFit="1" customWidth="1" outlineLevel="1"/>
    <col min="22" max="22" width="4" style="141" bestFit="1" customWidth="1" outlineLevel="1"/>
    <col min="23" max="23" width="4.109375" style="141" bestFit="1" customWidth="1" outlineLevel="1"/>
    <col min="24" max="24" width="4.77734375" style="141" bestFit="1" customWidth="1" outlineLevel="1"/>
    <col min="25" max="25" width="3.88671875" style="141" bestFit="1" customWidth="1" outlineLevel="1"/>
    <col min="26" max="26" width="4.88671875" style="141" bestFit="1" customWidth="1" outlineLevel="1"/>
    <col min="27" max="27" width="4.77734375" style="141" bestFit="1" customWidth="1" outlineLevel="1"/>
    <col min="28" max="28" width="5" style="141" bestFit="1" customWidth="1" outlineLevel="1"/>
    <col min="29" max="29" width="5.109375" style="141" bestFit="1" customWidth="1" outlineLevel="1"/>
    <col min="30" max="34" width="3.88671875" style="141" bestFit="1" customWidth="1" outlineLevel="1"/>
    <col min="35" max="35" width="6.21875" style="141" bestFit="1" customWidth="1" outlineLevel="1"/>
    <col min="36" max="36" width="3.88671875" style="141" bestFit="1" customWidth="1" outlineLevel="1"/>
    <col min="37" max="16384" width="8.88671875" style="141"/>
  </cols>
  <sheetData>
    <row r="1" spans="1:36" x14ac:dyDescent="0.3">
      <c r="A1" s="140" t="s">
        <v>131</v>
      </c>
      <c r="B1" s="140" t="s">
        <v>132</v>
      </c>
      <c r="C1" s="140" t="s">
        <v>133</v>
      </c>
      <c r="D1" s="140" t="s">
        <v>23</v>
      </c>
      <c r="E1" s="140" t="s">
        <v>134</v>
      </c>
      <c r="F1" s="140" t="s">
        <v>135</v>
      </c>
      <c r="G1" s="140" t="s">
        <v>16</v>
      </c>
      <c r="H1" s="140" t="s">
        <v>136</v>
      </c>
      <c r="I1" s="140" t="s">
        <v>137</v>
      </c>
      <c r="J1" s="140" t="s">
        <v>138</v>
      </c>
      <c r="K1" s="140" t="s">
        <v>139</v>
      </c>
      <c r="L1" s="140" t="s">
        <v>18</v>
      </c>
      <c r="M1" s="140" t="s">
        <v>20</v>
      </c>
      <c r="N1" s="140" t="s">
        <v>21</v>
      </c>
      <c r="O1" s="140" t="s">
        <v>19</v>
      </c>
      <c r="P1" s="140" t="s">
        <v>22</v>
      </c>
      <c r="Q1" s="140" t="s">
        <v>140</v>
      </c>
      <c r="R1" s="140" t="s">
        <v>141</v>
      </c>
      <c r="S1" s="140" t="s">
        <v>142</v>
      </c>
      <c r="T1" s="140" t="s">
        <v>143</v>
      </c>
      <c r="U1" s="140" t="s">
        <v>144</v>
      </c>
      <c r="V1" s="140" t="s">
        <v>145</v>
      </c>
      <c r="W1" s="140" t="s">
        <v>146</v>
      </c>
      <c r="X1" s="140" t="s">
        <v>147</v>
      </c>
      <c r="Y1" s="140" t="s">
        <v>148</v>
      </c>
      <c r="Z1" s="140" t="s">
        <v>149</v>
      </c>
      <c r="AA1" s="140" t="s">
        <v>150</v>
      </c>
      <c r="AB1" s="140" t="s">
        <v>151</v>
      </c>
      <c r="AC1" s="140" t="s">
        <v>152</v>
      </c>
      <c r="AD1" s="140" t="s">
        <v>153</v>
      </c>
      <c r="AE1" s="140" t="s">
        <v>154</v>
      </c>
      <c r="AF1" s="140" t="s">
        <v>155</v>
      </c>
      <c r="AG1" s="140" t="s">
        <v>156</v>
      </c>
      <c r="AH1" s="140" t="s">
        <v>157</v>
      </c>
      <c r="AI1" s="140" t="s">
        <v>158</v>
      </c>
      <c r="AJ1" s="140" t="s">
        <v>159</v>
      </c>
    </row>
    <row r="2" spans="1:36" x14ac:dyDescent="0.3">
      <c r="A2" s="142" t="s">
        <v>160</v>
      </c>
      <c r="B2" s="143">
        <v>45983</v>
      </c>
      <c r="C2" s="144" t="s">
        <v>226</v>
      </c>
      <c r="D2" s="145" t="s">
        <v>237</v>
      </c>
      <c r="E2" s="144" t="s">
        <v>211</v>
      </c>
      <c r="F2" s="144" t="s">
        <v>162</v>
      </c>
      <c r="G2" s="146">
        <v>1</v>
      </c>
      <c r="H2" s="147">
        <v>179</v>
      </c>
      <c r="I2" s="147">
        <v>179</v>
      </c>
      <c r="J2" s="147">
        <v>118</v>
      </c>
      <c r="K2" s="144" t="s">
        <v>163</v>
      </c>
      <c r="L2" s="148">
        <v>45980</v>
      </c>
      <c r="M2" s="147">
        <v>0</v>
      </c>
      <c r="N2" s="147">
        <v>0</v>
      </c>
      <c r="O2" s="147">
        <v>12</v>
      </c>
      <c r="P2" s="144" t="s">
        <v>85</v>
      </c>
      <c r="Q2" s="140"/>
      <c r="R2" s="140"/>
      <c r="S2" s="140"/>
      <c r="T2" s="140"/>
      <c r="U2" s="140"/>
      <c r="V2" s="140"/>
      <c r="W2" s="140"/>
      <c r="X2" s="147" t="s">
        <v>238</v>
      </c>
      <c r="Y2" s="140"/>
      <c r="Z2" s="147" t="s">
        <v>239</v>
      </c>
      <c r="AA2" s="147" t="s">
        <v>240</v>
      </c>
      <c r="AB2" s="147" t="s">
        <v>241</v>
      </c>
      <c r="AC2" s="147" t="s">
        <v>242</v>
      </c>
      <c r="AD2" s="140"/>
      <c r="AE2" s="140"/>
      <c r="AF2" s="140"/>
      <c r="AG2" s="140"/>
      <c r="AH2" s="140"/>
      <c r="AI2" s="147" t="s">
        <v>243</v>
      </c>
      <c r="AJ2" s="140"/>
    </row>
    <row r="3" spans="1:36" x14ac:dyDescent="0.3">
      <c r="A3" s="142" t="s">
        <v>160</v>
      </c>
      <c r="B3" s="143">
        <v>45983</v>
      </c>
      <c r="C3" s="144" t="s">
        <v>228</v>
      </c>
      <c r="D3" s="145" t="s">
        <v>244</v>
      </c>
      <c r="E3" s="144" t="s">
        <v>211</v>
      </c>
      <c r="F3" s="144" t="s">
        <v>162</v>
      </c>
      <c r="G3" s="146">
        <v>1</v>
      </c>
      <c r="H3" s="147">
        <v>179</v>
      </c>
      <c r="I3" s="147">
        <v>179</v>
      </c>
      <c r="J3" s="147">
        <v>136</v>
      </c>
      <c r="K3" s="144" t="s">
        <v>163</v>
      </c>
      <c r="L3" s="148">
        <v>45980</v>
      </c>
      <c r="M3" s="147">
        <v>0</v>
      </c>
      <c r="N3" s="147">
        <v>0</v>
      </c>
      <c r="O3" s="147">
        <v>8</v>
      </c>
      <c r="P3" s="144" t="s">
        <v>85</v>
      </c>
      <c r="Q3" s="140"/>
      <c r="R3" s="140"/>
      <c r="S3" s="140"/>
      <c r="T3" s="140"/>
      <c r="U3" s="140"/>
      <c r="V3" s="147" t="s">
        <v>182</v>
      </c>
      <c r="W3" s="147" t="s">
        <v>245</v>
      </c>
      <c r="X3" s="147" t="s">
        <v>246</v>
      </c>
      <c r="Y3" s="140"/>
      <c r="Z3" s="147" t="s">
        <v>247</v>
      </c>
      <c r="AA3" s="140"/>
      <c r="AB3" s="140"/>
      <c r="AC3" s="147" t="s">
        <v>248</v>
      </c>
      <c r="AD3" s="140"/>
      <c r="AE3" s="140"/>
      <c r="AF3" s="140"/>
      <c r="AG3" s="140"/>
      <c r="AH3" s="140"/>
      <c r="AI3" s="147" t="s">
        <v>249</v>
      </c>
      <c r="AJ3" s="140"/>
    </row>
    <row r="4" spans="1:36" ht="21" x14ac:dyDescent="0.3">
      <c r="A4" s="149" t="s">
        <v>277</v>
      </c>
      <c r="B4" s="150"/>
      <c r="C4" s="149">
        <f>SUBTOTAL(103,JED_HBE_LF_LEGACY[Flt])</f>
        <v>2</v>
      </c>
      <c r="D4" s="149"/>
      <c r="E4" s="149">
        <f>SUBTOTAL(103,JED_HBE_LF_LEGACY[Brd-Off])</f>
        <v>2</v>
      </c>
      <c r="F4" s="149"/>
      <c r="G4" s="151">
        <f>SUBTOTAL(101,JED_HBE_LF_LEGACY[LF%])</f>
        <v>1</v>
      </c>
      <c r="H4" s="152">
        <f>SUBTOTAL(109,JED_HBE_LF_LEGACY[CAP])</f>
        <v>358</v>
      </c>
      <c r="I4" s="152">
        <f>SUBTOTAL(109,JED_HBE_LF_LEGACY[BKG(Y)])</f>
        <v>358</v>
      </c>
      <c r="J4" s="152">
        <f>SUBTOTAL(109,JED_HBE_LF_LEGACY[GRP(Y)])</f>
        <v>254</v>
      </c>
      <c r="K4" s="149"/>
      <c r="L4" s="150"/>
      <c r="M4" s="152">
        <f>SUBTOTAL(109,JED_HBE_LF_LEGACY[TO-DAY])</f>
        <v>0</v>
      </c>
      <c r="N4" s="152">
        <f>SUBTOTAL(109,JED_HBE_LF_LEGACY[Y-DAY])</f>
        <v>0</v>
      </c>
      <c r="O4" s="152">
        <f>SUBTOTAL(109,JED_HBE_LF_LEGACY[WEEKLY])</f>
        <v>20</v>
      </c>
      <c r="P4" s="153"/>
      <c r="Q4" s="149">
        <f>SUBTOTAL(109,JED_HBE_LF_LEGACY[Y])</f>
        <v>0</v>
      </c>
      <c r="R4" s="149">
        <f>SUBTOTAL(109,JED_HBE_LF_LEGACY[B])</f>
        <v>0</v>
      </c>
      <c r="S4" s="149">
        <f>SUBTOTAL(109,JED_HBE_LF_LEGACY[M])</f>
        <v>0</v>
      </c>
      <c r="T4" s="149">
        <f>SUBTOTAL(109,JED_HBE_LF_LEGACY[H])</f>
        <v>0</v>
      </c>
      <c r="U4" s="149">
        <f>SUBTOTAL(109,JED_HBE_LF_LEGACY[Q])</f>
        <v>0</v>
      </c>
      <c r="V4" s="152">
        <f>SUBTOTAL(109,JED_HBE_LF_LEGACY[K])</f>
        <v>0</v>
      </c>
      <c r="W4" s="152">
        <f>SUBTOTAL(109,JED_HBE_LF_LEGACY[V])</f>
        <v>0</v>
      </c>
      <c r="X4" s="152">
        <f>SUBTOTAL(109,JED_HBE_LF_LEGACY[L])</f>
        <v>0</v>
      </c>
      <c r="Y4" s="149">
        <f>SUBTOTAL(109,JED_HBE_LF_LEGACY[G])</f>
        <v>0</v>
      </c>
      <c r="Z4" s="152">
        <f>SUBTOTAL(109,JED_HBE_LF_LEGACY[S])</f>
        <v>0</v>
      </c>
      <c r="AA4" s="149">
        <f>SUBTOTAL(109,JED_HBE_LF_LEGACY[W])</f>
        <v>0</v>
      </c>
      <c r="AB4" s="149">
        <f>SUBTOTAL(109,JED_HBE_LF_LEGACY[T])</f>
        <v>0</v>
      </c>
      <c r="AC4" s="152">
        <f>SUBTOTAL(109,JED_HBE_LF_LEGACY[X])</f>
        <v>0</v>
      </c>
      <c r="AD4" s="149">
        <f>SUBTOTAL(109,JED_HBE_LF_LEGACY[U])</f>
        <v>0</v>
      </c>
      <c r="AE4" s="149">
        <f>SUBTOTAL(109,JED_HBE_LF_LEGACY[O])</f>
        <v>0</v>
      </c>
      <c r="AF4" s="149">
        <f>SUBTOTAL(109,JED_HBE_LF_LEGACY[I])</f>
        <v>0</v>
      </c>
      <c r="AG4" s="149">
        <f>SUBTOTAL(109,JED_HBE_LF_LEGACY[E])</f>
        <v>0</v>
      </c>
      <c r="AH4" s="149">
        <f>SUBTOTAL(109,JED_HBE_LF_LEGACY[A])</f>
        <v>0</v>
      </c>
      <c r="AI4" s="152">
        <f>SUBTOTAL(109,JED_HBE_LF_LEGACY[P])</f>
        <v>0</v>
      </c>
      <c r="AJ4" s="149">
        <f>SUBTOTAL(103,JED_HBE_LF_LEGACY[N])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58" t="s">
        <v>193</v>
      </c>
      <c r="B1" s="59" t="s">
        <v>8</v>
      </c>
      <c r="C1" s="59" t="s">
        <v>9</v>
      </c>
      <c r="D1" s="59" t="s">
        <v>194</v>
      </c>
      <c r="E1" s="59" t="s">
        <v>10</v>
      </c>
      <c r="F1" s="59" t="s">
        <v>11</v>
      </c>
      <c r="G1" s="59" t="s">
        <v>12</v>
      </c>
      <c r="H1" s="60" t="s">
        <v>13</v>
      </c>
    </row>
    <row r="2" spans="1:8" ht="19.8" customHeight="1" x14ac:dyDescent="0.3">
      <c r="A2" s="61" t="s">
        <v>195</v>
      </c>
      <c r="B2" s="62" t="s">
        <v>26</v>
      </c>
      <c r="C2" s="63" t="s">
        <v>212</v>
      </c>
      <c r="D2" s="62" t="s">
        <v>211</v>
      </c>
      <c r="E2" s="62" t="s">
        <v>198</v>
      </c>
      <c r="F2" s="62" t="s">
        <v>213</v>
      </c>
      <c r="G2" s="64">
        <v>3</v>
      </c>
      <c r="H2" s="65">
        <v>849</v>
      </c>
    </row>
    <row r="3" spans="1:8" ht="19.8" customHeight="1" x14ac:dyDescent="0.3">
      <c r="A3" s="61" t="s">
        <v>195</v>
      </c>
      <c r="B3" s="62" t="s">
        <v>26</v>
      </c>
      <c r="C3" s="63" t="s">
        <v>212</v>
      </c>
      <c r="D3" s="62" t="s">
        <v>211</v>
      </c>
      <c r="E3" s="62" t="s">
        <v>198</v>
      </c>
      <c r="F3" s="62" t="s">
        <v>216</v>
      </c>
      <c r="G3" s="64">
        <v>3</v>
      </c>
      <c r="H3" s="65">
        <v>908</v>
      </c>
    </row>
    <row r="4" spans="1:8" ht="19.8" customHeight="1" x14ac:dyDescent="0.3">
      <c r="A4" s="61" t="s">
        <v>195</v>
      </c>
      <c r="B4" s="62" t="s">
        <v>26</v>
      </c>
      <c r="C4" s="63" t="s">
        <v>212</v>
      </c>
      <c r="D4" s="62" t="s">
        <v>211</v>
      </c>
      <c r="E4" s="62" t="s">
        <v>198</v>
      </c>
      <c r="F4" s="62" t="s">
        <v>219</v>
      </c>
      <c r="G4" s="64">
        <v>3</v>
      </c>
      <c r="H4" s="65">
        <v>932</v>
      </c>
    </row>
    <row r="5" spans="1:8" ht="19.8" customHeight="1" x14ac:dyDescent="0.3">
      <c r="A5" s="61" t="s">
        <v>195</v>
      </c>
      <c r="B5" s="62" t="s">
        <v>26</v>
      </c>
      <c r="C5" s="63" t="s">
        <v>212</v>
      </c>
      <c r="D5" s="62" t="s">
        <v>211</v>
      </c>
      <c r="E5" s="62" t="s">
        <v>198</v>
      </c>
      <c r="F5" s="62" t="s">
        <v>221</v>
      </c>
      <c r="G5" s="64">
        <v>3</v>
      </c>
      <c r="H5" s="73" t="s">
        <v>222</v>
      </c>
    </row>
    <row r="6" spans="1:8" ht="19.8" customHeight="1" x14ac:dyDescent="0.3">
      <c r="A6" s="61" t="s">
        <v>195</v>
      </c>
      <c r="B6" s="62" t="s">
        <v>89</v>
      </c>
      <c r="C6" s="63" t="s">
        <v>223</v>
      </c>
      <c r="D6" s="62" t="s">
        <v>211</v>
      </c>
      <c r="E6" s="62" t="s">
        <v>250</v>
      </c>
      <c r="F6" s="62" t="s">
        <v>91</v>
      </c>
      <c r="G6" s="64">
        <v>1</v>
      </c>
      <c r="H6" s="73" t="s">
        <v>224</v>
      </c>
    </row>
    <row r="7" spans="1:8" ht="19.8" customHeight="1" x14ac:dyDescent="0.3">
      <c r="A7" s="61" t="s">
        <v>195</v>
      </c>
      <c r="B7" s="62" t="s">
        <v>89</v>
      </c>
      <c r="C7" s="63" t="s">
        <v>223</v>
      </c>
      <c r="D7" s="62" t="s">
        <v>211</v>
      </c>
      <c r="E7" s="62" t="s">
        <v>250</v>
      </c>
      <c r="F7" s="62" t="s">
        <v>94</v>
      </c>
      <c r="G7" s="64">
        <v>1</v>
      </c>
      <c r="H7" s="73" t="s">
        <v>225</v>
      </c>
    </row>
    <row r="8" spans="1:8" ht="19.8" customHeight="1" x14ac:dyDescent="0.3">
      <c r="A8" s="66" t="s">
        <v>195</v>
      </c>
      <c r="B8" s="67" t="s">
        <v>75</v>
      </c>
      <c r="C8" s="68" t="s">
        <v>226</v>
      </c>
      <c r="D8" s="67" t="s">
        <v>211</v>
      </c>
      <c r="E8" s="67" t="s">
        <v>237</v>
      </c>
      <c r="F8" s="67" t="s">
        <v>83</v>
      </c>
      <c r="G8" s="67"/>
      <c r="H8" s="70" t="s">
        <v>84</v>
      </c>
    </row>
    <row r="9" spans="1:8" ht="19.8" customHeight="1" x14ac:dyDescent="0.3">
      <c r="A9" s="74">
        <v>45983</v>
      </c>
      <c r="B9" s="67" t="s">
        <v>75</v>
      </c>
      <c r="C9" s="68" t="s">
        <v>228</v>
      </c>
      <c r="D9" s="67" t="s">
        <v>211</v>
      </c>
      <c r="E9" s="75">
        <v>1.791666666666667</v>
      </c>
      <c r="F9" s="67" t="s">
        <v>83</v>
      </c>
      <c r="G9" s="67"/>
      <c r="H9" s="70" t="s">
        <v>84</v>
      </c>
    </row>
    <row r="10" spans="1:8" ht="19.8" customHeight="1" x14ac:dyDescent="0.3">
      <c r="A10" s="99"/>
      <c r="B10" s="100"/>
      <c r="C10" s="100"/>
      <c r="D10" s="100"/>
      <c r="E10" s="100"/>
      <c r="F10" s="101" t="s">
        <v>251</v>
      </c>
      <c r="G10" s="100"/>
      <c r="H10" s="102"/>
    </row>
    <row r="11" spans="1:8" ht="19.8" customHeight="1" x14ac:dyDescent="0.3">
      <c r="A11" s="71">
        <v>45983</v>
      </c>
      <c r="B11" s="62" t="s">
        <v>26</v>
      </c>
      <c r="C11" s="63" t="s">
        <v>27</v>
      </c>
      <c r="D11" s="62" t="s">
        <v>1</v>
      </c>
      <c r="E11" s="72">
        <v>1.788194444444444</v>
      </c>
      <c r="F11" s="62" t="s">
        <v>28</v>
      </c>
      <c r="G11" s="64">
        <v>1</v>
      </c>
      <c r="H11" s="65">
        <v>639</v>
      </c>
    </row>
    <row r="12" spans="1:8" ht="19.8" customHeight="1" x14ac:dyDescent="0.3">
      <c r="A12" s="71">
        <v>45983</v>
      </c>
      <c r="B12" s="62" t="s">
        <v>26</v>
      </c>
      <c r="C12" s="63" t="s">
        <v>31</v>
      </c>
      <c r="D12" s="62" t="s">
        <v>1</v>
      </c>
      <c r="E12" s="72">
        <v>1.8888888888888891</v>
      </c>
      <c r="F12" s="62" t="s">
        <v>28</v>
      </c>
      <c r="G12" s="64">
        <v>16</v>
      </c>
      <c r="H12" s="65">
        <v>639</v>
      </c>
    </row>
    <row r="13" spans="1:8" ht="19.8" customHeight="1" x14ac:dyDescent="0.3">
      <c r="A13" s="71">
        <v>45983</v>
      </c>
      <c r="B13" s="62" t="s">
        <v>38</v>
      </c>
      <c r="C13" s="63" t="s">
        <v>39</v>
      </c>
      <c r="D13" s="62" t="s">
        <v>1</v>
      </c>
      <c r="E13" s="72">
        <v>1.256944444444444</v>
      </c>
      <c r="F13" s="62" t="s">
        <v>40</v>
      </c>
      <c r="G13" s="64">
        <v>1</v>
      </c>
      <c r="H13" s="65">
        <v>669</v>
      </c>
    </row>
    <row r="14" spans="1:8" ht="19.8" customHeight="1" x14ac:dyDescent="0.3">
      <c r="A14" s="71">
        <v>45983</v>
      </c>
      <c r="B14" s="62" t="s">
        <v>38</v>
      </c>
      <c r="C14" s="63" t="s">
        <v>47</v>
      </c>
      <c r="D14" s="62" t="s">
        <v>1</v>
      </c>
      <c r="E14" s="72">
        <v>1.9027777777777779</v>
      </c>
      <c r="F14" s="62" t="s">
        <v>40</v>
      </c>
      <c r="G14" s="64">
        <v>9</v>
      </c>
      <c r="H14" s="65">
        <v>669</v>
      </c>
    </row>
    <row r="15" spans="1:8" ht="19.8" customHeight="1" x14ac:dyDescent="0.3">
      <c r="A15" s="71">
        <v>45983</v>
      </c>
      <c r="B15" s="62" t="s">
        <v>38</v>
      </c>
      <c r="C15" s="63" t="s">
        <v>50</v>
      </c>
      <c r="D15" s="62" t="s">
        <v>1</v>
      </c>
      <c r="E15" s="72">
        <v>1.854166666666667</v>
      </c>
      <c r="F15" s="62" t="s">
        <v>40</v>
      </c>
      <c r="G15" s="64">
        <v>9</v>
      </c>
      <c r="H15" s="65">
        <v>669</v>
      </c>
    </row>
    <row r="16" spans="1:8" ht="19.8" customHeight="1" x14ac:dyDescent="0.3">
      <c r="A16" s="71">
        <v>45983</v>
      </c>
      <c r="B16" s="62" t="s">
        <v>38</v>
      </c>
      <c r="C16" s="63" t="s">
        <v>51</v>
      </c>
      <c r="D16" s="62" t="s">
        <v>1</v>
      </c>
      <c r="E16" s="72">
        <v>1.7986111111111109</v>
      </c>
      <c r="F16" s="62" t="s">
        <v>40</v>
      </c>
      <c r="G16" s="64">
        <v>9</v>
      </c>
      <c r="H16" s="65">
        <v>669</v>
      </c>
    </row>
    <row r="17" spans="1:8" ht="19.8" customHeight="1" x14ac:dyDescent="0.3">
      <c r="A17" s="71">
        <v>45983</v>
      </c>
      <c r="B17" s="62" t="s">
        <v>60</v>
      </c>
      <c r="C17" s="63" t="s">
        <v>61</v>
      </c>
      <c r="D17" s="62" t="s">
        <v>1</v>
      </c>
      <c r="E17" s="72">
        <v>1.2152777777777779</v>
      </c>
      <c r="F17" s="62" t="s">
        <v>62</v>
      </c>
      <c r="G17" s="64">
        <v>9</v>
      </c>
      <c r="H17" s="65">
        <v>671</v>
      </c>
    </row>
    <row r="18" spans="1:8" ht="19.8" customHeight="1" x14ac:dyDescent="0.3">
      <c r="A18" s="71">
        <v>45983</v>
      </c>
      <c r="B18" s="62" t="s">
        <v>26</v>
      </c>
      <c r="C18" s="63" t="s">
        <v>33</v>
      </c>
      <c r="D18" s="62" t="s">
        <v>1</v>
      </c>
      <c r="E18" s="72">
        <v>1.302083333333333</v>
      </c>
      <c r="F18" s="62" t="s">
        <v>28</v>
      </c>
      <c r="G18" s="64">
        <v>7</v>
      </c>
      <c r="H18" s="65">
        <v>689</v>
      </c>
    </row>
    <row r="19" spans="1:8" ht="19.8" customHeight="1" x14ac:dyDescent="0.3">
      <c r="A19" s="71">
        <v>45983</v>
      </c>
      <c r="B19" s="62" t="s">
        <v>26</v>
      </c>
      <c r="C19" s="63" t="s">
        <v>36</v>
      </c>
      <c r="D19" s="62" t="s">
        <v>1</v>
      </c>
      <c r="E19" s="72">
        <v>1.1284722222222221</v>
      </c>
      <c r="F19" s="62" t="s">
        <v>28</v>
      </c>
      <c r="G19" s="64">
        <v>15</v>
      </c>
      <c r="H19" s="65">
        <v>689</v>
      </c>
    </row>
    <row r="20" spans="1:8" ht="19.8" customHeight="1" x14ac:dyDescent="0.3">
      <c r="A20" s="103">
        <v>45983</v>
      </c>
      <c r="B20" s="104" t="s">
        <v>67</v>
      </c>
      <c r="C20" s="105" t="s">
        <v>68</v>
      </c>
      <c r="D20" s="104" t="s">
        <v>1</v>
      </c>
      <c r="E20" s="106">
        <v>1.666666666666667</v>
      </c>
      <c r="F20" s="104" t="s">
        <v>69</v>
      </c>
      <c r="G20" s="107">
        <v>8</v>
      </c>
      <c r="H20" s="108">
        <v>691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9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1.21875" bestFit="1" customWidth="1"/>
    <col min="5" max="5" width="20.1093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.6640625" bestFit="1" customWidth="1"/>
  </cols>
  <sheetData>
    <row r="1" spans="1:92" ht="28.8" customHeight="1" x14ac:dyDescent="0.3">
      <c r="A1" s="126" t="s">
        <v>0</v>
      </c>
      <c r="B1" s="123"/>
      <c r="C1" s="123"/>
      <c r="D1" s="123"/>
      <c r="E1" s="123"/>
      <c r="F1" s="1" t="s">
        <v>252</v>
      </c>
      <c r="G1" s="2" t="s">
        <v>2</v>
      </c>
      <c r="H1" s="125">
        <v>45983</v>
      </c>
      <c r="I1" s="123"/>
      <c r="J1" s="123"/>
      <c r="K1" s="123"/>
      <c r="L1" s="123"/>
      <c r="M1" s="1" t="s">
        <v>3</v>
      </c>
      <c r="N1" s="136">
        <v>45983</v>
      </c>
      <c r="O1" s="123"/>
      <c r="P1" s="123"/>
      <c r="Q1" s="123"/>
      <c r="R1" s="12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2" t="s">
        <v>4</v>
      </c>
      <c r="B2" s="123"/>
      <c r="C2" s="123"/>
      <c r="D2" s="123"/>
      <c r="E2" s="123"/>
      <c r="F2" s="123"/>
      <c r="G2" s="127">
        <v>45982.091226474557</v>
      </c>
      <c r="H2" s="123"/>
      <c r="I2" s="123"/>
      <c r="J2" s="123"/>
      <c r="K2" s="128">
        <v>45982.091226474797</v>
      </c>
      <c r="L2" s="123"/>
      <c r="M2" s="123"/>
      <c r="N2" s="123"/>
      <c r="O2" s="123"/>
      <c r="P2" s="123"/>
      <c r="Q2" s="123"/>
      <c r="R2" s="12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4" t="s">
        <v>5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9" t="s">
        <v>6</v>
      </c>
      <c r="B4" s="130"/>
      <c r="C4" s="130"/>
      <c r="D4" s="130"/>
      <c r="E4" s="130"/>
      <c r="F4" s="131"/>
      <c r="G4" s="4">
        <v>45983</v>
      </c>
      <c r="H4" s="135" t="s">
        <v>7</v>
      </c>
      <c r="I4" s="130"/>
      <c r="J4" s="130"/>
      <c r="K4" s="130"/>
      <c r="L4" s="130"/>
      <c r="M4" s="130"/>
      <c r="N4" s="130"/>
      <c r="O4" s="130"/>
      <c r="P4" s="130"/>
      <c r="Q4" s="130"/>
      <c r="R4" s="1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9" t="s">
        <v>75</v>
      </c>
      <c r="B6" s="109" t="s">
        <v>253</v>
      </c>
      <c r="C6" s="110">
        <v>0.46180555555555558</v>
      </c>
      <c r="D6" s="109" t="s">
        <v>77</v>
      </c>
      <c r="E6" s="109" t="s">
        <v>70</v>
      </c>
      <c r="F6" s="109" t="s">
        <v>254</v>
      </c>
      <c r="G6" s="132"/>
      <c r="H6" s="111" t="s">
        <v>255</v>
      </c>
      <c r="I6" s="112">
        <v>0.8155</v>
      </c>
      <c r="J6" s="113">
        <v>137</v>
      </c>
      <c r="K6" s="114">
        <v>45981</v>
      </c>
      <c r="L6" s="113">
        <v>60</v>
      </c>
      <c r="M6" s="113">
        <v>0</v>
      </c>
      <c r="N6" s="113">
        <v>8</v>
      </c>
      <c r="O6" s="115" t="s">
        <v>256</v>
      </c>
      <c r="P6" s="116">
        <v>0.46180555555555558</v>
      </c>
      <c r="Q6" s="113">
        <v>168</v>
      </c>
      <c r="R6" s="117" t="s">
        <v>257</v>
      </c>
    </row>
    <row r="7" spans="1:92" ht="15" customHeight="1" x14ac:dyDescent="0.3">
      <c r="A7" s="118" t="s">
        <v>75</v>
      </c>
      <c r="B7" s="118" t="s">
        <v>258</v>
      </c>
      <c r="C7" s="119">
        <v>0.6875</v>
      </c>
      <c r="D7" s="118" t="s">
        <v>77</v>
      </c>
      <c r="E7" s="118" t="s">
        <v>98</v>
      </c>
      <c r="F7" s="118" t="s">
        <v>254</v>
      </c>
      <c r="G7" s="133"/>
      <c r="H7" s="23" t="s">
        <v>259</v>
      </c>
      <c r="I7" s="120">
        <v>0.72019999999999995</v>
      </c>
      <c r="J7" s="25">
        <v>121</v>
      </c>
      <c r="K7" s="26">
        <v>45981</v>
      </c>
      <c r="L7" s="25">
        <v>9</v>
      </c>
      <c r="M7" s="25">
        <v>0</v>
      </c>
      <c r="N7" s="25">
        <v>2</v>
      </c>
      <c r="O7" s="27" t="s">
        <v>169</v>
      </c>
      <c r="P7" s="28">
        <v>0.6875</v>
      </c>
      <c r="Q7" s="25">
        <v>168</v>
      </c>
      <c r="R7" s="29" t="s">
        <v>260</v>
      </c>
    </row>
    <row r="8" spans="1:92" ht="15" customHeight="1" x14ac:dyDescent="0.3">
      <c r="A8" s="17" t="s">
        <v>117</v>
      </c>
      <c r="B8" s="17" t="s">
        <v>261</v>
      </c>
      <c r="C8" s="18">
        <v>0.46180555555555558</v>
      </c>
      <c r="D8" s="17" t="s">
        <v>262</v>
      </c>
      <c r="E8" s="17" t="s">
        <v>263</v>
      </c>
      <c r="F8" s="17" t="s">
        <v>264</v>
      </c>
      <c r="G8" s="133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8" x14ac:dyDescent="0.3">
      <c r="A9" s="137" t="s">
        <v>230</v>
      </c>
      <c r="B9" s="138"/>
      <c r="C9" s="138"/>
      <c r="D9" s="138"/>
      <c r="E9" s="138"/>
      <c r="F9" s="139"/>
      <c r="G9" s="133"/>
      <c r="H9" s="94"/>
      <c r="I9" s="94"/>
      <c r="J9" s="94"/>
      <c r="K9" s="94"/>
      <c r="L9" s="94"/>
      <c r="M9" s="94"/>
      <c r="N9" s="94"/>
      <c r="O9" s="95"/>
      <c r="P9" s="94"/>
      <c r="Q9" s="57"/>
      <c r="R9" s="57"/>
    </row>
    <row r="10" spans="1:92" ht="15" customHeight="1" x14ac:dyDescent="0.3">
      <c r="A10" s="15" t="s">
        <v>26</v>
      </c>
      <c r="B10" s="15" t="s">
        <v>27</v>
      </c>
      <c r="C10" s="16" t="s">
        <v>196</v>
      </c>
      <c r="D10" s="15" t="s">
        <v>28</v>
      </c>
      <c r="E10" s="15" t="s">
        <v>231</v>
      </c>
      <c r="F10" s="15" t="s">
        <v>30</v>
      </c>
      <c r="G10" s="133"/>
      <c r="H10" s="94"/>
      <c r="I10" s="94"/>
      <c r="J10" s="94"/>
      <c r="K10" s="94"/>
      <c r="L10" s="94"/>
      <c r="M10" s="94"/>
      <c r="N10" s="94"/>
      <c r="O10" s="95"/>
      <c r="P10" s="94"/>
      <c r="Q10" s="57"/>
      <c r="R10" s="57"/>
    </row>
    <row r="11" spans="1:92" ht="15" customHeight="1" x14ac:dyDescent="0.3">
      <c r="A11" s="15" t="s">
        <v>26</v>
      </c>
      <c r="B11" s="15" t="s">
        <v>31</v>
      </c>
      <c r="C11" s="16" t="s">
        <v>197</v>
      </c>
      <c r="D11" s="15" t="s">
        <v>28</v>
      </c>
      <c r="E11" s="15" t="s">
        <v>232</v>
      </c>
      <c r="F11" s="15" t="s">
        <v>30</v>
      </c>
      <c r="G11" s="133"/>
      <c r="H11" s="94"/>
      <c r="I11" s="94"/>
      <c r="J11" s="94"/>
      <c r="K11" s="94"/>
      <c r="L11" s="94"/>
      <c r="M11" s="94"/>
      <c r="N11" s="94"/>
      <c r="O11" s="95"/>
      <c r="P11" s="94"/>
      <c r="Q11" s="57"/>
      <c r="R11" s="57"/>
    </row>
    <row r="12" spans="1:92" ht="15" customHeight="1" x14ac:dyDescent="0.3">
      <c r="A12" s="15" t="s">
        <v>38</v>
      </c>
      <c r="B12" s="15" t="s">
        <v>39</v>
      </c>
      <c r="C12" s="16" t="s">
        <v>198</v>
      </c>
      <c r="D12" s="15" t="s">
        <v>40</v>
      </c>
      <c r="E12" s="15" t="s">
        <v>231</v>
      </c>
      <c r="F12" s="15" t="s">
        <v>41</v>
      </c>
      <c r="G12" s="133"/>
      <c r="H12" s="94"/>
      <c r="I12" s="94"/>
      <c r="J12" s="94"/>
      <c r="K12" s="94"/>
      <c r="L12" s="94"/>
      <c r="M12" s="94"/>
      <c r="N12" s="94"/>
      <c r="O12" s="95"/>
      <c r="P12" s="94"/>
      <c r="Q12" s="57"/>
      <c r="R12" s="57"/>
    </row>
    <row r="13" spans="1:92" ht="15" customHeight="1" x14ac:dyDescent="0.3">
      <c r="A13" s="15" t="s">
        <v>38</v>
      </c>
      <c r="B13" s="15" t="s">
        <v>47</v>
      </c>
      <c r="C13" s="16" t="s">
        <v>199</v>
      </c>
      <c r="D13" s="15" t="s">
        <v>40</v>
      </c>
      <c r="E13" s="15" t="s">
        <v>233</v>
      </c>
      <c r="F13" s="15" t="s">
        <v>41</v>
      </c>
      <c r="G13" s="133"/>
      <c r="H13" s="94"/>
      <c r="I13" s="94"/>
      <c r="J13" s="94"/>
      <c r="K13" s="94"/>
      <c r="L13" s="94"/>
      <c r="M13" s="94"/>
      <c r="N13" s="94"/>
      <c r="O13" s="95"/>
      <c r="P13" s="94"/>
      <c r="Q13" s="57"/>
      <c r="R13" s="57"/>
    </row>
    <row r="14" spans="1:92" ht="15" customHeight="1" x14ac:dyDescent="0.3">
      <c r="A14" s="15" t="s">
        <v>38</v>
      </c>
      <c r="B14" s="15" t="s">
        <v>50</v>
      </c>
      <c r="C14" s="16" t="s">
        <v>200</v>
      </c>
      <c r="D14" s="15" t="s">
        <v>40</v>
      </c>
      <c r="E14" s="15" t="s">
        <v>233</v>
      </c>
      <c r="F14" s="15" t="s">
        <v>41</v>
      </c>
      <c r="G14" s="133"/>
      <c r="H14" s="94"/>
      <c r="I14" s="94"/>
      <c r="J14" s="94"/>
      <c r="K14" s="94"/>
      <c r="L14" s="94"/>
      <c r="M14" s="94"/>
      <c r="N14" s="94"/>
      <c r="O14" s="95"/>
      <c r="P14" s="94"/>
      <c r="Q14" s="57"/>
      <c r="R14" s="57"/>
    </row>
    <row r="15" spans="1:92" ht="15" customHeight="1" x14ac:dyDescent="0.3">
      <c r="A15" s="15" t="s">
        <v>38</v>
      </c>
      <c r="B15" s="15" t="s">
        <v>51</v>
      </c>
      <c r="C15" s="16" t="s">
        <v>201</v>
      </c>
      <c r="D15" s="15" t="s">
        <v>40</v>
      </c>
      <c r="E15" s="15" t="s">
        <v>233</v>
      </c>
      <c r="F15" s="15" t="s">
        <v>41</v>
      </c>
      <c r="G15" s="133"/>
      <c r="H15" s="94"/>
      <c r="I15" s="94"/>
      <c r="J15" s="94"/>
      <c r="K15" s="94"/>
      <c r="L15" s="94"/>
      <c r="M15" s="94"/>
      <c r="N15" s="94"/>
      <c r="O15" s="95"/>
      <c r="P15" s="94"/>
      <c r="Q15" s="57"/>
      <c r="R15" s="57"/>
    </row>
    <row r="16" spans="1:92" ht="15" customHeight="1" x14ac:dyDescent="0.3">
      <c r="A16" s="15" t="s">
        <v>60</v>
      </c>
      <c r="B16" s="15" t="s">
        <v>61</v>
      </c>
      <c r="C16" s="16" t="s">
        <v>202</v>
      </c>
      <c r="D16" s="15" t="s">
        <v>62</v>
      </c>
      <c r="E16" s="15" t="s">
        <v>233</v>
      </c>
      <c r="F16" s="15" t="s">
        <v>64</v>
      </c>
      <c r="G16" s="133"/>
      <c r="H16" s="94"/>
      <c r="I16" s="94"/>
      <c r="J16" s="94"/>
      <c r="K16" s="94"/>
      <c r="L16" s="94"/>
      <c r="M16" s="94"/>
      <c r="N16" s="94"/>
      <c r="O16" s="95"/>
      <c r="P16" s="94"/>
      <c r="Q16" s="57"/>
      <c r="R16" s="57"/>
    </row>
    <row r="17" spans="1:18" ht="15" customHeight="1" x14ac:dyDescent="0.3">
      <c r="A17" s="15" t="s">
        <v>26</v>
      </c>
      <c r="B17" s="15" t="s">
        <v>33</v>
      </c>
      <c r="C17" s="16" t="s">
        <v>203</v>
      </c>
      <c r="D17" s="15" t="s">
        <v>28</v>
      </c>
      <c r="E17" s="15" t="s">
        <v>234</v>
      </c>
      <c r="F17" s="15" t="s">
        <v>35</v>
      </c>
      <c r="G17" s="133"/>
      <c r="H17" s="94"/>
      <c r="I17" s="94"/>
      <c r="J17" s="94"/>
      <c r="K17" s="94"/>
      <c r="L17" s="94"/>
      <c r="M17" s="94"/>
      <c r="N17" s="94"/>
      <c r="O17" s="95"/>
      <c r="P17" s="94"/>
      <c r="Q17" s="57"/>
      <c r="R17" s="57"/>
    </row>
    <row r="18" spans="1:18" ht="15" customHeight="1" x14ac:dyDescent="0.3">
      <c r="A18" s="15" t="s">
        <v>26</v>
      </c>
      <c r="B18" s="15" t="s">
        <v>36</v>
      </c>
      <c r="C18" s="16" t="s">
        <v>204</v>
      </c>
      <c r="D18" s="15" t="s">
        <v>28</v>
      </c>
      <c r="E18" s="15" t="s">
        <v>235</v>
      </c>
      <c r="F18" s="15" t="s">
        <v>35</v>
      </c>
      <c r="G18" s="133"/>
      <c r="H18" s="94"/>
      <c r="I18" s="94"/>
      <c r="J18" s="94"/>
      <c r="K18" s="94"/>
      <c r="L18" s="94"/>
      <c r="M18" s="94"/>
      <c r="N18" s="94"/>
      <c r="O18" s="95"/>
      <c r="P18" s="94"/>
      <c r="Q18" s="57"/>
      <c r="R18" s="57"/>
    </row>
    <row r="19" spans="1:18" ht="15" customHeight="1" x14ac:dyDescent="0.3">
      <c r="A19" s="50" t="s">
        <v>67</v>
      </c>
      <c r="B19" s="50" t="s">
        <v>68</v>
      </c>
      <c r="C19" s="51" t="s">
        <v>205</v>
      </c>
      <c r="D19" s="50" t="s">
        <v>69</v>
      </c>
      <c r="E19" s="50" t="s">
        <v>236</v>
      </c>
      <c r="F19" s="50" t="s">
        <v>71</v>
      </c>
      <c r="G19" s="134"/>
      <c r="H19" s="96"/>
      <c r="I19" s="96"/>
      <c r="J19" s="96"/>
      <c r="K19" s="96"/>
      <c r="L19" s="96"/>
      <c r="M19" s="96"/>
      <c r="N19" s="96"/>
      <c r="O19" s="97"/>
      <c r="P19" s="96"/>
      <c r="Q19" s="98"/>
      <c r="R19" s="98"/>
    </row>
  </sheetData>
  <mergeCells count="11">
    <mergeCell ref="A2:F2"/>
    <mergeCell ref="A3:R3"/>
    <mergeCell ref="A9:F9"/>
    <mergeCell ref="H1:L1"/>
    <mergeCell ref="A1:E1"/>
    <mergeCell ref="G2:J2"/>
    <mergeCell ref="K2:R2"/>
    <mergeCell ref="A4:F4"/>
    <mergeCell ref="G6:G19"/>
    <mergeCell ref="H4:R4"/>
    <mergeCell ref="N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4"/>
  <sheetViews>
    <sheetView workbookViewId="0"/>
  </sheetViews>
  <sheetFormatPr defaultRowHeight="15.6" outlineLevelCol="1" x14ac:dyDescent="0.3"/>
  <cols>
    <col min="1" max="1" width="11.6640625" style="141" bestFit="1" customWidth="1"/>
    <col min="2" max="2" width="11.109375" style="141" bestFit="1" customWidth="1"/>
    <col min="3" max="3" width="7.88671875" style="141" bestFit="1" customWidth="1"/>
    <col min="4" max="4" width="6.77734375" style="141" bestFit="1" customWidth="1"/>
    <col min="5" max="5" width="9.21875" style="141" bestFit="1" customWidth="1"/>
    <col min="6" max="6" width="5.21875" style="141" bestFit="1" customWidth="1"/>
    <col min="7" max="7" width="10" style="141" bestFit="1" customWidth="1"/>
    <col min="8" max="8" width="7" style="141" bestFit="1" customWidth="1" outlineLevel="1"/>
    <col min="9" max="10" width="8" style="141" bestFit="1" customWidth="1" outlineLevel="1"/>
    <col min="11" max="11" width="12.21875" style="141" bestFit="1" customWidth="1"/>
    <col min="12" max="12" width="10.109375" style="141" bestFit="1" customWidth="1"/>
    <col min="13" max="13" width="8.77734375" style="141" bestFit="1" customWidth="1" outlineLevel="1"/>
    <col min="14" max="14" width="7.33203125" style="141" bestFit="1" customWidth="1" outlineLevel="1"/>
    <col min="15" max="15" width="9.109375" style="141" bestFit="1" customWidth="1" outlineLevel="1"/>
    <col min="16" max="16" width="15.33203125" style="141" bestFit="1" customWidth="1"/>
    <col min="17" max="24" width="3.88671875" style="141" bestFit="1" customWidth="1" outlineLevel="1"/>
    <col min="25" max="25" width="4.21875" style="141" bestFit="1" customWidth="1" outlineLevel="1"/>
    <col min="26" max="26" width="3.88671875" style="141" bestFit="1" customWidth="1" outlineLevel="1"/>
    <col min="27" max="27" width="4.77734375" style="141" bestFit="1" customWidth="1" outlineLevel="1"/>
    <col min="28" max="28" width="3.88671875" style="141" bestFit="1" customWidth="1" outlineLevel="1"/>
    <col min="29" max="29" width="5.109375" style="141" bestFit="1" customWidth="1" outlineLevel="1"/>
    <col min="30" max="31" width="5.33203125" style="141" bestFit="1" customWidth="1" outlineLevel="1"/>
    <col min="32" max="32" width="4.44140625" style="141" bestFit="1" customWidth="1" outlineLevel="1"/>
    <col min="33" max="34" width="3.88671875" style="141" bestFit="1" customWidth="1" outlineLevel="1"/>
    <col min="35" max="35" width="5.109375" style="141" bestFit="1" customWidth="1" outlineLevel="1"/>
    <col min="36" max="36" width="3.88671875" style="141" bestFit="1" customWidth="1" outlineLevel="1"/>
    <col min="37" max="16384" width="8.88671875" style="141"/>
  </cols>
  <sheetData>
    <row r="1" spans="1:36" x14ac:dyDescent="0.3">
      <c r="A1" s="140" t="s">
        <v>131</v>
      </c>
      <c r="B1" s="140" t="s">
        <v>132</v>
      </c>
      <c r="C1" s="140" t="s">
        <v>133</v>
      </c>
      <c r="D1" s="140" t="s">
        <v>23</v>
      </c>
      <c r="E1" s="140" t="s">
        <v>134</v>
      </c>
      <c r="F1" s="140" t="s">
        <v>135</v>
      </c>
      <c r="G1" s="140" t="s">
        <v>16</v>
      </c>
      <c r="H1" s="140" t="s">
        <v>136</v>
      </c>
      <c r="I1" s="140" t="s">
        <v>137</v>
      </c>
      <c r="J1" s="140" t="s">
        <v>138</v>
      </c>
      <c r="K1" s="140" t="s">
        <v>139</v>
      </c>
      <c r="L1" s="140" t="s">
        <v>18</v>
      </c>
      <c r="M1" s="140" t="s">
        <v>20</v>
      </c>
      <c r="N1" s="140" t="s">
        <v>21</v>
      </c>
      <c r="O1" s="140" t="s">
        <v>19</v>
      </c>
      <c r="P1" s="140" t="s">
        <v>22</v>
      </c>
      <c r="Q1" s="140" t="s">
        <v>140</v>
      </c>
      <c r="R1" s="140" t="s">
        <v>141</v>
      </c>
      <c r="S1" s="140" t="s">
        <v>142</v>
      </c>
      <c r="T1" s="140" t="s">
        <v>143</v>
      </c>
      <c r="U1" s="140" t="s">
        <v>144</v>
      </c>
      <c r="V1" s="140" t="s">
        <v>145</v>
      </c>
      <c r="W1" s="140" t="s">
        <v>146</v>
      </c>
      <c r="X1" s="140" t="s">
        <v>147</v>
      </c>
      <c r="Y1" s="140" t="s">
        <v>148</v>
      </c>
      <c r="Z1" s="140" t="s">
        <v>149</v>
      </c>
      <c r="AA1" s="140" t="s">
        <v>150</v>
      </c>
      <c r="AB1" s="140" t="s">
        <v>151</v>
      </c>
      <c r="AC1" s="140" t="s">
        <v>152</v>
      </c>
      <c r="AD1" s="140" t="s">
        <v>153</v>
      </c>
      <c r="AE1" s="140" t="s">
        <v>154</v>
      </c>
      <c r="AF1" s="140" t="s">
        <v>155</v>
      </c>
      <c r="AG1" s="140" t="s">
        <v>156</v>
      </c>
      <c r="AH1" s="140" t="s">
        <v>157</v>
      </c>
      <c r="AI1" s="140" t="s">
        <v>158</v>
      </c>
      <c r="AJ1" s="140" t="s">
        <v>159</v>
      </c>
    </row>
    <row r="2" spans="1:36" x14ac:dyDescent="0.3">
      <c r="A2" s="142" t="s">
        <v>160</v>
      </c>
      <c r="B2" s="143">
        <v>45983</v>
      </c>
      <c r="C2" s="144" t="s">
        <v>255</v>
      </c>
      <c r="D2" s="145" t="s">
        <v>265</v>
      </c>
      <c r="E2" s="144" t="s">
        <v>252</v>
      </c>
      <c r="F2" s="144" t="s">
        <v>162</v>
      </c>
      <c r="G2" s="146">
        <v>0.8155</v>
      </c>
      <c r="H2" s="147">
        <v>168</v>
      </c>
      <c r="I2" s="147">
        <v>137</v>
      </c>
      <c r="J2" s="147">
        <v>34</v>
      </c>
      <c r="K2" s="144" t="s">
        <v>163</v>
      </c>
      <c r="L2" s="148">
        <v>45981</v>
      </c>
      <c r="M2" s="147">
        <v>0</v>
      </c>
      <c r="N2" s="147">
        <v>8</v>
      </c>
      <c r="O2" s="147">
        <v>60</v>
      </c>
      <c r="P2" s="144" t="s">
        <v>256</v>
      </c>
      <c r="Q2" s="140"/>
      <c r="R2" s="140"/>
      <c r="S2" s="140"/>
      <c r="T2" s="140"/>
      <c r="U2" s="140"/>
      <c r="V2" s="140"/>
      <c r="W2" s="140"/>
      <c r="X2" s="140"/>
      <c r="Y2" s="140"/>
      <c r="Z2" s="147" t="s">
        <v>266</v>
      </c>
      <c r="AA2" s="147" t="s">
        <v>267</v>
      </c>
      <c r="AB2" s="140"/>
      <c r="AC2" s="147" t="s">
        <v>268</v>
      </c>
      <c r="AD2" s="147" t="s">
        <v>269</v>
      </c>
      <c r="AE2" s="147" t="s">
        <v>270</v>
      </c>
      <c r="AF2" s="147" t="s">
        <v>271</v>
      </c>
      <c r="AG2" s="140"/>
      <c r="AH2" s="140"/>
      <c r="AI2" s="147" t="s">
        <v>272</v>
      </c>
      <c r="AJ2" s="140"/>
    </row>
    <row r="3" spans="1:36" x14ac:dyDescent="0.3">
      <c r="A3" s="142" t="s">
        <v>160</v>
      </c>
      <c r="B3" s="143">
        <v>45983</v>
      </c>
      <c r="C3" s="144" t="s">
        <v>259</v>
      </c>
      <c r="D3" s="145" t="s">
        <v>273</v>
      </c>
      <c r="E3" s="144" t="s">
        <v>252</v>
      </c>
      <c r="F3" s="144" t="s">
        <v>162</v>
      </c>
      <c r="G3" s="146">
        <v>0.72019999999999995</v>
      </c>
      <c r="H3" s="147">
        <v>168</v>
      </c>
      <c r="I3" s="147">
        <v>121</v>
      </c>
      <c r="J3" s="147">
        <v>89</v>
      </c>
      <c r="K3" s="144" t="s">
        <v>163</v>
      </c>
      <c r="L3" s="148">
        <v>45981</v>
      </c>
      <c r="M3" s="147">
        <v>0</v>
      </c>
      <c r="N3" s="147">
        <v>2</v>
      </c>
      <c r="O3" s="147">
        <v>9</v>
      </c>
      <c r="P3" s="144" t="s">
        <v>169</v>
      </c>
      <c r="Q3" s="140"/>
      <c r="R3" s="140"/>
      <c r="S3" s="140"/>
      <c r="T3" s="140"/>
      <c r="U3" s="140"/>
      <c r="V3" s="140"/>
      <c r="W3" s="140"/>
      <c r="X3" s="140"/>
      <c r="Y3" s="147" t="s">
        <v>274</v>
      </c>
      <c r="Z3" s="147" t="s">
        <v>266</v>
      </c>
      <c r="AA3" s="140"/>
      <c r="AB3" s="140"/>
      <c r="AC3" s="147" t="s">
        <v>256</v>
      </c>
      <c r="AD3" s="147" t="s">
        <v>275</v>
      </c>
      <c r="AE3" s="140"/>
      <c r="AF3" s="140"/>
      <c r="AG3" s="140"/>
      <c r="AH3" s="140"/>
      <c r="AI3" s="147" t="s">
        <v>276</v>
      </c>
      <c r="AJ3" s="140"/>
    </row>
    <row r="4" spans="1:36" ht="21" x14ac:dyDescent="0.3">
      <c r="A4" s="149" t="s">
        <v>277</v>
      </c>
      <c r="B4" s="150"/>
      <c r="C4" s="149">
        <f>SUBTOTAL(103,JED_ATZ_LF_LEGACY[Flt])</f>
        <v>2</v>
      </c>
      <c r="D4" s="149"/>
      <c r="E4" s="149">
        <f>SUBTOTAL(103,JED_ATZ_LF_LEGACY[Brd-Off])</f>
        <v>2</v>
      </c>
      <c r="F4" s="149"/>
      <c r="G4" s="151">
        <f>SUBTOTAL(101,JED_ATZ_LF_LEGACY[LF%])</f>
        <v>0.76784999999999992</v>
      </c>
      <c r="H4" s="152">
        <f>SUBTOTAL(109,JED_ATZ_LF_LEGACY[CAP])</f>
        <v>336</v>
      </c>
      <c r="I4" s="152">
        <f>SUBTOTAL(109,JED_ATZ_LF_LEGACY[BKG(Y)])</f>
        <v>258</v>
      </c>
      <c r="J4" s="152">
        <f>SUBTOTAL(109,JED_ATZ_LF_LEGACY[GRP(Y)])</f>
        <v>123</v>
      </c>
      <c r="K4" s="149"/>
      <c r="L4" s="150"/>
      <c r="M4" s="152">
        <f>SUBTOTAL(109,JED_ATZ_LF_LEGACY[TO-DAY])</f>
        <v>0</v>
      </c>
      <c r="N4" s="152">
        <f>SUBTOTAL(109,JED_ATZ_LF_LEGACY[Y-DAY])</f>
        <v>10</v>
      </c>
      <c r="O4" s="152">
        <f>SUBTOTAL(109,JED_ATZ_LF_LEGACY[WEEKLY])</f>
        <v>69</v>
      </c>
      <c r="P4" s="153"/>
      <c r="Q4" s="149">
        <f>SUBTOTAL(109,JED_ATZ_LF_LEGACY[Y])</f>
        <v>0</v>
      </c>
      <c r="R4" s="149">
        <f>SUBTOTAL(109,JED_ATZ_LF_LEGACY[B])</f>
        <v>0</v>
      </c>
      <c r="S4" s="149">
        <f>SUBTOTAL(109,JED_ATZ_LF_LEGACY[M])</f>
        <v>0</v>
      </c>
      <c r="T4" s="149">
        <f>SUBTOTAL(109,JED_ATZ_LF_LEGACY[H])</f>
        <v>0</v>
      </c>
      <c r="U4" s="149">
        <f>SUBTOTAL(109,JED_ATZ_LF_LEGACY[Q])</f>
        <v>0</v>
      </c>
      <c r="V4" s="149">
        <f>SUBTOTAL(109,JED_ATZ_LF_LEGACY[K])</f>
        <v>0</v>
      </c>
      <c r="W4" s="149">
        <f>SUBTOTAL(109,JED_ATZ_LF_LEGACY[V])</f>
        <v>0</v>
      </c>
      <c r="X4" s="149">
        <f>SUBTOTAL(109,JED_ATZ_LF_LEGACY[L])</f>
        <v>0</v>
      </c>
      <c r="Y4" s="152">
        <f>SUBTOTAL(109,JED_ATZ_LF_LEGACY[G])</f>
        <v>0</v>
      </c>
      <c r="Z4" s="152">
        <f>SUBTOTAL(109,JED_ATZ_LF_LEGACY[S])</f>
        <v>0</v>
      </c>
      <c r="AA4" s="149">
        <f>SUBTOTAL(109,JED_ATZ_LF_LEGACY[W])</f>
        <v>0</v>
      </c>
      <c r="AB4" s="149">
        <f>SUBTOTAL(109,JED_ATZ_LF_LEGACY[T])</f>
        <v>0</v>
      </c>
      <c r="AC4" s="152">
        <f>SUBTOTAL(109,JED_ATZ_LF_LEGACY[X])</f>
        <v>0</v>
      </c>
      <c r="AD4" s="152">
        <f>SUBTOTAL(109,JED_ATZ_LF_LEGACY[U])</f>
        <v>0</v>
      </c>
      <c r="AE4" s="149">
        <f>SUBTOTAL(109,JED_ATZ_LF_LEGACY[O])</f>
        <v>0</v>
      </c>
      <c r="AF4" s="149">
        <f>SUBTOTAL(109,JED_ATZ_LF_LEGACY[I])</f>
        <v>0</v>
      </c>
      <c r="AG4" s="149">
        <f>SUBTOTAL(109,JED_ATZ_LF_LEGACY[E])</f>
        <v>0</v>
      </c>
      <c r="AH4" s="149">
        <f>SUBTOTAL(109,JED_ATZ_LF_LEGACY[A])</f>
        <v>0</v>
      </c>
      <c r="AI4" s="152">
        <f>SUBTOTAL(109,JED_ATZ_LF_LEGACY[P])</f>
        <v>0</v>
      </c>
      <c r="AJ4" s="149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58" t="s">
        <v>193</v>
      </c>
      <c r="B1" s="59" t="s">
        <v>8</v>
      </c>
      <c r="C1" s="59" t="s">
        <v>9</v>
      </c>
      <c r="D1" s="59" t="s">
        <v>194</v>
      </c>
      <c r="E1" s="59" t="s">
        <v>10</v>
      </c>
      <c r="F1" s="59" t="s">
        <v>11</v>
      </c>
      <c r="G1" s="59" t="s">
        <v>12</v>
      </c>
      <c r="H1" s="60" t="s">
        <v>13</v>
      </c>
    </row>
    <row r="2" spans="1:8" ht="19.8" customHeight="1" x14ac:dyDescent="0.3">
      <c r="A2" s="66" t="s">
        <v>195</v>
      </c>
      <c r="B2" s="67" t="s">
        <v>75</v>
      </c>
      <c r="C2" s="68" t="s">
        <v>253</v>
      </c>
      <c r="D2" s="67" t="s">
        <v>252</v>
      </c>
      <c r="E2" s="67" t="s">
        <v>265</v>
      </c>
      <c r="F2" s="67" t="s">
        <v>77</v>
      </c>
      <c r="G2" s="69">
        <v>8</v>
      </c>
      <c r="H2" s="121">
        <v>526</v>
      </c>
    </row>
    <row r="3" spans="1:8" ht="19.8" customHeight="1" x14ac:dyDescent="0.3">
      <c r="A3" s="74">
        <v>45983</v>
      </c>
      <c r="B3" s="67" t="s">
        <v>75</v>
      </c>
      <c r="C3" s="68" t="s">
        <v>258</v>
      </c>
      <c r="D3" s="67" t="s">
        <v>252</v>
      </c>
      <c r="E3" s="75">
        <v>1.6875</v>
      </c>
      <c r="F3" s="67" t="s">
        <v>77</v>
      </c>
      <c r="G3" s="69">
        <v>9</v>
      </c>
      <c r="H3" s="121">
        <v>526</v>
      </c>
    </row>
    <row r="4" spans="1:8" ht="19.8" customHeight="1" x14ac:dyDescent="0.3">
      <c r="A4" s="71">
        <v>45983</v>
      </c>
      <c r="B4" s="62" t="s">
        <v>117</v>
      </c>
      <c r="C4" s="63" t="s">
        <v>261</v>
      </c>
      <c r="D4" s="62" t="s">
        <v>252</v>
      </c>
      <c r="E4" s="72">
        <v>1.461805555555556</v>
      </c>
      <c r="F4" s="62" t="s">
        <v>262</v>
      </c>
      <c r="G4" s="64">
        <v>4</v>
      </c>
      <c r="H4" s="65">
        <v>640</v>
      </c>
    </row>
    <row r="5" spans="1:8" ht="19.8" customHeight="1" x14ac:dyDescent="0.3">
      <c r="A5" s="99"/>
      <c r="B5" s="100"/>
      <c r="C5" s="100"/>
      <c r="D5" s="100"/>
      <c r="E5" s="100"/>
      <c r="F5" s="101" t="s">
        <v>251</v>
      </c>
      <c r="G5" s="100"/>
      <c r="H5" s="102"/>
    </row>
    <row r="6" spans="1:8" ht="19.8" customHeight="1" x14ac:dyDescent="0.3">
      <c r="A6" s="71">
        <v>45983</v>
      </c>
      <c r="B6" s="62" t="s">
        <v>26</v>
      </c>
      <c r="C6" s="63" t="s">
        <v>27</v>
      </c>
      <c r="D6" s="62" t="s">
        <v>1</v>
      </c>
      <c r="E6" s="72">
        <v>1.788194444444444</v>
      </c>
      <c r="F6" s="62" t="s">
        <v>28</v>
      </c>
      <c r="G6" s="64">
        <v>1</v>
      </c>
      <c r="H6" s="65">
        <v>639</v>
      </c>
    </row>
    <row r="7" spans="1:8" ht="19.8" customHeight="1" x14ac:dyDescent="0.3">
      <c r="A7" s="71">
        <v>45983</v>
      </c>
      <c r="B7" s="62" t="s">
        <v>26</v>
      </c>
      <c r="C7" s="63" t="s">
        <v>31</v>
      </c>
      <c r="D7" s="62" t="s">
        <v>1</v>
      </c>
      <c r="E7" s="72">
        <v>1.8888888888888891</v>
      </c>
      <c r="F7" s="62" t="s">
        <v>28</v>
      </c>
      <c r="G7" s="64">
        <v>16</v>
      </c>
      <c r="H7" s="65">
        <v>639</v>
      </c>
    </row>
    <row r="8" spans="1:8" ht="19.8" customHeight="1" x14ac:dyDescent="0.3">
      <c r="A8" s="71">
        <v>45983</v>
      </c>
      <c r="B8" s="62" t="s">
        <v>38</v>
      </c>
      <c r="C8" s="63" t="s">
        <v>39</v>
      </c>
      <c r="D8" s="62" t="s">
        <v>1</v>
      </c>
      <c r="E8" s="72">
        <v>1.256944444444444</v>
      </c>
      <c r="F8" s="62" t="s">
        <v>40</v>
      </c>
      <c r="G8" s="64">
        <v>1</v>
      </c>
      <c r="H8" s="65">
        <v>669</v>
      </c>
    </row>
    <row r="9" spans="1:8" ht="19.8" customHeight="1" x14ac:dyDescent="0.3">
      <c r="A9" s="71">
        <v>45983</v>
      </c>
      <c r="B9" s="62" t="s">
        <v>38</v>
      </c>
      <c r="C9" s="63" t="s">
        <v>47</v>
      </c>
      <c r="D9" s="62" t="s">
        <v>1</v>
      </c>
      <c r="E9" s="72">
        <v>1.9027777777777779</v>
      </c>
      <c r="F9" s="62" t="s">
        <v>40</v>
      </c>
      <c r="G9" s="64">
        <v>9</v>
      </c>
      <c r="H9" s="65">
        <v>669</v>
      </c>
    </row>
    <row r="10" spans="1:8" ht="19.8" customHeight="1" x14ac:dyDescent="0.3">
      <c r="A10" s="71">
        <v>45983</v>
      </c>
      <c r="B10" s="62" t="s">
        <v>38</v>
      </c>
      <c r="C10" s="63" t="s">
        <v>50</v>
      </c>
      <c r="D10" s="62" t="s">
        <v>1</v>
      </c>
      <c r="E10" s="72">
        <v>1.854166666666667</v>
      </c>
      <c r="F10" s="62" t="s">
        <v>40</v>
      </c>
      <c r="G10" s="64">
        <v>9</v>
      </c>
      <c r="H10" s="65">
        <v>669</v>
      </c>
    </row>
    <row r="11" spans="1:8" ht="19.8" customHeight="1" x14ac:dyDescent="0.3">
      <c r="A11" s="71">
        <v>45983</v>
      </c>
      <c r="B11" s="62" t="s">
        <v>38</v>
      </c>
      <c r="C11" s="63" t="s">
        <v>51</v>
      </c>
      <c r="D11" s="62" t="s">
        <v>1</v>
      </c>
      <c r="E11" s="72">
        <v>1.7986111111111109</v>
      </c>
      <c r="F11" s="62" t="s">
        <v>40</v>
      </c>
      <c r="G11" s="64">
        <v>9</v>
      </c>
      <c r="H11" s="65">
        <v>669</v>
      </c>
    </row>
    <row r="12" spans="1:8" ht="19.8" customHeight="1" x14ac:dyDescent="0.3">
      <c r="A12" s="71">
        <v>45983</v>
      </c>
      <c r="B12" s="62" t="s">
        <v>60</v>
      </c>
      <c r="C12" s="63" t="s">
        <v>61</v>
      </c>
      <c r="D12" s="62" t="s">
        <v>1</v>
      </c>
      <c r="E12" s="72">
        <v>1.2152777777777779</v>
      </c>
      <c r="F12" s="62" t="s">
        <v>62</v>
      </c>
      <c r="G12" s="64">
        <v>9</v>
      </c>
      <c r="H12" s="65">
        <v>671</v>
      </c>
    </row>
    <row r="13" spans="1:8" ht="19.8" customHeight="1" x14ac:dyDescent="0.3">
      <c r="A13" s="71">
        <v>45983</v>
      </c>
      <c r="B13" s="62" t="s">
        <v>26</v>
      </c>
      <c r="C13" s="63" t="s">
        <v>33</v>
      </c>
      <c r="D13" s="62" t="s">
        <v>1</v>
      </c>
      <c r="E13" s="72">
        <v>1.302083333333333</v>
      </c>
      <c r="F13" s="62" t="s">
        <v>28</v>
      </c>
      <c r="G13" s="64">
        <v>7</v>
      </c>
      <c r="H13" s="65">
        <v>689</v>
      </c>
    </row>
    <row r="14" spans="1:8" ht="19.8" customHeight="1" x14ac:dyDescent="0.3">
      <c r="A14" s="71">
        <v>45983</v>
      </c>
      <c r="B14" s="62" t="s">
        <v>26</v>
      </c>
      <c r="C14" s="63" t="s">
        <v>36</v>
      </c>
      <c r="D14" s="62" t="s">
        <v>1</v>
      </c>
      <c r="E14" s="72">
        <v>1.1284722222222221</v>
      </c>
      <c r="F14" s="62" t="s">
        <v>28</v>
      </c>
      <c r="G14" s="64">
        <v>15</v>
      </c>
      <c r="H14" s="65">
        <v>689</v>
      </c>
    </row>
    <row r="15" spans="1:8" ht="19.8" customHeight="1" x14ac:dyDescent="0.3">
      <c r="A15" s="103">
        <v>45983</v>
      </c>
      <c r="B15" s="104" t="s">
        <v>67</v>
      </c>
      <c r="C15" s="105" t="s">
        <v>68</v>
      </c>
      <c r="D15" s="104" t="s">
        <v>1</v>
      </c>
      <c r="E15" s="106">
        <v>1.666666666666667</v>
      </c>
      <c r="F15" s="104" t="s">
        <v>69</v>
      </c>
      <c r="G15" s="107">
        <v>8</v>
      </c>
      <c r="H15" s="108">
        <v>691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2025-11-20T23:11:19Z</dcterms:created>
  <dcterms:modified xsi:type="dcterms:W3CDTF">2025-11-20T23:12:03Z</dcterms:modified>
</cp:coreProperties>
</file>