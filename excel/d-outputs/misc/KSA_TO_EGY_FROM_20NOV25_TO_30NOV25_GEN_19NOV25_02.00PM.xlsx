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27165DD7-06B6-4244-A3C4-45D0DFAC94B9}" xr6:coauthVersionLast="47" xr6:coauthVersionMax="47" xr10:uidLastSave="{00000000-0000-0000-0000-000000000000}"/>
  <bookViews>
    <workbookView xWindow="-108" yWindow="-108" windowWidth="23256" windowHeight="12456" xr2:uid="{00000000-000D-0000-FFFF-FFFF00000000}"/>
  </bookViews>
  <sheets>
    <sheet name="MED-CAI" sheetId="1" r:id="rId1"/>
    <sheet name="MED-CAI LF LEGACY" sheetId="2" r:id="rId2"/>
    <sheet name="MED-CAI - FOCUS MODE" sheetId="3" r:id="rId3"/>
    <sheet name="MED-CAI - OAL Threats Alert" sheetId="4" r:id="rId4"/>
    <sheet name="KSA_TO_EGY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2" l="1"/>
  <c r="E11" i="2"/>
  <c r="G11" i="2"/>
  <c r="H11" i="2"/>
  <c r="I11" i="2"/>
  <c r="J11" i="2"/>
  <c r="M11" i="2"/>
  <c r="N11" i="2"/>
  <c r="O11" i="2"/>
  <c r="Q11" i="2"/>
  <c r="R11" i="2"/>
  <c r="S11" i="2"/>
  <c r="T11" i="2"/>
  <c r="U11" i="2"/>
  <c r="V11" i="2"/>
  <c r="W11" i="2"/>
  <c r="X11" i="2"/>
  <c r="Y11" i="2"/>
  <c r="Z11" i="2"/>
  <c r="AA11" i="2"/>
  <c r="AB11" i="2"/>
  <c r="AC11" i="2"/>
  <c r="AD11" i="2"/>
  <c r="AE11" i="2"/>
  <c r="AF11" i="2"/>
  <c r="AG11" i="2"/>
  <c r="AH11" i="2"/>
  <c r="AI11" i="2"/>
  <c r="AJ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3" authorId="0" shapeId="0" xr:uid="{224DA1B1-2578-405C-93F7-C44CAE2DE492}">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101.7%]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Q11 &amp; L4 &amp; G6 &amp; S6 &amp; W8 &amp; T9 &amp; X8 &amp; U8 &amp; O9 &amp; I16 &amp; P92 &amp; N2</t>
        </r>
      </text>
    </comment>
    <comment ref="F55" authorId="0" shapeId="0" xr:uid="{9536D665-7968-4567-B9C1-B0F47CD0EE8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Q4 &amp; T3 &amp; X5 &amp; U9 &amp; O7 &amp; I17 &amp; P130 &amp; N4</t>
        </r>
      </text>
    </comment>
    <comment ref="F68" authorId="0" shapeId="0" xr:uid="{926E3662-16EB-46CB-8ABE-806A32FCB630}">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K6 &amp; G10 &amp; S21 &amp; T5 &amp; X11 &amp; U8 &amp; O9 &amp; I17 &amp; P86 &amp; N6</t>
        </r>
      </text>
    </comment>
    <comment ref="F89" authorId="0" shapeId="0" xr:uid="{504DE857-2228-4F1B-BCD9-6EE148B0513B}">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50.6%] - [</t>
        </r>
        <r>
          <rPr>
            <b/>
            <sz val="10"/>
            <color indexed="48"/>
            <rFont val="Calibri"/>
            <family val="2"/>
          </rPr>
          <t xml:space="preserve">SOLD </t>
        </r>
        <r>
          <rPr>
            <b/>
            <sz val="10"/>
            <color indexed="8"/>
            <rFont val="Calibri"/>
            <family val="2"/>
          </rPr>
          <t>» 85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L5 &amp; G10 &amp; S10 &amp; W10 &amp; T10 &amp; X10 &amp; U10 &amp; O10 &amp; I10</t>
        </r>
      </text>
    </comment>
    <comment ref="F90" authorId="0" shapeId="0" xr:uid="{14A40656-7FD7-42F0-AFB1-4DBC236AFB64}">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L1 &amp; I4 &amp; E44 &amp; P114</t>
        </r>
      </text>
    </comment>
    <comment ref="F92" authorId="0" shapeId="0" xr:uid="{366B2238-B22B-4C51-B327-B864CA1B162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K5 &amp; V4 &amp; S11 &amp; X3 &amp; U5 &amp; O9 &amp; I17 &amp; P123</t>
        </r>
      </text>
    </comment>
    <comment ref="F140" authorId="0" shapeId="0" xr:uid="{935603C8-50E7-4DD3-8E72-D42AB07B8E0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101.8%]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V6 &amp; L2 &amp; S1 &amp; U6 &amp; O9 &amp; I17 &amp; P128 &amp; N2</t>
        </r>
      </text>
    </comment>
    <comment ref="F169" authorId="0" shapeId="0" xr:uid="{4FE3F49E-6D86-487E-830D-AB32B82FA345}">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103.0%]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G2 &amp; S12 &amp; I22 &amp; P133 &amp; N4</t>
        </r>
      </text>
    </comment>
    <comment ref="F176" authorId="0" shapeId="0" xr:uid="{7E353A9D-EAD3-4471-AADC-47877366F358}">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96.5%]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M5]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L4 &amp; G3 &amp; S4 &amp; W4 &amp; T4 &amp; X4 &amp; U4 &amp; O4 &amp; I4 &amp; P133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57574B7-6A78-4451-ABEF-422959559C70}">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101.7%]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Q11 &amp; L4 &amp; G6 &amp; S6 &amp; W8 &amp; T9 &amp; X8 &amp; U8 &amp; O9 &amp; I16 &amp; P92 &amp; N2</t>
        </r>
      </text>
    </comment>
    <comment ref="F20" authorId="0" shapeId="0" xr:uid="{FC986342-BFCB-47DB-B72C-9B39DF89AA9A}">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Q4 &amp; T3 &amp; X5 &amp; U9 &amp; O7 &amp; I17 &amp; P130 &amp; N4</t>
        </r>
      </text>
    </comment>
    <comment ref="F21" authorId="0" shapeId="0" xr:uid="{87826C8E-1D57-4BF0-8FE9-5351ACFFEF18}">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K6 &amp; G10 &amp; S21 &amp; T5 &amp; X11 &amp; U8 &amp; O9 &amp; I17 &amp; P86 &amp; N6</t>
        </r>
      </text>
    </comment>
    <comment ref="F37" authorId="0" shapeId="0" xr:uid="{4B9B4ACD-F956-4EB6-81A9-4F0E128F399A}">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50.6%] - [</t>
        </r>
        <r>
          <rPr>
            <b/>
            <sz val="10"/>
            <color indexed="48"/>
            <rFont val="Calibri"/>
            <family val="2"/>
          </rPr>
          <t xml:space="preserve">SOLD </t>
        </r>
        <r>
          <rPr>
            <b/>
            <sz val="10"/>
            <color indexed="8"/>
            <rFont val="Calibri"/>
            <family val="2"/>
          </rPr>
          <t>» 85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L5 &amp; G10 &amp; S10 &amp; W10 &amp; T10 &amp; X10 &amp; U10 &amp; O10 &amp; I10</t>
        </r>
      </text>
    </comment>
    <comment ref="F38" authorId="0" shapeId="0" xr:uid="{1DDEFED2-6EF4-4361-B830-69202DE0D73A}">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L1 &amp; I4 &amp; E44 &amp; P114</t>
        </r>
      </text>
    </comment>
    <comment ref="F40" authorId="0" shapeId="0" xr:uid="{7C53CB18-EBDC-4B9F-A0B5-B9720D096A8E}">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K5 &amp; V4 &amp; S11 &amp; X3 &amp; U5 &amp; O9 &amp; I17 &amp; P123</t>
        </r>
      </text>
    </comment>
    <comment ref="F60" authorId="0" shapeId="0" xr:uid="{C2ED4B6D-EEC1-4146-A2F5-F72456D4405E}">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101.8%]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V6 &amp; L2 &amp; S1 &amp; U6 &amp; O9 &amp; I17 &amp; P128 &amp; N2</t>
        </r>
      </text>
    </comment>
    <comment ref="F75" authorId="0" shapeId="0" xr:uid="{671BF0CE-6475-4938-9359-E6B0C30D714D}">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103.0%]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G2 &amp; S12 &amp; I22 &amp; P133 &amp; N4</t>
        </r>
      </text>
    </comment>
    <comment ref="F76" authorId="0" shapeId="0" xr:uid="{8FBB0A28-E09B-410F-AD49-44AF57D8968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96.5%]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M5]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L4 &amp; G3 &amp; S4 &amp; W4 &amp; T4 &amp; X4 &amp; U4 &amp; O4 &amp; I4 &amp; P133</t>
        </r>
      </text>
    </comment>
  </commentList>
</comments>
</file>

<file path=xl/sharedStrings.xml><?xml version="1.0" encoding="utf-8"?>
<sst xmlns="http://schemas.openxmlformats.org/spreadsheetml/2006/main" count="2718" uniqueCount="283">
  <si>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</si>
  <si>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</si>
  <si>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</si>
  <si>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</si>
  <si>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</si>
  <si>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</si>
  <si>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</si>
  <si>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</si>
  <si>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</si>
  <si>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</si>
  <si>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</si>
  <si>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</si>
  <si>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</si>
  <si>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</si>
  <si>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</si>
  <si>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</si>
  <si>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</si>
  <si>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</si>
  <si>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</si>
  <si>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</si>
  <si>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</si>
  <si>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</si>
  <si>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</si>
  <si>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</si>
  <si>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</si>
  <si>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</si>
  <si>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</si>
  <si>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XY-793</t>
  </si>
  <si>
    <t>Cabin: 7 KG / Check-in: 20 KG</t>
  </si>
  <si>
    <r>
      <rPr>
        <b/>
        <i/>
        <sz val="13"/>
        <color rgb="FFBC0000"/>
        <rFont val="Calibri"/>
        <family val="2"/>
      </rPr>
      <t>9</t>
    </r>
    <r>
      <rPr>
        <b/>
        <i/>
        <sz val="10"/>
        <color rgb="FFBC0000"/>
        <rFont val="Calibri"/>
        <family val="2"/>
      </rPr>
      <t xml:space="preserve"> FOR SAME CLASS</t>
    </r>
  </si>
  <si>
    <t>609 SAR</t>
  </si>
  <si>
    <t>Cabin: 7 KG / Check-in: 30 KG</t>
  </si>
  <si>
    <r>
      <rPr>
        <i/>
        <sz val="13"/>
        <rFont val="Calibri"/>
        <family val="2"/>
      </rPr>
      <t>9</t>
    </r>
    <r>
      <rPr>
        <i/>
        <sz val="10"/>
        <rFont val="Calibri"/>
        <family val="2"/>
      </rPr>
      <t xml:space="preserve"> FOR SAME CLASS</t>
    </r>
  </si>
  <si>
    <t>709 SAR</t>
  </si>
  <si>
    <t>Cabin: 7 KG / Check-in: 2 x 40 KG</t>
  </si>
  <si>
    <t>799 SAR</t>
  </si>
  <si>
    <t>XY-576</t>
  </si>
  <si>
    <r>
      <rPr>
        <b/>
        <i/>
        <sz val="13"/>
        <rFont val="Calibri"/>
        <family val="2"/>
      </rPr>
      <t>9</t>
    </r>
    <r>
      <rPr>
        <b/>
        <i/>
        <sz val="10"/>
        <rFont val="Calibri"/>
        <family val="2"/>
      </rPr>
      <t xml:space="preserve"> FOR SAME CLASS</t>
    </r>
  </si>
  <si>
    <t>689 SAR</t>
  </si>
  <si>
    <t>789 SAR</t>
  </si>
  <si>
    <t>879 SAR</t>
  </si>
  <si>
    <t>flyadeal</t>
  </si>
  <si>
    <t>F3-769</t>
  </si>
  <si>
    <t>Check-in: 15 KG</t>
  </si>
  <si>
    <r>
      <rPr>
        <b/>
        <i/>
        <sz val="13"/>
        <color rgb="FFBC0000"/>
        <rFont val="Calibri"/>
        <family val="2"/>
      </rPr>
      <t>11</t>
    </r>
    <r>
      <rPr>
        <b/>
        <i/>
        <sz val="10"/>
        <color rgb="FFBC0000"/>
        <rFont val="Calibri"/>
        <family val="2"/>
      </rPr>
      <t xml:space="preserve"> FOR SAME CLASS</t>
    </r>
  </si>
  <si>
    <t>699 SAR</t>
  </si>
  <si>
    <t>Cabin: 10 KG / Check-in: 25 KG</t>
  </si>
  <si>
    <r>
      <rPr>
        <i/>
        <sz val="13"/>
        <rFont val="Calibri"/>
        <family val="2"/>
      </rPr>
      <t>11</t>
    </r>
    <r>
      <rPr>
        <i/>
        <sz val="10"/>
        <rFont val="Calibri"/>
        <family val="2"/>
      </rPr>
      <t xml:space="preserve"> FOR SAME CLASS</t>
    </r>
  </si>
  <si>
    <t>849 SAR</t>
  </si>
  <si>
    <t>Cabin: 10 KG / Check-in: 2 x 40 KG</t>
  </si>
  <si>
    <t>1,099 SAR</t>
  </si>
  <si>
    <t>EgyptAir</t>
  </si>
  <si>
    <t>MS-676</t>
  </si>
  <si>
    <t>Cabin: 7 KG | Check-in: 2 PIECE</t>
  </si>
  <si>
    <r>
      <rPr>
        <b/>
        <i/>
        <sz val="13"/>
        <color rgb="FFBC0000"/>
        <rFont val="Calibri"/>
        <family val="2"/>
      </rPr>
      <t>+9</t>
    </r>
    <r>
      <rPr>
        <b/>
        <i/>
        <sz val="10"/>
        <color rgb="FFBC0000"/>
        <rFont val="Calibri"/>
        <family val="2"/>
      </rPr>
      <t xml:space="preserve"> FOR SAME CLASS</t>
    </r>
  </si>
  <si>
    <t>902 SAR</t>
  </si>
  <si>
    <t>MS-694</t>
  </si>
  <si>
    <r>
      <rPr>
        <b/>
        <i/>
        <sz val="13"/>
        <rFont val="Calibri"/>
        <family val="2"/>
      </rPr>
      <t>+9</t>
    </r>
    <r>
      <rPr>
        <b/>
        <i/>
        <sz val="10"/>
        <rFont val="Calibri"/>
        <family val="2"/>
      </rPr>
      <t xml:space="preserve"> FOR SAME CLASS</t>
    </r>
  </si>
  <si>
    <t>MS-696</t>
  </si>
  <si>
    <t>MS-678</t>
  </si>
  <si>
    <r>
      <rPr>
        <b/>
        <i/>
        <sz val="13"/>
        <rFont val="Calibri"/>
        <family val="2"/>
      </rPr>
      <t>8</t>
    </r>
    <r>
      <rPr>
        <b/>
        <i/>
        <sz val="10"/>
        <rFont val="Calibri"/>
        <family val="2"/>
      </rPr>
      <t xml:space="preserve"> FOR SAME CLASS</t>
    </r>
  </si>
  <si>
    <t>1,262 SAR</t>
  </si>
  <si>
    <t>MS-640</t>
  </si>
  <si>
    <t>1,802 SAR</t>
  </si>
  <si>
    <t>Saudia</t>
  </si>
  <si>
    <t>SV-319</t>
  </si>
  <si>
    <t>Cabin: 7 KG / Check-in: 23 KG</t>
  </si>
  <si>
    <t>1,609 SAR</t>
  </si>
  <si>
    <t>Cabin: 7 KG / Check-in: 2 x 46 KG</t>
  </si>
  <si>
    <r>
      <rPr>
        <i/>
        <sz val="13"/>
        <rFont val="Calibri"/>
        <family val="2"/>
      </rPr>
      <t>+9</t>
    </r>
    <r>
      <rPr>
        <i/>
        <sz val="10"/>
        <rFont val="Calibri"/>
        <family val="2"/>
      </rPr>
      <t xml:space="preserve"> FOR SAME CLASS</t>
    </r>
  </si>
  <si>
    <t>1,750 SAR</t>
  </si>
  <si>
    <t>SV-391</t>
  </si>
  <si>
    <t>SV-6903</t>
  </si>
  <si>
    <r>
      <rPr>
        <b/>
        <i/>
        <sz val="13"/>
        <rFont val="Calibri"/>
        <family val="2"/>
      </rPr>
      <t>4</t>
    </r>
    <r>
      <rPr>
        <b/>
        <i/>
        <sz val="10"/>
        <rFont val="Calibri"/>
        <family val="2"/>
      </rPr>
      <t xml:space="preserve"> FOR SAME CLASS</t>
    </r>
  </si>
  <si>
    <t>1,945 SAR</t>
  </si>
  <si>
    <t>SV-381</t>
  </si>
  <si>
    <r>
      <rPr>
        <b/>
        <i/>
        <sz val="13"/>
        <rFont val="Calibri"/>
        <family val="2"/>
      </rPr>
      <t>1</t>
    </r>
    <r>
      <rPr>
        <b/>
        <i/>
        <sz val="10"/>
        <rFont val="Calibri"/>
        <family val="2"/>
      </rPr>
      <t xml:space="preserve"> FOR SAME CLASS</t>
    </r>
  </si>
  <si>
    <t>2,165 SAR</t>
  </si>
  <si>
    <r>
      <rPr>
        <i/>
        <sz val="13"/>
        <rFont val="Calibri"/>
        <family val="2"/>
      </rPr>
      <t>1</t>
    </r>
    <r>
      <rPr>
        <i/>
        <sz val="10"/>
        <rFont val="Calibri"/>
        <family val="2"/>
      </rPr>
      <t xml:space="preserve"> FOR SAME CLASS</t>
    </r>
  </si>
  <si>
    <t>2,305 SAR</t>
  </si>
  <si>
    <t>Air Cairo</t>
  </si>
  <si>
    <t>SM494</t>
  </si>
  <si>
    <t>30KG + 7KG CABIN</t>
  </si>
  <si>
    <t>FULLY BOOKED</t>
  </si>
  <si>
    <t>2025-11-15T00:00:00</t>
  </si>
  <si>
    <t>CLOSED</t>
  </si>
  <si>
    <t>Q11 &amp; L4 &amp; G6 &amp; S6 &amp; W8 &amp; T9 &amp; X8 &amp; U8 &amp; O9 &amp; I16 &amp; P92 &amp; N2</t>
  </si>
  <si>
    <r>
      <rPr>
        <b/>
        <i/>
        <sz val="13"/>
        <color rgb="FFBC0000"/>
        <rFont val="Calibri"/>
        <family val="2"/>
      </rPr>
      <t>18</t>
    </r>
    <r>
      <rPr>
        <b/>
        <i/>
        <sz val="10"/>
        <color rgb="FFBC0000"/>
        <rFont val="Calibri"/>
        <family val="2"/>
      </rPr>
      <t xml:space="preserve"> FOR SAME CLASS</t>
    </r>
  </si>
  <si>
    <r>
      <rPr>
        <i/>
        <sz val="13"/>
        <rFont val="Calibri"/>
        <family val="2"/>
      </rPr>
      <t>18</t>
    </r>
    <r>
      <rPr>
        <i/>
        <sz val="10"/>
        <rFont val="Calibri"/>
        <family val="2"/>
      </rPr>
      <t xml:space="preserve"> FOR SAME CLASS</t>
    </r>
  </si>
  <si>
    <t>1,499 SAR</t>
  </si>
  <si>
    <t>1,122 SAR</t>
  </si>
  <si>
    <r>
      <rPr>
        <b/>
        <i/>
        <sz val="13"/>
        <color rgb="FFBC0000"/>
        <rFont val="Calibri"/>
        <family val="2"/>
      </rPr>
      <t>7</t>
    </r>
    <r>
      <rPr>
        <b/>
        <i/>
        <sz val="10"/>
        <color rgb="FFBC0000"/>
        <rFont val="Calibri"/>
        <family val="2"/>
      </rPr>
      <t xml:space="preserve"> FOR SAME CLASS</t>
    </r>
  </si>
  <si>
    <t>1,868 SAR</t>
  </si>
  <si>
    <r>
      <rPr>
        <i/>
        <sz val="13"/>
        <rFont val="Calibri"/>
        <family val="2"/>
      </rPr>
      <t>7</t>
    </r>
    <r>
      <rPr>
        <i/>
        <sz val="10"/>
        <rFont val="Calibri"/>
        <family val="2"/>
      </rPr>
      <t xml:space="preserve"> FOR SAME CLASS</t>
    </r>
  </si>
  <si>
    <t>2,009 SAR</t>
  </si>
  <si>
    <r>
      <rPr>
        <b/>
        <i/>
        <sz val="13"/>
        <rFont val="Calibri"/>
        <family val="2"/>
      </rPr>
      <t>6</t>
    </r>
    <r>
      <rPr>
        <b/>
        <i/>
        <sz val="10"/>
        <rFont val="Calibri"/>
        <family val="2"/>
      </rPr>
      <t xml:space="preserve"> FOR SAME CLASS</t>
    </r>
  </si>
  <si>
    <r>
      <rPr>
        <i/>
        <sz val="13"/>
        <rFont val="Calibri"/>
        <family val="2"/>
      </rPr>
      <t>6</t>
    </r>
    <r>
      <rPr>
        <i/>
        <sz val="10"/>
        <rFont val="Calibri"/>
        <family val="2"/>
      </rPr>
      <t xml:space="preserve"> FOR SAME CLASS</t>
    </r>
  </si>
  <si>
    <r>
      <rPr>
        <i/>
        <sz val="13"/>
        <rFont val="Calibri"/>
        <family val="2"/>
      </rPr>
      <t>4</t>
    </r>
    <r>
      <rPr>
        <i/>
        <sz val="10"/>
        <rFont val="Calibri"/>
        <family val="2"/>
      </rPr>
      <t xml:space="preserve"> FOR SAME CLASS</t>
    </r>
  </si>
  <si>
    <r>
      <rPr>
        <b/>
        <i/>
        <sz val="13"/>
        <color rgb="FFBC0000"/>
        <rFont val="Calibri"/>
        <family val="2"/>
      </rPr>
      <t>3</t>
    </r>
    <r>
      <rPr>
        <b/>
        <i/>
        <sz val="10"/>
        <color rgb="FFBC0000"/>
        <rFont val="Calibri"/>
        <family val="2"/>
      </rPr>
      <t xml:space="preserve"> FOR SAME CLASS</t>
    </r>
  </si>
  <si>
    <r>
      <rPr>
        <i/>
        <sz val="13"/>
        <rFont val="Calibri"/>
        <family val="2"/>
      </rPr>
      <t>3</t>
    </r>
    <r>
      <rPr>
        <i/>
        <sz val="10"/>
        <rFont val="Calibri"/>
        <family val="2"/>
      </rPr>
      <t xml:space="preserve"> FOR SAME CLASS</t>
    </r>
  </si>
  <si>
    <t>949 SAR</t>
  </si>
  <si>
    <t>1,002 SAR</t>
  </si>
  <si>
    <r>
      <rPr>
        <b/>
        <i/>
        <sz val="13"/>
        <rFont val="Calibri"/>
        <family val="2"/>
      </rPr>
      <t>2</t>
    </r>
    <r>
      <rPr>
        <b/>
        <i/>
        <sz val="10"/>
        <rFont val="Calibri"/>
        <family val="2"/>
      </rPr>
      <t xml:space="preserve"> FOR SAME CLASS</t>
    </r>
  </si>
  <si>
    <r>
      <rPr>
        <b/>
        <i/>
        <sz val="13"/>
        <color rgb="FFBC0000"/>
        <rFont val="Calibri"/>
        <family val="2"/>
      </rPr>
      <t>1</t>
    </r>
    <r>
      <rPr>
        <b/>
        <i/>
        <sz val="10"/>
        <color rgb="FFBC0000"/>
        <rFont val="Calibri"/>
        <family val="2"/>
      </rPr>
      <t xml:space="preserve"> FOR SAME CLASS</t>
    </r>
  </si>
  <si>
    <t>1,385 SAR</t>
  </si>
  <si>
    <t>1,525 SAR</t>
  </si>
  <si>
    <t>2025-11-13T00:00:00</t>
  </si>
  <si>
    <t>Q4 &amp; T3 &amp; X5 &amp; U9 &amp; O7 &amp; I17 &amp; P130 &amp; N4</t>
  </si>
  <si>
    <r>
      <rPr>
        <b/>
        <i/>
        <sz val="13"/>
        <color rgb="FFBC0000"/>
        <rFont val="Calibri"/>
        <family val="2"/>
      </rPr>
      <t>10</t>
    </r>
    <r>
      <rPr>
        <b/>
        <i/>
        <sz val="10"/>
        <color rgb="FFBC0000"/>
        <rFont val="Calibri"/>
        <family val="2"/>
      </rPr>
      <t xml:space="preserve"> FOR SAME CLASS</t>
    </r>
  </si>
  <si>
    <r>
      <rPr>
        <i/>
        <sz val="13"/>
        <rFont val="Calibri"/>
        <family val="2"/>
      </rPr>
      <t>10</t>
    </r>
    <r>
      <rPr>
        <i/>
        <sz val="10"/>
        <rFont val="Calibri"/>
        <family val="2"/>
      </rPr>
      <t xml:space="preserve"> FOR SAME CLASS</t>
    </r>
  </si>
  <si>
    <t>2025-11-16T00:00:00</t>
  </si>
  <si>
    <t>K6 &amp; G10 &amp; S21 &amp; T5 &amp; X11 &amp; U8 &amp; O9 &amp; I17 &amp; P86 &amp; N6</t>
  </si>
  <si>
    <t>619 SAR</t>
  </si>
  <si>
    <t>769 SAR</t>
  </si>
  <si>
    <r>
      <rPr>
        <b/>
        <i/>
        <sz val="13"/>
        <rFont val="Calibri"/>
        <family val="2"/>
      </rPr>
      <t>3</t>
    </r>
    <r>
      <rPr>
        <b/>
        <i/>
        <sz val="10"/>
        <rFont val="Calibri"/>
        <family val="2"/>
      </rPr>
      <t xml:space="preserve"> FOR SAME CLASS</t>
    </r>
  </si>
  <si>
    <t>939 SAR</t>
  </si>
  <si>
    <t>1,039 SAR</t>
  </si>
  <si>
    <t>1,129 SAR</t>
  </si>
  <si>
    <t>1,651 SAR</t>
  </si>
  <si>
    <r>
      <rPr>
        <b/>
        <i/>
        <sz val="13"/>
        <color rgb="FFBC0000"/>
        <rFont val="Calibri"/>
        <family val="2"/>
      </rPr>
      <t>2</t>
    </r>
    <r>
      <rPr>
        <b/>
        <i/>
        <sz val="10"/>
        <color rgb="FFBC0000"/>
        <rFont val="Calibri"/>
        <family val="2"/>
      </rPr>
      <t xml:space="preserve"> FOR SAME CLASS</t>
    </r>
  </si>
  <si>
    <t>489 SAR</t>
  </si>
  <si>
    <r>
      <rPr>
        <i/>
        <sz val="13"/>
        <rFont val="Calibri"/>
        <family val="2"/>
      </rPr>
      <t>2</t>
    </r>
    <r>
      <rPr>
        <i/>
        <sz val="10"/>
        <rFont val="Calibri"/>
        <family val="2"/>
      </rPr>
      <t xml:space="preserve"> FOR SAME CLASS</t>
    </r>
  </si>
  <si>
    <t>639 SAR</t>
  </si>
  <si>
    <t>586 SAR</t>
  </si>
  <si>
    <r>
      <rPr>
        <b/>
        <i/>
        <sz val="13"/>
        <color rgb="FFBC0000"/>
        <rFont val="Calibri"/>
        <family val="2"/>
      </rPr>
      <t>8</t>
    </r>
    <r>
      <rPr>
        <b/>
        <i/>
        <sz val="10"/>
        <color rgb="FFBC0000"/>
        <rFont val="Calibri"/>
        <family val="2"/>
      </rPr>
      <t xml:space="preserve"> FOR SAME CLASS</t>
    </r>
  </si>
  <si>
    <r>
      <rPr>
        <i/>
        <sz val="13"/>
        <rFont val="Calibri"/>
        <family val="2"/>
      </rPr>
      <t>8</t>
    </r>
    <r>
      <rPr>
        <i/>
        <sz val="10"/>
        <rFont val="Calibri"/>
        <family val="2"/>
      </rPr>
      <t xml:space="preserve"> FOR SAME CLASS</t>
    </r>
  </si>
  <si>
    <t>739 SAR</t>
  </si>
  <si>
    <t>829 SAR</t>
  </si>
  <si>
    <t>SM-488</t>
  </si>
  <si>
    <t>Cabin: 7 KG | Check-in: 40 KG</t>
  </si>
  <si>
    <r>
      <rPr>
        <b/>
        <i/>
        <sz val="13"/>
        <color rgb="FFBC0000"/>
        <rFont val="Calibri"/>
        <family val="2"/>
      </rPr>
      <t>5</t>
    </r>
    <r>
      <rPr>
        <b/>
        <i/>
        <sz val="10"/>
        <color rgb="FFBC0000"/>
        <rFont val="Calibri"/>
        <family val="2"/>
      </rPr>
      <t xml:space="preserve"> FOR SAME CLASS</t>
    </r>
  </si>
  <si>
    <t>836 SAR</t>
  </si>
  <si>
    <t>SM488</t>
  </si>
  <si>
    <t>2025-11-18T00:00:00</t>
  </si>
  <si>
    <t>L5</t>
  </si>
  <si>
    <t>L5 &amp; G10 &amp; S10 &amp; W10 &amp; T10 &amp; X10 &amp; U10 &amp; O10 &amp; I10</t>
  </si>
  <si>
    <t>SM-496</t>
  </si>
  <si>
    <t>914 SAR</t>
  </si>
  <si>
    <t>SM496</t>
  </si>
  <si>
    <t>2025-11-04T00:00:00</t>
  </si>
  <si>
    <t>V8</t>
  </si>
  <si>
    <t>L1 &amp; I4 &amp; E44 &amp; P114</t>
  </si>
  <si>
    <t>SM-494</t>
  </si>
  <si>
    <t>1,088 SAR</t>
  </si>
  <si>
    <t>Q1</t>
  </si>
  <si>
    <t>Q1 &amp; K5 &amp; V4 &amp; S11 &amp; X3 &amp; U5 &amp; O9 &amp; I17 &amp; P123</t>
  </si>
  <si>
    <t>749 SAR</t>
  </si>
  <si>
    <t>1,299 SAR</t>
  </si>
  <si>
    <t>1,399 SAR</t>
  </si>
  <si>
    <t>1,489 SAR</t>
  </si>
  <si>
    <t>1,412 SAR</t>
  </si>
  <si>
    <t>V6 &amp; L2 &amp; S1 &amp; U6 &amp; O9 &amp; I17 &amp; P128 &amp; N2</t>
  </si>
  <si>
    <t>559 SAR</t>
  </si>
  <si>
    <t>589 SAR</t>
  </si>
  <si>
    <t>779 SAR</t>
  </si>
  <si>
    <t>1,592 SAR</t>
  </si>
  <si>
    <r>
      <rPr>
        <b/>
        <i/>
        <sz val="13"/>
        <color rgb="FFBC0000"/>
        <rFont val="Calibri"/>
        <family val="2"/>
      </rPr>
      <t>4</t>
    </r>
    <r>
      <rPr>
        <b/>
        <i/>
        <sz val="10"/>
        <color rgb="FFBC0000"/>
        <rFont val="Calibri"/>
        <family val="2"/>
      </rPr>
      <t xml:space="preserve"> FOR SAME CLASS</t>
    </r>
  </si>
  <si>
    <t>1,259 SAR</t>
  </si>
  <si>
    <t>1,313 SAR</t>
  </si>
  <si>
    <t>2025-11-09T00:00:00</t>
  </si>
  <si>
    <t>G2 &amp; S12 &amp; I22 &amp; P133 &amp; N4</t>
  </si>
  <si>
    <r>
      <rPr>
        <i/>
        <sz val="13"/>
        <rFont val="Calibri"/>
        <family val="2"/>
      </rPr>
      <t>5</t>
    </r>
    <r>
      <rPr>
        <i/>
        <sz val="10"/>
        <rFont val="Calibri"/>
        <family val="2"/>
      </rPr>
      <t xml:space="preserve"> FOR SAME CLASS</t>
    </r>
  </si>
  <si>
    <t>1,298 SAR</t>
  </si>
  <si>
    <t>2025-11-14T00:00:00</t>
  </si>
  <si>
    <t>M5</t>
  </si>
  <si>
    <t>L4 &amp; G3 &amp; S4 &amp; W4 &amp; T4 &amp; X4 &amp; U4 &amp; O4 &amp; I4 &amp; P133</t>
  </si>
  <si>
    <r>
      <rPr>
        <b/>
        <i/>
        <sz val="13"/>
        <rFont val="Calibri"/>
        <family val="2"/>
      </rPr>
      <t>5</t>
    </r>
    <r>
      <rPr>
        <b/>
        <i/>
        <sz val="10"/>
        <rFont val="Calibri"/>
        <family val="2"/>
      </rPr>
      <t xml:space="preserve"> FOR SAME CLASS</t>
    </r>
  </si>
  <si>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</si>
  <si>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</si>
  <si>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</si>
  <si>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</si>
  <si>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</si>
  <si>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</si>
  <si>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</si>
  <si>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</si>
  <si>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</si>
  <si>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</si>
  <si>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</si>
  <si>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</si>
  <si>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</si>
  <si>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</si>
  <si>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</si>
  <si>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</si>
  <si>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</si>
  <si>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</si>
  <si>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</si>
  <si>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</si>
  <si>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</si>
  <si>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</si>
  <si>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</si>
  <si>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</si>
  <si>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</si>
  <si>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</si>
  <si>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</si>
  <si>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</si>
  <si>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</si>
  <si>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</si>
  <si>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12:55</t>
  </si>
  <si>
    <t>320</t>
  </si>
  <si>
    <t>UPCOMING</t>
  </si>
  <si>
    <t>Q11</t>
  </si>
  <si>
    <t>L4</t>
  </si>
  <si>
    <t>G6</t>
  </si>
  <si>
    <t>S6</t>
  </si>
  <si>
    <t>W8</t>
  </si>
  <si>
    <t>T9</t>
  </si>
  <si>
    <t>X8</t>
  </si>
  <si>
    <t>U8</t>
  </si>
  <si>
    <t>O9</t>
  </si>
  <si>
    <t>I16</t>
  </si>
  <si>
    <t>P92</t>
  </si>
  <si>
    <t>N2</t>
  </si>
  <si>
    <t>SATURDAY</t>
  </si>
  <si>
    <t>09:30</t>
  </si>
  <si>
    <t>Q4</t>
  </si>
  <si>
    <t>T3</t>
  </si>
  <si>
    <t>X5</t>
  </si>
  <si>
    <t>U9</t>
  </si>
  <si>
    <t>O7</t>
  </si>
  <si>
    <t>I17</t>
  </si>
  <si>
    <t>P130</t>
  </si>
  <si>
    <t>N4</t>
  </si>
  <si>
    <t>SUNDAY</t>
  </si>
  <si>
    <t>21:40</t>
  </si>
  <si>
    <t>K6</t>
  </si>
  <si>
    <t>G10</t>
  </si>
  <si>
    <t>S21</t>
  </si>
  <si>
    <t>T5</t>
  </si>
  <si>
    <t>X11</t>
  </si>
  <si>
    <t>P86</t>
  </si>
  <si>
    <t>N6</t>
  </si>
  <si>
    <t>TUESDAY</t>
  </si>
  <si>
    <t>01:10</t>
  </si>
  <si>
    <t>L1</t>
  </si>
  <si>
    <t>I4</t>
  </si>
  <si>
    <t>E44</t>
  </si>
  <si>
    <t>P114</t>
  </si>
  <si>
    <t>06:40</t>
  </si>
  <si>
    <t>S10</t>
  </si>
  <si>
    <t>W10</t>
  </si>
  <si>
    <t>T10</t>
  </si>
  <si>
    <t>X10</t>
  </si>
  <si>
    <t>U10</t>
  </si>
  <si>
    <t>O10</t>
  </si>
  <si>
    <t>I10</t>
  </si>
  <si>
    <t>23:30</t>
  </si>
  <si>
    <t>K5</t>
  </si>
  <si>
    <t>V4</t>
  </si>
  <si>
    <t>S11</t>
  </si>
  <si>
    <t>X3</t>
  </si>
  <si>
    <t>U5</t>
  </si>
  <si>
    <t>P123</t>
  </si>
  <si>
    <t>V6</t>
  </si>
  <si>
    <t>L2</t>
  </si>
  <si>
    <t>S1</t>
  </si>
  <si>
    <t>U6</t>
  </si>
  <si>
    <t>P128</t>
  </si>
  <si>
    <t>G2</t>
  </si>
  <si>
    <t>S12</t>
  </si>
  <si>
    <t>I22</t>
  </si>
  <si>
    <t>P133</t>
  </si>
  <si>
    <t>G3</t>
  </si>
  <si>
    <t>S4</t>
  </si>
  <si>
    <t>W4</t>
  </si>
  <si>
    <t>T4</t>
  </si>
  <si>
    <t>X4</t>
  </si>
  <si>
    <t>U4</t>
  </si>
  <si>
    <t>O4</t>
  </si>
  <si>
    <t>DATE</t>
  </si>
  <si>
    <t>ROUTE</t>
  </si>
  <si>
    <t>2025-11-20</t>
  </si>
  <si>
    <t>08:30</t>
  </si>
  <si>
    <t>18:10</t>
  </si>
  <si>
    <t>10:05</t>
  </si>
  <si>
    <t>02:35</t>
  </si>
  <si>
    <t>05:20</t>
  </si>
  <si>
    <t>10:40</t>
  </si>
  <si>
    <t>20:30</t>
  </si>
  <si>
    <t>14:30</t>
  </si>
  <si>
    <t>02:05</t>
  </si>
  <si>
    <t>13:15</t>
  </si>
  <si>
    <t>19:05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</si>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</sst>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6" formatCode="yyyy\-mm\-dd\ h:mm:ss"/>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7"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006100"/>
      <name val="Calibri"/>
      <family val="2"/>
    </font>
    <font>
      <b/>
      <i/>
      <sz val="14"/>
      <name val="Calibri"/>
      <family val="2"/>
    </font>
    <font>
      <sz val="12"/>
      <color theme="1"/>
      <name val="Calibri"/>
      <family val="2"/>
    </font>
    <font>
      <b/>
      <i/>
      <sz val="18"/>
      <name val="Calibri"/>
      <family val="2"/>
    </font>
    <font>
      <i/>
      <sz val="18"/>
      <color rgb="FFFF0000"/>
      <name val="Calibri"/>
      <family val="2"/>
    </font>
    <font>
      <b/>
      <i/>
      <sz val="13"/>
      <color rgb="FF9C0006"/>
      <name val="Calibri"/>
      <family val="2"/>
    </font>
    <font>
      <b/>
      <sz val="14"/>
      <color rgb="FFFFFFFF"/>
      <name val="Calibri"/>
      <family val="2"/>
    </font>
    <font>
      <i/>
      <sz val="12"/>
      <color rgb="FF494529"/>
      <name val="Calibri"/>
      <family val="2"/>
    </font>
    <font>
      <b/>
      <sz val="12"/>
      <color rgb="FF00000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6">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E6D5E6"/>
      </patternFill>
    </fill>
    <fill>
      <patternFill patternType="solid">
        <fgColor rgb="FFCCCCCC"/>
        <bgColor rgb="FFCCCCCC"/>
      </patternFill>
    </fill>
    <fill>
      <patternFill patternType="solid">
        <fgColor rgb="FFB5E7D3"/>
      </patternFill>
    </fill>
    <fill>
      <patternFill patternType="solid">
        <fgColor rgb="FFF2CA93"/>
      </patternFill>
    </fill>
    <fill>
      <patternFill patternType="solid">
        <fgColor rgb="FFC7FFFF"/>
      </patternFill>
    </fill>
    <fill>
      <patternFill patternType="solid">
        <fgColor rgb="FFFFFFCC"/>
      </patternFill>
    </fill>
    <fill>
      <patternFill patternType="solid">
        <fgColor rgb="FF366092"/>
      </patternFill>
    </fill>
    <fill>
      <patternFill patternType="solid">
        <fgColor rgb="FF365492"/>
        <bgColor indexed="64"/>
      </patternFill>
    </fill>
  </fills>
  <borders count="36">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178">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5" fillId="8" borderId="15" xfId="0" applyNumberFormat="1" applyFont="1" applyFill="1" applyBorder="1" applyAlignment="1">
      <alignment horizontal="center" vertical="center"/>
    </xf>
    <xf numFmtId="169" fontId="16" fillId="8" borderId="16" xfId="0" applyNumberFormat="1" applyFont="1" applyFill="1" applyBorder="1" applyAlignment="1">
      <alignment horizontal="center" vertical="center"/>
    </xf>
    <xf numFmtId="1" fontId="15" fillId="8" borderId="16" xfId="0" applyNumberFormat="1" applyFont="1" applyFill="1" applyBorder="1" applyAlignment="1">
      <alignment horizontal="center" vertical="center"/>
    </xf>
    <xf numFmtId="16" fontId="15" fillId="8" borderId="16" xfId="0" applyNumberFormat="1" applyFont="1" applyFill="1" applyBorder="1" applyAlignment="1">
      <alignment horizontal="center" vertical="center"/>
    </xf>
    <xf numFmtId="49" fontId="17" fillId="8" borderId="16" xfId="0" applyNumberFormat="1" applyFont="1" applyFill="1" applyBorder="1" applyAlignment="1">
      <alignment horizontal="center" vertical="center"/>
    </xf>
    <xf numFmtId="168" fontId="15" fillId="8" borderId="16"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0" fontId="10" fillId="10" borderId="13" xfId="0" applyFont="1" applyFill="1" applyBorder="1" applyAlignment="1">
      <alignment horizontal="center" vertical="center"/>
    </xf>
    <xf numFmtId="49" fontId="15" fillId="10" borderId="15" xfId="0" applyNumberFormat="1" applyFont="1" applyFill="1" applyBorder="1" applyAlignment="1">
      <alignment horizontal="center" vertical="center"/>
    </xf>
    <xf numFmtId="169" fontId="16" fillId="10" borderId="16" xfId="0" applyNumberFormat="1" applyFont="1" applyFill="1" applyBorder="1" applyAlignment="1">
      <alignment horizontal="center" vertical="center"/>
    </xf>
    <xf numFmtId="1" fontId="15" fillId="10" borderId="16" xfId="0" applyNumberFormat="1" applyFont="1" applyFill="1" applyBorder="1" applyAlignment="1">
      <alignment horizontal="center" vertical="center"/>
    </xf>
    <xf numFmtId="16" fontId="15" fillId="10" borderId="16" xfId="0" applyNumberFormat="1" applyFont="1" applyFill="1" applyBorder="1" applyAlignment="1">
      <alignment horizontal="center" vertical="center"/>
    </xf>
    <xf numFmtId="49" fontId="17" fillId="10" borderId="16" xfId="0" applyNumberFormat="1" applyFont="1" applyFill="1" applyBorder="1" applyAlignment="1">
      <alignment horizontal="center" vertical="center"/>
    </xf>
    <xf numFmtId="168" fontId="15" fillId="10" borderId="16" xfId="0" applyNumberFormat="1" applyFont="1" applyFill="1" applyBorder="1" applyAlignment="1">
      <alignment horizontal="center" vertical="center"/>
    </xf>
    <xf numFmtId="49" fontId="15" fillId="10" borderId="17" xfId="0" applyNumberFormat="1"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49" fontId="10" fillId="11" borderId="2" xfId="0" applyNumberFormat="1" applyFont="1" applyFill="1" applyBorder="1" applyAlignment="1">
      <alignment horizontal="center" vertical="center"/>
    </xf>
    <xf numFmtId="168" fontId="10" fillId="11" borderId="2" xfId="0" applyNumberFormat="1" applyFont="1" applyFill="1" applyBorder="1" applyAlignment="1">
      <alignment horizontal="center" vertical="center"/>
    </xf>
    <xf numFmtId="49" fontId="15" fillId="11" borderId="21" xfId="0" applyNumberFormat="1" applyFont="1" applyFill="1" applyBorder="1" applyAlignment="1">
      <alignment horizontal="center" vertical="center"/>
    </xf>
    <xf numFmtId="169" fontId="21" fillId="11" borderId="22" xfId="0" applyNumberFormat="1" applyFont="1" applyFill="1" applyBorder="1" applyAlignment="1">
      <alignment horizontal="center" vertical="center"/>
    </xf>
    <xf numFmtId="1" fontId="15" fillId="11" borderId="22" xfId="0" applyNumberFormat="1" applyFont="1" applyFill="1" applyBorder="1" applyAlignment="1">
      <alignment horizontal="center" vertical="center"/>
    </xf>
    <xf numFmtId="16" fontId="15" fillId="11" borderId="22" xfId="0" applyNumberFormat="1" applyFont="1" applyFill="1" applyBorder="1" applyAlignment="1">
      <alignment horizontal="center" vertical="center"/>
    </xf>
    <xf numFmtId="49" fontId="17" fillId="11" borderId="22" xfId="0" applyNumberFormat="1" applyFont="1" applyFill="1" applyBorder="1" applyAlignment="1">
      <alignment horizontal="center" vertical="center"/>
    </xf>
    <xf numFmtId="168" fontId="15" fillId="11" borderId="22" xfId="0" applyNumberFormat="1" applyFont="1" applyFill="1" applyBorder="1" applyAlignment="1">
      <alignment horizontal="center" vertical="center"/>
    </xf>
    <xf numFmtId="49" fontId="15" fillId="11" borderId="23"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49" fontId="15" fillId="12" borderId="21" xfId="0" applyNumberFormat="1" applyFont="1" applyFill="1" applyBorder="1" applyAlignment="1">
      <alignment horizontal="center" vertical="center"/>
    </xf>
    <xf numFmtId="169" fontId="16" fillId="12" borderId="22" xfId="0" applyNumberFormat="1" applyFont="1" applyFill="1" applyBorder="1" applyAlignment="1">
      <alignment horizontal="center" vertical="center"/>
    </xf>
    <xf numFmtId="1" fontId="15" fillId="12" borderId="22" xfId="0" applyNumberFormat="1" applyFont="1" applyFill="1" applyBorder="1" applyAlignment="1">
      <alignment horizontal="center" vertical="center"/>
    </xf>
    <xf numFmtId="16" fontId="15" fillId="12" borderId="22" xfId="0" applyNumberFormat="1" applyFont="1" applyFill="1" applyBorder="1" applyAlignment="1">
      <alignment horizontal="center" vertical="center"/>
    </xf>
    <xf numFmtId="49" fontId="17" fillId="12" borderId="22" xfId="0" applyNumberFormat="1" applyFont="1" applyFill="1" applyBorder="1" applyAlignment="1">
      <alignment horizontal="center" vertical="center"/>
    </xf>
    <xf numFmtId="168" fontId="15" fillId="12" borderId="22" xfId="0" applyNumberFormat="1" applyFont="1" applyFill="1" applyBorder="1" applyAlignment="1">
      <alignment horizontal="center" vertical="center"/>
    </xf>
    <xf numFmtId="49" fontId="15" fillId="12" borderId="23"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169" fontId="16" fillId="11" borderId="22" xfId="0" applyNumberFormat="1" applyFont="1" applyFill="1" applyBorder="1" applyAlignment="1">
      <alignment horizontal="center" vertical="center"/>
    </xf>
    <xf numFmtId="49" fontId="10" fillId="11" borderId="13" xfId="0" applyNumberFormat="1" applyFont="1" applyFill="1" applyBorder="1" applyAlignment="1">
      <alignment horizontal="center" vertical="center"/>
    </xf>
    <xf numFmtId="168" fontId="10" fillId="11" borderId="13" xfId="0" applyNumberFormat="1" applyFont="1" applyFill="1" applyBorder="1" applyAlignment="1">
      <alignment horizontal="center" vertical="center"/>
    </xf>
    <xf numFmtId="0" fontId="10" fillId="11" borderId="13" xfId="0" applyFont="1" applyFill="1" applyBorder="1" applyAlignment="1">
      <alignment horizontal="center" vertical="center"/>
    </xf>
    <xf numFmtId="49" fontId="15" fillId="11" borderId="15" xfId="0" applyNumberFormat="1" applyFont="1" applyFill="1" applyBorder="1" applyAlignment="1">
      <alignment horizontal="center" vertical="center"/>
    </xf>
    <xf numFmtId="169" fontId="16" fillId="11" borderId="16" xfId="0" applyNumberFormat="1" applyFont="1" applyFill="1" applyBorder="1" applyAlignment="1">
      <alignment horizontal="center" vertical="center"/>
    </xf>
    <xf numFmtId="1" fontId="15" fillId="11" borderId="16" xfId="0" applyNumberFormat="1" applyFont="1" applyFill="1" applyBorder="1" applyAlignment="1">
      <alignment horizontal="center" vertical="center"/>
    </xf>
    <xf numFmtId="16" fontId="15" fillId="11" borderId="16" xfId="0" applyNumberFormat="1" applyFont="1" applyFill="1" applyBorder="1" applyAlignment="1">
      <alignment horizontal="center" vertical="center"/>
    </xf>
    <xf numFmtId="49" fontId="17" fillId="11" borderId="16" xfId="0" applyNumberFormat="1" applyFont="1" applyFill="1" applyBorder="1" applyAlignment="1">
      <alignment horizontal="center" vertical="center"/>
    </xf>
    <xf numFmtId="168" fontId="15" fillId="11" borderId="16" xfId="0" applyNumberFormat="1" applyFont="1" applyFill="1" applyBorder="1" applyAlignment="1">
      <alignment horizontal="center" vertical="center"/>
    </xf>
    <xf numFmtId="49" fontId="15" fillId="11" borderId="17" xfId="0" applyNumberFormat="1" applyFont="1" applyFill="1" applyBorder="1" applyAlignment="1">
      <alignment horizontal="center" vertical="center"/>
    </xf>
    <xf numFmtId="49" fontId="10" fillId="12" borderId="13" xfId="0" applyNumberFormat="1" applyFont="1" applyFill="1" applyBorder="1" applyAlignment="1">
      <alignment horizontal="center" vertical="center"/>
    </xf>
    <xf numFmtId="168" fontId="10" fillId="12" borderId="13" xfId="0" applyNumberFormat="1" applyFont="1" applyFill="1" applyBorder="1" applyAlignment="1">
      <alignment horizontal="center" vertical="center"/>
    </xf>
    <xf numFmtId="0" fontId="10" fillId="12" borderId="13" xfId="0" applyFont="1" applyFill="1" applyBorder="1" applyAlignment="1">
      <alignment horizontal="center" vertical="center"/>
    </xf>
    <xf numFmtId="49" fontId="15" fillId="12" borderId="15" xfId="0" applyNumberFormat="1" applyFont="1" applyFill="1" applyBorder="1" applyAlignment="1">
      <alignment horizontal="center" vertical="center"/>
    </xf>
    <xf numFmtId="169" fontId="16" fillId="12" borderId="16" xfId="0" applyNumberFormat="1" applyFont="1" applyFill="1" applyBorder="1" applyAlignment="1">
      <alignment horizontal="center" vertical="center"/>
    </xf>
    <xf numFmtId="1" fontId="15" fillId="12" borderId="16" xfId="0" applyNumberFormat="1" applyFont="1" applyFill="1" applyBorder="1" applyAlignment="1">
      <alignment horizontal="center" vertical="center"/>
    </xf>
    <xf numFmtId="16" fontId="15" fillId="12" borderId="16" xfId="0" applyNumberFormat="1" applyFont="1" applyFill="1" applyBorder="1" applyAlignment="1">
      <alignment horizontal="center" vertical="center"/>
    </xf>
    <xf numFmtId="49" fontId="17" fillId="12" borderId="16" xfId="0" applyNumberFormat="1" applyFont="1" applyFill="1" applyBorder="1" applyAlignment="1">
      <alignment horizontal="center" vertical="center"/>
    </xf>
    <xf numFmtId="168" fontId="15" fillId="12" borderId="16" xfId="0" applyNumberFormat="1" applyFont="1" applyFill="1" applyBorder="1" applyAlignment="1">
      <alignment horizontal="center" vertical="center"/>
    </xf>
    <xf numFmtId="49" fontId="15" fillId="12" borderId="17"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5" fillId="13" borderId="21" xfId="0" applyNumberFormat="1" applyFont="1" applyFill="1" applyBorder="1" applyAlignment="1">
      <alignment horizontal="center" vertical="center"/>
    </xf>
    <xf numFmtId="169" fontId="16" fillId="13" borderId="22" xfId="0" applyNumberFormat="1" applyFont="1" applyFill="1" applyBorder="1" applyAlignment="1">
      <alignment horizontal="center" vertical="center"/>
    </xf>
    <xf numFmtId="1" fontId="15" fillId="13" borderId="22" xfId="0" applyNumberFormat="1" applyFont="1" applyFill="1" applyBorder="1" applyAlignment="1">
      <alignment horizontal="center" vertical="center"/>
    </xf>
    <xf numFmtId="16" fontId="15" fillId="13" borderId="22" xfId="0" applyNumberFormat="1" applyFont="1" applyFill="1" applyBorder="1" applyAlignment="1">
      <alignment horizontal="center" vertical="center"/>
    </xf>
    <xf numFmtId="49" fontId="17" fillId="13" borderId="22" xfId="0" applyNumberFormat="1" applyFont="1" applyFill="1" applyBorder="1" applyAlignment="1">
      <alignment horizontal="center" vertical="center"/>
    </xf>
    <xf numFmtId="168" fontId="15" fillId="13" borderId="22" xfId="0" applyNumberFormat="1" applyFont="1" applyFill="1" applyBorder="1" applyAlignment="1">
      <alignment horizontal="center" vertical="center"/>
    </xf>
    <xf numFmtId="49" fontId="15" fillId="13" borderId="23" xfId="0" applyNumberFormat="1" applyFont="1" applyFill="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0" fontId="0" fillId="0" borderId="0" xfId="0" applyAlignment="1">
      <alignment horizontal="center" vertical="center"/>
    </xf>
    <xf numFmtId="0" fontId="22" fillId="14" borderId="24" xfId="0" applyFont="1" applyFill="1" applyBorder="1" applyAlignment="1">
      <alignment horizontal="center" vertical="center"/>
    </xf>
    <xf numFmtId="0" fontId="22" fillId="14" borderId="25" xfId="0" applyFont="1" applyFill="1" applyBorder="1" applyAlignment="1">
      <alignment horizontal="center" vertical="center"/>
    </xf>
    <xf numFmtId="0" fontId="22" fillId="14" borderId="26" xfId="0" applyFont="1" applyFill="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171" fontId="23" fillId="0" borderId="29" xfId="0" applyNumberFormat="1" applyFont="1" applyBorder="1" applyAlignment="1">
      <alignment horizontal="center" vertical="center"/>
    </xf>
    <xf numFmtId="0" fontId="23"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49" fontId="24" fillId="0" borderId="31" xfId="0" applyNumberFormat="1" applyFont="1" applyBorder="1" applyAlignment="1">
      <alignment horizontal="center" vertical="center"/>
    </xf>
    <xf numFmtId="0" fontId="24" fillId="0" borderId="32" xfId="0" applyFont="1" applyBorder="1" applyAlignment="1">
      <alignment horizontal="center" vertical="center"/>
    </xf>
    <xf numFmtId="172" fontId="23" fillId="0" borderId="27" xfId="0" applyNumberFormat="1" applyFont="1" applyBorder="1" applyAlignment="1">
      <alignment horizontal="center" vertical="center"/>
    </xf>
    <xf numFmtId="173" fontId="23" fillId="0" borderId="28" xfId="0" applyNumberFormat="1" applyFont="1" applyBorder="1" applyAlignment="1">
      <alignment horizontal="center" vertical="center"/>
    </xf>
    <xf numFmtId="172" fontId="23" fillId="0" borderId="30" xfId="0" applyNumberFormat="1"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173"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0" fontId="23" fillId="0" borderId="32" xfId="0" applyFont="1" applyBorder="1" applyAlignment="1">
      <alignment horizontal="center" vertical="center"/>
    </xf>
    <xf numFmtId="172" fontId="24" fillId="0" borderId="30" xfId="0" applyNumberFormat="1" applyFont="1" applyBorder="1" applyAlignment="1">
      <alignment horizontal="center" vertical="center"/>
    </xf>
    <xf numFmtId="173" fontId="24" fillId="0" borderId="31" xfId="0" applyNumberFormat="1" applyFont="1" applyBorder="1" applyAlignment="1">
      <alignment horizontal="center" vertical="center"/>
    </xf>
    <xf numFmtId="172" fontId="24" fillId="0" borderId="27" xfId="0" applyNumberFormat="1" applyFont="1" applyBorder="1" applyAlignment="1">
      <alignment horizontal="center" vertical="center"/>
    </xf>
    <xf numFmtId="0" fontId="24" fillId="0" borderId="28" xfId="0" applyFont="1" applyBorder="1" applyAlignment="1">
      <alignment horizontal="center" vertical="center"/>
    </xf>
    <xf numFmtId="49" fontId="24" fillId="0" borderId="28" xfId="0" applyNumberFormat="1" applyFont="1" applyBorder="1" applyAlignment="1">
      <alignment horizontal="center" vertical="center"/>
    </xf>
    <xf numFmtId="173" fontId="24" fillId="0" borderId="28" xfId="0" applyNumberFormat="1" applyFont="1" applyBorder="1" applyAlignment="1">
      <alignment horizontal="center" vertical="center"/>
    </xf>
    <xf numFmtId="1" fontId="24" fillId="0" borderId="28" xfId="0" applyNumberFormat="1" applyFont="1" applyBorder="1" applyAlignment="1">
      <alignment horizontal="center" vertical="center"/>
    </xf>
    <xf numFmtId="171" fontId="24" fillId="0" borderId="29" xfId="0" applyNumberFormat="1" applyFont="1" applyBorder="1" applyAlignment="1">
      <alignment horizontal="center" vertical="center"/>
    </xf>
    <xf numFmtId="0" fontId="24" fillId="0" borderId="29" xfId="0" applyFont="1" applyBorder="1" applyAlignment="1">
      <alignment horizontal="center" vertical="center"/>
    </xf>
    <xf numFmtId="1" fontId="24" fillId="0" borderId="31" xfId="0" applyNumberFormat="1" applyFont="1" applyBorder="1" applyAlignment="1">
      <alignment horizontal="center" vertical="center"/>
    </xf>
    <xf numFmtId="166" fontId="0" fillId="0" borderId="0" xfId="0" applyNumberFormat="1"/>
    <xf numFmtId="0" fontId="0" fillId="0" borderId="7" xfId="0" applyBorder="1"/>
    <xf numFmtId="0" fontId="0" fillId="0" borderId="12" xfId="0" applyBorder="1"/>
    <xf numFmtId="0" fontId="0" fillId="0" borderId="14" xfId="0" applyBorder="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7" fillId="4" borderId="2" xfId="0" applyFont="1" applyFill="1" applyBorder="1" applyAlignment="1">
      <alignment horizontal="center" vertical="center"/>
    </xf>
    <xf numFmtId="0" fontId="3" fillId="3" borderId="0" xfId="0" applyFont="1" applyFill="1" applyAlignment="1">
      <alignment horizontal="right" vertical="center"/>
    </xf>
    <xf numFmtId="0" fontId="4" fillId="0" borderId="0" xfId="0" applyFont="1" applyAlignment="1">
      <alignment horizontal="right" vertical="center" readingOrder="2"/>
    </xf>
    <xf numFmtId="0" fontId="20" fillId="0" borderId="7" xfId="0" applyFont="1" applyBorder="1"/>
    <xf numFmtId="167"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29" fillId="0" borderId="0" xfId="0" applyFont="1" applyAlignment="1">
      <alignment horizontal="center" vertical="center"/>
    </xf>
    <xf numFmtId="0" fontId="29" fillId="0" borderId="0" xfId="0" applyFont="1"/>
    <xf numFmtId="170" fontId="29" fillId="0" borderId="0" xfId="0" applyNumberFormat="1" applyFont="1" applyAlignment="1">
      <alignment horizontal="center" vertical="center"/>
    </xf>
    <xf numFmtId="15" fontId="29" fillId="0" borderId="0" xfId="0" applyNumberFormat="1" applyFont="1" applyAlignment="1">
      <alignment horizontal="center" vertical="center"/>
    </xf>
    <xf numFmtId="49" fontId="29" fillId="0" borderId="0" xfId="0" applyNumberFormat="1" applyFont="1" applyAlignment="1">
      <alignment horizontal="center" vertical="center"/>
    </xf>
    <xf numFmtId="168" fontId="29" fillId="0" borderId="0" xfId="0" applyNumberFormat="1" applyFont="1" applyAlignment="1">
      <alignment horizontal="center" vertical="center"/>
    </xf>
    <xf numFmtId="169" fontId="29" fillId="0" borderId="0" xfId="0" applyNumberFormat="1" applyFont="1" applyAlignment="1">
      <alignment horizontal="center" vertical="center"/>
    </xf>
    <xf numFmtId="1" fontId="29" fillId="0" borderId="0" xfId="0" applyNumberFormat="1" applyFont="1" applyAlignment="1">
      <alignment horizontal="center" vertical="center"/>
    </xf>
    <xf numFmtId="16" fontId="29" fillId="0" borderId="0" xfId="0" applyNumberFormat="1" applyFont="1" applyAlignment="1">
      <alignment horizontal="center" vertical="center"/>
    </xf>
    <xf numFmtId="0" fontId="30" fillId="15" borderId="0" xfId="0" applyFont="1" applyFill="1" applyAlignment="1">
      <alignment horizontal="center" vertical="center"/>
    </xf>
    <xf numFmtId="15" fontId="30" fillId="15" borderId="0" xfId="0" applyNumberFormat="1" applyFont="1" applyFill="1" applyAlignment="1">
      <alignment horizontal="center" vertical="center"/>
    </xf>
    <xf numFmtId="169" fontId="30" fillId="15" borderId="0" xfId="0" applyNumberFormat="1" applyFont="1" applyFill="1" applyAlignment="1">
      <alignment horizontal="center" vertical="center"/>
    </xf>
    <xf numFmtId="1" fontId="30" fillId="15" borderId="0" xfId="0" applyNumberFormat="1" applyFont="1" applyFill="1" applyAlignment="1">
      <alignment horizontal="center" vertical="center"/>
    </xf>
    <xf numFmtId="0" fontId="30" fillId="15" borderId="0" xfId="0" applyNumberFormat="1" applyFont="1" applyFill="1" applyAlignment="1">
      <alignment horizontal="center" vertical="center"/>
    </xf>
    <xf numFmtId="0" fontId="18" fillId="9" borderId="33" xfId="0" applyFont="1" applyFill="1" applyBorder="1" applyAlignment="1">
      <alignment horizontal="center" vertical="center"/>
    </xf>
    <xf numFmtId="0" fontId="18" fillId="9" borderId="34" xfId="0" applyFont="1" applyFill="1" applyBorder="1" applyAlignment="1">
      <alignment horizontal="center" vertical="center"/>
    </xf>
    <xf numFmtId="0" fontId="18" fillId="9" borderId="35" xfId="0" applyFont="1" applyFill="1" applyBorder="1" applyAlignment="1">
      <alignment horizontal="center" vertical="center"/>
    </xf>
  </cellXfs>
  <cellStyles count="1">
    <cellStyle name="Normal" xfId="0" builtinId="0"/>
  </cellStyles>
  <dxfs count="7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11" totalsRowCount="1" headerRowDxfId="74" dataDxfId="37" totalsRowDxfId="0">
  <tableColumns count="36">
    <tableColumn id="1" xr3:uid="{00000000-0010-0000-0000-000001000000}" name="Day" totalsRowLabel="TOTAL" dataDxfId="73" totalsRowDxfId="36"/>
    <tableColumn id="2" xr3:uid="{00000000-0010-0000-0000-000002000000}" name="Flt Dt" dataDxfId="72" totalsRowDxfId="35"/>
    <tableColumn id="3" xr3:uid="{00000000-0010-0000-0000-000003000000}" name="Flt" totalsRowFunction="count" dataDxfId="71" totalsRowDxfId="34"/>
    <tableColumn id="4" xr3:uid="{00000000-0010-0000-0000-000004000000}" name="DEP" dataDxfId="70" totalsRowDxfId="33"/>
    <tableColumn id="5" xr3:uid="{00000000-0010-0000-0000-000005000000}" name="Brd-Off" totalsRowFunction="count" dataDxfId="69" totalsRowDxfId="32"/>
    <tableColumn id="6" xr3:uid="{00000000-0010-0000-0000-000006000000}" name="Eqp" dataDxfId="68" totalsRowDxfId="31"/>
    <tableColumn id="7" xr3:uid="{00000000-0010-0000-0000-000007000000}" name="LF%" totalsRowFunction="average" dataDxfId="67" totalsRowDxfId="30"/>
    <tableColumn id="8" xr3:uid="{00000000-0010-0000-0000-000008000000}" name="CAP" totalsRowFunction="sum" dataDxfId="66" totalsRowDxfId="29"/>
    <tableColumn id="9" xr3:uid="{00000000-0010-0000-0000-000009000000}" name="BKG(Y)" totalsRowFunction="sum" dataDxfId="65" totalsRowDxfId="28"/>
    <tableColumn id="10" xr3:uid="{00000000-0010-0000-0000-00000A000000}" name="GRP(Y)" totalsRowFunction="sum" dataDxfId="64" totalsRowDxfId="27"/>
    <tableColumn id="11" xr3:uid="{00000000-0010-0000-0000-00000B000000}" name="FLT ST" dataDxfId="63" totalsRowDxfId="26"/>
    <tableColumn id="12" xr3:uid="{00000000-0010-0000-0000-00000C000000}" name="LST-SOLD" dataDxfId="62" totalsRowDxfId="25"/>
    <tableColumn id="13" xr3:uid="{00000000-0010-0000-0000-00000D000000}" name="TO-DAY" totalsRowFunction="sum" dataDxfId="61" totalsRowDxfId="24"/>
    <tableColumn id="14" xr3:uid="{00000000-0010-0000-0000-00000E000000}" name="Y-DAY" totalsRowFunction="sum" dataDxfId="60" totalsRowDxfId="23"/>
    <tableColumn id="15" xr3:uid="{00000000-0010-0000-0000-00000F000000}" name="WEEKLY" totalsRowFunction="sum" dataDxfId="59" totalsRowDxfId="22"/>
    <tableColumn id="16" xr3:uid="{00000000-0010-0000-0000-000010000000}" name="LOWEST AVAIL" dataDxfId="58" totalsRowDxfId="21"/>
    <tableColumn id="17" xr3:uid="{00000000-0010-0000-0000-000011000000}" name="Y" totalsRowFunction="sum" dataDxfId="57" totalsRowDxfId="20"/>
    <tableColumn id="18" xr3:uid="{00000000-0010-0000-0000-000012000000}" name="B" totalsRowFunction="sum" dataDxfId="56" totalsRowDxfId="19"/>
    <tableColumn id="19" xr3:uid="{00000000-0010-0000-0000-000013000000}" name="M" totalsRowFunction="sum" dataDxfId="55" totalsRowDxfId="18"/>
    <tableColumn id="20" xr3:uid="{00000000-0010-0000-0000-000014000000}" name="H" totalsRowFunction="sum" dataDxfId="54" totalsRowDxfId="17"/>
    <tableColumn id="21" xr3:uid="{00000000-0010-0000-0000-000015000000}" name="Q" totalsRowFunction="sum" dataDxfId="53" totalsRowDxfId="16"/>
    <tableColumn id="22" xr3:uid="{00000000-0010-0000-0000-000016000000}" name="K" totalsRowFunction="sum" dataDxfId="52" totalsRowDxfId="15"/>
    <tableColumn id="23" xr3:uid="{00000000-0010-0000-0000-000017000000}" name="V" totalsRowFunction="sum" dataDxfId="51" totalsRowDxfId="14"/>
    <tableColumn id="24" xr3:uid="{00000000-0010-0000-0000-000018000000}" name="L" totalsRowFunction="sum" dataDxfId="50" totalsRowDxfId="13"/>
    <tableColumn id="25" xr3:uid="{00000000-0010-0000-0000-000019000000}" name="G" totalsRowFunction="sum" dataDxfId="49" totalsRowDxfId="12"/>
    <tableColumn id="26" xr3:uid="{00000000-0010-0000-0000-00001A000000}" name="S" totalsRowFunction="sum" dataDxfId="48" totalsRowDxfId="11"/>
    <tableColumn id="27" xr3:uid="{00000000-0010-0000-0000-00001B000000}" name="W" totalsRowFunction="sum" dataDxfId="47" totalsRowDxfId="10"/>
    <tableColumn id="28" xr3:uid="{00000000-0010-0000-0000-00001C000000}" name="T" totalsRowFunction="sum" dataDxfId="46" totalsRowDxfId="9"/>
    <tableColumn id="29" xr3:uid="{00000000-0010-0000-0000-00001D000000}" name="X" totalsRowFunction="sum" dataDxfId="45" totalsRowDxfId="8"/>
    <tableColumn id="30" xr3:uid="{00000000-0010-0000-0000-00001E000000}" name="U" totalsRowFunction="sum" dataDxfId="44" totalsRowDxfId="7"/>
    <tableColumn id="31" xr3:uid="{00000000-0010-0000-0000-00001F000000}" name="O" totalsRowFunction="sum" dataDxfId="43" totalsRowDxfId="6"/>
    <tableColumn id="32" xr3:uid="{00000000-0010-0000-0000-000020000000}" name="I" totalsRowFunction="sum" dataDxfId="42" totalsRowDxfId="5"/>
    <tableColumn id="33" xr3:uid="{00000000-0010-0000-0000-000021000000}" name="E" totalsRowFunction="sum" dataDxfId="41" totalsRowDxfId="4"/>
    <tableColumn id="34" xr3:uid="{00000000-0010-0000-0000-000022000000}" name="A" totalsRowFunction="sum" dataDxfId="40" totalsRowDxfId="3"/>
    <tableColumn id="35" xr3:uid="{00000000-0010-0000-0000-000023000000}" name="P" totalsRowFunction="sum" dataDxfId="39" totalsRowDxfId="2"/>
    <tableColumn id="36" xr3:uid="{00000000-0010-0000-0000-000024000000}" name="N" totalsRowFunction="count" dataDxfId="38" totalsRow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184" totalsRowShown="0">
  <autoFilter ref="A1:H184"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76" totalsRowShown="0">
  <autoFilter ref="A1:H76"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SA_TO_EGY_ALL_ROUTES" displayName="KSA_TO_EGY_ALL_ROUTES" ref="A1:AJ10" totalsRowShown="0">
  <tableColumns count="36">
    <tableColumn id="1" xr3:uid="{00000000-0010-0000-0300-000001000000}" name="Day" totalsRowLabel="TOTAL"/>
    <tableColumn id="2" xr3:uid="{00000000-0010-0000-0300-000002000000}" name="Flt Dt"/>
    <tableColumn id="3" xr3:uid="{00000000-0010-0000-0300-000003000000}" name="Flt" totalsRowFunction="count"/>
    <tableColumn id="4" xr3:uid="{00000000-0010-0000-0300-000004000000}" name="DEP"/>
    <tableColumn id="5" xr3:uid="{00000000-0010-0000-0300-000005000000}" name="Brd-Off" totalsRowFunction="count"/>
    <tableColumn id="6" xr3:uid="{00000000-0010-0000-0300-000006000000}" name="Eqp"/>
    <tableColumn id="7" xr3:uid="{00000000-0010-0000-0300-000007000000}" name="LF%" totalsRowFunction="average"/>
    <tableColumn id="8" xr3:uid="{00000000-0010-0000-0300-000008000000}" name="CAP" totalsRowFunction="sum"/>
    <tableColumn id="9" xr3:uid="{00000000-0010-0000-0300-000009000000}" name="BKG(Y)" totalsRowFunction="sum"/>
    <tableColumn id="10" xr3:uid="{00000000-0010-0000-0300-00000A000000}" name="GRP(Y)" totalsRowFunction="sum"/>
    <tableColumn id="11" xr3:uid="{00000000-0010-0000-0300-00000B000000}" name="FLT ST"/>
    <tableColumn id="12" xr3:uid="{00000000-0010-0000-0300-00000C000000}" name="LST-SOLD"/>
    <tableColumn id="13" xr3:uid="{00000000-0010-0000-0300-00000D000000}" name="TO-DAY" totalsRowFunction="sum"/>
    <tableColumn id="14" xr3:uid="{00000000-0010-0000-0300-00000E000000}" name="Y-DAY" totalsRowFunction="sum"/>
    <tableColumn id="15" xr3:uid="{00000000-0010-0000-0300-00000F000000}" name="WEEKLY" totalsRowFunction="sum"/>
    <tableColumn id="16" xr3:uid="{00000000-0010-0000-0300-000010000000}" name="LOWEST AVAIL" totalsRowFunction="sum"/>
    <tableColumn id="17" xr3:uid="{00000000-0010-0000-0300-000011000000}" name="Y" totalsRowFunction="sum"/>
    <tableColumn id="18" xr3:uid="{00000000-0010-0000-0300-000012000000}" name="B" totalsRowFunction="sum"/>
    <tableColumn id="19" xr3:uid="{00000000-0010-0000-0300-000013000000}" name="M" totalsRowFunction="sum"/>
    <tableColumn id="20" xr3:uid="{00000000-0010-0000-0300-000014000000}" name="H" totalsRowFunction="sum"/>
    <tableColumn id="21" xr3:uid="{00000000-0010-0000-0300-000015000000}" name="Q" totalsRowFunction="sum"/>
    <tableColumn id="22" xr3:uid="{00000000-0010-0000-0300-000016000000}" name="K" totalsRowFunction="sum"/>
    <tableColumn id="23" xr3:uid="{00000000-0010-0000-0300-000017000000}" name="V" totalsRowFunction="sum"/>
    <tableColumn id="24" xr3:uid="{00000000-0010-0000-0300-000018000000}" name="L" totalsRowFunction="sum"/>
    <tableColumn id="25" xr3:uid="{00000000-0010-0000-0300-000019000000}" name="G" totalsRowFunction="sum"/>
    <tableColumn id="26" xr3:uid="{00000000-0010-0000-0300-00001A000000}" name="S" totalsRowFunction="sum"/>
    <tableColumn id="27" xr3:uid="{00000000-0010-0000-0300-00001B000000}" name="W" totalsRowFunction="sum"/>
    <tableColumn id="28" xr3:uid="{00000000-0010-0000-0300-00001C000000}" name="T" totalsRowFunction="sum"/>
    <tableColumn id="29" xr3:uid="{00000000-0010-0000-0300-00001D000000}" name="X" totalsRowFunction="sum"/>
    <tableColumn id="30" xr3:uid="{00000000-0010-0000-0300-00001E000000}" name="U" totalsRowFunction="sum"/>
    <tableColumn id="31" xr3:uid="{00000000-0010-0000-0300-00001F000000}" name="O" totalsRowFunction="sum"/>
    <tableColumn id="32" xr3:uid="{00000000-0010-0000-0300-000020000000}" name="I" totalsRowFunction="sum"/>
    <tableColumn id="33" xr3:uid="{00000000-0010-0000-0300-000021000000}" name="E" totalsRowFunction="sum"/>
    <tableColumn id="34" xr3:uid="{00000000-0010-0000-0300-000022000000}" name="A" totalsRowFunction="sum"/>
    <tableColumn id="35" xr3:uid="{00000000-0010-0000-0300-000023000000}" name="P" totalsRowFunction="sum"/>
    <tableColumn id="36" xr3:uid="{00000000-0010-0000-03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18"/>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44140625" bestFit="1" customWidth="1"/>
  </cols>
  <sheetData>
    <row r="1" spans="1:92" ht="28.8" customHeight="1" x14ac:dyDescent="0.3">
      <c r="A1" s="151" t="s">
        <v>0</v>
      </c>
      <c r="B1" s="150"/>
      <c r="C1" s="150"/>
      <c r="D1" s="150"/>
      <c r="E1" s="150"/>
      <c r="F1" s="1" t="s">
        <v>1</v>
      </c>
      <c r="G1" s="2" t="s">
        <v>2</v>
      </c>
      <c r="H1" s="149">
        <v>45981</v>
      </c>
      <c r="I1" s="150"/>
      <c r="J1" s="150"/>
      <c r="K1" s="150"/>
      <c r="L1" s="150"/>
      <c r="M1" s="1" t="s">
        <v>3</v>
      </c>
      <c r="N1" s="159">
        <v>45991</v>
      </c>
      <c r="O1" s="150"/>
      <c r="P1" s="150"/>
      <c r="Q1" s="150"/>
      <c r="R1" s="150"/>
      <c r="CA1" s="3"/>
      <c r="CB1" s="3"/>
      <c r="CC1" s="3"/>
      <c r="CD1" s="3"/>
      <c r="CE1" s="3"/>
      <c r="CF1" s="3"/>
      <c r="CG1" s="3"/>
      <c r="CH1" s="3"/>
      <c r="CI1" s="3"/>
      <c r="CJ1" s="3"/>
      <c r="CK1" s="3"/>
      <c r="CL1" s="3"/>
      <c r="CM1" s="3"/>
      <c r="CN1" s="3"/>
    </row>
    <row r="2" spans="1:92" ht="23.4" customHeight="1" x14ac:dyDescent="0.3">
      <c r="A2" s="153" t="s">
        <v>4</v>
      </c>
      <c r="B2" s="150"/>
      <c r="C2" s="150"/>
      <c r="D2" s="150"/>
      <c r="E2" s="150"/>
      <c r="F2" s="150"/>
      <c r="G2" s="156">
        <v>45980.58319040318</v>
      </c>
      <c r="H2" s="150"/>
      <c r="I2" s="150"/>
      <c r="J2" s="150"/>
      <c r="K2" s="160">
        <v>45980.583190403588</v>
      </c>
      <c r="L2" s="150"/>
      <c r="M2" s="150"/>
      <c r="N2" s="150"/>
      <c r="O2" s="150"/>
      <c r="P2" s="150"/>
      <c r="Q2" s="150"/>
      <c r="R2" s="150"/>
      <c r="CA2" s="3"/>
      <c r="CB2" s="3"/>
      <c r="CC2" s="3"/>
      <c r="CD2" s="3"/>
      <c r="CE2" s="3"/>
      <c r="CF2" s="3"/>
      <c r="CG2" s="3"/>
      <c r="CH2" s="3"/>
      <c r="CI2" s="3"/>
      <c r="CJ2" s="3"/>
      <c r="CK2" s="3"/>
      <c r="CL2" s="3"/>
      <c r="CM2" s="3"/>
      <c r="CN2" s="3"/>
    </row>
    <row r="3" spans="1:92" ht="24" customHeight="1" x14ac:dyDescent="0.3">
      <c r="A3" s="154" t="s">
        <v>5</v>
      </c>
      <c r="B3" s="150"/>
      <c r="C3" s="150"/>
      <c r="D3" s="150"/>
      <c r="E3" s="150"/>
      <c r="F3" s="150"/>
      <c r="G3" s="150"/>
      <c r="H3" s="150"/>
      <c r="I3" s="150"/>
      <c r="J3" s="150"/>
      <c r="K3" s="150"/>
      <c r="L3" s="150"/>
      <c r="M3" s="150"/>
      <c r="N3" s="150"/>
      <c r="O3" s="150"/>
      <c r="P3" s="150"/>
      <c r="Q3" s="150"/>
      <c r="R3" s="150"/>
      <c r="CA3" s="3"/>
      <c r="CB3" s="3"/>
      <c r="CC3" s="3"/>
      <c r="CD3" s="3"/>
      <c r="CE3" s="3"/>
      <c r="CF3" s="3"/>
      <c r="CG3" s="3"/>
      <c r="CH3" s="3"/>
      <c r="CI3" s="3"/>
      <c r="CJ3" s="3"/>
      <c r="CK3" s="3"/>
      <c r="CL3" s="3"/>
      <c r="CM3" s="3"/>
      <c r="CN3" s="3"/>
    </row>
    <row r="4" spans="1:92" ht="22.05" customHeight="1" x14ac:dyDescent="0.3">
      <c r="A4" s="157" t="s">
        <v>6</v>
      </c>
      <c r="B4" s="147"/>
      <c r="C4" s="147"/>
      <c r="D4" s="147"/>
      <c r="E4" s="147"/>
      <c r="F4" s="148"/>
      <c r="G4" s="4">
        <v>45981</v>
      </c>
      <c r="H4" s="152" t="s">
        <v>7</v>
      </c>
      <c r="I4" s="147"/>
      <c r="J4" s="147"/>
      <c r="K4" s="147"/>
      <c r="L4" s="147"/>
      <c r="M4" s="147"/>
      <c r="N4" s="147"/>
      <c r="O4" s="147"/>
      <c r="P4" s="147"/>
      <c r="Q4" s="147"/>
      <c r="R4" s="148"/>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0.35416666666666669</v>
      </c>
      <c r="D6" s="8" t="s">
        <v>28</v>
      </c>
      <c r="E6" s="8" t="s">
        <v>29</v>
      </c>
      <c r="F6" s="8" t="s">
        <v>30</v>
      </c>
      <c r="G6" s="143"/>
      <c r="H6" s="10"/>
      <c r="I6" s="11"/>
      <c r="J6" s="11"/>
      <c r="K6" s="11"/>
      <c r="L6" s="11"/>
      <c r="M6" s="11"/>
      <c r="N6" s="11"/>
      <c r="O6" s="12"/>
      <c r="P6" s="11"/>
      <c r="Q6" s="13"/>
      <c r="R6" s="14"/>
    </row>
    <row r="7" spans="1:92" ht="15" customHeight="1" x14ac:dyDescent="0.3">
      <c r="A7" s="15" t="s">
        <v>26</v>
      </c>
      <c r="B7" s="15" t="s">
        <v>27</v>
      </c>
      <c r="C7" s="16">
        <v>0.35416666666666669</v>
      </c>
      <c r="D7" s="15" t="s">
        <v>31</v>
      </c>
      <c r="E7" s="15" t="s">
        <v>32</v>
      </c>
      <c r="F7" s="15" t="s">
        <v>33</v>
      </c>
      <c r="G7" s="144"/>
      <c r="H7" s="10"/>
      <c r="I7" s="11"/>
      <c r="J7" s="11"/>
      <c r="K7" s="11"/>
      <c r="L7" s="11"/>
      <c r="M7" s="11"/>
      <c r="N7" s="11"/>
      <c r="O7" s="12"/>
      <c r="P7" s="11"/>
      <c r="Q7" s="13"/>
      <c r="R7" s="14"/>
    </row>
    <row r="8" spans="1:92" ht="15" customHeight="1" x14ac:dyDescent="0.3">
      <c r="A8" s="15" t="s">
        <v>26</v>
      </c>
      <c r="B8" s="15" t="s">
        <v>27</v>
      </c>
      <c r="C8" s="16">
        <v>0.35416666666666669</v>
      </c>
      <c r="D8" s="15" t="s">
        <v>34</v>
      </c>
      <c r="E8" s="15" t="s">
        <v>32</v>
      </c>
      <c r="F8" s="15" t="s">
        <v>35</v>
      </c>
      <c r="G8" s="144"/>
      <c r="H8" s="10"/>
      <c r="I8" s="11"/>
      <c r="J8" s="11"/>
      <c r="K8" s="11"/>
      <c r="L8" s="11"/>
      <c r="M8" s="11"/>
      <c r="N8" s="11"/>
      <c r="O8" s="12"/>
      <c r="P8" s="11"/>
      <c r="Q8" s="13"/>
      <c r="R8" s="14"/>
    </row>
    <row r="9" spans="1:92" ht="15" customHeight="1" x14ac:dyDescent="0.3">
      <c r="A9" s="17" t="s">
        <v>26</v>
      </c>
      <c r="B9" s="17" t="s">
        <v>36</v>
      </c>
      <c r="C9" s="18">
        <v>0.75694444444444453</v>
      </c>
      <c r="D9" s="17" t="s">
        <v>28</v>
      </c>
      <c r="E9" s="17" t="s">
        <v>37</v>
      </c>
      <c r="F9" s="17" t="s">
        <v>38</v>
      </c>
      <c r="G9" s="144"/>
      <c r="H9" s="10"/>
      <c r="I9" s="11"/>
      <c r="J9" s="11"/>
      <c r="K9" s="11"/>
      <c r="L9" s="11"/>
      <c r="M9" s="11"/>
      <c r="N9" s="11"/>
      <c r="O9" s="12"/>
      <c r="P9" s="11"/>
      <c r="Q9" s="13"/>
      <c r="R9" s="14"/>
    </row>
    <row r="10" spans="1:92" ht="15" customHeight="1" x14ac:dyDescent="0.3">
      <c r="A10" s="15" t="s">
        <v>26</v>
      </c>
      <c r="B10" s="15" t="s">
        <v>36</v>
      </c>
      <c r="C10" s="16">
        <v>0.75694444444444453</v>
      </c>
      <c r="D10" s="15" t="s">
        <v>31</v>
      </c>
      <c r="E10" s="15" t="s">
        <v>32</v>
      </c>
      <c r="F10" s="15" t="s">
        <v>39</v>
      </c>
      <c r="G10" s="144"/>
      <c r="H10" s="10"/>
      <c r="I10" s="11"/>
      <c r="J10" s="11"/>
      <c r="K10" s="11"/>
      <c r="L10" s="11"/>
      <c r="M10" s="11"/>
      <c r="N10" s="11"/>
      <c r="O10" s="12"/>
      <c r="P10" s="11"/>
      <c r="Q10" s="13"/>
      <c r="R10" s="14"/>
    </row>
    <row r="11" spans="1:92" ht="15" customHeight="1" x14ac:dyDescent="0.3">
      <c r="A11" s="15" t="s">
        <v>26</v>
      </c>
      <c r="B11" s="15" t="s">
        <v>36</v>
      </c>
      <c r="C11" s="16">
        <v>0.75694444444444453</v>
      </c>
      <c r="D11" s="15" t="s">
        <v>34</v>
      </c>
      <c r="E11" s="15" t="s">
        <v>32</v>
      </c>
      <c r="F11" s="15" t="s">
        <v>40</v>
      </c>
      <c r="G11" s="144"/>
      <c r="H11" s="10"/>
      <c r="I11" s="11"/>
      <c r="J11" s="11"/>
      <c r="K11" s="11"/>
      <c r="L11" s="11"/>
      <c r="M11" s="11"/>
      <c r="N11" s="11"/>
      <c r="O11" s="12"/>
      <c r="P11" s="11"/>
      <c r="Q11" s="13"/>
      <c r="R11" s="14"/>
    </row>
    <row r="12" spans="1:92" ht="15" customHeight="1" x14ac:dyDescent="0.3">
      <c r="A12" s="19" t="s">
        <v>41</v>
      </c>
      <c r="B12" s="19" t="s">
        <v>42</v>
      </c>
      <c r="C12" s="20">
        <v>0.4201388888888889</v>
      </c>
      <c r="D12" s="19" t="s">
        <v>43</v>
      </c>
      <c r="E12" s="19" t="s">
        <v>44</v>
      </c>
      <c r="F12" s="19" t="s">
        <v>45</v>
      </c>
      <c r="G12" s="144"/>
      <c r="H12" s="10"/>
      <c r="I12" s="11"/>
      <c r="J12" s="11"/>
      <c r="K12" s="11"/>
      <c r="L12" s="11"/>
      <c r="M12" s="11"/>
      <c r="N12" s="11"/>
      <c r="O12" s="12"/>
      <c r="P12" s="11"/>
      <c r="Q12" s="13"/>
      <c r="R12" s="14"/>
    </row>
    <row r="13" spans="1:92" ht="15" customHeight="1" x14ac:dyDescent="0.3">
      <c r="A13" s="15" t="s">
        <v>41</v>
      </c>
      <c r="B13" s="15" t="s">
        <v>42</v>
      </c>
      <c r="C13" s="16">
        <v>0.4201388888888889</v>
      </c>
      <c r="D13" s="15" t="s">
        <v>46</v>
      </c>
      <c r="E13" s="15" t="s">
        <v>47</v>
      </c>
      <c r="F13" s="15" t="s">
        <v>48</v>
      </c>
      <c r="G13" s="144"/>
      <c r="H13" s="10"/>
      <c r="I13" s="11"/>
      <c r="J13" s="11"/>
      <c r="K13" s="11"/>
      <c r="L13" s="11"/>
      <c r="M13" s="11"/>
      <c r="N13" s="11"/>
      <c r="O13" s="12"/>
      <c r="P13" s="11"/>
      <c r="Q13" s="13"/>
      <c r="R13" s="14"/>
    </row>
    <row r="14" spans="1:92" ht="15" customHeight="1" x14ac:dyDescent="0.3">
      <c r="A14" s="15" t="s">
        <v>41</v>
      </c>
      <c r="B14" s="15" t="s">
        <v>42</v>
      </c>
      <c r="C14" s="16">
        <v>0.4201388888888889</v>
      </c>
      <c r="D14" s="15" t="s">
        <v>49</v>
      </c>
      <c r="E14" s="15" t="s">
        <v>47</v>
      </c>
      <c r="F14" s="15" t="s">
        <v>50</v>
      </c>
      <c r="G14" s="144"/>
      <c r="H14" s="10"/>
      <c r="I14" s="11"/>
      <c r="J14" s="11"/>
      <c r="K14" s="11"/>
      <c r="L14" s="11"/>
      <c r="M14" s="11"/>
      <c r="N14" s="11"/>
      <c r="O14" s="12"/>
      <c r="P14" s="11"/>
      <c r="Q14" s="13"/>
      <c r="R14" s="14"/>
    </row>
    <row r="15" spans="1:92" ht="15" customHeight="1" x14ac:dyDescent="0.3">
      <c r="A15" s="19" t="s">
        <v>51</v>
      </c>
      <c r="B15" s="19" t="s">
        <v>52</v>
      </c>
      <c r="C15" s="20">
        <v>0.1076388888888889</v>
      </c>
      <c r="D15" s="19" t="s">
        <v>53</v>
      </c>
      <c r="E15" s="19" t="s">
        <v>54</v>
      </c>
      <c r="F15" s="19" t="s">
        <v>55</v>
      </c>
      <c r="G15" s="144"/>
      <c r="H15" s="10"/>
      <c r="I15" s="11"/>
      <c r="J15" s="11"/>
      <c r="K15" s="11"/>
      <c r="L15" s="11"/>
      <c r="M15" s="11"/>
      <c r="N15" s="11"/>
      <c r="O15" s="12"/>
      <c r="P15" s="11"/>
      <c r="Q15" s="13"/>
      <c r="R15" s="14"/>
    </row>
    <row r="16" spans="1:92" ht="15" customHeight="1" x14ac:dyDescent="0.3">
      <c r="A16" s="17" t="s">
        <v>51</v>
      </c>
      <c r="B16" s="17" t="s">
        <v>56</v>
      </c>
      <c r="C16" s="18">
        <v>0.22222222222222221</v>
      </c>
      <c r="D16" s="17" t="s">
        <v>53</v>
      </c>
      <c r="E16" s="17" t="s">
        <v>57</v>
      </c>
      <c r="F16" s="17" t="s">
        <v>55</v>
      </c>
      <c r="G16" s="144"/>
      <c r="H16" s="10"/>
      <c r="I16" s="11"/>
      <c r="J16" s="11"/>
      <c r="K16" s="11"/>
      <c r="L16" s="11"/>
      <c r="M16" s="11"/>
      <c r="N16" s="11"/>
      <c r="O16" s="12"/>
      <c r="P16" s="11"/>
      <c r="Q16" s="13"/>
      <c r="R16" s="14"/>
    </row>
    <row r="17" spans="1:18" ht="15" customHeight="1" x14ac:dyDescent="0.3">
      <c r="A17" s="17" t="s">
        <v>51</v>
      </c>
      <c r="B17" s="17" t="s">
        <v>58</v>
      </c>
      <c r="C17" s="18">
        <v>0.44444444444444442</v>
      </c>
      <c r="D17" s="17" t="s">
        <v>53</v>
      </c>
      <c r="E17" s="17" t="s">
        <v>57</v>
      </c>
      <c r="F17" s="17" t="s">
        <v>55</v>
      </c>
      <c r="G17" s="144"/>
      <c r="H17" s="10"/>
      <c r="I17" s="11"/>
      <c r="J17" s="11"/>
      <c r="K17" s="11"/>
      <c r="L17" s="11"/>
      <c r="M17" s="11"/>
      <c r="N17" s="11"/>
      <c r="O17" s="12"/>
      <c r="P17" s="11"/>
      <c r="Q17" s="13"/>
      <c r="R17" s="14"/>
    </row>
    <row r="18" spans="1:18" ht="15" customHeight="1" x14ac:dyDescent="0.3">
      <c r="A18" s="17" t="s">
        <v>51</v>
      </c>
      <c r="B18" s="17" t="s">
        <v>59</v>
      </c>
      <c r="C18" s="18">
        <v>0.85416666666666663</v>
      </c>
      <c r="D18" s="17" t="s">
        <v>53</v>
      </c>
      <c r="E18" s="17" t="s">
        <v>60</v>
      </c>
      <c r="F18" s="17" t="s">
        <v>61</v>
      </c>
      <c r="G18" s="144"/>
      <c r="H18" s="10"/>
      <c r="I18" s="11"/>
      <c r="J18" s="11"/>
      <c r="K18" s="11"/>
      <c r="L18" s="11"/>
      <c r="M18" s="11"/>
      <c r="N18" s="11"/>
      <c r="O18" s="12"/>
      <c r="P18" s="11"/>
      <c r="Q18" s="13"/>
      <c r="R18" s="14"/>
    </row>
    <row r="19" spans="1:18" ht="15" customHeight="1" x14ac:dyDescent="0.3">
      <c r="A19" s="17" t="s">
        <v>51</v>
      </c>
      <c r="B19" s="17" t="s">
        <v>62</v>
      </c>
      <c r="C19" s="18">
        <v>0.55208333333333337</v>
      </c>
      <c r="D19" s="17" t="s">
        <v>53</v>
      </c>
      <c r="E19" s="17" t="s">
        <v>57</v>
      </c>
      <c r="F19" s="17" t="s">
        <v>63</v>
      </c>
      <c r="G19" s="144"/>
      <c r="H19" s="10"/>
      <c r="I19" s="11"/>
      <c r="J19" s="11"/>
      <c r="K19" s="11"/>
      <c r="L19" s="11"/>
      <c r="M19" s="11"/>
      <c r="N19" s="11"/>
      <c r="O19" s="12"/>
      <c r="P19" s="11"/>
      <c r="Q19" s="13"/>
      <c r="R19" s="14"/>
    </row>
    <row r="20" spans="1:18" ht="15" customHeight="1" x14ac:dyDescent="0.3">
      <c r="A20" s="19" t="s">
        <v>64</v>
      </c>
      <c r="B20" s="19" t="s">
        <v>65</v>
      </c>
      <c r="C20" s="20">
        <v>0.60416666666666663</v>
      </c>
      <c r="D20" s="19" t="s">
        <v>66</v>
      </c>
      <c r="E20" s="19" t="s">
        <v>54</v>
      </c>
      <c r="F20" s="19" t="s">
        <v>67</v>
      </c>
      <c r="G20" s="144"/>
      <c r="H20" s="10"/>
      <c r="I20" s="11"/>
      <c r="J20" s="11"/>
      <c r="K20" s="11"/>
      <c r="L20" s="11"/>
      <c r="M20" s="11"/>
      <c r="N20" s="11"/>
      <c r="O20" s="12"/>
      <c r="P20" s="11"/>
      <c r="Q20" s="13"/>
      <c r="R20" s="14"/>
    </row>
    <row r="21" spans="1:18" ht="15" customHeight="1" x14ac:dyDescent="0.3">
      <c r="A21" s="15" t="s">
        <v>64</v>
      </c>
      <c r="B21" s="15" t="s">
        <v>65</v>
      </c>
      <c r="C21" s="16">
        <v>0.60416666666666663</v>
      </c>
      <c r="D21" s="15" t="s">
        <v>68</v>
      </c>
      <c r="E21" s="15" t="s">
        <v>69</v>
      </c>
      <c r="F21" s="15" t="s">
        <v>70</v>
      </c>
      <c r="G21" s="144"/>
      <c r="H21" s="10"/>
      <c r="I21" s="11"/>
      <c r="J21" s="11"/>
      <c r="K21" s="11"/>
      <c r="L21" s="11"/>
      <c r="M21" s="11"/>
      <c r="N21" s="11"/>
      <c r="O21" s="12"/>
      <c r="P21" s="11"/>
      <c r="Q21" s="13"/>
      <c r="R21" s="14"/>
    </row>
    <row r="22" spans="1:18" ht="15" customHeight="1" x14ac:dyDescent="0.3">
      <c r="A22" s="17" t="s">
        <v>64</v>
      </c>
      <c r="B22" s="17" t="s">
        <v>71</v>
      </c>
      <c r="C22" s="18">
        <v>8.6805555555555566E-2</v>
      </c>
      <c r="D22" s="17" t="s">
        <v>66</v>
      </c>
      <c r="E22" s="17" t="s">
        <v>57</v>
      </c>
      <c r="F22" s="17" t="s">
        <v>67</v>
      </c>
      <c r="G22" s="144"/>
      <c r="H22" s="10"/>
      <c r="I22" s="11"/>
      <c r="J22" s="11"/>
      <c r="K22" s="11"/>
      <c r="L22" s="11"/>
      <c r="M22" s="11"/>
      <c r="N22" s="11"/>
      <c r="O22" s="12"/>
      <c r="P22" s="11"/>
      <c r="Q22" s="13"/>
      <c r="R22" s="14"/>
    </row>
    <row r="23" spans="1:18" ht="15" customHeight="1" x14ac:dyDescent="0.3">
      <c r="A23" s="15" t="s">
        <v>64</v>
      </c>
      <c r="B23" s="15" t="s">
        <v>71</v>
      </c>
      <c r="C23" s="16">
        <v>8.6805555555555566E-2</v>
      </c>
      <c r="D23" s="15" t="s">
        <v>68</v>
      </c>
      <c r="E23" s="15" t="s">
        <v>69</v>
      </c>
      <c r="F23" s="15" t="s">
        <v>70</v>
      </c>
      <c r="G23" s="144"/>
      <c r="H23" s="10"/>
      <c r="I23" s="11"/>
      <c r="J23" s="11"/>
      <c r="K23" s="11"/>
      <c r="L23" s="11"/>
      <c r="M23" s="11"/>
      <c r="N23" s="11"/>
      <c r="O23" s="12"/>
      <c r="P23" s="11"/>
      <c r="Q23" s="13"/>
      <c r="R23" s="14"/>
    </row>
    <row r="24" spans="1:18" ht="15" customHeight="1" x14ac:dyDescent="0.3">
      <c r="A24" s="17" t="s">
        <v>64</v>
      </c>
      <c r="B24" s="17" t="s">
        <v>72</v>
      </c>
      <c r="C24" s="18">
        <v>0.4201388888888889</v>
      </c>
      <c r="D24" s="17" t="s">
        <v>68</v>
      </c>
      <c r="E24" s="17" t="s">
        <v>73</v>
      </c>
      <c r="F24" s="17" t="s">
        <v>74</v>
      </c>
      <c r="G24" s="144"/>
      <c r="H24" s="10"/>
      <c r="I24" s="11"/>
      <c r="J24" s="11"/>
      <c r="K24" s="11"/>
      <c r="L24" s="11"/>
      <c r="M24" s="11"/>
      <c r="N24" s="11"/>
      <c r="O24" s="12"/>
      <c r="P24" s="11"/>
      <c r="Q24" s="13"/>
      <c r="R24" s="14"/>
    </row>
    <row r="25" spans="1:18" ht="15" customHeight="1" x14ac:dyDescent="0.3">
      <c r="A25" s="17" t="s">
        <v>64</v>
      </c>
      <c r="B25" s="17" t="s">
        <v>75</v>
      </c>
      <c r="C25" s="18">
        <v>0.79513888888888884</v>
      </c>
      <c r="D25" s="17" t="s">
        <v>66</v>
      </c>
      <c r="E25" s="17" t="s">
        <v>76</v>
      </c>
      <c r="F25" s="17" t="s">
        <v>77</v>
      </c>
      <c r="G25" s="144"/>
      <c r="H25" s="10"/>
      <c r="I25" s="11"/>
      <c r="J25" s="11"/>
      <c r="K25" s="11"/>
      <c r="L25" s="11"/>
      <c r="M25" s="11"/>
      <c r="N25" s="11"/>
      <c r="O25" s="12"/>
      <c r="P25" s="11"/>
      <c r="Q25" s="13"/>
      <c r="R25" s="14"/>
    </row>
    <row r="26" spans="1:18" ht="15" customHeight="1" x14ac:dyDescent="0.3">
      <c r="A26" s="15" t="s">
        <v>64</v>
      </c>
      <c r="B26" s="15" t="s">
        <v>75</v>
      </c>
      <c r="C26" s="16">
        <v>0.79513888888888884</v>
      </c>
      <c r="D26" s="15" t="s">
        <v>68</v>
      </c>
      <c r="E26" s="15" t="s">
        <v>78</v>
      </c>
      <c r="F26" s="15" t="s">
        <v>79</v>
      </c>
      <c r="G26" s="144"/>
      <c r="H26" s="10"/>
      <c r="I26" s="11"/>
      <c r="J26" s="11"/>
      <c r="K26" s="11"/>
      <c r="L26" s="11"/>
      <c r="M26" s="11"/>
      <c r="N26" s="11"/>
      <c r="O26" s="12"/>
      <c r="P26" s="11"/>
      <c r="Q26" s="13"/>
      <c r="R26" s="14"/>
    </row>
    <row r="27" spans="1:18" ht="15" customHeight="1" thickBot="1" x14ac:dyDescent="0.35">
      <c r="A27" s="21" t="s">
        <v>80</v>
      </c>
      <c r="B27" s="21" t="s">
        <v>81</v>
      </c>
      <c r="C27" s="22">
        <v>0.53819444444444442</v>
      </c>
      <c r="D27" s="21" t="s">
        <v>82</v>
      </c>
      <c r="E27" s="23"/>
      <c r="F27" s="21" t="s">
        <v>83</v>
      </c>
      <c r="G27" s="145"/>
      <c r="H27" s="24" t="s">
        <v>81</v>
      </c>
      <c r="I27" s="25">
        <v>1.0169999999999999</v>
      </c>
      <c r="J27" s="26">
        <v>179</v>
      </c>
      <c r="K27" s="27" t="s">
        <v>84</v>
      </c>
      <c r="L27" s="26">
        <v>6</v>
      </c>
      <c r="M27" s="26">
        <v>0</v>
      </c>
      <c r="N27" s="26">
        <v>0</v>
      </c>
      <c r="O27" s="28" t="s">
        <v>85</v>
      </c>
      <c r="P27" s="29">
        <v>0.53819444444444442</v>
      </c>
      <c r="Q27" s="26">
        <v>176</v>
      </c>
      <c r="R27" s="30" t="s">
        <v>86</v>
      </c>
    </row>
    <row r="28" spans="1:18" ht="17.399999999999999" customHeight="1" thickBot="1" x14ac:dyDescent="0.35">
      <c r="A28" s="175"/>
      <c r="B28" s="176"/>
      <c r="C28" s="176"/>
      <c r="D28" s="176"/>
      <c r="E28" s="176"/>
      <c r="F28" s="176"/>
      <c r="G28" s="176"/>
      <c r="H28" s="176"/>
      <c r="I28" s="176"/>
      <c r="J28" s="176"/>
      <c r="K28" s="176"/>
      <c r="L28" s="176"/>
      <c r="M28" s="176"/>
      <c r="N28" s="176"/>
      <c r="O28" s="176"/>
      <c r="P28" s="176"/>
      <c r="Q28" s="176"/>
      <c r="R28" s="177"/>
    </row>
    <row r="29" spans="1:18" ht="22.05" customHeight="1" thickTop="1" thickBot="1" x14ac:dyDescent="0.35">
      <c r="A29" s="158" t="s">
        <v>6</v>
      </c>
      <c r="B29" s="147"/>
      <c r="C29" s="147"/>
      <c r="D29" s="147"/>
      <c r="E29" s="147"/>
      <c r="F29" s="148"/>
      <c r="G29" s="31">
        <v>45982</v>
      </c>
      <c r="H29" s="146" t="s">
        <v>7</v>
      </c>
      <c r="I29" s="147"/>
      <c r="J29" s="147"/>
      <c r="K29" s="147"/>
      <c r="L29" s="147"/>
      <c r="M29" s="147"/>
      <c r="N29" s="147"/>
      <c r="O29" s="147"/>
      <c r="P29" s="147"/>
      <c r="Q29" s="147"/>
      <c r="R29" s="148"/>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26</v>
      </c>
      <c r="B31" s="8" t="s">
        <v>36</v>
      </c>
      <c r="C31" s="9">
        <v>0.75694444444444453</v>
      </c>
      <c r="D31" s="8" t="s">
        <v>28</v>
      </c>
      <c r="E31" s="8" t="s">
        <v>29</v>
      </c>
      <c r="F31" s="8" t="s">
        <v>38</v>
      </c>
      <c r="G31" s="143"/>
      <c r="H31" s="10"/>
      <c r="I31" s="11"/>
      <c r="J31" s="11"/>
      <c r="K31" s="11"/>
      <c r="L31" s="11"/>
      <c r="M31" s="11"/>
      <c r="N31" s="11"/>
      <c r="O31" s="12"/>
      <c r="P31" s="11"/>
      <c r="Q31" s="13"/>
      <c r="R31" s="14"/>
    </row>
    <row r="32" spans="1:18" ht="15" customHeight="1" x14ac:dyDescent="0.3">
      <c r="A32" s="15" t="s">
        <v>26</v>
      </c>
      <c r="B32" s="15" t="s">
        <v>36</v>
      </c>
      <c r="C32" s="16">
        <v>0.75694444444444453</v>
      </c>
      <c r="D32" s="15" t="s">
        <v>31</v>
      </c>
      <c r="E32" s="15" t="s">
        <v>32</v>
      </c>
      <c r="F32" s="15" t="s">
        <v>39</v>
      </c>
      <c r="G32" s="144"/>
      <c r="H32" s="10"/>
      <c r="I32" s="11"/>
      <c r="J32" s="11"/>
      <c r="K32" s="11"/>
      <c r="L32" s="11"/>
      <c r="M32" s="11"/>
      <c r="N32" s="11"/>
      <c r="O32" s="12"/>
      <c r="P32" s="11"/>
      <c r="Q32" s="13"/>
      <c r="R32" s="14"/>
    </row>
    <row r="33" spans="1:18" ht="15" customHeight="1" x14ac:dyDescent="0.3">
      <c r="A33" s="15" t="s">
        <v>26</v>
      </c>
      <c r="B33" s="15" t="s">
        <v>36</v>
      </c>
      <c r="C33" s="16">
        <v>0.75694444444444453</v>
      </c>
      <c r="D33" s="15" t="s">
        <v>34</v>
      </c>
      <c r="E33" s="15" t="s">
        <v>32</v>
      </c>
      <c r="F33" s="15" t="s">
        <v>40</v>
      </c>
      <c r="G33" s="144"/>
      <c r="H33" s="10"/>
      <c r="I33" s="11"/>
      <c r="J33" s="11"/>
      <c r="K33" s="11"/>
      <c r="L33" s="11"/>
      <c r="M33" s="11"/>
      <c r="N33" s="11"/>
      <c r="O33" s="12"/>
      <c r="P33" s="11"/>
      <c r="Q33" s="13"/>
      <c r="R33" s="14"/>
    </row>
    <row r="34" spans="1:18" ht="15" customHeight="1" x14ac:dyDescent="0.3">
      <c r="A34" s="19" t="s">
        <v>41</v>
      </c>
      <c r="B34" s="19" t="s">
        <v>42</v>
      </c>
      <c r="C34" s="20">
        <v>0.4201388888888889</v>
      </c>
      <c r="D34" s="19" t="s">
        <v>43</v>
      </c>
      <c r="E34" s="19" t="s">
        <v>87</v>
      </c>
      <c r="F34" s="19" t="s">
        <v>45</v>
      </c>
      <c r="G34" s="144"/>
      <c r="H34" s="10"/>
      <c r="I34" s="11"/>
      <c r="J34" s="11"/>
      <c r="K34" s="11"/>
      <c r="L34" s="11"/>
      <c r="M34" s="11"/>
      <c r="N34" s="11"/>
      <c r="O34" s="12"/>
      <c r="P34" s="11"/>
      <c r="Q34" s="13"/>
      <c r="R34" s="14"/>
    </row>
    <row r="35" spans="1:18" ht="15" customHeight="1" x14ac:dyDescent="0.3">
      <c r="A35" s="15" t="s">
        <v>41</v>
      </c>
      <c r="B35" s="15" t="s">
        <v>42</v>
      </c>
      <c r="C35" s="16">
        <v>0.4201388888888889</v>
      </c>
      <c r="D35" s="15" t="s">
        <v>46</v>
      </c>
      <c r="E35" s="15" t="s">
        <v>88</v>
      </c>
      <c r="F35" s="15" t="s">
        <v>48</v>
      </c>
      <c r="G35" s="144"/>
      <c r="H35" s="10"/>
      <c r="I35" s="11"/>
      <c r="J35" s="11"/>
      <c r="K35" s="11"/>
      <c r="L35" s="11"/>
      <c r="M35" s="11"/>
      <c r="N35" s="11"/>
      <c r="O35" s="12"/>
      <c r="P35" s="11"/>
      <c r="Q35" s="13"/>
      <c r="R35" s="14"/>
    </row>
    <row r="36" spans="1:18" ht="15" customHeight="1" x14ac:dyDescent="0.3">
      <c r="A36" s="15" t="s">
        <v>41</v>
      </c>
      <c r="B36" s="15" t="s">
        <v>42</v>
      </c>
      <c r="C36" s="16">
        <v>0.4201388888888889</v>
      </c>
      <c r="D36" s="15" t="s">
        <v>49</v>
      </c>
      <c r="E36" s="15" t="s">
        <v>88</v>
      </c>
      <c r="F36" s="15" t="s">
        <v>89</v>
      </c>
      <c r="G36" s="144"/>
      <c r="H36" s="10"/>
      <c r="I36" s="11"/>
      <c r="J36" s="11"/>
      <c r="K36" s="11"/>
      <c r="L36" s="11"/>
      <c r="M36" s="11"/>
      <c r="N36" s="11"/>
      <c r="O36" s="12"/>
      <c r="P36" s="11"/>
      <c r="Q36" s="13"/>
      <c r="R36" s="14"/>
    </row>
    <row r="37" spans="1:18" ht="15" customHeight="1" x14ac:dyDescent="0.3">
      <c r="A37" s="19" t="s">
        <v>51</v>
      </c>
      <c r="B37" s="19" t="s">
        <v>62</v>
      </c>
      <c r="C37" s="20">
        <v>0.49305555555555558</v>
      </c>
      <c r="D37" s="19" t="s">
        <v>53</v>
      </c>
      <c r="E37" s="19" t="s">
        <v>54</v>
      </c>
      <c r="F37" s="19" t="s">
        <v>90</v>
      </c>
      <c r="G37" s="144"/>
      <c r="H37" s="10"/>
      <c r="I37" s="11"/>
      <c r="J37" s="11"/>
      <c r="K37" s="11"/>
      <c r="L37" s="11"/>
      <c r="M37" s="11"/>
      <c r="N37" s="11"/>
      <c r="O37" s="12"/>
      <c r="P37" s="11"/>
      <c r="Q37" s="13"/>
      <c r="R37" s="14"/>
    </row>
    <row r="38" spans="1:18" ht="15" customHeight="1" x14ac:dyDescent="0.3">
      <c r="A38" s="17" t="s">
        <v>51</v>
      </c>
      <c r="B38" s="17" t="s">
        <v>52</v>
      </c>
      <c r="C38" s="18">
        <v>9.7222222222222224E-2</v>
      </c>
      <c r="D38" s="17" t="s">
        <v>53</v>
      </c>
      <c r="E38" s="17" t="s">
        <v>57</v>
      </c>
      <c r="F38" s="17" t="s">
        <v>90</v>
      </c>
      <c r="G38" s="144"/>
      <c r="H38" s="10"/>
      <c r="I38" s="11"/>
      <c r="J38" s="11"/>
      <c r="K38" s="11"/>
      <c r="L38" s="11"/>
      <c r="M38" s="11"/>
      <c r="N38" s="11"/>
      <c r="O38" s="12"/>
      <c r="P38" s="11"/>
      <c r="Q38" s="13"/>
      <c r="R38" s="14"/>
    </row>
    <row r="39" spans="1:18" ht="15" customHeight="1" x14ac:dyDescent="0.3">
      <c r="A39" s="17" t="s">
        <v>51</v>
      </c>
      <c r="B39" s="17" t="s">
        <v>56</v>
      </c>
      <c r="C39" s="18">
        <v>0.22222222222222221</v>
      </c>
      <c r="D39" s="17" t="s">
        <v>53</v>
      </c>
      <c r="E39" s="17" t="s">
        <v>57</v>
      </c>
      <c r="F39" s="17" t="s">
        <v>90</v>
      </c>
      <c r="G39" s="144"/>
      <c r="H39" s="10"/>
      <c r="I39" s="11"/>
      <c r="J39" s="11"/>
      <c r="K39" s="11"/>
      <c r="L39" s="11"/>
      <c r="M39" s="11"/>
      <c r="N39" s="11"/>
      <c r="O39" s="12"/>
      <c r="P39" s="11"/>
      <c r="Q39" s="13"/>
      <c r="R39" s="14"/>
    </row>
    <row r="40" spans="1:18" ht="15" customHeight="1" x14ac:dyDescent="0.3">
      <c r="A40" s="17" t="s">
        <v>51</v>
      </c>
      <c r="B40" s="17" t="s">
        <v>58</v>
      </c>
      <c r="C40" s="18">
        <v>0.44444444444444442</v>
      </c>
      <c r="D40" s="17" t="s">
        <v>53</v>
      </c>
      <c r="E40" s="17" t="s">
        <v>57</v>
      </c>
      <c r="F40" s="17" t="s">
        <v>90</v>
      </c>
      <c r="G40" s="144"/>
      <c r="H40" s="10"/>
      <c r="I40" s="11"/>
      <c r="J40" s="11"/>
      <c r="K40" s="11"/>
      <c r="L40" s="11"/>
      <c r="M40" s="11"/>
      <c r="N40" s="11"/>
      <c r="O40" s="12"/>
      <c r="P40" s="11"/>
      <c r="Q40" s="13"/>
      <c r="R40" s="14"/>
    </row>
    <row r="41" spans="1:18" ht="15" customHeight="1" x14ac:dyDescent="0.3">
      <c r="A41" s="19" t="s">
        <v>64</v>
      </c>
      <c r="B41" s="19" t="s">
        <v>75</v>
      </c>
      <c r="C41" s="20">
        <v>0.79513888888888884</v>
      </c>
      <c r="D41" s="19" t="s">
        <v>66</v>
      </c>
      <c r="E41" s="19" t="s">
        <v>91</v>
      </c>
      <c r="F41" s="19" t="s">
        <v>92</v>
      </c>
      <c r="G41" s="144"/>
      <c r="H41" s="10"/>
      <c r="I41" s="11"/>
      <c r="J41" s="11"/>
      <c r="K41" s="11"/>
      <c r="L41" s="11"/>
      <c r="M41" s="11"/>
      <c r="N41" s="11"/>
      <c r="O41" s="12"/>
      <c r="P41" s="11"/>
      <c r="Q41" s="13"/>
      <c r="R41" s="14"/>
    </row>
    <row r="42" spans="1:18" ht="15" customHeight="1" x14ac:dyDescent="0.3">
      <c r="A42" s="15" t="s">
        <v>64</v>
      </c>
      <c r="B42" s="15" t="s">
        <v>75</v>
      </c>
      <c r="C42" s="16">
        <v>0.79513888888888884</v>
      </c>
      <c r="D42" s="15" t="s">
        <v>68</v>
      </c>
      <c r="E42" s="15" t="s">
        <v>93</v>
      </c>
      <c r="F42" s="15" t="s">
        <v>94</v>
      </c>
      <c r="G42" s="144"/>
      <c r="H42" s="10"/>
      <c r="I42" s="11"/>
      <c r="J42" s="11"/>
      <c r="K42" s="11"/>
      <c r="L42" s="11"/>
      <c r="M42" s="11"/>
      <c r="N42" s="11"/>
      <c r="O42" s="12"/>
      <c r="P42" s="11"/>
      <c r="Q42" s="13"/>
      <c r="R42" s="14"/>
    </row>
    <row r="43" spans="1:18" ht="15" customHeight="1" x14ac:dyDescent="0.3">
      <c r="A43" s="17" t="s">
        <v>64</v>
      </c>
      <c r="B43" s="17" t="s">
        <v>71</v>
      </c>
      <c r="C43" s="18">
        <v>8.6805555555555566E-2</v>
      </c>
      <c r="D43" s="17" t="s">
        <v>66</v>
      </c>
      <c r="E43" s="17" t="s">
        <v>95</v>
      </c>
      <c r="F43" s="17" t="s">
        <v>92</v>
      </c>
      <c r="G43" s="144"/>
      <c r="H43" s="10"/>
      <c r="I43" s="11"/>
      <c r="J43" s="11"/>
      <c r="K43" s="11"/>
      <c r="L43" s="11"/>
      <c r="M43" s="11"/>
      <c r="N43" s="11"/>
      <c r="O43" s="12"/>
      <c r="P43" s="11"/>
      <c r="Q43" s="13"/>
      <c r="R43" s="14"/>
    </row>
    <row r="44" spans="1:18" ht="15" customHeight="1" x14ac:dyDescent="0.3">
      <c r="A44" s="15" t="s">
        <v>64</v>
      </c>
      <c r="B44" s="15" t="s">
        <v>71</v>
      </c>
      <c r="C44" s="16">
        <v>8.6805555555555566E-2</v>
      </c>
      <c r="D44" s="15" t="s">
        <v>68</v>
      </c>
      <c r="E44" s="15" t="s">
        <v>96</v>
      </c>
      <c r="F44" s="15" t="s">
        <v>94</v>
      </c>
      <c r="G44" s="144"/>
      <c r="H44" s="10"/>
      <c r="I44" s="11"/>
      <c r="J44" s="11"/>
      <c r="K44" s="11"/>
      <c r="L44" s="11"/>
      <c r="M44" s="11"/>
      <c r="N44" s="11"/>
      <c r="O44" s="12"/>
      <c r="P44" s="11"/>
      <c r="Q44" s="13"/>
      <c r="R44" s="14"/>
    </row>
    <row r="45" spans="1:18" ht="15" customHeight="1" x14ac:dyDescent="0.3">
      <c r="A45" s="17" t="s">
        <v>64</v>
      </c>
      <c r="B45" s="17" t="s">
        <v>72</v>
      </c>
      <c r="C45" s="18">
        <v>0.4201388888888889</v>
      </c>
      <c r="D45" s="17" t="s">
        <v>68</v>
      </c>
      <c r="E45" s="17" t="s">
        <v>73</v>
      </c>
      <c r="F45" s="17" t="s">
        <v>74</v>
      </c>
      <c r="G45" s="144"/>
      <c r="H45" s="10"/>
      <c r="I45" s="11"/>
      <c r="J45" s="11"/>
      <c r="K45" s="11"/>
      <c r="L45" s="11"/>
      <c r="M45" s="11"/>
      <c r="N45" s="11"/>
      <c r="O45" s="12"/>
      <c r="P45" s="11"/>
      <c r="Q45" s="13"/>
      <c r="R45" s="14"/>
    </row>
    <row r="46" spans="1:18" ht="15" customHeight="1" x14ac:dyDescent="0.3">
      <c r="A46" s="17" t="s">
        <v>64</v>
      </c>
      <c r="B46" s="17" t="s">
        <v>65</v>
      </c>
      <c r="C46" s="18">
        <v>0.60416666666666663</v>
      </c>
      <c r="D46" s="17" t="s">
        <v>66</v>
      </c>
      <c r="E46" s="17" t="s">
        <v>73</v>
      </c>
      <c r="F46" s="17" t="s">
        <v>77</v>
      </c>
      <c r="G46" s="144"/>
      <c r="H46" s="10"/>
      <c r="I46" s="11"/>
      <c r="J46" s="11"/>
      <c r="K46" s="11"/>
      <c r="L46" s="11"/>
      <c r="M46" s="11"/>
      <c r="N46" s="11"/>
      <c r="O46" s="12"/>
      <c r="P46" s="11"/>
      <c r="Q46" s="13"/>
      <c r="R46" s="14"/>
    </row>
    <row r="47" spans="1:18" ht="15" customHeight="1" thickBot="1" x14ac:dyDescent="0.35">
      <c r="A47" s="39" t="s">
        <v>64</v>
      </c>
      <c r="B47" s="39" t="s">
        <v>65</v>
      </c>
      <c r="C47" s="40">
        <v>0.60416666666666663</v>
      </c>
      <c r="D47" s="39" t="s">
        <v>68</v>
      </c>
      <c r="E47" s="39" t="s">
        <v>97</v>
      </c>
      <c r="F47" s="39" t="s">
        <v>79</v>
      </c>
      <c r="G47" s="145"/>
      <c r="H47" s="41"/>
      <c r="I47" s="42"/>
      <c r="J47" s="42"/>
      <c r="K47" s="42"/>
      <c r="L47" s="42"/>
      <c r="M47" s="42"/>
      <c r="N47" s="42"/>
      <c r="O47" s="43"/>
      <c r="P47" s="42"/>
      <c r="Q47" s="44"/>
      <c r="R47" s="45"/>
    </row>
    <row r="48" spans="1:18" ht="17.399999999999999" customHeight="1" thickBot="1" x14ac:dyDescent="0.35">
      <c r="A48" s="175"/>
      <c r="B48" s="176"/>
      <c r="C48" s="176"/>
      <c r="D48" s="176"/>
      <c r="E48" s="176"/>
      <c r="F48" s="176"/>
      <c r="G48" s="176"/>
      <c r="H48" s="176"/>
      <c r="I48" s="176"/>
      <c r="J48" s="176"/>
      <c r="K48" s="176"/>
      <c r="L48" s="176"/>
      <c r="M48" s="176"/>
      <c r="N48" s="176"/>
      <c r="O48" s="176"/>
      <c r="P48" s="176"/>
      <c r="Q48" s="176"/>
      <c r="R48" s="177"/>
    </row>
    <row r="49" spans="1:18" ht="22.05" customHeight="1" thickTop="1" thickBot="1" x14ac:dyDescent="0.35">
      <c r="A49" s="158" t="s">
        <v>6</v>
      </c>
      <c r="B49" s="147"/>
      <c r="C49" s="147"/>
      <c r="D49" s="147"/>
      <c r="E49" s="147"/>
      <c r="F49" s="148"/>
      <c r="G49" s="31">
        <v>45983</v>
      </c>
      <c r="H49" s="146" t="s">
        <v>7</v>
      </c>
      <c r="I49" s="147"/>
      <c r="J49" s="147"/>
      <c r="K49" s="147"/>
      <c r="L49" s="147"/>
      <c r="M49" s="147"/>
      <c r="N49" s="147"/>
      <c r="O49" s="147"/>
      <c r="P49" s="147"/>
      <c r="Q49" s="147"/>
      <c r="R49" s="148"/>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8" t="s">
        <v>26</v>
      </c>
      <c r="B51" s="8" t="s">
        <v>36</v>
      </c>
      <c r="C51" s="9">
        <v>0.75694444444444453</v>
      </c>
      <c r="D51" s="8" t="s">
        <v>28</v>
      </c>
      <c r="E51" s="8" t="s">
        <v>98</v>
      </c>
      <c r="F51" s="8" t="s">
        <v>30</v>
      </c>
      <c r="G51" s="143"/>
      <c r="H51" s="10"/>
      <c r="I51" s="11"/>
      <c r="J51" s="11"/>
      <c r="K51" s="11"/>
      <c r="L51" s="11"/>
      <c r="M51" s="11"/>
      <c r="N51" s="11"/>
      <c r="O51" s="12"/>
      <c r="P51" s="11"/>
      <c r="Q51" s="13"/>
      <c r="R51" s="14"/>
    </row>
    <row r="52" spans="1:18" ht="15" customHeight="1" x14ac:dyDescent="0.3">
      <c r="A52" s="15" t="s">
        <v>26</v>
      </c>
      <c r="B52" s="15" t="s">
        <v>36</v>
      </c>
      <c r="C52" s="16">
        <v>0.75694444444444453</v>
      </c>
      <c r="D52" s="15" t="s">
        <v>31</v>
      </c>
      <c r="E52" s="15" t="s">
        <v>99</v>
      </c>
      <c r="F52" s="15" t="s">
        <v>33</v>
      </c>
      <c r="G52" s="144"/>
      <c r="H52" s="10"/>
      <c r="I52" s="11"/>
      <c r="J52" s="11"/>
      <c r="K52" s="11"/>
      <c r="L52" s="11"/>
      <c r="M52" s="11"/>
      <c r="N52" s="11"/>
      <c r="O52" s="12"/>
      <c r="P52" s="11"/>
      <c r="Q52" s="13"/>
      <c r="R52" s="14"/>
    </row>
    <row r="53" spans="1:18" ht="15" customHeight="1" x14ac:dyDescent="0.3">
      <c r="A53" s="15" t="s">
        <v>26</v>
      </c>
      <c r="B53" s="15" t="s">
        <v>36</v>
      </c>
      <c r="C53" s="16">
        <v>0.75694444444444453</v>
      </c>
      <c r="D53" s="15" t="s">
        <v>34</v>
      </c>
      <c r="E53" s="15" t="s">
        <v>99</v>
      </c>
      <c r="F53" s="15" t="s">
        <v>35</v>
      </c>
      <c r="G53" s="144"/>
      <c r="H53" s="10"/>
      <c r="I53" s="11"/>
      <c r="J53" s="11"/>
      <c r="K53" s="11"/>
      <c r="L53" s="11"/>
      <c r="M53" s="11"/>
      <c r="N53" s="11"/>
      <c r="O53" s="12"/>
      <c r="P53" s="11"/>
      <c r="Q53" s="13"/>
      <c r="R53" s="14"/>
    </row>
    <row r="54" spans="1:18" ht="15" customHeight="1" x14ac:dyDescent="0.3">
      <c r="A54" s="17" t="s">
        <v>26</v>
      </c>
      <c r="B54" s="17" t="s">
        <v>27</v>
      </c>
      <c r="C54" s="18">
        <v>0.35416666666666669</v>
      </c>
      <c r="D54" s="17" t="s">
        <v>28</v>
      </c>
      <c r="E54" s="17" t="s">
        <v>95</v>
      </c>
      <c r="F54" s="17" t="s">
        <v>30</v>
      </c>
      <c r="G54" s="144"/>
      <c r="H54" s="10"/>
      <c r="I54" s="11"/>
      <c r="J54" s="11"/>
      <c r="K54" s="11"/>
      <c r="L54" s="11"/>
      <c r="M54" s="11"/>
      <c r="N54" s="11"/>
      <c r="O54" s="12"/>
      <c r="P54" s="11"/>
      <c r="Q54" s="13"/>
      <c r="R54" s="14"/>
    </row>
    <row r="55" spans="1:18" ht="15" customHeight="1" x14ac:dyDescent="0.3">
      <c r="A55" s="15" t="s">
        <v>26</v>
      </c>
      <c r="B55" s="15" t="s">
        <v>27</v>
      </c>
      <c r="C55" s="16">
        <v>0.35416666666666669</v>
      </c>
      <c r="D55" s="15" t="s">
        <v>31</v>
      </c>
      <c r="E55" s="15" t="s">
        <v>96</v>
      </c>
      <c r="F55" s="15" t="s">
        <v>33</v>
      </c>
      <c r="G55" s="144"/>
      <c r="H55" s="10"/>
      <c r="I55" s="11"/>
      <c r="J55" s="11"/>
      <c r="K55" s="11"/>
      <c r="L55" s="11"/>
      <c r="M55" s="11"/>
      <c r="N55" s="11"/>
      <c r="O55" s="12"/>
      <c r="P55" s="11"/>
      <c r="Q55" s="13"/>
      <c r="R55" s="14"/>
    </row>
    <row r="56" spans="1:18" ht="15" customHeight="1" x14ac:dyDescent="0.3">
      <c r="A56" s="15" t="s">
        <v>26</v>
      </c>
      <c r="B56" s="15" t="s">
        <v>27</v>
      </c>
      <c r="C56" s="16">
        <v>0.35416666666666669</v>
      </c>
      <c r="D56" s="15" t="s">
        <v>34</v>
      </c>
      <c r="E56" s="15" t="s">
        <v>96</v>
      </c>
      <c r="F56" s="15" t="s">
        <v>35</v>
      </c>
      <c r="G56" s="144"/>
      <c r="H56" s="10"/>
      <c r="I56" s="11"/>
      <c r="J56" s="11"/>
      <c r="K56" s="11"/>
      <c r="L56" s="11"/>
      <c r="M56" s="11"/>
      <c r="N56" s="11"/>
      <c r="O56" s="12"/>
      <c r="P56" s="11"/>
      <c r="Q56" s="13"/>
      <c r="R56" s="14"/>
    </row>
    <row r="57" spans="1:18" ht="15" customHeight="1" x14ac:dyDescent="0.3">
      <c r="A57" s="19" t="s">
        <v>41</v>
      </c>
      <c r="B57" s="19" t="s">
        <v>42</v>
      </c>
      <c r="C57" s="20">
        <v>0.4201388888888889</v>
      </c>
      <c r="D57" s="19" t="s">
        <v>43</v>
      </c>
      <c r="E57" s="19" t="s">
        <v>29</v>
      </c>
      <c r="F57" s="19" t="s">
        <v>35</v>
      </c>
      <c r="G57" s="144"/>
      <c r="H57" s="10"/>
      <c r="I57" s="11"/>
      <c r="J57" s="11"/>
      <c r="K57" s="11"/>
      <c r="L57" s="11"/>
      <c r="M57" s="11"/>
      <c r="N57" s="11"/>
      <c r="O57" s="12"/>
      <c r="P57" s="11"/>
      <c r="Q57" s="13"/>
      <c r="R57" s="14"/>
    </row>
    <row r="58" spans="1:18" ht="15" customHeight="1" x14ac:dyDescent="0.3">
      <c r="A58" s="15" t="s">
        <v>41</v>
      </c>
      <c r="B58" s="15" t="s">
        <v>42</v>
      </c>
      <c r="C58" s="16">
        <v>0.4201388888888889</v>
      </c>
      <c r="D58" s="15" t="s">
        <v>46</v>
      </c>
      <c r="E58" s="15" t="s">
        <v>32</v>
      </c>
      <c r="F58" s="15" t="s">
        <v>100</v>
      </c>
      <c r="G58" s="144"/>
      <c r="H58" s="10"/>
      <c r="I58" s="11"/>
      <c r="J58" s="11"/>
      <c r="K58" s="11"/>
      <c r="L58" s="11"/>
      <c r="M58" s="11"/>
      <c r="N58" s="11"/>
      <c r="O58" s="12"/>
      <c r="P58" s="11"/>
      <c r="Q58" s="13"/>
      <c r="R58" s="14"/>
    </row>
    <row r="59" spans="1:18" ht="15" customHeight="1" x14ac:dyDescent="0.3">
      <c r="A59" s="15" t="s">
        <v>41</v>
      </c>
      <c r="B59" s="15" t="s">
        <v>42</v>
      </c>
      <c r="C59" s="16">
        <v>0.4201388888888889</v>
      </c>
      <c r="D59" s="15" t="s">
        <v>49</v>
      </c>
      <c r="E59" s="15" t="s">
        <v>32</v>
      </c>
      <c r="F59" s="15" t="s">
        <v>50</v>
      </c>
      <c r="G59" s="144"/>
      <c r="H59" s="10"/>
      <c r="I59" s="11"/>
      <c r="J59" s="11"/>
      <c r="K59" s="11"/>
      <c r="L59" s="11"/>
      <c r="M59" s="11"/>
      <c r="N59" s="11"/>
      <c r="O59" s="12"/>
      <c r="P59" s="11"/>
      <c r="Q59" s="13"/>
      <c r="R59" s="14"/>
    </row>
    <row r="60" spans="1:18" ht="15" customHeight="1" x14ac:dyDescent="0.3">
      <c r="A60" s="19" t="s">
        <v>51</v>
      </c>
      <c r="B60" s="19" t="s">
        <v>52</v>
      </c>
      <c r="C60" s="20">
        <v>9.7222222222222224E-2</v>
      </c>
      <c r="D60" s="19" t="s">
        <v>53</v>
      </c>
      <c r="E60" s="19" t="s">
        <v>54</v>
      </c>
      <c r="F60" s="19" t="s">
        <v>101</v>
      </c>
      <c r="G60" s="144"/>
      <c r="H60" s="10"/>
      <c r="I60" s="11"/>
      <c r="J60" s="11"/>
      <c r="K60" s="11"/>
      <c r="L60" s="11"/>
      <c r="M60" s="11"/>
      <c r="N60" s="11"/>
      <c r="O60" s="12"/>
      <c r="P60" s="11"/>
      <c r="Q60" s="13"/>
      <c r="R60" s="14"/>
    </row>
    <row r="61" spans="1:18" ht="15" customHeight="1" x14ac:dyDescent="0.3">
      <c r="A61" s="17" t="s">
        <v>51</v>
      </c>
      <c r="B61" s="17" t="s">
        <v>56</v>
      </c>
      <c r="C61" s="18">
        <v>0.22222222222222221</v>
      </c>
      <c r="D61" s="17" t="s">
        <v>53</v>
      </c>
      <c r="E61" s="17" t="s">
        <v>102</v>
      </c>
      <c r="F61" s="17" t="s">
        <v>61</v>
      </c>
      <c r="G61" s="144"/>
      <c r="H61" s="10"/>
      <c r="I61" s="11"/>
      <c r="J61" s="11"/>
      <c r="K61" s="11"/>
      <c r="L61" s="11"/>
      <c r="M61" s="11"/>
      <c r="N61" s="11"/>
      <c r="O61" s="12"/>
      <c r="P61" s="11"/>
      <c r="Q61" s="13"/>
      <c r="R61" s="14"/>
    </row>
    <row r="62" spans="1:18" ht="15" customHeight="1" x14ac:dyDescent="0.3">
      <c r="A62" s="19" t="s">
        <v>64</v>
      </c>
      <c r="B62" s="19" t="s">
        <v>71</v>
      </c>
      <c r="C62" s="20">
        <v>8.6805555555555566E-2</v>
      </c>
      <c r="D62" s="19" t="s">
        <v>66</v>
      </c>
      <c r="E62" s="19" t="s">
        <v>103</v>
      </c>
      <c r="F62" s="19" t="s">
        <v>104</v>
      </c>
      <c r="G62" s="144"/>
      <c r="H62" s="10"/>
      <c r="I62" s="11"/>
      <c r="J62" s="11"/>
      <c r="K62" s="11"/>
      <c r="L62" s="11"/>
      <c r="M62" s="11"/>
      <c r="N62" s="11"/>
      <c r="O62" s="12"/>
      <c r="P62" s="11"/>
      <c r="Q62" s="13"/>
      <c r="R62" s="14"/>
    </row>
    <row r="63" spans="1:18" ht="15" customHeight="1" x14ac:dyDescent="0.3">
      <c r="A63" s="15" t="s">
        <v>64</v>
      </c>
      <c r="B63" s="15" t="s">
        <v>71</v>
      </c>
      <c r="C63" s="16">
        <v>8.6805555555555566E-2</v>
      </c>
      <c r="D63" s="15" t="s">
        <v>68</v>
      </c>
      <c r="E63" s="15" t="s">
        <v>78</v>
      </c>
      <c r="F63" s="15" t="s">
        <v>105</v>
      </c>
      <c r="G63" s="144"/>
      <c r="H63" s="10"/>
      <c r="I63" s="11"/>
      <c r="J63" s="11"/>
      <c r="K63" s="11"/>
      <c r="L63" s="11"/>
      <c r="M63" s="11"/>
      <c r="N63" s="11"/>
      <c r="O63" s="12"/>
      <c r="P63" s="11"/>
      <c r="Q63" s="13"/>
      <c r="R63" s="14"/>
    </row>
    <row r="64" spans="1:18" ht="15" customHeight="1" x14ac:dyDescent="0.3">
      <c r="A64" s="17" t="s">
        <v>64</v>
      </c>
      <c r="B64" s="17" t="s">
        <v>72</v>
      </c>
      <c r="C64" s="18">
        <v>0.4201388888888889</v>
      </c>
      <c r="D64" s="17" t="s">
        <v>68</v>
      </c>
      <c r="E64" s="17" t="s">
        <v>73</v>
      </c>
      <c r="F64" s="17" t="s">
        <v>74</v>
      </c>
      <c r="G64" s="144"/>
      <c r="H64" s="10"/>
      <c r="I64" s="11"/>
      <c r="J64" s="11"/>
      <c r="K64" s="11"/>
      <c r="L64" s="11"/>
      <c r="M64" s="11"/>
      <c r="N64" s="11"/>
      <c r="O64" s="12"/>
      <c r="P64" s="11"/>
      <c r="Q64" s="13"/>
      <c r="R64" s="14"/>
    </row>
    <row r="65" spans="1:18" ht="15" customHeight="1" thickBot="1" x14ac:dyDescent="0.35">
      <c r="A65" s="21" t="s">
        <v>80</v>
      </c>
      <c r="B65" s="21" t="s">
        <v>81</v>
      </c>
      <c r="C65" s="22">
        <v>0.39583333333333331</v>
      </c>
      <c r="D65" s="21" t="s">
        <v>82</v>
      </c>
      <c r="E65" s="23"/>
      <c r="F65" s="21" t="s">
        <v>83</v>
      </c>
      <c r="G65" s="145"/>
      <c r="H65" s="24" t="s">
        <v>81</v>
      </c>
      <c r="I65" s="25">
        <v>1</v>
      </c>
      <c r="J65" s="26">
        <v>179</v>
      </c>
      <c r="K65" s="27" t="s">
        <v>106</v>
      </c>
      <c r="L65" s="26">
        <v>1</v>
      </c>
      <c r="M65" s="26">
        <v>0</v>
      </c>
      <c r="N65" s="26">
        <v>0</v>
      </c>
      <c r="O65" s="28" t="s">
        <v>85</v>
      </c>
      <c r="P65" s="29">
        <v>0.39583333333333331</v>
      </c>
      <c r="Q65" s="26">
        <v>179</v>
      </c>
      <c r="R65" s="30" t="s">
        <v>107</v>
      </c>
    </row>
    <row r="66" spans="1:18" ht="17.399999999999999" customHeight="1" thickBot="1" x14ac:dyDescent="0.35">
      <c r="A66" s="175"/>
      <c r="B66" s="176"/>
      <c r="C66" s="176"/>
      <c r="D66" s="176"/>
      <c r="E66" s="176"/>
      <c r="F66" s="176"/>
      <c r="G66" s="176"/>
      <c r="H66" s="176"/>
      <c r="I66" s="176"/>
      <c r="J66" s="176"/>
      <c r="K66" s="176"/>
      <c r="L66" s="176"/>
      <c r="M66" s="176"/>
      <c r="N66" s="176"/>
      <c r="O66" s="176"/>
      <c r="P66" s="176"/>
      <c r="Q66" s="176"/>
      <c r="R66" s="177"/>
    </row>
    <row r="67" spans="1:18" ht="22.05" customHeight="1" thickTop="1" thickBot="1" x14ac:dyDescent="0.35">
      <c r="A67" s="158" t="s">
        <v>6</v>
      </c>
      <c r="B67" s="147"/>
      <c r="C67" s="147"/>
      <c r="D67" s="147"/>
      <c r="E67" s="147"/>
      <c r="F67" s="148"/>
      <c r="G67" s="31">
        <v>45984</v>
      </c>
      <c r="H67" s="146" t="s">
        <v>7</v>
      </c>
      <c r="I67" s="147"/>
      <c r="J67" s="147"/>
      <c r="K67" s="147"/>
      <c r="L67" s="147"/>
      <c r="M67" s="147"/>
      <c r="N67" s="147"/>
      <c r="O67" s="147"/>
      <c r="P67" s="147"/>
      <c r="Q67" s="147"/>
      <c r="R67" s="148"/>
    </row>
    <row r="68" spans="1:18" ht="24" customHeight="1" x14ac:dyDescent="0.3">
      <c r="A68" s="32" t="s">
        <v>8</v>
      </c>
      <c r="B68" s="32" t="s">
        <v>9</v>
      </c>
      <c r="C68" s="33" t="s">
        <v>10</v>
      </c>
      <c r="D68" s="32" t="s">
        <v>11</v>
      </c>
      <c r="E68" s="32" t="s">
        <v>12</v>
      </c>
      <c r="F68" s="34" t="s">
        <v>13</v>
      </c>
      <c r="G68" s="35" t="s">
        <v>14</v>
      </c>
      <c r="H68" s="32" t="s">
        <v>15</v>
      </c>
      <c r="I68" s="36" t="s">
        <v>16</v>
      </c>
      <c r="J68" s="37" t="s">
        <v>17</v>
      </c>
      <c r="K68" s="38" t="s">
        <v>18</v>
      </c>
      <c r="L68" s="37" t="s">
        <v>19</v>
      </c>
      <c r="M68" s="37" t="s">
        <v>20</v>
      </c>
      <c r="N68" s="37" t="s">
        <v>21</v>
      </c>
      <c r="O68" s="32" t="s">
        <v>22</v>
      </c>
      <c r="P68" s="33" t="s">
        <v>23</v>
      </c>
      <c r="Q68" s="37" t="s">
        <v>24</v>
      </c>
      <c r="R68" s="32" t="s">
        <v>25</v>
      </c>
    </row>
    <row r="69" spans="1:18" ht="15" customHeight="1" x14ac:dyDescent="0.3">
      <c r="A69" s="8" t="s">
        <v>26</v>
      </c>
      <c r="B69" s="8" t="s">
        <v>36</v>
      </c>
      <c r="C69" s="9">
        <v>0.75694444444444453</v>
      </c>
      <c r="D69" s="8" t="s">
        <v>28</v>
      </c>
      <c r="E69" s="8" t="s">
        <v>29</v>
      </c>
      <c r="F69" s="8" t="s">
        <v>38</v>
      </c>
      <c r="G69" s="143"/>
      <c r="H69" s="10"/>
      <c r="I69" s="11"/>
      <c r="J69" s="11"/>
      <c r="K69" s="11"/>
      <c r="L69" s="11"/>
      <c r="M69" s="11"/>
      <c r="N69" s="11"/>
      <c r="O69" s="12"/>
      <c r="P69" s="11"/>
      <c r="Q69" s="13"/>
      <c r="R69" s="14"/>
    </row>
    <row r="70" spans="1:18" ht="15" customHeight="1" x14ac:dyDescent="0.3">
      <c r="A70" s="15" t="s">
        <v>26</v>
      </c>
      <c r="B70" s="15" t="s">
        <v>36</v>
      </c>
      <c r="C70" s="16">
        <v>0.75694444444444453</v>
      </c>
      <c r="D70" s="15" t="s">
        <v>31</v>
      </c>
      <c r="E70" s="15" t="s">
        <v>32</v>
      </c>
      <c r="F70" s="15" t="s">
        <v>39</v>
      </c>
      <c r="G70" s="144"/>
      <c r="H70" s="10"/>
      <c r="I70" s="11"/>
      <c r="J70" s="11"/>
      <c r="K70" s="11"/>
      <c r="L70" s="11"/>
      <c r="M70" s="11"/>
      <c r="N70" s="11"/>
      <c r="O70" s="12"/>
      <c r="P70" s="11"/>
      <c r="Q70" s="13"/>
      <c r="R70" s="14"/>
    </row>
    <row r="71" spans="1:18" ht="15" customHeight="1" x14ac:dyDescent="0.3">
      <c r="A71" s="15" t="s">
        <v>26</v>
      </c>
      <c r="B71" s="15" t="s">
        <v>36</v>
      </c>
      <c r="C71" s="16">
        <v>0.75694444444444453</v>
      </c>
      <c r="D71" s="15" t="s">
        <v>34</v>
      </c>
      <c r="E71" s="15" t="s">
        <v>32</v>
      </c>
      <c r="F71" s="15" t="s">
        <v>40</v>
      </c>
      <c r="G71" s="144"/>
      <c r="H71" s="10"/>
      <c r="I71" s="11"/>
      <c r="J71" s="11"/>
      <c r="K71" s="11"/>
      <c r="L71" s="11"/>
      <c r="M71" s="11"/>
      <c r="N71" s="11"/>
      <c r="O71" s="12"/>
      <c r="P71" s="11"/>
      <c r="Q71" s="13"/>
      <c r="R71" s="14"/>
    </row>
    <row r="72" spans="1:18" ht="15" customHeight="1" x14ac:dyDescent="0.3">
      <c r="A72" s="19" t="s">
        <v>41</v>
      </c>
      <c r="B72" s="19" t="s">
        <v>42</v>
      </c>
      <c r="C72" s="20">
        <v>0.4201388888888889</v>
      </c>
      <c r="D72" s="19" t="s">
        <v>43</v>
      </c>
      <c r="E72" s="19" t="s">
        <v>108</v>
      </c>
      <c r="F72" s="19" t="s">
        <v>45</v>
      </c>
      <c r="G72" s="144"/>
      <c r="H72" s="10"/>
      <c r="I72" s="11"/>
      <c r="J72" s="11"/>
      <c r="K72" s="11"/>
      <c r="L72" s="11"/>
      <c r="M72" s="11"/>
      <c r="N72" s="11"/>
      <c r="O72" s="12"/>
      <c r="P72" s="11"/>
      <c r="Q72" s="13"/>
      <c r="R72" s="14"/>
    </row>
    <row r="73" spans="1:18" ht="15" customHeight="1" x14ac:dyDescent="0.3">
      <c r="A73" s="15" t="s">
        <v>41</v>
      </c>
      <c r="B73" s="15" t="s">
        <v>42</v>
      </c>
      <c r="C73" s="16">
        <v>0.4201388888888889</v>
      </c>
      <c r="D73" s="15" t="s">
        <v>46</v>
      </c>
      <c r="E73" s="15" t="s">
        <v>109</v>
      </c>
      <c r="F73" s="15" t="s">
        <v>48</v>
      </c>
      <c r="G73" s="144"/>
      <c r="H73" s="10"/>
      <c r="I73" s="11"/>
      <c r="J73" s="11"/>
      <c r="K73" s="11"/>
      <c r="L73" s="11"/>
      <c r="M73" s="11"/>
      <c r="N73" s="11"/>
      <c r="O73" s="12"/>
      <c r="P73" s="11"/>
      <c r="Q73" s="13"/>
      <c r="R73" s="14"/>
    </row>
    <row r="74" spans="1:18" ht="15" customHeight="1" x14ac:dyDescent="0.3">
      <c r="A74" s="15" t="s">
        <v>41</v>
      </c>
      <c r="B74" s="15" t="s">
        <v>42</v>
      </c>
      <c r="C74" s="16">
        <v>0.4201388888888889</v>
      </c>
      <c r="D74" s="15" t="s">
        <v>49</v>
      </c>
      <c r="E74" s="15" t="s">
        <v>109</v>
      </c>
      <c r="F74" s="15" t="s">
        <v>50</v>
      </c>
      <c r="G74" s="144"/>
      <c r="H74" s="10"/>
      <c r="I74" s="11"/>
      <c r="J74" s="11"/>
      <c r="K74" s="11"/>
      <c r="L74" s="11"/>
      <c r="M74" s="11"/>
      <c r="N74" s="11"/>
      <c r="O74" s="12"/>
      <c r="P74" s="11"/>
      <c r="Q74" s="13"/>
      <c r="R74" s="14"/>
    </row>
    <row r="75" spans="1:18" ht="15" customHeight="1" x14ac:dyDescent="0.3">
      <c r="A75" s="19" t="s">
        <v>51</v>
      </c>
      <c r="B75" s="19" t="s">
        <v>56</v>
      </c>
      <c r="C75" s="20">
        <v>0.22222222222222221</v>
      </c>
      <c r="D75" s="19" t="s">
        <v>53</v>
      </c>
      <c r="E75" s="19" t="s">
        <v>103</v>
      </c>
      <c r="F75" s="19" t="s">
        <v>63</v>
      </c>
      <c r="G75" s="144"/>
      <c r="H75" s="10"/>
      <c r="I75" s="11"/>
      <c r="J75" s="11"/>
      <c r="K75" s="11"/>
      <c r="L75" s="11"/>
      <c r="M75" s="11"/>
      <c r="N75" s="11"/>
      <c r="O75" s="12"/>
      <c r="P75" s="11"/>
      <c r="Q75" s="13"/>
      <c r="R75" s="14"/>
    </row>
    <row r="76" spans="1:18" ht="15" customHeight="1" x14ac:dyDescent="0.3">
      <c r="A76" s="19" t="s">
        <v>64</v>
      </c>
      <c r="B76" s="19" t="s">
        <v>71</v>
      </c>
      <c r="C76" s="20">
        <v>8.6805555555555566E-2</v>
      </c>
      <c r="D76" s="19" t="s">
        <v>66</v>
      </c>
      <c r="E76" s="19" t="s">
        <v>54</v>
      </c>
      <c r="F76" s="19" t="s">
        <v>92</v>
      </c>
      <c r="G76" s="144"/>
      <c r="H76" s="10"/>
      <c r="I76" s="11"/>
      <c r="J76" s="11"/>
      <c r="K76" s="11"/>
      <c r="L76" s="11"/>
      <c r="M76" s="11"/>
      <c r="N76" s="11"/>
      <c r="O76" s="12"/>
      <c r="P76" s="11"/>
      <c r="Q76" s="13"/>
      <c r="R76" s="14"/>
    </row>
    <row r="77" spans="1:18" ht="15" customHeight="1" x14ac:dyDescent="0.3">
      <c r="A77" s="15" t="s">
        <v>64</v>
      </c>
      <c r="B77" s="15" t="s">
        <v>71</v>
      </c>
      <c r="C77" s="16">
        <v>8.6805555555555566E-2</v>
      </c>
      <c r="D77" s="15" t="s">
        <v>68</v>
      </c>
      <c r="E77" s="15" t="s">
        <v>69</v>
      </c>
      <c r="F77" s="15" t="s">
        <v>94</v>
      </c>
      <c r="G77" s="144"/>
      <c r="H77" s="10"/>
      <c r="I77" s="11"/>
      <c r="J77" s="11"/>
      <c r="K77" s="11"/>
      <c r="L77" s="11"/>
      <c r="M77" s="11"/>
      <c r="N77" s="11"/>
      <c r="O77" s="12"/>
      <c r="P77" s="11"/>
      <c r="Q77" s="13"/>
      <c r="R77" s="14"/>
    </row>
    <row r="78" spans="1:18" ht="15" customHeight="1" x14ac:dyDescent="0.3">
      <c r="A78" s="17" t="s">
        <v>64</v>
      </c>
      <c r="B78" s="17" t="s">
        <v>72</v>
      </c>
      <c r="C78" s="18">
        <v>0.4201388888888889</v>
      </c>
      <c r="D78" s="17" t="s">
        <v>68</v>
      </c>
      <c r="E78" s="17" t="s">
        <v>73</v>
      </c>
      <c r="F78" s="17" t="s">
        <v>74</v>
      </c>
      <c r="G78" s="144"/>
      <c r="H78" s="10"/>
      <c r="I78" s="11"/>
      <c r="J78" s="11"/>
      <c r="K78" s="11"/>
      <c r="L78" s="11"/>
      <c r="M78" s="11"/>
      <c r="N78" s="11"/>
      <c r="O78" s="12"/>
      <c r="P78" s="11"/>
      <c r="Q78" s="13"/>
      <c r="R78" s="14"/>
    </row>
    <row r="79" spans="1:18" ht="15" customHeight="1" x14ac:dyDescent="0.3">
      <c r="A79" s="17" t="s">
        <v>64</v>
      </c>
      <c r="B79" s="17" t="s">
        <v>65</v>
      </c>
      <c r="C79" s="18">
        <v>0.60416666666666663</v>
      </c>
      <c r="D79" s="17" t="s">
        <v>66</v>
      </c>
      <c r="E79" s="17" t="s">
        <v>76</v>
      </c>
      <c r="F79" s="17" t="s">
        <v>77</v>
      </c>
      <c r="G79" s="144"/>
      <c r="H79" s="10"/>
      <c r="I79" s="11"/>
      <c r="J79" s="11"/>
      <c r="K79" s="11"/>
      <c r="L79" s="11"/>
      <c r="M79" s="11"/>
      <c r="N79" s="11"/>
      <c r="O79" s="12"/>
      <c r="P79" s="11"/>
      <c r="Q79" s="13"/>
      <c r="R79" s="14"/>
    </row>
    <row r="80" spans="1:18" ht="15" customHeight="1" x14ac:dyDescent="0.3">
      <c r="A80" s="15" t="s">
        <v>64</v>
      </c>
      <c r="B80" s="15" t="s">
        <v>65</v>
      </c>
      <c r="C80" s="16">
        <v>0.60416666666666663</v>
      </c>
      <c r="D80" s="15" t="s">
        <v>68</v>
      </c>
      <c r="E80" s="15" t="s">
        <v>78</v>
      </c>
      <c r="F80" s="15" t="s">
        <v>79</v>
      </c>
      <c r="G80" s="144"/>
      <c r="H80" s="10"/>
      <c r="I80" s="11"/>
      <c r="J80" s="11"/>
      <c r="K80" s="11"/>
      <c r="L80" s="11"/>
      <c r="M80" s="11"/>
      <c r="N80" s="11"/>
      <c r="O80" s="12"/>
      <c r="P80" s="11"/>
      <c r="Q80" s="13"/>
      <c r="R80" s="14"/>
    </row>
    <row r="81" spans="1:18" ht="15" customHeight="1" thickBot="1" x14ac:dyDescent="0.35">
      <c r="A81" s="46" t="s">
        <v>80</v>
      </c>
      <c r="B81" s="46" t="s">
        <v>81</v>
      </c>
      <c r="C81" s="47">
        <v>0.90277777777777779</v>
      </c>
      <c r="D81" s="46" t="s">
        <v>82</v>
      </c>
      <c r="E81" s="48"/>
      <c r="F81" s="46" t="s">
        <v>83</v>
      </c>
      <c r="G81" s="145"/>
      <c r="H81" s="49" t="s">
        <v>81</v>
      </c>
      <c r="I81" s="50">
        <v>1</v>
      </c>
      <c r="J81" s="51">
        <v>179</v>
      </c>
      <c r="K81" s="52" t="s">
        <v>110</v>
      </c>
      <c r="L81" s="51">
        <v>3</v>
      </c>
      <c r="M81" s="51">
        <v>0</v>
      </c>
      <c r="N81" s="51">
        <v>0</v>
      </c>
      <c r="O81" s="53" t="s">
        <v>85</v>
      </c>
      <c r="P81" s="54">
        <v>0.90277777777777779</v>
      </c>
      <c r="Q81" s="51">
        <v>179</v>
      </c>
      <c r="R81" s="55" t="s">
        <v>111</v>
      </c>
    </row>
    <row r="82" spans="1:18" ht="17.399999999999999" customHeight="1" thickBot="1" x14ac:dyDescent="0.35">
      <c r="A82" s="175"/>
      <c r="B82" s="176"/>
      <c r="C82" s="176"/>
      <c r="D82" s="176"/>
      <c r="E82" s="176"/>
      <c r="F82" s="176"/>
      <c r="G82" s="176"/>
      <c r="H82" s="176"/>
      <c r="I82" s="176"/>
      <c r="J82" s="176"/>
      <c r="K82" s="176"/>
      <c r="L82" s="176"/>
      <c r="M82" s="176"/>
      <c r="N82" s="176"/>
      <c r="O82" s="176"/>
      <c r="P82" s="176"/>
      <c r="Q82" s="176"/>
      <c r="R82" s="177"/>
    </row>
    <row r="83" spans="1:18" ht="22.05" customHeight="1" thickTop="1" thickBot="1" x14ac:dyDescent="0.35">
      <c r="A83" s="158" t="s">
        <v>6</v>
      </c>
      <c r="B83" s="147"/>
      <c r="C83" s="147"/>
      <c r="D83" s="147"/>
      <c r="E83" s="147"/>
      <c r="F83" s="148"/>
      <c r="G83" s="31">
        <v>45985</v>
      </c>
      <c r="H83" s="146" t="s">
        <v>7</v>
      </c>
      <c r="I83" s="147"/>
      <c r="J83" s="147"/>
      <c r="K83" s="147"/>
      <c r="L83" s="147"/>
      <c r="M83" s="147"/>
      <c r="N83" s="147"/>
      <c r="O83" s="147"/>
      <c r="P83" s="147"/>
      <c r="Q83" s="147"/>
      <c r="R83" s="148"/>
    </row>
    <row r="84" spans="1:18" ht="24" customHeight="1" x14ac:dyDescent="0.3">
      <c r="A84" s="32" t="s">
        <v>8</v>
      </c>
      <c r="B84" s="32" t="s">
        <v>9</v>
      </c>
      <c r="C84" s="33" t="s">
        <v>10</v>
      </c>
      <c r="D84" s="32" t="s">
        <v>11</v>
      </c>
      <c r="E84" s="32" t="s">
        <v>12</v>
      </c>
      <c r="F84" s="34" t="s">
        <v>13</v>
      </c>
      <c r="G84" s="35" t="s">
        <v>14</v>
      </c>
      <c r="H84" s="32" t="s">
        <v>15</v>
      </c>
      <c r="I84" s="36" t="s">
        <v>16</v>
      </c>
      <c r="J84" s="37" t="s">
        <v>17</v>
      </c>
      <c r="K84" s="38" t="s">
        <v>18</v>
      </c>
      <c r="L84" s="37" t="s">
        <v>19</v>
      </c>
      <c r="M84" s="37" t="s">
        <v>20</v>
      </c>
      <c r="N84" s="37" t="s">
        <v>21</v>
      </c>
      <c r="O84" s="32" t="s">
        <v>22</v>
      </c>
      <c r="P84" s="33" t="s">
        <v>23</v>
      </c>
      <c r="Q84" s="37" t="s">
        <v>24</v>
      </c>
      <c r="R84" s="32" t="s">
        <v>25</v>
      </c>
    </row>
    <row r="85" spans="1:18" ht="15" customHeight="1" x14ac:dyDescent="0.3">
      <c r="A85" s="8" t="s">
        <v>41</v>
      </c>
      <c r="B85" s="8" t="s">
        <v>42</v>
      </c>
      <c r="C85" s="9">
        <v>0.4201388888888889</v>
      </c>
      <c r="D85" s="8" t="s">
        <v>43</v>
      </c>
      <c r="E85" s="8" t="s">
        <v>91</v>
      </c>
      <c r="F85" s="8" t="s">
        <v>112</v>
      </c>
      <c r="G85" s="155"/>
      <c r="H85" s="10"/>
      <c r="I85" s="11"/>
      <c r="J85" s="11"/>
      <c r="K85" s="11"/>
      <c r="L85" s="11"/>
      <c r="M85" s="11"/>
      <c r="N85" s="11"/>
      <c r="O85" s="12"/>
      <c r="P85" s="11"/>
      <c r="Q85" s="13"/>
      <c r="R85" s="14"/>
    </row>
    <row r="86" spans="1:18" ht="15" customHeight="1" x14ac:dyDescent="0.3">
      <c r="A86" s="15" t="s">
        <v>41</v>
      </c>
      <c r="B86" s="15" t="s">
        <v>42</v>
      </c>
      <c r="C86" s="16">
        <v>0.4201388888888889</v>
      </c>
      <c r="D86" s="15" t="s">
        <v>46</v>
      </c>
      <c r="E86" s="15" t="s">
        <v>93</v>
      </c>
      <c r="F86" s="15" t="s">
        <v>113</v>
      </c>
      <c r="G86" s="144"/>
      <c r="H86" s="10"/>
      <c r="I86" s="11"/>
      <c r="J86" s="11"/>
      <c r="K86" s="11"/>
      <c r="L86" s="11"/>
      <c r="M86" s="11"/>
      <c r="N86" s="11"/>
      <c r="O86" s="12"/>
      <c r="P86" s="11"/>
      <c r="Q86" s="13"/>
      <c r="R86" s="14"/>
    </row>
    <row r="87" spans="1:18" ht="15" customHeight="1" x14ac:dyDescent="0.3">
      <c r="A87" s="15" t="s">
        <v>41</v>
      </c>
      <c r="B87" s="15" t="s">
        <v>42</v>
      </c>
      <c r="C87" s="16">
        <v>0.4201388888888889</v>
      </c>
      <c r="D87" s="15" t="s">
        <v>49</v>
      </c>
      <c r="E87" s="15" t="s">
        <v>93</v>
      </c>
      <c r="F87" s="15" t="s">
        <v>50</v>
      </c>
      <c r="G87" s="144"/>
      <c r="H87" s="10"/>
      <c r="I87" s="11"/>
      <c r="J87" s="11"/>
      <c r="K87" s="11"/>
      <c r="L87" s="11"/>
      <c r="M87" s="11"/>
      <c r="N87" s="11"/>
      <c r="O87" s="12"/>
      <c r="P87" s="11"/>
      <c r="Q87" s="13"/>
      <c r="R87" s="14"/>
    </row>
    <row r="88" spans="1:18" ht="15" customHeight="1" x14ac:dyDescent="0.3">
      <c r="A88" s="19" t="s">
        <v>26</v>
      </c>
      <c r="B88" s="19" t="s">
        <v>27</v>
      </c>
      <c r="C88" s="20">
        <v>0.35416666666666669</v>
      </c>
      <c r="D88" s="19" t="s">
        <v>28</v>
      </c>
      <c r="E88" s="19" t="s">
        <v>29</v>
      </c>
      <c r="F88" s="19" t="s">
        <v>38</v>
      </c>
      <c r="G88" s="144"/>
      <c r="H88" s="10"/>
      <c r="I88" s="11"/>
      <c r="J88" s="11"/>
      <c r="K88" s="11"/>
      <c r="L88" s="11"/>
      <c r="M88" s="11"/>
      <c r="N88" s="11"/>
      <c r="O88" s="12"/>
      <c r="P88" s="11"/>
      <c r="Q88" s="13"/>
      <c r="R88" s="14"/>
    </row>
    <row r="89" spans="1:18" ht="15" customHeight="1" x14ac:dyDescent="0.3">
      <c r="A89" s="15" t="s">
        <v>26</v>
      </c>
      <c r="B89" s="15" t="s">
        <v>27</v>
      </c>
      <c r="C89" s="16">
        <v>0.35416666666666669</v>
      </c>
      <c r="D89" s="15" t="s">
        <v>31</v>
      </c>
      <c r="E89" s="15" t="s">
        <v>32</v>
      </c>
      <c r="F89" s="15" t="s">
        <v>39</v>
      </c>
      <c r="G89" s="144"/>
      <c r="H89" s="10"/>
      <c r="I89" s="11"/>
      <c r="J89" s="11"/>
      <c r="K89" s="11"/>
      <c r="L89" s="11"/>
      <c r="M89" s="11"/>
      <c r="N89" s="11"/>
      <c r="O89" s="12"/>
      <c r="P89" s="11"/>
      <c r="Q89" s="13"/>
      <c r="R89" s="14"/>
    </row>
    <row r="90" spans="1:18" ht="15" customHeight="1" x14ac:dyDescent="0.3">
      <c r="A90" s="15" t="s">
        <v>26</v>
      </c>
      <c r="B90" s="15" t="s">
        <v>27</v>
      </c>
      <c r="C90" s="16">
        <v>0.35416666666666669</v>
      </c>
      <c r="D90" s="15" t="s">
        <v>34</v>
      </c>
      <c r="E90" s="15" t="s">
        <v>32</v>
      </c>
      <c r="F90" s="15" t="s">
        <v>40</v>
      </c>
      <c r="G90" s="144"/>
      <c r="H90" s="10"/>
      <c r="I90" s="11"/>
      <c r="J90" s="11"/>
      <c r="K90" s="11"/>
      <c r="L90" s="11"/>
      <c r="M90" s="11"/>
      <c r="N90" s="11"/>
      <c r="O90" s="12"/>
      <c r="P90" s="11"/>
      <c r="Q90" s="13"/>
      <c r="R90" s="14"/>
    </row>
    <row r="91" spans="1:18" ht="15" customHeight="1" x14ac:dyDescent="0.3">
      <c r="A91" s="17" t="s">
        <v>26</v>
      </c>
      <c r="B91" s="17" t="s">
        <v>36</v>
      </c>
      <c r="C91" s="18">
        <v>0.75694444444444453</v>
      </c>
      <c r="D91" s="17" t="s">
        <v>28</v>
      </c>
      <c r="E91" s="17" t="s">
        <v>114</v>
      </c>
      <c r="F91" s="17" t="s">
        <v>115</v>
      </c>
      <c r="G91" s="144"/>
      <c r="H91" s="10"/>
      <c r="I91" s="11"/>
      <c r="J91" s="11"/>
      <c r="K91" s="11"/>
      <c r="L91" s="11"/>
      <c r="M91" s="11"/>
      <c r="N91" s="11"/>
      <c r="O91" s="12"/>
      <c r="P91" s="11"/>
      <c r="Q91" s="13"/>
      <c r="R91" s="14"/>
    </row>
    <row r="92" spans="1:18" ht="15" customHeight="1" x14ac:dyDescent="0.3">
      <c r="A92" s="15" t="s">
        <v>26</v>
      </c>
      <c r="B92" s="15" t="s">
        <v>36</v>
      </c>
      <c r="C92" s="16">
        <v>0.75694444444444453</v>
      </c>
      <c r="D92" s="15" t="s">
        <v>31</v>
      </c>
      <c r="E92" s="15" t="s">
        <v>99</v>
      </c>
      <c r="F92" s="15" t="s">
        <v>116</v>
      </c>
      <c r="G92" s="144"/>
      <c r="H92" s="10"/>
      <c r="I92" s="11"/>
      <c r="J92" s="11"/>
      <c r="K92" s="11"/>
      <c r="L92" s="11"/>
      <c r="M92" s="11"/>
      <c r="N92" s="11"/>
      <c r="O92" s="12"/>
      <c r="P92" s="11"/>
      <c r="Q92" s="13"/>
      <c r="R92" s="14"/>
    </row>
    <row r="93" spans="1:18" ht="15" customHeight="1" x14ac:dyDescent="0.3">
      <c r="A93" s="15" t="s">
        <v>26</v>
      </c>
      <c r="B93" s="15" t="s">
        <v>36</v>
      </c>
      <c r="C93" s="16">
        <v>0.75694444444444453</v>
      </c>
      <c r="D93" s="15" t="s">
        <v>34</v>
      </c>
      <c r="E93" s="15" t="s">
        <v>99</v>
      </c>
      <c r="F93" s="15" t="s">
        <v>117</v>
      </c>
      <c r="G93" s="144"/>
      <c r="H93" s="10"/>
      <c r="I93" s="11"/>
      <c r="J93" s="11"/>
      <c r="K93" s="11"/>
      <c r="L93" s="11"/>
      <c r="M93" s="11"/>
      <c r="N93" s="11"/>
      <c r="O93" s="12"/>
      <c r="P93" s="11"/>
      <c r="Q93" s="13"/>
      <c r="R93" s="14"/>
    </row>
    <row r="94" spans="1:18" ht="15" customHeight="1" x14ac:dyDescent="0.3">
      <c r="A94" s="19" t="s">
        <v>51</v>
      </c>
      <c r="B94" s="19" t="s">
        <v>56</v>
      </c>
      <c r="C94" s="20">
        <v>0.22222222222222221</v>
      </c>
      <c r="D94" s="19" t="s">
        <v>53</v>
      </c>
      <c r="E94" s="19" t="s">
        <v>54</v>
      </c>
      <c r="F94" s="19" t="s">
        <v>55</v>
      </c>
      <c r="G94" s="144"/>
      <c r="H94" s="10"/>
      <c r="I94" s="11"/>
      <c r="J94" s="11"/>
      <c r="K94" s="11"/>
      <c r="L94" s="11"/>
      <c r="M94" s="11"/>
      <c r="N94" s="11"/>
      <c r="O94" s="12"/>
      <c r="P94" s="11"/>
      <c r="Q94" s="13"/>
      <c r="R94" s="14"/>
    </row>
    <row r="95" spans="1:18" ht="15" customHeight="1" x14ac:dyDescent="0.3">
      <c r="A95" s="17" t="s">
        <v>51</v>
      </c>
      <c r="B95" s="17" t="s">
        <v>62</v>
      </c>
      <c r="C95" s="18">
        <v>0.49305555555555558</v>
      </c>
      <c r="D95" s="17" t="s">
        <v>53</v>
      </c>
      <c r="E95" s="17" t="s">
        <v>102</v>
      </c>
      <c r="F95" s="17" t="s">
        <v>63</v>
      </c>
      <c r="G95" s="144"/>
      <c r="H95" s="10"/>
      <c r="I95" s="11"/>
      <c r="J95" s="11"/>
      <c r="K95" s="11"/>
      <c r="L95" s="11"/>
      <c r="M95" s="11"/>
      <c r="N95" s="11"/>
      <c r="O95" s="12"/>
      <c r="P95" s="11"/>
      <c r="Q95" s="13"/>
      <c r="R95" s="14"/>
    </row>
    <row r="96" spans="1:18" ht="15" customHeight="1" x14ac:dyDescent="0.3">
      <c r="A96" s="19" t="s">
        <v>64</v>
      </c>
      <c r="B96" s="19" t="s">
        <v>71</v>
      </c>
      <c r="C96" s="20">
        <v>8.6805555555555566E-2</v>
      </c>
      <c r="D96" s="19" t="s">
        <v>66</v>
      </c>
      <c r="E96" s="19" t="s">
        <v>54</v>
      </c>
      <c r="F96" s="19" t="s">
        <v>104</v>
      </c>
      <c r="G96" s="144"/>
      <c r="H96" s="10"/>
      <c r="I96" s="11"/>
      <c r="J96" s="11"/>
      <c r="K96" s="11"/>
      <c r="L96" s="11"/>
      <c r="M96" s="11"/>
      <c r="N96" s="11"/>
      <c r="O96" s="12"/>
      <c r="P96" s="11"/>
      <c r="Q96" s="13"/>
      <c r="R96" s="14"/>
    </row>
    <row r="97" spans="1:18" ht="15" customHeight="1" x14ac:dyDescent="0.3">
      <c r="A97" s="15" t="s">
        <v>64</v>
      </c>
      <c r="B97" s="15" t="s">
        <v>71</v>
      </c>
      <c r="C97" s="16">
        <v>8.6805555555555566E-2</v>
      </c>
      <c r="D97" s="15" t="s">
        <v>68</v>
      </c>
      <c r="E97" s="15" t="s">
        <v>69</v>
      </c>
      <c r="F97" s="15" t="s">
        <v>105</v>
      </c>
      <c r="G97" s="144"/>
      <c r="H97" s="10"/>
      <c r="I97" s="11"/>
      <c r="J97" s="11"/>
      <c r="K97" s="11"/>
      <c r="L97" s="11"/>
      <c r="M97" s="11"/>
      <c r="N97" s="11"/>
      <c r="O97" s="12"/>
      <c r="P97" s="11"/>
      <c r="Q97" s="13"/>
      <c r="R97" s="14"/>
    </row>
    <row r="98" spans="1:18" ht="15" customHeight="1" thickBot="1" x14ac:dyDescent="0.35">
      <c r="A98" s="56" t="s">
        <v>64</v>
      </c>
      <c r="B98" s="56" t="s">
        <v>72</v>
      </c>
      <c r="C98" s="57">
        <v>0.4201388888888889</v>
      </c>
      <c r="D98" s="56" t="s">
        <v>68</v>
      </c>
      <c r="E98" s="56" t="s">
        <v>73</v>
      </c>
      <c r="F98" s="56" t="s">
        <v>118</v>
      </c>
      <c r="G98" s="145"/>
      <c r="H98" s="41"/>
      <c r="I98" s="42"/>
      <c r="J98" s="42"/>
      <c r="K98" s="42"/>
      <c r="L98" s="42"/>
      <c r="M98" s="42"/>
      <c r="N98" s="42"/>
      <c r="O98" s="43"/>
      <c r="P98" s="42"/>
      <c r="Q98" s="44"/>
      <c r="R98" s="45"/>
    </row>
    <row r="99" spans="1:18" ht="17.399999999999999" customHeight="1" thickBot="1" x14ac:dyDescent="0.35">
      <c r="A99" s="175"/>
      <c r="B99" s="176"/>
      <c r="C99" s="176"/>
      <c r="D99" s="176"/>
      <c r="E99" s="176"/>
      <c r="F99" s="176"/>
      <c r="G99" s="176"/>
      <c r="H99" s="176"/>
      <c r="I99" s="176"/>
      <c r="J99" s="176"/>
      <c r="K99" s="176"/>
      <c r="L99" s="176"/>
      <c r="M99" s="176"/>
      <c r="N99" s="176"/>
      <c r="O99" s="176"/>
      <c r="P99" s="176"/>
      <c r="Q99" s="176"/>
      <c r="R99" s="177"/>
    </row>
    <row r="100" spans="1:18" ht="22.05" customHeight="1" thickTop="1" thickBot="1" x14ac:dyDescent="0.35">
      <c r="A100" s="158" t="s">
        <v>6</v>
      </c>
      <c r="B100" s="147"/>
      <c r="C100" s="147"/>
      <c r="D100" s="147"/>
      <c r="E100" s="147"/>
      <c r="F100" s="148"/>
      <c r="G100" s="31">
        <v>45986</v>
      </c>
      <c r="H100" s="146" t="s">
        <v>7</v>
      </c>
      <c r="I100" s="147"/>
      <c r="J100" s="147"/>
      <c r="K100" s="147"/>
      <c r="L100" s="147"/>
      <c r="M100" s="147"/>
      <c r="N100" s="147"/>
      <c r="O100" s="147"/>
      <c r="P100" s="147"/>
      <c r="Q100" s="147"/>
      <c r="R100" s="148"/>
    </row>
    <row r="101" spans="1:18" ht="24" customHeight="1" x14ac:dyDescent="0.3">
      <c r="A101" s="32" t="s">
        <v>8</v>
      </c>
      <c r="B101" s="32" t="s">
        <v>9</v>
      </c>
      <c r="C101" s="33" t="s">
        <v>10</v>
      </c>
      <c r="D101" s="32" t="s">
        <v>11</v>
      </c>
      <c r="E101" s="32" t="s">
        <v>12</v>
      </c>
      <c r="F101" s="34" t="s">
        <v>13</v>
      </c>
      <c r="G101" s="35" t="s">
        <v>14</v>
      </c>
      <c r="H101" s="32" t="s">
        <v>15</v>
      </c>
      <c r="I101" s="36" t="s">
        <v>16</v>
      </c>
      <c r="J101" s="37" t="s">
        <v>17</v>
      </c>
      <c r="K101" s="38" t="s">
        <v>18</v>
      </c>
      <c r="L101" s="37" t="s">
        <v>19</v>
      </c>
      <c r="M101" s="37" t="s">
        <v>20</v>
      </c>
      <c r="N101" s="37" t="s">
        <v>21</v>
      </c>
      <c r="O101" s="32" t="s">
        <v>22</v>
      </c>
      <c r="P101" s="33" t="s">
        <v>23</v>
      </c>
      <c r="Q101" s="37" t="s">
        <v>24</v>
      </c>
      <c r="R101" s="32" t="s">
        <v>25</v>
      </c>
    </row>
    <row r="102" spans="1:18" ht="15" customHeight="1" x14ac:dyDescent="0.3">
      <c r="A102" s="8" t="s">
        <v>41</v>
      </c>
      <c r="B102" s="8" t="s">
        <v>42</v>
      </c>
      <c r="C102" s="9">
        <v>0.4201388888888889</v>
      </c>
      <c r="D102" s="8" t="s">
        <v>43</v>
      </c>
      <c r="E102" s="8" t="s">
        <v>119</v>
      </c>
      <c r="F102" s="8" t="s">
        <v>120</v>
      </c>
      <c r="G102" s="143"/>
      <c r="H102" s="10"/>
      <c r="I102" s="11"/>
      <c r="J102" s="11"/>
      <c r="K102" s="11"/>
      <c r="L102" s="11"/>
      <c r="M102" s="11"/>
      <c r="N102" s="11"/>
      <c r="O102" s="12"/>
      <c r="P102" s="11"/>
      <c r="Q102" s="13"/>
      <c r="R102" s="14"/>
    </row>
    <row r="103" spans="1:18" ht="15" customHeight="1" x14ac:dyDescent="0.3">
      <c r="A103" s="15" t="s">
        <v>41</v>
      </c>
      <c r="B103" s="15" t="s">
        <v>42</v>
      </c>
      <c r="C103" s="16">
        <v>0.4201388888888889</v>
      </c>
      <c r="D103" s="15" t="s">
        <v>46</v>
      </c>
      <c r="E103" s="15" t="s">
        <v>121</v>
      </c>
      <c r="F103" s="15" t="s">
        <v>122</v>
      </c>
      <c r="G103" s="144"/>
      <c r="H103" s="10"/>
      <c r="I103" s="11"/>
      <c r="J103" s="11"/>
      <c r="K103" s="11"/>
      <c r="L103" s="11"/>
      <c r="M103" s="11"/>
      <c r="N103" s="11"/>
      <c r="O103" s="12"/>
      <c r="P103" s="11"/>
      <c r="Q103" s="13"/>
      <c r="R103" s="14"/>
    </row>
    <row r="104" spans="1:18" ht="15" customHeight="1" x14ac:dyDescent="0.3">
      <c r="A104" s="15" t="s">
        <v>41</v>
      </c>
      <c r="B104" s="15" t="s">
        <v>42</v>
      </c>
      <c r="C104" s="16">
        <v>0.4201388888888889</v>
      </c>
      <c r="D104" s="15" t="s">
        <v>49</v>
      </c>
      <c r="E104" s="15" t="s">
        <v>121</v>
      </c>
      <c r="F104" s="15" t="s">
        <v>50</v>
      </c>
      <c r="G104" s="144"/>
      <c r="H104" s="10"/>
      <c r="I104" s="11"/>
      <c r="J104" s="11"/>
      <c r="K104" s="11"/>
      <c r="L104" s="11"/>
      <c r="M104" s="11"/>
      <c r="N104" s="11"/>
      <c r="O104" s="12"/>
      <c r="P104" s="11"/>
      <c r="Q104" s="13"/>
      <c r="R104" s="14"/>
    </row>
    <row r="105" spans="1:18" ht="15" customHeight="1" x14ac:dyDescent="0.3">
      <c r="A105" s="19" t="s">
        <v>51</v>
      </c>
      <c r="B105" s="19" t="s">
        <v>59</v>
      </c>
      <c r="C105" s="20">
        <v>0.85416666666666663</v>
      </c>
      <c r="D105" s="19" t="s">
        <v>53</v>
      </c>
      <c r="E105" s="19" t="s">
        <v>54</v>
      </c>
      <c r="F105" s="19" t="s">
        <v>123</v>
      </c>
      <c r="G105" s="144"/>
      <c r="H105" s="10"/>
      <c r="I105" s="11"/>
      <c r="J105" s="11"/>
      <c r="K105" s="11"/>
      <c r="L105" s="11"/>
      <c r="M105" s="11"/>
      <c r="N105" s="11"/>
      <c r="O105" s="12"/>
      <c r="P105" s="11"/>
      <c r="Q105" s="13"/>
      <c r="R105" s="14"/>
    </row>
    <row r="106" spans="1:18" ht="15" customHeight="1" x14ac:dyDescent="0.3">
      <c r="A106" s="17" t="s">
        <v>51</v>
      </c>
      <c r="B106" s="17" t="s">
        <v>52</v>
      </c>
      <c r="C106" s="18">
        <v>9.7222222222222224E-2</v>
      </c>
      <c r="D106" s="17" t="s">
        <v>53</v>
      </c>
      <c r="E106" s="17" t="s">
        <v>57</v>
      </c>
      <c r="F106" s="17" t="s">
        <v>101</v>
      </c>
      <c r="G106" s="144"/>
      <c r="H106" s="10"/>
      <c r="I106" s="11"/>
      <c r="J106" s="11"/>
      <c r="K106" s="11"/>
      <c r="L106" s="11"/>
      <c r="M106" s="11"/>
      <c r="N106" s="11"/>
      <c r="O106" s="12"/>
      <c r="P106" s="11"/>
      <c r="Q106" s="13"/>
      <c r="R106" s="14"/>
    </row>
    <row r="107" spans="1:18" ht="15" customHeight="1" x14ac:dyDescent="0.3">
      <c r="A107" s="17" t="s">
        <v>51</v>
      </c>
      <c r="B107" s="17" t="s">
        <v>62</v>
      </c>
      <c r="C107" s="18">
        <v>0.49305555555555558</v>
      </c>
      <c r="D107" s="17" t="s">
        <v>53</v>
      </c>
      <c r="E107" s="17" t="s">
        <v>57</v>
      </c>
      <c r="F107" s="17" t="s">
        <v>90</v>
      </c>
      <c r="G107" s="144"/>
      <c r="H107" s="10"/>
      <c r="I107" s="11"/>
      <c r="J107" s="11"/>
      <c r="K107" s="11"/>
      <c r="L107" s="11"/>
      <c r="M107" s="11"/>
      <c r="N107" s="11"/>
      <c r="O107" s="12"/>
      <c r="P107" s="11"/>
      <c r="Q107" s="13"/>
      <c r="R107" s="14"/>
    </row>
    <row r="108" spans="1:18" ht="15" customHeight="1" x14ac:dyDescent="0.3">
      <c r="A108" s="17" t="s">
        <v>51</v>
      </c>
      <c r="B108" s="17" t="s">
        <v>56</v>
      </c>
      <c r="C108" s="18">
        <v>0.22222222222222221</v>
      </c>
      <c r="D108" s="17" t="s">
        <v>53</v>
      </c>
      <c r="E108" s="17" t="s">
        <v>57</v>
      </c>
      <c r="F108" s="17" t="s">
        <v>90</v>
      </c>
      <c r="G108" s="144"/>
      <c r="H108" s="10"/>
      <c r="I108" s="11"/>
      <c r="J108" s="11"/>
      <c r="K108" s="11"/>
      <c r="L108" s="11"/>
      <c r="M108" s="11"/>
      <c r="N108" s="11"/>
      <c r="O108" s="12"/>
      <c r="P108" s="11"/>
      <c r="Q108" s="13"/>
      <c r="R108" s="14"/>
    </row>
    <row r="109" spans="1:18" ht="15" customHeight="1" x14ac:dyDescent="0.3">
      <c r="A109" s="17" t="s">
        <v>51</v>
      </c>
      <c r="B109" s="17" t="s">
        <v>58</v>
      </c>
      <c r="C109" s="18">
        <v>0.44444444444444442</v>
      </c>
      <c r="D109" s="17" t="s">
        <v>53</v>
      </c>
      <c r="E109" s="17" t="s">
        <v>57</v>
      </c>
      <c r="F109" s="17" t="s">
        <v>90</v>
      </c>
      <c r="G109" s="144"/>
      <c r="H109" s="10"/>
      <c r="I109" s="11"/>
      <c r="J109" s="11"/>
      <c r="K109" s="11"/>
      <c r="L109" s="11"/>
      <c r="M109" s="11"/>
      <c r="N109" s="11"/>
      <c r="O109" s="12"/>
      <c r="P109" s="11"/>
      <c r="Q109" s="13"/>
      <c r="R109" s="14"/>
    </row>
    <row r="110" spans="1:18" ht="15" customHeight="1" x14ac:dyDescent="0.3">
      <c r="A110" s="19" t="s">
        <v>26</v>
      </c>
      <c r="B110" s="19" t="s">
        <v>36</v>
      </c>
      <c r="C110" s="20">
        <v>0.75694444444444453</v>
      </c>
      <c r="D110" s="19" t="s">
        <v>28</v>
      </c>
      <c r="E110" s="19" t="s">
        <v>124</v>
      </c>
      <c r="F110" s="19" t="s">
        <v>122</v>
      </c>
      <c r="G110" s="144"/>
      <c r="H110" s="10"/>
      <c r="I110" s="11"/>
      <c r="J110" s="11"/>
      <c r="K110" s="11"/>
      <c r="L110" s="11"/>
      <c r="M110" s="11"/>
      <c r="N110" s="11"/>
      <c r="O110" s="12"/>
      <c r="P110" s="11"/>
      <c r="Q110" s="13"/>
      <c r="R110" s="14"/>
    </row>
    <row r="111" spans="1:18" ht="15" customHeight="1" x14ac:dyDescent="0.3">
      <c r="A111" s="15" t="s">
        <v>26</v>
      </c>
      <c r="B111" s="15" t="s">
        <v>36</v>
      </c>
      <c r="C111" s="16">
        <v>0.75694444444444453</v>
      </c>
      <c r="D111" s="15" t="s">
        <v>31</v>
      </c>
      <c r="E111" s="15" t="s">
        <v>125</v>
      </c>
      <c r="F111" s="15" t="s">
        <v>126</v>
      </c>
      <c r="G111" s="144"/>
      <c r="H111" s="10"/>
      <c r="I111" s="11"/>
      <c r="J111" s="11"/>
      <c r="K111" s="11"/>
      <c r="L111" s="11"/>
      <c r="M111" s="11"/>
      <c r="N111" s="11"/>
      <c r="O111" s="12"/>
      <c r="P111" s="11"/>
      <c r="Q111" s="13"/>
      <c r="R111" s="14"/>
    </row>
    <row r="112" spans="1:18" ht="15" customHeight="1" x14ac:dyDescent="0.3">
      <c r="A112" s="15" t="s">
        <v>26</v>
      </c>
      <c r="B112" s="15" t="s">
        <v>36</v>
      </c>
      <c r="C112" s="16">
        <v>0.75694444444444453</v>
      </c>
      <c r="D112" s="15" t="s">
        <v>34</v>
      </c>
      <c r="E112" s="15" t="s">
        <v>125</v>
      </c>
      <c r="F112" s="15" t="s">
        <v>127</v>
      </c>
      <c r="G112" s="144"/>
      <c r="H112" s="10"/>
      <c r="I112" s="11"/>
      <c r="J112" s="11"/>
      <c r="K112" s="11"/>
      <c r="L112" s="11"/>
      <c r="M112" s="11"/>
      <c r="N112" s="11"/>
      <c r="O112" s="12"/>
      <c r="P112" s="11"/>
      <c r="Q112" s="13"/>
      <c r="R112" s="14"/>
    </row>
    <row r="113" spans="1:18" ht="15" customHeight="1" x14ac:dyDescent="0.3">
      <c r="A113" s="58" t="s">
        <v>80</v>
      </c>
      <c r="B113" s="58" t="s">
        <v>128</v>
      </c>
      <c r="C113" s="59">
        <v>0.27777777777777779</v>
      </c>
      <c r="D113" s="58" t="s">
        <v>129</v>
      </c>
      <c r="E113" s="58" t="s">
        <v>130</v>
      </c>
      <c r="F113" s="58" t="s">
        <v>131</v>
      </c>
      <c r="G113" s="144"/>
      <c r="H113" s="60" t="s">
        <v>132</v>
      </c>
      <c r="I113" s="61">
        <v>0.50600000000000001</v>
      </c>
      <c r="J113" s="62">
        <v>85</v>
      </c>
      <c r="K113" s="63" t="s">
        <v>133</v>
      </c>
      <c r="L113" s="62">
        <v>41</v>
      </c>
      <c r="M113" s="62">
        <v>0</v>
      </c>
      <c r="N113" s="62">
        <v>1</v>
      </c>
      <c r="O113" s="64" t="s">
        <v>134</v>
      </c>
      <c r="P113" s="65">
        <v>0.27777777777777779</v>
      </c>
      <c r="Q113" s="62">
        <v>168</v>
      </c>
      <c r="R113" s="66" t="s">
        <v>135</v>
      </c>
    </row>
    <row r="114" spans="1:18" ht="15" customHeight="1" x14ac:dyDescent="0.3">
      <c r="A114" s="67" t="s">
        <v>80</v>
      </c>
      <c r="B114" s="67" t="s">
        <v>136</v>
      </c>
      <c r="C114" s="68">
        <v>4.8611111111111112E-2</v>
      </c>
      <c r="D114" s="67" t="s">
        <v>129</v>
      </c>
      <c r="E114" s="67" t="s">
        <v>60</v>
      </c>
      <c r="F114" s="67" t="s">
        <v>137</v>
      </c>
      <c r="G114" s="144"/>
      <c r="H114" s="69" t="s">
        <v>138</v>
      </c>
      <c r="I114" s="70">
        <v>0.91059999999999997</v>
      </c>
      <c r="J114" s="71">
        <v>163</v>
      </c>
      <c r="K114" s="72" t="s">
        <v>139</v>
      </c>
      <c r="L114" s="71">
        <v>0</v>
      </c>
      <c r="M114" s="71">
        <v>0</v>
      </c>
      <c r="N114" s="71">
        <v>0</v>
      </c>
      <c r="O114" s="73" t="s">
        <v>140</v>
      </c>
      <c r="P114" s="74">
        <v>4.8611111111111112E-2</v>
      </c>
      <c r="Q114" s="71">
        <v>179</v>
      </c>
      <c r="R114" s="75" t="s">
        <v>141</v>
      </c>
    </row>
    <row r="115" spans="1:18" ht="15" customHeight="1" x14ac:dyDescent="0.3">
      <c r="A115" s="76" t="s">
        <v>80</v>
      </c>
      <c r="B115" s="76" t="s">
        <v>142</v>
      </c>
      <c r="C115" s="77">
        <v>0.97916666666666663</v>
      </c>
      <c r="D115" s="76" t="s">
        <v>129</v>
      </c>
      <c r="E115" s="76" t="s">
        <v>76</v>
      </c>
      <c r="F115" s="76" t="s">
        <v>143</v>
      </c>
      <c r="G115" s="144"/>
      <c r="H115" s="60" t="s">
        <v>81</v>
      </c>
      <c r="I115" s="78">
        <v>0.99439999999999995</v>
      </c>
      <c r="J115" s="62">
        <v>178</v>
      </c>
      <c r="K115" s="63" t="s">
        <v>110</v>
      </c>
      <c r="L115" s="62">
        <v>8</v>
      </c>
      <c r="M115" s="62">
        <v>0</v>
      </c>
      <c r="N115" s="62">
        <v>0</v>
      </c>
      <c r="O115" s="64" t="s">
        <v>144</v>
      </c>
      <c r="P115" s="65">
        <v>0.97916666666666663</v>
      </c>
      <c r="Q115" s="62">
        <v>179</v>
      </c>
      <c r="R115" s="66" t="s">
        <v>145</v>
      </c>
    </row>
    <row r="116" spans="1:18" ht="15" customHeight="1" x14ac:dyDescent="0.3">
      <c r="A116" s="19" t="s">
        <v>64</v>
      </c>
      <c r="B116" s="19" t="s">
        <v>65</v>
      </c>
      <c r="C116" s="20">
        <v>0.60416666666666663</v>
      </c>
      <c r="D116" s="19" t="s">
        <v>66</v>
      </c>
      <c r="E116" s="19" t="s">
        <v>54</v>
      </c>
      <c r="F116" s="19" t="s">
        <v>104</v>
      </c>
      <c r="G116" s="144"/>
      <c r="H116" s="10"/>
      <c r="I116" s="11"/>
      <c r="J116" s="11"/>
      <c r="K116" s="11"/>
      <c r="L116" s="11"/>
      <c r="M116" s="11"/>
      <c r="N116" s="11"/>
      <c r="O116" s="12"/>
      <c r="P116" s="11"/>
      <c r="Q116" s="13"/>
      <c r="R116" s="14"/>
    </row>
    <row r="117" spans="1:18" ht="15" customHeight="1" x14ac:dyDescent="0.3">
      <c r="A117" s="15" t="s">
        <v>64</v>
      </c>
      <c r="B117" s="15" t="s">
        <v>65</v>
      </c>
      <c r="C117" s="16">
        <v>0.60416666666666663</v>
      </c>
      <c r="D117" s="15" t="s">
        <v>68</v>
      </c>
      <c r="E117" s="15" t="s">
        <v>69</v>
      </c>
      <c r="F117" s="15" t="s">
        <v>105</v>
      </c>
      <c r="G117" s="144"/>
      <c r="H117" s="10"/>
      <c r="I117" s="11"/>
      <c r="J117" s="11"/>
      <c r="K117" s="11"/>
      <c r="L117" s="11"/>
      <c r="M117" s="11"/>
      <c r="N117" s="11"/>
      <c r="O117" s="12"/>
      <c r="P117" s="11"/>
      <c r="Q117" s="13"/>
      <c r="R117" s="14"/>
    </row>
    <row r="118" spans="1:18" ht="15" customHeight="1" x14ac:dyDescent="0.3">
      <c r="A118" s="17" t="s">
        <v>64</v>
      </c>
      <c r="B118" s="17" t="s">
        <v>72</v>
      </c>
      <c r="C118" s="18">
        <v>0.4201388888888889</v>
      </c>
      <c r="D118" s="17" t="s">
        <v>68</v>
      </c>
      <c r="E118" s="17" t="s">
        <v>73</v>
      </c>
      <c r="F118" s="17" t="s">
        <v>118</v>
      </c>
      <c r="G118" s="144"/>
      <c r="H118" s="10"/>
      <c r="I118" s="11"/>
      <c r="J118" s="11"/>
      <c r="K118" s="11"/>
      <c r="L118" s="11"/>
      <c r="M118" s="11"/>
      <c r="N118" s="11"/>
      <c r="O118" s="12"/>
      <c r="P118" s="11"/>
      <c r="Q118" s="13"/>
      <c r="R118" s="14"/>
    </row>
    <row r="119" spans="1:18" ht="15" customHeight="1" x14ac:dyDescent="0.3">
      <c r="A119" s="17" t="s">
        <v>64</v>
      </c>
      <c r="B119" s="17" t="s">
        <v>75</v>
      </c>
      <c r="C119" s="18">
        <v>0.79513888888888884</v>
      </c>
      <c r="D119" s="17" t="s">
        <v>66</v>
      </c>
      <c r="E119" s="17" t="s">
        <v>76</v>
      </c>
      <c r="F119" s="17" t="s">
        <v>92</v>
      </c>
      <c r="G119" s="144"/>
      <c r="H119" s="10"/>
      <c r="I119" s="11"/>
      <c r="J119" s="11"/>
      <c r="K119" s="11"/>
      <c r="L119" s="11"/>
      <c r="M119" s="11"/>
      <c r="N119" s="11"/>
      <c r="O119" s="12"/>
      <c r="P119" s="11"/>
      <c r="Q119" s="13"/>
      <c r="R119" s="14"/>
    </row>
    <row r="120" spans="1:18" ht="15" customHeight="1" x14ac:dyDescent="0.3">
      <c r="A120" s="15" t="s">
        <v>64</v>
      </c>
      <c r="B120" s="15" t="s">
        <v>75</v>
      </c>
      <c r="C120" s="16">
        <v>0.79513888888888884</v>
      </c>
      <c r="D120" s="15" t="s">
        <v>68</v>
      </c>
      <c r="E120" s="15" t="s">
        <v>78</v>
      </c>
      <c r="F120" s="15" t="s">
        <v>94</v>
      </c>
      <c r="G120" s="144"/>
      <c r="H120" s="10"/>
      <c r="I120" s="11"/>
      <c r="J120" s="11"/>
      <c r="K120" s="11"/>
      <c r="L120" s="11"/>
      <c r="M120" s="11"/>
      <c r="N120" s="11"/>
      <c r="O120" s="12"/>
      <c r="P120" s="11"/>
      <c r="Q120" s="13"/>
      <c r="R120" s="14"/>
    </row>
    <row r="121" spans="1:18" ht="15" customHeight="1" x14ac:dyDescent="0.3">
      <c r="A121" s="17" t="s">
        <v>64</v>
      </c>
      <c r="B121" s="17" t="s">
        <v>71</v>
      </c>
      <c r="C121" s="18">
        <v>8.6805555555555566E-2</v>
      </c>
      <c r="D121" s="17" t="s">
        <v>66</v>
      </c>
      <c r="E121" s="17" t="s">
        <v>57</v>
      </c>
      <c r="F121" s="17" t="s">
        <v>92</v>
      </c>
      <c r="G121" s="144"/>
      <c r="H121" s="10"/>
      <c r="I121" s="11"/>
      <c r="J121" s="11"/>
      <c r="K121" s="11"/>
      <c r="L121" s="11"/>
      <c r="M121" s="11"/>
      <c r="N121" s="11"/>
      <c r="O121" s="12"/>
      <c r="P121" s="11"/>
      <c r="Q121" s="13"/>
      <c r="R121" s="14"/>
    </row>
    <row r="122" spans="1:18" ht="15" customHeight="1" thickBot="1" x14ac:dyDescent="0.35">
      <c r="A122" s="39" t="s">
        <v>64</v>
      </c>
      <c r="B122" s="39" t="s">
        <v>71</v>
      </c>
      <c r="C122" s="40">
        <v>8.6805555555555566E-2</v>
      </c>
      <c r="D122" s="39" t="s">
        <v>68</v>
      </c>
      <c r="E122" s="39" t="s">
        <v>69</v>
      </c>
      <c r="F122" s="39" t="s">
        <v>94</v>
      </c>
      <c r="G122" s="145"/>
      <c r="H122" s="41"/>
      <c r="I122" s="42"/>
      <c r="J122" s="42"/>
      <c r="K122" s="42"/>
      <c r="L122" s="42"/>
      <c r="M122" s="42"/>
      <c r="N122" s="42"/>
      <c r="O122" s="43"/>
      <c r="P122" s="42"/>
      <c r="Q122" s="44"/>
      <c r="R122" s="45"/>
    </row>
    <row r="123" spans="1:18" ht="17.399999999999999" customHeight="1" thickBot="1" x14ac:dyDescent="0.35">
      <c r="A123" s="175"/>
      <c r="B123" s="176"/>
      <c r="C123" s="176"/>
      <c r="D123" s="176"/>
      <c r="E123" s="176"/>
      <c r="F123" s="176"/>
      <c r="G123" s="176"/>
      <c r="H123" s="176"/>
      <c r="I123" s="176"/>
      <c r="J123" s="176"/>
      <c r="K123" s="176"/>
      <c r="L123" s="176"/>
      <c r="M123" s="176"/>
      <c r="N123" s="176"/>
      <c r="O123" s="176"/>
      <c r="P123" s="176"/>
      <c r="Q123" s="176"/>
      <c r="R123" s="177"/>
    </row>
    <row r="124" spans="1:18" ht="22.05" customHeight="1" thickTop="1" thickBot="1" x14ac:dyDescent="0.35">
      <c r="A124" s="158" t="s">
        <v>6</v>
      </c>
      <c r="B124" s="147"/>
      <c r="C124" s="147"/>
      <c r="D124" s="147"/>
      <c r="E124" s="147"/>
      <c r="F124" s="148"/>
      <c r="G124" s="31">
        <v>45987</v>
      </c>
      <c r="H124" s="146" t="s">
        <v>7</v>
      </c>
      <c r="I124" s="147"/>
      <c r="J124" s="147"/>
      <c r="K124" s="147"/>
      <c r="L124" s="147"/>
      <c r="M124" s="147"/>
      <c r="N124" s="147"/>
      <c r="O124" s="147"/>
      <c r="P124" s="147"/>
      <c r="Q124" s="147"/>
      <c r="R124" s="148"/>
    </row>
    <row r="125" spans="1:18" ht="24" customHeight="1" x14ac:dyDescent="0.3">
      <c r="A125" s="32" t="s">
        <v>8</v>
      </c>
      <c r="B125" s="32" t="s">
        <v>9</v>
      </c>
      <c r="C125" s="33" t="s">
        <v>10</v>
      </c>
      <c r="D125" s="32" t="s">
        <v>11</v>
      </c>
      <c r="E125" s="32" t="s">
        <v>12</v>
      </c>
      <c r="F125" s="34" t="s">
        <v>13</v>
      </c>
      <c r="G125" s="35" t="s">
        <v>14</v>
      </c>
      <c r="H125" s="32" t="s">
        <v>15</v>
      </c>
      <c r="I125" s="36" t="s">
        <v>16</v>
      </c>
      <c r="J125" s="37" t="s">
        <v>17</v>
      </c>
      <c r="K125" s="38" t="s">
        <v>18</v>
      </c>
      <c r="L125" s="37" t="s">
        <v>19</v>
      </c>
      <c r="M125" s="37" t="s">
        <v>20</v>
      </c>
      <c r="N125" s="37" t="s">
        <v>21</v>
      </c>
      <c r="O125" s="32" t="s">
        <v>22</v>
      </c>
      <c r="P125" s="33" t="s">
        <v>23</v>
      </c>
      <c r="Q125" s="37" t="s">
        <v>24</v>
      </c>
      <c r="R125" s="32" t="s">
        <v>25</v>
      </c>
    </row>
    <row r="126" spans="1:18" ht="15" customHeight="1" x14ac:dyDescent="0.3">
      <c r="A126" s="8" t="s">
        <v>51</v>
      </c>
      <c r="B126" s="8" t="s">
        <v>56</v>
      </c>
      <c r="C126" s="9">
        <v>0.22222222222222221</v>
      </c>
      <c r="D126" s="8" t="s">
        <v>53</v>
      </c>
      <c r="E126" s="8" t="s">
        <v>54</v>
      </c>
      <c r="F126" s="8" t="s">
        <v>123</v>
      </c>
      <c r="G126" s="143"/>
      <c r="H126" s="10"/>
      <c r="I126" s="11"/>
      <c r="J126" s="11"/>
      <c r="K126" s="11"/>
      <c r="L126" s="11"/>
      <c r="M126" s="11"/>
      <c r="N126" s="11"/>
      <c r="O126" s="12"/>
      <c r="P126" s="11"/>
      <c r="Q126" s="13"/>
      <c r="R126" s="14"/>
    </row>
    <row r="127" spans="1:18" ht="15" customHeight="1" x14ac:dyDescent="0.3">
      <c r="A127" s="17" t="s">
        <v>51</v>
      </c>
      <c r="B127" s="17" t="s">
        <v>59</v>
      </c>
      <c r="C127" s="18">
        <v>0.84722222222222221</v>
      </c>
      <c r="D127" s="17" t="s">
        <v>53</v>
      </c>
      <c r="E127" s="17" t="s">
        <v>102</v>
      </c>
      <c r="F127" s="17" t="s">
        <v>63</v>
      </c>
      <c r="G127" s="144"/>
      <c r="H127" s="10"/>
      <c r="I127" s="11"/>
      <c r="J127" s="11"/>
      <c r="K127" s="11"/>
      <c r="L127" s="11"/>
      <c r="M127" s="11"/>
      <c r="N127" s="11"/>
      <c r="O127" s="12"/>
      <c r="P127" s="11"/>
      <c r="Q127" s="13"/>
      <c r="R127" s="14"/>
    </row>
    <row r="128" spans="1:18" ht="15" customHeight="1" x14ac:dyDescent="0.3">
      <c r="A128" s="17" t="s">
        <v>51</v>
      </c>
      <c r="B128" s="17" t="s">
        <v>58</v>
      </c>
      <c r="C128" s="18">
        <v>0.44444444444444442</v>
      </c>
      <c r="D128" s="17" t="s">
        <v>53</v>
      </c>
      <c r="E128" s="17" t="s">
        <v>57</v>
      </c>
      <c r="F128" s="17" t="s">
        <v>63</v>
      </c>
      <c r="G128" s="144"/>
      <c r="H128" s="10"/>
      <c r="I128" s="11"/>
      <c r="J128" s="11"/>
      <c r="K128" s="11"/>
      <c r="L128" s="11"/>
      <c r="M128" s="11"/>
      <c r="N128" s="11"/>
      <c r="O128" s="12"/>
      <c r="P128" s="11"/>
      <c r="Q128" s="13"/>
      <c r="R128" s="14"/>
    </row>
    <row r="129" spans="1:18" ht="15" customHeight="1" x14ac:dyDescent="0.3">
      <c r="A129" s="19" t="s">
        <v>41</v>
      </c>
      <c r="B129" s="19" t="s">
        <v>42</v>
      </c>
      <c r="C129" s="20">
        <v>0.4201388888888889</v>
      </c>
      <c r="D129" s="19" t="s">
        <v>43</v>
      </c>
      <c r="E129" s="19" t="s">
        <v>124</v>
      </c>
      <c r="F129" s="19" t="s">
        <v>112</v>
      </c>
      <c r="G129" s="144"/>
      <c r="H129" s="10"/>
      <c r="I129" s="11"/>
      <c r="J129" s="11"/>
      <c r="K129" s="11"/>
      <c r="L129" s="11"/>
      <c r="M129" s="11"/>
      <c r="N129" s="11"/>
      <c r="O129" s="12"/>
      <c r="P129" s="11"/>
      <c r="Q129" s="13"/>
      <c r="R129" s="14"/>
    </row>
    <row r="130" spans="1:18" ht="15" customHeight="1" x14ac:dyDescent="0.3">
      <c r="A130" s="15" t="s">
        <v>41</v>
      </c>
      <c r="B130" s="15" t="s">
        <v>42</v>
      </c>
      <c r="C130" s="16">
        <v>0.4201388888888889</v>
      </c>
      <c r="D130" s="15" t="s">
        <v>46</v>
      </c>
      <c r="E130" s="15" t="s">
        <v>125</v>
      </c>
      <c r="F130" s="15" t="s">
        <v>113</v>
      </c>
      <c r="G130" s="144"/>
      <c r="H130" s="10"/>
      <c r="I130" s="11"/>
      <c r="J130" s="11"/>
      <c r="K130" s="11"/>
      <c r="L130" s="11"/>
      <c r="M130" s="11"/>
      <c r="N130" s="11"/>
      <c r="O130" s="12"/>
      <c r="P130" s="11"/>
      <c r="Q130" s="13"/>
      <c r="R130" s="14"/>
    </row>
    <row r="131" spans="1:18" ht="15" customHeight="1" x14ac:dyDescent="0.3">
      <c r="A131" s="15" t="s">
        <v>41</v>
      </c>
      <c r="B131" s="15" t="s">
        <v>42</v>
      </c>
      <c r="C131" s="16">
        <v>0.4201388888888889</v>
      </c>
      <c r="D131" s="15" t="s">
        <v>49</v>
      </c>
      <c r="E131" s="15" t="s">
        <v>125</v>
      </c>
      <c r="F131" s="15" t="s">
        <v>35</v>
      </c>
      <c r="G131" s="144"/>
      <c r="H131" s="10"/>
      <c r="I131" s="11"/>
      <c r="J131" s="11"/>
      <c r="K131" s="11"/>
      <c r="L131" s="11"/>
      <c r="M131" s="11"/>
      <c r="N131" s="11"/>
      <c r="O131" s="12"/>
      <c r="P131" s="11"/>
      <c r="Q131" s="13"/>
      <c r="R131" s="14"/>
    </row>
    <row r="132" spans="1:18" ht="15" customHeight="1" x14ac:dyDescent="0.3">
      <c r="A132" s="19" t="s">
        <v>26</v>
      </c>
      <c r="B132" s="19" t="s">
        <v>36</v>
      </c>
      <c r="C132" s="20">
        <v>0.75694444444444453</v>
      </c>
      <c r="D132" s="19" t="s">
        <v>28</v>
      </c>
      <c r="E132" s="19" t="s">
        <v>103</v>
      </c>
      <c r="F132" s="19" t="s">
        <v>122</v>
      </c>
      <c r="G132" s="144"/>
      <c r="H132" s="10"/>
      <c r="I132" s="11"/>
      <c r="J132" s="11"/>
      <c r="K132" s="11"/>
      <c r="L132" s="11"/>
      <c r="M132" s="11"/>
      <c r="N132" s="11"/>
      <c r="O132" s="12"/>
      <c r="P132" s="11"/>
      <c r="Q132" s="13"/>
      <c r="R132" s="14"/>
    </row>
    <row r="133" spans="1:18" ht="15" customHeight="1" x14ac:dyDescent="0.3">
      <c r="A133" s="15" t="s">
        <v>26</v>
      </c>
      <c r="B133" s="15" t="s">
        <v>36</v>
      </c>
      <c r="C133" s="16">
        <v>0.75694444444444453</v>
      </c>
      <c r="D133" s="15" t="s">
        <v>31</v>
      </c>
      <c r="E133" s="15" t="s">
        <v>78</v>
      </c>
      <c r="F133" s="15" t="s">
        <v>126</v>
      </c>
      <c r="G133" s="144"/>
      <c r="H133" s="10"/>
      <c r="I133" s="11"/>
      <c r="J133" s="11"/>
      <c r="K133" s="11"/>
      <c r="L133" s="11"/>
      <c r="M133" s="11"/>
      <c r="N133" s="11"/>
      <c r="O133" s="12"/>
      <c r="P133" s="11"/>
      <c r="Q133" s="13"/>
      <c r="R133" s="14"/>
    </row>
    <row r="134" spans="1:18" ht="15" customHeight="1" x14ac:dyDescent="0.3">
      <c r="A134" s="15" t="s">
        <v>26</v>
      </c>
      <c r="B134" s="15" t="s">
        <v>36</v>
      </c>
      <c r="C134" s="16">
        <v>0.75694444444444453</v>
      </c>
      <c r="D134" s="15" t="s">
        <v>34</v>
      </c>
      <c r="E134" s="15" t="s">
        <v>78</v>
      </c>
      <c r="F134" s="15" t="s">
        <v>127</v>
      </c>
      <c r="G134" s="144"/>
      <c r="H134" s="10"/>
      <c r="I134" s="11"/>
      <c r="J134" s="11"/>
      <c r="K134" s="11"/>
      <c r="L134" s="11"/>
      <c r="M134" s="11"/>
      <c r="N134" s="11"/>
      <c r="O134" s="12"/>
      <c r="P134" s="11"/>
      <c r="Q134" s="13"/>
      <c r="R134" s="14"/>
    </row>
    <row r="135" spans="1:18" ht="15" customHeight="1" x14ac:dyDescent="0.3">
      <c r="A135" s="19" t="s">
        <v>64</v>
      </c>
      <c r="B135" s="19" t="s">
        <v>65</v>
      </c>
      <c r="C135" s="20">
        <v>0.60416666666666663</v>
      </c>
      <c r="D135" s="19" t="s">
        <v>66</v>
      </c>
      <c r="E135" s="19" t="s">
        <v>54</v>
      </c>
      <c r="F135" s="19" t="s">
        <v>104</v>
      </c>
      <c r="G135" s="144"/>
      <c r="H135" s="10"/>
      <c r="I135" s="11"/>
      <c r="J135" s="11"/>
      <c r="K135" s="11"/>
      <c r="L135" s="11"/>
      <c r="M135" s="11"/>
      <c r="N135" s="11"/>
      <c r="O135" s="12"/>
      <c r="P135" s="11"/>
      <c r="Q135" s="13"/>
      <c r="R135" s="14"/>
    </row>
    <row r="136" spans="1:18" ht="15" customHeight="1" x14ac:dyDescent="0.3">
      <c r="A136" s="15" t="s">
        <v>64</v>
      </c>
      <c r="B136" s="15" t="s">
        <v>65</v>
      </c>
      <c r="C136" s="16">
        <v>0.60416666666666663</v>
      </c>
      <c r="D136" s="15" t="s">
        <v>68</v>
      </c>
      <c r="E136" s="15" t="s">
        <v>69</v>
      </c>
      <c r="F136" s="15" t="s">
        <v>105</v>
      </c>
      <c r="G136" s="144"/>
      <c r="H136" s="10"/>
      <c r="I136" s="11"/>
      <c r="J136" s="11"/>
      <c r="K136" s="11"/>
      <c r="L136" s="11"/>
      <c r="M136" s="11"/>
      <c r="N136" s="11"/>
      <c r="O136" s="12"/>
      <c r="P136" s="11"/>
      <c r="Q136" s="13"/>
      <c r="R136" s="14"/>
    </row>
    <row r="137" spans="1:18" ht="15" customHeight="1" x14ac:dyDescent="0.3">
      <c r="A137" s="17" t="s">
        <v>64</v>
      </c>
      <c r="B137" s="17" t="s">
        <v>75</v>
      </c>
      <c r="C137" s="18">
        <v>0.79513888888888884</v>
      </c>
      <c r="D137" s="17" t="s">
        <v>66</v>
      </c>
      <c r="E137" s="17" t="s">
        <v>57</v>
      </c>
      <c r="F137" s="17" t="s">
        <v>104</v>
      </c>
      <c r="G137" s="144"/>
      <c r="H137" s="10"/>
      <c r="I137" s="11"/>
      <c r="J137" s="11"/>
      <c r="K137" s="11"/>
      <c r="L137" s="11"/>
      <c r="M137" s="11"/>
      <c r="N137" s="11"/>
      <c r="O137" s="12"/>
      <c r="P137" s="11"/>
      <c r="Q137" s="13"/>
      <c r="R137" s="14"/>
    </row>
    <row r="138" spans="1:18" ht="15" customHeight="1" x14ac:dyDescent="0.3">
      <c r="A138" s="15" t="s">
        <v>64</v>
      </c>
      <c r="B138" s="15" t="s">
        <v>75</v>
      </c>
      <c r="C138" s="16">
        <v>0.79513888888888884</v>
      </c>
      <c r="D138" s="15" t="s">
        <v>68</v>
      </c>
      <c r="E138" s="15" t="s">
        <v>69</v>
      </c>
      <c r="F138" s="15" t="s">
        <v>105</v>
      </c>
      <c r="G138" s="144"/>
      <c r="H138" s="10"/>
      <c r="I138" s="11"/>
      <c r="J138" s="11"/>
      <c r="K138" s="11"/>
      <c r="L138" s="11"/>
      <c r="M138" s="11"/>
      <c r="N138" s="11"/>
      <c r="O138" s="12"/>
      <c r="P138" s="11"/>
      <c r="Q138" s="13"/>
      <c r="R138" s="14"/>
    </row>
    <row r="139" spans="1:18" ht="15" customHeight="1" x14ac:dyDescent="0.3">
      <c r="A139" s="17" t="s">
        <v>64</v>
      </c>
      <c r="B139" s="17" t="s">
        <v>71</v>
      </c>
      <c r="C139" s="18">
        <v>8.6805555555555566E-2</v>
      </c>
      <c r="D139" s="17" t="s">
        <v>66</v>
      </c>
      <c r="E139" s="17" t="s">
        <v>57</v>
      </c>
      <c r="F139" s="17" t="s">
        <v>104</v>
      </c>
      <c r="G139" s="144"/>
      <c r="H139" s="10"/>
      <c r="I139" s="11"/>
      <c r="J139" s="11"/>
      <c r="K139" s="11"/>
      <c r="L139" s="11"/>
      <c r="M139" s="11"/>
      <c r="N139" s="11"/>
      <c r="O139" s="12"/>
      <c r="P139" s="11"/>
      <c r="Q139" s="13"/>
      <c r="R139" s="14"/>
    </row>
    <row r="140" spans="1:18" ht="15" customHeight="1" x14ac:dyDescent="0.3">
      <c r="A140" s="15" t="s">
        <v>64</v>
      </c>
      <c r="B140" s="15" t="s">
        <v>71</v>
      </c>
      <c r="C140" s="16">
        <v>8.6805555555555566E-2</v>
      </c>
      <c r="D140" s="15" t="s">
        <v>68</v>
      </c>
      <c r="E140" s="15" t="s">
        <v>69</v>
      </c>
      <c r="F140" s="15" t="s">
        <v>105</v>
      </c>
      <c r="G140" s="144"/>
      <c r="H140" s="10"/>
      <c r="I140" s="11"/>
      <c r="J140" s="11"/>
      <c r="K140" s="11"/>
      <c r="L140" s="11"/>
      <c r="M140" s="11"/>
      <c r="N140" s="11"/>
      <c r="O140" s="12"/>
      <c r="P140" s="11"/>
      <c r="Q140" s="13"/>
      <c r="R140" s="14"/>
    </row>
    <row r="141" spans="1:18" ht="15" customHeight="1" thickBot="1" x14ac:dyDescent="0.35">
      <c r="A141" s="56" t="s">
        <v>64</v>
      </c>
      <c r="B141" s="56" t="s">
        <v>72</v>
      </c>
      <c r="C141" s="57">
        <v>0.4201388888888889</v>
      </c>
      <c r="D141" s="56" t="s">
        <v>68</v>
      </c>
      <c r="E141" s="56" t="s">
        <v>73</v>
      </c>
      <c r="F141" s="56" t="s">
        <v>118</v>
      </c>
      <c r="G141" s="145"/>
      <c r="H141" s="41"/>
      <c r="I141" s="42"/>
      <c r="J141" s="42"/>
      <c r="K141" s="42"/>
      <c r="L141" s="42"/>
      <c r="M141" s="42"/>
      <c r="N141" s="42"/>
      <c r="O141" s="43"/>
      <c r="P141" s="42"/>
      <c r="Q141" s="44"/>
      <c r="R141" s="45"/>
    </row>
    <row r="142" spans="1:18" ht="17.399999999999999" customHeight="1" thickBot="1" x14ac:dyDescent="0.35">
      <c r="A142" s="175"/>
      <c r="B142" s="176"/>
      <c r="C142" s="176"/>
      <c r="D142" s="176"/>
      <c r="E142" s="176"/>
      <c r="F142" s="176"/>
      <c r="G142" s="176"/>
      <c r="H142" s="176"/>
      <c r="I142" s="176"/>
      <c r="J142" s="176"/>
      <c r="K142" s="176"/>
      <c r="L142" s="176"/>
      <c r="M142" s="176"/>
      <c r="N142" s="176"/>
      <c r="O142" s="176"/>
      <c r="P142" s="176"/>
      <c r="Q142" s="176"/>
      <c r="R142" s="177"/>
    </row>
    <row r="143" spans="1:18" ht="22.05" customHeight="1" thickTop="1" thickBot="1" x14ac:dyDescent="0.35">
      <c r="A143" s="158" t="s">
        <v>6</v>
      </c>
      <c r="B143" s="147"/>
      <c r="C143" s="147"/>
      <c r="D143" s="147"/>
      <c r="E143" s="147"/>
      <c r="F143" s="148"/>
      <c r="G143" s="31">
        <v>45988</v>
      </c>
      <c r="H143" s="146" t="s">
        <v>7</v>
      </c>
      <c r="I143" s="147"/>
      <c r="J143" s="147"/>
      <c r="K143" s="147"/>
      <c r="L143" s="147"/>
      <c r="M143" s="147"/>
      <c r="N143" s="147"/>
      <c r="O143" s="147"/>
      <c r="P143" s="147"/>
      <c r="Q143" s="147"/>
      <c r="R143" s="148"/>
    </row>
    <row r="144" spans="1:18" ht="24" customHeight="1" x14ac:dyDescent="0.3">
      <c r="A144" s="32" t="s">
        <v>8</v>
      </c>
      <c r="B144" s="32" t="s">
        <v>9</v>
      </c>
      <c r="C144" s="33" t="s">
        <v>10</v>
      </c>
      <c r="D144" s="32" t="s">
        <v>11</v>
      </c>
      <c r="E144" s="32" t="s">
        <v>12</v>
      </c>
      <c r="F144" s="34" t="s">
        <v>13</v>
      </c>
      <c r="G144" s="35" t="s">
        <v>14</v>
      </c>
      <c r="H144" s="32" t="s">
        <v>15</v>
      </c>
      <c r="I144" s="36" t="s">
        <v>16</v>
      </c>
      <c r="J144" s="37" t="s">
        <v>17</v>
      </c>
      <c r="K144" s="38" t="s">
        <v>18</v>
      </c>
      <c r="L144" s="37" t="s">
        <v>19</v>
      </c>
      <c r="M144" s="37" t="s">
        <v>20</v>
      </c>
      <c r="N144" s="37" t="s">
        <v>21</v>
      </c>
      <c r="O144" s="32" t="s">
        <v>22</v>
      </c>
      <c r="P144" s="33" t="s">
        <v>23</v>
      </c>
      <c r="Q144" s="37" t="s">
        <v>24</v>
      </c>
      <c r="R144" s="32" t="s">
        <v>25</v>
      </c>
    </row>
    <row r="145" spans="1:18" ht="15" customHeight="1" x14ac:dyDescent="0.3">
      <c r="A145" s="8" t="s">
        <v>41</v>
      </c>
      <c r="B145" s="8" t="s">
        <v>42</v>
      </c>
      <c r="C145" s="9">
        <v>0.4201388888888889</v>
      </c>
      <c r="D145" s="8" t="s">
        <v>43</v>
      </c>
      <c r="E145" s="8" t="s">
        <v>98</v>
      </c>
      <c r="F145" s="8" t="s">
        <v>112</v>
      </c>
      <c r="G145" s="143"/>
      <c r="H145" s="10"/>
      <c r="I145" s="11"/>
      <c r="J145" s="11"/>
      <c r="K145" s="11"/>
      <c r="L145" s="11"/>
      <c r="M145" s="11"/>
      <c r="N145" s="11"/>
      <c r="O145" s="12"/>
      <c r="P145" s="11"/>
      <c r="Q145" s="13"/>
      <c r="R145" s="14"/>
    </row>
    <row r="146" spans="1:18" ht="15" customHeight="1" x14ac:dyDescent="0.3">
      <c r="A146" s="15" t="s">
        <v>41</v>
      </c>
      <c r="B146" s="15" t="s">
        <v>42</v>
      </c>
      <c r="C146" s="16">
        <v>0.4201388888888889</v>
      </c>
      <c r="D146" s="15" t="s">
        <v>46</v>
      </c>
      <c r="E146" s="15" t="s">
        <v>99</v>
      </c>
      <c r="F146" s="15" t="s">
        <v>113</v>
      </c>
      <c r="G146" s="144"/>
      <c r="H146" s="10"/>
      <c r="I146" s="11"/>
      <c r="J146" s="11"/>
      <c r="K146" s="11"/>
      <c r="L146" s="11"/>
      <c r="M146" s="11"/>
      <c r="N146" s="11"/>
      <c r="O146" s="12"/>
      <c r="P146" s="11"/>
      <c r="Q146" s="13"/>
      <c r="R146" s="14"/>
    </row>
    <row r="147" spans="1:18" ht="15" customHeight="1" x14ac:dyDescent="0.3">
      <c r="A147" s="15" t="s">
        <v>41</v>
      </c>
      <c r="B147" s="15" t="s">
        <v>42</v>
      </c>
      <c r="C147" s="16">
        <v>0.4201388888888889</v>
      </c>
      <c r="D147" s="15" t="s">
        <v>49</v>
      </c>
      <c r="E147" s="15" t="s">
        <v>99</v>
      </c>
      <c r="F147" s="15" t="s">
        <v>50</v>
      </c>
      <c r="G147" s="144"/>
      <c r="H147" s="10"/>
      <c r="I147" s="11"/>
      <c r="J147" s="11"/>
      <c r="K147" s="11"/>
      <c r="L147" s="11"/>
      <c r="M147" s="11"/>
      <c r="N147" s="11"/>
      <c r="O147" s="12"/>
      <c r="P147" s="11"/>
      <c r="Q147" s="13"/>
      <c r="R147" s="14"/>
    </row>
    <row r="148" spans="1:18" ht="15" customHeight="1" x14ac:dyDescent="0.3">
      <c r="A148" s="19" t="s">
        <v>26</v>
      </c>
      <c r="B148" s="19" t="s">
        <v>27</v>
      </c>
      <c r="C148" s="20">
        <v>0.35416666666666669</v>
      </c>
      <c r="D148" s="19" t="s">
        <v>28</v>
      </c>
      <c r="E148" s="19" t="s">
        <v>119</v>
      </c>
      <c r="F148" s="19" t="s">
        <v>146</v>
      </c>
      <c r="G148" s="144"/>
      <c r="H148" s="10"/>
      <c r="I148" s="11"/>
      <c r="J148" s="11"/>
      <c r="K148" s="11"/>
      <c r="L148" s="11"/>
      <c r="M148" s="11"/>
      <c r="N148" s="11"/>
      <c r="O148" s="12"/>
      <c r="P148" s="11"/>
      <c r="Q148" s="13"/>
      <c r="R148" s="14"/>
    </row>
    <row r="149" spans="1:18" ht="15" customHeight="1" x14ac:dyDescent="0.3">
      <c r="A149" s="15" t="s">
        <v>26</v>
      </c>
      <c r="B149" s="15" t="s">
        <v>27</v>
      </c>
      <c r="C149" s="16">
        <v>0.35416666666666669</v>
      </c>
      <c r="D149" s="15" t="s">
        <v>31</v>
      </c>
      <c r="E149" s="15" t="s">
        <v>121</v>
      </c>
      <c r="F149" s="15" t="s">
        <v>48</v>
      </c>
      <c r="G149" s="144"/>
      <c r="H149" s="10"/>
      <c r="I149" s="11"/>
      <c r="J149" s="11"/>
      <c r="K149" s="11"/>
      <c r="L149" s="11"/>
      <c r="M149" s="11"/>
      <c r="N149" s="11"/>
      <c r="O149" s="12"/>
      <c r="P149" s="11"/>
      <c r="Q149" s="13"/>
      <c r="R149" s="14"/>
    </row>
    <row r="150" spans="1:18" ht="15" customHeight="1" x14ac:dyDescent="0.3">
      <c r="A150" s="15" t="s">
        <v>26</v>
      </c>
      <c r="B150" s="15" t="s">
        <v>27</v>
      </c>
      <c r="C150" s="16">
        <v>0.35416666666666669</v>
      </c>
      <c r="D150" s="15" t="s">
        <v>34</v>
      </c>
      <c r="E150" s="15" t="s">
        <v>121</v>
      </c>
      <c r="F150" s="15" t="s">
        <v>115</v>
      </c>
      <c r="G150" s="144"/>
      <c r="H150" s="10"/>
      <c r="I150" s="11"/>
      <c r="J150" s="11"/>
      <c r="K150" s="11"/>
      <c r="L150" s="11"/>
      <c r="M150" s="11"/>
      <c r="N150" s="11"/>
      <c r="O150" s="12"/>
      <c r="P150" s="11"/>
      <c r="Q150" s="13"/>
      <c r="R150" s="14"/>
    </row>
    <row r="151" spans="1:18" ht="15" customHeight="1" x14ac:dyDescent="0.3">
      <c r="A151" s="17" t="s">
        <v>26</v>
      </c>
      <c r="B151" s="17" t="s">
        <v>36</v>
      </c>
      <c r="C151" s="18">
        <v>0.75694444444444453</v>
      </c>
      <c r="D151" s="17" t="s">
        <v>28</v>
      </c>
      <c r="E151" s="17" t="s">
        <v>102</v>
      </c>
      <c r="F151" s="17" t="s">
        <v>147</v>
      </c>
      <c r="G151" s="144"/>
      <c r="H151" s="10"/>
      <c r="I151" s="11"/>
      <c r="J151" s="11"/>
      <c r="K151" s="11"/>
      <c r="L151" s="11"/>
      <c r="M151" s="11"/>
      <c r="N151" s="11"/>
      <c r="O151" s="12"/>
      <c r="P151" s="11"/>
      <c r="Q151" s="13"/>
      <c r="R151" s="14"/>
    </row>
    <row r="152" spans="1:18" ht="15" customHeight="1" x14ac:dyDescent="0.3">
      <c r="A152" s="15" t="s">
        <v>26</v>
      </c>
      <c r="B152" s="15" t="s">
        <v>36</v>
      </c>
      <c r="C152" s="16">
        <v>0.75694444444444453</v>
      </c>
      <c r="D152" s="15" t="s">
        <v>31</v>
      </c>
      <c r="E152" s="15" t="s">
        <v>121</v>
      </c>
      <c r="F152" s="15" t="s">
        <v>148</v>
      </c>
      <c r="G152" s="144"/>
      <c r="H152" s="10"/>
      <c r="I152" s="11"/>
      <c r="J152" s="11"/>
      <c r="K152" s="11"/>
      <c r="L152" s="11"/>
      <c r="M152" s="11"/>
      <c r="N152" s="11"/>
      <c r="O152" s="12"/>
      <c r="P152" s="11"/>
      <c r="Q152" s="13"/>
      <c r="R152" s="14"/>
    </row>
    <row r="153" spans="1:18" ht="15" customHeight="1" x14ac:dyDescent="0.3">
      <c r="A153" s="15" t="s">
        <v>26</v>
      </c>
      <c r="B153" s="15" t="s">
        <v>36</v>
      </c>
      <c r="C153" s="16">
        <v>0.75694444444444453</v>
      </c>
      <c r="D153" s="15" t="s">
        <v>34</v>
      </c>
      <c r="E153" s="15" t="s">
        <v>121</v>
      </c>
      <c r="F153" s="15" t="s">
        <v>149</v>
      </c>
      <c r="G153" s="144"/>
      <c r="H153" s="10"/>
      <c r="I153" s="11"/>
      <c r="J153" s="11"/>
      <c r="K153" s="11"/>
      <c r="L153" s="11"/>
      <c r="M153" s="11"/>
      <c r="N153" s="11"/>
      <c r="O153" s="12"/>
      <c r="P153" s="11"/>
      <c r="Q153" s="13"/>
      <c r="R153" s="14"/>
    </row>
    <row r="154" spans="1:18" ht="15" customHeight="1" x14ac:dyDescent="0.3">
      <c r="A154" s="19" t="s">
        <v>51</v>
      </c>
      <c r="B154" s="19" t="s">
        <v>56</v>
      </c>
      <c r="C154" s="20">
        <v>0.22222222222222221</v>
      </c>
      <c r="D154" s="19" t="s">
        <v>53</v>
      </c>
      <c r="E154" s="19" t="s">
        <v>54</v>
      </c>
      <c r="F154" s="19" t="s">
        <v>90</v>
      </c>
      <c r="G154" s="144"/>
      <c r="H154" s="10"/>
      <c r="I154" s="11"/>
      <c r="J154" s="11"/>
      <c r="K154" s="11"/>
      <c r="L154" s="11"/>
      <c r="M154" s="11"/>
      <c r="N154" s="11"/>
      <c r="O154" s="12"/>
      <c r="P154" s="11"/>
      <c r="Q154" s="13"/>
      <c r="R154" s="14"/>
    </row>
    <row r="155" spans="1:18" ht="15" customHeight="1" x14ac:dyDescent="0.3">
      <c r="A155" s="17" t="s">
        <v>51</v>
      </c>
      <c r="B155" s="17" t="s">
        <v>58</v>
      </c>
      <c r="C155" s="18">
        <v>0.43055555555555558</v>
      </c>
      <c r="D155" s="17" t="s">
        <v>53</v>
      </c>
      <c r="E155" s="17" t="s">
        <v>57</v>
      </c>
      <c r="F155" s="17" t="s">
        <v>90</v>
      </c>
      <c r="G155" s="144"/>
      <c r="H155" s="10"/>
      <c r="I155" s="11"/>
      <c r="J155" s="11"/>
      <c r="K155" s="11"/>
      <c r="L155" s="11"/>
      <c r="M155" s="11"/>
      <c r="N155" s="11"/>
      <c r="O155" s="12"/>
      <c r="P155" s="11"/>
      <c r="Q155" s="13"/>
      <c r="R155" s="14"/>
    </row>
    <row r="156" spans="1:18" ht="15" customHeight="1" x14ac:dyDescent="0.3">
      <c r="A156" s="17" t="s">
        <v>51</v>
      </c>
      <c r="B156" s="17" t="s">
        <v>62</v>
      </c>
      <c r="C156" s="18">
        <v>0.49305555555555558</v>
      </c>
      <c r="D156" s="17" t="s">
        <v>53</v>
      </c>
      <c r="E156" s="17" t="s">
        <v>57</v>
      </c>
      <c r="F156" s="17" t="s">
        <v>150</v>
      </c>
      <c r="G156" s="144"/>
      <c r="H156" s="10"/>
      <c r="I156" s="11"/>
      <c r="J156" s="11"/>
      <c r="K156" s="11"/>
      <c r="L156" s="11"/>
      <c r="M156" s="11"/>
      <c r="N156" s="11"/>
      <c r="O156" s="12"/>
      <c r="P156" s="11"/>
      <c r="Q156" s="13"/>
      <c r="R156" s="14"/>
    </row>
    <row r="157" spans="1:18" ht="15" customHeight="1" x14ac:dyDescent="0.3">
      <c r="A157" s="17" t="s">
        <v>51</v>
      </c>
      <c r="B157" s="17" t="s">
        <v>52</v>
      </c>
      <c r="C157" s="18">
        <v>0.1076388888888889</v>
      </c>
      <c r="D157" s="17" t="s">
        <v>53</v>
      </c>
      <c r="E157" s="17" t="s">
        <v>95</v>
      </c>
      <c r="F157" s="17" t="s">
        <v>63</v>
      </c>
      <c r="G157" s="144"/>
      <c r="H157" s="10"/>
      <c r="I157" s="11"/>
      <c r="J157" s="11"/>
      <c r="K157" s="11"/>
      <c r="L157" s="11"/>
      <c r="M157" s="11"/>
      <c r="N157" s="11"/>
      <c r="O157" s="12"/>
      <c r="P157" s="11"/>
      <c r="Q157" s="13"/>
      <c r="R157" s="14"/>
    </row>
    <row r="158" spans="1:18" ht="15" customHeight="1" x14ac:dyDescent="0.3">
      <c r="A158" s="19" t="s">
        <v>64</v>
      </c>
      <c r="B158" s="19" t="s">
        <v>65</v>
      </c>
      <c r="C158" s="20">
        <v>0.60416666666666663</v>
      </c>
      <c r="D158" s="19" t="s">
        <v>66</v>
      </c>
      <c r="E158" s="19" t="s">
        <v>54</v>
      </c>
      <c r="F158" s="19" t="s">
        <v>104</v>
      </c>
      <c r="G158" s="144"/>
      <c r="H158" s="10"/>
      <c r="I158" s="11"/>
      <c r="J158" s="11"/>
      <c r="K158" s="11"/>
      <c r="L158" s="11"/>
      <c r="M158" s="11"/>
      <c r="N158" s="11"/>
      <c r="O158" s="12"/>
      <c r="P158" s="11"/>
      <c r="Q158" s="13"/>
      <c r="R158" s="14"/>
    </row>
    <row r="159" spans="1:18" ht="15" customHeight="1" x14ac:dyDescent="0.3">
      <c r="A159" s="15" t="s">
        <v>64</v>
      </c>
      <c r="B159" s="15" t="s">
        <v>65</v>
      </c>
      <c r="C159" s="16">
        <v>0.60416666666666663</v>
      </c>
      <c r="D159" s="15" t="s">
        <v>68</v>
      </c>
      <c r="E159" s="15" t="s">
        <v>69</v>
      </c>
      <c r="F159" s="15" t="s">
        <v>105</v>
      </c>
      <c r="G159" s="144"/>
      <c r="H159" s="10"/>
      <c r="I159" s="11"/>
      <c r="J159" s="11"/>
      <c r="K159" s="11"/>
      <c r="L159" s="11"/>
      <c r="M159" s="11"/>
      <c r="N159" s="11"/>
      <c r="O159" s="12"/>
      <c r="P159" s="11"/>
      <c r="Q159" s="13"/>
      <c r="R159" s="14"/>
    </row>
    <row r="160" spans="1:18" ht="15" customHeight="1" x14ac:dyDescent="0.3">
      <c r="A160" s="17" t="s">
        <v>64</v>
      </c>
      <c r="B160" s="17" t="s">
        <v>75</v>
      </c>
      <c r="C160" s="18">
        <v>0.79513888888888884</v>
      </c>
      <c r="D160" s="17" t="s">
        <v>66</v>
      </c>
      <c r="E160" s="17" t="s">
        <v>76</v>
      </c>
      <c r="F160" s="17" t="s">
        <v>104</v>
      </c>
      <c r="G160" s="144"/>
      <c r="H160" s="10"/>
      <c r="I160" s="11"/>
      <c r="J160" s="11"/>
      <c r="K160" s="11"/>
      <c r="L160" s="11"/>
      <c r="M160" s="11"/>
      <c r="N160" s="11"/>
      <c r="O160" s="12"/>
      <c r="P160" s="11"/>
      <c r="Q160" s="13"/>
      <c r="R160" s="14"/>
    </row>
    <row r="161" spans="1:18" ht="15" customHeight="1" x14ac:dyDescent="0.3">
      <c r="A161" s="15" t="s">
        <v>64</v>
      </c>
      <c r="B161" s="15" t="s">
        <v>75</v>
      </c>
      <c r="C161" s="16">
        <v>0.79513888888888884</v>
      </c>
      <c r="D161" s="15" t="s">
        <v>68</v>
      </c>
      <c r="E161" s="15" t="s">
        <v>78</v>
      </c>
      <c r="F161" s="15" t="s">
        <v>105</v>
      </c>
      <c r="G161" s="144"/>
      <c r="H161" s="10"/>
      <c r="I161" s="11"/>
      <c r="J161" s="11"/>
      <c r="K161" s="11"/>
      <c r="L161" s="11"/>
      <c r="M161" s="11"/>
      <c r="N161" s="11"/>
      <c r="O161" s="12"/>
      <c r="P161" s="11"/>
      <c r="Q161" s="13"/>
      <c r="R161" s="14"/>
    </row>
    <row r="162" spans="1:18" ht="15" customHeight="1" x14ac:dyDescent="0.3">
      <c r="A162" s="17" t="s">
        <v>64</v>
      </c>
      <c r="B162" s="17" t="s">
        <v>71</v>
      </c>
      <c r="C162" s="18">
        <v>8.6805555555555566E-2</v>
      </c>
      <c r="D162" s="17" t="s">
        <v>66</v>
      </c>
      <c r="E162" s="17" t="s">
        <v>57</v>
      </c>
      <c r="F162" s="17" t="s">
        <v>104</v>
      </c>
      <c r="G162" s="144"/>
      <c r="H162" s="10"/>
      <c r="I162" s="11"/>
      <c r="J162" s="11"/>
      <c r="K162" s="11"/>
      <c r="L162" s="11"/>
      <c r="M162" s="11"/>
      <c r="N162" s="11"/>
      <c r="O162" s="12"/>
      <c r="P162" s="11"/>
      <c r="Q162" s="13"/>
      <c r="R162" s="14"/>
    </row>
    <row r="163" spans="1:18" ht="15" customHeight="1" x14ac:dyDescent="0.3">
      <c r="A163" s="15" t="s">
        <v>64</v>
      </c>
      <c r="B163" s="15" t="s">
        <v>71</v>
      </c>
      <c r="C163" s="16">
        <v>8.6805555555555566E-2</v>
      </c>
      <c r="D163" s="15" t="s">
        <v>68</v>
      </c>
      <c r="E163" s="15" t="s">
        <v>69</v>
      </c>
      <c r="F163" s="15" t="s">
        <v>105</v>
      </c>
      <c r="G163" s="144"/>
      <c r="H163" s="10"/>
      <c r="I163" s="11"/>
      <c r="J163" s="11"/>
      <c r="K163" s="11"/>
      <c r="L163" s="11"/>
      <c r="M163" s="11"/>
      <c r="N163" s="11"/>
      <c r="O163" s="12"/>
      <c r="P163" s="11"/>
      <c r="Q163" s="13"/>
      <c r="R163" s="14"/>
    </row>
    <row r="164" spans="1:18" ht="15" customHeight="1" x14ac:dyDescent="0.3">
      <c r="A164" s="17" t="s">
        <v>64</v>
      </c>
      <c r="B164" s="17" t="s">
        <v>72</v>
      </c>
      <c r="C164" s="18">
        <v>0.4201388888888889</v>
      </c>
      <c r="D164" s="17" t="s">
        <v>68</v>
      </c>
      <c r="E164" s="17" t="s">
        <v>73</v>
      </c>
      <c r="F164" s="17" t="s">
        <v>118</v>
      </c>
      <c r="G164" s="144"/>
      <c r="H164" s="10"/>
      <c r="I164" s="11"/>
      <c r="J164" s="11"/>
      <c r="K164" s="11"/>
      <c r="L164" s="11"/>
      <c r="M164" s="11"/>
      <c r="N164" s="11"/>
      <c r="O164" s="12"/>
      <c r="P164" s="11"/>
      <c r="Q164" s="13"/>
      <c r="R164" s="14"/>
    </row>
    <row r="165" spans="1:18" ht="15" customHeight="1" thickBot="1" x14ac:dyDescent="0.35">
      <c r="A165" s="79" t="s">
        <v>80</v>
      </c>
      <c r="B165" s="79" t="s">
        <v>81</v>
      </c>
      <c r="C165" s="80">
        <v>0.53819444444444442</v>
      </c>
      <c r="D165" s="79" t="s">
        <v>82</v>
      </c>
      <c r="E165" s="81"/>
      <c r="F165" s="79" t="s">
        <v>83</v>
      </c>
      <c r="G165" s="145"/>
      <c r="H165" s="82" t="s">
        <v>81</v>
      </c>
      <c r="I165" s="83">
        <v>1.0179</v>
      </c>
      <c r="J165" s="84">
        <v>171</v>
      </c>
      <c r="K165" s="85" t="s">
        <v>133</v>
      </c>
      <c r="L165" s="84">
        <v>8</v>
      </c>
      <c r="M165" s="84">
        <v>0</v>
      </c>
      <c r="N165" s="84">
        <v>2</v>
      </c>
      <c r="O165" s="86" t="s">
        <v>85</v>
      </c>
      <c r="P165" s="87">
        <v>0.53819444444444442</v>
      </c>
      <c r="Q165" s="84">
        <v>168</v>
      </c>
      <c r="R165" s="88" t="s">
        <v>151</v>
      </c>
    </row>
    <row r="166" spans="1:18" ht="17.399999999999999" customHeight="1" thickBot="1" x14ac:dyDescent="0.35">
      <c r="A166" s="175"/>
      <c r="B166" s="176"/>
      <c r="C166" s="176"/>
      <c r="D166" s="176"/>
      <c r="E166" s="176"/>
      <c r="F166" s="176"/>
      <c r="G166" s="176"/>
      <c r="H166" s="176"/>
      <c r="I166" s="176"/>
      <c r="J166" s="176"/>
      <c r="K166" s="176"/>
      <c r="L166" s="176"/>
      <c r="M166" s="176"/>
      <c r="N166" s="176"/>
      <c r="O166" s="176"/>
      <c r="P166" s="176"/>
      <c r="Q166" s="176"/>
      <c r="R166" s="177"/>
    </row>
    <row r="167" spans="1:18" ht="22.05" customHeight="1" thickTop="1" thickBot="1" x14ac:dyDescent="0.35">
      <c r="A167" s="158" t="s">
        <v>6</v>
      </c>
      <c r="B167" s="147"/>
      <c r="C167" s="147"/>
      <c r="D167" s="147"/>
      <c r="E167" s="147"/>
      <c r="F167" s="148"/>
      <c r="G167" s="31">
        <v>45989</v>
      </c>
      <c r="H167" s="146" t="s">
        <v>7</v>
      </c>
      <c r="I167" s="147"/>
      <c r="J167" s="147"/>
      <c r="K167" s="147"/>
      <c r="L167" s="147"/>
      <c r="M167" s="147"/>
      <c r="N167" s="147"/>
      <c r="O167" s="147"/>
      <c r="P167" s="147"/>
      <c r="Q167" s="147"/>
      <c r="R167" s="148"/>
    </row>
    <row r="168" spans="1:18" ht="24" customHeight="1" x14ac:dyDescent="0.3">
      <c r="A168" s="32" t="s">
        <v>8</v>
      </c>
      <c r="B168" s="32" t="s">
        <v>9</v>
      </c>
      <c r="C168" s="33" t="s">
        <v>10</v>
      </c>
      <c r="D168" s="32" t="s">
        <v>11</v>
      </c>
      <c r="E168" s="32" t="s">
        <v>12</v>
      </c>
      <c r="F168" s="34" t="s">
        <v>13</v>
      </c>
      <c r="G168" s="35" t="s">
        <v>14</v>
      </c>
      <c r="H168" s="32" t="s">
        <v>15</v>
      </c>
      <c r="I168" s="36" t="s">
        <v>16</v>
      </c>
      <c r="J168" s="37" t="s">
        <v>17</v>
      </c>
      <c r="K168" s="38" t="s">
        <v>18</v>
      </c>
      <c r="L168" s="37" t="s">
        <v>19</v>
      </c>
      <c r="M168" s="37" t="s">
        <v>20</v>
      </c>
      <c r="N168" s="37" t="s">
        <v>21</v>
      </c>
      <c r="O168" s="32" t="s">
        <v>22</v>
      </c>
      <c r="P168" s="33" t="s">
        <v>23</v>
      </c>
      <c r="Q168" s="37" t="s">
        <v>24</v>
      </c>
      <c r="R168" s="32" t="s">
        <v>25</v>
      </c>
    </row>
    <row r="169" spans="1:18" ht="15" customHeight="1" x14ac:dyDescent="0.3">
      <c r="A169" s="8" t="s">
        <v>41</v>
      </c>
      <c r="B169" s="8" t="s">
        <v>42</v>
      </c>
      <c r="C169" s="9">
        <v>0.4201388888888889</v>
      </c>
      <c r="D169" s="8" t="s">
        <v>43</v>
      </c>
      <c r="E169" s="8" t="s">
        <v>91</v>
      </c>
      <c r="F169" s="8" t="s">
        <v>152</v>
      </c>
      <c r="G169" s="155"/>
      <c r="H169" s="10"/>
      <c r="I169" s="11"/>
      <c r="J169" s="11"/>
      <c r="K169" s="11"/>
      <c r="L169" s="11"/>
      <c r="M169" s="11"/>
      <c r="N169" s="11"/>
      <c r="O169" s="12"/>
      <c r="P169" s="11"/>
      <c r="Q169" s="13"/>
      <c r="R169" s="14"/>
    </row>
    <row r="170" spans="1:18" ht="15" customHeight="1" x14ac:dyDescent="0.3">
      <c r="A170" s="15" t="s">
        <v>41</v>
      </c>
      <c r="B170" s="15" t="s">
        <v>42</v>
      </c>
      <c r="C170" s="16">
        <v>0.4201388888888889</v>
      </c>
      <c r="D170" s="15" t="s">
        <v>46</v>
      </c>
      <c r="E170" s="15" t="s">
        <v>93</v>
      </c>
      <c r="F170" s="15" t="s">
        <v>33</v>
      </c>
      <c r="G170" s="144"/>
      <c r="H170" s="10"/>
      <c r="I170" s="11"/>
      <c r="J170" s="11"/>
      <c r="K170" s="11"/>
      <c r="L170" s="11"/>
      <c r="M170" s="11"/>
      <c r="N170" s="11"/>
      <c r="O170" s="12"/>
      <c r="P170" s="11"/>
      <c r="Q170" s="13"/>
      <c r="R170" s="14"/>
    </row>
    <row r="171" spans="1:18" ht="15" customHeight="1" x14ac:dyDescent="0.3">
      <c r="A171" s="15" t="s">
        <v>41</v>
      </c>
      <c r="B171" s="15" t="s">
        <v>42</v>
      </c>
      <c r="C171" s="16">
        <v>0.4201388888888889</v>
      </c>
      <c r="D171" s="15" t="s">
        <v>49</v>
      </c>
      <c r="E171" s="15" t="s">
        <v>93</v>
      </c>
      <c r="F171" s="15" t="s">
        <v>50</v>
      </c>
      <c r="G171" s="144"/>
      <c r="H171" s="10"/>
      <c r="I171" s="11"/>
      <c r="J171" s="11"/>
      <c r="K171" s="11"/>
      <c r="L171" s="11"/>
      <c r="M171" s="11"/>
      <c r="N171" s="11"/>
      <c r="O171" s="12"/>
      <c r="P171" s="11"/>
      <c r="Q171" s="13"/>
      <c r="R171" s="14"/>
    </row>
    <row r="172" spans="1:18" ht="15" customHeight="1" x14ac:dyDescent="0.3">
      <c r="A172" s="19" t="s">
        <v>26</v>
      </c>
      <c r="B172" s="19" t="s">
        <v>36</v>
      </c>
      <c r="C172" s="20">
        <v>0.75694444444444453</v>
      </c>
      <c r="D172" s="19" t="s">
        <v>28</v>
      </c>
      <c r="E172" s="19" t="s">
        <v>119</v>
      </c>
      <c r="F172" s="19" t="s">
        <v>153</v>
      </c>
      <c r="G172" s="144"/>
      <c r="H172" s="10"/>
      <c r="I172" s="11"/>
      <c r="J172" s="11"/>
      <c r="K172" s="11"/>
      <c r="L172" s="11"/>
      <c r="M172" s="11"/>
      <c r="N172" s="11"/>
      <c r="O172" s="12"/>
      <c r="P172" s="11"/>
      <c r="Q172" s="13"/>
      <c r="R172" s="14"/>
    </row>
    <row r="173" spans="1:18" ht="15" customHeight="1" x14ac:dyDescent="0.3">
      <c r="A173" s="15" t="s">
        <v>26</v>
      </c>
      <c r="B173" s="15" t="s">
        <v>36</v>
      </c>
      <c r="C173" s="16">
        <v>0.75694444444444453</v>
      </c>
      <c r="D173" s="15" t="s">
        <v>31</v>
      </c>
      <c r="E173" s="15" t="s">
        <v>121</v>
      </c>
      <c r="F173" s="15" t="s">
        <v>38</v>
      </c>
      <c r="G173" s="144"/>
      <c r="H173" s="10"/>
      <c r="I173" s="11"/>
      <c r="J173" s="11"/>
      <c r="K173" s="11"/>
      <c r="L173" s="11"/>
      <c r="M173" s="11"/>
      <c r="N173" s="11"/>
      <c r="O173" s="12"/>
      <c r="P173" s="11"/>
      <c r="Q173" s="13"/>
      <c r="R173" s="14"/>
    </row>
    <row r="174" spans="1:18" ht="15" customHeight="1" x14ac:dyDescent="0.3">
      <c r="A174" s="15" t="s">
        <v>26</v>
      </c>
      <c r="B174" s="15" t="s">
        <v>36</v>
      </c>
      <c r="C174" s="16">
        <v>0.75694444444444453</v>
      </c>
      <c r="D174" s="15" t="s">
        <v>34</v>
      </c>
      <c r="E174" s="15" t="s">
        <v>121</v>
      </c>
      <c r="F174" s="15" t="s">
        <v>154</v>
      </c>
      <c r="G174" s="144"/>
      <c r="H174" s="10"/>
      <c r="I174" s="11"/>
      <c r="J174" s="11"/>
      <c r="K174" s="11"/>
      <c r="L174" s="11"/>
      <c r="M174" s="11"/>
      <c r="N174" s="11"/>
      <c r="O174" s="12"/>
      <c r="P174" s="11"/>
      <c r="Q174" s="13"/>
      <c r="R174" s="14"/>
    </row>
    <row r="175" spans="1:18" ht="15" customHeight="1" x14ac:dyDescent="0.3">
      <c r="A175" s="19" t="s">
        <v>51</v>
      </c>
      <c r="B175" s="19" t="s">
        <v>56</v>
      </c>
      <c r="C175" s="20">
        <v>0.22222222222222221</v>
      </c>
      <c r="D175" s="19" t="s">
        <v>53</v>
      </c>
      <c r="E175" s="19" t="s">
        <v>54</v>
      </c>
      <c r="F175" s="19" t="s">
        <v>61</v>
      </c>
      <c r="G175" s="144"/>
      <c r="H175" s="10"/>
      <c r="I175" s="11"/>
      <c r="J175" s="11"/>
      <c r="K175" s="11"/>
      <c r="L175" s="11"/>
      <c r="M175" s="11"/>
      <c r="N175" s="11"/>
      <c r="O175" s="12"/>
      <c r="P175" s="11"/>
      <c r="Q175" s="13"/>
      <c r="R175" s="14"/>
    </row>
    <row r="176" spans="1:18" ht="15" customHeight="1" x14ac:dyDescent="0.3">
      <c r="A176" s="17" t="s">
        <v>51</v>
      </c>
      <c r="B176" s="17" t="s">
        <v>52</v>
      </c>
      <c r="C176" s="18">
        <v>9.7222222222222224E-2</v>
      </c>
      <c r="D176" s="17" t="s">
        <v>53</v>
      </c>
      <c r="E176" s="17" t="s">
        <v>57</v>
      </c>
      <c r="F176" s="17" t="s">
        <v>155</v>
      </c>
      <c r="G176" s="144"/>
      <c r="H176" s="10"/>
      <c r="I176" s="11"/>
      <c r="J176" s="11"/>
      <c r="K176" s="11"/>
      <c r="L176" s="11"/>
      <c r="M176" s="11"/>
      <c r="N176" s="11"/>
      <c r="O176" s="12"/>
      <c r="P176" s="11"/>
      <c r="Q176" s="13"/>
      <c r="R176" s="14"/>
    </row>
    <row r="177" spans="1:18" ht="15" customHeight="1" x14ac:dyDescent="0.3">
      <c r="A177" s="17" t="s">
        <v>51</v>
      </c>
      <c r="B177" s="17" t="s">
        <v>62</v>
      </c>
      <c r="C177" s="18">
        <v>0.49305555555555558</v>
      </c>
      <c r="D177" s="17" t="s">
        <v>53</v>
      </c>
      <c r="E177" s="17" t="s">
        <v>76</v>
      </c>
      <c r="F177" s="17" t="s">
        <v>63</v>
      </c>
      <c r="G177" s="144"/>
      <c r="H177" s="10"/>
      <c r="I177" s="11"/>
      <c r="J177" s="11"/>
      <c r="K177" s="11"/>
      <c r="L177" s="11"/>
      <c r="M177" s="11"/>
      <c r="N177" s="11"/>
      <c r="O177" s="12"/>
      <c r="P177" s="11"/>
      <c r="Q177" s="13"/>
      <c r="R177" s="14"/>
    </row>
    <row r="178" spans="1:18" ht="15" customHeight="1" x14ac:dyDescent="0.3">
      <c r="A178" s="19" t="s">
        <v>64</v>
      </c>
      <c r="B178" s="19" t="s">
        <v>71</v>
      </c>
      <c r="C178" s="20">
        <v>8.6805555555555566E-2</v>
      </c>
      <c r="D178" s="19" t="s">
        <v>66</v>
      </c>
      <c r="E178" s="19" t="s">
        <v>54</v>
      </c>
      <c r="F178" s="19" t="s">
        <v>104</v>
      </c>
      <c r="G178" s="144"/>
      <c r="H178" s="10"/>
      <c r="I178" s="11"/>
      <c r="J178" s="11"/>
      <c r="K178" s="11"/>
      <c r="L178" s="11"/>
      <c r="M178" s="11"/>
      <c r="N178" s="11"/>
      <c r="O178" s="12"/>
      <c r="P178" s="11"/>
      <c r="Q178" s="13"/>
      <c r="R178" s="14"/>
    </row>
    <row r="179" spans="1:18" ht="15" customHeight="1" x14ac:dyDescent="0.3">
      <c r="A179" s="15" t="s">
        <v>64</v>
      </c>
      <c r="B179" s="15" t="s">
        <v>71</v>
      </c>
      <c r="C179" s="16">
        <v>8.6805555555555566E-2</v>
      </c>
      <c r="D179" s="15" t="s">
        <v>68</v>
      </c>
      <c r="E179" s="15" t="s">
        <v>69</v>
      </c>
      <c r="F179" s="15" t="s">
        <v>105</v>
      </c>
      <c r="G179" s="144"/>
      <c r="H179" s="10"/>
      <c r="I179" s="11"/>
      <c r="J179" s="11"/>
      <c r="K179" s="11"/>
      <c r="L179" s="11"/>
      <c r="M179" s="11"/>
      <c r="N179" s="11"/>
      <c r="O179" s="12"/>
      <c r="P179" s="11"/>
      <c r="Q179" s="13"/>
      <c r="R179" s="14"/>
    </row>
    <row r="180" spans="1:18" ht="15" customHeight="1" x14ac:dyDescent="0.3">
      <c r="A180" s="17" t="s">
        <v>64</v>
      </c>
      <c r="B180" s="17" t="s">
        <v>72</v>
      </c>
      <c r="C180" s="18">
        <v>0.4201388888888889</v>
      </c>
      <c r="D180" s="17" t="s">
        <v>68</v>
      </c>
      <c r="E180" s="17" t="s">
        <v>73</v>
      </c>
      <c r="F180" s="17" t="s">
        <v>118</v>
      </c>
      <c r="G180" s="144"/>
      <c r="H180" s="10"/>
      <c r="I180" s="11"/>
      <c r="J180" s="11"/>
      <c r="K180" s="11"/>
      <c r="L180" s="11"/>
      <c r="M180" s="11"/>
      <c r="N180" s="11"/>
      <c r="O180" s="12"/>
      <c r="P180" s="11"/>
      <c r="Q180" s="13"/>
      <c r="R180" s="14"/>
    </row>
    <row r="181" spans="1:18" ht="15" customHeight="1" x14ac:dyDescent="0.3">
      <c r="A181" s="17" t="s">
        <v>64</v>
      </c>
      <c r="B181" s="17" t="s">
        <v>65</v>
      </c>
      <c r="C181" s="18">
        <v>0.60416666666666663</v>
      </c>
      <c r="D181" s="17" t="s">
        <v>66</v>
      </c>
      <c r="E181" s="17" t="s">
        <v>95</v>
      </c>
      <c r="F181" s="17" t="s">
        <v>92</v>
      </c>
      <c r="G181" s="144"/>
      <c r="H181" s="10"/>
      <c r="I181" s="11"/>
      <c r="J181" s="11"/>
      <c r="K181" s="11"/>
      <c r="L181" s="11"/>
      <c r="M181" s="11"/>
      <c r="N181" s="11"/>
      <c r="O181" s="12"/>
      <c r="P181" s="11"/>
      <c r="Q181" s="13"/>
      <c r="R181" s="14"/>
    </row>
    <row r="182" spans="1:18" ht="15" customHeight="1" thickBot="1" x14ac:dyDescent="0.35">
      <c r="A182" s="39" t="s">
        <v>64</v>
      </c>
      <c r="B182" s="39" t="s">
        <v>65</v>
      </c>
      <c r="C182" s="40">
        <v>0.60416666666666663</v>
      </c>
      <c r="D182" s="39" t="s">
        <v>68</v>
      </c>
      <c r="E182" s="39" t="s">
        <v>96</v>
      </c>
      <c r="F182" s="39" t="s">
        <v>94</v>
      </c>
      <c r="G182" s="145"/>
      <c r="H182" s="41"/>
      <c r="I182" s="42"/>
      <c r="J182" s="42"/>
      <c r="K182" s="42"/>
      <c r="L182" s="42"/>
      <c r="M182" s="42"/>
      <c r="N182" s="42"/>
      <c r="O182" s="43"/>
      <c r="P182" s="42"/>
      <c r="Q182" s="44"/>
      <c r="R182" s="45"/>
    </row>
    <row r="183" spans="1:18" ht="17.399999999999999" customHeight="1" thickBot="1" x14ac:dyDescent="0.35">
      <c r="A183" s="175"/>
      <c r="B183" s="176"/>
      <c r="C183" s="176"/>
      <c r="D183" s="176"/>
      <c r="E183" s="176"/>
      <c r="F183" s="176"/>
      <c r="G183" s="176"/>
      <c r="H183" s="176"/>
      <c r="I183" s="176"/>
      <c r="J183" s="176"/>
      <c r="K183" s="176"/>
      <c r="L183" s="176"/>
      <c r="M183" s="176"/>
      <c r="N183" s="176"/>
      <c r="O183" s="176"/>
      <c r="P183" s="176"/>
      <c r="Q183" s="176"/>
      <c r="R183" s="177"/>
    </row>
    <row r="184" spans="1:18" ht="22.05" customHeight="1" thickTop="1" thickBot="1" x14ac:dyDescent="0.35">
      <c r="A184" s="158" t="s">
        <v>6</v>
      </c>
      <c r="B184" s="147"/>
      <c r="C184" s="147"/>
      <c r="D184" s="147"/>
      <c r="E184" s="147"/>
      <c r="F184" s="148"/>
      <c r="G184" s="31">
        <v>45990</v>
      </c>
      <c r="H184" s="146" t="s">
        <v>7</v>
      </c>
      <c r="I184" s="147"/>
      <c r="J184" s="147"/>
      <c r="K184" s="147"/>
      <c r="L184" s="147"/>
      <c r="M184" s="147"/>
      <c r="N184" s="147"/>
      <c r="O184" s="147"/>
      <c r="P184" s="147"/>
      <c r="Q184" s="147"/>
      <c r="R184" s="148"/>
    </row>
    <row r="185" spans="1:18" ht="24" customHeight="1" x14ac:dyDescent="0.3">
      <c r="A185" s="32" t="s">
        <v>8</v>
      </c>
      <c r="B185" s="32" t="s">
        <v>9</v>
      </c>
      <c r="C185" s="33" t="s">
        <v>10</v>
      </c>
      <c r="D185" s="32" t="s">
        <v>11</v>
      </c>
      <c r="E185" s="32" t="s">
        <v>12</v>
      </c>
      <c r="F185" s="34" t="s">
        <v>13</v>
      </c>
      <c r="G185" s="35" t="s">
        <v>14</v>
      </c>
      <c r="H185" s="32" t="s">
        <v>15</v>
      </c>
      <c r="I185" s="36" t="s">
        <v>16</v>
      </c>
      <c r="J185" s="37" t="s">
        <v>17</v>
      </c>
      <c r="K185" s="38" t="s">
        <v>18</v>
      </c>
      <c r="L185" s="37" t="s">
        <v>19</v>
      </c>
      <c r="M185" s="37" t="s">
        <v>20</v>
      </c>
      <c r="N185" s="37" t="s">
        <v>21</v>
      </c>
      <c r="O185" s="32" t="s">
        <v>22</v>
      </c>
      <c r="P185" s="33" t="s">
        <v>23</v>
      </c>
      <c r="Q185" s="37" t="s">
        <v>24</v>
      </c>
      <c r="R185" s="32" t="s">
        <v>25</v>
      </c>
    </row>
    <row r="186" spans="1:18" ht="15" customHeight="1" x14ac:dyDescent="0.3">
      <c r="A186" s="8" t="s">
        <v>41</v>
      </c>
      <c r="B186" s="8" t="s">
        <v>42</v>
      </c>
      <c r="C186" s="9">
        <v>0.4201388888888889</v>
      </c>
      <c r="D186" s="8" t="s">
        <v>43</v>
      </c>
      <c r="E186" s="8" t="s">
        <v>156</v>
      </c>
      <c r="F186" s="8" t="s">
        <v>112</v>
      </c>
      <c r="G186" s="155"/>
      <c r="H186" s="10"/>
      <c r="I186" s="11"/>
      <c r="J186" s="11"/>
      <c r="K186" s="11"/>
      <c r="L186" s="11"/>
      <c r="M186" s="11"/>
      <c r="N186" s="11"/>
      <c r="O186" s="12"/>
      <c r="P186" s="11"/>
      <c r="Q186" s="13"/>
      <c r="R186" s="14"/>
    </row>
    <row r="187" spans="1:18" ht="15" customHeight="1" x14ac:dyDescent="0.3">
      <c r="A187" s="15" t="s">
        <v>41</v>
      </c>
      <c r="B187" s="15" t="s">
        <v>42</v>
      </c>
      <c r="C187" s="16">
        <v>0.4201388888888889</v>
      </c>
      <c r="D187" s="15" t="s">
        <v>46</v>
      </c>
      <c r="E187" s="15" t="s">
        <v>97</v>
      </c>
      <c r="F187" s="15" t="s">
        <v>113</v>
      </c>
      <c r="G187" s="144"/>
      <c r="H187" s="10"/>
      <c r="I187" s="11"/>
      <c r="J187" s="11"/>
      <c r="K187" s="11"/>
      <c r="L187" s="11"/>
      <c r="M187" s="11"/>
      <c r="N187" s="11"/>
      <c r="O187" s="12"/>
      <c r="P187" s="11"/>
      <c r="Q187" s="13"/>
      <c r="R187" s="14"/>
    </row>
    <row r="188" spans="1:18" ht="15" customHeight="1" x14ac:dyDescent="0.3">
      <c r="A188" s="15" t="s">
        <v>41</v>
      </c>
      <c r="B188" s="15" t="s">
        <v>42</v>
      </c>
      <c r="C188" s="16">
        <v>0.4201388888888889</v>
      </c>
      <c r="D188" s="15" t="s">
        <v>49</v>
      </c>
      <c r="E188" s="15" t="s">
        <v>97</v>
      </c>
      <c r="F188" s="15" t="s">
        <v>50</v>
      </c>
      <c r="G188" s="144"/>
      <c r="H188" s="10"/>
      <c r="I188" s="11"/>
      <c r="J188" s="11"/>
      <c r="K188" s="11"/>
      <c r="L188" s="11"/>
      <c r="M188" s="11"/>
      <c r="N188" s="11"/>
      <c r="O188" s="12"/>
      <c r="P188" s="11"/>
      <c r="Q188" s="13"/>
      <c r="R188" s="14"/>
    </row>
    <row r="189" spans="1:18" ht="15" customHeight="1" x14ac:dyDescent="0.3">
      <c r="A189" s="19" t="s">
        <v>26</v>
      </c>
      <c r="B189" s="19" t="s">
        <v>27</v>
      </c>
      <c r="C189" s="20">
        <v>0.35416666666666669</v>
      </c>
      <c r="D189" s="19" t="s">
        <v>28</v>
      </c>
      <c r="E189" s="19" t="s">
        <v>98</v>
      </c>
      <c r="F189" s="19" t="s">
        <v>122</v>
      </c>
      <c r="G189" s="144"/>
      <c r="H189" s="10"/>
      <c r="I189" s="11"/>
      <c r="J189" s="11"/>
      <c r="K189" s="11"/>
      <c r="L189" s="11"/>
      <c r="M189" s="11"/>
      <c r="N189" s="11"/>
      <c r="O189" s="12"/>
      <c r="P189" s="11"/>
      <c r="Q189" s="13"/>
      <c r="R189" s="14"/>
    </row>
    <row r="190" spans="1:18" ht="15" customHeight="1" x14ac:dyDescent="0.3">
      <c r="A190" s="15" t="s">
        <v>26</v>
      </c>
      <c r="B190" s="15" t="s">
        <v>27</v>
      </c>
      <c r="C190" s="16">
        <v>0.35416666666666669</v>
      </c>
      <c r="D190" s="15" t="s">
        <v>31</v>
      </c>
      <c r="E190" s="15" t="s">
        <v>99</v>
      </c>
      <c r="F190" s="15" t="s">
        <v>126</v>
      </c>
      <c r="G190" s="144"/>
      <c r="H190" s="10"/>
      <c r="I190" s="11"/>
      <c r="J190" s="11"/>
      <c r="K190" s="11"/>
      <c r="L190" s="11"/>
      <c r="M190" s="11"/>
      <c r="N190" s="11"/>
      <c r="O190" s="12"/>
      <c r="P190" s="11"/>
      <c r="Q190" s="13"/>
      <c r="R190" s="14"/>
    </row>
    <row r="191" spans="1:18" ht="15" customHeight="1" x14ac:dyDescent="0.3">
      <c r="A191" s="15" t="s">
        <v>26</v>
      </c>
      <c r="B191" s="15" t="s">
        <v>27</v>
      </c>
      <c r="C191" s="16">
        <v>0.35416666666666669</v>
      </c>
      <c r="D191" s="15" t="s">
        <v>34</v>
      </c>
      <c r="E191" s="15" t="s">
        <v>99</v>
      </c>
      <c r="F191" s="15" t="s">
        <v>127</v>
      </c>
      <c r="G191" s="144"/>
      <c r="H191" s="10"/>
      <c r="I191" s="11"/>
      <c r="J191" s="11"/>
      <c r="K191" s="11"/>
      <c r="L191" s="11"/>
      <c r="M191" s="11"/>
      <c r="N191" s="11"/>
      <c r="O191" s="12"/>
      <c r="P191" s="11"/>
      <c r="Q191" s="13"/>
      <c r="R191" s="14"/>
    </row>
    <row r="192" spans="1:18" ht="15" customHeight="1" x14ac:dyDescent="0.3">
      <c r="A192" s="17" t="s">
        <v>26</v>
      </c>
      <c r="B192" s="17" t="s">
        <v>36</v>
      </c>
      <c r="C192" s="18">
        <v>0.75694444444444453</v>
      </c>
      <c r="D192" s="17" t="s">
        <v>34</v>
      </c>
      <c r="E192" s="17" t="s">
        <v>102</v>
      </c>
      <c r="F192" s="17" t="s">
        <v>157</v>
      </c>
      <c r="G192" s="144"/>
      <c r="H192" s="10"/>
      <c r="I192" s="11"/>
      <c r="J192" s="11"/>
      <c r="K192" s="11"/>
      <c r="L192" s="11"/>
      <c r="M192" s="11"/>
      <c r="N192" s="11"/>
      <c r="O192" s="12"/>
      <c r="P192" s="11"/>
      <c r="Q192" s="13"/>
      <c r="R192" s="14"/>
    </row>
    <row r="193" spans="1:18" ht="15" customHeight="1" x14ac:dyDescent="0.3">
      <c r="A193" s="15" t="s">
        <v>26</v>
      </c>
      <c r="B193" s="15" t="s">
        <v>36</v>
      </c>
      <c r="C193" s="16">
        <v>0.75694444444444453</v>
      </c>
      <c r="D193" s="15" t="s">
        <v>28</v>
      </c>
      <c r="E193" s="15" t="s">
        <v>121</v>
      </c>
      <c r="F193" s="15" t="s">
        <v>158</v>
      </c>
      <c r="G193" s="144"/>
      <c r="H193" s="10"/>
      <c r="I193" s="11"/>
      <c r="J193" s="11"/>
      <c r="K193" s="11"/>
      <c r="L193" s="11"/>
      <c r="M193" s="11"/>
      <c r="N193" s="11"/>
      <c r="O193" s="12"/>
      <c r="P193" s="11"/>
      <c r="Q193" s="13"/>
      <c r="R193" s="14"/>
    </row>
    <row r="194" spans="1:18" ht="15" customHeight="1" x14ac:dyDescent="0.3">
      <c r="A194" s="15" t="s">
        <v>26</v>
      </c>
      <c r="B194" s="15" t="s">
        <v>36</v>
      </c>
      <c r="C194" s="16">
        <v>0.75694444444444453</v>
      </c>
      <c r="D194" s="15" t="s">
        <v>31</v>
      </c>
      <c r="E194" s="15" t="s">
        <v>121</v>
      </c>
      <c r="F194" s="15" t="s">
        <v>148</v>
      </c>
      <c r="G194" s="144"/>
      <c r="H194" s="10"/>
      <c r="I194" s="11"/>
      <c r="J194" s="11"/>
      <c r="K194" s="11"/>
      <c r="L194" s="11"/>
      <c r="M194" s="11"/>
      <c r="N194" s="11"/>
      <c r="O194" s="12"/>
      <c r="P194" s="11"/>
      <c r="Q194" s="13"/>
      <c r="R194" s="14"/>
    </row>
    <row r="195" spans="1:18" ht="15" customHeight="1" x14ac:dyDescent="0.3">
      <c r="A195" s="19" t="s">
        <v>64</v>
      </c>
      <c r="B195" s="19" t="s">
        <v>71</v>
      </c>
      <c r="C195" s="20">
        <v>8.6805555555555566E-2</v>
      </c>
      <c r="D195" s="19" t="s">
        <v>66</v>
      </c>
      <c r="E195" s="19" t="s">
        <v>98</v>
      </c>
      <c r="F195" s="19" t="s">
        <v>92</v>
      </c>
      <c r="G195" s="144"/>
      <c r="H195" s="10"/>
      <c r="I195" s="11"/>
      <c r="J195" s="11"/>
      <c r="K195" s="11"/>
      <c r="L195" s="11"/>
      <c r="M195" s="11"/>
      <c r="N195" s="11"/>
      <c r="O195" s="12"/>
      <c r="P195" s="11"/>
      <c r="Q195" s="13"/>
      <c r="R195" s="14"/>
    </row>
    <row r="196" spans="1:18" ht="15" customHeight="1" x14ac:dyDescent="0.3">
      <c r="A196" s="15" t="s">
        <v>64</v>
      </c>
      <c r="B196" s="15" t="s">
        <v>71</v>
      </c>
      <c r="C196" s="16">
        <v>8.6805555555555566E-2</v>
      </c>
      <c r="D196" s="15" t="s">
        <v>68</v>
      </c>
      <c r="E196" s="15" t="s">
        <v>99</v>
      </c>
      <c r="F196" s="15" t="s">
        <v>94</v>
      </c>
      <c r="G196" s="144"/>
      <c r="H196" s="10"/>
      <c r="I196" s="11"/>
      <c r="J196" s="11"/>
      <c r="K196" s="11"/>
      <c r="L196" s="11"/>
      <c r="M196" s="11"/>
      <c r="N196" s="11"/>
      <c r="O196" s="12"/>
      <c r="P196" s="11"/>
      <c r="Q196" s="13"/>
      <c r="R196" s="14"/>
    </row>
    <row r="197" spans="1:18" ht="15" customHeight="1" x14ac:dyDescent="0.3">
      <c r="A197" s="17" t="s">
        <v>64</v>
      </c>
      <c r="B197" s="17" t="s">
        <v>72</v>
      </c>
      <c r="C197" s="18">
        <v>0.4201388888888889</v>
      </c>
      <c r="D197" s="17" t="s">
        <v>68</v>
      </c>
      <c r="E197" s="17" t="s">
        <v>73</v>
      </c>
      <c r="F197" s="17" t="s">
        <v>74</v>
      </c>
      <c r="G197" s="144"/>
      <c r="H197" s="10"/>
      <c r="I197" s="11"/>
      <c r="J197" s="11"/>
      <c r="K197" s="11"/>
      <c r="L197" s="11"/>
      <c r="M197" s="11"/>
      <c r="N197" s="11"/>
      <c r="O197" s="12"/>
      <c r="P197" s="11"/>
      <c r="Q197" s="13"/>
      <c r="R197" s="14"/>
    </row>
    <row r="198" spans="1:18" ht="15" customHeight="1" x14ac:dyDescent="0.3">
      <c r="A198" s="17" t="s">
        <v>64</v>
      </c>
      <c r="B198" s="17" t="s">
        <v>75</v>
      </c>
      <c r="C198" s="18">
        <v>0.79513888888888884</v>
      </c>
      <c r="D198" s="17" t="s">
        <v>66</v>
      </c>
      <c r="E198" s="17" t="s">
        <v>76</v>
      </c>
      <c r="F198" s="17" t="s">
        <v>77</v>
      </c>
      <c r="G198" s="144"/>
      <c r="H198" s="10"/>
      <c r="I198" s="11"/>
      <c r="J198" s="11"/>
      <c r="K198" s="11"/>
      <c r="L198" s="11"/>
      <c r="M198" s="11"/>
      <c r="N198" s="11"/>
      <c r="O198" s="12"/>
      <c r="P198" s="11"/>
      <c r="Q198" s="13"/>
      <c r="R198" s="14"/>
    </row>
    <row r="199" spans="1:18" ht="15" customHeight="1" x14ac:dyDescent="0.3">
      <c r="A199" s="15" t="s">
        <v>64</v>
      </c>
      <c r="B199" s="15" t="s">
        <v>75</v>
      </c>
      <c r="C199" s="16">
        <v>0.79513888888888884</v>
      </c>
      <c r="D199" s="15" t="s">
        <v>68</v>
      </c>
      <c r="E199" s="15" t="s">
        <v>78</v>
      </c>
      <c r="F199" s="15" t="s">
        <v>79</v>
      </c>
      <c r="G199" s="144"/>
      <c r="H199" s="10"/>
      <c r="I199" s="11"/>
      <c r="J199" s="11"/>
      <c r="K199" s="11"/>
      <c r="L199" s="11"/>
      <c r="M199" s="11"/>
      <c r="N199" s="11"/>
      <c r="O199" s="12"/>
      <c r="P199" s="11"/>
      <c r="Q199" s="13"/>
      <c r="R199" s="14"/>
    </row>
    <row r="200" spans="1:18" ht="15" customHeight="1" thickBot="1" x14ac:dyDescent="0.35">
      <c r="A200" s="89" t="s">
        <v>80</v>
      </c>
      <c r="B200" s="89" t="s">
        <v>81</v>
      </c>
      <c r="C200" s="90">
        <v>0.39583333333333331</v>
      </c>
      <c r="D200" s="89" t="s">
        <v>82</v>
      </c>
      <c r="E200" s="91"/>
      <c r="F200" s="89" t="s">
        <v>83</v>
      </c>
      <c r="G200" s="145"/>
      <c r="H200" s="92" t="s">
        <v>81</v>
      </c>
      <c r="I200" s="93">
        <v>1.0298</v>
      </c>
      <c r="J200" s="94">
        <v>173</v>
      </c>
      <c r="K200" s="95" t="s">
        <v>159</v>
      </c>
      <c r="L200" s="94">
        <v>0</v>
      </c>
      <c r="M200" s="94">
        <v>0</v>
      </c>
      <c r="N200" s="94">
        <v>0</v>
      </c>
      <c r="O200" s="96" t="s">
        <v>85</v>
      </c>
      <c r="P200" s="97">
        <v>0.39583333333333331</v>
      </c>
      <c r="Q200" s="94">
        <v>168</v>
      </c>
      <c r="R200" s="98" t="s">
        <v>160</v>
      </c>
    </row>
    <row r="201" spans="1:18" ht="17.399999999999999" customHeight="1" thickBot="1" x14ac:dyDescent="0.35">
      <c r="A201" s="175"/>
      <c r="B201" s="176"/>
      <c r="C201" s="176"/>
      <c r="D201" s="176"/>
      <c r="E201" s="176"/>
      <c r="F201" s="176"/>
      <c r="G201" s="176"/>
      <c r="H201" s="176"/>
      <c r="I201" s="176"/>
      <c r="J201" s="176"/>
      <c r="K201" s="176"/>
      <c r="L201" s="176"/>
      <c r="M201" s="176"/>
      <c r="N201" s="176"/>
      <c r="O201" s="176"/>
      <c r="P201" s="176"/>
      <c r="Q201" s="176"/>
      <c r="R201" s="177"/>
    </row>
    <row r="202" spans="1:18" ht="22.05" customHeight="1" thickTop="1" thickBot="1" x14ac:dyDescent="0.35">
      <c r="A202" s="158" t="s">
        <v>6</v>
      </c>
      <c r="B202" s="147"/>
      <c r="C202" s="147"/>
      <c r="D202" s="147"/>
      <c r="E202" s="147"/>
      <c r="F202" s="148"/>
      <c r="G202" s="31">
        <v>45991</v>
      </c>
      <c r="H202" s="146" t="s">
        <v>7</v>
      </c>
      <c r="I202" s="147"/>
      <c r="J202" s="147"/>
      <c r="K202" s="147"/>
      <c r="L202" s="147"/>
      <c r="M202" s="147"/>
      <c r="N202" s="147"/>
      <c r="O202" s="147"/>
      <c r="P202" s="147"/>
      <c r="Q202" s="147"/>
      <c r="R202" s="148"/>
    </row>
    <row r="203" spans="1:18" ht="24" customHeight="1" x14ac:dyDescent="0.3">
      <c r="A203" s="32" t="s">
        <v>8</v>
      </c>
      <c r="B203" s="32" t="s">
        <v>9</v>
      </c>
      <c r="C203" s="33" t="s">
        <v>10</v>
      </c>
      <c r="D203" s="32" t="s">
        <v>11</v>
      </c>
      <c r="E203" s="32" t="s">
        <v>12</v>
      </c>
      <c r="F203" s="34" t="s">
        <v>13</v>
      </c>
      <c r="G203" s="35" t="s">
        <v>14</v>
      </c>
      <c r="H203" s="32" t="s">
        <v>15</v>
      </c>
      <c r="I203" s="36" t="s">
        <v>16</v>
      </c>
      <c r="J203" s="37" t="s">
        <v>17</v>
      </c>
      <c r="K203" s="38" t="s">
        <v>18</v>
      </c>
      <c r="L203" s="37" t="s">
        <v>19</v>
      </c>
      <c r="M203" s="37" t="s">
        <v>20</v>
      </c>
      <c r="N203" s="37" t="s">
        <v>21</v>
      </c>
      <c r="O203" s="32" t="s">
        <v>22</v>
      </c>
      <c r="P203" s="33" t="s">
        <v>23</v>
      </c>
      <c r="Q203" s="37" t="s">
        <v>24</v>
      </c>
      <c r="R203" s="32" t="s">
        <v>25</v>
      </c>
    </row>
    <row r="204" spans="1:18" ht="15" customHeight="1" x14ac:dyDescent="0.3">
      <c r="A204" s="8" t="s">
        <v>41</v>
      </c>
      <c r="B204" s="8" t="s">
        <v>42</v>
      </c>
      <c r="C204" s="9">
        <v>0.4201388888888889</v>
      </c>
      <c r="D204" s="8" t="s">
        <v>43</v>
      </c>
      <c r="E204" s="8" t="s">
        <v>103</v>
      </c>
      <c r="F204" s="8" t="s">
        <v>112</v>
      </c>
      <c r="G204" s="155"/>
      <c r="H204" s="10"/>
      <c r="I204" s="11"/>
      <c r="J204" s="11"/>
      <c r="K204" s="11"/>
      <c r="L204" s="11"/>
      <c r="M204" s="11"/>
      <c r="N204" s="11"/>
      <c r="O204" s="12"/>
      <c r="P204" s="11"/>
      <c r="Q204" s="13"/>
      <c r="R204" s="14"/>
    </row>
    <row r="205" spans="1:18" ht="15" customHeight="1" x14ac:dyDescent="0.3">
      <c r="A205" s="15" t="s">
        <v>41</v>
      </c>
      <c r="B205" s="15" t="s">
        <v>42</v>
      </c>
      <c r="C205" s="16">
        <v>0.4201388888888889</v>
      </c>
      <c r="D205" s="15" t="s">
        <v>46</v>
      </c>
      <c r="E205" s="15" t="s">
        <v>78</v>
      </c>
      <c r="F205" s="15" t="s">
        <v>113</v>
      </c>
      <c r="G205" s="144"/>
      <c r="H205" s="10"/>
      <c r="I205" s="11"/>
      <c r="J205" s="11"/>
      <c r="K205" s="11"/>
      <c r="L205" s="11"/>
      <c r="M205" s="11"/>
      <c r="N205" s="11"/>
      <c r="O205" s="12"/>
      <c r="P205" s="11"/>
      <c r="Q205" s="13"/>
      <c r="R205" s="14"/>
    </row>
    <row r="206" spans="1:18" ht="15" customHeight="1" x14ac:dyDescent="0.3">
      <c r="A206" s="15" t="s">
        <v>41</v>
      </c>
      <c r="B206" s="15" t="s">
        <v>42</v>
      </c>
      <c r="C206" s="16">
        <v>0.4201388888888889</v>
      </c>
      <c r="D206" s="15" t="s">
        <v>49</v>
      </c>
      <c r="E206" s="15" t="s">
        <v>78</v>
      </c>
      <c r="F206" s="15" t="s">
        <v>50</v>
      </c>
      <c r="G206" s="144"/>
      <c r="H206" s="10"/>
      <c r="I206" s="11"/>
      <c r="J206" s="11"/>
      <c r="K206" s="11"/>
      <c r="L206" s="11"/>
      <c r="M206" s="11"/>
      <c r="N206" s="11"/>
      <c r="O206" s="12"/>
      <c r="P206" s="11"/>
      <c r="Q206" s="13"/>
      <c r="R206" s="14"/>
    </row>
    <row r="207" spans="1:18" ht="15" customHeight="1" x14ac:dyDescent="0.3">
      <c r="A207" s="19" t="s">
        <v>26</v>
      </c>
      <c r="B207" s="19" t="s">
        <v>36</v>
      </c>
      <c r="C207" s="20">
        <v>0.75694444444444453</v>
      </c>
      <c r="D207" s="19" t="s">
        <v>28</v>
      </c>
      <c r="E207" s="19" t="s">
        <v>130</v>
      </c>
      <c r="F207" s="19" t="s">
        <v>146</v>
      </c>
      <c r="G207" s="144"/>
      <c r="H207" s="10"/>
      <c r="I207" s="11"/>
      <c r="J207" s="11"/>
      <c r="K207" s="11"/>
      <c r="L207" s="11"/>
      <c r="M207" s="11"/>
      <c r="N207" s="11"/>
      <c r="O207" s="12"/>
      <c r="P207" s="11"/>
      <c r="Q207" s="13"/>
      <c r="R207" s="14"/>
    </row>
    <row r="208" spans="1:18" ht="15" customHeight="1" x14ac:dyDescent="0.3">
      <c r="A208" s="15" t="s">
        <v>26</v>
      </c>
      <c r="B208" s="15" t="s">
        <v>36</v>
      </c>
      <c r="C208" s="16">
        <v>0.75694444444444453</v>
      </c>
      <c r="D208" s="15" t="s">
        <v>31</v>
      </c>
      <c r="E208" s="15" t="s">
        <v>161</v>
      </c>
      <c r="F208" s="15" t="s">
        <v>48</v>
      </c>
      <c r="G208" s="144"/>
      <c r="H208" s="10"/>
      <c r="I208" s="11"/>
      <c r="J208" s="11"/>
      <c r="K208" s="11"/>
      <c r="L208" s="11"/>
      <c r="M208" s="11"/>
      <c r="N208" s="11"/>
      <c r="O208" s="12"/>
      <c r="P208" s="11"/>
      <c r="Q208" s="13"/>
      <c r="R208" s="14"/>
    </row>
    <row r="209" spans="1:18" ht="15" customHeight="1" x14ac:dyDescent="0.3">
      <c r="A209" s="15" t="s">
        <v>26</v>
      </c>
      <c r="B209" s="15" t="s">
        <v>36</v>
      </c>
      <c r="C209" s="16">
        <v>0.75694444444444453</v>
      </c>
      <c r="D209" s="15" t="s">
        <v>34</v>
      </c>
      <c r="E209" s="15" t="s">
        <v>161</v>
      </c>
      <c r="F209" s="15" t="s">
        <v>115</v>
      </c>
      <c r="G209" s="144"/>
      <c r="H209" s="10"/>
      <c r="I209" s="11"/>
      <c r="J209" s="11"/>
      <c r="K209" s="11"/>
      <c r="L209" s="11"/>
      <c r="M209" s="11"/>
      <c r="N209" s="11"/>
      <c r="O209" s="12"/>
      <c r="P209" s="11"/>
      <c r="Q209" s="13"/>
      <c r="R209" s="14"/>
    </row>
    <row r="210" spans="1:18" ht="15" customHeight="1" x14ac:dyDescent="0.3">
      <c r="A210" s="99" t="s">
        <v>80</v>
      </c>
      <c r="B210" s="99" t="s">
        <v>142</v>
      </c>
      <c r="C210" s="100">
        <v>0.90277777777777779</v>
      </c>
      <c r="D210" s="99" t="s">
        <v>129</v>
      </c>
      <c r="E210" s="99" t="s">
        <v>130</v>
      </c>
      <c r="F210" s="99" t="s">
        <v>162</v>
      </c>
      <c r="G210" s="144"/>
      <c r="H210" s="101" t="s">
        <v>81</v>
      </c>
      <c r="I210" s="102">
        <v>0.96550000000000002</v>
      </c>
      <c r="J210" s="103">
        <v>168</v>
      </c>
      <c r="K210" s="104" t="s">
        <v>163</v>
      </c>
      <c r="L210" s="103">
        <v>2</v>
      </c>
      <c r="M210" s="103">
        <v>0</v>
      </c>
      <c r="N210" s="103">
        <v>0</v>
      </c>
      <c r="O210" s="105" t="s">
        <v>164</v>
      </c>
      <c r="P210" s="106">
        <v>0.90277777777777779</v>
      </c>
      <c r="Q210" s="103">
        <v>174</v>
      </c>
      <c r="R210" s="107" t="s">
        <v>165</v>
      </c>
    </row>
    <row r="211" spans="1:18" ht="15" customHeight="1" x14ac:dyDescent="0.3">
      <c r="A211" s="19" t="s">
        <v>64</v>
      </c>
      <c r="B211" s="19" t="s">
        <v>65</v>
      </c>
      <c r="C211" s="20">
        <v>0.60416666666666663</v>
      </c>
      <c r="D211" s="19" t="s">
        <v>66</v>
      </c>
      <c r="E211" s="19" t="s">
        <v>54</v>
      </c>
      <c r="F211" s="19" t="s">
        <v>104</v>
      </c>
      <c r="G211" s="144"/>
      <c r="H211" s="10"/>
      <c r="I211" s="11"/>
      <c r="J211" s="11"/>
      <c r="K211" s="11"/>
      <c r="L211" s="11"/>
      <c r="M211" s="11"/>
      <c r="N211" s="11"/>
      <c r="O211" s="12"/>
      <c r="P211" s="11"/>
      <c r="Q211" s="13"/>
      <c r="R211" s="14"/>
    </row>
    <row r="212" spans="1:18" ht="15" customHeight="1" x14ac:dyDescent="0.3">
      <c r="A212" s="15" t="s">
        <v>64</v>
      </c>
      <c r="B212" s="15" t="s">
        <v>65</v>
      </c>
      <c r="C212" s="16">
        <v>0.60416666666666663</v>
      </c>
      <c r="D212" s="15" t="s">
        <v>68</v>
      </c>
      <c r="E212" s="15" t="s">
        <v>69</v>
      </c>
      <c r="F212" s="15" t="s">
        <v>105</v>
      </c>
      <c r="G212" s="144"/>
      <c r="H212" s="10"/>
      <c r="I212" s="11"/>
      <c r="J212" s="11"/>
      <c r="K212" s="11"/>
      <c r="L212" s="11"/>
      <c r="M212" s="11"/>
      <c r="N212" s="11"/>
      <c r="O212" s="12"/>
      <c r="P212" s="11"/>
      <c r="Q212" s="13"/>
      <c r="R212" s="14"/>
    </row>
    <row r="213" spans="1:18" ht="15" customHeight="1" x14ac:dyDescent="0.3">
      <c r="A213" s="17" t="s">
        <v>64</v>
      </c>
      <c r="B213" s="17" t="s">
        <v>75</v>
      </c>
      <c r="C213" s="18">
        <v>0.79513888888888884</v>
      </c>
      <c r="D213" s="17" t="s">
        <v>66</v>
      </c>
      <c r="E213" s="17" t="s">
        <v>166</v>
      </c>
      <c r="F213" s="17" t="s">
        <v>92</v>
      </c>
      <c r="G213" s="144"/>
      <c r="H213" s="10"/>
      <c r="I213" s="11"/>
      <c r="J213" s="11"/>
      <c r="K213" s="11"/>
      <c r="L213" s="11"/>
      <c r="M213" s="11"/>
      <c r="N213" s="11"/>
      <c r="O213" s="12"/>
      <c r="P213" s="11"/>
      <c r="Q213" s="13"/>
      <c r="R213" s="14"/>
    </row>
    <row r="214" spans="1:18" ht="15" customHeight="1" x14ac:dyDescent="0.3">
      <c r="A214" s="15" t="s">
        <v>64</v>
      </c>
      <c r="B214" s="15" t="s">
        <v>75</v>
      </c>
      <c r="C214" s="16">
        <v>0.79513888888888884</v>
      </c>
      <c r="D214" s="15" t="s">
        <v>68</v>
      </c>
      <c r="E214" s="15" t="s">
        <v>161</v>
      </c>
      <c r="F214" s="15" t="s">
        <v>94</v>
      </c>
      <c r="G214" s="144"/>
      <c r="H214" s="10"/>
      <c r="I214" s="11"/>
      <c r="J214" s="11"/>
      <c r="K214" s="11"/>
      <c r="L214" s="11"/>
      <c r="M214" s="11"/>
      <c r="N214" s="11"/>
      <c r="O214" s="12"/>
      <c r="P214" s="11"/>
      <c r="Q214" s="13"/>
      <c r="R214" s="14"/>
    </row>
    <row r="215" spans="1:18" ht="15" customHeight="1" x14ac:dyDescent="0.3">
      <c r="A215" s="17" t="s">
        <v>64</v>
      </c>
      <c r="B215" s="17" t="s">
        <v>71</v>
      </c>
      <c r="C215" s="18">
        <v>8.6805555555555566E-2</v>
      </c>
      <c r="D215" s="17" t="s">
        <v>66</v>
      </c>
      <c r="E215" s="17" t="s">
        <v>57</v>
      </c>
      <c r="F215" s="17" t="s">
        <v>92</v>
      </c>
      <c r="G215" s="144"/>
      <c r="H215" s="10"/>
      <c r="I215" s="11"/>
      <c r="J215" s="11"/>
      <c r="K215" s="11"/>
      <c r="L215" s="11"/>
      <c r="M215" s="11"/>
      <c r="N215" s="11"/>
      <c r="O215" s="12"/>
      <c r="P215" s="11"/>
      <c r="Q215" s="13"/>
      <c r="R215" s="14"/>
    </row>
    <row r="216" spans="1:18" ht="15" customHeight="1" x14ac:dyDescent="0.3">
      <c r="A216" s="15" t="s">
        <v>64</v>
      </c>
      <c r="B216" s="15" t="s">
        <v>71</v>
      </c>
      <c r="C216" s="16">
        <v>8.6805555555555566E-2</v>
      </c>
      <c r="D216" s="15" t="s">
        <v>68</v>
      </c>
      <c r="E216" s="15" t="s">
        <v>69</v>
      </c>
      <c r="F216" s="15" t="s">
        <v>94</v>
      </c>
      <c r="G216" s="144"/>
      <c r="H216" s="10"/>
      <c r="I216" s="11"/>
      <c r="J216" s="11"/>
      <c r="K216" s="11"/>
      <c r="L216" s="11"/>
      <c r="M216" s="11"/>
      <c r="N216" s="11"/>
      <c r="O216" s="12"/>
      <c r="P216" s="11"/>
      <c r="Q216" s="13"/>
      <c r="R216" s="14"/>
    </row>
    <row r="217" spans="1:18" ht="15" customHeight="1" x14ac:dyDescent="0.3">
      <c r="A217" s="17" t="s">
        <v>64</v>
      </c>
      <c r="B217" s="17" t="s">
        <v>72</v>
      </c>
      <c r="C217" s="18">
        <v>0.4201388888888889</v>
      </c>
      <c r="D217" s="17" t="s">
        <v>68</v>
      </c>
      <c r="E217" s="17" t="s">
        <v>73</v>
      </c>
      <c r="F217" s="17" t="s">
        <v>74</v>
      </c>
      <c r="G217" s="144"/>
      <c r="H217" s="10"/>
      <c r="I217" s="11"/>
      <c r="J217" s="11"/>
      <c r="K217" s="11"/>
      <c r="L217" s="11"/>
      <c r="M217" s="11"/>
      <c r="N217" s="11"/>
      <c r="O217" s="12"/>
      <c r="P217" s="11"/>
      <c r="Q217" s="13"/>
      <c r="R217" s="14"/>
    </row>
    <row r="218" spans="1:18" ht="15" customHeight="1" x14ac:dyDescent="0.3">
      <c r="A218" s="108" t="s">
        <v>51</v>
      </c>
      <c r="B218" s="108" t="s">
        <v>58</v>
      </c>
      <c r="C218" s="109">
        <v>0.4513888888888889</v>
      </c>
      <c r="D218" s="108" t="s">
        <v>53</v>
      </c>
      <c r="E218" s="108" t="s">
        <v>103</v>
      </c>
      <c r="F218" s="108" t="s">
        <v>63</v>
      </c>
      <c r="G218" s="145"/>
      <c r="H218" s="41"/>
      <c r="I218" s="42"/>
      <c r="J218" s="42"/>
      <c r="K218" s="42"/>
      <c r="L218" s="42"/>
      <c r="M218" s="42"/>
      <c r="N218" s="42"/>
      <c r="O218" s="43"/>
      <c r="P218" s="42"/>
      <c r="Q218" s="44"/>
      <c r="R218" s="45"/>
    </row>
  </sheetData>
  <mergeCells count="50">
    <mergeCell ref="G204:G218"/>
    <mergeCell ref="N1:R1"/>
    <mergeCell ref="A28:R28"/>
    <mergeCell ref="A67:F67"/>
    <mergeCell ref="H100:R100"/>
    <mergeCell ref="G51:G65"/>
    <mergeCell ref="G169:G182"/>
    <mergeCell ref="K2:R2"/>
    <mergeCell ref="A83:F83"/>
    <mergeCell ref="A167:F167"/>
    <mergeCell ref="A143:F143"/>
    <mergeCell ref="A202:F202"/>
    <mergeCell ref="A48:R48"/>
    <mergeCell ref="G126:G141"/>
    <mergeCell ref="A49:F49"/>
    <mergeCell ref="A201:R201"/>
    <mergeCell ref="H202:R202"/>
    <mergeCell ref="A2:F2"/>
    <mergeCell ref="A3:R3"/>
    <mergeCell ref="H83:R83"/>
    <mergeCell ref="H167:R167"/>
    <mergeCell ref="G69:G81"/>
    <mergeCell ref="H143:R143"/>
    <mergeCell ref="G85:G98"/>
    <mergeCell ref="G102:G122"/>
    <mergeCell ref="G2:J2"/>
    <mergeCell ref="H49:R49"/>
    <mergeCell ref="A4:F4"/>
    <mergeCell ref="A100:F100"/>
    <mergeCell ref="G145:G165"/>
    <mergeCell ref="A184:F184"/>
    <mergeCell ref="G186:G200"/>
    <mergeCell ref="H1:L1"/>
    <mergeCell ref="A1:E1"/>
    <mergeCell ref="A66:R66"/>
    <mergeCell ref="G6:G27"/>
    <mergeCell ref="H4:R4"/>
    <mergeCell ref="A29:F29"/>
    <mergeCell ref="G31:G47"/>
    <mergeCell ref="H184:R184"/>
    <mergeCell ref="A99:R99"/>
    <mergeCell ref="A183:R183"/>
    <mergeCell ref="H29:R29"/>
    <mergeCell ref="H67:R67"/>
    <mergeCell ref="A82:R82"/>
    <mergeCell ref="A166:R166"/>
    <mergeCell ref="A142:R142"/>
    <mergeCell ref="H124:R124"/>
    <mergeCell ref="A123:R123"/>
    <mergeCell ref="A124:F1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1"/>
  <sheetViews>
    <sheetView workbookViewId="0"/>
  </sheetViews>
  <sheetFormatPr defaultRowHeight="15.6" outlineLevelCol="1" x14ac:dyDescent="0.3"/>
  <cols>
    <col min="1" max="1" width="9.88671875" style="162" bestFit="1" customWidth="1"/>
    <col min="2" max="2" width="10.44140625" style="162" bestFit="1" customWidth="1"/>
    <col min="3" max="3" width="6.77734375" style="162" bestFit="1" customWidth="1"/>
    <col min="4" max="4" width="5.5546875" style="162" bestFit="1" customWidth="1"/>
    <col min="5" max="5" width="8.5546875" style="162" bestFit="1" customWidth="1"/>
    <col min="6" max="6" width="4.21875" style="162" bestFit="1" customWidth="1"/>
    <col min="7" max="7" width="10" style="162" bestFit="1" customWidth="1"/>
    <col min="8" max="9" width="8.5546875" style="162" bestFit="1" customWidth="1"/>
    <col min="10" max="10" width="7" style="162" bestFit="1" customWidth="1"/>
    <col min="11" max="11" width="10.5546875" style="162" bestFit="1" customWidth="1"/>
    <col min="12" max="12" width="18.6640625" style="162" bestFit="1" customWidth="1"/>
    <col min="13" max="13" width="7.6640625" style="162" bestFit="1" customWidth="1" outlineLevel="1"/>
    <col min="14" max="14" width="6.33203125" style="162" bestFit="1" customWidth="1" outlineLevel="1"/>
    <col min="15" max="15" width="8" style="162" bestFit="1" customWidth="1" outlineLevel="1"/>
    <col min="16" max="16" width="13.6640625" style="162" bestFit="1" customWidth="1"/>
    <col min="17" max="20" width="3.88671875" style="162" bestFit="1" customWidth="1"/>
    <col min="21" max="21" width="4.5546875" style="162" bestFit="1" customWidth="1"/>
    <col min="22" max="24" width="3.88671875" style="162" bestFit="1" customWidth="1"/>
    <col min="25" max="25" width="4.44140625" style="162" bestFit="1" customWidth="1"/>
    <col min="26" max="26" width="4.109375" style="162" bestFit="1" customWidth="1"/>
    <col min="27" max="27" width="5" style="162" bestFit="1" customWidth="1"/>
    <col min="28" max="29" width="4.21875" style="162" bestFit="1" customWidth="1"/>
    <col min="30" max="31" width="4.5546875" style="162" bestFit="1" customWidth="1"/>
    <col min="32" max="32" width="3.88671875" style="162" bestFit="1" customWidth="1"/>
    <col min="33" max="33" width="4.21875" style="162" bestFit="1" customWidth="1"/>
    <col min="34" max="34" width="3.88671875" style="162" bestFit="1" customWidth="1"/>
    <col min="35" max="35" width="5.21875" style="162" bestFit="1" customWidth="1"/>
    <col min="36" max="36" width="3.88671875" style="162" bestFit="1" customWidth="1"/>
    <col min="37" max="16384" width="8.88671875" style="162"/>
  </cols>
  <sheetData>
    <row r="1" spans="1:36" x14ac:dyDescent="0.3">
      <c r="A1" s="161" t="s">
        <v>167</v>
      </c>
      <c r="B1" s="161" t="s">
        <v>168</v>
      </c>
      <c r="C1" s="161" t="s">
        <v>169</v>
      </c>
      <c r="D1" s="161" t="s">
        <v>23</v>
      </c>
      <c r="E1" s="161" t="s">
        <v>170</v>
      </c>
      <c r="F1" s="161" t="s">
        <v>171</v>
      </c>
      <c r="G1" s="161" t="s">
        <v>16</v>
      </c>
      <c r="H1" s="161" t="s">
        <v>172</v>
      </c>
      <c r="I1" s="161" t="s">
        <v>173</v>
      </c>
      <c r="J1" s="161" t="s">
        <v>174</v>
      </c>
      <c r="K1" s="161" t="s">
        <v>175</v>
      </c>
      <c r="L1" s="161" t="s">
        <v>18</v>
      </c>
      <c r="M1" s="161" t="s">
        <v>20</v>
      </c>
      <c r="N1" s="161" t="s">
        <v>21</v>
      </c>
      <c r="O1" s="161" t="s">
        <v>19</v>
      </c>
      <c r="P1" s="161" t="s">
        <v>22</v>
      </c>
      <c r="Q1" s="161" t="s">
        <v>176</v>
      </c>
      <c r="R1" s="161" t="s">
        <v>177</v>
      </c>
      <c r="S1" s="161" t="s">
        <v>178</v>
      </c>
      <c r="T1" s="161" t="s">
        <v>179</v>
      </c>
      <c r="U1" s="161" t="s">
        <v>180</v>
      </c>
      <c r="V1" s="161" t="s">
        <v>181</v>
      </c>
      <c r="W1" s="161" t="s">
        <v>182</v>
      </c>
      <c r="X1" s="161" t="s">
        <v>183</v>
      </c>
      <c r="Y1" s="161" t="s">
        <v>184</v>
      </c>
      <c r="Z1" s="161" t="s">
        <v>185</v>
      </c>
      <c r="AA1" s="161" t="s">
        <v>186</v>
      </c>
      <c r="AB1" s="161" t="s">
        <v>187</v>
      </c>
      <c r="AC1" s="161" t="s">
        <v>188</v>
      </c>
      <c r="AD1" s="161" t="s">
        <v>189</v>
      </c>
      <c r="AE1" s="161" t="s">
        <v>190</v>
      </c>
      <c r="AF1" s="161" t="s">
        <v>191</v>
      </c>
      <c r="AG1" s="161" t="s">
        <v>192</v>
      </c>
      <c r="AH1" s="161" t="s">
        <v>193</v>
      </c>
      <c r="AI1" s="161" t="s">
        <v>194</v>
      </c>
      <c r="AJ1" s="161" t="s">
        <v>195</v>
      </c>
    </row>
    <row r="2" spans="1:36" x14ac:dyDescent="0.3">
      <c r="A2" s="163" t="s">
        <v>196</v>
      </c>
      <c r="B2" s="164">
        <v>45981</v>
      </c>
      <c r="C2" s="165" t="s">
        <v>81</v>
      </c>
      <c r="D2" s="166" t="s">
        <v>197</v>
      </c>
      <c r="E2" s="165" t="s">
        <v>1</v>
      </c>
      <c r="F2" s="165" t="s">
        <v>198</v>
      </c>
      <c r="G2" s="167">
        <v>1.0169999999999999</v>
      </c>
      <c r="H2" s="168">
        <v>176</v>
      </c>
      <c r="I2" s="168">
        <v>179</v>
      </c>
      <c r="J2" s="168">
        <v>92</v>
      </c>
      <c r="K2" s="165" t="s">
        <v>199</v>
      </c>
      <c r="L2" s="169" t="s">
        <v>84</v>
      </c>
      <c r="M2" s="168">
        <v>0</v>
      </c>
      <c r="N2" s="168">
        <v>0</v>
      </c>
      <c r="O2" s="168">
        <v>6</v>
      </c>
      <c r="P2" s="165" t="s">
        <v>85</v>
      </c>
      <c r="Q2" s="161"/>
      <c r="R2" s="161"/>
      <c r="S2" s="161"/>
      <c r="T2" s="161"/>
      <c r="U2" s="168" t="s">
        <v>200</v>
      </c>
      <c r="V2" s="161"/>
      <c r="W2" s="161"/>
      <c r="X2" s="168" t="s">
        <v>201</v>
      </c>
      <c r="Y2" s="168" t="s">
        <v>202</v>
      </c>
      <c r="Z2" s="168" t="s">
        <v>203</v>
      </c>
      <c r="AA2" s="168" t="s">
        <v>204</v>
      </c>
      <c r="AB2" s="168" t="s">
        <v>205</v>
      </c>
      <c r="AC2" s="168" t="s">
        <v>206</v>
      </c>
      <c r="AD2" s="168" t="s">
        <v>207</v>
      </c>
      <c r="AE2" s="168" t="s">
        <v>208</v>
      </c>
      <c r="AF2" s="168" t="s">
        <v>209</v>
      </c>
      <c r="AG2" s="161"/>
      <c r="AH2" s="161"/>
      <c r="AI2" s="168" t="s">
        <v>210</v>
      </c>
      <c r="AJ2" s="168" t="s">
        <v>211</v>
      </c>
    </row>
    <row r="3" spans="1:36" x14ac:dyDescent="0.3">
      <c r="A3" s="163" t="s">
        <v>212</v>
      </c>
      <c r="B3" s="164">
        <v>45983</v>
      </c>
      <c r="C3" s="165" t="s">
        <v>81</v>
      </c>
      <c r="D3" s="166" t="s">
        <v>213</v>
      </c>
      <c r="E3" s="165" t="s">
        <v>1</v>
      </c>
      <c r="F3" s="165" t="s">
        <v>198</v>
      </c>
      <c r="G3" s="167">
        <v>1</v>
      </c>
      <c r="H3" s="168">
        <v>179</v>
      </c>
      <c r="I3" s="168">
        <v>179</v>
      </c>
      <c r="J3" s="168">
        <v>130</v>
      </c>
      <c r="K3" s="165" t="s">
        <v>199</v>
      </c>
      <c r="L3" s="169" t="s">
        <v>106</v>
      </c>
      <c r="M3" s="168">
        <v>0</v>
      </c>
      <c r="N3" s="168">
        <v>0</v>
      </c>
      <c r="O3" s="168">
        <v>1</v>
      </c>
      <c r="P3" s="165" t="s">
        <v>85</v>
      </c>
      <c r="Q3" s="161"/>
      <c r="R3" s="161"/>
      <c r="S3" s="161"/>
      <c r="T3" s="161"/>
      <c r="U3" s="168" t="s">
        <v>214</v>
      </c>
      <c r="V3" s="161"/>
      <c r="W3" s="161"/>
      <c r="X3" s="161"/>
      <c r="Y3" s="161"/>
      <c r="Z3" s="161"/>
      <c r="AA3" s="161"/>
      <c r="AB3" s="168" t="s">
        <v>215</v>
      </c>
      <c r="AC3" s="168" t="s">
        <v>216</v>
      </c>
      <c r="AD3" s="168" t="s">
        <v>217</v>
      </c>
      <c r="AE3" s="168" t="s">
        <v>218</v>
      </c>
      <c r="AF3" s="168" t="s">
        <v>219</v>
      </c>
      <c r="AG3" s="161"/>
      <c r="AH3" s="161"/>
      <c r="AI3" s="168" t="s">
        <v>220</v>
      </c>
      <c r="AJ3" s="168" t="s">
        <v>221</v>
      </c>
    </row>
    <row r="4" spans="1:36" x14ac:dyDescent="0.3">
      <c r="A4" s="163" t="s">
        <v>222</v>
      </c>
      <c r="B4" s="164">
        <v>45984</v>
      </c>
      <c r="C4" s="165" t="s">
        <v>81</v>
      </c>
      <c r="D4" s="166" t="s">
        <v>223</v>
      </c>
      <c r="E4" s="165" t="s">
        <v>1</v>
      </c>
      <c r="F4" s="165" t="s">
        <v>198</v>
      </c>
      <c r="G4" s="167">
        <v>1</v>
      </c>
      <c r="H4" s="168">
        <v>179</v>
      </c>
      <c r="I4" s="168">
        <v>179</v>
      </c>
      <c r="J4" s="168">
        <v>86</v>
      </c>
      <c r="K4" s="165" t="s">
        <v>199</v>
      </c>
      <c r="L4" s="169" t="s">
        <v>110</v>
      </c>
      <c r="M4" s="168">
        <v>0</v>
      </c>
      <c r="N4" s="168">
        <v>0</v>
      </c>
      <c r="O4" s="168">
        <v>3</v>
      </c>
      <c r="P4" s="165" t="s">
        <v>85</v>
      </c>
      <c r="Q4" s="161"/>
      <c r="R4" s="161"/>
      <c r="S4" s="161"/>
      <c r="T4" s="161"/>
      <c r="U4" s="161"/>
      <c r="V4" s="168" t="s">
        <v>224</v>
      </c>
      <c r="W4" s="161"/>
      <c r="X4" s="161"/>
      <c r="Y4" s="168" t="s">
        <v>225</v>
      </c>
      <c r="Z4" s="168" t="s">
        <v>226</v>
      </c>
      <c r="AA4" s="161"/>
      <c r="AB4" s="168" t="s">
        <v>227</v>
      </c>
      <c r="AC4" s="168" t="s">
        <v>228</v>
      </c>
      <c r="AD4" s="168" t="s">
        <v>207</v>
      </c>
      <c r="AE4" s="168" t="s">
        <v>208</v>
      </c>
      <c r="AF4" s="168" t="s">
        <v>219</v>
      </c>
      <c r="AG4" s="161"/>
      <c r="AH4" s="161"/>
      <c r="AI4" s="168" t="s">
        <v>229</v>
      </c>
      <c r="AJ4" s="168" t="s">
        <v>230</v>
      </c>
    </row>
    <row r="5" spans="1:36" x14ac:dyDescent="0.3">
      <c r="A5" s="163" t="s">
        <v>231</v>
      </c>
      <c r="B5" s="164">
        <v>45986</v>
      </c>
      <c r="C5" s="165" t="s">
        <v>138</v>
      </c>
      <c r="D5" s="166" t="s">
        <v>232</v>
      </c>
      <c r="E5" s="165" t="s">
        <v>1</v>
      </c>
      <c r="F5" s="165" t="s">
        <v>198</v>
      </c>
      <c r="G5" s="167">
        <v>0.91059999999999997</v>
      </c>
      <c r="H5" s="168">
        <v>179</v>
      </c>
      <c r="I5" s="168">
        <v>163</v>
      </c>
      <c r="J5" s="168">
        <v>158</v>
      </c>
      <c r="K5" s="165" t="s">
        <v>199</v>
      </c>
      <c r="L5" s="169" t="s">
        <v>139</v>
      </c>
      <c r="M5" s="168">
        <v>0</v>
      </c>
      <c r="N5" s="168">
        <v>0</v>
      </c>
      <c r="O5" s="168">
        <v>0</v>
      </c>
      <c r="P5" s="165" t="s">
        <v>140</v>
      </c>
      <c r="Q5" s="161"/>
      <c r="R5" s="161"/>
      <c r="S5" s="161"/>
      <c r="T5" s="161"/>
      <c r="U5" s="161"/>
      <c r="V5" s="161"/>
      <c r="W5" s="161"/>
      <c r="X5" s="168" t="s">
        <v>233</v>
      </c>
      <c r="Y5" s="161"/>
      <c r="Z5" s="161"/>
      <c r="AA5" s="161"/>
      <c r="AB5" s="161"/>
      <c r="AC5" s="161"/>
      <c r="AD5" s="161"/>
      <c r="AE5" s="161"/>
      <c r="AF5" s="168" t="s">
        <v>234</v>
      </c>
      <c r="AG5" s="168" t="s">
        <v>235</v>
      </c>
      <c r="AH5" s="161"/>
      <c r="AI5" s="168" t="s">
        <v>236</v>
      </c>
      <c r="AJ5" s="161"/>
    </row>
    <row r="6" spans="1:36" x14ac:dyDescent="0.3">
      <c r="A6" s="163" t="s">
        <v>231</v>
      </c>
      <c r="B6" s="164">
        <v>45986</v>
      </c>
      <c r="C6" s="165" t="s">
        <v>132</v>
      </c>
      <c r="D6" s="166" t="s">
        <v>237</v>
      </c>
      <c r="E6" s="165" t="s">
        <v>1</v>
      </c>
      <c r="F6" s="165" t="s">
        <v>198</v>
      </c>
      <c r="G6" s="167">
        <v>0.50600000000000001</v>
      </c>
      <c r="H6" s="168">
        <v>168</v>
      </c>
      <c r="I6" s="168">
        <v>85</v>
      </c>
      <c r="J6" s="168">
        <v>0</v>
      </c>
      <c r="K6" s="165" t="s">
        <v>199</v>
      </c>
      <c r="L6" s="169" t="s">
        <v>133</v>
      </c>
      <c r="M6" s="168">
        <v>0</v>
      </c>
      <c r="N6" s="168">
        <v>1</v>
      </c>
      <c r="O6" s="168">
        <v>41</v>
      </c>
      <c r="P6" s="165" t="s">
        <v>134</v>
      </c>
      <c r="Q6" s="161"/>
      <c r="R6" s="161"/>
      <c r="S6" s="161"/>
      <c r="T6" s="161"/>
      <c r="U6" s="161"/>
      <c r="V6" s="161"/>
      <c r="W6" s="161"/>
      <c r="X6" s="168" t="s">
        <v>134</v>
      </c>
      <c r="Y6" s="168" t="s">
        <v>225</v>
      </c>
      <c r="Z6" s="168" t="s">
        <v>238</v>
      </c>
      <c r="AA6" s="168" t="s">
        <v>239</v>
      </c>
      <c r="AB6" s="168" t="s">
        <v>240</v>
      </c>
      <c r="AC6" s="168" t="s">
        <v>241</v>
      </c>
      <c r="AD6" s="168" t="s">
        <v>242</v>
      </c>
      <c r="AE6" s="168" t="s">
        <v>243</v>
      </c>
      <c r="AF6" s="168" t="s">
        <v>244</v>
      </c>
      <c r="AG6" s="161"/>
      <c r="AH6" s="161"/>
      <c r="AI6" s="161"/>
      <c r="AJ6" s="161"/>
    </row>
    <row r="7" spans="1:36" x14ac:dyDescent="0.3">
      <c r="A7" s="163" t="s">
        <v>231</v>
      </c>
      <c r="B7" s="164">
        <v>45986</v>
      </c>
      <c r="C7" s="165" t="s">
        <v>81</v>
      </c>
      <c r="D7" s="166" t="s">
        <v>245</v>
      </c>
      <c r="E7" s="165" t="s">
        <v>1</v>
      </c>
      <c r="F7" s="165" t="s">
        <v>198</v>
      </c>
      <c r="G7" s="167">
        <v>0.99439999999999995</v>
      </c>
      <c r="H7" s="168">
        <v>179</v>
      </c>
      <c r="I7" s="168">
        <v>178</v>
      </c>
      <c r="J7" s="168">
        <v>123</v>
      </c>
      <c r="K7" s="165" t="s">
        <v>199</v>
      </c>
      <c r="L7" s="169" t="s">
        <v>110</v>
      </c>
      <c r="M7" s="168">
        <v>0</v>
      </c>
      <c r="N7" s="168">
        <v>0</v>
      </c>
      <c r="O7" s="168">
        <v>8</v>
      </c>
      <c r="P7" s="165" t="s">
        <v>144</v>
      </c>
      <c r="Q7" s="161"/>
      <c r="R7" s="161"/>
      <c r="S7" s="161"/>
      <c r="T7" s="161"/>
      <c r="U7" s="168" t="s">
        <v>144</v>
      </c>
      <c r="V7" s="168" t="s">
        <v>246</v>
      </c>
      <c r="W7" s="168" t="s">
        <v>247</v>
      </c>
      <c r="X7" s="161"/>
      <c r="Y7" s="161"/>
      <c r="Z7" s="168" t="s">
        <v>248</v>
      </c>
      <c r="AA7" s="161"/>
      <c r="AB7" s="161"/>
      <c r="AC7" s="168" t="s">
        <v>249</v>
      </c>
      <c r="AD7" s="168" t="s">
        <v>250</v>
      </c>
      <c r="AE7" s="168" t="s">
        <v>208</v>
      </c>
      <c r="AF7" s="168" t="s">
        <v>219</v>
      </c>
      <c r="AG7" s="161"/>
      <c r="AH7" s="161"/>
      <c r="AI7" s="168" t="s">
        <v>251</v>
      </c>
      <c r="AJ7" s="161"/>
    </row>
    <row r="8" spans="1:36" x14ac:dyDescent="0.3">
      <c r="A8" s="163" t="s">
        <v>196</v>
      </c>
      <c r="B8" s="164">
        <v>45988</v>
      </c>
      <c r="C8" s="165" t="s">
        <v>81</v>
      </c>
      <c r="D8" s="166" t="s">
        <v>197</v>
      </c>
      <c r="E8" s="165" t="s">
        <v>1</v>
      </c>
      <c r="F8" s="165" t="s">
        <v>198</v>
      </c>
      <c r="G8" s="167">
        <v>1.0179</v>
      </c>
      <c r="H8" s="168">
        <v>168</v>
      </c>
      <c r="I8" s="168">
        <v>171</v>
      </c>
      <c r="J8" s="168">
        <v>128</v>
      </c>
      <c r="K8" s="165" t="s">
        <v>199</v>
      </c>
      <c r="L8" s="169" t="s">
        <v>133</v>
      </c>
      <c r="M8" s="168">
        <v>0</v>
      </c>
      <c r="N8" s="168">
        <v>2</v>
      </c>
      <c r="O8" s="168">
        <v>8</v>
      </c>
      <c r="P8" s="165" t="s">
        <v>85</v>
      </c>
      <c r="Q8" s="161"/>
      <c r="R8" s="161"/>
      <c r="S8" s="161"/>
      <c r="T8" s="161"/>
      <c r="U8" s="161"/>
      <c r="V8" s="161"/>
      <c r="W8" s="168" t="s">
        <v>252</v>
      </c>
      <c r="X8" s="168" t="s">
        <v>253</v>
      </c>
      <c r="Y8" s="161"/>
      <c r="Z8" s="168" t="s">
        <v>254</v>
      </c>
      <c r="AA8" s="161"/>
      <c r="AB8" s="161"/>
      <c r="AC8" s="161"/>
      <c r="AD8" s="168" t="s">
        <v>255</v>
      </c>
      <c r="AE8" s="168" t="s">
        <v>208</v>
      </c>
      <c r="AF8" s="168" t="s">
        <v>219</v>
      </c>
      <c r="AG8" s="161"/>
      <c r="AH8" s="161"/>
      <c r="AI8" s="168" t="s">
        <v>256</v>
      </c>
      <c r="AJ8" s="168" t="s">
        <v>211</v>
      </c>
    </row>
    <row r="9" spans="1:36" x14ac:dyDescent="0.3">
      <c r="A9" s="163" t="s">
        <v>212</v>
      </c>
      <c r="B9" s="164">
        <v>45990</v>
      </c>
      <c r="C9" s="165" t="s">
        <v>81</v>
      </c>
      <c r="D9" s="166" t="s">
        <v>213</v>
      </c>
      <c r="E9" s="165" t="s">
        <v>1</v>
      </c>
      <c r="F9" s="165" t="s">
        <v>198</v>
      </c>
      <c r="G9" s="167">
        <v>1.0298</v>
      </c>
      <c r="H9" s="168">
        <v>168</v>
      </c>
      <c r="I9" s="168">
        <v>173</v>
      </c>
      <c r="J9" s="168">
        <v>131</v>
      </c>
      <c r="K9" s="165" t="s">
        <v>199</v>
      </c>
      <c r="L9" s="169" t="s">
        <v>159</v>
      </c>
      <c r="M9" s="168">
        <v>0</v>
      </c>
      <c r="N9" s="168">
        <v>0</v>
      </c>
      <c r="O9" s="168">
        <v>0</v>
      </c>
      <c r="P9" s="165" t="s">
        <v>85</v>
      </c>
      <c r="Q9" s="161"/>
      <c r="R9" s="161"/>
      <c r="S9" s="161"/>
      <c r="T9" s="161"/>
      <c r="U9" s="161"/>
      <c r="V9" s="161"/>
      <c r="W9" s="161"/>
      <c r="X9" s="161"/>
      <c r="Y9" s="168" t="s">
        <v>257</v>
      </c>
      <c r="Z9" s="168" t="s">
        <v>258</v>
      </c>
      <c r="AA9" s="161"/>
      <c r="AB9" s="161"/>
      <c r="AC9" s="161"/>
      <c r="AD9" s="161"/>
      <c r="AE9" s="161"/>
      <c r="AF9" s="168" t="s">
        <v>259</v>
      </c>
      <c r="AG9" s="161"/>
      <c r="AH9" s="161"/>
      <c r="AI9" s="168" t="s">
        <v>260</v>
      </c>
      <c r="AJ9" s="168" t="s">
        <v>221</v>
      </c>
    </row>
    <row r="10" spans="1:36" x14ac:dyDescent="0.3">
      <c r="A10" s="163" t="s">
        <v>222</v>
      </c>
      <c r="B10" s="164">
        <v>45991</v>
      </c>
      <c r="C10" s="165" t="s">
        <v>81</v>
      </c>
      <c r="D10" s="166" t="s">
        <v>223</v>
      </c>
      <c r="E10" s="165" t="s">
        <v>1</v>
      </c>
      <c r="F10" s="165" t="s">
        <v>198</v>
      </c>
      <c r="G10" s="167">
        <v>0.96550000000000002</v>
      </c>
      <c r="H10" s="168">
        <v>174</v>
      </c>
      <c r="I10" s="168">
        <v>168</v>
      </c>
      <c r="J10" s="168">
        <v>133</v>
      </c>
      <c r="K10" s="165" t="s">
        <v>199</v>
      </c>
      <c r="L10" s="169" t="s">
        <v>163</v>
      </c>
      <c r="M10" s="168">
        <v>0</v>
      </c>
      <c r="N10" s="168">
        <v>0</v>
      </c>
      <c r="O10" s="168">
        <v>2</v>
      </c>
      <c r="P10" s="165" t="s">
        <v>164</v>
      </c>
      <c r="Q10" s="161"/>
      <c r="R10" s="161"/>
      <c r="S10" s="161"/>
      <c r="T10" s="161"/>
      <c r="U10" s="161"/>
      <c r="V10" s="161"/>
      <c r="W10" s="161"/>
      <c r="X10" s="168" t="s">
        <v>201</v>
      </c>
      <c r="Y10" s="168" t="s">
        <v>261</v>
      </c>
      <c r="Z10" s="168" t="s">
        <v>262</v>
      </c>
      <c r="AA10" s="168" t="s">
        <v>263</v>
      </c>
      <c r="AB10" s="168" t="s">
        <v>264</v>
      </c>
      <c r="AC10" s="168" t="s">
        <v>265</v>
      </c>
      <c r="AD10" s="168" t="s">
        <v>266</v>
      </c>
      <c r="AE10" s="168" t="s">
        <v>267</v>
      </c>
      <c r="AF10" s="168" t="s">
        <v>234</v>
      </c>
      <c r="AG10" s="161"/>
      <c r="AH10" s="161"/>
      <c r="AI10" s="168" t="s">
        <v>260</v>
      </c>
      <c r="AJ10" s="161"/>
    </row>
    <row r="11" spans="1:36" ht="21" x14ac:dyDescent="0.3">
      <c r="A11" s="170" t="s">
        <v>282</v>
      </c>
      <c r="B11" s="171"/>
      <c r="C11" s="170">
        <f>SUBTOTAL(103,MED_CAI_LF_LEGACY[Flt])</f>
        <v>9</v>
      </c>
      <c r="D11" s="170"/>
      <c r="E11" s="170">
        <f>SUBTOTAL(103,MED_CAI_LF_LEGACY[Brd-Off])</f>
        <v>9</v>
      </c>
      <c r="F11" s="170"/>
      <c r="G11" s="172">
        <f>SUBTOTAL(101,MED_CAI_LF_LEGACY[LF%])</f>
        <v>0.93791111111111114</v>
      </c>
      <c r="H11" s="173">
        <f>SUBTOTAL(109,MED_CAI_LF_LEGACY[CAP])</f>
        <v>1570</v>
      </c>
      <c r="I11" s="173">
        <f>SUBTOTAL(109,MED_CAI_LF_LEGACY[BKG(Y)])</f>
        <v>1475</v>
      </c>
      <c r="J11" s="173">
        <f>SUBTOTAL(109,MED_CAI_LF_LEGACY[GRP(Y)])</f>
        <v>981</v>
      </c>
      <c r="K11" s="170"/>
      <c r="L11" s="171"/>
      <c r="M11" s="173">
        <f>SUBTOTAL(109,MED_CAI_LF_LEGACY[TO-DAY])</f>
        <v>0</v>
      </c>
      <c r="N11" s="173">
        <f>SUBTOTAL(109,MED_CAI_LF_LEGACY[Y-DAY])</f>
        <v>3</v>
      </c>
      <c r="O11" s="173">
        <f>SUBTOTAL(109,MED_CAI_LF_LEGACY[WEEKLY])</f>
        <v>69</v>
      </c>
      <c r="P11" s="174"/>
      <c r="Q11" s="173">
        <f>SUBTOTAL(109,MED_CAI_LF_LEGACY[Y])</f>
        <v>0</v>
      </c>
      <c r="R11" s="173">
        <f>SUBTOTAL(109,MED_CAI_LF_LEGACY[B])</f>
        <v>0</v>
      </c>
      <c r="S11" s="173">
        <f>SUBTOTAL(109,MED_CAI_LF_LEGACY[M])</f>
        <v>0</v>
      </c>
      <c r="T11" s="173">
        <f>SUBTOTAL(109,MED_CAI_LF_LEGACY[H])</f>
        <v>0</v>
      </c>
      <c r="U11" s="173">
        <f>SUBTOTAL(109,MED_CAI_LF_LEGACY[Q])</f>
        <v>0</v>
      </c>
      <c r="V11" s="173">
        <f>SUBTOTAL(109,MED_CAI_LF_LEGACY[K])</f>
        <v>0</v>
      </c>
      <c r="W11" s="173">
        <f>SUBTOTAL(109,MED_CAI_LF_LEGACY[V])</f>
        <v>0</v>
      </c>
      <c r="X11" s="173">
        <f>SUBTOTAL(109,MED_CAI_LF_LEGACY[L])</f>
        <v>0</v>
      </c>
      <c r="Y11" s="173">
        <f>SUBTOTAL(109,MED_CAI_LF_LEGACY[G])</f>
        <v>0</v>
      </c>
      <c r="Z11" s="173">
        <f>SUBTOTAL(109,MED_CAI_LF_LEGACY[S])</f>
        <v>0</v>
      </c>
      <c r="AA11" s="173">
        <f>SUBTOTAL(109,MED_CAI_LF_LEGACY[W])</f>
        <v>0</v>
      </c>
      <c r="AB11" s="173">
        <f>SUBTOTAL(109,MED_CAI_LF_LEGACY[T])</f>
        <v>0</v>
      </c>
      <c r="AC11" s="173">
        <f>SUBTOTAL(109,MED_CAI_LF_LEGACY[X])</f>
        <v>0</v>
      </c>
      <c r="AD11" s="173">
        <f>SUBTOTAL(109,MED_CAI_LF_LEGACY[U])</f>
        <v>0</v>
      </c>
      <c r="AE11" s="173">
        <f>SUBTOTAL(109,MED_CAI_LF_LEGACY[O])</f>
        <v>0</v>
      </c>
      <c r="AF11" s="173">
        <f>SUBTOTAL(109,MED_CAI_LF_LEGACY[I])</f>
        <v>0</v>
      </c>
      <c r="AG11" s="173">
        <f>SUBTOTAL(109,MED_CAI_LF_LEGACY[E])</f>
        <v>0</v>
      </c>
      <c r="AH11" s="173">
        <f>SUBTOTAL(109,MED_CAI_LF_LEGACY[A])</f>
        <v>0</v>
      </c>
      <c r="AI11" s="173">
        <f>SUBTOTAL(109,MED_CAI_LF_LEGACY[P])</f>
        <v>0</v>
      </c>
      <c r="AJ11" s="173">
        <f>SUBTOTAL(103,MED_CAI_LF_LEGACY[N])</f>
        <v>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6.5546875" hidden="1" customWidth="1"/>
  </cols>
  <sheetData>
    <row r="1" spans="1:8" ht="18" x14ac:dyDescent="0.3">
      <c r="A1" s="111" t="s">
        <v>268</v>
      </c>
      <c r="B1" s="112" t="s">
        <v>8</v>
      </c>
      <c r="C1" s="112" t="s">
        <v>9</v>
      </c>
      <c r="D1" s="112" t="s">
        <v>269</v>
      </c>
      <c r="E1" s="112" t="s">
        <v>10</v>
      </c>
      <c r="F1" s="112" t="s">
        <v>11</v>
      </c>
      <c r="G1" s="112" t="s">
        <v>12</v>
      </c>
      <c r="H1" s="113" t="s">
        <v>13</v>
      </c>
    </row>
    <row r="2" spans="1:8" ht="19.8" customHeight="1" x14ac:dyDescent="0.3">
      <c r="A2" s="114" t="s">
        <v>270</v>
      </c>
      <c r="B2" s="115" t="s">
        <v>26</v>
      </c>
      <c r="C2" s="116" t="s">
        <v>27</v>
      </c>
      <c r="D2" s="115" t="s">
        <v>1</v>
      </c>
      <c r="E2" s="115" t="s">
        <v>271</v>
      </c>
      <c r="F2" s="115" t="s">
        <v>28</v>
      </c>
      <c r="G2" s="117">
        <v>9</v>
      </c>
      <c r="H2" s="118">
        <v>609</v>
      </c>
    </row>
    <row r="3" spans="1:8" ht="19.8" customHeight="1" x14ac:dyDescent="0.3">
      <c r="A3" s="114" t="s">
        <v>270</v>
      </c>
      <c r="B3" s="115" t="s">
        <v>26</v>
      </c>
      <c r="C3" s="116" t="s">
        <v>36</v>
      </c>
      <c r="D3" s="115" t="s">
        <v>1</v>
      </c>
      <c r="E3" s="115" t="s">
        <v>272</v>
      </c>
      <c r="F3" s="115" t="s">
        <v>28</v>
      </c>
      <c r="G3" s="117">
        <v>9</v>
      </c>
      <c r="H3" s="118">
        <v>689</v>
      </c>
    </row>
    <row r="4" spans="1:8" ht="19.8" customHeight="1" x14ac:dyDescent="0.3">
      <c r="A4" s="114" t="s">
        <v>270</v>
      </c>
      <c r="B4" s="115" t="s">
        <v>41</v>
      </c>
      <c r="C4" s="116" t="s">
        <v>42</v>
      </c>
      <c r="D4" s="115" t="s">
        <v>1</v>
      </c>
      <c r="E4" s="115" t="s">
        <v>273</v>
      </c>
      <c r="F4" s="115" t="s">
        <v>43</v>
      </c>
      <c r="G4" s="117">
        <v>11</v>
      </c>
      <c r="H4" s="118">
        <v>699</v>
      </c>
    </row>
    <row r="5" spans="1:8" ht="19.8" customHeight="1" x14ac:dyDescent="0.3">
      <c r="A5" s="114" t="s">
        <v>270</v>
      </c>
      <c r="B5" s="115" t="s">
        <v>26</v>
      </c>
      <c r="C5" s="116" t="s">
        <v>27</v>
      </c>
      <c r="D5" s="115" t="s">
        <v>1</v>
      </c>
      <c r="E5" s="115" t="s">
        <v>271</v>
      </c>
      <c r="F5" s="115" t="s">
        <v>31</v>
      </c>
      <c r="G5" s="117">
        <v>9</v>
      </c>
      <c r="H5" s="118">
        <v>709</v>
      </c>
    </row>
    <row r="6" spans="1:8" ht="19.8" customHeight="1" x14ac:dyDescent="0.3">
      <c r="A6" s="114" t="s">
        <v>270</v>
      </c>
      <c r="B6" s="115" t="s">
        <v>26</v>
      </c>
      <c r="C6" s="116" t="s">
        <v>36</v>
      </c>
      <c r="D6" s="115" t="s">
        <v>1</v>
      </c>
      <c r="E6" s="115" t="s">
        <v>272</v>
      </c>
      <c r="F6" s="115" t="s">
        <v>31</v>
      </c>
      <c r="G6" s="117">
        <v>9</v>
      </c>
      <c r="H6" s="118">
        <v>789</v>
      </c>
    </row>
    <row r="7" spans="1:8" ht="19.8" customHeight="1" x14ac:dyDescent="0.3">
      <c r="A7" s="114" t="s">
        <v>270</v>
      </c>
      <c r="B7" s="115" t="s">
        <v>26</v>
      </c>
      <c r="C7" s="116" t="s">
        <v>27</v>
      </c>
      <c r="D7" s="115" t="s">
        <v>1</v>
      </c>
      <c r="E7" s="115" t="s">
        <v>271</v>
      </c>
      <c r="F7" s="115" t="s">
        <v>34</v>
      </c>
      <c r="G7" s="117">
        <v>9</v>
      </c>
      <c r="H7" s="118">
        <v>799</v>
      </c>
    </row>
    <row r="8" spans="1:8" ht="19.8" customHeight="1" x14ac:dyDescent="0.3">
      <c r="A8" s="114" t="s">
        <v>270</v>
      </c>
      <c r="B8" s="115" t="s">
        <v>41</v>
      </c>
      <c r="C8" s="116" t="s">
        <v>42</v>
      </c>
      <c r="D8" s="115" t="s">
        <v>1</v>
      </c>
      <c r="E8" s="115" t="s">
        <v>273</v>
      </c>
      <c r="F8" s="115" t="s">
        <v>46</v>
      </c>
      <c r="G8" s="117">
        <v>11</v>
      </c>
      <c r="H8" s="118">
        <v>849</v>
      </c>
    </row>
    <row r="9" spans="1:8" ht="19.8" customHeight="1" x14ac:dyDescent="0.3">
      <c r="A9" s="114" t="s">
        <v>270</v>
      </c>
      <c r="B9" s="115" t="s">
        <v>26</v>
      </c>
      <c r="C9" s="116" t="s">
        <v>36</v>
      </c>
      <c r="D9" s="115" t="s">
        <v>1</v>
      </c>
      <c r="E9" s="115" t="s">
        <v>272</v>
      </c>
      <c r="F9" s="115" t="s">
        <v>34</v>
      </c>
      <c r="G9" s="117">
        <v>9</v>
      </c>
      <c r="H9" s="118">
        <v>879</v>
      </c>
    </row>
    <row r="10" spans="1:8" ht="19.8" customHeight="1" x14ac:dyDescent="0.3">
      <c r="A10" s="114" t="s">
        <v>270</v>
      </c>
      <c r="B10" s="115" t="s">
        <v>51</v>
      </c>
      <c r="C10" s="116" t="s">
        <v>52</v>
      </c>
      <c r="D10" s="115" t="s">
        <v>1</v>
      </c>
      <c r="E10" s="115" t="s">
        <v>274</v>
      </c>
      <c r="F10" s="115" t="s">
        <v>53</v>
      </c>
      <c r="G10" s="117">
        <v>9</v>
      </c>
      <c r="H10" s="118">
        <v>902</v>
      </c>
    </row>
    <row r="11" spans="1:8" ht="19.8" customHeight="1" x14ac:dyDescent="0.3">
      <c r="A11" s="114" t="s">
        <v>270</v>
      </c>
      <c r="B11" s="115" t="s">
        <v>51</v>
      </c>
      <c r="C11" s="116" t="s">
        <v>56</v>
      </c>
      <c r="D11" s="115" t="s">
        <v>1</v>
      </c>
      <c r="E11" s="115" t="s">
        <v>275</v>
      </c>
      <c r="F11" s="115" t="s">
        <v>53</v>
      </c>
      <c r="G11" s="117">
        <v>9</v>
      </c>
      <c r="H11" s="118">
        <v>902</v>
      </c>
    </row>
    <row r="12" spans="1:8" ht="19.8" customHeight="1" x14ac:dyDescent="0.3">
      <c r="A12" s="114" t="s">
        <v>270</v>
      </c>
      <c r="B12" s="115" t="s">
        <v>51</v>
      </c>
      <c r="C12" s="116" t="s">
        <v>58</v>
      </c>
      <c r="D12" s="115" t="s">
        <v>1</v>
      </c>
      <c r="E12" s="115" t="s">
        <v>276</v>
      </c>
      <c r="F12" s="115" t="s">
        <v>53</v>
      </c>
      <c r="G12" s="117">
        <v>9</v>
      </c>
      <c r="H12" s="118">
        <v>902</v>
      </c>
    </row>
    <row r="13" spans="1:8" ht="19.8" customHeight="1" x14ac:dyDescent="0.3">
      <c r="A13" s="114" t="s">
        <v>270</v>
      </c>
      <c r="B13" s="115" t="s">
        <v>41</v>
      </c>
      <c r="C13" s="116" t="s">
        <v>42</v>
      </c>
      <c r="D13" s="115" t="s">
        <v>1</v>
      </c>
      <c r="E13" s="115" t="s">
        <v>273</v>
      </c>
      <c r="F13" s="115" t="s">
        <v>49</v>
      </c>
      <c r="G13" s="117">
        <v>11</v>
      </c>
      <c r="H13" s="119" t="s">
        <v>50</v>
      </c>
    </row>
    <row r="14" spans="1:8" ht="19.8" customHeight="1" x14ac:dyDescent="0.3">
      <c r="A14" s="114" t="s">
        <v>270</v>
      </c>
      <c r="B14" s="115" t="s">
        <v>51</v>
      </c>
      <c r="C14" s="116" t="s">
        <v>59</v>
      </c>
      <c r="D14" s="115" t="s">
        <v>1</v>
      </c>
      <c r="E14" s="115" t="s">
        <v>277</v>
      </c>
      <c r="F14" s="115" t="s">
        <v>53</v>
      </c>
      <c r="G14" s="117">
        <v>8</v>
      </c>
      <c r="H14" s="119" t="s">
        <v>61</v>
      </c>
    </row>
    <row r="15" spans="1:8" ht="19.8" customHeight="1" x14ac:dyDescent="0.3">
      <c r="A15" s="114" t="s">
        <v>270</v>
      </c>
      <c r="B15" s="115" t="s">
        <v>64</v>
      </c>
      <c r="C15" s="116" t="s">
        <v>65</v>
      </c>
      <c r="D15" s="115" t="s">
        <v>1</v>
      </c>
      <c r="E15" s="115" t="s">
        <v>278</v>
      </c>
      <c r="F15" s="115" t="s">
        <v>66</v>
      </c>
      <c r="G15" s="117">
        <v>9</v>
      </c>
      <c r="H15" s="119" t="s">
        <v>67</v>
      </c>
    </row>
    <row r="16" spans="1:8" ht="19.8" customHeight="1" x14ac:dyDescent="0.3">
      <c r="A16" s="114" t="s">
        <v>270</v>
      </c>
      <c r="B16" s="115" t="s">
        <v>64</v>
      </c>
      <c r="C16" s="116" t="s">
        <v>71</v>
      </c>
      <c r="D16" s="115" t="s">
        <v>1</v>
      </c>
      <c r="E16" s="115" t="s">
        <v>279</v>
      </c>
      <c r="F16" s="115" t="s">
        <v>66</v>
      </c>
      <c r="G16" s="117">
        <v>9</v>
      </c>
      <c r="H16" s="119" t="s">
        <v>67</v>
      </c>
    </row>
    <row r="17" spans="1:8" ht="19.8" customHeight="1" x14ac:dyDescent="0.3">
      <c r="A17" s="114" t="s">
        <v>270</v>
      </c>
      <c r="B17" s="115" t="s">
        <v>64</v>
      </c>
      <c r="C17" s="116" t="s">
        <v>65</v>
      </c>
      <c r="D17" s="115" t="s">
        <v>1</v>
      </c>
      <c r="E17" s="115" t="s">
        <v>278</v>
      </c>
      <c r="F17" s="115" t="s">
        <v>68</v>
      </c>
      <c r="G17" s="117">
        <v>9</v>
      </c>
      <c r="H17" s="119" t="s">
        <v>70</v>
      </c>
    </row>
    <row r="18" spans="1:8" ht="19.8" customHeight="1" x14ac:dyDescent="0.3">
      <c r="A18" s="114" t="s">
        <v>270</v>
      </c>
      <c r="B18" s="115" t="s">
        <v>64</v>
      </c>
      <c r="C18" s="116" t="s">
        <v>71</v>
      </c>
      <c r="D18" s="115" t="s">
        <v>1</v>
      </c>
      <c r="E18" s="115" t="s">
        <v>279</v>
      </c>
      <c r="F18" s="115" t="s">
        <v>68</v>
      </c>
      <c r="G18" s="117">
        <v>9</v>
      </c>
      <c r="H18" s="119" t="s">
        <v>70</v>
      </c>
    </row>
    <row r="19" spans="1:8" ht="19.8" customHeight="1" x14ac:dyDescent="0.3">
      <c r="A19" s="114" t="s">
        <v>270</v>
      </c>
      <c r="B19" s="115" t="s">
        <v>51</v>
      </c>
      <c r="C19" s="116" t="s">
        <v>62</v>
      </c>
      <c r="D19" s="115" t="s">
        <v>1</v>
      </c>
      <c r="E19" s="115" t="s">
        <v>280</v>
      </c>
      <c r="F19" s="115" t="s">
        <v>53</v>
      </c>
      <c r="G19" s="117">
        <v>9</v>
      </c>
      <c r="H19" s="119" t="s">
        <v>63</v>
      </c>
    </row>
    <row r="20" spans="1:8" ht="19.8" customHeight="1" x14ac:dyDescent="0.3">
      <c r="A20" s="114" t="s">
        <v>270</v>
      </c>
      <c r="B20" s="115" t="s">
        <v>64</v>
      </c>
      <c r="C20" s="116" t="s">
        <v>72</v>
      </c>
      <c r="D20" s="115" t="s">
        <v>1</v>
      </c>
      <c r="E20" s="115" t="s">
        <v>273</v>
      </c>
      <c r="F20" s="115" t="s">
        <v>68</v>
      </c>
      <c r="G20" s="117">
        <v>4</v>
      </c>
      <c r="H20" s="119" t="s">
        <v>74</v>
      </c>
    </row>
    <row r="21" spans="1:8" ht="19.8" customHeight="1" x14ac:dyDescent="0.3">
      <c r="A21" s="114" t="s">
        <v>270</v>
      </c>
      <c r="B21" s="115" t="s">
        <v>64</v>
      </c>
      <c r="C21" s="116" t="s">
        <v>75</v>
      </c>
      <c r="D21" s="115" t="s">
        <v>1</v>
      </c>
      <c r="E21" s="115" t="s">
        <v>281</v>
      </c>
      <c r="F21" s="115" t="s">
        <v>66</v>
      </c>
      <c r="G21" s="117">
        <v>1</v>
      </c>
      <c r="H21" s="119" t="s">
        <v>77</v>
      </c>
    </row>
    <row r="22" spans="1:8" ht="19.8" customHeight="1" x14ac:dyDescent="0.3">
      <c r="A22" s="114" t="s">
        <v>270</v>
      </c>
      <c r="B22" s="115" t="s">
        <v>64</v>
      </c>
      <c r="C22" s="116" t="s">
        <v>75</v>
      </c>
      <c r="D22" s="115" t="s">
        <v>1</v>
      </c>
      <c r="E22" s="115" t="s">
        <v>281</v>
      </c>
      <c r="F22" s="115" t="s">
        <v>68</v>
      </c>
      <c r="G22" s="117">
        <v>1</v>
      </c>
      <c r="H22" s="119" t="s">
        <v>79</v>
      </c>
    </row>
    <row r="23" spans="1:8" ht="19.8" customHeight="1" x14ac:dyDescent="0.3">
      <c r="A23" s="120" t="s">
        <v>270</v>
      </c>
      <c r="B23" s="121" t="s">
        <v>80</v>
      </c>
      <c r="C23" s="122" t="s">
        <v>81</v>
      </c>
      <c r="D23" s="121" t="s">
        <v>1</v>
      </c>
      <c r="E23" s="121" t="s">
        <v>197</v>
      </c>
      <c r="F23" s="121" t="s">
        <v>82</v>
      </c>
      <c r="G23" s="121"/>
      <c r="H23" s="123" t="s">
        <v>83</v>
      </c>
    </row>
    <row r="24" spans="1:8" ht="19.8" customHeight="1" x14ac:dyDescent="0.3">
      <c r="A24" s="124">
        <v>45982</v>
      </c>
      <c r="B24" s="115" t="s">
        <v>26</v>
      </c>
      <c r="C24" s="116" t="s">
        <v>36</v>
      </c>
      <c r="D24" s="115" t="s">
        <v>1</v>
      </c>
      <c r="E24" s="125">
        <v>1.756944444444444</v>
      </c>
      <c r="F24" s="115" t="s">
        <v>28</v>
      </c>
      <c r="G24" s="117">
        <v>9</v>
      </c>
      <c r="H24" s="118">
        <v>689</v>
      </c>
    </row>
    <row r="25" spans="1:8" ht="19.8" customHeight="1" x14ac:dyDescent="0.3">
      <c r="A25" s="124">
        <v>45982</v>
      </c>
      <c r="B25" s="115" t="s">
        <v>41</v>
      </c>
      <c r="C25" s="116" t="s">
        <v>42</v>
      </c>
      <c r="D25" s="115" t="s">
        <v>1</v>
      </c>
      <c r="E25" s="125">
        <v>1.4201388888888891</v>
      </c>
      <c r="F25" s="115" t="s">
        <v>43</v>
      </c>
      <c r="G25" s="117">
        <v>18</v>
      </c>
      <c r="H25" s="118">
        <v>699</v>
      </c>
    </row>
    <row r="26" spans="1:8" ht="19.8" customHeight="1" x14ac:dyDescent="0.3">
      <c r="A26" s="124">
        <v>45982</v>
      </c>
      <c r="B26" s="115" t="s">
        <v>26</v>
      </c>
      <c r="C26" s="116" t="s">
        <v>36</v>
      </c>
      <c r="D26" s="115" t="s">
        <v>1</v>
      </c>
      <c r="E26" s="125">
        <v>1.756944444444444</v>
      </c>
      <c r="F26" s="115" t="s">
        <v>31</v>
      </c>
      <c r="G26" s="117">
        <v>9</v>
      </c>
      <c r="H26" s="118">
        <v>789</v>
      </c>
    </row>
    <row r="27" spans="1:8" ht="19.8" customHeight="1" x14ac:dyDescent="0.3">
      <c r="A27" s="124">
        <v>45982</v>
      </c>
      <c r="B27" s="115" t="s">
        <v>41</v>
      </c>
      <c r="C27" s="116" t="s">
        <v>42</v>
      </c>
      <c r="D27" s="115" t="s">
        <v>1</v>
      </c>
      <c r="E27" s="125">
        <v>1.4201388888888891</v>
      </c>
      <c r="F27" s="115" t="s">
        <v>46</v>
      </c>
      <c r="G27" s="117">
        <v>18</v>
      </c>
      <c r="H27" s="118">
        <v>849</v>
      </c>
    </row>
    <row r="28" spans="1:8" ht="19.8" customHeight="1" x14ac:dyDescent="0.3">
      <c r="A28" s="124">
        <v>45982</v>
      </c>
      <c r="B28" s="115" t="s">
        <v>26</v>
      </c>
      <c r="C28" s="116" t="s">
        <v>36</v>
      </c>
      <c r="D28" s="115" t="s">
        <v>1</v>
      </c>
      <c r="E28" s="125">
        <v>1.756944444444444</v>
      </c>
      <c r="F28" s="115" t="s">
        <v>34</v>
      </c>
      <c r="G28" s="117">
        <v>9</v>
      </c>
      <c r="H28" s="118">
        <v>879</v>
      </c>
    </row>
    <row r="29" spans="1:8" ht="19.8" customHeight="1" x14ac:dyDescent="0.3">
      <c r="A29" s="124">
        <v>45982</v>
      </c>
      <c r="B29" s="115" t="s">
        <v>51</v>
      </c>
      <c r="C29" s="116" t="s">
        <v>62</v>
      </c>
      <c r="D29" s="115" t="s">
        <v>1</v>
      </c>
      <c r="E29" s="125">
        <v>1.493055555555556</v>
      </c>
      <c r="F29" s="115" t="s">
        <v>53</v>
      </c>
      <c r="G29" s="117">
        <v>9</v>
      </c>
      <c r="H29" s="119" t="s">
        <v>90</v>
      </c>
    </row>
    <row r="30" spans="1:8" ht="19.8" customHeight="1" x14ac:dyDescent="0.3">
      <c r="A30" s="124">
        <v>45982</v>
      </c>
      <c r="B30" s="115" t="s">
        <v>51</v>
      </c>
      <c r="C30" s="116" t="s">
        <v>52</v>
      </c>
      <c r="D30" s="115" t="s">
        <v>1</v>
      </c>
      <c r="E30" s="125">
        <v>1.0972222222222221</v>
      </c>
      <c r="F30" s="115" t="s">
        <v>53</v>
      </c>
      <c r="G30" s="117">
        <v>9</v>
      </c>
      <c r="H30" s="119" t="s">
        <v>90</v>
      </c>
    </row>
    <row r="31" spans="1:8" ht="19.8" customHeight="1" x14ac:dyDescent="0.3">
      <c r="A31" s="124">
        <v>45982</v>
      </c>
      <c r="B31" s="115" t="s">
        <v>51</v>
      </c>
      <c r="C31" s="116" t="s">
        <v>56</v>
      </c>
      <c r="D31" s="115" t="s">
        <v>1</v>
      </c>
      <c r="E31" s="125">
        <v>1.2222222222222221</v>
      </c>
      <c r="F31" s="115" t="s">
        <v>53</v>
      </c>
      <c r="G31" s="117">
        <v>9</v>
      </c>
      <c r="H31" s="119" t="s">
        <v>90</v>
      </c>
    </row>
    <row r="32" spans="1:8" ht="19.8" customHeight="1" x14ac:dyDescent="0.3">
      <c r="A32" s="124">
        <v>45982</v>
      </c>
      <c r="B32" s="115" t="s">
        <v>51</v>
      </c>
      <c r="C32" s="116" t="s">
        <v>58</v>
      </c>
      <c r="D32" s="115" t="s">
        <v>1</v>
      </c>
      <c r="E32" s="125">
        <v>1.444444444444444</v>
      </c>
      <c r="F32" s="115" t="s">
        <v>53</v>
      </c>
      <c r="G32" s="117">
        <v>9</v>
      </c>
      <c r="H32" s="119" t="s">
        <v>90</v>
      </c>
    </row>
    <row r="33" spans="1:8" ht="19.8" customHeight="1" x14ac:dyDescent="0.3">
      <c r="A33" s="124">
        <v>45982</v>
      </c>
      <c r="B33" s="115" t="s">
        <v>41</v>
      </c>
      <c r="C33" s="116" t="s">
        <v>42</v>
      </c>
      <c r="D33" s="115" t="s">
        <v>1</v>
      </c>
      <c r="E33" s="125">
        <v>1.4201388888888891</v>
      </c>
      <c r="F33" s="115" t="s">
        <v>49</v>
      </c>
      <c r="G33" s="117">
        <v>18</v>
      </c>
      <c r="H33" s="119" t="s">
        <v>89</v>
      </c>
    </row>
    <row r="34" spans="1:8" ht="19.8" customHeight="1" x14ac:dyDescent="0.3">
      <c r="A34" s="124">
        <v>45982</v>
      </c>
      <c r="B34" s="115" t="s">
        <v>64</v>
      </c>
      <c r="C34" s="116" t="s">
        <v>75</v>
      </c>
      <c r="D34" s="115" t="s">
        <v>1</v>
      </c>
      <c r="E34" s="125">
        <v>1.7951388888888891</v>
      </c>
      <c r="F34" s="115" t="s">
        <v>66</v>
      </c>
      <c r="G34" s="117">
        <v>7</v>
      </c>
      <c r="H34" s="119" t="s">
        <v>92</v>
      </c>
    </row>
    <row r="35" spans="1:8" ht="19.8" customHeight="1" x14ac:dyDescent="0.3">
      <c r="A35" s="124">
        <v>45982</v>
      </c>
      <c r="B35" s="115" t="s">
        <v>64</v>
      </c>
      <c r="C35" s="116" t="s">
        <v>71</v>
      </c>
      <c r="D35" s="115" t="s">
        <v>1</v>
      </c>
      <c r="E35" s="125">
        <v>1.086805555555556</v>
      </c>
      <c r="F35" s="115" t="s">
        <v>66</v>
      </c>
      <c r="G35" s="117">
        <v>6</v>
      </c>
      <c r="H35" s="119" t="s">
        <v>92</v>
      </c>
    </row>
    <row r="36" spans="1:8" ht="19.8" customHeight="1" x14ac:dyDescent="0.3">
      <c r="A36" s="124">
        <v>45982</v>
      </c>
      <c r="B36" s="115" t="s">
        <v>64</v>
      </c>
      <c r="C36" s="116" t="s">
        <v>72</v>
      </c>
      <c r="D36" s="115" t="s">
        <v>1</v>
      </c>
      <c r="E36" s="125">
        <v>1.4201388888888891</v>
      </c>
      <c r="F36" s="115" t="s">
        <v>68</v>
      </c>
      <c r="G36" s="117">
        <v>4</v>
      </c>
      <c r="H36" s="119" t="s">
        <v>74</v>
      </c>
    </row>
    <row r="37" spans="1:8" ht="19.8" customHeight="1" x14ac:dyDescent="0.3">
      <c r="A37" s="124">
        <v>45982</v>
      </c>
      <c r="B37" s="115" t="s">
        <v>64</v>
      </c>
      <c r="C37" s="116" t="s">
        <v>75</v>
      </c>
      <c r="D37" s="115" t="s">
        <v>1</v>
      </c>
      <c r="E37" s="125">
        <v>1.7951388888888891</v>
      </c>
      <c r="F37" s="115" t="s">
        <v>68</v>
      </c>
      <c r="G37" s="117">
        <v>7</v>
      </c>
      <c r="H37" s="119" t="s">
        <v>94</v>
      </c>
    </row>
    <row r="38" spans="1:8" ht="19.8" customHeight="1" x14ac:dyDescent="0.3">
      <c r="A38" s="124">
        <v>45982</v>
      </c>
      <c r="B38" s="115" t="s">
        <v>64</v>
      </c>
      <c r="C38" s="116" t="s">
        <v>71</v>
      </c>
      <c r="D38" s="115" t="s">
        <v>1</v>
      </c>
      <c r="E38" s="125">
        <v>1.086805555555556</v>
      </c>
      <c r="F38" s="115" t="s">
        <v>68</v>
      </c>
      <c r="G38" s="117">
        <v>6</v>
      </c>
      <c r="H38" s="119" t="s">
        <v>94</v>
      </c>
    </row>
    <row r="39" spans="1:8" ht="19.8" customHeight="1" x14ac:dyDescent="0.3">
      <c r="A39" s="124">
        <v>45982</v>
      </c>
      <c r="B39" s="115" t="s">
        <v>64</v>
      </c>
      <c r="C39" s="116" t="s">
        <v>65</v>
      </c>
      <c r="D39" s="115" t="s">
        <v>1</v>
      </c>
      <c r="E39" s="125">
        <v>1.604166666666667</v>
      </c>
      <c r="F39" s="115" t="s">
        <v>66</v>
      </c>
      <c r="G39" s="117">
        <v>4</v>
      </c>
      <c r="H39" s="119" t="s">
        <v>77</v>
      </c>
    </row>
    <row r="40" spans="1:8" ht="19.8" customHeight="1" x14ac:dyDescent="0.3">
      <c r="A40" s="126">
        <v>45982</v>
      </c>
      <c r="B40" s="127" t="s">
        <v>64</v>
      </c>
      <c r="C40" s="128" t="s">
        <v>65</v>
      </c>
      <c r="D40" s="127" t="s">
        <v>1</v>
      </c>
      <c r="E40" s="129">
        <v>1.604166666666667</v>
      </c>
      <c r="F40" s="127" t="s">
        <v>68</v>
      </c>
      <c r="G40" s="130">
        <v>4</v>
      </c>
      <c r="H40" s="131" t="s">
        <v>79</v>
      </c>
    </row>
    <row r="41" spans="1:8" ht="19.8" customHeight="1" x14ac:dyDescent="0.3">
      <c r="A41" s="124">
        <v>45983</v>
      </c>
      <c r="B41" s="115" t="s">
        <v>26</v>
      </c>
      <c r="C41" s="116" t="s">
        <v>36</v>
      </c>
      <c r="D41" s="115" t="s">
        <v>1</v>
      </c>
      <c r="E41" s="125">
        <v>1.756944444444444</v>
      </c>
      <c r="F41" s="115" t="s">
        <v>28</v>
      </c>
      <c r="G41" s="117">
        <v>3</v>
      </c>
      <c r="H41" s="118">
        <v>609</v>
      </c>
    </row>
    <row r="42" spans="1:8" ht="19.8" customHeight="1" x14ac:dyDescent="0.3">
      <c r="A42" s="124">
        <v>45983</v>
      </c>
      <c r="B42" s="115" t="s">
        <v>26</v>
      </c>
      <c r="C42" s="116" t="s">
        <v>27</v>
      </c>
      <c r="D42" s="115" t="s">
        <v>1</v>
      </c>
      <c r="E42" s="125">
        <v>1.354166666666667</v>
      </c>
      <c r="F42" s="115" t="s">
        <v>28</v>
      </c>
      <c r="G42" s="117">
        <v>6</v>
      </c>
      <c r="H42" s="118">
        <v>609</v>
      </c>
    </row>
    <row r="43" spans="1:8" ht="19.8" customHeight="1" x14ac:dyDescent="0.3">
      <c r="A43" s="124">
        <v>45983</v>
      </c>
      <c r="B43" s="115" t="s">
        <v>26</v>
      </c>
      <c r="C43" s="116" t="s">
        <v>36</v>
      </c>
      <c r="D43" s="115" t="s">
        <v>1</v>
      </c>
      <c r="E43" s="125">
        <v>1.756944444444444</v>
      </c>
      <c r="F43" s="115" t="s">
        <v>31</v>
      </c>
      <c r="G43" s="117">
        <v>3</v>
      </c>
      <c r="H43" s="118">
        <v>709</v>
      </c>
    </row>
    <row r="44" spans="1:8" ht="19.8" customHeight="1" x14ac:dyDescent="0.3">
      <c r="A44" s="124">
        <v>45983</v>
      </c>
      <c r="B44" s="115" t="s">
        <v>26</v>
      </c>
      <c r="C44" s="116" t="s">
        <v>27</v>
      </c>
      <c r="D44" s="115" t="s">
        <v>1</v>
      </c>
      <c r="E44" s="125">
        <v>1.354166666666667</v>
      </c>
      <c r="F44" s="115" t="s">
        <v>31</v>
      </c>
      <c r="G44" s="117">
        <v>6</v>
      </c>
      <c r="H44" s="118">
        <v>709</v>
      </c>
    </row>
    <row r="45" spans="1:8" ht="19.8" customHeight="1" x14ac:dyDescent="0.3">
      <c r="A45" s="124">
        <v>45983</v>
      </c>
      <c r="B45" s="115" t="s">
        <v>41</v>
      </c>
      <c r="C45" s="116" t="s">
        <v>42</v>
      </c>
      <c r="D45" s="115" t="s">
        <v>1</v>
      </c>
      <c r="E45" s="125">
        <v>1.4201388888888891</v>
      </c>
      <c r="F45" s="115" t="s">
        <v>43</v>
      </c>
      <c r="G45" s="117">
        <v>9</v>
      </c>
      <c r="H45" s="118">
        <v>799</v>
      </c>
    </row>
    <row r="46" spans="1:8" ht="19.8" customHeight="1" x14ac:dyDescent="0.3">
      <c r="A46" s="124">
        <v>45983</v>
      </c>
      <c r="B46" s="115" t="s">
        <v>26</v>
      </c>
      <c r="C46" s="116" t="s">
        <v>36</v>
      </c>
      <c r="D46" s="115" t="s">
        <v>1</v>
      </c>
      <c r="E46" s="125">
        <v>1.756944444444444</v>
      </c>
      <c r="F46" s="115" t="s">
        <v>34</v>
      </c>
      <c r="G46" s="117">
        <v>3</v>
      </c>
      <c r="H46" s="118">
        <v>799</v>
      </c>
    </row>
    <row r="47" spans="1:8" ht="19.8" customHeight="1" x14ac:dyDescent="0.3">
      <c r="A47" s="124">
        <v>45983</v>
      </c>
      <c r="B47" s="115" t="s">
        <v>26</v>
      </c>
      <c r="C47" s="116" t="s">
        <v>27</v>
      </c>
      <c r="D47" s="115" t="s">
        <v>1</v>
      </c>
      <c r="E47" s="125">
        <v>1.354166666666667</v>
      </c>
      <c r="F47" s="115" t="s">
        <v>34</v>
      </c>
      <c r="G47" s="117">
        <v>6</v>
      </c>
      <c r="H47" s="118">
        <v>799</v>
      </c>
    </row>
    <row r="48" spans="1:8" ht="19.8" customHeight="1" x14ac:dyDescent="0.3">
      <c r="A48" s="124">
        <v>45983</v>
      </c>
      <c r="B48" s="115" t="s">
        <v>41</v>
      </c>
      <c r="C48" s="116" t="s">
        <v>42</v>
      </c>
      <c r="D48" s="115" t="s">
        <v>1</v>
      </c>
      <c r="E48" s="125">
        <v>1.4201388888888891</v>
      </c>
      <c r="F48" s="115" t="s">
        <v>46</v>
      </c>
      <c r="G48" s="117">
        <v>9</v>
      </c>
      <c r="H48" s="118">
        <v>949</v>
      </c>
    </row>
    <row r="49" spans="1:8" ht="19.8" customHeight="1" x14ac:dyDescent="0.3">
      <c r="A49" s="124">
        <v>45983</v>
      </c>
      <c r="B49" s="115" t="s">
        <v>51</v>
      </c>
      <c r="C49" s="116" t="s">
        <v>52</v>
      </c>
      <c r="D49" s="115" t="s">
        <v>1</v>
      </c>
      <c r="E49" s="125">
        <v>1.0972222222222221</v>
      </c>
      <c r="F49" s="115" t="s">
        <v>53</v>
      </c>
      <c r="G49" s="117">
        <v>9</v>
      </c>
      <c r="H49" s="119" t="s">
        <v>101</v>
      </c>
    </row>
    <row r="50" spans="1:8" ht="19.8" customHeight="1" x14ac:dyDescent="0.3">
      <c r="A50" s="124">
        <v>45983</v>
      </c>
      <c r="B50" s="115" t="s">
        <v>41</v>
      </c>
      <c r="C50" s="116" t="s">
        <v>42</v>
      </c>
      <c r="D50" s="115" t="s">
        <v>1</v>
      </c>
      <c r="E50" s="125">
        <v>1.4201388888888891</v>
      </c>
      <c r="F50" s="115" t="s">
        <v>49</v>
      </c>
      <c r="G50" s="117">
        <v>9</v>
      </c>
      <c r="H50" s="119" t="s">
        <v>50</v>
      </c>
    </row>
    <row r="51" spans="1:8" ht="19.8" customHeight="1" x14ac:dyDescent="0.3">
      <c r="A51" s="124">
        <v>45983</v>
      </c>
      <c r="B51" s="115" t="s">
        <v>51</v>
      </c>
      <c r="C51" s="116" t="s">
        <v>56</v>
      </c>
      <c r="D51" s="115" t="s">
        <v>1</v>
      </c>
      <c r="E51" s="125">
        <v>1.2222222222222221</v>
      </c>
      <c r="F51" s="115" t="s">
        <v>53</v>
      </c>
      <c r="G51" s="117">
        <v>2</v>
      </c>
      <c r="H51" s="119" t="s">
        <v>61</v>
      </c>
    </row>
    <row r="52" spans="1:8" ht="19.8" customHeight="1" x14ac:dyDescent="0.3">
      <c r="A52" s="124">
        <v>45983</v>
      </c>
      <c r="B52" s="115" t="s">
        <v>64</v>
      </c>
      <c r="C52" s="116" t="s">
        <v>71</v>
      </c>
      <c r="D52" s="115" t="s">
        <v>1</v>
      </c>
      <c r="E52" s="125">
        <v>1.086805555555556</v>
      </c>
      <c r="F52" s="115" t="s">
        <v>66</v>
      </c>
      <c r="G52" s="117">
        <v>1</v>
      </c>
      <c r="H52" s="119" t="s">
        <v>104</v>
      </c>
    </row>
    <row r="53" spans="1:8" ht="19.8" customHeight="1" x14ac:dyDescent="0.3">
      <c r="A53" s="124">
        <v>45983</v>
      </c>
      <c r="B53" s="115" t="s">
        <v>64</v>
      </c>
      <c r="C53" s="116" t="s">
        <v>71</v>
      </c>
      <c r="D53" s="115" t="s">
        <v>1</v>
      </c>
      <c r="E53" s="125">
        <v>1.086805555555556</v>
      </c>
      <c r="F53" s="115" t="s">
        <v>68</v>
      </c>
      <c r="G53" s="117">
        <v>1</v>
      </c>
      <c r="H53" s="119" t="s">
        <v>105</v>
      </c>
    </row>
    <row r="54" spans="1:8" ht="19.8" customHeight="1" x14ac:dyDescent="0.3">
      <c r="A54" s="124">
        <v>45983</v>
      </c>
      <c r="B54" s="115" t="s">
        <v>64</v>
      </c>
      <c r="C54" s="116" t="s">
        <v>72</v>
      </c>
      <c r="D54" s="115" t="s">
        <v>1</v>
      </c>
      <c r="E54" s="125">
        <v>1.4201388888888891</v>
      </c>
      <c r="F54" s="115" t="s">
        <v>68</v>
      </c>
      <c r="G54" s="117">
        <v>4</v>
      </c>
      <c r="H54" s="119" t="s">
        <v>74</v>
      </c>
    </row>
    <row r="55" spans="1:8" ht="19.8" customHeight="1" x14ac:dyDescent="0.3">
      <c r="A55" s="132">
        <v>45983</v>
      </c>
      <c r="B55" s="121" t="s">
        <v>80</v>
      </c>
      <c r="C55" s="122" t="s">
        <v>81</v>
      </c>
      <c r="D55" s="121" t="s">
        <v>1</v>
      </c>
      <c r="E55" s="133">
        <v>1.395833333333333</v>
      </c>
      <c r="F55" s="121" t="s">
        <v>82</v>
      </c>
      <c r="G55" s="121"/>
      <c r="H55" s="123" t="s">
        <v>83</v>
      </c>
    </row>
    <row r="56" spans="1:8" ht="19.8" customHeight="1" x14ac:dyDescent="0.3">
      <c r="A56" s="124">
        <v>45984</v>
      </c>
      <c r="B56" s="115" t="s">
        <v>26</v>
      </c>
      <c r="C56" s="116" t="s">
        <v>36</v>
      </c>
      <c r="D56" s="115" t="s">
        <v>1</v>
      </c>
      <c r="E56" s="125">
        <v>1.756944444444444</v>
      </c>
      <c r="F56" s="115" t="s">
        <v>28</v>
      </c>
      <c r="G56" s="117">
        <v>9</v>
      </c>
      <c r="H56" s="118">
        <v>689</v>
      </c>
    </row>
    <row r="57" spans="1:8" ht="19.8" customHeight="1" x14ac:dyDescent="0.3">
      <c r="A57" s="124">
        <v>45984</v>
      </c>
      <c r="B57" s="115" t="s">
        <v>41</v>
      </c>
      <c r="C57" s="116" t="s">
        <v>42</v>
      </c>
      <c r="D57" s="115" t="s">
        <v>1</v>
      </c>
      <c r="E57" s="125">
        <v>1.4201388888888891</v>
      </c>
      <c r="F57" s="115" t="s">
        <v>43</v>
      </c>
      <c r="G57" s="117">
        <v>10</v>
      </c>
      <c r="H57" s="118">
        <v>699</v>
      </c>
    </row>
    <row r="58" spans="1:8" ht="19.8" customHeight="1" x14ac:dyDescent="0.3">
      <c r="A58" s="124">
        <v>45984</v>
      </c>
      <c r="B58" s="115" t="s">
        <v>26</v>
      </c>
      <c r="C58" s="116" t="s">
        <v>36</v>
      </c>
      <c r="D58" s="115" t="s">
        <v>1</v>
      </c>
      <c r="E58" s="125">
        <v>1.756944444444444</v>
      </c>
      <c r="F58" s="115" t="s">
        <v>31</v>
      </c>
      <c r="G58" s="117">
        <v>9</v>
      </c>
      <c r="H58" s="118">
        <v>789</v>
      </c>
    </row>
    <row r="59" spans="1:8" ht="19.8" customHeight="1" x14ac:dyDescent="0.3">
      <c r="A59" s="124">
        <v>45984</v>
      </c>
      <c r="B59" s="115" t="s">
        <v>41</v>
      </c>
      <c r="C59" s="116" t="s">
        <v>42</v>
      </c>
      <c r="D59" s="115" t="s">
        <v>1</v>
      </c>
      <c r="E59" s="125">
        <v>1.4201388888888891</v>
      </c>
      <c r="F59" s="115" t="s">
        <v>46</v>
      </c>
      <c r="G59" s="117">
        <v>10</v>
      </c>
      <c r="H59" s="118">
        <v>849</v>
      </c>
    </row>
    <row r="60" spans="1:8" ht="19.8" customHeight="1" x14ac:dyDescent="0.3">
      <c r="A60" s="124">
        <v>45984</v>
      </c>
      <c r="B60" s="115" t="s">
        <v>26</v>
      </c>
      <c r="C60" s="116" t="s">
        <v>36</v>
      </c>
      <c r="D60" s="115" t="s">
        <v>1</v>
      </c>
      <c r="E60" s="125">
        <v>1.756944444444444</v>
      </c>
      <c r="F60" s="115" t="s">
        <v>34</v>
      </c>
      <c r="G60" s="117">
        <v>9</v>
      </c>
      <c r="H60" s="118">
        <v>879</v>
      </c>
    </row>
    <row r="61" spans="1:8" ht="19.8" customHeight="1" x14ac:dyDescent="0.3">
      <c r="A61" s="124">
        <v>45984</v>
      </c>
      <c r="B61" s="115" t="s">
        <v>41</v>
      </c>
      <c r="C61" s="116" t="s">
        <v>42</v>
      </c>
      <c r="D61" s="115" t="s">
        <v>1</v>
      </c>
      <c r="E61" s="125">
        <v>1.4201388888888891</v>
      </c>
      <c r="F61" s="115" t="s">
        <v>49</v>
      </c>
      <c r="G61" s="117">
        <v>10</v>
      </c>
      <c r="H61" s="119" t="s">
        <v>50</v>
      </c>
    </row>
    <row r="62" spans="1:8" ht="19.8" customHeight="1" x14ac:dyDescent="0.3">
      <c r="A62" s="124">
        <v>45984</v>
      </c>
      <c r="B62" s="115" t="s">
        <v>51</v>
      </c>
      <c r="C62" s="116" t="s">
        <v>56</v>
      </c>
      <c r="D62" s="115" t="s">
        <v>1</v>
      </c>
      <c r="E62" s="125">
        <v>1.2222222222222221</v>
      </c>
      <c r="F62" s="115" t="s">
        <v>53</v>
      </c>
      <c r="G62" s="117">
        <v>1</v>
      </c>
      <c r="H62" s="119" t="s">
        <v>63</v>
      </c>
    </row>
    <row r="63" spans="1:8" ht="19.8" customHeight="1" x14ac:dyDescent="0.3">
      <c r="A63" s="124">
        <v>45984</v>
      </c>
      <c r="B63" s="115" t="s">
        <v>64</v>
      </c>
      <c r="C63" s="116" t="s">
        <v>71</v>
      </c>
      <c r="D63" s="115" t="s">
        <v>1</v>
      </c>
      <c r="E63" s="125">
        <v>1.086805555555556</v>
      </c>
      <c r="F63" s="115" t="s">
        <v>66</v>
      </c>
      <c r="G63" s="117">
        <v>9</v>
      </c>
      <c r="H63" s="119" t="s">
        <v>92</v>
      </c>
    </row>
    <row r="64" spans="1:8" ht="19.8" customHeight="1" x14ac:dyDescent="0.3">
      <c r="A64" s="124">
        <v>45984</v>
      </c>
      <c r="B64" s="115" t="s">
        <v>64</v>
      </c>
      <c r="C64" s="116" t="s">
        <v>72</v>
      </c>
      <c r="D64" s="115" t="s">
        <v>1</v>
      </c>
      <c r="E64" s="125">
        <v>1.4201388888888891</v>
      </c>
      <c r="F64" s="115" t="s">
        <v>68</v>
      </c>
      <c r="G64" s="117">
        <v>4</v>
      </c>
      <c r="H64" s="119" t="s">
        <v>74</v>
      </c>
    </row>
    <row r="65" spans="1:8" ht="19.8" customHeight="1" x14ac:dyDescent="0.3">
      <c r="A65" s="124">
        <v>45984</v>
      </c>
      <c r="B65" s="115" t="s">
        <v>64</v>
      </c>
      <c r="C65" s="116" t="s">
        <v>71</v>
      </c>
      <c r="D65" s="115" t="s">
        <v>1</v>
      </c>
      <c r="E65" s="125">
        <v>1.086805555555556</v>
      </c>
      <c r="F65" s="115" t="s">
        <v>68</v>
      </c>
      <c r="G65" s="117">
        <v>9</v>
      </c>
      <c r="H65" s="119" t="s">
        <v>94</v>
      </c>
    </row>
    <row r="66" spans="1:8" ht="19.8" customHeight="1" x14ac:dyDescent="0.3">
      <c r="A66" s="124">
        <v>45984</v>
      </c>
      <c r="B66" s="115" t="s">
        <v>64</v>
      </c>
      <c r="C66" s="116" t="s">
        <v>65</v>
      </c>
      <c r="D66" s="115" t="s">
        <v>1</v>
      </c>
      <c r="E66" s="125">
        <v>1.604166666666667</v>
      </c>
      <c r="F66" s="115" t="s">
        <v>66</v>
      </c>
      <c r="G66" s="117">
        <v>1</v>
      </c>
      <c r="H66" s="119" t="s">
        <v>77</v>
      </c>
    </row>
    <row r="67" spans="1:8" ht="19.8" customHeight="1" x14ac:dyDescent="0.3">
      <c r="A67" s="124">
        <v>45984</v>
      </c>
      <c r="B67" s="115" t="s">
        <v>64</v>
      </c>
      <c r="C67" s="116" t="s">
        <v>65</v>
      </c>
      <c r="D67" s="115" t="s">
        <v>1</v>
      </c>
      <c r="E67" s="125">
        <v>1.604166666666667</v>
      </c>
      <c r="F67" s="115" t="s">
        <v>68</v>
      </c>
      <c r="G67" s="117">
        <v>1</v>
      </c>
      <c r="H67" s="119" t="s">
        <v>79</v>
      </c>
    </row>
    <row r="68" spans="1:8" ht="19.8" customHeight="1" x14ac:dyDescent="0.3">
      <c r="A68" s="132">
        <v>45984</v>
      </c>
      <c r="B68" s="121" t="s">
        <v>80</v>
      </c>
      <c r="C68" s="122" t="s">
        <v>81</v>
      </c>
      <c r="D68" s="121" t="s">
        <v>1</v>
      </c>
      <c r="E68" s="133">
        <v>1.9027777777777779</v>
      </c>
      <c r="F68" s="121" t="s">
        <v>82</v>
      </c>
      <c r="G68" s="121"/>
      <c r="H68" s="123" t="s">
        <v>83</v>
      </c>
    </row>
    <row r="69" spans="1:8" ht="19.8" customHeight="1" x14ac:dyDescent="0.3">
      <c r="A69" s="124">
        <v>45985</v>
      </c>
      <c r="B69" s="115" t="s">
        <v>41</v>
      </c>
      <c r="C69" s="116" t="s">
        <v>42</v>
      </c>
      <c r="D69" s="115" t="s">
        <v>1</v>
      </c>
      <c r="E69" s="125">
        <v>1.4201388888888891</v>
      </c>
      <c r="F69" s="115" t="s">
        <v>43</v>
      </c>
      <c r="G69" s="117">
        <v>7</v>
      </c>
      <c r="H69" s="118">
        <v>619</v>
      </c>
    </row>
    <row r="70" spans="1:8" ht="19.8" customHeight="1" x14ac:dyDescent="0.3">
      <c r="A70" s="124">
        <v>45985</v>
      </c>
      <c r="B70" s="115" t="s">
        <v>26</v>
      </c>
      <c r="C70" s="116" t="s">
        <v>27</v>
      </c>
      <c r="D70" s="115" t="s">
        <v>1</v>
      </c>
      <c r="E70" s="125">
        <v>1.354166666666667</v>
      </c>
      <c r="F70" s="115" t="s">
        <v>28</v>
      </c>
      <c r="G70" s="117">
        <v>9</v>
      </c>
      <c r="H70" s="118">
        <v>689</v>
      </c>
    </row>
    <row r="71" spans="1:8" ht="19.8" customHeight="1" x14ac:dyDescent="0.3">
      <c r="A71" s="124">
        <v>45985</v>
      </c>
      <c r="B71" s="115" t="s">
        <v>41</v>
      </c>
      <c r="C71" s="116" t="s">
        <v>42</v>
      </c>
      <c r="D71" s="115" t="s">
        <v>1</v>
      </c>
      <c r="E71" s="125">
        <v>1.4201388888888891</v>
      </c>
      <c r="F71" s="115" t="s">
        <v>46</v>
      </c>
      <c r="G71" s="117">
        <v>7</v>
      </c>
      <c r="H71" s="118">
        <v>769</v>
      </c>
    </row>
    <row r="72" spans="1:8" ht="19.8" customHeight="1" x14ac:dyDescent="0.3">
      <c r="A72" s="124">
        <v>45985</v>
      </c>
      <c r="B72" s="115" t="s">
        <v>26</v>
      </c>
      <c r="C72" s="116" t="s">
        <v>27</v>
      </c>
      <c r="D72" s="115" t="s">
        <v>1</v>
      </c>
      <c r="E72" s="125">
        <v>1.354166666666667</v>
      </c>
      <c r="F72" s="115" t="s">
        <v>31</v>
      </c>
      <c r="G72" s="117">
        <v>9</v>
      </c>
      <c r="H72" s="118">
        <v>789</v>
      </c>
    </row>
    <row r="73" spans="1:8" ht="19.8" customHeight="1" x14ac:dyDescent="0.3">
      <c r="A73" s="124">
        <v>45985</v>
      </c>
      <c r="B73" s="115" t="s">
        <v>26</v>
      </c>
      <c r="C73" s="116" t="s">
        <v>27</v>
      </c>
      <c r="D73" s="115" t="s">
        <v>1</v>
      </c>
      <c r="E73" s="125">
        <v>1.354166666666667</v>
      </c>
      <c r="F73" s="115" t="s">
        <v>34</v>
      </c>
      <c r="G73" s="117">
        <v>9</v>
      </c>
      <c r="H73" s="118">
        <v>879</v>
      </c>
    </row>
    <row r="74" spans="1:8" ht="19.8" customHeight="1" x14ac:dyDescent="0.3">
      <c r="A74" s="124">
        <v>45985</v>
      </c>
      <c r="B74" s="115" t="s">
        <v>51</v>
      </c>
      <c r="C74" s="116" t="s">
        <v>56</v>
      </c>
      <c r="D74" s="115" t="s">
        <v>1</v>
      </c>
      <c r="E74" s="125">
        <v>1.2222222222222221</v>
      </c>
      <c r="F74" s="115" t="s">
        <v>53</v>
      </c>
      <c r="G74" s="117">
        <v>9</v>
      </c>
      <c r="H74" s="118">
        <v>902</v>
      </c>
    </row>
    <row r="75" spans="1:8" ht="19.8" customHeight="1" x14ac:dyDescent="0.3">
      <c r="A75" s="124">
        <v>45985</v>
      </c>
      <c r="B75" s="115" t="s">
        <v>26</v>
      </c>
      <c r="C75" s="116" t="s">
        <v>36</v>
      </c>
      <c r="D75" s="115" t="s">
        <v>1</v>
      </c>
      <c r="E75" s="125">
        <v>1.756944444444444</v>
      </c>
      <c r="F75" s="115" t="s">
        <v>28</v>
      </c>
      <c r="G75" s="117">
        <v>3</v>
      </c>
      <c r="H75" s="118">
        <v>939</v>
      </c>
    </row>
    <row r="76" spans="1:8" ht="19.8" customHeight="1" x14ac:dyDescent="0.3">
      <c r="A76" s="124">
        <v>45985</v>
      </c>
      <c r="B76" s="115" t="s">
        <v>26</v>
      </c>
      <c r="C76" s="116" t="s">
        <v>36</v>
      </c>
      <c r="D76" s="115" t="s">
        <v>1</v>
      </c>
      <c r="E76" s="125">
        <v>1.756944444444444</v>
      </c>
      <c r="F76" s="115" t="s">
        <v>31</v>
      </c>
      <c r="G76" s="117">
        <v>3</v>
      </c>
      <c r="H76" s="119" t="s">
        <v>116</v>
      </c>
    </row>
    <row r="77" spans="1:8" ht="19.8" customHeight="1" x14ac:dyDescent="0.3">
      <c r="A77" s="124">
        <v>45985</v>
      </c>
      <c r="B77" s="115" t="s">
        <v>41</v>
      </c>
      <c r="C77" s="116" t="s">
        <v>42</v>
      </c>
      <c r="D77" s="115" t="s">
        <v>1</v>
      </c>
      <c r="E77" s="125">
        <v>1.4201388888888891</v>
      </c>
      <c r="F77" s="115" t="s">
        <v>49</v>
      </c>
      <c r="G77" s="117">
        <v>7</v>
      </c>
      <c r="H77" s="119" t="s">
        <v>50</v>
      </c>
    </row>
    <row r="78" spans="1:8" ht="19.8" customHeight="1" x14ac:dyDescent="0.3">
      <c r="A78" s="124">
        <v>45985</v>
      </c>
      <c r="B78" s="115" t="s">
        <v>26</v>
      </c>
      <c r="C78" s="116" t="s">
        <v>36</v>
      </c>
      <c r="D78" s="115" t="s">
        <v>1</v>
      </c>
      <c r="E78" s="125">
        <v>1.756944444444444</v>
      </c>
      <c r="F78" s="115" t="s">
        <v>34</v>
      </c>
      <c r="G78" s="117">
        <v>3</v>
      </c>
      <c r="H78" s="119" t="s">
        <v>117</v>
      </c>
    </row>
    <row r="79" spans="1:8" ht="19.8" customHeight="1" x14ac:dyDescent="0.3">
      <c r="A79" s="124">
        <v>45985</v>
      </c>
      <c r="B79" s="115" t="s">
        <v>64</v>
      </c>
      <c r="C79" s="116" t="s">
        <v>71</v>
      </c>
      <c r="D79" s="115" t="s">
        <v>1</v>
      </c>
      <c r="E79" s="125">
        <v>1.086805555555556</v>
      </c>
      <c r="F79" s="115" t="s">
        <v>66</v>
      </c>
      <c r="G79" s="117">
        <v>9</v>
      </c>
      <c r="H79" s="119" t="s">
        <v>104</v>
      </c>
    </row>
    <row r="80" spans="1:8" ht="19.8" customHeight="1" x14ac:dyDescent="0.3">
      <c r="A80" s="124">
        <v>45985</v>
      </c>
      <c r="B80" s="115" t="s">
        <v>64</v>
      </c>
      <c r="C80" s="116" t="s">
        <v>71</v>
      </c>
      <c r="D80" s="115" t="s">
        <v>1</v>
      </c>
      <c r="E80" s="125">
        <v>1.086805555555556</v>
      </c>
      <c r="F80" s="115" t="s">
        <v>68</v>
      </c>
      <c r="G80" s="117">
        <v>9</v>
      </c>
      <c r="H80" s="119" t="s">
        <v>105</v>
      </c>
    </row>
    <row r="81" spans="1:8" ht="19.8" customHeight="1" x14ac:dyDescent="0.3">
      <c r="A81" s="124">
        <v>45985</v>
      </c>
      <c r="B81" s="115" t="s">
        <v>64</v>
      </c>
      <c r="C81" s="116" t="s">
        <v>72</v>
      </c>
      <c r="D81" s="115" t="s">
        <v>1</v>
      </c>
      <c r="E81" s="125">
        <v>1.4201388888888891</v>
      </c>
      <c r="F81" s="115" t="s">
        <v>68</v>
      </c>
      <c r="G81" s="117">
        <v>4</v>
      </c>
      <c r="H81" s="119" t="s">
        <v>118</v>
      </c>
    </row>
    <row r="82" spans="1:8" ht="19.8" customHeight="1" x14ac:dyDescent="0.3">
      <c r="A82" s="126">
        <v>45985</v>
      </c>
      <c r="B82" s="127" t="s">
        <v>51</v>
      </c>
      <c r="C82" s="128" t="s">
        <v>62</v>
      </c>
      <c r="D82" s="127" t="s">
        <v>1</v>
      </c>
      <c r="E82" s="129">
        <v>1.493055555555556</v>
      </c>
      <c r="F82" s="127" t="s">
        <v>53</v>
      </c>
      <c r="G82" s="130">
        <v>2</v>
      </c>
      <c r="H82" s="131" t="s">
        <v>63</v>
      </c>
    </row>
    <row r="83" spans="1:8" ht="19.8" customHeight="1" x14ac:dyDescent="0.3">
      <c r="A83" s="124">
        <v>45986</v>
      </c>
      <c r="B83" s="115" t="s">
        <v>41</v>
      </c>
      <c r="C83" s="116" t="s">
        <v>42</v>
      </c>
      <c r="D83" s="115" t="s">
        <v>1</v>
      </c>
      <c r="E83" s="125">
        <v>1.4201388888888891</v>
      </c>
      <c r="F83" s="115" t="s">
        <v>43</v>
      </c>
      <c r="G83" s="117">
        <v>2</v>
      </c>
      <c r="H83" s="118">
        <v>489</v>
      </c>
    </row>
    <row r="84" spans="1:8" ht="19.8" customHeight="1" x14ac:dyDescent="0.3">
      <c r="A84" s="124">
        <v>45986</v>
      </c>
      <c r="B84" s="115" t="s">
        <v>51</v>
      </c>
      <c r="C84" s="116" t="s">
        <v>59</v>
      </c>
      <c r="D84" s="115" t="s">
        <v>1</v>
      </c>
      <c r="E84" s="125">
        <v>1.854166666666667</v>
      </c>
      <c r="F84" s="115" t="s">
        <v>53</v>
      </c>
      <c r="G84" s="117">
        <v>9</v>
      </c>
      <c r="H84" s="118">
        <v>586</v>
      </c>
    </row>
    <row r="85" spans="1:8" ht="19.8" customHeight="1" x14ac:dyDescent="0.3">
      <c r="A85" s="124">
        <v>45986</v>
      </c>
      <c r="B85" s="115" t="s">
        <v>41</v>
      </c>
      <c r="C85" s="116" t="s">
        <v>42</v>
      </c>
      <c r="D85" s="115" t="s">
        <v>1</v>
      </c>
      <c r="E85" s="125">
        <v>1.4201388888888891</v>
      </c>
      <c r="F85" s="115" t="s">
        <v>46</v>
      </c>
      <c r="G85" s="117">
        <v>2</v>
      </c>
      <c r="H85" s="118">
        <v>639</v>
      </c>
    </row>
    <row r="86" spans="1:8" ht="19.8" customHeight="1" x14ac:dyDescent="0.3">
      <c r="A86" s="124">
        <v>45986</v>
      </c>
      <c r="B86" s="115" t="s">
        <v>26</v>
      </c>
      <c r="C86" s="116" t="s">
        <v>36</v>
      </c>
      <c r="D86" s="115" t="s">
        <v>1</v>
      </c>
      <c r="E86" s="125">
        <v>1.756944444444444</v>
      </c>
      <c r="F86" s="115" t="s">
        <v>28</v>
      </c>
      <c r="G86" s="117">
        <v>8</v>
      </c>
      <c r="H86" s="118">
        <v>639</v>
      </c>
    </row>
    <row r="87" spans="1:8" ht="19.8" customHeight="1" x14ac:dyDescent="0.3">
      <c r="A87" s="124">
        <v>45986</v>
      </c>
      <c r="B87" s="115" t="s">
        <v>26</v>
      </c>
      <c r="C87" s="116" t="s">
        <v>36</v>
      </c>
      <c r="D87" s="115" t="s">
        <v>1</v>
      </c>
      <c r="E87" s="125">
        <v>1.756944444444444</v>
      </c>
      <c r="F87" s="115" t="s">
        <v>31</v>
      </c>
      <c r="G87" s="117">
        <v>8</v>
      </c>
      <c r="H87" s="118">
        <v>739</v>
      </c>
    </row>
    <row r="88" spans="1:8" ht="19.8" customHeight="1" x14ac:dyDescent="0.3">
      <c r="A88" s="124">
        <v>45986</v>
      </c>
      <c r="B88" s="115" t="s">
        <v>26</v>
      </c>
      <c r="C88" s="116" t="s">
        <v>36</v>
      </c>
      <c r="D88" s="115" t="s">
        <v>1</v>
      </c>
      <c r="E88" s="125">
        <v>1.756944444444444</v>
      </c>
      <c r="F88" s="115" t="s">
        <v>34</v>
      </c>
      <c r="G88" s="117">
        <v>8</v>
      </c>
      <c r="H88" s="118">
        <v>829</v>
      </c>
    </row>
    <row r="89" spans="1:8" ht="19.8" customHeight="1" x14ac:dyDescent="0.3">
      <c r="A89" s="134">
        <v>45986</v>
      </c>
      <c r="B89" s="135" t="s">
        <v>80</v>
      </c>
      <c r="C89" s="136" t="s">
        <v>128</v>
      </c>
      <c r="D89" s="135" t="s">
        <v>1</v>
      </c>
      <c r="E89" s="137">
        <v>1.2777777777777779</v>
      </c>
      <c r="F89" s="135" t="s">
        <v>129</v>
      </c>
      <c r="G89" s="138">
        <v>5</v>
      </c>
      <c r="H89" s="139">
        <v>836</v>
      </c>
    </row>
    <row r="90" spans="1:8" ht="19.8" customHeight="1" x14ac:dyDescent="0.3">
      <c r="A90" s="134">
        <v>45986</v>
      </c>
      <c r="B90" s="135" t="s">
        <v>80</v>
      </c>
      <c r="C90" s="136" t="s">
        <v>136</v>
      </c>
      <c r="D90" s="135" t="s">
        <v>1</v>
      </c>
      <c r="E90" s="137">
        <v>1.0486111111111109</v>
      </c>
      <c r="F90" s="135" t="s">
        <v>129</v>
      </c>
      <c r="G90" s="138">
        <v>8</v>
      </c>
      <c r="H90" s="139">
        <v>914</v>
      </c>
    </row>
    <row r="91" spans="1:8" ht="19.8" customHeight="1" x14ac:dyDescent="0.3">
      <c r="A91" s="124">
        <v>45986</v>
      </c>
      <c r="B91" s="115" t="s">
        <v>51</v>
      </c>
      <c r="C91" s="116" t="s">
        <v>52</v>
      </c>
      <c r="D91" s="115" t="s">
        <v>1</v>
      </c>
      <c r="E91" s="125">
        <v>1.0972222222222221</v>
      </c>
      <c r="F91" s="115" t="s">
        <v>53</v>
      </c>
      <c r="G91" s="117">
        <v>9</v>
      </c>
      <c r="H91" s="119" t="s">
        <v>101</v>
      </c>
    </row>
    <row r="92" spans="1:8" ht="19.8" customHeight="1" x14ac:dyDescent="0.3">
      <c r="A92" s="134">
        <v>45986</v>
      </c>
      <c r="B92" s="135" t="s">
        <v>80</v>
      </c>
      <c r="C92" s="136" t="s">
        <v>142</v>
      </c>
      <c r="D92" s="135" t="s">
        <v>1</v>
      </c>
      <c r="E92" s="137">
        <v>1.979166666666667</v>
      </c>
      <c r="F92" s="135" t="s">
        <v>129</v>
      </c>
      <c r="G92" s="138">
        <v>1</v>
      </c>
      <c r="H92" s="140" t="s">
        <v>143</v>
      </c>
    </row>
    <row r="93" spans="1:8" ht="19.8" customHeight="1" x14ac:dyDescent="0.3">
      <c r="A93" s="124">
        <v>45986</v>
      </c>
      <c r="B93" s="115" t="s">
        <v>41</v>
      </c>
      <c r="C93" s="116" t="s">
        <v>42</v>
      </c>
      <c r="D93" s="115" t="s">
        <v>1</v>
      </c>
      <c r="E93" s="125">
        <v>1.4201388888888891</v>
      </c>
      <c r="F93" s="115" t="s">
        <v>49</v>
      </c>
      <c r="G93" s="117">
        <v>2</v>
      </c>
      <c r="H93" s="119" t="s">
        <v>50</v>
      </c>
    </row>
    <row r="94" spans="1:8" ht="19.8" customHeight="1" x14ac:dyDescent="0.3">
      <c r="A94" s="124">
        <v>45986</v>
      </c>
      <c r="B94" s="115" t="s">
        <v>51</v>
      </c>
      <c r="C94" s="116" t="s">
        <v>62</v>
      </c>
      <c r="D94" s="115" t="s">
        <v>1</v>
      </c>
      <c r="E94" s="125">
        <v>1.493055555555556</v>
      </c>
      <c r="F94" s="115" t="s">
        <v>53</v>
      </c>
      <c r="G94" s="117">
        <v>9</v>
      </c>
      <c r="H94" s="119" t="s">
        <v>90</v>
      </c>
    </row>
    <row r="95" spans="1:8" ht="19.8" customHeight="1" x14ac:dyDescent="0.3">
      <c r="A95" s="124">
        <v>45986</v>
      </c>
      <c r="B95" s="115" t="s">
        <v>51</v>
      </c>
      <c r="C95" s="116" t="s">
        <v>56</v>
      </c>
      <c r="D95" s="115" t="s">
        <v>1</v>
      </c>
      <c r="E95" s="125">
        <v>1.2222222222222221</v>
      </c>
      <c r="F95" s="115" t="s">
        <v>53</v>
      </c>
      <c r="G95" s="117">
        <v>9</v>
      </c>
      <c r="H95" s="119" t="s">
        <v>90</v>
      </c>
    </row>
    <row r="96" spans="1:8" ht="19.8" customHeight="1" x14ac:dyDescent="0.3">
      <c r="A96" s="124">
        <v>45986</v>
      </c>
      <c r="B96" s="115" t="s">
        <v>51</v>
      </c>
      <c r="C96" s="116" t="s">
        <v>58</v>
      </c>
      <c r="D96" s="115" t="s">
        <v>1</v>
      </c>
      <c r="E96" s="125">
        <v>1.444444444444444</v>
      </c>
      <c r="F96" s="115" t="s">
        <v>53</v>
      </c>
      <c r="G96" s="117">
        <v>9</v>
      </c>
      <c r="H96" s="119" t="s">
        <v>90</v>
      </c>
    </row>
    <row r="97" spans="1:8" ht="19.8" customHeight="1" x14ac:dyDescent="0.3">
      <c r="A97" s="124">
        <v>45986</v>
      </c>
      <c r="B97" s="115" t="s">
        <v>64</v>
      </c>
      <c r="C97" s="116" t="s">
        <v>65</v>
      </c>
      <c r="D97" s="115" t="s">
        <v>1</v>
      </c>
      <c r="E97" s="125">
        <v>1.604166666666667</v>
      </c>
      <c r="F97" s="115" t="s">
        <v>66</v>
      </c>
      <c r="G97" s="117">
        <v>9</v>
      </c>
      <c r="H97" s="119" t="s">
        <v>104</v>
      </c>
    </row>
    <row r="98" spans="1:8" ht="19.8" customHeight="1" x14ac:dyDescent="0.3">
      <c r="A98" s="124">
        <v>45986</v>
      </c>
      <c r="B98" s="115" t="s">
        <v>64</v>
      </c>
      <c r="C98" s="116" t="s">
        <v>65</v>
      </c>
      <c r="D98" s="115" t="s">
        <v>1</v>
      </c>
      <c r="E98" s="125">
        <v>1.604166666666667</v>
      </c>
      <c r="F98" s="115" t="s">
        <v>68</v>
      </c>
      <c r="G98" s="117">
        <v>9</v>
      </c>
      <c r="H98" s="119" t="s">
        <v>105</v>
      </c>
    </row>
    <row r="99" spans="1:8" ht="19.8" customHeight="1" x14ac:dyDescent="0.3">
      <c r="A99" s="124">
        <v>45986</v>
      </c>
      <c r="B99" s="115" t="s">
        <v>64</v>
      </c>
      <c r="C99" s="116" t="s">
        <v>72</v>
      </c>
      <c r="D99" s="115" t="s">
        <v>1</v>
      </c>
      <c r="E99" s="125">
        <v>1.4201388888888891</v>
      </c>
      <c r="F99" s="115" t="s">
        <v>68</v>
      </c>
      <c r="G99" s="117">
        <v>4</v>
      </c>
      <c r="H99" s="119" t="s">
        <v>118</v>
      </c>
    </row>
    <row r="100" spans="1:8" ht="19.8" customHeight="1" x14ac:dyDescent="0.3">
      <c r="A100" s="124">
        <v>45986</v>
      </c>
      <c r="B100" s="115" t="s">
        <v>64</v>
      </c>
      <c r="C100" s="116" t="s">
        <v>75</v>
      </c>
      <c r="D100" s="115" t="s">
        <v>1</v>
      </c>
      <c r="E100" s="125">
        <v>1.7951388888888891</v>
      </c>
      <c r="F100" s="115" t="s">
        <v>66</v>
      </c>
      <c r="G100" s="117">
        <v>1</v>
      </c>
      <c r="H100" s="119" t="s">
        <v>92</v>
      </c>
    </row>
    <row r="101" spans="1:8" ht="19.8" customHeight="1" x14ac:dyDescent="0.3">
      <c r="A101" s="124">
        <v>45986</v>
      </c>
      <c r="B101" s="115" t="s">
        <v>64</v>
      </c>
      <c r="C101" s="116" t="s">
        <v>71</v>
      </c>
      <c r="D101" s="115" t="s">
        <v>1</v>
      </c>
      <c r="E101" s="125">
        <v>1.086805555555556</v>
      </c>
      <c r="F101" s="115" t="s">
        <v>66</v>
      </c>
      <c r="G101" s="117">
        <v>9</v>
      </c>
      <c r="H101" s="119" t="s">
        <v>92</v>
      </c>
    </row>
    <row r="102" spans="1:8" ht="19.8" customHeight="1" x14ac:dyDescent="0.3">
      <c r="A102" s="124">
        <v>45986</v>
      </c>
      <c r="B102" s="115" t="s">
        <v>64</v>
      </c>
      <c r="C102" s="116" t="s">
        <v>75</v>
      </c>
      <c r="D102" s="115" t="s">
        <v>1</v>
      </c>
      <c r="E102" s="125">
        <v>1.7951388888888891</v>
      </c>
      <c r="F102" s="115" t="s">
        <v>68</v>
      </c>
      <c r="G102" s="117">
        <v>1</v>
      </c>
      <c r="H102" s="119" t="s">
        <v>94</v>
      </c>
    </row>
    <row r="103" spans="1:8" ht="19.8" customHeight="1" x14ac:dyDescent="0.3">
      <c r="A103" s="126">
        <v>45986</v>
      </c>
      <c r="B103" s="127" t="s">
        <v>64</v>
      </c>
      <c r="C103" s="128" t="s">
        <v>71</v>
      </c>
      <c r="D103" s="127" t="s">
        <v>1</v>
      </c>
      <c r="E103" s="129">
        <v>1.086805555555556</v>
      </c>
      <c r="F103" s="127" t="s">
        <v>68</v>
      </c>
      <c r="G103" s="130">
        <v>9</v>
      </c>
      <c r="H103" s="131" t="s">
        <v>94</v>
      </c>
    </row>
    <row r="104" spans="1:8" ht="19.8" customHeight="1" x14ac:dyDescent="0.3">
      <c r="A104" s="124">
        <v>45987</v>
      </c>
      <c r="B104" s="115" t="s">
        <v>51</v>
      </c>
      <c r="C104" s="116" t="s">
        <v>56</v>
      </c>
      <c r="D104" s="115" t="s">
        <v>1</v>
      </c>
      <c r="E104" s="125">
        <v>1.2222222222222221</v>
      </c>
      <c r="F104" s="115" t="s">
        <v>53</v>
      </c>
      <c r="G104" s="117">
        <v>9</v>
      </c>
      <c r="H104" s="118">
        <v>586</v>
      </c>
    </row>
    <row r="105" spans="1:8" ht="19.8" customHeight="1" x14ac:dyDescent="0.3">
      <c r="A105" s="124">
        <v>45987</v>
      </c>
      <c r="B105" s="115" t="s">
        <v>41</v>
      </c>
      <c r="C105" s="116" t="s">
        <v>42</v>
      </c>
      <c r="D105" s="115" t="s">
        <v>1</v>
      </c>
      <c r="E105" s="125">
        <v>1.4201388888888891</v>
      </c>
      <c r="F105" s="115" t="s">
        <v>43</v>
      </c>
      <c r="G105" s="117">
        <v>8</v>
      </c>
      <c r="H105" s="118">
        <v>619</v>
      </c>
    </row>
    <row r="106" spans="1:8" ht="19.8" customHeight="1" x14ac:dyDescent="0.3">
      <c r="A106" s="124">
        <v>45987</v>
      </c>
      <c r="B106" s="115" t="s">
        <v>26</v>
      </c>
      <c r="C106" s="116" t="s">
        <v>36</v>
      </c>
      <c r="D106" s="115" t="s">
        <v>1</v>
      </c>
      <c r="E106" s="125">
        <v>1.756944444444444</v>
      </c>
      <c r="F106" s="115" t="s">
        <v>28</v>
      </c>
      <c r="G106" s="117">
        <v>1</v>
      </c>
      <c r="H106" s="118">
        <v>639</v>
      </c>
    </row>
    <row r="107" spans="1:8" ht="19.8" customHeight="1" x14ac:dyDescent="0.3">
      <c r="A107" s="124">
        <v>45987</v>
      </c>
      <c r="B107" s="115" t="s">
        <v>26</v>
      </c>
      <c r="C107" s="116" t="s">
        <v>36</v>
      </c>
      <c r="D107" s="115" t="s">
        <v>1</v>
      </c>
      <c r="E107" s="125">
        <v>1.756944444444444</v>
      </c>
      <c r="F107" s="115" t="s">
        <v>31</v>
      </c>
      <c r="G107" s="117">
        <v>1</v>
      </c>
      <c r="H107" s="118">
        <v>739</v>
      </c>
    </row>
    <row r="108" spans="1:8" ht="19.8" customHeight="1" x14ac:dyDescent="0.3">
      <c r="A108" s="124">
        <v>45987</v>
      </c>
      <c r="B108" s="115" t="s">
        <v>41</v>
      </c>
      <c r="C108" s="116" t="s">
        <v>42</v>
      </c>
      <c r="D108" s="115" t="s">
        <v>1</v>
      </c>
      <c r="E108" s="125">
        <v>1.4201388888888891</v>
      </c>
      <c r="F108" s="115" t="s">
        <v>46</v>
      </c>
      <c r="G108" s="117">
        <v>8</v>
      </c>
      <c r="H108" s="118">
        <v>769</v>
      </c>
    </row>
    <row r="109" spans="1:8" ht="19.8" customHeight="1" x14ac:dyDescent="0.3">
      <c r="A109" s="124">
        <v>45987</v>
      </c>
      <c r="B109" s="115" t="s">
        <v>41</v>
      </c>
      <c r="C109" s="116" t="s">
        <v>42</v>
      </c>
      <c r="D109" s="115" t="s">
        <v>1</v>
      </c>
      <c r="E109" s="125">
        <v>1.4201388888888891</v>
      </c>
      <c r="F109" s="115" t="s">
        <v>49</v>
      </c>
      <c r="G109" s="117">
        <v>8</v>
      </c>
      <c r="H109" s="118">
        <v>799</v>
      </c>
    </row>
    <row r="110" spans="1:8" ht="19.8" customHeight="1" x14ac:dyDescent="0.3">
      <c r="A110" s="124">
        <v>45987</v>
      </c>
      <c r="B110" s="115" t="s">
        <v>26</v>
      </c>
      <c r="C110" s="116" t="s">
        <v>36</v>
      </c>
      <c r="D110" s="115" t="s">
        <v>1</v>
      </c>
      <c r="E110" s="125">
        <v>1.756944444444444</v>
      </c>
      <c r="F110" s="115" t="s">
        <v>34</v>
      </c>
      <c r="G110" s="117">
        <v>1</v>
      </c>
      <c r="H110" s="118">
        <v>829</v>
      </c>
    </row>
    <row r="111" spans="1:8" ht="19.8" customHeight="1" x14ac:dyDescent="0.3">
      <c r="A111" s="124">
        <v>45987</v>
      </c>
      <c r="B111" s="115" t="s">
        <v>64</v>
      </c>
      <c r="C111" s="116" t="s">
        <v>65</v>
      </c>
      <c r="D111" s="115" t="s">
        <v>1</v>
      </c>
      <c r="E111" s="125">
        <v>1.604166666666667</v>
      </c>
      <c r="F111" s="115" t="s">
        <v>66</v>
      </c>
      <c r="G111" s="117">
        <v>9</v>
      </c>
      <c r="H111" s="119" t="s">
        <v>104</v>
      </c>
    </row>
    <row r="112" spans="1:8" ht="19.8" customHeight="1" x14ac:dyDescent="0.3">
      <c r="A112" s="124">
        <v>45987</v>
      </c>
      <c r="B112" s="115" t="s">
        <v>64</v>
      </c>
      <c r="C112" s="116" t="s">
        <v>75</v>
      </c>
      <c r="D112" s="115" t="s">
        <v>1</v>
      </c>
      <c r="E112" s="125">
        <v>1.7951388888888891</v>
      </c>
      <c r="F112" s="115" t="s">
        <v>66</v>
      </c>
      <c r="G112" s="117">
        <v>9</v>
      </c>
      <c r="H112" s="119" t="s">
        <v>104</v>
      </c>
    </row>
    <row r="113" spans="1:8" ht="19.8" customHeight="1" x14ac:dyDescent="0.3">
      <c r="A113" s="124">
        <v>45987</v>
      </c>
      <c r="B113" s="115" t="s">
        <v>64</v>
      </c>
      <c r="C113" s="116" t="s">
        <v>71</v>
      </c>
      <c r="D113" s="115" t="s">
        <v>1</v>
      </c>
      <c r="E113" s="125">
        <v>1.086805555555556</v>
      </c>
      <c r="F113" s="115" t="s">
        <v>66</v>
      </c>
      <c r="G113" s="117">
        <v>9</v>
      </c>
      <c r="H113" s="119" t="s">
        <v>104</v>
      </c>
    </row>
    <row r="114" spans="1:8" ht="19.8" customHeight="1" x14ac:dyDescent="0.3">
      <c r="A114" s="124">
        <v>45987</v>
      </c>
      <c r="B114" s="115" t="s">
        <v>64</v>
      </c>
      <c r="C114" s="116" t="s">
        <v>65</v>
      </c>
      <c r="D114" s="115" t="s">
        <v>1</v>
      </c>
      <c r="E114" s="125">
        <v>1.604166666666667</v>
      </c>
      <c r="F114" s="115" t="s">
        <v>68</v>
      </c>
      <c r="G114" s="117">
        <v>9</v>
      </c>
      <c r="H114" s="119" t="s">
        <v>105</v>
      </c>
    </row>
    <row r="115" spans="1:8" ht="19.8" customHeight="1" x14ac:dyDescent="0.3">
      <c r="A115" s="124">
        <v>45987</v>
      </c>
      <c r="B115" s="115" t="s">
        <v>64</v>
      </c>
      <c r="C115" s="116" t="s">
        <v>75</v>
      </c>
      <c r="D115" s="115" t="s">
        <v>1</v>
      </c>
      <c r="E115" s="125">
        <v>1.7951388888888891</v>
      </c>
      <c r="F115" s="115" t="s">
        <v>68</v>
      </c>
      <c r="G115" s="117">
        <v>9</v>
      </c>
      <c r="H115" s="119" t="s">
        <v>105</v>
      </c>
    </row>
    <row r="116" spans="1:8" ht="19.8" customHeight="1" x14ac:dyDescent="0.3">
      <c r="A116" s="124">
        <v>45987</v>
      </c>
      <c r="B116" s="115" t="s">
        <v>64</v>
      </c>
      <c r="C116" s="116" t="s">
        <v>71</v>
      </c>
      <c r="D116" s="115" t="s">
        <v>1</v>
      </c>
      <c r="E116" s="125">
        <v>1.086805555555556</v>
      </c>
      <c r="F116" s="115" t="s">
        <v>68</v>
      </c>
      <c r="G116" s="117">
        <v>9</v>
      </c>
      <c r="H116" s="119" t="s">
        <v>105</v>
      </c>
    </row>
    <row r="117" spans="1:8" ht="19.8" customHeight="1" x14ac:dyDescent="0.3">
      <c r="A117" s="124">
        <v>45987</v>
      </c>
      <c r="B117" s="115" t="s">
        <v>64</v>
      </c>
      <c r="C117" s="116" t="s">
        <v>72</v>
      </c>
      <c r="D117" s="115" t="s">
        <v>1</v>
      </c>
      <c r="E117" s="125">
        <v>1.4201388888888891</v>
      </c>
      <c r="F117" s="115" t="s">
        <v>68</v>
      </c>
      <c r="G117" s="117">
        <v>4</v>
      </c>
      <c r="H117" s="119" t="s">
        <v>118</v>
      </c>
    </row>
    <row r="118" spans="1:8" ht="19.8" customHeight="1" x14ac:dyDescent="0.3">
      <c r="A118" s="124">
        <v>45987</v>
      </c>
      <c r="B118" s="115" t="s">
        <v>51</v>
      </c>
      <c r="C118" s="116" t="s">
        <v>59</v>
      </c>
      <c r="D118" s="115" t="s">
        <v>1</v>
      </c>
      <c r="E118" s="125">
        <v>1.8472222222222221</v>
      </c>
      <c r="F118" s="115" t="s">
        <v>53</v>
      </c>
      <c r="G118" s="117">
        <v>2</v>
      </c>
      <c r="H118" s="119" t="s">
        <v>63</v>
      </c>
    </row>
    <row r="119" spans="1:8" ht="19.8" customHeight="1" x14ac:dyDescent="0.3">
      <c r="A119" s="126">
        <v>45987</v>
      </c>
      <c r="B119" s="127" t="s">
        <v>51</v>
      </c>
      <c r="C119" s="128" t="s">
        <v>58</v>
      </c>
      <c r="D119" s="127" t="s">
        <v>1</v>
      </c>
      <c r="E119" s="129">
        <v>1.444444444444444</v>
      </c>
      <c r="F119" s="127" t="s">
        <v>53</v>
      </c>
      <c r="G119" s="130">
        <v>9</v>
      </c>
      <c r="H119" s="131" t="s">
        <v>63</v>
      </c>
    </row>
    <row r="120" spans="1:8" ht="19.8" customHeight="1" x14ac:dyDescent="0.3">
      <c r="A120" s="124">
        <v>45988</v>
      </c>
      <c r="B120" s="115" t="s">
        <v>41</v>
      </c>
      <c r="C120" s="116" t="s">
        <v>42</v>
      </c>
      <c r="D120" s="115" t="s">
        <v>1</v>
      </c>
      <c r="E120" s="125">
        <v>1.4201388888888891</v>
      </c>
      <c r="F120" s="115" t="s">
        <v>43</v>
      </c>
      <c r="G120" s="117">
        <v>3</v>
      </c>
      <c r="H120" s="118">
        <v>619</v>
      </c>
    </row>
    <row r="121" spans="1:8" ht="19.8" customHeight="1" x14ac:dyDescent="0.3">
      <c r="A121" s="124">
        <v>45988</v>
      </c>
      <c r="B121" s="115" t="s">
        <v>26</v>
      </c>
      <c r="C121" s="116" t="s">
        <v>27</v>
      </c>
      <c r="D121" s="115" t="s">
        <v>1</v>
      </c>
      <c r="E121" s="125">
        <v>1.354166666666667</v>
      </c>
      <c r="F121" s="115" t="s">
        <v>28</v>
      </c>
      <c r="G121" s="117">
        <v>2</v>
      </c>
      <c r="H121" s="118">
        <v>749</v>
      </c>
    </row>
    <row r="122" spans="1:8" ht="19.8" customHeight="1" x14ac:dyDescent="0.3">
      <c r="A122" s="124">
        <v>45988</v>
      </c>
      <c r="B122" s="115" t="s">
        <v>41</v>
      </c>
      <c r="C122" s="116" t="s">
        <v>42</v>
      </c>
      <c r="D122" s="115" t="s">
        <v>1</v>
      </c>
      <c r="E122" s="125">
        <v>1.4201388888888891</v>
      </c>
      <c r="F122" s="115" t="s">
        <v>46</v>
      </c>
      <c r="G122" s="117">
        <v>3</v>
      </c>
      <c r="H122" s="118">
        <v>769</v>
      </c>
    </row>
    <row r="123" spans="1:8" ht="19.8" customHeight="1" x14ac:dyDescent="0.3">
      <c r="A123" s="124">
        <v>45988</v>
      </c>
      <c r="B123" s="115" t="s">
        <v>26</v>
      </c>
      <c r="C123" s="116" t="s">
        <v>27</v>
      </c>
      <c r="D123" s="115" t="s">
        <v>1</v>
      </c>
      <c r="E123" s="125">
        <v>1.354166666666667</v>
      </c>
      <c r="F123" s="115" t="s">
        <v>31</v>
      </c>
      <c r="G123" s="117">
        <v>2</v>
      </c>
      <c r="H123" s="118">
        <v>849</v>
      </c>
    </row>
    <row r="124" spans="1:8" ht="19.8" customHeight="1" x14ac:dyDescent="0.3">
      <c r="A124" s="124">
        <v>45988</v>
      </c>
      <c r="B124" s="115" t="s">
        <v>26</v>
      </c>
      <c r="C124" s="116" t="s">
        <v>27</v>
      </c>
      <c r="D124" s="115" t="s">
        <v>1</v>
      </c>
      <c r="E124" s="125">
        <v>1.354166666666667</v>
      </c>
      <c r="F124" s="115" t="s">
        <v>34</v>
      </c>
      <c r="G124" s="117">
        <v>2</v>
      </c>
      <c r="H124" s="118">
        <v>939</v>
      </c>
    </row>
    <row r="125" spans="1:8" ht="19.8" customHeight="1" x14ac:dyDescent="0.3">
      <c r="A125" s="124">
        <v>45988</v>
      </c>
      <c r="B125" s="115" t="s">
        <v>41</v>
      </c>
      <c r="C125" s="116" t="s">
        <v>42</v>
      </c>
      <c r="D125" s="115" t="s">
        <v>1</v>
      </c>
      <c r="E125" s="125">
        <v>1.4201388888888891</v>
      </c>
      <c r="F125" s="115" t="s">
        <v>49</v>
      </c>
      <c r="G125" s="117">
        <v>3</v>
      </c>
      <c r="H125" s="119" t="s">
        <v>50</v>
      </c>
    </row>
    <row r="126" spans="1:8" ht="19.8" customHeight="1" x14ac:dyDescent="0.3">
      <c r="A126" s="124">
        <v>45988</v>
      </c>
      <c r="B126" s="115" t="s">
        <v>51</v>
      </c>
      <c r="C126" s="116" t="s">
        <v>56</v>
      </c>
      <c r="D126" s="115" t="s">
        <v>1</v>
      </c>
      <c r="E126" s="125">
        <v>1.2222222222222221</v>
      </c>
      <c r="F126" s="115" t="s">
        <v>53</v>
      </c>
      <c r="G126" s="117">
        <v>9</v>
      </c>
      <c r="H126" s="119" t="s">
        <v>90</v>
      </c>
    </row>
    <row r="127" spans="1:8" ht="19.8" customHeight="1" x14ac:dyDescent="0.3">
      <c r="A127" s="124">
        <v>45988</v>
      </c>
      <c r="B127" s="115" t="s">
        <v>51</v>
      </c>
      <c r="C127" s="116" t="s">
        <v>58</v>
      </c>
      <c r="D127" s="115" t="s">
        <v>1</v>
      </c>
      <c r="E127" s="125">
        <v>1.430555555555556</v>
      </c>
      <c r="F127" s="115" t="s">
        <v>53</v>
      </c>
      <c r="G127" s="117">
        <v>9</v>
      </c>
      <c r="H127" s="119" t="s">
        <v>90</v>
      </c>
    </row>
    <row r="128" spans="1:8" ht="19.8" customHeight="1" x14ac:dyDescent="0.3">
      <c r="A128" s="124">
        <v>45988</v>
      </c>
      <c r="B128" s="115" t="s">
        <v>26</v>
      </c>
      <c r="C128" s="116" t="s">
        <v>36</v>
      </c>
      <c r="D128" s="115" t="s">
        <v>1</v>
      </c>
      <c r="E128" s="125">
        <v>1.756944444444444</v>
      </c>
      <c r="F128" s="115" t="s">
        <v>28</v>
      </c>
      <c r="G128" s="117">
        <v>2</v>
      </c>
      <c r="H128" s="119" t="s">
        <v>147</v>
      </c>
    </row>
    <row r="129" spans="1:8" ht="19.8" customHeight="1" x14ac:dyDescent="0.3">
      <c r="A129" s="124">
        <v>45988</v>
      </c>
      <c r="B129" s="115" t="s">
        <v>64</v>
      </c>
      <c r="C129" s="116" t="s">
        <v>65</v>
      </c>
      <c r="D129" s="115" t="s">
        <v>1</v>
      </c>
      <c r="E129" s="125">
        <v>1.604166666666667</v>
      </c>
      <c r="F129" s="115" t="s">
        <v>66</v>
      </c>
      <c r="G129" s="117">
        <v>9</v>
      </c>
      <c r="H129" s="119" t="s">
        <v>104</v>
      </c>
    </row>
    <row r="130" spans="1:8" ht="19.8" customHeight="1" x14ac:dyDescent="0.3">
      <c r="A130" s="124">
        <v>45988</v>
      </c>
      <c r="B130" s="115" t="s">
        <v>64</v>
      </c>
      <c r="C130" s="116" t="s">
        <v>75</v>
      </c>
      <c r="D130" s="115" t="s">
        <v>1</v>
      </c>
      <c r="E130" s="125">
        <v>1.7951388888888891</v>
      </c>
      <c r="F130" s="115" t="s">
        <v>66</v>
      </c>
      <c r="G130" s="117">
        <v>1</v>
      </c>
      <c r="H130" s="119" t="s">
        <v>104</v>
      </c>
    </row>
    <row r="131" spans="1:8" ht="19.8" customHeight="1" x14ac:dyDescent="0.3">
      <c r="A131" s="124">
        <v>45988</v>
      </c>
      <c r="B131" s="115" t="s">
        <v>64</v>
      </c>
      <c r="C131" s="116" t="s">
        <v>71</v>
      </c>
      <c r="D131" s="115" t="s">
        <v>1</v>
      </c>
      <c r="E131" s="125">
        <v>1.086805555555556</v>
      </c>
      <c r="F131" s="115" t="s">
        <v>66</v>
      </c>
      <c r="G131" s="117">
        <v>9</v>
      </c>
      <c r="H131" s="119" t="s">
        <v>104</v>
      </c>
    </row>
    <row r="132" spans="1:8" ht="19.8" customHeight="1" x14ac:dyDescent="0.3">
      <c r="A132" s="124">
        <v>45988</v>
      </c>
      <c r="B132" s="115" t="s">
        <v>26</v>
      </c>
      <c r="C132" s="116" t="s">
        <v>36</v>
      </c>
      <c r="D132" s="115" t="s">
        <v>1</v>
      </c>
      <c r="E132" s="125">
        <v>1.756944444444444</v>
      </c>
      <c r="F132" s="115" t="s">
        <v>31</v>
      </c>
      <c r="G132" s="117">
        <v>2</v>
      </c>
      <c r="H132" s="119" t="s">
        <v>148</v>
      </c>
    </row>
    <row r="133" spans="1:8" ht="19.8" customHeight="1" x14ac:dyDescent="0.3">
      <c r="A133" s="124">
        <v>45988</v>
      </c>
      <c r="B133" s="115" t="s">
        <v>51</v>
      </c>
      <c r="C133" s="116" t="s">
        <v>62</v>
      </c>
      <c r="D133" s="115" t="s">
        <v>1</v>
      </c>
      <c r="E133" s="125">
        <v>1.493055555555556</v>
      </c>
      <c r="F133" s="115" t="s">
        <v>53</v>
      </c>
      <c r="G133" s="117">
        <v>9</v>
      </c>
      <c r="H133" s="119" t="s">
        <v>150</v>
      </c>
    </row>
    <row r="134" spans="1:8" ht="19.8" customHeight="1" x14ac:dyDescent="0.3">
      <c r="A134" s="124">
        <v>45988</v>
      </c>
      <c r="B134" s="115" t="s">
        <v>26</v>
      </c>
      <c r="C134" s="116" t="s">
        <v>36</v>
      </c>
      <c r="D134" s="115" t="s">
        <v>1</v>
      </c>
      <c r="E134" s="125">
        <v>1.756944444444444</v>
      </c>
      <c r="F134" s="115" t="s">
        <v>34</v>
      </c>
      <c r="G134" s="117">
        <v>2</v>
      </c>
      <c r="H134" s="119" t="s">
        <v>149</v>
      </c>
    </row>
    <row r="135" spans="1:8" ht="19.8" customHeight="1" x14ac:dyDescent="0.3">
      <c r="A135" s="124">
        <v>45988</v>
      </c>
      <c r="B135" s="115" t="s">
        <v>64</v>
      </c>
      <c r="C135" s="116" t="s">
        <v>65</v>
      </c>
      <c r="D135" s="115" t="s">
        <v>1</v>
      </c>
      <c r="E135" s="125">
        <v>1.604166666666667</v>
      </c>
      <c r="F135" s="115" t="s">
        <v>68</v>
      </c>
      <c r="G135" s="117">
        <v>9</v>
      </c>
      <c r="H135" s="119" t="s">
        <v>105</v>
      </c>
    </row>
    <row r="136" spans="1:8" ht="19.8" customHeight="1" x14ac:dyDescent="0.3">
      <c r="A136" s="124">
        <v>45988</v>
      </c>
      <c r="B136" s="115" t="s">
        <v>64</v>
      </c>
      <c r="C136" s="116" t="s">
        <v>75</v>
      </c>
      <c r="D136" s="115" t="s">
        <v>1</v>
      </c>
      <c r="E136" s="125">
        <v>1.7951388888888891</v>
      </c>
      <c r="F136" s="115" t="s">
        <v>68</v>
      </c>
      <c r="G136" s="117">
        <v>1</v>
      </c>
      <c r="H136" s="119" t="s">
        <v>105</v>
      </c>
    </row>
    <row r="137" spans="1:8" ht="19.8" customHeight="1" x14ac:dyDescent="0.3">
      <c r="A137" s="124">
        <v>45988</v>
      </c>
      <c r="B137" s="115" t="s">
        <v>64</v>
      </c>
      <c r="C137" s="116" t="s">
        <v>71</v>
      </c>
      <c r="D137" s="115" t="s">
        <v>1</v>
      </c>
      <c r="E137" s="125">
        <v>1.086805555555556</v>
      </c>
      <c r="F137" s="115" t="s">
        <v>68</v>
      </c>
      <c r="G137" s="117">
        <v>9</v>
      </c>
      <c r="H137" s="119" t="s">
        <v>105</v>
      </c>
    </row>
    <row r="138" spans="1:8" ht="19.8" customHeight="1" x14ac:dyDescent="0.3">
      <c r="A138" s="124">
        <v>45988</v>
      </c>
      <c r="B138" s="115" t="s">
        <v>64</v>
      </c>
      <c r="C138" s="116" t="s">
        <v>72</v>
      </c>
      <c r="D138" s="115" t="s">
        <v>1</v>
      </c>
      <c r="E138" s="125">
        <v>1.4201388888888891</v>
      </c>
      <c r="F138" s="115" t="s">
        <v>68</v>
      </c>
      <c r="G138" s="117">
        <v>4</v>
      </c>
      <c r="H138" s="119" t="s">
        <v>118</v>
      </c>
    </row>
    <row r="139" spans="1:8" ht="19.8" customHeight="1" x14ac:dyDescent="0.3">
      <c r="A139" s="124">
        <v>45988</v>
      </c>
      <c r="B139" s="115" t="s">
        <v>51</v>
      </c>
      <c r="C139" s="116" t="s">
        <v>52</v>
      </c>
      <c r="D139" s="115" t="s">
        <v>1</v>
      </c>
      <c r="E139" s="125">
        <v>1.1076388888888891</v>
      </c>
      <c r="F139" s="115" t="s">
        <v>53</v>
      </c>
      <c r="G139" s="117">
        <v>6</v>
      </c>
      <c r="H139" s="119" t="s">
        <v>63</v>
      </c>
    </row>
    <row r="140" spans="1:8" ht="19.8" customHeight="1" x14ac:dyDescent="0.3">
      <c r="A140" s="132">
        <v>45988</v>
      </c>
      <c r="B140" s="121" t="s">
        <v>80</v>
      </c>
      <c r="C140" s="122" t="s">
        <v>81</v>
      </c>
      <c r="D140" s="121" t="s">
        <v>1</v>
      </c>
      <c r="E140" s="133">
        <v>1.538194444444444</v>
      </c>
      <c r="F140" s="121" t="s">
        <v>82</v>
      </c>
      <c r="G140" s="121"/>
      <c r="H140" s="123" t="s">
        <v>83</v>
      </c>
    </row>
    <row r="141" spans="1:8" ht="19.8" customHeight="1" x14ac:dyDescent="0.3">
      <c r="A141" s="124">
        <v>45989</v>
      </c>
      <c r="B141" s="115" t="s">
        <v>41</v>
      </c>
      <c r="C141" s="116" t="s">
        <v>42</v>
      </c>
      <c r="D141" s="115" t="s">
        <v>1</v>
      </c>
      <c r="E141" s="125">
        <v>1.4201388888888891</v>
      </c>
      <c r="F141" s="115" t="s">
        <v>43</v>
      </c>
      <c r="G141" s="117">
        <v>7</v>
      </c>
      <c r="H141" s="118">
        <v>559</v>
      </c>
    </row>
    <row r="142" spans="1:8" ht="19.8" customHeight="1" x14ac:dyDescent="0.3">
      <c r="A142" s="124">
        <v>45989</v>
      </c>
      <c r="B142" s="115" t="s">
        <v>26</v>
      </c>
      <c r="C142" s="116" t="s">
        <v>36</v>
      </c>
      <c r="D142" s="115" t="s">
        <v>1</v>
      </c>
      <c r="E142" s="125">
        <v>1.756944444444444</v>
      </c>
      <c r="F142" s="115" t="s">
        <v>28</v>
      </c>
      <c r="G142" s="117">
        <v>2</v>
      </c>
      <c r="H142" s="118">
        <v>589</v>
      </c>
    </row>
    <row r="143" spans="1:8" ht="19.8" customHeight="1" x14ac:dyDescent="0.3">
      <c r="A143" s="124">
        <v>45989</v>
      </c>
      <c r="B143" s="115" t="s">
        <v>26</v>
      </c>
      <c r="C143" s="116" t="s">
        <v>36</v>
      </c>
      <c r="D143" s="115" t="s">
        <v>1</v>
      </c>
      <c r="E143" s="125">
        <v>1.756944444444444</v>
      </c>
      <c r="F143" s="115" t="s">
        <v>31</v>
      </c>
      <c r="G143" s="117">
        <v>2</v>
      </c>
      <c r="H143" s="118">
        <v>689</v>
      </c>
    </row>
    <row r="144" spans="1:8" ht="19.8" customHeight="1" x14ac:dyDescent="0.3">
      <c r="A144" s="124">
        <v>45989</v>
      </c>
      <c r="B144" s="115" t="s">
        <v>41</v>
      </c>
      <c r="C144" s="116" t="s">
        <v>42</v>
      </c>
      <c r="D144" s="115" t="s">
        <v>1</v>
      </c>
      <c r="E144" s="125">
        <v>1.4201388888888891</v>
      </c>
      <c r="F144" s="115" t="s">
        <v>46</v>
      </c>
      <c r="G144" s="117">
        <v>7</v>
      </c>
      <c r="H144" s="118">
        <v>709</v>
      </c>
    </row>
    <row r="145" spans="1:8" ht="19.8" customHeight="1" x14ac:dyDescent="0.3">
      <c r="A145" s="124">
        <v>45989</v>
      </c>
      <c r="B145" s="115" t="s">
        <v>26</v>
      </c>
      <c r="C145" s="116" t="s">
        <v>36</v>
      </c>
      <c r="D145" s="115" t="s">
        <v>1</v>
      </c>
      <c r="E145" s="125">
        <v>1.756944444444444</v>
      </c>
      <c r="F145" s="115" t="s">
        <v>34</v>
      </c>
      <c r="G145" s="117">
        <v>2</v>
      </c>
      <c r="H145" s="118">
        <v>779</v>
      </c>
    </row>
    <row r="146" spans="1:8" ht="19.8" customHeight="1" x14ac:dyDescent="0.3">
      <c r="A146" s="124">
        <v>45989</v>
      </c>
      <c r="B146" s="115" t="s">
        <v>41</v>
      </c>
      <c r="C146" s="116" t="s">
        <v>42</v>
      </c>
      <c r="D146" s="115" t="s">
        <v>1</v>
      </c>
      <c r="E146" s="125">
        <v>1.4201388888888891</v>
      </c>
      <c r="F146" s="115" t="s">
        <v>49</v>
      </c>
      <c r="G146" s="117">
        <v>7</v>
      </c>
      <c r="H146" s="119" t="s">
        <v>50</v>
      </c>
    </row>
    <row r="147" spans="1:8" ht="19.8" customHeight="1" x14ac:dyDescent="0.3">
      <c r="A147" s="124">
        <v>45989</v>
      </c>
      <c r="B147" s="115" t="s">
        <v>51</v>
      </c>
      <c r="C147" s="116" t="s">
        <v>56</v>
      </c>
      <c r="D147" s="115" t="s">
        <v>1</v>
      </c>
      <c r="E147" s="125">
        <v>1.2222222222222221</v>
      </c>
      <c r="F147" s="115" t="s">
        <v>53</v>
      </c>
      <c r="G147" s="117">
        <v>9</v>
      </c>
      <c r="H147" s="119" t="s">
        <v>61</v>
      </c>
    </row>
    <row r="148" spans="1:8" ht="19.8" customHeight="1" x14ac:dyDescent="0.3">
      <c r="A148" s="124">
        <v>45989</v>
      </c>
      <c r="B148" s="115" t="s">
        <v>64</v>
      </c>
      <c r="C148" s="116" t="s">
        <v>71</v>
      </c>
      <c r="D148" s="115" t="s">
        <v>1</v>
      </c>
      <c r="E148" s="125">
        <v>1.086805555555556</v>
      </c>
      <c r="F148" s="115" t="s">
        <v>66</v>
      </c>
      <c r="G148" s="117">
        <v>9</v>
      </c>
      <c r="H148" s="119" t="s">
        <v>104</v>
      </c>
    </row>
    <row r="149" spans="1:8" ht="19.8" customHeight="1" x14ac:dyDescent="0.3">
      <c r="A149" s="124">
        <v>45989</v>
      </c>
      <c r="B149" s="115" t="s">
        <v>64</v>
      </c>
      <c r="C149" s="116" t="s">
        <v>71</v>
      </c>
      <c r="D149" s="115" t="s">
        <v>1</v>
      </c>
      <c r="E149" s="125">
        <v>1.086805555555556</v>
      </c>
      <c r="F149" s="115" t="s">
        <v>68</v>
      </c>
      <c r="G149" s="117">
        <v>9</v>
      </c>
      <c r="H149" s="119" t="s">
        <v>105</v>
      </c>
    </row>
    <row r="150" spans="1:8" ht="19.8" customHeight="1" x14ac:dyDescent="0.3">
      <c r="A150" s="124">
        <v>45989</v>
      </c>
      <c r="B150" s="115" t="s">
        <v>51</v>
      </c>
      <c r="C150" s="116" t="s">
        <v>52</v>
      </c>
      <c r="D150" s="115" t="s">
        <v>1</v>
      </c>
      <c r="E150" s="125">
        <v>1.0972222222222221</v>
      </c>
      <c r="F150" s="115" t="s">
        <v>53</v>
      </c>
      <c r="G150" s="117">
        <v>9</v>
      </c>
      <c r="H150" s="119" t="s">
        <v>155</v>
      </c>
    </row>
    <row r="151" spans="1:8" ht="19.8" customHeight="1" x14ac:dyDescent="0.3">
      <c r="A151" s="124">
        <v>45989</v>
      </c>
      <c r="B151" s="115" t="s">
        <v>64</v>
      </c>
      <c r="C151" s="116" t="s">
        <v>72</v>
      </c>
      <c r="D151" s="115" t="s">
        <v>1</v>
      </c>
      <c r="E151" s="125">
        <v>1.4201388888888891</v>
      </c>
      <c r="F151" s="115" t="s">
        <v>68</v>
      </c>
      <c r="G151" s="117">
        <v>4</v>
      </c>
      <c r="H151" s="119" t="s">
        <v>118</v>
      </c>
    </row>
    <row r="152" spans="1:8" ht="19.8" customHeight="1" x14ac:dyDescent="0.3">
      <c r="A152" s="124">
        <v>45989</v>
      </c>
      <c r="B152" s="115" t="s">
        <v>51</v>
      </c>
      <c r="C152" s="116" t="s">
        <v>62</v>
      </c>
      <c r="D152" s="115" t="s">
        <v>1</v>
      </c>
      <c r="E152" s="125">
        <v>1.493055555555556</v>
      </c>
      <c r="F152" s="115" t="s">
        <v>53</v>
      </c>
      <c r="G152" s="117">
        <v>1</v>
      </c>
      <c r="H152" s="119" t="s">
        <v>63</v>
      </c>
    </row>
    <row r="153" spans="1:8" ht="19.8" customHeight="1" x14ac:dyDescent="0.3">
      <c r="A153" s="124">
        <v>45989</v>
      </c>
      <c r="B153" s="115" t="s">
        <v>64</v>
      </c>
      <c r="C153" s="116" t="s">
        <v>65</v>
      </c>
      <c r="D153" s="115" t="s">
        <v>1</v>
      </c>
      <c r="E153" s="125">
        <v>1.604166666666667</v>
      </c>
      <c r="F153" s="115" t="s">
        <v>66</v>
      </c>
      <c r="G153" s="117">
        <v>6</v>
      </c>
      <c r="H153" s="119" t="s">
        <v>92</v>
      </c>
    </row>
    <row r="154" spans="1:8" ht="19.8" customHeight="1" x14ac:dyDescent="0.3">
      <c r="A154" s="126">
        <v>45989</v>
      </c>
      <c r="B154" s="127" t="s">
        <v>64</v>
      </c>
      <c r="C154" s="128" t="s">
        <v>65</v>
      </c>
      <c r="D154" s="127" t="s">
        <v>1</v>
      </c>
      <c r="E154" s="129">
        <v>1.604166666666667</v>
      </c>
      <c r="F154" s="127" t="s">
        <v>68</v>
      </c>
      <c r="G154" s="130">
        <v>6</v>
      </c>
      <c r="H154" s="131" t="s">
        <v>94</v>
      </c>
    </row>
    <row r="155" spans="1:8" ht="19.8" customHeight="1" x14ac:dyDescent="0.3">
      <c r="A155" s="124">
        <v>45990</v>
      </c>
      <c r="B155" s="115" t="s">
        <v>41</v>
      </c>
      <c r="C155" s="116" t="s">
        <v>42</v>
      </c>
      <c r="D155" s="115" t="s">
        <v>1</v>
      </c>
      <c r="E155" s="125">
        <v>1.4201388888888891</v>
      </c>
      <c r="F155" s="115" t="s">
        <v>43</v>
      </c>
      <c r="G155" s="117">
        <v>4</v>
      </c>
      <c r="H155" s="118">
        <v>619</v>
      </c>
    </row>
    <row r="156" spans="1:8" ht="19.8" customHeight="1" x14ac:dyDescent="0.3">
      <c r="A156" s="124">
        <v>45990</v>
      </c>
      <c r="B156" s="115" t="s">
        <v>26</v>
      </c>
      <c r="C156" s="116" t="s">
        <v>27</v>
      </c>
      <c r="D156" s="115" t="s">
        <v>1</v>
      </c>
      <c r="E156" s="125">
        <v>1.354166666666667</v>
      </c>
      <c r="F156" s="115" t="s">
        <v>28</v>
      </c>
      <c r="G156" s="117">
        <v>3</v>
      </c>
      <c r="H156" s="118">
        <v>639</v>
      </c>
    </row>
    <row r="157" spans="1:8" ht="19.8" customHeight="1" x14ac:dyDescent="0.3">
      <c r="A157" s="124">
        <v>45990</v>
      </c>
      <c r="B157" s="115" t="s">
        <v>26</v>
      </c>
      <c r="C157" s="116" t="s">
        <v>27</v>
      </c>
      <c r="D157" s="115" t="s">
        <v>1</v>
      </c>
      <c r="E157" s="125">
        <v>1.354166666666667</v>
      </c>
      <c r="F157" s="115" t="s">
        <v>31</v>
      </c>
      <c r="G157" s="117">
        <v>3</v>
      </c>
      <c r="H157" s="118">
        <v>739</v>
      </c>
    </row>
    <row r="158" spans="1:8" ht="19.8" customHeight="1" x14ac:dyDescent="0.3">
      <c r="A158" s="124">
        <v>45990</v>
      </c>
      <c r="B158" s="115" t="s">
        <v>41</v>
      </c>
      <c r="C158" s="116" t="s">
        <v>42</v>
      </c>
      <c r="D158" s="115" t="s">
        <v>1</v>
      </c>
      <c r="E158" s="125">
        <v>1.4201388888888891</v>
      </c>
      <c r="F158" s="115" t="s">
        <v>46</v>
      </c>
      <c r="G158" s="117">
        <v>4</v>
      </c>
      <c r="H158" s="118">
        <v>769</v>
      </c>
    </row>
    <row r="159" spans="1:8" ht="19.8" customHeight="1" x14ac:dyDescent="0.3">
      <c r="A159" s="124">
        <v>45990</v>
      </c>
      <c r="B159" s="115" t="s">
        <v>26</v>
      </c>
      <c r="C159" s="116" t="s">
        <v>27</v>
      </c>
      <c r="D159" s="115" t="s">
        <v>1</v>
      </c>
      <c r="E159" s="125">
        <v>1.354166666666667</v>
      </c>
      <c r="F159" s="115" t="s">
        <v>34</v>
      </c>
      <c r="G159" s="117">
        <v>3</v>
      </c>
      <c r="H159" s="118">
        <v>829</v>
      </c>
    </row>
    <row r="160" spans="1:8" ht="19.8" customHeight="1" x14ac:dyDescent="0.3">
      <c r="A160" s="124">
        <v>45990</v>
      </c>
      <c r="B160" s="115" t="s">
        <v>41</v>
      </c>
      <c r="C160" s="116" t="s">
        <v>42</v>
      </c>
      <c r="D160" s="115" t="s">
        <v>1</v>
      </c>
      <c r="E160" s="125">
        <v>1.4201388888888891</v>
      </c>
      <c r="F160" s="115" t="s">
        <v>49</v>
      </c>
      <c r="G160" s="117">
        <v>4</v>
      </c>
      <c r="H160" s="119" t="s">
        <v>50</v>
      </c>
    </row>
    <row r="161" spans="1:8" ht="19.8" customHeight="1" x14ac:dyDescent="0.3">
      <c r="A161" s="124">
        <v>45990</v>
      </c>
      <c r="B161" s="115" t="s">
        <v>26</v>
      </c>
      <c r="C161" s="116" t="s">
        <v>36</v>
      </c>
      <c r="D161" s="115" t="s">
        <v>1</v>
      </c>
      <c r="E161" s="125">
        <v>1.756944444444444</v>
      </c>
      <c r="F161" s="115" t="s">
        <v>34</v>
      </c>
      <c r="G161" s="117">
        <v>2</v>
      </c>
      <c r="H161" s="119" t="s">
        <v>157</v>
      </c>
    </row>
    <row r="162" spans="1:8" ht="19.8" customHeight="1" x14ac:dyDescent="0.3">
      <c r="A162" s="124">
        <v>45990</v>
      </c>
      <c r="B162" s="115" t="s">
        <v>26</v>
      </c>
      <c r="C162" s="116" t="s">
        <v>36</v>
      </c>
      <c r="D162" s="115" t="s">
        <v>1</v>
      </c>
      <c r="E162" s="125">
        <v>1.756944444444444</v>
      </c>
      <c r="F162" s="115" t="s">
        <v>28</v>
      </c>
      <c r="G162" s="117">
        <v>2</v>
      </c>
      <c r="H162" s="119" t="s">
        <v>158</v>
      </c>
    </row>
    <row r="163" spans="1:8" ht="19.8" customHeight="1" x14ac:dyDescent="0.3">
      <c r="A163" s="124">
        <v>45990</v>
      </c>
      <c r="B163" s="115" t="s">
        <v>26</v>
      </c>
      <c r="C163" s="116" t="s">
        <v>36</v>
      </c>
      <c r="D163" s="115" t="s">
        <v>1</v>
      </c>
      <c r="E163" s="125">
        <v>1.756944444444444</v>
      </c>
      <c r="F163" s="115" t="s">
        <v>31</v>
      </c>
      <c r="G163" s="117">
        <v>2</v>
      </c>
      <c r="H163" s="119" t="s">
        <v>148</v>
      </c>
    </row>
    <row r="164" spans="1:8" ht="19.8" customHeight="1" x14ac:dyDescent="0.3">
      <c r="A164" s="124">
        <v>45990</v>
      </c>
      <c r="B164" s="115" t="s">
        <v>64</v>
      </c>
      <c r="C164" s="116" t="s">
        <v>71</v>
      </c>
      <c r="D164" s="115" t="s">
        <v>1</v>
      </c>
      <c r="E164" s="125">
        <v>1.086805555555556</v>
      </c>
      <c r="F164" s="115" t="s">
        <v>66</v>
      </c>
      <c r="G164" s="117">
        <v>3</v>
      </c>
      <c r="H164" s="119" t="s">
        <v>92</v>
      </c>
    </row>
    <row r="165" spans="1:8" ht="19.8" customHeight="1" x14ac:dyDescent="0.3">
      <c r="A165" s="124">
        <v>45990</v>
      </c>
      <c r="B165" s="115" t="s">
        <v>64</v>
      </c>
      <c r="C165" s="116" t="s">
        <v>72</v>
      </c>
      <c r="D165" s="115" t="s">
        <v>1</v>
      </c>
      <c r="E165" s="125">
        <v>1.4201388888888891</v>
      </c>
      <c r="F165" s="115" t="s">
        <v>68</v>
      </c>
      <c r="G165" s="117">
        <v>4</v>
      </c>
      <c r="H165" s="119" t="s">
        <v>74</v>
      </c>
    </row>
    <row r="166" spans="1:8" ht="19.8" customHeight="1" x14ac:dyDescent="0.3">
      <c r="A166" s="124">
        <v>45990</v>
      </c>
      <c r="B166" s="115" t="s">
        <v>64</v>
      </c>
      <c r="C166" s="116" t="s">
        <v>71</v>
      </c>
      <c r="D166" s="115" t="s">
        <v>1</v>
      </c>
      <c r="E166" s="125">
        <v>1.086805555555556</v>
      </c>
      <c r="F166" s="115" t="s">
        <v>68</v>
      </c>
      <c r="G166" s="117">
        <v>3</v>
      </c>
      <c r="H166" s="119" t="s">
        <v>94</v>
      </c>
    </row>
    <row r="167" spans="1:8" ht="19.8" customHeight="1" x14ac:dyDescent="0.3">
      <c r="A167" s="124">
        <v>45990</v>
      </c>
      <c r="B167" s="115" t="s">
        <v>64</v>
      </c>
      <c r="C167" s="116" t="s">
        <v>75</v>
      </c>
      <c r="D167" s="115" t="s">
        <v>1</v>
      </c>
      <c r="E167" s="125">
        <v>1.7951388888888891</v>
      </c>
      <c r="F167" s="115" t="s">
        <v>66</v>
      </c>
      <c r="G167" s="117">
        <v>1</v>
      </c>
      <c r="H167" s="119" t="s">
        <v>77</v>
      </c>
    </row>
    <row r="168" spans="1:8" ht="19.8" customHeight="1" x14ac:dyDescent="0.3">
      <c r="A168" s="124">
        <v>45990</v>
      </c>
      <c r="B168" s="115" t="s">
        <v>64</v>
      </c>
      <c r="C168" s="116" t="s">
        <v>75</v>
      </c>
      <c r="D168" s="115" t="s">
        <v>1</v>
      </c>
      <c r="E168" s="125">
        <v>1.7951388888888891</v>
      </c>
      <c r="F168" s="115" t="s">
        <v>68</v>
      </c>
      <c r="G168" s="117">
        <v>1</v>
      </c>
      <c r="H168" s="119" t="s">
        <v>79</v>
      </c>
    </row>
    <row r="169" spans="1:8" ht="19.8" customHeight="1" x14ac:dyDescent="0.3">
      <c r="A169" s="132">
        <v>45990</v>
      </c>
      <c r="B169" s="121" t="s">
        <v>80</v>
      </c>
      <c r="C169" s="122" t="s">
        <v>81</v>
      </c>
      <c r="D169" s="121" t="s">
        <v>1</v>
      </c>
      <c r="E169" s="133">
        <v>1.395833333333333</v>
      </c>
      <c r="F169" s="121" t="s">
        <v>82</v>
      </c>
      <c r="G169" s="121"/>
      <c r="H169" s="123" t="s">
        <v>83</v>
      </c>
    </row>
    <row r="170" spans="1:8" ht="19.8" customHeight="1" x14ac:dyDescent="0.3">
      <c r="A170" s="124">
        <v>45991</v>
      </c>
      <c r="B170" s="115" t="s">
        <v>41</v>
      </c>
      <c r="C170" s="116" t="s">
        <v>42</v>
      </c>
      <c r="D170" s="115" t="s">
        <v>1</v>
      </c>
      <c r="E170" s="125">
        <v>1.4201388888888891</v>
      </c>
      <c r="F170" s="115" t="s">
        <v>43</v>
      </c>
      <c r="G170" s="117">
        <v>1</v>
      </c>
      <c r="H170" s="118">
        <v>619</v>
      </c>
    </row>
    <row r="171" spans="1:8" ht="19.8" customHeight="1" x14ac:dyDescent="0.3">
      <c r="A171" s="124">
        <v>45991</v>
      </c>
      <c r="B171" s="115" t="s">
        <v>26</v>
      </c>
      <c r="C171" s="116" t="s">
        <v>36</v>
      </c>
      <c r="D171" s="115" t="s">
        <v>1</v>
      </c>
      <c r="E171" s="125">
        <v>1.756944444444444</v>
      </c>
      <c r="F171" s="115" t="s">
        <v>28</v>
      </c>
      <c r="G171" s="117">
        <v>5</v>
      </c>
      <c r="H171" s="118">
        <v>749</v>
      </c>
    </row>
    <row r="172" spans="1:8" ht="19.8" customHeight="1" x14ac:dyDescent="0.3">
      <c r="A172" s="124">
        <v>45991</v>
      </c>
      <c r="B172" s="115" t="s">
        <v>41</v>
      </c>
      <c r="C172" s="116" t="s">
        <v>42</v>
      </c>
      <c r="D172" s="115" t="s">
        <v>1</v>
      </c>
      <c r="E172" s="125">
        <v>1.4201388888888891</v>
      </c>
      <c r="F172" s="115" t="s">
        <v>46</v>
      </c>
      <c r="G172" s="117">
        <v>1</v>
      </c>
      <c r="H172" s="118">
        <v>769</v>
      </c>
    </row>
    <row r="173" spans="1:8" ht="19.8" customHeight="1" x14ac:dyDescent="0.3">
      <c r="A173" s="124">
        <v>45991</v>
      </c>
      <c r="B173" s="115" t="s">
        <v>26</v>
      </c>
      <c r="C173" s="116" t="s">
        <v>36</v>
      </c>
      <c r="D173" s="115" t="s">
        <v>1</v>
      </c>
      <c r="E173" s="125">
        <v>1.756944444444444</v>
      </c>
      <c r="F173" s="115" t="s">
        <v>31</v>
      </c>
      <c r="G173" s="117">
        <v>5</v>
      </c>
      <c r="H173" s="118">
        <v>849</v>
      </c>
    </row>
    <row r="174" spans="1:8" ht="19.8" customHeight="1" x14ac:dyDescent="0.3">
      <c r="A174" s="124">
        <v>45991</v>
      </c>
      <c r="B174" s="115" t="s">
        <v>26</v>
      </c>
      <c r="C174" s="116" t="s">
        <v>36</v>
      </c>
      <c r="D174" s="115" t="s">
        <v>1</v>
      </c>
      <c r="E174" s="125">
        <v>1.756944444444444</v>
      </c>
      <c r="F174" s="115" t="s">
        <v>34</v>
      </c>
      <c r="G174" s="117">
        <v>5</v>
      </c>
      <c r="H174" s="118">
        <v>939</v>
      </c>
    </row>
    <row r="175" spans="1:8" ht="19.8" customHeight="1" x14ac:dyDescent="0.3">
      <c r="A175" s="124">
        <v>45991</v>
      </c>
      <c r="B175" s="115" t="s">
        <v>41</v>
      </c>
      <c r="C175" s="116" t="s">
        <v>42</v>
      </c>
      <c r="D175" s="115" t="s">
        <v>1</v>
      </c>
      <c r="E175" s="125">
        <v>1.4201388888888891</v>
      </c>
      <c r="F175" s="115" t="s">
        <v>49</v>
      </c>
      <c r="G175" s="117">
        <v>1</v>
      </c>
      <c r="H175" s="119" t="s">
        <v>50</v>
      </c>
    </row>
    <row r="176" spans="1:8" ht="19.8" customHeight="1" x14ac:dyDescent="0.3">
      <c r="A176" s="134">
        <v>45991</v>
      </c>
      <c r="B176" s="135" t="s">
        <v>80</v>
      </c>
      <c r="C176" s="136" t="s">
        <v>142</v>
      </c>
      <c r="D176" s="135" t="s">
        <v>1</v>
      </c>
      <c r="E176" s="137">
        <v>1.9027777777777779</v>
      </c>
      <c r="F176" s="135" t="s">
        <v>129</v>
      </c>
      <c r="G176" s="138">
        <v>5</v>
      </c>
      <c r="H176" s="140" t="s">
        <v>162</v>
      </c>
    </row>
    <row r="177" spans="1:8" ht="19.8" customHeight="1" x14ac:dyDescent="0.3">
      <c r="A177" s="124">
        <v>45991</v>
      </c>
      <c r="B177" s="115" t="s">
        <v>64</v>
      </c>
      <c r="C177" s="116" t="s">
        <v>65</v>
      </c>
      <c r="D177" s="115" t="s">
        <v>1</v>
      </c>
      <c r="E177" s="125">
        <v>1.604166666666667</v>
      </c>
      <c r="F177" s="115" t="s">
        <v>66</v>
      </c>
      <c r="G177" s="117">
        <v>9</v>
      </c>
      <c r="H177" s="119" t="s">
        <v>104</v>
      </c>
    </row>
    <row r="178" spans="1:8" ht="19.8" customHeight="1" x14ac:dyDescent="0.3">
      <c r="A178" s="124">
        <v>45991</v>
      </c>
      <c r="B178" s="115" t="s">
        <v>64</v>
      </c>
      <c r="C178" s="116" t="s">
        <v>65</v>
      </c>
      <c r="D178" s="115" t="s">
        <v>1</v>
      </c>
      <c r="E178" s="125">
        <v>1.604166666666667</v>
      </c>
      <c r="F178" s="115" t="s">
        <v>68</v>
      </c>
      <c r="G178" s="117">
        <v>9</v>
      </c>
      <c r="H178" s="119" t="s">
        <v>105</v>
      </c>
    </row>
    <row r="179" spans="1:8" ht="19.8" customHeight="1" x14ac:dyDescent="0.3">
      <c r="A179" s="124">
        <v>45991</v>
      </c>
      <c r="B179" s="115" t="s">
        <v>51</v>
      </c>
      <c r="C179" s="116" t="s">
        <v>58</v>
      </c>
      <c r="D179" s="115" t="s">
        <v>1</v>
      </c>
      <c r="E179" s="125">
        <v>1.4513888888888891</v>
      </c>
      <c r="F179" s="115" t="s">
        <v>53</v>
      </c>
      <c r="G179" s="117">
        <v>1</v>
      </c>
      <c r="H179" s="119" t="s">
        <v>63</v>
      </c>
    </row>
    <row r="180" spans="1:8" ht="19.8" customHeight="1" x14ac:dyDescent="0.3">
      <c r="A180" s="124">
        <v>45991</v>
      </c>
      <c r="B180" s="115" t="s">
        <v>64</v>
      </c>
      <c r="C180" s="116" t="s">
        <v>75</v>
      </c>
      <c r="D180" s="115" t="s">
        <v>1</v>
      </c>
      <c r="E180" s="125">
        <v>1.7951388888888891</v>
      </c>
      <c r="F180" s="115" t="s">
        <v>66</v>
      </c>
      <c r="G180" s="117">
        <v>5</v>
      </c>
      <c r="H180" s="119" t="s">
        <v>92</v>
      </c>
    </row>
    <row r="181" spans="1:8" ht="19.8" customHeight="1" x14ac:dyDescent="0.3">
      <c r="A181" s="124">
        <v>45991</v>
      </c>
      <c r="B181" s="115" t="s">
        <v>64</v>
      </c>
      <c r="C181" s="116" t="s">
        <v>71</v>
      </c>
      <c r="D181" s="115" t="s">
        <v>1</v>
      </c>
      <c r="E181" s="125">
        <v>1.086805555555556</v>
      </c>
      <c r="F181" s="115" t="s">
        <v>66</v>
      </c>
      <c r="G181" s="117">
        <v>9</v>
      </c>
      <c r="H181" s="119" t="s">
        <v>92</v>
      </c>
    </row>
    <row r="182" spans="1:8" ht="19.8" customHeight="1" x14ac:dyDescent="0.3">
      <c r="A182" s="124">
        <v>45991</v>
      </c>
      <c r="B182" s="115" t="s">
        <v>64</v>
      </c>
      <c r="C182" s="116" t="s">
        <v>72</v>
      </c>
      <c r="D182" s="115" t="s">
        <v>1</v>
      </c>
      <c r="E182" s="125">
        <v>1.4201388888888891</v>
      </c>
      <c r="F182" s="115" t="s">
        <v>68</v>
      </c>
      <c r="G182" s="117">
        <v>4</v>
      </c>
      <c r="H182" s="119" t="s">
        <v>74</v>
      </c>
    </row>
    <row r="183" spans="1:8" ht="19.8" customHeight="1" x14ac:dyDescent="0.3">
      <c r="A183" s="124">
        <v>45991</v>
      </c>
      <c r="B183" s="115" t="s">
        <v>64</v>
      </c>
      <c r="C183" s="116" t="s">
        <v>75</v>
      </c>
      <c r="D183" s="115" t="s">
        <v>1</v>
      </c>
      <c r="E183" s="125">
        <v>1.7951388888888891</v>
      </c>
      <c r="F183" s="115" t="s">
        <v>68</v>
      </c>
      <c r="G183" s="117">
        <v>5</v>
      </c>
      <c r="H183" s="119" t="s">
        <v>94</v>
      </c>
    </row>
    <row r="184" spans="1:8" ht="19.8" customHeight="1" x14ac:dyDescent="0.3">
      <c r="A184" s="126">
        <v>45991</v>
      </c>
      <c r="B184" s="127" t="s">
        <v>64</v>
      </c>
      <c r="C184" s="128" t="s">
        <v>71</v>
      </c>
      <c r="D184" s="127" t="s">
        <v>1</v>
      </c>
      <c r="E184" s="129">
        <v>1.086805555555556</v>
      </c>
      <c r="F184" s="127" t="s">
        <v>68</v>
      </c>
      <c r="G184" s="130">
        <v>9</v>
      </c>
      <c r="H184" s="131" t="s">
        <v>94</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6.5546875" hidden="1" customWidth="1"/>
  </cols>
  <sheetData>
    <row r="1" spans="1:8" ht="18" x14ac:dyDescent="0.3">
      <c r="A1" s="111" t="s">
        <v>268</v>
      </c>
      <c r="B1" s="112" t="s">
        <v>8</v>
      </c>
      <c r="C1" s="112" t="s">
        <v>9</v>
      </c>
      <c r="D1" s="112" t="s">
        <v>269</v>
      </c>
      <c r="E1" s="112" t="s">
        <v>10</v>
      </c>
      <c r="F1" s="112" t="s">
        <v>11</v>
      </c>
      <c r="G1" s="112" t="s">
        <v>12</v>
      </c>
      <c r="H1" s="113" t="s">
        <v>13</v>
      </c>
    </row>
    <row r="2" spans="1:8" ht="19.8" customHeight="1" x14ac:dyDescent="0.3">
      <c r="A2" s="120" t="s">
        <v>270</v>
      </c>
      <c r="B2" s="121" t="s">
        <v>80</v>
      </c>
      <c r="C2" s="122" t="s">
        <v>81</v>
      </c>
      <c r="D2" s="121" t="s">
        <v>1</v>
      </c>
      <c r="E2" s="121" t="s">
        <v>197</v>
      </c>
      <c r="F2" s="121" t="s">
        <v>82</v>
      </c>
      <c r="G2" s="121"/>
      <c r="H2" s="123" t="s">
        <v>83</v>
      </c>
    </row>
    <row r="3" spans="1:8" ht="19.8" customHeight="1" x14ac:dyDescent="0.3">
      <c r="A3" s="124">
        <v>45982</v>
      </c>
      <c r="B3" s="115" t="s">
        <v>26</v>
      </c>
      <c r="C3" s="116" t="s">
        <v>36</v>
      </c>
      <c r="D3" s="115" t="s">
        <v>1</v>
      </c>
      <c r="E3" s="125">
        <v>1.756944444444444</v>
      </c>
      <c r="F3" s="115" t="s">
        <v>28</v>
      </c>
      <c r="G3" s="117">
        <v>9</v>
      </c>
      <c r="H3" s="118">
        <v>689</v>
      </c>
    </row>
    <row r="4" spans="1:8" ht="19.8" customHeight="1" x14ac:dyDescent="0.3">
      <c r="A4" s="124">
        <v>45982</v>
      </c>
      <c r="B4" s="115" t="s">
        <v>41</v>
      </c>
      <c r="C4" s="116" t="s">
        <v>42</v>
      </c>
      <c r="D4" s="115" t="s">
        <v>1</v>
      </c>
      <c r="E4" s="125">
        <v>1.4201388888888891</v>
      </c>
      <c r="F4" s="115" t="s">
        <v>43</v>
      </c>
      <c r="G4" s="117">
        <v>18</v>
      </c>
      <c r="H4" s="118">
        <v>699</v>
      </c>
    </row>
    <row r="5" spans="1:8" ht="19.8" customHeight="1" x14ac:dyDescent="0.3">
      <c r="A5" s="124">
        <v>45982</v>
      </c>
      <c r="B5" s="115" t="s">
        <v>26</v>
      </c>
      <c r="C5" s="116" t="s">
        <v>36</v>
      </c>
      <c r="D5" s="115" t="s">
        <v>1</v>
      </c>
      <c r="E5" s="125">
        <v>1.756944444444444</v>
      </c>
      <c r="F5" s="115" t="s">
        <v>31</v>
      </c>
      <c r="G5" s="117">
        <v>9</v>
      </c>
      <c r="H5" s="118">
        <v>789</v>
      </c>
    </row>
    <row r="6" spans="1:8" ht="19.8" customHeight="1" x14ac:dyDescent="0.3">
      <c r="A6" s="124">
        <v>45982</v>
      </c>
      <c r="B6" s="115" t="s">
        <v>41</v>
      </c>
      <c r="C6" s="116" t="s">
        <v>42</v>
      </c>
      <c r="D6" s="115" t="s">
        <v>1</v>
      </c>
      <c r="E6" s="125">
        <v>1.4201388888888891</v>
      </c>
      <c r="F6" s="115" t="s">
        <v>46</v>
      </c>
      <c r="G6" s="117">
        <v>18</v>
      </c>
      <c r="H6" s="118">
        <v>849</v>
      </c>
    </row>
    <row r="7" spans="1:8" ht="19.8" customHeight="1" x14ac:dyDescent="0.3">
      <c r="A7" s="124">
        <v>45982</v>
      </c>
      <c r="B7" s="115" t="s">
        <v>26</v>
      </c>
      <c r="C7" s="116" t="s">
        <v>36</v>
      </c>
      <c r="D7" s="115" t="s">
        <v>1</v>
      </c>
      <c r="E7" s="125">
        <v>1.756944444444444</v>
      </c>
      <c r="F7" s="115" t="s">
        <v>34</v>
      </c>
      <c r="G7" s="117">
        <v>9</v>
      </c>
      <c r="H7" s="118">
        <v>879</v>
      </c>
    </row>
    <row r="8" spans="1:8" ht="19.8" customHeight="1" x14ac:dyDescent="0.3">
      <c r="A8" s="124">
        <v>45982</v>
      </c>
      <c r="B8" s="115" t="s">
        <v>51</v>
      </c>
      <c r="C8" s="116" t="s">
        <v>62</v>
      </c>
      <c r="D8" s="115" t="s">
        <v>1</v>
      </c>
      <c r="E8" s="125">
        <v>1.493055555555556</v>
      </c>
      <c r="F8" s="115" t="s">
        <v>53</v>
      </c>
      <c r="G8" s="117">
        <v>9</v>
      </c>
      <c r="H8" s="119" t="s">
        <v>90</v>
      </c>
    </row>
    <row r="9" spans="1:8" ht="19.8" customHeight="1" x14ac:dyDescent="0.3">
      <c r="A9" s="124">
        <v>45982</v>
      </c>
      <c r="B9" s="115" t="s">
        <v>51</v>
      </c>
      <c r="C9" s="116" t="s">
        <v>52</v>
      </c>
      <c r="D9" s="115" t="s">
        <v>1</v>
      </c>
      <c r="E9" s="125">
        <v>1.0972222222222221</v>
      </c>
      <c r="F9" s="115" t="s">
        <v>53</v>
      </c>
      <c r="G9" s="117">
        <v>9</v>
      </c>
      <c r="H9" s="119" t="s">
        <v>90</v>
      </c>
    </row>
    <row r="10" spans="1:8" ht="19.8" customHeight="1" x14ac:dyDescent="0.3">
      <c r="A10" s="124">
        <v>45982</v>
      </c>
      <c r="B10" s="115" t="s">
        <v>51</v>
      </c>
      <c r="C10" s="116" t="s">
        <v>56</v>
      </c>
      <c r="D10" s="115" t="s">
        <v>1</v>
      </c>
      <c r="E10" s="125">
        <v>1.2222222222222221</v>
      </c>
      <c r="F10" s="115" t="s">
        <v>53</v>
      </c>
      <c r="G10" s="117">
        <v>9</v>
      </c>
      <c r="H10" s="119" t="s">
        <v>90</v>
      </c>
    </row>
    <row r="11" spans="1:8" ht="19.8" customHeight="1" x14ac:dyDescent="0.3">
      <c r="A11" s="124">
        <v>45982</v>
      </c>
      <c r="B11" s="115" t="s">
        <v>51</v>
      </c>
      <c r="C11" s="116" t="s">
        <v>58</v>
      </c>
      <c r="D11" s="115" t="s">
        <v>1</v>
      </c>
      <c r="E11" s="125">
        <v>1.444444444444444</v>
      </c>
      <c r="F11" s="115" t="s">
        <v>53</v>
      </c>
      <c r="G11" s="117">
        <v>9</v>
      </c>
      <c r="H11" s="119" t="s">
        <v>90</v>
      </c>
    </row>
    <row r="12" spans="1:8" ht="19.8" customHeight="1" x14ac:dyDescent="0.3">
      <c r="A12" s="124">
        <v>45982</v>
      </c>
      <c r="B12" s="115" t="s">
        <v>41</v>
      </c>
      <c r="C12" s="116" t="s">
        <v>42</v>
      </c>
      <c r="D12" s="115" t="s">
        <v>1</v>
      </c>
      <c r="E12" s="125">
        <v>1.4201388888888891</v>
      </c>
      <c r="F12" s="115" t="s">
        <v>49</v>
      </c>
      <c r="G12" s="117">
        <v>18</v>
      </c>
      <c r="H12" s="119" t="s">
        <v>89</v>
      </c>
    </row>
    <row r="13" spans="1:8" ht="19.8" customHeight="1" x14ac:dyDescent="0.3">
      <c r="A13" s="124">
        <v>45982</v>
      </c>
      <c r="B13" s="115" t="s">
        <v>64</v>
      </c>
      <c r="C13" s="116" t="s">
        <v>75</v>
      </c>
      <c r="D13" s="115" t="s">
        <v>1</v>
      </c>
      <c r="E13" s="125">
        <v>1.7951388888888891</v>
      </c>
      <c r="F13" s="115" t="s">
        <v>66</v>
      </c>
      <c r="G13" s="117">
        <v>7</v>
      </c>
      <c r="H13" s="119" t="s">
        <v>92</v>
      </c>
    </row>
    <row r="14" spans="1:8" ht="19.8" customHeight="1" x14ac:dyDescent="0.3">
      <c r="A14" s="124">
        <v>45982</v>
      </c>
      <c r="B14" s="115" t="s">
        <v>64</v>
      </c>
      <c r="C14" s="116" t="s">
        <v>71</v>
      </c>
      <c r="D14" s="115" t="s">
        <v>1</v>
      </c>
      <c r="E14" s="125">
        <v>1.086805555555556</v>
      </c>
      <c r="F14" s="115" t="s">
        <v>66</v>
      </c>
      <c r="G14" s="117">
        <v>6</v>
      </c>
      <c r="H14" s="119" t="s">
        <v>92</v>
      </c>
    </row>
    <row r="15" spans="1:8" ht="19.8" customHeight="1" x14ac:dyDescent="0.3">
      <c r="A15" s="124">
        <v>45982</v>
      </c>
      <c r="B15" s="115" t="s">
        <v>64</v>
      </c>
      <c r="C15" s="116" t="s">
        <v>72</v>
      </c>
      <c r="D15" s="115" t="s">
        <v>1</v>
      </c>
      <c r="E15" s="125">
        <v>1.4201388888888891</v>
      </c>
      <c r="F15" s="115" t="s">
        <v>68</v>
      </c>
      <c r="G15" s="117">
        <v>4</v>
      </c>
      <c r="H15" s="119" t="s">
        <v>74</v>
      </c>
    </row>
    <row r="16" spans="1:8" ht="19.8" customHeight="1" x14ac:dyDescent="0.3">
      <c r="A16" s="124">
        <v>45982</v>
      </c>
      <c r="B16" s="115" t="s">
        <v>64</v>
      </c>
      <c r="C16" s="116" t="s">
        <v>75</v>
      </c>
      <c r="D16" s="115" t="s">
        <v>1</v>
      </c>
      <c r="E16" s="125">
        <v>1.7951388888888891</v>
      </c>
      <c r="F16" s="115" t="s">
        <v>68</v>
      </c>
      <c r="G16" s="117">
        <v>7</v>
      </c>
      <c r="H16" s="119" t="s">
        <v>94</v>
      </c>
    </row>
    <row r="17" spans="1:8" ht="19.8" customHeight="1" x14ac:dyDescent="0.3">
      <c r="A17" s="124">
        <v>45982</v>
      </c>
      <c r="B17" s="115" t="s">
        <v>64</v>
      </c>
      <c r="C17" s="116" t="s">
        <v>71</v>
      </c>
      <c r="D17" s="115" t="s">
        <v>1</v>
      </c>
      <c r="E17" s="125">
        <v>1.086805555555556</v>
      </c>
      <c r="F17" s="115" t="s">
        <v>68</v>
      </c>
      <c r="G17" s="117">
        <v>6</v>
      </c>
      <c r="H17" s="119" t="s">
        <v>94</v>
      </c>
    </row>
    <row r="18" spans="1:8" ht="19.8" customHeight="1" x14ac:dyDescent="0.3">
      <c r="A18" s="124">
        <v>45982</v>
      </c>
      <c r="B18" s="115" t="s">
        <v>64</v>
      </c>
      <c r="C18" s="116" t="s">
        <v>65</v>
      </c>
      <c r="D18" s="115" t="s">
        <v>1</v>
      </c>
      <c r="E18" s="125">
        <v>1.604166666666667</v>
      </c>
      <c r="F18" s="115" t="s">
        <v>66</v>
      </c>
      <c r="G18" s="117">
        <v>4</v>
      </c>
      <c r="H18" s="119" t="s">
        <v>77</v>
      </c>
    </row>
    <row r="19" spans="1:8" ht="19.8" customHeight="1" x14ac:dyDescent="0.3">
      <c r="A19" s="126">
        <v>45982</v>
      </c>
      <c r="B19" s="127" t="s">
        <v>64</v>
      </c>
      <c r="C19" s="128" t="s">
        <v>65</v>
      </c>
      <c r="D19" s="127" t="s">
        <v>1</v>
      </c>
      <c r="E19" s="129">
        <v>1.604166666666667</v>
      </c>
      <c r="F19" s="127" t="s">
        <v>68</v>
      </c>
      <c r="G19" s="130">
        <v>4</v>
      </c>
      <c r="H19" s="131" t="s">
        <v>79</v>
      </c>
    </row>
    <row r="20" spans="1:8" ht="19.8" customHeight="1" x14ac:dyDescent="0.3">
      <c r="A20" s="132">
        <v>45983</v>
      </c>
      <c r="B20" s="121" t="s">
        <v>80</v>
      </c>
      <c r="C20" s="122" t="s">
        <v>81</v>
      </c>
      <c r="D20" s="121" t="s">
        <v>1</v>
      </c>
      <c r="E20" s="133">
        <v>1.395833333333333</v>
      </c>
      <c r="F20" s="121" t="s">
        <v>82</v>
      </c>
      <c r="G20" s="121"/>
      <c r="H20" s="123" t="s">
        <v>83</v>
      </c>
    </row>
    <row r="21" spans="1:8" ht="19.8" customHeight="1" x14ac:dyDescent="0.3">
      <c r="A21" s="132">
        <v>45984</v>
      </c>
      <c r="B21" s="121" t="s">
        <v>80</v>
      </c>
      <c r="C21" s="122" t="s">
        <v>81</v>
      </c>
      <c r="D21" s="121" t="s">
        <v>1</v>
      </c>
      <c r="E21" s="133">
        <v>1.9027777777777779</v>
      </c>
      <c r="F21" s="121" t="s">
        <v>82</v>
      </c>
      <c r="G21" s="121"/>
      <c r="H21" s="123" t="s">
        <v>83</v>
      </c>
    </row>
    <row r="22" spans="1:8" ht="19.8" customHeight="1" x14ac:dyDescent="0.3">
      <c r="A22" s="124">
        <v>45985</v>
      </c>
      <c r="B22" s="115" t="s">
        <v>41</v>
      </c>
      <c r="C22" s="116" t="s">
        <v>42</v>
      </c>
      <c r="D22" s="115" t="s">
        <v>1</v>
      </c>
      <c r="E22" s="125">
        <v>1.4201388888888891</v>
      </c>
      <c r="F22" s="115" t="s">
        <v>43</v>
      </c>
      <c r="G22" s="117">
        <v>7</v>
      </c>
      <c r="H22" s="118">
        <v>619</v>
      </c>
    </row>
    <row r="23" spans="1:8" ht="19.8" customHeight="1" x14ac:dyDescent="0.3">
      <c r="A23" s="124">
        <v>45985</v>
      </c>
      <c r="B23" s="115" t="s">
        <v>26</v>
      </c>
      <c r="C23" s="116" t="s">
        <v>27</v>
      </c>
      <c r="D23" s="115" t="s">
        <v>1</v>
      </c>
      <c r="E23" s="125">
        <v>1.354166666666667</v>
      </c>
      <c r="F23" s="115" t="s">
        <v>28</v>
      </c>
      <c r="G23" s="117">
        <v>9</v>
      </c>
      <c r="H23" s="118">
        <v>689</v>
      </c>
    </row>
    <row r="24" spans="1:8" ht="19.8" customHeight="1" x14ac:dyDescent="0.3">
      <c r="A24" s="124">
        <v>45985</v>
      </c>
      <c r="B24" s="115" t="s">
        <v>41</v>
      </c>
      <c r="C24" s="116" t="s">
        <v>42</v>
      </c>
      <c r="D24" s="115" t="s">
        <v>1</v>
      </c>
      <c r="E24" s="125">
        <v>1.4201388888888891</v>
      </c>
      <c r="F24" s="115" t="s">
        <v>46</v>
      </c>
      <c r="G24" s="117">
        <v>7</v>
      </c>
      <c r="H24" s="118">
        <v>769</v>
      </c>
    </row>
    <row r="25" spans="1:8" ht="19.8" customHeight="1" x14ac:dyDescent="0.3">
      <c r="A25" s="124">
        <v>45985</v>
      </c>
      <c r="B25" s="115" t="s">
        <v>26</v>
      </c>
      <c r="C25" s="116" t="s">
        <v>27</v>
      </c>
      <c r="D25" s="115" t="s">
        <v>1</v>
      </c>
      <c r="E25" s="125">
        <v>1.354166666666667</v>
      </c>
      <c r="F25" s="115" t="s">
        <v>31</v>
      </c>
      <c r="G25" s="117">
        <v>9</v>
      </c>
      <c r="H25" s="118">
        <v>789</v>
      </c>
    </row>
    <row r="26" spans="1:8" ht="19.8" customHeight="1" x14ac:dyDescent="0.3">
      <c r="A26" s="124">
        <v>45985</v>
      </c>
      <c r="B26" s="115" t="s">
        <v>26</v>
      </c>
      <c r="C26" s="116" t="s">
        <v>27</v>
      </c>
      <c r="D26" s="115" t="s">
        <v>1</v>
      </c>
      <c r="E26" s="125">
        <v>1.354166666666667</v>
      </c>
      <c r="F26" s="115" t="s">
        <v>34</v>
      </c>
      <c r="G26" s="117">
        <v>9</v>
      </c>
      <c r="H26" s="118">
        <v>879</v>
      </c>
    </row>
    <row r="27" spans="1:8" ht="19.8" customHeight="1" x14ac:dyDescent="0.3">
      <c r="A27" s="124">
        <v>45985</v>
      </c>
      <c r="B27" s="115" t="s">
        <v>51</v>
      </c>
      <c r="C27" s="116" t="s">
        <v>56</v>
      </c>
      <c r="D27" s="115" t="s">
        <v>1</v>
      </c>
      <c r="E27" s="125">
        <v>1.2222222222222221</v>
      </c>
      <c r="F27" s="115" t="s">
        <v>53</v>
      </c>
      <c r="G27" s="117">
        <v>9</v>
      </c>
      <c r="H27" s="118">
        <v>902</v>
      </c>
    </row>
    <row r="28" spans="1:8" ht="19.8" customHeight="1" x14ac:dyDescent="0.3">
      <c r="A28" s="124">
        <v>45985</v>
      </c>
      <c r="B28" s="115" t="s">
        <v>26</v>
      </c>
      <c r="C28" s="116" t="s">
        <v>36</v>
      </c>
      <c r="D28" s="115" t="s">
        <v>1</v>
      </c>
      <c r="E28" s="125">
        <v>1.756944444444444</v>
      </c>
      <c r="F28" s="115" t="s">
        <v>28</v>
      </c>
      <c r="G28" s="117">
        <v>3</v>
      </c>
      <c r="H28" s="118">
        <v>939</v>
      </c>
    </row>
    <row r="29" spans="1:8" ht="19.8" customHeight="1" x14ac:dyDescent="0.3">
      <c r="A29" s="124">
        <v>45985</v>
      </c>
      <c r="B29" s="115" t="s">
        <v>26</v>
      </c>
      <c r="C29" s="116" t="s">
        <v>36</v>
      </c>
      <c r="D29" s="115" t="s">
        <v>1</v>
      </c>
      <c r="E29" s="125">
        <v>1.756944444444444</v>
      </c>
      <c r="F29" s="115" t="s">
        <v>31</v>
      </c>
      <c r="G29" s="117">
        <v>3</v>
      </c>
      <c r="H29" s="119" t="s">
        <v>116</v>
      </c>
    </row>
    <row r="30" spans="1:8" ht="19.8" customHeight="1" x14ac:dyDescent="0.3">
      <c r="A30" s="124">
        <v>45985</v>
      </c>
      <c r="B30" s="115" t="s">
        <v>41</v>
      </c>
      <c r="C30" s="116" t="s">
        <v>42</v>
      </c>
      <c r="D30" s="115" t="s">
        <v>1</v>
      </c>
      <c r="E30" s="125">
        <v>1.4201388888888891</v>
      </c>
      <c r="F30" s="115" t="s">
        <v>49</v>
      </c>
      <c r="G30" s="117">
        <v>7</v>
      </c>
      <c r="H30" s="119" t="s">
        <v>50</v>
      </c>
    </row>
    <row r="31" spans="1:8" ht="19.8" customHeight="1" x14ac:dyDescent="0.3">
      <c r="A31" s="124">
        <v>45985</v>
      </c>
      <c r="B31" s="115" t="s">
        <v>26</v>
      </c>
      <c r="C31" s="116" t="s">
        <v>36</v>
      </c>
      <c r="D31" s="115" t="s">
        <v>1</v>
      </c>
      <c r="E31" s="125">
        <v>1.756944444444444</v>
      </c>
      <c r="F31" s="115" t="s">
        <v>34</v>
      </c>
      <c r="G31" s="117">
        <v>3</v>
      </c>
      <c r="H31" s="119" t="s">
        <v>117</v>
      </c>
    </row>
    <row r="32" spans="1:8" ht="19.8" customHeight="1" x14ac:dyDescent="0.3">
      <c r="A32" s="124">
        <v>45985</v>
      </c>
      <c r="B32" s="115" t="s">
        <v>64</v>
      </c>
      <c r="C32" s="116" t="s">
        <v>71</v>
      </c>
      <c r="D32" s="115" t="s">
        <v>1</v>
      </c>
      <c r="E32" s="125">
        <v>1.086805555555556</v>
      </c>
      <c r="F32" s="115" t="s">
        <v>66</v>
      </c>
      <c r="G32" s="117">
        <v>9</v>
      </c>
      <c r="H32" s="119" t="s">
        <v>104</v>
      </c>
    </row>
    <row r="33" spans="1:8" ht="19.8" customHeight="1" x14ac:dyDescent="0.3">
      <c r="A33" s="124">
        <v>45985</v>
      </c>
      <c r="B33" s="115" t="s">
        <v>64</v>
      </c>
      <c r="C33" s="116" t="s">
        <v>71</v>
      </c>
      <c r="D33" s="115" t="s">
        <v>1</v>
      </c>
      <c r="E33" s="125">
        <v>1.086805555555556</v>
      </c>
      <c r="F33" s="115" t="s">
        <v>68</v>
      </c>
      <c r="G33" s="117">
        <v>9</v>
      </c>
      <c r="H33" s="119" t="s">
        <v>105</v>
      </c>
    </row>
    <row r="34" spans="1:8" ht="19.8" customHeight="1" x14ac:dyDescent="0.3">
      <c r="A34" s="124">
        <v>45985</v>
      </c>
      <c r="B34" s="115" t="s">
        <v>64</v>
      </c>
      <c r="C34" s="116" t="s">
        <v>72</v>
      </c>
      <c r="D34" s="115" t="s">
        <v>1</v>
      </c>
      <c r="E34" s="125">
        <v>1.4201388888888891</v>
      </c>
      <c r="F34" s="115" t="s">
        <v>68</v>
      </c>
      <c r="G34" s="117">
        <v>4</v>
      </c>
      <c r="H34" s="119" t="s">
        <v>118</v>
      </c>
    </row>
    <row r="35" spans="1:8" ht="19.8" customHeight="1" x14ac:dyDescent="0.3">
      <c r="A35" s="126">
        <v>45985</v>
      </c>
      <c r="B35" s="127" t="s">
        <v>51</v>
      </c>
      <c r="C35" s="128" t="s">
        <v>62</v>
      </c>
      <c r="D35" s="127" t="s">
        <v>1</v>
      </c>
      <c r="E35" s="129">
        <v>1.493055555555556</v>
      </c>
      <c r="F35" s="127" t="s">
        <v>53</v>
      </c>
      <c r="G35" s="130">
        <v>2</v>
      </c>
      <c r="H35" s="131" t="s">
        <v>63</v>
      </c>
    </row>
    <row r="36" spans="1:8" ht="19.8" customHeight="1" x14ac:dyDescent="0.3">
      <c r="A36" s="124">
        <v>45986</v>
      </c>
      <c r="B36" s="115" t="s">
        <v>26</v>
      </c>
      <c r="C36" s="116" t="s">
        <v>36</v>
      </c>
      <c r="D36" s="115" t="s">
        <v>1</v>
      </c>
      <c r="E36" s="125">
        <v>1.756944444444444</v>
      </c>
      <c r="F36" s="115" t="s">
        <v>31</v>
      </c>
      <c r="G36" s="117">
        <v>8</v>
      </c>
      <c r="H36" s="118">
        <v>739</v>
      </c>
    </row>
    <row r="37" spans="1:8" ht="19.8" customHeight="1" x14ac:dyDescent="0.3">
      <c r="A37" s="134">
        <v>45986</v>
      </c>
      <c r="B37" s="135" t="s">
        <v>80</v>
      </c>
      <c r="C37" s="136" t="s">
        <v>128</v>
      </c>
      <c r="D37" s="135" t="s">
        <v>1</v>
      </c>
      <c r="E37" s="137">
        <v>1.2777777777777779</v>
      </c>
      <c r="F37" s="135" t="s">
        <v>129</v>
      </c>
      <c r="G37" s="138">
        <v>5</v>
      </c>
      <c r="H37" s="139">
        <v>836</v>
      </c>
    </row>
    <row r="38" spans="1:8" ht="19.8" customHeight="1" x14ac:dyDescent="0.3">
      <c r="A38" s="134">
        <v>45986</v>
      </c>
      <c r="B38" s="135" t="s">
        <v>80</v>
      </c>
      <c r="C38" s="136" t="s">
        <v>136</v>
      </c>
      <c r="D38" s="135" t="s">
        <v>1</v>
      </c>
      <c r="E38" s="137">
        <v>1.0486111111111109</v>
      </c>
      <c r="F38" s="135" t="s">
        <v>129</v>
      </c>
      <c r="G38" s="138">
        <v>8</v>
      </c>
      <c r="H38" s="139">
        <v>914</v>
      </c>
    </row>
    <row r="39" spans="1:8" ht="19.8" customHeight="1" x14ac:dyDescent="0.3">
      <c r="A39" s="124">
        <v>45986</v>
      </c>
      <c r="B39" s="115" t="s">
        <v>51</v>
      </c>
      <c r="C39" s="116" t="s">
        <v>52</v>
      </c>
      <c r="D39" s="115" t="s">
        <v>1</v>
      </c>
      <c r="E39" s="125">
        <v>1.0972222222222221</v>
      </c>
      <c r="F39" s="115" t="s">
        <v>53</v>
      </c>
      <c r="G39" s="117">
        <v>9</v>
      </c>
      <c r="H39" s="119" t="s">
        <v>101</v>
      </c>
    </row>
    <row r="40" spans="1:8" ht="19.8" customHeight="1" x14ac:dyDescent="0.3">
      <c r="A40" s="134">
        <v>45986</v>
      </c>
      <c r="B40" s="135" t="s">
        <v>80</v>
      </c>
      <c r="C40" s="136" t="s">
        <v>142</v>
      </c>
      <c r="D40" s="135" t="s">
        <v>1</v>
      </c>
      <c r="E40" s="137">
        <v>1.979166666666667</v>
      </c>
      <c r="F40" s="135" t="s">
        <v>129</v>
      </c>
      <c r="G40" s="138">
        <v>1</v>
      </c>
      <c r="H40" s="140" t="s">
        <v>143</v>
      </c>
    </row>
    <row r="41" spans="1:8" ht="19.8" customHeight="1" x14ac:dyDescent="0.3">
      <c r="A41" s="124">
        <v>45986</v>
      </c>
      <c r="B41" s="115" t="s">
        <v>51</v>
      </c>
      <c r="C41" s="116" t="s">
        <v>62</v>
      </c>
      <c r="D41" s="115" t="s">
        <v>1</v>
      </c>
      <c r="E41" s="125">
        <v>1.493055555555556</v>
      </c>
      <c r="F41" s="115" t="s">
        <v>53</v>
      </c>
      <c r="G41" s="117">
        <v>9</v>
      </c>
      <c r="H41" s="119" t="s">
        <v>90</v>
      </c>
    </row>
    <row r="42" spans="1:8" ht="19.8" customHeight="1" x14ac:dyDescent="0.3">
      <c r="A42" s="124">
        <v>45986</v>
      </c>
      <c r="B42" s="115" t="s">
        <v>51</v>
      </c>
      <c r="C42" s="116" t="s">
        <v>56</v>
      </c>
      <c r="D42" s="115" t="s">
        <v>1</v>
      </c>
      <c r="E42" s="125">
        <v>1.2222222222222221</v>
      </c>
      <c r="F42" s="115" t="s">
        <v>53</v>
      </c>
      <c r="G42" s="117">
        <v>9</v>
      </c>
      <c r="H42" s="119" t="s">
        <v>90</v>
      </c>
    </row>
    <row r="43" spans="1:8" ht="19.8" customHeight="1" x14ac:dyDescent="0.3">
      <c r="A43" s="126">
        <v>45986</v>
      </c>
      <c r="B43" s="127" t="s">
        <v>51</v>
      </c>
      <c r="C43" s="128" t="s">
        <v>58</v>
      </c>
      <c r="D43" s="127" t="s">
        <v>1</v>
      </c>
      <c r="E43" s="129">
        <v>1.444444444444444</v>
      </c>
      <c r="F43" s="127" t="s">
        <v>53</v>
      </c>
      <c r="G43" s="130">
        <v>9</v>
      </c>
      <c r="H43" s="131" t="s">
        <v>90</v>
      </c>
    </row>
    <row r="44" spans="1:8" ht="19.8" customHeight="1" x14ac:dyDescent="0.3">
      <c r="A44" s="124">
        <v>45987</v>
      </c>
      <c r="B44" s="115" t="s">
        <v>51</v>
      </c>
      <c r="C44" s="116" t="s">
        <v>56</v>
      </c>
      <c r="D44" s="115" t="s">
        <v>1</v>
      </c>
      <c r="E44" s="125">
        <v>1.2222222222222221</v>
      </c>
      <c r="F44" s="115" t="s">
        <v>53</v>
      </c>
      <c r="G44" s="117">
        <v>9</v>
      </c>
      <c r="H44" s="118">
        <v>586</v>
      </c>
    </row>
    <row r="45" spans="1:8" ht="19.8" customHeight="1" x14ac:dyDescent="0.3">
      <c r="A45" s="124">
        <v>45987</v>
      </c>
      <c r="B45" s="115" t="s">
        <v>41</v>
      </c>
      <c r="C45" s="116" t="s">
        <v>42</v>
      </c>
      <c r="D45" s="115" t="s">
        <v>1</v>
      </c>
      <c r="E45" s="125">
        <v>1.4201388888888891</v>
      </c>
      <c r="F45" s="115" t="s">
        <v>43</v>
      </c>
      <c r="G45" s="117">
        <v>8</v>
      </c>
      <c r="H45" s="118">
        <v>619</v>
      </c>
    </row>
    <row r="46" spans="1:8" ht="19.8" customHeight="1" x14ac:dyDescent="0.3">
      <c r="A46" s="124">
        <v>45987</v>
      </c>
      <c r="B46" s="115" t="s">
        <v>26</v>
      </c>
      <c r="C46" s="116" t="s">
        <v>36</v>
      </c>
      <c r="D46" s="115" t="s">
        <v>1</v>
      </c>
      <c r="E46" s="125">
        <v>1.756944444444444</v>
      </c>
      <c r="F46" s="115" t="s">
        <v>28</v>
      </c>
      <c r="G46" s="117">
        <v>1</v>
      </c>
      <c r="H46" s="118">
        <v>639</v>
      </c>
    </row>
    <row r="47" spans="1:8" ht="19.8" customHeight="1" x14ac:dyDescent="0.3">
      <c r="A47" s="124">
        <v>45987</v>
      </c>
      <c r="B47" s="115" t="s">
        <v>26</v>
      </c>
      <c r="C47" s="116" t="s">
        <v>36</v>
      </c>
      <c r="D47" s="115" t="s">
        <v>1</v>
      </c>
      <c r="E47" s="125">
        <v>1.756944444444444</v>
      </c>
      <c r="F47" s="115" t="s">
        <v>31</v>
      </c>
      <c r="G47" s="117">
        <v>1</v>
      </c>
      <c r="H47" s="118">
        <v>739</v>
      </c>
    </row>
    <row r="48" spans="1:8" ht="19.8" customHeight="1" x14ac:dyDescent="0.3">
      <c r="A48" s="124">
        <v>45987</v>
      </c>
      <c r="B48" s="115" t="s">
        <v>41</v>
      </c>
      <c r="C48" s="116" t="s">
        <v>42</v>
      </c>
      <c r="D48" s="115" t="s">
        <v>1</v>
      </c>
      <c r="E48" s="125">
        <v>1.4201388888888891</v>
      </c>
      <c r="F48" s="115" t="s">
        <v>46</v>
      </c>
      <c r="G48" s="117">
        <v>8</v>
      </c>
      <c r="H48" s="118">
        <v>769</v>
      </c>
    </row>
    <row r="49" spans="1:8" ht="19.8" customHeight="1" x14ac:dyDescent="0.3">
      <c r="A49" s="124">
        <v>45987</v>
      </c>
      <c r="B49" s="115" t="s">
        <v>41</v>
      </c>
      <c r="C49" s="116" t="s">
        <v>42</v>
      </c>
      <c r="D49" s="115" t="s">
        <v>1</v>
      </c>
      <c r="E49" s="125">
        <v>1.4201388888888891</v>
      </c>
      <c r="F49" s="115" t="s">
        <v>49</v>
      </c>
      <c r="G49" s="117">
        <v>8</v>
      </c>
      <c r="H49" s="118">
        <v>799</v>
      </c>
    </row>
    <row r="50" spans="1:8" ht="19.8" customHeight="1" x14ac:dyDescent="0.3">
      <c r="A50" s="124">
        <v>45987</v>
      </c>
      <c r="B50" s="115" t="s">
        <v>26</v>
      </c>
      <c r="C50" s="116" t="s">
        <v>36</v>
      </c>
      <c r="D50" s="115" t="s">
        <v>1</v>
      </c>
      <c r="E50" s="125">
        <v>1.756944444444444</v>
      </c>
      <c r="F50" s="115" t="s">
        <v>34</v>
      </c>
      <c r="G50" s="117">
        <v>1</v>
      </c>
      <c r="H50" s="118">
        <v>829</v>
      </c>
    </row>
    <row r="51" spans="1:8" ht="19.8" customHeight="1" x14ac:dyDescent="0.3">
      <c r="A51" s="124">
        <v>45987</v>
      </c>
      <c r="B51" s="115" t="s">
        <v>64</v>
      </c>
      <c r="C51" s="116" t="s">
        <v>65</v>
      </c>
      <c r="D51" s="115" t="s">
        <v>1</v>
      </c>
      <c r="E51" s="125">
        <v>1.604166666666667</v>
      </c>
      <c r="F51" s="115" t="s">
        <v>66</v>
      </c>
      <c r="G51" s="117">
        <v>9</v>
      </c>
      <c r="H51" s="119" t="s">
        <v>104</v>
      </c>
    </row>
    <row r="52" spans="1:8" ht="19.8" customHeight="1" x14ac:dyDescent="0.3">
      <c r="A52" s="124">
        <v>45987</v>
      </c>
      <c r="B52" s="115" t="s">
        <v>64</v>
      </c>
      <c r="C52" s="116" t="s">
        <v>75</v>
      </c>
      <c r="D52" s="115" t="s">
        <v>1</v>
      </c>
      <c r="E52" s="125">
        <v>1.7951388888888891</v>
      </c>
      <c r="F52" s="115" t="s">
        <v>66</v>
      </c>
      <c r="G52" s="117">
        <v>9</v>
      </c>
      <c r="H52" s="119" t="s">
        <v>104</v>
      </c>
    </row>
    <row r="53" spans="1:8" ht="19.8" customHeight="1" x14ac:dyDescent="0.3">
      <c r="A53" s="124">
        <v>45987</v>
      </c>
      <c r="B53" s="115" t="s">
        <v>64</v>
      </c>
      <c r="C53" s="116" t="s">
        <v>71</v>
      </c>
      <c r="D53" s="115" t="s">
        <v>1</v>
      </c>
      <c r="E53" s="125">
        <v>1.086805555555556</v>
      </c>
      <c r="F53" s="115" t="s">
        <v>66</v>
      </c>
      <c r="G53" s="117">
        <v>9</v>
      </c>
      <c r="H53" s="119" t="s">
        <v>104</v>
      </c>
    </row>
    <row r="54" spans="1:8" ht="19.8" customHeight="1" x14ac:dyDescent="0.3">
      <c r="A54" s="124">
        <v>45987</v>
      </c>
      <c r="B54" s="115" t="s">
        <v>64</v>
      </c>
      <c r="C54" s="116" t="s">
        <v>65</v>
      </c>
      <c r="D54" s="115" t="s">
        <v>1</v>
      </c>
      <c r="E54" s="125">
        <v>1.604166666666667</v>
      </c>
      <c r="F54" s="115" t="s">
        <v>68</v>
      </c>
      <c r="G54" s="117">
        <v>9</v>
      </c>
      <c r="H54" s="119" t="s">
        <v>105</v>
      </c>
    </row>
    <row r="55" spans="1:8" ht="19.8" customHeight="1" x14ac:dyDescent="0.3">
      <c r="A55" s="124">
        <v>45987</v>
      </c>
      <c r="B55" s="115" t="s">
        <v>64</v>
      </c>
      <c r="C55" s="116" t="s">
        <v>75</v>
      </c>
      <c r="D55" s="115" t="s">
        <v>1</v>
      </c>
      <c r="E55" s="125">
        <v>1.7951388888888891</v>
      </c>
      <c r="F55" s="115" t="s">
        <v>68</v>
      </c>
      <c r="G55" s="117">
        <v>9</v>
      </c>
      <c r="H55" s="119" t="s">
        <v>105</v>
      </c>
    </row>
    <row r="56" spans="1:8" ht="19.8" customHeight="1" x14ac:dyDescent="0.3">
      <c r="A56" s="124">
        <v>45987</v>
      </c>
      <c r="B56" s="115" t="s">
        <v>64</v>
      </c>
      <c r="C56" s="116" t="s">
        <v>71</v>
      </c>
      <c r="D56" s="115" t="s">
        <v>1</v>
      </c>
      <c r="E56" s="125">
        <v>1.086805555555556</v>
      </c>
      <c r="F56" s="115" t="s">
        <v>68</v>
      </c>
      <c r="G56" s="117">
        <v>9</v>
      </c>
      <c r="H56" s="119" t="s">
        <v>105</v>
      </c>
    </row>
    <row r="57" spans="1:8" ht="19.8" customHeight="1" x14ac:dyDescent="0.3">
      <c r="A57" s="124">
        <v>45987</v>
      </c>
      <c r="B57" s="115" t="s">
        <v>64</v>
      </c>
      <c r="C57" s="116" t="s">
        <v>72</v>
      </c>
      <c r="D57" s="115" t="s">
        <v>1</v>
      </c>
      <c r="E57" s="125">
        <v>1.4201388888888891</v>
      </c>
      <c r="F57" s="115" t="s">
        <v>68</v>
      </c>
      <c r="G57" s="117">
        <v>4</v>
      </c>
      <c r="H57" s="119" t="s">
        <v>118</v>
      </c>
    </row>
    <row r="58" spans="1:8" ht="19.8" customHeight="1" x14ac:dyDescent="0.3">
      <c r="A58" s="124">
        <v>45987</v>
      </c>
      <c r="B58" s="115" t="s">
        <v>51</v>
      </c>
      <c r="C58" s="116" t="s">
        <v>59</v>
      </c>
      <c r="D58" s="115" t="s">
        <v>1</v>
      </c>
      <c r="E58" s="125">
        <v>1.8472222222222221</v>
      </c>
      <c r="F58" s="115" t="s">
        <v>53</v>
      </c>
      <c r="G58" s="117">
        <v>2</v>
      </c>
      <c r="H58" s="119" t="s">
        <v>63</v>
      </c>
    </row>
    <row r="59" spans="1:8" ht="19.8" customHeight="1" x14ac:dyDescent="0.3">
      <c r="A59" s="126">
        <v>45987</v>
      </c>
      <c r="B59" s="127" t="s">
        <v>51</v>
      </c>
      <c r="C59" s="128" t="s">
        <v>58</v>
      </c>
      <c r="D59" s="127" t="s">
        <v>1</v>
      </c>
      <c r="E59" s="129">
        <v>1.444444444444444</v>
      </c>
      <c r="F59" s="127" t="s">
        <v>53</v>
      </c>
      <c r="G59" s="130">
        <v>9</v>
      </c>
      <c r="H59" s="131" t="s">
        <v>63</v>
      </c>
    </row>
    <row r="60" spans="1:8" ht="19.8" customHeight="1" x14ac:dyDescent="0.3">
      <c r="A60" s="132">
        <v>45988</v>
      </c>
      <c r="B60" s="121" t="s">
        <v>80</v>
      </c>
      <c r="C60" s="122" t="s">
        <v>81</v>
      </c>
      <c r="D60" s="121" t="s">
        <v>1</v>
      </c>
      <c r="E60" s="133">
        <v>1.538194444444444</v>
      </c>
      <c r="F60" s="121" t="s">
        <v>82</v>
      </c>
      <c r="G60" s="121"/>
      <c r="H60" s="123" t="s">
        <v>83</v>
      </c>
    </row>
    <row r="61" spans="1:8" ht="19.8" customHeight="1" x14ac:dyDescent="0.3">
      <c r="A61" s="124">
        <v>45989</v>
      </c>
      <c r="B61" s="115" t="s">
        <v>41</v>
      </c>
      <c r="C61" s="116" t="s">
        <v>42</v>
      </c>
      <c r="D61" s="115" t="s">
        <v>1</v>
      </c>
      <c r="E61" s="125">
        <v>1.4201388888888891</v>
      </c>
      <c r="F61" s="115" t="s">
        <v>43</v>
      </c>
      <c r="G61" s="117">
        <v>7</v>
      </c>
      <c r="H61" s="118">
        <v>559</v>
      </c>
    </row>
    <row r="62" spans="1:8" ht="19.8" customHeight="1" x14ac:dyDescent="0.3">
      <c r="A62" s="124">
        <v>45989</v>
      </c>
      <c r="B62" s="115" t="s">
        <v>26</v>
      </c>
      <c r="C62" s="116" t="s">
        <v>36</v>
      </c>
      <c r="D62" s="115" t="s">
        <v>1</v>
      </c>
      <c r="E62" s="125">
        <v>1.756944444444444</v>
      </c>
      <c r="F62" s="115" t="s">
        <v>28</v>
      </c>
      <c r="G62" s="117">
        <v>2</v>
      </c>
      <c r="H62" s="118">
        <v>589</v>
      </c>
    </row>
    <row r="63" spans="1:8" ht="19.8" customHeight="1" x14ac:dyDescent="0.3">
      <c r="A63" s="124">
        <v>45989</v>
      </c>
      <c r="B63" s="115" t="s">
        <v>26</v>
      </c>
      <c r="C63" s="116" t="s">
        <v>36</v>
      </c>
      <c r="D63" s="115" t="s">
        <v>1</v>
      </c>
      <c r="E63" s="125">
        <v>1.756944444444444</v>
      </c>
      <c r="F63" s="115" t="s">
        <v>31</v>
      </c>
      <c r="G63" s="117">
        <v>2</v>
      </c>
      <c r="H63" s="118">
        <v>689</v>
      </c>
    </row>
    <row r="64" spans="1:8" ht="19.8" customHeight="1" x14ac:dyDescent="0.3">
      <c r="A64" s="124">
        <v>45989</v>
      </c>
      <c r="B64" s="115" t="s">
        <v>41</v>
      </c>
      <c r="C64" s="116" t="s">
        <v>42</v>
      </c>
      <c r="D64" s="115" t="s">
        <v>1</v>
      </c>
      <c r="E64" s="125">
        <v>1.4201388888888891</v>
      </c>
      <c r="F64" s="115" t="s">
        <v>46</v>
      </c>
      <c r="G64" s="117">
        <v>7</v>
      </c>
      <c r="H64" s="118">
        <v>709</v>
      </c>
    </row>
    <row r="65" spans="1:8" ht="19.8" customHeight="1" x14ac:dyDescent="0.3">
      <c r="A65" s="124">
        <v>45989</v>
      </c>
      <c r="B65" s="115" t="s">
        <v>26</v>
      </c>
      <c r="C65" s="116" t="s">
        <v>36</v>
      </c>
      <c r="D65" s="115" t="s">
        <v>1</v>
      </c>
      <c r="E65" s="125">
        <v>1.756944444444444</v>
      </c>
      <c r="F65" s="115" t="s">
        <v>34</v>
      </c>
      <c r="G65" s="117">
        <v>2</v>
      </c>
      <c r="H65" s="118">
        <v>779</v>
      </c>
    </row>
    <row r="66" spans="1:8" ht="19.8" customHeight="1" x14ac:dyDescent="0.3">
      <c r="A66" s="124">
        <v>45989</v>
      </c>
      <c r="B66" s="115" t="s">
        <v>41</v>
      </c>
      <c r="C66" s="116" t="s">
        <v>42</v>
      </c>
      <c r="D66" s="115" t="s">
        <v>1</v>
      </c>
      <c r="E66" s="125">
        <v>1.4201388888888891</v>
      </c>
      <c r="F66" s="115" t="s">
        <v>49</v>
      </c>
      <c r="G66" s="117">
        <v>7</v>
      </c>
      <c r="H66" s="119" t="s">
        <v>50</v>
      </c>
    </row>
    <row r="67" spans="1:8" ht="19.8" customHeight="1" x14ac:dyDescent="0.3">
      <c r="A67" s="124">
        <v>45989</v>
      </c>
      <c r="B67" s="115" t="s">
        <v>51</v>
      </c>
      <c r="C67" s="116" t="s">
        <v>56</v>
      </c>
      <c r="D67" s="115" t="s">
        <v>1</v>
      </c>
      <c r="E67" s="125">
        <v>1.2222222222222221</v>
      </c>
      <c r="F67" s="115" t="s">
        <v>53</v>
      </c>
      <c r="G67" s="117">
        <v>9</v>
      </c>
      <c r="H67" s="119" t="s">
        <v>61</v>
      </c>
    </row>
    <row r="68" spans="1:8" ht="19.8" customHeight="1" x14ac:dyDescent="0.3">
      <c r="A68" s="124">
        <v>45989</v>
      </c>
      <c r="B68" s="115" t="s">
        <v>64</v>
      </c>
      <c r="C68" s="116" t="s">
        <v>71</v>
      </c>
      <c r="D68" s="115" t="s">
        <v>1</v>
      </c>
      <c r="E68" s="125">
        <v>1.086805555555556</v>
      </c>
      <c r="F68" s="115" t="s">
        <v>66</v>
      </c>
      <c r="G68" s="117">
        <v>9</v>
      </c>
      <c r="H68" s="119" t="s">
        <v>104</v>
      </c>
    </row>
    <row r="69" spans="1:8" ht="19.8" customHeight="1" x14ac:dyDescent="0.3">
      <c r="A69" s="124">
        <v>45989</v>
      </c>
      <c r="B69" s="115" t="s">
        <v>64</v>
      </c>
      <c r="C69" s="116" t="s">
        <v>71</v>
      </c>
      <c r="D69" s="115" t="s">
        <v>1</v>
      </c>
      <c r="E69" s="125">
        <v>1.086805555555556</v>
      </c>
      <c r="F69" s="115" t="s">
        <v>68</v>
      </c>
      <c r="G69" s="117">
        <v>9</v>
      </c>
      <c r="H69" s="119" t="s">
        <v>105</v>
      </c>
    </row>
    <row r="70" spans="1:8" ht="19.8" customHeight="1" x14ac:dyDescent="0.3">
      <c r="A70" s="124">
        <v>45989</v>
      </c>
      <c r="B70" s="115" t="s">
        <v>51</v>
      </c>
      <c r="C70" s="116" t="s">
        <v>52</v>
      </c>
      <c r="D70" s="115" t="s">
        <v>1</v>
      </c>
      <c r="E70" s="125">
        <v>1.0972222222222221</v>
      </c>
      <c r="F70" s="115" t="s">
        <v>53</v>
      </c>
      <c r="G70" s="117">
        <v>9</v>
      </c>
      <c r="H70" s="119" t="s">
        <v>155</v>
      </c>
    </row>
    <row r="71" spans="1:8" ht="19.8" customHeight="1" x14ac:dyDescent="0.3">
      <c r="A71" s="124">
        <v>45989</v>
      </c>
      <c r="B71" s="115" t="s">
        <v>64</v>
      </c>
      <c r="C71" s="116" t="s">
        <v>72</v>
      </c>
      <c r="D71" s="115" t="s">
        <v>1</v>
      </c>
      <c r="E71" s="125">
        <v>1.4201388888888891</v>
      </c>
      <c r="F71" s="115" t="s">
        <v>68</v>
      </c>
      <c r="G71" s="117">
        <v>4</v>
      </c>
      <c r="H71" s="119" t="s">
        <v>118</v>
      </c>
    </row>
    <row r="72" spans="1:8" ht="19.8" customHeight="1" x14ac:dyDescent="0.3">
      <c r="A72" s="124">
        <v>45989</v>
      </c>
      <c r="B72" s="115" t="s">
        <v>51</v>
      </c>
      <c r="C72" s="116" t="s">
        <v>62</v>
      </c>
      <c r="D72" s="115" t="s">
        <v>1</v>
      </c>
      <c r="E72" s="125">
        <v>1.493055555555556</v>
      </c>
      <c r="F72" s="115" t="s">
        <v>53</v>
      </c>
      <c r="G72" s="117">
        <v>1</v>
      </c>
      <c r="H72" s="119" t="s">
        <v>63</v>
      </c>
    </row>
    <row r="73" spans="1:8" ht="19.8" customHeight="1" x14ac:dyDescent="0.3">
      <c r="A73" s="124">
        <v>45989</v>
      </c>
      <c r="B73" s="115" t="s">
        <v>64</v>
      </c>
      <c r="C73" s="116" t="s">
        <v>65</v>
      </c>
      <c r="D73" s="115" t="s">
        <v>1</v>
      </c>
      <c r="E73" s="125">
        <v>1.604166666666667</v>
      </c>
      <c r="F73" s="115" t="s">
        <v>66</v>
      </c>
      <c r="G73" s="117">
        <v>6</v>
      </c>
      <c r="H73" s="119" t="s">
        <v>92</v>
      </c>
    </row>
    <row r="74" spans="1:8" ht="19.8" customHeight="1" x14ac:dyDescent="0.3">
      <c r="A74" s="126">
        <v>45989</v>
      </c>
      <c r="B74" s="127" t="s">
        <v>64</v>
      </c>
      <c r="C74" s="128" t="s">
        <v>65</v>
      </c>
      <c r="D74" s="127" t="s">
        <v>1</v>
      </c>
      <c r="E74" s="129">
        <v>1.604166666666667</v>
      </c>
      <c r="F74" s="127" t="s">
        <v>68</v>
      </c>
      <c r="G74" s="130">
        <v>6</v>
      </c>
      <c r="H74" s="131" t="s">
        <v>94</v>
      </c>
    </row>
    <row r="75" spans="1:8" ht="19.8" customHeight="1" x14ac:dyDescent="0.3">
      <c r="A75" s="132">
        <v>45990</v>
      </c>
      <c r="B75" s="121" t="s">
        <v>80</v>
      </c>
      <c r="C75" s="122" t="s">
        <v>81</v>
      </c>
      <c r="D75" s="121" t="s">
        <v>1</v>
      </c>
      <c r="E75" s="133">
        <v>1.395833333333333</v>
      </c>
      <c r="F75" s="121" t="s">
        <v>82</v>
      </c>
      <c r="G75" s="121"/>
      <c r="H75" s="123" t="s">
        <v>83</v>
      </c>
    </row>
    <row r="76" spans="1:8" ht="19.8" customHeight="1" x14ac:dyDescent="0.3">
      <c r="A76" s="132">
        <v>45991</v>
      </c>
      <c r="B76" s="121" t="s">
        <v>80</v>
      </c>
      <c r="C76" s="122" t="s">
        <v>142</v>
      </c>
      <c r="D76" s="121" t="s">
        <v>1</v>
      </c>
      <c r="E76" s="133">
        <v>1.9027777777777779</v>
      </c>
      <c r="F76" s="121" t="s">
        <v>129</v>
      </c>
      <c r="G76" s="141">
        <v>5</v>
      </c>
      <c r="H76" s="123" t="s">
        <v>162</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
  <sheetViews>
    <sheetView workbookViewId="0"/>
  </sheetViews>
  <sheetFormatPr defaultRowHeight="14.4" x14ac:dyDescent="0.3"/>
  <cols>
    <col min="1" max="1" width="9.88671875" bestFit="1" customWidth="1"/>
    <col min="2" max="2" width="17" bestFit="1" customWidth="1"/>
    <col min="3" max="3" width="6.5546875" bestFit="1" customWidth="1"/>
    <col min="4" max="4" width="5.5546875" bestFit="1" customWidth="1"/>
    <col min="5" max="5" width="8.3320312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8.6640625"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3" bestFit="1" customWidth="1"/>
    <col min="22" max="22" width="2.109375" bestFit="1" customWidth="1"/>
    <col min="23" max="23" width="2.21875" bestFit="1" customWidth="1"/>
    <col min="24" max="24" width="2" bestFit="1" customWidth="1"/>
    <col min="25" max="33" width="3" bestFit="1" customWidth="1"/>
    <col min="34" max="34" width="2.21875" bestFit="1" customWidth="1"/>
    <col min="35" max="35" width="4" bestFit="1" customWidth="1"/>
    <col min="36" max="36" width="2.33203125" bestFit="1" customWidth="1"/>
  </cols>
  <sheetData>
    <row r="1" spans="1:36" x14ac:dyDescent="0.3">
      <c r="A1" s="110" t="s">
        <v>167</v>
      </c>
      <c r="B1" s="110" t="s">
        <v>168</v>
      </c>
      <c r="C1" s="110" t="s">
        <v>169</v>
      </c>
      <c r="D1" s="110" t="s">
        <v>23</v>
      </c>
      <c r="E1" s="110" t="s">
        <v>170</v>
      </c>
      <c r="F1" s="110" t="s">
        <v>171</v>
      </c>
      <c r="G1" s="110" t="s">
        <v>16</v>
      </c>
      <c r="H1" s="110" t="s">
        <v>172</v>
      </c>
      <c r="I1" s="110" t="s">
        <v>173</v>
      </c>
      <c r="J1" s="110" t="s">
        <v>174</v>
      </c>
      <c r="K1" s="110" t="s">
        <v>175</v>
      </c>
      <c r="L1" s="110" t="s">
        <v>18</v>
      </c>
      <c r="M1" s="110" t="s">
        <v>20</v>
      </c>
      <c r="N1" s="110" t="s">
        <v>21</v>
      </c>
      <c r="O1" s="110" t="s">
        <v>19</v>
      </c>
      <c r="P1" s="110" t="s">
        <v>22</v>
      </c>
      <c r="Q1" s="110" t="s">
        <v>176</v>
      </c>
      <c r="R1" s="110" t="s">
        <v>177</v>
      </c>
      <c r="S1" s="110" t="s">
        <v>178</v>
      </c>
      <c r="T1" s="110" t="s">
        <v>179</v>
      </c>
      <c r="U1" s="110" t="s">
        <v>180</v>
      </c>
      <c r="V1" s="110" t="s">
        <v>181</v>
      </c>
      <c r="W1" s="110" t="s">
        <v>182</v>
      </c>
      <c r="X1" s="110" t="s">
        <v>183</v>
      </c>
      <c r="Y1" s="110" t="s">
        <v>184</v>
      </c>
      <c r="Z1" s="110" t="s">
        <v>185</v>
      </c>
      <c r="AA1" s="110" t="s">
        <v>186</v>
      </c>
      <c r="AB1" s="110" t="s">
        <v>187</v>
      </c>
      <c r="AC1" s="110" t="s">
        <v>188</v>
      </c>
      <c r="AD1" s="110" t="s">
        <v>189</v>
      </c>
      <c r="AE1" s="110" t="s">
        <v>190</v>
      </c>
      <c r="AF1" s="110" t="s">
        <v>191</v>
      </c>
      <c r="AG1" s="110" t="s">
        <v>192</v>
      </c>
      <c r="AH1" s="110" t="s">
        <v>193</v>
      </c>
      <c r="AI1" s="110" t="s">
        <v>194</v>
      </c>
      <c r="AJ1" s="110" t="s">
        <v>195</v>
      </c>
    </row>
    <row r="2" spans="1:36" x14ac:dyDescent="0.3">
      <c r="A2" t="s">
        <v>196</v>
      </c>
      <c r="B2" s="142">
        <v>45981</v>
      </c>
      <c r="C2" t="s">
        <v>81</v>
      </c>
      <c r="D2" t="s">
        <v>197</v>
      </c>
      <c r="E2" t="s">
        <v>1</v>
      </c>
      <c r="F2" t="s">
        <v>198</v>
      </c>
      <c r="G2">
        <v>1.0169999999999999</v>
      </c>
      <c r="H2">
        <v>176</v>
      </c>
      <c r="I2">
        <v>179</v>
      </c>
      <c r="J2">
        <v>92</v>
      </c>
      <c r="K2" t="s">
        <v>199</v>
      </c>
      <c r="L2" t="s">
        <v>84</v>
      </c>
      <c r="M2">
        <v>0</v>
      </c>
      <c r="N2">
        <v>0</v>
      </c>
      <c r="O2">
        <v>6</v>
      </c>
      <c r="P2" t="s">
        <v>85</v>
      </c>
      <c r="Q2">
        <v>0</v>
      </c>
      <c r="R2">
        <v>0</v>
      </c>
      <c r="S2">
        <v>0</v>
      </c>
      <c r="T2">
        <v>0</v>
      </c>
      <c r="U2">
        <v>11</v>
      </c>
      <c r="V2">
        <v>0</v>
      </c>
      <c r="W2">
        <v>0</v>
      </c>
      <c r="X2">
        <v>4</v>
      </c>
      <c r="Y2">
        <v>6</v>
      </c>
      <c r="Z2">
        <v>6</v>
      </c>
      <c r="AA2">
        <v>8</v>
      </c>
      <c r="AB2">
        <v>9</v>
      </c>
      <c r="AC2">
        <v>8</v>
      </c>
      <c r="AD2">
        <v>8</v>
      </c>
      <c r="AE2">
        <v>9</v>
      </c>
      <c r="AF2">
        <v>16</v>
      </c>
      <c r="AG2">
        <v>0</v>
      </c>
      <c r="AH2">
        <v>0</v>
      </c>
      <c r="AI2">
        <v>92</v>
      </c>
      <c r="AJ2">
        <v>2</v>
      </c>
    </row>
    <row r="3" spans="1:36" x14ac:dyDescent="0.3">
      <c r="A3" t="s">
        <v>212</v>
      </c>
      <c r="B3" s="142">
        <v>45983</v>
      </c>
      <c r="C3" t="s">
        <v>81</v>
      </c>
      <c r="D3" t="s">
        <v>213</v>
      </c>
      <c r="E3" t="s">
        <v>1</v>
      </c>
      <c r="F3" t="s">
        <v>198</v>
      </c>
      <c r="G3">
        <v>1</v>
      </c>
      <c r="H3">
        <v>179</v>
      </c>
      <c r="I3">
        <v>179</v>
      </c>
      <c r="J3">
        <v>130</v>
      </c>
      <c r="K3" t="s">
        <v>199</v>
      </c>
      <c r="L3" t="s">
        <v>106</v>
      </c>
      <c r="M3">
        <v>0</v>
      </c>
      <c r="N3">
        <v>0</v>
      </c>
      <c r="O3">
        <v>1</v>
      </c>
      <c r="P3" t="s">
        <v>85</v>
      </c>
      <c r="Q3">
        <v>0</v>
      </c>
      <c r="R3">
        <v>0</v>
      </c>
      <c r="S3">
        <v>0</v>
      </c>
      <c r="T3">
        <v>0</v>
      </c>
      <c r="U3">
        <v>4</v>
      </c>
      <c r="V3">
        <v>0</v>
      </c>
      <c r="W3">
        <v>0</v>
      </c>
      <c r="X3">
        <v>0</v>
      </c>
      <c r="Y3">
        <v>0</v>
      </c>
      <c r="Z3">
        <v>0</v>
      </c>
      <c r="AA3">
        <v>0</v>
      </c>
      <c r="AB3">
        <v>3</v>
      </c>
      <c r="AC3">
        <v>5</v>
      </c>
      <c r="AD3">
        <v>9</v>
      </c>
      <c r="AE3">
        <v>7</v>
      </c>
      <c r="AF3">
        <v>17</v>
      </c>
      <c r="AG3">
        <v>0</v>
      </c>
      <c r="AH3">
        <v>0</v>
      </c>
      <c r="AI3">
        <v>130</v>
      </c>
      <c r="AJ3">
        <v>4</v>
      </c>
    </row>
    <row r="4" spans="1:36" x14ac:dyDescent="0.3">
      <c r="A4" t="s">
        <v>222</v>
      </c>
      <c r="B4" s="142">
        <v>45984</v>
      </c>
      <c r="C4" t="s">
        <v>81</v>
      </c>
      <c r="D4" t="s">
        <v>223</v>
      </c>
      <c r="E4" t="s">
        <v>1</v>
      </c>
      <c r="F4" t="s">
        <v>198</v>
      </c>
      <c r="G4">
        <v>1</v>
      </c>
      <c r="H4">
        <v>179</v>
      </c>
      <c r="I4">
        <v>179</v>
      </c>
      <c r="J4">
        <v>86</v>
      </c>
      <c r="K4" t="s">
        <v>199</v>
      </c>
      <c r="L4" t="s">
        <v>110</v>
      </c>
      <c r="M4">
        <v>0</v>
      </c>
      <c r="N4">
        <v>0</v>
      </c>
      <c r="O4">
        <v>3</v>
      </c>
      <c r="P4" t="s">
        <v>85</v>
      </c>
      <c r="Q4">
        <v>0</v>
      </c>
      <c r="R4">
        <v>0</v>
      </c>
      <c r="S4">
        <v>0</v>
      </c>
      <c r="T4">
        <v>0</v>
      </c>
      <c r="U4">
        <v>0</v>
      </c>
      <c r="V4">
        <v>6</v>
      </c>
      <c r="W4">
        <v>0</v>
      </c>
      <c r="X4">
        <v>0</v>
      </c>
      <c r="Y4">
        <v>10</v>
      </c>
      <c r="Z4">
        <v>21</v>
      </c>
      <c r="AA4">
        <v>0</v>
      </c>
      <c r="AB4">
        <v>5</v>
      </c>
      <c r="AC4">
        <v>11</v>
      </c>
      <c r="AD4">
        <v>8</v>
      </c>
      <c r="AE4">
        <v>9</v>
      </c>
      <c r="AF4">
        <v>17</v>
      </c>
      <c r="AG4">
        <v>0</v>
      </c>
      <c r="AH4">
        <v>0</v>
      </c>
      <c r="AI4">
        <v>86</v>
      </c>
      <c r="AJ4">
        <v>6</v>
      </c>
    </row>
    <row r="5" spans="1:36" x14ac:dyDescent="0.3">
      <c r="A5" t="s">
        <v>231</v>
      </c>
      <c r="B5" s="142">
        <v>45986</v>
      </c>
      <c r="C5" t="s">
        <v>132</v>
      </c>
      <c r="D5" t="s">
        <v>237</v>
      </c>
      <c r="E5" t="s">
        <v>1</v>
      </c>
      <c r="F5" t="s">
        <v>198</v>
      </c>
      <c r="G5">
        <v>0.50600000000000001</v>
      </c>
      <c r="H5">
        <v>168</v>
      </c>
      <c r="I5">
        <v>85</v>
      </c>
      <c r="J5">
        <v>0</v>
      </c>
      <c r="K5" t="s">
        <v>199</v>
      </c>
      <c r="L5" t="s">
        <v>133</v>
      </c>
      <c r="M5">
        <v>0</v>
      </c>
      <c r="N5">
        <v>1</v>
      </c>
      <c r="O5">
        <v>41</v>
      </c>
      <c r="P5" t="s">
        <v>134</v>
      </c>
      <c r="Q5">
        <v>0</v>
      </c>
      <c r="R5">
        <v>0</v>
      </c>
      <c r="S5">
        <v>0</v>
      </c>
      <c r="T5">
        <v>0</v>
      </c>
      <c r="U5">
        <v>0</v>
      </c>
      <c r="V5">
        <v>0</v>
      </c>
      <c r="W5">
        <v>0</v>
      </c>
      <c r="X5">
        <v>5</v>
      </c>
      <c r="Y5">
        <v>10</v>
      </c>
      <c r="Z5">
        <v>10</v>
      </c>
      <c r="AA5">
        <v>10</v>
      </c>
      <c r="AB5">
        <v>10</v>
      </c>
      <c r="AC5">
        <v>10</v>
      </c>
      <c r="AD5">
        <v>10</v>
      </c>
      <c r="AE5">
        <v>10</v>
      </c>
      <c r="AF5">
        <v>10</v>
      </c>
      <c r="AG5">
        <v>0</v>
      </c>
      <c r="AH5">
        <v>0</v>
      </c>
      <c r="AI5">
        <v>0</v>
      </c>
      <c r="AJ5">
        <v>0</v>
      </c>
    </row>
    <row r="6" spans="1:36" x14ac:dyDescent="0.3">
      <c r="A6" t="s">
        <v>231</v>
      </c>
      <c r="B6" s="142">
        <v>45986</v>
      </c>
      <c r="C6" t="s">
        <v>81</v>
      </c>
      <c r="D6" t="s">
        <v>245</v>
      </c>
      <c r="E6" t="s">
        <v>1</v>
      </c>
      <c r="F6" t="s">
        <v>198</v>
      </c>
      <c r="G6">
        <v>0.99439999999999995</v>
      </c>
      <c r="H6">
        <v>179</v>
      </c>
      <c r="I6">
        <v>178</v>
      </c>
      <c r="J6">
        <v>123</v>
      </c>
      <c r="K6" t="s">
        <v>199</v>
      </c>
      <c r="L6" t="s">
        <v>110</v>
      </c>
      <c r="M6">
        <v>0</v>
      </c>
      <c r="N6">
        <v>0</v>
      </c>
      <c r="O6">
        <v>8</v>
      </c>
      <c r="P6" t="s">
        <v>144</v>
      </c>
      <c r="Q6">
        <v>0</v>
      </c>
      <c r="R6">
        <v>0</v>
      </c>
      <c r="S6">
        <v>0</v>
      </c>
      <c r="T6">
        <v>0</v>
      </c>
      <c r="U6">
        <v>1</v>
      </c>
      <c r="V6">
        <v>5</v>
      </c>
      <c r="W6">
        <v>4</v>
      </c>
      <c r="X6">
        <v>0</v>
      </c>
      <c r="Y6">
        <v>0</v>
      </c>
      <c r="Z6">
        <v>11</v>
      </c>
      <c r="AA6">
        <v>0</v>
      </c>
      <c r="AB6">
        <v>0</v>
      </c>
      <c r="AC6">
        <v>3</v>
      </c>
      <c r="AD6">
        <v>5</v>
      </c>
      <c r="AE6">
        <v>9</v>
      </c>
      <c r="AF6">
        <v>17</v>
      </c>
      <c r="AG6">
        <v>0</v>
      </c>
      <c r="AH6">
        <v>0</v>
      </c>
      <c r="AI6">
        <v>123</v>
      </c>
      <c r="AJ6">
        <v>0</v>
      </c>
    </row>
    <row r="7" spans="1:36" x14ac:dyDescent="0.3">
      <c r="A7" t="s">
        <v>231</v>
      </c>
      <c r="B7" s="142">
        <v>45986</v>
      </c>
      <c r="C7" t="s">
        <v>138</v>
      </c>
      <c r="D7" t="s">
        <v>232</v>
      </c>
      <c r="E7" t="s">
        <v>1</v>
      </c>
      <c r="F7" t="s">
        <v>198</v>
      </c>
      <c r="G7">
        <v>0.91059999999999997</v>
      </c>
      <c r="H7">
        <v>179</v>
      </c>
      <c r="I7">
        <v>163</v>
      </c>
      <c r="J7">
        <v>158</v>
      </c>
      <c r="K7" t="s">
        <v>199</v>
      </c>
      <c r="L7" t="s">
        <v>139</v>
      </c>
      <c r="M7">
        <v>0</v>
      </c>
      <c r="N7">
        <v>0</v>
      </c>
      <c r="O7">
        <v>0</v>
      </c>
      <c r="P7" t="s">
        <v>140</v>
      </c>
      <c r="Q7">
        <v>0</v>
      </c>
      <c r="R7">
        <v>0</v>
      </c>
      <c r="S7">
        <v>0</v>
      </c>
      <c r="T7">
        <v>0</v>
      </c>
      <c r="U7">
        <v>0</v>
      </c>
      <c r="V7">
        <v>0</v>
      </c>
      <c r="W7">
        <v>0</v>
      </c>
      <c r="X7">
        <v>1</v>
      </c>
      <c r="Y7">
        <v>0</v>
      </c>
      <c r="Z7">
        <v>0</v>
      </c>
      <c r="AA7">
        <v>0</v>
      </c>
      <c r="AB7">
        <v>0</v>
      </c>
      <c r="AC7">
        <v>0</v>
      </c>
      <c r="AD7">
        <v>0</v>
      </c>
      <c r="AE7">
        <v>0</v>
      </c>
      <c r="AF7">
        <v>4</v>
      </c>
      <c r="AG7">
        <v>44</v>
      </c>
      <c r="AH7">
        <v>0</v>
      </c>
      <c r="AI7">
        <v>114</v>
      </c>
      <c r="AJ7">
        <v>0</v>
      </c>
    </row>
    <row r="8" spans="1:36" x14ac:dyDescent="0.3">
      <c r="A8" t="s">
        <v>196</v>
      </c>
      <c r="B8" s="142">
        <v>45988</v>
      </c>
      <c r="C8" t="s">
        <v>81</v>
      </c>
      <c r="D8" t="s">
        <v>197</v>
      </c>
      <c r="E8" t="s">
        <v>1</v>
      </c>
      <c r="F8" t="s">
        <v>198</v>
      </c>
      <c r="G8">
        <v>1.0179</v>
      </c>
      <c r="H8">
        <v>168</v>
      </c>
      <c r="I8">
        <v>171</v>
      </c>
      <c r="J8">
        <v>128</v>
      </c>
      <c r="K8" t="s">
        <v>199</v>
      </c>
      <c r="L8" t="s">
        <v>133</v>
      </c>
      <c r="M8">
        <v>0</v>
      </c>
      <c r="N8">
        <v>2</v>
      </c>
      <c r="O8">
        <v>8</v>
      </c>
      <c r="P8" t="s">
        <v>85</v>
      </c>
      <c r="Q8">
        <v>0</v>
      </c>
      <c r="R8">
        <v>0</v>
      </c>
      <c r="S8">
        <v>0</v>
      </c>
      <c r="T8">
        <v>0</v>
      </c>
      <c r="U8">
        <v>0</v>
      </c>
      <c r="V8">
        <v>0</v>
      </c>
      <c r="W8">
        <v>6</v>
      </c>
      <c r="X8">
        <v>2</v>
      </c>
      <c r="Y8">
        <v>0</v>
      </c>
      <c r="Z8">
        <v>1</v>
      </c>
      <c r="AA8">
        <v>0</v>
      </c>
      <c r="AB8">
        <v>0</v>
      </c>
      <c r="AC8">
        <v>0</v>
      </c>
      <c r="AD8">
        <v>6</v>
      </c>
      <c r="AE8">
        <v>9</v>
      </c>
      <c r="AF8">
        <v>17</v>
      </c>
      <c r="AG8">
        <v>0</v>
      </c>
      <c r="AH8">
        <v>0</v>
      </c>
      <c r="AI8">
        <v>128</v>
      </c>
      <c r="AJ8">
        <v>2</v>
      </c>
    </row>
    <row r="9" spans="1:36" x14ac:dyDescent="0.3">
      <c r="A9" t="s">
        <v>212</v>
      </c>
      <c r="B9" s="142">
        <v>45990</v>
      </c>
      <c r="C9" t="s">
        <v>81</v>
      </c>
      <c r="D9" t="s">
        <v>213</v>
      </c>
      <c r="E9" t="s">
        <v>1</v>
      </c>
      <c r="F9" t="s">
        <v>198</v>
      </c>
      <c r="G9">
        <v>1.0298</v>
      </c>
      <c r="H9">
        <v>168</v>
      </c>
      <c r="I9">
        <v>173</v>
      </c>
      <c r="J9">
        <v>131</v>
      </c>
      <c r="K9" t="s">
        <v>199</v>
      </c>
      <c r="L9" t="s">
        <v>159</v>
      </c>
      <c r="M9">
        <v>0</v>
      </c>
      <c r="N9">
        <v>0</v>
      </c>
      <c r="O9">
        <v>0</v>
      </c>
      <c r="P9" t="s">
        <v>85</v>
      </c>
      <c r="Q9">
        <v>0</v>
      </c>
      <c r="R9">
        <v>0</v>
      </c>
      <c r="S9">
        <v>0</v>
      </c>
      <c r="T9">
        <v>0</v>
      </c>
      <c r="U9">
        <v>0</v>
      </c>
      <c r="V9">
        <v>0</v>
      </c>
      <c r="W9">
        <v>0</v>
      </c>
      <c r="X9">
        <v>0</v>
      </c>
      <c r="Y9">
        <v>2</v>
      </c>
      <c r="Z9">
        <v>12</v>
      </c>
      <c r="AA9">
        <v>0</v>
      </c>
      <c r="AB9">
        <v>0</v>
      </c>
      <c r="AC9">
        <v>0</v>
      </c>
      <c r="AD9">
        <v>0</v>
      </c>
      <c r="AE9">
        <v>0</v>
      </c>
      <c r="AF9">
        <v>22</v>
      </c>
      <c r="AG9">
        <v>0</v>
      </c>
      <c r="AH9">
        <v>0</v>
      </c>
      <c r="AI9">
        <v>133</v>
      </c>
      <c r="AJ9">
        <v>4</v>
      </c>
    </row>
    <row r="10" spans="1:36" x14ac:dyDescent="0.3">
      <c r="A10" t="s">
        <v>222</v>
      </c>
      <c r="B10" s="142">
        <v>45991</v>
      </c>
      <c r="C10" t="s">
        <v>81</v>
      </c>
      <c r="D10" t="s">
        <v>223</v>
      </c>
      <c r="E10" t="s">
        <v>1</v>
      </c>
      <c r="F10" t="s">
        <v>198</v>
      </c>
      <c r="G10">
        <v>0.96550000000000002</v>
      </c>
      <c r="H10">
        <v>174</v>
      </c>
      <c r="I10">
        <v>168</v>
      </c>
      <c r="J10">
        <v>133</v>
      </c>
      <c r="K10" t="s">
        <v>199</v>
      </c>
      <c r="L10" t="s">
        <v>163</v>
      </c>
      <c r="M10">
        <v>0</v>
      </c>
      <c r="N10">
        <v>0</v>
      </c>
      <c r="O10">
        <v>2</v>
      </c>
      <c r="P10" t="s">
        <v>164</v>
      </c>
      <c r="Q10">
        <v>0</v>
      </c>
      <c r="R10">
        <v>0</v>
      </c>
      <c r="S10">
        <v>0</v>
      </c>
      <c r="T10">
        <v>0</v>
      </c>
      <c r="U10">
        <v>0</v>
      </c>
      <c r="V10">
        <v>0</v>
      </c>
      <c r="W10">
        <v>0</v>
      </c>
      <c r="X10">
        <v>4</v>
      </c>
      <c r="Y10">
        <v>3</v>
      </c>
      <c r="Z10">
        <v>4</v>
      </c>
      <c r="AA10">
        <v>4</v>
      </c>
      <c r="AB10">
        <v>4</v>
      </c>
      <c r="AC10">
        <v>4</v>
      </c>
      <c r="AD10">
        <v>4</v>
      </c>
      <c r="AE10">
        <v>4</v>
      </c>
      <c r="AF10">
        <v>4</v>
      </c>
      <c r="AG10">
        <v>0</v>
      </c>
      <c r="AH10">
        <v>0</v>
      </c>
      <c r="AI10">
        <v>133</v>
      </c>
      <c r="AJ10">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MED-CAI</vt:lpstr>
      <vt:lpstr>MED-CAI LF LEGACY</vt:lpstr>
      <vt:lpstr>MED-CAI - FOCUS MODE</vt:lpstr>
      <vt:lpstr>MED-CAI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2025-11-19T11:00:51Z</dcterms:created>
  <dcterms:modified xsi:type="dcterms:W3CDTF">2025-11-19T11:01:11Z</dcterms:modified>
</cp:coreProperties>
</file>