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6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7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8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9.xml" ContentType="application/vnd.openxmlformats-officedocument.spreadsheetml.comments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10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1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omments12.xml" ContentType="application/vnd.openxmlformats-officedocument.spreadsheetml.comments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13.xml" ContentType="application/vnd.openxmlformats-officedocument.spreadsheetml.comment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omments14.xml" ContentType="application/vnd.openxmlformats-officedocument.spreadsheetml.comments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omments15.xml" ContentType="application/vnd.openxmlformats-officedocument.spreadsheetml.comments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omments16.xml" ContentType="application/vnd.openxmlformats-officedocument.spreadsheetml.comments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omments17.xml" ContentType="application/vnd.openxmlformats-officedocument.spreadsheetml.comments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omments18.xml" ContentType="application/vnd.openxmlformats-officedocument.spreadsheetml.comments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omments19.xml" ContentType="application/vnd.openxmlformats-officedocument.spreadsheetml.comments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comments20.xml" ContentType="application/vnd.openxmlformats-officedocument.spreadsheetml.comments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omments21.xml" ContentType="application/vnd.openxmlformats-officedocument.spreadsheetml.comments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omments22.xml" ContentType="application/vnd.openxmlformats-officedocument.spreadsheetml.comments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7D5C04B-A170-4F46-A71F-118B849FE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- FOCUS MODE" sheetId="3" r:id="rId3"/>
    <sheet name="MED-HBE" sheetId="4" r:id="rId4"/>
    <sheet name="MED-HBE LF LEGACY" sheetId="5" r:id="rId5"/>
    <sheet name="MED-HBE - FOCUS MODE" sheetId="6" r:id="rId6"/>
    <sheet name="MED-ATZ" sheetId="7" r:id="rId7"/>
    <sheet name="MED-ATZ LF LEGACY" sheetId="8" r:id="rId8"/>
    <sheet name="MED-ATZ - FOCUS MODE" sheetId="9" r:id="rId9"/>
    <sheet name="JED-CAI" sheetId="10" r:id="rId10"/>
    <sheet name="JED-CAI LF LEGACY" sheetId="11" r:id="rId11"/>
    <sheet name="JED-CAI - FOCUS MODE" sheetId="12" r:id="rId12"/>
    <sheet name="JED-HBE" sheetId="13" r:id="rId13"/>
    <sheet name="JED-HBE LF LEGACY" sheetId="14" r:id="rId14"/>
    <sheet name="JED-HBE - FOCUS MODE" sheetId="15" r:id="rId15"/>
    <sheet name="JED-ATZ" sheetId="16" r:id="rId16"/>
    <sheet name="JED-ATZ LF LEGACY" sheetId="17" r:id="rId17"/>
    <sheet name="JED-ATZ - FOCUS MODE" sheetId="18" r:id="rId18"/>
    <sheet name="JED-LXR" sheetId="19" r:id="rId19"/>
    <sheet name="JED-LXR LF LEGACY" sheetId="20" r:id="rId20"/>
    <sheet name="JED-LXR - FOCUS MODE" sheetId="21" r:id="rId21"/>
    <sheet name="JED-ASW" sheetId="22" r:id="rId22"/>
    <sheet name="JED-ASW LF LEGACY" sheetId="23" r:id="rId23"/>
    <sheet name="JED-ASW - FOCUS MODE" sheetId="24" r:id="rId24"/>
    <sheet name="JED-SSH" sheetId="25" r:id="rId25"/>
    <sheet name="JED-SSH LF LEGACY" sheetId="26" r:id="rId26"/>
    <sheet name="JED-SSH - FOCUS MODE" sheetId="27" r:id="rId27"/>
    <sheet name="JED-HRG" sheetId="28" r:id="rId28"/>
    <sheet name="JED-HRG LF LEGACY" sheetId="29" r:id="rId29"/>
    <sheet name="JED-HRG - FOCUS MODE" sheetId="30" r:id="rId30"/>
    <sheet name="RUH-CAI" sheetId="31" r:id="rId31"/>
    <sheet name="RUH-CAI LF LEGACY" sheetId="32" r:id="rId32"/>
    <sheet name="RUH-CAI - FOCUS MODE" sheetId="33" r:id="rId33"/>
    <sheet name="RUH-ATZ" sheetId="34" r:id="rId34"/>
    <sheet name="RUH-ATZ LF LEGACY" sheetId="35" r:id="rId35"/>
    <sheet name="RUH-ATZ - FOCUS MODE" sheetId="36" r:id="rId36"/>
    <sheet name="DMM-CAI" sheetId="37" r:id="rId37"/>
    <sheet name="DMM-CAI LF LEGACY" sheetId="38" r:id="rId38"/>
    <sheet name="DMM-CAI - FOCUS MODE" sheetId="39" r:id="rId39"/>
    <sheet name="DMM-ATZ" sheetId="40" r:id="rId40"/>
    <sheet name="DMM-ATZ LF LEGACY" sheetId="41" r:id="rId41"/>
    <sheet name="DMM-ATZ - FOCUS MODE" sheetId="42" r:id="rId42"/>
    <sheet name="TUU-CAI" sheetId="43" r:id="rId43"/>
    <sheet name="TUU-CAI LF LEGACY" sheetId="44" r:id="rId44"/>
    <sheet name="TUU-CAI - FOCUS MODE" sheetId="45" r:id="rId45"/>
    <sheet name="TUU-ATZ" sheetId="46" r:id="rId46"/>
    <sheet name="TUU-ATZ LF LEGACY" sheetId="47" r:id="rId47"/>
    <sheet name="TUU-ATZ - FOCUS MODE" sheetId="48" r:id="rId48"/>
    <sheet name="AJF-CAI" sheetId="49" r:id="rId49"/>
    <sheet name="AJF-CAI LF LEGACY" sheetId="50" r:id="rId50"/>
    <sheet name="AJF-CAI - FOCUS MODE" sheetId="51" r:id="rId51"/>
    <sheet name="AJF-ATZ" sheetId="52" r:id="rId52"/>
    <sheet name="AJF-ATZ LF LEGACY" sheetId="53" r:id="rId53"/>
    <sheet name="AJF-ATZ - FOCUS MODE" sheetId="54" r:id="rId54"/>
    <sheet name="YNB-CAI" sheetId="55" r:id="rId55"/>
    <sheet name="YNB-CAI LF LEGACY" sheetId="56" r:id="rId56"/>
    <sheet name="YNB-CAI - FOCUS MODE" sheetId="57" r:id="rId57"/>
    <sheet name="AHB-CAI" sheetId="58" r:id="rId58"/>
    <sheet name="AHB-CAI LF LEGACY" sheetId="59" r:id="rId59"/>
    <sheet name="AHB-CAI - FOCUS MODE" sheetId="60" r:id="rId60"/>
    <sheet name="AHB-ATZ" sheetId="61" r:id="rId61"/>
    <sheet name="AHB-ATZ LF LEGACY" sheetId="62" r:id="rId62"/>
    <sheet name="AHB-ATZ - FOCUS MODE" sheetId="63" r:id="rId63"/>
    <sheet name="ELQ-CAI" sheetId="64" r:id="rId64"/>
    <sheet name="ELQ-CAI LF LEGACY" sheetId="65" r:id="rId65"/>
    <sheet name="ELQ-CAI - FOCUS MODE" sheetId="66" r:id="rId66"/>
    <sheet name="ELQ-ATZ" sheetId="67" r:id="rId67"/>
    <sheet name="ELQ-ATZ LF LEGACY" sheetId="68" r:id="rId68"/>
    <sheet name="ELQ-ATZ - FOCUS MODE" sheetId="69" r:id="rId69"/>
    <sheet name="GIZ-CAI" sheetId="70" r:id="rId70"/>
    <sheet name="GIZ-CAI LF LEGACY" sheetId="71" r:id="rId71"/>
    <sheet name="GIZ-CAI - FOCUS MODE" sheetId="72" r:id="rId72"/>
    <sheet name="LF_ALL_ROUTES" sheetId="73" r:id="rId7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6" i="73" l="1"/>
  <c r="E286" i="73"/>
  <c r="G286" i="73"/>
  <c r="Q286" i="73"/>
  <c r="R286" i="73"/>
  <c r="S286" i="73"/>
  <c r="T286" i="73"/>
  <c r="U286" i="73"/>
  <c r="V286" i="73"/>
  <c r="W286" i="73"/>
  <c r="X286" i="73"/>
  <c r="Y286" i="73"/>
  <c r="Z286" i="73"/>
  <c r="AA286" i="73"/>
  <c r="AB286" i="73"/>
  <c r="AC286" i="73"/>
  <c r="AD286" i="73"/>
  <c r="AE286" i="73"/>
  <c r="AF286" i="73"/>
  <c r="AG286" i="73"/>
  <c r="AH286" i="73"/>
  <c r="AI286" i="73"/>
  <c r="AJ286" i="73"/>
  <c r="C6" i="71"/>
  <c r="E6" i="71"/>
  <c r="G6" i="71"/>
  <c r="H6" i="71"/>
  <c r="I6" i="71"/>
  <c r="J6" i="71"/>
  <c r="M6" i="71"/>
  <c r="N6" i="71"/>
  <c r="O6" i="71"/>
  <c r="Q6" i="71"/>
  <c r="R6" i="71"/>
  <c r="S6" i="71"/>
  <c r="T6" i="71"/>
  <c r="U6" i="71"/>
  <c r="V6" i="71"/>
  <c r="W6" i="71"/>
  <c r="X6" i="71"/>
  <c r="Y6" i="71"/>
  <c r="Z6" i="71"/>
  <c r="AA6" i="71"/>
  <c r="AB6" i="71"/>
  <c r="AC6" i="71"/>
  <c r="AD6" i="71"/>
  <c r="AE6" i="71"/>
  <c r="AF6" i="71"/>
  <c r="AG6" i="71"/>
  <c r="AH6" i="71"/>
  <c r="AI6" i="71"/>
  <c r="AJ6" i="71"/>
  <c r="C7" i="68"/>
  <c r="E7" i="68"/>
  <c r="G7" i="68"/>
  <c r="H7" i="68"/>
  <c r="I7" i="68"/>
  <c r="J7" i="68"/>
  <c r="M7" i="68"/>
  <c r="N7" i="68"/>
  <c r="O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C8" i="65"/>
  <c r="E8" i="65"/>
  <c r="G8" i="65"/>
  <c r="H8" i="65"/>
  <c r="I8" i="65"/>
  <c r="J8" i="65"/>
  <c r="M8" i="65"/>
  <c r="N8" i="65"/>
  <c r="O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C4" i="62"/>
  <c r="E4" i="62"/>
  <c r="G4" i="62"/>
  <c r="H4" i="62"/>
  <c r="I4" i="62"/>
  <c r="J4" i="62"/>
  <c r="M4" i="62"/>
  <c r="N4" i="62"/>
  <c r="O4" i="62"/>
  <c r="Q4" i="62"/>
  <c r="R4" i="62"/>
  <c r="S4" i="62"/>
  <c r="T4" i="62"/>
  <c r="U4" i="62"/>
  <c r="V4" i="62"/>
  <c r="W4" i="62"/>
  <c r="X4" i="62"/>
  <c r="Y4" i="62"/>
  <c r="Z4" i="62"/>
  <c r="AA4" i="62"/>
  <c r="AB4" i="62"/>
  <c r="AC4" i="62"/>
  <c r="AD4" i="62"/>
  <c r="AE4" i="62"/>
  <c r="AF4" i="62"/>
  <c r="AG4" i="62"/>
  <c r="AH4" i="62"/>
  <c r="AI4" i="62"/>
  <c r="AJ4" i="62"/>
  <c r="C8" i="59"/>
  <c r="E8" i="59"/>
  <c r="G8" i="59"/>
  <c r="H8" i="59"/>
  <c r="I8" i="59"/>
  <c r="J8" i="59"/>
  <c r="M8" i="59"/>
  <c r="N8" i="59"/>
  <c r="O8" i="59"/>
  <c r="Q8" i="59"/>
  <c r="R8" i="59"/>
  <c r="S8" i="59"/>
  <c r="T8" i="59"/>
  <c r="U8" i="59"/>
  <c r="V8" i="59"/>
  <c r="W8" i="59"/>
  <c r="X8" i="59"/>
  <c r="Y8" i="59"/>
  <c r="Z8" i="59"/>
  <c r="AA8" i="59"/>
  <c r="AB8" i="59"/>
  <c r="AC8" i="59"/>
  <c r="AD8" i="59"/>
  <c r="AE8" i="59"/>
  <c r="AF8" i="59"/>
  <c r="AG8" i="59"/>
  <c r="AH8" i="59"/>
  <c r="AI8" i="59"/>
  <c r="AJ8" i="59"/>
  <c r="C18" i="56"/>
  <c r="E18" i="56"/>
  <c r="G18" i="56"/>
  <c r="H18" i="56"/>
  <c r="I18" i="56"/>
  <c r="J18" i="56"/>
  <c r="M18" i="56"/>
  <c r="N18" i="56"/>
  <c r="O18" i="56"/>
  <c r="Q18" i="56"/>
  <c r="R18" i="56"/>
  <c r="S18" i="56"/>
  <c r="T18" i="56"/>
  <c r="U18" i="56"/>
  <c r="V18" i="56"/>
  <c r="W18" i="56"/>
  <c r="X18" i="56"/>
  <c r="Y18" i="56"/>
  <c r="Z18" i="56"/>
  <c r="AA18" i="56"/>
  <c r="AB18" i="56"/>
  <c r="AC18" i="56"/>
  <c r="AD18" i="56"/>
  <c r="AE18" i="56"/>
  <c r="AF18" i="56"/>
  <c r="AG18" i="56"/>
  <c r="AH18" i="56"/>
  <c r="AI18" i="56"/>
  <c r="AJ18" i="56"/>
  <c r="C4" i="53"/>
  <c r="E4" i="53"/>
  <c r="G4" i="53"/>
  <c r="H4" i="53"/>
  <c r="I4" i="53"/>
  <c r="J4" i="53"/>
  <c r="M4" i="53"/>
  <c r="N4" i="53"/>
  <c r="O4" i="53"/>
  <c r="Q4" i="53"/>
  <c r="R4" i="53"/>
  <c r="S4" i="53"/>
  <c r="T4" i="53"/>
  <c r="U4" i="53"/>
  <c r="V4" i="53"/>
  <c r="W4" i="53"/>
  <c r="X4" i="53"/>
  <c r="Y4" i="53"/>
  <c r="Z4" i="53"/>
  <c r="AA4" i="53"/>
  <c r="AB4" i="53"/>
  <c r="AC4" i="53"/>
  <c r="AD4" i="53"/>
  <c r="AE4" i="53"/>
  <c r="AF4" i="53"/>
  <c r="AG4" i="53"/>
  <c r="AH4" i="53"/>
  <c r="AI4" i="53"/>
  <c r="AJ4" i="53"/>
  <c r="C9" i="50"/>
  <c r="E9" i="50"/>
  <c r="G9" i="50"/>
  <c r="H9" i="50"/>
  <c r="I9" i="50"/>
  <c r="J9" i="50"/>
  <c r="M9" i="50"/>
  <c r="N9" i="50"/>
  <c r="O9" i="50"/>
  <c r="Q9" i="50"/>
  <c r="R9" i="50"/>
  <c r="S9" i="50"/>
  <c r="T9" i="50"/>
  <c r="U9" i="50"/>
  <c r="V9" i="50"/>
  <c r="W9" i="50"/>
  <c r="X9" i="50"/>
  <c r="Y9" i="50"/>
  <c r="Z9" i="50"/>
  <c r="AA9" i="50"/>
  <c r="AB9" i="50"/>
  <c r="AC9" i="50"/>
  <c r="AD9" i="50"/>
  <c r="AE9" i="50"/>
  <c r="AF9" i="50"/>
  <c r="AG9" i="50"/>
  <c r="AH9" i="50"/>
  <c r="AI9" i="50"/>
  <c r="AJ9" i="50"/>
  <c r="C4" i="47"/>
  <c r="E4" i="47"/>
  <c r="G4" i="47"/>
  <c r="H4" i="47"/>
  <c r="I4" i="47"/>
  <c r="J4" i="47"/>
  <c r="M4" i="47"/>
  <c r="N4" i="47"/>
  <c r="O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C9" i="44"/>
  <c r="E9" i="44"/>
  <c r="G9" i="44"/>
  <c r="H9" i="44"/>
  <c r="I9" i="44"/>
  <c r="J9" i="44"/>
  <c r="M9" i="44"/>
  <c r="N9" i="44"/>
  <c r="O9" i="44"/>
  <c r="Q9" i="44"/>
  <c r="R9" i="44"/>
  <c r="S9" i="44"/>
  <c r="T9" i="44"/>
  <c r="U9" i="44"/>
  <c r="V9" i="44"/>
  <c r="W9" i="44"/>
  <c r="X9" i="44"/>
  <c r="Y9" i="44"/>
  <c r="Z9" i="44"/>
  <c r="AA9" i="44"/>
  <c r="AB9" i="44"/>
  <c r="AC9" i="44"/>
  <c r="AD9" i="44"/>
  <c r="AE9" i="44"/>
  <c r="AF9" i="44"/>
  <c r="AG9" i="44"/>
  <c r="AH9" i="44"/>
  <c r="AI9" i="44"/>
  <c r="AJ9" i="44"/>
  <c r="C6" i="41"/>
  <c r="E6" i="41"/>
  <c r="G6" i="41"/>
  <c r="H6" i="41"/>
  <c r="I6" i="41"/>
  <c r="J6" i="41"/>
  <c r="M6" i="41"/>
  <c r="N6" i="41"/>
  <c r="O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AF6" i="41"/>
  <c r="AG6" i="41"/>
  <c r="AH6" i="41"/>
  <c r="AI6" i="41"/>
  <c r="AJ6" i="41"/>
  <c r="C11" i="38"/>
  <c r="E11" i="38"/>
  <c r="G11" i="38"/>
  <c r="H11" i="38"/>
  <c r="I11" i="38"/>
  <c r="J11" i="38"/>
  <c r="M11" i="38"/>
  <c r="N11" i="38"/>
  <c r="O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C10" i="35"/>
  <c r="E10" i="35"/>
  <c r="G10" i="35"/>
  <c r="H10" i="35"/>
  <c r="I10" i="35"/>
  <c r="J10" i="35"/>
  <c r="M10" i="35"/>
  <c r="N10" i="35"/>
  <c r="O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C23" i="32"/>
  <c r="E23" i="32"/>
  <c r="G23" i="32"/>
  <c r="H23" i="32"/>
  <c r="I23" i="32"/>
  <c r="J23" i="32"/>
  <c r="M23" i="32"/>
  <c r="N23" i="32"/>
  <c r="O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AD23" i="32"/>
  <c r="AE23" i="32"/>
  <c r="AF23" i="32"/>
  <c r="AG23" i="32"/>
  <c r="AH23" i="32"/>
  <c r="AI23" i="32"/>
  <c r="AJ23" i="32"/>
  <c r="C5" i="23"/>
  <c r="E5" i="23"/>
  <c r="G5" i="23"/>
  <c r="H5" i="23"/>
  <c r="I5" i="23"/>
  <c r="J5" i="23"/>
  <c r="M5" i="23"/>
  <c r="N5" i="23"/>
  <c r="O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C13" i="20"/>
  <c r="E13" i="20"/>
  <c r="G13" i="20"/>
  <c r="H13" i="20"/>
  <c r="I13" i="20"/>
  <c r="J13" i="20"/>
  <c r="M13" i="20"/>
  <c r="N13" i="20"/>
  <c r="O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C36" i="17"/>
  <c r="E36" i="17"/>
  <c r="G36" i="17"/>
  <c r="H36" i="17"/>
  <c r="I36" i="17"/>
  <c r="J36" i="17"/>
  <c r="M36" i="17"/>
  <c r="N36" i="17"/>
  <c r="O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C30" i="14"/>
  <c r="E30" i="14"/>
  <c r="G30" i="14"/>
  <c r="H30" i="14"/>
  <c r="I30" i="14"/>
  <c r="J30" i="14"/>
  <c r="M30" i="14"/>
  <c r="N30" i="14"/>
  <c r="O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C79" i="11"/>
  <c r="E79" i="11"/>
  <c r="G79" i="11"/>
  <c r="H79" i="11"/>
  <c r="I79" i="11"/>
  <c r="J79" i="11"/>
  <c r="M79" i="11"/>
  <c r="N79" i="11"/>
  <c r="O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C9" i="8"/>
  <c r="E9" i="8"/>
  <c r="G9" i="8"/>
  <c r="H9" i="8"/>
  <c r="I9" i="8"/>
  <c r="J9" i="8"/>
  <c r="M9" i="8"/>
  <c r="N9" i="8"/>
  <c r="O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C12" i="5"/>
  <c r="E12" i="5"/>
  <c r="G12" i="5"/>
  <c r="H12" i="5"/>
  <c r="I12" i="5"/>
  <c r="J12" i="5"/>
  <c r="M12" i="5"/>
  <c r="N12" i="5"/>
  <c r="O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C17" i="2"/>
  <c r="E17" i="2"/>
  <c r="G17" i="2"/>
  <c r="H17" i="2"/>
  <c r="I17" i="2"/>
  <c r="J17" i="2"/>
  <c r="M17" i="2"/>
  <c r="N17" i="2"/>
  <c r="O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N286" i="73"/>
  <c r="N285" i="73"/>
  <c r="J285" i="73"/>
  <c r="J286" i="73"/>
  <c r="M285" i="73"/>
  <c r="M286" i="73"/>
  <c r="O286" i="73"/>
  <c r="O285" i="73"/>
  <c r="I285" i="73"/>
  <c r="I286" i="73"/>
  <c r="H285" i="73"/>
  <c r="H286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09D67F2F-D8B2-405C-AB6F-7C39802707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G14 &amp; S10 &amp; W10 &amp; T10 &amp; X10 &amp; U10 &amp; O10 &amp; I10</t>
        </r>
      </text>
    </comment>
    <comment ref="F9" authorId="0" shapeId="0" xr:uid="{E34BCD2F-B0ED-4983-91AA-18D4154432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I4 &amp; E44 &amp; P114</t>
        </r>
      </text>
    </comment>
    <comment ref="F22" authorId="0" shapeId="0" xr:uid="{9CD88180-4C52-4DDD-81D6-0CD6289965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Q2 &amp; K5 &amp; V4 &amp; S11 &amp; X3 &amp; U5 &amp; O9 &amp; I17 &amp; P123</t>
        </r>
      </text>
    </comment>
    <comment ref="F47" authorId="0" shapeId="0" xr:uid="{DAA76BAD-D9B4-4551-AC35-327FB293FF3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B4]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L2 &amp; S1 &amp; U6 &amp; O9 &amp; I17 &amp; P128 &amp; N1</t>
        </r>
      </text>
    </comment>
    <comment ref="F87" authorId="0" shapeId="0" xr:uid="{27954C2D-AE78-4E1F-9C7F-2F07B852198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S12 &amp; I22 &amp; P133 &amp; N4</t>
        </r>
      </text>
    </comment>
    <comment ref="F93" authorId="0" shapeId="0" xr:uid="{976EB14F-9ADC-4E14-A3C8-EB97A49650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L4 &amp; G3 &amp; S4 &amp; W4 &amp; T4 &amp; X4 &amp; U4 &amp; O4 &amp; I4 &amp; P133</t>
        </r>
      </text>
    </comment>
    <comment ref="F122" authorId="0" shapeId="0" xr:uid="{198AAB9F-479C-4578-810B-449747EE0E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L10 &amp; G10 &amp; S10 &amp; W10 &amp; T10 &amp; X10 &amp; U10 &amp; O10 &amp; I10 &amp; P41</t>
        </r>
      </text>
    </comment>
    <comment ref="F124" authorId="0" shapeId="0" xr:uid="{09938DD0-938F-4694-96AA-CF3C3C0882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X9 &amp; U8 &amp; O8 &amp; I17 &amp; E29 &amp; P90 &amp; N1</t>
        </r>
      </text>
    </comment>
    <comment ref="F134" authorId="0" shapeId="0" xr:uid="{F6D3C3E2-5391-43F5-9461-A5003B769EF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O9 &amp; I17 &amp; E46 &amp; P90 &amp; N2</t>
        </r>
      </text>
    </comment>
    <comment ref="F163" authorId="0" shapeId="0" xr:uid="{573752DB-BA19-435E-8BF5-A41148C2F7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Y3 &amp; S4 &amp; U1 &amp; O9 &amp; I17 &amp; P135</t>
        </r>
      </text>
    </comment>
    <comment ref="F192" authorId="0" shapeId="0" xr:uid="{233BC362-5EA4-4772-8332-D20D21A0FB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X1 &amp; U8 &amp; O9 &amp; I17 &amp; P137 &amp; N2</t>
        </r>
      </text>
    </comment>
    <comment ref="F206" authorId="0" shapeId="0" xr:uid="{727F98D6-56F5-4932-9941-5D8D0C5A66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S4 &amp; W4 &amp; T4 &amp; X4 &amp; U6 &amp; O4 &amp; I4 &amp; P145</t>
        </r>
      </text>
    </comment>
    <comment ref="F218" authorId="0" shapeId="0" xr:uid="{435705E2-7099-496A-B0F7-376B00355F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G6 &amp; S16 &amp; W4 &amp; T10 &amp; X10 &amp; U10 &amp; O10 &amp; I10 &amp; P90</t>
        </r>
      </text>
    </comment>
    <comment ref="F233" authorId="0" shapeId="0" xr:uid="{D455128B-33E2-4B64-B609-71395908D0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X3 &amp; U7 &amp; O8 &amp; I17 &amp; P132</t>
        </r>
      </text>
    </comment>
    <comment ref="F234" authorId="0" shapeId="0" xr:uid="{08C068A2-17E4-41F7-86E7-6DB8B30307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U8 &amp; O6 &amp; I19 &amp; E40 &amp; P89 &amp; N4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7FF43672-1812-49A8-9CE8-4883FFDD003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K4 &amp; V2 &amp; L6 &amp; X8 &amp; P153</t>
        </r>
      </text>
    </comment>
    <comment ref="F3" authorId="0" shapeId="0" xr:uid="{D441EEF7-3751-4BE1-BE04-11C41898928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H5]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Q3 &amp; S2 &amp; X7 &amp; U8 &amp; O8 &amp; I6 &amp; P135</t>
        </r>
      </text>
    </comment>
    <comment ref="F4" authorId="0" shapeId="0" xr:uid="{41839596-252F-489F-9621-1906A16F68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 &amp; L6 &amp; S29 &amp; T8 &amp; X10 &amp; P121</t>
        </r>
      </text>
    </comment>
    <comment ref="F7" authorId="0" shapeId="0" xr:uid="{9E133F62-F2EF-46A9-BF5A-082A1C9B6D3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B9]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H3 &amp; S14 &amp; X9 &amp; P144</t>
        </r>
      </text>
    </comment>
    <comment ref="F8" authorId="0" shapeId="0" xr:uid="{12973571-1A39-4039-9437-E8C89B55D0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O7 &amp; I8 &amp; P161</t>
        </r>
      </text>
    </comment>
    <comment ref="F9" authorId="0" shapeId="0" xr:uid="{C42CE367-8716-454F-93A1-F070E2278B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I4 &amp; P173</t>
        </r>
      </text>
    </comment>
    <comment ref="F11" authorId="0" shapeId="0" xr:uid="{55E7622F-D2D1-4719-96ED-63A056F141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Y5]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Y1 &amp; L7 &amp; S9 &amp; U4 &amp; O10 &amp; I9 &amp; P130</t>
        </r>
      </text>
    </comment>
    <comment ref="F13" authorId="0" shapeId="0" xr:uid="{7DE55E93-7C1F-4A05-828D-6A6002DB84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S6 &amp; X1 &amp; U6 &amp; O10 &amp; I10 &amp; P134</t>
        </r>
      </text>
    </comment>
    <comment ref="F14" authorId="0" shapeId="0" xr:uid="{3FDDCD64-DE01-4049-899B-A4BEB39EFEE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G9 &amp; S2 &amp; I5 &amp; P161</t>
        </r>
      </text>
    </comment>
    <comment ref="F15" authorId="0" shapeId="0" xr:uid="{9EC91823-8446-4444-929F-C6583AA0DD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P2]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L3 &amp; G4 &amp; S4 &amp; W4 &amp; T8 &amp; X8 &amp; P133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E0452078-343E-4D87-BBDE-A79012D49C8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S12 &amp; X4 &amp; U14 &amp; O25 &amp; I25 &amp; P50</t>
        </r>
      </text>
    </comment>
    <comment ref="F3" authorId="0" shapeId="0" xr:uid="{46916118-9329-4EDB-B82D-8E67F6C439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X5 &amp; U21 &amp; O30 &amp; I20</t>
        </r>
      </text>
    </comment>
    <comment ref="F6" authorId="0" shapeId="0" xr:uid="{E8CD268E-6ECA-4943-87FF-F6320C5E79E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X18 &amp; U5 &amp; O3 &amp; I9 &amp; P86</t>
        </r>
      </text>
    </comment>
    <comment ref="F7" authorId="0" shapeId="0" xr:uid="{E7D4F106-9880-4267-920F-F5ECD8128A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X3 &amp; U8 &amp; O9 &amp; I23 &amp; P79</t>
        </r>
      </text>
    </comment>
    <comment ref="F8" authorId="0" shapeId="0" xr:uid="{E6786557-F3F6-4AC5-84A5-63CF9EDD47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 &amp; O6 &amp; I19</t>
        </r>
      </text>
    </comment>
    <comment ref="F11" authorId="0" shapeId="0" xr:uid="{A5D8AE27-7CA9-4B8C-B999-8E72A78D9C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X7 &amp; U5 &amp; O3 &amp; I9 &amp; P52</t>
        </r>
      </text>
    </comment>
    <comment ref="F12" authorId="0" shapeId="0" xr:uid="{3C63983F-D07C-441D-A33A-B586AA85382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U5 &amp; O13 &amp; I17 &amp; P49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28114DD7-CE1B-44E0-A50A-9C4D976A1F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U10 &amp; O19 &amp; I30 &amp; P46</t>
        </r>
      </text>
    </comment>
    <comment ref="F6" authorId="0" shapeId="0" xr:uid="{720E4CA6-4A33-4EFE-9D47-F76AF0A3C3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S8 &amp; X3 &amp; U10 &amp; O21 &amp; I30</t>
        </r>
      </text>
    </comment>
    <comment ref="F7" authorId="0" shapeId="0" xr:uid="{7FAFF5A1-3453-42FF-95BD-55BB1968D3D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U5 &amp; O15 &amp; I15 &amp; P86</t>
        </r>
      </text>
    </comment>
    <comment ref="F13" authorId="0" shapeId="0" xr:uid="{DF8EBC76-A10D-4C0C-A1A1-A2B6E2CA14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X7 &amp; U14 &amp; O35 &amp; I15 &amp; P82</t>
        </r>
      </text>
    </comment>
    <comment ref="F14" authorId="0" shapeId="0" xr:uid="{BC3FC5F8-7D39-495F-B6D0-2F57603193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X4 &amp; U16 &amp; O15 &amp; I9 &amp; P116</t>
        </r>
      </text>
    </comment>
    <comment ref="F75" authorId="0" shapeId="0" xr:uid="{B102382F-0BC2-4C46-B87E-8B87048E302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U15 &amp; O15 &amp; I15 &amp; P117 &amp; N3</t>
        </r>
      </text>
    </comment>
    <comment ref="F78" authorId="0" shapeId="0" xr:uid="{19F16B6D-4F72-4D2F-B7DE-AE6EBD96B9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O21 &amp; I50</t>
        </r>
      </text>
    </comment>
    <comment ref="F80" authorId="0" shapeId="0" xr:uid="{73E93531-C85D-4322-AA20-56E9100DB69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W1 &amp; U7 &amp; O18 &amp; I50 &amp; P47</t>
        </r>
      </text>
    </comment>
    <comment ref="F85" authorId="0" shapeId="0" xr:uid="{E12B1E5E-0B07-4374-9B4B-B66F82F305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U17 &amp; O22 &amp; I25 &amp; P45 &amp; N2</t>
        </r>
      </text>
    </comment>
    <comment ref="F154" authorId="0" shapeId="0" xr:uid="{D768AC5C-651A-4C5B-881D-287C9394493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I29 &amp; E28 &amp; N1</t>
        </r>
      </text>
    </comment>
    <comment ref="F155" authorId="0" shapeId="0" xr:uid="{4E54B720-EC9F-4177-9D3B-F9EF99D766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U4 &amp; O25 &amp; I32 &amp; E44 &amp; N2</t>
        </r>
      </text>
    </comment>
    <comment ref="F156" authorId="0" shapeId="0" xr:uid="{7B3F998D-BB15-46EA-A4A9-2F4D7FBF5EA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U3 &amp; O22 &amp; I24 &amp; P89</t>
        </r>
      </text>
    </comment>
    <comment ref="F157" authorId="0" shapeId="0" xr:uid="{449C9890-4DDF-481B-86EE-4917BA36FEC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O6 &amp; I43</t>
        </r>
      </text>
    </comment>
    <comment ref="F162" authorId="0" shapeId="0" xr:uid="{EFE41C21-9989-44B2-8C7B-BFFE75E341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 &amp; I10 &amp; P132</t>
        </r>
      </text>
    </comment>
    <comment ref="F163" authorId="0" shapeId="0" xr:uid="{3114555A-7692-44C7-8199-315047A6F5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U4 &amp; O11 &amp; I30</t>
        </r>
      </text>
    </comment>
    <comment ref="F164" authorId="0" shapeId="0" xr:uid="{ACA2B0CF-67DD-4A5F-99A9-E1898DD23E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 &amp; P84</t>
        </r>
      </text>
    </comment>
    <comment ref="F226" authorId="0" shapeId="0" xr:uid="{997324A1-8D31-4C4F-A2D8-4C4C7E3F441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G1 &amp; S1 &amp; U3 &amp; O29 &amp; I14 &amp; P68</t>
        </r>
      </text>
    </comment>
    <comment ref="F227" authorId="0" shapeId="0" xr:uid="{882B6462-4659-440F-8E03-B49607F2251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O18 &amp; I13 &amp; P39</t>
        </r>
      </text>
    </comment>
    <comment ref="F228" authorId="0" shapeId="0" xr:uid="{9C5FC8B6-09F6-4094-86F5-AD48022CD6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O9 &amp; I36</t>
        </r>
      </text>
    </comment>
    <comment ref="F229" authorId="0" shapeId="0" xr:uid="{FD7C15E1-DE20-4B95-BB25-3BE598FDAA6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B1 &amp; U4 &amp; O9 &amp; I31</t>
        </r>
      </text>
    </comment>
    <comment ref="F231" authorId="0" shapeId="0" xr:uid="{42E42D70-4B78-4CCE-9DB7-FAC704D887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U11 &amp; O27 &amp; I36 &amp; N2</t>
        </r>
      </text>
    </comment>
    <comment ref="F232" authorId="0" shapeId="0" xr:uid="{396CB93F-9A6C-4DEE-8756-CE03DFA654D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W3 &amp; U13 &amp; O20 &amp; I10 &amp; P114</t>
        </r>
      </text>
    </comment>
    <comment ref="F261" authorId="0" shapeId="0" xr:uid="{AC20C721-2C3D-4E21-B2D7-3C55E71861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X3 &amp; U2 &amp; O29 &amp; I18 &amp; P73</t>
        </r>
      </text>
    </comment>
    <comment ref="F263" authorId="0" shapeId="0" xr:uid="{506D46DD-19D2-487C-A61F-E5AD52DB306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 &amp; U10 &amp; O14 &amp; I19 &amp; E3 &amp; P95</t>
        </r>
      </text>
    </comment>
    <comment ref="F266" authorId="0" shapeId="0" xr:uid="{1088916C-FCF7-493A-B68B-8C17F583D2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T9 &amp; X9 &amp; O7 &amp; P102 &amp; N10</t>
        </r>
      </text>
    </comment>
    <comment ref="F311" authorId="0" shapeId="0" xr:uid="{8ACC4980-138D-412F-85B2-9ED272C0CA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U4 &amp; O28 &amp; I30 &amp; P47</t>
        </r>
      </text>
    </comment>
    <comment ref="F317" authorId="0" shapeId="0" xr:uid="{EB1725D4-4B8A-477E-927E-93DA760984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O10 &amp; I5 &amp; P83</t>
        </r>
      </text>
    </comment>
    <comment ref="F318" authorId="0" shapeId="0" xr:uid="{7FEF41E0-C900-49F1-8E23-55D930DAB1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W2 &amp; X3 &amp; U10 &amp; O2 &amp; I1 &amp; P95</t>
        </r>
      </text>
    </comment>
    <comment ref="F328" authorId="0" shapeId="0" xr:uid="{3E2B08DC-8D3A-4FCE-A2D0-2E2F8C6134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O4 &amp; I5 &amp; P157</t>
        </r>
      </text>
    </comment>
    <comment ref="F356" authorId="0" shapeId="0" xr:uid="{C4692D9B-265E-4E08-B28F-A89793F0C4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S4 &amp; X7 &amp; U8 &amp; O8 &amp; I8 &amp; E43 &amp; P92 &amp; N2</t>
        </r>
      </text>
    </comment>
    <comment ref="F371" authorId="0" shapeId="0" xr:uid="{1C328D8B-401D-45B1-AAF3-CCB29020C1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U3 &amp; O20 &amp; I20 &amp; E41 &amp; P75</t>
        </r>
      </text>
    </comment>
    <comment ref="F375" authorId="0" shapeId="0" xr:uid="{E7492A37-2A24-42A8-ADE8-6322E509EC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X8 &amp; U11 &amp; O15 &amp; I10 &amp; P102 &amp; N4</t>
        </r>
      </text>
    </comment>
    <comment ref="F395" authorId="0" shapeId="0" xr:uid="{BFF510FC-E00C-47A9-ADEE-C8A80372BC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X1 &amp; U3 &amp; O8 &amp; I10 &amp; P132</t>
        </r>
      </text>
    </comment>
    <comment ref="F396" authorId="0" shapeId="0" xr:uid="{3AF8FB19-5DCE-4116-9BCC-3C718EE64C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O19 &amp; I10 &amp; P135</t>
        </r>
      </text>
    </comment>
    <comment ref="F439" authorId="0" shapeId="0" xr:uid="{241158B7-999C-411C-AD3B-F046D9C6A50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I26</t>
        </r>
      </text>
    </comment>
    <comment ref="F446" authorId="0" shapeId="0" xr:uid="{361E9C79-D0B9-4B9C-BE95-26FFBD8882E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O12 &amp; I10 &amp; P90</t>
        </r>
      </text>
    </comment>
    <comment ref="F447" authorId="0" shapeId="0" xr:uid="{F83B581C-7D63-4AA3-9F28-E454DA3A6F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O14 &amp; I10 &amp; P42</t>
        </r>
      </text>
    </comment>
    <comment ref="F453" authorId="0" shapeId="0" xr:uid="{84D98077-2638-4DB8-8B2E-9E9CA409A7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U8 &amp; O10 &amp; I10 &amp; P84</t>
        </r>
      </text>
    </comment>
    <comment ref="F454" authorId="0" shapeId="0" xr:uid="{86B4569F-01BB-43B3-B70F-315F2A94409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O10 &amp; I15 &amp; P92</t>
        </r>
      </text>
    </comment>
    <comment ref="F455" authorId="0" shapeId="0" xr:uid="{AF04C539-AD16-4810-959C-B90F6F86D0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O10 &amp; I10 &amp; P96 &amp; N1</t>
        </r>
      </text>
    </comment>
    <comment ref="F523" authorId="0" shapeId="0" xr:uid="{AA091432-53CC-4A82-B1F2-5FE32D5F6F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U5 &amp; O10 &amp; I10 &amp; P82</t>
        </r>
      </text>
    </comment>
    <comment ref="F531" authorId="0" shapeId="0" xr:uid="{EDE544CC-F42D-4437-9531-0052A98B55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U11 &amp; O10 &amp; I10 &amp; P84</t>
        </r>
      </text>
    </comment>
    <comment ref="F568" authorId="0" shapeId="0" xr:uid="{FF3E0CD3-3121-4D2E-9B1F-30C2C65D8D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X2 &amp; O1 &amp; I13 &amp; P150</t>
        </r>
      </text>
    </comment>
    <comment ref="F581" authorId="0" shapeId="0" xr:uid="{811EFE08-D1F0-42FF-9FB8-32F6F65184E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I27 &amp; P37</t>
        </r>
      </text>
    </comment>
    <comment ref="F582" authorId="0" shapeId="0" xr:uid="{A3DEA329-926B-4CBD-B3BC-6786B4EF97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I21 &amp; P116</t>
        </r>
      </text>
    </comment>
    <comment ref="F583" authorId="0" shapeId="0" xr:uid="{E1A6F602-6931-46ED-8D6B-E30FFD115DD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X2 &amp; U5 &amp; O14 &amp; I10 &amp; P99</t>
        </r>
      </text>
    </comment>
    <comment ref="F584" authorId="0" shapeId="0" xr:uid="{1144AF1C-04F4-4E81-891F-22D88754FAE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I15</t>
        </r>
      </text>
    </comment>
    <comment ref="F585" authorId="0" shapeId="0" xr:uid="{4FF1D15F-63EF-4E1D-B70A-53BD173503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O3 &amp; I20</t>
        </r>
      </text>
    </comment>
    <comment ref="F586" authorId="0" shapeId="0" xr:uid="{29F57941-4520-4000-9150-3F0F279AB9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O1 &amp; I30 &amp; P75</t>
        </r>
      </text>
    </comment>
    <comment ref="F591" authorId="0" shapeId="0" xr:uid="{6C326E5C-AA98-4DBB-9C3A-2EB1D4ED8D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U5 &amp; O10 &amp; I10 &amp; E34 &amp; P91</t>
        </r>
      </text>
    </comment>
    <comment ref="F632" authorId="0" shapeId="0" xr:uid="{606B847D-67C1-4F4B-9924-6C646C6C8E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O16 &amp; I10</t>
        </r>
      </text>
    </comment>
    <comment ref="F633" authorId="0" shapeId="0" xr:uid="{E8953928-4986-4795-9CA8-FEAEE918DBD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O11 &amp; I10</t>
        </r>
      </text>
    </comment>
    <comment ref="F634" authorId="0" shapeId="0" xr:uid="{E9F26A12-B48B-4B4F-A949-77D6DC42C8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O9 &amp; I20</t>
        </r>
      </text>
    </comment>
    <comment ref="F638" authorId="0" shapeId="0" xr:uid="{AE96BC86-93FF-41EE-8223-71F646F9E5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O10 &amp; I10 &amp; P46</t>
        </r>
      </text>
    </comment>
    <comment ref="F639" authorId="0" shapeId="0" xr:uid="{84ABD228-49A9-49B0-9875-4CE3098EC2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U20 &amp; O8 &amp; I12 &amp; P45</t>
        </r>
      </text>
    </comment>
    <comment ref="F676" authorId="0" shapeId="0" xr:uid="{8B294DB3-17DE-4546-8AA7-9ABACE9884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O9 &amp; I10 &amp; P140</t>
        </r>
      </text>
    </comment>
    <comment ref="F701" authorId="0" shapeId="0" xr:uid="{CEDBDD0F-A3C0-485A-91B5-5AC5C393A1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U2 &amp; O16 &amp; I10 &amp; P29</t>
        </r>
      </text>
    </comment>
    <comment ref="F706" authorId="0" shapeId="0" xr:uid="{6958B0E7-9B76-4163-BBE1-63EF80CD12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X1 &amp; U9 &amp; O20 &amp; I10 &amp; P113</t>
        </r>
      </text>
    </comment>
    <comment ref="F762" authorId="0" shapeId="0" xr:uid="{3CD448B4-E504-4218-B10F-775C97131C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I5 &amp; E45 &amp; P130 &amp; N3</t>
        </r>
      </text>
    </comment>
    <comment ref="F776" authorId="0" shapeId="0" xr:uid="{436DAC58-9437-4F50-8133-1038CF0D79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O8 &amp; I20</t>
        </r>
      </text>
    </comment>
    <comment ref="F777" authorId="0" shapeId="0" xr:uid="{08493DBA-C49B-4FB5-A84C-E3657970F6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X5 &amp; U1 &amp; O10 &amp; I10 &amp; E25 &amp; P36</t>
        </r>
      </text>
    </comment>
    <comment ref="F783" authorId="0" shapeId="0" xr:uid="{538C3F82-2294-4929-A6C6-D12D0833CFA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O10 &amp; I10</t>
        </r>
      </text>
    </comment>
    <comment ref="F806" authorId="0" shapeId="0" xr:uid="{E418F66F-B970-43FB-B6EF-67433E87588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U3 &amp; O9 &amp; I9 &amp; P130</t>
        </r>
      </text>
    </comment>
    <comment ref="F832" authorId="0" shapeId="0" xr:uid="{B6F44C7A-DCB5-40C5-98C8-84CE350C2AC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Y2]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O8 &amp; I10 &amp; P159</t>
        </r>
      </text>
    </comment>
    <comment ref="F857" authorId="0" shapeId="0" xr:uid="{0F529140-DC6E-478A-AD28-6E3B9CE24A0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O10 &amp; I10 &amp; P133</t>
        </r>
      </text>
    </comment>
    <comment ref="F858" authorId="0" shapeId="0" xr:uid="{5D7F837F-FBF0-4BF5-888F-F0D75E950F1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O10 &amp; I10 &amp; P120</t>
        </r>
      </text>
    </comment>
    <comment ref="F859" authorId="0" shapeId="0" xr:uid="{2D9885B5-8D0C-45AF-AED2-0D1BDFB677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O10 &amp; I10 &amp; P134</t>
        </r>
      </text>
    </comment>
    <comment ref="F860" authorId="0" shapeId="0" xr:uid="{7F10038C-F09E-4663-A09D-D3E25502F9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O10 &amp; I10 &amp; P136</t>
        </r>
      </text>
    </comment>
    <comment ref="F917" authorId="0" shapeId="0" xr:uid="{7B47EA32-624B-46A0-AA39-0EA63440DD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I13 &amp; P90</t>
        </r>
      </text>
    </comment>
    <comment ref="F918" authorId="0" shapeId="0" xr:uid="{7909FF39-B5DD-4A64-BEA1-D46F910DE76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X2 &amp; I15</t>
        </r>
      </text>
    </comment>
    <comment ref="F927" authorId="0" shapeId="0" xr:uid="{66B717D8-9DFC-43EB-993B-4473D9976D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O5 &amp; I10 &amp; E45 &amp; P90</t>
        </r>
      </text>
    </comment>
    <comment ref="F928" authorId="0" shapeId="0" xr:uid="{5FBF6BB7-4C50-497B-80E0-6D586917D4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O9 &amp; I10</t>
        </r>
      </text>
    </comment>
    <comment ref="F929" authorId="0" shapeId="0" xr:uid="{74E5B9BE-31C3-4C39-8359-523E4B4E91F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 &amp; I20 &amp; P138</t>
        </r>
      </text>
    </comment>
    <comment ref="F930" authorId="0" shapeId="0" xr:uid="{09F0521C-151F-4403-B6CD-FD9C1FB752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O7 &amp; I10 &amp; P76</t>
        </r>
      </text>
    </comment>
    <comment ref="F990" authorId="0" shapeId="0" xr:uid="{4722748D-C3BF-40CF-B352-34411090C3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U3 &amp; O15 &amp; I10</t>
        </r>
      </text>
    </comment>
    <comment ref="F991" authorId="0" shapeId="0" xr:uid="{1F85428C-90FD-463D-B65F-62A761BAA5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O16 &amp; I10 &amp; P3</t>
        </r>
      </text>
    </comment>
    <comment ref="F992" authorId="0" shapeId="0" xr:uid="{4601EB6F-3E72-4E96-9610-67DA165C4C7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U3 &amp; O10 &amp; I10 &amp; P137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714E11E8-B5A3-4003-B0A6-E2CEB8A3E98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Q1 &amp; L5 &amp; S1 &amp; X11 &amp; P159</t>
        </r>
      </text>
    </comment>
    <comment ref="F19" authorId="0" shapeId="0" xr:uid="{04E6C0D3-5C56-410C-BEC6-961F1CC40D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G5 &amp; S3 &amp; X2 &amp; P159</t>
        </r>
      </text>
    </comment>
    <comment ref="F22" authorId="0" shapeId="0" xr:uid="{E907A586-33C6-4DA4-B875-DE62AEA045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S5 &amp; W10 &amp; X7 &amp; U8 &amp; O10 &amp; I9 &amp; P126</t>
        </r>
      </text>
    </comment>
    <comment ref="F23" authorId="0" shapeId="0" xr:uid="{107FB0DC-420A-4427-904A-1DD0345B933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W15 &amp; X7 &amp; U6 &amp; O7 &amp; I6 &amp; P129</t>
        </r>
      </text>
    </comment>
    <comment ref="F33" authorId="0" shapeId="0" xr:uid="{1748267A-1E80-4329-9FCB-CF7D73509B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S1 &amp; X1 &amp; P171</t>
        </r>
      </text>
    </comment>
    <comment ref="F34" authorId="0" shapeId="0" xr:uid="{606552DA-1B27-448D-90BB-70C94842B51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W18 &amp; T17 &amp; X27 &amp; U15</t>
        </r>
      </text>
    </comment>
    <comment ref="F44" authorId="0" shapeId="0" xr:uid="{28318D34-9759-4458-8CED-151D408765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S11 &amp; X7 &amp; U7 &amp; O6 &amp; I8 &amp; P119</t>
        </r>
      </text>
    </comment>
    <comment ref="F45" authorId="0" shapeId="0" xr:uid="{6DF7F2DD-5C1F-40AC-A798-29C13A03C7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S3 &amp; T1 &amp; X17 &amp; P139</t>
        </r>
      </text>
    </comment>
    <comment ref="F51" authorId="0" shapeId="0" xr:uid="{0CF7DE86-C5A1-4826-B646-EB43C41B47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S3 &amp; W2 &amp; T7 &amp; X10 &amp; P138 &amp; N2</t>
        </r>
      </text>
    </comment>
    <comment ref="F54" authorId="0" shapeId="0" xr:uid="{48C62953-0CCC-45E7-8022-68B986E1D1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X4 &amp; U7 &amp; O8 &amp; I8 &amp; P137 &amp; N1</t>
        </r>
      </text>
    </comment>
    <comment ref="F57" authorId="0" shapeId="0" xr:uid="{F4167122-5B86-4A34-8312-282E42EAC1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X6 &amp; U11 &amp; O10 &amp; P135</t>
        </r>
      </text>
    </comment>
    <comment ref="F61" authorId="0" shapeId="0" xr:uid="{3818F567-68C1-4968-AC9B-9A43A23D71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S8 &amp; X2 &amp; U11 &amp; O8 &amp; I13 &amp; P123</t>
        </r>
      </text>
    </comment>
    <comment ref="F63" authorId="0" shapeId="0" xr:uid="{196BF94F-24D7-4236-8C19-550C0E3C8D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T1 &amp; X10 &amp; U8 &amp; O8 &amp; I8 &amp; P124</t>
        </r>
      </text>
    </comment>
    <comment ref="F69" authorId="0" shapeId="0" xr:uid="{6366723E-871E-43A9-A046-D10EBB64A89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O21 &amp; P128</t>
        </r>
      </text>
    </comment>
    <comment ref="F70" authorId="0" shapeId="0" xr:uid="{5A2B6D54-7589-4D38-B1F4-698938F091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O23 &amp; E1 &amp; P134</t>
        </r>
      </text>
    </comment>
    <comment ref="F72" authorId="0" shapeId="0" xr:uid="{51509E8F-220B-4DAF-88D7-6B313C94EA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U12 &amp; O14 &amp; I11 &amp; P109</t>
        </r>
      </text>
    </comment>
    <comment ref="F79" authorId="0" shapeId="0" xr:uid="{516A385F-6DEE-41D7-9675-BE47D683FE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U5 &amp; O10 &amp; E45 &amp; P90</t>
        </r>
      </text>
    </comment>
    <comment ref="F86" authorId="0" shapeId="0" xr:uid="{048F06B4-0924-4432-B922-33E98EF1BC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T2 &amp; X11 &amp; U11 &amp; O10 &amp; P95</t>
        </r>
      </text>
    </comment>
    <comment ref="F93" authorId="0" shapeId="0" xr:uid="{EF1BE475-5D44-4829-9D18-DF7D0CFB0C1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 &amp; U11 &amp; O10 &amp; P142</t>
        </r>
      </text>
    </comment>
    <comment ref="F107" authorId="0" shapeId="0" xr:uid="{3C409B45-60F9-437D-B303-D44205E089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S2 &amp; X5 &amp; U11 &amp; O10 &amp; P135 &amp; N4</t>
        </r>
      </text>
    </comment>
    <comment ref="F110" authorId="0" shapeId="0" xr:uid="{72892613-9C21-44A8-91BA-C8DC5F68B14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29-OCT]_x000D_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O3 &amp; I9 &amp; P161</t>
        </r>
      </text>
    </comment>
    <comment ref="F111" authorId="0" shapeId="0" xr:uid="{C9E4B5EA-5AF9-4B62-9BE8-DD81E0C6A3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O9 &amp; P158</t>
        </r>
      </text>
    </comment>
    <comment ref="F113" authorId="0" shapeId="0" xr:uid="{51E8E105-2F25-423E-A82E-735189499A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O6 &amp; I6 &amp; P134</t>
        </r>
      </text>
    </comment>
    <comment ref="F119" authorId="0" shapeId="0" xr:uid="{250A5FB0-286D-4A51-9B17-83EF6664BA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U10 &amp; O10 &amp; I11 &amp; P131</t>
        </r>
      </text>
    </comment>
    <comment ref="F125" authorId="0" shapeId="0" xr:uid="{52D7B2B5-6F97-41BA-AE11-C2732C62C6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O5 &amp; E41 &amp; P125</t>
        </r>
      </text>
    </comment>
    <comment ref="F126" authorId="0" shapeId="0" xr:uid="{D2D0C943-BDF1-4F60-9EE6-A636D0E9C5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X2 &amp; U8 &amp; O8 &amp; I8 &amp; P135</t>
        </r>
      </text>
    </comment>
    <comment ref="F127" authorId="0" shapeId="0" xr:uid="{3B541262-6999-4F95-AD01-6BD1B1BDFB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X7 &amp; U10 &amp; O6 &amp; I6 &amp; P125</t>
        </r>
      </text>
    </comment>
    <comment ref="F132" authorId="0" shapeId="0" xr:uid="{8C17E1B5-4C70-405B-BAD7-EA586E2283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O5 &amp; I5 &amp; P157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8026FC74-6FD9-4A69-8424-2D07A51206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U8 &amp; P155</t>
        </r>
      </text>
    </comment>
    <comment ref="F3" authorId="0" shapeId="0" xr:uid="{D9220AA3-7B1E-4BD1-B0C3-B2B64D8E1A5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S1 &amp; X3 &amp; I3 &amp; P167</t>
        </r>
      </text>
    </comment>
    <comment ref="F7" authorId="0" shapeId="0" xr:uid="{6AF38CFC-EA8D-4A10-9983-4423797053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O9 &amp; I21 &amp; E43 &amp; P41</t>
        </r>
      </text>
    </comment>
    <comment ref="F8" authorId="0" shapeId="0" xr:uid="{B1D7CF0F-CA83-4134-87B0-2FF58456182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U7 &amp; O11 &amp; I20 &amp; E30 &amp; P78</t>
        </r>
      </text>
    </comment>
    <comment ref="F11" authorId="0" shapeId="0" xr:uid="{B54AAA94-0F55-4160-B85E-013D731E106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U6 &amp; O2 &amp; I16</t>
        </r>
      </text>
    </comment>
    <comment ref="F12" authorId="0" shapeId="0" xr:uid="{A6D74850-5705-4AF2-A5B8-EC6768108C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T2 &amp; X2 &amp; U9 &amp; O5 &amp; I23 &amp; P44</t>
        </r>
      </text>
    </comment>
    <comment ref="F13" authorId="0" shapeId="0" xr:uid="{773C9B11-06BA-4CE5-940B-AACF4F0E25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O8 &amp; I10 &amp; E1 &amp; P95</t>
        </r>
      </text>
    </comment>
    <comment ref="F15" authorId="0" shapeId="0" xr:uid="{B393C495-E0EB-4724-9C35-07B5E7356D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W1 &amp; X6 &amp; U11 &amp; O20 &amp; I40 &amp; P2</t>
        </r>
      </text>
    </comment>
    <comment ref="F16" authorId="0" shapeId="0" xr:uid="{25C6917C-4A88-42A2-8F85-4BBD9B6D08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W1 &amp; X12 &amp; U2 &amp; O2 &amp; I4 &amp; P95</t>
        </r>
      </text>
    </comment>
    <comment ref="F17" authorId="0" shapeId="0" xr:uid="{38AFF343-88F5-4078-AFE7-7A314639DF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W1 &amp; T2 &amp; X1 &amp; U12 &amp; I4 &amp; P135</t>
        </r>
      </text>
    </comment>
    <comment ref="F24" authorId="0" shapeId="0" xr:uid="{8988F903-037F-49C4-B9EA-D98F6505C82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X4 &amp; U14 &amp; O2 &amp; I20 &amp; P75</t>
        </r>
      </text>
    </comment>
    <comment ref="F25" authorId="0" shapeId="0" xr:uid="{A7C9C719-CE52-435B-89E7-3502169A08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X5 &amp; U7 &amp; I33 &amp; E45</t>
        </r>
      </text>
    </comment>
    <comment ref="F26" authorId="0" shapeId="0" xr:uid="{56A61E5D-21F6-45FD-B993-CD35F8236C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U9 &amp; O7 &amp; I12 &amp; P32</t>
        </r>
      </text>
    </comment>
    <comment ref="F27" authorId="0" shapeId="0" xr:uid="{51ACE9B3-65A5-4704-A628-8CFA1E3026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W4 &amp; X7 &amp; U18 &amp; O4 &amp; I32 &amp; P72</t>
        </r>
      </text>
    </comment>
    <comment ref="F29" authorId="0" shapeId="0" xr:uid="{C96DEC91-0874-4ACA-A1AE-BB9262A58CC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X6 &amp; U9 &amp; P132</t>
        </r>
      </text>
    </comment>
    <comment ref="F30" authorId="0" shapeId="0" xr:uid="{222932B9-8A83-4617-AFE3-E6267116FA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P172</t>
        </r>
      </text>
    </comment>
    <comment ref="F36" authorId="0" shapeId="0" xr:uid="{26BFB08E-5FBF-434F-BB0F-EB45A6586C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W1 &amp; U13 &amp; E44 &amp; P90</t>
        </r>
      </text>
    </comment>
    <comment ref="F37" authorId="0" shapeId="0" xr:uid="{D86AD060-8121-4A03-8899-8E57F2C7C2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S5 &amp; X2 &amp; U3 &amp; O2 &amp; I4 &amp; P131</t>
        </r>
      </text>
    </comment>
    <comment ref="F38" authorId="0" shapeId="0" xr:uid="{872301A1-1EC8-49DC-9DE2-B588A5F337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O10 &amp; I5 &amp; P97</t>
        </r>
      </text>
    </comment>
    <comment ref="F39" authorId="0" shapeId="0" xr:uid="{84ABDD2D-F71D-469E-8278-4DBE2ECD2A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U13 &amp; I2 &amp; P44</t>
        </r>
      </text>
    </comment>
    <comment ref="F40" authorId="0" shapeId="0" xr:uid="{102E0C35-F46A-40DD-9C76-3BAC5BBEB3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X1 &amp; U9 &amp; O16 &amp; I15 &amp; E45 &amp; P23</t>
        </r>
      </text>
    </comment>
    <comment ref="F41" authorId="0" shapeId="0" xr:uid="{3F287567-721A-4956-84DB-74629F0588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S4 &amp; W1 &amp; X10 &amp; U3 &amp; O2 &amp; I4 &amp; P1</t>
        </r>
      </text>
    </comment>
    <comment ref="F42" authorId="0" shapeId="0" xr:uid="{A6ED3DE9-4377-4780-AE6E-04D9CD6E2BE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U12 &amp; P84</t>
        </r>
      </text>
    </comment>
    <comment ref="F43" authorId="0" shapeId="0" xr:uid="{933F309C-D547-4BF9-93F5-57E8E2B32C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U3 &amp; O2 &amp; I4 &amp; P70</t>
        </r>
      </text>
    </comment>
    <comment ref="F44" authorId="0" shapeId="0" xr:uid="{E8CBA5B5-BD71-4317-8654-0880D8DB8C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U18 &amp; I1 &amp; P125</t>
        </r>
      </text>
    </comment>
    <comment ref="F49" authorId="0" shapeId="0" xr:uid="{1B03D663-E01F-4931-A6A9-76B20227133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O3 &amp; P90</t>
        </r>
      </text>
    </comment>
    <comment ref="F52" authorId="0" shapeId="0" xr:uid="{F4A65582-6B8E-4812-BC02-BDB0AC5033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X5 &amp; U3 &amp; O2 &amp; I4 &amp; P115</t>
        </r>
      </text>
    </comment>
    <comment ref="F54" authorId="0" shapeId="0" xr:uid="{E7C25D1F-E621-4406-AA9F-E3F3285841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O3 &amp; I11 &amp; P90</t>
        </r>
      </text>
    </comment>
    <comment ref="F55" authorId="0" shapeId="0" xr:uid="{68262C7F-5263-435B-B15D-78F76C6E3E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O1 &amp; I4 &amp; P50</t>
        </r>
      </text>
    </comment>
    <comment ref="F56" authorId="0" shapeId="0" xr:uid="{BA3634DD-51DE-4FD1-AF17-98A1EED737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O6 &amp; I15 &amp; P100</t>
        </r>
      </text>
    </comment>
    <comment ref="F58" authorId="0" shapeId="0" xr:uid="{FB0A6A59-394B-4DA7-9D93-76B5A48455C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U6 &amp; I4 &amp; P45</t>
        </r>
      </text>
    </comment>
    <comment ref="F59" authorId="0" shapeId="0" xr:uid="{78E68FCF-B904-4F49-813D-95B0AEE7E2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T1 &amp; U2 &amp; I6 &amp; P51</t>
        </r>
      </text>
    </comment>
    <comment ref="F64" authorId="0" shapeId="0" xr:uid="{88980939-98FC-4912-BEF7-C779D854D8D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X5 &amp; U6 &amp; I3 &amp; P91</t>
        </r>
      </text>
    </comment>
    <comment ref="F65" authorId="0" shapeId="0" xr:uid="{4EEF39FC-7234-48B4-A268-5F9958DE9F1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I4 &amp; E45 &amp; P130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B0BC1511-D7FF-42BB-AF95-ACC788D8BC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X83 &amp; U97</t>
        </r>
      </text>
    </comment>
    <comment ref="F3" authorId="0" shapeId="0" xr:uid="{7EFFFC32-DB5F-4B86-AA83-3564F5BFB73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X45 &amp; U135</t>
        </r>
      </text>
    </comment>
    <comment ref="F4" authorId="0" shapeId="0" xr:uid="{72EC64C6-0BA7-49AC-8245-E0500909548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U179</t>
        </r>
      </text>
    </comment>
    <comment ref="F5" authorId="0" shapeId="0" xr:uid="{C479062D-4060-4BC0-A332-56467B0CC5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X45 &amp; U135</t>
        </r>
      </text>
    </comment>
    <comment ref="F9" authorId="0" shapeId="0" xr:uid="{7B0BB0E4-666B-441A-8169-D8BD6E8BB3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X133 &amp; U49</t>
        </r>
      </text>
    </comment>
    <comment ref="F10" authorId="0" shapeId="0" xr:uid="{0B0BD136-E24B-46FA-93BF-9AF39CB1C02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X94 &amp; U83</t>
        </r>
      </text>
    </comment>
    <comment ref="F11" authorId="0" shapeId="0" xr:uid="{387ADD21-B69B-41CA-8F93-AEE8E0CDCE2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X12 &amp; U122</t>
        </r>
      </text>
    </comment>
    <comment ref="F15" authorId="0" shapeId="0" xr:uid="{DF4B8052-B1ED-4698-81A2-CAB843DF1E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16" authorId="0" shapeId="0" xr:uid="{C3A0B182-3E73-4F3E-8A6E-28EC2936BF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17" authorId="0" shapeId="0" xr:uid="{02AA6A1A-15A9-4ECF-84A8-69E56A4161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18" authorId="0" shapeId="0" xr:uid="{DD3B3033-2798-49B1-8688-F903DFB503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ED178D2A-EE12-4D9D-900F-2E30906985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U180</t>
        </r>
      </text>
    </comment>
    <comment ref="F3" authorId="0" shapeId="0" xr:uid="{56C118B6-4F27-4AA9-AACB-1187D41DDD9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U179 &amp; O1</t>
        </r>
      </text>
    </comment>
    <comment ref="F4" authorId="0" shapeId="0" xr:uid="{20D5A645-B487-4190-ACFC-2751E4DEDBC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X180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F1847AC8-A45D-447F-80FE-F6BA30C05C9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U3 &amp; O21 &amp; I80</t>
        </r>
      </text>
    </comment>
    <comment ref="F67" authorId="0" shapeId="0" xr:uid="{76E515D3-E654-489D-A0BC-4961CDA394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Q2 &amp; K1 &amp; S1 &amp; W1 &amp; I70</t>
        </r>
      </text>
    </comment>
    <comment ref="F68" authorId="0" shapeId="0" xr:uid="{239F4AE2-E410-48E7-938F-C3D16F424F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O29 &amp; I58</t>
        </r>
      </text>
    </comment>
    <comment ref="F119" authorId="0" shapeId="0" xr:uid="{A9B0796B-1310-45D1-99D3-1190AB8698D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K2 &amp; S2 &amp; W3 &amp; X2 &amp; U13 &amp; O10 &amp; I60</t>
        </r>
      </text>
    </comment>
    <comment ref="F165" authorId="0" shapeId="0" xr:uid="{430A6D26-B09A-492F-9C72-6EB0213CBF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W4 &amp; I60</t>
        </r>
      </text>
    </comment>
    <comment ref="F168" authorId="0" shapeId="0" xr:uid="{F8DC8A49-7525-460C-AB0C-9377B187C2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U3 &amp; O27 &amp; I50</t>
        </r>
      </text>
    </comment>
    <comment ref="F223" authorId="0" shapeId="0" xr:uid="{E92DB4CD-7FAD-434F-958B-151F7AEDEC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W1 &amp; U2 &amp; O18 &amp; I60</t>
        </r>
      </text>
    </comment>
    <comment ref="F271" authorId="0" shapeId="0" xr:uid="{9CCC4502-B6B0-4E6E-80B0-F74020A328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W1 &amp; U1 &amp; O20 &amp; I50</t>
        </r>
      </text>
    </comment>
    <comment ref="F310" authorId="0" shapeId="0" xr:uid="{BDB19A3E-56B5-44E6-9B40-B536A3DEA8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I4</t>
        </r>
      </text>
    </comment>
    <comment ref="F329" authorId="0" shapeId="0" xr:uid="{236BD542-18DA-4F8B-9CA6-748B552B70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I11 &amp; N1</t>
        </r>
      </text>
    </comment>
    <comment ref="F349" authorId="0" shapeId="0" xr:uid="{99E6F41E-9B10-4D99-98AC-48837DD276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 &amp; I3</t>
        </r>
      </text>
    </comment>
    <comment ref="F350" authorId="0" shapeId="0" xr:uid="{42A3D99E-0410-4A67-9927-DB014239EFA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I19</t>
        </r>
      </text>
    </comment>
    <comment ref="F382" authorId="0" shapeId="0" xr:uid="{38CBEB6A-2B05-4F00-95F0-893CDAF971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U5 &amp; O19</t>
        </r>
      </text>
    </comment>
    <comment ref="F418" authorId="0" shapeId="0" xr:uid="{6E62DFA0-7FE2-4E4A-8FC1-02B821F89B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O14 &amp; I17</t>
        </r>
      </text>
    </comment>
    <comment ref="F419" authorId="0" shapeId="0" xr:uid="{B78734D6-F0DF-4DAA-B72E-A43D3A8B182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O4 &amp; I17</t>
        </r>
      </text>
    </comment>
    <comment ref="F468" authorId="0" shapeId="0" xr:uid="{B3D9DD2C-D569-4184-9FD3-55D5F867D7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I9</t>
        </r>
      </text>
    </comment>
    <comment ref="F525" authorId="0" shapeId="0" xr:uid="{D562D3FF-7F32-4FAC-8665-5E17A72CF3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 &amp; I6</t>
        </r>
      </text>
    </comment>
    <comment ref="F573" authorId="0" shapeId="0" xr:uid="{76AE30EE-7CA2-4CEE-A08E-84DDB645CD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U4 &amp; O1 &amp; I9</t>
        </r>
      </text>
    </comment>
    <comment ref="F609" authorId="0" shapeId="0" xr:uid="{472FA927-4C0E-4C04-AC49-104AE49C20A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U5 &amp; O2 &amp; I4</t>
        </r>
      </text>
    </comment>
    <comment ref="F649" authorId="0" shapeId="0" xr:uid="{64F23985-058B-420F-8085-A5A2999816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O5 &amp; I10</t>
        </r>
      </text>
    </comment>
    <comment ref="F650" authorId="0" shapeId="0" xr:uid="{F3DD8B17-5597-47AD-B0BF-432C86FCBB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X1 &amp; U1 &amp; O5 &amp; I15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5F4928AB-E170-4BE7-A76D-878D4B901C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W2 &amp; U8 &amp; O38 &amp; I20</t>
        </r>
      </text>
    </comment>
    <comment ref="F4" authorId="0" shapeId="0" xr:uid="{5BE6FF74-9C1B-4689-9EAF-2EF6BEE861F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W4 &amp; T1 &amp; U4 &amp; O57 &amp; I12</t>
        </r>
      </text>
    </comment>
    <comment ref="F7" authorId="0" shapeId="0" xr:uid="{F43B5D95-BD47-4847-842E-BE96C379F6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W3 &amp; X7 &amp; U20 &amp; O49 &amp; I1</t>
        </r>
      </text>
    </comment>
    <comment ref="F9" authorId="0" shapeId="0" xr:uid="{7BFBFBB4-D68F-4DAF-88E1-5C4DC15CA3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X11 &amp; U20 &amp; O10 &amp; I20</t>
        </r>
      </text>
    </comment>
    <comment ref="F10" authorId="0" shapeId="0" xr:uid="{95DFB530-C9A8-4987-B592-9473BF4ACD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T3 &amp; X17 &amp; U14 &amp; O25</t>
        </r>
      </text>
    </comment>
    <comment ref="F13" authorId="0" shapeId="0" xr:uid="{0FD9D8AD-BB3C-424F-BC24-09F36A68D4A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W1 &amp; T3 &amp; X1 &amp; U24 &amp; O26</t>
        </r>
      </text>
    </comment>
    <comment ref="F15" authorId="0" shapeId="0" xr:uid="{5F287055-13F6-4E5B-BCBA-6434659112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O26</t>
        </r>
      </text>
    </comment>
    <comment ref="F16" authorId="0" shapeId="0" xr:uid="{41C07786-3BA3-43AC-B4A2-8FEFE7714E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U12 &amp; O3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BE09C8C5-6066-4D08-9F5D-FF32329247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W5 &amp; O6 &amp; I46</t>
        </r>
      </text>
    </comment>
    <comment ref="F35" authorId="0" shapeId="0" xr:uid="{E1587D47-1C01-4EE5-B42B-81633F86E8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S2 &amp; W4 &amp; X1 &amp; U4 &amp; O1 &amp; I27</t>
        </r>
      </text>
    </comment>
    <comment ref="F44" authorId="0" shapeId="0" xr:uid="{C2592383-C7E4-4AFA-A88E-41BE75F180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S11 &amp; W1 &amp; O7 &amp; I28</t>
        </r>
      </text>
    </comment>
    <comment ref="F55" authorId="0" shapeId="0" xr:uid="{F99068D7-C6A0-45FF-9838-C9750B01C9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G1 &amp; S7 &amp; W6 &amp; U1 &amp; I13</t>
        </r>
      </text>
    </comment>
    <comment ref="F84" authorId="0" shapeId="0" xr:uid="{7F89F36E-3DAC-47D1-A69B-4547656868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T2 &amp; X7 &amp; U2 &amp; O4 &amp; I26</t>
        </r>
      </text>
    </comment>
    <comment ref="F105" authorId="0" shapeId="0" xr:uid="{E82CD842-78E8-4FED-A3B2-DE4BFAEFEF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W2 &amp; T10 &amp; X3 &amp; U4 &amp; O3 &amp; I20</t>
        </r>
      </text>
    </comment>
    <comment ref="F114" authorId="0" shapeId="0" xr:uid="{DE6D3DB3-904D-4EB0-9638-7D74F4C83A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X8 &amp; U10 &amp; O7 &amp; I26</t>
        </r>
      </text>
    </comment>
    <comment ref="F126" authorId="0" shapeId="0" xr:uid="{F1EE8EE5-4404-4320-BF5C-21643FAAC1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U8 &amp; O2 &amp; I9</t>
        </r>
      </text>
    </comment>
    <comment ref="F152" authorId="0" shapeId="0" xr:uid="{135F417B-C981-4AAA-BC90-E5A140B1F6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X7 &amp; U4 &amp; O1 &amp; I16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3C8259A8-D36B-4B15-88A3-D97635FA8C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W3 &amp; T1 &amp; X2 &amp; U29 &amp; O19 &amp; I10</t>
        </r>
      </text>
    </comment>
    <comment ref="F5" authorId="0" shapeId="0" xr:uid="{B6E6898F-B31D-4573-8642-EB8A39FDE5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T1 &amp; X15 &amp; U30 &amp; O15 &amp; I15</t>
        </r>
      </text>
    </comment>
    <comment ref="F6" authorId="0" shapeId="0" xr:uid="{29BA2BB8-E245-4BCA-8EE4-5B681865EF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X5 &amp; U22 &amp; O3</t>
        </r>
      </text>
    </comment>
    <comment ref="F9" authorId="0" shapeId="0" xr:uid="{CE49AAAA-8B68-4E6F-942F-B0819B73220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U5 &amp; O24 &amp; I15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9F1677CF-9FC9-4F87-AB89-94EF98B834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O11 &amp; I18</t>
        </r>
      </text>
    </comment>
    <comment ref="F11" authorId="0" shapeId="0" xr:uid="{AC7C432C-09E3-4371-9226-2545450B9E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U3 &amp; O29 &amp; I18</t>
        </r>
      </text>
    </comment>
    <comment ref="F19" authorId="0" shapeId="0" xr:uid="{F15DBA75-3BF5-4747-9F91-1F9F9240B8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O12 &amp; I15</t>
        </r>
      </text>
    </comment>
    <comment ref="F28" authorId="0" shapeId="0" xr:uid="{AAE4FDDB-E028-405F-AB4F-7AB2BD1B25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O20 &amp; I20</t>
        </r>
      </text>
    </comment>
    <comment ref="F32" authorId="0" shapeId="0" xr:uid="{7EA8507E-1A4B-44F8-B2A1-02A02AA1631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O22 &amp; I36</t>
        </r>
      </text>
    </comment>
    <comment ref="F38" authorId="0" shapeId="0" xr:uid="{F2907B46-6030-422F-8E39-1984B7EEEB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13-SEP]_x000D_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</t>
        </r>
      </text>
    </comment>
    <comment ref="F42" authorId="0" shapeId="0" xr:uid="{1A8F292B-7838-4406-BE6F-16D930811A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O5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FAFFF18E-B500-4F07-AB7F-71D9313201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O34 &amp; I10</t>
        </r>
      </text>
    </comment>
    <comment ref="F5" authorId="0" shapeId="0" xr:uid="{3BCDCF91-B416-410F-9AA1-7B3BD5E2778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 &amp; U15 &amp; O3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294EB52A-ACDC-4710-BE99-7A9C0DA5BB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T2 &amp; X24 &amp; U20 &amp; O25 &amp; I35</t>
        </r>
      </text>
    </comment>
    <comment ref="F3" authorId="0" shapeId="0" xr:uid="{FE374C30-09AD-49C9-B7B5-722366BA78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O21 &amp; I37</t>
        </r>
      </text>
    </comment>
    <comment ref="F6" authorId="0" shapeId="0" xr:uid="{4389B1DC-A0BC-402C-8296-1B85BE308B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O36 &amp; I1</t>
        </r>
      </text>
    </comment>
    <comment ref="F8" authorId="0" shapeId="0" xr:uid="{F7693BB2-6DF2-4B16-BE7D-066F77A4E7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O37 &amp; I1</t>
        </r>
      </text>
    </comment>
    <comment ref="F9" authorId="0" shapeId="0" xr:uid="{59F61AAD-32E9-474D-A526-C39DD1CC29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O7 &amp; I18</t>
        </r>
      </text>
    </comment>
    <comment ref="F12" authorId="0" shapeId="0" xr:uid="{40ECB5C8-7339-4802-908D-0B8D9E8D81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O6 &amp; I3</t>
        </r>
      </text>
    </comment>
    <comment ref="F14" authorId="0" shapeId="0" xr:uid="{BD9BEE15-AC74-43FC-99EB-BBEBD2F2A2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O10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755B6E65-D38C-4612-9F29-DE052632089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U22 &amp; O49 &amp; I1</t>
        </r>
      </text>
    </comment>
    <comment ref="F5" authorId="0" shapeId="0" xr:uid="{6BE3B690-F564-4CA0-B459-0D08E61302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O31 &amp; I2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" authorId="0" shapeId="0" xr:uid="{7E637632-164D-4708-9DCB-F64D0ECD34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L3 &amp; S3 &amp; X5 &amp; P159</t>
        </r>
      </text>
    </comment>
    <comment ref="F5" authorId="0" shapeId="0" xr:uid="{56FBB314-D7D6-4423-A729-AD059792A0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T13 &amp; X3 &amp; U4 &amp; O1 &amp; I15 &amp; P117</t>
        </r>
      </text>
    </comment>
    <comment ref="F7" authorId="0" shapeId="0" xr:uid="{4946D754-907A-4E99-BFFD-E3B92C2639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V3 &amp; W6 &amp; T1 &amp; X21 &amp; P137</t>
        </r>
      </text>
    </comment>
    <comment ref="F8" authorId="0" shapeId="0" xr:uid="{6A22C3B3-EAAC-4936-B23D-C2C9A76417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 &amp; S1 &amp; W7 &amp; T20 &amp; X10 &amp; U32 &amp; O9 &amp; I28 &amp; P40</t>
        </r>
      </text>
    </comment>
    <comment ref="F9" authorId="0" shapeId="0" xr:uid="{8F966623-7770-478D-A5AE-E81AF5DA80B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Y1 &amp; G11 &amp; W2 &amp; X7 &amp; U1 &amp; O6 &amp; I4 &amp; P137</t>
        </r>
      </text>
    </comment>
    <comment ref="F10" authorId="0" shapeId="0" xr:uid="{99CC2BAC-F19F-400D-86BD-B3881126E6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W2 &amp; T6 &amp; X7 &amp; U18 &amp; O20 &amp; I29 &amp; P89</t>
        </r>
      </text>
    </comment>
    <comment ref="F11" authorId="0" shapeId="0" xr:uid="{A1A81E42-475E-471D-BC5A-A445C278D6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W16 &amp; I7 &amp; P130</t>
        </r>
      </text>
    </comment>
    <comment ref="F14" authorId="0" shapeId="0" xr:uid="{FB5A9952-2AC7-4280-8980-6C1E2572C4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H8]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W9 &amp; P156</t>
        </r>
      </text>
    </comment>
    <comment ref="F15" authorId="0" shapeId="0" xr:uid="{06A61E78-1BAC-4EA2-B7D0-CB24243A51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W6 &amp; T2 &amp; X5 &amp; P106</t>
        </r>
      </text>
    </comment>
    <comment ref="F18" authorId="0" shapeId="0" xr:uid="{CEF35F10-5C62-472C-9228-95F3D25994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W9 &amp; P158 &amp; N2</t>
        </r>
      </text>
    </comment>
    <comment ref="F19" authorId="0" shapeId="0" xr:uid="{B89B6CF3-8BCD-41E8-95E5-6F029B65F8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W3 &amp; T7 &amp; X8 &amp; U10 &amp; O45 &amp; I5 &amp; P85</t>
        </r>
      </text>
    </comment>
    <comment ref="F20" authorId="0" shapeId="0" xr:uid="{8CD40D8C-5878-48D0-B693-A227CC3D04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W7 &amp; E49 &amp; P120</t>
        </r>
      </text>
    </comment>
    <comment ref="F21" authorId="0" shapeId="0" xr:uid="{54CCF01D-6B81-4E13-8520-A87869D30B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 &amp; P162</t>
        </r>
      </text>
    </comment>
    <comment ref="F22" authorId="0" shapeId="0" xr:uid="{B81A141E-BD25-4543-8924-E2FA8498C1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S3 &amp; W9 &amp; P129</t>
        </r>
      </text>
    </comment>
    <comment ref="F24" authorId="0" shapeId="0" xr:uid="{3000F705-D8D4-4F53-A7CE-8D34D3C98F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W13 &amp; P143</t>
        </r>
      </text>
    </comment>
    <comment ref="F25" authorId="0" shapeId="0" xr:uid="{0E1B2C82-C0D8-4280-AF23-9C2F80F039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W5 &amp; P165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AE084ACF-01CC-45FE-B8F0-E8152361E5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W4 &amp; T6 &amp; X62 &amp; O1</t>
        </r>
      </text>
    </comment>
    <comment ref="F7" authorId="0" shapeId="0" xr:uid="{466116B6-415D-4643-A399-8A9720F3D2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W3 &amp; T8 &amp; X39 &amp; U9 &amp; O10</t>
        </r>
      </text>
    </comment>
    <comment ref="F12" authorId="0" shapeId="0" xr:uid="{CFE153AB-0B50-4EE9-919E-353A87CDF4A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T1 &amp; X33 &amp; U6 &amp; O9 &amp; I8</t>
        </r>
      </text>
    </comment>
    <comment ref="F18" authorId="0" shapeId="0" xr:uid="{F6BA984F-C3E8-4E0D-A5BB-DBC670ED45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X18 &amp; U7 &amp; O3</t>
        </r>
      </text>
    </comment>
    <comment ref="F20" authorId="0" shapeId="0" xr:uid="{76321B9A-ACCC-4CE7-911D-ACE8EEE8DD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S3 &amp; W7 &amp; T4 &amp; X29 &amp; U11 &amp; O1</t>
        </r>
      </text>
    </comment>
    <comment ref="F23" authorId="0" shapeId="0" xr:uid="{EC3BD0D3-859D-4044-940D-AD070365DC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X11 &amp; U4 &amp; O4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9938DF61-B351-44DF-B086-B786E638D9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L3 &amp; G19 &amp; S14 &amp; W10</t>
        </r>
      </text>
    </comment>
    <comment ref="F5" authorId="0" shapeId="0" xr:uid="{0A4671F2-A904-488F-AFFE-66C40C7641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G7 &amp; S3 &amp; W5 &amp; T5 &amp; X9 &amp; O2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6EBF7C2F-E7A5-4291-8665-ABE5178AA99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O10 &amp; I46</t>
        </r>
      </text>
    </comment>
    <comment ref="F20" authorId="0" shapeId="0" xr:uid="{F0BCC6D3-B7A2-4769-A96C-8BA58E1FED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W4 &amp; O11</t>
        </r>
      </text>
    </comment>
    <comment ref="F24" authorId="0" shapeId="0" xr:uid="{FF932016-6119-4767-BC06-E7D6F324E01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W4 &amp; O61</t>
        </r>
      </text>
    </comment>
    <comment ref="F34" authorId="0" shapeId="0" xr:uid="{6E35D056-7D83-4511-9C01-766668B10F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T1 &amp; X6 &amp; U10 &amp; O50</t>
        </r>
      </text>
    </comment>
    <comment ref="F40" authorId="0" shapeId="0" xr:uid="{4D37922C-9D98-4367-B4DA-9FE6B605A0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U9 &amp; O10</t>
        </r>
      </text>
    </comment>
    <comment ref="F43" authorId="0" shapeId="0" xr:uid="{5DA4E1BB-9FBB-4863-B1A5-81EA4477F3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U9 &amp; O33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2CBDBEEA-A39F-4AAB-8690-32D5066F5C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X1 &amp; U9 &amp; O59</t>
        </r>
      </text>
    </comment>
    <comment ref="F3" authorId="0" shapeId="0" xr:uid="{98A7E24C-1807-49D3-9DE4-6F1C174B05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U18 &amp; O30</t>
        </r>
      </text>
    </comment>
    <comment ref="F6" authorId="0" shapeId="0" xr:uid="{A1C87E48-1A48-44AB-AB08-9804D02EEE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X2 &amp; U7 &amp; O30</t>
        </r>
      </text>
    </comment>
    <comment ref="F7" authorId="0" shapeId="0" xr:uid="{068F072A-F8E8-4273-8398-4A7CDF9C94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U4 &amp; O25</t>
        </r>
      </text>
    </comment>
    <comment ref="F10" authorId="0" shapeId="0" xr:uid="{F68547B0-C99B-4550-99EA-31F5AC09ED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U6 &amp; O43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4B02E3F8-BC38-4267-81BF-F6D1EB1A9B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W5 &amp; X10 &amp; U35</t>
        </r>
      </text>
    </comment>
    <comment ref="F8" authorId="0" shapeId="0" xr:uid="{A7670540-62A7-4A68-869A-CD71F6ED0FC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X5 &amp; U27 &amp; O5 &amp; I5</t>
        </r>
      </text>
    </comment>
    <comment ref="F14" authorId="0" shapeId="0" xr:uid="{73C78BD1-69D4-4914-91B9-1F0DF35D69F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U16 &amp; O5</t>
        </r>
      </text>
    </comment>
    <comment ref="F17" authorId="0" shapeId="0" xr:uid="{450CEEA4-9FF4-4102-A968-D0498E942A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U5 &amp; O3</t>
        </r>
      </text>
    </comment>
  </commentList>
</comments>
</file>

<file path=xl/sharedStrings.xml><?xml version="1.0" encoding="utf-8"?>
<sst xmlns="http://schemas.openxmlformats.org/spreadsheetml/2006/main" count="37368" uniqueCount="1575">
  <si>
    <t>COMPREHENSIVE REPORT</t>
  </si>
  <si>
    <t>MED-CAI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</si>
  <si>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</si>
  <si>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</si>
  <si>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</si>
  <si>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</si>
  <si>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</si>
  <si>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</si>
  <si>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</si>
  <si>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</si>
  <si>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</si>
  <si>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</si>
  <si>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</si>
  <si>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</si>
  <si>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</si>
  <si>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</si>
  <si>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</si>
  <si>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</si>
  <si>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</si>
  <si>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</si>
  <si>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</si>
  <si>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</si>
  <si>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</si>
  <si>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</si>
  <si>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</si>
  <si>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</si>
  <si>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</si>
  <si>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</si>
  <si>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</si>
  <si>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</si>
  <si>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559 SAR</t>
  </si>
  <si>
    <t>Cabin: 10 KG / Check-in: 25 KG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</si>
  <si>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</si>
  <si>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709 SAR</t>
  </si>
  <si>
    <t>Cabin: 10 KG / Check-in: 2 x 40 KG</t>
  </si>
  <si>
    <t>1,099 SAR</t>
  </si>
  <si>
    <t>flynas</t>
  </si>
  <si>
    <t>XY-576</t>
  </si>
  <si>
    <t>Cabin: 7 KG / Check-in: 20 KG</t>
  </si>
  <si>
    <t>639 SAR</t>
  </si>
  <si>
    <t>Cabin: 7 KG / Check-in: 30 KG</t>
  </si>
  <si>
    <t>739 SAR</t>
  </si>
  <si>
    <t>Cabin: 7 KG / Check-in: 2 x 40 KG</t>
  </si>
  <si>
    <t>829 SAR</t>
  </si>
  <si>
    <t>Air Cairo</t>
  </si>
  <si>
    <t>SM-488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</si>
  <si>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</si>
  <si>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</si>
  <si>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758 SAR</t>
  </si>
  <si>
    <t>SM488</t>
  </si>
  <si>
    <t>2025-11-20 00:00:00</t>
  </si>
  <si>
    <t>G9</t>
  </si>
  <si>
    <t>L5 &amp; G14 &amp; S10 &amp; W10 &amp; T10 &amp; X10 &amp; U10 &amp; O10 &amp; I10</t>
  </si>
  <si>
    <t>SM-496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</si>
  <si>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</si>
  <si>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t>914 SAR</t>
  </si>
  <si>
    <t>SM496</t>
  </si>
  <si>
    <t>2025-11-04 00:00:00</t>
  </si>
  <si>
    <t>V8</t>
  </si>
  <si>
    <t>L1 &amp; I4 &amp; E44 &amp; P114</t>
  </si>
  <si>
    <t>SM494</t>
  </si>
  <si>
    <t>30KG + 7KG CABIN</t>
  </si>
  <si>
    <t>FULLY BOOKED</t>
  </si>
  <si>
    <t>2025-11-19 00:00:00</t>
  </si>
  <si>
    <t>CLOSED</t>
  </si>
  <si>
    <t>Q2 &amp; K5 &amp; V4 &amp; S11 &amp; X3 &amp; U5 &amp; O9 &amp; I17 &amp; P123</t>
  </si>
  <si>
    <t>EgyptAir</t>
  </si>
  <si>
    <t>MS-676</t>
  </si>
  <si>
    <t>Cabin: 7 KG | Check-in: 2 PIECE</t>
  </si>
  <si>
    <t>866 SAR</t>
  </si>
  <si>
    <t>MS-694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</si>
  <si>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</si>
  <si>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962 SAR</t>
  </si>
  <si>
    <t>MS-696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</si>
  <si>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</si>
  <si>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t>MS-640</t>
  </si>
  <si>
    <t>MS-678</t>
  </si>
  <si>
    <t>1,654 SAR</t>
  </si>
  <si>
    <t>Saudia</t>
  </si>
  <si>
    <t>SV-319</t>
  </si>
  <si>
    <t>Cabin: 7 KG / Check-in: 23 KG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</si>
  <si>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</si>
  <si>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1,020 SAR</t>
  </si>
  <si>
    <t>Cabin: 7 KG / Check-in: 2 x 46 KG</t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</si>
  <si>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</si>
  <si>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1,160 SAR</t>
  </si>
  <si>
    <t>SV-6903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</si>
  <si>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</si>
  <si>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</si>
  <si>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SV-381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</si>
  <si>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</si>
  <si>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t>1,868 SAR</t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</si>
  <si>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</si>
  <si>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2,009 SAR</t>
  </si>
  <si>
    <t>SV-391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</si>
  <si>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</si>
  <si>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757 SAR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</si>
  <si>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</si>
  <si>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1,121 SAR</t>
  </si>
  <si>
    <t>1,465 SAR</t>
  </si>
  <si>
    <t>1,385 SAR</t>
  </si>
  <si>
    <t>1,525 SAR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</si>
  <si>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</si>
  <si>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619 SAR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</si>
  <si>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</si>
  <si>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769 SAR</t>
  </si>
  <si>
    <t>XY-793</t>
  </si>
  <si>
    <t>749 SAR</t>
  </si>
  <si>
    <t>849 SAR</t>
  </si>
  <si>
    <t>939 SAR</t>
  </si>
  <si>
    <t>1,299 SAR</t>
  </si>
  <si>
    <t>1,399 SAR</t>
  </si>
  <si>
    <t>1,489 SAR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</si>
  <si>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</si>
  <si>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</si>
  <si>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</si>
  <si>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1,945 SAR</t>
  </si>
  <si>
    <t>SM-494</t>
  </si>
  <si>
    <t>1,472 SAR</t>
  </si>
  <si>
    <t>B4</t>
  </si>
  <si>
    <t>V7 &amp; L2 &amp; S1 &amp; U6 &amp; O9 &amp; I17 &amp; P128 &amp; N1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</si>
  <si>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</si>
  <si>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</si>
  <si>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</si>
  <si>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</si>
  <si>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2,165 SAR</t>
  </si>
  <si>
    <t>2,305 SAR</t>
  </si>
  <si>
    <t>1,259 SAR</t>
  </si>
  <si>
    <t>1,313 SAR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</si>
  <si>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</si>
  <si>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2025-11-09 00:00:00</t>
  </si>
  <si>
    <t>G2 &amp; S12 &amp; I22 &amp; P133 &amp; N4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</si>
  <si>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</si>
  <si>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1,499 SAR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</si>
  <si>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</si>
  <si>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889 SAR</t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</si>
  <si>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</si>
  <si>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989 SAR</t>
  </si>
  <si>
    <t>1,079 SAR</t>
  </si>
  <si>
    <t>1,298 SAR</t>
  </si>
  <si>
    <t>2025-11-14 00:00:00</t>
  </si>
  <si>
    <t>M5</t>
  </si>
  <si>
    <t>L4 &amp; G3 &amp; S4 &amp; W4 &amp; T4 &amp; X4 &amp; U4 &amp; O4 &amp; I4 &amp; P133</t>
  </si>
  <si>
    <t>699 SAR</t>
  </si>
  <si>
    <t>799 SAR</t>
  </si>
  <si>
    <t>1,059 SAR</t>
  </si>
  <si>
    <t>1,159 SAR</t>
  </si>
  <si>
    <t>1,249 SAR</t>
  </si>
  <si>
    <r>
      <rPr>
        <b/>
        <i/>
        <sz val="13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</si>
  <si>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10</t>
    </r>
    <r>
      <rPr>
        <i/>
        <sz val="10"/>
        <rFont val="Calibri"/>
      </rPr>
      <t xml:space="preserve"> FOR SAME CLASS</t>
    </r>
  </si>
  <si>
    <t>V9</t>
  </si>
  <si>
    <t>L10 &amp; G10 &amp; S10 &amp; W10 &amp; T10 &amp; X10 &amp; U10 &amp; O10 &amp; I10 &amp; P41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</si>
  <si>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</si>
  <si>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992 SAR</t>
  </si>
  <si>
    <t>2025-11-13 00:00:00</t>
  </si>
  <si>
    <t>K6</t>
  </si>
  <si>
    <t>S6 &amp; X9 &amp; U8 &amp; O8 &amp; I17 &amp; E29 &amp; P90 &amp; N1</t>
  </si>
  <si>
    <t>2025-11-10 00:00:00</t>
  </si>
  <si>
    <t>S5 &amp; O9 &amp; I17 &amp; E46 &amp; P90 &amp; N2</t>
  </si>
  <si>
    <t>745 SAR</t>
  </si>
  <si>
    <t>885 SAR</t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</si>
  <si>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</si>
  <si>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Y3 &amp; S4 &amp; U1 &amp; O9 &amp; I17 &amp; P135</t>
  </si>
  <si>
    <t>Cabin: 0 KG | Check-in: 15 KG</t>
  </si>
  <si>
    <t>Cabin: 7 KG | Check-in: 20 KG</t>
  </si>
  <si>
    <t>682 SAR</t>
  </si>
  <si>
    <t>589 SAR</t>
  </si>
  <si>
    <t>689 SAR</t>
  </si>
  <si>
    <t>779 SAR</t>
  </si>
  <si>
    <t>S1 &amp; X1 &amp; U8 &amp; O9 &amp; I17 &amp; P137 &amp; N2</t>
  </si>
  <si>
    <t>G3 &amp; S4 &amp; W4 &amp; T4 &amp; X4 &amp; U6 &amp; O4 &amp; I4 &amp; P145</t>
  </si>
  <si>
    <r>
      <rPr>
        <b/>
        <i/>
        <sz val="13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</si>
  <si>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16</t>
    </r>
    <r>
      <rPr>
        <i/>
        <sz val="10"/>
        <rFont val="Calibri"/>
      </rPr>
      <t xml:space="preserve"> FOR SAME CLASS</t>
    </r>
  </si>
  <si>
    <t>G2</t>
  </si>
  <si>
    <t>G6 &amp; S16 &amp; W4 &amp; T10 &amp; X10 &amp; U10 &amp; O10 &amp; I10 &amp; P90</t>
  </si>
  <si>
    <t>2025-11-21 00:00:00</t>
  </si>
  <si>
    <t>S1 &amp; X3 &amp; U7 &amp; O8 &amp; I17 &amp; P132</t>
  </si>
  <si>
    <t>S4 &amp; U8 &amp; O6 &amp; I19 &amp; E40 &amp; P89 &amp; N4</t>
  </si>
  <si>
    <t>870 SAR</t>
  </si>
  <si>
    <t>609 SAR</t>
  </si>
  <si>
    <r>
      <rPr>
        <b/>
        <i/>
        <sz val="13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</si>
  <si>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11</t>
    </r>
    <r>
      <rPr>
        <i/>
        <sz val="10"/>
        <rFont val="Calibri"/>
      </rPr>
      <t xml:space="preserve"> FOR SAME CLASS</t>
    </r>
  </si>
  <si>
    <t>949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</si>
  <si>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</si>
  <si>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</si>
  <si>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</si>
  <si>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</si>
  <si>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</si>
  <si>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</si>
  <si>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</si>
  <si>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</si>
  <si>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</si>
  <si>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</si>
  <si>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</si>
  <si>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</si>
  <si>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</si>
  <si>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</si>
  <si>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</si>
  <si>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</si>
  <si>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</si>
  <si>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</si>
  <si>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</si>
  <si>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</si>
  <si>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</si>
  <si>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</si>
  <si>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</si>
  <si>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</si>
  <si>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</si>
  <si>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</si>
  <si>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</si>
  <si>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</si>
  <si>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</si>
  <si>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</si>
  <si>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01:10</t>
  </si>
  <si>
    <t>320</t>
  </si>
  <si>
    <t>UPCOMING</t>
  </si>
  <si>
    <t>L1</t>
  </si>
  <si>
    <t>I4</t>
  </si>
  <si>
    <t>E44</t>
  </si>
  <si>
    <t>P114</t>
  </si>
  <si>
    <t>06:40</t>
  </si>
  <si>
    <t>L5</t>
  </si>
  <si>
    <t>G14</t>
  </si>
  <si>
    <t>S10</t>
  </si>
  <si>
    <t>W10</t>
  </si>
  <si>
    <t>T10</t>
  </si>
  <si>
    <t>X10</t>
  </si>
  <si>
    <t>U10</t>
  </si>
  <si>
    <t>O10</t>
  </si>
  <si>
    <t>I10</t>
  </si>
  <si>
    <t>23:30</t>
  </si>
  <si>
    <t>Q2</t>
  </si>
  <si>
    <t>K5</t>
  </si>
  <si>
    <t>V4</t>
  </si>
  <si>
    <t>S11</t>
  </si>
  <si>
    <t>X3</t>
  </si>
  <si>
    <t>U5</t>
  </si>
  <si>
    <t>O9</t>
  </si>
  <si>
    <t>I17</t>
  </si>
  <si>
    <t>P123</t>
  </si>
  <si>
    <t>THURSDAY</t>
  </si>
  <si>
    <t>12:55</t>
  </si>
  <si>
    <t>V7</t>
  </si>
  <si>
    <t>L2</t>
  </si>
  <si>
    <t>S1</t>
  </si>
  <si>
    <t>U6</t>
  </si>
  <si>
    <t>P128</t>
  </si>
  <si>
    <t>N1</t>
  </si>
  <si>
    <t>SATURDAY</t>
  </si>
  <si>
    <t>09:30</t>
  </si>
  <si>
    <t>S12</t>
  </si>
  <si>
    <t>I22</t>
  </si>
  <si>
    <t>P133</t>
  </si>
  <si>
    <t>N4</t>
  </si>
  <si>
    <t>SUNDAY</t>
  </si>
  <si>
    <t>21:40</t>
  </si>
  <si>
    <t>L4</t>
  </si>
  <si>
    <t>G3</t>
  </si>
  <si>
    <t>S4</t>
  </si>
  <si>
    <t>W4</t>
  </si>
  <si>
    <t>T4</t>
  </si>
  <si>
    <t>X4</t>
  </si>
  <si>
    <t>U4</t>
  </si>
  <si>
    <t>O4</t>
  </si>
  <si>
    <t>S6</t>
  </si>
  <si>
    <t>X9</t>
  </si>
  <si>
    <t>U8</t>
  </si>
  <si>
    <t>O8</t>
  </si>
  <si>
    <t>E29</t>
  </si>
  <si>
    <t>P90</t>
  </si>
  <si>
    <t>L10</t>
  </si>
  <si>
    <t>G10</t>
  </si>
  <si>
    <t>P41</t>
  </si>
  <si>
    <t>S5</t>
  </si>
  <si>
    <t>E46</t>
  </si>
  <si>
    <t>N2</t>
  </si>
  <si>
    <t>Y3</t>
  </si>
  <si>
    <t>U1</t>
  </si>
  <si>
    <t>P135</t>
  </si>
  <si>
    <t>X1</t>
  </si>
  <si>
    <t>P137</t>
  </si>
  <si>
    <t>P145</t>
  </si>
  <si>
    <t>U7</t>
  </si>
  <si>
    <t>P132</t>
  </si>
  <si>
    <t>G6</t>
  </si>
  <si>
    <t>S16</t>
  </si>
  <si>
    <t>O6</t>
  </si>
  <si>
    <t>I19</t>
  </si>
  <si>
    <t>E40</t>
  </si>
  <si>
    <t>P89</t>
  </si>
  <si>
    <t>DATE</t>
  </si>
  <si>
    <t>ROUTE</t>
  </si>
  <si>
    <t>2025-11-25</t>
  </si>
  <si>
    <t>10:05</t>
  </si>
  <si>
    <t>18:10</t>
  </si>
  <si>
    <t>MED-HBE</t>
  </si>
  <si>
    <t>SM-486</t>
  </si>
  <si>
    <t>1,088 SAR</t>
  </si>
  <si>
    <t>SM486</t>
  </si>
  <si>
    <t>Q3</t>
  </si>
  <si>
    <t>K4 &amp; V2 &amp; L6 &amp; X8 &amp; P153</t>
  </si>
  <si>
    <t>1,184 SAR</t>
  </si>
  <si>
    <t>H5</t>
  </si>
  <si>
    <t>Q3 &amp; S2 &amp; X7 &amp; U8 &amp; O8 &amp; I6 &amp; P135</t>
  </si>
  <si>
    <t>M4</t>
  </si>
  <si>
    <t>V1 &amp; L6 &amp; S29 &amp; T8 &amp; X10 &amp; P121</t>
  </si>
  <si>
    <t>MS-680</t>
  </si>
  <si>
    <t>941 SAR</t>
  </si>
  <si>
    <t>1,417 SAR</t>
  </si>
  <si>
    <t>B9</t>
  </si>
  <si>
    <t>H3 &amp; S14 &amp; X9 &amp; P144</t>
  </si>
  <si>
    <t>2025-11-17 00:00:00</t>
  </si>
  <si>
    <t>S3 &amp; O7 &amp; I8 &amp; P161</t>
  </si>
  <si>
    <t>S2 &amp; I4 &amp; P173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</si>
  <si>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</si>
  <si>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1,251 SAR</t>
  </si>
  <si>
    <t>1,691 SAR</t>
  </si>
  <si>
    <t>Y5</t>
  </si>
  <si>
    <t>Y1 &amp; L7 &amp; S9 &amp; U4 &amp; O10 &amp; I9 &amp; P130</t>
  </si>
  <si>
    <t>G4</t>
  </si>
  <si>
    <t>G4 &amp; S6 &amp; X1 &amp; U6 &amp; O10 &amp; I10 &amp; P134</t>
  </si>
  <si>
    <t>G9 &amp; S2 &amp; I5 &amp; P161</t>
  </si>
  <si>
    <t>836 SAR</t>
  </si>
  <si>
    <t>P2</t>
  </si>
  <si>
    <t>L3 &amp; G4 &amp; S4 &amp; W4 &amp; T8 &amp; X8 &amp; P133</t>
  </si>
  <si>
    <t>07:50</t>
  </si>
  <si>
    <t>K4</t>
  </si>
  <si>
    <t>V2</t>
  </si>
  <si>
    <t>L6</t>
  </si>
  <si>
    <t>X8</t>
  </si>
  <si>
    <t>P153</t>
  </si>
  <si>
    <t>WEDNESDAY</t>
  </si>
  <si>
    <t>22:40</t>
  </si>
  <si>
    <t>S2</t>
  </si>
  <si>
    <t>X7</t>
  </si>
  <si>
    <t>I6</t>
  </si>
  <si>
    <t>15:30</t>
  </si>
  <si>
    <t>V1</t>
  </si>
  <si>
    <t>S29</t>
  </si>
  <si>
    <t>T8</t>
  </si>
  <si>
    <t>P121</t>
  </si>
  <si>
    <t>09:40</t>
  </si>
  <si>
    <t>H3</t>
  </si>
  <si>
    <t>S14</t>
  </si>
  <si>
    <t>P144</t>
  </si>
  <si>
    <t>S3</t>
  </si>
  <si>
    <t>O7</t>
  </si>
  <si>
    <t>I8</t>
  </si>
  <si>
    <t>P161</t>
  </si>
  <si>
    <t>P173</t>
  </si>
  <si>
    <t>Y1</t>
  </si>
  <si>
    <t>L7</t>
  </si>
  <si>
    <t>S9</t>
  </si>
  <si>
    <t>I9</t>
  </si>
  <si>
    <t>P130</t>
  </si>
  <si>
    <t>P134</t>
  </si>
  <si>
    <t>I5</t>
  </si>
  <si>
    <t>L3</t>
  </si>
  <si>
    <t>MED-ATZ</t>
  </si>
  <si>
    <t>SM-490</t>
  </si>
  <si>
    <t>455 SAR</t>
  </si>
  <si>
    <t>SM490</t>
  </si>
  <si>
    <t>S12 &amp; X4 &amp; U14 &amp; O25 &amp; I25 &amp; P50</t>
  </si>
  <si>
    <t>SEATS AVAILABLE</t>
  </si>
  <si>
    <t>U9</t>
  </si>
  <si>
    <t>S6 &amp; X5 &amp; U21 &amp; O30 &amp; I20</t>
  </si>
  <si>
    <t>Indirect competition route MED – CAI - diversion ratio &amp; passenger leakage</t>
  </si>
  <si>
    <t>SM-70</t>
  </si>
  <si>
    <t>22:30</t>
  </si>
  <si>
    <t>Cabin: 7 KG | Check-in: 1 PIECE</t>
  </si>
  <si>
    <t>2 FOR SAME CLASS</t>
  </si>
  <si>
    <t>4,277 EGP</t>
  </si>
  <si>
    <t>S3 &amp; X18 &amp; U5 &amp; O3 &amp; I9 &amp; P86</t>
  </si>
  <si>
    <t>S4 &amp; X3 &amp; U8 &amp; O9 &amp; I23 &amp; P79</t>
  </si>
  <si>
    <t>401 SAR</t>
  </si>
  <si>
    <t>I1</t>
  </si>
  <si>
    <t>X1 &amp; U1 &amp; O6 &amp; I19</t>
  </si>
  <si>
    <t>+9 FOR SAME CLASS</t>
  </si>
  <si>
    <t>2025-11-16 00:00:00</t>
  </si>
  <si>
    <t>S3 &amp; X7 &amp; U5 &amp; O3 &amp; I9 &amp; P52</t>
  </si>
  <si>
    <t>S2 &amp; X1 &amp; U5 &amp; O13 &amp; I17 &amp; P49</t>
  </si>
  <si>
    <t>14:50</t>
  </si>
  <si>
    <t>U14</t>
  </si>
  <si>
    <t>O25</t>
  </si>
  <si>
    <t>I25</t>
  </si>
  <si>
    <t>P50</t>
  </si>
  <si>
    <t>22:55</t>
  </si>
  <si>
    <t>X5</t>
  </si>
  <si>
    <t>U21</t>
  </si>
  <si>
    <t>O30</t>
  </si>
  <si>
    <t>I20</t>
  </si>
  <si>
    <t>MONDAY</t>
  </si>
  <si>
    <t>19:20</t>
  </si>
  <si>
    <t>X18</t>
  </si>
  <si>
    <t>O3</t>
  </si>
  <si>
    <t>P86</t>
  </si>
  <si>
    <t>I23</t>
  </si>
  <si>
    <t>P79</t>
  </si>
  <si>
    <t>P52</t>
  </si>
  <si>
    <t>O13</t>
  </si>
  <si>
    <t>P49</t>
  </si>
  <si>
    <t>2025-11-26</t>
  </si>
  <si>
    <t>MED-CAI AS ALTERNATIVE ROUTE</t>
  </si>
  <si>
    <t>JED-CAI</t>
  </si>
  <si>
    <t>Nesma Airlines</t>
  </si>
  <si>
    <t>NE-171</t>
  </si>
  <si>
    <t>Cabin: 7 KG | Check-in: 30 KG</t>
  </si>
  <si>
    <t>400 SAR</t>
  </si>
  <si>
    <t>NE-173</t>
  </si>
  <si>
    <t>595 SAR</t>
  </si>
  <si>
    <t>Nile Air</t>
  </si>
  <si>
    <t>NP-228</t>
  </si>
  <si>
    <t>NP-328</t>
  </si>
  <si>
    <t>NP-128</t>
  </si>
  <si>
    <t>599 SAR</t>
  </si>
  <si>
    <t>SM-476</t>
  </si>
  <si>
    <t>436 SAR</t>
  </si>
  <si>
    <t>SM476</t>
  </si>
  <si>
    <t>X1 &amp; U10 &amp; O19 &amp; I30 &amp; P46</t>
  </si>
  <si>
    <t>SM-472</t>
  </si>
  <si>
    <t>SM472</t>
  </si>
  <si>
    <t>G1 &amp; S8 &amp; X3 &amp; U10 &amp; O21 &amp; I30</t>
  </si>
  <si>
    <t>SM-424</t>
  </si>
  <si>
    <t>SM424</t>
  </si>
  <si>
    <t>S2 &amp; X4 &amp; U5 &amp; O15 &amp; I15 &amp; P86</t>
  </si>
  <si>
    <t>SM-478</t>
  </si>
  <si>
    <t>471 SAR</t>
  </si>
  <si>
    <t>SM478</t>
  </si>
  <si>
    <t>S5 &amp; X7 &amp; U14 &amp; O35 &amp; I15 &amp; P82</t>
  </si>
  <si>
    <t>SM-460</t>
  </si>
  <si>
    <t>SM460</t>
  </si>
  <si>
    <t>S1 &amp; W2 &amp; X4 &amp; U16 &amp; O15 &amp; I9 &amp; P116</t>
  </si>
  <si>
    <t>SM480</t>
  </si>
  <si>
    <t>2025-11-18 00:00:00</t>
  </si>
  <si>
    <t>S2 &amp; X1 &amp; U15 &amp; O15 &amp; I15 &amp; P117 &amp; N3</t>
  </si>
  <si>
    <t>XY-567</t>
  </si>
  <si>
    <t>449 SAR</t>
  </si>
  <si>
    <t>549 SAR</t>
  </si>
  <si>
    <t>XY-573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</si>
  <si>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</si>
  <si>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489 SAR</t>
  </si>
  <si>
    <t>679 SAR</t>
  </si>
  <si>
    <t>XY-565</t>
  </si>
  <si>
    <t>XY-583</t>
  </si>
  <si>
    <t>XY-571</t>
  </si>
  <si>
    <t>XY-589</t>
  </si>
  <si>
    <t>XY-569</t>
  </si>
  <si>
    <t>XY-577</t>
  </si>
  <si>
    <t>529 SAR</t>
  </si>
  <si>
    <t>629 SAR</t>
  </si>
  <si>
    <t>719 SAR</t>
  </si>
  <si>
    <t>F3-755</t>
  </si>
  <si>
    <t>459 SAR</t>
  </si>
  <si>
    <t>F3-753</t>
  </si>
  <si>
    <t>F3-763</t>
  </si>
  <si>
    <t>F3-761</t>
  </si>
  <si>
    <t>Air Arabia Egypt</t>
  </si>
  <si>
    <t>E5-362</t>
  </si>
  <si>
    <t>Cabin: 10 KG / Check-in: 30 KG</t>
  </si>
  <si>
    <t>544 SAR</t>
  </si>
  <si>
    <t>667 SAR</t>
  </si>
  <si>
    <t>SV-335</t>
  </si>
  <si>
    <t>678 SAR</t>
  </si>
  <si>
    <t>723 SAR</t>
  </si>
  <si>
    <t>SV-309</t>
  </si>
  <si>
    <t>935 SAR</t>
  </si>
  <si>
    <t>980 SAR</t>
  </si>
  <si>
    <t>SV-383</t>
  </si>
  <si>
    <t>SV-387</t>
  </si>
  <si>
    <t>SV-301</t>
  </si>
  <si>
    <t>SV-303</t>
  </si>
  <si>
    <t>1,093 SAR</t>
  </si>
  <si>
    <t>1,138 SAR</t>
  </si>
  <si>
    <t>SV-6664</t>
  </si>
  <si>
    <t>1,349 SAR</t>
  </si>
  <si>
    <t>SV-6891</t>
  </si>
  <si>
    <t>SV-6893</t>
  </si>
  <si>
    <t>SV-389</t>
  </si>
  <si>
    <t>1,486 SAR</t>
  </si>
  <si>
    <t>1,531 SAR</t>
  </si>
  <si>
    <t>SV-6895</t>
  </si>
  <si>
    <t>1,524 SAR</t>
  </si>
  <si>
    <t>SV-305</t>
  </si>
  <si>
    <t>2,005 SAR</t>
  </si>
  <si>
    <t>2,050 SAR</t>
  </si>
  <si>
    <t>MS-662</t>
  </si>
  <si>
    <t>970 SAR</t>
  </si>
  <si>
    <t>MS-668</t>
  </si>
  <si>
    <t>MS-674</t>
  </si>
  <si>
    <t>1,080 SAR</t>
  </si>
  <si>
    <t>MS-666</t>
  </si>
  <si>
    <t>1,407 SAR</t>
  </si>
  <si>
    <t>MS-672</t>
  </si>
  <si>
    <t>1,844 SAR</t>
  </si>
  <si>
    <t>695 SAR</t>
  </si>
  <si>
    <t>U2 &amp; O21 &amp; I50</t>
  </si>
  <si>
    <t>S5 &amp; W1 &amp; U7 &amp; O18 &amp; I50 &amp; P47</t>
  </si>
  <si>
    <t>S2 &amp; U17 &amp; O22 &amp; I25 &amp; P45 &amp; N2</t>
  </si>
  <si>
    <t>419 SAR</t>
  </si>
  <si>
    <t>569 SAR</t>
  </si>
  <si>
    <t>E5-328</t>
  </si>
  <si>
    <t>536 SAR</t>
  </si>
  <si>
    <t>660 SAR</t>
  </si>
  <si>
    <t>MS-1672</t>
  </si>
  <si>
    <t>673 SAR</t>
  </si>
  <si>
    <t>MS-664</t>
  </si>
  <si>
    <t>765 SAR</t>
  </si>
  <si>
    <t>842 SAR</t>
  </si>
  <si>
    <t>MS-670</t>
  </si>
  <si>
    <t>MS-644</t>
  </si>
  <si>
    <t>1,260 SAR</t>
  </si>
  <si>
    <t>1,276 SAR</t>
  </si>
  <si>
    <t>1,321 SAR</t>
  </si>
  <si>
    <t>359 SAR</t>
  </si>
  <si>
    <t>509 SAR</t>
  </si>
  <si>
    <t>389 SAR</t>
  </si>
  <si>
    <t>539 SAR</t>
  </si>
  <si>
    <t>SM-450</t>
  </si>
  <si>
    <t>SM450</t>
  </si>
  <si>
    <t>I29 &amp; E28 &amp; N1</t>
  </si>
  <si>
    <t>SM-480</t>
  </si>
  <si>
    <t>S1 &amp; U4 &amp; O25 &amp; I32 &amp; E44 &amp; N2</t>
  </si>
  <si>
    <t>S3 &amp; U3 &amp; O22 &amp; I24 &amp; P89</t>
  </si>
  <si>
    <t>SM-432</t>
  </si>
  <si>
    <t>SM432</t>
  </si>
  <si>
    <t>S1 &amp; O6 &amp; I43</t>
  </si>
  <si>
    <t>O5</t>
  </si>
  <si>
    <t>O2 &amp; I10 &amp; P132</t>
  </si>
  <si>
    <t>S5 &amp; U4 &amp; O11 &amp; I30</t>
  </si>
  <si>
    <t>X1 &amp; U1 &amp; P84</t>
  </si>
  <si>
    <t>409 SAR</t>
  </si>
  <si>
    <t>469 SAR</t>
  </si>
  <si>
    <t>593 SAR</t>
  </si>
  <si>
    <t>1,225 SAR</t>
  </si>
  <si>
    <t>1,270 SAR</t>
  </si>
  <si>
    <t>1,228 SAR</t>
  </si>
  <si>
    <t>1,860 SAR</t>
  </si>
  <si>
    <t>1,905 SAR</t>
  </si>
  <si>
    <t>L1 &amp; G1 &amp; S1 &amp; U3 &amp; O29 &amp; I14 &amp; P68</t>
  </si>
  <si>
    <t>O18 &amp; I13 &amp; P39</t>
  </si>
  <si>
    <t>S3 &amp; O9 &amp; I36</t>
  </si>
  <si>
    <t>B1 &amp; U4 &amp; O9 &amp; I31</t>
  </si>
  <si>
    <t>S4 &amp; U11 &amp; O27 &amp; I36 &amp; N2</t>
  </si>
  <si>
    <t>U3</t>
  </si>
  <si>
    <t>S5 &amp; W3 &amp; U13 &amp; O20 &amp; I10 &amp; P114</t>
  </si>
  <si>
    <t>499 SAR</t>
  </si>
  <si>
    <t>649 SAR</t>
  </si>
  <si>
    <t>I7</t>
  </si>
  <si>
    <t>S2 &amp; W1 &amp; X3 &amp; U2 &amp; O29 &amp; I18 &amp; P73</t>
  </si>
  <si>
    <t>S3 &amp; X1 &amp; U10 &amp; O14 &amp; I19 &amp; E3 &amp; P95</t>
  </si>
  <si>
    <t>S1 &amp; T9 &amp; X9 &amp; O7 &amp; P102 &amp; N10</t>
  </si>
  <si>
    <t>430 SAR</t>
  </si>
  <si>
    <t>553 SAR</t>
  </si>
  <si>
    <t>456 SAR</t>
  </si>
  <si>
    <t>579 SAR</t>
  </si>
  <si>
    <t>974 SAR</t>
  </si>
  <si>
    <t>1,411 SAR</t>
  </si>
  <si>
    <t>1,848 SAR</t>
  </si>
  <si>
    <t>NE-177</t>
  </si>
  <si>
    <t>S2 &amp; U4 &amp; O28 &amp; I30 &amp; P47</t>
  </si>
  <si>
    <t>U4 &amp; O10 &amp; I5 &amp; P83</t>
  </si>
  <si>
    <t>S2 &amp; W2 &amp; X3 &amp; U10 &amp; O2 &amp; I1 &amp; P95</t>
  </si>
  <si>
    <t>526 SAR</t>
  </si>
  <si>
    <t>X2</t>
  </si>
  <si>
    <t>O4 &amp; I5 &amp; P157</t>
  </si>
  <si>
    <t>K1 &amp; S4 &amp; X7 &amp; U8 &amp; O8 &amp; I8 &amp; E43 &amp; P92 &amp; N2</t>
  </si>
  <si>
    <r>
      <rPr>
        <b/>
        <i/>
        <sz val="13"/>
        <rFont val="Calibri"/>
      </rPr>
      <t>10</t>
    </r>
    <r>
      <rPr>
        <b/>
        <i/>
        <sz val="10"/>
        <rFont val="Calibri"/>
      </rPr>
      <t xml:space="preserve"> FOR SAME CLASS</t>
    </r>
  </si>
  <si>
    <t>Cabin: 10 KG | Check-in: 30 KG</t>
  </si>
  <si>
    <t>422 SAR</t>
  </si>
  <si>
    <t>1,728 SAR</t>
  </si>
  <si>
    <t>669 SAR</t>
  </si>
  <si>
    <t>859 SAR</t>
  </si>
  <si>
    <t>447 SAR</t>
  </si>
  <si>
    <t>570 SAR</t>
  </si>
  <si>
    <t>477 SAR</t>
  </si>
  <si>
    <t>600 SAR</t>
  </si>
  <si>
    <t>S1 &amp; U3 &amp; O20 &amp; I20 &amp; E41 &amp; P75</t>
  </si>
  <si>
    <t>S4 &amp; X8 &amp; U11 &amp; O15 &amp; I10 &amp; P102 &amp; N4</t>
  </si>
  <si>
    <t>646 SAR</t>
  </si>
  <si>
    <t>W7</t>
  </si>
  <si>
    <t>S4 &amp; X1 &amp; U3 &amp; O8 &amp; I10 &amp; P132</t>
  </si>
  <si>
    <t>S2 &amp; O19 &amp; I10 &amp; P135</t>
  </si>
  <si>
    <t>1,773 SAR</t>
  </si>
  <si>
    <t>369 SAR</t>
  </si>
  <si>
    <t>S3 &amp; I26</t>
  </si>
  <si>
    <t>O12 &amp; I10 &amp; P90</t>
  </si>
  <si>
    <t>O1</t>
  </si>
  <si>
    <t>U3 &amp; O14 &amp; I10 &amp; P42</t>
  </si>
  <si>
    <t>S3 &amp; U8 &amp; O10 &amp; I10 &amp; P84</t>
  </si>
  <si>
    <t>U1 &amp; O10 &amp; I15 &amp; P92</t>
  </si>
  <si>
    <t>2025-11-15 00:00:00</t>
  </si>
  <si>
    <t>O10 &amp; I10 &amp; P96 &amp; N1</t>
  </si>
  <si>
    <t>432 SAR</t>
  </si>
  <si>
    <t>555 SAR</t>
  </si>
  <si>
    <t>1,642 SAR</t>
  </si>
  <si>
    <t>368 SAR</t>
  </si>
  <si>
    <t>492 SAR</t>
  </si>
  <si>
    <r>
      <rPr>
        <b/>
        <i/>
        <sz val="13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</si>
  <si>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</si>
  <si>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</si>
  <si>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13</t>
    </r>
    <r>
      <rPr>
        <i/>
        <sz val="10"/>
        <rFont val="Calibri"/>
      </rPr>
      <t xml:space="preserve"> FOR SAME CLASS</t>
    </r>
  </si>
  <si>
    <t>S4 &amp; U5 &amp; O10 &amp; I10 &amp; P82</t>
  </si>
  <si>
    <t>U11 &amp; O10 &amp; I10 &amp; P84</t>
  </si>
  <si>
    <t>1,204 SAR</t>
  </si>
  <si>
    <t>Q8</t>
  </si>
  <si>
    <t>S1 &amp; X2 &amp; O1 &amp; I13 &amp; P150</t>
  </si>
  <si>
    <t>574 SAR</t>
  </si>
  <si>
    <t>615 SAR</t>
  </si>
  <si>
    <t>I3</t>
  </si>
  <si>
    <t>S1 &amp; I27 &amp; P37</t>
  </si>
  <si>
    <t>S4 &amp; I21 &amp; P116</t>
  </si>
  <si>
    <t>S7 &amp; X2 &amp; U5 &amp; O14 &amp; I10 &amp; P99</t>
  </si>
  <si>
    <t>I15</t>
  </si>
  <si>
    <t>S1 &amp; O3 &amp; I20</t>
  </si>
  <si>
    <t>S1 &amp; O1 &amp; I30 &amp; P75</t>
  </si>
  <si>
    <t>S8 &amp; U5 &amp; O10 &amp; I10 &amp; E34 &amp; P91</t>
  </si>
  <si>
    <t>810 SAR</t>
  </si>
  <si>
    <t>855 SAR</t>
  </si>
  <si>
    <t>1,408 SAR</t>
  </si>
  <si>
    <t>1,453 SAR</t>
  </si>
  <si>
    <t>329 SAR</t>
  </si>
  <si>
    <t>429 SAR</t>
  </si>
  <si>
    <t>519 SAR</t>
  </si>
  <si>
    <t>355 SAR</t>
  </si>
  <si>
    <t>479 SAR</t>
  </si>
  <si>
    <t>E5-322</t>
  </si>
  <si>
    <t>E5-383</t>
  </si>
  <si>
    <t>374 SAR</t>
  </si>
  <si>
    <t>497 SAR</t>
  </si>
  <si>
    <t>O16 &amp; I10</t>
  </si>
  <si>
    <t>O11 &amp; I10</t>
  </si>
  <si>
    <t>S1 &amp; O9 &amp; I20</t>
  </si>
  <si>
    <t>U4 &amp; O10 &amp; I10 &amp; P46</t>
  </si>
  <si>
    <t>S2 &amp; U20 &amp; O8 &amp; I12 &amp; P45</t>
  </si>
  <si>
    <t>781 SAR</t>
  </si>
  <si>
    <t>2025-11-11 00:00:00</t>
  </si>
  <si>
    <t>S5 &amp; O9 &amp; I10 &amp; P140</t>
  </si>
  <si>
    <t>677 SAR</t>
  </si>
  <si>
    <t>1,178 SAR</t>
  </si>
  <si>
    <r>
      <rPr>
        <b/>
        <i/>
        <sz val="13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</si>
  <si>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</si>
  <si>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11</t>
    </r>
    <r>
      <rPr>
        <b/>
        <i/>
        <sz val="10"/>
        <rFont val="Calibri"/>
      </rPr>
      <t xml:space="preserve"> FOR SAME CLASS</t>
    </r>
  </si>
  <si>
    <t>S3 &amp; U2 &amp; O16 &amp; I10 &amp; P29</t>
  </si>
  <si>
    <t>U2</t>
  </si>
  <si>
    <t>S1 &amp; X1 &amp; U9 &amp; O20 &amp; I10 &amp; P113</t>
  </si>
  <si>
    <t>I5 &amp; E45 &amp; P130 &amp; N3</t>
  </si>
  <si>
    <t>O2</t>
  </si>
  <si>
    <t>O8 &amp; I20</t>
  </si>
  <si>
    <t>X5 &amp; U1 &amp; O10 &amp; I10 &amp; E25 &amp; P36</t>
  </si>
  <si>
    <t>S9 &amp; O10 &amp; I10</t>
  </si>
  <si>
    <t>706 SAR</t>
  </si>
  <si>
    <t>S2 &amp; U3 &amp; O9 &amp; I9 &amp; P130</t>
  </si>
  <si>
    <t>2,032 SAR</t>
  </si>
  <si>
    <t>Y2</t>
  </si>
  <si>
    <t>O8 &amp; I10 &amp; P159</t>
  </si>
  <si>
    <t>535 SAR</t>
  </si>
  <si>
    <t>658 SAR</t>
  </si>
  <si>
    <t>350 SAR</t>
  </si>
  <si>
    <t>473 SAR</t>
  </si>
  <si>
    <t>O10 &amp; I10 &amp; P133</t>
  </si>
  <si>
    <t>U1 &amp; O10 &amp; I10 &amp; P120</t>
  </si>
  <si>
    <t>S1 &amp; O10 &amp; I10 &amp; P134</t>
  </si>
  <si>
    <t>O10 &amp; I10 &amp; P136</t>
  </si>
  <si>
    <t>797 SAR</t>
  </si>
  <si>
    <t>289 SAR</t>
  </si>
  <si>
    <t>I13 &amp; P90</t>
  </si>
  <si>
    <t>X2 &amp; I15</t>
  </si>
  <si>
    <t>O5 &amp; I10 &amp; E45 &amp; P90</t>
  </si>
  <si>
    <t>U2 &amp; O9 &amp; I10</t>
  </si>
  <si>
    <t>O1 &amp; I20 &amp; P138</t>
  </si>
  <si>
    <t>S2 &amp; X1 &amp; O7 &amp; I10 &amp; P76</t>
  </si>
  <si>
    <r>
      <rPr>
        <b/>
        <i/>
        <sz val="13"/>
        <rFont val="Calibri"/>
      </rPr>
      <t>16</t>
    </r>
    <r>
      <rPr>
        <b/>
        <i/>
        <sz val="10"/>
        <rFont val="Calibri"/>
      </rPr>
      <t xml:space="preserve"> FOR SAME CLASS</t>
    </r>
  </si>
  <si>
    <t>387 SAR</t>
  </si>
  <si>
    <t>S3 &amp; U3 &amp; O15 &amp; I10</t>
  </si>
  <si>
    <t>S2 &amp; O16 &amp; I10 &amp; P3</t>
  </si>
  <si>
    <t>S3 &amp; U3 &amp; O10 &amp; I10 &amp; P137</t>
  </si>
  <si>
    <t>1,084 SAR</t>
  </si>
  <si>
    <t>897 SAR</t>
  </si>
  <si>
    <t>1,030 SAR</t>
  </si>
  <si>
    <t>1,193 SAR</t>
  </si>
  <si>
    <t>1,326 SAR</t>
  </si>
  <si>
    <t>05:30</t>
  </si>
  <si>
    <t>G1</t>
  </si>
  <si>
    <t>S8</t>
  </si>
  <si>
    <t>O21</t>
  </si>
  <si>
    <t>I30</t>
  </si>
  <si>
    <t>13:25</t>
  </si>
  <si>
    <t>U15</t>
  </si>
  <si>
    <t>O15</t>
  </si>
  <si>
    <t>P117</t>
  </si>
  <si>
    <t>N3</t>
  </si>
  <si>
    <t>14:45</t>
  </si>
  <si>
    <t>O35</t>
  </si>
  <si>
    <t>P82</t>
  </si>
  <si>
    <t>17:30</t>
  </si>
  <si>
    <t>W2</t>
  </si>
  <si>
    <t>U16</t>
  </si>
  <si>
    <t>P116</t>
  </si>
  <si>
    <t>22:25</t>
  </si>
  <si>
    <t>23:15</t>
  </si>
  <si>
    <t>O19</t>
  </si>
  <si>
    <t>P46</t>
  </si>
  <si>
    <t>12:25</t>
  </si>
  <si>
    <t>I50</t>
  </si>
  <si>
    <t>12:30</t>
  </si>
  <si>
    <t>W1</t>
  </si>
  <si>
    <t>O18</t>
  </si>
  <si>
    <t>P47</t>
  </si>
  <si>
    <t>U17</t>
  </si>
  <si>
    <t>O22</t>
  </si>
  <si>
    <t>P45</t>
  </si>
  <si>
    <t>P84</t>
  </si>
  <si>
    <t>02:45</t>
  </si>
  <si>
    <t>O11</t>
  </si>
  <si>
    <t>06:05</t>
  </si>
  <si>
    <t>I29</t>
  </si>
  <si>
    <t>E28</t>
  </si>
  <si>
    <t>08:00</t>
  </si>
  <si>
    <t>08:45</t>
  </si>
  <si>
    <t>I43</t>
  </si>
  <si>
    <t>14:00</t>
  </si>
  <si>
    <t>I24</t>
  </si>
  <si>
    <t>17:45</t>
  </si>
  <si>
    <t>I32</t>
  </si>
  <si>
    <t>FRIDAY</t>
  </si>
  <si>
    <t>B1</t>
  </si>
  <si>
    <t>I31</t>
  </si>
  <si>
    <t>07:40</t>
  </si>
  <si>
    <t>I36</t>
  </si>
  <si>
    <t>11:00</t>
  </si>
  <si>
    <t>I13</t>
  </si>
  <si>
    <t>P39</t>
  </si>
  <si>
    <t>O29</t>
  </si>
  <si>
    <t>I14</t>
  </si>
  <si>
    <t>P68</t>
  </si>
  <si>
    <t>17:40</t>
  </si>
  <si>
    <t>U11</t>
  </si>
  <si>
    <t>O27</t>
  </si>
  <si>
    <t>W3</t>
  </si>
  <si>
    <t>U13</t>
  </si>
  <si>
    <t>O20</t>
  </si>
  <si>
    <t>05:40</t>
  </si>
  <si>
    <t>I18</t>
  </si>
  <si>
    <t>P73</t>
  </si>
  <si>
    <t>O14</t>
  </si>
  <si>
    <t>E3</t>
  </si>
  <si>
    <t>P95</t>
  </si>
  <si>
    <t>16:20</t>
  </si>
  <si>
    <t>T9</t>
  </si>
  <si>
    <t>P102</t>
  </si>
  <si>
    <t>N10</t>
  </si>
  <si>
    <t>02:00</t>
  </si>
  <si>
    <t>O28</t>
  </si>
  <si>
    <t>P83</t>
  </si>
  <si>
    <t>12:15</t>
  </si>
  <si>
    <t>P157</t>
  </si>
  <si>
    <t>15:10</t>
  </si>
  <si>
    <t>K1</t>
  </si>
  <si>
    <t>E43</t>
  </si>
  <si>
    <t>P92</t>
  </si>
  <si>
    <t>00:10</t>
  </si>
  <si>
    <t>10:10</t>
  </si>
  <si>
    <t>E41</t>
  </si>
  <si>
    <t>P75</t>
  </si>
  <si>
    <t>I26</t>
  </si>
  <si>
    <t>O12</t>
  </si>
  <si>
    <t>P96</t>
  </si>
  <si>
    <t>P42</t>
  </si>
  <si>
    <t>P150</t>
  </si>
  <si>
    <t>I27</t>
  </si>
  <si>
    <t>P37</t>
  </si>
  <si>
    <t>I21</t>
  </si>
  <si>
    <t>E34</t>
  </si>
  <si>
    <t>P91</t>
  </si>
  <si>
    <t>S7</t>
  </si>
  <si>
    <t>P99</t>
  </si>
  <si>
    <t>O16</t>
  </si>
  <si>
    <t>U20</t>
  </si>
  <si>
    <t>I12</t>
  </si>
  <si>
    <t>P140</t>
  </si>
  <si>
    <t>P29</t>
  </si>
  <si>
    <t>P113</t>
  </si>
  <si>
    <t>E45</t>
  </si>
  <si>
    <t>E25</t>
  </si>
  <si>
    <t>P36</t>
  </si>
  <si>
    <t>P159</t>
  </si>
  <si>
    <t>P120</t>
  </si>
  <si>
    <t>P136</t>
  </si>
  <si>
    <t>P76</t>
  </si>
  <si>
    <t>P138</t>
  </si>
  <si>
    <t>P3</t>
  </si>
  <si>
    <t>06:35</t>
  </si>
  <si>
    <t>01:05</t>
  </si>
  <si>
    <t>JED-HBE</t>
  </si>
  <si>
    <t>F3-773</t>
  </si>
  <si>
    <t>Hand baggage only</t>
  </si>
  <si>
    <t>Cabin: 10 KG</t>
  </si>
  <si>
    <t>578 SAR</t>
  </si>
  <si>
    <t>Cabin: 10 KG / Check-in: 20 KG</t>
  </si>
  <si>
    <t>602 SAR</t>
  </si>
  <si>
    <t>Cabin: 10 KG / Check-in: 32 KG</t>
  </si>
  <si>
    <t>E5-392</t>
  </si>
  <si>
    <t>573 SAR</t>
  </si>
  <si>
    <t>642 SAR</t>
  </si>
  <si>
    <t>E5-326</t>
  </si>
  <si>
    <t>733 SAR</t>
  </si>
  <si>
    <t>795 SAR</t>
  </si>
  <si>
    <t>MS-656</t>
  </si>
  <si>
    <t>1,191 SAR</t>
  </si>
  <si>
    <t>SM-452</t>
  </si>
  <si>
    <t>SM452</t>
  </si>
  <si>
    <t>Q1 &amp; L5 &amp; S1 &amp; X11 &amp; P159</t>
  </si>
  <si>
    <t>SV-331</t>
  </si>
  <si>
    <t>2,044 SAR</t>
  </si>
  <si>
    <t>2,172 SAR</t>
  </si>
  <si>
    <t>SV-411</t>
  </si>
  <si>
    <t>1,016 SAR</t>
  </si>
  <si>
    <t>SM-474</t>
  </si>
  <si>
    <t>1,066 SAR</t>
  </si>
  <si>
    <t>SM474</t>
  </si>
  <si>
    <t>L5 &amp; G5 &amp; S3 &amp; X2 &amp; P159</t>
  </si>
  <si>
    <t>G4 &amp; S5 &amp; W10 &amp; X7 &amp; U8 &amp; O10 &amp; I9 &amp; P126</t>
  </si>
  <si>
    <t>SM458</t>
  </si>
  <si>
    <t>S9 &amp; W15 &amp; X7 &amp; U6 &amp; O7 &amp; I6 &amp; P129</t>
  </si>
  <si>
    <t>513 SAR</t>
  </si>
  <si>
    <t>582 SAR</t>
  </si>
  <si>
    <t>E5-394</t>
  </si>
  <si>
    <t>515 SAR</t>
  </si>
  <si>
    <t>638 SAR</t>
  </si>
  <si>
    <t>Cabin: 7 KG</t>
  </si>
  <si>
    <t>560 SAR</t>
  </si>
  <si>
    <t>704 SAR</t>
  </si>
  <si>
    <t>776 SAR</t>
  </si>
  <si>
    <t>856 SAR</t>
  </si>
  <si>
    <t>L2 &amp; S1 &amp; X1 &amp; P171</t>
  </si>
  <si>
    <t>S5 &amp; W18 &amp; T17 &amp; X27 &amp; U15</t>
  </si>
  <si>
    <t>528 SAR</t>
  </si>
  <si>
    <t>552 SAR</t>
  </si>
  <si>
    <t>575 SAR</t>
  </si>
  <si>
    <t>641 SAR</t>
  </si>
  <si>
    <t>698 SAR</t>
  </si>
  <si>
    <t>G8</t>
  </si>
  <si>
    <t>G2 &amp; S11 &amp; X7 &amp; U7 &amp; O6 &amp; I8 &amp; P119</t>
  </si>
  <si>
    <t>SM-458</t>
  </si>
  <si>
    <t>G4 &amp; S3 &amp; T1 &amp; X17 &amp; P139</t>
  </si>
  <si>
    <t>616 SAR</t>
  </si>
  <si>
    <t>W5</t>
  </si>
  <si>
    <t>G1 &amp; S3 &amp; W2 &amp; T7 &amp; X10 &amp; P138 &amp; N2</t>
  </si>
  <si>
    <t>S1 &amp; X4 &amp; U7 &amp; O8 &amp; I8 &amp; P137 &amp; N1</t>
  </si>
  <si>
    <t>2,275 SAR</t>
  </si>
  <si>
    <t>2,403 SAR</t>
  </si>
  <si>
    <t>L9</t>
  </si>
  <si>
    <t>S5 &amp; X6 &amp; U11 &amp; O10 &amp; P135</t>
  </si>
  <si>
    <t>G3 &amp; S8 &amp; X2 &amp; U11 &amp; O8 &amp; I13 &amp; P123</t>
  </si>
  <si>
    <t>621 SAR</t>
  </si>
  <si>
    <t>586 SAR</t>
  </si>
  <si>
    <t>S1 &amp; T1 &amp; X10 &amp; U8 &amp; O8 &amp; I8 &amp; P124</t>
  </si>
  <si>
    <t>906 SAR</t>
  </si>
  <si>
    <t>S1 &amp; O21 &amp; P128</t>
  </si>
  <si>
    <t>O23 &amp; E1 &amp; P134</t>
  </si>
  <si>
    <t>S4 &amp; U12 &amp; O14 &amp; I11 &amp; P109</t>
  </si>
  <si>
    <t>630 SAR</t>
  </si>
  <si>
    <t>752 SAR</t>
  </si>
  <si>
    <t>545 SAR</t>
  </si>
  <si>
    <t>611 SAR</t>
  </si>
  <si>
    <t>668 SAR</t>
  </si>
  <si>
    <t>617 SAR</t>
  </si>
  <si>
    <t>S7 &amp; U5 &amp; O10 &amp; E45 &amp; P90</t>
  </si>
  <si>
    <t>865 SAR</t>
  </si>
  <si>
    <t>1,040 SAR</t>
  </si>
  <si>
    <t>1,112 SAR</t>
  </si>
  <si>
    <t>S2 &amp; T2 &amp; X11 &amp; U11 &amp; O10 &amp; P95</t>
  </si>
  <si>
    <t>E5-364</t>
  </si>
  <si>
    <t>446 SAR</t>
  </si>
  <si>
    <t>491 SAR</t>
  </si>
  <si>
    <t>605 SAR</t>
  </si>
  <si>
    <t>663 SAR</t>
  </si>
  <si>
    <t>S3 &amp; X1 &amp; U11 &amp; O10 &amp; P142</t>
  </si>
  <si>
    <t>L1 &amp; S2 &amp; X5 &amp; U11 &amp; O10 &amp; P135 &amp; N4</t>
  </si>
  <si>
    <t>1,339 SAR</t>
  </si>
  <si>
    <t>2025-10-29 00:00:00</t>
  </si>
  <si>
    <t>O3 &amp; I9 &amp; P161</t>
  </si>
  <si>
    <t>G1 &amp; O9 &amp; P158</t>
  </si>
  <si>
    <t>E5-324</t>
  </si>
  <si>
    <t>440 SAR</t>
  </si>
  <si>
    <t>485 SAR</t>
  </si>
  <si>
    <t>564 SAR</t>
  </si>
  <si>
    <t>U3 &amp; O6 &amp; I6 &amp; P134</t>
  </si>
  <si>
    <t>S2 &amp; X4 &amp; U10 &amp; O10 &amp; I11 &amp; P131</t>
  </si>
  <si>
    <t>S1 &amp; O5 &amp; E41 &amp; P125</t>
  </si>
  <si>
    <t>S3 &amp; X2 &amp; U8 &amp; O8 &amp; I8 &amp; P135</t>
  </si>
  <si>
    <t>S3 &amp; X7 &amp; U10 &amp; O6 &amp; I6 &amp; P125</t>
  </si>
  <si>
    <t>S1 &amp; O5 &amp; I5 &amp; P157</t>
  </si>
  <si>
    <t>17:00</t>
  </si>
  <si>
    <t>Q1</t>
  </si>
  <si>
    <t>X11</t>
  </si>
  <si>
    <t>09:50</t>
  </si>
  <si>
    <t>G5</t>
  </si>
  <si>
    <t>15:45</t>
  </si>
  <si>
    <t>P126</t>
  </si>
  <si>
    <t>17:15</t>
  </si>
  <si>
    <t>W15</t>
  </si>
  <si>
    <t>P129</t>
  </si>
  <si>
    <t>P171</t>
  </si>
  <si>
    <t>10:00</t>
  </si>
  <si>
    <t>W18</t>
  </si>
  <si>
    <t>T17</t>
  </si>
  <si>
    <t>X27</t>
  </si>
  <si>
    <t>T1</t>
  </si>
  <si>
    <t>X17</t>
  </si>
  <si>
    <t>P139</t>
  </si>
  <si>
    <t>19:00</t>
  </si>
  <si>
    <t>P119</t>
  </si>
  <si>
    <t>11:45</t>
  </si>
  <si>
    <t>16:30</t>
  </si>
  <si>
    <t>T7</t>
  </si>
  <si>
    <t>08:05</t>
  </si>
  <si>
    <t>X6</t>
  </si>
  <si>
    <t>P124</t>
  </si>
  <si>
    <t>O23</t>
  </si>
  <si>
    <t>E1</t>
  </si>
  <si>
    <t>U12</t>
  </si>
  <si>
    <t>I11</t>
  </si>
  <si>
    <t>P109</t>
  </si>
  <si>
    <t>T2</t>
  </si>
  <si>
    <t>P142</t>
  </si>
  <si>
    <t>P158</t>
  </si>
  <si>
    <t>P131</t>
  </si>
  <si>
    <t>22:50</t>
  </si>
  <si>
    <t>P125</t>
  </si>
  <si>
    <t>06:10</t>
  </si>
  <si>
    <t>04:30</t>
  </si>
  <si>
    <t>12:40</t>
  </si>
  <si>
    <t>14:30</t>
  </si>
  <si>
    <t>JED-ATZ</t>
  </si>
  <si>
    <t>SM454</t>
  </si>
  <si>
    <t>HIGH DEMAND</t>
  </si>
  <si>
    <t>S4 &amp; U8 &amp; P155</t>
  </si>
  <si>
    <t>SM456</t>
  </si>
  <si>
    <t>LAST SEATS</t>
  </si>
  <si>
    <t>2025-11-12 00:00:00</t>
  </si>
  <si>
    <t>L1 &amp; S1 &amp; X3 &amp; I3 &amp; P167</t>
  </si>
  <si>
    <t>F3-777</t>
  </si>
  <si>
    <t>299 SAR</t>
  </si>
  <si>
    <t>358 SAR</t>
  </si>
  <si>
    <t>382 SAR</t>
  </si>
  <si>
    <t>SM-454</t>
  </si>
  <si>
    <t>U3 &amp; O9 &amp; I21 &amp; E43 &amp; P41</t>
  </si>
  <si>
    <t>SM-492</t>
  </si>
  <si>
    <t>SM492</t>
  </si>
  <si>
    <t>U7 &amp; O11 &amp; I20 &amp; E30 &amp; P78</t>
  </si>
  <si>
    <t>MS-8224</t>
  </si>
  <si>
    <t>640 SAR</t>
  </si>
  <si>
    <t>SM-422</t>
  </si>
  <si>
    <t>SM422</t>
  </si>
  <si>
    <t>S1 &amp; U6 &amp; O2 &amp; I16</t>
  </si>
  <si>
    <t>SM-456</t>
  </si>
  <si>
    <t>T2 &amp; X2 &amp; U9 &amp; O5 &amp; I23 &amp; P44</t>
  </si>
  <si>
    <t>U1 &amp; O8 &amp; I10 &amp; E1 &amp; P95</t>
  </si>
  <si>
    <t>S3 &amp; W1 &amp; X6 &amp; U11 &amp; O20 &amp; I40 &amp; P2</t>
  </si>
  <si>
    <t>S4 &amp; W1 &amp; X12 &amp; U2 &amp; O2 &amp; I4 &amp; P95</t>
  </si>
  <si>
    <t>S1 &amp; W1 &amp; T2 &amp; X1 &amp; U12 &amp; I4 &amp; P135</t>
  </si>
  <si>
    <t>Indirect competition route JED – CAI - diversion ratio &amp; passenger leakage</t>
  </si>
  <si>
    <t>388 SAR</t>
  </si>
  <si>
    <t>412 SAR</t>
  </si>
  <si>
    <t>S7 &amp; X4 &amp; U14 &amp; O2 &amp; I20 &amp; P75</t>
  </si>
  <si>
    <t>I2</t>
  </si>
  <si>
    <t>S1 &amp; W2 &amp; X5 &amp; U7 &amp; I33 &amp; E45</t>
  </si>
  <si>
    <t>S2 &amp; W1 &amp; U9 &amp; O7 &amp; I12 &amp; P32</t>
  </si>
  <si>
    <t>T5</t>
  </si>
  <si>
    <t>S1 &amp; W4 &amp; X7 &amp; U18 &amp; O4 &amp; I32 &amp; P72</t>
  </si>
  <si>
    <t>S2 &amp; X6 &amp; U9 &amp; P132</t>
  </si>
  <si>
    <t>2025-11-02 00:00:00</t>
  </si>
  <si>
    <t>U2 &amp; P172</t>
  </si>
  <si>
    <t>860 SAR</t>
  </si>
  <si>
    <t>379 SAR</t>
  </si>
  <si>
    <t>438 SAR</t>
  </si>
  <si>
    <t>462 SAR</t>
  </si>
  <si>
    <t>S1 &amp; W1 &amp; U13 &amp; E44 &amp; P90</t>
  </si>
  <si>
    <t>G1 &amp; S5 &amp; X2 &amp; U3 &amp; O2 &amp; I4 &amp; P131</t>
  </si>
  <si>
    <t>U3 &amp; O10 &amp; I5 &amp; P97</t>
  </si>
  <si>
    <t>S1 &amp; U13 &amp; I2 &amp; P44</t>
  </si>
  <si>
    <t>S2 &amp; W1 &amp; X1 &amp; U9 &amp; O16 &amp; I15 &amp; E45 &amp; P23</t>
  </si>
  <si>
    <t>LOW DEMAND</t>
  </si>
  <si>
    <t>G1 &amp; S4 &amp; W1 &amp; X10 &amp; U3 &amp; O2 &amp; I4 &amp; P1</t>
  </si>
  <si>
    <t>S2 &amp; U12 &amp; P84</t>
  </si>
  <si>
    <t>2025-11-08 00:00:00</t>
  </si>
  <si>
    <t>S2 &amp; U3 &amp; O2 &amp; I4 &amp; P70</t>
  </si>
  <si>
    <t>U18 &amp; I1 &amp; P125</t>
  </si>
  <si>
    <t>488 SAR</t>
  </si>
  <si>
    <t>512 SAR</t>
  </si>
  <si>
    <t>U4 &amp; O3 &amp; P90</t>
  </si>
  <si>
    <t>X5 &amp; U3 &amp; O2 &amp; I4 &amp; P115</t>
  </si>
  <si>
    <t>S1 &amp; O3 &amp; I11 &amp; P90</t>
  </si>
  <si>
    <t>S4 &amp; O1 &amp; I4 &amp; P50</t>
  </si>
  <si>
    <t>U1 &amp; O6 &amp; I15 &amp; P100</t>
  </si>
  <si>
    <t>S1 &amp; U6 &amp; I4 &amp; P45</t>
  </si>
  <si>
    <t>T1 &amp; U2 &amp; I6 &amp; P51</t>
  </si>
  <si>
    <t>538 SAR</t>
  </si>
  <si>
    <t>562 SAR</t>
  </si>
  <si>
    <t>729 SAR</t>
  </si>
  <si>
    <t>S5 &amp; X5 &amp; U6 &amp; I3 &amp; P91</t>
  </si>
  <si>
    <t>S1 &amp; I4 &amp; E45 &amp; P130</t>
  </si>
  <si>
    <t>07:45</t>
  </si>
  <si>
    <t>P155</t>
  </si>
  <si>
    <t>P167</t>
  </si>
  <si>
    <t>06:25</t>
  </si>
  <si>
    <t>E30</t>
  </si>
  <si>
    <t>P78</t>
  </si>
  <si>
    <t>I16</t>
  </si>
  <si>
    <t>P44</t>
  </si>
  <si>
    <t>07:00</t>
  </si>
  <si>
    <t>I40</t>
  </si>
  <si>
    <t>07:15</t>
  </si>
  <si>
    <t>X12</t>
  </si>
  <si>
    <t>18:25</t>
  </si>
  <si>
    <t>20:25</t>
  </si>
  <si>
    <t>I33</t>
  </si>
  <si>
    <t>12:10</t>
  </si>
  <si>
    <t>U18</t>
  </si>
  <si>
    <t>P72</t>
  </si>
  <si>
    <t>P32</t>
  </si>
  <si>
    <t>P172</t>
  </si>
  <si>
    <t>P97</t>
  </si>
  <si>
    <t>P23</t>
  </si>
  <si>
    <t>P1</t>
  </si>
  <si>
    <t>P70</t>
  </si>
  <si>
    <t>11:05</t>
  </si>
  <si>
    <t>P115</t>
  </si>
  <si>
    <t>P100</t>
  </si>
  <si>
    <t>17:50</t>
  </si>
  <si>
    <t>P51</t>
  </si>
  <si>
    <t>JED-CAI AS ALTERNATIVE ROUTE</t>
  </si>
  <si>
    <t>JED-LXR</t>
  </si>
  <si>
    <t>SM482</t>
  </si>
  <si>
    <t>X83 &amp; U97</t>
  </si>
  <si>
    <t>SM430</t>
  </si>
  <si>
    <t>X45 &amp; U135</t>
  </si>
  <si>
    <t>SM982</t>
  </si>
  <si>
    <t>X1 &amp; U179</t>
  </si>
  <si>
    <t>SM484</t>
  </si>
  <si>
    <t>NE-678</t>
  </si>
  <si>
    <t>835 SAR</t>
  </si>
  <si>
    <t>NE-676</t>
  </si>
  <si>
    <t>X133 &amp; U49</t>
  </si>
  <si>
    <t>X94 &amp; U83</t>
  </si>
  <si>
    <t>X12 &amp; U122</t>
  </si>
  <si>
    <t>NIL</t>
  </si>
  <si>
    <t>X46</t>
  </si>
  <si>
    <t>X83</t>
  </si>
  <si>
    <t>U97</t>
  </si>
  <si>
    <t>X45</t>
  </si>
  <si>
    <t>U135</t>
  </si>
  <si>
    <t>U179</t>
  </si>
  <si>
    <t>X133</t>
  </si>
  <si>
    <t>U49</t>
  </si>
  <si>
    <t>X94</t>
  </si>
  <si>
    <t>U83</t>
  </si>
  <si>
    <t>U122</t>
  </si>
  <si>
    <t>SM-482</t>
  </si>
  <si>
    <t>SM-430</t>
  </si>
  <si>
    <t>SM-982</t>
  </si>
  <si>
    <t>SM-484</t>
  </si>
  <si>
    <t>JED-ASW</t>
  </si>
  <si>
    <t>SM426</t>
  </si>
  <si>
    <t>U180</t>
  </si>
  <si>
    <t>SM950</t>
  </si>
  <si>
    <t>U179 &amp; O1</t>
  </si>
  <si>
    <t>SM986</t>
  </si>
  <si>
    <t>X180</t>
  </si>
  <si>
    <t>18:05</t>
  </si>
  <si>
    <t>2025-12-01</t>
  </si>
  <si>
    <t>SM-426</t>
  </si>
  <si>
    <t>SM-950</t>
  </si>
  <si>
    <t>SM-986</t>
  </si>
  <si>
    <t>JED-SSH</t>
  </si>
  <si>
    <t>SV-325</t>
  </si>
  <si>
    <t>2,028 SAR</t>
  </si>
  <si>
    <t>2,156 SAR</t>
  </si>
  <si>
    <t>1,267 SAR</t>
  </si>
  <si>
    <t>1,395 SAR</t>
  </si>
  <si>
    <t>647 SAR</t>
  </si>
  <si>
    <t>925 SAR</t>
  </si>
  <si>
    <t>997 SAR</t>
  </si>
  <si>
    <t>551 SAR</t>
  </si>
  <si>
    <t>901 SAR</t>
  </si>
  <si>
    <t>2,284 SAR</t>
  </si>
  <si>
    <t>2,412 SAR</t>
  </si>
  <si>
    <t>14:25</t>
  </si>
  <si>
    <t>2025-11-27</t>
  </si>
  <si>
    <t>2025-11-29</t>
  </si>
  <si>
    <t>2025-11-30</t>
  </si>
  <si>
    <t>2025-12-02</t>
  </si>
  <si>
    <t>2025-12-04</t>
  </si>
  <si>
    <t>2025-12-06</t>
  </si>
  <si>
    <t>2025-12-07</t>
  </si>
  <si>
    <t>2025-12-09</t>
  </si>
  <si>
    <t>JED-HRG</t>
  </si>
  <si>
    <t>RUH-CAI</t>
  </si>
  <si>
    <t>F3-611</t>
  </si>
  <si>
    <r>
      <rPr>
        <b/>
        <i/>
        <sz val="13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</si>
  <si>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t>259 SAR</t>
  </si>
  <si>
    <r>
      <rPr>
        <i/>
        <sz val="13"/>
        <rFont val="Calibri"/>
      </rPr>
      <t>28</t>
    </r>
    <r>
      <rPr>
        <i/>
        <sz val="10"/>
        <rFont val="Calibri"/>
      </rPr>
      <t xml:space="preserve"> FOR SAME CLASS</t>
    </r>
  </si>
  <si>
    <t>899 SAR</t>
  </si>
  <si>
    <t>F3-607</t>
  </si>
  <si>
    <r>
      <rPr>
        <b/>
        <i/>
        <sz val="13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</si>
  <si>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25</t>
    </r>
    <r>
      <rPr>
        <i/>
        <sz val="10"/>
        <rFont val="Calibri"/>
      </rPr>
      <t xml:space="preserve"> FOR SAME CLASS</t>
    </r>
  </si>
  <si>
    <t>F3-605</t>
  </si>
  <si>
    <r>
      <rPr>
        <b/>
        <i/>
        <sz val="13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</si>
  <si>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18</t>
    </r>
    <r>
      <rPr>
        <i/>
        <sz val="10"/>
        <rFont val="Calibri"/>
      </rPr>
      <t xml:space="preserve"> FOR SAME CLASS</t>
    </r>
  </si>
  <si>
    <t>F3-615</t>
  </si>
  <si>
    <r>
      <rPr>
        <b/>
        <i/>
        <sz val="13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</si>
  <si>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14</t>
    </r>
    <r>
      <rPr>
        <i/>
        <sz val="10"/>
        <rFont val="Calibri"/>
      </rPr>
      <t xml:space="preserve"> FOR SAME CLASS</t>
    </r>
  </si>
  <si>
    <t>XY-265</t>
  </si>
  <si>
    <t>XY-273</t>
  </si>
  <si>
    <t>XY-275</t>
  </si>
  <si>
    <t>XY-263</t>
  </si>
  <si>
    <t>XY-271</t>
  </si>
  <si>
    <t>XY-269</t>
  </si>
  <si>
    <t>XY-267</t>
  </si>
  <si>
    <t>NE-161</t>
  </si>
  <si>
    <t>SM-470</t>
  </si>
  <si>
    <t>SM470</t>
  </si>
  <si>
    <t>S1 &amp; U3 &amp; O21 &amp; I80</t>
  </si>
  <si>
    <t>E5-411</t>
  </si>
  <si>
    <t>503 SAR</t>
  </si>
  <si>
    <t>MS-650</t>
  </si>
  <si>
    <t>527 SAR</t>
  </si>
  <si>
    <t>MS-652</t>
  </si>
  <si>
    <t>702 SAR</t>
  </si>
  <si>
    <t>MS-648</t>
  </si>
  <si>
    <t>SV-323</t>
  </si>
  <si>
    <t>661 SAR</t>
  </si>
  <si>
    <t>711 SAR</t>
  </si>
  <si>
    <t>SV-313</t>
  </si>
  <si>
    <t>SV-311</t>
  </si>
  <si>
    <t>SV-417</t>
  </si>
  <si>
    <t>SV-321</t>
  </si>
  <si>
    <t>774 SAR</t>
  </si>
  <si>
    <t>824 SAR</t>
  </si>
  <si>
    <t>SV-6676</t>
  </si>
  <si>
    <t>1,161 SAR</t>
  </si>
  <si>
    <t>SV-6595</t>
  </si>
  <si>
    <t>SV-6749</t>
  </si>
  <si>
    <r>
      <rPr>
        <b/>
        <i/>
        <sz val="13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</si>
  <si>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rFont val="Calibri"/>
      </rPr>
      <t>55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</si>
  <si>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55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</si>
  <si>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</si>
  <si>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22</t>
    </r>
    <r>
      <rPr>
        <i/>
        <sz val="10"/>
        <rFont val="Calibri"/>
      </rPr>
      <t xml:space="preserve"> FOR SAME CLASS</t>
    </r>
  </si>
  <si>
    <t>290 SAR</t>
  </si>
  <si>
    <t>E5-416</t>
  </si>
  <si>
    <t>305 SAR</t>
  </si>
  <si>
    <t>428 SAR</t>
  </si>
  <si>
    <t>Q2 &amp; K1 &amp; S1 &amp; W1 &amp; I70</t>
  </si>
  <si>
    <t>SM-462</t>
  </si>
  <si>
    <t>SM462</t>
  </si>
  <si>
    <t>K3 &amp; O29 &amp; I58</t>
  </si>
  <si>
    <t>NP-252</t>
  </si>
  <si>
    <t>357 SAR</t>
  </si>
  <si>
    <t>597 SAR</t>
  </si>
  <si>
    <t>736 SAR</t>
  </si>
  <si>
    <t>786 SAR</t>
  </si>
  <si>
    <t>361 SAR</t>
  </si>
  <si>
    <t>484 SAR</t>
  </si>
  <si>
    <t>397 SAR</t>
  </si>
  <si>
    <t>K2 &amp; S2 &amp; W3 &amp; X2 &amp; U13 &amp; O10 &amp; I60</t>
  </si>
  <si>
    <t>NE-165</t>
  </si>
  <si>
    <t>NP-152</t>
  </si>
  <si>
    <t>416 SAR</t>
  </si>
  <si>
    <t>466 SAR</t>
  </si>
  <si>
    <t>841 SAR</t>
  </si>
  <si>
    <t>1,027 SAR</t>
  </si>
  <si>
    <t>628 SAR</t>
  </si>
  <si>
    <t>999 SAR</t>
  </si>
  <si>
    <t>1,049 SAR</t>
  </si>
  <si>
    <t>1,162 SAR</t>
  </si>
  <si>
    <t>1,529 SAR</t>
  </si>
  <si>
    <t>2,405 SAR</t>
  </si>
  <si>
    <t>2,533 SAR</t>
  </si>
  <si>
    <t>279 SAR</t>
  </si>
  <si>
    <t>309 SAR</t>
  </si>
  <si>
    <t>319 SAR</t>
  </si>
  <si>
    <t>W4 &amp; I60</t>
  </si>
  <si>
    <t>K1 &amp; S1 &amp; U3 &amp; O27 &amp; I50</t>
  </si>
  <si>
    <t>837 SAR</t>
  </si>
  <si>
    <t>354 SAR</t>
  </si>
  <si>
    <t>531 SAR</t>
  </si>
  <si>
    <t>K1 &amp; S1 &amp; W1 &amp; U2 &amp; O18 &amp; I60</t>
  </si>
  <si>
    <t>NP-352</t>
  </si>
  <si>
    <t>NP-154</t>
  </si>
  <si>
    <r>
      <rPr>
        <b/>
        <i/>
        <sz val="13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</si>
  <si>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rFont val="Calibri"/>
      </rPr>
      <t>15</t>
    </r>
    <r>
      <rPr>
        <b/>
        <i/>
        <sz val="10"/>
        <rFont val="Calibri"/>
      </rPr>
      <t xml:space="preserve"> FOR SAME CLASS</t>
    </r>
  </si>
  <si>
    <t>NE-163</t>
  </si>
  <si>
    <t>NP-354</t>
  </si>
  <si>
    <t>K1 &amp; S1 &amp; W1 &amp; U1 &amp; O20 &amp; I50</t>
  </si>
  <si>
    <t>495 SAR</t>
  </si>
  <si>
    <t>405 SAR</t>
  </si>
  <si>
    <t>K1 &amp; I4</t>
  </si>
  <si>
    <t>SV-315</t>
  </si>
  <si>
    <t>S1 &amp; I11 &amp; N1</t>
  </si>
  <si>
    <t>601 SAR</t>
  </si>
  <si>
    <t>2025-11-03 00:00:00</t>
  </si>
  <si>
    <t>O2 &amp; I3</t>
  </si>
  <si>
    <t>K1 &amp; S1 &amp; I19</t>
  </si>
  <si>
    <t>620 SAR</t>
  </si>
  <si>
    <t>1,213 SAR</t>
  </si>
  <si>
    <t>1,317 SAR</t>
  </si>
  <si>
    <t>1,311 SAR</t>
  </si>
  <si>
    <t>1,683 SAR</t>
  </si>
  <si>
    <t>494 SAR</t>
  </si>
  <si>
    <t>U5 &amp; O19</t>
  </si>
  <si>
    <t>518 SAR</t>
  </si>
  <si>
    <t>833 SAR</t>
  </si>
  <si>
    <t>883 SAR</t>
  </si>
  <si>
    <t>1,265 SAR</t>
  </si>
  <si>
    <t>2,167 SAR</t>
  </si>
  <si>
    <t>339 SAR</t>
  </si>
  <si>
    <t>385 SAR</t>
  </si>
  <si>
    <t>508 SAR</t>
  </si>
  <si>
    <t>O14 &amp; I17</t>
  </si>
  <si>
    <t>K1 &amp; S1 &amp; O4 &amp; I17</t>
  </si>
  <si>
    <t>366 SAR</t>
  </si>
  <si>
    <t>490 SAR</t>
  </si>
  <si>
    <t>K1 &amp; I9</t>
  </si>
  <si>
    <t>434 SAR</t>
  </si>
  <si>
    <r>
      <rPr>
        <b/>
        <i/>
        <sz val="13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</si>
  <si>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452 SAR</t>
  </si>
  <si>
    <t>390 SAR</t>
  </si>
  <si>
    <t>O1 &amp; I6</t>
  </si>
  <si>
    <t>S1 &amp; U4 &amp; O1 &amp; I9</t>
  </si>
  <si>
    <t>323 SAR</t>
  </si>
  <si>
    <t>S1 &amp; U5 &amp; O2 &amp; I4</t>
  </si>
  <si>
    <t>659 SAR</t>
  </si>
  <si>
    <r>
      <rPr>
        <b/>
        <i/>
        <sz val="13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</si>
  <si>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342 SAR</t>
  </si>
  <si>
    <t>465 SAR</t>
  </si>
  <si>
    <t>1,315 SAR</t>
  </si>
  <si>
    <t>U1 &amp; O5 &amp; I10</t>
  </si>
  <si>
    <t>K1 &amp; X1 &amp; U1 &amp; O5 &amp; I15</t>
  </si>
  <si>
    <t>1,165 SAR</t>
  </si>
  <si>
    <t>1,293 SAR</t>
  </si>
  <si>
    <t>1,343 SAR</t>
  </si>
  <si>
    <t>1,471 SAR</t>
  </si>
  <si>
    <t>1,717 SAR</t>
  </si>
  <si>
    <t>21:55</t>
  </si>
  <si>
    <t>I80</t>
  </si>
  <si>
    <t>14:40</t>
  </si>
  <si>
    <t>K3</t>
  </si>
  <si>
    <t>I58</t>
  </si>
  <si>
    <t>22:10</t>
  </si>
  <si>
    <t>I70</t>
  </si>
  <si>
    <t>K2</t>
  </si>
  <si>
    <t>I60</t>
  </si>
  <si>
    <t>15:00</t>
  </si>
  <si>
    <t>18:15</t>
  </si>
  <si>
    <t>12:00</t>
  </si>
  <si>
    <t>10:45</t>
  </si>
  <si>
    <t>19:35</t>
  </si>
  <si>
    <t>19:50</t>
  </si>
  <si>
    <t>09:00</t>
  </si>
  <si>
    <t>13:35</t>
  </si>
  <si>
    <t>07:20</t>
  </si>
  <si>
    <t>10:15</t>
  </si>
  <si>
    <t>RUH-ATZ</t>
  </si>
  <si>
    <t>SM-464</t>
  </si>
  <si>
    <t>SM464</t>
  </si>
  <si>
    <t>S4 &amp; W2 &amp; U8 &amp; O38 &amp; I20</t>
  </si>
  <si>
    <t>MS-8246</t>
  </si>
  <si>
    <t>778 SAR</t>
  </si>
  <si>
    <t>SM466</t>
  </si>
  <si>
    <t>S5 &amp; W4 &amp; T1 &amp; U4 &amp; O57 &amp; I12</t>
  </si>
  <si>
    <t>Indirect competition route RUH – CAI - diversion ratio &amp; passenger leakage</t>
  </si>
  <si>
    <t>662 SAR</t>
  </si>
  <si>
    <t>S5 &amp; W3 &amp; X7 &amp; U20 &amp; O49 &amp; I1</t>
  </si>
  <si>
    <t>S2 &amp; X11 &amp; U20 &amp; O10 &amp; I20</t>
  </si>
  <si>
    <t>S1 &amp; T3 &amp; X17 &amp; U14 &amp; O25</t>
  </si>
  <si>
    <t>S4 &amp; W1 &amp; T3 &amp; X1 &amp; U24 &amp; O26</t>
  </si>
  <si>
    <t>U4 &amp; O26</t>
  </si>
  <si>
    <t>S2 &amp; X4 &amp; U12 &amp; O3</t>
  </si>
  <si>
    <t>O38</t>
  </si>
  <si>
    <t>14:10</t>
  </si>
  <si>
    <t>O57</t>
  </si>
  <si>
    <t>O49</t>
  </si>
  <si>
    <t>T3</t>
  </si>
  <si>
    <t>U24</t>
  </si>
  <si>
    <t>O26</t>
  </si>
  <si>
    <t>SM-466</t>
  </si>
  <si>
    <t>RUH-CAI AS ALTERNATIVE ROUTE</t>
  </si>
  <si>
    <t>DMM-CAI</t>
  </si>
  <si>
    <t>F3-911</t>
  </si>
  <si>
    <t>XY-854</t>
  </si>
  <si>
    <t>XY-894</t>
  </si>
  <si>
    <t>NP-132</t>
  </si>
  <si>
    <t>439 SAR</t>
  </si>
  <si>
    <t>SM-434</t>
  </si>
  <si>
    <t>SM434</t>
  </si>
  <si>
    <t>S8 &amp; W5 &amp; O6 &amp; I46</t>
  </si>
  <si>
    <t>MS-688</t>
  </si>
  <si>
    <t>583 SAR</t>
  </si>
  <si>
    <t>MS-682</t>
  </si>
  <si>
    <t>MS-684</t>
  </si>
  <si>
    <t>SV-6446</t>
  </si>
  <si>
    <t>1,231 SAR</t>
  </si>
  <si>
    <t>NE-155</t>
  </si>
  <si>
    <t>371 SAR</t>
  </si>
  <si>
    <t>415 SAR</t>
  </si>
  <si>
    <t>686 SAR</t>
  </si>
  <si>
    <t>NP-232</t>
  </si>
  <si>
    <t>1,126 SAR</t>
  </si>
  <si>
    <t>NE-153</t>
  </si>
  <si>
    <t>411 SAR</t>
  </si>
  <si>
    <t>NP-332</t>
  </si>
  <si>
    <t>L1 &amp; S2 &amp; W4 &amp; X1 &amp; U4 &amp; O1 &amp; I27</t>
  </si>
  <si>
    <t>NE-151</t>
  </si>
  <si>
    <t>587 SAR</t>
  </si>
  <si>
    <t>G3 &amp; S11 &amp; W1 &amp; O7 &amp; I28</t>
  </si>
  <si>
    <t>L2 &amp; G1 &amp; S7 &amp; W6 &amp; U1 &amp; I13</t>
  </si>
  <si>
    <t>1,085 SAR</t>
  </si>
  <si>
    <t>NP-234</t>
  </si>
  <si>
    <t>NP-134</t>
  </si>
  <si>
    <t>1,183 SAR</t>
  </si>
  <si>
    <t>S9 &amp; T2 &amp; X7 &amp; U2 &amp; O4 &amp; I26</t>
  </si>
  <si>
    <t>E5-316</t>
  </si>
  <si>
    <t>393 SAR</t>
  </si>
  <si>
    <t>516 SAR</t>
  </si>
  <si>
    <t>563 SAR</t>
  </si>
  <si>
    <t>S4 &amp; W2 &amp; T10 &amp; X3 &amp; U4 &amp; O3 &amp; I20</t>
  </si>
  <si>
    <t>476 SAR</t>
  </si>
  <si>
    <t>S6 &amp; X8 &amp; U10 &amp; O7 &amp; I26</t>
  </si>
  <si>
    <t>349 SAR</t>
  </si>
  <si>
    <t>S1 &amp; U8 &amp; O2 &amp; I9</t>
  </si>
  <si>
    <t>425 SAR</t>
  </si>
  <si>
    <t>S7 &amp; X7 &amp; U4 &amp; O1 &amp; I16</t>
  </si>
  <si>
    <t>06:30</t>
  </si>
  <si>
    <t>I46</t>
  </si>
  <si>
    <t>13:55</t>
  </si>
  <si>
    <t>I28</t>
  </si>
  <si>
    <t>W6</t>
  </si>
  <si>
    <t>04:45</t>
  </si>
  <si>
    <t>20:00</t>
  </si>
  <si>
    <t>23:00</t>
  </si>
  <si>
    <t>DMM-ATZ</t>
  </si>
  <si>
    <t>SM-438</t>
  </si>
  <si>
    <t>506 SAR</t>
  </si>
  <si>
    <t>SM438</t>
  </si>
  <si>
    <t>S2 &amp; W3 &amp; T1 &amp; X2 &amp; U29 &amp; O19 &amp; I10</t>
  </si>
  <si>
    <t>Indirect competition route DMM – CAI - diversion ratio &amp; passenger leakage</t>
  </si>
  <si>
    <t>T1 &amp; X15 &amp; U30 &amp; O15 &amp; I15</t>
  </si>
  <si>
    <t>S3 &amp; X5 &amp; U22 &amp; O3</t>
  </si>
  <si>
    <t>U5 &amp; O24 &amp; I15</t>
  </si>
  <si>
    <t>U29</t>
  </si>
  <si>
    <t>X15</t>
  </si>
  <si>
    <t>U30</t>
  </si>
  <si>
    <t>U22</t>
  </si>
  <si>
    <t>O24</t>
  </si>
  <si>
    <t>2025-11-28</t>
  </si>
  <si>
    <t>DMM-CAI AS ALTERNATIVE ROUTE</t>
  </si>
  <si>
    <t>TUU-CAI</t>
  </si>
  <si>
    <t>NE-121</t>
  </si>
  <si>
    <t>320 SAR</t>
  </si>
  <si>
    <t>MS-812</t>
  </si>
  <si>
    <t>344 SAR</t>
  </si>
  <si>
    <t>E5-590</t>
  </si>
  <si>
    <t>443 SAR</t>
  </si>
  <si>
    <t>NP-118</t>
  </si>
  <si>
    <t>SM-326</t>
  </si>
  <si>
    <t>SM326</t>
  </si>
  <si>
    <t>G1 &amp; O11 &amp; I18</t>
  </si>
  <si>
    <t>NP-108</t>
  </si>
  <si>
    <t>X1 &amp; U3 &amp; O29 &amp; I18</t>
  </si>
  <si>
    <t>325 SAR</t>
  </si>
  <si>
    <t>448 SAR</t>
  </si>
  <si>
    <t>O12 &amp; I15</t>
  </si>
  <si>
    <t>NP-308</t>
  </si>
  <si>
    <t>O20 &amp; I20</t>
  </si>
  <si>
    <t>O22 &amp; I36</t>
  </si>
  <si>
    <t>2025-09-13 00:00:00</t>
  </si>
  <si>
    <t>O5 &amp; I18</t>
  </si>
  <si>
    <t>20:45</t>
  </si>
  <si>
    <t>23:45</t>
  </si>
  <si>
    <t>E90</t>
  </si>
  <si>
    <t>22:20</t>
  </si>
  <si>
    <t>03:05</t>
  </si>
  <si>
    <t>15:15</t>
  </si>
  <si>
    <t>21:45</t>
  </si>
  <si>
    <t>TUU-ATZ</t>
  </si>
  <si>
    <t>SM328</t>
  </si>
  <si>
    <t>U3 &amp; O34 &amp; I10</t>
  </si>
  <si>
    <t>Indirect competition route TUU – CAI - diversion ratio &amp; passenger leakage</t>
  </si>
  <si>
    <t>SM-328</t>
  </si>
  <si>
    <t>X4 &amp; U15 &amp; O3</t>
  </si>
  <si>
    <t>O34</t>
  </si>
  <si>
    <t>TUU-CAI AS ALTERNATIVE ROUTE</t>
  </si>
  <si>
    <t>AJF-CAI</t>
  </si>
  <si>
    <t>SM-322</t>
  </si>
  <si>
    <t>SM322</t>
  </si>
  <si>
    <t>S1 &amp; T2 &amp; X24 &amp; U20 &amp; O25 &amp; I35</t>
  </si>
  <si>
    <t>420 SAR</t>
  </si>
  <si>
    <t>X1 &amp; O21 &amp; I37</t>
  </si>
  <si>
    <t>NP-120</t>
  </si>
  <si>
    <t>421 SAR</t>
  </si>
  <si>
    <t>NP-110</t>
  </si>
  <si>
    <t>W1 &amp; O36 &amp; I1</t>
  </si>
  <si>
    <t>S2 &amp; O37 &amp; I1</t>
  </si>
  <si>
    <t>O7 &amp; I18</t>
  </si>
  <si>
    <t>520 SAR</t>
  </si>
  <si>
    <t>O6 &amp; I3</t>
  </si>
  <si>
    <t>U2 &amp; O10</t>
  </si>
  <si>
    <t>X24</t>
  </si>
  <si>
    <t>I35</t>
  </si>
  <si>
    <t>I37</t>
  </si>
  <si>
    <t>O36</t>
  </si>
  <si>
    <t>O37</t>
  </si>
  <si>
    <t>AJF-ATZ</t>
  </si>
  <si>
    <t>SM324</t>
  </si>
  <si>
    <t>U22 &amp; O49 &amp; I1</t>
  </si>
  <si>
    <t>Indirect competition route AJF – CAI - diversion ratio &amp; passenger leakage</t>
  </si>
  <si>
    <t>SM-324</t>
  </si>
  <si>
    <t>433 SAR</t>
  </si>
  <si>
    <t>O31 &amp; I2</t>
  </si>
  <si>
    <t>O31</t>
  </si>
  <si>
    <t>AJF-CAI AS ALTERNATIVE ROUTE</t>
  </si>
  <si>
    <t>YNB-CAI</t>
  </si>
  <si>
    <t>NP-104</t>
  </si>
  <si>
    <t>SM-442</t>
  </si>
  <si>
    <t>988 SAR</t>
  </si>
  <si>
    <t>SM442</t>
  </si>
  <si>
    <t>L3 &amp; S3 &amp; X5 &amp; P159</t>
  </si>
  <si>
    <t>NE-181</t>
  </si>
  <si>
    <t>748 SAR</t>
  </si>
  <si>
    <t>W1 &amp; T13 &amp; X3 &amp; U4 &amp; O1 &amp; I15 &amp; P117</t>
  </si>
  <si>
    <t>1,318 SAR</t>
  </si>
  <si>
    <t>K8</t>
  </si>
  <si>
    <t>K3 &amp; V3 &amp; W6 &amp; T1 &amp; X21 &amp; P137</t>
  </si>
  <si>
    <t>V2 &amp; S1 &amp; W7 &amp; T20 &amp; X10 &amp; U32 &amp; O9 &amp; I28 &amp; P40</t>
  </si>
  <si>
    <t>868 SAR</t>
  </si>
  <si>
    <t>Y1 &amp; G11 &amp; W2 &amp; X7 &amp; U1 &amp; O6 &amp; I4 &amp; P137</t>
  </si>
  <si>
    <t>S2 &amp; W2 &amp; T6 &amp; X7 &amp; U18 &amp; O20 &amp; I29 &amp; P89</t>
  </si>
  <si>
    <t>S5 &amp; W16 &amp; I7 &amp; P130</t>
  </si>
  <si>
    <t>521 SAR</t>
  </si>
  <si>
    <t>1,858 SAR</t>
  </si>
  <si>
    <t>H8</t>
  </si>
  <si>
    <t>S2 &amp; W9 &amp; P156</t>
  </si>
  <si>
    <t>S3 &amp; W6 &amp; T2 &amp; X5 &amp; P106</t>
  </si>
  <si>
    <t>2,278 SAR</t>
  </si>
  <si>
    <t>M1</t>
  </si>
  <si>
    <t>W9 &amp; P158 &amp; N2</t>
  </si>
  <si>
    <t>S4 &amp; W3 &amp; T7 &amp; X8 &amp; U10 &amp; O45 &amp; I5 &amp; P85</t>
  </si>
  <si>
    <t>S2 &amp; W7 &amp; E49 &amp; P120</t>
  </si>
  <si>
    <t>G2 &amp; S1 &amp; P162</t>
  </si>
  <si>
    <t>G1 &amp; S3 &amp; W9 &amp; P129</t>
  </si>
  <si>
    <t>571 SAR</t>
  </si>
  <si>
    <t>W13 &amp; P143</t>
  </si>
  <si>
    <t>S4 &amp; W5 &amp; P165</t>
  </si>
  <si>
    <t>23:50</t>
  </si>
  <si>
    <t>23:40</t>
  </si>
  <si>
    <t>T13</t>
  </si>
  <si>
    <t>14:20</t>
  </si>
  <si>
    <t>V3</t>
  </si>
  <si>
    <t>X21</t>
  </si>
  <si>
    <t>T20</t>
  </si>
  <si>
    <t>U32</t>
  </si>
  <si>
    <t>P40</t>
  </si>
  <si>
    <t>06:50</t>
  </si>
  <si>
    <t>G11</t>
  </si>
  <si>
    <t>T6</t>
  </si>
  <si>
    <t>W16</t>
  </si>
  <si>
    <t>W9</t>
  </si>
  <si>
    <t>P156</t>
  </si>
  <si>
    <t>P106</t>
  </si>
  <si>
    <t>O45</t>
  </si>
  <si>
    <t>P85</t>
  </si>
  <si>
    <t>E49</t>
  </si>
  <si>
    <t>P162</t>
  </si>
  <si>
    <t>W13</t>
  </si>
  <si>
    <t>P143</t>
  </si>
  <si>
    <t>P165</t>
  </si>
  <si>
    <t>04:15</t>
  </si>
  <si>
    <t>AHB-CAI</t>
  </si>
  <si>
    <t>NP-144</t>
  </si>
  <si>
    <t>763 SAR</t>
  </si>
  <si>
    <t>E5-512</t>
  </si>
  <si>
    <t>862 SAR</t>
  </si>
  <si>
    <t>990 SAR</t>
  </si>
  <si>
    <t>SM-448</t>
  </si>
  <si>
    <t>SM448</t>
  </si>
  <si>
    <t>S3 &amp; W4 &amp; T6 &amp; X62 &amp; O1</t>
  </si>
  <si>
    <t>SM-444</t>
  </si>
  <si>
    <t>SM444</t>
  </si>
  <si>
    <t>W3 &amp; T8 &amp; X39 &amp; U9 &amp; O10</t>
  </si>
  <si>
    <t>703 SAR</t>
  </si>
  <si>
    <t>NP-244</t>
  </si>
  <si>
    <t>550 SAR</t>
  </si>
  <si>
    <t>S1 &amp; W2 &amp; T1 &amp; X33 &amp; U6 &amp; O9 &amp; I8</t>
  </si>
  <si>
    <t>E5-514</t>
  </si>
  <si>
    <t>534 SAR</t>
  </si>
  <si>
    <t>657 SAR</t>
  </si>
  <si>
    <t>S3 &amp; X18 &amp; U7 &amp; O3</t>
  </si>
  <si>
    <t>591 SAR</t>
  </si>
  <si>
    <t>G2 &amp; S3 &amp; W7 &amp; T4 &amp; X29 &amp; U11 &amp; O1</t>
  </si>
  <si>
    <t>S1 &amp; X11 &amp; U4 &amp; O4</t>
  </si>
  <si>
    <t>X62</t>
  </si>
  <si>
    <t>00:05</t>
  </si>
  <si>
    <t>X39</t>
  </si>
  <si>
    <t>X33</t>
  </si>
  <si>
    <t>X29</t>
  </si>
  <si>
    <t>07:05</t>
  </si>
  <si>
    <t>AHB-ATZ</t>
  </si>
  <si>
    <t>SM-446</t>
  </si>
  <si>
    <t>SM446</t>
  </si>
  <si>
    <t>L3 &amp; G19 &amp; S14 &amp; W10</t>
  </si>
  <si>
    <t>Indirect competition route AHB – CAI - diversion ratio &amp; passenger leakage</t>
  </si>
  <si>
    <t>G7 &amp; S3 &amp; W5 &amp; T5 &amp; X9 &amp; O2</t>
  </si>
  <si>
    <t>G19</t>
  </si>
  <si>
    <t>G7</t>
  </si>
  <si>
    <t>AHB-CAI AS ALTERNATIVE ROUTE</t>
  </si>
  <si>
    <t>ELQ-CAI</t>
  </si>
  <si>
    <t>NE-141</t>
  </si>
  <si>
    <t>NP-106</t>
  </si>
  <si>
    <t>MS-634</t>
  </si>
  <si>
    <t>451 SAR</t>
  </si>
  <si>
    <t>E5-592</t>
  </si>
  <si>
    <t>324 SAR</t>
  </si>
  <si>
    <t>300 SAR</t>
  </si>
  <si>
    <t>SM-428</t>
  </si>
  <si>
    <t>SM428</t>
  </si>
  <si>
    <t>S1 &amp; W2 &amp; O10 &amp; I46</t>
  </si>
  <si>
    <t>327 SAR</t>
  </si>
  <si>
    <t>NP-116</t>
  </si>
  <si>
    <t>S2 &amp; W4 &amp; O11</t>
  </si>
  <si>
    <t>S8 &amp; W4 &amp; O61</t>
  </si>
  <si>
    <t>S1 &amp; T1 &amp; X6 &amp; U10 &amp; O50</t>
  </si>
  <si>
    <t>372 SAR</t>
  </si>
  <si>
    <t>S2 &amp; X1 &amp; U9 &amp; O10</t>
  </si>
  <si>
    <t>S1 &amp; U9 &amp; O33</t>
  </si>
  <si>
    <t>345 SAR</t>
  </si>
  <si>
    <t>19:10</t>
  </si>
  <si>
    <t>00:01</t>
  </si>
  <si>
    <t>O61</t>
  </si>
  <si>
    <t>O50</t>
  </si>
  <si>
    <t>O33</t>
  </si>
  <si>
    <t>14:35</t>
  </si>
  <si>
    <t>00:50</t>
  </si>
  <si>
    <t>ELQ-ATZ</t>
  </si>
  <si>
    <t>SM-436</t>
  </si>
  <si>
    <t>363 SAR</t>
  </si>
  <si>
    <t>SM436</t>
  </si>
  <si>
    <t>W1 &amp; X1 &amp; U9 &amp; O59</t>
  </si>
  <si>
    <t>413 SAR</t>
  </si>
  <si>
    <t>W1 &amp; U18 &amp; O30</t>
  </si>
  <si>
    <t>Indirect competition route ELQ – CAI - diversion ratio &amp; passenger leakage</t>
  </si>
  <si>
    <t>X2 &amp; U7 &amp; O30</t>
  </si>
  <si>
    <t>S2 &amp; U4 &amp; O25</t>
  </si>
  <si>
    <t>S2 &amp; X1 &amp; U6 &amp; O43</t>
  </si>
  <si>
    <t>00:30</t>
  </si>
  <si>
    <t>O59</t>
  </si>
  <si>
    <t>20:30</t>
  </si>
  <si>
    <t>O43</t>
  </si>
  <si>
    <t>ELQ-CAI AS ALTERNATIVE ROUTE</t>
  </si>
  <si>
    <t>GIZ-CAI</t>
  </si>
  <si>
    <t>NP-142</t>
  </si>
  <si>
    <t>730 SAR</t>
  </si>
  <si>
    <t>558 SAR</t>
  </si>
  <si>
    <t>E5-586</t>
  </si>
  <si>
    <t>SM-330</t>
  </si>
  <si>
    <t>SM330</t>
  </si>
  <si>
    <t>S1 &amp; W5 &amp; X10 &amp; U35</t>
  </si>
  <si>
    <t>X5 &amp; U27 &amp; O5 &amp; I5</t>
  </si>
  <si>
    <t>S2 &amp; U16 &amp; O5</t>
  </si>
  <si>
    <t>S2 &amp; U5 &amp; O3</t>
  </si>
  <si>
    <t>U35</t>
  </si>
  <si>
    <t>U27</t>
  </si>
  <si>
    <t>13:00</t>
  </si>
  <si>
    <t>04:10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</si>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</sst>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  <numFmt numFmtId="174" formatCode="[$-409]d\-mmm\-yy;@"/>
    <numFmt numFmtId="175" formatCode="[$-409]d\-mmm;@"/>
    <numFmt numFmtId="176" formatCode="[$-F400]h:mm:ss\ AM/PM"/>
  </numFmts>
  <fonts count="33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4"/>
      <name val="Calibri"/>
    </font>
    <font>
      <b/>
      <i/>
      <sz val="11"/>
      <color rgb="FF9C0006"/>
      <name val="Calibri"/>
    </font>
    <font>
      <b/>
      <i/>
      <sz val="11"/>
      <color rgb="FF006100"/>
      <name val="Calibri"/>
    </font>
    <font>
      <b/>
      <i/>
      <sz val="11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sz val="12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B4C7DC"/>
        <bgColor rgb="FFB4C7DC"/>
      </patternFill>
    </fill>
    <fill>
      <patternFill patternType="solid">
        <fgColor rgb="FF365492"/>
        <bgColor indexed="64"/>
      </patternFill>
    </fill>
  </fills>
  <borders count="3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366">
    <xf numFmtId="0" fontId="0" fillId="0" borderId="0" xfId="0"/>
    <xf numFmtId="0" fontId="2" fillId="2" borderId="0" xfId="0" applyFont="1" applyFill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167" fontId="14" fillId="8" borderId="7" xfId="0" applyNumberFormat="1" applyFont="1" applyFill="1" applyBorder="1" applyAlignment="1">
      <alignment horizontal="center" vertical="center"/>
    </xf>
    <xf numFmtId="168" fontId="10" fillId="8" borderId="7" xfId="0" applyNumberFormat="1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168" fontId="10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167" fontId="15" fillId="8" borderId="7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167" fontId="15" fillId="11" borderId="16" xfId="0" applyNumberFormat="1" applyFont="1" applyFill="1" applyBorder="1" applyAlignment="1">
      <alignment horizontal="center" vertical="center"/>
    </xf>
    <xf numFmtId="168" fontId="10" fillId="11" borderId="16" xfId="0" applyNumberFormat="1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167" fontId="15" fillId="12" borderId="16" xfId="0" applyNumberFormat="1" applyFont="1" applyFill="1" applyBorder="1" applyAlignment="1">
      <alignment horizontal="center" vertical="center"/>
    </xf>
    <xf numFmtId="168" fontId="10" fillId="12" borderId="16" xfId="0" applyNumberFormat="1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167" fontId="15" fillId="13" borderId="7" xfId="0" applyNumberFormat="1" applyFont="1" applyFill="1" applyBorder="1" applyAlignment="1">
      <alignment horizontal="center" vertical="center"/>
    </xf>
    <xf numFmtId="168" fontId="10" fillId="13" borderId="7" xfId="0" applyNumberFormat="1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167" fontId="16" fillId="14" borderId="7" xfId="0" applyNumberFormat="1" applyFont="1" applyFill="1" applyBorder="1" applyAlignment="1">
      <alignment horizontal="center" vertical="center"/>
    </xf>
    <xf numFmtId="168" fontId="10" fillId="14" borderId="7" xfId="0" applyNumberFormat="1" applyFont="1" applyFill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167" fontId="15" fillId="15" borderId="7" xfId="0" applyNumberFormat="1" applyFont="1" applyFill="1" applyBorder="1" applyAlignment="1">
      <alignment horizontal="center" vertical="center"/>
    </xf>
    <xf numFmtId="168" fontId="10" fillId="15" borderId="7" xfId="0" applyNumberFormat="1" applyFont="1" applyFill="1" applyBorder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167" fontId="15" fillId="9" borderId="16" xfId="0" applyNumberFormat="1" applyFont="1" applyFill="1" applyBorder="1" applyAlignment="1">
      <alignment horizontal="center" vertical="center"/>
    </xf>
    <xf numFmtId="168" fontId="10" fillId="9" borderId="16" xfId="0" applyNumberFormat="1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1" fillId="13" borderId="14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167" fontId="15" fillId="13" borderId="16" xfId="0" applyNumberFormat="1" applyFont="1" applyFill="1" applyBorder="1" applyAlignment="1">
      <alignment horizontal="center" vertical="center"/>
    </xf>
    <xf numFmtId="168" fontId="10" fillId="13" borderId="16" xfId="0" applyNumberFormat="1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167" fontId="15" fillId="11" borderId="7" xfId="0" applyNumberFormat="1" applyFont="1" applyFill="1" applyBorder="1" applyAlignment="1">
      <alignment horizontal="center" vertical="center"/>
    </xf>
    <xf numFmtId="168" fontId="10" fillId="11" borderId="7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167" fontId="15" fillId="16" borderId="7" xfId="0" applyNumberFormat="1" applyFont="1" applyFill="1" applyBorder="1" applyAlignment="1">
      <alignment horizontal="center" vertical="center"/>
    </xf>
    <xf numFmtId="168" fontId="10" fillId="16" borderId="7" xfId="0" applyNumberFormat="1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7" fillId="17" borderId="21" xfId="0" applyFont="1" applyFill="1" applyBorder="1" applyAlignment="1">
      <alignment horizontal="center" vertical="center"/>
    </xf>
    <xf numFmtId="0" fontId="17" fillId="17" borderId="20" xfId="0" applyFont="1" applyFill="1" applyBorder="1" applyAlignment="1">
      <alignment horizontal="center" vertical="center"/>
    </xf>
    <xf numFmtId="0" fontId="17" fillId="17" borderId="24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/>
    </xf>
    <xf numFmtId="171" fontId="18" fillId="0" borderId="25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" fontId="19" fillId="0" borderId="18" xfId="0" applyNumberFormat="1" applyFont="1" applyBorder="1" applyAlignment="1">
      <alignment horizontal="center" vertical="center"/>
    </xf>
    <xf numFmtId="171" fontId="19" fillId="0" borderId="25" xfId="0" applyNumberFormat="1" applyFont="1" applyBorder="1" applyAlignment="1">
      <alignment horizontal="center" vertical="center"/>
    </xf>
    <xf numFmtId="172" fontId="18" fillId="0" borderId="22" xfId="0" applyNumberFormat="1" applyFont="1" applyBorder="1" applyAlignment="1">
      <alignment horizontal="center" vertical="center"/>
    </xf>
    <xf numFmtId="173" fontId="18" fillId="0" borderId="18" xfId="0" applyNumberFormat="1" applyFont="1" applyBorder="1" applyAlignment="1">
      <alignment horizontal="center" vertical="center"/>
    </xf>
    <xf numFmtId="172" fontId="19" fillId="0" borderId="22" xfId="0" applyNumberFormat="1" applyFont="1" applyBorder="1" applyAlignment="1">
      <alignment horizontal="center" vertical="center"/>
    </xf>
    <xf numFmtId="173" fontId="19" fillId="0" borderId="18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72" fontId="19" fillId="0" borderId="23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49" fontId="19" fillId="0" borderId="19" xfId="0" applyNumberFormat="1" applyFont="1" applyBorder="1" applyAlignment="1">
      <alignment horizontal="center" vertical="center"/>
    </xf>
    <xf numFmtId="173" fontId="19" fillId="0" borderId="19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172" fontId="18" fillId="0" borderId="23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49" fontId="18" fillId="0" borderId="19" xfId="0" applyNumberFormat="1" applyFont="1" applyBorder="1" applyAlignment="1">
      <alignment horizontal="center" vertical="center"/>
    </xf>
    <xf numFmtId="173" fontId="18" fillId="0" borderId="19" xfId="0" applyNumberFormat="1" applyFont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167" fontId="15" fillId="8" borderId="16" xfId="0" applyNumberFormat="1" applyFont="1" applyFill="1" applyBorder="1" applyAlignment="1">
      <alignment horizontal="center" vertical="center"/>
    </xf>
    <xf numFmtId="168" fontId="10" fillId="8" borderId="16" xfId="0" applyNumberFormat="1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0" fillId="16" borderId="15" xfId="0" applyFont="1" applyFill="1" applyBorder="1" applyAlignment="1">
      <alignment horizontal="center" vertical="center"/>
    </xf>
    <xf numFmtId="167" fontId="15" fillId="16" borderId="16" xfId="0" applyNumberFormat="1" applyFont="1" applyFill="1" applyBorder="1" applyAlignment="1">
      <alignment horizontal="center" vertical="center"/>
    </xf>
    <xf numFmtId="168" fontId="10" fillId="16" borderId="16" xfId="0" applyNumberFormat="1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16" borderId="17" xfId="0" applyFont="1" applyFill="1" applyBorder="1" applyAlignment="1">
      <alignment horizontal="center" vertical="center"/>
    </xf>
    <xf numFmtId="0" fontId="11" fillId="15" borderId="14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167" fontId="15" fillId="15" borderId="16" xfId="0" applyNumberFormat="1" applyFont="1" applyFill="1" applyBorder="1" applyAlignment="1">
      <alignment horizontal="center" vertical="center"/>
    </xf>
    <xf numFmtId="168" fontId="10" fillId="15" borderId="16" xfId="0" applyNumberFormat="1" applyFont="1" applyFill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1" fontId="19" fillId="0" borderId="19" xfId="0" applyNumberFormat="1" applyFont="1" applyBorder="1" applyAlignment="1">
      <alignment horizontal="center" vertical="center"/>
    </xf>
    <xf numFmtId="171" fontId="18" fillId="0" borderId="26" xfId="0" applyNumberFormat="1" applyFont="1" applyBorder="1" applyAlignment="1">
      <alignment horizontal="center" vertical="center"/>
    </xf>
    <xf numFmtId="171" fontId="19" fillId="0" borderId="26" xfId="0" applyNumberFormat="1" applyFont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167" fontId="16" fillId="13" borderId="16" xfId="0" applyNumberFormat="1" applyFont="1" applyFill="1" applyBorder="1" applyAlignment="1">
      <alignment horizontal="center" vertical="center"/>
    </xf>
    <xf numFmtId="168" fontId="10" fillId="13" borderId="16" xfId="0" applyNumberFormat="1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167" fontId="14" fillId="9" borderId="7" xfId="0" applyNumberFormat="1" applyFont="1" applyFill="1" applyBorder="1" applyAlignment="1">
      <alignment horizontal="center" vertical="center"/>
    </xf>
    <xf numFmtId="168" fontId="10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167" fontId="16" fillId="11" borderId="16" xfId="0" applyNumberFormat="1" applyFont="1" applyFill="1" applyBorder="1" applyAlignment="1">
      <alignment horizontal="center" vertical="center"/>
    </xf>
    <xf numFmtId="168" fontId="10" fillId="11" borderId="16" xfId="0" applyNumberFormat="1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167" fontId="16" fillId="12" borderId="16" xfId="0" applyNumberFormat="1" applyFont="1" applyFill="1" applyBorder="1" applyAlignment="1">
      <alignment horizontal="center" vertical="center"/>
    </xf>
    <xf numFmtId="168" fontId="10" fillId="12" borderId="16" xfId="0" applyNumberFormat="1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167" fontId="14" fillId="15" borderId="7" xfId="0" applyNumberFormat="1" applyFont="1" applyFill="1" applyBorder="1" applyAlignment="1">
      <alignment horizontal="center" vertical="center"/>
    </xf>
    <xf numFmtId="168" fontId="10" fillId="15" borderId="7" xfId="0" applyNumberFormat="1" applyFont="1" applyFill="1" applyBorder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167" fontId="14" fillId="9" borderId="16" xfId="0" applyNumberFormat="1" applyFont="1" applyFill="1" applyBorder="1" applyAlignment="1">
      <alignment horizontal="center" vertical="center"/>
    </xf>
    <xf numFmtId="168" fontId="10" fillId="9" borderId="16" xfId="0" applyNumberFormat="1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167" fontId="14" fillId="8" borderId="16" xfId="0" applyNumberFormat="1" applyFont="1" applyFill="1" applyBorder="1" applyAlignment="1">
      <alignment horizontal="center" vertical="center"/>
    </xf>
    <xf numFmtId="168" fontId="10" fillId="8" borderId="16" xfId="0" applyNumberFormat="1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7" fontId="16" fillId="11" borderId="7" xfId="0" applyNumberFormat="1" applyFont="1" applyFill="1" applyBorder="1" applyAlignment="1">
      <alignment horizontal="center" vertical="center"/>
    </xf>
    <xf numFmtId="167" fontId="14" fillId="9" borderId="7" xfId="0" applyNumberFormat="1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167" fontId="16" fillId="13" borderId="7" xfId="0" applyNumberFormat="1" applyFont="1" applyFill="1" applyBorder="1" applyAlignment="1">
      <alignment horizontal="center" vertical="center"/>
    </xf>
    <xf numFmtId="167" fontId="14" fillId="13" borderId="7" xfId="0" applyNumberFormat="1" applyFont="1" applyFill="1" applyBorder="1" applyAlignment="1">
      <alignment horizontal="center" vertical="center"/>
    </xf>
    <xf numFmtId="167" fontId="16" fillId="8" borderId="7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167" fontId="16" fillId="12" borderId="7" xfId="0" applyNumberFormat="1" applyFont="1" applyFill="1" applyBorder="1" applyAlignment="1">
      <alignment horizontal="center" vertical="center"/>
    </xf>
    <xf numFmtId="168" fontId="10" fillId="12" borderId="7" xfId="0" applyNumberFormat="1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167" fontId="16" fillId="16" borderId="7" xfId="0" applyNumberFormat="1" applyFont="1" applyFill="1" applyBorder="1" applyAlignment="1">
      <alignment horizontal="center" vertical="center"/>
    </xf>
    <xf numFmtId="167" fontId="14" fillId="12" borderId="7" xfId="0" applyNumberFormat="1" applyFont="1" applyFill="1" applyBorder="1" applyAlignment="1">
      <alignment horizontal="center" vertical="center"/>
    </xf>
    <xf numFmtId="167" fontId="16" fillId="9" borderId="7" xfId="0" applyNumberFormat="1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167" fontId="14" fillId="14" borderId="7" xfId="0" applyNumberFormat="1" applyFont="1" applyFill="1" applyBorder="1" applyAlignment="1">
      <alignment horizontal="center" vertical="center"/>
    </xf>
    <xf numFmtId="167" fontId="14" fillId="16" borderId="7" xfId="0" applyNumberFormat="1" applyFont="1" applyFill="1" applyBorder="1" applyAlignment="1">
      <alignment horizontal="center" vertical="center"/>
    </xf>
    <xf numFmtId="167" fontId="14" fillId="15" borderId="7" xfId="0" applyNumberFormat="1" applyFont="1" applyFill="1" applyBorder="1" applyAlignment="1">
      <alignment horizontal="center" vertical="center"/>
    </xf>
    <xf numFmtId="167" fontId="16" fillId="15" borderId="7" xfId="0" applyNumberFormat="1" applyFont="1" applyFill="1" applyBorder="1" applyAlignment="1">
      <alignment horizontal="center" vertical="center"/>
    </xf>
    <xf numFmtId="167" fontId="15" fillId="12" borderId="7" xfId="0" applyNumberFormat="1" applyFont="1" applyFill="1" applyBorder="1" applyAlignment="1">
      <alignment horizontal="center" vertical="center"/>
    </xf>
    <xf numFmtId="167" fontId="14" fillId="11" borderId="7" xfId="0" applyNumberFormat="1" applyFont="1" applyFill="1" applyBorder="1" applyAlignment="1">
      <alignment horizontal="center" vertical="center"/>
    </xf>
    <xf numFmtId="167" fontId="15" fillId="14" borderId="7" xfId="0" applyNumberFormat="1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167" fontId="15" fillId="15" borderId="16" xfId="0" applyNumberFormat="1" applyFont="1" applyFill="1" applyBorder="1" applyAlignment="1">
      <alignment horizontal="center" vertical="center"/>
    </xf>
    <xf numFmtId="168" fontId="10" fillId="15" borderId="16" xfId="0" applyNumberFormat="1" applyFont="1" applyFill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167" fontId="16" fillId="14" borderId="7" xfId="0" applyNumberFormat="1" applyFont="1" applyFill="1" applyBorder="1" applyAlignment="1">
      <alignment horizontal="center" vertical="center"/>
    </xf>
    <xf numFmtId="168" fontId="10" fillId="14" borderId="7" xfId="0" applyNumberFormat="1" applyFont="1" applyFill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167" fontId="15" fillId="12" borderId="7" xfId="0" applyNumberFormat="1" applyFont="1" applyFill="1" applyBorder="1" applyAlignment="1">
      <alignment horizontal="center" vertical="center"/>
    </xf>
    <xf numFmtId="168" fontId="10" fillId="12" borderId="7" xfId="0" applyNumberFormat="1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167" fontId="14" fillId="11" borderId="7" xfId="0" applyNumberFormat="1" applyFont="1" applyFill="1" applyBorder="1" applyAlignment="1">
      <alignment horizontal="center" vertical="center"/>
    </xf>
    <xf numFmtId="168" fontId="10" fillId="11" borderId="7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167" fontId="14" fillId="8" borderId="7" xfId="0" applyNumberFormat="1" applyFont="1" applyFill="1" applyBorder="1" applyAlignment="1">
      <alignment horizontal="center" vertical="center"/>
    </xf>
    <xf numFmtId="168" fontId="10" fillId="8" borderId="7" xfId="0" applyNumberFormat="1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167" fontId="16" fillId="13" borderId="7" xfId="0" applyNumberFormat="1" applyFont="1" applyFill="1" applyBorder="1" applyAlignment="1">
      <alignment horizontal="center" vertical="center"/>
    </xf>
    <xf numFmtId="168" fontId="10" fillId="13" borderId="7" xfId="0" applyNumberFormat="1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16" borderId="15" xfId="0" applyFont="1" applyFill="1" applyBorder="1" applyAlignment="1">
      <alignment horizontal="center" vertical="center"/>
    </xf>
    <xf numFmtId="167" fontId="14" fillId="16" borderId="16" xfId="0" applyNumberFormat="1" applyFont="1" applyFill="1" applyBorder="1" applyAlignment="1">
      <alignment horizontal="center" vertical="center"/>
    </xf>
    <xf numFmtId="168" fontId="10" fillId="16" borderId="16" xfId="0" applyNumberFormat="1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16" borderId="17" xfId="0" applyFont="1" applyFill="1" applyBorder="1" applyAlignment="1">
      <alignment horizontal="center" vertical="center"/>
    </xf>
    <xf numFmtId="167" fontId="16" fillId="8" borderId="7" xfId="0" applyNumberFormat="1" applyFont="1" applyFill="1" applyBorder="1" applyAlignment="1">
      <alignment horizontal="center" vertical="center"/>
    </xf>
    <xf numFmtId="167" fontId="15" fillId="13" borderId="7" xfId="0" applyNumberFormat="1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167" fontId="16" fillId="9" borderId="7" xfId="0" applyNumberFormat="1" applyFont="1" applyFill="1" applyBorder="1" applyAlignment="1">
      <alignment horizontal="center" vertical="center"/>
    </xf>
    <xf numFmtId="167" fontId="15" fillId="11" borderId="7" xfId="0" applyNumberFormat="1" applyFont="1" applyFill="1" applyBorder="1" applyAlignment="1">
      <alignment horizontal="center" vertical="center"/>
    </xf>
    <xf numFmtId="0" fontId="13" fillId="16" borderId="14" xfId="0" applyFont="1" applyFill="1" applyBorder="1" applyAlignment="1">
      <alignment horizontal="center" vertical="center"/>
    </xf>
    <xf numFmtId="167" fontId="15" fillId="16" borderId="16" xfId="0" applyNumberFormat="1" applyFont="1" applyFill="1" applyBorder="1" applyAlignment="1">
      <alignment horizontal="center" vertical="center"/>
    </xf>
    <xf numFmtId="167" fontId="14" fillId="12" borderId="7" xfId="0" applyNumberFormat="1" applyFont="1" applyFill="1" applyBorder="1" applyAlignment="1">
      <alignment horizontal="center" vertical="center"/>
    </xf>
    <xf numFmtId="167" fontId="16" fillId="15" borderId="7" xfId="0" applyNumberFormat="1" applyFont="1" applyFill="1" applyBorder="1" applyAlignment="1">
      <alignment horizontal="center" vertical="center"/>
    </xf>
    <xf numFmtId="167" fontId="14" fillId="13" borderId="7" xfId="0" applyNumberFormat="1" applyFont="1" applyFill="1" applyBorder="1" applyAlignment="1">
      <alignment horizontal="center" vertical="center"/>
    </xf>
    <xf numFmtId="167" fontId="16" fillId="15" borderId="16" xfId="0" applyNumberFormat="1" applyFont="1" applyFill="1" applyBorder="1" applyAlignment="1">
      <alignment horizontal="center" vertical="center"/>
    </xf>
    <xf numFmtId="167" fontId="16" fillId="11" borderId="7" xfId="0" applyNumberFormat="1" applyFont="1" applyFill="1" applyBorder="1" applyAlignment="1">
      <alignment horizontal="center" vertical="center"/>
    </xf>
    <xf numFmtId="167" fontId="14" fillId="15" borderId="16" xfId="0" applyNumberFormat="1" applyFont="1" applyFill="1" applyBorder="1" applyAlignment="1">
      <alignment horizontal="center" vertical="center"/>
    </xf>
    <xf numFmtId="167" fontId="16" fillId="12" borderId="7" xfId="0" applyNumberFormat="1" applyFont="1" applyFill="1" applyBorder="1" applyAlignment="1">
      <alignment horizontal="center" vertical="center"/>
    </xf>
    <xf numFmtId="167" fontId="15" fillId="8" borderId="7" xfId="0" applyNumberFormat="1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167" fontId="15" fillId="16" borderId="7" xfId="0" applyNumberFormat="1" applyFont="1" applyFill="1" applyBorder="1" applyAlignment="1">
      <alignment horizontal="center" vertical="center"/>
    </xf>
    <xf numFmtId="168" fontId="10" fillId="16" borderId="7" xfId="0" applyNumberFormat="1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167" fontId="15" fillId="12" borderId="16" xfId="0" applyNumberFormat="1" applyFont="1" applyFill="1" applyBorder="1" applyAlignment="1">
      <alignment horizontal="center" vertical="center"/>
    </xf>
    <xf numFmtId="0" fontId="13" fillId="14" borderId="14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167" fontId="16" fillId="14" borderId="16" xfId="0" applyNumberFormat="1" applyFont="1" applyFill="1" applyBorder="1" applyAlignment="1">
      <alignment horizontal="center" vertical="center"/>
    </xf>
    <xf numFmtId="168" fontId="10" fillId="14" borderId="16" xfId="0" applyNumberFormat="1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13" fillId="11" borderId="14" xfId="0" applyFont="1" applyFill="1" applyBorder="1" applyAlignment="1">
      <alignment horizontal="center" vertical="center"/>
    </xf>
    <xf numFmtId="167" fontId="14" fillId="11" borderId="1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167" fontId="14" fillId="14" borderId="7" xfId="0" applyNumberFormat="1" applyFont="1" applyFill="1" applyBorder="1" applyAlignment="1">
      <alignment horizontal="center" vertical="center"/>
    </xf>
    <xf numFmtId="167" fontId="14" fillId="8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167" fontId="14" fillId="16" borderId="16" xfId="0" applyNumberFormat="1" applyFont="1" applyFill="1" applyBorder="1" applyAlignment="1">
      <alignment horizontal="center" vertical="center"/>
    </xf>
    <xf numFmtId="167" fontId="14" fillId="11" borderId="16" xfId="0" applyNumberFormat="1" applyFont="1" applyFill="1" applyBorder="1" applyAlignment="1">
      <alignment horizontal="center" vertical="center"/>
    </xf>
    <xf numFmtId="167" fontId="14" fillId="15" borderId="16" xfId="0" applyNumberFormat="1" applyFont="1" applyFill="1" applyBorder="1" applyAlignment="1">
      <alignment horizontal="center" vertical="center"/>
    </xf>
    <xf numFmtId="167" fontId="14" fillId="12" borderId="16" xfId="0" applyNumberFormat="1" applyFont="1" applyFill="1" applyBorder="1" applyAlignment="1">
      <alignment horizontal="center" vertical="center"/>
    </xf>
    <xf numFmtId="167" fontId="14" fillId="13" borderId="16" xfId="0" applyNumberFormat="1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167" fontId="14" fillId="14" borderId="16" xfId="0" applyNumberFormat="1" applyFont="1" applyFill="1" applyBorder="1" applyAlignment="1">
      <alignment horizontal="center" vertical="center"/>
    </xf>
    <xf numFmtId="168" fontId="10" fillId="14" borderId="16" xfId="0" applyNumberFormat="1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167" fontId="14" fillId="14" borderId="16" xfId="0" applyNumberFormat="1" applyFont="1" applyFill="1" applyBorder="1" applyAlignment="1">
      <alignment horizontal="center" vertical="center"/>
    </xf>
    <xf numFmtId="167" fontId="14" fillId="12" borderId="16" xfId="0" applyNumberFormat="1" applyFont="1" applyFill="1" applyBorder="1" applyAlignment="1">
      <alignment horizontal="center" vertical="center"/>
    </xf>
    <xf numFmtId="167" fontId="15" fillId="14" borderId="16" xfId="0" applyNumberFormat="1" applyFont="1" applyFill="1" applyBorder="1" applyAlignment="1">
      <alignment horizontal="center" vertical="center"/>
    </xf>
    <xf numFmtId="167" fontId="15" fillId="9" borderId="16" xfId="0" applyNumberFormat="1" applyFont="1" applyFill="1" applyBorder="1" applyAlignment="1">
      <alignment horizontal="center" vertical="center"/>
    </xf>
    <xf numFmtId="167" fontId="16" fillId="8" borderId="16" xfId="0" applyNumberFormat="1" applyFont="1" applyFill="1" applyBorder="1" applyAlignment="1">
      <alignment horizontal="center" vertical="center"/>
    </xf>
    <xf numFmtId="167" fontId="15" fillId="11" borderId="16" xfId="0" applyNumberFormat="1" applyFont="1" applyFill="1" applyBorder="1" applyAlignment="1">
      <alignment horizontal="center" vertical="center"/>
    </xf>
    <xf numFmtId="167" fontId="15" fillId="8" borderId="16" xfId="0" applyNumberFormat="1" applyFont="1" applyFill="1" applyBorder="1" applyAlignment="1">
      <alignment horizontal="center" vertical="center"/>
    </xf>
    <xf numFmtId="167" fontId="14" fillId="9" borderId="16" xfId="0" applyNumberFormat="1" applyFont="1" applyFill="1" applyBorder="1" applyAlignment="1">
      <alignment horizontal="center" vertical="center"/>
    </xf>
    <xf numFmtId="167" fontId="14" fillId="16" borderId="7" xfId="0" applyNumberFormat="1" applyFont="1" applyFill="1" applyBorder="1" applyAlignment="1">
      <alignment horizontal="center" vertical="center"/>
    </xf>
    <xf numFmtId="0" fontId="11" fillId="16" borderId="14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65" fontId="22" fillId="18" borderId="0" xfId="0" applyNumberFormat="1" applyFont="1" applyFill="1" applyAlignment="1">
      <alignment horizontal="center" vertical="center"/>
    </xf>
    <xf numFmtId="174" fontId="22" fillId="18" borderId="0" xfId="0" applyNumberFormat="1" applyFont="1" applyFill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176" fontId="22" fillId="18" borderId="0" xfId="0" applyNumberFormat="1" applyFont="1" applyFill="1" applyAlignment="1">
      <alignment horizontal="center" vertical="center"/>
    </xf>
    <xf numFmtId="9" fontId="22" fillId="18" borderId="0" xfId="0" applyNumberFormat="1" applyFont="1" applyFill="1" applyAlignment="1">
      <alignment horizontal="center" vertical="center"/>
    </xf>
    <xf numFmtId="1" fontId="22" fillId="18" borderId="0" xfId="0" applyNumberFormat="1" applyFont="1" applyFill="1" applyAlignment="1">
      <alignment horizontal="center" vertical="center"/>
    </xf>
    <xf numFmtId="175" fontId="22" fillId="18" borderId="0" xfId="0" applyNumberFormat="1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Border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0" borderId="0" xfId="0" applyFont="1" applyAlignment="1">
      <alignment horizontal="left" vertical="center"/>
    </xf>
    <xf numFmtId="165" fontId="4" fillId="3" borderId="0" xfId="0" applyNumberFormat="1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left" vertical="center"/>
    </xf>
    <xf numFmtId="18" fontId="4" fillId="3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/>
    <xf numFmtId="0" fontId="20" fillId="0" borderId="28" xfId="0" applyFont="1" applyBorder="1" applyAlignment="1">
      <alignment horizontal="center" vertical="center"/>
    </xf>
    <xf numFmtId="0" fontId="0" fillId="0" borderId="28" xfId="0" applyBorder="1"/>
    <xf numFmtId="0" fontId="20" fillId="0" borderId="12" xfId="0" applyFont="1" applyBorder="1" applyAlignment="1">
      <alignment horizontal="center" vertical="center"/>
    </xf>
    <xf numFmtId="0" fontId="0" fillId="0" borderId="12" xfId="0" applyBorder="1"/>
    <xf numFmtId="0" fontId="27" fillId="0" borderId="0" xfId="0" applyFont="1" applyAlignment="1">
      <alignment horizontal="center" vertical="center"/>
    </xf>
    <xf numFmtId="0" fontId="27" fillId="0" borderId="0" xfId="0" applyFont="1"/>
    <xf numFmtId="169" fontId="27" fillId="0" borderId="0" xfId="0" applyNumberFormat="1" applyFont="1" applyAlignment="1">
      <alignment horizontal="center" vertical="center"/>
    </xf>
    <xf numFmtId="15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70" fontId="27" fillId="0" borderId="0" xfId="0" applyNumberFormat="1" applyFont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" fontId="27" fillId="0" borderId="0" xfId="0" applyNumberFormat="1" applyFont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15" fontId="28" fillId="19" borderId="0" xfId="0" applyNumberFormat="1" applyFont="1" applyFill="1" applyAlignment="1">
      <alignment horizontal="center" vertical="center"/>
    </xf>
    <xf numFmtId="167" fontId="28" fillId="19" borderId="0" xfId="0" applyNumberFormat="1" applyFont="1" applyFill="1" applyAlignment="1">
      <alignment horizontal="center" vertical="center"/>
    </xf>
    <xf numFmtId="1" fontId="28" fillId="19" borderId="0" xfId="0" applyNumberFormat="1" applyFont="1" applyFill="1" applyAlignment="1">
      <alignment horizontal="center" vertical="center"/>
    </xf>
    <xf numFmtId="0" fontId="28" fillId="19" borderId="0" xfId="0" applyNumberFormat="1" applyFont="1" applyFill="1" applyAlignment="1">
      <alignment horizontal="center" vertical="center"/>
    </xf>
    <xf numFmtId="0" fontId="29" fillId="19" borderId="0" xfId="0" applyFont="1" applyFill="1" applyAlignment="1">
      <alignment horizontal="center"/>
    </xf>
    <xf numFmtId="15" fontId="29" fillId="19" borderId="0" xfId="0" applyNumberFormat="1" applyFont="1" applyFill="1" applyAlignment="1">
      <alignment horizontal="center"/>
    </xf>
    <xf numFmtId="167" fontId="29" fillId="19" borderId="0" xfId="0" applyNumberFormat="1" applyFont="1" applyFill="1" applyAlignment="1">
      <alignment horizontal="center"/>
    </xf>
    <xf numFmtId="1" fontId="29" fillId="19" borderId="0" xfId="0" applyNumberFormat="1" applyFont="1" applyFill="1" applyAlignment="1">
      <alignment horizontal="center"/>
    </xf>
    <xf numFmtId="0" fontId="0" fillId="10" borderId="29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</cellXfs>
  <cellStyles count="1">
    <cellStyle name="Normal" xfId="0" builtinId="0"/>
  </cellStyles>
  <dxfs count="1687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17" totalsRowCount="1" headerRowDxfId="1686" dataDxfId="1649" totalsRowDxfId="1612">
  <tableColumns count="36">
    <tableColumn id="1" xr3:uid="{00000000-0010-0000-0000-000001000000}" name="Day" totalsRowLabel="TOTAL" dataDxfId="1685" totalsRowDxfId="1648"/>
    <tableColumn id="2" xr3:uid="{00000000-0010-0000-0000-000002000000}" name="Flt Dt" dataDxfId="1684" totalsRowDxfId="1647"/>
    <tableColumn id="3" xr3:uid="{00000000-0010-0000-0000-000003000000}" name="Flt" totalsRowFunction="count" dataDxfId="1683" totalsRowDxfId="1646"/>
    <tableColumn id="4" xr3:uid="{00000000-0010-0000-0000-000004000000}" name="DEP" dataDxfId="1682" totalsRowDxfId="1645"/>
    <tableColumn id="5" xr3:uid="{00000000-0010-0000-0000-000005000000}" name="Brd-Off" totalsRowFunction="count" dataDxfId="1681" totalsRowDxfId="1644"/>
    <tableColumn id="6" xr3:uid="{00000000-0010-0000-0000-000006000000}" name="Eqp" dataDxfId="1680" totalsRowDxfId="1643"/>
    <tableColumn id="7" xr3:uid="{00000000-0010-0000-0000-000007000000}" name="LF%" totalsRowFunction="average" dataDxfId="1679" totalsRowDxfId="1642"/>
    <tableColumn id="8" xr3:uid="{00000000-0010-0000-0000-000008000000}" name="CAP" totalsRowFunction="sum" dataDxfId="1678" totalsRowDxfId="1641"/>
    <tableColumn id="9" xr3:uid="{00000000-0010-0000-0000-000009000000}" name="BKG(Y)" totalsRowFunction="sum" dataDxfId="1677" totalsRowDxfId="1640"/>
    <tableColumn id="10" xr3:uid="{00000000-0010-0000-0000-00000A000000}" name="GRP(Y)" totalsRowFunction="sum" dataDxfId="1676" totalsRowDxfId="1639"/>
    <tableColumn id="11" xr3:uid="{00000000-0010-0000-0000-00000B000000}" name="FLT ST" dataDxfId="1675" totalsRowDxfId="1638"/>
    <tableColumn id="12" xr3:uid="{00000000-0010-0000-0000-00000C000000}" name="LST-SOLD" dataDxfId="1674" totalsRowDxfId="1637"/>
    <tableColumn id="13" xr3:uid="{00000000-0010-0000-0000-00000D000000}" name="TO-DAY" totalsRowFunction="sum" dataDxfId="1673" totalsRowDxfId="1636"/>
    <tableColumn id="14" xr3:uid="{00000000-0010-0000-0000-00000E000000}" name="Y-DAY" totalsRowFunction="sum" dataDxfId="1672" totalsRowDxfId="1635"/>
    <tableColumn id="15" xr3:uid="{00000000-0010-0000-0000-00000F000000}" name="WEEKLY" totalsRowFunction="sum" dataDxfId="1671" totalsRowDxfId="1634"/>
    <tableColumn id="16" xr3:uid="{00000000-0010-0000-0000-000010000000}" name="LOWEST AVAIL" dataDxfId="1670" totalsRowDxfId="1633"/>
    <tableColumn id="17" xr3:uid="{00000000-0010-0000-0000-000011000000}" name="Y" totalsRowFunction="sum" dataDxfId="1669" totalsRowDxfId="1632"/>
    <tableColumn id="18" xr3:uid="{00000000-0010-0000-0000-000012000000}" name="B" totalsRowFunction="sum" dataDxfId="1668" totalsRowDxfId="1631"/>
    <tableColumn id="19" xr3:uid="{00000000-0010-0000-0000-000013000000}" name="M" totalsRowFunction="sum" dataDxfId="1667" totalsRowDxfId="1630"/>
    <tableColumn id="20" xr3:uid="{00000000-0010-0000-0000-000014000000}" name="H" totalsRowFunction="sum" dataDxfId="1666" totalsRowDxfId="1629"/>
    <tableColumn id="21" xr3:uid="{00000000-0010-0000-0000-000015000000}" name="Q" totalsRowFunction="sum" dataDxfId="1665" totalsRowDxfId="1628"/>
    <tableColumn id="22" xr3:uid="{00000000-0010-0000-0000-000016000000}" name="K" totalsRowFunction="sum" dataDxfId="1664" totalsRowDxfId="1627"/>
    <tableColumn id="23" xr3:uid="{00000000-0010-0000-0000-000017000000}" name="V" totalsRowFunction="sum" dataDxfId="1663" totalsRowDxfId="1626"/>
    <tableColumn id="24" xr3:uid="{00000000-0010-0000-0000-000018000000}" name="L" totalsRowFunction="sum" dataDxfId="1662" totalsRowDxfId="1625"/>
    <tableColumn id="25" xr3:uid="{00000000-0010-0000-0000-000019000000}" name="G" totalsRowFunction="sum" dataDxfId="1661" totalsRowDxfId="1624"/>
    <tableColumn id="26" xr3:uid="{00000000-0010-0000-0000-00001A000000}" name="S" totalsRowFunction="sum" dataDxfId="1660" totalsRowDxfId="1623"/>
    <tableColumn id="27" xr3:uid="{00000000-0010-0000-0000-00001B000000}" name="W" totalsRowFunction="sum" dataDxfId="1659" totalsRowDxfId="1622"/>
    <tableColumn id="28" xr3:uid="{00000000-0010-0000-0000-00001C000000}" name="T" totalsRowFunction="sum" dataDxfId="1658" totalsRowDxfId="1621"/>
    <tableColumn id="29" xr3:uid="{00000000-0010-0000-0000-00001D000000}" name="X" totalsRowFunction="sum" dataDxfId="1657" totalsRowDxfId="1620"/>
    <tableColumn id="30" xr3:uid="{00000000-0010-0000-0000-00001E000000}" name="U" totalsRowFunction="sum" dataDxfId="1656" totalsRowDxfId="1619"/>
    <tableColumn id="31" xr3:uid="{00000000-0010-0000-0000-00001F000000}" name="O" totalsRowFunction="sum" dataDxfId="1655" totalsRowDxfId="1618"/>
    <tableColumn id="32" xr3:uid="{00000000-0010-0000-0000-000020000000}" name="I" totalsRowFunction="sum" dataDxfId="1654" totalsRowDxfId="1617"/>
    <tableColumn id="33" xr3:uid="{00000000-0010-0000-0000-000021000000}" name="E" totalsRowFunction="sum" dataDxfId="1653" totalsRowDxfId="1616"/>
    <tableColumn id="34" xr3:uid="{00000000-0010-0000-0000-000022000000}" name="A" totalsRowFunction="sum" dataDxfId="1652" totalsRowDxfId="1615"/>
    <tableColumn id="35" xr3:uid="{00000000-0010-0000-0000-000023000000}" name="P" totalsRowFunction="sum" dataDxfId="1651" totalsRowDxfId="1614"/>
    <tableColumn id="36" xr3:uid="{00000000-0010-0000-0000-000024000000}" name="N" totalsRowFunction="count" dataDxfId="1650" totalsRowDxfId="16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CAI" displayName="FocusMode_MED_CAI" ref="A1:H250" totalsRowShown="0">
  <autoFilter ref="A1:H25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D_HBE_LF_LEGACY" displayName="MED_HBE_LF_LEGACY" ref="A1:AJ12" totalsRowCount="1" headerRowDxfId="1611" dataDxfId="1574" totalsRowDxfId="1537">
  <tableColumns count="36">
    <tableColumn id="1" xr3:uid="{00000000-0010-0000-0200-000001000000}" name="Day" totalsRowLabel="TOTAL" dataDxfId="1610" totalsRowDxfId="1573"/>
    <tableColumn id="2" xr3:uid="{00000000-0010-0000-0200-000002000000}" name="Flt Dt" dataDxfId="1609" totalsRowDxfId="1572"/>
    <tableColumn id="3" xr3:uid="{00000000-0010-0000-0200-000003000000}" name="Flt" totalsRowFunction="count" dataDxfId="1608" totalsRowDxfId="1571"/>
    <tableColumn id="4" xr3:uid="{00000000-0010-0000-0200-000004000000}" name="DEP" dataDxfId="1607" totalsRowDxfId="1570"/>
    <tableColumn id="5" xr3:uid="{00000000-0010-0000-0200-000005000000}" name="Brd-Off" totalsRowFunction="count" dataDxfId="1606" totalsRowDxfId="1569"/>
    <tableColumn id="6" xr3:uid="{00000000-0010-0000-0200-000006000000}" name="Eqp" dataDxfId="1605" totalsRowDxfId="1568"/>
    <tableColumn id="7" xr3:uid="{00000000-0010-0000-0200-000007000000}" name="LF%" totalsRowFunction="average" dataDxfId="1604" totalsRowDxfId="1567"/>
    <tableColumn id="8" xr3:uid="{00000000-0010-0000-0200-000008000000}" name="CAP" totalsRowFunction="sum" dataDxfId="1603" totalsRowDxfId="1566"/>
    <tableColumn id="9" xr3:uid="{00000000-0010-0000-0200-000009000000}" name="BKG(Y)" totalsRowFunction="sum" dataDxfId="1602" totalsRowDxfId="1565"/>
    <tableColumn id="10" xr3:uid="{00000000-0010-0000-0200-00000A000000}" name="GRP(Y)" totalsRowFunction="sum" dataDxfId="1601" totalsRowDxfId="1564"/>
    <tableColumn id="11" xr3:uid="{00000000-0010-0000-0200-00000B000000}" name="FLT ST" dataDxfId="1600" totalsRowDxfId="1563"/>
    <tableColumn id="12" xr3:uid="{00000000-0010-0000-0200-00000C000000}" name="LST-SOLD" dataDxfId="1599" totalsRowDxfId="1562"/>
    <tableColumn id="13" xr3:uid="{00000000-0010-0000-0200-00000D000000}" name="TO-DAY" totalsRowFunction="sum" dataDxfId="1598" totalsRowDxfId="1561"/>
    <tableColumn id="14" xr3:uid="{00000000-0010-0000-0200-00000E000000}" name="Y-DAY" totalsRowFunction="sum" dataDxfId="1597" totalsRowDxfId="1560"/>
    <tableColumn id="15" xr3:uid="{00000000-0010-0000-0200-00000F000000}" name="WEEKLY" totalsRowFunction="sum" dataDxfId="1596" totalsRowDxfId="1559"/>
    <tableColumn id="16" xr3:uid="{00000000-0010-0000-0200-000010000000}" name="LOWEST AVAIL" dataDxfId="1595" totalsRowDxfId="1558"/>
    <tableColumn id="17" xr3:uid="{00000000-0010-0000-0200-000011000000}" name="Y" totalsRowFunction="sum" dataDxfId="1594" totalsRowDxfId="1557"/>
    <tableColumn id="18" xr3:uid="{00000000-0010-0000-0200-000012000000}" name="B" totalsRowFunction="sum" dataDxfId="1593" totalsRowDxfId="1556"/>
    <tableColumn id="19" xr3:uid="{00000000-0010-0000-0200-000013000000}" name="M" totalsRowFunction="sum" dataDxfId="1592" totalsRowDxfId="1555"/>
    <tableColumn id="20" xr3:uid="{00000000-0010-0000-0200-000014000000}" name="H" totalsRowFunction="sum" dataDxfId="1591" totalsRowDxfId="1554"/>
    <tableColumn id="21" xr3:uid="{00000000-0010-0000-0200-000015000000}" name="Q" totalsRowFunction="sum" dataDxfId="1590" totalsRowDxfId="1553"/>
    <tableColumn id="22" xr3:uid="{00000000-0010-0000-0200-000016000000}" name="K" totalsRowFunction="sum" dataDxfId="1589" totalsRowDxfId="1552"/>
    <tableColumn id="23" xr3:uid="{00000000-0010-0000-0200-000017000000}" name="V" totalsRowFunction="sum" dataDxfId="1588" totalsRowDxfId="1551"/>
    <tableColumn id="24" xr3:uid="{00000000-0010-0000-0200-000018000000}" name="L" totalsRowFunction="sum" dataDxfId="1587" totalsRowDxfId="1550"/>
    <tableColumn id="25" xr3:uid="{00000000-0010-0000-0200-000019000000}" name="G" totalsRowFunction="sum" dataDxfId="1586" totalsRowDxfId="1549"/>
    <tableColumn id="26" xr3:uid="{00000000-0010-0000-0200-00001A000000}" name="S" totalsRowFunction="sum" dataDxfId="1585" totalsRowDxfId="1548"/>
    <tableColumn id="27" xr3:uid="{00000000-0010-0000-0200-00001B000000}" name="W" totalsRowFunction="sum" dataDxfId="1584" totalsRowDxfId="1547"/>
    <tableColumn id="28" xr3:uid="{00000000-0010-0000-0200-00001C000000}" name="T" totalsRowFunction="sum" dataDxfId="1583" totalsRowDxfId="1546"/>
    <tableColumn id="29" xr3:uid="{00000000-0010-0000-0200-00001D000000}" name="X" totalsRowFunction="sum" dataDxfId="1582" totalsRowDxfId="1545"/>
    <tableColumn id="30" xr3:uid="{00000000-0010-0000-0200-00001E000000}" name="U" totalsRowFunction="sum" dataDxfId="1581" totalsRowDxfId="1544"/>
    <tableColumn id="31" xr3:uid="{00000000-0010-0000-0200-00001F000000}" name="O" totalsRowFunction="sum" dataDxfId="1580" totalsRowDxfId="1543"/>
    <tableColumn id="32" xr3:uid="{00000000-0010-0000-0200-000020000000}" name="I" totalsRowFunction="sum" dataDxfId="1579" totalsRowDxfId="1542"/>
    <tableColumn id="33" xr3:uid="{00000000-0010-0000-0200-000021000000}" name="E" totalsRowFunction="sum" dataDxfId="1578" totalsRowDxfId="1541"/>
    <tableColumn id="34" xr3:uid="{00000000-0010-0000-0200-000022000000}" name="A" totalsRowFunction="sum" dataDxfId="1577" totalsRowDxfId="1540"/>
    <tableColumn id="35" xr3:uid="{00000000-0010-0000-0200-000023000000}" name="P" totalsRowFunction="sum" dataDxfId="1576" totalsRowDxfId="1539"/>
    <tableColumn id="36" xr3:uid="{00000000-0010-0000-0200-000024000000}" name="N" totalsRowFunction="count" dataDxfId="1575" totalsRowDxfId="15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MED_HBE" displayName="FocusMode_MED_HBE" ref="A1:H15" totalsRowShown="0">
  <autoFilter ref="A1:H1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D_ATZ_LF_LEGACY" displayName="MED_ATZ_LF_LEGACY" ref="A1:AJ9" totalsRowCount="1" headerRowDxfId="1536" dataDxfId="1499" totalsRowDxfId="1462">
  <tableColumns count="36">
    <tableColumn id="1" xr3:uid="{00000000-0010-0000-0400-000001000000}" name="Day" totalsRowLabel="TOTAL" dataDxfId="1535" totalsRowDxfId="1498"/>
    <tableColumn id="2" xr3:uid="{00000000-0010-0000-0400-000002000000}" name="Flt Dt" dataDxfId="1534" totalsRowDxfId="1497"/>
    <tableColumn id="3" xr3:uid="{00000000-0010-0000-0400-000003000000}" name="Flt" totalsRowFunction="count" dataDxfId="1533" totalsRowDxfId="1496"/>
    <tableColumn id="4" xr3:uid="{00000000-0010-0000-0400-000004000000}" name="DEP" dataDxfId="1532" totalsRowDxfId="1495"/>
    <tableColumn id="5" xr3:uid="{00000000-0010-0000-0400-000005000000}" name="Brd-Off" totalsRowFunction="count" dataDxfId="1531" totalsRowDxfId="1494"/>
    <tableColumn id="6" xr3:uid="{00000000-0010-0000-0400-000006000000}" name="Eqp" dataDxfId="1530" totalsRowDxfId="1493"/>
    <tableColumn id="7" xr3:uid="{00000000-0010-0000-0400-000007000000}" name="LF%" totalsRowFunction="average" dataDxfId="1529" totalsRowDxfId="1492"/>
    <tableColumn id="8" xr3:uid="{00000000-0010-0000-0400-000008000000}" name="CAP" totalsRowFunction="sum" dataDxfId="1528" totalsRowDxfId="1491"/>
    <tableColumn id="9" xr3:uid="{00000000-0010-0000-0400-000009000000}" name="BKG(Y)" totalsRowFunction="sum" dataDxfId="1527" totalsRowDxfId="1490"/>
    <tableColumn id="10" xr3:uid="{00000000-0010-0000-0400-00000A000000}" name="GRP(Y)" totalsRowFunction="sum" dataDxfId="1526" totalsRowDxfId="1489"/>
    <tableColumn id="11" xr3:uid="{00000000-0010-0000-0400-00000B000000}" name="FLT ST" dataDxfId="1525" totalsRowDxfId="1488"/>
    <tableColumn id="12" xr3:uid="{00000000-0010-0000-0400-00000C000000}" name="LST-SOLD" dataDxfId="1524" totalsRowDxfId="1487"/>
    <tableColumn id="13" xr3:uid="{00000000-0010-0000-0400-00000D000000}" name="TO-DAY" totalsRowFunction="sum" dataDxfId="1523" totalsRowDxfId="1486"/>
    <tableColumn id="14" xr3:uid="{00000000-0010-0000-0400-00000E000000}" name="Y-DAY" totalsRowFunction="sum" dataDxfId="1522" totalsRowDxfId="1485"/>
    <tableColumn id="15" xr3:uid="{00000000-0010-0000-0400-00000F000000}" name="WEEKLY" totalsRowFunction="sum" dataDxfId="1521" totalsRowDxfId="1484"/>
    <tableColumn id="16" xr3:uid="{00000000-0010-0000-0400-000010000000}" name="LOWEST AVAIL" dataDxfId="1520" totalsRowDxfId="1483"/>
    <tableColumn id="17" xr3:uid="{00000000-0010-0000-0400-000011000000}" name="Y" totalsRowFunction="sum" dataDxfId="1519" totalsRowDxfId="1482"/>
    <tableColumn id="18" xr3:uid="{00000000-0010-0000-0400-000012000000}" name="B" totalsRowFunction="sum" dataDxfId="1518" totalsRowDxfId="1481"/>
    <tableColumn id="19" xr3:uid="{00000000-0010-0000-0400-000013000000}" name="M" totalsRowFunction="sum" dataDxfId="1517" totalsRowDxfId="1480"/>
    <tableColumn id="20" xr3:uid="{00000000-0010-0000-0400-000014000000}" name="H" totalsRowFunction="sum" dataDxfId="1516" totalsRowDxfId="1479"/>
    <tableColumn id="21" xr3:uid="{00000000-0010-0000-0400-000015000000}" name="Q" totalsRowFunction="sum" dataDxfId="1515" totalsRowDxfId="1478"/>
    <tableColumn id="22" xr3:uid="{00000000-0010-0000-0400-000016000000}" name="K" totalsRowFunction="sum" dataDxfId="1514" totalsRowDxfId="1477"/>
    <tableColumn id="23" xr3:uid="{00000000-0010-0000-0400-000017000000}" name="V" totalsRowFunction="sum" dataDxfId="1513" totalsRowDxfId="1476"/>
    <tableColumn id="24" xr3:uid="{00000000-0010-0000-0400-000018000000}" name="L" totalsRowFunction="sum" dataDxfId="1512" totalsRowDxfId="1475"/>
    <tableColumn id="25" xr3:uid="{00000000-0010-0000-0400-000019000000}" name="G" totalsRowFunction="sum" dataDxfId="1511" totalsRowDxfId="1474"/>
    <tableColumn id="26" xr3:uid="{00000000-0010-0000-0400-00001A000000}" name="S" totalsRowFunction="sum" dataDxfId="1510" totalsRowDxfId="1473"/>
    <tableColumn id="27" xr3:uid="{00000000-0010-0000-0400-00001B000000}" name="W" totalsRowFunction="sum" dataDxfId="1509" totalsRowDxfId="1472"/>
    <tableColumn id="28" xr3:uid="{00000000-0010-0000-0400-00001C000000}" name="T" totalsRowFunction="sum" dataDxfId="1508" totalsRowDxfId="1471"/>
    <tableColumn id="29" xr3:uid="{00000000-0010-0000-0400-00001D000000}" name="X" totalsRowFunction="sum" dataDxfId="1507" totalsRowDxfId="1470"/>
    <tableColumn id="30" xr3:uid="{00000000-0010-0000-0400-00001E000000}" name="U" totalsRowFunction="sum" dataDxfId="1506" totalsRowDxfId="1469"/>
    <tableColumn id="31" xr3:uid="{00000000-0010-0000-0400-00001F000000}" name="O" totalsRowFunction="sum" dataDxfId="1505" totalsRowDxfId="1468"/>
    <tableColumn id="32" xr3:uid="{00000000-0010-0000-0400-000020000000}" name="I" totalsRowFunction="sum" dataDxfId="1504" totalsRowDxfId="1467"/>
    <tableColumn id="33" xr3:uid="{00000000-0010-0000-0400-000021000000}" name="E" totalsRowFunction="sum" dataDxfId="1503" totalsRowDxfId="1466"/>
    <tableColumn id="34" xr3:uid="{00000000-0010-0000-0400-000022000000}" name="A" totalsRowFunction="sum" dataDxfId="1502" totalsRowDxfId="1465"/>
    <tableColumn id="35" xr3:uid="{00000000-0010-0000-0400-000023000000}" name="P" totalsRowFunction="sum" dataDxfId="1501" totalsRowDxfId="1464"/>
    <tableColumn id="36" xr3:uid="{00000000-0010-0000-0400-000024000000}" name="N" totalsRowFunction="count" dataDxfId="1500" totalsRowDxfId="14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MED_ATZ" displayName="FocusMode_MED_ATZ" ref="A1:H12" totalsRowShown="0">
  <autoFilter ref="A1:H12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ED_CAI_LF_LEGACY" displayName="JED_CAI_LF_LEGACY" ref="A1:AJ79" totalsRowCount="1" headerRowDxfId="1461" dataDxfId="1424" totalsRowDxfId="1387">
  <tableColumns count="36">
    <tableColumn id="1" xr3:uid="{00000000-0010-0000-0600-000001000000}" name="Day" totalsRowLabel="TOTAL" dataDxfId="1460" totalsRowDxfId="1423"/>
    <tableColumn id="2" xr3:uid="{00000000-0010-0000-0600-000002000000}" name="Flt Dt" dataDxfId="1459" totalsRowDxfId="1422"/>
    <tableColumn id="3" xr3:uid="{00000000-0010-0000-0600-000003000000}" name="Flt" totalsRowFunction="count" dataDxfId="1458" totalsRowDxfId="1421"/>
    <tableColumn id="4" xr3:uid="{00000000-0010-0000-0600-000004000000}" name="DEP" dataDxfId="1457" totalsRowDxfId="1420"/>
    <tableColumn id="5" xr3:uid="{00000000-0010-0000-0600-000005000000}" name="Brd-Off" totalsRowFunction="count" dataDxfId="1456" totalsRowDxfId="1419"/>
    <tableColumn id="6" xr3:uid="{00000000-0010-0000-0600-000006000000}" name="Eqp" dataDxfId="1455" totalsRowDxfId="1418"/>
    <tableColumn id="7" xr3:uid="{00000000-0010-0000-0600-000007000000}" name="LF%" totalsRowFunction="average" dataDxfId="1454" totalsRowDxfId="1417"/>
    <tableColumn id="8" xr3:uid="{00000000-0010-0000-0600-000008000000}" name="CAP" totalsRowFunction="sum" dataDxfId="1453" totalsRowDxfId="1416"/>
    <tableColumn id="9" xr3:uid="{00000000-0010-0000-0600-000009000000}" name="BKG(Y)" totalsRowFunction="sum" dataDxfId="1452" totalsRowDxfId="1415"/>
    <tableColumn id="10" xr3:uid="{00000000-0010-0000-0600-00000A000000}" name="GRP(Y)" totalsRowFunction="sum" dataDxfId="1451" totalsRowDxfId="1414"/>
    <tableColumn id="11" xr3:uid="{00000000-0010-0000-0600-00000B000000}" name="FLT ST" dataDxfId="1450" totalsRowDxfId="1413"/>
    <tableColumn id="12" xr3:uid="{00000000-0010-0000-0600-00000C000000}" name="LST-SOLD" dataDxfId="1449" totalsRowDxfId="1412"/>
    <tableColumn id="13" xr3:uid="{00000000-0010-0000-0600-00000D000000}" name="TO-DAY" totalsRowFunction="sum" dataDxfId="1448" totalsRowDxfId="1411"/>
    <tableColumn id="14" xr3:uid="{00000000-0010-0000-0600-00000E000000}" name="Y-DAY" totalsRowFunction="sum" dataDxfId="1447" totalsRowDxfId="1410"/>
    <tableColumn id="15" xr3:uid="{00000000-0010-0000-0600-00000F000000}" name="WEEKLY" totalsRowFunction="sum" dataDxfId="1446" totalsRowDxfId="1409"/>
    <tableColumn id="16" xr3:uid="{00000000-0010-0000-0600-000010000000}" name="LOWEST AVAIL" dataDxfId="1445" totalsRowDxfId="1408"/>
    <tableColumn id="17" xr3:uid="{00000000-0010-0000-0600-000011000000}" name="Y" totalsRowFunction="sum" dataDxfId="1444" totalsRowDxfId="1407"/>
    <tableColumn id="18" xr3:uid="{00000000-0010-0000-0600-000012000000}" name="B" totalsRowFunction="sum" dataDxfId="1443" totalsRowDxfId="1406"/>
    <tableColumn id="19" xr3:uid="{00000000-0010-0000-0600-000013000000}" name="M" totalsRowFunction="sum" dataDxfId="1442" totalsRowDxfId="1405"/>
    <tableColumn id="20" xr3:uid="{00000000-0010-0000-0600-000014000000}" name="H" totalsRowFunction="sum" dataDxfId="1441" totalsRowDxfId="1404"/>
    <tableColumn id="21" xr3:uid="{00000000-0010-0000-0600-000015000000}" name="Q" totalsRowFunction="sum" dataDxfId="1440" totalsRowDxfId="1403"/>
    <tableColumn id="22" xr3:uid="{00000000-0010-0000-0600-000016000000}" name="K" totalsRowFunction="sum" dataDxfId="1439" totalsRowDxfId="1402"/>
    <tableColumn id="23" xr3:uid="{00000000-0010-0000-0600-000017000000}" name="V" totalsRowFunction="sum" dataDxfId="1438" totalsRowDxfId="1401"/>
    <tableColumn id="24" xr3:uid="{00000000-0010-0000-0600-000018000000}" name="L" totalsRowFunction="sum" dataDxfId="1437" totalsRowDxfId="1400"/>
    <tableColumn id="25" xr3:uid="{00000000-0010-0000-0600-000019000000}" name="G" totalsRowFunction="sum" dataDxfId="1436" totalsRowDxfId="1399"/>
    <tableColumn id="26" xr3:uid="{00000000-0010-0000-0600-00001A000000}" name="S" totalsRowFunction="sum" dataDxfId="1435" totalsRowDxfId="1398"/>
    <tableColumn id="27" xr3:uid="{00000000-0010-0000-0600-00001B000000}" name="W" totalsRowFunction="sum" dataDxfId="1434" totalsRowDxfId="1397"/>
    <tableColumn id="28" xr3:uid="{00000000-0010-0000-0600-00001C000000}" name="T" totalsRowFunction="sum" dataDxfId="1433" totalsRowDxfId="1396"/>
    <tableColumn id="29" xr3:uid="{00000000-0010-0000-0600-00001D000000}" name="X" totalsRowFunction="sum" dataDxfId="1432" totalsRowDxfId="1395"/>
    <tableColumn id="30" xr3:uid="{00000000-0010-0000-0600-00001E000000}" name="U" totalsRowFunction="sum" dataDxfId="1431" totalsRowDxfId="1394"/>
    <tableColumn id="31" xr3:uid="{00000000-0010-0000-0600-00001F000000}" name="O" totalsRowFunction="sum" dataDxfId="1430" totalsRowDxfId="1393"/>
    <tableColumn id="32" xr3:uid="{00000000-0010-0000-0600-000020000000}" name="I" totalsRowFunction="sum" dataDxfId="1429" totalsRowDxfId="1392"/>
    <tableColumn id="33" xr3:uid="{00000000-0010-0000-0600-000021000000}" name="E" totalsRowFunction="sum" dataDxfId="1428" totalsRowDxfId="1391"/>
    <tableColumn id="34" xr3:uid="{00000000-0010-0000-0600-000022000000}" name="A" totalsRowFunction="sum" dataDxfId="1427" totalsRowDxfId="1390"/>
    <tableColumn id="35" xr3:uid="{00000000-0010-0000-0600-000023000000}" name="P" totalsRowFunction="sum" dataDxfId="1426" totalsRowDxfId="1389"/>
    <tableColumn id="36" xr3:uid="{00000000-0010-0000-0600-000024000000}" name="N" totalsRowFunction="count" dataDxfId="1425" totalsRowDxfId="13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CAI" displayName="FocusMode_JED_CAI" ref="A1:H1024" totalsRowShown="0">
  <autoFilter ref="A1:H1024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JED_HBE_LF_LEGACY" displayName="JED_HBE_LF_LEGACY" ref="A1:AJ30" totalsRowCount="1" headerRowDxfId="1386" dataDxfId="1349" totalsRowDxfId="1312">
  <tableColumns count="36">
    <tableColumn id="1" xr3:uid="{00000000-0010-0000-0800-000001000000}" name="Day" totalsRowLabel="TOTAL" dataDxfId="1385" totalsRowDxfId="1348"/>
    <tableColumn id="2" xr3:uid="{00000000-0010-0000-0800-000002000000}" name="Flt Dt" dataDxfId="1384" totalsRowDxfId="1347"/>
    <tableColumn id="3" xr3:uid="{00000000-0010-0000-0800-000003000000}" name="Flt" totalsRowFunction="count" dataDxfId="1383" totalsRowDxfId="1346"/>
    <tableColumn id="4" xr3:uid="{00000000-0010-0000-0800-000004000000}" name="DEP" dataDxfId="1382" totalsRowDxfId="1345"/>
    <tableColumn id="5" xr3:uid="{00000000-0010-0000-0800-000005000000}" name="Brd-Off" totalsRowFunction="count" dataDxfId="1381" totalsRowDxfId="1344"/>
    <tableColumn id="6" xr3:uid="{00000000-0010-0000-0800-000006000000}" name="Eqp" dataDxfId="1380" totalsRowDxfId="1343"/>
    <tableColumn id="7" xr3:uid="{00000000-0010-0000-0800-000007000000}" name="LF%" totalsRowFunction="average" dataDxfId="1379" totalsRowDxfId="1342"/>
    <tableColumn id="8" xr3:uid="{00000000-0010-0000-0800-000008000000}" name="CAP" totalsRowFunction="sum" dataDxfId="1378" totalsRowDxfId="1341"/>
    <tableColumn id="9" xr3:uid="{00000000-0010-0000-0800-000009000000}" name="BKG(Y)" totalsRowFunction="sum" dataDxfId="1377" totalsRowDxfId="1340"/>
    <tableColumn id="10" xr3:uid="{00000000-0010-0000-0800-00000A000000}" name="GRP(Y)" totalsRowFunction="sum" dataDxfId="1376" totalsRowDxfId="1339"/>
    <tableColumn id="11" xr3:uid="{00000000-0010-0000-0800-00000B000000}" name="FLT ST" dataDxfId="1375" totalsRowDxfId="1338"/>
    <tableColumn id="12" xr3:uid="{00000000-0010-0000-0800-00000C000000}" name="LST-SOLD" dataDxfId="1374" totalsRowDxfId="1337"/>
    <tableColumn id="13" xr3:uid="{00000000-0010-0000-0800-00000D000000}" name="TO-DAY" totalsRowFunction="sum" dataDxfId="1373" totalsRowDxfId="1336"/>
    <tableColumn id="14" xr3:uid="{00000000-0010-0000-0800-00000E000000}" name="Y-DAY" totalsRowFunction="sum" dataDxfId="1372" totalsRowDxfId="1335"/>
    <tableColumn id="15" xr3:uid="{00000000-0010-0000-0800-00000F000000}" name="WEEKLY" totalsRowFunction="sum" dataDxfId="1371" totalsRowDxfId="1334"/>
    <tableColumn id="16" xr3:uid="{00000000-0010-0000-0800-000010000000}" name="LOWEST AVAIL" dataDxfId="1370" totalsRowDxfId="1333"/>
    <tableColumn id="17" xr3:uid="{00000000-0010-0000-0800-000011000000}" name="Y" totalsRowFunction="sum" dataDxfId="1369" totalsRowDxfId="1332"/>
    <tableColumn id="18" xr3:uid="{00000000-0010-0000-0800-000012000000}" name="B" totalsRowFunction="sum" dataDxfId="1368" totalsRowDxfId="1331"/>
    <tableColumn id="19" xr3:uid="{00000000-0010-0000-0800-000013000000}" name="M" totalsRowFunction="sum" dataDxfId="1367" totalsRowDxfId="1330"/>
    <tableColumn id="20" xr3:uid="{00000000-0010-0000-0800-000014000000}" name="H" totalsRowFunction="sum" dataDxfId="1366" totalsRowDxfId="1329"/>
    <tableColumn id="21" xr3:uid="{00000000-0010-0000-0800-000015000000}" name="Q" totalsRowFunction="sum" dataDxfId="1365" totalsRowDxfId="1328"/>
    <tableColumn id="22" xr3:uid="{00000000-0010-0000-0800-000016000000}" name="K" totalsRowFunction="sum" dataDxfId="1364" totalsRowDxfId="1327"/>
    <tableColumn id="23" xr3:uid="{00000000-0010-0000-0800-000017000000}" name="V" totalsRowFunction="sum" dataDxfId="1363" totalsRowDxfId="1326"/>
    <tableColumn id="24" xr3:uid="{00000000-0010-0000-0800-000018000000}" name="L" totalsRowFunction="sum" dataDxfId="1362" totalsRowDxfId="1325"/>
    <tableColumn id="25" xr3:uid="{00000000-0010-0000-0800-000019000000}" name="G" totalsRowFunction="sum" dataDxfId="1361" totalsRowDxfId="1324"/>
    <tableColumn id="26" xr3:uid="{00000000-0010-0000-0800-00001A000000}" name="S" totalsRowFunction="sum" dataDxfId="1360" totalsRowDxfId="1323"/>
    <tableColumn id="27" xr3:uid="{00000000-0010-0000-0800-00001B000000}" name="W" totalsRowFunction="sum" dataDxfId="1359" totalsRowDxfId="1322"/>
    <tableColumn id="28" xr3:uid="{00000000-0010-0000-0800-00001C000000}" name="T" totalsRowFunction="sum" dataDxfId="1358" totalsRowDxfId="1321"/>
    <tableColumn id="29" xr3:uid="{00000000-0010-0000-0800-00001D000000}" name="X" totalsRowFunction="sum" dataDxfId="1357" totalsRowDxfId="1320"/>
    <tableColumn id="30" xr3:uid="{00000000-0010-0000-0800-00001E000000}" name="U" totalsRowFunction="sum" dataDxfId="1356" totalsRowDxfId="1319"/>
    <tableColumn id="31" xr3:uid="{00000000-0010-0000-0800-00001F000000}" name="O" totalsRowFunction="sum" dataDxfId="1355" totalsRowDxfId="1318"/>
    <tableColumn id="32" xr3:uid="{00000000-0010-0000-0800-000020000000}" name="I" totalsRowFunction="sum" dataDxfId="1354" totalsRowDxfId="1317"/>
    <tableColumn id="33" xr3:uid="{00000000-0010-0000-0800-000021000000}" name="E" totalsRowFunction="sum" dataDxfId="1353" totalsRowDxfId="1316"/>
    <tableColumn id="34" xr3:uid="{00000000-0010-0000-0800-000022000000}" name="A" totalsRowFunction="sum" dataDxfId="1352" totalsRowDxfId="1315"/>
    <tableColumn id="35" xr3:uid="{00000000-0010-0000-0800-000023000000}" name="P" totalsRowFunction="sum" dataDxfId="1351" totalsRowDxfId="1314"/>
    <tableColumn id="36" xr3:uid="{00000000-0010-0000-0800-000024000000}" name="N" totalsRowFunction="count" dataDxfId="1350" totalsRowDxfId="13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JED_HBE" displayName="FocusMode_JED_HBE" ref="A1:H132" totalsRowShown="0">
  <autoFilter ref="A1:H13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JED_ATZ_LF_LEGACY" displayName="JED_ATZ_LF_LEGACY" ref="A1:AJ36" totalsRowCount="1" headerRowDxfId="1311" dataDxfId="1274" totalsRowDxfId="1237">
  <tableColumns count="36">
    <tableColumn id="1" xr3:uid="{00000000-0010-0000-0A00-000001000000}" name="Day" totalsRowLabel="TOTAL" dataDxfId="1310" totalsRowDxfId="1273"/>
    <tableColumn id="2" xr3:uid="{00000000-0010-0000-0A00-000002000000}" name="Flt Dt" dataDxfId="1309" totalsRowDxfId="1272"/>
    <tableColumn id="3" xr3:uid="{00000000-0010-0000-0A00-000003000000}" name="Flt" totalsRowFunction="count" dataDxfId="1308" totalsRowDxfId="1271"/>
    <tableColumn id="4" xr3:uid="{00000000-0010-0000-0A00-000004000000}" name="DEP" dataDxfId="1307" totalsRowDxfId="1270"/>
    <tableColumn id="5" xr3:uid="{00000000-0010-0000-0A00-000005000000}" name="Brd-Off" totalsRowFunction="count" dataDxfId="1306" totalsRowDxfId="1269"/>
    <tableColumn id="6" xr3:uid="{00000000-0010-0000-0A00-000006000000}" name="Eqp" dataDxfId="1305" totalsRowDxfId="1268"/>
    <tableColumn id="7" xr3:uid="{00000000-0010-0000-0A00-000007000000}" name="LF%" totalsRowFunction="average" dataDxfId="1304" totalsRowDxfId="1267"/>
    <tableColumn id="8" xr3:uid="{00000000-0010-0000-0A00-000008000000}" name="CAP" totalsRowFunction="sum" dataDxfId="1303" totalsRowDxfId="1266"/>
    <tableColumn id="9" xr3:uid="{00000000-0010-0000-0A00-000009000000}" name="BKG(Y)" totalsRowFunction="sum" dataDxfId="1302" totalsRowDxfId="1265"/>
    <tableColumn id="10" xr3:uid="{00000000-0010-0000-0A00-00000A000000}" name="GRP(Y)" totalsRowFunction="sum" dataDxfId="1301" totalsRowDxfId="1264"/>
    <tableColumn id="11" xr3:uid="{00000000-0010-0000-0A00-00000B000000}" name="FLT ST" dataDxfId="1300" totalsRowDxfId="1263"/>
    <tableColumn id="12" xr3:uid="{00000000-0010-0000-0A00-00000C000000}" name="LST-SOLD" dataDxfId="1299" totalsRowDxfId="1262"/>
    <tableColumn id="13" xr3:uid="{00000000-0010-0000-0A00-00000D000000}" name="TO-DAY" totalsRowFunction="sum" dataDxfId="1298" totalsRowDxfId="1261"/>
    <tableColumn id="14" xr3:uid="{00000000-0010-0000-0A00-00000E000000}" name="Y-DAY" totalsRowFunction="sum" dataDxfId="1297" totalsRowDxfId="1260"/>
    <tableColumn id="15" xr3:uid="{00000000-0010-0000-0A00-00000F000000}" name="WEEKLY" totalsRowFunction="sum" dataDxfId="1296" totalsRowDxfId="1259"/>
    <tableColumn id="16" xr3:uid="{00000000-0010-0000-0A00-000010000000}" name="LOWEST AVAIL" dataDxfId="1295" totalsRowDxfId="1258"/>
    <tableColumn id="17" xr3:uid="{00000000-0010-0000-0A00-000011000000}" name="Y" totalsRowFunction="sum" dataDxfId="1294" totalsRowDxfId="1257"/>
    <tableColumn id="18" xr3:uid="{00000000-0010-0000-0A00-000012000000}" name="B" totalsRowFunction="sum" dataDxfId="1293" totalsRowDxfId="1256"/>
    <tableColumn id="19" xr3:uid="{00000000-0010-0000-0A00-000013000000}" name="M" totalsRowFunction="sum" dataDxfId="1292" totalsRowDxfId="1255"/>
    <tableColumn id="20" xr3:uid="{00000000-0010-0000-0A00-000014000000}" name="H" totalsRowFunction="sum" dataDxfId="1291" totalsRowDxfId="1254"/>
    <tableColumn id="21" xr3:uid="{00000000-0010-0000-0A00-000015000000}" name="Q" totalsRowFunction="sum" dataDxfId="1290" totalsRowDxfId="1253"/>
    <tableColumn id="22" xr3:uid="{00000000-0010-0000-0A00-000016000000}" name="K" totalsRowFunction="sum" dataDxfId="1289" totalsRowDxfId="1252"/>
    <tableColumn id="23" xr3:uid="{00000000-0010-0000-0A00-000017000000}" name="V" totalsRowFunction="sum" dataDxfId="1288" totalsRowDxfId="1251"/>
    <tableColumn id="24" xr3:uid="{00000000-0010-0000-0A00-000018000000}" name="L" totalsRowFunction="sum" dataDxfId="1287" totalsRowDxfId="1250"/>
    <tableColumn id="25" xr3:uid="{00000000-0010-0000-0A00-000019000000}" name="G" totalsRowFunction="sum" dataDxfId="1286" totalsRowDxfId="1249"/>
    <tableColumn id="26" xr3:uid="{00000000-0010-0000-0A00-00001A000000}" name="S" totalsRowFunction="sum" dataDxfId="1285" totalsRowDxfId="1248"/>
    <tableColumn id="27" xr3:uid="{00000000-0010-0000-0A00-00001B000000}" name="W" totalsRowFunction="sum" dataDxfId="1284" totalsRowDxfId="1247"/>
    <tableColumn id="28" xr3:uid="{00000000-0010-0000-0A00-00001C000000}" name="T" totalsRowFunction="sum" dataDxfId="1283" totalsRowDxfId="1246"/>
    <tableColumn id="29" xr3:uid="{00000000-0010-0000-0A00-00001D000000}" name="X" totalsRowFunction="sum" dataDxfId="1282" totalsRowDxfId="1245"/>
    <tableColumn id="30" xr3:uid="{00000000-0010-0000-0A00-00001E000000}" name="U" totalsRowFunction="sum" dataDxfId="1281" totalsRowDxfId="1244"/>
    <tableColumn id="31" xr3:uid="{00000000-0010-0000-0A00-00001F000000}" name="O" totalsRowFunction="sum" dataDxfId="1280" totalsRowDxfId="1243"/>
    <tableColumn id="32" xr3:uid="{00000000-0010-0000-0A00-000020000000}" name="I" totalsRowFunction="sum" dataDxfId="1279" totalsRowDxfId="1242"/>
    <tableColumn id="33" xr3:uid="{00000000-0010-0000-0A00-000021000000}" name="E" totalsRowFunction="sum" dataDxfId="1278" totalsRowDxfId="1241"/>
    <tableColumn id="34" xr3:uid="{00000000-0010-0000-0A00-000022000000}" name="A" totalsRowFunction="sum" dataDxfId="1277" totalsRowDxfId="1240"/>
    <tableColumn id="35" xr3:uid="{00000000-0010-0000-0A00-000023000000}" name="P" totalsRowFunction="sum" dataDxfId="1276" totalsRowDxfId="1239"/>
    <tableColumn id="36" xr3:uid="{00000000-0010-0000-0A00-000024000000}" name="N" totalsRowFunction="count" dataDxfId="1275" totalsRowDxfId="123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JED_ATZ" displayName="FocusMode_JED_ATZ" ref="A1:H65" totalsRowShown="0">
  <autoFilter ref="A1:H6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JED_LXR_LF_LEGACY" displayName="JED_LXR_LF_LEGACY" ref="A1:AJ13" totalsRowCount="1" headerRowDxfId="1236" dataDxfId="1199" totalsRowDxfId="1162">
  <tableColumns count="36">
    <tableColumn id="1" xr3:uid="{00000000-0010-0000-0C00-000001000000}" name="Day" totalsRowLabel="TOTAL" dataDxfId="1235" totalsRowDxfId="1198"/>
    <tableColumn id="2" xr3:uid="{00000000-0010-0000-0C00-000002000000}" name="Flt Dt" dataDxfId="1234" totalsRowDxfId="1197"/>
    <tableColumn id="3" xr3:uid="{00000000-0010-0000-0C00-000003000000}" name="Flt" totalsRowFunction="count" dataDxfId="1233" totalsRowDxfId="1196"/>
    <tableColumn id="4" xr3:uid="{00000000-0010-0000-0C00-000004000000}" name="DEP" dataDxfId="1232" totalsRowDxfId="1195"/>
    <tableColumn id="5" xr3:uid="{00000000-0010-0000-0C00-000005000000}" name="Brd-Off" totalsRowFunction="count" dataDxfId="1231" totalsRowDxfId="1194"/>
    <tableColumn id="6" xr3:uid="{00000000-0010-0000-0C00-000006000000}" name="Eqp" dataDxfId="1230" totalsRowDxfId="1193"/>
    <tableColumn id="7" xr3:uid="{00000000-0010-0000-0C00-000007000000}" name="LF%" totalsRowFunction="average" dataDxfId="1229" totalsRowDxfId="1192"/>
    <tableColumn id="8" xr3:uid="{00000000-0010-0000-0C00-000008000000}" name="CAP" totalsRowFunction="sum" dataDxfId="1228" totalsRowDxfId="1191"/>
    <tableColumn id="9" xr3:uid="{00000000-0010-0000-0C00-000009000000}" name="BKG(Y)" totalsRowFunction="sum" dataDxfId="1227" totalsRowDxfId="1190"/>
    <tableColumn id="10" xr3:uid="{00000000-0010-0000-0C00-00000A000000}" name="GRP(Y)" totalsRowFunction="sum" dataDxfId="1226" totalsRowDxfId="1189"/>
    <tableColumn id="11" xr3:uid="{00000000-0010-0000-0C00-00000B000000}" name="FLT ST" dataDxfId="1225" totalsRowDxfId="1188"/>
    <tableColumn id="12" xr3:uid="{00000000-0010-0000-0C00-00000C000000}" name="LST-SOLD" dataDxfId="1224" totalsRowDxfId="1187"/>
    <tableColumn id="13" xr3:uid="{00000000-0010-0000-0C00-00000D000000}" name="TO-DAY" totalsRowFunction="sum" dataDxfId="1223" totalsRowDxfId="1186"/>
    <tableColumn id="14" xr3:uid="{00000000-0010-0000-0C00-00000E000000}" name="Y-DAY" totalsRowFunction="sum" dataDxfId="1222" totalsRowDxfId="1185"/>
    <tableColumn id="15" xr3:uid="{00000000-0010-0000-0C00-00000F000000}" name="WEEKLY" totalsRowFunction="sum" dataDxfId="1221" totalsRowDxfId="1184"/>
    <tableColumn id="16" xr3:uid="{00000000-0010-0000-0C00-000010000000}" name="LOWEST AVAIL" dataDxfId="1220" totalsRowDxfId="1183"/>
    <tableColumn id="17" xr3:uid="{00000000-0010-0000-0C00-000011000000}" name="Y" totalsRowFunction="sum" dataDxfId="1219" totalsRowDxfId="1182"/>
    <tableColumn id="18" xr3:uid="{00000000-0010-0000-0C00-000012000000}" name="B" totalsRowFunction="sum" dataDxfId="1218" totalsRowDxfId="1181"/>
    <tableColumn id="19" xr3:uid="{00000000-0010-0000-0C00-000013000000}" name="M" totalsRowFunction="sum" dataDxfId="1217" totalsRowDxfId="1180"/>
    <tableColumn id="20" xr3:uid="{00000000-0010-0000-0C00-000014000000}" name="H" totalsRowFunction="sum" dataDxfId="1216" totalsRowDxfId="1179"/>
    <tableColumn id="21" xr3:uid="{00000000-0010-0000-0C00-000015000000}" name="Q" totalsRowFunction="sum" dataDxfId="1215" totalsRowDxfId="1178"/>
    <tableColumn id="22" xr3:uid="{00000000-0010-0000-0C00-000016000000}" name="K" totalsRowFunction="sum" dataDxfId="1214" totalsRowDxfId="1177"/>
    <tableColumn id="23" xr3:uid="{00000000-0010-0000-0C00-000017000000}" name="V" totalsRowFunction="sum" dataDxfId="1213" totalsRowDxfId="1176"/>
    <tableColumn id="24" xr3:uid="{00000000-0010-0000-0C00-000018000000}" name="L" totalsRowFunction="sum" dataDxfId="1212" totalsRowDxfId="1175"/>
    <tableColumn id="25" xr3:uid="{00000000-0010-0000-0C00-000019000000}" name="G" totalsRowFunction="sum" dataDxfId="1211" totalsRowDxfId="1174"/>
    <tableColumn id="26" xr3:uid="{00000000-0010-0000-0C00-00001A000000}" name="S" totalsRowFunction="sum" dataDxfId="1210" totalsRowDxfId="1173"/>
    <tableColumn id="27" xr3:uid="{00000000-0010-0000-0C00-00001B000000}" name="W" totalsRowFunction="sum" dataDxfId="1209" totalsRowDxfId="1172"/>
    <tableColumn id="28" xr3:uid="{00000000-0010-0000-0C00-00001C000000}" name="T" totalsRowFunction="sum" dataDxfId="1208" totalsRowDxfId="1171"/>
    <tableColumn id="29" xr3:uid="{00000000-0010-0000-0C00-00001D000000}" name="X" totalsRowFunction="sum" dataDxfId="1207" totalsRowDxfId="1170"/>
    <tableColumn id="30" xr3:uid="{00000000-0010-0000-0C00-00001E000000}" name="U" totalsRowFunction="sum" dataDxfId="1206" totalsRowDxfId="1169"/>
    <tableColumn id="31" xr3:uid="{00000000-0010-0000-0C00-00001F000000}" name="O" totalsRowFunction="sum" dataDxfId="1205" totalsRowDxfId="1168"/>
    <tableColumn id="32" xr3:uid="{00000000-0010-0000-0C00-000020000000}" name="I" totalsRowFunction="sum" dataDxfId="1204" totalsRowDxfId="1167"/>
    <tableColumn id="33" xr3:uid="{00000000-0010-0000-0C00-000021000000}" name="E" totalsRowFunction="sum" dataDxfId="1203" totalsRowDxfId="1166"/>
    <tableColumn id="34" xr3:uid="{00000000-0010-0000-0C00-000022000000}" name="A" totalsRowFunction="sum" dataDxfId="1202" totalsRowDxfId="1165"/>
    <tableColumn id="35" xr3:uid="{00000000-0010-0000-0C00-000023000000}" name="P" totalsRowFunction="sum" dataDxfId="1201" totalsRowDxfId="1164"/>
    <tableColumn id="36" xr3:uid="{00000000-0010-0000-0C00-000024000000}" name="N" totalsRowFunction="count" dataDxfId="1200" totalsRowDxfId="116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JED_LXR" displayName="FocusMode_JED_LXR" ref="A1:H18" totalsRowShown="0">
  <autoFilter ref="A1:H1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JED_ASW_LF_LEGACY" displayName="JED_ASW_LF_LEGACY" ref="A1:AJ5" totalsRowCount="1" headerRowDxfId="1161" dataDxfId="1124" totalsRowDxfId="1087">
  <tableColumns count="36">
    <tableColumn id="1" xr3:uid="{00000000-0010-0000-0E00-000001000000}" name="Day" totalsRowLabel="TOTAL" dataDxfId="1160" totalsRowDxfId="1123"/>
    <tableColumn id="2" xr3:uid="{00000000-0010-0000-0E00-000002000000}" name="Flt Dt" dataDxfId="1159" totalsRowDxfId="1122"/>
    <tableColumn id="3" xr3:uid="{00000000-0010-0000-0E00-000003000000}" name="Flt" totalsRowFunction="count" dataDxfId="1158" totalsRowDxfId="1121"/>
    <tableColumn id="4" xr3:uid="{00000000-0010-0000-0E00-000004000000}" name="DEP" dataDxfId="1157" totalsRowDxfId="1120"/>
    <tableColumn id="5" xr3:uid="{00000000-0010-0000-0E00-000005000000}" name="Brd-Off" totalsRowFunction="count" dataDxfId="1156" totalsRowDxfId="1119"/>
    <tableColumn id="6" xr3:uid="{00000000-0010-0000-0E00-000006000000}" name="Eqp" dataDxfId="1155" totalsRowDxfId="1118"/>
    <tableColumn id="7" xr3:uid="{00000000-0010-0000-0E00-000007000000}" name="LF%" totalsRowFunction="average" dataDxfId="1154" totalsRowDxfId="1117"/>
    <tableColumn id="8" xr3:uid="{00000000-0010-0000-0E00-000008000000}" name="CAP" totalsRowFunction="sum" dataDxfId="1153" totalsRowDxfId="1116"/>
    <tableColumn id="9" xr3:uid="{00000000-0010-0000-0E00-000009000000}" name="BKG(Y)" totalsRowFunction="sum" dataDxfId="1152" totalsRowDxfId="1115"/>
    <tableColumn id="10" xr3:uid="{00000000-0010-0000-0E00-00000A000000}" name="GRP(Y)" totalsRowFunction="sum" dataDxfId="1151" totalsRowDxfId="1114"/>
    <tableColumn id="11" xr3:uid="{00000000-0010-0000-0E00-00000B000000}" name="FLT ST" dataDxfId="1150" totalsRowDxfId="1113"/>
    <tableColumn id="12" xr3:uid="{00000000-0010-0000-0E00-00000C000000}" name="LST-SOLD" dataDxfId="1149" totalsRowDxfId="1112"/>
    <tableColumn id="13" xr3:uid="{00000000-0010-0000-0E00-00000D000000}" name="TO-DAY" totalsRowFunction="sum" dataDxfId="1148" totalsRowDxfId="1111"/>
    <tableColumn id="14" xr3:uid="{00000000-0010-0000-0E00-00000E000000}" name="Y-DAY" totalsRowFunction="sum" dataDxfId="1147" totalsRowDxfId="1110"/>
    <tableColumn id="15" xr3:uid="{00000000-0010-0000-0E00-00000F000000}" name="WEEKLY" totalsRowFunction="sum" dataDxfId="1146" totalsRowDxfId="1109"/>
    <tableColumn id="16" xr3:uid="{00000000-0010-0000-0E00-000010000000}" name="LOWEST AVAIL" dataDxfId="1145" totalsRowDxfId="1108"/>
    <tableColumn id="17" xr3:uid="{00000000-0010-0000-0E00-000011000000}" name="Y" totalsRowFunction="sum" dataDxfId="1144" totalsRowDxfId="1107"/>
    <tableColumn id="18" xr3:uid="{00000000-0010-0000-0E00-000012000000}" name="B" totalsRowFunction="sum" dataDxfId="1143" totalsRowDxfId="1106"/>
    <tableColumn id="19" xr3:uid="{00000000-0010-0000-0E00-000013000000}" name="M" totalsRowFunction="sum" dataDxfId="1142" totalsRowDxfId="1105"/>
    <tableColumn id="20" xr3:uid="{00000000-0010-0000-0E00-000014000000}" name="H" totalsRowFunction="sum" dataDxfId="1141" totalsRowDxfId="1104"/>
    <tableColumn id="21" xr3:uid="{00000000-0010-0000-0E00-000015000000}" name="Q" totalsRowFunction="sum" dataDxfId="1140" totalsRowDxfId="1103"/>
    <tableColumn id="22" xr3:uid="{00000000-0010-0000-0E00-000016000000}" name="K" totalsRowFunction="sum" dataDxfId="1139" totalsRowDxfId="1102"/>
    <tableColumn id="23" xr3:uid="{00000000-0010-0000-0E00-000017000000}" name="V" totalsRowFunction="sum" dataDxfId="1138" totalsRowDxfId="1101"/>
    <tableColumn id="24" xr3:uid="{00000000-0010-0000-0E00-000018000000}" name="L" totalsRowFunction="sum" dataDxfId="1137" totalsRowDxfId="1100"/>
    <tableColumn id="25" xr3:uid="{00000000-0010-0000-0E00-000019000000}" name="G" totalsRowFunction="sum" dataDxfId="1136" totalsRowDxfId="1099"/>
    <tableColumn id="26" xr3:uid="{00000000-0010-0000-0E00-00001A000000}" name="S" totalsRowFunction="sum" dataDxfId="1135" totalsRowDxfId="1098"/>
    <tableColumn id="27" xr3:uid="{00000000-0010-0000-0E00-00001B000000}" name="W" totalsRowFunction="sum" dataDxfId="1134" totalsRowDxfId="1097"/>
    <tableColumn id="28" xr3:uid="{00000000-0010-0000-0E00-00001C000000}" name="T" totalsRowFunction="sum" dataDxfId="1133" totalsRowDxfId="1096"/>
    <tableColumn id="29" xr3:uid="{00000000-0010-0000-0E00-00001D000000}" name="X" totalsRowFunction="sum" dataDxfId="1132" totalsRowDxfId="1095"/>
    <tableColumn id="30" xr3:uid="{00000000-0010-0000-0E00-00001E000000}" name="U" totalsRowFunction="sum" dataDxfId="1131" totalsRowDxfId="1094"/>
    <tableColumn id="31" xr3:uid="{00000000-0010-0000-0E00-00001F000000}" name="O" totalsRowFunction="sum" dataDxfId="1130" totalsRowDxfId="1093"/>
    <tableColumn id="32" xr3:uid="{00000000-0010-0000-0E00-000020000000}" name="I" totalsRowFunction="sum" dataDxfId="1129" totalsRowDxfId="1092"/>
    <tableColumn id="33" xr3:uid="{00000000-0010-0000-0E00-000021000000}" name="E" totalsRowFunction="sum" dataDxfId="1128" totalsRowDxfId="1091"/>
    <tableColumn id="34" xr3:uid="{00000000-0010-0000-0E00-000022000000}" name="A" totalsRowFunction="sum" dataDxfId="1127" totalsRowDxfId="1090"/>
    <tableColumn id="35" xr3:uid="{00000000-0010-0000-0E00-000023000000}" name="P" totalsRowFunction="sum" dataDxfId="1126" totalsRowDxfId="1089"/>
    <tableColumn id="36" xr3:uid="{00000000-0010-0000-0E00-000024000000}" name="N" totalsRowFunction="count" dataDxfId="1125" totalsRowDxfId="108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JED_ASW" displayName="FocusMode_JED_ASW" ref="A1:H4" totalsRowShown="0">
  <autoFilter ref="A1:H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JED_SSH" displayName="FocusMode_JED_SSH" ref="A1:H26" totalsRowShown="0">
  <autoFilter ref="A1:H26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RUH_CAI_LF_LEGACY" displayName="RUH_CAI_LF_LEGACY" ref="A1:AJ23" totalsRowCount="1" headerRowDxfId="1086" dataDxfId="1049" totalsRowDxfId="1012">
  <tableColumns count="36">
    <tableColumn id="1" xr3:uid="{00000000-0010-0000-1100-000001000000}" name="Day" totalsRowLabel="TOTAL" dataDxfId="1085" totalsRowDxfId="1048"/>
    <tableColumn id="2" xr3:uid="{00000000-0010-0000-1100-000002000000}" name="Flt Dt" dataDxfId="1084" totalsRowDxfId="1047"/>
    <tableColumn id="3" xr3:uid="{00000000-0010-0000-1100-000003000000}" name="Flt" totalsRowFunction="count" dataDxfId="1083" totalsRowDxfId="1046"/>
    <tableColumn id="4" xr3:uid="{00000000-0010-0000-1100-000004000000}" name="DEP" dataDxfId="1082" totalsRowDxfId="1045"/>
    <tableColumn id="5" xr3:uid="{00000000-0010-0000-1100-000005000000}" name="Brd-Off" totalsRowFunction="count" dataDxfId="1081" totalsRowDxfId="1044"/>
    <tableColumn id="6" xr3:uid="{00000000-0010-0000-1100-000006000000}" name="Eqp" dataDxfId="1080" totalsRowDxfId="1043"/>
    <tableColumn id="7" xr3:uid="{00000000-0010-0000-1100-000007000000}" name="LF%" totalsRowFunction="average" dataDxfId="1079" totalsRowDxfId="1042"/>
    <tableColumn id="8" xr3:uid="{00000000-0010-0000-1100-000008000000}" name="CAP" totalsRowFunction="sum" dataDxfId="1078" totalsRowDxfId="1041"/>
    <tableColumn id="9" xr3:uid="{00000000-0010-0000-1100-000009000000}" name="BKG(Y)" totalsRowFunction="sum" dataDxfId="1077" totalsRowDxfId="1040"/>
    <tableColumn id="10" xr3:uid="{00000000-0010-0000-1100-00000A000000}" name="GRP(Y)" totalsRowFunction="sum" dataDxfId="1076" totalsRowDxfId="1039"/>
    <tableColumn id="11" xr3:uid="{00000000-0010-0000-1100-00000B000000}" name="FLT ST" dataDxfId="1075" totalsRowDxfId="1038"/>
    <tableColumn id="12" xr3:uid="{00000000-0010-0000-1100-00000C000000}" name="LST-SOLD" dataDxfId="1074" totalsRowDxfId="1037"/>
    <tableColumn id="13" xr3:uid="{00000000-0010-0000-1100-00000D000000}" name="TO-DAY" totalsRowFunction="sum" dataDxfId="1073" totalsRowDxfId="1036"/>
    <tableColumn id="14" xr3:uid="{00000000-0010-0000-1100-00000E000000}" name="Y-DAY" totalsRowFunction="sum" dataDxfId="1072" totalsRowDxfId="1035"/>
    <tableColumn id="15" xr3:uid="{00000000-0010-0000-1100-00000F000000}" name="WEEKLY" totalsRowFunction="sum" dataDxfId="1071" totalsRowDxfId="1034"/>
    <tableColumn id="16" xr3:uid="{00000000-0010-0000-1100-000010000000}" name="LOWEST AVAIL" dataDxfId="1070" totalsRowDxfId="1033"/>
    <tableColumn id="17" xr3:uid="{00000000-0010-0000-1100-000011000000}" name="Y" totalsRowFunction="sum" dataDxfId="1069" totalsRowDxfId="1032"/>
    <tableColumn id="18" xr3:uid="{00000000-0010-0000-1100-000012000000}" name="B" totalsRowFunction="sum" dataDxfId="1068" totalsRowDxfId="1031"/>
    <tableColumn id="19" xr3:uid="{00000000-0010-0000-1100-000013000000}" name="M" totalsRowFunction="sum" dataDxfId="1067" totalsRowDxfId="1030"/>
    <tableColumn id="20" xr3:uid="{00000000-0010-0000-1100-000014000000}" name="H" totalsRowFunction="sum" dataDxfId="1066" totalsRowDxfId="1029"/>
    <tableColumn id="21" xr3:uid="{00000000-0010-0000-1100-000015000000}" name="Q" totalsRowFunction="sum" dataDxfId="1065" totalsRowDxfId="1028"/>
    <tableColumn id="22" xr3:uid="{00000000-0010-0000-1100-000016000000}" name="K" totalsRowFunction="sum" dataDxfId="1064" totalsRowDxfId="1027"/>
    <tableColumn id="23" xr3:uid="{00000000-0010-0000-1100-000017000000}" name="V" totalsRowFunction="sum" dataDxfId="1063" totalsRowDxfId="1026"/>
    <tableColumn id="24" xr3:uid="{00000000-0010-0000-1100-000018000000}" name="L" totalsRowFunction="sum" dataDxfId="1062" totalsRowDxfId="1025"/>
    <tableColumn id="25" xr3:uid="{00000000-0010-0000-1100-000019000000}" name="G" totalsRowFunction="sum" dataDxfId="1061" totalsRowDxfId="1024"/>
    <tableColumn id="26" xr3:uid="{00000000-0010-0000-1100-00001A000000}" name="S" totalsRowFunction="sum" dataDxfId="1060" totalsRowDxfId="1023"/>
    <tableColumn id="27" xr3:uid="{00000000-0010-0000-1100-00001B000000}" name="W" totalsRowFunction="sum" dataDxfId="1059" totalsRowDxfId="1022"/>
    <tableColumn id="28" xr3:uid="{00000000-0010-0000-1100-00001C000000}" name="T" totalsRowFunction="sum" dataDxfId="1058" totalsRowDxfId="1021"/>
    <tableColumn id="29" xr3:uid="{00000000-0010-0000-1100-00001D000000}" name="X" totalsRowFunction="sum" dataDxfId="1057" totalsRowDxfId="1020"/>
    <tableColumn id="30" xr3:uid="{00000000-0010-0000-1100-00001E000000}" name="U" totalsRowFunction="sum" dataDxfId="1056" totalsRowDxfId="1019"/>
    <tableColumn id="31" xr3:uid="{00000000-0010-0000-1100-00001F000000}" name="O" totalsRowFunction="sum" dataDxfId="1055" totalsRowDxfId="1018"/>
    <tableColumn id="32" xr3:uid="{00000000-0010-0000-1100-000020000000}" name="I" totalsRowFunction="sum" dataDxfId="1054" totalsRowDxfId="1017"/>
    <tableColumn id="33" xr3:uid="{00000000-0010-0000-1100-000021000000}" name="E" totalsRowFunction="sum" dataDxfId="1053" totalsRowDxfId="1016"/>
    <tableColumn id="34" xr3:uid="{00000000-0010-0000-1100-000022000000}" name="A" totalsRowFunction="sum" dataDxfId="1052" totalsRowDxfId="1015"/>
    <tableColumn id="35" xr3:uid="{00000000-0010-0000-1100-000023000000}" name="P" totalsRowFunction="sum" dataDxfId="1051" totalsRowDxfId="1014"/>
    <tableColumn id="36" xr3:uid="{00000000-0010-0000-1100-000024000000}" name="N" totalsRowFunction="count" dataDxfId="1050" totalsRowDxfId="101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RUH_CAI" displayName="FocusMode_RUH_CAI" ref="A1:H690" totalsRowShown="0">
  <autoFilter ref="A1:H690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RUH_ATZ_LF_LEGACY" displayName="RUH_ATZ_LF_LEGACY" ref="A1:AJ10" totalsRowCount="1" headerRowDxfId="1011" dataDxfId="974" totalsRowDxfId="937">
  <tableColumns count="36">
    <tableColumn id="1" xr3:uid="{00000000-0010-0000-1300-000001000000}" name="Day" totalsRowLabel="TOTAL" dataDxfId="1010" totalsRowDxfId="973"/>
    <tableColumn id="2" xr3:uid="{00000000-0010-0000-1300-000002000000}" name="Flt Dt" dataDxfId="1009" totalsRowDxfId="972"/>
    <tableColumn id="3" xr3:uid="{00000000-0010-0000-1300-000003000000}" name="Flt" totalsRowFunction="count" dataDxfId="1008" totalsRowDxfId="971"/>
    <tableColumn id="4" xr3:uid="{00000000-0010-0000-1300-000004000000}" name="DEP" dataDxfId="1007" totalsRowDxfId="970"/>
    <tableColumn id="5" xr3:uid="{00000000-0010-0000-1300-000005000000}" name="Brd-Off" totalsRowFunction="count" dataDxfId="1006" totalsRowDxfId="969"/>
    <tableColumn id="6" xr3:uid="{00000000-0010-0000-1300-000006000000}" name="Eqp" dataDxfId="1005" totalsRowDxfId="968"/>
    <tableColumn id="7" xr3:uid="{00000000-0010-0000-1300-000007000000}" name="LF%" totalsRowFunction="average" dataDxfId="1004" totalsRowDxfId="967"/>
    <tableColumn id="8" xr3:uid="{00000000-0010-0000-1300-000008000000}" name="CAP" totalsRowFunction="sum" dataDxfId="1003" totalsRowDxfId="966"/>
    <tableColumn id="9" xr3:uid="{00000000-0010-0000-1300-000009000000}" name="BKG(Y)" totalsRowFunction="sum" dataDxfId="1002" totalsRowDxfId="965"/>
    <tableColumn id="10" xr3:uid="{00000000-0010-0000-1300-00000A000000}" name="GRP(Y)" totalsRowFunction="sum" dataDxfId="1001" totalsRowDxfId="964"/>
    <tableColumn id="11" xr3:uid="{00000000-0010-0000-1300-00000B000000}" name="FLT ST" dataDxfId="1000" totalsRowDxfId="963"/>
    <tableColumn id="12" xr3:uid="{00000000-0010-0000-1300-00000C000000}" name="LST-SOLD" dataDxfId="999" totalsRowDxfId="962"/>
    <tableColumn id="13" xr3:uid="{00000000-0010-0000-1300-00000D000000}" name="TO-DAY" totalsRowFunction="sum" dataDxfId="998" totalsRowDxfId="961"/>
    <tableColumn id="14" xr3:uid="{00000000-0010-0000-1300-00000E000000}" name="Y-DAY" totalsRowFunction="sum" dataDxfId="997" totalsRowDxfId="960"/>
    <tableColumn id="15" xr3:uid="{00000000-0010-0000-1300-00000F000000}" name="WEEKLY" totalsRowFunction="sum" dataDxfId="996" totalsRowDxfId="959"/>
    <tableColumn id="16" xr3:uid="{00000000-0010-0000-1300-000010000000}" name="LOWEST AVAIL" dataDxfId="995" totalsRowDxfId="958"/>
    <tableColumn id="17" xr3:uid="{00000000-0010-0000-1300-000011000000}" name="Y" totalsRowFunction="sum" dataDxfId="994" totalsRowDxfId="957"/>
    <tableColumn id="18" xr3:uid="{00000000-0010-0000-1300-000012000000}" name="B" totalsRowFunction="sum" dataDxfId="993" totalsRowDxfId="956"/>
    <tableColumn id="19" xr3:uid="{00000000-0010-0000-1300-000013000000}" name="M" totalsRowFunction="sum" dataDxfId="992" totalsRowDxfId="955"/>
    <tableColumn id="20" xr3:uid="{00000000-0010-0000-1300-000014000000}" name="H" totalsRowFunction="sum" dataDxfId="991" totalsRowDxfId="954"/>
    <tableColumn id="21" xr3:uid="{00000000-0010-0000-1300-000015000000}" name="Q" totalsRowFunction="sum" dataDxfId="990" totalsRowDxfId="953"/>
    <tableColumn id="22" xr3:uid="{00000000-0010-0000-1300-000016000000}" name="K" totalsRowFunction="sum" dataDxfId="989" totalsRowDxfId="952"/>
    <tableColumn id="23" xr3:uid="{00000000-0010-0000-1300-000017000000}" name="V" totalsRowFunction="sum" dataDxfId="988" totalsRowDxfId="951"/>
    <tableColumn id="24" xr3:uid="{00000000-0010-0000-1300-000018000000}" name="L" totalsRowFunction="sum" dataDxfId="987" totalsRowDxfId="950"/>
    <tableColumn id="25" xr3:uid="{00000000-0010-0000-1300-000019000000}" name="G" totalsRowFunction="sum" dataDxfId="986" totalsRowDxfId="949"/>
    <tableColumn id="26" xr3:uid="{00000000-0010-0000-1300-00001A000000}" name="S" totalsRowFunction="sum" dataDxfId="985" totalsRowDxfId="948"/>
    <tableColumn id="27" xr3:uid="{00000000-0010-0000-1300-00001B000000}" name="W" totalsRowFunction="sum" dataDxfId="984" totalsRowDxfId="947"/>
    <tableColumn id="28" xr3:uid="{00000000-0010-0000-1300-00001C000000}" name="T" totalsRowFunction="sum" dataDxfId="983" totalsRowDxfId="946"/>
    <tableColumn id="29" xr3:uid="{00000000-0010-0000-1300-00001D000000}" name="X" totalsRowFunction="sum" dataDxfId="982" totalsRowDxfId="945"/>
    <tableColumn id="30" xr3:uid="{00000000-0010-0000-1300-00001E000000}" name="U" totalsRowFunction="sum" dataDxfId="981" totalsRowDxfId="944"/>
    <tableColumn id="31" xr3:uid="{00000000-0010-0000-1300-00001F000000}" name="O" totalsRowFunction="sum" dataDxfId="980" totalsRowDxfId="943"/>
    <tableColumn id="32" xr3:uid="{00000000-0010-0000-1300-000020000000}" name="I" totalsRowFunction="sum" dataDxfId="979" totalsRowDxfId="942"/>
    <tableColumn id="33" xr3:uid="{00000000-0010-0000-1300-000021000000}" name="E" totalsRowFunction="sum" dataDxfId="978" totalsRowDxfId="941"/>
    <tableColumn id="34" xr3:uid="{00000000-0010-0000-1300-000022000000}" name="A" totalsRowFunction="sum" dataDxfId="977" totalsRowDxfId="940"/>
    <tableColumn id="35" xr3:uid="{00000000-0010-0000-1300-000023000000}" name="P" totalsRowFunction="sum" dataDxfId="976" totalsRowDxfId="939"/>
    <tableColumn id="36" xr3:uid="{00000000-0010-0000-1300-000024000000}" name="N" totalsRowFunction="count" dataDxfId="975" totalsRowDxfId="93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RUH_ATZ" displayName="FocusMode_RUH_ATZ" ref="A1:H16" totalsRowShown="0">
  <autoFilter ref="A1:H16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DMM_CAI_LF_LEGACY" displayName="DMM_CAI_LF_LEGACY" ref="A1:AJ11" totalsRowCount="1" headerRowDxfId="936" dataDxfId="899" totalsRowDxfId="862">
  <tableColumns count="36">
    <tableColumn id="1" xr3:uid="{00000000-0010-0000-1500-000001000000}" name="Day" totalsRowLabel="TOTAL" dataDxfId="935" totalsRowDxfId="898"/>
    <tableColumn id="2" xr3:uid="{00000000-0010-0000-1500-000002000000}" name="Flt Dt" dataDxfId="934" totalsRowDxfId="897"/>
    <tableColumn id="3" xr3:uid="{00000000-0010-0000-1500-000003000000}" name="Flt" totalsRowFunction="count" dataDxfId="933" totalsRowDxfId="896"/>
    <tableColumn id="4" xr3:uid="{00000000-0010-0000-1500-000004000000}" name="DEP" dataDxfId="932" totalsRowDxfId="895"/>
    <tableColumn id="5" xr3:uid="{00000000-0010-0000-1500-000005000000}" name="Brd-Off" totalsRowFunction="count" dataDxfId="931" totalsRowDxfId="894"/>
    <tableColumn id="6" xr3:uid="{00000000-0010-0000-1500-000006000000}" name="Eqp" dataDxfId="930" totalsRowDxfId="893"/>
    <tableColumn id="7" xr3:uid="{00000000-0010-0000-1500-000007000000}" name="LF%" totalsRowFunction="average" dataDxfId="929" totalsRowDxfId="892"/>
    <tableColumn id="8" xr3:uid="{00000000-0010-0000-1500-000008000000}" name="CAP" totalsRowFunction="sum" dataDxfId="928" totalsRowDxfId="891"/>
    <tableColumn id="9" xr3:uid="{00000000-0010-0000-1500-000009000000}" name="BKG(Y)" totalsRowFunction="sum" dataDxfId="927" totalsRowDxfId="890"/>
    <tableColumn id="10" xr3:uid="{00000000-0010-0000-1500-00000A000000}" name="GRP(Y)" totalsRowFunction="sum" dataDxfId="926" totalsRowDxfId="889"/>
    <tableColumn id="11" xr3:uid="{00000000-0010-0000-1500-00000B000000}" name="FLT ST" dataDxfId="925" totalsRowDxfId="888"/>
    <tableColumn id="12" xr3:uid="{00000000-0010-0000-1500-00000C000000}" name="LST-SOLD" dataDxfId="924" totalsRowDxfId="887"/>
    <tableColumn id="13" xr3:uid="{00000000-0010-0000-1500-00000D000000}" name="TO-DAY" totalsRowFunction="sum" dataDxfId="923" totalsRowDxfId="886"/>
    <tableColumn id="14" xr3:uid="{00000000-0010-0000-1500-00000E000000}" name="Y-DAY" totalsRowFunction="sum" dataDxfId="922" totalsRowDxfId="885"/>
    <tableColumn id="15" xr3:uid="{00000000-0010-0000-1500-00000F000000}" name="WEEKLY" totalsRowFunction="sum" dataDxfId="921" totalsRowDxfId="884"/>
    <tableColumn id="16" xr3:uid="{00000000-0010-0000-1500-000010000000}" name="LOWEST AVAIL" dataDxfId="920" totalsRowDxfId="883"/>
    <tableColumn id="17" xr3:uid="{00000000-0010-0000-1500-000011000000}" name="Y" totalsRowFunction="sum" dataDxfId="919" totalsRowDxfId="882"/>
    <tableColumn id="18" xr3:uid="{00000000-0010-0000-1500-000012000000}" name="B" totalsRowFunction="sum" dataDxfId="918" totalsRowDxfId="881"/>
    <tableColumn id="19" xr3:uid="{00000000-0010-0000-1500-000013000000}" name="M" totalsRowFunction="sum" dataDxfId="917" totalsRowDxfId="880"/>
    <tableColumn id="20" xr3:uid="{00000000-0010-0000-1500-000014000000}" name="H" totalsRowFunction="sum" dataDxfId="916" totalsRowDxfId="879"/>
    <tableColumn id="21" xr3:uid="{00000000-0010-0000-1500-000015000000}" name="Q" totalsRowFunction="sum" dataDxfId="915" totalsRowDxfId="878"/>
    <tableColumn id="22" xr3:uid="{00000000-0010-0000-1500-000016000000}" name="K" totalsRowFunction="sum" dataDxfId="914" totalsRowDxfId="877"/>
    <tableColumn id="23" xr3:uid="{00000000-0010-0000-1500-000017000000}" name="V" totalsRowFunction="sum" dataDxfId="913" totalsRowDxfId="876"/>
    <tableColumn id="24" xr3:uid="{00000000-0010-0000-1500-000018000000}" name="L" totalsRowFunction="sum" dataDxfId="912" totalsRowDxfId="875"/>
    <tableColumn id="25" xr3:uid="{00000000-0010-0000-1500-000019000000}" name="G" totalsRowFunction="sum" dataDxfId="911" totalsRowDxfId="874"/>
    <tableColumn id="26" xr3:uid="{00000000-0010-0000-1500-00001A000000}" name="S" totalsRowFunction="sum" dataDxfId="910" totalsRowDxfId="873"/>
    <tableColumn id="27" xr3:uid="{00000000-0010-0000-1500-00001B000000}" name="W" totalsRowFunction="sum" dataDxfId="909" totalsRowDxfId="872"/>
    <tableColumn id="28" xr3:uid="{00000000-0010-0000-1500-00001C000000}" name="T" totalsRowFunction="sum" dataDxfId="908" totalsRowDxfId="871"/>
    <tableColumn id="29" xr3:uid="{00000000-0010-0000-1500-00001D000000}" name="X" totalsRowFunction="sum" dataDxfId="907" totalsRowDxfId="870"/>
    <tableColumn id="30" xr3:uid="{00000000-0010-0000-1500-00001E000000}" name="U" totalsRowFunction="sum" dataDxfId="906" totalsRowDxfId="869"/>
    <tableColumn id="31" xr3:uid="{00000000-0010-0000-1500-00001F000000}" name="O" totalsRowFunction="sum" dataDxfId="905" totalsRowDxfId="868"/>
    <tableColumn id="32" xr3:uid="{00000000-0010-0000-1500-000020000000}" name="I" totalsRowFunction="sum" dataDxfId="904" totalsRowDxfId="867"/>
    <tableColumn id="33" xr3:uid="{00000000-0010-0000-1500-000021000000}" name="E" totalsRowFunction="sum" dataDxfId="903" totalsRowDxfId="866"/>
    <tableColumn id="34" xr3:uid="{00000000-0010-0000-1500-000022000000}" name="A" totalsRowFunction="sum" dataDxfId="902" totalsRowDxfId="865"/>
    <tableColumn id="35" xr3:uid="{00000000-0010-0000-1500-000023000000}" name="P" totalsRowFunction="sum" dataDxfId="901" totalsRowDxfId="864"/>
    <tableColumn id="36" xr3:uid="{00000000-0010-0000-1500-000024000000}" name="N" totalsRowFunction="count" dataDxfId="900" totalsRowDxfId="86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DMM_CAI" displayName="FocusMode_DMM_CAI" ref="A1:H160" totalsRowShown="0">
  <autoFilter ref="A1:H160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DMM_ATZ_LF_LEGACY" displayName="DMM_ATZ_LF_LEGACY" ref="A1:AJ6" totalsRowCount="1" headerRowDxfId="861" dataDxfId="824" totalsRowDxfId="787">
  <tableColumns count="36">
    <tableColumn id="1" xr3:uid="{00000000-0010-0000-1700-000001000000}" name="Day" totalsRowLabel="TOTAL" dataDxfId="860" totalsRowDxfId="823"/>
    <tableColumn id="2" xr3:uid="{00000000-0010-0000-1700-000002000000}" name="Flt Dt" dataDxfId="859" totalsRowDxfId="822"/>
    <tableColumn id="3" xr3:uid="{00000000-0010-0000-1700-000003000000}" name="Flt" totalsRowFunction="count" dataDxfId="858" totalsRowDxfId="821"/>
    <tableColumn id="4" xr3:uid="{00000000-0010-0000-1700-000004000000}" name="DEP" dataDxfId="857" totalsRowDxfId="820"/>
    <tableColumn id="5" xr3:uid="{00000000-0010-0000-1700-000005000000}" name="Brd-Off" totalsRowFunction="count" dataDxfId="856" totalsRowDxfId="819"/>
    <tableColumn id="6" xr3:uid="{00000000-0010-0000-1700-000006000000}" name="Eqp" dataDxfId="855" totalsRowDxfId="818"/>
    <tableColumn id="7" xr3:uid="{00000000-0010-0000-1700-000007000000}" name="LF%" totalsRowFunction="average" dataDxfId="854" totalsRowDxfId="817"/>
    <tableColumn id="8" xr3:uid="{00000000-0010-0000-1700-000008000000}" name="CAP" totalsRowFunction="sum" dataDxfId="853" totalsRowDxfId="816"/>
    <tableColumn id="9" xr3:uid="{00000000-0010-0000-1700-000009000000}" name="BKG(Y)" totalsRowFunction="sum" dataDxfId="852" totalsRowDxfId="815"/>
    <tableColumn id="10" xr3:uid="{00000000-0010-0000-1700-00000A000000}" name="GRP(Y)" totalsRowFunction="sum" dataDxfId="851" totalsRowDxfId="814"/>
    <tableColumn id="11" xr3:uid="{00000000-0010-0000-1700-00000B000000}" name="FLT ST" dataDxfId="850" totalsRowDxfId="813"/>
    <tableColumn id="12" xr3:uid="{00000000-0010-0000-1700-00000C000000}" name="LST-SOLD" dataDxfId="849" totalsRowDxfId="812"/>
    <tableColumn id="13" xr3:uid="{00000000-0010-0000-1700-00000D000000}" name="TO-DAY" totalsRowFunction="sum" dataDxfId="848" totalsRowDxfId="811"/>
    <tableColumn id="14" xr3:uid="{00000000-0010-0000-1700-00000E000000}" name="Y-DAY" totalsRowFunction="sum" dataDxfId="847" totalsRowDxfId="810"/>
    <tableColumn id="15" xr3:uid="{00000000-0010-0000-1700-00000F000000}" name="WEEKLY" totalsRowFunction="sum" dataDxfId="846" totalsRowDxfId="809"/>
    <tableColumn id="16" xr3:uid="{00000000-0010-0000-1700-000010000000}" name="LOWEST AVAIL" dataDxfId="845" totalsRowDxfId="808"/>
    <tableColumn id="17" xr3:uid="{00000000-0010-0000-1700-000011000000}" name="Y" totalsRowFunction="sum" dataDxfId="844" totalsRowDxfId="807"/>
    <tableColumn id="18" xr3:uid="{00000000-0010-0000-1700-000012000000}" name="B" totalsRowFunction="sum" dataDxfId="843" totalsRowDxfId="806"/>
    <tableColumn id="19" xr3:uid="{00000000-0010-0000-1700-000013000000}" name="M" totalsRowFunction="sum" dataDxfId="842" totalsRowDxfId="805"/>
    <tableColumn id="20" xr3:uid="{00000000-0010-0000-1700-000014000000}" name="H" totalsRowFunction="sum" dataDxfId="841" totalsRowDxfId="804"/>
    <tableColumn id="21" xr3:uid="{00000000-0010-0000-1700-000015000000}" name="Q" totalsRowFunction="sum" dataDxfId="840" totalsRowDxfId="803"/>
    <tableColumn id="22" xr3:uid="{00000000-0010-0000-1700-000016000000}" name="K" totalsRowFunction="sum" dataDxfId="839" totalsRowDxfId="802"/>
    <tableColumn id="23" xr3:uid="{00000000-0010-0000-1700-000017000000}" name="V" totalsRowFunction="sum" dataDxfId="838" totalsRowDxfId="801"/>
    <tableColumn id="24" xr3:uid="{00000000-0010-0000-1700-000018000000}" name="L" totalsRowFunction="sum" dataDxfId="837" totalsRowDxfId="800"/>
    <tableColumn id="25" xr3:uid="{00000000-0010-0000-1700-000019000000}" name="G" totalsRowFunction="sum" dataDxfId="836" totalsRowDxfId="799"/>
    <tableColumn id="26" xr3:uid="{00000000-0010-0000-1700-00001A000000}" name="S" totalsRowFunction="sum" dataDxfId="835" totalsRowDxfId="798"/>
    <tableColumn id="27" xr3:uid="{00000000-0010-0000-1700-00001B000000}" name="W" totalsRowFunction="sum" dataDxfId="834" totalsRowDxfId="797"/>
    <tableColumn id="28" xr3:uid="{00000000-0010-0000-1700-00001C000000}" name="T" totalsRowFunction="sum" dataDxfId="833" totalsRowDxfId="796"/>
    <tableColumn id="29" xr3:uid="{00000000-0010-0000-1700-00001D000000}" name="X" totalsRowFunction="sum" dataDxfId="832" totalsRowDxfId="795"/>
    <tableColumn id="30" xr3:uid="{00000000-0010-0000-1700-00001E000000}" name="U" totalsRowFunction="sum" dataDxfId="831" totalsRowDxfId="794"/>
    <tableColumn id="31" xr3:uid="{00000000-0010-0000-1700-00001F000000}" name="O" totalsRowFunction="sum" dataDxfId="830" totalsRowDxfId="793"/>
    <tableColumn id="32" xr3:uid="{00000000-0010-0000-1700-000020000000}" name="I" totalsRowFunction="sum" dataDxfId="829" totalsRowDxfId="792"/>
    <tableColumn id="33" xr3:uid="{00000000-0010-0000-1700-000021000000}" name="E" totalsRowFunction="sum" dataDxfId="828" totalsRowDxfId="791"/>
    <tableColumn id="34" xr3:uid="{00000000-0010-0000-1700-000022000000}" name="A" totalsRowFunction="sum" dataDxfId="827" totalsRowDxfId="790"/>
    <tableColumn id="35" xr3:uid="{00000000-0010-0000-1700-000023000000}" name="P" totalsRowFunction="sum" dataDxfId="826" totalsRowDxfId="789"/>
    <tableColumn id="36" xr3:uid="{00000000-0010-0000-1700-000024000000}" name="N" totalsRowFunction="count" dataDxfId="825" totalsRowDxfId="78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FocusMode_DMM_ATZ" displayName="FocusMode_DMM_ATZ" ref="A1:H9" totalsRowShown="0">
  <autoFilter ref="A1:H9" xr:uid="{00000000-0009-0000-0100-000019000000}"/>
  <tableColumns count="8">
    <tableColumn id="1" xr3:uid="{00000000-0010-0000-1800-000001000000}" name="DATE"/>
    <tableColumn id="2" xr3:uid="{00000000-0010-0000-1800-000002000000}" name="AIRLINE"/>
    <tableColumn id="3" xr3:uid="{00000000-0010-0000-1800-000003000000}" name="FLIGHT NUM"/>
    <tableColumn id="4" xr3:uid="{00000000-0010-0000-1800-000004000000}" name="ROUTE"/>
    <tableColumn id="5" xr3:uid="{00000000-0010-0000-1800-000005000000}" name="DEPARTURE"/>
    <tableColumn id="6" xr3:uid="{00000000-0010-0000-1800-000006000000}" name="BAGGAGE"/>
    <tableColumn id="7" xr3:uid="{00000000-0010-0000-1800-000007000000}" name="AVAILABILITY"/>
    <tableColumn id="8" xr3:uid="{00000000-0010-0000-1800-000008000000}" name="PUBLISHED F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UU_CAI_LF_LEGACY" displayName="TUU_CAI_LF_LEGACY" ref="A1:AJ9" totalsRowCount="1" headerRowDxfId="786" dataDxfId="749" totalsRowDxfId="712">
  <tableColumns count="36">
    <tableColumn id="1" xr3:uid="{00000000-0010-0000-1900-000001000000}" name="Day" totalsRowLabel="TOTAL" dataDxfId="785" totalsRowDxfId="748"/>
    <tableColumn id="2" xr3:uid="{00000000-0010-0000-1900-000002000000}" name="Flt Dt" dataDxfId="784" totalsRowDxfId="747"/>
    <tableColumn id="3" xr3:uid="{00000000-0010-0000-1900-000003000000}" name="Flt" totalsRowFunction="count" dataDxfId="783" totalsRowDxfId="746"/>
    <tableColumn id="4" xr3:uid="{00000000-0010-0000-1900-000004000000}" name="DEP" dataDxfId="782" totalsRowDxfId="745"/>
    <tableColumn id="5" xr3:uid="{00000000-0010-0000-1900-000005000000}" name="Brd-Off" totalsRowFunction="count" dataDxfId="781" totalsRowDxfId="744"/>
    <tableColumn id="6" xr3:uid="{00000000-0010-0000-1900-000006000000}" name="Eqp" dataDxfId="780" totalsRowDxfId="743"/>
    <tableColumn id="7" xr3:uid="{00000000-0010-0000-1900-000007000000}" name="LF%" totalsRowFunction="average" dataDxfId="779" totalsRowDxfId="742"/>
    <tableColumn id="8" xr3:uid="{00000000-0010-0000-1900-000008000000}" name="CAP" totalsRowFunction="sum" dataDxfId="778" totalsRowDxfId="741"/>
    <tableColumn id="9" xr3:uid="{00000000-0010-0000-1900-000009000000}" name="BKG(Y)" totalsRowFunction="sum" dataDxfId="777" totalsRowDxfId="740"/>
    <tableColumn id="10" xr3:uid="{00000000-0010-0000-1900-00000A000000}" name="GRP(Y)" totalsRowFunction="sum" dataDxfId="776" totalsRowDxfId="739"/>
    <tableColumn id="11" xr3:uid="{00000000-0010-0000-1900-00000B000000}" name="FLT ST" dataDxfId="775" totalsRowDxfId="738"/>
    <tableColumn id="12" xr3:uid="{00000000-0010-0000-1900-00000C000000}" name="LST-SOLD" dataDxfId="774" totalsRowDxfId="737"/>
    <tableColumn id="13" xr3:uid="{00000000-0010-0000-1900-00000D000000}" name="TO-DAY" totalsRowFunction="sum" dataDxfId="773" totalsRowDxfId="736"/>
    <tableColumn id="14" xr3:uid="{00000000-0010-0000-1900-00000E000000}" name="Y-DAY" totalsRowFunction="sum" dataDxfId="772" totalsRowDxfId="735"/>
    <tableColumn id="15" xr3:uid="{00000000-0010-0000-1900-00000F000000}" name="WEEKLY" totalsRowFunction="sum" dataDxfId="771" totalsRowDxfId="734"/>
    <tableColumn id="16" xr3:uid="{00000000-0010-0000-1900-000010000000}" name="LOWEST AVAIL" dataDxfId="770" totalsRowDxfId="733"/>
    <tableColumn id="17" xr3:uid="{00000000-0010-0000-1900-000011000000}" name="Y" totalsRowFunction="sum" dataDxfId="769" totalsRowDxfId="732"/>
    <tableColumn id="18" xr3:uid="{00000000-0010-0000-1900-000012000000}" name="B" totalsRowFunction="sum" dataDxfId="768" totalsRowDxfId="731"/>
    <tableColumn id="19" xr3:uid="{00000000-0010-0000-1900-000013000000}" name="M" totalsRowFunction="sum" dataDxfId="767" totalsRowDxfId="730"/>
    <tableColumn id="20" xr3:uid="{00000000-0010-0000-1900-000014000000}" name="H" totalsRowFunction="sum" dataDxfId="766" totalsRowDxfId="729"/>
    <tableColumn id="21" xr3:uid="{00000000-0010-0000-1900-000015000000}" name="Q" totalsRowFunction="sum" dataDxfId="765" totalsRowDxfId="728"/>
    <tableColumn id="22" xr3:uid="{00000000-0010-0000-1900-000016000000}" name="K" totalsRowFunction="sum" dataDxfId="764" totalsRowDxfId="727"/>
    <tableColumn id="23" xr3:uid="{00000000-0010-0000-1900-000017000000}" name="V" totalsRowFunction="sum" dataDxfId="763" totalsRowDxfId="726"/>
    <tableColumn id="24" xr3:uid="{00000000-0010-0000-1900-000018000000}" name="L" totalsRowFunction="sum" dataDxfId="762" totalsRowDxfId="725"/>
    <tableColumn id="25" xr3:uid="{00000000-0010-0000-1900-000019000000}" name="G" totalsRowFunction="sum" dataDxfId="761" totalsRowDxfId="724"/>
    <tableColumn id="26" xr3:uid="{00000000-0010-0000-1900-00001A000000}" name="S" totalsRowFunction="sum" dataDxfId="760" totalsRowDxfId="723"/>
    <tableColumn id="27" xr3:uid="{00000000-0010-0000-1900-00001B000000}" name="W" totalsRowFunction="sum" dataDxfId="759" totalsRowDxfId="722"/>
    <tableColumn id="28" xr3:uid="{00000000-0010-0000-1900-00001C000000}" name="T" totalsRowFunction="sum" dataDxfId="758" totalsRowDxfId="721"/>
    <tableColumn id="29" xr3:uid="{00000000-0010-0000-1900-00001D000000}" name="X" totalsRowFunction="sum" dataDxfId="757" totalsRowDxfId="720"/>
    <tableColumn id="30" xr3:uid="{00000000-0010-0000-1900-00001E000000}" name="U" totalsRowFunction="sum" dataDxfId="756" totalsRowDxfId="719"/>
    <tableColumn id="31" xr3:uid="{00000000-0010-0000-1900-00001F000000}" name="O" totalsRowFunction="sum" dataDxfId="755" totalsRowDxfId="718"/>
    <tableColumn id="32" xr3:uid="{00000000-0010-0000-1900-000020000000}" name="I" totalsRowFunction="sum" dataDxfId="754" totalsRowDxfId="717"/>
    <tableColumn id="33" xr3:uid="{00000000-0010-0000-1900-000021000000}" name="E" totalsRowFunction="sum" dataDxfId="753" totalsRowDxfId="716"/>
    <tableColumn id="34" xr3:uid="{00000000-0010-0000-1900-000022000000}" name="A" totalsRowFunction="sum" dataDxfId="752" totalsRowDxfId="715"/>
    <tableColumn id="35" xr3:uid="{00000000-0010-0000-1900-000023000000}" name="P" totalsRowFunction="sum" dataDxfId="751" totalsRowDxfId="714"/>
    <tableColumn id="36" xr3:uid="{00000000-0010-0000-1900-000024000000}" name="N" totalsRowFunction="count" dataDxfId="750" totalsRowDxfId="71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FocusMode_TUU_CAI" displayName="FocusMode_TUU_CAI" ref="A1:H43" totalsRowShown="0">
  <autoFilter ref="A1:H43" xr:uid="{00000000-0009-0000-0100-00001B000000}"/>
  <tableColumns count="8">
    <tableColumn id="1" xr3:uid="{00000000-0010-0000-1A00-000001000000}" name="DATE"/>
    <tableColumn id="2" xr3:uid="{00000000-0010-0000-1A00-000002000000}" name="AIRLINE"/>
    <tableColumn id="3" xr3:uid="{00000000-0010-0000-1A00-000003000000}" name="FLIGHT NUM"/>
    <tableColumn id="4" xr3:uid="{00000000-0010-0000-1A00-000004000000}" name="ROUTE"/>
    <tableColumn id="5" xr3:uid="{00000000-0010-0000-1A00-000005000000}" name="DEPARTURE"/>
    <tableColumn id="6" xr3:uid="{00000000-0010-0000-1A00-000006000000}" name="BAGGAGE"/>
    <tableColumn id="7" xr3:uid="{00000000-0010-0000-1A00-000007000000}" name="AVAILABILITY"/>
    <tableColumn id="8" xr3:uid="{00000000-0010-0000-1A00-000008000000}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UU_ATZ_LF_LEGACY" displayName="TUU_ATZ_LF_LEGACY" ref="A1:AJ4" totalsRowCount="1" headerRowDxfId="711" dataDxfId="674" totalsRowDxfId="637">
  <tableColumns count="36">
    <tableColumn id="1" xr3:uid="{00000000-0010-0000-1B00-000001000000}" name="Day" totalsRowLabel="TOTAL" dataDxfId="710" totalsRowDxfId="673"/>
    <tableColumn id="2" xr3:uid="{00000000-0010-0000-1B00-000002000000}" name="Flt Dt" dataDxfId="709" totalsRowDxfId="672"/>
    <tableColumn id="3" xr3:uid="{00000000-0010-0000-1B00-000003000000}" name="Flt" totalsRowFunction="count" dataDxfId="708" totalsRowDxfId="671"/>
    <tableColumn id="4" xr3:uid="{00000000-0010-0000-1B00-000004000000}" name="DEP" dataDxfId="707" totalsRowDxfId="670"/>
    <tableColumn id="5" xr3:uid="{00000000-0010-0000-1B00-000005000000}" name="Brd-Off" totalsRowFunction="count" dataDxfId="706" totalsRowDxfId="669"/>
    <tableColumn id="6" xr3:uid="{00000000-0010-0000-1B00-000006000000}" name="Eqp" dataDxfId="705" totalsRowDxfId="668"/>
    <tableColumn id="7" xr3:uid="{00000000-0010-0000-1B00-000007000000}" name="LF%" totalsRowFunction="average" dataDxfId="704" totalsRowDxfId="667"/>
    <tableColumn id="8" xr3:uid="{00000000-0010-0000-1B00-000008000000}" name="CAP" totalsRowFunction="sum" dataDxfId="703" totalsRowDxfId="666"/>
    <tableColumn id="9" xr3:uid="{00000000-0010-0000-1B00-000009000000}" name="BKG(Y)" totalsRowFunction="sum" dataDxfId="702" totalsRowDxfId="665"/>
    <tableColumn id="10" xr3:uid="{00000000-0010-0000-1B00-00000A000000}" name="GRP(Y)" totalsRowFunction="sum" dataDxfId="701" totalsRowDxfId="664"/>
    <tableColumn id="11" xr3:uid="{00000000-0010-0000-1B00-00000B000000}" name="FLT ST" dataDxfId="700" totalsRowDxfId="663"/>
    <tableColumn id="12" xr3:uid="{00000000-0010-0000-1B00-00000C000000}" name="LST-SOLD" dataDxfId="699" totalsRowDxfId="662"/>
    <tableColumn id="13" xr3:uid="{00000000-0010-0000-1B00-00000D000000}" name="TO-DAY" totalsRowFunction="sum" dataDxfId="698" totalsRowDxfId="661"/>
    <tableColumn id="14" xr3:uid="{00000000-0010-0000-1B00-00000E000000}" name="Y-DAY" totalsRowFunction="sum" dataDxfId="697" totalsRowDxfId="660"/>
    <tableColumn id="15" xr3:uid="{00000000-0010-0000-1B00-00000F000000}" name="WEEKLY" totalsRowFunction="sum" dataDxfId="696" totalsRowDxfId="659"/>
    <tableColumn id="16" xr3:uid="{00000000-0010-0000-1B00-000010000000}" name="LOWEST AVAIL" dataDxfId="695" totalsRowDxfId="658"/>
    <tableColumn id="17" xr3:uid="{00000000-0010-0000-1B00-000011000000}" name="Y" totalsRowFunction="sum" dataDxfId="694" totalsRowDxfId="657"/>
    <tableColumn id="18" xr3:uid="{00000000-0010-0000-1B00-000012000000}" name="B" totalsRowFunction="sum" dataDxfId="693" totalsRowDxfId="656"/>
    <tableColumn id="19" xr3:uid="{00000000-0010-0000-1B00-000013000000}" name="M" totalsRowFunction="sum" dataDxfId="692" totalsRowDxfId="655"/>
    <tableColumn id="20" xr3:uid="{00000000-0010-0000-1B00-000014000000}" name="H" totalsRowFunction="sum" dataDxfId="691" totalsRowDxfId="654"/>
    <tableColumn id="21" xr3:uid="{00000000-0010-0000-1B00-000015000000}" name="Q" totalsRowFunction="sum" dataDxfId="690" totalsRowDxfId="653"/>
    <tableColumn id="22" xr3:uid="{00000000-0010-0000-1B00-000016000000}" name="K" totalsRowFunction="sum" dataDxfId="689" totalsRowDxfId="652"/>
    <tableColumn id="23" xr3:uid="{00000000-0010-0000-1B00-000017000000}" name="V" totalsRowFunction="sum" dataDxfId="688" totalsRowDxfId="651"/>
    <tableColumn id="24" xr3:uid="{00000000-0010-0000-1B00-000018000000}" name="L" totalsRowFunction="sum" dataDxfId="687" totalsRowDxfId="650"/>
    <tableColumn id="25" xr3:uid="{00000000-0010-0000-1B00-000019000000}" name="G" totalsRowFunction="sum" dataDxfId="686" totalsRowDxfId="649"/>
    <tableColumn id="26" xr3:uid="{00000000-0010-0000-1B00-00001A000000}" name="S" totalsRowFunction="sum" dataDxfId="685" totalsRowDxfId="648"/>
    <tableColumn id="27" xr3:uid="{00000000-0010-0000-1B00-00001B000000}" name="W" totalsRowFunction="sum" dataDxfId="684" totalsRowDxfId="647"/>
    <tableColumn id="28" xr3:uid="{00000000-0010-0000-1B00-00001C000000}" name="T" totalsRowFunction="sum" dataDxfId="683" totalsRowDxfId="646"/>
    <tableColumn id="29" xr3:uid="{00000000-0010-0000-1B00-00001D000000}" name="X" totalsRowFunction="sum" dataDxfId="682" totalsRowDxfId="645"/>
    <tableColumn id="30" xr3:uid="{00000000-0010-0000-1B00-00001E000000}" name="U" totalsRowFunction="sum" dataDxfId="681" totalsRowDxfId="644"/>
    <tableColumn id="31" xr3:uid="{00000000-0010-0000-1B00-00001F000000}" name="O" totalsRowFunction="sum" dataDxfId="680" totalsRowDxfId="643"/>
    <tableColumn id="32" xr3:uid="{00000000-0010-0000-1B00-000020000000}" name="I" totalsRowFunction="sum" dataDxfId="679" totalsRowDxfId="642"/>
    <tableColumn id="33" xr3:uid="{00000000-0010-0000-1B00-000021000000}" name="E" totalsRowFunction="sum" dataDxfId="678" totalsRowDxfId="641"/>
    <tableColumn id="34" xr3:uid="{00000000-0010-0000-1B00-000022000000}" name="A" totalsRowFunction="sum" dataDxfId="677" totalsRowDxfId="640"/>
    <tableColumn id="35" xr3:uid="{00000000-0010-0000-1B00-000023000000}" name="P" totalsRowFunction="sum" dataDxfId="676" totalsRowDxfId="639"/>
    <tableColumn id="36" xr3:uid="{00000000-0010-0000-1B00-000024000000}" name="N" totalsRowFunction="count" dataDxfId="675" totalsRowDxfId="63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FocusMode_TUU_ATZ" displayName="FocusMode_TUU_ATZ" ref="A1:H7" totalsRowShown="0">
  <autoFilter ref="A1:H7" xr:uid="{00000000-0009-0000-0100-00001D000000}"/>
  <tableColumns count="8">
    <tableColumn id="1" xr3:uid="{00000000-0010-0000-1C00-000001000000}" name="DATE"/>
    <tableColumn id="2" xr3:uid="{00000000-0010-0000-1C00-000002000000}" name="AIRLINE"/>
    <tableColumn id="3" xr3:uid="{00000000-0010-0000-1C00-000003000000}" name="FLIGHT NUM"/>
    <tableColumn id="4" xr3:uid="{00000000-0010-0000-1C00-000004000000}" name="ROUTE"/>
    <tableColumn id="5" xr3:uid="{00000000-0010-0000-1C00-000005000000}" name="DEPARTURE"/>
    <tableColumn id="6" xr3:uid="{00000000-0010-0000-1C00-000006000000}" name="BAGGAGE"/>
    <tableColumn id="7" xr3:uid="{00000000-0010-0000-1C00-000007000000}" name="AVAILABILITY"/>
    <tableColumn id="8" xr3:uid="{00000000-0010-0000-1C00-000008000000}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AJF_CAI_LF_LEGACY" displayName="AJF_CAI_LF_LEGACY" ref="A1:AJ9" totalsRowCount="1" headerRowDxfId="636" dataDxfId="599" totalsRowDxfId="562">
  <tableColumns count="36">
    <tableColumn id="1" xr3:uid="{00000000-0010-0000-1D00-000001000000}" name="Day" totalsRowLabel="TOTAL" dataDxfId="635" totalsRowDxfId="598"/>
    <tableColumn id="2" xr3:uid="{00000000-0010-0000-1D00-000002000000}" name="Flt Dt" dataDxfId="634" totalsRowDxfId="597"/>
    <tableColumn id="3" xr3:uid="{00000000-0010-0000-1D00-000003000000}" name="Flt" totalsRowFunction="count" dataDxfId="633" totalsRowDxfId="596"/>
    <tableColumn id="4" xr3:uid="{00000000-0010-0000-1D00-000004000000}" name="DEP" dataDxfId="632" totalsRowDxfId="595"/>
    <tableColumn id="5" xr3:uid="{00000000-0010-0000-1D00-000005000000}" name="Brd-Off" totalsRowFunction="count" dataDxfId="631" totalsRowDxfId="594"/>
    <tableColumn id="6" xr3:uid="{00000000-0010-0000-1D00-000006000000}" name="Eqp" dataDxfId="630" totalsRowDxfId="593"/>
    <tableColumn id="7" xr3:uid="{00000000-0010-0000-1D00-000007000000}" name="LF%" totalsRowFunction="average" dataDxfId="629" totalsRowDxfId="592"/>
    <tableColumn id="8" xr3:uid="{00000000-0010-0000-1D00-000008000000}" name="CAP" totalsRowFunction="sum" dataDxfId="628" totalsRowDxfId="591"/>
    <tableColumn id="9" xr3:uid="{00000000-0010-0000-1D00-000009000000}" name="BKG(Y)" totalsRowFunction="sum" dataDxfId="627" totalsRowDxfId="590"/>
    <tableColumn id="10" xr3:uid="{00000000-0010-0000-1D00-00000A000000}" name="GRP(Y)" totalsRowFunction="sum" dataDxfId="626" totalsRowDxfId="589"/>
    <tableColumn id="11" xr3:uid="{00000000-0010-0000-1D00-00000B000000}" name="FLT ST" dataDxfId="625" totalsRowDxfId="588"/>
    <tableColumn id="12" xr3:uid="{00000000-0010-0000-1D00-00000C000000}" name="LST-SOLD" dataDxfId="624" totalsRowDxfId="587"/>
    <tableColumn id="13" xr3:uid="{00000000-0010-0000-1D00-00000D000000}" name="TO-DAY" totalsRowFunction="sum" dataDxfId="623" totalsRowDxfId="586"/>
    <tableColumn id="14" xr3:uid="{00000000-0010-0000-1D00-00000E000000}" name="Y-DAY" totalsRowFunction="sum" dataDxfId="622" totalsRowDxfId="585"/>
    <tableColumn id="15" xr3:uid="{00000000-0010-0000-1D00-00000F000000}" name="WEEKLY" totalsRowFunction="sum" dataDxfId="621" totalsRowDxfId="584"/>
    <tableColumn id="16" xr3:uid="{00000000-0010-0000-1D00-000010000000}" name="LOWEST AVAIL" dataDxfId="620" totalsRowDxfId="583"/>
    <tableColumn id="17" xr3:uid="{00000000-0010-0000-1D00-000011000000}" name="Y" totalsRowFunction="sum" dataDxfId="619" totalsRowDxfId="582"/>
    <tableColumn id="18" xr3:uid="{00000000-0010-0000-1D00-000012000000}" name="B" totalsRowFunction="sum" dataDxfId="618" totalsRowDxfId="581"/>
    <tableColumn id="19" xr3:uid="{00000000-0010-0000-1D00-000013000000}" name="M" totalsRowFunction="sum" dataDxfId="617" totalsRowDxfId="580"/>
    <tableColumn id="20" xr3:uid="{00000000-0010-0000-1D00-000014000000}" name="H" totalsRowFunction="sum" dataDxfId="616" totalsRowDxfId="579"/>
    <tableColumn id="21" xr3:uid="{00000000-0010-0000-1D00-000015000000}" name="Q" totalsRowFunction="sum" dataDxfId="615" totalsRowDxfId="578"/>
    <tableColumn id="22" xr3:uid="{00000000-0010-0000-1D00-000016000000}" name="K" totalsRowFunction="sum" dataDxfId="614" totalsRowDxfId="577"/>
    <tableColumn id="23" xr3:uid="{00000000-0010-0000-1D00-000017000000}" name="V" totalsRowFunction="sum" dataDxfId="613" totalsRowDxfId="576"/>
    <tableColumn id="24" xr3:uid="{00000000-0010-0000-1D00-000018000000}" name="L" totalsRowFunction="sum" dataDxfId="612" totalsRowDxfId="575"/>
    <tableColumn id="25" xr3:uid="{00000000-0010-0000-1D00-000019000000}" name="G" totalsRowFunction="sum" dataDxfId="611" totalsRowDxfId="574"/>
    <tableColumn id="26" xr3:uid="{00000000-0010-0000-1D00-00001A000000}" name="S" totalsRowFunction="sum" dataDxfId="610" totalsRowDxfId="573"/>
    <tableColumn id="27" xr3:uid="{00000000-0010-0000-1D00-00001B000000}" name="W" totalsRowFunction="sum" dataDxfId="609" totalsRowDxfId="572"/>
    <tableColumn id="28" xr3:uid="{00000000-0010-0000-1D00-00001C000000}" name="T" totalsRowFunction="sum" dataDxfId="608" totalsRowDxfId="571"/>
    <tableColumn id="29" xr3:uid="{00000000-0010-0000-1D00-00001D000000}" name="X" totalsRowFunction="sum" dataDxfId="607" totalsRowDxfId="570"/>
    <tableColumn id="30" xr3:uid="{00000000-0010-0000-1D00-00001E000000}" name="U" totalsRowFunction="sum" dataDxfId="606" totalsRowDxfId="569"/>
    <tableColumn id="31" xr3:uid="{00000000-0010-0000-1D00-00001F000000}" name="O" totalsRowFunction="sum" dataDxfId="605" totalsRowDxfId="568"/>
    <tableColumn id="32" xr3:uid="{00000000-0010-0000-1D00-000020000000}" name="I" totalsRowFunction="sum" dataDxfId="604" totalsRowDxfId="567"/>
    <tableColumn id="33" xr3:uid="{00000000-0010-0000-1D00-000021000000}" name="E" totalsRowFunction="sum" dataDxfId="603" totalsRowDxfId="566"/>
    <tableColumn id="34" xr3:uid="{00000000-0010-0000-1D00-000022000000}" name="A" totalsRowFunction="sum" dataDxfId="602" totalsRowDxfId="565"/>
    <tableColumn id="35" xr3:uid="{00000000-0010-0000-1D00-000023000000}" name="P" totalsRowFunction="sum" dataDxfId="601" totalsRowDxfId="564"/>
    <tableColumn id="36" xr3:uid="{00000000-0010-0000-1D00-000024000000}" name="N" totalsRowFunction="count" dataDxfId="600" totalsRowDxfId="56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ocusMode_AJF_CAI" displayName="FocusMode_AJF_CAI" ref="A1:H14" totalsRowShown="0">
  <autoFilter ref="A1:H14" xr:uid="{00000000-0009-0000-0100-00001F000000}"/>
  <tableColumns count="8">
    <tableColumn id="1" xr3:uid="{00000000-0010-0000-1E00-000001000000}" name="DATE"/>
    <tableColumn id="2" xr3:uid="{00000000-0010-0000-1E00-000002000000}" name="AIRLINE"/>
    <tableColumn id="3" xr3:uid="{00000000-0010-0000-1E00-000003000000}" name="FLIGHT NUM"/>
    <tableColumn id="4" xr3:uid="{00000000-0010-0000-1E00-000004000000}" name="ROUTE"/>
    <tableColumn id="5" xr3:uid="{00000000-0010-0000-1E00-000005000000}" name="DEPARTURE"/>
    <tableColumn id="6" xr3:uid="{00000000-0010-0000-1E00-000006000000}" name="BAGGAGE"/>
    <tableColumn id="7" xr3:uid="{00000000-0010-0000-1E00-000007000000}" name="AVAILABILITY"/>
    <tableColumn id="8" xr3:uid="{00000000-0010-0000-1E00-000008000000}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AJF_ATZ_LF_LEGACY" displayName="AJF_ATZ_LF_LEGACY" ref="A1:AJ4" totalsRowCount="1" headerRowDxfId="561" dataDxfId="524" totalsRowDxfId="487">
  <tableColumns count="36">
    <tableColumn id="1" xr3:uid="{00000000-0010-0000-1F00-000001000000}" name="Day" totalsRowLabel="TOTAL" dataDxfId="560" totalsRowDxfId="523"/>
    <tableColumn id="2" xr3:uid="{00000000-0010-0000-1F00-000002000000}" name="Flt Dt" dataDxfId="559" totalsRowDxfId="522"/>
    <tableColumn id="3" xr3:uid="{00000000-0010-0000-1F00-000003000000}" name="Flt" totalsRowFunction="count" dataDxfId="558" totalsRowDxfId="521"/>
    <tableColumn id="4" xr3:uid="{00000000-0010-0000-1F00-000004000000}" name="DEP" dataDxfId="557" totalsRowDxfId="520"/>
    <tableColumn id="5" xr3:uid="{00000000-0010-0000-1F00-000005000000}" name="Brd-Off" totalsRowFunction="count" dataDxfId="556" totalsRowDxfId="519"/>
    <tableColumn id="6" xr3:uid="{00000000-0010-0000-1F00-000006000000}" name="Eqp" dataDxfId="555" totalsRowDxfId="518"/>
    <tableColumn id="7" xr3:uid="{00000000-0010-0000-1F00-000007000000}" name="LF%" totalsRowFunction="average" dataDxfId="554" totalsRowDxfId="517"/>
    <tableColumn id="8" xr3:uid="{00000000-0010-0000-1F00-000008000000}" name="CAP" totalsRowFunction="sum" dataDxfId="553" totalsRowDxfId="516"/>
    <tableColumn id="9" xr3:uid="{00000000-0010-0000-1F00-000009000000}" name="BKG(Y)" totalsRowFunction="sum" dataDxfId="552" totalsRowDxfId="515"/>
    <tableColumn id="10" xr3:uid="{00000000-0010-0000-1F00-00000A000000}" name="GRP(Y)" totalsRowFunction="sum" dataDxfId="551" totalsRowDxfId="514"/>
    <tableColumn id="11" xr3:uid="{00000000-0010-0000-1F00-00000B000000}" name="FLT ST" dataDxfId="550" totalsRowDxfId="513"/>
    <tableColumn id="12" xr3:uid="{00000000-0010-0000-1F00-00000C000000}" name="LST-SOLD" dataDxfId="549" totalsRowDxfId="512"/>
    <tableColumn id="13" xr3:uid="{00000000-0010-0000-1F00-00000D000000}" name="TO-DAY" totalsRowFunction="sum" dataDxfId="548" totalsRowDxfId="511"/>
    <tableColumn id="14" xr3:uid="{00000000-0010-0000-1F00-00000E000000}" name="Y-DAY" totalsRowFunction="sum" dataDxfId="547" totalsRowDxfId="510"/>
    <tableColumn id="15" xr3:uid="{00000000-0010-0000-1F00-00000F000000}" name="WEEKLY" totalsRowFunction="sum" dataDxfId="546" totalsRowDxfId="509"/>
    <tableColumn id="16" xr3:uid="{00000000-0010-0000-1F00-000010000000}" name="LOWEST AVAIL" dataDxfId="545" totalsRowDxfId="508"/>
    <tableColumn id="17" xr3:uid="{00000000-0010-0000-1F00-000011000000}" name="Y" totalsRowFunction="sum" dataDxfId="544" totalsRowDxfId="507"/>
    <tableColumn id="18" xr3:uid="{00000000-0010-0000-1F00-000012000000}" name="B" totalsRowFunction="sum" dataDxfId="543" totalsRowDxfId="506"/>
    <tableColumn id="19" xr3:uid="{00000000-0010-0000-1F00-000013000000}" name="M" totalsRowFunction="sum" dataDxfId="542" totalsRowDxfId="505"/>
    <tableColumn id="20" xr3:uid="{00000000-0010-0000-1F00-000014000000}" name="H" totalsRowFunction="sum" dataDxfId="541" totalsRowDxfId="504"/>
    <tableColumn id="21" xr3:uid="{00000000-0010-0000-1F00-000015000000}" name="Q" totalsRowFunction="sum" dataDxfId="540" totalsRowDxfId="503"/>
    <tableColumn id="22" xr3:uid="{00000000-0010-0000-1F00-000016000000}" name="K" totalsRowFunction="sum" dataDxfId="539" totalsRowDxfId="502"/>
    <tableColumn id="23" xr3:uid="{00000000-0010-0000-1F00-000017000000}" name="V" totalsRowFunction="sum" dataDxfId="538" totalsRowDxfId="501"/>
    <tableColumn id="24" xr3:uid="{00000000-0010-0000-1F00-000018000000}" name="L" totalsRowFunction="sum" dataDxfId="537" totalsRowDxfId="500"/>
    <tableColumn id="25" xr3:uid="{00000000-0010-0000-1F00-000019000000}" name="G" totalsRowFunction="sum" dataDxfId="536" totalsRowDxfId="499"/>
    <tableColumn id="26" xr3:uid="{00000000-0010-0000-1F00-00001A000000}" name="S" totalsRowFunction="sum" dataDxfId="535" totalsRowDxfId="498"/>
    <tableColumn id="27" xr3:uid="{00000000-0010-0000-1F00-00001B000000}" name="W" totalsRowFunction="sum" dataDxfId="534" totalsRowDxfId="497"/>
    <tableColumn id="28" xr3:uid="{00000000-0010-0000-1F00-00001C000000}" name="T" totalsRowFunction="sum" dataDxfId="533" totalsRowDxfId="496"/>
    <tableColumn id="29" xr3:uid="{00000000-0010-0000-1F00-00001D000000}" name="X" totalsRowFunction="sum" dataDxfId="532" totalsRowDxfId="495"/>
    <tableColumn id="30" xr3:uid="{00000000-0010-0000-1F00-00001E000000}" name="U" totalsRowFunction="sum" dataDxfId="531" totalsRowDxfId="494"/>
    <tableColumn id="31" xr3:uid="{00000000-0010-0000-1F00-00001F000000}" name="O" totalsRowFunction="sum" dataDxfId="530" totalsRowDxfId="493"/>
    <tableColumn id="32" xr3:uid="{00000000-0010-0000-1F00-000020000000}" name="I" totalsRowFunction="sum" dataDxfId="529" totalsRowDxfId="492"/>
    <tableColumn id="33" xr3:uid="{00000000-0010-0000-1F00-000021000000}" name="E" totalsRowFunction="sum" dataDxfId="528" totalsRowDxfId="491"/>
    <tableColumn id="34" xr3:uid="{00000000-0010-0000-1F00-000022000000}" name="A" totalsRowFunction="sum" dataDxfId="527" totalsRowDxfId="490"/>
    <tableColumn id="35" xr3:uid="{00000000-0010-0000-1F00-000023000000}" name="P" totalsRowFunction="sum" dataDxfId="526" totalsRowDxfId="489"/>
    <tableColumn id="36" xr3:uid="{00000000-0010-0000-1F00-000024000000}" name="N" totalsRowFunction="count" dataDxfId="525" totalsRowDxfId="488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FocusMode_AJF_ATZ" displayName="FocusMode_AJF_ATZ" ref="A1:H7" totalsRowShown="0">
  <autoFilter ref="A1:H7" xr:uid="{00000000-0009-0000-0100-000021000000}"/>
  <tableColumns count="8">
    <tableColumn id="1" xr3:uid="{00000000-0010-0000-2000-000001000000}" name="DATE"/>
    <tableColumn id="2" xr3:uid="{00000000-0010-0000-2000-000002000000}" name="AIRLINE"/>
    <tableColumn id="3" xr3:uid="{00000000-0010-0000-2000-000003000000}" name="FLIGHT NUM"/>
    <tableColumn id="4" xr3:uid="{00000000-0010-0000-2000-000004000000}" name="ROUTE"/>
    <tableColumn id="5" xr3:uid="{00000000-0010-0000-2000-000005000000}" name="DEPARTURE"/>
    <tableColumn id="6" xr3:uid="{00000000-0010-0000-2000-000006000000}" name="BAGGAGE"/>
    <tableColumn id="7" xr3:uid="{00000000-0010-0000-2000-000007000000}" name="AVAILABILITY"/>
    <tableColumn id="8" xr3:uid="{00000000-0010-0000-2000-000008000000}" name="PUBLISHED FAR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YNB_CAI_LF_LEGACY" displayName="YNB_CAI_LF_LEGACY" ref="A1:AJ18" totalsRowCount="1" headerRowDxfId="486" dataDxfId="449" totalsRowDxfId="412">
  <tableColumns count="36">
    <tableColumn id="1" xr3:uid="{00000000-0010-0000-2100-000001000000}" name="Day" totalsRowLabel="TOTAL" dataDxfId="485" totalsRowDxfId="448"/>
    <tableColumn id="2" xr3:uid="{00000000-0010-0000-2100-000002000000}" name="Flt Dt" dataDxfId="484" totalsRowDxfId="447"/>
    <tableColumn id="3" xr3:uid="{00000000-0010-0000-2100-000003000000}" name="Flt" totalsRowFunction="count" dataDxfId="483" totalsRowDxfId="446"/>
    <tableColumn id="4" xr3:uid="{00000000-0010-0000-2100-000004000000}" name="DEP" dataDxfId="482" totalsRowDxfId="445"/>
    <tableColumn id="5" xr3:uid="{00000000-0010-0000-2100-000005000000}" name="Brd-Off" totalsRowFunction="count" dataDxfId="481" totalsRowDxfId="444"/>
    <tableColumn id="6" xr3:uid="{00000000-0010-0000-2100-000006000000}" name="Eqp" dataDxfId="480" totalsRowDxfId="443"/>
    <tableColumn id="7" xr3:uid="{00000000-0010-0000-2100-000007000000}" name="LF%" totalsRowFunction="average" dataDxfId="479" totalsRowDxfId="442"/>
    <tableColumn id="8" xr3:uid="{00000000-0010-0000-2100-000008000000}" name="CAP" totalsRowFunction="sum" dataDxfId="478" totalsRowDxfId="441"/>
    <tableColumn id="9" xr3:uid="{00000000-0010-0000-2100-000009000000}" name="BKG(Y)" totalsRowFunction="sum" dataDxfId="477" totalsRowDxfId="440"/>
    <tableColumn id="10" xr3:uid="{00000000-0010-0000-2100-00000A000000}" name="GRP(Y)" totalsRowFunction="sum" dataDxfId="476" totalsRowDxfId="439"/>
    <tableColumn id="11" xr3:uid="{00000000-0010-0000-2100-00000B000000}" name="FLT ST" dataDxfId="475" totalsRowDxfId="438"/>
    <tableColumn id="12" xr3:uid="{00000000-0010-0000-2100-00000C000000}" name="LST-SOLD" dataDxfId="474" totalsRowDxfId="437"/>
    <tableColumn id="13" xr3:uid="{00000000-0010-0000-2100-00000D000000}" name="TO-DAY" totalsRowFunction="sum" dataDxfId="473" totalsRowDxfId="436"/>
    <tableColumn id="14" xr3:uid="{00000000-0010-0000-2100-00000E000000}" name="Y-DAY" totalsRowFunction="sum" dataDxfId="472" totalsRowDxfId="435"/>
    <tableColumn id="15" xr3:uid="{00000000-0010-0000-2100-00000F000000}" name="WEEKLY" totalsRowFunction="sum" dataDxfId="471" totalsRowDxfId="434"/>
    <tableColumn id="16" xr3:uid="{00000000-0010-0000-2100-000010000000}" name="LOWEST AVAIL" dataDxfId="470" totalsRowDxfId="433"/>
    <tableColumn id="17" xr3:uid="{00000000-0010-0000-2100-000011000000}" name="Y" totalsRowFunction="sum" dataDxfId="469" totalsRowDxfId="432"/>
    <tableColumn id="18" xr3:uid="{00000000-0010-0000-2100-000012000000}" name="B" totalsRowFunction="sum" dataDxfId="468" totalsRowDxfId="431"/>
    <tableColumn id="19" xr3:uid="{00000000-0010-0000-2100-000013000000}" name="M" totalsRowFunction="sum" dataDxfId="467" totalsRowDxfId="430"/>
    <tableColumn id="20" xr3:uid="{00000000-0010-0000-2100-000014000000}" name="H" totalsRowFunction="sum" dataDxfId="466" totalsRowDxfId="429"/>
    <tableColumn id="21" xr3:uid="{00000000-0010-0000-2100-000015000000}" name="Q" totalsRowFunction="sum" dataDxfId="465" totalsRowDxfId="428"/>
    <tableColumn id="22" xr3:uid="{00000000-0010-0000-2100-000016000000}" name="K" totalsRowFunction="sum" dataDxfId="464" totalsRowDxfId="427"/>
    <tableColumn id="23" xr3:uid="{00000000-0010-0000-2100-000017000000}" name="V" totalsRowFunction="sum" dataDxfId="463" totalsRowDxfId="426"/>
    <tableColumn id="24" xr3:uid="{00000000-0010-0000-2100-000018000000}" name="L" totalsRowFunction="sum" dataDxfId="462" totalsRowDxfId="425"/>
    <tableColumn id="25" xr3:uid="{00000000-0010-0000-2100-000019000000}" name="G" totalsRowFunction="sum" dataDxfId="461" totalsRowDxfId="424"/>
    <tableColumn id="26" xr3:uid="{00000000-0010-0000-2100-00001A000000}" name="S" totalsRowFunction="sum" dataDxfId="460" totalsRowDxfId="423"/>
    <tableColumn id="27" xr3:uid="{00000000-0010-0000-2100-00001B000000}" name="W" totalsRowFunction="sum" dataDxfId="459" totalsRowDxfId="422"/>
    <tableColumn id="28" xr3:uid="{00000000-0010-0000-2100-00001C000000}" name="T" totalsRowFunction="sum" dataDxfId="458" totalsRowDxfId="421"/>
    <tableColumn id="29" xr3:uid="{00000000-0010-0000-2100-00001D000000}" name="X" totalsRowFunction="sum" dataDxfId="457" totalsRowDxfId="420"/>
    <tableColumn id="30" xr3:uid="{00000000-0010-0000-2100-00001E000000}" name="U" totalsRowFunction="sum" dataDxfId="456" totalsRowDxfId="419"/>
    <tableColumn id="31" xr3:uid="{00000000-0010-0000-2100-00001F000000}" name="O" totalsRowFunction="sum" dataDxfId="455" totalsRowDxfId="418"/>
    <tableColumn id="32" xr3:uid="{00000000-0010-0000-2100-000020000000}" name="I" totalsRowFunction="sum" dataDxfId="454" totalsRowDxfId="417"/>
    <tableColumn id="33" xr3:uid="{00000000-0010-0000-2100-000021000000}" name="E" totalsRowFunction="sum" dataDxfId="453" totalsRowDxfId="416"/>
    <tableColumn id="34" xr3:uid="{00000000-0010-0000-2100-000022000000}" name="A" totalsRowFunction="sum" dataDxfId="452" totalsRowDxfId="415"/>
    <tableColumn id="35" xr3:uid="{00000000-0010-0000-2100-000023000000}" name="P" totalsRowFunction="sum" dataDxfId="451" totalsRowDxfId="414"/>
    <tableColumn id="36" xr3:uid="{00000000-0010-0000-2100-000024000000}" name="N" totalsRowFunction="count" dataDxfId="450" totalsRowDxfId="4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FocusMode_YNB_CAI" displayName="FocusMode_YNB_CAI" ref="A1:H25" totalsRowShown="0">
  <autoFilter ref="A1:H25" xr:uid="{00000000-0009-0000-0100-000023000000}"/>
  <tableColumns count="8">
    <tableColumn id="1" xr3:uid="{00000000-0010-0000-2200-000001000000}" name="DATE"/>
    <tableColumn id="2" xr3:uid="{00000000-0010-0000-2200-000002000000}" name="AIRLINE"/>
    <tableColumn id="3" xr3:uid="{00000000-0010-0000-2200-000003000000}" name="FLIGHT NUM"/>
    <tableColumn id="4" xr3:uid="{00000000-0010-0000-2200-000004000000}" name="ROUTE"/>
    <tableColumn id="5" xr3:uid="{00000000-0010-0000-2200-000005000000}" name="DEPARTURE"/>
    <tableColumn id="6" xr3:uid="{00000000-0010-0000-2200-000006000000}" name="BAGGAGE"/>
    <tableColumn id="7" xr3:uid="{00000000-0010-0000-2200-000007000000}" name="AVAILABILITY"/>
    <tableColumn id="8" xr3:uid="{00000000-0010-0000-2200-000008000000}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B_CAI_LF_LEGACY" displayName="AHB_CAI_LF_LEGACY" ref="A1:AJ8" totalsRowCount="1" headerRowDxfId="411" dataDxfId="374" totalsRowDxfId="337">
  <tableColumns count="36">
    <tableColumn id="1" xr3:uid="{00000000-0010-0000-2300-000001000000}" name="Day" totalsRowLabel="TOTAL" dataDxfId="410" totalsRowDxfId="373"/>
    <tableColumn id="2" xr3:uid="{00000000-0010-0000-2300-000002000000}" name="Flt Dt" dataDxfId="409" totalsRowDxfId="372"/>
    <tableColumn id="3" xr3:uid="{00000000-0010-0000-2300-000003000000}" name="Flt" totalsRowFunction="count" dataDxfId="408" totalsRowDxfId="371"/>
    <tableColumn id="4" xr3:uid="{00000000-0010-0000-2300-000004000000}" name="DEP" dataDxfId="407" totalsRowDxfId="370"/>
    <tableColumn id="5" xr3:uid="{00000000-0010-0000-2300-000005000000}" name="Brd-Off" totalsRowFunction="count" dataDxfId="406" totalsRowDxfId="369"/>
    <tableColumn id="6" xr3:uid="{00000000-0010-0000-2300-000006000000}" name="Eqp" dataDxfId="405" totalsRowDxfId="368"/>
    <tableColumn id="7" xr3:uid="{00000000-0010-0000-2300-000007000000}" name="LF%" totalsRowFunction="average" dataDxfId="404" totalsRowDxfId="367"/>
    <tableColumn id="8" xr3:uid="{00000000-0010-0000-2300-000008000000}" name="CAP" totalsRowFunction="sum" dataDxfId="403" totalsRowDxfId="366"/>
    <tableColumn id="9" xr3:uid="{00000000-0010-0000-2300-000009000000}" name="BKG(Y)" totalsRowFunction="sum" dataDxfId="402" totalsRowDxfId="365"/>
    <tableColumn id="10" xr3:uid="{00000000-0010-0000-2300-00000A000000}" name="GRP(Y)" totalsRowFunction="sum" dataDxfId="401" totalsRowDxfId="364"/>
    <tableColumn id="11" xr3:uid="{00000000-0010-0000-2300-00000B000000}" name="FLT ST" dataDxfId="400" totalsRowDxfId="363"/>
    <tableColumn id="12" xr3:uid="{00000000-0010-0000-2300-00000C000000}" name="LST-SOLD" dataDxfId="399" totalsRowDxfId="362"/>
    <tableColumn id="13" xr3:uid="{00000000-0010-0000-2300-00000D000000}" name="TO-DAY" totalsRowFunction="sum" dataDxfId="398" totalsRowDxfId="361"/>
    <tableColumn id="14" xr3:uid="{00000000-0010-0000-2300-00000E000000}" name="Y-DAY" totalsRowFunction="sum" dataDxfId="397" totalsRowDxfId="360"/>
    <tableColumn id="15" xr3:uid="{00000000-0010-0000-2300-00000F000000}" name="WEEKLY" totalsRowFunction="sum" dataDxfId="396" totalsRowDxfId="359"/>
    <tableColumn id="16" xr3:uid="{00000000-0010-0000-2300-000010000000}" name="LOWEST AVAIL" dataDxfId="395" totalsRowDxfId="358"/>
    <tableColumn id="17" xr3:uid="{00000000-0010-0000-2300-000011000000}" name="Y" totalsRowFunction="sum" dataDxfId="394" totalsRowDxfId="357"/>
    <tableColumn id="18" xr3:uid="{00000000-0010-0000-2300-000012000000}" name="B" totalsRowFunction="sum" dataDxfId="393" totalsRowDxfId="356"/>
    <tableColumn id="19" xr3:uid="{00000000-0010-0000-2300-000013000000}" name="M" totalsRowFunction="sum" dataDxfId="392" totalsRowDxfId="355"/>
    <tableColumn id="20" xr3:uid="{00000000-0010-0000-2300-000014000000}" name="H" totalsRowFunction="sum" dataDxfId="391" totalsRowDxfId="354"/>
    <tableColumn id="21" xr3:uid="{00000000-0010-0000-2300-000015000000}" name="Q" totalsRowFunction="sum" dataDxfId="390" totalsRowDxfId="353"/>
    <tableColumn id="22" xr3:uid="{00000000-0010-0000-2300-000016000000}" name="K" totalsRowFunction="sum" dataDxfId="389" totalsRowDxfId="352"/>
    <tableColumn id="23" xr3:uid="{00000000-0010-0000-2300-000017000000}" name="V" totalsRowFunction="sum" dataDxfId="388" totalsRowDxfId="351"/>
    <tableColumn id="24" xr3:uid="{00000000-0010-0000-2300-000018000000}" name="L" totalsRowFunction="sum" dataDxfId="387" totalsRowDxfId="350"/>
    <tableColumn id="25" xr3:uid="{00000000-0010-0000-2300-000019000000}" name="G" totalsRowFunction="sum" dataDxfId="386" totalsRowDxfId="349"/>
    <tableColumn id="26" xr3:uid="{00000000-0010-0000-2300-00001A000000}" name="S" totalsRowFunction="sum" dataDxfId="385" totalsRowDxfId="348"/>
    <tableColumn id="27" xr3:uid="{00000000-0010-0000-2300-00001B000000}" name="W" totalsRowFunction="sum" dataDxfId="384" totalsRowDxfId="347"/>
    <tableColumn id="28" xr3:uid="{00000000-0010-0000-2300-00001C000000}" name="T" totalsRowFunction="sum" dataDxfId="383" totalsRowDxfId="346"/>
    <tableColumn id="29" xr3:uid="{00000000-0010-0000-2300-00001D000000}" name="X" totalsRowFunction="sum" dataDxfId="382" totalsRowDxfId="345"/>
    <tableColumn id="30" xr3:uid="{00000000-0010-0000-2300-00001E000000}" name="U" totalsRowFunction="sum" dataDxfId="381" totalsRowDxfId="344"/>
    <tableColumn id="31" xr3:uid="{00000000-0010-0000-2300-00001F000000}" name="O" totalsRowFunction="sum" dataDxfId="380" totalsRowDxfId="343"/>
    <tableColumn id="32" xr3:uid="{00000000-0010-0000-2300-000020000000}" name="I" totalsRowFunction="sum" dataDxfId="379" totalsRowDxfId="342"/>
    <tableColumn id="33" xr3:uid="{00000000-0010-0000-2300-000021000000}" name="E" totalsRowFunction="sum" dataDxfId="378" totalsRowDxfId="341"/>
    <tableColumn id="34" xr3:uid="{00000000-0010-0000-2300-000022000000}" name="A" totalsRowFunction="sum" dataDxfId="377" totalsRowDxfId="340"/>
    <tableColumn id="35" xr3:uid="{00000000-0010-0000-2300-000023000000}" name="P" totalsRowFunction="sum" dataDxfId="376" totalsRowDxfId="339"/>
    <tableColumn id="36" xr3:uid="{00000000-0010-0000-2300-000024000000}" name="N" totalsRowFunction="count" dataDxfId="375" totalsRowDxfId="33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FocusMode_AHB_CAI" displayName="FocusMode_AHB_CAI" ref="A1:H28" totalsRowShown="0">
  <autoFilter ref="A1:H28" xr:uid="{00000000-0009-0000-0100-000025000000}"/>
  <tableColumns count="8">
    <tableColumn id="1" xr3:uid="{00000000-0010-0000-2400-000001000000}" name="DATE"/>
    <tableColumn id="2" xr3:uid="{00000000-0010-0000-2400-000002000000}" name="AIRLINE"/>
    <tableColumn id="3" xr3:uid="{00000000-0010-0000-2400-000003000000}" name="FLIGHT NUM"/>
    <tableColumn id="4" xr3:uid="{00000000-0010-0000-2400-000004000000}" name="ROUTE"/>
    <tableColumn id="5" xr3:uid="{00000000-0010-0000-2400-000005000000}" name="DEPARTURE"/>
    <tableColumn id="6" xr3:uid="{00000000-0010-0000-2400-000006000000}" name="BAGGAGE"/>
    <tableColumn id="7" xr3:uid="{00000000-0010-0000-2400-000007000000}" name="AVAILABILITY"/>
    <tableColumn id="8" xr3:uid="{00000000-0010-0000-2400-000008000000}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HB_ATZ_LF_LEGACY" displayName="AHB_ATZ_LF_LEGACY" ref="A1:AJ4" totalsRowCount="1" headerRowDxfId="336" dataDxfId="299" totalsRowDxfId="262">
  <tableColumns count="36">
    <tableColumn id="1" xr3:uid="{00000000-0010-0000-2500-000001000000}" name="Day" totalsRowLabel="TOTAL" dataDxfId="335" totalsRowDxfId="298"/>
    <tableColumn id="2" xr3:uid="{00000000-0010-0000-2500-000002000000}" name="Flt Dt" dataDxfId="334" totalsRowDxfId="297"/>
    <tableColumn id="3" xr3:uid="{00000000-0010-0000-2500-000003000000}" name="Flt" totalsRowFunction="count" dataDxfId="333" totalsRowDxfId="296"/>
    <tableColumn id="4" xr3:uid="{00000000-0010-0000-2500-000004000000}" name="DEP" dataDxfId="332" totalsRowDxfId="295"/>
    <tableColumn id="5" xr3:uid="{00000000-0010-0000-2500-000005000000}" name="Brd-Off" totalsRowFunction="count" dataDxfId="331" totalsRowDxfId="294"/>
    <tableColumn id="6" xr3:uid="{00000000-0010-0000-2500-000006000000}" name="Eqp" dataDxfId="330" totalsRowDxfId="293"/>
    <tableColumn id="7" xr3:uid="{00000000-0010-0000-2500-000007000000}" name="LF%" totalsRowFunction="average" dataDxfId="329" totalsRowDxfId="292"/>
    <tableColumn id="8" xr3:uid="{00000000-0010-0000-2500-000008000000}" name="CAP" totalsRowFunction="sum" dataDxfId="328" totalsRowDxfId="291"/>
    <tableColumn id="9" xr3:uid="{00000000-0010-0000-2500-000009000000}" name="BKG(Y)" totalsRowFunction="sum" dataDxfId="327" totalsRowDxfId="290"/>
    <tableColumn id="10" xr3:uid="{00000000-0010-0000-2500-00000A000000}" name="GRP(Y)" totalsRowFunction="sum" dataDxfId="326" totalsRowDxfId="289"/>
    <tableColumn id="11" xr3:uid="{00000000-0010-0000-2500-00000B000000}" name="FLT ST" dataDxfId="325" totalsRowDxfId="288"/>
    <tableColumn id="12" xr3:uid="{00000000-0010-0000-2500-00000C000000}" name="LST-SOLD" dataDxfId="324" totalsRowDxfId="287"/>
    <tableColumn id="13" xr3:uid="{00000000-0010-0000-2500-00000D000000}" name="TO-DAY" totalsRowFunction="sum" dataDxfId="323" totalsRowDxfId="286"/>
    <tableColumn id="14" xr3:uid="{00000000-0010-0000-2500-00000E000000}" name="Y-DAY" totalsRowFunction="sum" dataDxfId="322" totalsRowDxfId="285"/>
    <tableColumn id="15" xr3:uid="{00000000-0010-0000-2500-00000F000000}" name="WEEKLY" totalsRowFunction="sum" dataDxfId="321" totalsRowDxfId="284"/>
    <tableColumn id="16" xr3:uid="{00000000-0010-0000-2500-000010000000}" name="LOWEST AVAIL" dataDxfId="320" totalsRowDxfId="283"/>
    <tableColumn id="17" xr3:uid="{00000000-0010-0000-2500-000011000000}" name="Y" totalsRowFunction="sum" dataDxfId="319" totalsRowDxfId="282"/>
    <tableColumn id="18" xr3:uid="{00000000-0010-0000-2500-000012000000}" name="B" totalsRowFunction="sum" dataDxfId="318" totalsRowDxfId="281"/>
    <tableColumn id="19" xr3:uid="{00000000-0010-0000-2500-000013000000}" name="M" totalsRowFunction="sum" dataDxfId="317" totalsRowDxfId="280"/>
    <tableColumn id="20" xr3:uid="{00000000-0010-0000-2500-000014000000}" name="H" totalsRowFunction="sum" dataDxfId="316" totalsRowDxfId="279"/>
    <tableColumn id="21" xr3:uid="{00000000-0010-0000-2500-000015000000}" name="Q" totalsRowFunction="sum" dataDxfId="315" totalsRowDxfId="278"/>
    <tableColumn id="22" xr3:uid="{00000000-0010-0000-2500-000016000000}" name="K" totalsRowFunction="sum" dataDxfId="314" totalsRowDxfId="277"/>
    <tableColumn id="23" xr3:uid="{00000000-0010-0000-2500-000017000000}" name="V" totalsRowFunction="sum" dataDxfId="313" totalsRowDxfId="276"/>
    <tableColumn id="24" xr3:uid="{00000000-0010-0000-2500-000018000000}" name="L" totalsRowFunction="sum" dataDxfId="312" totalsRowDxfId="275"/>
    <tableColumn id="25" xr3:uid="{00000000-0010-0000-2500-000019000000}" name="G" totalsRowFunction="sum" dataDxfId="311" totalsRowDxfId="274"/>
    <tableColumn id="26" xr3:uid="{00000000-0010-0000-2500-00001A000000}" name="S" totalsRowFunction="sum" dataDxfId="310" totalsRowDxfId="273"/>
    <tableColumn id="27" xr3:uid="{00000000-0010-0000-2500-00001B000000}" name="W" totalsRowFunction="sum" dataDxfId="309" totalsRowDxfId="272"/>
    <tableColumn id="28" xr3:uid="{00000000-0010-0000-2500-00001C000000}" name="T" totalsRowFunction="sum" dataDxfId="308" totalsRowDxfId="271"/>
    <tableColumn id="29" xr3:uid="{00000000-0010-0000-2500-00001D000000}" name="X" totalsRowFunction="sum" dataDxfId="307" totalsRowDxfId="270"/>
    <tableColumn id="30" xr3:uid="{00000000-0010-0000-2500-00001E000000}" name="U" totalsRowFunction="sum" dataDxfId="306" totalsRowDxfId="269"/>
    <tableColumn id="31" xr3:uid="{00000000-0010-0000-2500-00001F000000}" name="O" totalsRowFunction="sum" dataDxfId="305" totalsRowDxfId="268"/>
    <tableColumn id="32" xr3:uid="{00000000-0010-0000-2500-000020000000}" name="I" totalsRowFunction="sum" dataDxfId="304" totalsRowDxfId="267"/>
    <tableColumn id="33" xr3:uid="{00000000-0010-0000-2500-000021000000}" name="E" totalsRowFunction="sum" dataDxfId="303" totalsRowDxfId="266"/>
    <tableColumn id="34" xr3:uid="{00000000-0010-0000-2500-000022000000}" name="A" totalsRowFunction="sum" dataDxfId="302" totalsRowDxfId="265"/>
    <tableColumn id="35" xr3:uid="{00000000-0010-0000-2500-000023000000}" name="P" totalsRowFunction="sum" dataDxfId="301" totalsRowDxfId="264"/>
    <tableColumn id="36" xr3:uid="{00000000-0010-0000-2500-000024000000}" name="N" totalsRowFunction="count" dataDxfId="300" totalsRowDxfId="26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FocusMode_AHB_ATZ" displayName="FocusMode_AHB_ATZ" ref="A1:H7" totalsRowShown="0">
  <autoFilter ref="A1:H7" xr:uid="{00000000-0009-0000-0100-000027000000}"/>
  <tableColumns count="8">
    <tableColumn id="1" xr3:uid="{00000000-0010-0000-2600-000001000000}" name="DATE"/>
    <tableColumn id="2" xr3:uid="{00000000-0010-0000-2600-000002000000}" name="AIRLINE"/>
    <tableColumn id="3" xr3:uid="{00000000-0010-0000-2600-000003000000}" name="FLIGHT NUM"/>
    <tableColumn id="4" xr3:uid="{00000000-0010-0000-2600-000004000000}" name="ROUTE"/>
    <tableColumn id="5" xr3:uid="{00000000-0010-0000-2600-000005000000}" name="DEPARTURE"/>
    <tableColumn id="6" xr3:uid="{00000000-0010-0000-2600-000006000000}" name="BAGGAGE"/>
    <tableColumn id="7" xr3:uid="{00000000-0010-0000-2600-000007000000}" name="AVAILABILITY"/>
    <tableColumn id="8" xr3:uid="{00000000-0010-0000-2600-000008000000}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ELQ_CAI_LF_LEGACY" displayName="ELQ_CAI_LF_LEGACY" ref="A1:AJ8" totalsRowCount="1" headerRowDxfId="261" dataDxfId="224" totalsRowDxfId="187">
  <tableColumns count="36">
    <tableColumn id="1" xr3:uid="{00000000-0010-0000-2700-000001000000}" name="Day" totalsRowLabel="TOTAL" dataDxfId="260" totalsRowDxfId="223"/>
    <tableColumn id="2" xr3:uid="{00000000-0010-0000-2700-000002000000}" name="Flt Dt" dataDxfId="259" totalsRowDxfId="222"/>
    <tableColumn id="3" xr3:uid="{00000000-0010-0000-2700-000003000000}" name="Flt" totalsRowFunction="count" dataDxfId="258" totalsRowDxfId="221"/>
    <tableColumn id="4" xr3:uid="{00000000-0010-0000-2700-000004000000}" name="DEP" dataDxfId="257" totalsRowDxfId="220"/>
    <tableColumn id="5" xr3:uid="{00000000-0010-0000-2700-000005000000}" name="Brd-Off" totalsRowFunction="count" dataDxfId="256" totalsRowDxfId="219"/>
    <tableColumn id="6" xr3:uid="{00000000-0010-0000-2700-000006000000}" name="Eqp" dataDxfId="255" totalsRowDxfId="218"/>
    <tableColumn id="7" xr3:uid="{00000000-0010-0000-2700-000007000000}" name="LF%" totalsRowFunction="average" dataDxfId="254" totalsRowDxfId="217"/>
    <tableColumn id="8" xr3:uid="{00000000-0010-0000-2700-000008000000}" name="CAP" totalsRowFunction="sum" dataDxfId="253" totalsRowDxfId="216"/>
    <tableColumn id="9" xr3:uid="{00000000-0010-0000-2700-000009000000}" name="BKG(Y)" totalsRowFunction="sum" dataDxfId="252" totalsRowDxfId="215"/>
    <tableColumn id="10" xr3:uid="{00000000-0010-0000-2700-00000A000000}" name="GRP(Y)" totalsRowFunction="sum" dataDxfId="251" totalsRowDxfId="214"/>
    <tableColumn id="11" xr3:uid="{00000000-0010-0000-2700-00000B000000}" name="FLT ST" dataDxfId="250" totalsRowDxfId="213"/>
    <tableColumn id="12" xr3:uid="{00000000-0010-0000-2700-00000C000000}" name="LST-SOLD" dataDxfId="249" totalsRowDxfId="212"/>
    <tableColumn id="13" xr3:uid="{00000000-0010-0000-2700-00000D000000}" name="TO-DAY" totalsRowFunction="sum" dataDxfId="248" totalsRowDxfId="211"/>
    <tableColumn id="14" xr3:uid="{00000000-0010-0000-2700-00000E000000}" name="Y-DAY" totalsRowFunction="sum" dataDxfId="247" totalsRowDxfId="210"/>
    <tableColumn id="15" xr3:uid="{00000000-0010-0000-2700-00000F000000}" name="WEEKLY" totalsRowFunction="sum" dataDxfId="246" totalsRowDxfId="209"/>
    <tableColumn id="16" xr3:uid="{00000000-0010-0000-2700-000010000000}" name="LOWEST AVAIL" dataDxfId="245" totalsRowDxfId="208"/>
    <tableColumn id="17" xr3:uid="{00000000-0010-0000-2700-000011000000}" name="Y" totalsRowFunction="sum" dataDxfId="244" totalsRowDxfId="207"/>
    <tableColumn id="18" xr3:uid="{00000000-0010-0000-2700-000012000000}" name="B" totalsRowFunction="sum" dataDxfId="243" totalsRowDxfId="206"/>
    <tableColumn id="19" xr3:uid="{00000000-0010-0000-2700-000013000000}" name="M" totalsRowFunction="sum" dataDxfId="242" totalsRowDxfId="205"/>
    <tableColumn id="20" xr3:uid="{00000000-0010-0000-2700-000014000000}" name="H" totalsRowFunction="sum" dataDxfId="241" totalsRowDxfId="204"/>
    <tableColumn id="21" xr3:uid="{00000000-0010-0000-2700-000015000000}" name="Q" totalsRowFunction="sum" dataDxfId="240" totalsRowDxfId="203"/>
    <tableColumn id="22" xr3:uid="{00000000-0010-0000-2700-000016000000}" name="K" totalsRowFunction="sum" dataDxfId="239" totalsRowDxfId="202"/>
    <tableColumn id="23" xr3:uid="{00000000-0010-0000-2700-000017000000}" name="V" totalsRowFunction="sum" dataDxfId="238" totalsRowDxfId="201"/>
    <tableColumn id="24" xr3:uid="{00000000-0010-0000-2700-000018000000}" name="L" totalsRowFunction="sum" dataDxfId="237" totalsRowDxfId="200"/>
    <tableColumn id="25" xr3:uid="{00000000-0010-0000-2700-000019000000}" name="G" totalsRowFunction="sum" dataDxfId="236" totalsRowDxfId="199"/>
    <tableColumn id="26" xr3:uid="{00000000-0010-0000-2700-00001A000000}" name="S" totalsRowFunction="sum" dataDxfId="235" totalsRowDxfId="198"/>
    <tableColumn id="27" xr3:uid="{00000000-0010-0000-2700-00001B000000}" name="W" totalsRowFunction="sum" dataDxfId="234" totalsRowDxfId="197"/>
    <tableColumn id="28" xr3:uid="{00000000-0010-0000-2700-00001C000000}" name="T" totalsRowFunction="sum" dataDxfId="233" totalsRowDxfId="196"/>
    <tableColumn id="29" xr3:uid="{00000000-0010-0000-2700-00001D000000}" name="X" totalsRowFunction="sum" dataDxfId="232" totalsRowDxfId="195"/>
    <tableColumn id="30" xr3:uid="{00000000-0010-0000-2700-00001E000000}" name="U" totalsRowFunction="sum" dataDxfId="231" totalsRowDxfId="194"/>
    <tableColumn id="31" xr3:uid="{00000000-0010-0000-2700-00001F000000}" name="O" totalsRowFunction="sum" dataDxfId="230" totalsRowDxfId="193"/>
    <tableColumn id="32" xr3:uid="{00000000-0010-0000-2700-000020000000}" name="I" totalsRowFunction="sum" dataDxfId="229" totalsRowDxfId="192"/>
    <tableColumn id="33" xr3:uid="{00000000-0010-0000-2700-000021000000}" name="E" totalsRowFunction="sum" dataDxfId="228" totalsRowDxfId="191"/>
    <tableColumn id="34" xr3:uid="{00000000-0010-0000-2700-000022000000}" name="A" totalsRowFunction="sum" dataDxfId="227" totalsRowDxfId="190"/>
    <tableColumn id="35" xr3:uid="{00000000-0010-0000-2700-000023000000}" name="P" totalsRowFunction="sum" dataDxfId="226" totalsRowDxfId="189"/>
    <tableColumn id="36" xr3:uid="{00000000-0010-0000-2700-000024000000}" name="N" totalsRowFunction="count" dataDxfId="225" totalsRowDxfId="18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FocusMode_ELQ_CAI" displayName="FocusMode_ELQ_CAI" ref="A1:H53" totalsRowShown="0">
  <autoFilter ref="A1:H53" xr:uid="{00000000-0009-0000-0100-000029000000}"/>
  <tableColumns count="8">
    <tableColumn id="1" xr3:uid="{00000000-0010-0000-2800-000001000000}" name="DATE"/>
    <tableColumn id="2" xr3:uid="{00000000-0010-0000-2800-000002000000}" name="AIRLINE"/>
    <tableColumn id="3" xr3:uid="{00000000-0010-0000-2800-000003000000}" name="FLIGHT NUM"/>
    <tableColumn id="4" xr3:uid="{00000000-0010-0000-2800-000004000000}" name="ROUTE"/>
    <tableColumn id="5" xr3:uid="{00000000-0010-0000-2800-000005000000}" name="DEPARTURE"/>
    <tableColumn id="6" xr3:uid="{00000000-0010-0000-2800-000006000000}" name="BAGGAGE"/>
    <tableColumn id="7" xr3:uid="{00000000-0010-0000-2800-000007000000}" name="AVAILABILITY"/>
    <tableColumn id="8" xr3:uid="{00000000-0010-0000-2800-000008000000}" name="PUBLISHED FAR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ELQ_ATZ_LF_LEGACY" displayName="ELQ_ATZ_LF_LEGACY" ref="A1:AJ7" totalsRowCount="1" headerRowDxfId="186" dataDxfId="149" totalsRowDxfId="112">
  <tableColumns count="36">
    <tableColumn id="1" xr3:uid="{00000000-0010-0000-2900-000001000000}" name="Day" totalsRowLabel="TOTAL" dataDxfId="185" totalsRowDxfId="148"/>
    <tableColumn id="2" xr3:uid="{00000000-0010-0000-2900-000002000000}" name="Flt Dt" dataDxfId="184" totalsRowDxfId="147"/>
    <tableColumn id="3" xr3:uid="{00000000-0010-0000-2900-000003000000}" name="Flt" totalsRowFunction="count" dataDxfId="183" totalsRowDxfId="146"/>
    <tableColumn id="4" xr3:uid="{00000000-0010-0000-2900-000004000000}" name="DEP" dataDxfId="182" totalsRowDxfId="145"/>
    <tableColumn id="5" xr3:uid="{00000000-0010-0000-2900-000005000000}" name="Brd-Off" totalsRowFunction="count" dataDxfId="181" totalsRowDxfId="144"/>
    <tableColumn id="6" xr3:uid="{00000000-0010-0000-2900-000006000000}" name="Eqp" dataDxfId="180" totalsRowDxfId="143"/>
    <tableColumn id="7" xr3:uid="{00000000-0010-0000-2900-000007000000}" name="LF%" totalsRowFunction="average" dataDxfId="179" totalsRowDxfId="142"/>
    <tableColumn id="8" xr3:uid="{00000000-0010-0000-2900-000008000000}" name="CAP" totalsRowFunction="sum" dataDxfId="178" totalsRowDxfId="141"/>
    <tableColumn id="9" xr3:uid="{00000000-0010-0000-2900-000009000000}" name="BKG(Y)" totalsRowFunction="sum" dataDxfId="177" totalsRowDxfId="140"/>
    <tableColumn id="10" xr3:uid="{00000000-0010-0000-2900-00000A000000}" name="GRP(Y)" totalsRowFunction="sum" dataDxfId="176" totalsRowDxfId="139"/>
    <tableColumn id="11" xr3:uid="{00000000-0010-0000-2900-00000B000000}" name="FLT ST" dataDxfId="175" totalsRowDxfId="138"/>
    <tableColumn id="12" xr3:uid="{00000000-0010-0000-2900-00000C000000}" name="LST-SOLD" dataDxfId="174" totalsRowDxfId="137"/>
    <tableColumn id="13" xr3:uid="{00000000-0010-0000-2900-00000D000000}" name="TO-DAY" totalsRowFunction="sum" dataDxfId="173" totalsRowDxfId="136"/>
    <tableColumn id="14" xr3:uid="{00000000-0010-0000-2900-00000E000000}" name="Y-DAY" totalsRowFunction="sum" dataDxfId="172" totalsRowDxfId="135"/>
    <tableColumn id="15" xr3:uid="{00000000-0010-0000-2900-00000F000000}" name="WEEKLY" totalsRowFunction="sum" dataDxfId="171" totalsRowDxfId="134"/>
    <tableColumn id="16" xr3:uid="{00000000-0010-0000-2900-000010000000}" name="LOWEST AVAIL" dataDxfId="170" totalsRowDxfId="133"/>
    <tableColumn id="17" xr3:uid="{00000000-0010-0000-2900-000011000000}" name="Y" totalsRowFunction="sum" dataDxfId="169" totalsRowDxfId="132"/>
    <tableColumn id="18" xr3:uid="{00000000-0010-0000-2900-000012000000}" name="B" totalsRowFunction="sum" dataDxfId="168" totalsRowDxfId="131"/>
    <tableColumn id="19" xr3:uid="{00000000-0010-0000-2900-000013000000}" name="M" totalsRowFunction="sum" dataDxfId="167" totalsRowDxfId="130"/>
    <tableColumn id="20" xr3:uid="{00000000-0010-0000-2900-000014000000}" name="H" totalsRowFunction="sum" dataDxfId="166" totalsRowDxfId="129"/>
    <tableColumn id="21" xr3:uid="{00000000-0010-0000-2900-000015000000}" name="Q" totalsRowFunction="sum" dataDxfId="165" totalsRowDxfId="128"/>
    <tableColumn id="22" xr3:uid="{00000000-0010-0000-2900-000016000000}" name="K" totalsRowFunction="sum" dataDxfId="164" totalsRowDxfId="127"/>
    <tableColumn id="23" xr3:uid="{00000000-0010-0000-2900-000017000000}" name="V" totalsRowFunction="sum" dataDxfId="163" totalsRowDxfId="126"/>
    <tableColumn id="24" xr3:uid="{00000000-0010-0000-2900-000018000000}" name="L" totalsRowFunction="sum" dataDxfId="162" totalsRowDxfId="125"/>
    <tableColumn id="25" xr3:uid="{00000000-0010-0000-2900-000019000000}" name="G" totalsRowFunction="sum" dataDxfId="161" totalsRowDxfId="124"/>
    <tableColumn id="26" xr3:uid="{00000000-0010-0000-2900-00001A000000}" name="S" totalsRowFunction="sum" dataDxfId="160" totalsRowDxfId="123"/>
    <tableColumn id="27" xr3:uid="{00000000-0010-0000-2900-00001B000000}" name="W" totalsRowFunction="sum" dataDxfId="159" totalsRowDxfId="122"/>
    <tableColumn id="28" xr3:uid="{00000000-0010-0000-2900-00001C000000}" name="T" totalsRowFunction="sum" dataDxfId="158" totalsRowDxfId="121"/>
    <tableColumn id="29" xr3:uid="{00000000-0010-0000-2900-00001D000000}" name="X" totalsRowFunction="sum" dataDxfId="157" totalsRowDxfId="120"/>
    <tableColumn id="30" xr3:uid="{00000000-0010-0000-2900-00001E000000}" name="U" totalsRowFunction="sum" dataDxfId="156" totalsRowDxfId="119"/>
    <tableColumn id="31" xr3:uid="{00000000-0010-0000-2900-00001F000000}" name="O" totalsRowFunction="sum" dataDxfId="155" totalsRowDxfId="118"/>
    <tableColumn id="32" xr3:uid="{00000000-0010-0000-2900-000020000000}" name="I" totalsRowFunction="sum" dataDxfId="154" totalsRowDxfId="117"/>
    <tableColumn id="33" xr3:uid="{00000000-0010-0000-2900-000021000000}" name="E" totalsRowFunction="sum" dataDxfId="153" totalsRowDxfId="116"/>
    <tableColumn id="34" xr3:uid="{00000000-0010-0000-2900-000022000000}" name="A" totalsRowFunction="sum" dataDxfId="152" totalsRowDxfId="115"/>
    <tableColumn id="35" xr3:uid="{00000000-0010-0000-2900-000023000000}" name="P" totalsRowFunction="sum" dataDxfId="151" totalsRowDxfId="114"/>
    <tableColumn id="36" xr3:uid="{00000000-0010-0000-2900-000024000000}" name="N" totalsRowFunction="count" dataDxfId="150" totalsRowDxfId="113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FocusMode_ELQ_ATZ" displayName="FocusMode_ELQ_ATZ" ref="A1:H10" totalsRowShown="0">
  <autoFilter ref="A1:H10" xr:uid="{00000000-0009-0000-0100-00002B000000}"/>
  <tableColumns count="8">
    <tableColumn id="1" xr3:uid="{00000000-0010-0000-2A00-000001000000}" name="DATE"/>
    <tableColumn id="2" xr3:uid="{00000000-0010-0000-2A00-000002000000}" name="AIRLINE"/>
    <tableColumn id="3" xr3:uid="{00000000-0010-0000-2A00-000003000000}" name="FLIGHT NUM"/>
    <tableColumn id="4" xr3:uid="{00000000-0010-0000-2A00-000004000000}" name="ROUTE"/>
    <tableColumn id="5" xr3:uid="{00000000-0010-0000-2A00-000005000000}" name="DEPARTURE"/>
    <tableColumn id="6" xr3:uid="{00000000-0010-0000-2A00-000006000000}" name="BAGGAGE"/>
    <tableColumn id="7" xr3:uid="{00000000-0010-0000-2A00-000007000000}" name="AVAILABILITY"/>
    <tableColumn id="8" xr3:uid="{00000000-0010-0000-2A00-000008000000}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GIZ_CAI_LF_LEGACY" displayName="GIZ_CAI_LF_LEGACY" ref="A1:AJ6" totalsRowCount="1" headerRowDxfId="111" dataDxfId="74" totalsRowDxfId="37">
  <tableColumns count="36">
    <tableColumn id="1" xr3:uid="{00000000-0010-0000-2B00-000001000000}" name="Day" totalsRowLabel="TOTAL" dataDxfId="110" totalsRowDxfId="73"/>
    <tableColumn id="2" xr3:uid="{00000000-0010-0000-2B00-000002000000}" name="Flt Dt" dataDxfId="109" totalsRowDxfId="72"/>
    <tableColumn id="3" xr3:uid="{00000000-0010-0000-2B00-000003000000}" name="Flt" totalsRowFunction="count" dataDxfId="108" totalsRowDxfId="71"/>
    <tableColumn id="4" xr3:uid="{00000000-0010-0000-2B00-000004000000}" name="DEP" dataDxfId="107" totalsRowDxfId="70"/>
    <tableColumn id="5" xr3:uid="{00000000-0010-0000-2B00-000005000000}" name="Brd-Off" totalsRowFunction="count" dataDxfId="106" totalsRowDxfId="69"/>
    <tableColumn id="6" xr3:uid="{00000000-0010-0000-2B00-000006000000}" name="Eqp" dataDxfId="105" totalsRowDxfId="68"/>
    <tableColumn id="7" xr3:uid="{00000000-0010-0000-2B00-000007000000}" name="LF%" totalsRowFunction="average" dataDxfId="104" totalsRowDxfId="67"/>
    <tableColumn id="8" xr3:uid="{00000000-0010-0000-2B00-000008000000}" name="CAP" totalsRowFunction="sum" dataDxfId="103" totalsRowDxfId="66"/>
    <tableColumn id="9" xr3:uid="{00000000-0010-0000-2B00-000009000000}" name="BKG(Y)" totalsRowFunction="sum" dataDxfId="102" totalsRowDxfId="65"/>
    <tableColumn id="10" xr3:uid="{00000000-0010-0000-2B00-00000A000000}" name="GRP(Y)" totalsRowFunction="sum" dataDxfId="101" totalsRowDxfId="64"/>
    <tableColumn id="11" xr3:uid="{00000000-0010-0000-2B00-00000B000000}" name="FLT ST" dataDxfId="100" totalsRowDxfId="63"/>
    <tableColumn id="12" xr3:uid="{00000000-0010-0000-2B00-00000C000000}" name="LST-SOLD" dataDxfId="99" totalsRowDxfId="62"/>
    <tableColumn id="13" xr3:uid="{00000000-0010-0000-2B00-00000D000000}" name="TO-DAY" totalsRowFunction="sum" dataDxfId="98" totalsRowDxfId="61"/>
    <tableColumn id="14" xr3:uid="{00000000-0010-0000-2B00-00000E000000}" name="Y-DAY" totalsRowFunction="sum" dataDxfId="97" totalsRowDxfId="60"/>
    <tableColumn id="15" xr3:uid="{00000000-0010-0000-2B00-00000F000000}" name="WEEKLY" totalsRowFunction="sum" dataDxfId="96" totalsRowDxfId="59"/>
    <tableColumn id="16" xr3:uid="{00000000-0010-0000-2B00-000010000000}" name="LOWEST AVAIL" dataDxfId="95" totalsRowDxfId="58"/>
    <tableColumn id="17" xr3:uid="{00000000-0010-0000-2B00-000011000000}" name="Y" totalsRowFunction="sum" dataDxfId="94" totalsRowDxfId="57"/>
    <tableColumn id="18" xr3:uid="{00000000-0010-0000-2B00-000012000000}" name="B" totalsRowFunction="sum" dataDxfId="93" totalsRowDxfId="56"/>
    <tableColumn id="19" xr3:uid="{00000000-0010-0000-2B00-000013000000}" name="M" totalsRowFunction="sum" dataDxfId="92" totalsRowDxfId="55"/>
    <tableColumn id="20" xr3:uid="{00000000-0010-0000-2B00-000014000000}" name="H" totalsRowFunction="sum" dataDxfId="91" totalsRowDxfId="54"/>
    <tableColumn id="21" xr3:uid="{00000000-0010-0000-2B00-000015000000}" name="Q" totalsRowFunction="sum" dataDxfId="90" totalsRowDxfId="53"/>
    <tableColumn id="22" xr3:uid="{00000000-0010-0000-2B00-000016000000}" name="K" totalsRowFunction="sum" dataDxfId="89" totalsRowDxfId="52"/>
    <tableColumn id="23" xr3:uid="{00000000-0010-0000-2B00-000017000000}" name="V" totalsRowFunction="sum" dataDxfId="88" totalsRowDxfId="51"/>
    <tableColumn id="24" xr3:uid="{00000000-0010-0000-2B00-000018000000}" name="L" totalsRowFunction="sum" dataDxfId="87" totalsRowDxfId="50"/>
    <tableColumn id="25" xr3:uid="{00000000-0010-0000-2B00-000019000000}" name="G" totalsRowFunction="sum" dataDxfId="86" totalsRowDxfId="49"/>
    <tableColumn id="26" xr3:uid="{00000000-0010-0000-2B00-00001A000000}" name="S" totalsRowFunction="sum" dataDxfId="85" totalsRowDxfId="48"/>
    <tableColumn id="27" xr3:uid="{00000000-0010-0000-2B00-00001B000000}" name="W" totalsRowFunction="sum" dataDxfId="84" totalsRowDxfId="47"/>
    <tableColumn id="28" xr3:uid="{00000000-0010-0000-2B00-00001C000000}" name="T" totalsRowFunction="sum" dataDxfId="83" totalsRowDxfId="46"/>
    <tableColumn id="29" xr3:uid="{00000000-0010-0000-2B00-00001D000000}" name="X" totalsRowFunction="sum" dataDxfId="82" totalsRowDxfId="45"/>
    <tableColumn id="30" xr3:uid="{00000000-0010-0000-2B00-00001E000000}" name="U" totalsRowFunction="sum" dataDxfId="81" totalsRowDxfId="44"/>
    <tableColumn id="31" xr3:uid="{00000000-0010-0000-2B00-00001F000000}" name="O" totalsRowFunction="sum" dataDxfId="80" totalsRowDxfId="43"/>
    <tableColumn id="32" xr3:uid="{00000000-0010-0000-2B00-000020000000}" name="I" totalsRowFunction="sum" dataDxfId="79" totalsRowDxfId="42"/>
    <tableColumn id="33" xr3:uid="{00000000-0010-0000-2B00-000021000000}" name="E" totalsRowFunction="sum" dataDxfId="78" totalsRowDxfId="41"/>
    <tableColumn id="34" xr3:uid="{00000000-0010-0000-2B00-000022000000}" name="A" totalsRowFunction="sum" dataDxfId="77" totalsRowDxfId="40"/>
    <tableColumn id="35" xr3:uid="{00000000-0010-0000-2B00-000023000000}" name="P" totalsRowFunction="sum" dataDxfId="76" totalsRowDxfId="39"/>
    <tableColumn id="36" xr3:uid="{00000000-0010-0000-2B00-000024000000}" name="N" totalsRowFunction="count" dataDxfId="75" totalsRowDxfId="38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FocusMode_GIZ_CAI" displayName="FocusMode_GIZ_CAI" ref="A1:H18" totalsRowShown="0">
  <autoFilter ref="A1:H18" xr:uid="{00000000-0009-0000-0100-00002D000000}"/>
  <tableColumns count="8">
    <tableColumn id="1" xr3:uid="{00000000-0010-0000-2C00-000001000000}" name="DATE"/>
    <tableColumn id="2" xr3:uid="{00000000-0010-0000-2C00-000002000000}" name="AIRLINE"/>
    <tableColumn id="3" xr3:uid="{00000000-0010-0000-2C00-000003000000}" name="FLIGHT NUM"/>
    <tableColumn id="4" xr3:uid="{00000000-0010-0000-2C00-000004000000}" name="ROUTE"/>
    <tableColumn id="5" xr3:uid="{00000000-0010-0000-2C00-000005000000}" name="DEPARTURE"/>
    <tableColumn id="6" xr3:uid="{00000000-0010-0000-2C00-000006000000}" name="BAGGAGE"/>
    <tableColumn id="7" xr3:uid="{00000000-0010-0000-2C00-000007000000}" name="AVAILABILITY"/>
    <tableColumn id="8" xr3:uid="{00000000-0010-0000-2C00-000008000000}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LF_ALL_ROUTES" displayName="LF_ALL_ROUTES" ref="A1:AJ286" totalsRowCount="1" totalsRowDxfId="0">
  <tableColumns count="36">
    <tableColumn id="1" xr3:uid="{00000000-0010-0000-2D00-000001000000}" name="Day" totalsRowLabel="TOTAL" totalsRowDxfId="36"/>
    <tableColumn id="2" xr3:uid="{00000000-0010-0000-2D00-000002000000}" name="Flt Dt" totalsRowDxfId="35"/>
    <tableColumn id="3" xr3:uid="{00000000-0010-0000-2D00-000003000000}" name="Flt" totalsRowFunction="count" totalsRowDxfId="34"/>
    <tableColumn id="4" xr3:uid="{00000000-0010-0000-2D00-000004000000}" name="DEP" totalsRowDxfId="33"/>
    <tableColumn id="5" xr3:uid="{00000000-0010-0000-2D00-000005000000}" name="Brd-Off" totalsRowFunction="count" totalsRowDxfId="32"/>
    <tableColumn id="6" xr3:uid="{00000000-0010-0000-2D00-000006000000}" name="Eqp" totalsRowDxfId="31"/>
    <tableColumn id="7" xr3:uid="{00000000-0010-0000-2D00-000007000000}" name="LF%" totalsRowFunction="average" totalsRowDxfId="30"/>
    <tableColumn id="8" xr3:uid="{00000000-0010-0000-2D00-000008000000}" name="CAP" totalsRowFunction="sum" totalsRowDxfId="29"/>
    <tableColumn id="9" xr3:uid="{00000000-0010-0000-2D00-000009000000}" name="BKG(Y)" totalsRowFunction="sum" totalsRowDxfId="28"/>
    <tableColumn id="10" xr3:uid="{00000000-0010-0000-2D00-00000A000000}" name="GRP(Y)" totalsRowFunction="sum" totalsRowDxfId="27"/>
    <tableColumn id="11" xr3:uid="{00000000-0010-0000-2D00-00000B000000}" name="FLT ST" totalsRowDxfId="26"/>
    <tableColumn id="12" xr3:uid="{00000000-0010-0000-2D00-00000C000000}" name="LST-SOLD" totalsRowDxfId="25"/>
    <tableColumn id="13" xr3:uid="{00000000-0010-0000-2D00-00000D000000}" name="TO-DAY" totalsRowFunction="sum" totalsRowDxfId="24"/>
    <tableColumn id="14" xr3:uid="{00000000-0010-0000-2D00-00000E000000}" name="Y-DAY" totalsRowFunction="sum" totalsRowDxfId="23"/>
    <tableColumn id="15" xr3:uid="{00000000-0010-0000-2D00-00000F000000}" name="WEEKLY" totalsRowFunction="sum" totalsRowDxfId="22"/>
    <tableColumn id="16" xr3:uid="{00000000-0010-0000-2D00-000010000000}" name="LOWEST AVAIL" totalsRowDxfId="21"/>
    <tableColumn id="17" xr3:uid="{00000000-0010-0000-2D00-000011000000}" name="Y" totalsRowFunction="sum" totalsRowDxfId="20"/>
    <tableColumn id="18" xr3:uid="{00000000-0010-0000-2D00-000012000000}" name="B" totalsRowFunction="sum" totalsRowDxfId="19"/>
    <tableColumn id="19" xr3:uid="{00000000-0010-0000-2D00-000013000000}" name="M" totalsRowFunction="sum" totalsRowDxfId="18"/>
    <tableColumn id="20" xr3:uid="{00000000-0010-0000-2D00-000014000000}" name="H" totalsRowFunction="sum" totalsRowDxfId="17"/>
    <tableColumn id="21" xr3:uid="{00000000-0010-0000-2D00-000015000000}" name="Q" totalsRowFunction="sum" totalsRowDxfId="16"/>
    <tableColumn id="22" xr3:uid="{00000000-0010-0000-2D00-000016000000}" name="K" totalsRowFunction="sum" totalsRowDxfId="15"/>
    <tableColumn id="23" xr3:uid="{00000000-0010-0000-2D00-000017000000}" name="V" totalsRowFunction="sum" totalsRowDxfId="14"/>
    <tableColumn id="24" xr3:uid="{00000000-0010-0000-2D00-000018000000}" name="L" totalsRowFunction="sum" totalsRowDxfId="13"/>
    <tableColumn id="25" xr3:uid="{00000000-0010-0000-2D00-000019000000}" name="G" totalsRowFunction="sum" totalsRowDxfId="12"/>
    <tableColumn id="26" xr3:uid="{00000000-0010-0000-2D00-00001A000000}" name="S" totalsRowFunction="sum" totalsRowDxfId="11"/>
    <tableColumn id="27" xr3:uid="{00000000-0010-0000-2D00-00001B000000}" name="W" totalsRowFunction="sum" totalsRowDxfId="10"/>
    <tableColumn id="28" xr3:uid="{00000000-0010-0000-2D00-00001C000000}" name="T" totalsRowFunction="sum" totalsRowDxfId="9"/>
    <tableColumn id="29" xr3:uid="{00000000-0010-0000-2D00-00001D000000}" name="X" totalsRowFunction="sum" totalsRowDxfId="8"/>
    <tableColumn id="30" xr3:uid="{00000000-0010-0000-2D00-00001E000000}" name="U" totalsRowFunction="sum" totalsRowDxfId="7"/>
    <tableColumn id="31" xr3:uid="{00000000-0010-0000-2D00-00001F000000}" name="O" totalsRowFunction="sum" totalsRowDxfId="6"/>
    <tableColumn id="32" xr3:uid="{00000000-0010-0000-2D00-000020000000}" name="I" totalsRowFunction="sum" totalsRowDxfId="5"/>
    <tableColumn id="33" xr3:uid="{00000000-0010-0000-2D00-000021000000}" name="E" totalsRowFunction="sum" totalsRowDxfId="4"/>
    <tableColumn id="34" xr3:uid="{00000000-0010-0000-2D00-000022000000}" name="A" totalsRowFunction="sum" totalsRowDxfId="3"/>
    <tableColumn id="35" xr3:uid="{00000000-0010-0000-2D00-000023000000}" name="P" totalsRowFunction="sum" totalsRowDxfId="2"/>
    <tableColumn id="36" xr3:uid="{00000000-0010-0000-2D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10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1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12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13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14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15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3.xml"/><Relationship Id="rId1" Type="http://schemas.openxmlformats.org/officeDocument/2006/relationships/vmlDrawing" Target="../drawings/vmlDrawing16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5.xml"/><Relationship Id="rId1" Type="http://schemas.openxmlformats.org/officeDocument/2006/relationships/vmlDrawing" Target="../drawings/vmlDrawing17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37.xml"/><Relationship Id="rId1" Type="http://schemas.openxmlformats.org/officeDocument/2006/relationships/vmlDrawing" Target="../drawings/vmlDrawing18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39.xml"/><Relationship Id="rId1" Type="http://schemas.openxmlformats.org/officeDocument/2006/relationships/vmlDrawing" Target="../drawings/vmlDrawing19.v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1.xml"/><Relationship Id="rId1" Type="http://schemas.openxmlformats.org/officeDocument/2006/relationships/vmlDrawing" Target="../drawings/vmlDrawing20.v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3.xml"/><Relationship Id="rId1" Type="http://schemas.openxmlformats.org/officeDocument/2006/relationships/vmlDrawing" Target="../drawings/vmlDrawing21.v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45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9"/>
  <sheetViews>
    <sheetView tabSelected="1" workbookViewId="0">
      <selection sqref="A1:E1"/>
    </sheetView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67.5546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45982.804246849781</v>
      </c>
      <c r="H2" s="330"/>
      <c r="I2" s="330"/>
      <c r="J2" s="330"/>
      <c r="K2" s="334">
        <v>45982.804246850501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15" customHeight="1" x14ac:dyDescent="0.3">
      <c r="A6" s="6" t="s">
        <v>26</v>
      </c>
      <c r="B6" s="6" t="s">
        <v>27</v>
      </c>
      <c r="C6" s="6">
        <v>0.4201388888888889</v>
      </c>
      <c r="D6" s="6" t="s">
        <v>28</v>
      </c>
      <c r="E6" s="6" t="s">
        <v>29</v>
      </c>
      <c r="F6" s="6" t="s">
        <v>30</v>
      </c>
      <c r="G6" s="328"/>
      <c r="H6" s="7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15" customHeight="1" x14ac:dyDescent="0.3">
      <c r="A7" s="10" t="s">
        <v>26</v>
      </c>
      <c r="B7" s="10" t="s">
        <v>27</v>
      </c>
      <c r="C7" s="10">
        <v>0.4201388888888889</v>
      </c>
      <c r="D7" s="10" t="s">
        <v>31</v>
      </c>
      <c r="E7" s="10" t="s">
        <v>32</v>
      </c>
      <c r="F7" s="10" t="s">
        <v>33</v>
      </c>
      <c r="G7" s="328"/>
      <c r="H7" s="7"/>
      <c r="I7" s="8"/>
      <c r="J7" s="8"/>
      <c r="K7" s="8"/>
      <c r="L7" s="8"/>
      <c r="M7" s="8"/>
      <c r="N7" s="8"/>
      <c r="O7" s="8"/>
      <c r="P7" s="8"/>
      <c r="Q7" s="8"/>
      <c r="R7" s="9"/>
    </row>
    <row r="8" spans="1:18" ht="15" customHeight="1" x14ac:dyDescent="0.3">
      <c r="A8" s="10" t="s">
        <v>26</v>
      </c>
      <c r="B8" s="10" t="s">
        <v>27</v>
      </c>
      <c r="C8" s="10">
        <v>0.4201388888888889</v>
      </c>
      <c r="D8" s="10" t="s">
        <v>34</v>
      </c>
      <c r="E8" s="10" t="s">
        <v>32</v>
      </c>
      <c r="F8" s="10" t="s">
        <v>35</v>
      </c>
      <c r="G8" s="328"/>
      <c r="H8" s="7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ht="15" customHeight="1" x14ac:dyDescent="0.3">
      <c r="A9" s="11" t="s">
        <v>36</v>
      </c>
      <c r="B9" s="11" t="s">
        <v>37</v>
      </c>
      <c r="C9" s="11">
        <v>0.75694444444444453</v>
      </c>
      <c r="D9" s="11" t="s">
        <v>38</v>
      </c>
      <c r="E9" s="11" t="s">
        <v>29</v>
      </c>
      <c r="F9" s="11" t="s">
        <v>39</v>
      </c>
      <c r="G9" s="328"/>
      <c r="H9" s="7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ht="15" customHeight="1" x14ac:dyDescent="0.3">
      <c r="A10" s="10" t="s">
        <v>36</v>
      </c>
      <c r="B10" s="10" t="s">
        <v>37</v>
      </c>
      <c r="C10" s="10">
        <v>0.75694444444444453</v>
      </c>
      <c r="D10" s="10" t="s">
        <v>40</v>
      </c>
      <c r="E10" s="10" t="s">
        <v>32</v>
      </c>
      <c r="F10" s="10" t="s">
        <v>41</v>
      </c>
      <c r="G10" s="328"/>
      <c r="H10" s="7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 ht="15" customHeight="1" x14ac:dyDescent="0.3">
      <c r="A11" s="10" t="s">
        <v>36</v>
      </c>
      <c r="B11" s="10" t="s">
        <v>37</v>
      </c>
      <c r="C11" s="10">
        <v>0.75694444444444453</v>
      </c>
      <c r="D11" s="10" t="s">
        <v>42</v>
      </c>
      <c r="E11" s="10" t="s">
        <v>32</v>
      </c>
      <c r="F11" s="10" t="s">
        <v>43</v>
      </c>
      <c r="G11" s="328"/>
      <c r="H11" s="7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 ht="15" customHeight="1" x14ac:dyDescent="0.3">
      <c r="A12" s="12" t="s">
        <v>44</v>
      </c>
      <c r="B12" s="12" t="s">
        <v>45</v>
      </c>
      <c r="C12" s="12">
        <v>0.27777777777777779</v>
      </c>
      <c r="D12" s="12" t="s">
        <v>46</v>
      </c>
      <c r="E12" s="12" t="s">
        <v>47</v>
      </c>
      <c r="F12" s="12" t="s">
        <v>48</v>
      </c>
      <c r="G12" s="328"/>
      <c r="H12" s="13" t="s">
        <v>49</v>
      </c>
      <c r="I12" s="14">
        <v>0.52980000000000005</v>
      </c>
      <c r="J12" s="15">
        <v>89</v>
      </c>
      <c r="K12" s="16" t="s">
        <v>50</v>
      </c>
      <c r="L12" s="15">
        <v>20</v>
      </c>
      <c r="M12" s="15">
        <v>0</v>
      </c>
      <c r="N12" s="15">
        <v>4</v>
      </c>
      <c r="O12" s="16" t="s">
        <v>51</v>
      </c>
      <c r="P12" s="16">
        <v>0.27777777777777779</v>
      </c>
      <c r="Q12" s="15">
        <v>168</v>
      </c>
      <c r="R12" s="17" t="s">
        <v>52</v>
      </c>
    </row>
    <row r="13" spans="1:18" ht="15" customHeight="1" x14ac:dyDescent="0.3">
      <c r="A13" s="18" t="s">
        <v>44</v>
      </c>
      <c r="B13" s="18" t="s">
        <v>53</v>
      </c>
      <c r="C13" s="18">
        <v>4.8611111111111112E-2</v>
      </c>
      <c r="D13" s="18" t="s">
        <v>46</v>
      </c>
      <c r="E13" s="18" t="s">
        <v>54</v>
      </c>
      <c r="F13" s="18" t="s">
        <v>55</v>
      </c>
      <c r="G13" s="328"/>
      <c r="H13" s="19" t="s">
        <v>56</v>
      </c>
      <c r="I13" s="20">
        <v>0.91059999999999997</v>
      </c>
      <c r="J13" s="21">
        <v>163</v>
      </c>
      <c r="K13" s="22" t="s">
        <v>57</v>
      </c>
      <c r="L13" s="21">
        <v>0</v>
      </c>
      <c r="M13" s="21">
        <v>0</v>
      </c>
      <c r="N13" s="21">
        <v>0</v>
      </c>
      <c r="O13" s="22" t="s">
        <v>58</v>
      </c>
      <c r="P13" s="22">
        <v>4.8611111111111112E-2</v>
      </c>
      <c r="Q13" s="21">
        <v>179</v>
      </c>
      <c r="R13" s="23" t="s">
        <v>59</v>
      </c>
    </row>
    <row r="14" spans="1:18" ht="15" customHeight="1" x14ac:dyDescent="0.3">
      <c r="A14" s="24" t="s">
        <v>44</v>
      </c>
      <c r="B14" s="24" t="s">
        <v>60</v>
      </c>
      <c r="C14" s="24">
        <v>0.97916666666666663</v>
      </c>
      <c r="D14" s="24" t="s">
        <v>61</v>
      </c>
      <c r="E14" s="24"/>
      <c r="F14" s="24" t="s">
        <v>62</v>
      </c>
      <c r="G14" s="328"/>
      <c r="H14" s="13" t="s">
        <v>60</v>
      </c>
      <c r="I14" s="25">
        <v>1</v>
      </c>
      <c r="J14" s="15">
        <v>179</v>
      </c>
      <c r="K14" s="16" t="s">
        <v>63</v>
      </c>
      <c r="L14" s="15">
        <v>6</v>
      </c>
      <c r="M14" s="15">
        <v>0</v>
      </c>
      <c r="N14" s="15">
        <v>0</v>
      </c>
      <c r="O14" s="16" t="s">
        <v>64</v>
      </c>
      <c r="P14" s="16">
        <v>0.97916666666666663</v>
      </c>
      <c r="Q14" s="15">
        <v>179</v>
      </c>
      <c r="R14" s="17" t="s">
        <v>65</v>
      </c>
    </row>
    <row r="15" spans="1:18" ht="15" customHeight="1" x14ac:dyDescent="0.3">
      <c r="A15" s="11" t="s">
        <v>66</v>
      </c>
      <c r="B15" s="11" t="s">
        <v>67</v>
      </c>
      <c r="C15" s="11">
        <v>9.7222222222222224E-2</v>
      </c>
      <c r="D15" s="11" t="s">
        <v>68</v>
      </c>
      <c r="E15" s="11" t="s">
        <v>47</v>
      </c>
      <c r="F15" s="11" t="s">
        <v>69</v>
      </c>
      <c r="G15" s="328"/>
      <c r="H15" s="7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 ht="15" customHeight="1" x14ac:dyDescent="0.3">
      <c r="A16" s="26" t="s">
        <v>66</v>
      </c>
      <c r="B16" s="26" t="s">
        <v>70</v>
      </c>
      <c r="C16" s="26">
        <v>0.22222222222222221</v>
      </c>
      <c r="D16" s="26" t="s">
        <v>68</v>
      </c>
      <c r="E16" s="26" t="s">
        <v>71</v>
      </c>
      <c r="F16" s="26" t="s">
        <v>72</v>
      </c>
      <c r="G16" s="328"/>
      <c r="H16" s="7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ht="15" customHeight="1" x14ac:dyDescent="0.3">
      <c r="A17" s="26" t="s">
        <v>66</v>
      </c>
      <c r="B17" s="26" t="s">
        <v>73</v>
      </c>
      <c r="C17" s="26">
        <v>0.44444444444444442</v>
      </c>
      <c r="D17" s="26" t="s">
        <v>68</v>
      </c>
      <c r="E17" s="26" t="s">
        <v>74</v>
      </c>
      <c r="F17" s="26" t="s">
        <v>72</v>
      </c>
      <c r="G17" s="328"/>
      <c r="H17" s="7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ht="15" customHeight="1" x14ac:dyDescent="0.3">
      <c r="A18" s="26" t="s">
        <v>66</v>
      </c>
      <c r="B18" s="26" t="s">
        <v>75</v>
      </c>
      <c r="C18" s="26">
        <v>0.49305555555555558</v>
      </c>
      <c r="D18" s="26" t="s">
        <v>68</v>
      </c>
      <c r="E18" s="26" t="s">
        <v>71</v>
      </c>
      <c r="F18" s="26" t="s">
        <v>72</v>
      </c>
      <c r="G18" s="328"/>
      <c r="H18" s="7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1:18" ht="15" customHeight="1" x14ac:dyDescent="0.3">
      <c r="A19" s="26" t="s">
        <v>66</v>
      </c>
      <c r="B19" s="26" t="s">
        <v>76</v>
      </c>
      <c r="C19" s="26">
        <v>0.85416666666666663</v>
      </c>
      <c r="D19" s="26" t="s">
        <v>68</v>
      </c>
      <c r="E19" s="26" t="s">
        <v>71</v>
      </c>
      <c r="F19" s="26" t="s">
        <v>77</v>
      </c>
      <c r="G19" s="328"/>
      <c r="H19" s="7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ht="15" customHeight="1" x14ac:dyDescent="0.3">
      <c r="A20" s="11" t="s">
        <v>78</v>
      </c>
      <c r="B20" s="11" t="s">
        <v>79</v>
      </c>
      <c r="C20" s="11">
        <v>0.60416666666666663</v>
      </c>
      <c r="D20" s="11" t="s">
        <v>80</v>
      </c>
      <c r="E20" s="11" t="s">
        <v>81</v>
      </c>
      <c r="F20" s="11" t="s">
        <v>82</v>
      </c>
      <c r="G20" s="328"/>
      <c r="H20" s="7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ht="15" customHeight="1" x14ac:dyDescent="0.3">
      <c r="A21" s="10" t="s">
        <v>78</v>
      </c>
      <c r="B21" s="10" t="s">
        <v>79</v>
      </c>
      <c r="C21" s="10">
        <v>0.60416666666666663</v>
      </c>
      <c r="D21" s="10" t="s">
        <v>83</v>
      </c>
      <c r="E21" s="10" t="s">
        <v>84</v>
      </c>
      <c r="F21" s="10" t="s">
        <v>85</v>
      </c>
      <c r="G21" s="328"/>
      <c r="H21" s="7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1:18" ht="15" customHeight="1" x14ac:dyDescent="0.3">
      <c r="A22" s="26" t="s">
        <v>78</v>
      </c>
      <c r="B22" s="26" t="s">
        <v>86</v>
      </c>
      <c r="C22" s="26">
        <v>0.4201388888888889</v>
      </c>
      <c r="D22" s="26" t="s">
        <v>83</v>
      </c>
      <c r="E22" s="26" t="s">
        <v>87</v>
      </c>
      <c r="F22" s="26" t="s">
        <v>88</v>
      </c>
      <c r="G22" s="328"/>
      <c r="H22" s="7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1:18" ht="15" customHeight="1" x14ac:dyDescent="0.3">
      <c r="A23" s="26" t="s">
        <v>78</v>
      </c>
      <c r="B23" s="26" t="s">
        <v>89</v>
      </c>
      <c r="C23" s="26">
        <v>0.79513888888888884</v>
      </c>
      <c r="D23" s="26" t="s">
        <v>80</v>
      </c>
      <c r="E23" s="26" t="s">
        <v>90</v>
      </c>
      <c r="F23" s="26" t="s">
        <v>91</v>
      </c>
      <c r="G23" s="328"/>
      <c r="H23" s="7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1:18" ht="15" customHeight="1" x14ac:dyDescent="0.3">
      <c r="A24" s="10" t="s">
        <v>78</v>
      </c>
      <c r="B24" s="10" t="s">
        <v>89</v>
      </c>
      <c r="C24" s="10">
        <v>0.79513888888888884</v>
      </c>
      <c r="D24" s="10" t="s">
        <v>83</v>
      </c>
      <c r="E24" s="10" t="s">
        <v>92</v>
      </c>
      <c r="F24" s="10" t="s">
        <v>93</v>
      </c>
      <c r="G24" s="328"/>
      <c r="H24" s="7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1:18" ht="15" customHeight="1" x14ac:dyDescent="0.3">
      <c r="A25" s="26" t="s">
        <v>78</v>
      </c>
      <c r="B25" s="26" t="s">
        <v>94</v>
      </c>
      <c r="C25" s="26">
        <v>8.6805555555555566E-2</v>
      </c>
      <c r="D25" s="26" t="s">
        <v>80</v>
      </c>
      <c r="E25" s="26" t="s">
        <v>71</v>
      </c>
      <c r="F25" s="26" t="s">
        <v>91</v>
      </c>
      <c r="G25" s="328"/>
      <c r="H25" s="7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ht="15" customHeight="1" x14ac:dyDescent="0.3">
      <c r="A26" s="27" t="s">
        <v>78</v>
      </c>
      <c r="B26" s="27" t="s">
        <v>94</v>
      </c>
      <c r="C26" s="27">
        <v>8.6805555555555566E-2</v>
      </c>
      <c r="D26" s="27" t="s">
        <v>83</v>
      </c>
      <c r="E26" s="27" t="s">
        <v>95</v>
      </c>
      <c r="F26" s="27" t="s">
        <v>93</v>
      </c>
      <c r="G26" s="328"/>
      <c r="H26" s="28"/>
      <c r="I26" s="29"/>
      <c r="J26" s="29"/>
      <c r="K26" s="29"/>
      <c r="L26" s="29"/>
      <c r="M26" s="29"/>
      <c r="N26" s="29"/>
      <c r="O26" s="29"/>
      <c r="P26" s="29"/>
      <c r="Q26" s="29"/>
      <c r="R26" s="30"/>
    </row>
    <row r="27" spans="1:18" ht="17.399999999999999" customHeight="1" x14ac:dyDescent="0.3">
      <c r="A27" s="360"/>
      <c r="B27" s="361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1"/>
      <c r="R27" s="362"/>
    </row>
    <row r="28" spans="1:18" ht="22.05" customHeight="1" x14ac:dyDescent="0.3">
      <c r="A28" s="323" t="s">
        <v>6</v>
      </c>
      <c r="B28" s="324"/>
      <c r="C28" s="324"/>
      <c r="D28" s="324"/>
      <c r="E28" s="324"/>
      <c r="F28" s="324"/>
      <c r="G28" s="2">
        <v>45987</v>
      </c>
      <c r="H28" s="323" t="s">
        <v>7</v>
      </c>
      <c r="I28" s="324"/>
      <c r="J28" s="324"/>
      <c r="K28" s="324"/>
      <c r="L28" s="324"/>
      <c r="M28" s="324"/>
      <c r="N28" s="324"/>
      <c r="O28" s="324"/>
      <c r="P28" s="324"/>
      <c r="Q28" s="324"/>
      <c r="R28" s="324"/>
    </row>
    <row r="29" spans="1:18" ht="24" customHeight="1" x14ac:dyDescent="0.3">
      <c r="A29" s="3" t="s">
        <v>8</v>
      </c>
      <c r="B29" s="3" t="s">
        <v>9</v>
      </c>
      <c r="C29" s="3" t="s">
        <v>10</v>
      </c>
      <c r="D29" s="3" t="s">
        <v>11</v>
      </c>
      <c r="E29" s="3" t="s">
        <v>12</v>
      </c>
      <c r="F29" s="4" t="s">
        <v>13</v>
      </c>
      <c r="G29" s="5" t="s">
        <v>14</v>
      </c>
      <c r="H29" s="3" t="s">
        <v>15</v>
      </c>
      <c r="I29" s="3" t="s">
        <v>16</v>
      </c>
      <c r="J29" s="3" t="s">
        <v>17</v>
      </c>
      <c r="K29" s="3" t="s">
        <v>18</v>
      </c>
      <c r="L29" s="3" t="s">
        <v>19</v>
      </c>
      <c r="M29" s="3" t="s">
        <v>20</v>
      </c>
      <c r="N29" s="3" t="s">
        <v>21</v>
      </c>
      <c r="O29" s="3" t="s">
        <v>22</v>
      </c>
      <c r="P29" s="3" t="s">
        <v>23</v>
      </c>
      <c r="Q29" s="3" t="s">
        <v>24</v>
      </c>
      <c r="R29" s="3" t="s">
        <v>25</v>
      </c>
    </row>
    <row r="30" spans="1:18" ht="15" customHeight="1" x14ac:dyDescent="0.3">
      <c r="A30" s="6" t="s">
        <v>66</v>
      </c>
      <c r="B30" s="6" t="s">
        <v>73</v>
      </c>
      <c r="C30" s="6">
        <v>0.44444444444444442</v>
      </c>
      <c r="D30" s="6" t="s">
        <v>68</v>
      </c>
      <c r="E30" s="6" t="s">
        <v>47</v>
      </c>
      <c r="F30" s="6" t="s">
        <v>96</v>
      </c>
      <c r="G30" s="328"/>
      <c r="H30" s="7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18" ht="15" customHeight="1" x14ac:dyDescent="0.3">
      <c r="A31" s="26" t="s">
        <v>66</v>
      </c>
      <c r="B31" s="26" t="s">
        <v>76</v>
      </c>
      <c r="C31" s="26">
        <v>0.84722222222222221</v>
      </c>
      <c r="D31" s="26" t="s">
        <v>68</v>
      </c>
      <c r="E31" s="26" t="s">
        <v>97</v>
      </c>
      <c r="F31" s="26" t="s">
        <v>98</v>
      </c>
      <c r="G31" s="328"/>
      <c r="H31" s="7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1:18" ht="15" customHeight="1" x14ac:dyDescent="0.3">
      <c r="A32" s="26" t="s">
        <v>66</v>
      </c>
      <c r="B32" s="26" t="s">
        <v>70</v>
      </c>
      <c r="C32" s="26">
        <v>0.22222222222222221</v>
      </c>
      <c r="D32" s="26" t="s">
        <v>68</v>
      </c>
      <c r="E32" s="26" t="s">
        <v>71</v>
      </c>
      <c r="F32" s="26" t="s">
        <v>99</v>
      </c>
      <c r="G32" s="328"/>
      <c r="H32" s="7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1:18" ht="15" customHeight="1" x14ac:dyDescent="0.3">
      <c r="A33" s="11" t="s">
        <v>78</v>
      </c>
      <c r="B33" s="11" t="s">
        <v>89</v>
      </c>
      <c r="C33" s="11">
        <v>0.79513888888888884</v>
      </c>
      <c r="D33" s="11" t="s">
        <v>80</v>
      </c>
      <c r="E33" s="11" t="s">
        <v>47</v>
      </c>
      <c r="F33" s="11" t="s">
        <v>100</v>
      </c>
      <c r="G33" s="328"/>
      <c r="H33" s="7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ht="15" customHeight="1" x14ac:dyDescent="0.3">
      <c r="A34" s="10" t="s">
        <v>78</v>
      </c>
      <c r="B34" s="10" t="s">
        <v>89</v>
      </c>
      <c r="C34" s="10">
        <v>0.79513888888888884</v>
      </c>
      <c r="D34" s="10" t="s">
        <v>83</v>
      </c>
      <c r="E34" s="10" t="s">
        <v>95</v>
      </c>
      <c r="F34" s="10" t="s">
        <v>101</v>
      </c>
      <c r="G34" s="328"/>
      <c r="H34" s="7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ht="15" customHeight="1" x14ac:dyDescent="0.3">
      <c r="A35" s="26" t="s">
        <v>78</v>
      </c>
      <c r="B35" s="26" t="s">
        <v>79</v>
      </c>
      <c r="C35" s="26">
        <v>0.60416666666666663</v>
      </c>
      <c r="D35" s="26" t="s">
        <v>80</v>
      </c>
      <c r="E35" s="26" t="s">
        <v>71</v>
      </c>
      <c r="F35" s="26" t="s">
        <v>100</v>
      </c>
      <c r="G35" s="328"/>
      <c r="H35" s="7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ht="15" customHeight="1" x14ac:dyDescent="0.3">
      <c r="A36" s="10" t="s">
        <v>78</v>
      </c>
      <c r="B36" s="10" t="s">
        <v>79</v>
      </c>
      <c r="C36" s="10">
        <v>0.60416666666666663</v>
      </c>
      <c r="D36" s="10" t="s">
        <v>83</v>
      </c>
      <c r="E36" s="10" t="s">
        <v>95</v>
      </c>
      <c r="F36" s="10" t="s">
        <v>101</v>
      </c>
      <c r="G36" s="328"/>
      <c r="H36" s="7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ht="15" customHeight="1" x14ac:dyDescent="0.3">
      <c r="A37" s="26" t="s">
        <v>78</v>
      </c>
      <c r="B37" s="26" t="s">
        <v>94</v>
      </c>
      <c r="C37" s="26">
        <v>8.6805555555555566E-2</v>
      </c>
      <c r="D37" s="26" t="s">
        <v>80</v>
      </c>
      <c r="E37" s="26" t="s">
        <v>71</v>
      </c>
      <c r="F37" s="26" t="s">
        <v>100</v>
      </c>
      <c r="G37" s="328"/>
      <c r="H37" s="7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ht="15" customHeight="1" x14ac:dyDescent="0.3">
      <c r="A38" s="10" t="s">
        <v>78</v>
      </c>
      <c r="B38" s="10" t="s">
        <v>94</v>
      </c>
      <c r="C38" s="10">
        <v>8.6805555555555566E-2</v>
      </c>
      <c r="D38" s="10" t="s">
        <v>83</v>
      </c>
      <c r="E38" s="10" t="s">
        <v>95</v>
      </c>
      <c r="F38" s="10" t="s">
        <v>101</v>
      </c>
      <c r="G38" s="328"/>
      <c r="H38" s="7"/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1:18" ht="15" customHeight="1" x14ac:dyDescent="0.3">
      <c r="A39" s="31" t="s">
        <v>78</v>
      </c>
      <c r="B39" s="31" t="s">
        <v>86</v>
      </c>
      <c r="C39" s="31">
        <v>0.4201388888888889</v>
      </c>
      <c r="D39" s="31" t="s">
        <v>83</v>
      </c>
      <c r="E39" s="31" t="s">
        <v>87</v>
      </c>
      <c r="F39" s="31" t="s">
        <v>88</v>
      </c>
      <c r="G39" s="328"/>
      <c r="H39" s="28"/>
      <c r="I39" s="29"/>
      <c r="J39" s="29"/>
      <c r="K39" s="29"/>
      <c r="L39" s="29"/>
      <c r="M39" s="29"/>
      <c r="N39" s="29"/>
      <c r="O39" s="29"/>
      <c r="P39" s="29"/>
      <c r="Q39" s="29"/>
      <c r="R39" s="30"/>
    </row>
    <row r="40" spans="1:18" ht="17.399999999999999" customHeight="1" x14ac:dyDescent="0.3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2"/>
    </row>
    <row r="41" spans="1:18" ht="22.05" customHeight="1" x14ac:dyDescent="0.3">
      <c r="A41" s="323" t="s">
        <v>6</v>
      </c>
      <c r="B41" s="324"/>
      <c r="C41" s="324"/>
      <c r="D41" s="324"/>
      <c r="E41" s="324"/>
      <c r="F41" s="324"/>
      <c r="G41" s="2">
        <v>45988</v>
      </c>
      <c r="H41" s="323" t="s">
        <v>7</v>
      </c>
      <c r="I41" s="324"/>
      <c r="J41" s="324"/>
      <c r="K41" s="324"/>
      <c r="L41" s="324"/>
      <c r="M41" s="324"/>
      <c r="N41" s="324"/>
      <c r="O41" s="324"/>
      <c r="P41" s="324"/>
      <c r="Q41" s="324"/>
      <c r="R41" s="324"/>
    </row>
    <row r="42" spans="1:18" ht="24" customHeight="1" x14ac:dyDescent="0.3">
      <c r="A42" s="3" t="s">
        <v>8</v>
      </c>
      <c r="B42" s="3" t="s">
        <v>9</v>
      </c>
      <c r="C42" s="3" t="s">
        <v>10</v>
      </c>
      <c r="D42" s="3" t="s">
        <v>11</v>
      </c>
      <c r="E42" s="3" t="s">
        <v>12</v>
      </c>
      <c r="F42" s="4" t="s">
        <v>13</v>
      </c>
      <c r="G42" s="5" t="s">
        <v>14</v>
      </c>
      <c r="H42" s="3" t="s">
        <v>15</v>
      </c>
      <c r="I42" s="3" t="s">
        <v>16</v>
      </c>
      <c r="J42" s="3" t="s">
        <v>17</v>
      </c>
      <c r="K42" s="3" t="s">
        <v>18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23</v>
      </c>
      <c r="Q42" s="3" t="s">
        <v>24</v>
      </c>
      <c r="R42" s="3" t="s">
        <v>25</v>
      </c>
    </row>
    <row r="43" spans="1:18" ht="15" customHeight="1" x14ac:dyDescent="0.3">
      <c r="A43" s="6" t="s">
        <v>26</v>
      </c>
      <c r="B43" s="6" t="s">
        <v>27</v>
      </c>
      <c r="C43" s="6">
        <v>0.4201388888888889</v>
      </c>
      <c r="D43" s="6" t="s">
        <v>28</v>
      </c>
      <c r="E43" s="6" t="s">
        <v>102</v>
      </c>
      <c r="F43" s="6" t="s">
        <v>103</v>
      </c>
      <c r="G43" s="328"/>
      <c r="H43" s="7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1:18" ht="15" customHeight="1" x14ac:dyDescent="0.3">
      <c r="A44" s="10" t="s">
        <v>26</v>
      </c>
      <c r="B44" s="10" t="s">
        <v>27</v>
      </c>
      <c r="C44" s="10">
        <v>0.4201388888888889</v>
      </c>
      <c r="D44" s="10" t="s">
        <v>31</v>
      </c>
      <c r="E44" s="10" t="s">
        <v>104</v>
      </c>
      <c r="F44" s="10" t="s">
        <v>105</v>
      </c>
      <c r="G44" s="328"/>
      <c r="H44" s="7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ht="15" customHeight="1" x14ac:dyDescent="0.3">
      <c r="A45" s="10" t="s">
        <v>26</v>
      </c>
      <c r="B45" s="10" t="s">
        <v>27</v>
      </c>
      <c r="C45" s="10">
        <v>0.4201388888888889</v>
      </c>
      <c r="D45" s="10" t="s">
        <v>34</v>
      </c>
      <c r="E45" s="10" t="s">
        <v>104</v>
      </c>
      <c r="F45" s="10" t="s">
        <v>35</v>
      </c>
      <c r="G45" s="328"/>
      <c r="H45" s="7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1:18" ht="15" customHeight="1" x14ac:dyDescent="0.3">
      <c r="A46" s="11" t="s">
        <v>36</v>
      </c>
      <c r="B46" s="11" t="s">
        <v>106</v>
      </c>
      <c r="C46" s="11">
        <v>0.35416666666666669</v>
      </c>
      <c r="D46" s="11" t="s">
        <v>38</v>
      </c>
      <c r="E46" s="11" t="s">
        <v>102</v>
      </c>
      <c r="F46" s="11" t="s">
        <v>107</v>
      </c>
      <c r="G46" s="328"/>
      <c r="H46" s="7"/>
      <c r="I46" s="8"/>
      <c r="J46" s="8"/>
      <c r="K46" s="8"/>
      <c r="L46" s="8"/>
      <c r="M46" s="8"/>
      <c r="N46" s="8"/>
      <c r="O46" s="8"/>
      <c r="P46" s="8"/>
      <c r="Q46" s="8"/>
      <c r="R46" s="9"/>
    </row>
    <row r="47" spans="1:18" ht="15" customHeight="1" x14ac:dyDescent="0.3">
      <c r="A47" s="10" t="s">
        <v>36</v>
      </c>
      <c r="B47" s="10" t="s">
        <v>106</v>
      </c>
      <c r="C47" s="10">
        <v>0.35416666666666669</v>
      </c>
      <c r="D47" s="10" t="s">
        <v>40</v>
      </c>
      <c r="E47" s="10" t="s">
        <v>104</v>
      </c>
      <c r="F47" s="10" t="s">
        <v>108</v>
      </c>
      <c r="G47" s="328"/>
      <c r="H47" s="7"/>
      <c r="I47" s="8"/>
      <c r="J47" s="8"/>
      <c r="K47" s="8"/>
      <c r="L47" s="8"/>
      <c r="M47" s="8"/>
      <c r="N47" s="8"/>
      <c r="O47" s="8"/>
      <c r="P47" s="8"/>
      <c r="Q47" s="8"/>
      <c r="R47" s="9"/>
    </row>
    <row r="48" spans="1:18" ht="15" customHeight="1" x14ac:dyDescent="0.3">
      <c r="A48" s="10" t="s">
        <v>36</v>
      </c>
      <c r="B48" s="10" t="s">
        <v>106</v>
      </c>
      <c r="C48" s="10">
        <v>0.35416666666666669</v>
      </c>
      <c r="D48" s="10" t="s">
        <v>42</v>
      </c>
      <c r="E48" s="10" t="s">
        <v>104</v>
      </c>
      <c r="F48" s="10" t="s">
        <v>109</v>
      </c>
      <c r="G48" s="328"/>
      <c r="H48" s="7"/>
      <c r="I48" s="8"/>
      <c r="J48" s="8"/>
      <c r="K48" s="8"/>
      <c r="L48" s="8"/>
      <c r="M48" s="8"/>
      <c r="N48" s="8"/>
      <c r="O48" s="8"/>
      <c r="P48" s="8"/>
      <c r="Q48" s="8"/>
      <c r="R48" s="9"/>
    </row>
    <row r="49" spans="1:18" ht="15" customHeight="1" x14ac:dyDescent="0.3">
      <c r="A49" s="26" t="s">
        <v>36</v>
      </c>
      <c r="B49" s="26" t="s">
        <v>37</v>
      </c>
      <c r="C49" s="26">
        <v>0.75694444444444453</v>
      </c>
      <c r="D49" s="26" t="s">
        <v>38</v>
      </c>
      <c r="E49" s="26" t="s">
        <v>87</v>
      </c>
      <c r="F49" s="26" t="s">
        <v>110</v>
      </c>
      <c r="G49" s="328"/>
      <c r="H49" s="7"/>
      <c r="I49" s="8"/>
      <c r="J49" s="8"/>
      <c r="K49" s="8"/>
      <c r="L49" s="8"/>
      <c r="M49" s="8"/>
      <c r="N49" s="8"/>
      <c r="O49" s="8"/>
      <c r="P49" s="8"/>
      <c r="Q49" s="8"/>
      <c r="R49" s="9"/>
    </row>
    <row r="50" spans="1:18" ht="15" customHeight="1" x14ac:dyDescent="0.3">
      <c r="A50" s="10" t="s">
        <v>36</v>
      </c>
      <c r="B50" s="10" t="s">
        <v>37</v>
      </c>
      <c r="C50" s="10">
        <v>0.75694444444444453</v>
      </c>
      <c r="D50" s="10" t="s">
        <v>40</v>
      </c>
      <c r="E50" s="10" t="s">
        <v>32</v>
      </c>
      <c r="F50" s="10" t="s">
        <v>111</v>
      </c>
      <c r="G50" s="328"/>
      <c r="H50" s="7"/>
      <c r="I50" s="8"/>
      <c r="J50" s="8"/>
      <c r="K50" s="8"/>
      <c r="L50" s="8"/>
      <c r="M50" s="8"/>
      <c r="N50" s="8"/>
      <c r="O50" s="8"/>
      <c r="P50" s="8"/>
      <c r="Q50" s="8"/>
      <c r="R50" s="9"/>
    </row>
    <row r="51" spans="1:18" ht="15" customHeight="1" x14ac:dyDescent="0.3">
      <c r="A51" s="10" t="s">
        <v>36</v>
      </c>
      <c r="B51" s="10" t="s">
        <v>37</v>
      </c>
      <c r="C51" s="10">
        <v>0.75694444444444453</v>
      </c>
      <c r="D51" s="10" t="s">
        <v>42</v>
      </c>
      <c r="E51" s="10" t="s">
        <v>32</v>
      </c>
      <c r="F51" s="10" t="s">
        <v>112</v>
      </c>
      <c r="G51" s="328"/>
      <c r="H51" s="7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1:18" ht="15" customHeight="1" x14ac:dyDescent="0.3">
      <c r="A52" s="11" t="s">
        <v>66</v>
      </c>
      <c r="B52" s="11" t="s">
        <v>73</v>
      </c>
      <c r="C52" s="11">
        <v>0.43055555555555558</v>
      </c>
      <c r="D52" s="11" t="s">
        <v>68</v>
      </c>
      <c r="E52" s="11" t="s">
        <v>47</v>
      </c>
      <c r="F52" s="11" t="s">
        <v>69</v>
      </c>
      <c r="G52" s="328"/>
      <c r="H52" s="7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1:18" ht="15" customHeight="1" x14ac:dyDescent="0.3">
      <c r="A53" s="26" t="s">
        <v>66</v>
      </c>
      <c r="B53" s="26" t="s">
        <v>75</v>
      </c>
      <c r="C53" s="26">
        <v>0.49305555555555558</v>
      </c>
      <c r="D53" s="26" t="s">
        <v>68</v>
      </c>
      <c r="E53" s="26" t="s">
        <v>71</v>
      </c>
      <c r="F53" s="26" t="s">
        <v>72</v>
      </c>
      <c r="G53" s="328"/>
      <c r="H53" s="7"/>
      <c r="I53" s="8"/>
      <c r="J53" s="8"/>
      <c r="K53" s="8"/>
      <c r="L53" s="8"/>
      <c r="M53" s="8"/>
      <c r="N53" s="8"/>
      <c r="O53" s="8"/>
      <c r="P53" s="8"/>
      <c r="Q53" s="8"/>
      <c r="R53" s="9"/>
    </row>
    <row r="54" spans="1:18" ht="15" customHeight="1" x14ac:dyDescent="0.3">
      <c r="A54" s="26" t="s">
        <v>66</v>
      </c>
      <c r="B54" s="26" t="s">
        <v>70</v>
      </c>
      <c r="C54" s="26">
        <v>0.22222222222222221</v>
      </c>
      <c r="D54" s="26" t="s">
        <v>68</v>
      </c>
      <c r="E54" s="26" t="s">
        <v>71</v>
      </c>
      <c r="F54" s="26" t="s">
        <v>72</v>
      </c>
      <c r="G54" s="328"/>
      <c r="H54" s="7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1:18" ht="15" customHeight="1" x14ac:dyDescent="0.3">
      <c r="A55" s="26" t="s">
        <v>66</v>
      </c>
      <c r="B55" s="26" t="s">
        <v>67</v>
      </c>
      <c r="C55" s="26">
        <v>0.1076388888888889</v>
      </c>
      <c r="D55" s="26" t="s">
        <v>68</v>
      </c>
      <c r="E55" s="26" t="s">
        <v>97</v>
      </c>
      <c r="F55" s="26" t="s">
        <v>77</v>
      </c>
      <c r="G55" s="328"/>
      <c r="H55" s="7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ht="15" customHeight="1" x14ac:dyDescent="0.3">
      <c r="A56" s="26" t="s">
        <v>66</v>
      </c>
      <c r="B56" s="26" t="s">
        <v>76</v>
      </c>
      <c r="C56" s="26">
        <v>0.85416666666666663</v>
      </c>
      <c r="D56" s="26" t="s">
        <v>68</v>
      </c>
      <c r="E56" s="26" t="s">
        <v>113</v>
      </c>
      <c r="F56" s="26" t="s">
        <v>77</v>
      </c>
      <c r="G56" s="328"/>
      <c r="H56" s="7"/>
      <c r="I56" s="8"/>
      <c r="J56" s="8"/>
      <c r="K56" s="8"/>
      <c r="L56" s="8"/>
      <c r="M56" s="8"/>
      <c r="N56" s="8"/>
      <c r="O56" s="8"/>
      <c r="P56" s="8"/>
      <c r="Q56" s="8"/>
      <c r="R56" s="9"/>
    </row>
    <row r="57" spans="1:18" ht="15" customHeight="1" x14ac:dyDescent="0.3">
      <c r="A57" s="11" t="s">
        <v>78</v>
      </c>
      <c r="B57" s="11" t="s">
        <v>79</v>
      </c>
      <c r="C57" s="11">
        <v>0.60416666666666663</v>
      </c>
      <c r="D57" s="11" t="s">
        <v>80</v>
      </c>
      <c r="E57" s="11" t="s">
        <v>47</v>
      </c>
      <c r="F57" s="11" t="s">
        <v>100</v>
      </c>
      <c r="G57" s="328"/>
      <c r="H57" s="7"/>
      <c r="I57" s="8"/>
      <c r="J57" s="8"/>
      <c r="K57" s="8"/>
      <c r="L57" s="8"/>
      <c r="M57" s="8"/>
      <c r="N57" s="8"/>
      <c r="O57" s="8"/>
      <c r="P57" s="8"/>
      <c r="Q57" s="8"/>
      <c r="R57" s="9"/>
    </row>
    <row r="58" spans="1:18" ht="15" customHeight="1" x14ac:dyDescent="0.3">
      <c r="A58" s="10" t="s">
        <v>78</v>
      </c>
      <c r="B58" s="10" t="s">
        <v>79</v>
      </c>
      <c r="C58" s="10">
        <v>0.60416666666666663</v>
      </c>
      <c r="D58" s="10" t="s">
        <v>83</v>
      </c>
      <c r="E58" s="10" t="s">
        <v>95</v>
      </c>
      <c r="F58" s="10" t="s">
        <v>101</v>
      </c>
      <c r="G58" s="328"/>
      <c r="H58" s="7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1:18" ht="15" customHeight="1" x14ac:dyDescent="0.3">
      <c r="A59" s="26" t="s">
        <v>78</v>
      </c>
      <c r="B59" s="26" t="s">
        <v>94</v>
      </c>
      <c r="C59" s="26">
        <v>8.6805555555555566E-2</v>
      </c>
      <c r="D59" s="26" t="s">
        <v>80</v>
      </c>
      <c r="E59" s="26" t="s">
        <v>71</v>
      </c>
      <c r="F59" s="26" t="s">
        <v>100</v>
      </c>
      <c r="G59" s="328"/>
      <c r="H59" s="7"/>
      <c r="I59" s="8"/>
      <c r="J59" s="8"/>
      <c r="K59" s="8"/>
      <c r="L59" s="8"/>
      <c r="M59" s="8"/>
      <c r="N59" s="8"/>
      <c r="O59" s="8"/>
      <c r="P59" s="8"/>
      <c r="Q59" s="8"/>
      <c r="R59" s="9"/>
    </row>
    <row r="60" spans="1:18" ht="15" customHeight="1" x14ac:dyDescent="0.3">
      <c r="A60" s="10" t="s">
        <v>78</v>
      </c>
      <c r="B60" s="10" t="s">
        <v>94</v>
      </c>
      <c r="C60" s="10">
        <v>8.6805555555555566E-2</v>
      </c>
      <c r="D60" s="10" t="s">
        <v>83</v>
      </c>
      <c r="E60" s="10" t="s">
        <v>95</v>
      </c>
      <c r="F60" s="10" t="s">
        <v>101</v>
      </c>
      <c r="G60" s="328"/>
      <c r="H60" s="7"/>
      <c r="I60" s="8"/>
      <c r="J60" s="8"/>
      <c r="K60" s="8"/>
      <c r="L60" s="8"/>
      <c r="M60" s="8"/>
      <c r="N60" s="8"/>
      <c r="O60" s="8"/>
      <c r="P60" s="8"/>
      <c r="Q60" s="8"/>
      <c r="R60" s="9"/>
    </row>
    <row r="61" spans="1:18" ht="15" customHeight="1" x14ac:dyDescent="0.3">
      <c r="A61" s="26" t="s">
        <v>78</v>
      </c>
      <c r="B61" s="26" t="s">
        <v>89</v>
      </c>
      <c r="C61" s="26">
        <v>0.79513888888888884</v>
      </c>
      <c r="D61" s="26" t="s">
        <v>80</v>
      </c>
      <c r="E61" s="26" t="s">
        <v>114</v>
      </c>
      <c r="F61" s="26" t="s">
        <v>100</v>
      </c>
      <c r="G61" s="328"/>
      <c r="H61" s="7"/>
      <c r="I61" s="8"/>
      <c r="J61" s="8"/>
      <c r="K61" s="8"/>
      <c r="L61" s="8"/>
      <c r="M61" s="8"/>
      <c r="N61" s="8"/>
      <c r="O61" s="8"/>
      <c r="P61" s="8"/>
      <c r="Q61" s="8"/>
      <c r="R61" s="9"/>
    </row>
    <row r="62" spans="1:18" ht="15" customHeight="1" x14ac:dyDescent="0.3">
      <c r="A62" s="10" t="s">
        <v>78</v>
      </c>
      <c r="B62" s="10" t="s">
        <v>89</v>
      </c>
      <c r="C62" s="10">
        <v>0.79513888888888884</v>
      </c>
      <c r="D62" s="10" t="s">
        <v>83</v>
      </c>
      <c r="E62" s="10" t="s">
        <v>115</v>
      </c>
      <c r="F62" s="10" t="s">
        <v>101</v>
      </c>
      <c r="G62" s="328"/>
      <c r="H62" s="7"/>
      <c r="I62" s="8"/>
      <c r="J62" s="8"/>
      <c r="K62" s="8"/>
      <c r="L62" s="8"/>
      <c r="M62" s="8"/>
      <c r="N62" s="8"/>
      <c r="O62" s="8"/>
      <c r="P62" s="8"/>
      <c r="Q62" s="8"/>
      <c r="R62" s="9"/>
    </row>
    <row r="63" spans="1:18" ht="15" customHeight="1" x14ac:dyDescent="0.3">
      <c r="A63" s="26" t="s">
        <v>78</v>
      </c>
      <c r="B63" s="26" t="s">
        <v>86</v>
      </c>
      <c r="C63" s="26">
        <v>0.4201388888888889</v>
      </c>
      <c r="D63" s="26" t="s">
        <v>83</v>
      </c>
      <c r="E63" s="26" t="s">
        <v>87</v>
      </c>
      <c r="F63" s="26" t="s">
        <v>116</v>
      </c>
      <c r="G63" s="328"/>
      <c r="H63" s="7"/>
      <c r="I63" s="8"/>
      <c r="J63" s="8"/>
      <c r="K63" s="8"/>
      <c r="L63" s="8"/>
      <c r="M63" s="8"/>
      <c r="N63" s="8"/>
      <c r="O63" s="8"/>
      <c r="P63" s="8"/>
      <c r="Q63" s="8"/>
      <c r="R63" s="9"/>
    </row>
    <row r="64" spans="1:18" ht="15" customHeight="1" x14ac:dyDescent="0.3">
      <c r="A64" s="32" t="s">
        <v>44</v>
      </c>
      <c r="B64" s="32" t="s">
        <v>117</v>
      </c>
      <c r="C64" s="32">
        <v>0.53819444444444442</v>
      </c>
      <c r="D64" s="32" t="s">
        <v>46</v>
      </c>
      <c r="E64" s="32" t="s">
        <v>29</v>
      </c>
      <c r="F64" s="32" t="s">
        <v>118</v>
      </c>
      <c r="G64" s="328"/>
      <c r="H64" s="33" t="s">
        <v>60</v>
      </c>
      <c r="I64" s="34">
        <v>0.98280000000000001</v>
      </c>
      <c r="J64" s="35">
        <v>171</v>
      </c>
      <c r="K64" s="36" t="s">
        <v>50</v>
      </c>
      <c r="L64" s="35">
        <v>7</v>
      </c>
      <c r="M64" s="35">
        <v>0</v>
      </c>
      <c r="N64" s="35">
        <v>1</v>
      </c>
      <c r="O64" s="36" t="s">
        <v>119</v>
      </c>
      <c r="P64" s="36">
        <v>0.53819444444444442</v>
      </c>
      <c r="Q64" s="35">
        <v>174</v>
      </c>
      <c r="R64" s="37" t="s">
        <v>120</v>
      </c>
    </row>
    <row r="65" spans="1:18" ht="17.399999999999999" customHeight="1" x14ac:dyDescent="0.3">
      <c r="A65" s="360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2"/>
    </row>
    <row r="66" spans="1:18" ht="22.05" customHeight="1" x14ac:dyDescent="0.3">
      <c r="A66" s="323" t="s">
        <v>6</v>
      </c>
      <c r="B66" s="324"/>
      <c r="C66" s="324"/>
      <c r="D66" s="324"/>
      <c r="E66" s="324"/>
      <c r="F66" s="324"/>
      <c r="G66" s="2">
        <v>45989</v>
      </c>
      <c r="H66" s="323" t="s">
        <v>7</v>
      </c>
      <c r="I66" s="324"/>
      <c r="J66" s="324"/>
      <c r="K66" s="324"/>
      <c r="L66" s="324"/>
      <c r="M66" s="324"/>
      <c r="N66" s="324"/>
      <c r="O66" s="324"/>
      <c r="P66" s="324"/>
      <c r="Q66" s="324"/>
      <c r="R66" s="324"/>
    </row>
    <row r="67" spans="1:18" ht="24" customHeight="1" x14ac:dyDescent="0.3">
      <c r="A67" s="3" t="s">
        <v>8</v>
      </c>
      <c r="B67" s="3" t="s">
        <v>9</v>
      </c>
      <c r="C67" s="3" t="s">
        <v>10</v>
      </c>
      <c r="D67" s="3" t="s">
        <v>11</v>
      </c>
      <c r="E67" s="3" t="s">
        <v>12</v>
      </c>
      <c r="F67" s="4" t="s">
        <v>13</v>
      </c>
      <c r="G67" s="5" t="s">
        <v>14</v>
      </c>
      <c r="H67" s="3" t="s">
        <v>15</v>
      </c>
      <c r="I67" s="3" t="s">
        <v>16</v>
      </c>
      <c r="J67" s="3" t="s">
        <v>17</v>
      </c>
      <c r="K67" s="3" t="s">
        <v>18</v>
      </c>
      <c r="L67" s="3" t="s">
        <v>19</v>
      </c>
      <c r="M67" s="3" t="s">
        <v>20</v>
      </c>
      <c r="N67" s="3" t="s">
        <v>21</v>
      </c>
      <c r="O67" s="3" t="s">
        <v>22</v>
      </c>
      <c r="P67" s="3" t="s">
        <v>23</v>
      </c>
      <c r="Q67" s="3" t="s">
        <v>24</v>
      </c>
      <c r="R67" s="3" t="s">
        <v>25</v>
      </c>
    </row>
    <row r="68" spans="1:18" ht="15" customHeight="1" x14ac:dyDescent="0.3">
      <c r="A68" s="6" t="s">
        <v>26</v>
      </c>
      <c r="B68" s="6" t="s">
        <v>27</v>
      </c>
      <c r="C68" s="6">
        <v>0.4201388888888889</v>
      </c>
      <c r="D68" s="6" t="s">
        <v>28</v>
      </c>
      <c r="E68" s="6" t="s">
        <v>121</v>
      </c>
      <c r="F68" s="6" t="s">
        <v>30</v>
      </c>
      <c r="G68" s="328"/>
      <c r="H68" s="7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ht="15" customHeight="1" x14ac:dyDescent="0.3">
      <c r="A69" s="10" t="s">
        <v>26</v>
      </c>
      <c r="B69" s="10" t="s">
        <v>27</v>
      </c>
      <c r="C69" s="10">
        <v>0.4201388888888889</v>
      </c>
      <c r="D69" s="10" t="s">
        <v>31</v>
      </c>
      <c r="E69" s="10" t="s">
        <v>122</v>
      </c>
      <c r="F69" s="10" t="s">
        <v>33</v>
      </c>
      <c r="G69" s="328"/>
      <c r="H69" s="7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ht="15" customHeight="1" x14ac:dyDescent="0.3">
      <c r="A70" s="10" t="s">
        <v>26</v>
      </c>
      <c r="B70" s="10" t="s">
        <v>27</v>
      </c>
      <c r="C70" s="10">
        <v>0.4201388888888889</v>
      </c>
      <c r="D70" s="10" t="s">
        <v>34</v>
      </c>
      <c r="E70" s="10" t="s">
        <v>122</v>
      </c>
      <c r="F70" s="10" t="s">
        <v>35</v>
      </c>
      <c r="G70" s="328"/>
      <c r="H70" s="7"/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ht="15" customHeight="1" x14ac:dyDescent="0.3">
      <c r="A71" s="11" t="s">
        <v>36</v>
      </c>
      <c r="B71" s="11" t="s">
        <v>37</v>
      </c>
      <c r="C71" s="11">
        <v>0.75694444444444453</v>
      </c>
      <c r="D71" s="11" t="s">
        <v>38</v>
      </c>
      <c r="E71" s="11" t="s">
        <v>123</v>
      </c>
      <c r="F71" s="11" t="s">
        <v>107</v>
      </c>
      <c r="G71" s="328"/>
      <c r="H71" s="7"/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1:18" ht="15" customHeight="1" x14ac:dyDescent="0.3">
      <c r="A72" s="10" t="s">
        <v>36</v>
      </c>
      <c r="B72" s="10" t="s">
        <v>37</v>
      </c>
      <c r="C72" s="10">
        <v>0.75694444444444453</v>
      </c>
      <c r="D72" s="10" t="s">
        <v>40</v>
      </c>
      <c r="E72" s="10" t="s">
        <v>124</v>
      </c>
      <c r="F72" s="10" t="s">
        <v>108</v>
      </c>
      <c r="G72" s="328"/>
      <c r="H72" s="7"/>
      <c r="I72" s="8"/>
      <c r="J72" s="8"/>
      <c r="K72" s="8"/>
      <c r="L72" s="8"/>
      <c r="M72" s="8"/>
      <c r="N72" s="8"/>
      <c r="O72" s="8"/>
      <c r="P72" s="8"/>
      <c r="Q72" s="8"/>
      <c r="R72" s="9"/>
    </row>
    <row r="73" spans="1:18" ht="15" customHeight="1" x14ac:dyDescent="0.3">
      <c r="A73" s="10" t="s">
        <v>36</v>
      </c>
      <c r="B73" s="10" t="s">
        <v>37</v>
      </c>
      <c r="C73" s="10">
        <v>0.75694444444444453</v>
      </c>
      <c r="D73" s="10" t="s">
        <v>42</v>
      </c>
      <c r="E73" s="10" t="s">
        <v>124</v>
      </c>
      <c r="F73" s="10" t="s">
        <v>109</v>
      </c>
      <c r="G73" s="328"/>
      <c r="H73" s="7"/>
      <c r="I73" s="8"/>
      <c r="J73" s="8"/>
      <c r="K73" s="8"/>
      <c r="L73" s="8"/>
      <c r="M73" s="8"/>
      <c r="N73" s="8"/>
      <c r="O73" s="8"/>
      <c r="P73" s="8"/>
      <c r="Q73" s="8"/>
      <c r="R73" s="9"/>
    </row>
    <row r="74" spans="1:18" ht="15" customHeight="1" x14ac:dyDescent="0.3">
      <c r="A74" s="11" t="s">
        <v>66</v>
      </c>
      <c r="B74" s="11" t="s">
        <v>67</v>
      </c>
      <c r="C74" s="11">
        <v>0.1076388888888889</v>
      </c>
      <c r="D74" s="11" t="s">
        <v>68</v>
      </c>
      <c r="E74" s="11" t="s">
        <v>47</v>
      </c>
      <c r="F74" s="11" t="s">
        <v>69</v>
      </c>
      <c r="G74" s="328"/>
      <c r="H74" s="7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1:18" ht="15" customHeight="1" x14ac:dyDescent="0.3">
      <c r="A75" s="26" t="s">
        <v>66</v>
      </c>
      <c r="B75" s="26" t="s">
        <v>70</v>
      </c>
      <c r="C75" s="26">
        <v>0.22222222222222221</v>
      </c>
      <c r="D75" s="26" t="s">
        <v>68</v>
      </c>
      <c r="E75" s="26" t="s">
        <v>71</v>
      </c>
      <c r="F75" s="26" t="s">
        <v>69</v>
      </c>
      <c r="G75" s="328"/>
      <c r="H75" s="7"/>
      <c r="I75" s="8"/>
      <c r="J75" s="8"/>
      <c r="K75" s="8"/>
      <c r="L75" s="8"/>
      <c r="M75" s="8"/>
      <c r="N75" s="8"/>
      <c r="O75" s="8"/>
      <c r="P75" s="8"/>
      <c r="Q75" s="8"/>
      <c r="R75" s="9"/>
    </row>
    <row r="76" spans="1:18" ht="15" customHeight="1" x14ac:dyDescent="0.3">
      <c r="A76" s="26" t="s">
        <v>66</v>
      </c>
      <c r="B76" s="26" t="s">
        <v>75</v>
      </c>
      <c r="C76" s="26">
        <v>0.49305555555555558</v>
      </c>
      <c r="D76" s="26" t="s">
        <v>68</v>
      </c>
      <c r="E76" s="26" t="s">
        <v>114</v>
      </c>
      <c r="F76" s="26" t="s">
        <v>77</v>
      </c>
      <c r="G76" s="328"/>
      <c r="H76" s="7"/>
      <c r="I76" s="8"/>
      <c r="J76" s="8"/>
      <c r="K76" s="8"/>
      <c r="L76" s="8"/>
      <c r="M76" s="8"/>
      <c r="N76" s="8"/>
      <c r="O76" s="8"/>
      <c r="P76" s="8"/>
      <c r="Q76" s="8"/>
      <c r="R76" s="9"/>
    </row>
    <row r="77" spans="1:18" ht="15" customHeight="1" x14ac:dyDescent="0.3">
      <c r="A77" s="11" t="s">
        <v>78</v>
      </c>
      <c r="B77" s="11" t="s">
        <v>79</v>
      </c>
      <c r="C77" s="11">
        <v>0.60416666666666663</v>
      </c>
      <c r="D77" s="11" t="s">
        <v>80</v>
      </c>
      <c r="E77" s="11" t="s">
        <v>47</v>
      </c>
      <c r="F77" s="11" t="s">
        <v>82</v>
      </c>
      <c r="G77" s="328"/>
      <c r="H77" s="7"/>
      <c r="I77" s="8"/>
      <c r="J77" s="8"/>
      <c r="K77" s="8"/>
      <c r="L77" s="8"/>
      <c r="M77" s="8"/>
      <c r="N77" s="8"/>
      <c r="O77" s="8"/>
      <c r="P77" s="8"/>
      <c r="Q77" s="8"/>
      <c r="R77" s="9"/>
    </row>
    <row r="78" spans="1:18" ht="15" customHeight="1" x14ac:dyDescent="0.3">
      <c r="A78" s="10" t="s">
        <v>78</v>
      </c>
      <c r="B78" s="10" t="s">
        <v>79</v>
      </c>
      <c r="C78" s="10">
        <v>0.60416666666666663</v>
      </c>
      <c r="D78" s="10" t="s">
        <v>83</v>
      </c>
      <c r="E78" s="10" t="s">
        <v>95</v>
      </c>
      <c r="F78" s="10" t="s">
        <v>85</v>
      </c>
      <c r="G78" s="328"/>
      <c r="H78" s="7"/>
      <c r="I78" s="8"/>
      <c r="J78" s="8"/>
      <c r="K78" s="8"/>
      <c r="L78" s="8"/>
      <c r="M78" s="8"/>
      <c r="N78" s="8"/>
      <c r="O78" s="8"/>
      <c r="P78" s="8"/>
      <c r="Q78" s="8"/>
      <c r="R78" s="9"/>
    </row>
    <row r="79" spans="1:18" ht="15" customHeight="1" x14ac:dyDescent="0.3">
      <c r="A79" s="26" t="s">
        <v>78</v>
      </c>
      <c r="B79" s="26" t="s">
        <v>94</v>
      </c>
      <c r="C79" s="26">
        <v>8.6805555555555566E-2</v>
      </c>
      <c r="D79" s="26" t="s">
        <v>80</v>
      </c>
      <c r="E79" s="26" t="s">
        <v>71</v>
      </c>
      <c r="F79" s="26" t="s">
        <v>100</v>
      </c>
      <c r="G79" s="328"/>
      <c r="H79" s="7"/>
      <c r="I79" s="8"/>
      <c r="J79" s="8"/>
      <c r="K79" s="8"/>
      <c r="L79" s="8"/>
      <c r="M79" s="8"/>
      <c r="N79" s="8"/>
      <c r="O79" s="8"/>
      <c r="P79" s="8"/>
      <c r="Q79" s="8"/>
      <c r="R79" s="9"/>
    </row>
    <row r="80" spans="1:18" ht="15" customHeight="1" x14ac:dyDescent="0.3">
      <c r="A80" s="10" t="s">
        <v>78</v>
      </c>
      <c r="B80" s="10" t="s">
        <v>94</v>
      </c>
      <c r="C80" s="10">
        <v>8.6805555555555566E-2</v>
      </c>
      <c r="D80" s="10" t="s">
        <v>83</v>
      </c>
      <c r="E80" s="10" t="s">
        <v>95</v>
      </c>
      <c r="F80" s="10" t="s">
        <v>101</v>
      </c>
      <c r="G80" s="328"/>
      <c r="H80" s="7"/>
      <c r="I80" s="8"/>
      <c r="J80" s="8"/>
      <c r="K80" s="8"/>
      <c r="L80" s="8"/>
      <c r="M80" s="8"/>
      <c r="N80" s="8"/>
      <c r="O80" s="8"/>
      <c r="P80" s="8"/>
      <c r="Q80" s="8"/>
      <c r="R80" s="9"/>
    </row>
    <row r="81" spans="1:18" ht="15" customHeight="1" x14ac:dyDescent="0.3">
      <c r="A81" s="26" t="s">
        <v>78</v>
      </c>
      <c r="B81" s="26" t="s">
        <v>86</v>
      </c>
      <c r="C81" s="26">
        <v>0.4201388888888889</v>
      </c>
      <c r="D81" s="26" t="s">
        <v>83</v>
      </c>
      <c r="E81" s="26" t="s">
        <v>87</v>
      </c>
      <c r="F81" s="26" t="s">
        <v>88</v>
      </c>
      <c r="G81" s="328"/>
      <c r="H81" s="7"/>
      <c r="I81" s="8"/>
      <c r="J81" s="8"/>
      <c r="K81" s="8"/>
      <c r="L81" s="8"/>
      <c r="M81" s="8"/>
      <c r="N81" s="8"/>
      <c r="O81" s="8"/>
      <c r="P81" s="8"/>
      <c r="Q81" s="8"/>
      <c r="R81" s="9"/>
    </row>
    <row r="82" spans="1:18" ht="15" customHeight="1" x14ac:dyDescent="0.3">
      <c r="A82" s="26" t="s">
        <v>78</v>
      </c>
      <c r="B82" s="26" t="s">
        <v>89</v>
      </c>
      <c r="C82" s="26">
        <v>0.79513888888888884</v>
      </c>
      <c r="D82" s="26" t="s">
        <v>80</v>
      </c>
      <c r="E82" s="26" t="s">
        <v>114</v>
      </c>
      <c r="F82" s="26" t="s">
        <v>125</v>
      </c>
      <c r="G82" s="328"/>
      <c r="H82" s="7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1:18" ht="15" customHeight="1" x14ac:dyDescent="0.3">
      <c r="A83" s="27" t="s">
        <v>78</v>
      </c>
      <c r="B83" s="27" t="s">
        <v>89</v>
      </c>
      <c r="C83" s="27">
        <v>0.79513888888888884</v>
      </c>
      <c r="D83" s="27" t="s">
        <v>83</v>
      </c>
      <c r="E83" s="27" t="s">
        <v>115</v>
      </c>
      <c r="F83" s="27" t="s">
        <v>126</v>
      </c>
      <c r="G83" s="328"/>
      <c r="H83" s="28"/>
      <c r="I83" s="29"/>
      <c r="J83" s="29"/>
      <c r="K83" s="29"/>
      <c r="L83" s="29"/>
      <c r="M83" s="29"/>
      <c r="N83" s="29"/>
      <c r="O83" s="29"/>
      <c r="P83" s="29"/>
      <c r="Q83" s="29"/>
      <c r="R83" s="30"/>
    </row>
    <row r="84" spans="1:18" ht="17.399999999999999" customHeight="1" x14ac:dyDescent="0.3">
      <c r="A84" s="360"/>
      <c r="B84" s="361"/>
      <c r="C84" s="361"/>
      <c r="D84" s="361"/>
      <c r="E84" s="361"/>
      <c r="F84" s="361"/>
      <c r="G84" s="361"/>
      <c r="H84" s="361"/>
      <c r="I84" s="361"/>
      <c r="J84" s="361"/>
      <c r="K84" s="361"/>
      <c r="L84" s="361"/>
      <c r="M84" s="361"/>
      <c r="N84" s="361"/>
      <c r="O84" s="361"/>
      <c r="P84" s="361"/>
      <c r="Q84" s="361"/>
      <c r="R84" s="362"/>
    </row>
    <row r="85" spans="1:18" ht="22.05" customHeight="1" x14ac:dyDescent="0.3">
      <c r="A85" s="323" t="s">
        <v>6</v>
      </c>
      <c r="B85" s="324"/>
      <c r="C85" s="324"/>
      <c r="D85" s="324"/>
      <c r="E85" s="324"/>
      <c r="F85" s="324"/>
      <c r="G85" s="2">
        <v>45990</v>
      </c>
      <c r="H85" s="323" t="s">
        <v>7</v>
      </c>
      <c r="I85" s="324"/>
      <c r="J85" s="324"/>
      <c r="K85" s="324"/>
      <c r="L85" s="324"/>
      <c r="M85" s="324"/>
      <c r="N85" s="324"/>
      <c r="O85" s="324"/>
      <c r="P85" s="324"/>
      <c r="Q85" s="324"/>
      <c r="R85" s="324"/>
    </row>
    <row r="86" spans="1:18" ht="24" customHeight="1" x14ac:dyDescent="0.3">
      <c r="A86" s="3" t="s">
        <v>8</v>
      </c>
      <c r="B86" s="3" t="s">
        <v>9</v>
      </c>
      <c r="C86" s="3" t="s">
        <v>10</v>
      </c>
      <c r="D86" s="3" t="s">
        <v>11</v>
      </c>
      <c r="E86" s="3" t="s">
        <v>12</v>
      </c>
      <c r="F86" s="4" t="s">
        <v>13</v>
      </c>
      <c r="G86" s="5" t="s">
        <v>14</v>
      </c>
      <c r="H86" s="3" t="s">
        <v>15</v>
      </c>
      <c r="I86" s="3" t="s">
        <v>16</v>
      </c>
      <c r="J86" s="3" t="s">
        <v>17</v>
      </c>
      <c r="K86" s="3" t="s">
        <v>18</v>
      </c>
      <c r="L86" s="3" t="s">
        <v>19</v>
      </c>
      <c r="M86" s="3" t="s">
        <v>20</v>
      </c>
      <c r="N86" s="3" t="s">
        <v>21</v>
      </c>
      <c r="O86" s="3" t="s">
        <v>22</v>
      </c>
      <c r="P86" s="3" t="s">
        <v>23</v>
      </c>
      <c r="Q86" s="3" t="s">
        <v>24</v>
      </c>
      <c r="R86" s="3" t="s">
        <v>25</v>
      </c>
    </row>
    <row r="87" spans="1:18" ht="15" customHeight="1" x14ac:dyDescent="0.3">
      <c r="A87" s="6" t="s">
        <v>26</v>
      </c>
      <c r="B87" s="6" t="s">
        <v>27</v>
      </c>
      <c r="C87" s="6">
        <v>0.4201388888888889</v>
      </c>
      <c r="D87" s="6" t="s">
        <v>28</v>
      </c>
      <c r="E87" s="6" t="s">
        <v>81</v>
      </c>
      <c r="F87" s="6" t="s">
        <v>103</v>
      </c>
      <c r="G87" s="328"/>
      <c r="H87" s="7"/>
      <c r="I87" s="8"/>
      <c r="J87" s="8"/>
      <c r="K87" s="8"/>
      <c r="L87" s="8"/>
      <c r="M87" s="8"/>
      <c r="N87" s="8"/>
      <c r="O87" s="8"/>
      <c r="P87" s="8"/>
      <c r="Q87" s="8"/>
      <c r="R87" s="9"/>
    </row>
    <row r="88" spans="1:18" ht="15" customHeight="1" x14ac:dyDescent="0.3">
      <c r="A88" s="10" t="s">
        <v>26</v>
      </c>
      <c r="B88" s="10" t="s">
        <v>27</v>
      </c>
      <c r="C88" s="10">
        <v>0.4201388888888889</v>
      </c>
      <c r="D88" s="10" t="s">
        <v>31</v>
      </c>
      <c r="E88" s="10" t="s">
        <v>84</v>
      </c>
      <c r="F88" s="10" t="s">
        <v>105</v>
      </c>
      <c r="G88" s="328"/>
      <c r="H88" s="7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1:18" ht="15" customHeight="1" x14ac:dyDescent="0.3">
      <c r="A89" s="10" t="s">
        <v>26</v>
      </c>
      <c r="B89" s="10" t="s">
        <v>27</v>
      </c>
      <c r="C89" s="10">
        <v>0.4201388888888889</v>
      </c>
      <c r="D89" s="10" t="s">
        <v>34</v>
      </c>
      <c r="E89" s="10" t="s">
        <v>84</v>
      </c>
      <c r="F89" s="10" t="s">
        <v>35</v>
      </c>
      <c r="G89" s="328"/>
      <c r="H89" s="7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1:18" ht="15" customHeight="1" x14ac:dyDescent="0.3">
      <c r="A90" s="11" t="s">
        <v>36</v>
      </c>
      <c r="B90" s="11" t="s">
        <v>106</v>
      </c>
      <c r="C90" s="11">
        <v>0.35416666666666669</v>
      </c>
      <c r="D90" s="11" t="s">
        <v>38</v>
      </c>
      <c r="E90" s="11" t="s">
        <v>123</v>
      </c>
      <c r="F90" s="11" t="s">
        <v>107</v>
      </c>
      <c r="G90" s="328"/>
      <c r="H90" s="7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1:18" ht="15" customHeight="1" x14ac:dyDescent="0.3">
      <c r="A91" s="10" t="s">
        <v>36</v>
      </c>
      <c r="B91" s="10" t="s">
        <v>106</v>
      </c>
      <c r="C91" s="10">
        <v>0.35416666666666669</v>
      </c>
      <c r="D91" s="10" t="s">
        <v>40</v>
      </c>
      <c r="E91" s="10" t="s">
        <v>124</v>
      </c>
      <c r="F91" s="10" t="s">
        <v>108</v>
      </c>
      <c r="G91" s="328"/>
      <c r="H91" s="7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1:18" ht="15" customHeight="1" x14ac:dyDescent="0.3">
      <c r="A92" s="10" t="s">
        <v>36</v>
      </c>
      <c r="B92" s="10" t="s">
        <v>106</v>
      </c>
      <c r="C92" s="10">
        <v>0.35416666666666669</v>
      </c>
      <c r="D92" s="10" t="s">
        <v>42</v>
      </c>
      <c r="E92" s="10" t="s">
        <v>124</v>
      </c>
      <c r="F92" s="10" t="s">
        <v>109</v>
      </c>
      <c r="G92" s="328"/>
      <c r="H92" s="7"/>
      <c r="I92" s="8"/>
      <c r="J92" s="8"/>
      <c r="K92" s="8"/>
      <c r="L92" s="8"/>
      <c r="M92" s="8"/>
      <c r="N92" s="8"/>
      <c r="O92" s="8"/>
      <c r="P92" s="8"/>
      <c r="Q92" s="8"/>
      <c r="R92" s="9"/>
    </row>
    <row r="93" spans="1:18" ht="15" customHeight="1" x14ac:dyDescent="0.3">
      <c r="A93" s="26" t="s">
        <v>36</v>
      </c>
      <c r="B93" s="26" t="s">
        <v>37</v>
      </c>
      <c r="C93" s="26">
        <v>0.75694444444444453</v>
      </c>
      <c r="D93" s="26" t="s">
        <v>42</v>
      </c>
      <c r="E93" s="26" t="s">
        <v>97</v>
      </c>
      <c r="F93" s="26" t="s">
        <v>127</v>
      </c>
      <c r="G93" s="328"/>
      <c r="H93" s="7"/>
      <c r="I93" s="8"/>
      <c r="J93" s="8"/>
      <c r="K93" s="8"/>
      <c r="L93" s="8"/>
      <c r="M93" s="8"/>
      <c r="N93" s="8"/>
      <c r="O93" s="8"/>
      <c r="P93" s="8"/>
      <c r="Q93" s="8"/>
      <c r="R93" s="9"/>
    </row>
    <row r="94" spans="1:18" ht="15" customHeight="1" x14ac:dyDescent="0.3">
      <c r="A94" s="10" t="s">
        <v>36</v>
      </c>
      <c r="B94" s="10" t="s">
        <v>37</v>
      </c>
      <c r="C94" s="10">
        <v>0.75694444444444453</v>
      </c>
      <c r="D94" s="10" t="s">
        <v>38</v>
      </c>
      <c r="E94" s="10" t="s">
        <v>104</v>
      </c>
      <c r="F94" s="10" t="s">
        <v>128</v>
      </c>
      <c r="G94" s="328"/>
      <c r="H94" s="7"/>
      <c r="I94" s="8"/>
      <c r="J94" s="8"/>
      <c r="K94" s="8"/>
      <c r="L94" s="8"/>
      <c r="M94" s="8"/>
      <c r="N94" s="8"/>
      <c r="O94" s="8"/>
      <c r="P94" s="8"/>
      <c r="Q94" s="8"/>
      <c r="R94" s="9"/>
    </row>
    <row r="95" spans="1:18" ht="15" customHeight="1" x14ac:dyDescent="0.3">
      <c r="A95" s="10" t="s">
        <v>36</v>
      </c>
      <c r="B95" s="10" t="s">
        <v>37</v>
      </c>
      <c r="C95" s="10">
        <v>0.75694444444444453</v>
      </c>
      <c r="D95" s="10" t="s">
        <v>40</v>
      </c>
      <c r="E95" s="10" t="s">
        <v>104</v>
      </c>
      <c r="F95" s="10" t="s">
        <v>111</v>
      </c>
      <c r="G95" s="328"/>
      <c r="H95" s="7"/>
      <c r="I95" s="8"/>
      <c r="J95" s="8"/>
      <c r="K95" s="8"/>
      <c r="L95" s="8"/>
      <c r="M95" s="8"/>
      <c r="N95" s="8"/>
      <c r="O95" s="8"/>
      <c r="P95" s="8"/>
      <c r="Q95" s="8"/>
      <c r="R95" s="9"/>
    </row>
    <row r="96" spans="1:18" ht="15" customHeight="1" x14ac:dyDescent="0.3">
      <c r="A96" s="11" t="s">
        <v>78</v>
      </c>
      <c r="B96" s="11" t="s">
        <v>89</v>
      </c>
      <c r="C96" s="11">
        <v>0.79513888888888884</v>
      </c>
      <c r="D96" s="11" t="s">
        <v>80</v>
      </c>
      <c r="E96" s="11" t="s">
        <v>129</v>
      </c>
      <c r="F96" s="11" t="s">
        <v>100</v>
      </c>
      <c r="G96" s="328"/>
      <c r="H96" s="7"/>
      <c r="I96" s="8"/>
      <c r="J96" s="8"/>
      <c r="K96" s="8"/>
      <c r="L96" s="8"/>
      <c r="M96" s="8"/>
      <c r="N96" s="8"/>
      <c r="O96" s="8"/>
      <c r="P96" s="8"/>
      <c r="Q96" s="8"/>
      <c r="R96" s="9"/>
    </row>
    <row r="97" spans="1:18" ht="15" customHeight="1" x14ac:dyDescent="0.3">
      <c r="A97" s="10" t="s">
        <v>78</v>
      </c>
      <c r="B97" s="10" t="s">
        <v>89</v>
      </c>
      <c r="C97" s="10">
        <v>0.79513888888888884</v>
      </c>
      <c r="D97" s="10" t="s">
        <v>83</v>
      </c>
      <c r="E97" s="10" t="s">
        <v>92</v>
      </c>
      <c r="F97" s="10" t="s">
        <v>101</v>
      </c>
      <c r="G97" s="328"/>
      <c r="H97" s="7"/>
      <c r="I97" s="8"/>
      <c r="J97" s="8"/>
      <c r="K97" s="8"/>
      <c r="L97" s="8"/>
      <c r="M97" s="8"/>
      <c r="N97" s="8"/>
      <c r="O97" s="8"/>
      <c r="P97" s="8"/>
      <c r="Q97" s="8"/>
      <c r="R97" s="9"/>
    </row>
    <row r="98" spans="1:18" ht="15" customHeight="1" x14ac:dyDescent="0.3">
      <c r="A98" s="26" t="s">
        <v>78</v>
      </c>
      <c r="B98" s="26" t="s">
        <v>79</v>
      </c>
      <c r="C98" s="26">
        <v>0.60416666666666663</v>
      </c>
      <c r="D98" s="26" t="s">
        <v>80</v>
      </c>
      <c r="E98" s="26" t="s">
        <v>114</v>
      </c>
      <c r="F98" s="26" t="s">
        <v>91</v>
      </c>
      <c r="G98" s="328"/>
      <c r="H98" s="7"/>
      <c r="I98" s="8"/>
      <c r="J98" s="8"/>
      <c r="K98" s="8"/>
      <c r="L98" s="8"/>
      <c r="M98" s="8"/>
      <c r="N98" s="8"/>
      <c r="O98" s="8"/>
      <c r="P98" s="8"/>
      <c r="Q98" s="8"/>
      <c r="R98" s="9"/>
    </row>
    <row r="99" spans="1:18" ht="15" customHeight="1" x14ac:dyDescent="0.3">
      <c r="A99" s="10" t="s">
        <v>78</v>
      </c>
      <c r="B99" s="10" t="s">
        <v>79</v>
      </c>
      <c r="C99" s="10">
        <v>0.60416666666666663</v>
      </c>
      <c r="D99" s="10" t="s">
        <v>83</v>
      </c>
      <c r="E99" s="10" t="s">
        <v>115</v>
      </c>
      <c r="F99" s="10" t="s">
        <v>93</v>
      </c>
      <c r="G99" s="328"/>
      <c r="H99" s="7"/>
      <c r="I99" s="8"/>
      <c r="J99" s="8"/>
      <c r="K99" s="8"/>
      <c r="L99" s="8"/>
      <c r="M99" s="8"/>
      <c r="N99" s="8"/>
      <c r="O99" s="8"/>
      <c r="P99" s="8"/>
      <c r="Q99" s="8"/>
      <c r="R99" s="9"/>
    </row>
    <row r="100" spans="1:18" ht="15" customHeight="1" x14ac:dyDescent="0.3">
      <c r="A100" s="26" t="s">
        <v>78</v>
      </c>
      <c r="B100" s="26" t="s">
        <v>94</v>
      </c>
      <c r="C100" s="26">
        <v>8.6805555555555566E-2</v>
      </c>
      <c r="D100" s="26" t="s">
        <v>80</v>
      </c>
      <c r="E100" s="26" t="s">
        <v>71</v>
      </c>
      <c r="F100" s="26" t="s">
        <v>91</v>
      </c>
      <c r="G100" s="32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9"/>
    </row>
    <row r="101" spans="1:18" ht="15" customHeight="1" x14ac:dyDescent="0.3">
      <c r="A101" s="10" t="s">
        <v>78</v>
      </c>
      <c r="B101" s="10" t="s">
        <v>94</v>
      </c>
      <c r="C101" s="10">
        <v>8.6805555555555566E-2</v>
      </c>
      <c r="D101" s="10" t="s">
        <v>83</v>
      </c>
      <c r="E101" s="10" t="s">
        <v>95</v>
      </c>
      <c r="F101" s="10" t="s">
        <v>93</v>
      </c>
      <c r="G101" s="32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9"/>
    </row>
    <row r="102" spans="1:18" ht="15" customHeight="1" x14ac:dyDescent="0.3">
      <c r="A102" s="26" t="s">
        <v>78</v>
      </c>
      <c r="B102" s="26" t="s">
        <v>86</v>
      </c>
      <c r="C102" s="26">
        <v>0.4201388888888889</v>
      </c>
      <c r="D102" s="26" t="s">
        <v>83</v>
      </c>
      <c r="E102" s="26" t="s">
        <v>87</v>
      </c>
      <c r="F102" s="26" t="s">
        <v>116</v>
      </c>
      <c r="G102" s="32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9"/>
    </row>
    <row r="103" spans="1:18" ht="15" customHeight="1" x14ac:dyDescent="0.3">
      <c r="A103" s="38" t="s">
        <v>44</v>
      </c>
      <c r="B103" s="38" t="s">
        <v>60</v>
      </c>
      <c r="C103" s="38">
        <v>0.39583333333333331</v>
      </c>
      <c r="D103" s="38" t="s">
        <v>61</v>
      </c>
      <c r="E103" s="38"/>
      <c r="F103" s="38" t="s">
        <v>62</v>
      </c>
      <c r="G103" s="328"/>
      <c r="H103" s="39" t="s">
        <v>60</v>
      </c>
      <c r="I103" s="40">
        <v>1.0298</v>
      </c>
      <c r="J103" s="41">
        <v>173</v>
      </c>
      <c r="K103" s="42" t="s">
        <v>130</v>
      </c>
      <c r="L103" s="41">
        <v>0</v>
      </c>
      <c r="M103" s="41">
        <v>0</v>
      </c>
      <c r="N103" s="41">
        <v>0</v>
      </c>
      <c r="O103" s="42" t="s">
        <v>64</v>
      </c>
      <c r="P103" s="42">
        <v>0.39583333333333331</v>
      </c>
      <c r="Q103" s="41">
        <v>168</v>
      </c>
      <c r="R103" s="43" t="s">
        <v>131</v>
      </c>
    </row>
    <row r="104" spans="1:18" ht="17.399999999999999" customHeight="1" x14ac:dyDescent="0.3">
      <c r="A104" s="360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1"/>
      <c r="P104" s="361"/>
      <c r="Q104" s="361"/>
      <c r="R104" s="362"/>
    </row>
    <row r="105" spans="1:18" ht="22.05" customHeight="1" x14ac:dyDescent="0.3">
      <c r="A105" s="323" t="s">
        <v>6</v>
      </c>
      <c r="B105" s="324"/>
      <c r="C105" s="324"/>
      <c r="D105" s="324"/>
      <c r="E105" s="324"/>
      <c r="F105" s="324"/>
      <c r="G105" s="2">
        <v>45991</v>
      </c>
      <c r="H105" s="323" t="s">
        <v>7</v>
      </c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</row>
    <row r="106" spans="1:18" ht="24" customHeight="1" x14ac:dyDescent="0.3">
      <c r="A106" s="3" t="s">
        <v>8</v>
      </c>
      <c r="B106" s="3" t="s">
        <v>9</v>
      </c>
      <c r="C106" s="3" t="s">
        <v>10</v>
      </c>
      <c r="D106" s="3" t="s">
        <v>11</v>
      </c>
      <c r="E106" s="3" t="s">
        <v>12</v>
      </c>
      <c r="F106" s="4" t="s">
        <v>13</v>
      </c>
      <c r="G106" s="5" t="s">
        <v>14</v>
      </c>
      <c r="H106" s="3" t="s">
        <v>15</v>
      </c>
      <c r="I106" s="3" t="s">
        <v>16</v>
      </c>
      <c r="J106" s="3" t="s">
        <v>17</v>
      </c>
      <c r="K106" s="3" t="s">
        <v>18</v>
      </c>
      <c r="L106" s="3" t="s">
        <v>19</v>
      </c>
      <c r="M106" s="3" t="s">
        <v>20</v>
      </c>
      <c r="N106" s="3" t="s">
        <v>21</v>
      </c>
      <c r="O106" s="3" t="s">
        <v>22</v>
      </c>
      <c r="P106" s="3" t="s">
        <v>23</v>
      </c>
      <c r="Q106" s="3" t="s">
        <v>24</v>
      </c>
      <c r="R106" s="3" t="s">
        <v>25</v>
      </c>
    </row>
    <row r="107" spans="1:18" ht="15" customHeight="1" x14ac:dyDescent="0.3">
      <c r="A107" s="6" t="s">
        <v>26</v>
      </c>
      <c r="B107" s="6" t="s">
        <v>27</v>
      </c>
      <c r="C107" s="6">
        <v>0.4201388888888889</v>
      </c>
      <c r="D107" s="6" t="s">
        <v>28</v>
      </c>
      <c r="E107" s="6" t="s">
        <v>132</v>
      </c>
      <c r="F107" s="6" t="s">
        <v>30</v>
      </c>
      <c r="G107" s="32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9"/>
    </row>
    <row r="108" spans="1:18" ht="15" customHeight="1" x14ac:dyDescent="0.3">
      <c r="A108" s="10" t="s">
        <v>26</v>
      </c>
      <c r="B108" s="10" t="s">
        <v>27</v>
      </c>
      <c r="C108" s="10">
        <v>0.4201388888888889</v>
      </c>
      <c r="D108" s="10" t="s">
        <v>31</v>
      </c>
      <c r="E108" s="10" t="s">
        <v>115</v>
      </c>
      <c r="F108" s="10" t="s">
        <v>33</v>
      </c>
      <c r="G108" s="32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9"/>
    </row>
    <row r="109" spans="1:18" ht="15" customHeight="1" x14ac:dyDescent="0.3">
      <c r="A109" s="10" t="s">
        <v>26</v>
      </c>
      <c r="B109" s="10" t="s">
        <v>27</v>
      </c>
      <c r="C109" s="10">
        <v>0.4201388888888889</v>
      </c>
      <c r="D109" s="10" t="s">
        <v>34</v>
      </c>
      <c r="E109" s="10" t="s">
        <v>115</v>
      </c>
      <c r="F109" s="10" t="s">
        <v>133</v>
      </c>
      <c r="G109" s="32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9"/>
    </row>
    <row r="110" spans="1:18" ht="15" customHeight="1" x14ac:dyDescent="0.3">
      <c r="A110" s="11" t="s">
        <v>36</v>
      </c>
      <c r="B110" s="11" t="s">
        <v>37</v>
      </c>
      <c r="C110" s="11">
        <v>0.75694444444444453</v>
      </c>
      <c r="D110" s="11" t="s">
        <v>38</v>
      </c>
      <c r="E110" s="11" t="s">
        <v>134</v>
      </c>
      <c r="F110" s="11" t="s">
        <v>135</v>
      </c>
      <c r="G110" s="32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9"/>
    </row>
    <row r="111" spans="1:18" ht="15" customHeight="1" x14ac:dyDescent="0.3">
      <c r="A111" s="10" t="s">
        <v>36</v>
      </c>
      <c r="B111" s="10" t="s">
        <v>37</v>
      </c>
      <c r="C111" s="10">
        <v>0.75694444444444453</v>
      </c>
      <c r="D111" s="10" t="s">
        <v>40</v>
      </c>
      <c r="E111" s="10" t="s">
        <v>136</v>
      </c>
      <c r="F111" s="10" t="s">
        <v>137</v>
      </c>
      <c r="G111" s="32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9"/>
    </row>
    <row r="112" spans="1:18" ht="15" customHeight="1" x14ac:dyDescent="0.3">
      <c r="A112" s="10" t="s">
        <v>36</v>
      </c>
      <c r="B112" s="10" t="s">
        <v>37</v>
      </c>
      <c r="C112" s="10">
        <v>0.75694444444444453</v>
      </c>
      <c r="D112" s="10" t="s">
        <v>42</v>
      </c>
      <c r="E112" s="10" t="s">
        <v>136</v>
      </c>
      <c r="F112" s="10" t="s">
        <v>138</v>
      </c>
      <c r="G112" s="32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9"/>
    </row>
    <row r="113" spans="1:18" ht="15" customHeight="1" x14ac:dyDescent="0.3">
      <c r="A113" s="44" t="s">
        <v>44</v>
      </c>
      <c r="B113" s="44" t="s">
        <v>117</v>
      </c>
      <c r="C113" s="44">
        <v>0.90277777777777779</v>
      </c>
      <c r="D113" s="44" t="s">
        <v>46</v>
      </c>
      <c r="E113" s="44" t="s">
        <v>121</v>
      </c>
      <c r="F113" s="44" t="s">
        <v>139</v>
      </c>
      <c r="G113" s="328"/>
      <c r="H113" s="45" t="s">
        <v>60</v>
      </c>
      <c r="I113" s="46">
        <v>0.96550000000000002</v>
      </c>
      <c r="J113" s="47">
        <v>168</v>
      </c>
      <c r="K113" s="48" t="s">
        <v>140</v>
      </c>
      <c r="L113" s="47">
        <v>2</v>
      </c>
      <c r="M113" s="47">
        <v>0</v>
      </c>
      <c r="N113" s="47">
        <v>0</v>
      </c>
      <c r="O113" s="48" t="s">
        <v>141</v>
      </c>
      <c r="P113" s="48">
        <v>0.90277777777777779</v>
      </c>
      <c r="Q113" s="47">
        <v>174</v>
      </c>
      <c r="R113" s="49" t="s">
        <v>142</v>
      </c>
    </row>
    <row r="114" spans="1:18" ht="15" customHeight="1" x14ac:dyDescent="0.3">
      <c r="A114" s="11" t="s">
        <v>78</v>
      </c>
      <c r="B114" s="11" t="s">
        <v>79</v>
      </c>
      <c r="C114" s="11">
        <v>0.60416666666666663</v>
      </c>
      <c r="D114" s="11" t="s">
        <v>80</v>
      </c>
      <c r="E114" s="11" t="s">
        <v>47</v>
      </c>
      <c r="F114" s="11" t="s">
        <v>100</v>
      </c>
      <c r="G114" s="32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9"/>
    </row>
    <row r="115" spans="1:18" ht="15" customHeight="1" x14ac:dyDescent="0.3">
      <c r="A115" s="10" t="s">
        <v>78</v>
      </c>
      <c r="B115" s="10" t="s">
        <v>79</v>
      </c>
      <c r="C115" s="10">
        <v>0.60416666666666663</v>
      </c>
      <c r="D115" s="10" t="s">
        <v>83</v>
      </c>
      <c r="E115" s="10" t="s">
        <v>95</v>
      </c>
      <c r="F115" s="10" t="s">
        <v>101</v>
      </c>
      <c r="G115" s="32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9"/>
    </row>
    <row r="116" spans="1:18" ht="15" customHeight="1" x14ac:dyDescent="0.3">
      <c r="A116" s="26" t="s">
        <v>78</v>
      </c>
      <c r="B116" s="26" t="s">
        <v>86</v>
      </c>
      <c r="C116" s="26">
        <v>0.4201388888888889</v>
      </c>
      <c r="D116" s="26" t="s">
        <v>83</v>
      </c>
      <c r="E116" s="26" t="s">
        <v>87</v>
      </c>
      <c r="F116" s="26" t="s">
        <v>88</v>
      </c>
      <c r="G116" s="32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9"/>
    </row>
    <row r="117" spans="1:18" ht="15" customHeight="1" x14ac:dyDescent="0.3">
      <c r="A117" s="26" t="s">
        <v>78</v>
      </c>
      <c r="B117" s="26" t="s">
        <v>89</v>
      </c>
      <c r="C117" s="26">
        <v>0.79513888888888884</v>
      </c>
      <c r="D117" s="26" t="s">
        <v>80</v>
      </c>
      <c r="E117" s="26" t="s">
        <v>74</v>
      </c>
      <c r="F117" s="26" t="s">
        <v>91</v>
      </c>
      <c r="G117" s="32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9"/>
    </row>
    <row r="118" spans="1:18" ht="15" customHeight="1" x14ac:dyDescent="0.3">
      <c r="A118" s="10" t="s">
        <v>78</v>
      </c>
      <c r="B118" s="10" t="s">
        <v>89</v>
      </c>
      <c r="C118" s="10">
        <v>0.79513888888888884</v>
      </c>
      <c r="D118" s="10" t="s">
        <v>83</v>
      </c>
      <c r="E118" s="10" t="s">
        <v>122</v>
      </c>
      <c r="F118" s="10" t="s">
        <v>93</v>
      </c>
      <c r="G118" s="328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9"/>
    </row>
    <row r="119" spans="1:18" ht="15" customHeight="1" x14ac:dyDescent="0.3">
      <c r="A119" s="26" t="s">
        <v>78</v>
      </c>
      <c r="B119" s="26" t="s">
        <v>94</v>
      </c>
      <c r="C119" s="26">
        <v>8.6805555555555566E-2</v>
      </c>
      <c r="D119" s="26" t="s">
        <v>80</v>
      </c>
      <c r="E119" s="26" t="s">
        <v>71</v>
      </c>
      <c r="F119" s="26" t="s">
        <v>91</v>
      </c>
      <c r="G119" s="32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9"/>
    </row>
    <row r="120" spans="1:18" ht="15" customHeight="1" x14ac:dyDescent="0.3">
      <c r="A120" s="27" t="s">
        <v>78</v>
      </c>
      <c r="B120" s="27" t="s">
        <v>94</v>
      </c>
      <c r="C120" s="27">
        <v>8.6805555555555566E-2</v>
      </c>
      <c r="D120" s="27" t="s">
        <v>83</v>
      </c>
      <c r="E120" s="27" t="s">
        <v>95</v>
      </c>
      <c r="F120" s="27" t="s">
        <v>93</v>
      </c>
      <c r="G120" s="328"/>
      <c r="H120" s="28"/>
      <c r="I120" s="29"/>
      <c r="J120" s="29"/>
      <c r="K120" s="29"/>
      <c r="L120" s="29"/>
      <c r="M120" s="29"/>
      <c r="N120" s="29"/>
      <c r="O120" s="29"/>
      <c r="P120" s="29"/>
      <c r="Q120" s="29"/>
      <c r="R120" s="30"/>
    </row>
    <row r="121" spans="1:18" ht="17.399999999999999" customHeight="1" x14ac:dyDescent="0.3">
      <c r="A121" s="360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2"/>
    </row>
    <row r="122" spans="1:18" ht="22.05" customHeight="1" x14ac:dyDescent="0.3">
      <c r="A122" s="323" t="s">
        <v>6</v>
      </c>
      <c r="B122" s="324"/>
      <c r="C122" s="324"/>
      <c r="D122" s="324"/>
      <c r="E122" s="324"/>
      <c r="F122" s="324"/>
      <c r="G122" s="2">
        <v>45992</v>
      </c>
      <c r="H122" s="323" t="s">
        <v>7</v>
      </c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</row>
    <row r="123" spans="1:18" ht="24" customHeight="1" x14ac:dyDescent="0.3">
      <c r="A123" s="3" t="s">
        <v>8</v>
      </c>
      <c r="B123" s="3" t="s">
        <v>9</v>
      </c>
      <c r="C123" s="3" t="s">
        <v>10</v>
      </c>
      <c r="D123" s="3" t="s">
        <v>11</v>
      </c>
      <c r="E123" s="3" t="s">
        <v>12</v>
      </c>
      <c r="F123" s="4" t="s">
        <v>13</v>
      </c>
      <c r="G123" s="5" t="s">
        <v>14</v>
      </c>
      <c r="H123" s="3" t="s">
        <v>15</v>
      </c>
      <c r="I123" s="3" t="s">
        <v>16</v>
      </c>
      <c r="J123" s="3" t="s">
        <v>17</v>
      </c>
      <c r="K123" s="3" t="s">
        <v>18</v>
      </c>
      <c r="L123" s="3" t="s">
        <v>19</v>
      </c>
      <c r="M123" s="3" t="s">
        <v>20</v>
      </c>
      <c r="N123" s="3" t="s">
        <v>21</v>
      </c>
      <c r="O123" s="3" t="s">
        <v>22</v>
      </c>
      <c r="P123" s="3" t="s">
        <v>23</v>
      </c>
      <c r="Q123" s="3" t="s">
        <v>24</v>
      </c>
      <c r="R123" s="3" t="s">
        <v>25</v>
      </c>
    </row>
    <row r="124" spans="1:18" ht="15" customHeight="1" x14ac:dyDescent="0.3">
      <c r="A124" s="6" t="s">
        <v>26</v>
      </c>
      <c r="B124" s="6" t="s">
        <v>27</v>
      </c>
      <c r="C124" s="6">
        <v>0.4201388888888889</v>
      </c>
      <c r="D124" s="6" t="s">
        <v>28</v>
      </c>
      <c r="E124" s="6" t="s">
        <v>132</v>
      </c>
      <c r="F124" s="6" t="s">
        <v>143</v>
      </c>
      <c r="G124" s="32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9"/>
    </row>
    <row r="125" spans="1:18" ht="15" customHeight="1" x14ac:dyDescent="0.3">
      <c r="A125" s="10" t="s">
        <v>26</v>
      </c>
      <c r="B125" s="10" t="s">
        <v>27</v>
      </c>
      <c r="C125" s="10">
        <v>0.4201388888888889</v>
      </c>
      <c r="D125" s="10" t="s">
        <v>34</v>
      </c>
      <c r="E125" s="10" t="s">
        <v>115</v>
      </c>
      <c r="F125" s="10" t="s">
        <v>144</v>
      </c>
      <c r="G125" s="32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9"/>
    </row>
    <row r="126" spans="1:18" ht="15" customHeight="1" x14ac:dyDescent="0.3">
      <c r="A126" s="10" t="s">
        <v>26</v>
      </c>
      <c r="B126" s="10" t="s">
        <v>27</v>
      </c>
      <c r="C126" s="10">
        <v>0.4201388888888889</v>
      </c>
      <c r="D126" s="10" t="s">
        <v>31</v>
      </c>
      <c r="E126" s="10" t="s">
        <v>115</v>
      </c>
      <c r="F126" s="10" t="s">
        <v>108</v>
      </c>
      <c r="G126" s="32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9"/>
    </row>
    <row r="127" spans="1:18" ht="15" customHeight="1" x14ac:dyDescent="0.3">
      <c r="A127" s="11" t="s">
        <v>36</v>
      </c>
      <c r="B127" s="11" t="s">
        <v>106</v>
      </c>
      <c r="C127" s="11">
        <v>0.35416666666666669</v>
      </c>
      <c r="D127" s="11" t="s">
        <v>38</v>
      </c>
      <c r="E127" s="11" t="s">
        <v>129</v>
      </c>
      <c r="F127" s="11" t="s">
        <v>107</v>
      </c>
      <c r="G127" s="328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9"/>
    </row>
    <row r="128" spans="1:18" ht="15" customHeight="1" x14ac:dyDescent="0.3">
      <c r="A128" s="10" t="s">
        <v>36</v>
      </c>
      <c r="B128" s="10" t="s">
        <v>106</v>
      </c>
      <c r="C128" s="10">
        <v>0.35416666666666669</v>
      </c>
      <c r="D128" s="10" t="s">
        <v>40</v>
      </c>
      <c r="E128" s="10" t="s">
        <v>92</v>
      </c>
      <c r="F128" s="10" t="s">
        <v>108</v>
      </c>
      <c r="G128" s="32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9"/>
    </row>
    <row r="129" spans="1:18" ht="15" customHeight="1" x14ac:dyDescent="0.3">
      <c r="A129" s="10" t="s">
        <v>36</v>
      </c>
      <c r="B129" s="10" t="s">
        <v>106</v>
      </c>
      <c r="C129" s="10">
        <v>0.35416666666666669</v>
      </c>
      <c r="D129" s="10" t="s">
        <v>42</v>
      </c>
      <c r="E129" s="10" t="s">
        <v>92</v>
      </c>
      <c r="F129" s="10" t="s">
        <v>109</v>
      </c>
      <c r="G129" s="32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9"/>
    </row>
    <row r="130" spans="1:18" ht="15" customHeight="1" x14ac:dyDescent="0.3">
      <c r="A130" s="26" t="s">
        <v>36</v>
      </c>
      <c r="B130" s="26" t="s">
        <v>37</v>
      </c>
      <c r="C130" s="26">
        <v>0.75694444444444453</v>
      </c>
      <c r="D130" s="26" t="s">
        <v>38</v>
      </c>
      <c r="E130" s="26" t="s">
        <v>74</v>
      </c>
      <c r="F130" s="26" t="s">
        <v>145</v>
      </c>
      <c r="G130" s="32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9"/>
    </row>
    <row r="131" spans="1:18" ht="15" customHeight="1" x14ac:dyDescent="0.3">
      <c r="A131" s="10" t="s">
        <v>36</v>
      </c>
      <c r="B131" s="10" t="s">
        <v>37</v>
      </c>
      <c r="C131" s="10">
        <v>0.75694444444444453</v>
      </c>
      <c r="D131" s="10" t="s">
        <v>40</v>
      </c>
      <c r="E131" s="10" t="s">
        <v>122</v>
      </c>
      <c r="F131" s="10" t="s">
        <v>146</v>
      </c>
      <c r="G131" s="32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9"/>
    </row>
    <row r="132" spans="1:18" ht="15" customHeight="1" x14ac:dyDescent="0.3">
      <c r="A132" s="10" t="s">
        <v>36</v>
      </c>
      <c r="B132" s="10" t="s">
        <v>37</v>
      </c>
      <c r="C132" s="10">
        <v>0.75694444444444453</v>
      </c>
      <c r="D132" s="10" t="s">
        <v>42</v>
      </c>
      <c r="E132" s="10" t="s">
        <v>122</v>
      </c>
      <c r="F132" s="10" t="s">
        <v>147</v>
      </c>
      <c r="G132" s="32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9"/>
    </row>
    <row r="133" spans="1:18" ht="15" customHeight="1" x14ac:dyDescent="0.3">
      <c r="A133" s="11" t="s">
        <v>78</v>
      </c>
      <c r="B133" s="11" t="s">
        <v>89</v>
      </c>
      <c r="C133" s="11">
        <v>0.79513888888888884</v>
      </c>
      <c r="D133" s="11" t="s">
        <v>80</v>
      </c>
      <c r="E133" s="11" t="s">
        <v>47</v>
      </c>
      <c r="F133" s="11" t="s">
        <v>100</v>
      </c>
      <c r="G133" s="32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9"/>
    </row>
    <row r="134" spans="1:18" ht="15" customHeight="1" x14ac:dyDescent="0.3">
      <c r="A134" s="10" t="s">
        <v>78</v>
      </c>
      <c r="B134" s="10" t="s">
        <v>89</v>
      </c>
      <c r="C134" s="10">
        <v>0.79513888888888884</v>
      </c>
      <c r="D134" s="10" t="s">
        <v>83</v>
      </c>
      <c r="E134" s="10" t="s">
        <v>95</v>
      </c>
      <c r="F134" s="10" t="s">
        <v>101</v>
      </c>
      <c r="G134" s="32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9"/>
    </row>
    <row r="135" spans="1:18" ht="15" customHeight="1" x14ac:dyDescent="0.3">
      <c r="A135" s="26" t="s">
        <v>78</v>
      </c>
      <c r="B135" s="26" t="s">
        <v>79</v>
      </c>
      <c r="C135" s="26">
        <v>0.60416666666666663</v>
      </c>
      <c r="D135" s="26" t="s">
        <v>80</v>
      </c>
      <c r="E135" s="26" t="s">
        <v>71</v>
      </c>
      <c r="F135" s="26" t="s">
        <v>100</v>
      </c>
      <c r="G135" s="32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9"/>
    </row>
    <row r="136" spans="1:18" ht="15" customHeight="1" x14ac:dyDescent="0.3">
      <c r="A136" s="10" t="s">
        <v>78</v>
      </c>
      <c r="B136" s="10" t="s">
        <v>79</v>
      </c>
      <c r="C136" s="10">
        <v>0.60416666666666663</v>
      </c>
      <c r="D136" s="10" t="s">
        <v>83</v>
      </c>
      <c r="E136" s="10" t="s">
        <v>95</v>
      </c>
      <c r="F136" s="10" t="s">
        <v>101</v>
      </c>
      <c r="G136" s="32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9"/>
    </row>
    <row r="137" spans="1:18" ht="15" customHeight="1" x14ac:dyDescent="0.3">
      <c r="A137" s="26" t="s">
        <v>78</v>
      </c>
      <c r="B137" s="26" t="s">
        <v>94</v>
      </c>
      <c r="C137" s="26">
        <v>8.6805555555555566E-2</v>
      </c>
      <c r="D137" s="26" t="s">
        <v>80</v>
      </c>
      <c r="E137" s="26" t="s">
        <v>114</v>
      </c>
      <c r="F137" s="26" t="s">
        <v>91</v>
      </c>
      <c r="G137" s="32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9"/>
    </row>
    <row r="138" spans="1:18" ht="15" customHeight="1" x14ac:dyDescent="0.3">
      <c r="A138" s="10" t="s">
        <v>78</v>
      </c>
      <c r="B138" s="10" t="s">
        <v>94</v>
      </c>
      <c r="C138" s="10">
        <v>8.6805555555555566E-2</v>
      </c>
      <c r="D138" s="10" t="s">
        <v>83</v>
      </c>
      <c r="E138" s="10" t="s">
        <v>115</v>
      </c>
      <c r="F138" s="10" t="s">
        <v>93</v>
      </c>
      <c r="G138" s="328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9"/>
    </row>
    <row r="139" spans="1:18" ht="15" customHeight="1" x14ac:dyDescent="0.3">
      <c r="A139" s="26" t="s">
        <v>78</v>
      </c>
      <c r="B139" s="26" t="s">
        <v>86</v>
      </c>
      <c r="C139" s="26">
        <v>0.4201388888888889</v>
      </c>
      <c r="D139" s="26" t="s">
        <v>83</v>
      </c>
      <c r="E139" s="26" t="s">
        <v>87</v>
      </c>
      <c r="F139" s="26" t="s">
        <v>116</v>
      </c>
      <c r="G139" s="32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9"/>
    </row>
    <row r="140" spans="1:18" ht="15" customHeight="1" x14ac:dyDescent="0.3">
      <c r="A140" s="50" t="s">
        <v>66</v>
      </c>
      <c r="B140" s="50" t="s">
        <v>75</v>
      </c>
      <c r="C140" s="50">
        <v>0.48958333333333331</v>
      </c>
      <c r="D140" s="50" t="s">
        <v>68</v>
      </c>
      <c r="E140" s="50" t="s">
        <v>81</v>
      </c>
      <c r="F140" s="50" t="s">
        <v>77</v>
      </c>
      <c r="G140" s="328"/>
      <c r="H140" s="28"/>
      <c r="I140" s="29"/>
      <c r="J140" s="29"/>
      <c r="K140" s="29"/>
      <c r="L140" s="29"/>
      <c r="M140" s="29"/>
      <c r="N140" s="29"/>
      <c r="O140" s="29"/>
      <c r="P140" s="29"/>
      <c r="Q140" s="29"/>
      <c r="R140" s="30"/>
    </row>
    <row r="141" spans="1:18" ht="17.399999999999999" customHeight="1" x14ac:dyDescent="0.3">
      <c r="A141" s="360"/>
      <c r="B141" s="361"/>
      <c r="C141" s="361"/>
      <c r="D141" s="361"/>
      <c r="E141" s="361"/>
      <c r="F141" s="361"/>
      <c r="G141" s="361"/>
      <c r="H141" s="361"/>
      <c r="I141" s="361"/>
      <c r="J141" s="361"/>
      <c r="K141" s="361"/>
      <c r="L141" s="361"/>
      <c r="M141" s="361"/>
      <c r="N141" s="361"/>
      <c r="O141" s="361"/>
      <c r="P141" s="361"/>
      <c r="Q141" s="361"/>
      <c r="R141" s="362"/>
    </row>
    <row r="142" spans="1:18" ht="22.05" customHeight="1" x14ac:dyDescent="0.3">
      <c r="A142" s="323" t="s">
        <v>6</v>
      </c>
      <c r="B142" s="324"/>
      <c r="C142" s="324"/>
      <c r="D142" s="324"/>
      <c r="E142" s="324"/>
      <c r="F142" s="324"/>
      <c r="G142" s="2">
        <v>45993</v>
      </c>
      <c r="H142" s="323" t="s">
        <v>7</v>
      </c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</row>
    <row r="143" spans="1:18" ht="24" customHeight="1" x14ac:dyDescent="0.3">
      <c r="A143" s="3" t="s">
        <v>8</v>
      </c>
      <c r="B143" s="3" t="s">
        <v>9</v>
      </c>
      <c r="C143" s="3" t="s">
        <v>10</v>
      </c>
      <c r="D143" s="3" t="s">
        <v>11</v>
      </c>
      <c r="E143" s="3" t="s">
        <v>12</v>
      </c>
      <c r="F143" s="4" t="s">
        <v>13</v>
      </c>
      <c r="G143" s="5" t="s">
        <v>14</v>
      </c>
      <c r="H143" s="3" t="s">
        <v>15</v>
      </c>
      <c r="I143" s="3" t="s">
        <v>16</v>
      </c>
      <c r="J143" s="3" t="s">
        <v>17</v>
      </c>
      <c r="K143" s="3" t="s">
        <v>18</v>
      </c>
      <c r="L143" s="3" t="s">
        <v>19</v>
      </c>
      <c r="M143" s="3" t="s">
        <v>20</v>
      </c>
      <c r="N143" s="3" t="s">
        <v>21</v>
      </c>
      <c r="O143" s="3" t="s">
        <v>22</v>
      </c>
      <c r="P143" s="3" t="s">
        <v>23</v>
      </c>
      <c r="Q143" s="3" t="s">
        <v>24</v>
      </c>
      <c r="R143" s="3" t="s">
        <v>25</v>
      </c>
    </row>
    <row r="144" spans="1:18" ht="15" customHeight="1" x14ac:dyDescent="0.3">
      <c r="A144" s="6" t="s">
        <v>26</v>
      </c>
      <c r="B144" s="6" t="s">
        <v>27</v>
      </c>
      <c r="C144" s="6">
        <v>0.4201388888888889</v>
      </c>
      <c r="D144" s="6" t="s">
        <v>28</v>
      </c>
      <c r="E144" s="6" t="s">
        <v>148</v>
      </c>
      <c r="F144" s="6" t="s">
        <v>143</v>
      </c>
      <c r="G144" s="32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9"/>
    </row>
    <row r="145" spans="1:18" ht="15" customHeight="1" x14ac:dyDescent="0.3">
      <c r="A145" s="10" t="s">
        <v>26</v>
      </c>
      <c r="B145" s="10" t="s">
        <v>27</v>
      </c>
      <c r="C145" s="10">
        <v>0.4201388888888889</v>
      </c>
      <c r="D145" s="10" t="s">
        <v>31</v>
      </c>
      <c r="E145" s="10" t="s">
        <v>149</v>
      </c>
      <c r="F145" s="10" t="s">
        <v>108</v>
      </c>
      <c r="G145" s="32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9"/>
    </row>
    <row r="146" spans="1:18" ht="15" customHeight="1" x14ac:dyDescent="0.3">
      <c r="A146" s="10" t="s">
        <v>26</v>
      </c>
      <c r="B146" s="10" t="s">
        <v>27</v>
      </c>
      <c r="C146" s="10">
        <v>0.4201388888888889</v>
      </c>
      <c r="D146" s="10" t="s">
        <v>34</v>
      </c>
      <c r="E146" s="10" t="s">
        <v>149</v>
      </c>
      <c r="F146" s="10" t="s">
        <v>35</v>
      </c>
      <c r="G146" s="32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9"/>
    </row>
    <row r="147" spans="1:18" ht="15" customHeight="1" x14ac:dyDescent="0.3">
      <c r="A147" s="11" t="s">
        <v>36</v>
      </c>
      <c r="B147" s="11" t="s">
        <v>37</v>
      </c>
      <c r="C147" s="11">
        <v>0.75694444444444453</v>
      </c>
      <c r="D147" s="11" t="s">
        <v>38</v>
      </c>
      <c r="E147" s="11" t="s">
        <v>29</v>
      </c>
      <c r="F147" s="11" t="s">
        <v>135</v>
      </c>
      <c r="G147" s="32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9"/>
    </row>
    <row r="148" spans="1:18" ht="15" customHeight="1" x14ac:dyDescent="0.3">
      <c r="A148" s="10" t="s">
        <v>36</v>
      </c>
      <c r="B148" s="10" t="s">
        <v>37</v>
      </c>
      <c r="C148" s="10">
        <v>0.75694444444444453</v>
      </c>
      <c r="D148" s="10" t="s">
        <v>40</v>
      </c>
      <c r="E148" s="10" t="s">
        <v>32</v>
      </c>
      <c r="F148" s="10" t="s">
        <v>137</v>
      </c>
      <c r="G148" s="32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9"/>
    </row>
    <row r="149" spans="1:18" ht="15" customHeight="1" x14ac:dyDescent="0.3">
      <c r="A149" s="10" t="s">
        <v>36</v>
      </c>
      <c r="B149" s="10" t="s">
        <v>37</v>
      </c>
      <c r="C149" s="10">
        <v>0.75694444444444453</v>
      </c>
      <c r="D149" s="10" t="s">
        <v>42</v>
      </c>
      <c r="E149" s="10" t="s">
        <v>32</v>
      </c>
      <c r="F149" s="10" t="s">
        <v>138</v>
      </c>
      <c r="G149" s="32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9"/>
    </row>
    <row r="150" spans="1:18" ht="15" customHeight="1" x14ac:dyDescent="0.3">
      <c r="A150" s="51" t="s">
        <v>44</v>
      </c>
      <c r="B150" s="51" t="s">
        <v>45</v>
      </c>
      <c r="C150" s="51">
        <v>0.27777777777777779</v>
      </c>
      <c r="D150" s="51" t="s">
        <v>46</v>
      </c>
      <c r="E150" s="51" t="s">
        <v>47</v>
      </c>
      <c r="F150" s="51" t="s">
        <v>55</v>
      </c>
      <c r="G150" s="328"/>
      <c r="H150" s="52" t="s">
        <v>49</v>
      </c>
      <c r="I150" s="53">
        <v>0.77980000000000005</v>
      </c>
      <c r="J150" s="54">
        <v>131</v>
      </c>
      <c r="K150" s="55" t="s">
        <v>50</v>
      </c>
      <c r="L150" s="54">
        <v>75</v>
      </c>
      <c r="M150" s="54">
        <v>0</v>
      </c>
      <c r="N150" s="54">
        <v>2</v>
      </c>
      <c r="O150" s="55" t="s">
        <v>150</v>
      </c>
      <c r="P150" s="55">
        <v>0.27777777777777779</v>
      </c>
      <c r="Q150" s="54">
        <v>168</v>
      </c>
      <c r="R150" s="56" t="s">
        <v>151</v>
      </c>
    </row>
    <row r="151" spans="1:18" ht="15" customHeight="1" x14ac:dyDescent="0.3">
      <c r="A151" s="24" t="s">
        <v>44</v>
      </c>
      <c r="B151" s="24" t="s">
        <v>53</v>
      </c>
      <c r="C151" s="24">
        <v>4.8611111111111112E-2</v>
      </c>
      <c r="D151" s="24" t="s">
        <v>46</v>
      </c>
      <c r="E151" s="24" t="s">
        <v>152</v>
      </c>
      <c r="F151" s="24" t="s">
        <v>153</v>
      </c>
      <c r="G151" s="328"/>
      <c r="H151" s="13" t="s">
        <v>56</v>
      </c>
      <c r="I151" s="25">
        <v>0.96</v>
      </c>
      <c r="J151" s="15">
        <v>168</v>
      </c>
      <c r="K151" s="16" t="s">
        <v>154</v>
      </c>
      <c r="L151" s="15">
        <v>0</v>
      </c>
      <c r="M151" s="15">
        <v>0</v>
      </c>
      <c r="N151" s="15">
        <v>0</v>
      </c>
      <c r="O151" s="16" t="s">
        <v>155</v>
      </c>
      <c r="P151" s="16">
        <v>4.8611111111111112E-2</v>
      </c>
      <c r="Q151" s="15">
        <v>175</v>
      </c>
      <c r="R151" s="17" t="s">
        <v>156</v>
      </c>
    </row>
    <row r="152" spans="1:18" ht="15" customHeight="1" x14ac:dyDescent="0.3">
      <c r="A152" s="57" t="s">
        <v>44</v>
      </c>
      <c r="B152" s="57" t="s">
        <v>60</v>
      </c>
      <c r="C152" s="57">
        <v>0.97916666666666663</v>
      </c>
      <c r="D152" s="57" t="s">
        <v>61</v>
      </c>
      <c r="E152" s="57"/>
      <c r="F152" s="57" t="s">
        <v>62</v>
      </c>
      <c r="G152" s="328"/>
      <c r="H152" s="58" t="s">
        <v>60</v>
      </c>
      <c r="I152" s="59">
        <v>1.006</v>
      </c>
      <c r="J152" s="60">
        <v>169</v>
      </c>
      <c r="K152" s="61" t="s">
        <v>157</v>
      </c>
      <c r="L152" s="60">
        <v>0</v>
      </c>
      <c r="M152" s="60">
        <v>0</v>
      </c>
      <c r="N152" s="60">
        <v>0</v>
      </c>
      <c r="O152" s="61" t="s">
        <v>64</v>
      </c>
      <c r="P152" s="61">
        <v>0.97916666666666663</v>
      </c>
      <c r="Q152" s="60">
        <v>168</v>
      </c>
      <c r="R152" s="62" t="s">
        <v>158</v>
      </c>
    </row>
    <row r="153" spans="1:18" ht="15" customHeight="1" x14ac:dyDescent="0.3">
      <c r="A153" s="11" t="s">
        <v>78</v>
      </c>
      <c r="B153" s="11" t="s">
        <v>89</v>
      </c>
      <c r="C153" s="11">
        <v>0.79513888888888884</v>
      </c>
      <c r="D153" s="11" t="s">
        <v>80</v>
      </c>
      <c r="E153" s="11" t="s">
        <v>47</v>
      </c>
      <c r="F153" s="11" t="s">
        <v>100</v>
      </c>
      <c r="G153" s="32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9"/>
    </row>
    <row r="154" spans="1:18" ht="15" customHeight="1" x14ac:dyDescent="0.3">
      <c r="A154" s="10" t="s">
        <v>78</v>
      </c>
      <c r="B154" s="10" t="s">
        <v>89</v>
      </c>
      <c r="C154" s="10">
        <v>0.79513888888888884</v>
      </c>
      <c r="D154" s="10" t="s">
        <v>83</v>
      </c>
      <c r="E154" s="10" t="s">
        <v>95</v>
      </c>
      <c r="F154" s="10" t="s">
        <v>101</v>
      </c>
      <c r="G154" s="328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9"/>
    </row>
    <row r="155" spans="1:18" ht="15" customHeight="1" x14ac:dyDescent="0.3">
      <c r="A155" s="26" t="s">
        <v>78</v>
      </c>
      <c r="B155" s="26" t="s">
        <v>94</v>
      </c>
      <c r="C155" s="26">
        <v>8.6805555555555566E-2</v>
      </c>
      <c r="D155" s="26" t="s">
        <v>80</v>
      </c>
      <c r="E155" s="26" t="s">
        <v>71</v>
      </c>
      <c r="F155" s="26" t="s">
        <v>100</v>
      </c>
      <c r="G155" s="32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9"/>
    </row>
    <row r="156" spans="1:18" ht="15" customHeight="1" x14ac:dyDescent="0.3">
      <c r="A156" s="10" t="s">
        <v>78</v>
      </c>
      <c r="B156" s="10" t="s">
        <v>94</v>
      </c>
      <c r="C156" s="10">
        <v>8.6805555555555566E-2</v>
      </c>
      <c r="D156" s="10" t="s">
        <v>83</v>
      </c>
      <c r="E156" s="10" t="s">
        <v>95</v>
      </c>
      <c r="F156" s="10" t="s">
        <v>101</v>
      </c>
      <c r="G156" s="32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9"/>
    </row>
    <row r="157" spans="1:18" ht="15" customHeight="1" x14ac:dyDescent="0.3">
      <c r="A157" s="26" t="s">
        <v>78</v>
      </c>
      <c r="B157" s="26" t="s">
        <v>79</v>
      </c>
      <c r="C157" s="26">
        <v>0.60416666666666663</v>
      </c>
      <c r="D157" s="26" t="s">
        <v>80</v>
      </c>
      <c r="E157" s="26" t="s">
        <v>74</v>
      </c>
      <c r="F157" s="26" t="s">
        <v>91</v>
      </c>
      <c r="G157" s="32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9"/>
    </row>
    <row r="158" spans="1:18" ht="15" customHeight="1" x14ac:dyDescent="0.3">
      <c r="A158" s="10" t="s">
        <v>78</v>
      </c>
      <c r="B158" s="10" t="s">
        <v>79</v>
      </c>
      <c r="C158" s="10">
        <v>0.60416666666666663</v>
      </c>
      <c r="D158" s="10" t="s">
        <v>83</v>
      </c>
      <c r="E158" s="10" t="s">
        <v>122</v>
      </c>
      <c r="F158" s="10" t="s">
        <v>93</v>
      </c>
      <c r="G158" s="32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9"/>
    </row>
    <row r="159" spans="1:18" ht="15" customHeight="1" x14ac:dyDescent="0.3">
      <c r="A159" s="31" t="s">
        <v>78</v>
      </c>
      <c r="B159" s="31" t="s">
        <v>86</v>
      </c>
      <c r="C159" s="31">
        <v>0.4201388888888889</v>
      </c>
      <c r="D159" s="31" t="s">
        <v>83</v>
      </c>
      <c r="E159" s="31" t="s">
        <v>87</v>
      </c>
      <c r="F159" s="31" t="s">
        <v>116</v>
      </c>
      <c r="G159" s="328"/>
      <c r="H159" s="28"/>
      <c r="I159" s="29"/>
      <c r="J159" s="29"/>
      <c r="K159" s="29"/>
      <c r="L159" s="29"/>
      <c r="M159" s="29"/>
      <c r="N159" s="29"/>
      <c r="O159" s="29"/>
      <c r="P159" s="29"/>
      <c r="Q159" s="29"/>
      <c r="R159" s="30"/>
    </row>
    <row r="160" spans="1:18" ht="17.399999999999999" customHeight="1" x14ac:dyDescent="0.3">
      <c r="A160" s="360"/>
      <c r="B160" s="361"/>
      <c r="C160" s="361"/>
      <c r="D160" s="361"/>
      <c r="E160" s="361"/>
      <c r="F160" s="361"/>
      <c r="G160" s="361"/>
      <c r="H160" s="361"/>
      <c r="I160" s="361"/>
      <c r="J160" s="361"/>
      <c r="K160" s="361"/>
      <c r="L160" s="361"/>
      <c r="M160" s="361"/>
      <c r="N160" s="361"/>
      <c r="O160" s="361"/>
      <c r="P160" s="361"/>
      <c r="Q160" s="361"/>
      <c r="R160" s="362"/>
    </row>
    <row r="161" spans="1:18" ht="22.05" customHeight="1" x14ac:dyDescent="0.3">
      <c r="A161" s="323" t="s">
        <v>6</v>
      </c>
      <c r="B161" s="324"/>
      <c r="C161" s="324"/>
      <c r="D161" s="324"/>
      <c r="E161" s="324"/>
      <c r="F161" s="324"/>
      <c r="G161" s="2">
        <v>45994</v>
      </c>
      <c r="H161" s="323" t="s">
        <v>7</v>
      </c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</row>
    <row r="162" spans="1:18" ht="24" customHeight="1" x14ac:dyDescent="0.3">
      <c r="A162" s="3" t="s">
        <v>8</v>
      </c>
      <c r="B162" s="3" t="s">
        <v>9</v>
      </c>
      <c r="C162" s="3" t="s">
        <v>10</v>
      </c>
      <c r="D162" s="3" t="s">
        <v>11</v>
      </c>
      <c r="E162" s="3" t="s">
        <v>12</v>
      </c>
      <c r="F162" s="4" t="s">
        <v>13</v>
      </c>
      <c r="G162" s="5" t="s">
        <v>14</v>
      </c>
      <c r="H162" s="3" t="s">
        <v>15</v>
      </c>
      <c r="I162" s="3" t="s">
        <v>16</v>
      </c>
      <c r="J162" s="3" t="s">
        <v>17</v>
      </c>
      <c r="K162" s="3" t="s">
        <v>18</v>
      </c>
      <c r="L162" s="3" t="s">
        <v>19</v>
      </c>
      <c r="M162" s="3" t="s">
        <v>20</v>
      </c>
      <c r="N162" s="3" t="s">
        <v>21</v>
      </c>
      <c r="O162" s="3" t="s">
        <v>22</v>
      </c>
      <c r="P162" s="3" t="s">
        <v>23</v>
      </c>
      <c r="Q162" s="3" t="s">
        <v>24</v>
      </c>
      <c r="R162" s="3" t="s">
        <v>25</v>
      </c>
    </row>
    <row r="163" spans="1:18" ht="15" customHeight="1" x14ac:dyDescent="0.3">
      <c r="A163" s="6" t="s">
        <v>26</v>
      </c>
      <c r="B163" s="6" t="s">
        <v>27</v>
      </c>
      <c r="C163" s="6">
        <v>0.4201388888888889</v>
      </c>
      <c r="D163" s="6" t="s">
        <v>28</v>
      </c>
      <c r="E163" s="6" t="s">
        <v>29</v>
      </c>
      <c r="F163" s="6" t="s">
        <v>103</v>
      </c>
      <c r="G163" s="32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9"/>
    </row>
    <row r="164" spans="1:18" ht="15" customHeight="1" x14ac:dyDescent="0.3">
      <c r="A164" s="10" t="s">
        <v>26</v>
      </c>
      <c r="B164" s="10" t="s">
        <v>27</v>
      </c>
      <c r="C164" s="10">
        <v>0.4201388888888889</v>
      </c>
      <c r="D164" s="10" t="s">
        <v>31</v>
      </c>
      <c r="E164" s="10" t="s">
        <v>32</v>
      </c>
      <c r="F164" s="10" t="s">
        <v>105</v>
      </c>
      <c r="G164" s="32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9"/>
    </row>
    <row r="165" spans="1:18" ht="15" customHeight="1" x14ac:dyDescent="0.3">
      <c r="A165" s="10" t="s">
        <v>26</v>
      </c>
      <c r="B165" s="10" t="s">
        <v>27</v>
      </c>
      <c r="C165" s="10">
        <v>0.4201388888888889</v>
      </c>
      <c r="D165" s="10" t="s">
        <v>34</v>
      </c>
      <c r="E165" s="10" t="s">
        <v>32</v>
      </c>
      <c r="F165" s="10" t="s">
        <v>35</v>
      </c>
      <c r="G165" s="32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9"/>
    </row>
    <row r="166" spans="1:18" ht="15" customHeight="1" x14ac:dyDescent="0.3">
      <c r="A166" s="11" t="s">
        <v>36</v>
      </c>
      <c r="B166" s="11" t="s">
        <v>37</v>
      </c>
      <c r="C166" s="11">
        <v>0.75694444444444453</v>
      </c>
      <c r="D166" s="11" t="s">
        <v>38</v>
      </c>
      <c r="E166" s="11" t="s">
        <v>132</v>
      </c>
      <c r="F166" s="11" t="s">
        <v>107</v>
      </c>
      <c r="G166" s="32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9"/>
    </row>
    <row r="167" spans="1:18" ht="15" customHeight="1" x14ac:dyDescent="0.3">
      <c r="A167" s="10" t="s">
        <v>36</v>
      </c>
      <c r="B167" s="10" t="s">
        <v>37</v>
      </c>
      <c r="C167" s="10">
        <v>0.75694444444444453</v>
      </c>
      <c r="D167" s="10" t="s">
        <v>40</v>
      </c>
      <c r="E167" s="10" t="s">
        <v>115</v>
      </c>
      <c r="F167" s="10" t="s">
        <v>108</v>
      </c>
      <c r="G167" s="32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9"/>
    </row>
    <row r="168" spans="1:18" ht="15" customHeight="1" x14ac:dyDescent="0.3">
      <c r="A168" s="10" t="s">
        <v>36</v>
      </c>
      <c r="B168" s="10" t="s">
        <v>37</v>
      </c>
      <c r="C168" s="10">
        <v>0.75694444444444453</v>
      </c>
      <c r="D168" s="10" t="s">
        <v>42</v>
      </c>
      <c r="E168" s="10" t="s">
        <v>115</v>
      </c>
      <c r="F168" s="10" t="s">
        <v>109</v>
      </c>
      <c r="G168" s="32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9"/>
    </row>
    <row r="169" spans="1:18" ht="15" customHeight="1" x14ac:dyDescent="0.3">
      <c r="A169" s="11" t="s">
        <v>78</v>
      </c>
      <c r="B169" s="11" t="s">
        <v>94</v>
      </c>
      <c r="C169" s="11">
        <v>8.6805555555555566E-2</v>
      </c>
      <c r="D169" s="11" t="s">
        <v>80</v>
      </c>
      <c r="E169" s="11" t="s">
        <v>47</v>
      </c>
      <c r="F169" s="11" t="s">
        <v>82</v>
      </c>
      <c r="G169" s="32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9"/>
    </row>
    <row r="170" spans="1:18" ht="15" customHeight="1" x14ac:dyDescent="0.3">
      <c r="A170" s="10" t="s">
        <v>78</v>
      </c>
      <c r="B170" s="10" t="s">
        <v>94</v>
      </c>
      <c r="C170" s="10">
        <v>8.6805555555555566E-2</v>
      </c>
      <c r="D170" s="10" t="s">
        <v>83</v>
      </c>
      <c r="E170" s="10" t="s">
        <v>95</v>
      </c>
      <c r="F170" s="10" t="s">
        <v>85</v>
      </c>
      <c r="G170" s="32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9"/>
    </row>
    <row r="171" spans="1:18" ht="15" customHeight="1" x14ac:dyDescent="0.3">
      <c r="A171" s="26" t="s">
        <v>78</v>
      </c>
      <c r="B171" s="26" t="s">
        <v>89</v>
      </c>
      <c r="C171" s="26">
        <v>0.79513888888888884</v>
      </c>
      <c r="D171" s="26" t="s">
        <v>80</v>
      </c>
      <c r="E171" s="26" t="s">
        <v>87</v>
      </c>
      <c r="F171" s="26" t="s">
        <v>100</v>
      </c>
      <c r="G171" s="328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9"/>
    </row>
    <row r="172" spans="1:18" ht="15" customHeight="1" x14ac:dyDescent="0.3">
      <c r="A172" s="10" t="s">
        <v>78</v>
      </c>
      <c r="B172" s="10" t="s">
        <v>89</v>
      </c>
      <c r="C172" s="10">
        <v>0.79513888888888884</v>
      </c>
      <c r="D172" s="10" t="s">
        <v>83</v>
      </c>
      <c r="E172" s="10" t="s">
        <v>32</v>
      </c>
      <c r="F172" s="10" t="s">
        <v>101</v>
      </c>
      <c r="G172" s="32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9"/>
    </row>
    <row r="173" spans="1:18" ht="15" customHeight="1" x14ac:dyDescent="0.3">
      <c r="A173" s="26" t="s">
        <v>78</v>
      </c>
      <c r="B173" s="26" t="s">
        <v>79</v>
      </c>
      <c r="C173" s="26">
        <v>0.60416666666666663</v>
      </c>
      <c r="D173" s="26" t="s">
        <v>80</v>
      </c>
      <c r="E173" s="26" t="s">
        <v>152</v>
      </c>
      <c r="F173" s="26" t="s">
        <v>100</v>
      </c>
      <c r="G173" s="32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9"/>
    </row>
    <row r="174" spans="1:18" ht="15" customHeight="1" x14ac:dyDescent="0.3">
      <c r="A174" s="10" t="s">
        <v>78</v>
      </c>
      <c r="B174" s="10" t="s">
        <v>79</v>
      </c>
      <c r="C174" s="10">
        <v>0.60416666666666663</v>
      </c>
      <c r="D174" s="10" t="s">
        <v>83</v>
      </c>
      <c r="E174" s="10" t="s">
        <v>84</v>
      </c>
      <c r="F174" s="10" t="s">
        <v>101</v>
      </c>
      <c r="G174" s="32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9"/>
    </row>
    <row r="175" spans="1:18" ht="15" customHeight="1" x14ac:dyDescent="0.3">
      <c r="A175" s="26" t="s">
        <v>78</v>
      </c>
      <c r="B175" s="26" t="s">
        <v>86</v>
      </c>
      <c r="C175" s="26">
        <v>0.4201388888888889</v>
      </c>
      <c r="D175" s="26" t="s">
        <v>83</v>
      </c>
      <c r="E175" s="26" t="s">
        <v>87</v>
      </c>
      <c r="F175" s="26" t="s">
        <v>116</v>
      </c>
      <c r="G175" s="32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9"/>
    </row>
    <row r="176" spans="1:18" ht="15" customHeight="1" x14ac:dyDescent="0.3">
      <c r="A176" s="11" t="s">
        <v>66</v>
      </c>
      <c r="B176" s="11" t="s">
        <v>70</v>
      </c>
      <c r="C176" s="11">
        <v>0.22222222222222221</v>
      </c>
      <c r="D176" s="11" t="s">
        <v>68</v>
      </c>
      <c r="E176" s="11" t="s">
        <v>47</v>
      </c>
      <c r="F176" s="11" t="s">
        <v>147</v>
      </c>
      <c r="G176" s="32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9"/>
    </row>
    <row r="177" spans="1:18" ht="15" customHeight="1" x14ac:dyDescent="0.3">
      <c r="A177" s="26" t="s">
        <v>66</v>
      </c>
      <c r="B177" s="26" t="s">
        <v>67</v>
      </c>
      <c r="C177" s="26">
        <v>9.7222222222222224E-2</v>
      </c>
      <c r="D177" s="26" t="s">
        <v>68</v>
      </c>
      <c r="E177" s="26" t="s">
        <v>71</v>
      </c>
      <c r="F177" s="26" t="s">
        <v>77</v>
      </c>
      <c r="G177" s="32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9"/>
    </row>
    <row r="178" spans="1:18" ht="15" customHeight="1" x14ac:dyDescent="0.3">
      <c r="A178" s="26" t="s">
        <v>66</v>
      </c>
      <c r="B178" s="26" t="s">
        <v>76</v>
      </c>
      <c r="C178" s="26">
        <v>0.85416666666666663</v>
      </c>
      <c r="D178" s="26" t="s">
        <v>68</v>
      </c>
      <c r="E178" s="26" t="s">
        <v>74</v>
      </c>
      <c r="F178" s="26" t="s">
        <v>77</v>
      </c>
      <c r="G178" s="32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9"/>
    </row>
    <row r="179" spans="1:18" ht="15" customHeight="1" x14ac:dyDescent="0.3">
      <c r="A179" s="31" t="s">
        <v>66</v>
      </c>
      <c r="B179" s="31" t="s">
        <v>73</v>
      </c>
      <c r="C179" s="31">
        <v>0.44444444444444442</v>
      </c>
      <c r="D179" s="31" t="s">
        <v>68</v>
      </c>
      <c r="E179" s="31" t="s">
        <v>71</v>
      </c>
      <c r="F179" s="31" t="s">
        <v>77</v>
      </c>
      <c r="G179" s="328"/>
      <c r="H179" s="28"/>
      <c r="I179" s="29"/>
      <c r="J179" s="29"/>
      <c r="K179" s="29"/>
      <c r="L179" s="29"/>
      <c r="M179" s="29"/>
      <c r="N179" s="29"/>
      <c r="O179" s="29"/>
      <c r="P179" s="29"/>
      <c r="Q179" s="29"/>
      <c r="R179" s="30"/>
    </row>
    <row r="180" spans="1:18" ht="17.399999999999999" customHeight="1" x14ac:dyDescent="0.3">
      <c r="A180" s="360"/>
      <c r="B180" s="361"/>
      <c r="C180" s="361"/>
      <c r="D180" s="361"/>
      <c r="E180" s="361"/>
      <c r="F180" s="361"/>
      <c r="G180" s="361"/>
      <c r="H180" s="361"/>
      <c r="I180" s="361"/>
      <c r="J180" s="361"/>
      <c r="K180" s="361"/>
      <c r="L180" s="361"/>
      <c r="M180" s="361"/>
      <c r="N180" s="361"/>
      <c r="O180" s="361"/>
      <c r="P180" s="361"/>
      <c r="Q180" s="361"/>
      <c r="R180" s="362"/>
    </row>
    <row r="181" spans="1:18" ht="22.05" customHeight="1" x14ac:dyDescent="0.3">
      <c r="A181" s="323" t="s">
        <v>6</v>
      </c>
      <c r="B181" s="324"/>
      <c r="C181" s="324"/>
      <c r="D181" s="324"/>
      <c r="E181" s="324"/>
      <c r="F181" s="324"/>
      <c r="G181" s="2">
        <v>45995</v>
      </c>
      <c r="H181" s="323" t="s">
        <v>7</v>
      </c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</row>
    <row r="182" spans="1:18" ht="24" customHeight="1" x14ac:dyDescent="0.3">
      <c r="A182" s="3" t="s">
        <v>8</v>
      </c>
      <c r="B182" s="3" t="s">
        <v>9</v>
      </c>
      <c r="C182" s="3" t="s">
        <v>10</v>
      </c>
      <c r="D182" s="3" t="s">
        <v>11</v>
      </c>
      <c r="E182" s="3" t="s">
        <v>12</v>
      </c>
      <c r="F182" s="4" t="s">
        <v>13</v>
      </c>
      <c r="G182" s="5" t="s">
        <v>14</v>
      </c>
      <c r="H182" s="3" t="s">
        <v>15</v>
      </c>
      <c r="I182" s="3" t="s">
        <v>16</v>
      </c>
      <c r="J182" s="3" t="s">
        <v>17</v>
      </c>
      <c r="K182" s="3" t="s">
        <v>18</v>
      </c>
      <c r="L182" s="3" t="s">
        <v>19</v>
      </c>
      <c r="M182" s="3" t="s">
        <v>20</v>
      </c>
      <c r="N182" s="3" t="s">
        <v>21</v>
      </c>
      <c r="O182" s="3" t="s">
        <v>22</v>
      </c>
      <c r="P182" s="3" t="s">
        <v>23</v>
      </c>
      <c r="Q182" s="3" t="s">
        <v>24</v>
      </c>
      <c r="R182" s="3" t="s">
        <v>25</v>
      </c>
    </row>
    <row r="183" spans="1:18" ht="15" customHeight="1" x14ac:dyDescent="0.3">
      <c r="A183" s="6" t="s">
        <v>78</v>
      </c>
      <c r="B183" s="6" t="s">
        <v>79</v>
      </c>
      <c r="C183" s="6">
        <v>0.60416666666666663</v>
      </c>
      <c r="D183" s="6" t="s">
        <v>80</v>
      </c>
      <c r="E183" s="6" t="s">
        <v>47</v>
      </c>
      <c r="F183" s="6" t="s">
        <v>159</v>
      </c>
      <c r="G183" s="32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9"/>
    </row>
    <row r="184" spans="1:18" ht="15" customHeight="1" x14ac:dyDescent="0.3">
      <c r="A184" s="10" t="s">
        <v>78</v>
      </c>
      <c r="B184" s="10" t="s">
        <v>79</v>
      </c>
      <c r="C184" s="10">
        <v>0.60416666666666663</v>
      </c>
      <c r="D184" s="10" t="s">
        <v>83</v>
      </c>
      <c r="E184" s="10" t="s">
        <v>95</v>
      </c>
      <c r="F184" s="10" t="s">
        <v>160</v>
      </c>
      <c r="G184" s="32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9"/>
    </row>
    <row r="185" spans="1:18" ht="15" customHeight="1" x14ac:dyDescent="0.3">
      <c r="A185" s="26" t="s">
        <v>78</v>
      </c>
      <c r="B185" s="26" t="s">
        <v>94</v>
      </c>
      <c r="C185" s="26">
        <v>8.6805555555555566E-2</v>
      </c>
      <c r="D185" s="26" t="s">
        <v>80</v>
      </c>
      <c r="E185" s="26" t="s">
        <v>71</v>
      </c>
      <c r="F185" s="26" t="s">
        <v>82</v>
      </c>
      <c r="G185" s="32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9"/>
    </row>
    <row r="186" spans="1:18" ht="15" customHeight="1" x14ac:dyDescent="0.3">
      <c r="A186" s="10" t="s">
        <v>78</v>
      </c>
      <c r="B186" s="10" t="s">
        <v>94</v>
      </c>
      <c r="C186" s="10">
        <v>8.6805555555555566E-2</v>
      </c>
      <c r="D186" s="10" t="s">
        <v>83</v>
      </c>
      <c r="E186" s="10" t="s">
        <v>95</v>
      </c>
      <c r="F186" s="10" t="s">
        <v>85</v>
      </c>
      <c r="G186" s="328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9"/>
    </row>
    <row r="187" spans="1:18" ht="15" customHeight="1" x14ac:dyDescent="0.3">
      <c r="A187" s="26" t="s">
        <v>78</v>
      </c>
      <c r="B187" s="26" t="s">
        <v>89</v>
      </c>
      <c r="C187" s="26">
        <v>0.79513888888888884</v>
      </c>
      <c r="D187" s="26" t="s">
        <v>80</v>
      </c>
      <c r="E187" s="26" t="s">
        <v>54</v>
      </c>
      <c r="F187" s="26" t="s">
        <v>100</v>
      </c>
      <c r="G187" s="328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9"/>
    </row>
    <row r="188" spans="1:18" ht="15" customHeight="1" x14ac:dyDescent="0.3">
      <c r="A188" s="10" t="s">
        <v>78</v>
      </c>
      <c r="B188" s="10" t="s">
        <v>89</v>
      </c>
      <c r="C188" s="10">
        <v>0.79513888888888884</v>
      </c>
      <c r="D188" s="10" t="s">
        <v>83</v>
      </c>
      <c r="E188" s="10" t="s">
        <v>161</v>
      </c>
      <c r="F188" s="10" t="s">
        <v>101</v>
      </c>
      <c r="G188" s="328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9"/>
    </row>
    <row r="189" spans="1:18" ht="15" customHeight="1" x14ac:dyDescent="0.3">
      <c r="A189" s="26" t="s">
        <v>78</v>
      </c>
      <c r="B189" s="26" t="s">
        <v>86</v>
      </c>
      <c r="C189" s="26">
        <v>0.4201388888888889</v>
      </c>
      <c r="D189" s="26" t="s">
        <v>83</v>
      </c>
      <c r="E189" s="26" t="s">
        <v>87</v>
      </c>
      <c r="F189" s="26" t="s">
        <v>116</v>
      </c>
      <c r="G189" s="328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9"/>
    </row>
    <row r="190" spans="1:18" ht="15" customHeight="1" x14ac:dyDescent="0.3">
      <c r="A190" s="11" t="s">
        <v>66</v>
      </c>
      <c r="B190" s="11" t="s">
        <v>67</v>
      </c>
      <c r="C190" s="11">
        <v>9.7222222222222224E-2</v>
      </c>
      <c r="D190" s="11" t="s">
        <v>68</v>
      </c>
      <c r="E190" s="11" t="s">
        <v>47</v>
      </c>
      <c r="F190" s="11" t="s">
        <v>96</v>
      </c>
      <c r="G190" s="328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9"/>
    </row>
    <row r="191" spans="1:18" ht="15" customHeight="1" x14ac:dyDescent="0.3">
      <c r="A191" s="26" t="s">
        <v>66</v>
      </c>
      <c r="B191" s="26" t="s">
        <v>70</v>
      </c>
      <c r="C191" s="26">
        <v>0.22222222222222221</v>
      </c>
      <c r="D191" s="26" t="s">
        <v>68</v>
      </c>
      <c r="E191" s="26" t="s">
        <v>71</v>
      </c>
      <c r="F191" s="26" t="s">
        <v>96</v>
      </c>
      <c r="G191" s="328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9"/>
    </row>
    <row r="192" spans="1:18" ht="15" customHeight="1" x14ac:dyDescent="0.3">
      <c r="A192" s="26" t="s">
        <v>66</v>
      </c>
      <c r="B192" s="26" t="s">
        <v>73</v>
      </c>
      <c r="C192" s="26">
        <v>0.44444444444444442</v>
      </c>
      <c r="D192" s="26" t="s">
        <v>68</v>
      </c>
      <c r="E192" s="26" t="s">
        <v>71</v>
      </c>
      <c r="F192" s="26" t="s">
        <v>72</v>
      </c>
      <c r="G192" s="328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9"/>
    </row>
    <row r="193" spans="1:18" ht="15" customHeight="1" x14ac:dyDescent="0.3">
      <c r="A193" s="26" t="s">
        <v>66</v>
      </c>
      <c r="B193" s="26" t="s">
        <v>76</v>
      </c>
      <c r="C193" s="26">
        <v>0.85416666666666663</v>
      </c>
      <c r="D193" s="26" t="s">
        <v>68</v>
      </c>
      <c r="E193" s="26" t="s">
        <v>71</v>
      </c>
      <c r="F193" s="26" t="s">
        <v>99</v>
      </c>
      <c r="G193" s="328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9"/>
    </row>
    <row r="194" spans="1:18" ht="15" customHeight="1" x14ac:dyDescent="0.3">
      <c r="A194" s="63" t="s">
        <v>44</v>
      </c>
      <c r="B194" s="63" t="s">
        <v>60</v>
      </c>
      <c r="C194" s="63">
        <v>0.53819444444444442</v>
      </c>
      <c r="D194" s="63" t="s">
        <v>61</v>
      </c>
      <c r="E194" s="63"/>
      <c r="F194" s="63" t="s">
        <v>62</v>
      </c>
      <c r="G194" s="328"/>
      <c r="H194" s="64" t="s">
        <v>60</v>
      </c>
      <c r="I194" s="65">
        <v>1.006</v>
      </c>
      <c r="J194" s="66">
        <v>169</v>
      </c>
      <c r="K194" s="67" t="s">
        <v>50</v>
      </c>
      <c r="L194" s="66">
        <v>1</v>
      </c>
      <c r="M194" s="66">
        <v>0</v>
      </c>
      <c r="N194" s="66">
        <v>1</v>
      </c>
      <c r="O194" s="67" t="s">
        <v>64</v>
      </c>
      <c r="P194" s="67">
        <v>0.53819444444444442</v>
      </c>
      <c r="Q194" s="66">
        <v>168</v>
      </c>
      <c r="R194" s="68" t="s">
        <v>162</v>
      </c>
    </row>
    <row r="195" spans="1:18" ht="17.399999999999999" customHeight="1" x14ac:dyDescent="0.3">
      <c r="A195" s="360"/>
      <c r="B195" s="361"/>
      <c r="C195" s="361"/>
      <c r="D195" s="361"/>
      <c r="E195" s="361"/>
      <c r="F195" s="361"/>
      <c r="G195" s="361"/>
      <c r="H195" s="361"/>
      <c r="I195" s="361"/>
      <c r="J195" s="361"/>
      <c r="K195" s="361"/>
      <c r="L195" s="361"/>
      <c r="M195" s="361"/>
      <c r="N195" s="361"/>
      <c r="O195" s="361"/>
      <c r="P195" s="361"/>
      <c r="Q195" s="361"/>
      <c r="R195" s="362"/>
    </row>
    <row r="196" spans="1:18" ht="22.05" customHeight="1" x14ac:dyDescent="0.3">
      <c r="A196" s="323" t="s">
        <v>6</v>
      </c>
      <c r="B196" s="324"/>
      <c r="C196" s="324"/>
      <c r="D196" s="324"/>
      <c r="E196" s="324"/>
      <c r="F196" s="324"/>
      <c r="G196" s="2">
        <v>45996</v>
      </c>
      <c r="H196" s="323" t="s">
        <v>7</v>
      </c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</row>
    <row r="197" spans="1:18" ht="24" customHeight="1" x14ac:dyDescent="0.3">
      <c r="A197" s="3" t="s">
        <v>8</v>
      </c>
      <c r="B197" s="3" t="s">
        <v>9</v>
      </c>
      <c r="C197" s="3" t="s">
        <v>10</v>
      </c>
      <c r="D197" s="3" t="s">
        <v>11</v>
      </c>
      <c r="E197" s="3" t="s">
        <v>12</v>
      </c>
      <c r="F197" s="4" t="s">
        <v>13</v>
      </c>
      <c r="G197" s="5" t="s">
        <v>14</v>
      </c>
      <c r="H197" s="3" t="s">
        <v>15</v>
      </c>
      <c r="I197" s="3" t="s">
        <v>16</v>
      </c>
      <c r="J197" s="3" t="s">
        <v>17</v>
      </c>
      <c r="K197" s="3" t="s">
        <v>18</v>
      </c>
      <c r="L197" s="3" t="s">
        <v>19</v>
      </c>
      <c r="M197" s="3" t="s">
        <v>20</v>
      </c>
      <c r="N197" s="3" t="s">
        <v>21</v>
      </c>
      <c r="O197" s="3" t="s">
        <v>22</v>
      </c>
      <c r="P197" s="3" t="s">
        <v>23</v>
      </c>
      <c r="Q197" s="3" t="s">
        <v>24</v>
      </c>
      <c r="R197" s="3" t="s">
        <v>25</v>
      </c>
    </row>
    <row r="198" spans="1:18" ht="15" customHeight="1" x14ac:dyDescent="0.3">
      <c r="A198" s="6" t="s">
        <v>26</v>
      </c>
      <c r="B198" s="6" t="s">
        <v>27</v>
      </c>
      <c r="C198" s="6">
        <v>0.4201388888888889</v>
      </c>
      <c r="D198" s="6" t="s">
        <v>163</v>
      </c>
      <c r="E198" s="6" t="s">
        <v>121</v>
      </c>
      <c r="F198" s="6" t="s">
        <v>30</v>
      </c>
      <c r="G198" s="328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9"/>
    </row>
    <row r="199" spans="1:18" ht="15" customHeight="1" x14ac:dyDescent="0.3">
      <c r="A199" s="11" t="s">
        <v>36</v>
      </c>
      <c r="B199" s="11" t="s">
        <v>37</v>
      </c>
      <c r="C199" s="11">
        <v>0.75694444444444453</v>
      </c>
      <c r="D199" s="11" t="s">
        <v>164</v>
      </c>
      <c r="E199" s="11" t="s">
        <v>121</v>
      </c>
      <c r="F199" s="11" t="s">
        <v>39</v>
      </c>
      <c r="G199" s="328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9"/>
    </row>
    <row r="200" spans="1:18" ht="15" customHeight="1" x14ac:dyDescent="0.3">
      <c r="A200" s="11" t="s">
        <v>66</v>
      </c>
      <c r="B200" s="11" t="s">
        <v>67</v>
      </c>
      <c r="C200" s="11">
        <v>9.7222222222222224E-2</v>
      </c>
      <c r="D200" s="11" t="s">
        <v>68</v>
      </c>
      <c r="E200" s="11" t="s">
        <v>47</v>
      </c>
      <c r="F200" s="11" t="s">
        <v>165</v>
      </c>
      <c r="G200" s="328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9"/>
    </row>
    <row r="201" spans="1:18" ht="15" customHeight="1" x14ac:dyDescent="0.3">
      <c r="A201" s="26" t="s">
        <v>66</v>
      </c>
      <c r="B201" s="26" t="s">
        <v>70</v>
      </c>
      <c r="C201" s="26">
        <v>0.22222222222222221</v>
      </c>
      <c r="D201" s="26" t="s">
        <v>68</v>
      </c>
      <c r="E201" s="26" t="s">
        <v>71</v>
      </c>
      <c r="F201" s="26" t="s">
        <v>165</v>
      </c>
      <c r="G201" s="328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9"/>
    </row>
    <row r="202" spans="1:18" ht="15" customHeight="1" x14ac:dyDescent="0.3">
      <c r="A202" s="26" t="s">
        <v>66</v>
      </c>
      <c r="B202" s="26" t="s">
        <v>73</v>
      </c>
      <c r="C202" s="26">
        <v>0.44444444444444442</v>
      </c>
      <c r="D202" s="26" t="s">
        <v>68</v>
      </c>
      <c r="E202" s="26" t="s">
        <v>71</v>
      </c>
      <c r="F202" s="26" t="s">
        <v>165</v>
      </c>
      <c r="G202" s="328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9"/>
    </row>
    <row r="203" spans="1:18" ht="15" customHeight="1" x14ac:dyDescent="0.3">
      <c r="A203" s="26" t="s">
        <v>66</v>
      </c>
      <c r="B203" s="26" t="s">
        <v>75</v>
      </c>
      <c r="C203" s="26">
        <v>0.49305555555555558</v>
      </c>
      <c r="D203" s="26" t="s">
        <v>68</v>
      </c>
      <c r="E203" s="26" t="s">
        <v>71</v>
      </c>
      <c r="F203" s="26" t="s">
        <v>96</v>
      </c>
      <c r="G203" s="328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9"/>
    </row>
    <row r="204" spans="1:18" ht="15" customHeight="1" x14ac:dyDescent="0.3">
      <c r="A204" s="11" t="s">
        <v>78</v>
      </c>
      <c r="B204" s="11" t="s">
        <v>79</v>
      </c>
      <c r="C204" s="11">
        <v>0.60416666666666663</v>
      </c>
      <c r="D204" s="11" t="s">
        <v>80</v>
      </c>
      <c r="E204" s="11" t="s">
        <v>102</v>
      </c>
      <c r="F204" s="11" t="s">
        <v>82</v>
      </c>
      <c r="G204" s="328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9"/>
    </row>
    <row r="205" spans="1:18" ht="15" customHeight="1" x14ac:dyDescent="0.3">
      <c r="A205" s="10" t="s">
        <v>78</v>
      </c>
      <c r="B205" s="10" t="s">
        <v>79</v>
      </c>
      <c r="C205" s="10">
        <v>0.60416666666666663</v>
      </c>
      <c r="D205" s="10" t="s">
        <v>83</v>
      </c>
      <c r="E205" s="10" t="s">
        <v>104</v>
      </c>
      <c r="F205" s="10" t="s">
        <v>85</v>
      </c>
      <c r="G205" s="328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9"/>
    </row>
    <row r="206" spans="1:18" ht="15" customHeight="1" x14ac:dyDescent="0.3">
      <c r="A206" s="26" t="s">
        <v>78</v>
      </c>
      <c r="B206" s="26" t="s">
        <v>94</v>
      </c>
      <c r="C206" s="26">
        <v>8.6805555555555566E-2</v>
      </c>
      <c r="D206" s="26" t="s">
        <v>80</v>
      </c>
      <c r="E206" s="26" t="s">
        <v>71</v>
      </c>
      <c r="F206" s="26" t="s">
        <v>100</v>
      </c>
      <c r="G206" s="328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9"/>
    </row>
    <row r="207" spans="1:18" ht="15" customHeight="1" x14ac:dyDescent="0.3">
      <c r="A207" s="10" t="s">
        <v>78</v>
      </c>
      <c r="B207" s="10" t="s">
        <v>94</v>
      </c>
      <c r="C207" s="10">
        <v>8.6805555555555566E-2</v>
      </c>
      <c r="D207" s="10" t="s">
        <v>83</v>
      </c>
      <c r="E207" s="10" t="s">
        <v>95</v>
      </c>
      <c r="F207" s="10" t="s">
        <v>101</v>
      </c>
      <c r="G207" s="328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9"/>
    </row>
    <row r="208" spans="1:18" ht="15" customHeight="1" x14ac:dyDescent="0.3">
      <c r="A208" s="26" t="s">
        <v>78</v>
      </c>
      <c r="B208" s="26" t="s">
        <v>86</v>
      </c>
      <c r="C208" s="26">
        <v>0.4201388888888889</v>
      </c>
      <c r="D208" s="26" t="s">
        <v>83</v>
      </c>
      <c r="E208" s="26" t="s">
        <v>87</v>
      </c>
      <c r="F208" s="26" t="s">
        <v>88</v>
      </c>
      <c r="G208" s="328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9"/>
    </row>
    <row r="209" spans="1:18" ht="15" customHeight="1" x14ac:dyDescent="0.3">
      <c r="A209" s="26" t="s">
        <v>78</v>
      </c>
      <c r="B209" s="26" t="s">
        <v>89</v>
      </c>
      <c r="C209" s="26">
        <v>0.79513888888888884</v>
      </c>
      <c r="D209" s="26" t="s">
        <v>80</v>
      </c>
      <c r="E209" s="26" t="s">
        <v>74</v>
      </c>
      <c r="F209" s="26" t="s">
        <v>91</v>
      </c>
      <c r="G209" s="328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9"/>
    </row>
    <row r="210" spans="1:18" ht="15" customHeight="1" x14ac:dyDescent="0.3">
      <c r="A210" s="27" t="s">
        <v>78</v>
      </c>
      <c r="B210" s="27" t="s">
        <v>89</v>
      </c>
      <c r="C210" s="27">
        <v>0.79513888888888884</v>
      </c>
      <c r="D210" s="27" t="s">
        <v>83</v>
      </c>
      <c r="E210" s="27" t="s">
        <v>122</v>
      </c>
      <c r="F210" s="27" t="s">
        <v>93</v>
      </c>
      <c r="G210" s="328"/>
      <c r="H210" s="28"/>
      <c r="I210" s="29"/>
      <c r="J210" s="29"/>
      <c r="K210" s="29"/>
      <c r="L210" s="29"/>
      <c r="M210" s="29"/>
      <c r="N210" s="29"/>
      <c r="O210" s="29"/>
      <c r="P210" s="29"/>
      <c r="Q210" s="29"/>
      <c r="R210" s="30"/>
    </row>
    <row r="211" spans="1:18" ht="17.399999999999999" customHeight="1" x14ac:dyDescent="0.3">
      <c r="A211" s="360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1"/>
      <c r="P211" s="361"/>
      <c r="Q211" s="361"/>
      <c r="R211" s="362"/>
    </row>
    <row r="212" spans="1:18" ht="22.05" customHeight="1" x14ac:dyDescent="0.3">
      <c r="A212" s="323" t="s">
        <v>6</v>
      </c>
      <c r="B212" s="324"/>
      <c r="C212" s="324"/>
      <c r="D212" s="324"/>
      <c r="E212" s="324"/>
      <c r="F212" s="324"/>
      <c r="G212" s="2">
        <v>45997</v>
      </c>
      <c r="H212" s="323" t="s">
        <v>7</v>
      </c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</row>
    <row r="213" spans="1:18" ht="24" customHeight="1" x14ac:dyDescent="0.3">
      <c r="A213" s="3" t="s">
        <v>8</v>
      </c>
      <c r="B213" s="3" t="s">
        <v>9</v>
      </c>
      <c r="C213" s="3" t="s">
        <v>10</v>
      </c>
      <c r="D213" s="3" t="s">
        <v>11</v>
      </c>
      <c r="E213" s="3" t="s">
        <v>12</v>
      </c>
      <c r="F213" s="4" t="s">
        <v>13</v>
      </c>
      <c r="G213" s="5" t="s">
        <v>14</v>
      </c>
      <c r="H213" s="3" t="s">
        <v>15</v>
      </c>
      <c r="I213" s="3" t="s">
        <v>16</v>
      </c>
      <c r="J213" s="3" t="s">
        <v>17</v>
      </c>
      <c r="K213" s="3" t="s">
        <v>18</v>
      </c>
      <c r="L213" s="3" t="s">
        <v>19</v>
      </c>
      <c r="M213" s="3" t="s">
        <v>20</v>
      </c>
      <c r="N213" s="3" t="s">
        <v>21</v>
      </c>
      <c r="O213" s="3" t="s">
        <v>22</v>
      </c>
      <c r="P213" s="3" t="s">
        <v>23</v>
      </c>
      <c r="Q213" s="3" t="s">
        <v>24</v>
      </c>
      <c r="R213" s="3" t="s">
        <v>25</v>
      </c>
    </row>
    <row r="214" spans="1:18" ht="15" customHeight="1" x14ac:dyDescent="0.3">
      <c r="A214" s="6" t="s">
        <v>36</v>
      </c>
      <c r="B214" s="6" t="s">
        <v>106</v>
      </c>
      <c r="C214" s="6">
        <v>0.35416666666666669</v>
      </c>
      <c r="D214" s="6" t="s">
        <v>38</v>
      </c>
      <c r="E214" s="6" t="s">
        <v>132</v>
      </c>
      <c r="F214" s="6" t="s">
        <v>166</v>
      </c>
      <c r="G214" s="328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9"/>
    </row>
    <row r="215" spans="1:18" ht="15" customHeight="1" x14ac:dyDescent="0.3">
      <c r="A215" s="10" t="s">
        <v>36</v>
      </c>
      <c r="B215" s="10" t="s">
        <v>106</v>
      </c>
      <c r="C215" s="10">
        <v>0.35416666666666669</v>
      </c>
      <c r="D215" s="10" t="s">
        <v>40</v>
      </c>
      <c r="E215" s="10" t="s">
        <v>115</v>
      </c>
      <c r="F215" s="10" t="s">
        <v>167</v>
      </c>
      <c r="G215" s="328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9"/>
    </row>
    <row r="216" spans="1:18" ht="15" customHeight="1" x14ac:dyDescent="0.3">
      <c r="A216" s="10" t="s">
        <v>36</v>
      </c>
      <c r="B216" s="10" t="s">
        <v>106</v>
      </c>
      <c r="C216" s="10">
        <v>0.35416666666666669</v>
      </c>
      <c r="D216" s="10" t="s">
        <v>42</v>
      </c>
      <c r="E216" s="10" t="s">
        <v>115</v>
      </c>
      <c r="F216" s="10" t="s">
        <v>168</v>
      </c>
      <c r="G216" s="328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9"/>
    </row>
    <row r="217" spans="1:18" ht="15" customHeight="1" x14ac:dyDescent="0.3">
      <c r="A217" s="26" t="s">
        <v>36</v>
      </c>
      <c r="B217" s="26" t="s">
        <v>37</v>
      </c>
      <c r="C217" s="26">
        <v>0.75694444444444453</v>
      </c>
      <c r="D217" s="26" t="s">
        <v>38</v>
      </c>
      <c r="E217" s="26" t="s">
        <v>114</v>
      </c>
      <c r="F217" s="26" t="s">
        <v>107</v>
      </c>
      <c r="G217" s="328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9"/>
    </row>
    <row r="218" spans="1:18" ht="15" customHeight="1" x14ac:dyDescent="0.3">
      <c r="A218" s="10" t="s">
        <v>36</v>
      </c>
      <c r="B218" s="10" t="s">
        <v>37</v>
      </c>
      <c r="C218" s="10">
        <v>0.75694444444444453</v>
      </c>
      <c r="D218" s="10" t="s">
        <v>40</v>
      </c>
      <c r="E218" s="10" t="s">
        <v>115</v>
      </c>
      <c r="F218" s="10" t="s">
        <v>108</v>
      </c>
      <c r="G218" s="328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9"/>
    </row>
    <row r="219" spans="1:18" ht="15" customHeight="1" x14ac:dyDescent="0.3">
      <c r="A219" s="10" t="s">
        <v>36</v>
      </c>
      <c r="B219" s="10" t="s">
        <v>37</v>
      </c>
      <c r="C219" s="10">
        <v>0.75694444444444453</v>
      </c>
      <c r="D219" s="10" t="s">
        <v>42</v>
      </c>
      <c r="E219" s="10" t="s">
        <v>115</v>
      </c>
      <c r="F219" s="10" t="s">
        <v>109</v>
      </c>
      <c r="G219" s="328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9"/>
    </row>
    <row r="220" spans="1:18" ht="15" customHeight="1" x14ac:dyDescent="0.3">
      <c r="A220" s="11" t="s">
        <v>26</v>
      </c>
      <c r="B220" s="11" t="s">
        <v>27</v>
      </c>
      <c r="C220" s="11">
        <v>0.4201388888888889</v>
      </c>
      <c r="D220" s="11" t="s">
        <v>28</v>
      </c>
      <c r="E220" s="11" t="s">
        <v>134</v>
      </c>
      <c r="F220" s="11" t="s">
        <v>103</v>
      </c>
      <c r="G220" s="328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9"/>
    </row>
    <row r="221" spans="1:18" ht="15" customHeight="1" x14ac:dyDescent="0.3">
      <c r="A221" s="10" t="s">
        <v>26</v>
      </c>
      <c r="B221" s="10" t="s">
        <v>27</v>
      </c>
      <c r="C221" s="10">
        <v>0.4201388888888889</v>
      </c>
      <c r="D221" s="10" t="s">
        <v>31</v>
      </c>
      <c r="E221" s="10" t="s">
        <v>136</v>
      </c>
      <c r="F221" s="10" t="s">
        <v>105</v>
      </c>
      <c r="G221" s="328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9"/>
    </row>
    <row r="222" spans="1:18" ht="15" customHeight="1" x14ac:dyDescent="0.3">
      <c r="A222" s="10" t="s">
        <v>26</v>
      </c>
      <c r="B222" s="10" t="s">
        <v>27</v>
      </c>
      <c r="C222" s="10">
        <v>0.4201388888888889</v>
      </c>
      <c r="D222" s="10" t="s">
        <v>34</v>
      </c>
      <c r="E222" s="10" t="s">
        <v>136</v>
      </c>
      <c r="F222" s="10" t="s">
        <v>144</v>
      </c>
      <c r="G222" s="328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9"/>
    </row>
    <row r="223" spans="1:18" ht="15" customHeight="1" x14ac:dyDescent="0.3">
      <c r="A223" s="11" t="s">
        <v>66</v>
      </c>
      <c r="B223" s="11" t="s">
        <v>70</v>
      </c>
      <c r="C223" s="11">
        <v>0.22222222222222221</v>
      </c>
      <c r="D223" s="11" t="s">
        <v>68</v>
      </c>
      <c r="E223" s="11" t="s">
        <v>47</v>
      </c>
      <c r="F223" s="11" t="s">
        <v>98</v>
      </c>
      <c r="G223" s="328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9"/>
    </row>
    <row r="224" spans="1:18" ht="15" customHeight="1" x14ac:dyDescent="0.3">
      <c r="A224" s="26" t="s">
        <v>66</v>
      </c>
      <c r="B224" s="26" t="s">
        <v>76</v>
      </c>
      <c r="C224" s="26">
        <v>0.85416666666666663</v>
      </c>
      <c r="D224" s="26" t="s">
        <v>68</v>
      </c>
      <c r="E224" s="26" t="s">
        <v>97</v>
      </c>
      <c r="F224" s="26" t="s">
        <v>77</v>
      </c>
      <c r="G224" s="328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9"/>
    </row>
    <row r="225" spans="1:18" ht="15" customHeight="1" x14ac:dyDescent="0.3">
      <c r="A225" s="26" t="s">
        <v>66</v>
      </c>
      <c r="B225" s="26" t="s">
        <v>73</v>
      </c>
      <c r="C225" s="26">
        <v>0.44444444444444442</v>
      </c>
      <c r="D225" s="26" t="s">
        <v>68</v>
      </c>
      <c r="E225" s="26" t="s">
        <v>90</v>
      </c>
      <c r="F225" s="26" t="s">
        <v>77</v>
      </c>
      <c r="G225" s="328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9"/>
    </row>
    <row r="226" spans="1:18" ht="15" customHeight="1" x14ac:dyDescent="0.3">
      <c r="A226" s="11" t="s">
        <v>78</v>
      </c>
      <c r="B226" s="11" t="s">
        <v>86</v>
      </c>
      <c r="C226" s="11">
        <v>0.4201388888888889</v>
      </c>
      <c r="D226" s="11" t="s">
        <v>83</v>
      </c>
      <c r="E226" s="11" t="s">
        <v>29</v>
      </c>
      <c r="F226" s="11" t="s">
        <v>88</v>
      </c>
      <c r="G226" s="328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9"/>
    </row>
    <row r="227" spans="1:18" ht="15" customHeight="1" x14ac:dyDescent="0.3">
      <c r="A227" s="26" t="s">
        <v>78</v>
      </c>
      <c r="B227" s="26" t="s">
        <v>94</v>
      </c>
      <c r="C227" s="26">
        <v>8.6805555555555566E-2</v>
      </c>
      <c r="D227" s="26" t="s">
        <v>80</v>
      </c>
      <c r="E227" s="26" t="s">
        <v>71</v>
      </c>
      <c r="F227" s="26" t="s">
        <v>91</v>
      </c>
      <c r="G227" s="328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9"/>
    </row>
    <row r="228" spans="1:18" ht="15" customHeight="1" x14ac:dyDescent="0.3">
      <c r="A228" s="10" t="s">
        <v>78</v>
      </c>
      <c r="B228" s="10" t="s">
        <v>94</v>
      </c>
      <c r="C228" s="10">
        <v>8.6805555555555566E-2</v>
      </c>
      <c r="D228" s="10" t="s">
        <v>83</v>
      </c>
      <c r="E228" s="10" t="s">
        <v>95</v>
      </c>
      <c r="F228" s="10" t="s">
        <v>93</v>
      </c>
      <c r="G228" s="328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9"/>
    </row>
    <row r="229" spans="1:18" ht="15" customHeight="1" x14ac:dyDescent="0.3">
      <c r="A229" s="32" t="s">
        <v>44</v>
      </c>
      <c r="B229" s="32" t="s">
        <v>60</v>
      </c>
      <c r="C229" s="32">
        <v>0.39583333333333331</v>
      </c>
      <c r="D229" s="32" t="s">
        <v>61</v>
      </c>
      <c r="E229" s="32"/>
      <c r="F229" s="32" t="s">
        <v>62</v>
      </c>
      <c r="G229" s="328"/>
      <c r="H229" s="33" t="s">
        <v>60</v>
      </c>
      <c r="I229" s="34">
        <v>1.0417000000000001</v>
      </c>
      <c r="J229" s="35">
        <v>175</v>
      </c>
      <c r="K229" s="36" t="s">
        <v>63</v>
      </c>
      <c r="L229" s="35">
        <v>13</v>
      </c>
      <c r="M229" s="35">
        <v>0</v>
      </c>
      <c r="N229" s="35">
        <v>0</v>
      </c>
      <c r="O229" s="36" t="s">
        <v>64</v>
      </c>
      <c r="P229" s="36">
        <v>0.39583333333333331</v>
      </c>
      <c r="Q229" s="35">
        <v>168</v>
      </c>
      <c r="R229" s="37" t="s">
        <v>169</v>
      </c>
    </row>
    <row r="230" spans="1:18" ht="17.399999999999999" customHeight="1" x14ac:dyDescent="0.3">
      <c r="A230" s="360"/>
      <c r="B230" s="361"/>
      <c r="C230" s="361"/>
      <c r="D230" s="361"/>
      <c r="E230" s="361"/>
      <c r="F230" s="361"/>
      <c r="G230" s="361"/>
      <c r="H230" s="361"/>
      <c r="I230" s="361"/>
      <c r="J230" s="361"/>
      <c r="K230" s="361"/>
      <c r="L230" s="361"/>
      <c r="M230" s="361"/>
      <c r="N230" s="361"/>
      <c r="O230" s="361"/>
      <c r="P230" s="361"/>
      <c r="Q230" s="361"/>
      <c r="R230" s="362"/>
    </row>
    <row r="231" spans="1:18" ht="22.05" customHeight="1" x14ac:dyDescent="0.3">
      <c r="A231" s="323" t="s">
        <v>6</v>
      </c>
      <c r="B231" s="324"/>
      <c r="C231" s="324"/>
      <c r="D231" s="324"/>
      <c r="E231" s="324"/>
      <c r="F231" s="324"/>
      <c r="G231" s="2">
        <v>45998</v>
      </c>
      <c r="H231" s="323" t="s">
        <v>7</v>
      </c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</row>
    <row r="232" spans="1:18" ht="24" customHeight="1" x14ac:dyDescent="0.3">
      <c r="A232" s="3" t="s">
        <v>8</v>
      </c>
      <c r="B232" s="3" t="s">
        <v>9</v>
      </c>
      <c r="C232" s="3" t="s">
        <v>10</v>
      </c>
      <c r="D232" s="3" t="s">
        <v>11</v>
      </c>
      <c r="E232" s="3" t="s">
        <v>12</v>
      </c>
      <c r="F232" s="4" t="s">
        <v>13</v>
      </c>
      <c r="G232" s="5" t="s">
        <v>14</v>
      </c>
      <c r="H232" s="3" t="s">
        <v>15</v>
      </c>
      <c r="I232" s="3" t="s">
        <v>16</v>
      </c>
      <c r="J232" s="3" t="s">
        <v>17</v>
      </c>
      <c r="K232" s="3" t="s">
        <v>18</v>
      </c>
      <c r="L232" s="3" t="s">
        <v>19</v>
      </c>
      <c r="M232" s="3" t="s">
        <v>20</v>
      </c>
      <c r="N232" s="3" t="s">
        <v>21</v>
      </c>
      <c r="O232" s="3" t="s">
        <v>22</v>
      </c>
      <c r="P232" s="3" t="s">
        <v>23</v>
      </c>
      <c r="Q232" s="3" t="s">
        <v>24</v>
      </c>
      <c r="R232" s="3" t="s">
        <v>25</v>
      </c>
    </row>
    <row r="233" spans="1:18" ht="15" customHeight="1" x14ac:dyDescent="0.3">
      <c r="A233" s="6" t="s">
        <v>26</v>
      </c>
      <c r="B233" s="6" t="s">
        <v>27</v>
      </c>
      <c r="C233" s="6">
        <v>0.4201388888888889</v>
      </c>
      <c r="D233" s="6" t="s">
        <v>28</v>
      </c>
      <c r="E233" s="6" t="s">
        <v>132</v>
      </c>
      <c r="F233" s="6" t="s">
        <v>30</v>
      </c>
      <c r="G233" s="328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9"/>
    </row>
    <row r="234" spans="1:18" ht="15" customHeight="1" x14ac:dyDescent="0.3">
      <c r="A234" s="10" t="s">
        <v>26</v>
      </c>
      <c r="B234" s="10" t="s">
        <v>27</v>
      </c>
      <c r="C234" s="10">
        <v>0.4201388888888889</v>
      </c>
      <c r="D234" s="10" t="s">
        <v>31</v>
      </c>
      <c r="E234" s="10" t="s">
        <v>115</v>
      </c>
      <c r="F234" s="10" t="s">
        <v>33</v>
      </c>
      <c r="G234" s="328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9"/>
    </row>
    <row r="235" spans="1:18" ht="15" customHeight="1" x14ac:dyDescent="0.3">
      <c r="A235" s="10" t="s">
        <v>26</v>
      </c>
      <c r="B235" s="10" t="s">
        <v>27</v>
      </c>
      <c r="C235" s="10">
        <v>0.4201388888888889</v>
      </c>
      <c r="D235" s="10" t="s">
        <v>34</v>
      </c>
      <c r="E235" s="10" t="s">
        <v>115</v>
      </c>
      <c r="F235" s="10" t="s">
        <v>144</v>
      </c>
      <c r="G235" s="328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9"/>
    </row>
    <row r="236" spans="1:18" ht="15" customHeight="1" x14ac:dyDescent="0.3">
      <c r="A236" s="11" t="s">
        <v>36</v>
      </c>
      <c r="B236" s="11" t="s">
        <v>37</v>
      </c>
      <c r="C236" s="11">
        <v>0.75694444444444453</v>
      </c>
      <c r="D236" s="11" t="s">
        <v>38</v>
      </c>
      <c r="E236" s="11" t="s">
        <v>102</v>
      </c>
      <c r="F236" s="11" t="s">
        <v>39</v>
      </c>
      <c r="G236" s="328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9"/>
    </row>
    <row r="237" spans="1:18" ht="15" customHeight="1" x14ac:dyDescent="0.3">
      <c r="A237" s="10" t="s">
        <v>36</v>
      </c>
      <c r="B237" s="10" t="s">
        <v>37</v>
      </c>
      <c r="C237" s="10">
        <v>0.75694444444444453</v>
      </c>
      <c r="D237" s="10" t="s">
        <v>40</v>
      </c>
      <c r="E237" s="10" t="s">
        <v>104</v>
      </c>
      <c r="F237" s="10" t="s">
        <v>41</v>
      </c>
      <c r="G237" s="328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9"/>
    </row>
    <row r="238" spans="1:18" ht="15" customHeight="1" x14ac:dyDescent="0.3">
      <c r="A238" s="10" t="s">
        <v>36</v>
      </c>
      <c r="B238" s="10" t="s">
        <v>37</v>
      </c>
      <c r="C238" s="10">
        <v>0.75694444444444453</v>
      </c>
      <c r="D238" s="10" t="s">
        <v>42</v>
      </c>
      <c r="E238" s="10" t="s">
        <v>104</v>
      </c>
      <c r="F238" s="10" t="s">
        <v>43</v>
      </c>
      <c r="G238" s="328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9"/>
    </row>
    <row r="239" spans="1:18" ht="15" customHeight="1" x14ac:dyDescent="0.3">
      <c r="A239" s="11" t="s">
        <v>78</v>
      </c>
      <c r="B239" s="11" t="s">
        <v>94</v>
      </c>
      <c r="C239" s="11">
        <v>8.6805555555555566E-2</v>
      </c>
      <c r="D239" s="11" t="s">
        <v>80</v>
      </c>
      <c r="E239" s="11" t="s">
        <v>47</v>
      </c>
      <c r="F239" s="11" t="s">
        <v>159</v>
      </c>
      <c r="G239" s="328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9"/>
    </row>
    <row r="240" spans="1:18" ht="15" customHeight="1" x14ac:dyDescent="0.3">
      <c r="A240" s="10" t="s">
        <v>78</v>
      </c>
      <c r="B240" s="10" t="s">
        <v>94</v>
      </c>
      <c r="C240" s="10">
        <v>8.6805555555555566E-2</v>
      </c>
      <c r="D240" s="10" t="s">
        <v>83</v>
      </c>
      <c r="E240" s="10" t="s">
        <v>95</v>
      </c>
      <c r="F240" s="10" t="s">
        <v>160</v>
      </c>
      <c r="G240" s="328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9"/>
    </row>
    <row r="241" spans="1:18" ht="15" customHeight="1" x14ac:dyDescent="0.3">
      <c r="A241" s="26" t="s">
        <v>78</v>
      </c>
      <c r="B241" s="26" t="s">
        <v>89</v>
      </c>
      <c r="C241" s="26">
        <v>0.79513888888888884</v>
      </c>
      <c r="D241" s="26" t="s">
        <v>80</v>
      </c>
      <c r="E241" s="26" t="s">
        <v>71</v>
      </c>
      <c r="F241" s="26" t="s">
        <v>100</v>
      </c>
      <c r="G241" s="328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9"/>
    </row>
    <row r="242" spans="1:18" ht="15" customHeight="1" x14ac:dyDescent="0.3">
      <c r="A242" s="10" t="s">
        <v>78</v>
      </c>
      <c r="B242" s="10" t="s">
        <v>89</v>
      </c>
      <c r="C242" s="10">
        <v>0.79513888888888884</v>
      </c>
      <c r="D242" s="10" t="s">
        <v>83</v>
      </c>
      <c r="E242" s="10" t="s">
        <v>95</v>
      </c>
      <c r="F242" s="10" t="s">
        <v>101</v>
      </c>
      <c r="G242" s="328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9"/>
    </row>
    <row r="243" spans="1:18" ht="15" customHeight="1" x14ac:dyDescent="0.3">
      <c r="A243" s="26" t="s">
        <v>78</v>
      </c>
      <c r="B243" s="26" t="s">
        <v>86</v>
      </c>
      <c r="C243" s="26">
        <v>0.4201388888888889</v>
      </c>
      <c r="D243" s="26" t="s">
        <v>83</v>
      </c>
      <c r="E243" s="26" t="s">
        <v>87</v>
      </c>
      <c r="F243" s="26" t="s">
        <v>88</v>
      </c>
      <c r="G243" s="328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9"/>
    </row>
    <row r="244" spans="1:18" ht="15" customHeight="1" x14ac:dyDescent="0.3">
      <c r="A244" s="26" t="s">
        <v>78</v>
      </c>
      <c r="B244" s="26" t="s">
        <v>79</v>
      </c>
      <c r="C244" s="26">
        <v>0.60416666666666663</v>
      </c>
      <c r="D244" s="26" t="s">
        <v>80</v>
      </c>
      <c r="E244" s="26" t="s">
        <v>71</v>
      </c>
      <c r="F244" s="26" t="s">
        <v>91</v>
      </c>
      <c r="G244" s="328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9"/>
    </row>
    <row r="245" spans="1:18" ht="15" customHeight="1" x14ac:dyDescent="0.3">
      <c r="A245" s="10" t="s">
        <v>78</v>
      </c>
      <c r="B245" s="10" t="s">
        <v>79</v>
      </c>
      <c r="C245" s="10">
        <v>0.60416666666666663</v>
      </c>
      <c r="D245" s="10" t="s">
        <v>83</v>
      </c>
      <c r="E245" s="10" t="s">
        <v>95</v>
      </c>
      <c r="F245" s="10" t="s">
        <v>93</v>
      </c>
      <c r="G245" s="328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9"/>
    </row>
    <row r="246" spans="1:18" ht="15" customHeight="1" x14ac:dyDescent="0.3">
      <c r="A246" s="69" t="s">
        <v>44</v>
      </c>
      <c r="B246" s="69" t="s">
        <v>60</v>
      </c>
      <c r="C246" s="69">
        <v>0.90277777777777779</v>
      </c>
      <c r="D246" s="69" t="s">
        <v>61</v>
      </c>
      <c r="E246" s="69"/>
      <c r="F246" s="69" t="s">
        <v>62</v>
      </c>
      <c r="G246" s="328"/>
      <c r="H246" s="70" t="s">
        <v>60</v>
      </c>
      <c r="I246" s="71">
        <v>1.0595000000000001</v>
      </c>
      <c r="J246" s="72">
        <v>178</v>
      </c>
      <c r="K246" s="73" t="s">
        <v>63</v>
      </c>
      <c r="L246" s="72">
        <v>11</v>
      </c>
      <c r="M246" s="72">
        <v>0</v>
      </c>
      <c r="N246" s="72">
        <v>0</v>
      </c>
      <c r="O246" s="73" t="s">
        <v>64</v>
      </c>
      <c r="P246" s="73">
        <v>0.90277777777777779</v>
      </c>
      <c r="Q246" s="72">
        <v>168</v>
      </c>
      <c r="R246" s="74" t="s">
        <v>170</v>
      </c>
    </row>
    <row r="247" spans="1:18" ht="17.399999999999999" customHeight="1" x14ac:dyDescent="0.3">
      <c r="A247" s="360"/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2"/>
    </row>
    <row r="248" spans="1:18" ht="22.05" customHeight="1" x14ac:dyDescent="0.3">
      <c r="A248" s="323" t="s">
        <v>6</v>
      </c>
      <c r="B248" s="324"/>
      <c r="C248" s="324"/>
      <c r="D248" s="324"/>
      <c r="E248" s="324"/>
      <c r="F248" s="324"/>
      <c r="G248" s="2">
        <v>45999</v>
      </c>
      <c r="H248" s="323" t="s">
        <v>7</v>
      </c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</row>
    <row r="249" spans="1:18" ht="24" customHeight="1" x14ac:dyDescent="0.3">
      <c r="A249" s="3" t="s">
        <v>8</v>
      </c>
      <c r="B249" s="3" t="s">
        <v>9</v>
      </c>
      <c r="C249" s="3" t="s">
        <v>10</v>
      </c>
      <c r="D249" s="3" t="s">
        <v>11</v>
      </c>
      <c r="E249" s="3" t="s">
        <v>12</v>
      </c>
      <c r="F249" s="4" t="s">
        <v>13</v>
      </c>
      <c r="G249" s="5" t="s">
        <v>14</v>
      </c>
      <c r="H249" s="3" t="s">
        <v>15</v>
      </c>
      <c r="I249" s="3" t="s">
        <v>16</v>
      </c>
      <c r="J249" s="3" t="s">
        <v>17</v>
      </c>
      <c r="K249" s="3" t="s">
        <v>18</v>
      </c>
      <c r="L249" s="3" t="s">
        <v>19</v>
      </c>
      <c r="M249" s="3" t="s">
        <v>20</v>
      </c>
      <c r="N249" s="3" t="s">
        <v>21</v>
      </c>
      <c r="O249" s="3" t="s">
        <v>22</v>
      </c>
      <c r="P249" s="3" t="s">
        <v>23</v>
      </c>
      <c r="Q249" s="3" t="s">
        <v>24</v>
      </c>
      <c r="R249" s="3" t="s">
        <v>25</v>
      </c>
    </row>
    <row r="250" spans="1:18" ht="15" customHeight="1" x14ac:dyDescent="0.3">
      <c r="A250" s="6" t="s">
        <v>78</v>
      </c>
      <c r="B250" s="6" t="s">
        <v>94</v>
      </c>
      <c r="C250" s="6">
        <v>8.6805555555555566E-2</v>
      </c>
      <c r="D250" s="6" t="s">
        <v>80</v>
      </c>
      <c r="E250" s="6" t="s">
        <v>47</v>
      </c>
      <c r="F250" s="6" t="s">
        <v>82</v>
      </c>
      <c r="G250" s="328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9"/>
    </row>
    <row r="251" spans="1:18" ht="15" customHeight="1" x14ac:dyDescent="0.3">
      <c r="A251" s="10" t="s">
        <v>78</v>
      </c>
      <c r="B251" s="10" t="s">
        <v>94</v>
      </c>
      <c r="C251" s="10">
        <v>8.6805555555555566E-2</v>
      </c>
      <c r="D251" s="10" t="s">
        <v>83</v>
      </c>
      <c r="E251" s="10" t="s">
        <v>95</v>
      </c>
      <c r="F251" s="10" t="s">
        <v>85</v>
      </c>
      <c r="G251" s="328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9"/>
    </row>
    <row r="252" spans="1:18" ht="15" customHeight="1" x14ac:dyDescent="0.3">
      <c r="A252" s="26" t="s">
        <v>78</v>
      </c>
      <c r="B252" s="26" t="s">
        <v>89</v>
      </c>
      <c r="C252" s="26">
        <v>0.79513888888888884</v>
      </c>
      <c r="D252" s="26" t="s">
        <v>80</v>
      </c>
      <c r="E252" s="26" t="s">
        <v>90</v>
      </c>
      <c r="F252" s="26" t="s">
        <v>100</v>
      </c>
      <c r="G252" s="328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9"/>
    </row>
    <row r="253" spans="1:18" ht="15" customHeight="1" x14ac:dyDescent="0.3">
      <c r="A253" s="10" t="s">
        <v>78</v>
      </c>
      <c r="B253" s="10" t="s">
        <v>89</v>
      </c>
      <c r="C253" s="10">
        <v>0.79513888888888884</v>
      </c>
      <c r="D253" s="10" t="s">
        <v>83</v>
      </c>
      <c r="E253" s="10" t="s">
        <v>92</v>
      </c>
      <c r="F253" s="10" t="s">
        <v>101</v>
      </c>
      <c r="G253" s="328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9"/>
    </row>
    <row r="254" spans="1:18" ht="15" customHeight="1" x14ac:dyDescent="0.3">
      <c r="A254" s="26" t="s">
        <v>78</v>
      </c>
      <c r="B254" s="26" t="s">
        <v>79</v>
      </c>
      <c r="C254" s="26">
        <v>0.60416666666666663</v>
      </c>
      <c r="D254" s="26" t="s">
        <v>80</v>
      </c>
      <c r="E254" s="26" t="s">
        <v>71</v>
      </c>
      <c r="F254" s="26" t="s">
        <v>100</v>
      </c>
      <c r="G254" s="328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9"/>
    </row>
    <row r="255" spans="1:18" ht="15" customHeight="1" x14ac:dyDescent="0.3">
      <c r="A255" s="10" t="s">
        <v>78</v>
      </c>
      <c r="B255" s="10" t="s">
        <v>79</v>
      </c>
      <c r="C255" s="10">
        <v>0.60416666666666663</v>
      </c>
      <c r="D255" s="10" t="s">
        <v>83</v>
      </c>
      <c r="E255" s="10" t="s">
        <v>95</v>
      </c>
      <c r="F255" s="10" t="s">
        <v>101</v>
      </c>
      <c r="G255" s="328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9"/>
    </row>
    <row r="256" spans="1:18" ht="15" customHeight="1" x14ac:dyDescent="0.3">
      <c r="A256" s="26" t="s">
        <v>78</v>
      </c>
      <c r="B256" s="26" t="s">
        <v>86</v>
      </c>
      <c r="C256" s="26">
        <v>0.4201388888888889</v>
      </c>
      <c r="D256" s="26" t="s">
        <v>83</v>
      </c>
      <c r="E256" s="26" t="s">
        <v>87</v>
      </c>
      <c r="F256" s="26" t="s">
        <v>88</v>
      </c>
      <c r="G256" s="328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9"/>
    </row>
    <row r="257" spans="1:18" ht="15" customHeight="1" x14ac:dyDescent="0.3">
      <c r="A257" s="11" t="s">
        <v>66</v>
      </c>
      <c r="B257" s="11" t="s">
        <v>70</v>
      </c>
      <c r="C257" s="11">
        <v>0.22222222222222221</v>
      </c>
      <c r="D257" s="11" t="s">
        <v>68</v>
      </c>
      <c r="E257" s="11" t="s">
        <v>47</v>
      </c>
      <c r="F257" s="11" t="s">
        <v>98</v>
      </c>
      <c r="G257" s="328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9"/>
    </row>
    <row r="258" spans="1:18" ht="15" customHeight="1" x14ac:dyDescent="0.3">
      <c r="A258" s="31" t="s">
        <v>66</v>
      </c>
      <c r="B258" s="31" t="s">
        <v>75</v>
      </c>
      <c r="C258" s="31">
        <v>0.49305555555555558</v>
      </c>
      <c r="D258" s="31" t="s">
        <v>68</v>
      </c>
      <c r="E258" s="31" t="s">
        <v>97</v>
      </c>
      <c r="F258" s="31" t="s">
        <v>77</v>
      </c>
      <c r="G258" s="328"/>
      <c r="H258" s="28"/>
      <c r="I258" s="29"/>
      <c r="J258" s="29"/>
      <c r="K258" s="29"/>
      <c r="L258" s="29"/>
      <c r="M258" s="29"/>
      <c r="N258" s="29"/>
      <c r="O258" s="29"/>
      <c r="P258" s="29"/>
      <c r="Q258" s="29"/>
      <c r="R258" s="30"/>
    </row>
    <row r="259" spans="1:18" ht="17.399999999999999" customHeight="1" x14ac:dyDescent="0.3">
      <c r="A259" s="360"/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2"/>
    </row>
    <row r="260" spans="1:18" ht="22.05" customHeight="1" x14ac:dyDescent="0.3">
      <c r="A260" s="323" t="s">
        <v>6</v>
      </c>
      <c r="B260" s="324"/>
      <c r="C260" s="324"/>
      <c r="D260" s="324"/>
      <c r="E260" s="324"/>
      <c r="F260" s="324"/>
      <c r="G260" s="2">
        <v>46000</v>
      </c>
      <c r="H260" s="323" t="s">
        <v>7</v>
      </c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</row>
    <row r="261" spans="1:18" ht="24" customHeight="1" x14ac:dyDescent="0.3">
      <c r="A261" s="3" t="s">
        <v>8</v>
      </c>
      <c r="B261" s="3" t="s">
        <v>9</v>
      </c>
      <c r="C261" s="3" t="s">
        <v>10</v>
      </c>
      <c r="D261" s="3" t="s">
        <v>11</v>
      </c>
      <c r="E261" s="3" t="s">
        <v>12</v>
      </c>
      <c r="F261" s="4" t="s">
        <v>13</v>
      </c>
      <c r="G261" s="5" t="s">
        <v>14</v>
      </c>
      <c r="H261" s="3" t="s">
        <v>15</v>
      </c>
      <c r="I261" s="3" t="s">
        <v>16</v>
      </c>
      <c r="J261" s="3" t="s">
        <v>17</v>
      </c>
      <c r="K261" s="3" t="s">
        <v>18</v>
      </c>
      <c r="L261" s="3" t="s">
        <v>19</v>
      </c>
      <c r="M261" s="3" t="s">
        <v>20</v>
      </c>
      <c r="N261" s="3" t="s">
        <v>21</v>
      </c>
      <c r="O261" s="3" t="s">
        <v>22</v>
      </c>
      <c r="P261" s="3" t="s">
        <v>23</v>
      </c>
      <c r="Q261" s="3" t="s">
        <v>24</v>
      </c>
      <c r="R261" s="3" t="s">
        <v>25</v>
      </c>
    </row>
    <row r="262" spans="1:18" ht="15" customHeight="1" x14ac:dyDescent="0.3">
      <c r="A262" s="6" t="s">
        <v>26</v>
      </c>
      <c r="B262" s="6" t="s">
        <v>27</v>
      </c>
      <c r="C262" s="6">
        <v>0.4201388888888889</v>
      </c>
      <c r="D262" s="6" t="s">
        <v>28</v>
      </c>
      <c r="E262" s="6" t="s">
        <v>171</v>
      </c>
      <c r="F262" s="6" t="s">
        <v>103</v>
      </c>
      <c r="G262" s="328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9"/>
    </row>
    <row r="263" spans="1:18" ht="15" customHeight="1" x14ac:dyDescent="0.3">
      <c r="A263" s="10" t="s">
        <v>26</v>
      </c>
      <c r="B263" s="10" t="s">
        <v>27</v>
      </c>
      <c r="C263" s="10">
        <v>0.4201388888888889</v>
      </c>
      <c r="D263" s="10" t="s">
        <v>31</v>
      </c>
      <c r="E263" s="10" t="s">
        <v>172</v>
      </c>
      <c r="F263" s="10" t="s">
        <v>105</v>
      </c>
      <c r="G263" s="328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9"/>
    </row>
    <row r="264" spans="1:18" ht="15" customHeight="1" x14ac:dyDescent="0.3">
      <c r="A264" s="10" t="s">
        <v>26</v>
      </c>
      <c r="B264" s="10" t="s">
        <v>27</v>
      </c>
      <c r="C264" s="10">
        <v>0.4201388888888889</v>
      </c>
      <c r="D264" s="10" t="s">
        <v>34</v>
      </c>
      <c r="E264" s="10" t="s">
        <v>172</v>
      </c>
      <c r="F264" s="10" t="s">
        <v>144</v>
      </c>
      <c r="G264" s="328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9"/>
    </row>
    <row r="265" spans="1:18" ht="15" customHeight="1" x14ac:dyDescent="0.3">
      <c r="A265" s="11" t="s">
        <v>36</v>
      </c>
      <c r="B265" s="11" t="s">
        <v>37</v>
      </c>
      <c r="C265" s="11">
        <v>0.75694444444444453</v>
      </c>
      <c r="D265" s="11" t="s">
        <v>38</v>
      </c>
      <c r="E265" s="11" t="s">
        <v>121</v>
      </c>
      <c r="F265" s="11" t="s">
        <v>107</v>
      </c>
      <c r="G265" s="328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9"/>
    </row>
    <row r="266" spans="1:18" ht="15" customHeight="1" x14ac:dyDescent="0.3">
      <c r="A266" s="10" t="s">
        <v>36</v>
      </c>
      <c r="B266" s="10" t="s">
        <v>37</v>
      </c>
      <c r="C266" s="10">
        <v>0.75694444444444453</v>
      </c>
      <c r="D266" s="10" t="s">
        <v>40</v>
      </c>
      <c r="E266" s="10" t="s">
        <v>122</v>
      </c>
      <c r="F266" s="10" t="s">
        <v>108</v>
      </c>
      <c r="G266" s="328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9"/>
    </row>
    <row r="267" spans="1:18" ht="15" customHeight="1" x14ac:dyDescent="0.3">
      <c r="A267" s="10" t="s">
        <v>36</v>
      </c>
      <c r="B267" s="10" t="s">
        <v>37</v>
      </c>
      <c r="C267" s="10">
        <v>0.75694444444444453</v>
      </c>
      <c r="D267" s="10" t="s">
        <v>42</v>
      </c>
      <c r="E267" s="10" t="s">
        <v>122</v>
      </c>
      <c r="F267" s="10" t="s">
        <v>109</v>
      </c>
      <c r="G267" s="328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9"/>
    </row>
    <row r="268" spans="1:18" ht="15" customHeight="1" x14ac:dyDescent="0.3">
      <c r="A268" s="75" t="s">
        <v>44</v>
      </c>
      <c r="B268" s="75" t="s">
        <v>45</v>
      </c>
      <c r="C268" s="75">
        <v>0.27777777777777779</v>
      </c>
      <c r="D268" s="75" t="s">
        <v>46</v>
      </c>
      <c r="E268" s="75" t="s">
        <v>102</v>
      </c>
      <c r="F268" s="75" t="s">
        <v>48</v>
      </c>
      <c r="G268" s="328"/>
      <c r="H268" s="76" t="s">
        <v>49</v>
      </c>
      <c r="I268" s="77">
        <v>0.98809999999999998</v>
      </c>
      <c r="J268" s="78">
        <v>166</v>
      </c>
      <c r="K268" s="79" t="s">
        <v>50</v>
      </c>
      <c r="L268" s="78">
        <v>40</v>
      </c>
      <c r="M268" s="78">
        <v>0</v>
      </c>
      <c r="N268" s="78">
        <v>1</v>
      </c>
      <c r="O268" s="79" t="s">
        <v>173</v>
      </c>
      <c r="P268" s="79">
        <v>0.27777777777777779</v>
      </c>
      <c r="Q268" s="78">
        <v>168</v>
      </c>
      <c r="R268" s="80" t="s">
        <v>174</v>
      </c>
    </row>
    <row r="269" spans="1:18" ht="15" customHeight="1" x14ac:dyDescent="0.3">
      <c r="A269" s="81" t="s">
        <v>44</v>
      </c>
      <c r="B269" s="81" t="s">
        <v>56</v>
      </c>
      <c r="C269" s="81">
        <v>4.8611111111111112E-2</v>
      </c>
      <c r="D269" s="81" t="s">
        <v>61</v>
      </c>
      <c r="E269" s="81"/>
      <c r="F269" s="81" t="s">
        <v>62</v>
      </c>
      <c r="G269" s="328"/>
      <c r="H269" s="82" t="s">
        <v>56</v>
      </c>
      <c r="I269" s="83">
        <v>1</v>
      </c>
      <c r="J269" s="84">
        <v>168</v>
      </c>
      <c r="K269" s="85" t="s">
        <v>175</v>
      </c>
      <c r="L269" s="84">
        <v>4</v>
      </c>
      <c r="M269" s="84">
        <v>2</v>
      </c>
      <c r="N269" s="84">
        <v>0</v>
      </c>
      <c r="O269" s="85" t="s">
        <v>64</v>
      </c>
      <c r="P269" s="85">
        <v>4.8611111111111112E-2</v>
      </c>
      <c r="Q269" s="84">
        <v>168</v>
      </c>
      <c r="R269" s="86" t="s">
        <v>176</v>
      </c>
    </row>
    <row r="270" spans="1:18" ht="15" customHeight="1" x14ac:dyDescent="0.3">
      <c r="A270" s="87" t="s">
        <v>44</v>
      </c>
      <c r="B270" s="87" t="s">
        <v>60</v>
      </c>
      <c r="C270" s="87">
        <v>0.97916666666666663</v>
      </c>
      <c r="D270" s="87" t="s">
        <v>61</v>
      </c>
      <c r="E270" s="87"/>
      <c r="F270" s="87" t="s">
        <v>62</v>
      </c>
      <c r="G270" s="328"/>
      <c r="H270" s="76" t="s">
        <v>60</v>
      </c>
      <c r="I270" s="77">
        <v>1.0119</v>
      </c>
      <c r="J270" s="78">
        <v>170</v>
      </c>
      <c r="K270" s="79" t="s">
        <v>63</v>
      </c>
      <c r="L270" s="78">
        <v>44</v>
      </c>
      <c r="M270" s="78">
        <v>0</v>
      </c>
      <c r="N270" s="78">
        <v>0</v>
      </c>
      <c r="O270" s="79" t="s">
        <v>64</v>
      </c>
      <c r="P270" s="79">
        <v>0.97916666666666663</v>
      </c>
      <c r="Q270" s="78">
        <v>168</v>
      </c>
      <c r="R270" s="80" t="s">
        <v>177</v>
      </c>
    </row>
    <row r="271" spans="1:18" ht="15" customHeight="1" x14ac:dyDescent="0.3">
      <c r="A271" s="11" t="s">
        <v>66</v>
      </c>
      <c r="B271" s="11" t="s">
        <v>70</v>
      </c>
      <c r="C271" s="11">
        <v>0.22222222222222221</v>
      </c>
      <c r="D271" s="11" t="s">
        <v>68</v>
      </c>
      <c r="E271" s="11" t="s">
        <v>47</v>
      </c>
      <c r="F271" s="11" t="s">
        <v>178</v>
      </c>
      <c r="G271" s="328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9"/>
    </row>
    <row r="272" spans="1:18" ht="15" customHeight="1" x14ac:dyDescent="0.3">
      <c r="A272" s="26" t="s">
        <v>66</v>
      </c>
      <c r="B272" s="26" t="s">
        <v>67</v>
      </c>
      <c r="C272" s="26">
        <v>9.7222222222222224E-2</v>
      </c>
      <c r="D272" s="26" t="s">
        <v>68</v>
      </c>
      <c r="E272" s="26" t="s">
        <v>71</v>
      </c>
      <c r="F272" s="26" t="s">
        <v>99</v>
      </c>
      <c r="G272" s="328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9"/>
    </row>
    <row r="273" spans="1:18" ht="15" customHeight="1" x14ac:dyDescent="0.3">
      <c r="A273" s="26" t="s">
        <v>66</v>
      </c>
      <c r="B273" s="26" t="s">
        <v>75</v>
      </c>
      <c r="C273" s="26">
        <v>0.49305555555555558</v>
      </c>
      <c r="D273" s="26" t="s">
        <v>68</v>
      </c>
      <c r="E273" s="26" t="s">
        <v>114</v>
      </c>
      <c r="F273" s="26" t="s">
        <v>77</v>
      </c>
      <c r="G273" s="328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9"/>
    </row>
    <row r="274" spans="1:18" ht="15" customHeight="1" x14ac:dyDescent="0.3">
      <c r="A274" s="11" t="s">
        <v>78</v>
      </c>
      <c r="B274" s="11" t="s">
        <v>89</v>
      </c>
      <c r="C274" s="11">
        <v>0.79513888888888884</v>
      </c>
      <c r="D274" s="11" t="s">
        <v>80</v>
      </c>
      <c r="E274" s="11" t="s">
        <v>47</v>
      </c>
      <c r="F274" s="11" t="s">
        <v>100</v>
      </c>
      <c r="G274" s="328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9"/>
    </row>
    <row r="275" spans="1:18" ht="15" customHeight="1" x14ac:dyDescent="0.3">
      <c r="A275" s="10" t="s">
        <v>78</v>
      </c>
      <c r="B275" s="10" t="s">
        <v>89</v>
      </c>
      <c r="C275" s="10">
        <v>0.79513888888888884</v>
      </c>
      <c r="D275" s="10" t="s">
        <v>83</v>
      </c>
      <c r="E275" s="10" t="s">
        <v>95</v>
      </c>
      <c r="F275" s="10" t="s">
        <v>101</v>
      </c>
      <c r="G275" s="328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9"/>
    </row>
    <row r="276" spans="1:18" ht="15" customHeight="1" x14ac:dyDescent="0.3">
      <c r="A276" s="26" t="s">
        <v>78</v>
      </c>
      <c r="B276" s="26" t="s">
        <v>79</v>
      </c>
      <c r="C276" s="26">
        <v>0.60416666666666663</v>
      </c>
      <c r="D276" s="26" t="s">
        <v>80</v>
      </c>
      <c r="E276" s="26" t="s">
        <v>71</v>
      </c>
      <c r="F276" s="26" t="s">
        <v>100</v>
      </c>
      <c r="G276" s="328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9"/>
    </row>
    <row r="277" spans="1:18" ht="15" customHeight="1" x14ac:dyDescent="0.3">
      <c r="A277" s="10" t="s">
        <v>78</v>
      </c>
      <c r="B277" s="10" t="s">
        <v>79</v>
      </c>
      <c r="C277" s="10">
        <v>0.60416666666666663</v>
      </c>
      <c r="D277" s="10" t="s">
        <v>83</v>
      </c>
      <c r="E277" s="10" t="s">
        <v>95</v>
      </c>
      <c r="F277" s="10" t="s">
        <v>101</v>
      </c>
      <c r="G277" s="328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9"/>
    </row>
    <row r="278" spans="1:18" ht="15" customHeight="1" x14ac:dyDescent="0.3">
      <c r="A278" s="26" t="s">
        <v>78</v>
      </c>
      <c r="B278" s="26" t="s">
        <v>94</v>
      </c>
      <c r="C278" s="26">
        <v>8.6805555555555566E-2</v>
      </c>
      <c r="D278" s="26" t="s">
        <v>80</v>
      </c>
      <c r="E278" s="26" t="s">
        <v>71</v>
      </c>
      <c r="F278" s="26" t="s">
        <v>100</v>
      </c>
      <c r="G278" s="328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9"/>
    </row>
    <row r="279" spans="1:18" ht="15" customHeight="1" x14ac:dyDescent="0.3">
      <c r="A279" s="10" t="s">
        <v>78</v>
      </c>
      <c r="B279" s="10" t="s">
        <v>94</v>
      </c>
      <c r="C279" s="10">
        <v>8.6805555555555566E-2</v>
      </c>
      <c r="D279" s="10" t="s">
        <v>83</v>
      </c>
      <c r="E279" s="10" t="s">
        <v>95</v>
      </c>
      <c r="F279" s="10" t="s">
        <v>101</v>
      </c>
      <c r="G279" s="328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9"/>
    </row>
    <row r="280" spans="1:18" ht="15" customHeight="1" x14ac:dyDescent="0.3">
      <c r="A280" s="31" t="s">
        <v>78</v>
      </c>
      <c r="B280" s="31" t="s">
        <v>86</v>
      </c>
      <c r="C280" s="31">
        <v>0.4201388888888889</v>
      </c>
      <c r="D280" s="31" t="s">
        <v>83</v>
      </c>
      <c r="E280" s="31" t="s">
        <v>87</v>
      </c>
      <c r="F280" s="31" t="s">
        <v>88</v>
      </c>
      <c r="G280" s="328"/>
      <c r="H280" s="28"/>
      <c r="I280" s="29"/>
      <c r="J280" s="29"/>
      <c r="K280" s="29"/>
      <c r="L280" s="29"/>
      <c r="M280" s="29"/>
      <c r="N280" s="29"/>
      <c r="O280" s="29"/>
      <c r="P280" s="29"/>
      <c r="Q280" s="29"/>
      <c r="R280" s="30"/>
    </row>
    <row r="281" spans="1:18" ht="17.399999999999999" customHeight="1" x14ac:dyDescent="0.3">
      <c r="A281" s="360"/>
      <c r="B281" s="361"/>
      <c r="C281" s="361"/>
      <c r="D281" s="361"/>
      <c r="E281" s="361"/>
      <c r="F281" s="361"/>
      <c r="G281" s="361"/>
      <c r="H281" s="361"/>
      <c r="I281" s="361"/>
      <c r="J281" s="361"/>
      <c r="K281" s="361"/>
      <c r="L281" s="361"/>
      <c r="M281" s="361"/>
      <c r="N281" s="361"/>
      <c r="O281" s="361"/>
      <c r="P281" s="361"/>
      <c r="Q281" s="361"/>
      <c r="R281" s="362"/>
    </row>
    <row r="282" spans="1:18" ht="22.05" customHeight="1" x14ac:dyDescent="0.3">
      <c r="A282" s="323" t="s">
        <v>6</v>
      </c>
      <c r="B282" s="324"/>
      <c r="C282" s="324"/>
      <c r="D282" s="324"/>
      <c r="E282" s="324"/>
      <c r="F282" s="324"/>
      <c r="G282" s="2">
        <v>46001</v>
      </c>
      <c r="H282" s="323" t="s">
        <v>7</v>
      </c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</row>
    <row r="283" spans="1:18" ht="24" customHeight="1" x14ac:dyDescent="0.3">
      <c r="A283" s="3" t="s">
        <v>8</v>
      </c>
      <c r="B283" s="3" t="s">
        <v>9</v>
      </c>
      <c r="C283" s="3" t="s">
        <v>10</v>
      </c>
      <c r="D283" s="3" t="s">
        <v>11</v>
      </c>
      <c r="E283" s="3" t="s">
        <v>12</v>
      </c>
      <c r="F283" s="4" t="s">
        <v>13</v>
      </c>
      <c r="G283" s="5" t="s">
        <v>14</v>
      </c>
      <c r="H283" s="3" t="s">
        <v>15</v>
      </c>
      <c r="I283" s="3" t="s">
        <v>16</v>
      </c>
      <c r="J283" s="3" t="s">
        <v>17</v>
      </c>
      <c r="K283" s="3" t="s">
        <v>18</v>
      </c>
      <c r="L283" s="3" t="s">
        <v>19</v>
      </c>
      <c r="M283" s="3" t="s">
        <v>20</v>
      </c>
      <c r="N283" s="3" t="s">
        <v>21</v>
      </c>
      <c r="O283" s="3" t="s">
        <v>22</v>
      </c>
      <c r="P283" s="3" t="s">
        <v>23</v>
      </c>
      <c r="Q283" s="3" t="s">
        <v>24</v>
      </c>
      <c r="R283" s="3" t="s">
        <v>25</v>
      </c>
    </row>
    <row r="284" spans="1:18" ht="15" customHeight="1" x14ac:dyDescent="0.3">
      <c r="A284" s="6" t="s">
        <v>36</v>
      </c>
      <c r="B284" s="6" t="s">
        <v>37</v>
      </c>
      <c r="C284" s="6">
        <v>0.75694444444444453</v>
      </c>
      <c r="D284" s="6" t="s">
        <v>38</v>
      </c>
      <c r="E284" s="6" t="s">
        <v>29</v>
      </c>
      <c r="F284" s="6" t="s">
        <v>179</v>
      </c>
      <c r="G284" s="328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9"/>
    </row>
    <row r="285" spans="1:18" ht="15" customHeight="1" x14ac:dyDescent="0.3">
      <c r="A285" s="10" t="s">
        <v>36</v>
      </c>
      <c r="B285" s="10" t="s">
        <v>37</v>
      </c>
      <c r="C285" s="10">
        <v>0.75694444444444453</v>
      </c>
      <c r="D285" s="10" t="s">
        <v>40</v>
      </c>
      <c r="E285" s="10" t="s">
        <v>32</v>
      </c>
      <c r="F285" s="10" t="s">
        <v>33</v>
      </c>
      <c r="G285" s="328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9"/>
    </row>
    <row r="286" spans="1:18" ht="15" customHeight="1" x14ac:dyDescent="0.3">
      <c r="A286" s="10" t="s">
        <v>36</v>
      </c>
      <c r="B286" s="10" t="s">
        <v>37</v>
      </c>
      <c r="C286" s="10">
        <v>0.75694444444444453</v>
      </c>
      <c r="D286" s="10" t="s">
        <v>42</v>
      </c>
      <c r="E286" s="10" t="s">
        <v>32</v>
      </c>
      <c r="F286" s="10" t="s">
        <v>144</v>
      </c>
      <c r="G286" s="328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9"/>
    </row>
    <row r="287" spans="1:18" ht="15" customHeight="1" x14ac:dyDescent="0.3">
      <c r="A287" s="11" t="s">
        <v>26</v>
      </c>
      <c r="B287" s="11" t="s">
        <v>27</v>
      </c>
      <c r="C287" s="11">
        <v>0.4201388888888889</v>
      </c>
      <c r="D287" s="11" t="s">
        <v>28</v>
      </c>
      <c r="E287" s="11" t="s">
        <v>180</v>
      </c>
      <c r="F287" s="11" t="s">
        <v>144</v>
      </c>
      <c r="G287" s="328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9"/>
    </row>
    <row r="288" spans="1:18" ht="15" customHeight="1" x14ac:dyDescent="0.3">
      <c r="A288" s="10" t="s">
        <v>26</v>
      </c>
      <c r="B288" s="10" t="s">
        <v>27</v>
      </c>
      <c r="C288" s="10">
        <v>0.4201388888888889</v>
      </c>
      <c r="D288" s="10" t="s">
        <v>31</v>
      </c>
      <c r="E288" s="10" t="s">
        <v>181</v>
      </c>
      <c r="F288" s="10" t="s">
        <v>182</v>
      </c>
      <c r="G288" s="328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9"/>
    </row>
    <row r="289" spans="1:18" ht="15" customHeight="1" x14ac:dyDescent="0.3">
      <c r="A289" s="10" t="s">
        <v>26</v>
      </c>
      <c r="B289" s="10" t="s">
        <v>27</v>
      </c>
      <c r="C289" s="10">
        <v>0.4201388888888889</v>
      </c>
      <c r="D289" s="10" t="s">
        <v>34</v>
      </c>
      <c r="E289" s="10" t="s">
        <v>181</v>
      </c>
      <c r="F289" s="10" t="s">
        <v>35</v>
      </c>
      <c r="G289" s="328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9"/>
    </row>
    <row r="290" spans="1:18" ht="15" customHeight="1" x14ac:dyDescent="0.3">
      <c r="A290" s="11" t="s">
        <v>78</v>
      </c>
      <c r="B290" s="11" t="s">
        <v>94</v>
      </c>
      <c r="C290" s="11">
        <v>8.6805555555555566E-2</v>
      </c>
      <c r="D290" s="11" t="s">
        <v>80</v>
      </c>
      <c r="E290" s="11" t="s">
        <v>47</v>
      </c>
      <c r="F290" s="11" t="s">
        <v>82</v>
      </c>
      <c r="G290" s="328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9"/>
    </row>
    <row r="291" spans="1:18" ht="15" customHeight="1" x14ac:dyDescent="0.3">
      <c r="A291" s="10" t="s">
        <v>78</v>
      </c>
      <c r="B291" s="10" t="s">
        <v>94</v>
      </c>
      <c r="C291" s="10">
        <v>8.6805555555555566E-2</v>
      </c>
      <c r="D291" s="10" t="s">
        <v>83</v>
      </c>
      <c r="E291" s="10" t="s">
        <v>95</v>
      </c>
      <c r="F291" s="10" t="s">
        <v>85</v>
      </c>
      <c r="G291" s="328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9"/>
    </row>
    <row r="292" spans="1:18" ht="15" customHeight="1" x14ac:dyDescent="0.3">
      <c r="A292" s="26" t="s">
        <v>78</v>
      </c>
      <c r="B292" s="26" t="s">
        <v>79</v>
      </c>
      <c r="C292" s="26">
        <v>0.60416666666666663</v>
      </c>
      <c r="D292" s="26" t="s">
        <v>80</v>
      </c>
      <c r="E292" s="26" t="s">
        <v>87</v>
      </c>
      <c r="F292" s="26" t="s">
        <v>91</v>
      </c>
      <c r="G292" s="328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9"/>
    </row>
    <row r="293" spans="1:18" ht="15" customHeight="1" x14ac:dyDescent="0.3">
      <c r="A293" s="10" t="s">
        <v>78</v>
      </c>
      <c r="B293" s="10" t="s">
        <v>79</v>
      </c>
      <c r="C293" s="10">
        <v>0.60416666666666663</v>
      </c>
      <c r="D293" s="10" t="s">
        <v>83</v>
      </c>
      <c r="E293" s="10" t="s">
        <v>32</v>
      </c>
      <c r="F293" s="10" t="s">
        <v>93</v>
      </c>
      <c r="G293" s="328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9"/>
    </row>
    <row r="294" spans="1:18" ht="15" customHeight="1" x14ac:dyDescent="0.3">
      <c r="A294" s="26" t="s">
        <v>78</v>
      </c>
      <c r="B294" s="26" t="s">
        <v>89</v>
      </c>
      <c r="C294" s="26">
        <v>0.79513888888888884</v>
      </c>
      <c r="D294" s="26" t="s">
        <v>80</v>
      </c>
      <c r="E294" s="26" t="s">
        <v>97</v>
      </c>
      <c r="F294" s="26" t="s">
        <v>91</v>
      </c>
      <c r="G294" s="328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9"/>
    </row>
    <row r="295" spans="1:18" ht="15" customHeight="1" x14ac:dyDescent="0.3">
      <c r="A295" s="10" t="s">
        <v>78</v>
      </c>
      <c r="B295" s="10" t="s">
        <v>89</v>
      </c>
      <c r="C295" s="10">
        <v>0.79513888888888884</v>
      </c>
      <c r="D295" s="10" t="s">
        <v>83</v>
      </c>
      <c r="E295" s="10" t="s">
        <v>104</v>
      </c>
      <c r="F295" s="10" t="s">
        <v>93</v>
      </c>
      <c r="G295" s="328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9"/>
    </row>
    <row r="296" spans="1:18" ht="15" customHeight="1" x14ac:dyDescent="0.3">
      <c r="A296" s="26" t="s">
        <v>78</v>
      </c>
      <c r="B296" s="26" t="s">
        <v>86</v>
      </c>
      <c r="C296" s="26">
        <v>0.4201388888888889</v>
      </c>
      <c r="D296" s="26" t="s">
        <v>83</v>
      </c>
      <c r="E296" s="26" t="s">
        <v>87</v>
      </c>
      <c r="F296" s="26" t="s">
        <v>116</v>
      </c>
      <c r="G296" s="328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9"/>
    </row>
    <row r="297" spans="1:18" ht="15" customHeight="1" x14ac:dyDescent="0.3">
      <c r="A297" s="11" t="s">
        <v>66</v>
      </c>
      <c r="B297" s="11" t="s">
        <v>70</v>
      </c>
      <c r="C297" s="11">
        <v>0.22222222222222221</v>
      </c>
      <c r="D297" s="11" t="s">
        <v>68</v>
      </c>
      <c r="E297" s="11" t="s">
        <v>47</v>
      </c>
      <c r="F297" s="11" t="s">
        <v>147</v>
      </c>
      <c r="G297" s="328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9"/>
    </row>
    <row r="298" spans="1:18" ht="15" customHeight="1" x14ac:dyDescent="0.3">
      <c r="A298" s="26" t="s">
        <v>66</v>
      </c>
      <c r="B298" s="26" t="s">
        <v>76</v>
      </c>
      <c r="C298" s="26">
        <v>0.85416666666666663</v>
      </c>
      <c r="D298" s="26" t="s">
        <v>68</v>
      </c>
      <c r="E298" s="26" t="s">
        <v>87</v>
      </c>
      <c r="F298" s="26" t="s">
        <v>77</v>
      </c>
      <c r="G298" s="328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9"/>
    </row>
    <row r="299" spans="1:18" ht="15" customHeight="1" x14ac:dyDescent="0.3">
      <c r="A299" s="31" t="s">
        <v>66</v>
      </c>
      <c r="B299" s="31" t="s">
        <v>75</v>
      </c>
      <c r="C299" s="31">
        <v>0.49305555555555558</v>
      </c>
      <c r="D299" s="31" t="s">
        <v>68</v>
      </c>
      <c r="E299" s="31" t="s">
        <v>152</v>
      </c>
      <c r="F299" s="31" t="s">
        <v>77</v>
      </c>
      <c r="G299" s="328"/>
      <c r="H299" s="28"/>
      <c r="I299" s="29"/>
      <c r="J299" s="29"/>
      <c r="K299" s="29"/>
      <c r="L299" s="29"/>
      <c r="M299" s="29"/>
      <c r="N299" s="29"/>
      <c r="O299" s="29"/>
      <c r="P299" s="29"/>
      <c r="Q299" s="29"/>
      <c r="R299" s="30"/>
    </row>
  </sheetData>
  <mergeCells count="70">
    <mergeCell ref="A281:R281"/>
    <mergeCell ref="H248:R248"/>
    <mergeCell ref="H260:R260"/>
    <mergeCell ref="G68:G83"/>
    <mergeCell ref="A196:F196"/>
    <mergeCell ref="A260:F260"/>
    <mergeCell ref="H105:R105"/>
    <mergeCell ref="G43:G64"/>
    <mergeCell ref="G30:G39"/>
    <mergeCell ref="G198:G210"/>
    <mergeCell ref="N1:R1"/>
    <mergeCell ref="G124:G140"/>
    <mergeCell ref="A28:F28"/>
    <mergeCell ref="G87:G103"/>
    <mergeCell ref="A161:F161"/>
    <mergeCell ref="A121:R121"/>
    <mergeCell ref="K2:R2"/>
    <mergeCell ref="G107:G120"/>
    <mergeCell ref="G6:G26"/>
    <mergeCell ref="H28:R28"/>
    <mergeCell ref="A40:R40"/>
    <mergeCell ref="H66:R66"/>
    <mergeCell ref="A142:F142"/>
    <mergeCell ref="A259:R259"/>
    <mergeCell ref="A122:F122"/>
    <mergeCell ref="A141:R141"/>
    <mergeCell ref="H85:R85"/>
    <mergeCell ref="A231:F231"/>
    <mergeCell ref="A180:R180"/>
    <mergeCell ref="A230:R230"/>
    <mergeCell ref="A211:R211"/>
    <mergeCell ref="G163:G179"/>
    <mergeCell ref="G233:G246"/>
    <mergeCell ref="G284:G299"/>
    <mergeCell ref="H41:R41"/>
    <mergeCell ref="A27:R27"/>
    <mergeCell ref="H212:R212"/>
    <mergeCell ref="G183:G194"/>
    <mergeCell ref="A248:F248"/>
    <mergeCell ref="H122:R122"/>
    <mergeCell ref="G262:G280"/>
    <mergeCell ref="A85:F85"/>
    <mergeCell ref="A104:R104"/>
    <mergeCell ref="G144:G159"/>
    <mergeCell ref="A195:R195"/>
    <mergeCell ref="H161:R161"/>
    <mergeCell ref="A181:F181"/>
    <mergeCell ref="A160:R160"/>
    <mergeCell ref="G250:G258"/>
    <mergeCell ref="A282:F282"/>
    <mergeCell ref="A84:R84"/>
    <mergeCell ref="H181:R181"/>
    <mergeCell ref="H1:L1"/>
    <mergeCell ref="A1:E1"/>
    <mergeCell ref="A105:F105"/>
    <mergeCell ref="H196:R196"/>
    <mergeCell ref="H4:R4"/>
    <mergeCell ref="A2:F2"/>
    <mergeCell ref="A3:R3"/>
    <mergeCell ref="A247:R247"/>
    <mergeCell ref="H142:R142"/>
    <mergeCell ref="G2:J2"/>
    <mergeCell ref="G214:G229"/>
    <mergeCell ref="A4:F4"/>
    <mergeCell ref="H282:R282"/>
    <mergeCell ref="A41:F41"/>
    <mergeCell ref="A212:F212"/>
    <mergeCell ref="A65:R65"/>
    <mergeCell ref="H231:R231"/>
    <mergeCell ref="A66:F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"/>
  <sheetViews>
    <sheetView workbookViewId="0"/>
  </sheetViews>
  <sheetFormatPr defaultRowHeight="15.6" outlineLevelCol="1" x14ac:dyDescent="0.3"/>
  <cols>
    <col min="1" max="1" width="9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5546875" style="343" bestFit="1" customWidth="1"/>
    <col min="6" max="6" width="4.21875" style="343" bestFit="1" customWidth="1"/>
    <col min="7" max="7" width="10" style="343" bestFit="1" customWidth="1"/>
    <col min="8" max="10" width="8.5546875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3" width="3.88671875" style="343" bestFit="1" customWidth="1"/>
    <col min="24" max="24" width="4.109375" style="343" bestFit="1" customWidth="1"/>
    <col min="25" max="25" width="4.44140625" style="343" bestFit="1" customWidth="1"/>
    <col min="26" max="26" width="4.109375" style="343" bestFit="1" customWidth="1"/>
    <col min="27" max="27" width="5" style="343" bestFit="1" customWidth="1"/>
    <col min="28" max="29" width="4.21875" style="343" bestFit="1" customWidth="1"/>
    <col min="30" max="31" width="4.5546875" style="343" bestFit="1" customWidth="1"/>
    <col min="32" max="32" width="3.88671875" style="343" bestFit="1" customWidth="1"/>
    <col min="33" max="33" width="4.21875" style="343" bestFit="1" customWidth="1"/>
    <col min="34" max="34" width="3.88671875" style="343" bestFit="1" customWidth="1"/>
    <col min="35" max="35" width="5.21875" style="343" bestFit="1" customWidth="1"/>
    <col min="36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56</v>
      </c>
      <c r="D2" s="347" t="s">
        <v>213</v>
      </c>
      <c r="E2" s="346" t="s">
        <v>1</v>
      </c>
      <c r="F2" s="346" t="s">
        <v>214</v>
      </c>
      <c r="G2" s="348">
        <v>0.91059999999999997</v>
      </c>
      <c r="H2" s="349">
        <v>179</v>
      </c>
      <c r="I2" s="349">
        <v>163</v>
      </c>
      <c r="J2" s="349">
        <v>158</v>
      </c>
      <c r="K2" s="346" t="s">
        <v>215</v>
      </c>
      <c r="L2" s="350" t="s">
        <v>57</v>
      </c>
      <c r="M2" s="349">
        <v>0</v>
      </c>
      <c r="N2" s="349">
        <v>0</v>
      </c>
      <c r="O2" s="349">
        <v>0</v>
      </c>
      <c r="P2" s="346" t="s">
        <v>58</v>
      </c>
      <c r="Q2" s="342"/>
      <c r="R2" s="342"/>
      <c r="S2" s="342"/>
      <c r="T2" s="342"/>
      <c r="U2" s="342"/>
      <c r="V2" s="342"/>
      <c r="W2" s="342"/>
      <c r="X2" s="349" t="s">
        <v>216</v>
      </c>
      <c r="Y2" s="342"/>
      <c r="Z2" s="342"/>
      <c r="AA2" s="342"/>
      <c r="AB2" s="342"/>
      <c r="AC2" s="342"/>
      <c r="AD2" s="342"/>
      <c r="AE2" s="342"/>
      <c r="AF2" s="349" t="s">
        <v>217</v>
      </c>
      <c r="AG2" s="349" t="s">
        <v>218</v>
      </c>
      <c r="AH2" s="342"/>
      <c r="AI2" s="349" t="s">
        <v>219</v>
      </c>
      <c r="AJ2" s="342"/>
    </row>
    <row r="3" spans="1:36" x14ac:dyDescent="0.3">
      <c r="A3" s="344" t="s">
        <v>212</v>
      </c>
      <c r="B3" s="345">
        <v>45986</v>
      </c>
      <c r="C3" s="346" t="s">
        <v>49</v>
      </c>
      <c r="D3" s="347" t="s">
        <v>220</v>
      </c>
      <c r="E3" s="346" t="s">
        <v>1</v>
      </c>
      <c r="F3" s="346" t="s">
        <v>214</v>
      </c>
      <c r="G3" s="348">
        <v>0.52980000000000005</v>
      </c>
      <c r="H3" s="349">
        <v>168</v>
      </c>
      <c r="I3" s="349">
        <v>89</v>
      </c>
      <c r="J3" s="349">
        <v>0</v>
      </c>
      <c r="K3" s="346" t="s">
        <v>215</v>
      </c>
      <c r="L3" s="350" t="s">
        <v>50</v>
      </c>
      <c r="M3" s="349">
        <v>0</v>
      </c>
      <c r="N3" s="349">
        <v>4</v>
      </c>
      <c r="O3" s="349">
        <v>20</v>
      </c>
      <c r="P3" s="346" t="s">
        <v>51</v>
      </c>
      <c r="Q3" s="342"/>
      <c r="R3" s="342"/>
      <c r="S3" s="342"/>
      <c r="T3" s="342"/>
      <c r="U3" s="342"/>
      <c r="V3" s="342"/>
      <c r="W3" s="342"/>
      <c r="X3" s="349" t="s">
        <v>221</v>
      </c>
      <c r="Y3" s="349" t="s">
        <v>222</v>
      </c>
      <c r="Z3" s="349" t="s">
        <v>223</v>
      </c>
      <c r="AA3" s="349" t="s">
        <v>224</v>
      </c>
      <c r="AB3" s="349" t="s">
        <v>225</v>
      </c>
      <c r="AC3" s="349" t="s">
        <v>226</v>
      </c>
      <c r="AD3" s="349" t="s">
        <v>227</v>
      </c>
      <c r="AE3" s="349" t="s">
        <v>228</v>
      </c>
      <c r="AF3" s="349" t="s">
        <v>229</v>
      </c>
      <c r="AG3" s="342"/>
      <c r="AH3" s="342"/>
      <c r="AI3" s="342"/>
      <c r="AJ3" s="342"/>
    </row>
    <row r="4" spans="1:36" x14ac:dyDescent="0.3">
      <c r="A4" s="344" t="s">
        <v>212</v>
      </c>
      <c r="B4" s="345">
        <v>45986</v>
      </c>
      <c r="C4" s="346" t="s">
        <v>60</v>
      </c>
      <c r="D4" s="347" t="s">
        <v>230</v>
      </c>
      <c r="E4" s="346" t="s">
        <v>1</v>
      </c>
      <c r="F4" s="346" t="s">
        <v>214</v>
      </c>
      <c r="G4" s="348">
        <v>1</v>
      </c>
      <c r="H4" s="349">
        <v>179</v>
      </c>
      <c r="I4" s="349">
        <v>179</v>
      </c>
      <c r="J4" s="349">
        <v>123</v>
      </c>
      <c r="K4" s="346" t="s">
        <v>215</v>
      </c>
      <c r="L4" s="350" t="s">
        <v>63</v>
      </c>
      <c r="M4" s="349">
        <v>0</v>
      </c>
      <c r="N4" s="349">
        <v>0</v>
      </c>
      <c r="O4" s="349">
        <v>6</v>
      </c>
      <c r="P4" s="346" t="s">
        <v>64</v>
      </c>
      <c r="Q4" s="342"/>
      <c r="R4" s="342"/>
      <c r="S4" s="342"/>
      <c r="T4" s="342"/>
      <c r="U4" s="349" t="s">
        <v>231</v>
      </c>
      <c r="V4" s="349" t="s">
        <v>232</v>
      </c>
      <c r="W4" s="349" t="s">
        <v>233</v>
      </c>
      <c r="X4" s="342"/>
      <c r="Y4" s="342"/>
      <c r="Z4" s="349" t="s">
        <v>234</v>
      </c>
      <c r="AA4" s="342"/>
      <c r="AB4" s="342"/>
      <c r="AC4" s="349" t="s">
        <v>235</v>
      </c>
      <c r="AD4" s="349" t="s">
        <v>236</v>
      </c>
      <c r="AE4" s="349" t="s">
        <v>237</v>
      </c>
      <c r="AF4" s="349" t="s">
        <v>238</v>
      </c>
      <c r="AG4" s="342"/>
      <c r="AH4" s="342"/>
      <c r="AI4" s="349" t="s">
        <v>239</v>
      </c>
      <c r="AJ4" s="342"/>
    </row>
    <row r="5" spans="1:36" x14ac:dyDescent="0.3">
      <c r="A5" s="344" t="s">
        <v>240</v>
      </c>
      <c r="B5" s="345">
        <v>45988</v>
      </c>
      <c r="C5" s="346" t="s">
        <v>60</v>
      </c>
      <c r="D5" s="347" t="s">
        <v>241</v>
      </c>
      <c r="E5" s="346" t="s">
        <v>1</v>
      </c>
      <c r="F5" s="346" t="s">
        <v>214</v>
      </c>
      <c r="G5" s="348">
        <v>0.98280000000000001</v>
      </c>
      <c r="H5" s="349">
        <v>174</v>
      </c>
      <c r="I5" s="349">
        <v>171</v>
      </c>
      <c r="J5" s="349">
        <v>128</v>
      </c>
      <c r="K5" s="346" t="s">
        <v>215</v>
      </c>
      <c r="L5" s="350" t="s">
        <v>50</v>
      </c>
      <c r="M5" s="349">
        <v>0</v>
      </c>
      <c r="N5" s="349">
        <v>1</v>
      </c>
      <c r="O5" s="349">
        <v>7</v>
      </c>
      <c r="P5" s="346" t="s">
        <v>119</v>
      </c>
      <c r="Q5" s="342"/>
      <c r="R5" s="342"/>
      <c r="S5" s="342"/>
      <c r="T5" s="342"/>
      <c r="U5" s="342"/>
      <c r="V5" s="342"/>
      <c r="W5" s="349" t="s">
        <v>242</v>
      </c>
      <c r="X5" s="349" t="s">
        <v>243</v>
      </c>
      <c r="Y5" s="342"/>
      <c r="Z5" s="349" t="s">
        <v>244</v>
      </c>
      <c r="AA5" s="342"/>
      <c r="AB5" s="342"/>
      <c r="AC5" s="342"/>
      <c r="AD5" s="349" t="s">
        <v>245</v>
      </c>
      <c r="AE5" s="349" t="s">
        <v>237</v>
      </c>
      <c r="AF5" s="349" t="s">
        <v>238</v>
      </c>
      <c r="AG5" s="342"/>
      <c r="AH5" s="342"/>
      <c r="AI5" s="349" t="s">
        <v>246</v>
      </c>
      <c r="AJ5" s="349" t="s">
        <v>247</v>
      </c>
    </row>
    <row r="6" spans="1:36" x14ac:dyDescent="0.3">
      <c r="A6" s="344" t="s">
        <v>248</v>
      </c>
      <c r="B6" s="345">
        <v>45990</v>
      </c>
      <c r="C6" s="346" t="s">
        <v>60</v>
      </c>
      <c r="D6" s="347" t="s">
        <v>249</v>
      </c>
      <c r="E6" s="346" t="s">
        <v>1</v>
      </c>
      <c r="F6" s="346" t="s">
        <v>214</v>
      </c>
      <c r="G6" s="348">
        <v>1.0298</v>
      </c>
      <c r="H6" s="349">
        <v>168</v>
      </c>
      <c r="I6" s="349">
        <v>173</v>
      </c>
      <c r="J6" s="349">
        <v>131</v>
      </c>
      <c r="K6" s="346" t="s">
        <v>215</v>
      </c>
      <c r="L6" s="350" t="s">
        <v>130</v>
      </c>
      <c r="M6" s="349">
        <v>0</v>
      </c>
      <c r="N6" s="349">
        <v>0</v>
      </c>
      <c r="O6" s="349">
        <v>0</v>
      </c>
      <c r="P6" s="346" t="s">
        <v>64</v>
      </c>
      <c r="Q6" s="342"/>
      <c r="R6" s="342"/>
      <c r="S6" s="342"/>
      <c r="T6" s="342"/>
      <c r="U6" s="342"/>
      <c r="V6" s="342"/>
      <c r="W6" s="342"/>
      <c r="X6" s="342"/>
      <c r="Y6" s="349" t="s">
        <v>173</v>
      </c>
      <c r="Z6" s="349" t="s">
        <v>250</v>
      </c>
      <c r="AA6" s="342"/>
      <c r="AB6" s="342"/>
      <c r="AC6" s="342"/>
      <c r="AD6" s="342"/>
      <c r="AE6" s="342"/>
      <c r="AF6" s="349" t="s">
        <v>251</v>
      </c>
      <c r="AG6" s="342"/>
      <c r="AH6" s="342"/>
      <c r="AI6" s="349" t="s">
        <v>252</v>
      </c>
      <c r="AJ6" s="349" t="s">
        <v>253</v>
      </c>
    </row>
    <row r="7" spans="1:36" x14ac:dyDescent="0.3">
      <c r="A7" s="344" t="s">
        <v>254</v>
      </c>
      <c r="B7" s="345">
        <v>45991</v>
      </c>
      <c r="C7" s="346" t="s">
        <v>60</v>
      </c>
      <c r="D7" s="347" t="s">
        <v>255</v>
      </c>
      <c r="E7" s="346" t="s">
        <v>1</v>
      </c>
      <c r="F7" s="346" t="s">
        <v>214</v>
      </c>
      <c r="G7" s="348">
        <v>0.96550000000000002</v>
      </c>
      <c r="H7" s="349">
        <v>174</v>
      </c>
      <c r="I7" s="349">
        <v>168</v>
      </c>
      <c r="J7" s="349">
        <v>133</v>
      </c>
      <c r="K7" s="346" t="s">
        <v>215</v>
      </c>
      <c r="L7" s="350" t="s">
        <v>140</v>
      </c>
      <c r="M7" s="349">
        <v>0</v>
      </c>
      <c r="N7" s="349">
        <v>0</v>
      </c>
      <c r="O7" s="349">
        <v>2</v>
      </c>
      <c r="P7" s="346" t="s">
        <v>141</v>
      </c>
      <c r="Q7" s="342"/>
      <c r="R7" s="342"/>
      <c r="S7" s="342"/>
      <c r="T7" s="342"/>
      <c r="U7" s="342"/>
      <c r="V7" s="342"/>
      <c r="W7" s="342"/>
      <c r="X7" s="349" t="s">
        <v>256</v>
      </c>
      <c r="Y7" s="349" t="s">
        <v>257</v>
      </c>
      <c r="Z7" s="349" t="s">
        <v>258</v>
      </c>
      <c r="AA7" s="349" t="s">
        <v>259</v>
      </c>
      <c r="AB7" s="349" t="s">
        <v>260</v>
      </c>
      <c r="AC7" s="349" t="s">
        <v>261</v>
      </c>
      <c r="AD7" s="349" t="s">
        <v>262</v>
      </c>
      <c r="AE7" s="349" t="s">
        <v>263</v>
      </c>
      <c r="AF7" s="349" t="s">
        <v>217</v>
      </c>
      <c r="AG7" s="342"/>
      <c r="AH7" s="342"/>
      <c r="AI7" s="349" t="s">
        <v>252</v>
      </c>
      <c r="AJ7" s="342"/>
    </row>
    <row r="8" spans="1:36" x14ac:dyDescent="0.3">
      <c r="A8" s="344" t="s">
        <v>212</v>
      </c>
      <c r="B8" s="345">
        <v>45993</v>
      </c>
      <c r="C8" s="346" t="s">
        <v>56</v>
      </c>
      <c r="D8" s="347" t="s">
        <v>213</v>
      </c>
      <c r="E8" s="346" t="s">
        <v>1</v>
      </c>
      <c r="F8" s="346" t="s">
        <v>214</v>
      </c>
      <c r="G8" s="348">
        <v>0.96</v>
      </c>
      <c r="H8" s="349">
        <v>175</v>
      </c>
      <c r="I8" s="349">
        <v>168</v>
      </c>
      <c r="J8" s="349">
        <v>120</v>
      </c>
      <c r="K8" s="346" t="s">
        <v>215</v>
      </c>
      <c r="L8" s="350" t="s">
        <v>154</v>
      </c>
      <c r="M8" s="349">
        <v>0</v>
      </c>
      <c r="N8" s="349">
        <v>0</v>
      </c>
      <c r="O8" s="349">
        <v>0</v>
      </c>
      <c r="P8" s="346" t="s">
        <v>155</v>
      </c>
      <c r="Q8" s="342"/>
      <c r="R8" s="342"/>
      <c r="S8" s="342"/>
      <c r="T8" s="342"/>
      <c r="U8" s="342"/>
      <c r="V8" s="342"/>
      <c r="W8" s="342"/>
      <c r="X8" s="342"/>
      <c r="Y8" s="342"/>
      <c r="Z8" s="349" t="s">
        <v>264</v>
      </c>
      <c r="AA8" s="342"/>
      <c r="AB8" s="342"/>
      <c r="AC8" s="349" t="s">
        <v>265</v>
      </c>
      <c r="AD8" s="349" t="s">
        <v>266</v>
      </c>
      <c r="AE8" s="349" t="s">
        <v>267</v>
      </c>
      <c r="AF8" s="349" t="s">
        <v>238</v>
      </c>
      <c r="AG8" s="349" t="s">
        <v>268</v>
      </c>
      <c r="AH8" s="342"/>
      <c r="AI8" s="349" t="s">
        <v>269</v>
      </c>
      <c r="AJ8" s="349" t="s">
        <v>247</v>
      </c>
    </row>
    <row r="9" spans="1:36" x14ac:dyDescent="0.3">
      <c r="A9" s="344" t="s">
        <v>212</v>
      </c>
      <c r="B9" s="345">
        <v>45993</v>
      </c>
      <c r="C9" s="346" t="s">
        <v>49</v>
      </c>
      <c r="D9" s="347" t="s">
        <v>220</v>
      </c>
      <c r="E9" s="346" t="s">
        <v>1</v>
      </c>
      <c r="F9" s="346" t="s">
        <v>214</v>
      </c>
      <c r="G9" s="348">
        <v>0.77980000000000005</v>
      </c>
      <c r="H9" s="349">
        <v>168</v>
      </c>
      <c r="I9" s="349">
        <v>131</v>
      </c>
      <c r="J9" s="349">
        <v>41</v>
      </c>
      <c r="K9" s="346" t="s">
        <v>215</v>
      </c>
      <c r="L9" s="350" t="s">
        <v>50</v>
      </c>
      <c r="M9" s="349">
        <v>0</v>
      </c>
      <c r="N9" s="349">
        <v>2</v>
      </c>
      <c r="O9" s="349">
        <v>75</v>
      </c>
      <c r="P9" s="346" t="s">
        <v>150</v>
      </c>
      <c r="Q9" s="342"/>
      <c r="R9" s="342"/>
      <c r="S9" s="342"/>
      <c r="T9" s="342"/>
      <c r="U9" s="342"/>
      <c r="V9" s="342"/>
      <c r="W9" s="342"/>
      <c r="X9" s="349" t="s">
        <v>270</v>
      </c>
      <c r="Y9" s="349" t="s">
        <v>271</v>
      </c>
      <c r="Z9" s="349" t="s">
        <v>223</v>
      </c>
      <c r="AA9" s="349" t="s">
        <v>224</v>
      </c>
      <c r="AB9" s="349" t="s">
        <v>225</v>
      </c>
      <c r="AC9" s="349" t="s">
        <v>226</v>
      </c>
      <c r="AD9" s="349" t="s">
        <v>227</v>
      </c>
      <c r="AE9" s="349" t="s">
        <v>228</v>
      </c>
      <c r="AF9" s="349" t="s">
        <v>229</v>
      </c>
      <c r="AG9" s="342"/>
      <c r="AH9" s="342"/>
      <c r="AI9" s="349" t="s">
        <v>272</v>
      </c>
      <c r="AJ9" s="342"/>
    </row>
    <row r="10" spans="1:36" x14ac:dyDescent="0.3">
      <c r="A10" s="344" t="s">
        <v>212</v>
      </c>
      <c r="B10" s="345">
        <v>45993</v>
      </c>
      <c r="C10" s="346" t="s">
        <v>60</v>
      </c>
      <c r="D10" s="347" t="s">
        <v>230</v>
      </c>
      <c r="E10" s="346" t="s">
        <v>1</v>
      </c>
      <c r="F10" s="346" t="s">
        <v>214</v>
      </c>
      <c r="G10" s="348">
        <v>1.006</v>
      </c>
      <c r="H10" s="349">
        <v>168</v>
      </c>
      <c r="I10" s="349">
        <v>169</v>
      </c>
      <c r="J10" s="349">
        <v>136</v>
      </c>
      <c r="K10" s="346" t="s">
        <v>215</v>
      </c>
      <c r="L10" s="350" t="s">
        <v>157</v>
      </c>
      <c r="M10" s="349">
        <v>0</v>
      </c>
      <c r="N10" s="349">
        <v>0</v>
      </c>
      <c r="O10" s="349">
        <v>0</v>
      </c>
      <c r="P10" s="346" t="s">
        <v>64</v>
      </c>
      <c r="Q10" s="342"/>
      <c r="R10" s="342"/>
      <c r="S10" s="342"/>
      <c r="T10" s="342"/>
      <c r="U10" s="342"/>
      <c r="V10" s="342"/>
      <c r="W10" s="342"/>
      <c r="X10" s="342"/>
      <c r="Y10" s="342"/>
      <c r="Z10" s="349" t="s">
        <v>273</v>
      </c>
      <c r="AA10" s="342"/>
      <c r="AB10" s="342"/>
      <c r="AC10" s="342"/>
      <c r="AD10" s="342"/>
      <c r="AE10" s="349" t="s">
        <v>237</v>
      </c>
      <c r="AF10" s="349" t="s">
        <v>238</v>
      </c>
      <c r="AG10" s="349" t="s">
        <v>274</v>
      </c>
      <c r="AH10" s="342"/>
      <c r="AI10" s="349" t="s">
        <v>269</v>
      </c>
      <c r="AJ10" s="349" t="s">
        <v>275</v>
      </c>
    </row>
    <row r="11" spans="1:36" x14ac:dyDescent="0.3">
      <c r="A11" s="344" t="s">
        <v>240</v>
      </c>
      <c r="B11" s="345">
        <v>45995</v>
      </c>
      <c r="C11" s="346" t="s">
        <v>60</v>
      </c>
      <c r="D11" s="347" t="s">
        <v>241</v>
      </c>
      <c r="E11" s="346" t="s">
        <v>1</v>
      </c>
      <c r="F11" s="346" t="s">
        <v>214</v>
      </c>
      <c r="G11" s="348">
        <v>1.006</v>
      </c>
      <c r="H11" s="349">
        <v>168</v>
      </c>
      <c r="I11" s="349">
        <v>169</v>
      </c>
      <c r="J11" s="349">
        <v>135</v>
      </c>
      <c r="K11" s="346" t="s">
        <v>215</v>
      </c>
      <c r="L11" s="350" t="s">
        <v>50</v>
      </c>
      <c r="M11" s="349">
        <v>0</v>
      </c>
      <c r="N11" s="349">
        <v>1</v>
      </c>
      <c r="O11" s="349">
        <v>1</v>
      </c>
      <c r="P11" s="346" t="s">
        <v>64</v>
      </c>
      <c r="Q11" s="349" t="s">
        <v>276</v>
      </c>
      <c r="R11" s="342"/>
      <c r="S11" s="342"/>
      <c r="T11" s="342"/>
      <c r="U11" s="342"/>
      <c r="V11" s="342"/>
      <c r="W11" s="342"/>
      <c r="X11" s="342"/>
      <c r="Y11" s="342"/>
      <c r="Z11" s="349" t="s">
        <v>258</v>
      </c>
      <c r="AA11" s="342"/>
      <c r="AB11" s="342"/>
      <c r="AC11" s="342"/>
      <c r="AD11" s="349" t="s">
        <v>277</v>
      </c>
      <c r="AE11" s="349" t="s">
        <v>237</v>
      </c>
      <c r="AF11" s="349" t="s">
        <v>238</v>
      </c>
      <c r="AG11" s="342"/>
      <c r="AH11" s="342"/>
      <c r="AI11" s="349" t="s">
        <v>278</v>
      </c>
      <c r="AJ11" s="342"/>
    </row>
    <row r="12" spans="1:36" x14ac:dyDescent="0.3">
      <c r="A12" s="344" t="s">
        <v>248</v>
      </c>
      <c r="B12" s="345">
        <v>45997</v>
      </c>
      <c r="C12" s="346" t="s">
        <v>60</v>
      </c>
      <c r="D12" s="347" t="s">
        <v>249</v>
      </c>
      <c r="E12" s="346" t="s">
        <v>1</v>
      </c>
      <c r="F12" s="346" t="s">
        <v>214</v>
      </c>
      <c r="G12" s="348">
        <v>1.0417000000000001</v>
      </c>
      <c r="H12" s="349">
        <v>168</v>
      </c>
      <c r="I12" s="349">
        <v>175</v>
      </c>
      <c r="J12" s="349">
        <v>137</v>
      </c>
      <c r="K12" s="346" t="s">
        <v>215</v>
      </c>
      <c r="L12" s="350" t="s">
        <v>63</v>
      </c>
      <c r="M12" s="349">
        <v>0</v>
      </c>
      <c r="N12" s="349">
        <v>0</v>
      </c>
      <c r="O12" s="349">
        <v>13</v>
      </c>
      <c r="P12" s="346" t="s">
        <v>64</v>
      </c>
      <c r="Q12" s="342"/>
      <c r="R12" s="342"/>
      <c r="S12" s="342"/>
      <c r="T12" s="342"/>
      <c r="U12" s="342"/>
      <c r="V12" s="342"/>
      <c r="W12" s="342"/>
      <c r="X12" s="342"/>
      <c r="Y12" s="342"/>
      <c r="Z12" s="349" t="s">
        <v>244</v>
      </c>
      <c r="AA12" s="342"/>
      <c r="AB12" s="342"/>
      <c r="AC12" s="349" t="s">
        <v>279</v>
      </c>
      <c r="AD12" s="349" t="s">
        <v>266</v>
      </c>
      <c r="AE12" s="349" t="s">
        <v>237</v>
      </c>
      <c r="AF12" s="349" t="s">
        <v>238</v>
      </c>
      <c r="AG12" s="342"/>
      <c r="AH12" s="342"/>
      <c r="AI12" s="349" t="s">
        <v>280</v>
      </c>
      <c r="AJ12" s="349" t="s">
        <v>275</v>
      </c>
    </row>
    <row r="13" spans="1:36" x14ac:dyDescent="0.3">
      <c r="A13" s="344" t="s">
        <v>254</v>
      </c>
      <c r="B13" s="345">
        <v>45998</v>
      </c>
      <c r="C13" s="346" t="s">
        <v>60</v>
      </c>
      <c r="D13" s="347" t="s">
        <v>255</v>
      </c>
      <c r="E13" s="346" t="s">
        <v>1</v>
      </c>
      <c r="F13" s="346" t="s">
        <v>214</v>
      </c>
      <c r="G13" s="348">
        <v>1.0595000000000001</v>
      </c>
      <c r="H13" s="349">
        <v>168</v>
      </c>
      <c r="I13" s="349">
        <v>178</v>
      </c>
      <c r="J13" s="349">
        <v>145</v>
      </c>
      <c r="K13" s="346" t="s">
        <v>215</v>
      </c>
      <c r="L13" s="350" t="s">
        <v>63</v>
      </c>
      <c r="M13" s="349">
        <v>0</v>
      </c>
      <c r="N13" s="349">
        <v>0</v>
      </c>
      <c r="O13" s="349">
        <v>11</v>
      </c>
      <c r="P13" s="346" t="s">
        <v>64</v>
      </c>
      <c r="Q13" s="342"/>
      <c r="R13" s="342"/>
      <c r="S13" s="342"/>
      <c r="T13" s="342"/>
      <c r="U13" s="342"/>
      <c r="V13" s="342"/>
      <c r="W13" s="342"/>
      <c r="X13" s="342"/>
      <c r="Y13" s="349" t="s">
        <v>257</v>
      </c>
      <c r="Z13" s="349" t="s">
        <v>258</v>
      </c>
      <c r="AA13" s="349" t="s">
        <v>259</v>
      </c>
      <c r="AB13" s="349" t="s">
        <v>260</v>
      </c>
      <c r="AC13" s="349" t="s">
        <v>261</v>
      </c>
      <c r="AD13" s="349" t="s">
        <v>245</v>
      </c>
      <c r="AE13" s="349" t="s">
        <v>263</v>
      </c>
      <c r="AF13" s="349" t="s">
        <v>217</v>
      </c>
      <c r="AG13" s="342"/>
      <c r="AH13" s="342"/>
      <c r="AI13" s="349" t="s">
        <v>281</v>
      </c>
      <c r="AJ13" s="342"/>
    </row>
    <row r="14" spans="1:36" x14ac:dyDescent="0.3">
      <c r="A14" s="344" t="s">
        <v>212</v>
      </c>
      <c r="B14" s="345">
        <v>46000</v>
      </c>
      <c r="C14" s="346" t="s">
        <v>56</v>
      </c>
      <c r="D14" s="347" t="s">
        <v>213</v>
      </c>
      <c r="E14" s="346" t="s">
        <v>1</v>
      </c>
      <c r="F14" s="346" t="s">
        <v>214</v>
      </c>
      <c r="G14" s="348">
        <v>1</v>
      </c>
      <c r="H14" s="349">
        <v>168</v>
      </c>
      <c r="I14" s="349">
        <v>168</v>
      </c>
      <c r="J14" s="349">
        <v>132</v>
      </c>
      <c r="K14" s="346" t="s">
        <v>215</v>
      </c>
      <c r="L14" s="350" t="s">
        <v>175</v>
      </c>
      <c r="M14" s="349">
        <v>2</v>
      </c>
      <c r="N14" s="349">
        <v>0</v>
      </c>
      <c r="O14" s="349">
        <v>4</v>
      </c>
      <c r="P14" s="346" t="s">
        <v>64</v>
      </c>
      <c r="Q14" s="342"/>
      <c r="R14" s="342"/>
      <c r="S14" s="342"/>
      <c r="T14" s="342"/>
      <c r="U14" s="342"/>
      <c r="V14" s="342"/>
      <c r="W14" s="342"/>
      <c r="X14" s="342"/>
      <c r="Y14" s="342"/>
      <c r="Z14" s="349" t="s">
        <v>244</v>
      </c>
      <c r="AA14" s="342"/>
      <c r="AB14" s="342"/>
      <c r="AC14" s="349" t="s">
        <v>235</v>
      </c>
      <c r="AD14" s="349" t="s">
        <v>282</v>
      </c>
      <c r="AE14" s="349" t="s">
        <v>267</v>
      </c>
      <c r="AF14" s="349" t="s">
        <v>238</v>
      </c>
      <c r="AG14" s="342"/>
      <c r="AH14" s="342"/>
      <c r="AI14" s="349" t="s">
        <v>283</v>
      </c>
      <c r="AJ14" s="342"/>
    </row>
    <row r="15" spans="1:36" x14ac:dyDescent="0.3">
      <c r="A15" s="344" t="s">
        <v>212</v>
      </c>
      <c r="B15" s="345">
        <v>46000</v>
      </c>
      <c r="C15" s="346" t="s">
        <v>49</v>
      </c>
      <c r="D15" s="347" t="s">
        <v>220</v>
      </c>
      <c r="E15" s="346" t="s">
        <v>1</v>
      </c>
      <c r="F15" s="346" t="s">
        <v>214</v>
      </c>
      <c r="G15" s="348">
        <v>0.98809999999999998</v>
      </c>
      <c r="H15" s="349">
        <v>168</v>
      </c>
      <c r="I15" s="349">
        <v>166</v>
      </c>
      <c r="J15" s="349">
        <v>90</v>
      </c>
      <c r="K15" s="346" t="s">
        <v>215</v>
      </c>
      <c r="L15" s="350" t="s">
        <v>50</v>
      </c>
      <c r="M15" s="349">
        <v>0</v>
      </c>
      <c r="N15" s="349">
        <v>1</v>
      </c>
      <c r="O15" s="349">
        <v>40</v>
      </c>
      <c r="P15" s="346" t="s">
        <v>173</v>
      </c>
      <c r="Q15" s="342"/>
      <c r="R15" s="342"/>
      <c r="S15" s="342"/>
      <c r="T15" s="342"/>
      <c r="U15" s="342"/>
      <c r="V15" s="342"/>
      <c r="W15" s="342"/>
      <c r="X15" s="342"/>
      <c r="Y15" s="349" t="s">
        <v>284</v>
      </c>
      <c r="Z15" s="349" t="s">
        <v>285</v>
      </c>
      <c r="AA15" s="349" t="s">
        <v>259</v>
      </c>
      <c r="AB15" s="349" t="s">
        <v>225</v>
      </c>
      <c r="AC15" s="349" t="s">
        <v>226</v>
      </c>
      <c r="AD15" s="349" t="s">
        <v>227</v>
      </c>
      <c r="AE15" s="349" t="s">
        <v>228</v>
      </c>
      <c r="AF15" s="349" t="s">
        <v>229</v>
      </c>
      <c r="AG15" s="342"/>
      <c r="AH15" s="342"/>
      <c r="AI15" s="349" t="s">
        <v>269</v>
      </c>
      <c r="AJ15" s="342"/>
    </row>
    <row r="16" spans="1:36" x14ac:dyDescent="0.3">
      <c r="A16" s="344" t="s">
        <v>212</v>
      </c>
      <c r="B16" s="345">
        <v>46000</v>
      </c>
      <c r="C16" s="346" t="s">
        <v>60</v>
      </c>
      <c r="D16" s="347" t="s">
        <v>230</v>
      </c>
      <c r="E16" s="346" t="s">
        <v>1</v>
      </c>
      <c r="F16" s="346" t="s">
        <v>214</v>
      </c>
      <c r="G16" s="348">
        <v>1.0119</v>
      </c>
      <c r="H16" s="349">
        <v>168</v>
      </c>
      <c r="I16" s="349">
        <v>170</v>
      </c>
      <c r="J16" s="349">
        <v>129</v>
      </c>
      <c r="K16" s="346" t="s">
        <v>215</v>
      </c>
      <c r="L16" s="350" t="s">
        <v>63</v>
      </c>
      <c r="M16" s="349">
        <v>0</v>
      </c>
      <c r="N16" s="349">
        <v>0</v>
      </c>
      <c r="O16" s="349">
        <v>44</v>
      </c>
      <c r="P16" s="346" t="s">
        <v>64</v>
      </c>
      <c r="Q16" s="342"/>
      <c r="R16" s="342"/>
      <c r="S16" s="342"/>
      <c r="T16" s="342"/>
      <c r="U16" s="342"/>
      <c r="V16" s="342"/>
      <c r="W16" s="342"/>
      <c r="X16" s="342"/>
      <c r="Y16" s="342"/>
      <c r="Z16" s="349" t="s">
        <v>258</v>
      </c>
      <c r="AA16" s="342"/>
      <c r="AB16" s="342"/>
      <c r="AC16" s="342"/>
      <c r="AD16" s="349" t="s">
        <v>266</v>
      </c>
      <c r="AE16" s="349" t="s">
        <v>286</v>
      </c>
      <c r="AF16" s="349" t="s">
        <v>287</v>
      </c>
      <c r="AG16" s="349" t="s">
        <v>288</v>
      </c>
      <c r="AH16" s="342"/>
      <c r="AI16" s="349" t="s">
        <v>289</v>
      </c>
      <c r="AJ16" s="349" t="s">
        <v>253</v>
      </c>
    </row>
    <row r="17" spans="1:36" ht="21" x14ac:dyDescent="0.3">
      <c r="A17" s="351" t="s">
        <v>1574</v>
      </c>
      <c r="B17" s="352"/>
      <c r="C17" s="351">
        <f>SUBTOTAL(103,MED_CAI_LF_LEGACY[Flt])</f>
        <v>15</v>
      </c>
      <c r="D17" s="351"/>
      <c r="E17" s="351">
        <f>SUBTOTAL(103,MED_CAI_LF_LEGACY[Brd-Off])</f>
        <v>15</v>
      </c>
      <c r="F17" s="351"/>
      <c r="G17" s="353">
        <f>SUBTOTAL(101,MED_CAI_LF_LEGACY[LF%])</f>
        <v>0.95143333333333335</v>
      </c>
      <c r="H17" s="354">
        <f>SUBTOTAL(109,MED_CAI_LF_LEGACY[CAP])</f>
        <v>2561</v>
      </c>
      <c r="I17" s="354">
        <f>SUBTOTAL(109,MED_CAI_LF_LEGACY[BKG(Y)])</f>
        <v>2437</v>
      </c>
      <c r="J17" s="354">
        <f>SUBTOTAL(109,MED_CAI_LF_LEGACY[GRP(Y)])</f>
        <v>1738</v>
      </c>
      <c r="K17" s="351"/>
      <c r="L17" s="352"/>
      <c r="M17" s="354">
        <f>SUBTOTAL(109,MED_CAI_LF_LEGACY[TO-DAY])</f>
        <v>2</v>
      </c>
      <c r="N17" s="354">
        <f>SUBTOTAL(109,MED_CAI_LF_LEGACY[Y-DAY])</f>
        <v>9</v>
      </c>
      <c r="O17" s="354">
        <f>SUBTOTAL(109,MED_CAI_LF_LEGACY[WEEKLY])</f>
        <v>223</v>
      </c>
      <c r="P17" s="355"/>
      <c r="Q17" s="354">
        <f>SUBTOTAL(109,MED_CAI_LF_LEGACY[Y])</f>
        <v>0</v>
      </c>
      <c r="R17" s="354">
        <f>SUBTOTAL(109,MED_CAI_LF_LEGACY[B])</f>
        <v>0</v>
      </c>
      <c r="S17" s="354">
        <f>SUBTOTAL(109,MED_CAI_LF_LEGACY[M])</f>
        <v>0</v>
      </c>
      <c r="T17" s="354">
        <f>SUBTOTAL(109,MED_CAI_LF_LEGACY[H])</f>
        <v>0</v>
      </c>
      <c r="U17" s="354">
        <f>SUBTOTAL(109,MED_CAI_LF_LEGACY[Q])</f>
        <v>0</v>
      </c>
      <c r="V17" s="354">
        <f>SUBTOTAL(109,MED_CAI_LF_LEGACY[K])</f>
        <v>0</v>
      </c>
      <c r="W17" s="354">
        <f>SUBTOTAL(109,MED_CAI_LF_LEGACY[V])</f>
        <v>0</v>
      </c>
      <c r="X17" s="354">
        <f>SUBTOTAL(109,MED_CAI_LF_LEGACY[L])</f>
        <v>0</v>
      </c>
      <c r="Y17" s="354">
        <f>SUBTOTAL(109,MED_CAI_LF_LEGACY[G])</f>
        <v>0</v>
      </c>
      <c r="Z17" s="354">
        <f>SUBTOTAL(109,MED_CAI_LF_LEGACY[S])</f>
        <v>0</v>
      </c>
      <c r="AA17" s="354">
        <f>SUBTOTAL(109,MED_CAI_LF_LEGACY[W])</f>
        <v>0</v>
      </c>
      <c r="AB17" s="354">
        <f>SUBTOTAL(109,MED_CAI_LF_LEGACY[T])</f>
        <v>0</v>
      </c>
      <c r="AC17" s="354">
        <f>SUBTOTAL(109,MED_CAI_LF_LEGACY[X])</f>
        <v>0</v>
      </c>
      <c r="AD17" s="354">
        <f>SUBTOTAL(109,MED_CAI_LF_LEGACY[U])</f>
        <v>0</v>
      </c>
      <c r="AE17" s="354">
        <f>SUBTOTAL(109,MED_CAI_LF_LEGACY[O])</f>
        <v>0</v>
      </c>
      <c r="AF17" s="354">
        <f>SUBTOTAL(109,MED_CAI_LF_LEGACY[I])</f>
        <v>0</v>
      </c>
      <c r="AG17" s="354">
        <f>SUBTOTAL(109,MED_CAI_LF_LEGACY[E])</f>
        <v>0</v>
      </c>
      <c r="AH17" s="354">
        <f>SUBTOTAL(109,MED_CAI_LF_LEGACY[A])</f>
        <v>0</v>
      </c>
      <c r="AI17" s="354">
        <f>SUBTOTAL(109,MED_CAI_LF_LEGACY[P])</f>
        <v>0</v>
      </c>
      <c r="AJ17" s="354">
        <f>SUBTOTAL(103,MED_CAI_LF_LEGACY[N])</f>
        <v>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0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9.886718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26</v>
      </c>
      <c r="C2" s="95" t="s">
        <v>27</v>
      </c>
      <c r="D2" s="94" t="s">
        <v>1</v>
      </c>
      <c r="E2" s="94" t="s">
        <v>293</v>
      </c>
      <c r="F2" s="94" t="s">
        <v>28</v>
      </c>
      <c r="G2" s="96">
        <v>4</v>
      </c>
      <c r="H2" s="97">
        <v>559</v>
      </c>
      <c r="I2" s="88"/>
    </row>
    <row r="3" spans="1:9" ht="19.8" customHeight="1" x14ac:dyDescent="0.3">
      <c r="A3" s="93" t="s">
        <v>292</v>
      </c>
      <c r="B3" s="94" t="s">
        <v>36</v>
      </c>
      <c r="C3" s="95" t="s">
        <v>37</v>
      </c>
      <c r="D3" s="94" t="s">
        <v>1</v>
      </c>
      <c r="E3" s="94" t="s">
        <v>294</v>
      </c>
      <c r="F3" s="94" t="s">
        <v>38</v>
      </c>
      <c r="G3" s="96">
        <v>4</v>
      </c>
      <c r="H3" s="97">
        <v>639</v>
      </c>
      <c r="I3" s="88"/>
    </row>
    <row r="4" spans="1:9" ht="19.8" customHeight="1" x14ac:dyDescent="0.3">
      <c r="A4" s="93" t="s">
        <v>292</v>
      </c>
      <c r="B4" s="94" t="s">
        <v>26</v>
      </c>
      <c r="C4" s="95" t="s">
        <v>27</v>
      </c>
      <c r="D4" s="94" t="s">
        <v>1</v>
      </c>
      <c r="E4" s="94" t="s">
        <v>293</v>
      </c>
      <c r="F4" s="94" t="s">
        <v>31</v>
      </c>
      <c r="G4" s="96">
        <v>4</v>
      </c>
      <c r="H4" s="97">
        <v>709</v>
      </c>
      <c r="I4" s="88"/>
    </row>
    <row r="5" spans="1:9" ht="19.8" customHeight="1" x14ac:dyDescent="0.3">
      <c r="A5" s="93" t="s">
        <v>292</v>
      </c>
      <c r="B5" s="94" t="s">
        <v>36</v>
      </c>
      <c r="C5" s="95" t="s">
        <v>37</v>
      </c>
      <c r="D5" s="94" t="s">
        <v>1</v>
      </c>
      <c r="E5" s="94" t="s">
        <v>294</v>
      </c>
      <c r="F5" s="94" t="s">
        <v>40</v>
      </c>
      <c r="G5" s="96">
        <v>4</v>
      </c>
      <c r="H5" s="97">
        <v>739</v>
      </c>
      <c r="I5" s="88"/>
    </row>
    <row r="6" spans="1:9" ht="19.8" customHeight="1" x14ac:dyDescent="0.3">
      <c r="A6" s="98" t="s">
        <v>292</v>
      </c>
      <c r="B6" s="99" t="s">
        <v>44</v>
      </c>
      <c r="C6" s="100" t="s">
        <v>45</v>
      </c>
      <c r="D6" s="99" t="s">
        <v>1</v>
      </c>
      <c r="E6" s="99" t="s">
        <v>220</v>
      </c>
      <c r="F6" s="99" t="s">
        <v>46</v>
      </c>
      <c r="G6" s="101">
        <v>9</v>
      </c>
      <c r="H6" s="102">
        <v>758</v>
      </c>
      <c r="I6" s="88"/>
    </row>
    <row r="7" spans="1:9" ht="19.8" customHeight="1" x14ac:dyDescent="0.3">
      <c r="A7" s="103">
        <v>45986</v>
      </c>
      <c r="B7" s="94" t="s">
        <v>36</v>
      </c>
      <c r="C7" s="95" t="s">
        <v>37</v>
      </c>
      <c r="D7" s="94" t="s">
        <v>1</v>
      </c>
      <c r="E7" s="104">
        <v>1.756944444444444</v>
      </c>
      <c r="F7" s="94" t="s">
        <v>42</v>
      </c>
      <c r="G7" s="96">
        <v>4</v>
      </c>
      <c r="H7" s="97">
        <v>829</v>
      </c>
      <c r="I7" s="88"/>
    </row>
    <row r="8" spans="1:9" ht="19.8" customHeight="1" x14ac:dyDescent="0.3">
      <c r="A8" s="103">
        <v>45986</v>
      </c>
      <c r="B8" s="94" t="s">
        <v>66</v>
      </c>
      <c r="C8" s="95" t="s">
        <v>67</v>
      </c>
      <c r="D8" s="94" t="s">
        <v>1</v>
      </c>
      <c r="E8" s="104">
        <v>1.0972222222222221</v>
      </c>
      <c r="F8" s="94" t="s">
        <v>68</v>
      </c>
      <c r="G8" s="96">
        <v>9</v>
      </c>
      <c r="H8" s="97">
        <v>866</v>
      </c>
      <c r="I8" s="88"/>
    </row>
    <row r="9" spans="1:9" ht="19.8" customHeight="1" x14ac:dyDescent="0.3">
      <c r="A9" s="105">
        <v>45986</v>
      </c>
      <c r="B9" s="99" t="s">
        <v>44</v>
      </c>
      <c r="C9" s="100" t="s">
        <v>53</v>
      </c>
      <c r="D9" s="99" t="s">
        <v>1</v>
      </c>
      <c r="E9" s="106">
        <v>1.0486111111111109</v>
      </c>
      <c r="F9" s="99" t="s">
        <v>46</v>
      </c>
      <c r="G9" s="101">
        <v>8</v>
      </c>
      <c r="H9" s="102">
        <v>914</v>
      </c>
      <c r="I9" s="88"/>
    </row>
    <row r="10" spans="1:9" ht="19.8" customHeight="1" x14ac:dyDescent="0.3">
      <c r="A10" s="103">
        <v>45986</v>
      </c>
      <c r="B10" s="94" t="s">
        <v>66</v>
      </c>
      <c r="C10" s="95" t="s">
        <v>70</v>
      </c>
      <c r="D10" s="94" t="s">
        <v>1</v>
      </c>
      <c r="E10" s="104">
        <v>1.2222222222222221</v>
      </c>
      <c r="F10" s="94" t="s">
        <v>68</v>
      </c>
      <c r="G10" s="96">
        <v>9</v>
      </c>
      <c r="H10" s="97">
        <v>962</v>
      </c>
      <c r="I10" s="88"/>
    </row>
    <row r="11" spans="1:9" ht="19.8" customHeight="1" x14ac:dyDescent="0.3">
      <c r="A11" s="103">
        <v>45986</v>
      </c>
      <c r="B11" s="94" t="s">
        <v>66</v>
      </c>
      <c r="C11" s="95" t="s">
        <v>73</v>
      </c>
      <c r="D11" s="94" t="s">
        <v>1</v>
      </c>
      <c r="E11" s="104">
        <v>1.444444444444444</v>
      </c>
      <c r="F11" s="94" t="s">
        <v>68</v>
      </c>
      <c r="G11" s="96">
        <v>5</v>
      </c>
      <c r="H11" s="97">
        <v>962</v>
      </c>
      <c r="I11" s="88"/>
    </row>
    <row r="12" spans="1:9" ht="19.8" customHeight="1" x14ac:dyDescent="0.3">
      <c r="A12" s="103">
        <v>45986</v>
      </c>
      <c r="B12" s="94" t="s">
        <v>66</v>
      </c>
      <c r="C12" s="95" t="s">
        <v>75</v>
      </c>
      <c r="D12" s="94" t="s">
        <v>1</v>
      </c>
      <c r="E12" s="104">
        <v>1.493055555555556</v>
      </c>
      <c r="F12" s="94" t="s">
        <v>68</v>
      </c>
      <c r="G12" s="96">
        <v>9</v>
      </c>
      <c r="H12" s="97">
        <v>962</v>
      </c>
      <c r="I12" s="88"/>
    </row>
    <row r="13" spans="1:9" ht="19.8" customHeight="1" x14ac:dyDescent="0.3">
      <c r="A13" s="103">
        <v>45986</v>
      </c>
      <c r="B13" s="94" t="s">
        <v>78</v>
      </c>
      <c r="C13" s="95" t="s">
        <v>79</v>
      </c>
      <c r="D13" s="94" t="s">
        <v>1</v>
      </c>
      <c r="E13" s="104">
        <v>1.604166666666667</v>
      </c>
      <c r="F13" s="94" t="s">
        <v>80</v>
      </c>
      <c r="G13" s="96">
        <v>6</v>
      </c>
      <c r="H13" s="107" t="s">
        <v>82</v>
      </c>
      <c r="I13" s="88"/>
    </row>
    <row r="14" spans="1:9" ht="19.8" customHeight="1" x14ac:dyDescent="0.3">
      <c r="A14" s="103">
        <v>45986</v>
      </c>
      <c r="B14" s="94" t="s">
        <v>26</v>
      </c>
      <c r="C14" s="95" t="s">
        <v>27</v>
      </c>
      <c r="D14" s="94" t="s">
        <v>1</v>
      </c>
      <c r="E14" s="104">
        <v>1.4201388888888891</v>
      </c>
      <c r="F14" s="94" t="s">
        <v>34</v>
      </c>
      <c r="G14" s="96">
        <v>4</v>
      </c>
      <c r="H14" s="107" t="s">
        <v>35</v>
      </c>
      <c r="I14" s="88"/>
    </row>
    <row r="15" spans="1:9" ht="19.8" customHeight="1" x14ac:dyDescent="0.3">
      <c r="A15" s="103">
        <v>45986</v>
      </c>
      <c r="B15" s="94" t="s">
        <v>78</v>
      </c>
      <c r="C15" s="95" t="s">
        <v>79</v>
      </c>
      <c r="D15" s="94" t="s">
        <v>1</v>
      </c>
      <c r="E15" s="104">
        <v>1.604166666666667</v>
      </c>
      <c r="F15" s="94" t="s">
        <v>83</v>
      </c>
      <c r="G15" s="96">
        <v>6</v>
      </c>
      <c r="H15" s="107" t="s">
        <v>85</v>
      </c>
      <c r="I15" s="88"/>
    </row>
    <row r="16" spans="1:9" ht="19.8" customHeight="1" x14ac:dyDescent="0.3">
      <c r="A16" s="103">
        <v>45986</v>
      </c>
      <c r="B16" s="94" t="s">
        <v>78</v>
      </c>
      <c r="C16" s="95" t="s">
        <v>86</v>
      </c>
      <c r="D16" s="94" t="s">
        <v>1</v>
      </c>
      <c r="E16" s="104">
        <v>1.4201388888888891</v>
      </c>
      <c r="F16" s="94" t="s">
        <v>83</v>
      </c>
      <c r="G16" s="96">
        <v>4</v>
      </c>
      <c r="H16" s="107" t="s">
        <v>88</v>
      </c>
      <c r="I16" s="88"/>
    </row>
    <row r="17" spans="1:9" ht="19.8" customHeight="1" x14ac:dyDescent="0.3">
      <c r="A17" s="103">
        <v>45986</v>
      </c>
      <c r="B17" s="94" t="s">
        <v>66</v>
      </c>
      <c r="C17" s="95" t="s">
        <v>76</v>
      </c>
      <c r="D17" s="94" t="s">
        <v>1</v>
      </c>
      <c r="E17" s="104">
        <v>1.854166666666667</v>
      </c>
      <c r="F17" s="94" t="s">
        <v>68</v>
      </c>
      <c r="G17" s="96">
        <v>9</v>
      </c>
      <c r="H17" s="107" t="s">
        <v>77</v>
      </c>
      <c r="I17" s="88"/>
    </row>
    <row r="18" spans="1:9" ht="19.8" customHeight="1" x14ac:dyDescent="0.3">
      <c r="A18" s="103">
        <v>45986</v>
      </c>
      <c r="B18" s="94" t="s">
        <v>78</v>
      </c>
      <c r="C18" s="95" t="s">
        <v>89</v>
      </c>
      <c r="D18" s="94" t="s">
        <v>1</v>
      </c>
      <c r="E18" s="104">
        <v>1.7951388888888891</v>
      </c>
      <c r="F18" s="94" t="s">
        <v>80</v>
      </c>
      <c r="G18" s="96">
        <v>3</v>
      </c>
      <c r="H18" s="107" t="s">
        <v>91</v>
      </c>
      <c r="I18" s="88"/>
    </row>
    <row r="19" spans="1:9" ht="19.8" customHeight="1" x14ac:dyDescent="0.3">
      <c r="A19" s="103">
        <v>45986</v>
      </c>
      <c r="B19" s="94" t="s">
        <v>78</v>
      </c>
      <c r="C19" s="95" t="s">
        <v>94</v>
      </c>
      <c r="D19" s="94" t="s">
        <v>1</v>
      </c>
      <c r="E19" s="104">
        <v>1.086805555555556</v>
      </c>
      <c r="F19" s="94" t="s">
        <v>80</v>
      </c>
      <c r="G19" s="96">
        <v>9</v>
      </c>
      <c r="H19" s="107" t="s">
        <v>91</v>
      </c>
      <c r="I19" s="88"/>
    </row>
    <row r="20" spans="1:9" ht="19.8" customHeight="1" x14ac:dyDescent="0.3">
      <c r="A20" s="103">
        <v>45986</v>
      </c>
      <c r="B20" s="94" t="s">
        <v>78</v>
      </c>
      <c r="C20" s="95" t="s">
        <v>89</v>
      </c>
      <c r="D20" s="94" t="s">
        <v>1</v>
      </c>
      <c r="E20" s="104">
        <v>1.7951388888888891</v>
      </c>
      <c r="F20" s="94" t="s">
        <v>83</v>
      </c>
      <c r="G20" s="96">
        <v>3</v>
      </c>
      <c r="H20" s="107" t="s">
        <v>93</v>
      </c>
      <c r="I20" s="88"/>
    </row>
    <row r="21" spans="1:9" ht="19.8" customHeight="1" x14ac:dyDescent="0.3">
      <c r="A21" s="103">
        <v>45986</v>
      </c>
      <c r="B21" s="94" t="s">
        <v>78</v>
      </c>
      <c r="C21" s="95" t="s">
        <v>94</v>
      </c>
      <c r="D21" s="94" t="s">
        <v>1</v>
      </c>
      <c r="E21" s="104">
        <v>1.086805555555556</v>
      </c>
      <c r="F21" s="94" t="s">
        <v>83</v>
      </c>
      <c r="G21" s="96">
        <v>9</v>
      </c>
      <c r="H21" s="107" t="s">
        <v>93</v>
      </c>
      <c r="I21" s="88"/>
    </row>
    <row r="22" spans="1:9" ht="19.8" customHeight="1" x14ac:dyDescent="0.3">
      <c r="A22" s="108">
        <v>45986</v>
      </c>
      <c r="B22" s="109" t="s">
        <v>44</v>
      </c>
      <c r="C22" s="110" t="s">
        <v>60</v>
      </c>
      <c r="D22" s="109" t="s">
        <v>1</v>
      </c>
      <c r="E22" s="111">
        <v>1.979166666666667</v>
      </c>
      <c r="F22" s="109" t="s">
        <v>61</v>
      </c>
      <c r="G22" s="109"/>
      <c r="H22" s="112" t="s">
        <v>62</v>
      </c>
      <c r="I22" s="88"/>
    </row>
    <row r="23" spans="1:9" ht="19.8" customHeight="1" x14ac:dyDescent="0.3">
      <c r="A23" s="103">
        <v>45987</v>
      </c>
      <c r="B23" s="94" t="s">
        <v>66</v>
      </c>
      <c r="C23" s="95" t="s">
        <v>73</v>
      </c>
      <c r="D23" s="94" t="s">
        <v>1</v>
      </c>
      <c r="E23" s="104">
        <v>1.444444444444444</v>
      </c>
      <c r="F23" s="94" t="s">
        <v>68</v>
      </c>
      <c r="G23" s="96">
        <v>9</v>
      </c>
      <c r="H23" s="97">
        <v>757</v>
      </c>
      <c r="I23" s="88"/>
    </row>
    <row r="24" spans="1:9" ht="19.8" customHeight="1" x14ac:dyDescent="0.3">
      <c r="A24" s="103">
        <v>45987</v>
      </c>
      <c r="B24" s="94" t="s">
        <v>66</v>
      </c>
      <c r="C24" s="95" t="s">
        <v>76</v>
      </c>
      <c r="D24" s="94" t="s">
        <v>1</v>
      </c>
      <c r="E24" s="104">
        <v>1.8472222222222221</v>
      </c>
      <c r="F24" s="94" t="s">
        <v>68</v>
      </c>
      <c r="G24" s="96">
        <v>2</v>
      </c>
      <c r="H24" s="107" t="s">
        <v>98</v>
      </c>
      <c r="I24" s="88"/>
    </row>
    <row r="25" spans="1:9" ht="19.8" customHeight="1" x14ac:dyDescent="0.3">
      <c r="A25" s="103">
        <v>45987</v>
      </c>
      <c r="B25" s="94" t="s">
        <v>78</v>
      </c>
      <c r="C25" s="95" t="s">
        <v>89</v>
      </c>
      <c r="D25" s="94" t="s">
        <v>1</v>
      </c>
      <c r="E25" s="104">
        <v>1.7951388888888891</v>
      </c>
      <c r="F25" s="94" t="s">
        <v>80</v>
      </c>
      <c r="G25" s="96">
        <v>9</v>
      </c>
      <c r="H25" s="107" t="s">
        <v>100</v>
      </c>
      <c r="I25" s="88"/>
    </row>
    <row r="26" spans="1:9" ht="19.8" customHeight="1" x14ac:dyDescent="0.3">
      <c r="A26" s="103">
        <v>45987</v>
      </c>
      <c r="B26" s="94" t="s">
        <v>78</v>
      </c>
      <c r="C26" s="95" t="s">
        <v>79</v>
      </c>
      <c r="D26" s="94" t="s">
        <v>1</v>
      </c>
      <c r="E26" s="104">
        <v>1.604166666666667</v>
      </c>
      <c r="F26" s="94" t="s">
        <v>80</v>
      </c>
      <c r="G26" s="96">
        <v>9</v>
      </c>
      <c r="H26" s="107" t="s">
        <v>100</v>
      </c>
      <c r="I26" s="88"/>
    </row>
    <row r="27" spans="1:9" ht="19.8" customHeight="1" x14ac:dyDescent="0.3">
      <c r="A27" s="103">
        <v>45987</v>
      </c>
      <c r="B27" s="94" t="s">
        <v>78</v>
      </c>
      <c r="C27" s="95" t="s">
        <v>94</v>
      </c>
      <c r="D27" s="94" t="s">
        <v>1</v>
      </c>
      <c r="E27" s="104">
        <v>1.086805555555556</v>
      </c>
      <c r="F27" s="94" t="s">
        <v>80</v>
      </c>
      <c r="G27" s="96">
        <v>9</v>
      </c>
      <c r="H27" s="107" t="s">
        <v>100</v>
      </c>
      <c r="I27" s="88"/>
    </row>
    <row r="28" spans="1:9" ht="19.8" customHeight="1" x14ac:dyDescent="0.3">
      <c r="A28" s="103">
        <v>45987</v>
      </c>
      <c r="B28" s="94" t="s">
        <v>66</v>
      </c>
      <c r="C28" s="95" t="s">
        <v>70</v>
      </c>
      <c r="D28" s="94" t="s">
        <v>1</v>
      </c>
      <c r="E28" s="104">
        <v>1.2222222222222221</v>
      </c>
      <c r="F28" s="94" t="s">
        <v>68</v>
      </c>
      <c r="G28" s="96">
        <v>9</v>
      </c>
      <c r="H28" s="107" t="s">
        <v>99</v>
      </c>
      <c r="I28" s="88"/>
    </row>
    <row r="29" spans="1:9" ht="19.8" customHeight="1" x14ac:dyDescent="0.3">
      <c r="A29" s="103">
        <v>45987</v>
      </c>
      <c r="B29" s="94" t="s">
        <v>78</v>
      </c>
      <c r="C29" s="95" t="s">
        <v>89</v>
      </c>
      <c r="D29" s="94" t="s">
        <v>1</v>
      </c>
      <c r="E29" s="104">
        <v>1.7951388888888891</v>
      </c>
      <c r="F29" s="94" t="s">
        <v>83</v>
      </c>
      <c r="G29" s="96">
        <v>9</v>
      </c>
      <c r="H29" s="107" t="s">
        <v>101</v>
      </c>
      <c r="I29" s="88"/>
    </row>
    <row r="30" spans="1:9" ht="19.8" customHeight="1" x14ac:dyDescent="0.3">
      <c r="A30" s="103">
        <v>45987</v>
      </c>
      <c r="B30" s="94" t="s">
        <v>78</v>
      </c>
      <c r="C30" s="95" t="s">
        <v>79</v>
      </c>
      <c r="D30" s="94" t="s">
        <v>1</v>
      </c>
      <c r="E30" s="104">
        <v>1.604166666666667</v>
      </c>
      <c r="F30" s="94" t="s">
        <v>83</v>
      </c>
      <c r="G30" s="96">
        <v>9</v>
      </c>
      <c r="H30" s="107" t="s">
        <v>101</v>
      </c>
      <c r="I30" s="88"/>
    </row>
    <row r="31" spans="1:9" ht="19.8" customHeight="1" x14ac:dyDescent="0.3">
      <c r="A31" s="103">
        <v>45987</v>
      </c>
      <c r="B31" s="94" t="s">
        <v>78</v>
      </c>
      <c r="C31" s="95" t="s">
        <v>94</v>
      </c>
      <c r="D31" s="94" t="s">
        <v>1</v>
      </c>
      <c r="E31" s="104">
        <v>1.086805555555556</v>
      </c>
      <c r="F31" s="94" t="s">
        <v>83</v>
      </c>
      <c r="G31" s="96">
        <v>9</v>
      </c>
      <c r="H31" s="107" t="s">
        <v>101</v>
      </c>
      <c r="I31" s="88"/>
    </row>
    <row r="32" spans="1:9" ht="19.8" customHeight="1" x14ac:dyDescent="0.3">
      <c r="A32" s="113">
        <v>45987</v>
      </c>
      <c r="B32" s="114" t="s">
        <v>78</v>
      </c>
      <c r="C32" s="115" t="s">
        <v>86</v>
      </c>
      <c r="D32" s="114" t="s">
        <v>1</v>
      </c>
      <c r="E32" s="116">
        <v>1.4201388888888891</v>
      </c>
      <c r="F32" s="114" t="s">
        <v>83</v>
      </c>
      <c r="G32" s="117">
        <v>4</v>
      </c>
      <c r="H32" s="118" t="s">
        <v>88</v>
      </c>
      <c r="I32" s="88"/>
    </row>
    <row r="33" spans="1:9" ht="19.8" customHeight="1" x14ac:dyDescent="0.3">
      <c r="A33" s="103">
        <v>45988</v>
      </c>
      <c r="B33" s="94" t="s">
        <v>26</v>
      </c>
      <c r="C33" s="95" t="s">
        <v>27</v>
      </c>
      <c r="D33" s="94" t="s">
        <v>1</v>
      </c>
      <c r="E33" s="104">
        <v>1.4201388888888891</v>
      </c>
      <c r="F33" s="94" t="s">
        <v>28</v>
      </c>
      <c r="G33" s="96">
        <v>2</v>
      </c>
      <c r="H33" s="97">
        <v>619</v>
      </c>
      <c r="I33" s="88"/>
    </row>
    <row r="34" spans="1:9" ht="19.8" customHeight="1" x14ac:dyDescent="0.3">
      <c r="A34" s="103">
        <v>45988</v>
      </c>
      <c r="B34" s="94" t="s">
        <v>36</v>
      </c>
      <c r="C34" s="95" t="s">
        <v>106</v>
      </c>
      <c r="D34" s="94" t="s">
        <v>1</v>
      </c>
      <c r="E34" s="104">
        <v>1.354166666666667</v>
      </c>
      <c r="F34" s="94" t="s">
        <v>38</v>
      </c>
      <c r="G34" s="96">
        <v>2</v>
      </c>
      <c r="H34" s="97">
        <v>749</v>
      </c>
      <c r="I34" s="88"/>
    </row>
    <row r="35" spans="1:9" ht="19.8" customHeight="1" x14ac:dyDescent="0.3">
      <c r="A35" s="103">
        <v>45988</v>
      </c>
      <c r="B35" s="94" t="s">
        <v>26</v>
      </c>
      <c r="C35" s="95" t="s">
        <v>27</v>
      </c>
      <c r="D35" s="94" t="s">
        <v>1</v>
      </c>
      <c r="E35" s="104">
        <v>1.4201388888888891</v>
      </c>
      <c r="F35" s="94" t="s">
        <v>31</v>
      </c>
      <c r="G35" s="96">
        <v>2</v>
      </c>
      <c r="H35" s="97">
        <v>769</v>
      </c>
      <c r="I35" s="88"/>
    </row>
    <row r="36" spans="1:9" ht="19.8" customHeight="1" x14ac:dyDescent="0.3">
      <c r="A36" s="103">
        <v>45988</v>
      </c>
      <c r="B36" s="94" t="s">
        <v>36</v>
      </c>
      <c r="C36" s="95" t="s">
        <v>106</v>
      </c>
      <c r="D36" s="94" t="s">
        <v>1</v>
      </c>
      <c r="E36" s="104">
        <v>1.354166666666667</v>
      </c>
      <c r="F36" s="94" t="s">
        <v>40</v>
      </c>
      <c r="G36" s="96">
        <v>2</v>
      </c>
      <c r="H36" s="97">
        <v>849</v>
      </c>
      <c r="I36" s="88"/>
    </row>
    <row r="37" spans="1:9" ht="19.8" customHeight="1" x14ac:dyDescent="0.3">
      <c r="A37" s="103">
        <v>45988</v>
      </c>
      <c r="B37" s="94" t="s">
        <v>66</v>
      </c>
      <c r="C37" s="95" t="s">
        <v>73</v>
      </c>
      <c r="D37" s="94" t="s">
        <v>1</v>
      </c>
      <c r="E37" s="104">
        <v>1.430555555555556</v>
      </c>
      <c r="F37" s="94" t="s">
        <v>68</v>
      </c>
      <c r="G37" s="96">
        <v>9</v>
      </c>
      <c r="H37" s="97">
        <v>866</v>
      </c>
      <c r="I37" s="88"/>
    </row>
    <row r="38" spans="1:9" ht="19.8" customHeight="1" x14ac:dyDescent="0.3">
      <c r="A38" s="103">
        <v>45988</v>
      </c>
      <c r="B38" s="94" t="s">
        <v>36</v>
      </c>
      <c r="C38" s="95" t="s">
        <v>106</v>
      </c>
      <c r="D38" s="94" t="s">
        <v>1</v>
      </c>
      <c r="E38" s="104">
        <v>1.354166666666667</v>
      </c>
      <c r="F38" s="94" t="s">
        <v>42</v>
      </c>
      <c r="G38" s="96">
        <v>2</v>
      </c>
      <c r="H38" s="97">
        <v>939</v>
      </c>
      <c r="I38" s="88"/>
    </row>
    <row r="39" spans="1:9" ht="19.8" customHeight="1" x14ac:dyDescent="0.3">
      <c r="A39" s="103">
        <v>45988</v>
      </c>
      <c r="B39" s="94" t="s">
        <v>66</v>
      </c>
      <c r="C39" s="95" t="s">
        <v>75</v>
      </c>
      <c r="D39" s="94" t="s">
        <v>1</v>
      </c>
      <c r="E39" s="104">
        <v>1.493055555555556</v>
      </c>
      <c r="F39" s="94" t="s">
        <v>68</v>
      </c>
      <c r="G39" s="96">
        <v>9</v>
      </c>
      <c r="H39" s="97">
        <v>962</v>
      </c>
      <c r="I39" s="88"/>
    </row>
    <row r="40" spans="1:9" ht="19.8" customHeight="1" x14ac:dyDescent="0.3">
      <c r="A40" s="103">
        <v>45988</v>
      </c>
      <c r="B40" s="94" t="s">
        <v>66</v>
      </c>
      <c r="C40" s="95" t="s">
        <v>70</v>
      </c>
      <c r="D40" s="94" t="s">
        <v>1</v>
      </c>
      <c r="E40" s="104">
        <v>1.2222222222222221</v>
      </c>
      <c r="F40" s="94" t="s">
        <v>68</v>
      </c>
      <c r="G40" s="96">
        <v>9</v>
      </c>
      <c r="H40" s="97">
        <v>962</v>
      </c>
      <c r="I40" s="88"/>
    </row>
    <row r="41" spans="1:9" ht="19.8" customHeight="1" x14ac:dyDescent="0.3">
      <c r="A41" s="103">
        <v>45988</v>
      </c>
      <c r="B41" s="94" t="s">
        <v>26</v>
      </c>
      <c r="C41" s="95" t="s">
        <v>27</v>
      </c>
      <c r="D41" s="94" t="s">
        <v>1</v>
      </c>
      <c r="E41" s="104">
        <v>1.4201388888888891</v>
      </c>
      <c r="F41" s="94" t="s">
        <v>34</v>
      </c>
      <c r="G41" s="96">
        <v>2</v>
      </c>
      <c r="H41" s="107" t="s">
        <v>35</v>
      </c>
      <c r="I41" s="88"/>
    </row>
    <row r="42" spans="1:9" ht="19.8" customHeight="1" x14ac:dyDescent="0.3">
      <c r="A42" s="103">
        <v>45988</v>
      </c>
      <c r="B42" s="94" t="s">
        <v>36</v>
      </c>
      <c r="C42" s="95" t="s">
        <v>37</v>
      </c>
      <c r="D42" s="94" t="s">
        <v>1</v>
      </c>
      <c r="E42" s="104">
        <v>1.756944444444444</v>
      </c>
      <c r="F42" s="94" t="s">
        <v>38</v>
      </c>
      <c r="G42" s="96">
        <v>4</v>
      </c>
      <c r="H42" s="107" t="s">
        <v>110</v>
      </c>
      <c r="I42" s="88"/>
    </row>
    <row r="43" spans="1:9" ht="19.8" customHeight="1" x14ac:dyDescent="0.3">
      <c r="A43" s="103">
        <v>45988</v>
      </c>
      <c r="B43" s="94" t="s">
        <v>78</v>
      </c>
      <c r="C43" s="95" t="s">
        <v>79</v>
      </c>
      <c r="D43" s="94" t="s">
        <v>1</v>
      </c>
      <c r="E43" s="104">
        <v>1.604166666666667</v>
      </c>
      <c r="F43" s="94" t="s">
        <v>80</v>
      </c>
      <c r="G43" s="96">
        <v>9</v>
      </c>
      <c r="H43" s="107" t="s">
        <v>100</v>
      </c>
      <c r="I43" s="88"/>
    </row>
    <row r="44" spans="1:9" ht="19.8" customHeight="1" x14ac:dyDescent="0.3">
      <c r="A44" s="103">
        <v>45988</v>
      </c>
      <c r="B44" s="94" t="s">
        <v>78</v>
      </c>
      <c r="C44" s="95" t="s">
        <v>94</v>
      </c>
      <c r="D44" s="94" t="s">
        <v>1</v>
      </c>
      <c r="E44" s="104">
        <v>1.086805555555556</v>
      </c>
      <c r="F44" s="94" t="s">
        <v>80</v>
      </c>
      <c r="G44" s="96">
        <v>9</v>
      </c>
      <c r="H44" s="107" t="s">
        <v>100</v>
      </c>
      <c r="I44" s="88"/>
    </row>
    <row r="45" spans="1:9" ht="19.8" customHeight="1" x14ac:dyDescent="0.3">
      <c r="A45" s="103">
        <v>45988</v>
      </c>
      <c r="B45" s="94" t="s">
        <v>78</v>
      </c>
      <c r="C45" s="95" t="s">
        <v>89</v>
      </c>
      <c r="D45" s="94" t="s">
        <v>1</v>
      </c>
      <c r="E45" s="104">
        <v>1.7951388888888891</v>
      </c>
      <c r="F45" s="94" t="s">
        <v>80</v>
      </c>
      <c r="G45" s="96">
        <v>1</v>
      </c>
      <c r="H45" s="107" t="s">
        <v>100</v>
      </c>
      <c r="I45" s="88"/>
    </row>
    <row r="46" spans="1:9" ht="19.8" customHeight="1" x14ac:dyDescent="0.3">
      <c r="A46" s="103">
        <v>45988</v>
      </c>
      <c r="B46" s="94" t="s">
        <v>36</v>
      </c>
      <c r="C46" s="95" t="s">
        <v>37</v>
      </c>
      <c r="D46" s="94" t="s">
        <v>1</v>
      </c>
      <c r="E46" s="104">
        <v>1.756944444444444</v>
      </c>
      <c r="F46" s="94" t="s">
        <v>40</v>
      </c>
      <c r="G46" s="96">
        <v>4</v>
      </c>
      <c r="H46" s="107" t="s">
        <v>111</v>
      </c>
      <c r="I46" s="88"/>
    </row>
    <row r="47" spans="1:9" ht="19.8" customHeight="1" x14ac:dyDescent="0.3">
      <c r="A47" s="105">
        <v>45988</v>
      </c>
      <c r="B47" s="99" t="s">
        <v>44</v>
      </c>
      <c r="C47" s="100" t="s">
        <v>117</v>
      </c>
      <c r="D47" s="99" t="s">
        <v>1</v>
      </c>
      <c r="E47" s="106">
        <v>1.538194444444444</v>
      </c>
      <c r="F47" s="99" t="s">
        <v>46</v>
      </c>
      <c r="G47" s="101">
        <v>4</v>
      </c>
      <c r="H47" s="119" t="s">
        <v>118</v>
      </c>
      <c r="I47" s="88"/>
    </row>
    <row r="48" spans="1:9" ht="19.8" customHeight="1" x14ac:dyDescent="0.3">
      <c r="A48" s="103">
        <v>45988</v>
      </c>
      <c r="B48" s="94" t="s">
        <v>36</v>
      </c>
      <c r="C48" s="95" t="s">
        <v>37</v>
      </c>
      <c r="D48" s="94" t="s">
        <v>1</v>
      </c>
      <c r="E48" s="104">
        <v>1.756944444444444</v>
      </c>
      <c r="F48" s="94" t="s">
        <v>42</v>
      </c>
      <c r="G48" s="96">
        <v>4</v>
      </c>
      <c r="H48" s="107" t="s">
        <v>112</v>
      </c>
      <c r="I48" s="88"/>
    </row>
    <row r="49" spans="1:9" ht="19.8" customHeight="1" x14ac:dyDescent="0.3">
      <c r="A49" s="103">
        <v>45988</v>
      </c>
      <c r="B49" s="94" t="s">
        <v>78</v>
      </c>
      <c r="C49" s="95" t="s">
        <v>79</v>
      </c>
      <c r="D49" s="94" t="s">
        <v>1</v>
      </c>
      <c r="E49" s="104">
        <v>1.604166666666667</v>
      </c>
      <c r="F49" s="94" t="s">
        <v>83</v>
      </c>
      <c r="G49" s="96">
        <v>9</v>
      </c>
      <c r="H49" s="107" t="s">
        <v>101</v>
      </c>
      <c r="I49" s="88"/>
    </row>
    <row r="50" spans="1:9" ht="19.8" customHeight="1" x14ac:dyDescent="0.3">
      <c r="A50" s="103">
        <v>45988</v>
      </c>
      <c r="B50" s="94" t="s">
        <v>78</v>
      </c>
      <c r="C50" s="95" t="s">
        <v>94</v>
      </c>
      <c r="D50" s="94" t="s">
        <v>1</v>
      </c>
      <c r="E50" s="104">
        <v>1.086805555555556</v>
      </c>
      <c r="F50" s="94" t="s">
        <v>83</v>
      </c>
      <c r="G50" s="96">
        <v>9</v>
      </c>
      <c r="H50" s="107" t="s">
        <v>101</v>
      </c>
      <c r="I50" s="88"/>
    </row>
    <row r="51" spans="1:9" ht="19.8" customHeight="1" x14ac:dyDescent="0.3">
      <c r="A51" s="103">
        <v>45988</v>
      </c>
      <c r="B51" s="94" t="s">
        <v>78</v>
      </c>
      <c r="C51" s="95" t="s">
        <v>89</v>
      </c>
      <c r="D51" s="94" t="s">
        <v>1</v>
      </c>
      <c r="E51" s="104">
        <v>1.7951388888888891</v>
      </c>
      <c r="F51" s="94" t="s">
        <v>83</v>
      </c>
      <c r="G51" s="96">
        <v>1</v>
      </c>
      <c r="H51" s="107" t="s">
        <v>101</v>
      </c>
      <c r="I51" s="88"/>
    </row>
    <row r="52" spans="1:9" ht="19.8" customHeight="1" x14ac:dyDescent="0.3">
      <c r="A52" s="103">
        <v>45988</v>
      </c>
      <c r="B52" s="94" t="s">
        <v>66</v>
      </c>
      <c r="C52" s="95" t="s">
        <v>67</v>
      </c>
      <c r="D52" s="94" t="s">
        <v>1</v>
      </c>
      <c r="E52" s="104">
        <v>1.1076388888888891</v>
      </c>
      <c r="F52" s="94" t="s">
        <v>68</v>
      </c>
      <c r="G52" s="96">
        <v>2</v>
      </c>
      <c r="H52" s="107" t="s">
        <v>77</v>
      </c>
      <c r="I52" s="88"/>
    </row>
    <row r="53" spans="1:9" ht="19.8" customHeight="1" x14ac:dyDescent="0.3">
      <c r="A53" s="103">
        <v>45988</v>
      </c>
      <c r="B53" s="94" t="s">
        <v>66</v>
      </c>
      <c r="C53" s="95" t="s">
        <v>76</v>
      </c>
      <c r="D53" s="94" t="s">
        <v>1</v>
      </c>
      <c r="E53" s="104">
        <v>1.854166666666667</v>
      </c>
      <c r="F53" s="94" t="s">
        <v>68</v>
      </c>
      <c r="G53" s="96">
        <v>7</v>
      </c>
      <c r="H53" s="107" t="s">
        <v>77</v>
      </c>
      <c r="I53" s="88"/>
    </row>
    <row r="54" spans="1:9" ht="19.8" customHeight="1" x14ac:dyDescent="0.3">
      <c r="A54" s="113">
        <v>45988</v>
      </c>
      <c r="B54" s="114" t="s">
        <v>78</v>
      </c>
      <c r="C54" s="115" t="s">
        <v>86</v>
      </c>
      <c r="D54" s="114" t="s">
        <v>1</v>
      </c>
      <c r="E54" s="116">
        <v>1.4201388888888891</v>
      </c>
      <c r="F54" s="114" t="s">
        <v>83</v>
      </c>
      <c r="G54" s="117">
        <v>4</v>
      </c>
      <c r="H54" s="118" t="s">
        <v>116</v>
      </c>
      <c r="I54" s="88"/>
    </row>
    <row r="55" spans="1:9" ht="19.8" customHeight="1" x14ac:dyDescent="0.3">
      <c r="A55" s="103">
        <v>45989</v>
      </c>
      <c r="B55" s="94" t="s">
        <v>26</v>
      </c>
      <c r="C55" s="95" t="s">
        <v>27</v>
      </c>
      <c r="D55" s="94" t="s">
        <v>1</v>
      </c>
      <c r="E55" s="104">
        <v>1.4201388888888891</v>
      </c>
      <c r="F55" s="94" t="s">
        <v>28</v>
      </c>
      <c r="G55" s="96">
        <v>5</v>
      </c>
      <c r="H55" s="97">
        <v>559</v>
      </c>
      <c r="I55" s="88"/>
    </row>
    <row r="56" spans="1:9" ht="19.8" customHeight="1" x14ac:dyDescent="0.3">
      <c r="A56" s="103">
        <v>45989</v>
      </c>
      <c r="B56" s="94" t="s">
        <v>26</v>
      </c>
      <c r="C56" s="95" t="s">
        <v>27</v>
      </c>
      <c r="D56" s="94" t="s">
        <v>1</v>
      </c>
      <c r="E56" s="104">
        <v>1.4201388888888891</v>
      </c>
      <c r="F56" s="94" t="s">
        <v>31</v>
      </c>
      <c r="G56" s="96">
        <v>5</v>
      </c>
      <c r="H56" s="97">
        <v>709</v>
      </c>
      <c r="I56" s="88"/>
    </row>
    <row r="57" spans="1:9" ht="19.8" customHeight="1" x14ac:dyDescent="0.3">
      <c r="A57" s="103">
        <v>45989</v>
      </c>
      <c r="B57" s="94" t="s">
        <v>36</v>
      </c>
      <c r="C57" s="95" t="s">
        <v>37</v>
      </c>
      <c r="D57" s="94" t="s">
        <v>1</v>
      </c>
      <c r="E57" s="104">
        <v>1.756944444444444</v>
      </c>
      <c r="F57" s="94" t="s">
        <v>38</v>
      </c>
      <c r="G57" s="96">
        <v>9</v>
      </c>
      <c r="H57" s="97">
        <v>749</v>
      </c>
      <c r="I57" s="88"/>
    </row>
    <row r="58" spans="1:9" ht="19.8" customHeight="1" x14ac:dyDescent="0.3">
      <c r="A58" s="103">
        <v>45989</v>
      </c>
      <c r="B58" s="94" t="s">
        <v>36</v>
      </c>
      <c r="C58" s="95" t="s">
        <v>37</v>
      </c>
      <c r="D58" s="94" t="s">
        <v>1</v>
      </c>
      <c r="E58" s="104">
        <v>1.756944444444444</v>
      </c>
      <c r="F58" s="94" t="s">
        <v>40</v>
      </c>
      <c r="G58" s="96">
        <v>9</v>
      </c>
      <c r="H58" s="97">
        <v>849</v>
      </c>
      <c r="I58" s="88"/>
    </row>
    <row r="59" spans="1:9" ht="19.8" customHeight="1" x14ac:dyDescent="0.3">
      <c r="A59" s="103">
        <v>45989</v>
      </c>
      <c r="B59" s="94" t="s">
        <v>66</v>
      </c>
      <c r="C59" s="95" t="s">
        <v>67</v>
      </c>
      <c r="D59" s="94" t="s">
        <v>1</v>
      </c>
      <c r="E59" s="104">
        <v>1.1076388888888891</v>
      </c>
      <c r="F59" s="94" t="s">
        <v>68</v>
      </c>
      <c r="G59" s="96">
        <v>9</v>
      </c>
      <c r="H59" s="97">
        <v>866</v>
      </c>
      <c r="I59" s="88"/>
    </row>
    <row r="60" spans="1:9" ht="19.8" customHeight="1" x14ac:dyDescent="0.3">
      <c r="A60" s="103">
        <v>45989</v>
      </c>
      <c r="B60" s="94" t="s">
        <v>66</v>
      </c>
      <c r="C60" s="95" t="s">
        <v>70</v>
      </c>
      <c r="D60" s="94" t="s">
        <v>1</v>
      </c>
      <c r="E60" s="104">
        <v>1.2222222222222221</v>
      </c>
      <c r="F60" s="94" t="s">
        <v>68</v>
      </c>
      <c r="G60" s="96">
        <v>9</v>
      </c>
      <c r="H60" s="97">
        <v>866</v>
      </c>
      <c r="I60" s="88"/>
    </row>
    <row r="61" spans="1:9" ht="19.8" customHeight="1" x14ac:dyDescent="0.3">
      <c r="A61" s="103">
        <v>45989</v>
      </c>
      <c r="B61" s="94" t="s">
        <v>36</v>
      </c>
      <c r="C61" s="95" t="s">
        <v>37</v>
      </c>
      <c r="D61" s="94" t="s">
        <v>1</v>
      </c>
      <c r="E61" s="104">
        <v>1.756944444444444</v>
      </c>
      <c r="F61" s="94" t="s">
        <v>42</v>
      </c>
      <c r="G61" s="96">
        <v>9</v>
      </c>
      <c r="H61" s="97">
        <v>939</v>
      </c>
      <c r="I61" s="88"/>
    </row>
    <row r="62" spans="1:9" ht="19.8" customHeight="1" x14ac:dyDescent="0.3">
      <c r="A62" s="103">
        <v>45989</v>
      </c>
      <c r="B62" s="94" t="s">
        <v>78</v>
      </c>
      <c r="C62" s="95" t="s">
        <v>79</v>
      </c>
      <c r="D62" s="94" t="s">
        <v>1</v>
      </c>
      <c r="E62" s="104">
        <v>1.604166666666667</v>
      </c>
      <c r="F62" s="94" t="s">
        <v>80</v>
      </c>
      <c r="G62" s="96">
        <v>9</v>
      </c>
      <c r="H62" s="107" t="s">
        <v>82</v>
      </c>
      <c r="I62" s="88"/>
    </row>
    <row r="63" spans="1:9" ht="19.8" customHeight="1" x14ac:dyDescent="0.3">
      <c r="A63" s="103">
        <v>45989</v>
      </c>
      <c r="B63" s="94" t="s">
        <v>26</v>
      </c>
      <c r="C63" s="95" t="s">
        <v>27</v>
      </c>
      <c r="D63" s="94" t="s">
        <v>1</v>
      </c>
      <c r="E63" s="104">
        <v>1.4201388888888891</v>
      </c>
      <c r="F63" s="94" t="s">
        <v>34</v>
      </c>
      <c r="G63" s="96">
        <v>5</v>
      </c>
      <c r="H63" s="107" t="s">
        <v>35</v>
      </c>
      <c r="I63" s="88"/>
    </row>
    <row r="64" spans="1:9" ht="19.8" customHeight="1" x14ac:dyDescent="0.3">
      <c r="A64" s="103">
        <v>45989</v>
      </c>
      <c r="B64" s="94" t="s">
        <v>78</v>
      </c>
      <c r="C64" s="95" t="s">
        <v>79</v>
      </c>
      <c r="D64" s="94" t="s">
        <v>1</v>
      </c>
      <c r="E64" s="104">
        <v>1.604166666666667</v>
      </c>
      <c r="F64" s="94" t="s">
        <v>83</v>
      </c>
      <c r="G64" s="96">
        <v>9</v>
      </c>
      <c r="H64" s="107" t="s">
        <v>85</v>
      </c>
      <c r="I64" s="88"/>
    </row>
    <row r="65" spans="1:9" ht="19.8" customHeight="1" x14ac:dyDescent="0.3">
      <c r="A65" s="103">
        <v>45989</v>
      </c>
      <c r="B65" s="94" t="s">
        <v>78</v>
      </c>
      <c r="C65" s="95" t="s">
        <v>94</v>
      </c>
      <c r="D65" s="94" t="s">
        <v>1</v>
      </c>
      <c r="E65" s="104">
        <v>1.086805555555556</v>
      </c>
      <c r="F65" s="94" t="s">
        <v>80</v>
      </c>
      <c r="G65" s="96">
        <v>9</v>
      </c>
      <c r="H65" s="107" t="s">
        <v>100</v>
      </c>
      <c r="I65" s="88"/>
    </row>
    <row r="66" spans="1:9" ht="19.8" customHeight="1" x14ac:dyDescent="0.3">
      <c r="A66" s="103">
        <v>45989</v>
      </c>
      <c r="B66" s="94" t="s">
        <v>78</v>
      </c>
      <c r="C66" s="95" t="s">
        <v>94</v>
      </c>
      <c r="D66" s="94" t="s">
        <v>1</v>
      </c>
      <c r="E66" s="104">
        <v>1.086805555555556</v>
      </c>
      <c r="F66" s="94" t="s">
        <v>83</v>
      </c>
      <c r="G66" s="96">
        <v>9</v>
      </c>
      <c r="H66" s="107" t="s">
        <v>101</v>
      </c>
      <c r="I66" s="88"/>
    </row>
    <row r="67" spans="1:9" ht="19.8" customHeight="1" x14ac:dyDescent="0.3">
      <c r="A67" s="103">
        <v>45989</v>
      </c>
      <c r="B67" s="94" t="s">
        <v>78</v>
      </c>
      <c r="C67" s="95" t="s">
        <v>86</v>
      </c>
      <c r="D67" s="94" t="s">
        <v>1</v>
      </c>
      <c r="E67" s="104">
        <v>1.4201388888888891</v>
      </c>
      <c r="F67" s="94" t="s">
        <v>83</v>
      </c>
      <c r="G67" s="96">
        <v>4</v>
      </c>
      <c r="H67" s="107" t="s">
        <v>88</v>
      </c>
      <c r="I67" s="88"/>
    </row>
    <row r="68" spans="1:9" ht="19.8" customHeight="1" x14ac:dyDescent="0.3">
      <c r="A68" s="103">
        <v>45989</v>
      </c>
      <c r="B68" s="94" t="s">
        <v>66</v>
      </c>
      <c r="C68" s="95" t="s">
        <v>75</v>
      </c>
      <c r="D68" s="94" t="s">
        <v>1</v>
      </c>
      <c r="E68" s="104">
        <v>1.493055555555556</v>
      </c>
      <c r="F68" s="94" t="s">
        <v>68</v>
      </c>
      <c r="G68" s="96">
        <v>1</v>
      </c>
      <c r="H68" s="107" t="s">
        <v>77</v>
      </c>
      <c r="I68" s="88"/>
    </row>
    <row r="69" spans="1:9" ht="19.8" customHeight="1" x14ac:dyDescent="0.3">
      <c r="A69" s="103">
        <v>45989</v>
      </c>
      <c r="B69" s="94" t="s">
        <v>78</v>
      </c>
      <c r="C69" s="95" t="s">
        <v>89</v>
      </c>
      <c r="D69" s="94" t="s">
        <v>1</v>
      </c>
      <c r="E69" s="104">
        <v>1.7951388888888891</v>
      </c>
      <c r="F69" s="94" t="s">
        <v>80</v>
      </c>
      <c r="G69" s="96">
        <v>1</v>
      </c>
      <c r="H69" s="107" t="s">
        <v>125</v>
      </c>
      <c r="I69" s="88"/>
    </row>
    <row r="70" spans="1:9" ht="19.8" customHeight="1" x14ac:dyDescent="0.3">
      <c r="A70" s="113">
        <v>45989</v>
      </c>
      <c r="B70" s="114" t="s">
        <v>78</v>
      </c>
      <c r="C70" s="115" t="s">
        <v>89</v>
      </c>
      <c r="D70" s="114" t="s">
        <v>1</v>
      </c>
      <c r="E70" s="116">
        <v>1.7951388888888891</v>
      </c>
      <c r="F70" s="114" t="s">
        <v>83</v>
      </c>
      <c r="G70" s="117">
        <v>1</v>
      </c>
      <c r="H70" s="118" t="s">
        <v>126</v>
      </c>
      <c r="I70" s="88"/>
    </row>
    <row r="71" spans="1:9" ht="19.8" customHeight="1" x14ac:dyDescent="0.3">
      <c r="A71" s="103">
        <v>45990</v>
      </c>
      <c r="B71" s="94" t="s">
        <v>26</v>
      </c>
      <c r="C71" s="95" t="s">
        <v>27</v>
      </c>
      <c r="D71" s="94" t="s">
        <v>1</v>
      </c>
      <c r="E71" s="104">
        <v>1.4201388888888891</v>
      </c>
      <c r="F71" s="94" t="s">
        <v>28</v>
      </c>
      <c r="G71" s="96">
        <v>6</v>
      </c>
      <c r="H71" s="97">
        <v>619</v>
      </c>
      <c r="I71" s="88"/>
    </row>
    <row r="72" spans="1:9" ht="19.8" customHeight="1" x14ac:dyDescent="0.3">
      <c r="A72" s="103">
        <v>45990</v>
      </c>
      <c r="B72" s="94" t="s">
        <v>36</v>
      </c>
      <c r="C72" s="95" t="s">
        <v>106</v>
      </c>
      <c r="D72" s="94" t="s">
        <v>1</v>
      </c>
      <c r="E72" s="104">
        <v>1.354166666666667</v>
      </c>
      <c r="F72" s="94" t="s">
        <v>38</v>
      </c>
      <c r="G72" s="96">
        <v>9</v>
      </c>
      <c r="H72" s="97">
        <v>749</v>
      </c>
      <c r="I72" s="88"/>
    </row>
    <row r="73" spans="1:9" ht="19.8" customHeight="1" x14ac:dyDescent="0.3">
      <c r="A73" s="103">
        <v>45990</v>
      </c>
      <c r="B73" s="94" t="s">
        <v>26</v>
      </c>
      <c r="C73" s="95" t="s">
        <v>27</v>
      </c>
      <c r="D73" s="94" t="s">
        <v>1</v>
      </c>
      <c r="E73" s="104">
        <v>1.4201388888888891</v>
      </c>
      <c r="F73" s="94" t="s">
        <v>31</v>
      </c>
      <c r="G73" s="96">
        <v>6</v>
      </c>
      <c r="H73" s="97">
        <v>769</v>
      </c>
      <c r="I73" s="88"/>
    </row>
    <row r="74" spans="1:9" ht="19.8" customHeight="1" x14ac:dyDescent="0.3">
      <c r="A74" s="103">
        <v>45990</v>
      </c>
      <c r="B74" s="94" t="s">
        <v>36</v>
      </c>
      <c r="C74" s="95" t="s">
        <v>106</v>
      </c>
      <c r="D74" s="94" t="s">
        <v>1</v>
      </c>
      <c r="E74" s="104">
        <v>1.354166666666667</v>
      </c>
      <c r="F74" s="94" t="s">
        <v>40</v>
      </c>
      <c r="G74" s="96">
        <v>9</v>
      </c>
      <c r="H74" s="97">
        <v>849</v>
      </c>
      <c r="I74" s="88"/>
    </row>
    <row r="75" spans="1:9" ht="19.8" customHeight="1" x14ac:dyDescent="0.3">
      <c r="A75" s="103">
        <v>45990</v>
      </c>
      <c r="B75" s="94" t="s">
        <v>36</v>
      </c>
      <c r="C75" s="95" t="s">
        <v>106</v>
      </c>
      <c r="D75" s="94" t="s">
        <v>1</v>
      </c>
      <c r="E75" s="104">
        <v>1.354166666666667</v>
      </c>
      <c r="F75" s="94" t="s">
        <v>42</v>
      </c>
      <c r="G75" s="96">
        <v>9</v>
      </c>
      <c r="H75" s="97">
        <v>939</v>
      </c>
      <c r="I75" s="88"/>
    </row>
    <row r="76" spans="1:9" ht="19.8" customHeight="1" x14ac:dyDescent="0.3">
      <c r="A76" s="103">
        <v>45990</v>
      </c>
      <c r="B76" s="94" t="s">
        <v>26</v>
      </c>
      <c r="C76" s="95" t="s">
        <v>27</v>
      </c>
      <c r="D76" s="94" t="s">
        <v>1</v>
      </c>
      <c r="E76" s="104">
        <v>1.4201388888888891</v>
      </c>
      <c r="F76" s="94" t="s">
        <v>34</v>
      </c>
      <c r="G76" s="96">
        <v>6</v>
      </c>
      <c r="H76" s="107" t="s">
        <v>35</v>
      </c>
      <c r="I76" s="88"/>
    </row>
    <row r="77" spans="1:9" ht="19.8" customHeight="1" x14ac:dyDescent="0.3">
      <c r="A77" s="103">
        <v>45990</v>
      </c>
      <c r="B77" s="94" t="s">
        <v>36</v>
      </c>
      <c r="C77" s="95" t="s">
        <v>37</v>
      </c>
      <c r="D77" s="94" t="s">
        <v>1</v>
      </c>
      <c r="E77" s="104">
        <v>1.756944444444444</v>
      </c>
      <c r="F77" s="94" t="s">
        <v>42</v>
      </c>
      <c r="G77" s="96">
        <v>2</v>
      </c>
      <c r="H77" s="107" t="s">
        <v>127</v>
      </c>
      <c r="I77" s="88"/>
    </row>
    <row r="78" spans="1:9" ht="19.8" customHeight="1" x14ac:dyDescent="0.3">
      <c r="A78" s="103">
        <v>45990</v>
      </c>
      <c r="B78" s="94" t="s">
        <v>36</v>
      </c>
      <c r="C78" s="95" t="s">
        <v>37</v>
      </c>
      <c r="D78" s="94" t="s">
        <v>1</v>
      </c>
      <c r="E78" s="104">
        <v>1.756944444444444</v>
      </c>
      <c r="F78" s="94" t="s">
        <v>38</v>
      </c>
      <c r="G78" s="96">
        <v>2</v>
      </c>
      <c r="H78" s="107" t="s">
        <v>128</v>
      </c>
      <c r="I78" s="88"/>
    </row>
    <row r="79" spans="1:9" ht="19.8" customHeight="1" x14ac:dyDescent="0.3">
      <c r="A79" s="103">
        <v>45990</v>
      </c>
      <c r="B79" s="94" t="s">
        <v>78</v>
      </c>
      <c r="C79" s="95" t="s">
        <v>89</v>
      </c>
      <c r="D79" s="94" t="s">
        <v>1</v>
      </c>
      <c r="E79" s="104">
        <v>1.7951388888888891</v>
      </c>
      <c r="F79" s="94" t="s">
        <v>80</v>
      </c>
      <c r="G79" s="96">
        <v>3</v>
      </c>
      <c r="H79" s="107" t="s">
        <v>100</v>
      </c>
      <c r="I79" s="88"/>
    </row>
    <row r="80" spans="1:9" ht="19.8" customHeight="1" x14ac:dyDescent="0.3">
      <c r="A80" s="103">
        <v>45990</v>
      </c>
      <c r="B80" s="94" t="s">
        <v>36</v>
      </c>
      <c r="C80" s="95" t="s">
        <v>37</v>
      </c>
      <c r="D80" s="94" t="s">
        <v>1</v>
      </c>
      <c r="E80" s="104">
        <v>1.756944444444444</v>
      </c>
      <c r="F80" s="94" t="s">
        <v>40</v>
      </c>
      <c r="G80" s="96">
        <v>2</v>
      </c>
      <c r="H80" s="107" t="s">
        <v>111</v>
      </c>
      <c r="I80" s="88"/>
    </row>
    <row r="81" spans="1:9" ht="19.8" customHeight="1" x14ac:dyDescent="0.3">
      <c r="A81" s="103">
        <v>45990</v>
      </c>
      <c r="B81" s="94" t="s">
        <v>78</v>
      </c>
      <c r="C81" s="95" t="s">
        <v>89</v>
      </c>
      <c r="D81" s="94" t="s">
        <v>1</v>
      </c>
      <c r="E81" s="104">
        <v>1.7951388888888891</v>
      </c>
      <c r="F81" s="94" t="s">
        <v>83</v>
      </c>
      <c r="G81" s="96">
        <v>3</v>
      </c>
      <c r="H81" s="107" t="s">
        <v>101</v>
      </c>
      <c r="I81" s="88"/>
    </row>
    <row r="82" spans="1:9" ht="19.8" customHeight="1" x14ac:dyDescent="0.3">
      <c r="A82" s="103">
        <v>45990</v>
      </c>
      <c r="B82" s="94" t="s">
        <v>78</v>
      </c>
      <c r="C82" s="95" t="s">
        <v>79</v>
      </c>
      <c r="D82" s="94" t="s">
        <v>1</v>
      </c>
      <c r="E82" s="104">
        <v>1.604166666666667</v>
      </c>
      <c r="F82" s="94" t="s">
        <v>80</v>
      </c>
      <c r="G82" s="96">
        <v>1</v>
      </c>
      <c r="H82" s="107" t="s">
        <v>91</v>
      </c>
      <c r="I82" s="88"/>
    </row>
    <row r="83" spans="1:9" ht="19.8" customHeight="1" x14ac:dyDescent="0.3">
      <c r="A83" s="103">
        <v>45990</v>
      </c>
      <c r="B83" s="94" t="s">
        <v>78</v>
      </c>
      <c r="C83" s="95" t="s">
        <v>94</v>
      </c>
      <c r="D83" s="94" t="s">
        <v>1</v>
      </c>
      <c r="E83" s="104">
        <v>1.086805555555556</v>
      </c>
      <c r="F83" s="94" t="s">
        <v>80</v>
      </c>
      <c r="G83" s="96">
        <v>9</v>
      </c>
      <c r="H83" s="107" t="s">
        <v>91</v>
      </c>
      <c r="I83" s="88"/>
    </row>
    <row r="84" spans="1:9" ht="19.8" customHeight="1" x14ac:dyDescent="0.3">
      <c r="A84" s="103">
        <v>45990</v>
      </c>
      <c r="B84" s="94" t="s">
        <v>78</v>
      </c>
      <c r="C84" s="95" t="s">
        <v>86</v>
      </c>
      <c r="D84" s="94" t="s">
        <v>1</v>
      </c>
      <c r="E84" s="104">
        <v>1.4201388888888891</v>
      </c>
      <c r="F84" s="94" t="s">
        <v>83</v>
      </c>
      <c r="G84" s="96">
        <v>4</v>
      </c>
      <c r="H84" s="107" t="s">
        <v>116</v>
      </c>
      <c r="I84" s="88"/>
    </row>
    <row r="85" spans="1:9" ht="19.8" customHeight="1" x14ac:dyDescent="0.3">
      <c r="A85" s="103">
        <v>45990</v>
      </c>
      <c r="B85" s="94" t="s">
        <v>78</v>
      </c>
      <c r="C85" s="95" t="s">
        <v>79</v>
      </c>
      <c r="D85" s="94" t="s">
        <v>1</v>
      </c>
      <c r="E85" s="104">
        <v>1.604166666666667</v>
      </c>
      <c r="F85" s="94" t="s">
        <v>83</v>
      </c>
      <c r="G85" s="96">
        <v>1</v>
      </c>
      <c r="H85" s="107" t="s">
        <v>93</v>
      </c>
      <c r="I85" s="88"/>
    </row>
    <row r="86" spans="1:9" ht="19.8" customHeight="1" x14ac:dyDescent="0.3">
      <c r="A86" s="103">
        <v>45990</v>
      </c>
      <c r="B86" s="94" t="s">
        <v>78</v>
      </c>
      <c r="C86" s="95" t="s">
        <v>94</v>
      </c>
      <c r="D86" s="94" t="s">
        <v>1</v>
      </c>
      <c r="E86" s="104">
        <v>1.086805555555556</v>
      </c>
      <c r="F86" s="94" t="s">
        <v>83</v>
      </c>
      <c r="G86" s="96">
        <v>9</v>
      </c>
      <c r="H86" s="107" t="s">
        <v>93</v>
      </c>
      <c r="I86" s="88"/>
    </row>
    <row r="87" spans="1:9" ht="19.8" customHeight="1" x14ac:dyDescent="0.3">
      <c r="A87" s="108">
        <v>45990</v>
      </c>
      <c r="B87" s="109" t="s">
        <v>44</v>
      </c>
      <c r="C87" s="110" t="s">
        <v>60</v>
      </c>
      <c r="D87" s="109" t="s">
        <v>1</v>
      </c>
      <c r="E87" s="111">
        <v>1.395833333333333</v>
      </c>
      <c r="F87" s="109" t="s">
        <v>61</v>
      </c>
      <c r="G87" s="109"/>
      <c r="H87" s="112" t="s">
        <v>62</v>
      </c>
      <c r="I87" s="88"/>
    </row>
    <row r="88" spans="1:9" ht="19.8" customHeight="1" x14ac:dyDescent="0.3">
      <c r="A88" s="103">
        <v>45991</v>
      </c>
      <c r="B88" s="94" t="s">
        <v>26</v>
      </c>
      <c r="C88" s="95" t="s">
        <v>27</v>
      </c>
      <c r="D88" s="94" t="s">
        <v>1</v>
      </c>
      <c r="E88" s="104">
        <v>1.4201388888888891</v>
      </c>
      <c r="F88" s="94" t="s">
        <v>28</v>
      </c>
      <c r="G88" s="96">
        <v>1</v>
      </c>
      <c r="H88" s="97">
        <v>559</v>
      </c>
      <c r="I88" s="88"/>
    </row>
    <row r="89" spans="1:9" ht="19.8" customHeight="1" x14ac:dyDescent="0.3">
      <c r="A89" s="103">
        <v>45991</v>
      </c>
      <c r="B89" s="94" t="s">
        <v>26</v>
      </c>
      <c r="C89" s="95" t="s">
        <v>27</v>
      </c>
      <c r="D89" s="94" t="s">
        <v>1</v>
      </c>
      <c r="E89" s="104">
        <v>1.4201388888888891</v>
      </c>
      <c r="F89" s="94" t="s">
        <v>31</v>
      </c>
      <c r="G89" s="96">
        <v>1</v>
      </c>
      <c r="H89" s="97">
        <v>709</v>
      </c>
      <c r="I89" s="88"/>
    </row>
    <row r="90" spans="1:9" ht="19.8" customHeight="1" x14ac:dyDescent="0.3">
      <c r="A90" s="103">
        <v>45991</v>
      </c>
      <c r="B90" s="94" t="s">
        <v>36</v>
      </c>
      <c r="C90" s="95" t="s">
        <v>37</v>
      </c>
      <c r="D90" s="94" t="s">
        <v>1</v>
      </c>
      <c r="E90" s="104">
        <v>1.756944444444444</v>
      </c>
      <c r="F90" s="94" t="s">
        <v>38</v>
      </c>
      <c r="G90" s="96">
        <v>7</v>
      </c>
      <c r="H90" s="97">
        <v>889</v>
      </c>
      <c r="I90" s="88"/>
    </row>
    <row r="91" spans="1:9" ht="19.8" customHeight="1" x14ac:dyDescent="0.3">
      <c r="A91" s="103">
        <v>45991</v>
      </c>
      <c r="B91" s="94" t="s">
        <v>36</v>
      </c>
      <c r="C91" s="95" t="s">
        <v>37</v>
      </c>
      <c r="D91" s="94" t="s">
        <v>1</v>
      </c>
      <c r="E91" s="104">
        <v>1.756944444444444</v>
      </c>
      <c r="F91" s="94" t="s">
        <v>40</v>
      </c>
      <c r="G91" s="96">
        <v>7</v>
      </c>
      <c r="H91" s="97">
        <v>989</v>
      </c>
      <c r="I91" s="88"/>
    </row>
    <row r="92" spans="1:9" ht="19.8" customHeight="1" x14ac:dyDescent="0.3">
      <c r="A92" s="103">
        <v>45991</v>
      </c>
      <c r="B92" s="94" t="s">
        <v>36</v>
      </c>
      <c r="C92" s="95" t="s">
        <v>37</v>
      </c>
      <c r="D92" s="94" t="s">
        <v>1</v>
      </c>
      <c r="E92" s="104">
        <v>1.756944444444444</v>
      </c>
      <c r="F92" s="94" t="s">
        <v>42</v>
      </c>
      <c r="G92" s="96">
        <v>7</v>
      </c>
      <c r="H92" s="107" t="s">
        <v>138</v>
      </c>
      <c r="I92" s="88"/>
    </row>
    <row r="93" spans="1:9" ht="19.8" customHeight="1" x14ac:dyDescent="0.3">
      <c r="A93" s="105">
        <v>45991</v>
      </c>
      <c r="B93" s="99" t="s">
        <v>44</v>
      </c>
      <c r="C93" s="100" t="s">
        <v>117</v>
      </c>
      <c r="D93" s="99" t="s">
        <v>1</v>
      </c>
      <c r="E93" s="106">
        <v>1.9027777777777779</v>
      </c>
      <c r="F93" s="99" t="s">
        <v>46</v>
      </c>
      <c r="G93" s="101">
        <v>5</v>
      </c>
      <c r="H93" s="119" t="s">
        <v>139</v>
      </c>
      <c r="I93" s="88"/>
    </row>
    <row r="94" spans="1:9" ht="19.8" customHeight="1" x14ac:dyDescent="0.3">
      <c r="A94" s="103">
        <v>45991</v>
      </c>
      <c r="B94" s="94" t="s">
        <v>78</v>
      </c>
      <c r="C94" s="95" t="s">
        <v>79</v>
      </c>
      <c r="D94" s="94" t="s">
        <v>1</v>
      </c>
      <c r="E94" s="104">
        <v>1.604166666666667</v>
      </c>
      <c r="F94" s="94" t="s">
        <v>80</v>
      </c>
      <c r="G94" s="96">
        <v>9</v>
      </c>
      <c r="H94" s="107" t="s">
        <v>100</v>
      </c>
      <c r="I94" s="88"/>
    </row>
    <row r="95" spans="1:9" ht="19.8" customHeight="1" x14ac:dyDescent="0.3">
      <c r="A95" s="103">
        <v>45991</v>
      </c>
      <c r="B95" s="94" t="s">
        <v>26</v>
      </c>
      <c r="C95" s="95" t="s">
        <v>27</v>
      </c>
      <c r="D95" s="94" t="s">
        <v>1</v>
      </c>
      <c r="E95" s="104">
        <v>1.4201388888888891</v>
      </c>
      <c r="F95" s="94" t="s">
        <v>34</v>
      </c>
      <c r="G95" s="96">
        <v>1</v>
      </c>
      <c r="H95" s="107" t="s">
        <v>133</v>
      </c>
      <c r="I95" s="88"/>
    </row>
    <row r="96" spans="1:9" ht="19.8" customHeight="1" x14ac:dyDescent="0.3">
      <c r="A96" s="103">
        <v>45991</v>
      </c>
      <c r="B96" s="94" t="s">
        <v>78</v>
      </c>
      <c r="C96" s="95" t="s">
        <v>79</v>
      </c>
      <c r="D96" s="94" t="s">
        <v>1</v>
      </c>
      <c r="E96" s="104">
        <v>1.604166666666667</v>
      </c>
      <c r="F96" s="94" t="s">
        <v>83</v>
      </c>
      <c r="G96" s="96">
        <v>9</v>
      </c>
      <c r="H96" s="107" t="s">
        <v>101</v>
      </c>
      <c r="I96" s="88"/>
    </row>
    <row r="97" spans="1:9" ht="19.8" customHeight="1" x14ac:dyDescent="0.3">
      <c r="A97" s="103">
        <v>45991</v>
      </c>
      <c r="B97" s="94" t="s">
        <v>78</v>
      </c>
      <c r="C97" s="95" t="s">
        <v>86</v>
      </c>
      <c r="D97" s="94" t="s">
        <v>1</v>
      </c>
      <c r="E97" s="104">
        <v>1.4201388888888891</v>
      </c>
      <c r="F97" s="94" t="s">
        <v>83</v>
      </c>
      <c r="G97" s="96">
        <v>4</v>
      </c>
      <c r="H97" s="107" t="s">
        <v>88</v>
      </c>
      <c r="I97" s="88"/>
    </row>
    <row r="98" spans="1:9" ht="19.8" customHeight="1" x14ac:dyDescent="0.3">
      <c r="A98" s="103">
        <v>45991</v>
      </c>
      <c r="B98" s="94" t="s">
        <v>78</v>
      </c>
      <c r="C98" s="95" t="s">
        <v>89</v>
      </c>
      <c r="D98" s="94" t="s">
        <v>1</v>
      </c>
      <c r="E98" s="104">
        <v>1.7951388888888891</v>
      </c>
      <c r="F98" s="94" t="s">
        <v>80</v>
      </c>
      <c r="G98" s="96">
        <v>5</v>
      </c>
      <c r="H98" s="107" t="s">
        <v>91</v>
      </c>
      <c r="I98" s="88"/>
    </row>
    <row r="99" spans="1:9" ht="19.8" customHeight="1" x14ac:dyDescent="0.3">
      <c r="A99" s="103">
        <v>45991</v>
      </c>
      <c r="B99" s="94" t="s">
        <v>78</v>
      </c>
      <c r="C99" s="95" t="s">
        <v>94</v>
      </c>
      <c r="D99" s="94" t="s">
        <v>1</v>
      </c>
      <c r="E99" s="104">
        <v>1.086805555555556</v>
      </c>
      <c r="F99" s="94" t="s">
        <v>80</v>
      </c>
      <c r="G99" s="96">
        <v>9</v>
      </c>
      <c r="H99" s="107" t="s">
        <v>91</v>
      </c>
      <c r="I99" s="88"/>
    </row>
    <row r="100" spans="1:9" ht="19.8" customHeight="1" x14ac:dyDescent="0.3">
      <c r="A100" s="103">
        <v>45991</v>
      </c>
      <c r="B100" s="94" t="s">
        <v>78</v>
      </c>
      <c r="C100" s="95" t="s">
        <v>89</v>
      </c>
      <c r="D100" s="94" t="s">
        <v>1</v>
      </c>
      <c r="E100" s="104">
        <v>1.7951388888888891</v>
      </c>
      <c r="F100" s="94" t="s">
        <v>83</v>
      </c>
      <c r="G100" s="96">
        <v>5</v>
      </c>
      <c r="H100" s="107" t="s">
        <v>93</v>
      </c>
      <c r="I100" s="88"/>
    </row>
    <row r="101" spans="1:9" ht="19.8" customHeight="1" x14ac:dyDescent="0.3">
      <c r="A101" s="113">
        <v>45991</v>
      </c>
      <c r="B101" s="114" t="s">
        <v>78</v>
      </c>
      <c r="C101" s="115" t="s">
        <v>94</v>
      </c>
      <c r="D101" s="114" t="s">
        <v>1</v>
      </c>
      <c r="E101" s="116">
        <v>1.086805555555556</v>
      </c>
      <c r="F101" s="114" t="s">
        <v>83</v>
      </c>
      <c r="G101" s="117">
        <v>9</v>
      </c>
      <c r="H101" s="118" t="s">
        <v>93</v>
      </c>
      <c r="I101" s="88"/>
    </row>
    <row r="102" spans="1:9" ht="19.8" customHeight="1" x14ac:dyDescent="0.3">
      <c r="A102" s="103">
        <v>45992</v>
      </c>
      <c r="B102" s="94" t="s">
        <v>26</v>
      </c>
      <c r="C102" s="95" t="s">
        <v>27</v>
      </c>
      <c r="D102" s="94" t="s">
        <v>1</v>
      </c>
      <c r="E102" s="104">
        <v>1.4201388888888891</v>
      </c>
      <c r="F102" s="94" t="s">
        <v>28</v>
      </c>
      <c r="G102" s="96">
        <v>1</v>
      </c>
      <c r="H102" s="97">
        <v>699</v>
      </c>
      <c r="I102" s="88"/>
    </row>
    <row r="103" spans="1:9" ht="19.8" customHeight="1" x14ac:dyDescent="0.3">
      <c r="A103" s="103">
        <v>45992</v>
      </c>
      <c r="B103" s="94" t="s">
        <v>36</v>
      </c>
      <c r="C103" s="95" t="s">
        <v>106</v>
      </c>
      <c r="D103" s="94" t="s">
        <v>1</v>
      </c>
      <c r="E103" s="104">
        <v>1.354166666666667</v>
      </c>
      <c r="F103" s="94" t="s">
        <v>38</v>
      </c>
      <c r="G103" s="96">
        <v>3</v>
      </c>
      <c r="H103" s="97">
        <v>749</v>
      </c>
      <c r="I103" s="88"/>
    </row>
    <row r="104" spans="1:9" ht="19.8" customHeight="1" x14ac:dyDescent="0.3">
      <c r="A104" s="103">
        <v>45992</v>
      </c>
      <c r="B104" s="94" t="s">
        <v>26</v>
      </c>
      <c r="C104" s="95" t="s">
        <v>27</v>
      </c>
      <c r="D104" s="94" t="s">
        <v>1</v>
      </c>
      <c r="E104" s="104">
        <v>1.4201388888888891</v>
      </c>
      <c r="F104" s="94" t="s">
        <v>34</v>
      </c>
      <c r="G104" s="96">
        <v>1</v>
      </c>
      <c r="H104" s="97">
        <v>799</v>
      </c>
      <c r="I104" s="88"/>
    </row>
    <row r="105" spans="1:9" ht="19.8" customHeight="1" x14ac:dyDescent="0.3">
      <c r="A105" s="103">
        <v>45992</v>
      </c>
      <c r="B105" s="94" t="s">
        <v>26</v>
      </c>
      <c r="C105" s="95" t="s">
        <v>27</v>
      </c>
      <c r="D105" s="94" t="s">
        <v>1</v>
      </c>
      <c r="E105" s="104">
        <v>1.4201388888888891</v>
      </c>
      <c r="F105" s="94" t="s">
        <v>31</v>
      </c>
      <c r="G105" s="96">
        <v>1</v>
      </c>
      <c r="H105" s="97">
        <v>849</v>
      </c>
      <c r="I105" s="88"/>
    </row>
    <row r="106" spans="1:9" ht="19.8" customHeight="1" x14ac:dyDescent="0.3">
      <c r="A106" s="103">
        <v>45992</v>
      </c>
      <c r="B106" s="94" t="s">
        <v>36</v>
      </c>
      <c r="C106" s="95" t="s">
        <v>106</v>
      </c>
      <c r="D106" s="94" t="s">
        <v>1</v>
      </c>
      <c r="E106" s="104">
        <v>1.354166666666667</v>
      </c>
      <c r="F106" s="94" t="s">
        <v>40</v>
      </c>
      <c r="G106" s="96">
        <v>3</v>
      </c>
      <c r="H106" s="97">
        <v>849</v>
      </c>
      <c r="I106" s="88"/>
    </row>
    <row r="107" spans="1:9" ht="19.8" customHeight="1" x14ac:dyDescent="0.3">
      <c r="A107" s="103">
        <v>45992</v>
      </c>
      <c r="B107" s="94" t="s">
        <v>36</v>
      </c>
      <c r="C107" s="95" t="s">
        <v>106</v>
      </c>
      <c r="D107" s="94" t="s">
        <v>1</v>
      </c>
      <c r="E107" s="104">
        <v>1.354166666666667</v>
      </c>
      <c r="F107" s="94" t="s">
        <v>42</v>
      </c>
      <c r="G107" s="96">
        <v>3</v>
      </c>
      <c r="H107" s="97">
        <v>939</v>
      </c>
      <c r="I107" s="88"/>
    </row>
    <row r="108" spans="1:9" ht="19.8" customHeight="1" x14ac:dyDescent="0.3">
      <c r="A108" s="103">
        <v>45992</v>
      </c>
      <c r="B108" s="94" t="s">
        <v>36</v>
      </c>
      <c r="C108" s="95" t="s">
        <v>37</v>
      </c>
      <c r="D108" s="94" t="s">
        <v>1</v>
      </c>
      <c r="E108" s="104">
        <v>1.756944444444444</v>
      </c>
      <c r="F108" s="94" t="s">
        <v>38</v>
      </c>
      <c r="G108" s="96">
        <v>5</v>
      </c>
      <c r="H108" s="107" t="s">
        <v>145</v>
      </c>
      <c r="I108" s="88"/>
    </row>
    <row r="109" spans="1:9" ht="19.8" customHeight="1" x14ac:dyDescent="0.3">
      <c r="A109" s="103">
        <v>45992</v>
      </c>
      <c r="B109" s="94" t="s">
        <v>36</v>
      </c>
      <c r="C109" s="95" t="s">
        <v>37</v>
      </c>
      <c r="D109" s="94" t="s">
        <v>1</v>
      </c>
      <c r="E109" s="104">
        <v>1.756944444444444</v>
      </c>
      <c r="F109" s="94" t="s">
        <v>40</v>
      </c>
      <c r="G109" s="96">
        <v>5</v>
      </c>
      <c r="H109" s="107" t="s">
        <v>146</v>
      </c>
      <c r="I109" s="88"/>
    </row>
    <row r="110" spans="1:9" ht="19.8" customHeight="1" x14ac:dyDescent="0.3">
      <c r="A110" s="103">
        <v>45992</v>
      </c>
      <c r="B110" s="94" t="s">
        <v>36</v>
      </c>
      <c r="C110" s="95" t="s">
        <v>37</v>
      </c>
      <c r="D110" s="94" t="s">
        <v>1</v>
      </c>
      <c r="E110" s="104">
        <v>1.756944444444444</v>
      </c>
      <c r="F110" s="94" t="s">
        <v>42</v>
      </c>
      <c r="G110" s="96">
        <v>5</v>
      </c>
      <c r="H110" s="107" t="s">
        <v>147</v>
      </c>
      <c r="I110" s="88"/>
    </row>
    <row r="111" spans="1:9" ht="19.8" customHeight="1" x14ac:dyDescent="0.3">
      <c r="A111" s="103">
        <v>45992</v>
      </c>
      <c r="B111" s="94" t="s">
        <v>78</v>
      </c>
      <c r="C111" s="95" t="s">
        <v>89</v>
      </c>
      <c r="D111" s="94" t="s">
        <v>1</v>
      </c>
      <c r="E111" s="104">
        <v>1.7951388888888891</v>
      </c>
      <c r="F111" s="94" t="s">
        <v>80</v>
      </c>
      <c r="G111" s="96">
        <v>9</v>
      </c>
      <c r="H111" s="107" t="s">
        <v>100</v>
      </c>
      <c r="I111" s="88"/>
    </row>
    <row r="112" spans="1:9" ht="19.8" customHeight="1" x14ac:dyDescent="0.3">
      <c r="A112" s="103">
        <v>45992</v>
      </c>
      <c r="B112" s="94" t="s">
        <v>78</v>
      </c>
      <c r="C112" s="95" t="s">
        <v>79</v>
      </c>
      <c r="D112" s="94" t="s">
        <v>1</v>
      </c>
      <c r="E112" s="104">
        <v>1.604166666666667</v>
      </c>
      <c r="F112" s="94" t="s">
        <v>80</v>
      </c>
      <c r="G112" s="96">
        <v>9</v>
      </c>
      <c r="H112" s="107" t="s">
        <v>100</v>
      </c>
      <c r="I112" s="88"/>
    </row>
    <row r="113" spans="1:9" ht="19.8" customHeight="1" x14ac:dyDescent="0.3">
      <c r="A113" s="103">
        <v>45992</v>
      </c>
      <c r="B113" s="94" t="s">
        <v>78</v>
      </c>
      <c r="C113" s="95" t="s">
        <v>89</v>
      </c>
      <c r="D113" s="94" t="s">
        <v>1</v>
      </c>
      <c r="E113" s="104">
        <v>1.7951388888888891</v>
      </c>
      <c r="F113" s="94" t="s">
        <v>83</v>
      </c>
      <c r="G113" s="96">
        <v>9</v>
      </c>
      <c r="H113" s="107" t="s">
        <v>101</v>
      </c>
      <c r="I113" s="88"/>
    </row>
    <row r="114" spans="1:9" ht="19.8" customHeight="1" x14ac:dyDescent="0.3">
      <c r="A114" s="103">
        <v>45992</v>
      </c>
      <c r="B114" s="94" t="s">
        <v>78</v>
      </c>
      <c r="C114" s="95" t="s">
        <v>79</v>
      </c>
      <c r="D114" s="94" t="s">
        <v>1</v>
      </c>
      <c r="E114" s="104">
        <v>1.604166666666667</v>
      </c>
      <c r="F114" s="94" t="s">
        <v>83</v>
      </c>
      <c r="G114" s="96">
        <v>9</v>
      </c>
      <c r="H114" s="107" t="s">
        <v>101</v>
      </c>
      <c r="I114" s="88"/>
    </row>
    <row r="115" spans="1:9" ht="19.8" customHeight="1" x14ac:dyDescent="0.3">
      <c r="A115" s="103">
        <v>45992</v>
      </c>
      <c r="B115" s="94" t="s">
        <v>66</v>
      </c>
      <c r="C115" s="95" t="s">
        <v>75</v>
      </c>
      <c r="D115" s="94" t="s">
        <v>1</v>
      </c>
      <c r="E115" s="104">
        <v>1.489583333333333</v>
      </c>
      <c r="F115" s="94" t="s">
        <v>68</v>
      </c>
      <c r="G115" s="96">
        <v>6</v>
      </c>
      <c r="H115" s="107" t="s">
        <v>77</v>
      </c>
      <c r="I115" s="88"/>
    </row>
    <row r="116" spans="1:9" ht="19.8" customHeight="1" x14ac:dyDescent="0.3">
      <c r="A116" s="103">
        <v>45992</v>
      </c>
      <c r="B116" s="94" t="s">
        <v>78</v>
      </c>
      <c r="C116" s="95" t="s">
        <v>94</v>
      </c>
      <c r="D116" s="94" t="s">
        <v>1</v>
      </c>
      <c r="E116" s="104">
        <v>1.086805555555556</v>
      </c>
      <c r="F116" s="94" t="s">
        <v>80</v>
      </c>
      <c r="G116" s="96">
        <v>1</v>
      </c>
      <c r="H116" s="107" t="s">
        <v>91</v>
      </c>
      <c r="I116" s="88"/>
    </row>
    <row r="117" spans="1:9" ht="19.8" customHeight="1" x14ac:dyDescent="0.3">
      <c r="A117" s="103">
        <v>45992</v>
      </c>
      <c r="B117" s="94" t="s">
        <v>78</v>
      </c>
      <c r="C117" s="95" t="s">
        <v>86</v>
      </c>
      <c r="D117" s="94" t="s">
        <v>1</v>
      </c>
      <c r="E117" s="104">
        <v>1.4201388888888891</v>
      </c>
      <c r="F117" s="94" t="s">
        <v>83</v>
      </c>
      <c r="G117" s="96">
        <v>4</v>
      </c>
      <c r="H117" s="107" t="s">
        <v>116</v>
      </c>
      <c r="I117" s="88"/>
    </row>
    <row r="118" spans="1:9" ht="19.8" customHeight="1" x14ac:dyDescent="0.3">
      <c r="A118" s="113">
        <v>45992</v>
      </c>
      <c r="B118" s="114" t="s">
        <v>78</v>
      </c>
      <c r="C118" s="115" t="s">
        <v>94</v>
      </c>
      <c r="D118" s="114" t="s">
        <v>1</v>
      </c>
      <c r="E118" s="116">
        <v>1.086805555555556</v>
      </c>
      <c r="F118" s="114" t="s">
        <v>83</v>
      </c>
      <c r="G118" s="117">
        <v>1</v>
      </c>
      <c r="H118" s="118" t="s">
        <v>93</v>
      </c>
      <c r="I118" s="88"/>
    </row>
    <row r="119" spans="1:9" ht="19.8" customHeight="1" x14ac:dyDescent="0.3">
      <c r="A119" s="103">
        <v>45993</v>
      </c>
      <c r="B119" s="94" t="s">
        <v>26</v>
      </c>
      <c r="C119" s="95" t="s">
        <v>27</v>
      </c>
      <c r="D119" s="94" t="s">
        <v>1</v>
      </c>
      <c r="E119" s="104">
        <v>1.4201388888888891</v>
      </c>
      <c r="F119" s="94" t="s">
        <v>28</v>
      </c>
      <c r="G119" s="96">
        <v>10</v>
      </c>
      <c r="H119" s="97">
        <v>699</v>
      </c>
      <c r="I119" s="88"/>
    </row>
    <row r="120" spans="1:9" ht="19.8" customHeight="1" x14ac:dyDescent="0.3">
      <c r="A120" s="103">
        <v>45993</v>
      </c>
      <c r="B120" s="94" t="s">
        <v>26</v>
      </c>
      <c r="C120" s="95" t="s">
        <v>27</v>
      </c>
      <c r="D120" s="94" t="s">
        <v>1</v>
      </c>
      <c r="E120" s="104">
        <v>1.4201388888888891</v>
      </c>
      <c r="F120" s="94" t="s">
        <v>31</v>
      </c>
      <c r="G120" s="96">
        <v>10</v>
      </c>
      <c r="H120" s="97">
        <v>849</v>
      </c>
      <c r="I120" s="88"/>
    </row>
    <row r="121" spans="1:9" ht="19.8" customHeight="1" x14ac:dyDescent="0.3">
      <c r="A121" s="103">
        <v>45993</v>
      </c>
      <c r="B121" s="94" t="s">
        <v>36</v>
      </c>
      <c r="C121" s="95" t="s">
        <v>37</v>
      </c>
      <c r="D121" s="94" t="s">
        <v>1</v>
      </c>
      <c r="E121" s="104">
        <v>1.756944444444444</v>
      </c>
      <c r="F121" s="94" t="s">
        <v>38</v>
      </c>
      <c r="G121" s="96">
        <v>4</v>
      </c>
      <c r="H121" s="97">
        <v>889</v>
      </c>
      <c r="I121" s="88"/>
    </row>
    <row r="122" spans="1:9" ht="19.8" customHeight="1" x14ac:dyDescent="0.3">
      <c r="A122" s="105">
        <v>45993</v>
      </c>
      <c r="B122" s="99" t="s">
        <v>44</v>
      </c>
      <c r="C122" s="100" t="s">
        <v>45</v>
      </c>
      <c r="D122" s="99" t="s">
        <v>1</v>
      </c>
      <c r="E122" s="106">
        <v>1.2777777777777779</v>
      </c>
      <c r="F122" s="99" t="s">
        <v>46</v>
      </c>
      <c r="G122" s="101">
        <v>9</v>
      </c>
      <c r="H122" s="102">
        <v>914</v>
      </c>
      <c r="I122" s="88"/>
    </row>
    <row r="123" spans="1:9" ht="19.8" customHeight="1" x14ac:dyDescent="0.3">
      <c r="A123" s="103">
        <v>45993</v>
      </c>
      <c r="B123" s="94" t="s">
        <v>36</v>
      </c>
      <c r="C123" s="95" t="s">
        <v>37</v>
      </c>
      <c r="D123" s="94" t="s">
        <v>1</v>
      </c>
      <c r="E123" s="104">
        <v>1.756944444444444</v>
      </c>
      <c r="F123" s="94" t="s">
        <v>40</v>
      </c>
      <c r="G123" s="96">
        <v>4</v>
      </c>
      <c r="H123" s="97">
        <v>989</v>
      </c>
      <c r="I123" s="88"/>
    </row>
    <row r="124" spans="1:9" ht="19.8" customHeight="1" x14ac:dyDescent="0.3">
      <c r="A124" s="105">
        <v>45993</v>
      </c>
      <c r="B124" s="99" t="s">
        <v>44</v>
      </c>
      <c r="C124" s="100" t="s">
        <v>53</v>
      </c>
      <c r="D124" s="99" t="s">
        <v>1</v>
      </c>
      <c r="E124" s="106">
        <v>1.0486111111111109</v>
      </c>
      <c r="F124" s="99" t="s">
        <v>46</v>
      </c>
      <c r="G124" s="101">
        <v>6</v>
      </c>
      <c r="H124" s="102">
        <v>992</v>
      </c>
      <c r="I124" s="88"/>
    </row>
    <row r="125" spans="1:9" ht="19.8" customHeight="1" x14ac:dyDescent="0.3">
      <c r="A125" s="103">
        <v>45993</v>
      </c>
      <c r="B125" s="94" t="s">
        <v>36</v>
      </c>
      <c r="C125" s="95" t="s">
        <v>37</v>
      </c>
      <c r="D125" s="94" t="s">
        <v>1</v>
      </c>
      <c r="E125" s="104">
        <v>1.756944444444444</v>
      </c>
      <c r="F125" s="94" t="s">
        <v>42</v>
      </c>
      <c r="G125" s="96">
        <v>4</v>
      </c>
      <c r="H125" s="107" t="s">
        <v>138</v>
      </c>
      <c r="I125" s="88"/>
    </row>
    <row r="126" spans="1:9" ht="19.8" customHeight="1" x14ac:dyDescent="0.3">
      <c r="A126" s="103">
        <v>45993</v>
      </c>
      <c r="B126" s="94" t="s">
        <v>26</v>
      </c>
      <c r="C126" s="95" t="s">
        <v>27</v>
      </c>
      <c r="D126" s="94" t="s">
        <v>1</v>
      </c>
      <c r="E126" s="104">
        <v>1.4201388888888891</v>
      </c>
      <c r="F126" s="94" t="s">
        <v>34</v>
      </c>
      <c r="G126" s="96">
        <v>10</v>
      </c>
      <c r="H126" s="107" t="s">
        <v>35</v>
      </c>
      <c r="I126" s="88"/>
    </row>
    <row r="127" spans="1:9" ht="19.8" customHeight="1" x14ac:dyDescent="0.3">
      <c r="A127" s="103">
        <v>45993</v>
      </c>
      <c r="B127" s="94" t="s">
        <v>78</v>
      </c>
      <c r="C127" s="95" t="s">
        <v>89</v>
      </c>
      <c r="D127" s="94" t="s">
        <v>1</v>
      </c>
      <c r="E127" s="104">
        <v>1.7951388888888891</v>
      </c>
      <c r="F127" s="94" t="s">
        <v>80</v>
      </c>
      <c r="G127" s="96">
        <v>9</v>
      </c>
      <c r="H127" s="107" t="s">
        <v>100</v>
      </c>
      <c r="I127" s="88"/>
    </row>
    <row r="128" spans="1:9" ht="19.8" customHeight="1" x14ac:dyDescent="0.3">
      <c r="A128" s="103">
        <v>45993</v>
      </c>
      <c r="B128" s="94" t="s">
        <v>78</v>
      </c>
      <c r="C128" s="95" t="s">
        <v>94</v>
      </c>
      <c r="D128" s="94" t="s">
        <v>1</v>
      </c>
      <c r="E128" s="104">
        <v>1.086805555555556</v>
      </c>
      <c r="F128" s="94" t="s">
        <v>80</v>
      </c>
      <c r="G128" s="96">
        <v>9</v>
      </c>
      <c r="H128" s="107" t="s">
        <v>100</v>
      </c>
      <c r="I128" s="88"/>
    </row>
    <row r="129" spans="1:9" ht="19.8" customHeight="1" x14ac:dyDescent="0.3">
      <c r="A129" s="103">
        <v>45993</v>
      </c>
      <c r="B129" s="94" t="s">
        <v>78</v>
      </c>
      <c r="C129" s="95" t="s">
        <v>89</v>
      </c>
      <c r="D129" s="94" t="s">
        <v>1</v>
      </c>
      <c r="E129" s="104">
        <v>1.7951388888888891</v>
      </c>
      <c r="F129" s="94" t="s">
        <v>83</v>
      </c>
      <c r="G129" s="96">
        <v>9</v>
      </c>
      <c r="H129" s="107" t="s">
        <v>101</v>
      </c>
      <c r="I129" s="88"/>
    </row>
    <row r="130" spans="1:9" ht="19.8" customHeight="1" x14ac:dyDescent="0.3">
      <c r="A130" s="103">
        <v>45993</v>
      </c>
      <c r="B130" s="94" t="s">
        <v>78</v>
      </c>
      <c r="C130" s="95" t="s">
        <v>94</v>
      </c>
      <c r="D130" s="94" t="s">
        <v>1</v>
      </c>
      <c r="E130" s="104">
        <v>1.086805555555556</v>
      </c>
      <c r="F130" s="94" t="s">
        <v>83</v>
      </c>
      <c r="G130" s="96">
        <v>9</v>
      </c>
      <c r="H130" s="107" t="s">
        <v>101</v>
      </c>
      <c r="I130" s="88"/>
    </row>
    <row r="131" spans="1:9" ht="19.8" customHeight="1" x14ac:dyDescent="0.3">
      <c r="A131" s="103">
        <v>45993</v>
      </c>
      <c r="B131" s="94" t="s">
        <v>78</v>
      </c>
      <c r="C131" s="95" t="s">
        <v>79</v>
      </c>
      <c r="D131" s="94" t="s">
        <v>1</v>
      </c>
      <c r="E131" s="104">
        <v>1.604166666666667</v>
      </c>
      <c r="F131" s="94" t="s">
        <v>80</v>
      </c>
      <c r="G131" s="96">
        <v>5</v>
      </c>
      <c r="H131" s="107" t="s">
        <v>91</v>
      </c>
      <c r="I131" s="88"/>
    </row>
    <row r="132" spans="1:9" ht="19.8" customHeight="1" x14ac:dyDescent="0.3">
      <c r="A132" s="103">
        <v>45993</v>
      </c>
      <c r="B132" s="94" t="s">
        <v>78</v>
      </c>
      <c r="C132" s="95" t="s">
        <v>86</v>
      </c>
      <c r="D132" s="94" t="s">
        <v>1</v>
      </c>
      <c r="E132" s="104">
        <v>1.4201388888888891</v>
      </c>
      <c r="F132" s="94" t="s">
        <v>83</v>
      </c>
      <c r="G132" s="96">
        <v>4</v>
      </c>
      <c r="H132" s="107" t="s">
        <v>116</v>
      </c>
      <c r="I132" s="88"/>
    </row>
    <row r="133" spans="1:9" ht="19.8" customHeight="1" x14ac:dyDescent="0.3">
      <c r="A133" s="103">
        <v>45993</v>
      </c>
      <c r="B133" s="94" t="s">
        <v>78</v>
      </c>
      <c r="C133" s="95" t="s">
        <v>79</v>
      </c>
      <c r="D133" s="94" t="s">
        <v>1</v>
      </c>
      <c r="E133" s="104">
        <v>1.604166666666667</v>
      </c>
      <c r="F133" s="94" t="s">
        <v>83</v>
      </c>
      <c r="G133" s="96">
        <v>5</v>
      </c>
      <c r="H133" s="107" t="s">
        <v>93</v>
      </c>
      <c r="I133" s="88"/>
    </row>
    <row r="134" spans="1:9" ht="19.8" customHeight="1" x14ac:dyDescent="0.3">
      <c r="A134" s="108">
        <v>45993</v>
      </c>
      <c r="B134" s="109" t="s">
        <v>44</v>
      </c>
      <c r="C134" s="110" t="s">
        <v>60</v>
      </c>
      <c r="D134" s="109" t="s">
        <v>1</v>
      </c>
      <c r="E134" s="111">
        <v>1.979166666666667</v>
      </c>
      <c r="F134" s="109" t="s">
        <v>61</v>
      </c>
      <c r="G134" s="109"/>
      <c r="H134" s="112" t="s">
        <v>62</v>
      </c>
      <c r="I134" s="88"/>
    </row>
    <row r="135" spans="1:9" ht="19.8" customHeight="1" x14ac:dyDescent="0.3">
      <c r="A135" s="103">
        <v>45994</v>
      </c>
      <c r="B135" s="94" t="s">
        <v>26</v>
      </c>
      <c r="C135" s="95" t="s">
        <v>27</v>
      </c>
      <c r="D135" s="94" t="s">
        <v>1</v>
      </c>
      <c r="E135" s="104">
        <v>1.4201388888888891</v>
      </c>
      <c r="F135" s="94" t="s">
        <v>28</v>
      </c>
      <c r="G135" s="96">
        <v>4</v>
      </c>
      <c r="H135" s="97">
        <v>619</v>
      </c>
      <c r="I135" s="88"/>
    </row>
    <row r="136" spans="1:9" ht="19.8" customHeight="1" x14ac:dyDescent="0.3">
      <c r="A136" s="103">
        <v>45994</v>
      </c>
      <c r="B136" s="94" t="s">
        <v>36</v>
      </c>
      <c r="C136" s="95" t="s">
        <v>37</v>
      </c>
      <c r="D136" s="94" t="s">
        <v>1</v>
      </c>
      <c r="E136" s="104">
        <v>1.756944444444444</v>
      </c>
      <c r="F136" s="94" t="s">
        <v>38</v>
      </c>
      <c r="G136" s="96">
        <v>1</v>
      </c>
      <c r="H136" s="97">
        <v>749</v>
      </c>
      <c r="I136" s="88"/>
    </row>
    <row r="137" spans="1:9" ht="19.8" customHeight="1" x14ac:dyDescent="0.3">
      <c r="A137" s="103">
        <v>45994</v>
      </c>
      <c r="B137" s="94" t="s">
        <v>26</v>
      </c>
      <c r="C137" s="95" t="s">
        <v>27</v>
      </c>
      <c r="D137" s="94" t="s">
        <v>1</v>
      </c>
      <c r="E137" s="104">
        <v>1.4201388888888891</v>
      </c>
      <c r="F137" s="94" t="s">
        <v>31</v>
      </c>
      <c r="G137" s="96">
        <v>4</v>
      </c>
      <c r="H137" s="97">
        <v>769</v>
      </c>
      <c r="I137" s="88"/>
    </row>
    <row r="138" spans="1:9" ht="19.8" customHeight="1" x14ac:dyDescent="0.3">
      <c r="A138" s="103">
        <v>45994</v>
      </c>
      <c r="B138" s="94" t="s">
        <v>36</v>
      </c>
      <c r="C138" s="95" t="s">
        <v>37</v>
      </c>
      <c r="D138" s="94" t="s">
        <v>1</v>
      </c>
      <c r="E138" s="104">
        <v>1.756944444444444</v>
      </c>
      <c r="F138" s="94" t="s">
        <v>40</v>
      </c>
      <c r="G138" s="96">
        <v>1</v>
      </c>
      <c r="H138" s="97">
        <v>849</v>
      </c>
      <c r="I138" s="88"/>
    </row>
    <row r="139" spans="1:9" ht="19.8" customHeight="1" x14ac:dyDescent="0.3">
      <c r="A139" s="103">
        <v>45994</v>
      </c>
      <c r="B139" s="94" t="s">
        <v>36</v>
      </c>
      <c r="C139" s="95" t="s">
        <v>37</v>
      </c>
      <c r="D139" s="94" t="s">
        <v>1</v>
      </c>
      <c r="E139" s="104">
        <v>1.756944444444444</v>
      </c>
      <c r="F139" s="94" t="s">
        <v>42</v>
      </c>
      <c r="G139" s="96">
        <v>1</v>
      </c>
      <c r="H139" s="97">
        <v>939</v>
      </c>
      <c r="I139" s="88"/>
    </row>
    <row r="140" spans="1:9" ht="19.8" customHeight="1" x14ac:dyDescent="0.3">
      <c r="A140" s="103">
        <v>45994</v>
      </c>
      <c r="B140" s="94" t="s">
        <v>78</v>
      </c>
      <c r="C140" s="95" t="s">
        <v>94</v>
      </c>
      <c r="D140" s="94" t="s">
        <v>1</v>
      </c>
      <c r="E140" s="104">
        <v>1.086805555555556</v>
      </c>
      <c r="F140" s="94" t="s">
        <v>80</v>
      </c>
      <c r="G140" s="96">
        <v>9</v>
      </c>
      <c r="H140" s="107" t="s">
        <v>82</v>
      </c>
      <c r="I140" s="88"/>
    </row>
    <row r="141" spans="1:9" ht="19.8" customHeight="1" x14ac:dyDescent="0.3">
      <c r="A141" s="103">
        <v>45994</v>
      </c>
      <c r="B141" s="94" t="s">
        <v>26</v>
      </c>
      <c r="C141" s="95" t="s">
        <v>27</v>
      </c>
      <c r="D141" s="94" t="s">
        <v>1</v>
      </c>
      <c r="E141" s="104">
        <v>1.4201388888888891</v>
      </c>
      <c r="F141" s="94" t="s">
        <v>34</v>
      </c>
      <c r="G141" s="96">
        <v>4</v>
      </c>
      <c r="H141" s="107" t="s">
        <v>35</v>
      </c>
      <c r="I141" s="88"/>
    </row>
    <row r="142" spans="1:9" ht="19.8" customHeight="1" x14ac:dyDescent="0.3">
      <c r="A142" s="103">
        <v>45994</v>
      </c>
      <c r="B142" s="94" t="s">
        <v>78</v>
      </c>
      <c r="C142" s="95" t="s">
        <v>94</v>
      </c>
      <c r="D142" s="94" t="s">
        <v>1</v>
      </c>
      <c r="E142" s="104">
        <v>1.086805555555556</v>
      </c>
      <c r="F142" s="94" t="s">
        <v>83</v>
      </c>
      <c r="G142" s="96">
        <v>9</v>
      </c>
      <c r="H142" s="107" t="s">
        <v>85</v>
      </c>
      <c r="I142" s="88"/>
    </row>
    <row r="143" spans="1:9" ht="19.8" customHeight="1" x14ac:dyDescent="0.3">
      <c r="A143" s="103">
        <v>45994</v>
      </c>
      <c r="B143" s="94" t="s">
        <v>66</v>
      </c>
      <c r="C143" s="95" t="s">
        <v>70</v>
      </c>
      <c r="D143" s="94" t="s">
        <v>1</v>
      </c>
      <c r="E143" s="104">
        <v>1.2222222222222221</v>
      </c>
      <c r="F143" s="94" t="s">
        <v>68</v>
      </c>
      <c r="G143" s="96">
        <v>9</v>
      </c>
      <c r="H143" s="107" t="s">
        <v>147</v>
      </c>
      <c r="I143" s="88"/>
    </row>
    <row r="144" spans="1:9" ht="19.8" customHeight="1" x14ac:dyDescent="0.3">
      <c r="A144" s="103">
        <v>45994</v>
      </c>
      <c r="B144" s="94" t="s">
        <v>78</v>
      </c>
      <c r="C144" s="95" t="s">
        <v>89</v>
      </c>
      <c r="D144" s="94" t="s">
        <v>1</v>
      </c>
      <c r="E144" s="104">
        <v>1.7951388888888891</v>
      </c>
      <c r="F144" s="94" t="s">
        <v>80</v>
      </c>
      <c r="G144" s="96">
        <v>4</v>
      </c>
      <c r="H144" s="107" t="s">
        <v>100</v>
      </c>
      <c r="I144" s="88"/>
    </row>
    <row r="145" spans="1:9" ht="19.8" customHeight="1" x14ac:dyDescent="0.3">
      <c r="A145" s="103">
        <v>45994</v>
      </c>
      <c r="B145" s="94" t="s">
        <v>78</v>
      </c>
      <c r="C145" s="95" t="s">
        <v>79</v>
      </c>
      <c r="D145" s="94" t="s">
        <v>1</v>
      </c>
      <c r="E145" s="104">
        <v>1.604166666666667</v>
      </c>
      <c r="F145" s="94" t="s">
        <v>80</v>
      </c>
      <c r="G145" s="96">
        <v>6</v>
      </c>
      <c r="H145" s="107" t="s">
        <v>100</v>
      </c>
      <c r="I145" s="88"/>
    </row>
    <row r="146" spans="1:9" ht="19.8" customHeight="1" x14ac:dyDescent="0.3">
      <c r="A146" s="103">
        <v>45994</v>
      </c>
      <c r="B146" s="94" t="s">
        <v>78</v>
      </c>
      <c r="C146" s="95" t="s">
        <v>89</v>
      </c>
      <c r="D146" s="94" t="s">
        <v>1</v>
      </c>
      <c r="E146" s="104">
        <v>1.7951388888888891</v>
      </c>
      <c r="F146" s="94" t="s">
        <v>83</v>
      </c>
      <c r="G146" s="96">
        <v>4</v>
      </c>
      <c r="H146" s="107" t="s">
        <v>101</v>
      </c>
      <c r="I146" s="88"/>
    </row>
    <row r="147" spans="1:9" ht="19.8" customHeight="1" x14ac:dyDescent="0.3">
      <c r="A147" s="103">
        <v>45994</v>
      </c>
      <c r="B147" s="94" t="s">
        <v>78</v>
      </c>
      <c r="C147" s="95" t="s">
        <v>79</v>
      </c>
      <c r="D147" s="94" t="s">
        <v>1</v>
      </c>
      <c r="E147" s="104">
        <v>1.604166666666667</v>
      </c>
      <c r="F147" s="94" t="s">
        <v>83</v>
      </c>
      <c r="G147" s="96">
        <v>6</v>
      </c>
      <c r="H147" s="107" t="s">
        <v>101</v>
      </c>
      <c r="I147" s="88"/>
    </row>
    <row r="148" spans="1:9" ht="19.8" customHeight="1" x14ac:dyDescent="0.3">
      <c r="A148" s="103">
        <v>45994</v>
      </c>
      <c r="B148" s="94" t="s">
        <v>66</v>
      </c>
      <c r="C148" s="95" t="s">
        <v>67</v>
      </c>
      <c r="D148" s="94" t="s">
        <v>1</v>
      </c>
      <c r="E148" s="104">
        <v>1.0972222222222221</v>
      </c>
      <c r="F148" s="94" t="s">
        <v>68</v>
      </c>
      <c r="G148" s="96">
        <v>9</v>
      </c>
      <c r="H148" s="107" t="s">
        <v>77</v>
      </c>
      <c r="I148" s="88"/>
    </row>
    <row r="149" spans="1:9" ht="19.8" customHeight="1" x14ac:dyDescent="0.3">
      <c r="A149" s="103">
        <v>45994</v>
      </c>
      <c r="B149" s="94" t="s">
        <v>66</v>
      </c>
      <c r="C149" s="95" t="s">
        <v>76</v>
      </c>
      <c r="D149" s="94" t="s">
        <v>1</v>
      </c>
      <c r="E149" s="104">
        <v>1.854166666666667</v>
      </c>
      <c r="F149" s="94" t="s">
        <v>68</v>
      </c>
      <c r="G149" s="96">
        <v>5</v>
      </c>
      <c r="H149" s="107" t="s">
        <v>77</v>
      </c>
      <c r="I149" s="88"/>
    </row>
    <row r="150" spans="1:9" ht="19.8" customHeight="1" x14ac:dyDescent="0.3">
      <c r="A150" s="103">
        <v>45994</v>
      </c>
      <c r="B150" s="94" t="s">
        <v>66</v>
      </c>
      <c r="C150" s="95" t="s">
        <v>73</v>
      </c>
      <c r="D150" s="94" t="s">
        <v>1</v>
      </c>
      <c r="E150" s="104">
        <v>1.444444444444444</v>
      </c>
      <c r="F150" s="94" t="s">
        <v>68</v>
      </c>
      <c r="G150" s="96">
        <v>9</v>
      </c>
      <c r="H150" s="107" t="s">
        <v>77</v>
      </c>
      <c r="I150" s="88"/>
    </row>
    <row r="151" spans="1:9" ht="19.8" customHeight="1" x14ac:dyDescent="0.3">
      <c r="A151" s="113">
        <v>45994</v>
      </c>
      <c r="B151" s="114" t="s">
        <v>78</v>
      </c>
      <c r="C151" s="115" t="s">
        <v>86</v>
      </c>
      <c r="D151" s="114" t="s">
        <v>1</v>
      </c>
      <c r="E151" s="116">
        <v>1.4201388888888891</v>
      </c>
      <c r="F151" s="114" t="s">
        <v>83</v>
      </c>
      <c r="G151" s="117">
        <v>4</v>
      </c>
      <c r="H151" s="118" t="s">
        <v>116</v>
      </c>
      <c r="I151" s="88"/>
    </row>
    <row r="152" spans="1:9" ht="19.8" customHeight="1" x14ac:dyDescent="0.3">
      <c r="A152" s="103">
        <v>45995</v>
      </c>
      <c r="B152" s="94" t="s">
        <v>78</v>
      </c>
      <c r="C152" s="95" t="s">
        <v>79</v>
      </c>
      <c r="D152" s="94" t="s">
        <v>1</v>
      </c>
      <c r="E152" s="104">
        <v>1.604166666666667</v>
      </c>
      <c r="F152" s="94" t="s">
        <v>80</v>
      </c>
      <c r="G152" s="96">
        <v>9</v>
      </c>
      <c r="H152" s="97">
        <v>745</v>
      </c>
      <c r="I152" s="88"/>
    </row>
    <row r="153" spans="1:9" ht="19.8" customHeight="1" x14ac:dyDescent="0.3">
      <c r="A153" s="103">
        <v>45995</v>
      </c>
      <c r="B153" s="94" t="s">
        <v>66</v>
      </c>
      <c r="C153" s="95" t="s">
        <v>67</v>
      </c>
      <c r="D153" s="94" t="s">
        <v>1</v>
      </c>
      <c r="E153" s="104">
        <v>1.0972222222222221</v>
      </c>
      <c r="F153" s="94" t="s">
        <v>68</v>
      </c>
      <c r="G153" s="96">
        <v>9</v>
      </c>
      <c r="H153" s="97">
        <v>757</v>
      </c>
      <c r="I153" s="88"/>
    </row>
    <row r="154" spans="1:9" ht="19.8" customHeight="1" x14ac:dyDescent="0.3">
      <c r="A154" s="103">
        <v>45995</v>
      </c>
      <c r="B154" s="94" t="s">
        <v>66</v>
      </c>
      <c r="C154" s="95" t="s">
        <v>70</v>
      </c>
      <c r="D154" s="94" t="s">
        <v>1</v>
      </c>
      <c r="E154" s="104">
        <v>1.2222222222222221</v>
      </c>
      <c r="F154" s="94" t="s">
        <v>68</v>
      </c>
      <c r="G154" s="96">
        <v>9</v>
      </c>
      <c r="H154" s="97">
        <v>757</v>
      </c>
      <c r="I154" s="88"/>
    </row>
    <row r="155" spans="1:9" ht="19.8" customHeight="1" x14ac:dyDescent="0.3">
      <c r="A155" s="103">
        <v>45995</v>
      </c>
      <c r="B155" s="94" t="s">
        <v>78</v>
      </c>
      <c r="C155" s="95" t="s">
        <v>79</v>
      </c>
      <c r="D155" s="94" t="s">
        <v>1</v>
      </c>
      <c r="E155" s="104">
        <v>1.604166666666667</v>
      </c>
      <c r="F155" s="94" t="s">
        <v>83</v>
      </c>
      <c r="G155" s="96">
        <v>9</v>
      </c>
      <c r="H155" s="97">
        <v>885</v>
      </c>
      <c r="I155" s="88"/>
    </row>
    <row r="156" spans="1:9" ht="19.8" customHeight="1" x14ac:dyDescent="0.3">
      <c r="A156" s="103">
        <v>45995</v>
      </c>
      <c r="B156" s="94" t="s">
        <v>66</v>
      </c>
      <c r="C156" s="95" t="s">
        <v>73</v>
      </c>
      <c r="D156" s="94" t="s">
        <v>1</v>
      </c>
      <c r="E156" s="104">
        <v>1.444444444444444</v>
      </c>
      <c r="F156" s="94" t="s">
        <v>68</v>
      </c>
      <c r="G156" s="96">
        <v>9</v>
      </c>
      <c r="H156" s="97">
        <v>962</v>
      </c>
      <c r="I156" s="88"/>
    </row>
    <row r="157" spans="1:9" ht="19.8" customHeight="1" x14ac:dyDescent="0.3">
      <c r="A157" s="103">
        <v>45995</v>
      </c>
      <c r="B157" s="94" t="s">
        <v>78</v>
      </c>
      <c r="C157" s="95" t="s">
        <v>94</v>
      </c>
      <c r="D157" s="94" t="s">
        <v>1</v>
      </c>
      <c r="E157" s="104">
        <v>1.086805555555556</v>
      </c>
      <c r="F157" s="94" t="s">
        <v>80</v>
      </c>
      <c r="G157" s="96">
        <v>9</v>
      </c>
      <c r="H157" s="107" t="s">
        <v>82</v>
      </c>
      <c r="I157" s="88"/>
    </row>
    <row r="158" spans="1:9" ht="19.8" customHeight="1" x14ac:dyDescent="0.3">
      <c r="A158" s="103">
        <v>45995</v>
      </c>
      <c r="B158" s="94" t="s">
        <v>78</v>
      </c>
      <c r="C158" s="95" t="s">
        <v>94</v>
      </c>
      <c r="D158" s="94" t="s">
        <v>1</v>
      </c>
      <c r="E158" s="104">
        <v>1.086805555555556</v>
      </c>
      <c r="F158" s="94" t="s">
        <v>83</v>
      </c>
      <c r="G158" s="96">
        <v>9</v>
      </c>
      <c r="H158" s="107" t="s">
        <v>85</v>
      </c>
      <c r="I158" s="88"/>
    </row>
    <row r="159" spans="1:9" ht="19.8" customHeight="1" x14ac:dyDescent="0.3">
      <c r="A159" s="103">
        <v>45995</v>
      </c>
      <c r="B159" s="94" t="s">
        <v>78</v>
      </c>
      <c r="C159" s="95" t="s">
        <v>89</v>
      </c>
      <c r="D159" s="94" t="s">
        <v>1</v>
      </c>
      <c r="E159" s="104">
        <v>1.7951388888888891</v>
      </c>
      <c r="F159" s="94" t="s">
        <v>80</v>
      </c>
      <c r="G159" s="96">
        <v>8</v>
      </c>
      <c r="H159" s="107" t="s">
        <v>100</v>
      </c>
      <c r="I159" s="88"/>
    </row>
    <row r="160" spans="1:9" ht="19.8" customHeight="1" x14ac:dyDescent="0.3">
      <c r="A160" s="103">
        <v>45995</v>
      </c>
      <c r="B160" s="94" t="s">
        <v>66</v>
      </c>
      <c r="C160" s="95" t="s">
        <v>76</v>
      </c>
      <c r="D160" s="94" t="s">
        <v>1</v>
      </c>
      <c r="E160" s="104">
        <v>1.854166666666667</v>
      </c>
      <c r="F160" s="94" t="s">
        <v>68</v>
      </c>
      <c r="G160" s="96">
        <v>9</v>
      </c>
      <c r="H160" s="107" t="s">
        <v>99</v>
      </c>
      <c r="I160" s="88"/>
    </row>
    <row r="161" spans="1:9" ht="19.8" customHeight="1" x14ac:dyDescent="0.3">
      <c r="A161" s="103">
        <v>45995</v>
      </c>
      <c r="B161" s="94" t="s">
        <v>78</v>
      </c>
      <c r="C161" s="95" t="s">
        <v>89</v>
      </c>
      <c r="D161" s="94" t="s">
        <v>1</v>
      </c>
      <c r="E161" s="104">
        <v>1.7951388888888891</v>
      </c>
      <c r="F161" s="94" t="s">
        <v>83</v>
      </c>
      <c r="G161" s="96">
        <v>8</v>
      </c>
      <c r="H161" s="107" t="s">
        <v>101</v>
      </c>
      <c r="I161" s="88"/>
    </row>
    <row r="162" spans="1:9" ht="19.8" customHeight="1" x14ac:dyDescent="0.3">
      <c r="A162" s="103">
        <v>45995</v>
      </c>
      <c r="B162" s="94" t="s">
        <v>78</v>
      </c>
      <c r="C162" s="95" t="s">
        <v>86</v>
      </c>
      <c r="D162" s="94" t="s">
        <v>1</v>
      </c>
      <c r="E162" s="104">
        <v>1.4201388888888891</v>
      </c>
      <c r="F162" s="94" t="s">
        <v>83</v>
      </c>
      <c r="G162" s="96">
        <v>4</v>
      </c>
      <c r="H162" s="107" t="s">
        <v>116</v>
      </c>
      <c r="I162" s="88"/>
    </row>
    <row r="163" spans="1:9" ht="19.8" customHeight="1" x14ac:dyDescent="0.3">
      <c r="A163" s="108">
        <v>45995</v>
      </c>
      <c r="B163" s="109" t="s">
        <v>44</v>
      </c>
      <c r="C163" s="110" t="s">
        <v>60</v>
      </c>
      <c r="D163" s="109" t="s">
        <v>1</v>
      </c>
      <c r="E163" s="111">
        <v>1.538194444444444</v>
      </c>
      <c r="F163" s="109" t="s">
        <v>61</v>
      </c>
      <c r="G163" s="109"/>
      <c r="H163" s="112" t="s">
        <v>62</v>
      </c>
      <c r="I163" s="88"/>
    </row>
    <row r="164" spans="1:9" ht="19.8" customHeight="1" x14ac:dyDescent="0.3">
      <c r="A164" s="103">
        <v>45996</v>
      </c>
      <c r="B164" s="94" t="s">
        <v>26</v>
      </c>
      <c r="C164" s="95" t="s">
        <v>27</v>
      </c>
      <c r="D164" s="94" t="s">
        <v>1</v>
      </c>
      <c r="E164" s="104">
        <v>1.4201388888888891</v>
      </c>
      <c r="F164" s="94" t="s">
        <v>163</v>
      </c>
      <c r="G164" s="96">
        <v>5</v>
      </c>
      <c r="H164" s="97">
        <v>559</v>
      </c>
      <c r="I164" s="88"/>
    </row>
    <row r="165" spans="1:9" ht="19.8" customHeight="1" x14ac:dyDescent="0.3">
      <c r="A165" s="103">
        <v>45996</v>
      </c>
      <c r="B165" s="94" t="s">
        <v>36</v>
      </c>
      <c r="C165" s="95" t="s">
        <v>37</v>
      </c>
      <c r="D165" s="94" t="s">
        <v>1</v>
      </c>
      <c r="E165" s="104">
        <v>1.756944444444444</v>
      </c>
      <c r="F165" s="94" t="s">
        <v>164</v>
      </c>
      <c r="G165" s="96">
        <v>5</v>
      </c>
      <c r="H165" s="97">
        <v>639</v>
      </c>
      <c r="I165" s="88"/>
    </row>
    <row r="166" spans="1:9" ht="19.8" customHeight="1" x14ac:dyDescent="0.3">
      <c r="A166" s="103">
        <v>45996</v>
      </c>
      <c r="B166" s="94" t="s">
        <v>66</v>
      </c>
      <c r="C166" s="95" t="s">
        <v>67</v>
      </c>
      <c r="D166" s="94" t="s">
        <v>1</v>
      </c>
      <c r="E166" s="104">
        <v>1.0972222222222221</v>
      </c>
      <c r="F166" s="94" t="s">
        <v>68</v>
      </c>
      <c r="G166" s="96">
        <v>9</v>
      </c>
      <c r="H166" s="97">
        <v>682</v>
      </c>
      <c r="I166" s="88"/>
    </row>
    <row r="167" spans="1:9" ht="19.8" customHeight="1" x14ac:dyDescent="0.3">
      <c r="A167" s="103">
        <v>45996</v>
      </c>
      <c r="B167" s="94" t="s">
        <v>66</v>
      </c>
      <c r="C167" s="95" t="s">
        <v>70</v>
      </c>
      <c r="D167" s="94" t="s">
        <v>1</v>
      </c>
      <c r="E167" s="104">
        <v>1.2222222222222221</v>
      </c>
      <c r="F167" s="94" t="s">
        <v>68</v>
      </c>
      <c r="G167" s="96">
        <v>9</v>
      </c>
      <c r="H167" s="97">
        <v>682</v>
      </c>
      <c r="I167" s="88"/>
    </row>
    <row r="168" spans="1:9" ht="19.8" customHeight="1" x14ac:dyDescent="0.3">
      <c r="A168" s="103">
        <v>45996</v>
      </c>
      <c r="B168" s="94" t="s">
        <v>66</v>
      </c>
      <c r="C168" s="95" t="s">
        <v>73</v>
      </c>
      <c r="D168" s="94" t="s">
        <v>1</v>
      </c>
      <c r="E168" s="104">
        <v>1.444444444444444</v>
      </c>
      <c r="F168" s="94" t="s">
        <v>68</v>
      </c>
      <c r="G168" s="96">
        <v>9</v>
      </c>
      <c r="H168" s="97">
        <v>682</v>
      </c>
      <c r="I168" s="88"/>
    </row>
    <row r="169" spans="1:9" ht="19.8" customHeight="1" x14ac:dyDescent="0.3">
      <c r="A169" s="103">
        <v>45996</v>
      </c>
      <c r="B169" s="94" t="s">
        <v>66</v>
      </c>
      <c r="C169" s="95" t="s">
        <v>75</v>
      </c>
      <c r="D169" s="94" t="s">
        <v>1</v>
      </c>
      <c r="E169" s="104">
        <v>1.493055555555556</v>
      </c>
      <c r="F169" s="94" t="s">
        <v>68</v>
      </c>
      <c r="G169" s="96">
        <v>9</v>
      </c>
      <c r="H169" s="97">
        <v>757</v>
      </c>
      <c r="I169" s="88"/>
    </row>
    <row r="170" spans="1:9" ht="19.8" customHeight="1" x14ac:dyDescent="0.3">
      <c r="A170" s="103">
        <v>45996</v>
      </c>
      <c r="B170" s="94" t="s">
        <v>78</v>
      </c>
      <c r="C170" s="95" t="s">
        <v>79</v>
      </c>
      <c r="D170" s="94" t="s">
        <v>1</v>
      </c>
      <c r="E170" s="104">
        <v>1.604166666666667</v>
      </c>
      <c r="F170" s="94" t="s">
        <v>80</v>
      </c>
      <c r="G170" s="96">
        <v>2</v>
      </c>
      <c r="H170" s="107" t="s">
        <v>82</v>
      </c>
      <c r="I170" s="88"/>
    </row>
    <row r="171" spans="1:9" ht="19.8" customHeight="1" x14ac:dyDescent="0.3">
      <c r="A171" s="103">
        <v>45996</v>
      </c>
      <c r="B171" s="94" t="s">
        <v>78</v>
      </c>
      <c r="C171" s="95" t="s">
        <v>79</v>
      </c>
      <c r="D171" s="94" t="s">
        <v>1</v>
      </c>
      <c r="E171" s="104">
        <v>1.604166666666667</v>
      </c>
      <c r="F171" s="94" t="s">
        <v>83</v>
      </c>
      <c r="G171" s="96">
        <v>2</v>
      </c>
      <c r="H171" s="107" t="s">
        <v>85</v>
      </c>
      <c r="I171" s="88"/>
    </row>
    <row r="172" spans="1:9" ht="19.8" customHeight="1" x14ac:dyDescent="0.3">
      <c r="A172" s="103">
        <v>45996</v>
      </c>
      <c r="B172" s="94" t="s">
        <v>78</v>
      </c>
      <c r="C172" s="95" t="s">
        <v>94</v>
      </c>
      <c r="D172" s="94" t="s">
        <v>1</v>
      </c>
      <c r="E172" s="104">
        <v>1.086805555555556</v>
      </c>
      <c r="F172" s="94" t="s">
        <v>80</v>
      </c>
      <c r="G172" s="96">
        <v>9</v>
      </c>
      <c r="H172" s="107" t="s">
        <v>100</v>
      </c>
      <c r="I172" s="88"/>
    </row>
    <row r="173" spans="1:9" ht="19.8" customHeight="1" x14ac:dyDescent="0.3">
      <c r="A173" s="103">
        <v>45996</v>
      </c>
      <c r="B173" s="94" t="s">
        <v>78</v>
      </c>
      <c r="C173" s="95" t="s">
        <v>94</v>
      </c>
      <c r="D173" s="94" t="s">
        <v>1</v>
      </c>
      <c r="E173" s="104">
        <v>1.086805555555556</v>
      </c>
      <c r="F173" s="94" t="s">
        <v>83</v>
      </c>
      <c r="G173" s="96">
        <v>9</v>
      </c>
      <c r="H173" s="107" t="s">
        <v>101</v>
      </c>
      <c r="I173" s="88"/>
    </row>
    <row r="174" spans="1:9" ht="19.8" customHeight="1" x14ac:dyDescent="0.3">
      <c r="A174" s="103">
        <v>45996</v>
      </c>
      <c r="B174" s="94" t="s">
        <v>78</v>
      </c>
      <c r="C174" s="95" t="s">
        <v>86</v>
      </c>
      <c r="D174" s="94" t="s">
        <v>1</v>
      </c>
      <c r="E174" s="104">
        <v>1.4201388888888891</v>
      </c>
      <c r="F174" s="94" t="s">
        <v>83</v>
      </c>
      <c r="G174" s="96">
        <v>4</v>
      </c>
      <c r="H174" s="107" t="s">
        <v>88</v>
      </c>
      <c r="I174" s="88"/>
    </row>
    <row r="175" spans="1:9" ht="19.8" customHeight="1" x14ac:dyDescent="0.3">
      <c r="A175" s="103">
        <v>45996</v>
      </c>
      <c r="B175" s="94" t="s">
        <v>78</v>
      </c>
      <c r="C175" s="95" t="s">
        <v>89</v>
      </c>
      <c r="D175" s="94" t="s">
        <v>1</v>
      </c>
      <c r="E175" s="104">
        <v>1.7951388888888891</v>
      </c>
      <c r="F175" s="94" t="s">
        <v>80</v>
      </c>
      <c r="G175" s="96">
        <v>5</v>
      </c>
      <c r="H175" s="107" t="s">
        <v>91</v>
      </c>
      <c r="I175" s="88"/>
    </row>
    <row r="176" spans="1:9" ht="19.8" customHeight="1" x14ac:dyDescent="0.3">
      <c r="A176" s="113">
        <v>45996</v>
      </c>
      <c r="B176" s="114" t="s">
        <v>78</v>
      </c>
      <c r="C176" s="115" t="s">
        <v>89</v>
      </c>
      <c r="D176" s="114" t="s">
        <v>1</v>
      </c>
      <c r="E176" s="116">
        <v>1.7951388888888891</v>
      </c>
      <c r="F176" s="114" t="s">
        <v>83</v>
      </c>
      <c r="G176" s="117">
        <v>5</v>
      </c>
      <c r="H176" s="118" t="s">
        <v>93</v>
      </c>
      <c r="I176" s="88"/>
    </row>
    <row r="177" spans="1:9" ht="19.8" customHeight="1" x14ac:dyDescent="0.3">
      <c r="A177" s="103">
        <v>45997</v>
      </c>
      <c r="B177" s="94" t="s">
        <v>36</v>
      </c>
      <c r="C177" s="95" t="s">
        <v>106</v>
      </c>
      <c r="D177" s="94" t="s">
        <v>1</v>
      </c>
      <c r="E177" s="104">
        <v>1.354166666666667</v>
      </c>
      <c r="F177" s="94" t="s">
        <v>38</v>
      </c>
      <c r="G177" s="96">
        <v>1</v>
      </c>
      <c r="H177" s="97">
        <v>589</v>
      </c>
      <c r="I177" s="88"/>
    </row>
    <row r="178" spans="1:9" ht="19.8" customHeight="1" x14ac:dyDescent="0.3">
      <c r="A178" s="103">
        <v>45997</v>
      </c>
      <c r="B178" s="94" t="s">
        <v>26</v>
      </c>
      <c r="C178" s="95" t="s">
        <v>27</v>
      </c>
      <c r="D178" s="94" t="s">
        <v>1</v>
      </c>
      <c r="E178" s="104">
        <v>1.4201388888888891</v>
      </c>
      <c r="F178" s="94" t="s">
        <v>28</v>
      </c>
      <c r="G178" s="96">
        <v>7</v>
      </c>
      <c r="H178" s="97">
        <v>619</v>
      </c>
      <c r="I178" s="88"/>
    </row>
    <row r="179" spans="1:9" ht="19.8" customHeight="1" x14ac:dyDescent="0.3">
      <c r="A179" s="103">
        <v>45997</v>
      </c>
      <c r="B179" s="94" t="s">
        <v>36</v>
      </c>
      <c r="C179" s="95" t="s">
        <v>106</v>
      </c>
      <c r="D179" s="94" t="s">
        <v>1</v>
      </c>
      <c r="E179" s="104">
        <v>1.354166666666667</v>
      </c>
      <c r="F179" s="94" t="s">
        <v>40</v>
      </c>
      <c r="G179" s="96">
        <v>1</v>
      </c>
      <c r="H179" s="97">
        <v>689</v>
      </c>
      <c r="I179" s="88"/>
    </row>
    <row r="180" spans="1:9" ht="19.8" customHeight="1" x14ac:dyDescent="0.3">
      <c r="A180" s="103">
        <v>45997</v>
      </c>
      <c r="B180" s="94" t="s">
        <v>36</v>
      </c>
      <c r="C180" s="95" t="s">
        <v>37</v>
      </c>
      <c r="D180" s="94" t="s">
        <v>1</v>
      </c>
      <c r="E180" s="104">
        <v>1.756944444444444</v>
      </c>
      <c r="F180" s="94" t="s">
        <v>38</v>
      </c>
      <c r="G180" s="96">
        <v>1</v>
      </c>
      <c r="H180" s="97">
        <v>749</v>
      </c>
      <c r="I180" s="88"/>
    </row>
    <row r="181" spans="1:9" ht="19.8" customHeight="1" x14ac:dyDescent="0.3">
      <c r="A181" s="103">
        <v>45997</v>
      </c>
      <c r="B181" s="94" t="s">
        <v>26</v>
      </c>
      <c r="C181" s="95" t="s">
        <v>27</v>
      </c>
      <c r="D181" s="94" t="s">
        <v>1</v>
      </c>
      <c r="E181" s="104">
        <v>1.4201388888888891</v>
      </c>
      <c r="F181" s="94" t="s">
        <v>31</v>
      </c>
      <c r="G181" s="96">
        <v>7</v>
      </c>
      <c r="H181" s="97">
        <v>769</v>
      </c>
      <c r="I181" s="88"/>
    </row>
    <row r="182" spans="1:9" ht="19.8" customHeight="1" x14ac:dyDescent="0.3">
      <c r="A182" s="103">
        <v>45997</v>
      </c>
      <c r="B182" s="94" t="s">
        <v>36</v>
      </c>
      <c r="C182" s="95" t="s">
        <v>106</v>
      </c>
      <c r="D182" s="94" t="s">
        <v>1</v>
      </c>
      <c r="E182" s="104">
        <v>1.354166666666667</v>
      </c>
      <c r="F182" s="94" t="s">
        <v>42</v>
      </c>
      <c r="G182" s="96">
        <v>1</v>
      </c>
      <c r="H182" s="97">
        <v>779</v>
      </c>
      <c r="I182" s="88"/>
    </row>
    <row r="183" spans="1:9" ht="19.8" customHeight="1" x14ac:dyDescent="0.3">
      <c r="A183" s="103">
        <v>45997</v>
      </c>
      <c r="B183" s="94" t="s">
        <v>26</v>
      </c>
      <c r="C183" s="95" t="s">
        <v>27</v>
      </c>
      <c r="D183" s="94" t="s">
        <v>1</v>
      </c>
      <c r="E183" s="104">
        <v>1.4201388888888891</v>
      </c>
      <c r="F183" s="94" t="s">
        <v>34</v>
      </c>
      <c r="G183" s="96">
        <v>7</v>
      </c>
      <c r="H183" s="97">
        <v>799</v>
      </c>
      <c r="I183" s="88"/>
    </row>
    <row r="184" spans="1:9" ht="19.8" customHeight="1" x14ac:dyDescent="0.3">
      <c r="A184" s="103">
        <v>45997</v>
      </c>
      <c r="B184" s="94" t="s">
        <v>36</v>
      </c>
      <c r="C184" s="95" t="s">
        <v>37</v>
      </c>
      <c r="D184" s="94" t="s">
        <v>1</v>
      </c>
      <c r="E184" s="104">
        <v>1.756944444444444</v>
      </c>
      <c r="F184" s="94" t="s">
        <v>40</v>
      </c>
      <c r="G184" s="96">
        <v>1</v>
      </c>
      <c r="H184" s="97">
        <v>849</v>
      </c>
      <c r="I184" s="88"/>
    </row>
    <row r="185" spans="1:9" ht="19.8" customHeight="1" x14ac:dyDescent="0.3">
      <c r="A185" s="103">
        <v>45997</v>
      </c>
      <c r="B185" s="94" t="s">
        <v>36</v>
      </c>
      <c r="C185" s="95" t="s">
        <v>37</v>
      </c>
      <c r="D185" s="94" t="s">
        <v>1</v>
      </c>
      <c r="E185" s="104">
        <v>1.756944444444444</v>
      </c>
      <c r="F185" s="94" t="s">
        <v>42</v>
      </c>
      <c r="G185" s="96">
        <v>1</v>
      </c>
      <c r="H185" s="97">
        <v>939</v>
      </c>
      <c r="I185" s="88"/>
    </row>
    <row r="186" spans="1:9" ht="19.8" customHeight="1" x14ac:dyDescent="0.3">
      <c r="A186" s="103">
        <v>45997</v>
      </c>
      <c r="B186" s="94" t="s">
        <v>66</v>
      </c>
      <c r="C186" s="95" t="s">
        <v>70</v>
      </c>
      <c r="D186" s="94" t="s">
        <v>1</v>
      </c>
      <c r="E186" s="104">
        <v>1.2222222222222221</v>
      </c>
      <c r="F186" s="94" t="s">
        <v>68</v>
      </c>
      <c r="G186" s="96">
        <v>9</v>
      </c>
      <c r="H186" s="107" t="s">
        <v>98</v>
      </c>
      <c r="I186" s="88"/>
    </row>
    <row r="187" spans="1:9" ht="19.8" customHeight="1" x14ac:dyDescent="0.3">
      <c r="A187" s="103">
        <v>45997</v>
      </c>
      <c r="B187" s="94" t="s">
        <v>78</v>
      </c>
      <c r="C187" s="95" t="s">
        <v>86</v>
      </c>
      <c r="D187" s="94" t="s">
        <v>1</v>
      </c>
      <c r="E187" s="104">
        <v>1.4201388888888891</v>
      </c>
      <c r="F187" s="94" t="s">
        <v>83</v>
      </c>
      <c r="G187" s="96">
        <v>4</v>
      </c>
      <c r="H187" s="107" t="s">
        <v>88</v>
      </c>
      <c r="I187" s="88"/>
    </row>
    <row r="188" spans="1:9" ht="19.8" customHeight="1" x14ac:dyDescent="0.3">
      <c r="A188" s="103">
        <v>45997</v>
      </c>
      <c r="B188" s="94" t="s">
        <v>66</v>
      </c>
      <c r="C188" s="95" t="s">
        <v>76</v>
      </c>
      <c r="D188" s="94" t="s">
        <v>1</v>
      </c>
      <c r="E188" s="104">
        <v>1.854166666666667</v>
      </c>
      <c r="F188" s="94" t="s">
        <v>68</v>
      </c>
      <c r="G188" s="96">
        <v>2</v>
      </c>
      <c r="H188" s="107" t="s">
        <v>77</v>
      </c>
      <c r="I188" s="88"/>
    </row>
    <row r="189" spans="1:9" ht="19.8" customHeight="1" x14ac:dyDescent="0.3">
      <c r="A189" s="103">
        <v>45997</v>
      </c>
      <c r="B189" s="94" t="s">
        <v>66</v>
      </c>
      <c r="C189" s="95" t="s">
        <v>73</v>
      </c>
      <c r="D189" s="94" t="s">
        <v>1</v>
      </c>
      <c r="E189" s="104">
        <v>1.444444444444444</v>
      </c>
      <c r="F189" s="94" t="s">
        <v>68</v>
      </c>
      <c r="G189" s="96">
        <v>3</v>
      </c>
      <c r="H189" s="107" t="s">
        <v>77</v>
      </c>
      <c r="I189" s="88"/>
    </row>
    <row r="190" spans="1:9" ht="19.8" customHeight="1" x14ac:dyDescent="0.3">
      <c r="A190" s="103">
        <v>45997</v>
      </c>
      <c r="B190" s="94" t="s">
        <v>78</v>
      </c>
      <c r="C190" s="95" t="s">
        <v>94</v>
      </c>
      <c r="D190" s="94" t="s">
        <v>1</v>
      </c>
      <c r="E190" s="104">
        <v>1.086805555555556</v>
      </c>
      <c r="F190" s="94" t="s">
        <v>80</v>
      </c>
      <c r="G190" s="96">
        <v>9</v>
      </c>
      <c r="H190" s="107" t="s">
        <v>91</v>
      </c>
      <c r="I190" s="88"/>
    </row>
    <row r="191" spans="1:9" ht="19.8" customHeight="1" x14ac:dyDescent="0.3">
      <c r="A191" s="103">
        <v>45997</v>
      </c>
      <c r="B191" s="94" t="s">
        <v>78</v>
      </c>
      <c r="C191" s="95" t="s">
        <v>94</v>
      </c>
      <c r="D191" s="94" t="s">
        <v>1</v>
      </c>
      <c r="E191" s="104">
        <v>1.086805555555556</v>
      </c>
      <c r="F191" s="94" t="s">
        <v>83</v>
      </c>
      <c r="G191" s="96">
        <v>9</v>
      </c>
      <c r="H191" s="107" t="s">
        <v>93</v>
      </c>
      <c r="I191" s="88"/>
    </row>
    <row r="192" spans="1:9" ht="19.8" customHeight="1" x14ac:dyDescent="0.3">
      <c r="A192" s="108">
        <v>45997</v>
      </c>
      <c r="B192" s="109" t="s">
        <v>44</v>
      </c>
      <c r="C192" s="110" t="s">
        <v>60</v>
      </c>
      <c r="D192" s="109" t="s">
        <v>1</v>
      </c>
      <c r="E192" s="111">
        <v>1.395833333333333</v>
      </c>
      <c r="F192" s="109" t="s">
        <v>61</v>
      </c>
      <c r="G192" s="109"/>
      <c r="H192" s="112" t="s">
        <v>62</v>
      </c>
      <c r="I192" s="88"/>
    </row>
    <row r="193" spans="1:9" ht="19.8" customHeight="1" x14ac:dyDescent="0.3">
      <c r="A193" s="103">
        <v>45998</v>
      </c>
      <c r="B193" s="94" t="s">
        <v>26</v>
      </c>
      <c r="C193" s="95" t="s">
        <v>27</v>
      </c>
      <c r="D193" s="94" t="s">
        <v>1</v>
      </c>
      <c r="E193" s="104">
        <v>1.4201388888888891</v>
      </c>
      <c r="F193" s="94" t="s">
        <v>28</v>
      </c>
      <c r="G193" s="96">
        <v>1</v>
      </c>
      <c r="H193" s="97">
        <v>559</v>
      </c>
      <c r="I193" s="88"/>
    </row>
    <row r="194" spans="1:9" ht="19.8" customHeight="1" x14ac:dyDescent="0.3">
      <c r="A194" s="103">
        <v>45998</v>
      </c>
      <c r="B194" s="94" t="s">
        <v>36</v>
      </c>
      <c r="C194" s="95" t="s">
        <v>37</v>
      </c>
      <c r="D194" s="94" t="s">
        <v>1</v>
      </c>
      <c r="E194" s="104">
        <v>1.756944444444444</v>
      </c>
      <c r="F194" s="94" t="s">
        <v>38</v>
      </c>
      <c r="G194" s="96">
        <v>2</v>
      </c>
      <c r="H194" s="97">
        <v>639</v>
      </c>
      <c r="I194" s="88"/>
    </row>
    <row r="195" spans="1:9" ht="19.8" customHeight="1" x14ac:dyDescent="0.3">
      <c r="A195" s="103">
        <v>45998</v>
      </c>
      <c r="B195" s="94" t="s">
        <v>26</v>
      </c>
      <c r="C195" s="95" t="s">
        <v>27</v>
      </c>
      <c r="D195" s="94" t="s">
        <v>1</v>
      </c>
      <c r="E195" s="104">
        <v>1.4201388888888891</v>
      </c>
      <c r="F195" s="94" t="s">
        <v>31</v>
      </c>
      <c r="G195" s="96">
        <v>1</v>
      </c>
      <c r="H195" s="97">
        <v>709</v>
      </c>
      <c r="I195" s="88"/>
    </row>
    <row r="196" spans="1:9" ht="19.8" customHeight="1" x14ac:dyDescent="0.3">
      <c r="A196" s="103">
        <v>45998</v>
      </c>
      <c r="B196" s="94" t="s">
        <v>36</v>
      </c>
      <c r="C196" s="95" t="s">
        <v>37</v>
      </c>
      <c r="D196" s="94" t="s">
        <v>1</v>
      </c>
      <c r="E196" s="104">
        <v>1.756944444444444</v>
      </c>
      <c r="F196" s="94" t="s">
        <v>40</v>
      </c>
      <c r="G196" s="96">
        <v>2</v>
      </c>
      <c r="H196" s="97">
        <v>739</v>
      </c>
      <c r="I196" s="88"/>
    </row>
    <row r="197" spans="1:9" ht="19.8" customHeight="1" x14ac:dyDescent="0.3">
      <c r="A197" s="103">
        <v>45998</v>
      </c>
      <c r="B197" s="94" t="s">
        <v>78</v>
      </c>
      <c r="C197" s="95" t="s">
        <v>94</v>
      </c>
      <c r="D197" s="94" t="s">
        <v>1</v>
      </c>
      <c r="E197" s="104">
        <v>1.086805555555556</v>
      </c>
      <c r="F197" s="94" t="s">
        <v>80</v>
      </c>
      <c r="G197" s="96">
        <v>9</v>
      </c>
      <c r="H197" s="97">
        <v>745</v>
      </c>
      <c r="I197" s="88"/>
    </row>
    <row r="198" spans="1:9" ht="19.8" customHeight="1" x14ac:dyDescent="0.3">
      <c r="A198" s="103">
        <v>45998</v>
      </c>
      <c r="B198" s="94" t="s">
        <v>26</v>
      </c>
      <c r="C198" s="95" t="s">
        <v>27</v>
      </c>
      <c r="D198" s="94" t="s">
        <v>1</v>
      </c>
      <c r="E198" s="104">
        <v>1.4201388888888891</v>
      </c>
      <c r="F198" s="94" t="s">
        <v>34</v>
      </c>
      <c r="G198" s="96">
        <v>1</v>
      </c>
      <c r="H198" s="97">
        <v>799</v>
      </c>
      <c r="I198" s="88"/>
    </row>
    <row r="199" spans="1:9" ht="19.8" customHeight="1" x14ac:dyDescent="0.3">
      <c r="A199" s="103">
        <v>45998</v>
      </c>
      <c r="B199" s="94" t="s">
        <v>36</v>
      </c>
      <c r="C199" s="95" t="s">
        <v>37</v>
      </c>
      <c r="D199" s="94" t="s">
        <v>1</v>
      </c>
      <c r="E199" s="104">
        <v>1.756944444444444</v>
      </c>
      <c r="F199" s="94" t="s">
        <v>42</v>
      </c>
      <c r="G199" s="96">
        <v>2</v>
      </c>
      <c r="H199" s="97">
        <v>829</v>
      </c>
      <c r="I199" s="88"/>
    </row>
    <row r="200" spans="1:9" ht="19.8" customHeight="1" x14ac:dyDescent="0.3">
      <c r="A200" s="103">
        <v>45998</v>
      </c>
      <c r="B200" s="94" t="s">
        <v>78</v>
      </c>
      <c r="C200" s="95" t="s">
        <v>94</v>
      </c>
      <c r="D200" s="94" t="s">
        <v>1</v>
      </c>
      <c r="E200" s="104">
        <v>1.086805555555556</v>
      </c>
      <c r="F200" s="94" t="s">
        <v>83</v>
      </c>
      <c r="G200" s="96">
        <v>9</v>
      </c>
      <c r="H200" s="97">
        <v>885</v>
      </c>
      <c r="I200" s="88"/>
    </row>
    <row r="201" spans="1:9" ht="19.8" customHeight="1" x14ac:dyDescent="0.3">
      <c r="A201" s="103">
        <v>45998</v>
      </c>
      <c r="B201" s="94" t="s">
        <v>78</v>
      </c>
      <c r="C201" s="95" t="s">
        <v>89</v>
      </c>
      <c r="D201" s="94" t="s">
        <v>1</v>
      </c>
      <c r="E201" s="104">
        <v>1.7951388888888891</v>
      </c>
      <c r="F201" s="94" t="s">
        <v>80</v>
      </c>
      <c r="G201" s="96">
        <v>9</v>
      </c>
      <c r="H201" s="107" t="s">
        <v>100</v>
      </c>
      <c r="I201" s="88"/>
    </row>
    <row r="202" spans="1:9" ht="19.8" customHeight="1" x14ac:dyDescent="0.3">
      <c r="A202" s="103">
        <v>45998</v>
      </c>
      <c r="B202" s="94" t="s">
        <v>78</v>
      </c>
      <c r="C202" s="95" t="s">
        <v>89</v>
      </c>
      <c r="D202" s="94" t="s">
        <v>1</v>
      </c>
      <c r="E202" s="104">
        <v>1.7951388888888891</v>
      </c>
      <c r="F202" s="94" t="s">
        <v>83</v>
      </c>
      <c r="G202" s="96">
        <v>9</v>
      </c>
      <c r="H202" s="107" t="s">
        <v>101</v>
      </c>
      <c r="I202" s="88"/>
    </row>
    <row r="203" spans="1:9" ht="19.8" customHeight="1" x14ac:dyDescent="0.3">
      <c r="A203" s="103">
        <v>45998</v>
      </c>
      <c r="B203" s="94" t="s">
        <v>78</v>
      </c>
      <c r="C203" s="95" t="s">
        <v>86</v>
      </c>
      <c r="D203" s="94" t="s">
        <v>1</v>
      </c>
      <c r="E203" s="104">
        <v>1.4201388888888891</v>
      </c>
      <c r="F203" s="94" t="s">
        <v>83</v>
      </c>
      <c r="G203" s="96">
        <v>4</v>
      </c>
      <c r="H203" s="107" t="s">
        <v>88</v>
      </c>
      <c r="I203" s="88"/>
    </row>
    <row r="204" spans="1:9" ht="19.8" customHeight="1" x14ac:dyDescent="0.3">
      <c r="A204" s="103">
        <v>45998</v>
      </c>
      <c r="B204" s="94" t="s">
        <v>78</v>
      </c>
      <c r="C204" s="95" t="s">
        <v>79</v>
      </c>
      <c r="D204" s="94" t="s">
        <v>1</v>
      </c>
      <c r="E204" s="104">
        <v>1.604166666666667</v>
      </c>
      <c r="F204" s="94" t="s">
        <v>80</v>
      </c>
      <c r="G204" s="96">
        <v>9</v>
      </c>
      <c r="H204" s="107" t="s">
        <v>91</v>
      </c>
      <c r="I204" s="88"/>
    </row>
    <row r="205" spans="1:9" ht="19.8" customHeight="1" x14ac:dyDescent="0.3">
      <c r="A205" s="103">
        <v>45998</v>
      </c>
      <c r="B205" s="94" t="s">
        <v>78</v>
      </c>
      <c r="C205" s="95" t="s">
        <v>79</v>
      </c>
      <c r="D205" s="94" t="s">
        <v>1</v>
      </c>
      <c r="E205" s="104">
        <v>1.604166666666667</v>
      </c>
      <c r="F205" s="94" t="s">
        <v>83</v>
      </c>
      <c r="G205" s="96">
        <v>9</v>
      </c>
      <c r="H205" s="107" t="s">
        <v>93</v>
      </c>
      <c r="I205" s="88"/>
    </row>
    <row r="206" spans="1:9" ht="19.8" customHeight="1" x14ac:dyDescent="0.3">
      <c r="A206" s="108">
        <v>45998</v>
      </c>
      <c r="B206" s="109" t="s">
        <v>44</v>
      </c>
      <c r="C206" s="110" t="s">
        <v>60</v>
      </c>
      <c r="D206" s="109" t="s">
        <v>1</v>
      </c>
      <c r="E206" s="111">
        <v>1.9027777777777779</v>
      </c>
      <c r="F206" s="109" t="s">
        <v>61</v>
      </c>
      <c r="G206" s="109"/>
      <c r="H206" s="112" t="s">
        <v>62</v>
      </c>
      <c r="I206" s="88"/>
    </row>
    <row r="207" spans="1:9" ht="19.8" customHeight="1" x14ac:dyDescent="0.3">
      <c r="A207" s="103">
        <v>45999</v>
      </c>
      <c r="B207" s="94" t="s">
        <v>78</v>
      </c>
      <c r="C207" s="95" t="s">
        <v>94</v>
      </c>
      <c r="D207" s="94" t="s">
        <v>1</v>
      </c>
      <c r="E207" s="104">
        <v>1.086805555555556</v>
      </c>
      <c r="F207" s="94" t="s">
        <v>80</v>
      </c>
      <c r="G207" s="96">
        <v>9</v>
      </c>
      <c r="H207" s="107" t="s">
        <v>82</v>
      </c>
      <c r="I207" s="88"/>
    </row>
    <row r="208" spans="1:9" ht="19.8" customHeight="1" x14ac:dyDescent="0.3">
      <c r="A208" s="103">
        <v>45999</v>
      </c>
      <c r="B208" s="94" t="s">
        <v>66</v>
      </c>
      <c r="C208" s="95" t="s">
        <v>70</v>
      </c>
      <c r="D208" s="94" t="s">
        <v>1</v>
      </c>
      <c r="E208" s="104">
        <v>1.2222222222222221</v>
      </c>
      <c r="F208" s="94" t="s">
        <v>68</v>
      </c>
      <c r="G208" s="96">
        <v>9</v>
      </c>
      <c r="H208" s="107" t="s">
        <v>98</v>
      </c>
      <c r="I208" s="88"/>
    </row>
    <row r="209" spans="1:9" ht="19.8" customHeight="1" x14ac:dyDescent="0.3">
      <c r="A209" s="103">
        <v>45999</v>
      </c>
      <c r="B209" s="94" t="s">
        <v>78</v>
      </c>
      <c r="C209" s="95" t="s">
        <v>94</v>
      </c>
      <c r="D209" s="94" t="s">
        <v>1</v>
      </c>
      <c r="E209" s="104">
        <v>1.086805555555556</v>
      </c>
      <c r="F209" s="94" t="s">
        <v>83</v>
      </c>
      <c r="G209" s="96">
        <v>9</v>
      </c>
      <c r="H209" s="107" t="s">
        <v>85</v>
      </c>
      <c r="I209" s="88"/>
    </row>
    <row r="210" spans="1:9" ht="19.8" customHeight="1" x14ac:dyDescent="0.3">
      <c r="A210" s="103">
        <v>45999</v>
      </c>
      <c r="B210" s="94" t="s">
        <v>78</v>
      </c>
      <c r="C210" s="95" t="s">
        <v>89</v>
      </c>
      <c r="D210" s="94" t="s">
        <v>1</v>
      </c>
      <c r="E210" s="104">
        <v>1.7951388888888891</v>
      </c>
      <c r="F210" s="94" t="s">
        <v>80</v>
      </c>
      <c r="G210" s="96">
        <v>3</v>
      </c>
      <c r="H210" s="107" t="s">
        <v>100</v>
      </c>
      <c r="I210" s="88"/>
    </row>
    <row r="211" spans="1:9" ht="19.8" customHeight="1" x14ac:dyDescent="0.3">
      <c r="A211" s="103">
        <v>45999</v>
      </c>
      <c r="B211" s="94" t="s">
        <v>78</v>
      </c>
      <c r="C211" s="95" t="s">
        <v>79</v>
      </c>
      <c r="D211" s="94" t="s">
        <v>1</v>
      </c>
      <c r="E211" s="104">
        <v>1.604166666666667</v>
      </c>
      <c r="F211" s="94" t="s">
        <v>80</v>
      </c>
      <c r="G211" s="96">
        <v>9</v>
      </c>
      <c r="H211" s="107" t="s">
        <v>100</v>
      </c>
      <c r="I211" s="88"/>
    </row>
    <row r="212" spans="1:9" ht="19.8" customHeight="1" x14ac:dyDescent="0.3">
      <c r="A212" s="103">
        <v>45999</v>
      </c>
      <c r="B212" s="94" t="s">
        <v>78</v>
      </c>
      <c r="C212" s="95" t="s">
        <v>89</v>
      </c>
      <c r="D212" s="94" t="s">
        <v>1</v>
      </c>
      <c r="E212" s="104">
        <v>1.7951388888888891</v>
      </c>
      <c r="F212" s="94" t="s">
        <v>83</v>
      </c>
      <c r="G212" s="96">
        <v>3</v>
      </c>
      <c r="H212" s="107" t="s">
        <v>101</v>
      </c>
      <c r="I212" s="88"/>
    </row>
    <row r="213" spans="1:9" ht="19.8" customHeight="1" x14ac:dyDescent="0.3">
      <c r="A213" s="103">
        <v>45999</v>
      </c>
      <c r="B213" s="94" t="s">
        <v>78</v>
      </c>
      <c r="C213" s="95" t="s">
        <v>79</v>
      </c>
      <c r="D213" s="94" t="s">
        <v>1</v>
      </c>
      <c r="E213" s="104">
        <v>1.604166666666667</v>
      </c>
      <c r="F213" s="94" t="s">
        <v>83</v>
      </c>
      <c r="G213" s="96">
        <v>9</v>
      </c>
      <c r="H213" s="107" t="s">
        <v>101</v>
      </c>
      <c r="I213" s="88"/>
    </row>
    <row r="214" spans="1:9" ht="19.8" customHeight="1" x14ac:dyDescent="0.3">
      <c r="A214" s="103">
        <v>45999</v>
      </c>
      <c r="B214" s="94" t="s">
        <v>78</v>
      </c>
      <c r="C214" s="95" t="s">
        <v>86</v>
      </c>
      <c r="D214" s="94" t="s">
        <v>1</v>
      </c>
      <c r="E214" s="104">
        <v>1.4201388888888891</v>
      </c>
      <c r="F214" s="94" t="s">
        <v>83</v>
      </c>
      <c r="G214" s="96">
        <v>4</v>
      </c>
      <c r="H214" s="107" t="s">
        <v>88</v>
      </c>
      <c r="I214" s="88"/>
    </row>
    <row r="215" spans="1:9" ht="19.8" customHeight="1" x14ac:dyDescent="0.3">
      <c r="A215" s="113">
        <v>45999</v>
      </c>
      <c r="B215" s="114" t="s">
        <v>66</v>
      </c>
      <c r="C215" s="115" t="s">
        <v>75</v>
      </c>
      <c r="D215" s="114" t="s">
        <v>1</v>
      </c>
      <c r="E215" s="116">
        <v>1.493055555555556</v>
      </c>
      <c r="F215" s="114" t="s">
        <v>68</v>
      </c>
      <c r="G215" s="117">
        <v>2</v>
      </c>
      <c r="H215" s="118" t="s">
        <v>77</v>
      </c>
      <c r="I215" s="88"/>
    </row>
    <row r="216" spans="1:9" ht="19.8" customHeight="1" x14ac:dyDescent="0.3">
      <c r="A216" s="103">
        <v>46000</v>
      </c>
      <c r="B216" s="94" t="s">
        <v>26</v>
      </c>
      <c r="C216" s="95" t="s">
        <v>27</v>
      </c>
      <c r="D216" s="94" t="s">
        <v>1</v>
      </c>
      <c r="E216" s="104">
        <v>1.4201388888888891</v>
      </c>
      <c r="F216" s="94" t="s">
        <v>28</v>
      </c>
      <c r="G216" s="96">
        <v>16</v>
      </c>
      <c r="H216" s="97">
        <v>619</v>
      </c>
      <c r="I216" s="88"/>
    </row>
    <row r="217" spans="1:9" ht="19.8" customHeight="1" x14ac:dyDescent="0.3">
      <c r="A217" s="103">
        <v>46000</v>
      </c>
      <c r="B217" s="94" t="s">
        <v>36</v>
      </c>
      <c r="C217" s="95" t="s">
        <v>37</v>
      </c>
      <c r="D217" s="94" t="s">
        <v>1</v>
      </c>
      <c r="E217" s="104">
        <v>1.756944444444444</v>
      </c>
      <c r="F217" s="94" t="s">
        <v>38</v>
      </c>
      <c r="G217" s="96">
        <v>5</v>
      </c>
      <c r="H217" s="97">
        <v>749</v>
      </c>
      <c r="I217" s="88"/>
    </row>
    <row r="218" spans="1:9" ht="19.8" customHeight="1" x14ac:dyDescent="0.3">
      <c r="A218" s="105">
        <v>46000</v>
      </c>
      <c r="B218" s="99" t="s">
        <v>44</v>
      </c>
      <c r="C218" s="100" t="s">
        <v>45</v>
      </c>
      <c r="D218" s="99" t="s">
        <v>1</v>
      </c>
      <c r="E218" s="106">
        <v>1.2777777777777779</v>
      </c>
      <c r="F218" s="99" t="s">
        <v>46</v>
      </c>
      <c r="G218" s="101">
        <v>2</v>
      </c>
      <c r="H218" s="102">
        <v>758</v>
      </c>
      <c r="I218" s="88"/>
    </row>
    <row r="219" spans="1:9" ht="19.8" customHeight="1" x14ac:dyDescent="0.3">
      <c r="A219" s="103">
        <v>46000</v>
      </c>
      <c r="B219" s="94" t="s">
        <v>26</v>
      </c>
      <c r="C219" s="95" t="s">
        <v>27</v>
      </c>
      <c r="D219" s="94" t="s">
        <v>1</v>
      </c>
      <c r="E219" s="104">
        <v>1.4201388888888891</v>
      </c>
      <c r="F219" s="94" t="s">
        <v>31</v>
      </c>
      <c r="G219" s="96">
        <v>16</v>
      </c>
      <c r="H219" s="97">
        <v>769</v>
      </c>
      <c r="I219" s="88"/>
    </row>
    <row r="220" spans="1:9" ht="19.8" customHeight="1" x14ac:dyDescent="0.3">
      <c r="A220" s="103">
        <v>46000</v>
      </c>
      <c r="B220" s="94" t="s">
        <v>26</v>
      </c>
      <c r="C220" s="95" t="s">
        <v>27</v>
      </c>
      <c r="D220" s="94" t="s">
        <v>1</v>
      </c>
      <c r="E220" s="104">
        <v>1.4201388888888891</v>
      </c>
      <c r="F220" s="94" t="s">
        <v>34</v>
      </c>
      <c r="G220" s="96">
        <v>16</v>
      </c>
      <c r="H220" s="97">
        <v>799</v>
      </c>
      <c r="I220" s="88"/>
    </row>
    <row r="221" spans="1:9" ht="19.8" customHeight="1" x14ac:dyDescent="0.3">
      <c r="A221" s="103">
        <v>46000</v>
      </c>
      <c r="B221" s="94" t="s">
        <v>36</v>
      </c>
      <c r="C221" s="95" t="s">
        <v>37</v>
      </c>
      <c r="D221" s="94" t="s">
        <v>1</v>
      </c>
      <c r="E221" s="104">
        <v>1.756944444444444</v>
      </c>
      <c r="F221" s="94" t="s">
        <v>40</v>
      </c>
      <c r="G221" s="96">
        <v>5</v>
      </c>
      <c r="H221" s="97">
        <v>849</v>
      </c>
      <c r="I221" s="88"/>
    </row>
    <row r="222" spans="1:9" ht="19.8" customHeight="1" x14ac:dyDescent="0.3">
      <c r="A222" s="103">
        <v>46000</v>
      </c>
      <c r="B222" s="94" t="s">
        <v>66</v>
      </c>
      <c r="C222" s="95" t="s">
        <v>70</v>
      </c>
      <c r="D222" s="94" t="s">
        <v>1</v>
      </c>
      <c r="E222" s="104">
        <v>1.2222222222222221</v>
      </c>
      <c r="F222" s="94" t="s">
        <v>68</v>
      </c>
      <c r="G222" s="96">
        <v>9</v>
      </c>
      <c r="H222" s="97">
        <v>870</v>
      </c>
      <c r="I222" s="88"/>
    </row>
    <row r="223" spans="1:9" ht="19.8" customHeight="1" x14ac:dyDescent="0.3">
      <c r="A223" s="103">
        <v>46000</v>
      </c>
      <c r="B223" s="94" t="s">
        <v>36</v>
      </c>
      <c r="C223" s="95" t="s">
        <v>37</v>
      </c>
      <c r="D223" s="94" t="s">
        <v>1</v>
      </c>
      <c r="E223" s="104">
        <v>1.756944444444444</v>
      </c>
      <c r="F223" s="94" t="s">
        <v>42</v>
      </c>
      <c r="G223" s="96">
        <v>5</v>
      </c>
      <c r="H223" s="97">
        <v>939</v>
      </c>
      <c r="I223" s="88"/>
    </row>
    <row r="224" spans="1:9" ht="19.8" customHeight="1" x14ac:dyDescent="0.3">
      <c r="A224" s="103">
        <v>46000</v>
      </c>
      <c r="B224" s="94" t="s">
        <v>78</v>
      </c>
      <c r="C224" s="95" t="s">
        <v>89</v>
      </c>
      <c r="D224" s="94" t="s">
        <v>1</v>
      </c>
      <c r="E224" s="104">
        <v>1.7951388888888891</v>
      </c>
      <c r="F224" s="94" t="s">
        <v>80</v>
      </c>
      <c r="G224" s="96">
        <v>9</v>
      </c>
      <c r="H224" s="107" t="s">
        <v>100</v>
      </c>
      <c r="I224" s="88"/>
    </row>
    <row r="225" spans="1:9" ht="19.8" customHeight="1" x14ac:dyDescent="0.3">
      <c r="A225" s="103">
        <v>46000</v>
      </c>
      <c r="B225" s="94" t="s">
        <v>78</v>
      </c>
      <c r="C225" s="95" t="s">
        <v>79</v>
      </c>
      <c r="D225" s="94" t="s">
        <v>1</v>
      </c>
      <c r="E225" s="104">
        <v>1.604166666666667</v>
      </c>
      <c r="F225" s="94" t="s">
        <v>80</v>
      </c>
      <c r="G225" s="96">
        <v>9</v>
      </c>
      <c r="H225" s="107" t="s">
        <v>100</v>
      </c>
      <c r="I225" s="88"/>
    </row>
    <row r="226" spans="1:9" ht="19.8" customHeight="1" x14ac:dyDescent="0.3">
      <c r="A226" s="103">
        <v>46000</v>
      </c>
      <c r="B226" s="94" t="s">
        <v>78</v>
      </c>
      <c r="C226" s="95" t="s">
        <v>94</v>
      </c>
      <c r="D226" s="94" t="s">
        <v>1</v>
      </c>
      <c r="E226" s="104">
        <v>1.086805555555556</v>
      </c>
      <c r="F226" s="94" t="s">
        <v>80</v>
      </c>
      <c r="G226" s="96">
        <v>9</v>
      </c>
      <c r="H226" s="107" t="s">
        <v>100</v>
      </c>
      <c r="I226" s="88"/>
    </row>
    <row r="227" spans="1:9" ht="19.8" customHeight="1" x14ac:dyDescent="0.3">
      <c r="A227" s="103">
        <v>46000</v>
      </c>
      <c r="B227" s="94" t="s">
        <v>66</v>
      </c>
      <c r="C227" s="95" t="s">
        <v>67</v>
      </c>
      <c r="D227" s="94" t="s">
        <v>1</v>
      </c>
      <c r="E227" s="104">
        <v>1.0972222222222221</v>
      </c>
      <c r="F227" s="94" t="s">
        <v>68</v>
      </c>
      <c r="G227" s="96">
        <v>9</v>
      </c>
      <c r="H227" s="107" t="s">
        <v>99</v>
      </c>
      <c r="I227" s="88"/>
    </row>
    <row r="228" spans="1:9" ht="19.8" customHeight="1" x14ac:dyDescent="0.3">
      <c r="A228" s="103">
        <v>46000</v>
      </c>
      <c r="B228" s="94" t="s">
        <v>78</v>
      </c>
      <c r="C228" s="95" t="s">
        <v>89</v>
      </c>
      <c r="D228" s="94" t="s">
        <v>1</v>
      </c>
      <c r="E228" s="104">
        <v>1.7951388888888891</v>
      </c>
      <c r="F228" s="94" t="s">
        <v>83</v>
      </c>
      <c r="G228" s="96">
        <v>9</v>
      </c>
      <c r="H228" s="107" t="s">
        <v>101</v>
      </c>
      <c r="I228" s="88"/>
    </row>
    <row r="229" spans="1:9" ht="19.8" customHeight="1" x14ac:dyDescent="0.3">
      <c r="A229" s="103">
        <v>46000</v>
      </c>
      <c r="B229" s="94" t="s">
        <v>78</v>
      </c>
      <c r="C229" s="95" t="s">
        <v>79</v>
      </c>
      <c r="D229" s="94" t="s">
        <v>1</v>
      </c>
      <c r="E229" s="104">
        <v>1.604166666666667</v>
      </c>
      <c r="F229" s="94" t="s">
        <v>83</v>
      </c>
      <c r="G229" s="96">
        <v>9</v>
      </c>
      <c r="H229" s="107" t="s">
        <v>101</v>
      </c>
      <c r="I229" s="88"/>
    </row>
    <row r="230" spans="1:9" ht="19.8" customHeight="1" x14ac:dyDescent="0.3">
      <c r="A230" s="103">
        <v>46000</v>
      </c>
      <c r="B230" s="94" t="s">
        <v>78</v>
      </c>
      <c r="C230" s="95" t="s">
        <v>94</v>
      </c>
      <c r="D230" s="94" t="s">
        <v>1</v>
      </c>
      <c r="E230" s="104">
        <v>1.086805555555556</v>
      </c>
      <c r="F230" s="94" t="s">
        <v>83</v>
      </c>
      <c r="G230" s="96">
        <v>9</v>
      </c>
      <c r="H230" s="107" t="s">
        <v>101</v>
      </c>
      <c r="I230" s="88"/>
    </row>
    <row r="231" spans="1:9" ht="19.8" customHeight="1" x14ac:dyDescent="0.3">
      <c r="A231" s="103">
        <v>46000</v>
      </c>
      <c r="B231" s="94" t="s">
        <v>78</v>
      </c>
      <c r="C231" s="95" t="s">
        <v>86</v>
      </c>
      <c r="D231" s="94" t="s">
        <v>1</v>
      </c>
      <c r="E231" s="104">
        <v>1.4201388888888891</v>
      </c>
      <c r="F231" s="94" t="s">
        <v>83</v>
      </c>
      <c r="G231" s="96">
        <v>4</v>
      </c>
      <c r="H231" s="107" t="s">
        <v>88</v>
      </c>
      <c r="I231" s="88"/>
    </row>
    <row r="232" spans="1:9" ht="19.8" customHeight="1" x14ac:dyDescent="0.3">
      <c r="A232" s="103">
        <v>46000</v>
      </c>
      <c r="B232" s="94" t="s">
        <v>66</v>
      </c>
      <c r="C232" s="95" t="s">
        <v>75</v>
      </c>
      <c r="D232" s="94" t="s">
        <v>1</v>
      </c>
      <c r="E232" s="104">
        <v>1.493055555555556</v>
      </c>
      <c r="F232" s="94" t="s">
        <v>68</v>
      </c>
      <c r="G232" s="96">
        <v>1</v>
      </c>
      <c r="H232" s="107" t="s">
        <v>77</v>
      </c>
      <c r="I232" s="88"/>
    </row>
    <row r="233" spans="1:9" ht="19.8" customHeight="1" x14ac:dyDescent="0.3">
      <c r="A233" s="105">
        <v>46000</v>
      </c>
      <c r="B233" s="99" t="s">
        <v>44</v>
      </c>
      <c r="C233" s="100" t="s">
        <v>56</v>
      </c>
      <c r="D233" s="99" t="s">
        <v>1</v>
      </c>
      <c r="E233" s="106">
        <v>1.0486111111111109</v>
      </c>
      <c r="F233" s="99" t="s">
        <v>61</v>
      </c>
      <c r="G233" s="99"/>
      <c r="H233" s="119" t="s">
        <v>62</v>
      </c>
      <c r="I233" s="88"/>
    </row>
    <row r="234" spans="1:9" ht="19.8" customHeight="1" x14ac:dyDescent="0.3">
      <c r="A234" s="108">
        <v>46000</v>
      </c>
      <c r="B234" s="109" t="s">
        <v>44</v>
      </c>
      <c r="C234" s="110" t="s">
        <v>60</v>
      </c>
      <c r="D234" s="109" t="s">
        <v>1</v>
      </c>
      <c r="E234" s="111">
        <v>1.979166666666667</v>
      </c>
      <c r="F234" s="109" t="s">
        <v>61</v>
      </c>
      <c r="G234" s="109"/>
      <c r="H234" s="112" t="s">
        <v>62</v>
      </c>
      <c r="I234" s="88"/>
    </row>
    <row r="235" spans="1:9" ht="19.8" customHeight="1" x14ac:dyDescent="0.3">
      <c r="A235" s="103">
        <v>46001</v>
      </c>
      <c r="B235" s="94" t="s">
        <v>36</v>
      </c>
      <c r="C235" s="95" t="s">
        <v>37</v>
      </c>
      <c r="D235" s="94" t="s">
        <v>1</v>
      </c>
      <c r="E235" s="104">
        <v>1.756944444444444</v>
      </c>
      <c r="F235" s="94" t="s">
        <v>38</v>
      </c>
      <c r="G235" s="96">
        <v>4</v>
      </c>
      <c r="H235" s="97">
        <v>609</v>
      </c>
      <c r="I235" s="88"/>
    </row>
    <row r="236" spans="1:9" ht="19.8" customHeight="1" x14ac:dyDescent="0.3">
      <c r="A236" s="103">
        <v>46001</v>
      </c>
      <c r="B236" s="94" t="s">
        <v>36</v>
      </c>
      <c r="C236" s="95" t="s">
        <v>37</v>
      </c>
      <c r="D236" s="94" t="s">
        <v>1</v>
      </c>
      <c r="E236" s="104">
        <v>1.756944444444444</v>
      </c>
      <c r="F236" s="94" t="s">
        <v>40</v>
      </c>
      <c r="G236" s="96">
        <v>4</v>
      </c>
      <c r="H236" s="97">
        <v>709</v>
      </c>
      <c r="I236" s="88"/>
    </row>
    <row r="237" spans="1:9" ht="19.8" customHeight="1" x14ac:dyDescent="0.3">
      <c r="A237" s="103">
        <v>46001</v>
      </c>
      <c r="B237" s="94" t="s">
        <v>26</v>
      </c>
      <c r="C237" s="95" t="s">
        <v>27</v>
      </c>
      <c r="D237" s="94" t="s">
        <v>1</v>
      </c>
      <c r="E237" s="104">
        <v>1.4201388888888891</v>
      </c>
      <c r="F237" s="94" t="s">
        <v>28</v>
      </c>
      <c r="G237" s="96">
        <v>11</v>
      </c>
      <c r="H237" s="97">
        <v>799</v>
      </c>
      <c r="I237" s="88"/>
    </row>
    <row r="238" spans="1:9" ht="19.8" customHeight="1" x14ac:dyDescent="0.3">
      <c r="A238" s="103">
        <v>46001</v>
      </c>
      <c r="B238" s="94" t="s">
        <v>36</v>
      </c>
      <c r="C238" s="95" t="s">
        <v>37</v>
      </c>
      <c r="D238" s="94" t="s">
        <v>1</v>
      </c>
      <c r="E238" s="104">
        <v>1.756944444444444</v>
      </c>
      <c r="F238" s="94" t="s">
        <v>42</v>
      </c>
      <c r="G238" s="96">
        <v>4</v>
      </c>
      <c r="H238" s="97">
        <v>799</v>
      </c>
      <c r="I238" s="88"/>
    </row>
    <row r="239" spans="1:9" ht="19.8" customHeight="1" x14ac:dyDescent="0.3">
      <c r="A239" s="103">
        <v>46001</v>
      </c>
      <c r="B239" s="94" t="s">
        <v>26</v>
      </c>
      <c r="C239" s="95" t="s">
        <v>27</v>
      </c>
      <c r="D239" s="94" t="s">
        <v>1</v>
      </c>
      <c r="E239" s="104">
        <v>1.4201388888888891</v>
      </c>
      <c r="F239" s="94" t="s">
        <v>31</v>
      </c>
      <c r="G239" s="96">
        <v>11</v>
      </c>
      <c r="H239" s="97">
        <v>949</v>
      </c>
      <c r="I239" s="88"/>
    </row>
    <row r="240" spans="1:9" ht="19.8" customHeight="1" x14ac:dyDescent="0.3">
      <c r="A240" s="103">
        <v>46001</v>
      </c>
      <c r="B240" s="94" t="s">
        <v>78</v>
      </c>
      <c r="C240" s="95" t="s">
        <v>94</v>
      </c>
      <c r="D240" s="94" t="s">
        <v>1</v>
      </c>
      <c r="E240" s="104">
        <v>1.086805555555556</v>
      </c>
      <c r="F240" s="94" t="s">
        <v>80</v>
      </c>
      <c r="G240" s="96">
        <v>9</v>
      </c>
      <c r="H240" s="107" t="s">
        <v>82</v>
      </c>
      <c r="I240" s="88"/>
    </row>
    <row r="241" spans="1:9" ht="19.8" customHeight="1" x14ac:dyDescent="0.3">
      <c r="A241" s="103">
        <v>46001</v>
      </c>
      <c r="B241" s="94" t="s">
        <v>26</v>
      </c>
      <c r="C241" s="95" t="s">
        <v>27</v>
      </c>
      <c r="D241" s="94" t="s">
        <v>1</v>
      </c>
      <c r="E241" s="104">
        <v>1.4201388888888891</v>
      </c>
      <c r="F241" s="94" t="s">
        <v>34</v>
      </c>
      <c r="G241" s="96">
        <v>11</v>
      </c>
      <c r="H241" s="107" t="s">
        <v>35</v>
      </c>
      <c r="I241" s="88"/>
    </row>
    <row r="242" spans="1:9" ht="19.8" customHeight="1" x14ac:dyDescent="0.3">
      <c r="A242" s="103">
        <v>46001</v>
      </c>
      <c r="B242" s="94" t="s">
        <v>78</v>
      </c>
      <c r="C242" s="95" t="s">
        <v>94</v>
      </c>
      <c r="D242" s="94" t="s">
        <v>1</v>
      </c>
      <c r="E242" s="104">
        <v>1.086805555555556</v>
      </c>
      <c r="F242" s="94" t="s">
        <v>83</v>
      </c>
      <c r="G242" s="96">
        <v>9</v>
      </c>
      <c r="H242" s="107" t="s">
        <v>85</v>
      </c>
      <c r="I242" s="88"/>
    </row>
    <row r="243" spans="1:9" ht="19.8" customHeight="1" x14ac:dyDescent="0.3">
      <c r="A243" s="103">
        <v>46001</v>
      </c>
      <c r="B243" s="94" t="s">
        <v>66</v>
      </c>
      <c r="C243" s="95" t="s">
        <v>70</v>
      </c>
      <c r="D243" s="94" t="s">
        <v>1</v>
      </c>
      <c r="E243" s="104">
        <v>1.2222222222222221</v>
      </c>
      <c r="F243" s="94" t="s">
        <v>68</v>
      </c>
      <c r="G243" s="96">
        <v>9</v>
      </c>
      <c r="H243" s="107" t="s">
        <v>147</v>
      </c>
      <c r="I243" s="88"/>
    </row>
    <row r="244" spans="1:9" ht="19.8" customHeight="1" x14ac:dyDescent="0.3">
      <c r="A244" s="103">
        <v>46001</v>
      </c>
      <c r="B244" s="94" t="s">
        <v>66</v>
      </c>
      <c r="C244" s="95" t="s">
        <v>76</v>
      </c>
      <c r="D244" s="94" t="s">
        <v>1</v>
      </c>
      <c r="E244" s="104">
        <v>1.854166666666667</v>
      </c>
      <c r="F244" s="94" t="s">
        <v>68</v>
      </c>
      <c r="G244" s="96">
        <v>4</v>
      </c>
      <c r="H244" s="107" t="s">
        <v>77</v>
      </c>
      <c r="I244" s="88"/>
    </row>
    <row r="245" spans="1:9" ht="19.8" customHeight="1" x14ac:dyDescent="0.3">
      <c r="A245" s="103">
        <v>46001</v>
      </c>
      <c r="B245" s="94" t="s">
        <v>66</v>
      </c>
      <c r="C245" s="95" t="s">
        <v>75</v>
      </c>
      <c r="D245" s="94" t="s">
        <v>1</v>
      </c>
      <c r="E245" s="104">
        <v>1.493055555555556</v>
      </c>
      <c r="F245" s="94" t="s">
        <v>68</v>
      </c>
      <c r="G245" s="96">
        <v>6</v>
      </c>
      <c r="H245" s="107" t="s">
        <v>77</v>
      </c>
      <c r="I245" s="88"/>
    </row>
    <row r="246" spans="1:9" ht="19.8" customHeight="1" x14ac:dyDescent="0.3">
      <c r="A246" s="103">
        <v>46001</v>
      </c>
      <c r="B246" s="94" t="s">
        <v>78</v>
      </c>
      <c r="C246" s="95" t="s">
        <v>79</v>
      </c>
      <c r="D246" s="94" t="s">
        <v>1</v>
      </c>
      <c r="E246" s="104">
        <v>1.604166666666667</v>
      </c>
      <c r="F246" s="94" t="s">
        <v>80</v>
      </c>
      <c r="G246" s="96">
        <v>4</v>
      </c>
      <c r="H246" s="107" t="s">
        <v>91</v>
      </c>
      <c r="I246" s="88"/>
    </row>
    <row r="247" spans="1:9" ht="19.8" customHeight="1" x14ac:dyDescent="0.3">
      <c r="A247" s="103">
        <v>46001</v>
      </c>
      <c r="B247" s="94" t="s">
        <v>78</v>
      </c>
      <c r="C247" s="95" t="s">
        <v>89</v>
      </c>
      <c r="D247" s="94" t="s">
        <v>1</v>
      </c>
      <c r="E247" s="104">
        <v>1.7951388888888891</v>
      </c>
      <c r="F247" s="94" t="s">
        <v>80</v>
      </c>
      <c r="G247" s="96">
        <v>2</v>
      </c>
      <c r="H247" s="107" t="s">
        <v>91</v>
      </c>
      <c r="I247" s="88"/>
    </row>
    <row r="248" spans="1:9" ht="19.8" customHeight="1" x14ac:dyDescent="0.3">
      <c r="A248" s="103">
        <v>46001</v>
      </c>
      <c r="B248" s="94" t="s">
        <v>78</v>
      </c>
      <c r="C248" s="95" t="s">
        <v>86</v>
      </c>
      <c r="D248" s="94" t="s">
        <v>1</v>
      </c>
      <c r="E248" s="104">
        <v>1.4201388888888891</v>
      </c>
      <c r="F248" s="94" t="s">
        <v>83</v>
      </c>
      <c r="G248" s="96">
        <v>4</v>
      </c>
      <c r="H248" s="107" t="s">
        <v>116</v>
      </c>
      <c r="I248" s="88"/>
    </row>
    <row r="249" spans="1:9" ht="19.8" customHeight="1" x14ac:dyDescent="0.3">
      <c r="A249" s="103">
        <v>46001</v>
      </c>
      <c r="B249" s="94" t="s">
        <v>78</v>
      </c>
      <c r="C249" s="95" t="s">
        <v>79</v>
      </c>
      <c r="D249" s="94" t="s">
        <v>1</v>
      </c>
      <c r="E249" s="104">
        <v>1.604166666666667</v>
      </c>
      <c r="F249" s="94" t="s">
        <v>83</v>
      </c>
      <c r="G249" s="96">
        <v>4</v>
      </c>
      <c r="H249" s="107" t="s">
        <v>93</v>
      </c>
      <c r="I249" s="88"/>
    </row>
    <row r="250" spans="1:9" ht="19.8" customHeight="1" x14ac:dyDescent="0.3">
      <c r="A250" s="113">
        <v>46001</v>
      </c>
      <c r="B250" s="114" t="s">
        <v>78</v>
      </c>
      <c r="C250" s="115" t="s">
        <v>89</v>
      </c>
      <c r="D250" s="114" t="s">
        <v>1</v>
      </c>
      <c r="E250" s="116">
        <v>1.7951388888888891</v>
      </c>
      <c r="F250" s="114" t="s">
        <v>83</v>
      </c>
      <c r="G250" s="117">
        <v>2</v>
      </c>
      <c r="H250" s="118" t="s">
        <v>93</v>
      </c>
      <c r="I250" s="88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6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4.886718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2.777343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295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45982.804254374882</v>
      </c>
      <c r="H2" s="330"/>
      <c r="I2" s="330"/>
      <c r="J2" s="330"/>
      <c r="K2" s="334">
        <v>45982.804254375231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75" t="s">
        <v>44</v>
      </c>
      <c r="B6" s="75" t="s">
        <v>296</v>
      </c>
      <c r="C6" s="75">
        <v>0.3263888888888889</v>
      </c>
      <c r="D6" s="75" t="s">
        <v>46</v>
      </c>
      <c r="E6" s="75" t="s">
        <v>129</v>
      </c>
      <c r="F6" s="75" t="s">
        <v>297</v>
      </c>
      <c r="G6" s="335"/>
      <c r="H6" s="33" t="s">
        <v>298</v>
      </c>
      <c r="I6" s="34">
        <v>0.96650000000000003</v>
      </c>
      <c r="J6" s="35">
        <v>173</v>
      </c>
      <c r="K6" s="36" t="s">
        <v>175</v>
      </c>
      <c r="L6" s="35">
        <v>10</v>
      </c>
      <c r="M6" s="35">
        <v>3</v>
      </c>
      <c r="N6" s="35">
        <v>1</v>
      </c>
      <c r="O6" s="36" t="s">
        <v>299</v>
      </c>
      <c r="P6" s="36">
        <v>0.3263888888888889</v>
      </c>
      <c r="Q6" s="35">
        <v>179</v>
      </c>
      <c r="R6" s="37" t="s">
        <v>300</v>
      </c>
    </row>
    <row r="7" spans="1:18" ht="17.399999999999999" customHeight="1" x14ac:dyDescent="0.3">
      <c r="A7" s="360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2"/>
    </row>
    <row r="8" spans="1:18" ht="22.05" customHeight="1" x14ac:dyDescent="0.3">
      <c r="A8" s="323" t="s">
        <v>6</v>
      </c>
      <c r="B8" s="324"/>
      <c r="C8" s="324"/>
      <c r="D8" s="324"/>
      <c r="E8" s="324"/>
      <c r="F8" s="324"/>
      <c r="G8" s="2">
        <v>45987</v>
      </c>
      <c r="H8" s="323" t="s">
        <v>7</v>
      </c>
      <c r="I8" s="324"/>
      <c r="J8" s="324"/>
      <c r="K8" s="324"/>
      <c r="L8" s="324"/>
      <c r="M8" s="324"/>
      <c r="N8" s="324"/>
      <c r="O8" s="324"/>
      <c r="P8" s="324"/>
      <c r="Q8" s="324"/>
      <c r="R8" s="324"/>
    </row>
    <row r="9" spans="1:18" ht="24" customHeight="1" x14ac:dyDescent="0.3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4" t="s">
        <v>13</v>
      </c>
      <c r="G9" s="5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</row>
    <row r="10" spans="1:18" ht="49.95" customHeight="1" x14ac:dyDescent="0.3">
      <c r="A10" s="44" t="s">
        <v>44</v>
      </c>
      <c r="B10" s="44" t="s">
        <v>296</v>
      </c>
      <c r="C10" s="44">
        <v>0.94444444444444453</v>
      </c>
      <c r="D10" s="44" t="s">
        <v>46</v>
      </c>
      <c r="E10" s="44" t="s">
        <v>121</v>
      </c>
      <c r="F10" s="44" t="s">
        <v>301</v>
      </c>
      <c r="G10" s="335"/>
      <c r="H10" s="70" t="s">
        <v>298</v>
      </c>
      <c r="I10" s="71">
        <v>0.94410000000000005</v>
      </c>
      <c r="J10" s="72">
        <v>169</v>
      </c>
      <c r="K10" s="73" t="s">
        <v>50</v>
      </c>
      <c r="L10" s="72">
        <v>2</v>
      </c>
      <c r="M10" s="72">
        <v>0</v>
      </c>
      <c r="N10" s="72">
        <v>2</v>
      </c>
      <c r="O10" s="73" t="s">
        <v>302</v>
      </c>
      <c r="P10" s="73">
        <v>0.94444444444444453</v>
      </c>
      <c r="Q10" s="72">
        <v>179</v>
      </c>
      <c r="R10" s="74" t="s">
        <v>303</v>
      </c>
    </row>
    <row r="11" spans="1:18" ht="17.399999999999999" customHeight="1" x14ac:dyDescent="0.3">
      <c r="A11" s="360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2"/>
    </row>
    <row r="12" spans="1:18" ht="22.05" customHeight="1" x14ac:dyDescent="0.3">
      <c r="A12" s="323" t="s">
        <v>6</v>
      </c>
      <c r="B12" s="324"/>
      <c r="C12" s="324"/>
      <c r="D12" s="324"/>
      <c r="E12" s="324"/>
      <c r="F12" s="324"/>
      <c r="G12" s="2">
        <v>45988</v>
      </c>
      <c r="H12" s="323" t="s">
        <v>7</v>
      </c>
      <c r="I12" s="324"/>
      <c r="J12" s="324"/>
      <c r="K12" s="324"/>
      <c r="L12" s="324"/>
      <c r="M12" s="324"/>
      <c r="N12" s="324"/>
      <c r="O12" s="324"/>
      <c r="P12" s="324"/>
      <c r="Q12" s="324"/>
      <c r="R12" s="324"/>
    </row>
    <row r="13" spans="1:18" ht="24" customHeight="1" x14ac:dyDescent="0.3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4" t="s">
        <v>13</v>
      </c>
      <c r="G13" s="5" t="s">
        <v>14</v>
      </c>
      <c r="H13" s="3" t="s">
        <v>15</v>
      </c>
      <c r="I13" s="3" t="s">
        <v>16</v>
      </c>
      <c r="J13" s="3" t="s">
        <v>17</v>
      </c>
      <c r="K13" s="3" t="s">
        <v>18</v>
      </c>
      <c r="L13" s="3" t="s">
        <v>19</v>
      </c>
      <c r="M13" s="3" t="s">
        <v>20</v>
      </c>
      <c r="N13" s="3" t="s">
        <v>21</v>
      </c>
      <c r="O13" s="3" t="s">
        <v>22</v>
      </c>
      <c r="P13" s="3" t="s">
        <v>23</v>
      </c>
      <c r="Q13" s="3" t="s">
        <v>24</v>
      </c>
      <c r="R13" s="3" t="s">
        <v>25</v>
      </c>
    </row>
    <row r="14" spans="1:18" ht="49.95" customHeight="1" x14ac:dyDescent="0.3">
      <c r="A14" s="12" t="s">
        <v>44</v>
      </c>
      <c r="B14" s="12" t="s">
        <v>296</v>
      </c>
      <c r="C14" s="12">
        <v>0.64583333333333337</v>
      </c>
      <c r="D14" s="12" t="s">
        <v>46</v>
      </c>
      <c r="E14" s="12" t="s">
        <v>29</v>
      </c>
      <c r="F14" s="12" t="s">
        <v>139</v>
      </c>
      <c r="G14" s="335"/>
      <c r="H14" s="120" t="s">
        <v>298</v>
      </c>
      <c r="I14" s="121">
        <v>0.97770000000000001</v>
      </c>
      <c r="J14" s="122">
        <v>175</v>
      </c>
      <c r="K14" s="123" t="s">
        <v>50</v>
      </c>
      <c r="L14" s="122">
        <v>7</v>
      </c>
      <c r="M14" s="122">
        <v>0</v>
      </c>
      <c r="N14" s="122">
        <v>2</v>
      </c>
      <c r="O14" s="123" t="s">
        <v>304</v>
      </c>
      <c r="P14" s="123">
        <v>0.64583333333333337</v>
      </c>
      <c r="Q14" s="122">
        <v>179</v>
      </c>
      <c r="R14" s="124" t="s">
        <v>305</v>
      </c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22.05" customHeight="1" x14ac:dyDescent="0.3">
      <c r="A16" s="323" t="s">
        <v>6</v>
      </c>
      <c r="B16" s="324"/>
      <c r="C16" s="324"/>
      <c r="D16" s="324"/>
      <c r="E16" s="324"/>
      <c r="F16" s="324"/>
      <c r="G16" s="2">
        <v>45989</v>
      </c>
      <c r="H16" s="323" t="s">
        <v>7</v>
      </c>
      <c r="I16" s="324"/>
      <c r="J16" s="324"/>
      <c r="K16" s="324"/>
      <c r="L16" s="324"/>
      <c r="M16" s="324"/>
      <c r="N16" s="324"/>
      <c r="O16" s="324"/>
      <c r="P16" s="324"/>
      <c r="Q16" s="324"/>
      <c r="R16" s="324"/>
    </row>
    <row r="17" spans="1:18" ht="24" customHeight="1" x14ac:dyDescent="0.3">
      <c r="A17" s="3" t="s">
        <v>8</v>
      </c>
      <c r="B17" s="3" t="s">
        <v>9</v>
      </c>
      <c r="C17" s="3" t="s">
        <v>10</v>
      </c>
      <c r="D17" s="3" t="s">
        <v>11</v>
      </c>
      <c r="E17" s="3" t="s">
        <v>12</v>
      </c>
      <c r="F17" s="4" t="s">
        <v>13</v>
      </c>
      <c r="G17" s="5" t="s">
        <v>14</v>
      </c>
      <c r="H17" s="3" t="s">
        <v>15</v>
      </c>
      <c r="I17" s="3" t="s">
        <v>16</v>
      </c>
      <c r="J17" s="3" t="s">
        <v>17</v>
      </c>
      <c r="K17" s="3" t="s">
        <v>18</v>
      </c>
      <c r="L17" s="3" t="s">
        <v>19</v>
      </c>
      <c r="M17" s="3" t="s">
        <v>20</v>
      </c>
      <c r="N17" s="3" t="s">
        <v>21</v>
      </c>
      <c r="O17" s="3" t="s">
        <v>22</v>
      </c>
      <c r="P17" s="3" t="s">
        <v>23</v>
      </c>
      <c r="Q17" s="3" t="s">
        <v>24</v>
      </c>
      <c r="R17" s="3" t="s">
        <v>25</v>
      </c>
    </row>
    <row r="18" spans="1:18" ht="49.95" customHeight="1" x14ac:dyDescent="0.3">
      <c r="A18" s="125" t="s">
        <v>66</v>
      </c>
      <c r="B18" s="125" t="s">
        <v>306</v>
      </c>
      <c r="C18" s="125">
        <v>0.52083333333333337</v>
      </c>
      <c r="D18" s="125" t="s">
        <v>68</v>
      </c>
      <c r="E18" s="125" t="s">
        <v>47</v>
      </c>
      <c r="F18" s="125" t="s">
        <v>307</v>
      </c>
      <c r="G18" s="335"/>
      <c r="H18" s="28"/>
      <c r="I18" s="29"/>
      <c r="J18" s="29"/>
      <c r="K18" s="29"/>
      <c r="L18" s="29"/>
      <c r="M18" s="29"/>
      <c r="N18" s="29"/>
      <c r="O18" s="29"/>
      <c r="P18" s="29"/>
      <c r="Q18" s="29"/>
      <c r="R18" s="30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17.399999999999999" customHeight="1" x14ac:dyDescent="0.3">
      <c r="A20" s="360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2"/>
    </row>
    <row r="21" spans="1:18" ht="22.05" customHeight="1" x14ac:dyDescent="0.3">
      <c r="A21" s="323" t="s">
        <v>6</v>
      </c>
      <c r="B21" s="324"/>
      <c r="C21" s="324"/>
      <c r="D21" s="324"/>
      <c r="E21" s="324"/>
      <c r="F21" s="324"/>
      <c r="G21" s="2">
        <v>45991</v>
      </c>
      <c r="H21" s="323" t="s">
        <v>7</v>
      </c>
      <c r="I21" s="324"/>
      <c r="J21" s="324"/>
      <c r="K21" s="324"/>
      <c r="L21" s="324"/>
      <c r="M21" s="324"/>
      <c r="N21" s="324"/>
      <c r="O21" s="324"/>
      <c r="P21" s="324"/>
      <c r="Q21" s="324"/>
      <c r="R21" s="324"/>
    </row>
    <row r="22" spans="1:18" ht="24" customHeight="1" x14ac:dyDescent="0.3">
      <c r="A22" s="3" t="s">
        <v>8</v>
      </c>
      <c r="B22" s="3" t="s">
        <v>9</v>
      </c>
      <c r="C22" s="3" t="s">
        <v>10</v>
      </c>
      <c r="D22" s="3" t="s">
        <v>11</v>
      </c>
      <c r="E22" s="3" t="s">
        <v>12</v>
      </c>
      <c r="F22" s="4" t="s">
        <v>13</v>
      </c>
      <c r="G22" s="5" t="s">
        <v>14</v>
      </c>
      <c r="H22" s="3" t="s">
        <v>15</v>
      </c>
      <c r="I22" s="3" t="s">
        <v>16</v>
      </c>
      <c r="J22" s="3" t="s">
        <v>17</v>
      </c>
      <c r="K22" s="3" t="s">
        <v>18</v>
      </c>
      <c r="L22" s="3" t="s">
        <v>19</v>
      </c>
      <c r="M22" s="3" t="s">
        <v>20</v>
      </c>
      <c r="N22" s="3" t="s">
        <v>21</v>
      </c>
      <c r="O22" s="3" t="s">
        <v>22</v>
      </c>
      <c r="P22" s="3" t="s">
        <v>23</v>
      </c>
      <c r="Q22" s="3" t="s">
        <v>24</v>
      </c>
      <c r="R22" s="3" t="s">
        <v>25</v>
      </c>
    </row>
    <row r="23" spans="1:18" ht="49.95" customHeight="1" x14ac:dyDescent="0.3">
      <c r="A23" s="6" t="s">
        <v>66</v>
      </c>
      <c r="B23" s="6" t="s">
        <v>306</v>
      </c>
      <c r="C23" s="6">
        <v>0.52083333333333337</v>
      </c>
      <c r="D23" s="6" t="s">
        <v>68</v>
      </c>
      <c r="E23" s="6" t="s">
        <v>132</v>
      </c>
      <c r="F23" s="6" t="s">
        <v>308</v>
      </c>
      <c r="G23" s="335"/>
      <c r="H23" s="7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1:18" ht="49.95" customHeight="1" x14ac:dyDescent="0.3">
      <c r="A24" s="126" t="s">
        <v>44</v>
      </c>
      <c r="B24" s="126" t="s">
        <v>296</v>
      </c>
      <c r="C24" s="126">
        <v>0.40277777777777768</v>
      </c>
      <c r="D24" s="126" t="s">
        <v>46</v>
      </c>
      <c r="E24" s="126" t="s">
        <v>47</v>
      </c>
      <c r="F24" s="126" t="s">
        <v>118</v>
      </c>
      <c r="G24" s="328"/>
      <c r="H24" s="120" t="s">
        <v>298</v>
      </c>
      <c r="I24" s="121">
        <v>0.94969999999999999</v>
      </c>
      <c r="J24" s="122">
        <v>170</v>
      </c>
      <c r="K24" s="123" t="s">
        <v>50</v>
      </c>
      <c r="L24" s="122">
        <v>6</v>
      </c>
      <c r="M24" s="122">
        <v>0</v>
      </c>
      <c r="N24" s="122">
        <v>2</v>
      </c>
      <c r="O24" s="123" t="s">
        <v>309</v>
      </c>
      <c r="P24" s="123">
        <v>0.40277777777777768</v>
      </c>
      <c r="Q24" s="122">
        <v>179</v>
      </c>
      <c r="R24" s="124" t="s">
        <v>310</v>
      </c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  <row r="26" spans="1:18" ht="17.399999999999999" customHeight="1" x14ac:dyDescent="0.3">
      <c r="A26" s="360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2"/>
    </row>
    <row r="27" spans="1:18" ht="22.05" customHeight="1" x14ac:dyDescent="0.3">
      <c r="A27" s="323" t="s">
        <v>6</v>
      </c>
      <c r="B27" s="324"/>
      <c r="C27" s="324"/>
      <c r="D27" s="324"/>
      <c r="E27" s="324"/>
      <c r="F27" s="324"/>
      <c r="G27" s="2">
        <v>45993</v>
      </c>
      <c r="H27" s="323" t="s">
        <v>7</v>
      </c>
      <c r="I27" s="324"/>
      <c r="J27" s="324"/>
      <c r="K27" s="324"/>
      <c r="L27" s="324"/>
      <c r="M27" s="324"/>
      <c r="N27" s="324"/>
      <c r="O27" s="324"/>
      <c r="P27" s="324"/>
      <c r="Q27" s="324"/>
      <c r="R27" s="324"/>
    </row>
    <row r="28" spans="1:18" ht="24" customHeight="1" x14ac:dyDescent="0.3">
      <c r="A28" s="3" t="s">
        <v>8</v>
      </c>
      <c r="B28" s="3" t="s">
        <v>9</v>
      </c>
      <c r="C28" s="3" t="s">
        <v>10</v>
      </c>
      <c r="D28" s="3" t="s">
        <v>11</v>
      </c>
      <c r="E28" s="3" t="s">
        <v>12</v>
      </c>
      <c r="F28" s="4" t="s">
        <v>13</v>
      </c>
      <c r="G28" s="5" t="s">
        <v>14</v>
      </c>
      <c r="H28" s="3" t="s">
        <v>15</v>
      </c>
      <c r="I28" s="3" t="s">
        <v>16</v>
      </c>
      <c r="J28" s="3" t="s">
        <v>17</v>
      </c>
      <c r="K28" s="3" t="s">
        <v>18</v>
      </c>
      <c r="L28" s="3" t="s">
        <v>19</v>
      </c>
      <c r="M28" s="3" t="s">
        <v>20</v>
      </c>
      <c r="N28" s="3" t="s">
        <v>21</v>
      </c>
      <c r="O28" s="3" t="s">
        <v>22</v>
      </c>
      <c r="P28" s="3" t="s">
        <v>23</v>
      </c>
      <c r="Q28" s="3" t="s">
        <v>24</v>
      </c>
      <c r="R28" s="3" t="s">
        <v>25</v>
      </c>
    </row>
    <row r="29" spans="1:18" ht="49.95" customHeight="1" x14ac:dyDescent="0.3">
      <c r="A29" s="44" t="s">
        <v>44</v>
      </c>
      <c r="B29" s="44" t="s">
        <v>298</v>
      </c>
      <c r="C29" s="44">
        <v>0.3263888888888889</v>
      </c>
      <c r="D29" s="44" t="s">
        <v>61</v>
      </c>
      <c r="E29" s="44"/>
      <c r="F29" s="44" t="s">
        <v>62</v>
      </c>
      <c r="G29" s="335"/>
      <c r="H29" s="70" t="s">
        <v>298</v>
      </c>
      <c r="I29" s="71">
        <v>1</v>
      </c>
      <c r="J29" s="72">
        <v>179</v>
      </c>
      <c r="K29" s="73" t="s">
        <v>311</v>
      </c>
      <c r="L29" s="72">
        <v>3</v>
      </c>
      <c r="M29" s="72">
        <v>0</v>
      </c>
      <c r="N29" s="72">
        <v>0</v>
      </c>
      <c r="O29" s="73" t="s">
        <v>64</v>
      </c>
      <c r="P29" s="73">
        <v>0.3263888888888889</v>
      </c>
      <c r="Q29" s="72">
        <v>179</v>
      </c>
      <c r="R29" s="74" t="s">
        <v>312</v>
      </c>
    </row>
    <row r="30" spans="1:18" ht="17.399999999999999" customHeight="1" x14ac:dyDescent="0.3">
      <c r="A30" s="360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2"/>
    </row>
    <row r="31" spans="1:18" ht="22.05" customHeight="1" x14ac:dyDescent="0.3">
      <c r="A31" s="323" t="s">
        <v>6</v>
      </c>
      <c r="B31" s="324"/>
      <c r="C31" s="324"/>
      <c r="D31" s="324"/>
      <c r="E31" s="324"/>
      <c r="F31" s="324"/>
      <c r="G31" s="2">
        <v>45994</v>
      </c>
      <c r="H31" s="323" t="s">
        <v>7</v>
      </c>
      <c r="I31" s="324"/>
      <c r="J31" s="324"/>
      <c r="K31" s="324"/>
      <c r="L31" s="324"/>
      <c r="M31" s="324"/>
      <c r="N31" s="324"/>
      <c r="O31" s="324"/>
      <c r="P31" s="324"/>
      <c r="Q31" s="324"/>
      <c r="R31" s="324"/>
    </row>
    <row r="32" spans="1:18" ht="24" customHeight="1" x14ac:dyDescent="0.3">
      <c r="A32" s="3" t="s">
        <v>8</v>
      </c>
      <c r="B32" s="3" t="s">
        <v>9</v>
      </c>
      <c r="C32" s="3" t="s">
        <v>10</v>
      </c>
      <c r="D32" s="3" t="s">
        <v>11</v>
      </c>
      <c r="E32" s="3" t="s">
        <v>12</v>
      </c>
      <c r="F32" s="4" t="s">
        <v>13</v>
      </c>
      <c r="G32" s="5" t="s">
        <v>14</v>
      </c>
      <c r="H32" s="3" t="s">
        <v>15</v>
      </c>
      <c r="I32" s="3" t="s">
        <v>16</v>
      </c>
      <c r="J32" s="3" t="s">
        <v>17</v>
      </c>
      <c r="K32" s="3" t="s">
        <v>18</v>
      </c>
      <c r="L32" s="3" t="s">
        <v>19</v>
      </c>
      <c r="M32" s="3" t="s">
        <v>20</v>
      </c>
      <c r="N32" s="3" t="s">
        <v>21</v>
      </c>
      <c r="O32" s="3" t="s">
        <v>22</v>
      </c>
      <c r="P32" s="3" t="s">
        <v>23</v>
      </c>
      <c r="Q32" s="3" t="s">
        <v>24</v>
      </c>
      <c r="R32" s="3" t="s">
        <v>25</v>
      </c>
    </row>
    <row r="33" spans="1:18" ht="49.95" customHeight="1" x14ac:dyDescent="0.3">
      <c r="A33" s="127" t="s">
        <v>44</v>
      </c>
      <c r="B33" s="127" t="s">
        <v>298</v>
      </c>
      <c r="C33" s="127">
        <v>0.94444444444444453</v>
      </c>
      <c r="D33" s="127" t="s">
        <v>61</v>
      </c>
      <c r="E33" s="127"/>
      <c r="F33" s="127" t="s">
        <v>62</v>
      </c>
      <c r="G33" s="335"/>
      <c r="H33" s="128" t="s">
        <v>298</v>
      </c>
      <c r="I33" s="129">
        <v>1</v>
      </c>
      <c r="J33" s="130">
        <v>179</v>
      </c>
      <c r="K33" s="131" t="s">
        <v>311</v>
      </c>
      <c r="L33" s="130">
        <v>2</v>
      </c>
      <c r="M33" s="130">
        <v>0</v>
      </c>
      <c r="N33" s="130">
        <v>0</v>
      </c>
      <c r="O33" s="131" t="s">
        <v>64</v>
      </c>
      <c r="P33" s="131">
        <v>0.94444444444444453</v>
      </c>
      <c r="Q33" s="130">
        <v>179</v>
      </c>
      <c r="R33" s="132" t="s">
        <v>313</v>
      </c>
    </row>
    <row r="34" spans="1:18" ht="17.399999999999999" customHeight="1" x14ac:dyDescent="0.3">
      <c r="A34" s="360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2"/>
    </row>
    <row r="35" spans="1:18" ht="22.05" customHeight="1" x14ac:dyDescent="0.3">
      <c r="A35" s="323" t="s">
        <v>6</v>
      </c>
      <c r="B35" s="324"/>
      <c r="C35" s="324"/>
      <c r="D35" s="324"/>
      <c r="E35" s="324"/>
      <c r="F35" s="324"/>
      <c r="G35" s="2">
        <v>45995</v>
      </c>
      <c r="H35" s="323" t="s">
        <v>7</v>
      </c>
      <c r="I35" s="324"/>
      <c r="J35" s="324"/>
      <c r="K35" s="324"/>
      <c r="L35" s="324"/>
      <c r="M35" s="324"/>
      <c r="N35" s="324"/>
      <c r="O35" s="324"/>
      <c r="P35" s="324"/>
      <c r="Q35" s="324"/>
      <c r="R35" s="324"/>
    </row>
    <row r="36" spans="1:18" ht="24" customHeight="1" x14ac:dyDescent="0.3">
      <c r="A36" s="3" t="s">
        <v>8</v>
      </c>
      <c r="B36" s="3" t="s">
        <v>9</v>
      </c>
      <c r="C36" s="3" t="s">
        <v>10</v>
      </c>
      <c r="D36" s="3" t="s">
        <v>11</v>
      </c>
      <c r="E36" s="3" t="s">
        <v>12</v>
      </c>
      <c r="F36" s="4" t="s">
        <v>13</v>
      </c>
      <c r="G36" s="5" t="s">
        <v>14</v>
      </c>
      <c r="H36" s="3" t="s">
        <v>15</v>
      </c>
      <c r="I36" s="3" t="s">
        <v>16</v>
      </c>
      <c r="J36" s="3" t="s">
        <v>17</v>
      </c>
      <c r="K36" s="3" t="s">
        <v>18</v>
      </c>
      <c r="L36" s="3" t="s">
        <v>19</v>
      </c>
      <c r="M36" s="3" t="s">
        <v>20</v>
      </c>
      <c r="N36" s="3" t="s">
        <v>21</v>
      </c>
      <c r="O36" s="3" t="s">
        <v>22</v>
      </c>
      <c r="P36" s="3" t="s">
        <v>23</v>
      </c>
      <c r="Q36" s="3" t="s">
        <v>24</v>
      </c>
      <c r="R36" s="3" t="s">
        <v>25</v>
      </c>
    </row>
    <row r="37" spans="1:18" ht="49.95" customHeight="1" x14ac:dyDescent="0.3">
      <c r="A37" s="6" t="s">
        <v>66</v>
      </c>
      <c r="B37" s="6" t="s">
        <v>306</v>
      </c>
      <c r="C37" s="6">
        <v>0.52083333333333337</v>
      </c>
      <c r="D37" s="6" t="s">
        <v>68</v>
      </c>
      <c r="E37" s="6" t="s">
        <v>314</v>
      </c>
      <c r="F37" s="6" t="s">
        <v>315</v>
      </c>
      <c r="G37" s="335"/>
      <c r="H37" s="7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ht="49.95" customHeight="1" x14ac:dyDescent="0.3">
      <c r="A38" s="133" t="s">
        <v>44</v>
      </c>
      <c r="B38" s="133" t="s">
        <v>296</v>
      </c>
      <c r="C38" s="133">
        <v>0.64583333333333337</v>
      </c>
      <c r="D38" s="133" t="s">
        <v>46</v>
      </c>
      <c r="E38" s="133" t="s">
        <v>121</v>
      </c>
      <c r="F38" s="133" t="s">
        <v>316</v>
      </c>
      <c r="G38" s="328"/>
      <c r="H38" s="134" t="s">
        <v>298</v>
      </c>
      <c r="I38" s="135">
        <v>0.94969999999999999</v>
      </c>
      <c r="J38" s="136">
        <v>170</v>
      </c>
      <c r="K38" s="137" t="s">
        <v>50</v>
      </c>
      <c r="L38" s="136">
        <v>10</v>
      </c>
      <c r="M38" s="136">
        <v>0</v>
      </c>
      <c r="N38" s="136">
        <v>1</v>
      </c>
      <c r="O38" s="137" t="s">
        <v>317</v>
      </c>
      <c r="P38" s="137">
        <v>0.64583333333333337</v>
      </c>
      <c r="Q38" s="136">
        <v>179</v>
      </c>
      <c r="R38" s="138" t="s">
        <v>318</v>
      </c>
    </row>
    <row r="39" spans="1:18" ht="17.399999999999999" customHeight="1" x14ac:dyDescent="0.3">
      <c r="A39" s="360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2"/>
    </row>
    <row r="40" spans="1:18" ht="22.05" customHeight="1" x14ac:dyDescent="0.3">
      <c r="A40" s="323" t="s">
        <v>6</v>
      </c>
      <c r="B40" s="324"/>
      <c r="C40" s="324"/>
      <c r="D40" s="324"/>
      <c r="E40" s="324"/>
      <c r="F40" s="324"/>
      <c r="G40" s="2">
        <v>45996</v>
      </c>
      <c r="H40" s="323" t="s">
        <v>7</v>
      </c>
      <c r="I40" s="324"/>
      <c r="J40" s="324"/>
      <c r="K40" s="324"/>
      <c r="L40" s="324"/>
      <c r="M40" s="324"/>
      <c r="N40" s="324"/>
      <c r="O40" s="324"/>
      <c r="P40" s="324"/>
      <c r="Q40" s="324"/>
      <c r="R40" s="324"/>
    </row>
    <row r="41" spans="1:18" ht="24" customHeight="1" x14ac:dyDescent="0.3">
      <c r="A41" s="3" t="s">
        <v>8</v>
      </c>
      <c r="B41" s="3" t="s">
        <v>9</v>
      </c>
      <c r="C41" s="3" t="s">
        <v>10</v>
      </c>
      <c r="D41" s="3" t="s">
        <v>11</v>
      </c>
      <c r="E41" s="3" t="s">
        <v>12</v>
      </c>
      <c r="F41" s="4" t="s">
        <v>13</v>
      </c>
      <c r="G41" s="5" t="s">
        <v>14</v>
      </c>
      <c r="H41" s="3" t="s">
        <v>15</v>
      </c>
      <c r="I41" s="3" t="s">
        <v>16</v>
      </c>
      <c r="J41" s="3" t="s">
        <v>17</v>
      </c>
      <c r="K41" s="3" t="s">
        <v>18</v>
      </c>
      <c r="L41" s="3" t="s">
        <v>19</v>
      </c>
      <c r="M41" s="3" t="s">
        <v>20</v>
      </c>
      <c r="N41" s="3" t="s">
        <v>21</v>
      </c>
      <c r="O41" s="3" t="s">
        <v>22</v>
      </c>
      <c r="P41" s="3" t="s">
        <v>23</v>
      </c>
      <c r="Q41" s="3" t="s">
        <v>24</v>
      </c>
      <c r="R41" s="3" t="s">
        <v>25</v>
      </c>
    </row>
    <row r="42" spans="1:18" ht="49.95" customHeight="1" x14ac:dyDescent="0.3">
      <c r="A42" s="125" t="s">
        <v>66</v>
      </c>
      <c r="B42" s="125" t="s">
        <v>306</v>
      </c>
      <c r="C42" s="125">
        <v>0.52083333333333337</v>
      </c>
      <c r="D42" s="125" t="s">
        <v>68</v>
      </c>
      <c r="E42" s="125" t="s">
        <v>47</v>
      </c>
      <c r="F42" s="125" t="s">
        <v>307</v>
      </c>
      <c r="G42" s="335"/>
      <c r="H42" s="28"/>
      <c r="I42" s="29"/>
      <c r="J42" s="29"/>
      <c r="K42" s="29"/>
      <c r="L42" s="29"/>
      <c r="M42" s="29"/>
      <c r="N42" s="29"/>
      <c r="O42" s="29"/>
      <c r="P42" s="29"/>
      <c r="Q42" s="29"/>
      <c r="R42" s="30"/>
    </row>
    <row r="43" spans="1:18" ht="17.399999999999999" customHeight="1" x14ac:dyDescent="0.3">
      <c r="A43" s="360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  <c r="Q43" s="361"/>
      <c r="R43" s="362"/>
    </row>
    <row r="44" spans="1:18" ht="17.399999999999999" customHeight="1" x14ac:dyDescent="0.3">
      <c r="A44" s="360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2"/>
    </row>
    <row r="45" spans="1:18" ht="22.05" customHeight="1" x14ac:dyDescent="0.3">
      <c r="A45" s="323" t="s">
        <v>6</v>
      </c>
      <c r="B45" s="324"/>
      <c r="C45" s="324"/>
      <c r="D45" s="324"/>
      <c r="E45" s="324"/>
      <c r="F45" s="324"/>
      <c r="G45" s="2">
        <v>45998</v>
      </c>
      <c r="H45" s="323" t="s">
        <v>7</v>
      </c>
      <c r="I45" s="324"/>
      <c r="J45" s="324"/>
      <c r="K45" s="324"/>
      <c r="L45" s="324"/>
      <c r="M45" s="324"/>
      <c r="N45" s="324"/>
      <c r="O45" s="324"/>
      <c r="P45" s="324"/>
      <c r="Q45" s="324"/>
      <c r="R45" s="324"/>
    </row>
    <row r="46" spans="1:18" ht="24" customHeight="1" x14ac:dyDescent="0.3">
      <c r="A46" s="3" t="s">
        <v>8</v>
      </c>
      <c r="B46" s="3" t="s">
        <v>9</v>
      </c>
      <c r="C46" s="3" t="s">
        <v>10</v>
      </c>
      <c r="D46" s="3" t="s">
        <v>11</v>
      </c>
      <c r="E46" s="3" t="s">
        <v>12</v>
      </c>
      <c r="F46" s="4" t="s">
        <v>13</v>
      </c>
      <c r="G46" s="5" t="s">
        <v>14</v>
      </c>
      <c r="H46" s="3" t="s">
        <v>15</v>
      </c>
      <c r="I46" s="3" t="s">
        <v>16</v>
      </c>
      <c r="J46" s="3" t="s">
        <v>17</v>
      </c>
      <c r="K46" s="3" t="s">
        <v>18</v>
      </c>
      <c r="L46" s="3" t="s">
        <v>19</v>
      </c>
      <c r="M46" s="3" t="s">
        <v>20</v>
      </c>
      <c r="N46" s="3" t="s">
        <v>21</v>
      </c>
      <c r="O46" s="3" t="s">
        <v>22</v>
      </c>
      <c r="P46" s="3" t="s">
        <v>23</v>
      </c>
      <c r="Q46" s="3" t="s">
        <v>24</v>
      </c>
      <c r="R46" s="3" t="s">
        <v>25</v>
      </c>
    </row>
    <row r="47" spans="1:18" ht="49.95" customHeight="1" x14ac:dyDescent="0.3">
      <c r="A47" s="12" t="s">
        <v>44</v>
      </c>
      <c r="B47" s="12" t="s">
        <v>296</v>
      </c>
      <c r="C47" s="12">
        <v>0.40277777777777768</v>
      </c>
      <c r="D47" s="12" t="s">
        <v>46</v>
      </c>
      <c r="E47" s="12" t="s">
        <v>29</v>
      </c>
      <c r="F47" s="12" t="s">
        <v>48</v>
      </c>
      <c r="G47" s="335"/>
      <c r="H47" s="120" t="s">
        <v>298</v>
      </c>
      <c r="I47" s="121">
        <v>0.95530000000000004</v>
      </c>
      <c r="J47" s="122">
        <v>171</v>
      </c>
      <c r="K47" s="123" t="s">
        <v>50</v>
      </c>
      <c r="L47" s="122">
        <v>6</v>
      </c>
      <c r="M47" s="122">
        <v>0</v>
      </c>
      <c r="N47" s="122">
        <v>4</v>
      </c>
      <c r="O47" s="123" t="s">
        <v>319</v>
      </c>
      <c r="P47" s="123">
        <v>0.40277777777777768</v>
      </c>
      <c r="Q47" s="122">
        <v>179</v>
      </c>
      <c r="R47" s="124" t="s">
        <v>320</v>
      </c>
    </row>
    <row r="48" spans="1:18" ht="17.399999999999999" customHeight="1" x14ac:dyDescent="0.3">
      <c r="A48" s="360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2"/>
    </row>
    <row r="49" spans="1:18" ht="17.399999999999999" customHeight="1" x14ac:dyDescent="0.3">
      <c r="A49" s="360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2"/>
    </row>
    <row r="50" spans="1:18" ht="22.05" customHeight="1" x14ac:dyDescent="0.3">
      <c r="A50" s="323" t="s">
        <v>6</v>
      </c>
      <c r="B50" s="324"/>
      <c r="C50" s="324"/>
      <c r="D50" s="324"/>
      <c r="E50" s="324"/>
      <c r="F50" s="324"/>
      <c r="G50" s="2">
        <v>46000</v>
      </c>
      <c r="H50" s="323" t="s">
        <v>7</v>
      </c>
      <c r="I50" s="324"/>
      <c r="J50" s="324"/>
      <c r="K50" s="324"/>
      <c r="L50" s="324"/>
      <c r="M50" s="324"/>
      <c r="N50" s="324"/>
      <c r="O50" s="324"/>
      <c r="P50" s="324"/>
      <c r="Q50" s="324"/>
      <c r="R50" s="324"/>
    </row>
    <row r="51" spans="1:18" ht="24" customHeight="1" x14ac:dyDescent="0.3">
      <c r="A51" s="3" t="s">
        <v>8</v>
      </c>
      <c r="B51" s="3" t="s">
        <v>9</v>
      </c>
      <c r="C51" s="3" t="s">
        <v>10</v>
      </c>
      <c r="D51" s="3" t="s">
        <v>11</v>
      </c>
      <c r="E51" s="3" t="s">
        <v>12</v>
      </c>
      <c r="F51" s="4" t="s">
        <v>13</v>
      </c>
      <c r="G51" s="5" t="s">
        <v>14</v>
      </c>
      <c r="H51" s="3" t="s">
        <v>15</v>
      </c>
      <c r="I51" s="3" t="s">
        <v>16</v>
      </c>
      <c r="J51" s="3" t="s">
        <v>17</v>
      </c>
      <c r="K51" s="3" t="s">
        <v>18</v>
      </c>
      <c r="L51" s="3" t="s">
        <v>19</v>
      </c>
      <c r="M51" s="3" t="s">
        <v>20</v>
      </c>
      <c r="N51" s="3" t="s">
        <v>21</v>
      </c>
      <c r="O51" s="3" t="s">
        <v>22</v>
      </c>
      <c r="P51" s="3" t="s">
        <v>23</v>
      </c>
      <c r="Q51" s="3" t="s">
        <v>24</v>
      </c>
      <c r="R51" s="3" t="s">
        <v>25</v>
      </c>
    </row>
    <row r="52" spans="1:18" ht="49.95" customHeight="1" x14ac:dyDescent="0.3">
      <c r="A52" s="139" t="s">
        <v>44</v>
      </c>
      <c r="B52" s="139" t="s">
        <v>296</v>
      </c>
      <c r="C52" s="139">
        <v>0.3263888888888889</v>
      </c>
      <c r="D52" s="139" t="s">
        <v>46</v>
      </c>
      <c r="E52" s="139" t="s">
        <v>102</v>
      </c>
      <c r="F52" s="139" t="s">
        <v>48</v>
      </c>
      <c r="G52" s="335"/>
      <c r="H52" s="39" t="s">
        <v>298</v>
      </c>
      <c r="I52" s="40">
        <v>0.98880000000000001</v>
      </c>
      <c r="J52" s="41">
        <v>177</v>
      </c>
      <c r="K52" s="42" t="s">
        <v>175</v>
      </c>
      <c r="L52" s="41">
        <v>9</v>
      </c>
      <c r="M52" s="41">
        <v>4</v>
      </c>
      <c r="N52" s="41">
        <v>0</v>
      </c>
      <c r="O52" s="42" t="s">
        <v>173</v>
      </c>
      <c r="P52" s="42">
        <v>0.3263888888888889</v>
      </c>
      <c r="Q52" s="41">
        <v>179</v>
      </c>
      <c r="R52" s="43" t="s">
        <v>321</v>
      </c>
    </row>
    <row r="53" spans="1:18" ht="17.399999999999999" customHeight="1" x14ac:dyDescent="0.3">
      <c r="A53" s="360"/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2"/>
    </row>
    <row r="54" spans="1:18" ht="22.05" customHeight="1" x14ac:dyDescent="0.3">
      <c r="A54" s="323" t="s">
        <v>6</v>
      </c>
      <c r="B54" s="324"/>
      <c r="C54" s="324"/>
      <c r="D54" s="324"/>
      <c r="E54" s="324"/>
      <c r="F54" s="324"/>
      <c r="G54" s="2">
        <v>46001</v>
      </c>
      <c r="H54" s="323" t="s">
        <v>7</v>
      </c>
      <c r="I54" s="324"/>
      <c r="J54" s="324"/>
      <c r="K54" s="324"/>
      <c r="L54" s="324"/>
      <c r="M54" s="324"/>
      <c r="N54" s="324"/>
      <c r="O54" s="324"/>
      <c r="P54" s="324"/>
      <c r="Q54" s="324"/>
      <c r="R54" s="324"/>
    </row>
    <row r="55" spans="1:18" ht="24" customHeight="1" x14ac:dyDescent="0.3">
      <c r="A55" s="3" t="s">
        <v>8</v>
      </c>
      <c r="B55" s="3" t="s">
        <v>9</v>
      </c>
      <c r="C55" s="3" t="s">
        <v>10</v>
      </c>
      <c r="D55" s="3" t="s">
        <v>11</v>
      </c>
      <c r="E55" s="3" t="s">
        <v>12</v>
      </c>
      <c r="F55" s="4" t="s">
        <v>13</v>
      </c>
      <c r="G55" s="5" t="s">
        <v>14</v>
      </c>
      <c r="H55" s="3" t="s">
        <v>15</v>
      </c>
      <c r="I55" s="3" t="s">
        <v>16</v>
      </c>
      <c r="J55" s="3" t="s">
        <v>17</v>
      </c>
      <c r="K55" s="3" t="s">
        <v>18</v>
      </c>
      <c r="L55" s="3" t="s">
        <v>19</v>
      </c>
      <c r="M55" s="3" t="s">
        <v>20</v>
      </c>
      <c r="N55" s="3" t="s">
        <v>21</v>
      </c>
      <c r="O55" s="3" t="s">
        <v>22</v>
      </c>
      <c r="P55" s="3" t="s">
        <v>23</v>
      </c>
      <c r="Q55" s="3" t="s">
        <v>24</v>
      </c>
      <c r="R55" s="3" t="s">
        <v>25</v>
      </c>
    </row>
    <row r="56" spans="1:18" ht="49.95" customHeight="1" x14ac:dyDescent="0.3">
      <c r="A56" s="12" t="s">
        <v>44</v>
      </c>
      <c r="B56" s="12" t="s">
        <v>296</v>
      </c>
      <c r="C56" s="12">
        <v>0.94444444444444453</v>
      </c>
      <c r="D56" s="12" t="s">
        <v>46</v>
      </c>
      <c r="E56" s="12" t="s">
        <v>132</v>
      </c>
      <c r="F56" s="12" t="s">
        <v>322</v>
      </c>
      <c r="G56" s="335"/>
      <c r="H56" s="120" t="s">
        <v>298</v>
      </c>
      <c r="I56" s="121">
        <v>0.91620000000000001</v>
      </c>
      <c r="J56" s="122">
        <v>164</v>
      </c>
      <c r="K56" s="123" t="s">
        <v>311</v>
      </c>
      <c r="L56" s="122">
        <v>20</v>
      </c>
      <c r="M56" s="122">
        <v>0</v>
      </c>
      <c r="N56" s="122">
        <v>0</v>
      </c>
      <c r="O56" s="123" t="s">
        <v>323</v>
      </c>
      <c r="P56" s="123">
        <v>0.94444444444444453</v>
      </c>
      <c r="Q56" s="122">
        <v>179</v>
      </c>
      <c r="R56" s="124" t="s">
        <v>324</v>
      </c>
    </row>
  </sheetData>
  <mergeCells count="58">
    <mergeCell ref="K2:R2"/>
    <mergeCell ref="A40:F40"/>
    <mergeCell ref="A44:R44"/>
    <mergeCell ref="G10"/>
    <mergeCell ref="G6"/>
    <mergeCell ref="A34:R34"/>
    <mergeCell ref="G18"/>
    <mergeCell ref="H27:R27"/>
    <mergeCell ref="A30:R30"/>
    <mergeCell ref="A39:R39"/>
    <mergeCell ref="A15:R15"/>
    <mergeCell ref="H12:R12"/>
    <mergeCell ref="A11:R11"/>
    <mergeCell ref="G33"/>
    <mergeCell ref="G14"/>
    <mergeCell ref="G56"/>
    <mergeCell ref="G52"/>
    <mergeCell ref="A8:F8"/>
    <mergeCell ref="H21:R21"/>
    <mergeCell ref="G37:G38"/>
    <mergeCell ref="A35:F35"/>
    <mergeCell ref="G42"/>
    <mergeCell ref="A20:R20"/>
    <mergeCell ref="A53:R53"/>
    <mergeCell ref="A43:R43"/>
    <mergeCell ref="A19:R19"/>
    <mergeCell ref="H16:R16"/>
    <mergeCell ref="A31:F31"/>
    <mergeCell ref="H45:R45"/>
    <mergeCell ref="A48:R48"/>
    <mergeCell ref="A45:F45"/>
    <mergeCell ref="H1:L1"/>
    <mergeCell ref="A1:E1"/>
    <mergeCell ref="A12:F12"/>
    <mergeCell ref="G47"/>
    <mergeCell ref="A50:F50"/>
    <mergeCell ref="A21:F21"/>
    <mergeCell ref="H4:R4"/>
    <mergeCell ref="H50:R50"/>
    <mergeCell ref="H40:R40"/>
    <mergeCell ref="A2:F2"/>
    <mergeCell ref="A3:R3"/>
    <mergeCell ref="A26:R26"/>
    <mergeCell ref="H31:R31"/>
    <mergeCell ref="G2:J2"/>
    <mergeCell ref="A4:F4"/>
    <mergeCell ref="N1:R1"/>
    <mergeCell ref="A16:F16"/>
    <mergeCell ref="A54:F54"/>
    <mergeCell ref="H8:R8"/>
    <mergeCell ref="A7:R7"/>
    <mergeCell ref="G23:G24"/>
    <mergeCell ref="A25:R25"/>
    <mergeCell ref="H35:R35"/>
    <mergeCell ref="G29"/>
    <mergeCell ref="A27:F27"/>
    <mergeCell ref="H54:R54"/>
    <mergeCell ref="A49:R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2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9.109375" style="343" bestFit="1" customWidth="1"/>
    <col min="6" max="6" width="4.21875" style="343" bestFit="1" customWidth="1"/>
    <col min="7" max="7" width="10" style="343" bestFit="1" customWidth="1"/>
    <col min="8" max="10" width="8.5546875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5" width="3.88671875" style="343" bestFit="1" customWidth="1"/>
    <col min="26" max="26" width="4.109375" style="343" bestFit="1" customWidth="1"/>
    <col min="27" max="27" width="4" style="343" bestFit="1" customWidth="1"/>
    <col min="28" max="28" width="3.88671875" style="343" bestFit="1" customWidth="1"/>
    <col min="29" max="29" width="4.21875" style="343" bestFit="1" customWidth="1"/>
    <col min="30" max="30" width="3.88671875" style="343" bestFit="1" customWidth="1"/>
    <col min="31" max="31" width="4.5546875" style="343" bestFit="1" customWidth="1"/>
    <col min="32" max="34" width="3.88671875" style="343" bestFit="1" customWidth="1"/>
    <col min="35" max="35" width="5.21875" style="343" bestFit="1" customWidth="1"/>
    <col min="36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298</v>
      </c>
      <c r="D2" s="347" t="s">
        <v>325</v>
      </c>
      <c r="E2" s="346" t="s">
        <v>295</v>
      </c>
      <c r="F2" s="346" t="s">
        <v>214</v>
      </c>
      <c r="G2" s="348">
        <v>0.96650000000000003</v>
      </c>
      <c r="H2" s="349">
        <v>179</v>
      </c>
      <c r="I2" s="349">
        <v>173</v>
      </c>
      <c r="J2" s="349">
        <v>153</v>
      </c>
      <c r="K2" s="346" t="s">
        <v>215</v>
      </c>
      <c r="L2" s="350" t="s">
        <v>175</v>
      </c>
      <c r="M2" s="349">
        <v>3</v>
      </c>
      <c r="N2" s="349">
        <v>1</v>
      </c>
      <c r="O2" s="349">
        <v>10</v>
      </c>
      <c r="P2" s="346" t="s">
        <v>299</v>
      </c>
      <c r="Q2" s="342"/>
      <c r="R2" s="342"/>
      <c r="S2" s="342"/>
      <c r="T2" s="342"/>
      <c r="U2" s="342"/>
      <c r="V2" s="349" t="s">
        <v>326</v>
      </c>
      <c r="W2" s="349" t="s">
        <v>327</v>
      </c>
      <c r="X2" s="349" t="s">
        <v>328</v>
      </c>
      <c r="Y2" s="342"/>
      <c r="Z2" s="342"/>
      <c r="AA2" s="342"/>
      <c r="AB2" s="342"/>
      <c r="AC2" s="349" t="s">
        <v>329</v>
      </c>
      <c r="AD2" s="342"/>
      <c r="AE2" s="342"/>
      <c r="AF2" s="342"/>
      <c r="AG2" s="342"/>
      <c r="AH2" s="342"/>
      <c r="AI2" s="349" t="s">
        <v>330</v>
      </c>
      <c r="AJ2" s="342"/>
    </row>
    <row r="3" spans="1:36" x14ac:dyDescent="0.3">
      <c r="A3" s="344" t="s">
        <v>331</v>
      </c>
      <c r="B3" s="345">
        <v>45987</v>
      </c>
      <c r="C3" s="346" t="s">
        <v>298</v>
      </c>
      <c r="D3" s="347" t="s">
        <v>332</v>
      </c>
      <c r="E3" s="346" t="s">
        <v>295</v>
      </c>
      <c r="F3" s="346" t="s">
        <v>214</v>
      </c>
      <c r="G3" s="348">
        <v>0.94410000000000005</v>
      </c>
      <c r="H3" s="349">
        <v>179</v>
      </c>
      <c r="I3" s="349">
        <v>169</v>
      </c>
      <c r="J3" s="349">
        <v>135</v>
      </c>
      <c r="K3" s="346" t="s">
        <v>215</v>
      </c>
      <c r="L3" s="350" t="s">
        <v>50</v>
      </c>
      <c r="M3" s="349">
        <v>0</v>
      </c>
      <c r="N3" s="349">
        <v>2</v>
      </c>
      <c r="O3" s="349">
        <v>2</v>
      </c>
      <c r="P3" s="346" t="s">
        <v>302</v>
      </c>
      <c r="Q3" s="342"/>
      <c r="R3" s="342"/>
      <c r="S3" s="342"/>
      <c r="T3" s="342"/>
      <c r="U3" s="349" t="s">
        <v>299</v>
      </c>
      <c r="V3" s="342"/>
      <c r="W3" s="342"/>
      <c r="X3" s="342"/>
      <c r="Y3" s="342"/>
      <c r="Z3" s="349" t="s">
        <v>333</v>
      </c>
      <c r="AA3" s="342"/>
      <c r="AB3" s="342"/>
      <c r="AC3" s="349" t="s">
        <v>334</v>
      </c>
      <c r="AD3" s="349" t="s">
        <v>266</v>
      </c>
      <c r="AE3" s="349" t="s">
        <v>267</v>
      </c>
      <c r="AF3" s="349" t="s">
        <v>335</v>
      </c>
      <c r="AG3" s="342"/>
      <c r="AH3" s="342"/>
      <c r="AI3" s="349" t="s">
        <v>278</v>
      </c>
      <c r="AJ3" s="342"/>
    </row>
    <row r="4" spans="1:36" x14ac:dyDescent="0.3">
      <c r="A4" s="344" t="s">
        <v>240</v>
      </c>
      <c r="B4" s="345">
        <v>45988</v>
      </c>
      <c r="C4" s="346" t="s">
        <v>298</v>
      </c>
      <c r="D4" s="347" t="s">
        <v>336</v>
      </c>
      <c r="E4" s="346" t="s">
        <v>295</v>
      </c>
      <c r="F4" s="346" t="s">
        <v>214</v>
      </c>
      <c r="G4" s="348">
        <v>0.97770000000000001</v>
      </c>
      <c r="H4" s="349">
        <v>179</v>
      </c>
      <c r="I4" s="349">
        <v>175</v>
      </c>
      <c r="J4" s="349">
        <v>121</v>
      </c>
      <c r="K4" s="346" t="s">
        <v>215</v>
      </c>
      <c r="L4" s="350" t="s">
        <v>50</v>
      </c>
      <c r="M4" s="349">
        <v>0</v>
      </c>
      <c r="N4" s="349">
        <v>2</v>
      </c>
      <c r="O4" s="349">
        <v>7</v>
      </c>
      <c r="P4" s="346" t="s">
        <v>304</v>
      </c>
      <c r="Q4" s="342"/>
      <c r="R4" s="342"/>
      <c r="S4" s="342"/>
      <c r="T4" s="342"/>
      <c r="U4" s="342"/>
      <c r="V4" s="342"/>
      <c r="W4" s="349" t="s">
        <v>337</v>
      </c>
      <c r="X4" s="349" t="s">
        <v>328</v>
      </c>
      <c r="Y4" s="342"/>
      <c r="Z4" s="349" t="s">
        <v>338</v>
      </c>
      <c r="AA4" s="342"/>
      <c r="AB4" s="349" t="s">
        <v>339</v>
      </c>
      <c r="AC4" s="349" t="s">
        <v>226</v>
      </c>
      <c r="AD4" s="342"/>
      <c r="AE4" s="342"/>
      <c r="AF4" s="342"/>
      <c r="AG4" s="342"/>
      <c r="AH4" s="342"/>
      <c r="AI4" s="349" t="s">
        <v>340</v>
      </c>
      <c r="AJ4" s="342"/>
    </row>
    <row r="5" spans="1:36" x14ac:dyDescent="0.3">
      <c r="A5" s="344" t="s">
        <v>254</v>
      </c>
      <c r="B5" s="345">
        <v>45991</v>
      </c>
      <c r="C5" s="346" t="s">
        <v>298</v>
      </c>
      <c r="D5" s="347" t="s">
        <v>341</v>
      </c>
      <c r="E5" s="346" t="s">
        <v>295</v>
      </c>
      <c r="F5" s="346" t="s">
        <v>214</v>
      </c>
      <c r="G5" s="348">
        <v>0.94969999999999999</v>
      </c>
      <c r="H5" s="349">
        <v>179</v>
      </c>
      <c r="I5" s="349">
        <v>170</v>
      </c>
      <c r="J5" s="349">
        <v>144</v>
      </c>
      <c r="K5" s="346" t="s">
        <v>215</v>
      </c>
      <c r="L5" s="350" t="s">
        <v>50</v>
      </c>
      <c r="M5" s="349">
        <v>0</v>
      </c>
      <c r="N5" s="349">
        <v>2</v>
      </c>
      <c r="O5" s="349">
        <v>6</v>
      </c>
      <c r="P5" s="346" t="s">
        <v>309</v>
      </c>
      <c r="Q5" s="342"/>
      <c r="R5" s="342"/>
      <c r="S5" s="342"/>
      <c r="T5" s="349" t="s">
        <v>342</v>
      </c>
      <c r="U5" s="342"/>
      <c r="V5" s="342"/>
      <c r="W5" s="342"/>
      <c r="X5" s="342"/>
      <c r="Y5" s="342"/>
      <c r="Z5" s="349" t="s">
        <v>343</v>
      </c>
      <c r="AA5" s="342"/>
      <c r="AB5" s="342"/>
      <c r="AC5" s="349" t="s">
        <v>265</v>
      </c>
      <c r="AD5" s="342"/>
      <c r="AE5" s="342"/>
      <c r="AF5" s="342"/>
      <c r="AG5" s="342"/>
      <c r="AH5" s="342"/>
      <c r="AI5" s="349" t="s">
        <v>344</v>
      </c>
      <c r="AJ5" s="342"/>
    </row>
    <row r="6" spans="1:36" x14ac:dyDescent="0.3">
      <c r="A6" s="344" t="s">
        <v>212</v>
      </c>
      <c r="B6" s="345">
        <v>45993</v>
      </c>
      <c r="C6" s="346" t="s">
        <v>298</v>
      </c>
      <c r="D6" s="347" t="s">
        <v>325</v>
      </c>
      <c r="E6" s="346" t="s">
        <v>295</v>
      </c>
      <c r="F6" s="346" t="s">
        <v>214</v>
      </c>
      <c r="G6" s="348">
        <v>1</v>
      </c>
      <c r="H6" s="349">
        <v>179</v>
      </c>
      <c r="I6" s="349">
        <v>179</v>
      </c>
      <c r="J6" s="349">
        <v>161</v>
      </c>
      <c r="K6" s="346" t="s">
        <v>215</v>
      </c>
      <c r="L6" s="350" t="s">
        <v>311</v>
      </c>
      <c r="M6" s="349">
        <v>0</v>
      </c>
      <c r="N6" s="349">
        <v>0</v>
      </c>
      <c r="O6" s="349">
        <v>3</v>
      </c>
      <c r="P6" s="346" t="s">
        <v>64</v>
      </c>
      <c r="Q6" s="342"/>
      <c r="R6" s="342"/>
      <c r="S6" s="342"/>
      <c r="T6" s="342"/>
      <c r="U6" s="342"/>
      <c r="V6" s="342"/>
      <c r="W6" s="342"/>
      <c r="X6" s="342"/>
      <c r="Y6" s="342"/>
      <c r="Z6" s="349" t="s">
        <v>345</v>
      </c>
      <c r="AA6" s="342"/>
      <c r="AB6" s="342"/>
      <c r="AC6" s="342"/>
      <c r="AD6" s="342"/>
      <c r="AE6" s="349" t="s">
        <v>346</v>
      </c>
      <c r="AF6" s="349" t="s">
        <v>347</v>
      </c>
      <c r="AG6" s="342"/>
      <c r="AH6" s="342"/>
      <c r="AI6" s="349" t="s">
        <v>348</v>
      </c>
      <c r="AJ6" s="342"/>
    </row>
    <row r="7" spans="1:36" x14ac:dyDescent="0.3">
      <c r="A7" s="344" t="s">
        <v>331</v>
      </c>
      <c r="B7" s="345">
        <v>45994</v>
      </c>
      <c r="C7" s="346" t="s">
        <v>298</v>
      </c>
      <c r="D7" s="347" t="s">
        <v>332</v>
      </c>
      <c r="E7" s="346" t="s">
        <v>295</v>
      </c>
      <c r="F7" s="346" t="s">
        <v>214</v>
      </c>
      <c r="G7" s="348">
        <v>1</v>
      </c>
      <c r="H7" s="349">
        <v>179</v>
      </c>
      <c r="I7" s="349">
        <v>179</v>
      </c>
      <c r="J7" s="349">
        <v>173</v>
      </c>
      <c r="K7" s="346" t="s">
        <v>215</v>
      </c>
      <c r="L7" s="350" t="s">
        <v>311</v>
      </c>
      <c r="M7" s="349">
        <v>0</v>
      </c>
      <c r="N7" s="349">
        <v>0</v>
      </c>
      <c r="O7" s="349">
        <v>2</v>
      </c>
      <c r="P7" s="346" t="s">
        <v>64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333</v>
      </c>
      <c r="AA7" s="342"/>
      <c r="AB7" s="342"/>
      <c r="AC7" s="342"/>
      <c r="AD7" s="342"/>
      <c r="AE7" s="342"/>
      <c r="AF7" s="349" t="s">
        <v>217</v>
      </c>
      <c r="AG7" s="342"/>
      <c r="AH7" s="342"/>
      <c r="AI7" s="349" t="s">
        <v>349</v>
      </c>
      <c r="AJ7" s="342"/>
    </row>
    <row r="8" spans="1:36" x14ac:dyDescent="0.3">
      <c r="A8" s="344" t="s">
        <v>240</v>
      </c>
      <c r="B8" s="345">
        <v>45995</v>
      </c>
      <c r="C8" s="346" t="s">
        <v>298</v>
      </c>
      <c r="D8" s="347" t="s">
        <v>336</v>
      </c>
      <c r="E8" s="346" t="s">
        <v>295</v>
      </c>
      <c r="F8" s="346" t="s">
        <v>214</v>
      </c>
      <c r="G8" s="348">
        <v>0.94969999999999999</v>
      </c>
      <c r="H8" s="349">
        <v>179</v>
      </c>
      <c r="I8" s="349">
        <v>170</v>
      </c>
      <c r="J8" s="349">
        <v>130</v>
      </c>
      <c r="K8" s="346" t="s">
        <v>215</v>
      </c>
      <c r="L8" s="350" t="s">
        <v>50</v>
      </c>
      <c r="M8" s="349">
        <v>0</v>
      </c>
      <c r="N8" s="349">
        <v>1</v>
      </c>
      <c r="O8" s="349">
        <v>10</v>
      </c>
      <c r="P8" s="346" t="s">
        <v>317</v>
      </c>
      <c r="Q8" s="349" t="s">
        <v>350</v>
      </c>
      <c r="R8" s="342"/>
      <c r="S8" s="342"/>
      <c r="T8" s="342"/>
      <c r="U8" s="342"/>
      <c r="V8" s="342"/>
      <c r="W8" s="342"/>
      <c r="X8" s="349" t="s">
        <v>351</v>
      </c>
      <c r="Y8" s="342"/>
      <c r="Z8" s="349" t="s">
        <v>352</v>
      </c>
      <c r="AA8" s="342"/>
      <c r="AB8" s="342"/>
      <c r="AC8" s="342"/>
      <c r="AD8" s="349" t="s">
        <v>262</v>
      </c>
      <c r="AE8" s="349" t="s">
        <v>228</v>
      </c>
      <c r="AF8" s="349" t="s">
        <v>353</v>
      </c>
      <c r="AG8" s="342"/>
      <c r="AH8" s="342"/>
      <c r="AI8" s="349" t="s">
        <v>354</v>
      </c>
      <c r="AJ8" s="342"/>
    </row>
    <row r="9" spans="1:36" x14ac:dyDescent="0.3">
      <c r="A9" s="344" t="s">
        <v>254</v>
      </c>
      <c r="B9" s="345">
        <v>45998</v>
      </c>
      <c r="C9" s="346" t="s">
        <v>298</v>
      </c>
      <c r="D9" s="347" t="s">
        <v>341</v>
      </c>
      <c r="E9" s="346" t="s">
        <v>295</v>
      </c>
      <c r="F9" s="346" t="s">
        <v>214</v>
      </c>
      <c r="G9" s="348">
        <v>0.95530000000000004</v>
      </c>
      <c r="H9" s="349">
        <v>179</v>
      </c>
      <c r="I9" s="349">
        <v>171</v>
      </c>
      <c r="J9" s="349">
        <v>134</v>
      </c>
      <c r="K9" s="346" t="s">
        <v>215</v>
      </c>
      <c r="L9" s="350" t="s">
        <v>50</v>
      </c>
      <c r="M9" s="349">
        <v>0</v>
      </c>
      <c r="N9" s="349">
        <v>4</v>
      </c>
      <c r="O9" s="349">
        <v>6</v>
      </c>
      <c r="P9" s="346" t="s">
        <v>319</v>
      </c>
      <c r="Q9" s="342"/>
      <c r="R9" s="342"/>
      <c r="S9" s="342"/>
      <c r="T9" s="342"/>
      <c r="U9" s="342"/>
      <c r="V9" s="342"/>
      <c r="W9" s="342"/>
      <c r="X9" s="342"/>
      <c r="Y9" s="349" t="s">
        <v>319</v>
      </c>
      <c r="Z9" s="349" t="s">
        <v>264</v>
      </c>
      <c r="AA9" s="342"/>
      <c r="AB9" s="342"/>
      <c r="AC9" s="349" t="s">
        <v>279</v>
      </c>
      <c r="AD9" s="349" t="s">
        <v>245</v>
      </c>
      <c r="AE9" s="349" t="s">
        <v>228</v>
      </c>
      <c r="AF9" s="349" t="s">
        <v>229</v>
      </c>
      <c r="AG9" s="342"/>
      <c r="AH9" s="342"/>
      <c r="AI9" s="349" t="s">
        <v>355</v>
      </c>
      <c r="AJ9" s="342"/>
    </row>
    <row r="10" spans="1:36" x14ac:dyDescent="0.3">
      <c r="A10" s="344" t="s">
        <v>212</v>
      </c>
      <c r="B10" s="345">
        <v>46000</v>
      </c>
      <c r="C10" s="346" t="s">
        <v>298</v>
      </c>
      <c r="D10" s="347" t="s">
        <v>325</v>
      </c>
      <c r="E10" s="346" t="s">
        <v>295</v>
      </c>
      <c r="F10" s="346" t="s">
        <v>214</v>
      </c>
      <c r="G10" s="348">
        <v>0.98880000000000001</v>
      </c>
      <c r="H10" s="349">
        <v>179</v>
      </c>
      <c r="I10" s="349">
        <v>177</v>
      </c>
      <c r="J10" s="349">
        <v>161</v>
      </c>
      <c r="K10" s="346" t="s">
        <v>215</v>
      </c>
      <c r="L10" s="350" t="s">
        <v>175</v>
      </c>
      <c r="M10" s="349">
        <v>4</v>
      </c>
      <c r="N10" s="349">
        <v>0</v>
      </c>
      <c r="O10" s="349">
        <v>9</v>
      </c>
      <c r="P10" s="346" t="s">
        <v>173</v>
      </c>
      <c r="Q10" s="342"/>
      <c r="R10" s="342"/>
      <c r="S10" s="342"/>
      <c r="T10" s="342"/>
      <c r="U10" s="342"/>
      <c r="V10" s="342"/>
      <c r="W10" s="342"/>
      <c r="X10" s="342"/>
      <c r="Y10" s="349" t="s">
        <v>51</v>
      </c>
      <c r="Z10" s="349" t="s">
        <v>333</v>
      </c>
      <c r="AA10" s="342"/>
      <c r="AB10" s="342"/>
      <c r="AC10" s="342"/>
      <c r="AD10" s="342"/>
      <c r="AE10" s="342"/>
      <c r="AF10" s="349" t="s">
        <v>356</v>
      </c>
      <c r="AG10" s="342"/>
      <c r="AH10" s="342"/>
      <c r="AI10" s="349" t="s">
        <v>348</v>
      </c>
      <c r="AJ10" s="342"/>
    </row>
    <row r="11" spans="1:36" x14ac:dyDescent="0.3">
      <c r="A11" s="344" t="s">
        <v>331</v>
      </c>
      <c r="B11" s="345">
        <v>46001</v>
      </c>
      <c r="C11" s="346" t="s">
        <v>298</v>
      </c>
      <c r="D11" s="347" t="s">
        <v>332</v>
      </c>
      <c r="E11" s="346" t="s">
        <v>295</v>
      </c>
      <c r="F11" s="346" t="s">
        <v>214</v>
      </c>
      <c r="G11" s="348">
        <v>0.91620000000000001</v>
      </c>
      <c r="H11" s="349">
        <v>179</v>
      </c>
      <c r="I11" s="349">
        <v>164</v>
      </c>
      <c r="J11" s="349">
        <v>133</v>
      </c>
      <c r="K11" s="346" t="s">
        <v>215</v>
      </c>
      <c r="L11" s="350" t="s">
        <v>311</v>
      </c>
      <c r="M11" s="349">
        <v>0</v>
      </c>
      <c r="N11" s="349">
        <v>0</v>
      </c>
      <c r="O11" s="349">
        <v>20</v>
      </c>
      <c r="P11" s="346" t="s">
        <v>323</v>
      </c>
      <c r="Q11" s="342"/>
      <c r="R11" s="342"/>
      <c r="S11" s="342"/>
      <c r="T11" s="342"/>
      <c r="U11" s="342"/>
      <c r="V11" s="342"/>
      <c r="W11" s="342"/>
      <c r="X11" s="349" t="s">
        <v>357</v>
      </c>
      <c r="Y11" s="349" t="s">
        <v>319</v>
      </c>
      <c r="Z11" s="349" t="s">
        <v>258</v>
      </c>
      <c r="AA11" s="349" t="s">
        <v>259</v>
      </c>
      <c r="AB11" s="349" t="s">
        <v>339</v>
      </c>
      <c r="AC11" s="349" t="s">
        <v>329</v>
      </c>
      <c r="AD11" s="342"/>
      <c r="AE11" s="342"/>
      <c r="AF11" s="342"/>
      <c r="AG11" s="342"/>
      <c r="AH11" s="342"/>
      <c r="AI11" s="349" t="s">
        <v>252</v>
      </c>
      <c r="AJ11" s="342"/>
    </row>
    <row r="12" spans="1:36" ht="21" x14ac:dyDescent="0.3">
      <c r="A12" s="351" t="s">
        <v>1574</v>
      </c>
      <c r="B12" s="352"/>
      <c r="C12" s="351">
        <f>SUBTOTAL(103,MED_HBE_LF_LEGACY[Flt])</f>
        <v>10</v>
      </c>
      <c r="D12" s="351"/>
      <c r="E12" s="351">
        <f>SUBTOTAL(103,MED_HBE_LF_LEGACY[Brd-Off])</f>
        <v>10</v>
      </c>
      <c r="F12" s="351"/>
      <c r="G12" s="353">
        <f>SUBTOTAL(101,MED_HBE_LF_LEGACY[LF%])</f>
        <v>0.96479999999999999</v>
      </c>
      <c r="H12" s="354">
        <f>SUBTOTAL(109,MED_HBE_LF_LEGACY[CAP])</f>
        <v>1790</v>
      </c>
      <c r="I12" s="354">
        <f>SUBTOTAL(109,MED_HBE_LF_LEGACY[BKG(Y)])</f>
        <v>1727</v>
      </c>
      <c r="J12" s="354">
        <f>SUBTOTAL(109,MED_HBE_LF_LEGACY[GRP(Y)])</f>
        <v>1445</v>
      </c>
      <c r="K12" s="351"/>
      <c r="L12" s="352"/>
      <c r="M12" s="354">
        <f>SUBTOTAL(109,MED_HBE_LF_LEGACY[TO-DAY])</f>
        <v>7</v>
      </c>
      <c r="N12" s="354">
        <f>SUBTOTAL(109,MED_HBE_LF_LEGACY[Y-DAY])</f>
        <v>12</v>
      </c>
      <c r="O12" s="354">
        <f>SUBTOTAL(109,MED_HBE_LF_LEGACY[WEEKLY])</f>
        <v>75</v>
      </c>
      <c r="P12" s="355"/>
      <c r="Q12" s="354">
        <f>SUBTOTAL(109,MED_HBE_LF_LEGACY[Y])</f>
        <v>0</v>
      </c>
      <c r="R12" s="354">
        <f>SUBTOTAL(109,MED_HBE_LF_LEGACY[B])</f>
        <v>0</v>
      </c>
      <c r="S12" s="354">
        <f>SUBTOTAL(109,MED_HBE_LF_LEGACY[M])</f>
        <v>0</v>
      </c>
      <c r="T12" s="354">
        <f>SUBTOTAL(109,MED_HBE_LF_LEGACY[H])</f>
        <v>0</v>
      </c>
      <c r="U12" s="354">
        <f>SUBTOTAL(109,MED_HBE_LF_LEGACY[Q])</f>
        <v>0</v>
      </c>
      <c r="V12" s="354">
        <f>SUBTOTAL(109,MED_HBE_LF_LEGACY[K])</f>
        <v>0</v>
      </c>
      <c r="W12" s="354">
        <f>SUBTOTAL(109,MED_HBE_LF_LEGACY[V])</f>
        <v>0</v>
      </c>
      <c r="X12" s="354">
        <f>SUBTOTAL(109,MED_HBE_LF_LEGACY[L])</f>
        <v>0</v>
      </c>
      <c r="Y12" s="354">
        <f>SUBTOTAL(109,MED_HBE_LF_LEGACY[G])</f>
        <v>0</v>
      </c>
      <c r="Z12" s="354">
        <f>SUBTOTAL(109,MED_HBE_LF_LEGACY[S])</f>
        <v>0</v>
      </c>
      <c r="AA12" s="354">
        <f>SUBTOTAL(109,MED_HBE_LF_LEGACY[W])</f>
        <v>0</v>
      </c>
      <c r="AB12" s="354">
        <f>SUBTOTAL(109,MED_HBE_LF_LEGACY[T])</f>
        <v>0</v>
      </c>
      <c r="AC12" s="354">
        <f>SUBTOTAL(109,MED_HBE_LF_LEGACY[X])</f>
        <v>0</v>
      </c>
      <c r="AD12" s="354">
        <f>SUBTOTAL(109,MED_HBE_LF_LEGACY[U])</f>
        <v>0</v>
      </c>
      <c r="AE12" s="354">
        <f>SUBTOTAL(109,MED_HBE_LF_LEGACY[O])</f>
        <v>0</v>
      </c>
      <c r="AF12" s="354">
        <f>SUBTOTAL(109,MED_HBE_LF_LEGACY[I])</f>
        <v>0</v>
      </c>
      <c r="AG12" s="354">
        <f>SUBTOTAL(109,MED_HBE_LF_LEGACY[E])</f>
        <v>0</v>
      </c>
      <c r="AH12" s="354">
        <f>SUBTOTAL(109,MED_HBE_LF_LEGACY[A])</f>
        <v>0</v>
      </c>
      <c r="AI12" s="354">
        <f>SUBTOTAL(109,MED_HBE_LF_LEGACY[P])</f>
        <v>0</v>
      </c>
      <c r="AJ12" s="354">
        <f>SUBTOTAL(103,MED_HBE_LF_LEGACY[N])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180.1093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292</v>
      </c>
      <c r="B2" s="109" t="s">
        <v>44</v>
      </c>
      <c r="C2" s="110" t="s">
        <v>296</v>
      </c>
      <c r="D2" s="109" t="s">
        <v>295</v>
      </c>
      <c r="E2" s="109" t="s">
        <v>325</v>
      </c>
      <c r="F2" s="109" t="s">
        <v>46</v>
      </c>
      <c r="G2" s="141">
        <v>3</v>
      </c>
      <c r="H2" s="112" t="s">
        <v>297</v>
      </c>
      <c r="I2" s="88"/>
    </row>
    <row r="3" spans="1:9" ht="19.8" customHeight="1" x14ac:dyDescent="0.3">
      <c r="A3" s="108">
        <v>45987</v>
      </c>
      <c r="B3" s="109" t="s">
        <v>44</v>
      </c>
      <c r="C3" s="110" t="s">
        <v>296</v>
      </c>
      <c r="D3" s="109" t="s">
        <v>295</v>
      </c>
      <c r="E3" s="111">
        <v>1.944444444444444</v>
      </c>
      <c r="F3" s="109" t="s">
        <v>46</v>
      </c>
      <c r="G3" s="141">
        <v>5</v>
      </c>
      <c r="H3" s="112" t="s">
        <v>301</v>
      </c>
      <c r="I3" s="88"/>
    </row>
    <row r="4" spans="1:9" ht="19.8" customHeight="1" x14ac:dyDescent="0.3">
      <c r="A4" s="108">
        <v>45988</v>
      </c>
      <c r="B4" s="109" t="s">
        <v>44</v>
      </c>
      <c r="C4" s="110" t="s">
        <v>296</v>
      </c>
      <c r="D4" s="109" t="s">
        <v>295</v>
      </c>
      <c r="E4" s="111">
        <v>1.645833333333333</v>
      </c>
      <c r="F4" s="109" t="s">
        <v>46</v>
      </c>
      <c r="G4" s="141">
        <v>4</v>
      </c>
      <c r="H4" s="112" t="s">
        <v>139</v>
      </c>
      <c r="I4" s="88"/>
    </row>
    <row r="5" spans="1:9" ht="19.8" customHeight="1" x14ac:dyDescent="0.3">
      <c r="A5" s="113">
        <v>45989</v>
      </c>
      <c r="B5" s="114" t="s">
        <v>66</v>
      </c>
      <c r="C5" s="115" t="s">
        <v>306</v>
      </c>
      <c r="D5" s="114" t="s">
        <v>295</v>
      </c>
      <c r="E5" s="116">
        <v>1.520833333333333</v>
      </c>
      <c r="F5" s="114" t="s">
        <v>68</v>
      </c>
      <c r="G5" s="117">
        <v>9</v>
      </c>
      <c r="H5" s="142">
        <v>941</v>
      </c>
      <c r="I5" s="88"/>
    </row>
    <row r="6" spans="1:9" ht="19.8" customHeight="1" x14ac:dyDescent="0.3">
      <c r="A6" s="103">
        <v>45991</v>
      </c>
      <c r="B6" s="94" t="s">
        <v>66</v>
      </c>
      <c r="C6" s="95" t="s">
        <v>306</v>
      </c>
      <c r="D6" s="94" t="s">
        <v>295</v>
      </c>
      <c r="E6" s="104">
        <v>1.520833333333333</v>
      </c>
      <c r="F6" s="94" t="s">
        <v>68</v>
      </c>
      <c r="G6" s="96">
        <v>1</v>
      </c>
      <c r="H6" s="107" t="s">
        <v>308</v>
      </c>
      <c r="I6" s="88"/>
    </row>
    <row r="7" spans="1:9" ht="19.8" customHeight="1" x14ac:dyDescent="0.3">
      <c r="A7" s="108">
        <v>45991</v>
      </c>
      <c r="B7" s="109" t="s">
        <v>44</v>
      </c>
      <c r="C7" s="110" t="s">
        <v>296</v>
      </c>
      <c r="D7" s="109" t="s">
        <v>295</v>
      </c>
      <c r="E7" s="111">
        <v>1.4027777777777779</v>
      </c>
      <c r="F7" s="109" t="s">
        <v>46</v>
      </c>
      <c r="G7" s="141">
        <v>9</v>
      </c>
      <c r="H7" s="112" t="s">
        <v>118</v>
      </c>
      <c r="I7" s="88"/>
    </row>
    <row r="8" spans="1:9" ht="19.8" customHeight="1" x14ac:dyDescent="0.3">
      <c r="A8" s="108">
        <v>45993</v>
      </c>
      <c r="B8" s="109" t="s">
        <v>44</v>
      </c>
      <c r="C8" s="110" t="s">
        <v>296</v>
      </c>
      <c r="D8" s="109" t="s">
        <v>295</v>
      </c>
      <c r="E8" s="111">
        <v>1.3263888888888891</v>
      </c>
      <c r="F8" s="109"/>
      <c r="G8" s="109"/>
      <c r="H8" s="112" t="s">
        <v>62</v>
      </c>
      <c r="I8" s="88"/>
    </row>
    <row r="9" spans="1:9" ht="19.8" customHeight="1" x14ac:dyDescent="0.3">
      <c r="A9" s="108">
        <v>45994</v>
      </c>
      <c r="B9" s="109" t="s">
        <v>44</v>
      </c>
      <c r="C9" s="110" t="s">
        <v>296</v>
      </c>
      <c r="D9" s="109" t="s">
        <v>295</v>
      </c>
      <c r="E9" s="111">
        <v>1.944444444444444</v>
      </c>
      <c r="F9" s="109"/>
      <c r="G9" s="109"/>
      <c r="H9" s="112" t="s">
        <v>62</v>
      </c>
      <c r="I9" s="88"/>
    </row>
    <row r="10" spans="1:9" ht="19.8" customHeight="1" x14ac:dyDescent="0.3">
      <c r="A10" s="103">
        <v>45995</v>
      </c>
      <c r="B10" s="94" t="s">
        <v>66</v>
      </c>
      <c r="C10" s="95" t="s">
        <v>306</v>
      </c>
      <c r="D10" s="94" t="s">
        <v>295</v>
      </c>
      <c r="E10" s="104">
        <v>1.520833333333333</v>
      </c>
      <c r="F10" s="94" t="s">
        <v>68</v>
      </c>
      <c r="G10" s="96">
        <v>8</v>
      </c>
      <c r="H10" s="107" t="s">
        <v>315</v>
      </c>
      <c r="I10" s="88"/>
    </row>
    <row r="11" spans="1:9" ht="19.8" customHeight="1" x14ac:dyDescent="0.3">
      <c r="A11" s="108">
        <v>45995</v>
      </c>
      <c r="B11" s="109" t="s">
        <v>44</v>
      </c>
      <c r="C11" s="110" t="s">
        <v>296</v>
      </c>
      <c r="D11" s="109" t="s">
        <v>295</v>
      </c>
      <c r="E11" s="111">
        <v>1.645833333333333</v>
      </c>
      <c r="F11" s="109" t="s">
        <v>46</v>
      </c>
      <c r="G11" s="141">
        <v>5</v>
      </c>
      <c r="H11" s="112" t="s">
        <v>316</v>
      </c>
      <c r="I11" s="88"/>
    </row>
    <row r="12" spans="1:9" ht="19.8" customHeight="1" x14ac:dyDescent="0.3">
      <c r="A12" s="113">
        <v>45996</v>
      </c>
      <c r="B12" s="114" t="s">
        <v>66</v>
      </c>
      <c r="C12" s="115" t="s">
        <v>306</v>
      </c>
      <c r="D12" s="114" t="s">
        <v>295</v>
      </c>
      <c r="E12" s="116">
        <v>1.520833333333333</v>
      </c>
      <c r="F12" s="114" t="s">
        <v>68</v>
      </c>
      <c r="G12" s="117">
        <v>9</v>
      </c>
      <c r="H12" s="142">
        <v>941</v>
      </c>
      <c r="I12" s="88"/>
    </row>
    <row r="13" spans="1:9" ht="19.8" customHeight="1" x14ac:dyDescent="0.3">
      <c r="A13" s="108">
        <v>45998</v>
      </c>
      <c r="B13" s="109" t="s">
        <v>44</v>
      </c>
      <c r="C13" s="110" t="s">
        <v>296</v>
      </c>
      <c r="D13" s="109" t="s">
        <v>295</v>
      </c>
      <c r="E13" s="111">
        <v>1.4027777777777779</v>
      </c>
      <c r="F13" s="109" t="s">
        <v>46</v>
      </c>
      <c r="G13" s="141">
        <v>4</v>
      </c>
      <c r="H13" s="143">
        <v>758</v>
      </c>
      <c r="I13" s="88"/>
    </row>
    <row r="14" spans="1:9" ht="19.8" customHeight="1" x14ac:dyDescent="0.3">
      <c r="A14" s="108">
        <v>46000</v>
      </c>
      <c r="B14" s="109" t="s">
        <v>44</v>
      </c>
      <c r="C14" s="110" t="s">
        <v>296</v>
      </c>
      <c r="D14" s="109" t="s">
        <v>295</v>
      </c>
      <c r="E14" s="111">
        <v>1.3263888888888891</v>
      </c>
      <c r="F14" s="109" t="s">
        <v>46</v>
      </c>
      <c r="G14" s="141">
        <v>2</v>
      </c>
      <c r="H14" s="143">
        <v>758</v>
      </c>
      <c r="I14" s="88"/>
    </row>
    <row r="15" spans="1:9" ht="19.8" customHeight="1" x14ac:dyDescent="0.3">
      <c r="A15" s="108">
        <v>46001</v>
      </c>
      <c r="B15" s="109" t="s">
        <v>44</v>
      </c>
      <c r="C15" s="110" t="s">
        <v>296</v>
      </c>
      <c r="D15" s="109" t="s">
        <v>295</v>
      </c>
      <c r="E15" s="111">
        <v>1.944444444444444</v>
      </c>
      <c r="F15" s="109" t="s">
        <v>46</v>
      </c>
      <c r="G15" s="141">
        <v>1</v>
      </c>
      <c r="H15" s="143">
        <v>836</v>
      </c>
      <c r="I15" s="88"/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332031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8.2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358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45982.804255891388</v>
      </c>
      <c r="H2" s="330"/>
      <c r="I2" s="330"/>
      <c r="J2" s="330"/>
      <c r="K2" s="334">
        <v>45982.804255891853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22.05" customHeight="1" x14ac:dyDescent="0.3">
      <c r="A5" s="323" t="s">
        <v>6</v>
      </c>
      <c r="B5" s="324"/>
      <c r="C5" s="324"/>
      <c r="D5" s="324"/>
      <c r="E5" s="324"/>
      <c r="F5" s="324"/>
      <c r="G5" s="2">
        <v>45987</v>
      </c>
      <c r="H5" s="323" t="s">
        <v>7</v>
      </c>
      <c r="I5" s="324"/>
      <c r="J5" s="324"/>
      <c r="K5" s="324"/>
      <c r="L5" s="324"/>
      <c r="M5" s="324"/>
      <c r="N5" s="324"/>
      <c r="O5" s="324"/>
      <c r="P5" s="324"/>
      <c r="Q5" s="324"/>
      <c r="R5" s="324"/>
    </row>
    <row r="6" spans="1:18" ht="24" customHeight="1" x14ac:dyDescent="0.3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4" t="s">
        <v>13</v>
      </c>
      <c r="G6" s="5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25</v>
      </c>
    </row>
    <row r="7" spans="1:18" ht="49.95" customHeight="1" x14ac:dyDescent="0.3">
      <c r="A7" s="44" t="s">
        <v>44</v>
      </c>
      <c r="B7" s="44" t="s">
        <v>359</v>
      </c>
      <c r="C7" s="44">
        <v>0.61805555555555558</v>
      </c>
      <c r="D7" s="44" t="s">
        <v>46</v>
      </c>
      <c r="E7" s="44" t="s">
        <v>81</v>
      </c>
      <c r="F7" s="44" t="s">
        <v>360</v>
      </c>
      <c r="G7" s="335"/>
      <c r="H7" s="144" t="s">
        <v>361</v>
      </c>
      <c r="I7" s="145">
        <v>0.77380000000000004</v>
      </c>
      <c r="J7" s="146">
        <v>130</v>
      </c>
      <c r="K7" s="147" t="s">
        <v>175</v>
      </c>
      <c r="L7" s="146">
        <v>36</v>
      </c>
      <c r="M7" s="146">
        <v>1</v>
      </c>
      <c r="N7" s="146">
        <v>15</v>
      </c>
      <c r="O7" s="147" t="s">
        <v>245</v>
      </c>
      <c r="P7" s="147">
        <v>0.61805555555555558</v>
      </c>
      <c r="Q7" s="146">
        <v>168</v>
      </c>
      <c r="R7" s="148" t="s">
        <v>362</v>
      </c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17.399999999999999" customHeigh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2"/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22.05" customHeight="1" x14ac:dyDescent="0.3">
      <c r="A11" s="323" t="s">
        <v>6</v>
      </c>
      <c r="B11" s="324"/>
      <c r="C11" s="324"/>
      <c r="D11" s="324"/>
      <c r="E11" s="324"/>
      <c r="F11" s="324"/>
      <c r="G11" s="2">
        <v>45990</v>
      </c>
      <c r="H11" s="323" t="s">
        <v>7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</row>
    <row r="12" spans="1:18" ht="24" customHeight="1" x14ac:dyDescent="0.3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4" t="s">
        <v>13</v>
      </c>
      <c r="G12" s="5" t="s">
        <v>14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  <c r="Q12" s="3" t="s">
        <v>24</v>
      </c>
      <c r="R12" s="3" t="s">
        <v>25</v>
      </c>
    </row>
    <row r="13" spans="1:18" ht="49.95" customHeight="1" x14ac:dyDescent="0.3">
      <c r="A13" s="149" t="s">
        <v>44</v>
      </c>
      <c r="B13" s="149" t="s">
        <v>49</v>
      </c>
      <c r="C13" s="149">
        <v>0.95486111111111116</v>
      </c>
      <c r="D13" s="149" t="s">
        <v>61</v>
      </c>
      <c r="E13" s="149"/>
      <c r="F13" s="149" t="s">
        <v>363</v>
      </c>
      <c r="G13" s="336"/>
      <c r="H13" s="150" t="s">
        <v>49</v>
      </c>
      <c r="I13" s="151">
        <v>0.48809999999999998</v>
      </c>
      <c r="J13" s="152">
        <v>82</v>
      </c>
      <c r="K13" s="153" t="s">
        <v>175</v>
      </c>
      <c r="L13" s="152">
        <v>43</v>
      </c>
      <c r="M13" s="152">
        <v>1</v>
      </c>
      <c r="N13" s="152">
        <v>0</v>
      </c>
      <c r="O13" s="153" t="s">
        <v>364</v>
      </c>
      <c r="P13" s="153">
        <v>0.95486111111111116</v>
      </c>
      <c r="Q13" s="152">
        <v>168</v>
      </c>
      <c r="R13" s="154" t="s">
        <v>365</v>
      </c>
    </row>
    <row r="14" spans="1:18" ht="15.6" x14ac:dyDescent="0.3">
      <c r="A14" s="338" t="s">
        <v>366</v>
      </c>
      <c r="B14" s="339"/>
      <c r="C14" s="339"/>
      <c r="D14" s="339"/>
      <c r="E14" s="339"/>
      <c r="F14" s="339"/>
      <c r="G14" s="32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</row>
    <row r="15" spans="1:18" ht="49.95" customHeight="1" x14ac:dyDescent="0.3">
      <c r="A15" s="155" t="s">
        <v>44</v>
      </c>
      <c r="B15" s="155" t="s">
        <v>367</v>
      </c>
      <c r="C15" s="155" t="s">
        <v>368</v>
      </c>
      <c r="D15" s="155" t="s">
        <v>369</v>
      </c>
      <c r="E15" s="155" t="s">
        <v>370</v>
      </c>
      <c r="F15" s="155" t="s">
        <v>371</v>
      </c>
      <c r="G15" s="337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22.05" customHeight="1" x14ac:dyDescent="0.3">
      <c r="A18" s="323" t="s">
        <v>6</v>
      </c>
      <c r="B18" s="324"/>
      <c r="C18" s="324"/>
      <c r="D18" s="324"/>
      <c r="E18" s="324"/>
      <c r="F18" s="324"/>
      <c r="G18" s="2">
        <v>45992</v>
      </c>
      <c r="H18" s="323" t="s">
        <v>7</v>
      </c>
      <c r="I18" s="324"/>
      <c r="J18" s="324"/>
      <c r="K18" s="324"/>
      <c r="L18" s="324"/>
      <c r="M18" s="324"/>
      <c r="N18" s="324"/>
      <c r="O18" s="324"/>
      <c r="P18" s="324"/>
      <c r="Q18" s="324"/>
      <c r="R18" s="324"/>
    </row>
    <row r="19" spans="1:18" ht="24" customHeight="1" x14ac:dyDescent="0.3">
      <c r="A19" s="3" t="s">
        <v>8</v>
      </c>
      <c r="B19" s="3" t="s">
        <v>9</v>
      </c>
      <c r="C19" s="3" t="s">
        <v>10</v>
      </c>
      <c r="D19" s="3" t="s">
        <v>11</v>
      </c>
      <c r="E19" s="3" t="s">
        <v>12</v>
      </c>
      <c r="F19" s="4" t="s">
        <v>13</v>
      </c>
      <c r="G19" s="5" t="s">
        <v>14</v>
      </c>
      <c r="H19" s="3" t="s">
        <v>15</v>
      </c>
      <c r="I19" s="3" t="s">
        <v>16</v>
      </c>
      <c r="J19" s="3" t="s">
        <v>17</v>
      </c>
      <c r="K19" s="3" t="s">
        <v>18</v>
      </c>
      <c r="L19" s="3" t="s">
        <v>19</v>
      </c>
      <c r="M19" s="3" t="s">
        <v>20</v>
      </c>
      <c r="N19" s="3" t="s">
        <v>21</v>
      </c>
      <c r="O19" s="3" t="s">
        <v>22</v>
      </c>
      <c r="P19" s="3" t="s">
        <v>23</v>
      </c>
      <c r="Q19" s="3" t="s">
        <v>24</v>
      </c>
      <c r="R19" s="3" t="s">
        <v>25</v>
      </c>
    </row>
    <row r="20" spans="1:18" ht="49.95" customHeight="1" x14ac:dyDescent="0.3">
      <c r="A20" s="75" t="s">
        <v>44</v>
      </c>
      <c r="B20" s="75" t="s">
        <v>49</v>
      </c>
      <c r="C20" s="75">
        <v>0.80555555555555547</v>
      </c>
      <c r="D20" s="75" t="s">
        <v>61</v>
      </c>
      <c r="E20" s="75"/>
      <c r="F20" s="75" t="s">
        <v>363</v>
      </c>
      <c r="G20" s="335"/>
      <c r="H20" s="157" t="s">
        <v>49</v>
      </c>
      <c r="I20" s="158">
        <v>0.73809999999999998</v>
      </c>
      <c r="J20" s="159">
        <v>124</v>
      </c>
      <c r="K20" s="160" t="s">
        <v>175</v>
      </c>
      <c r="L20" s="159">
        <v>11</v>
      </c>
      <c r="M20" s="159">
        <v>1</v>
      </c>
      <c r="N20" s="159">
        <v>2</v>
      </c>
      <c r="O20" s="160" t="s">
        <v>279</v>
      </c>
      <c r="P20" s="160">
        <v>0.80555555555555547</v>
      </c>
      <c r="Q20" s="159">
        <v>168</v>
      </c>
      <c r="R20" s="161" t="s">
        <v>372</v>
      </c>
    </row>
    <row r="21" spans="1:18" ht="17.399999999999999" customHeight="1" x14ac:dyDescent="0.3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22.05" customHeight="1" x14ac:dyDescent="0.3">
      <c r="A23" s="323" t="s">
        <v>6</v>
      </c>
      <c r="B23" s="324"/>
      <c r="C23" s="324"/>
      <c r="D23" s="324"/>
      <c r="E23" s="324"/>
      <c r="F23" s="324"/>
      <c r="G23" s="2">
        <v>45994</v>
      </c>
      <c r="H23" s="323" t="s">
        <v>7</v>
      </c>
      <c r="I23" s="324"/>
      <c r="J23" s="324"/>
      <c r="K23" s="324"/>
      <c r="L23" s="324"/>
      <c r="M23" s="324"/>
      <c r="N23" s="324"/>
      <c r="O23" s="324"/>
      <c r="P23" s="324"/>
      <c r="Q23" s="324"/>
      <c r="R23" s="324"/>
    </row>
    <row r="24" spans="1:18" ht="24" customHeight="1" x14ac:dyDescent="0.3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4" t="s">
        <v>13</v>
      </c>
      <c r="G24" s="5" t="s">
        <v>14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M24" s="3" t="s">
        <v>20</v>
      </c>
      <c r="N24" s="3" t="s">
        <v>21</v>
      </c>
      <c r="O24" s="3" t="s">
        <v>22</v>
      </c>
      <c r="P24" s="3" t="s">
        <v>23</v>
      </c>
      <c r="Q24" s="3" t="s">
        <v>24</v>
      </c>
      <c r="R24" s="3" t="s">
        <v>25</v>
      </c>
    </row>
    <row r="25" spans="1:18" ht="49.95" customHeight="1" x14ac:dyDescent="0.3">
      <c r="A25" s="139" t="s">
        <v>44</v>
      </c>
      <c r="B25" s="139" t="s">
        <v>361</v>
      </c>
      <c r="C25" s="139">
        <v>0.61805555555555558</v>
      </c>
      <c r="D25" s="139" t="s">
        <v>61</v>
      </c>
      <c r="E25" s="139"/>
      <c r="F25" s="139" t="s">
        <v>363</v>
      </c>
      <c r="G25" s="335"/>
      <c r="H25" s="162" t="s">
        <v>361</v>
      </c>
      <c r="I25" s="163">
        <v>0.75</v>
      </c>
      <c r="J25" s="164">
        <v>126</v>
      </c>
      <c r="K25" s="165" t="s">
        <v>175</v>
      </c>
      <c r="L25" s="164">
        <v>11</v>
      </c>
      <c r="M25" s="164">
        <v>2</v>
      </c>
      <c r="N25" s="164">
        <v>2</v>
      </c>
      <c r="O25" s="165" t="s">
        <v>334</v>
      </c>
      <c r="P25" s="165">
        <v>0.61805555555555558</v>
      </c>
      <c r="Q25" s="164">
        <v>168</v>
      </c>
      <c r="R25" s="166" t="s">
        <v>373</v>
      </c>
    </row>
    <row r="26" spans="1:18" ht="17.399999999999999" customHeight="1" x14ac:dyDescent="0.3">
      <c r="A26" s="360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2"/>
    </row>
    <row r="27" spans="1:18" ht="17.399999999999999" customHeight="1" x14ac:dyDescent="0.3">
      <c r="A27" s="360"/>
      <c r="B27" s="361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1"/>
      <c r="R27" s="362"/>
    </row>
    <row r="28" spans="1:18" ht="17.399999999999999" customHeight="1" x14ac:dyDescent="0.3">
      <c r="A28" s="360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2"/>
    </row>
    <row r="29" spans="1:18" ht="22.05" customHeight="1" x14ac:dyDescent="0.3">
      <c r="A29" s="323" t="s">
        <v>6</v>
      </c>
      <c r="B29" s="324"/>
      <c r="C29" s="324"/>
      <c r="D29" s="324"/>
      <c r="E29" s="324"/>
      <c r="F29" s="324"/>
      <c r="G29" s="2">
        <v>45997</v>
      </c>
      <c r="H29" s="323" t="s">
        <v>7</v>
      </c>
      <c r="I29" s="324"/>
      <c r="J29" s="324"/>
      <c r="K29" s="324"/>
      <c r="L29" s="324"/>
      <c r="M29" s="324"/>
      <c r="N29" s="324"/>
      <c r="O29" s="324"/>
      <c r="P29" s="324"/>
      <c r="Q29" s="324"/>
      <c r="R29" s="324"/>
    </row>
    <row r="30" spans="1:18" ht="24" customHeight="1" x14ac:dyDescent="0.3">
      <c r="A30" s="3" t="s">
        <v>8</v>
      </c>
      <c r="B30" s="3" t="s">
        <v>9</v>
      </c>
      <c r="C30" s="3" t="s">
        <v>10</v>
      </c>
      <c r="D30" s="3" t="s">
        <v>11</v>
      </c>
      <c r="E30" s="3" t="s">
        <v>12</v>
      </c>
      <c r="F30" s="4" t="s">
        <v>13</v>
      </c>
      <c r="G30" s="5" t="s">
        <v>14</v>
      </c>
      <c r="H30" s="3" t="s">
        <v>15</v>
      </c>
      <c r="I30" s="3" t="s">
        <v>16</v>
      </c>
      <c r="J30" s="3" t="s">
        <v>17</v>
      </c>
      <c r="K30" s="3" t="s">
        <v>18</v>
      </c>
      <c r="L30" s="3" t="s">
        <v>19</v>
      </c>
      <c r="M30" s="3" t="s">
        <v>20</v>
      </c>
      <c r="N30" s="3" t="s">
        <v>21</v>
      </c>
      <c r="O30" s="3" t="s">
        <v>22</v>
      </c>
      <c r="P30" s="3" t="s">
        <v>23</v>
      </c>
      <c r="Q30" s="3" t="s">
        <v>24</v>
      </c>
      <c r="R30" s="3" t="s">
        <v>25</v>
      </c>
    </row>
    <row r="31" spans="1:18" ht="49.95" customHeight="1" x14ac:dyDescent="0.3">
      <c r="A31" s="167" t="s">
        <v>44</v>
      </c>
      <c r="B31" s="167" t="s">
        <v>45</v>
      </c>
      <c r="C31" s="167">
        <v>0.95486111111111116</v>
      </c>
      <c r="D31" s="167" t="s">
        <v>46</v>
      </c>
      <c r="E31" s="167" t="s">
        <v>132</v>
      </c>
      <c r="F31" s="167" t="s">
        <v>374</v>
      </c>
      <c r="G31" s="336"/>
      <c r="H31" s="168" t="s">
        <v>49</v>
      </c>
      <c r="I31" s="169">
        <v>0.16070000000000001</v>
      </c>
      <c r="J31" s="170">
        <v>27</v>
      </c>
      <c r="K31" s="171" t="s">
        <v>175</v>
      </c>
      <c r="L31" s="170">
        <v>15</v>
      </c>
      <c r="M31" s="170">
        <v>1</v>
      </c>
      <c r="N31" s="170">
        <v>3</v>
      </c>
      <c r="O31" s="171" t="s">
        <v>375</v>
      </c>
      <c r="P31" s="171">
        <v>0.95486111111111116</v>
      </c>
      <c r="Q31" s="170">
        <v>168</v>
      </c>
      <c r="R31" s="172" t="s">
        <v>376</v>
      </c>
    </row>
    <row r="32" spans="1:18" ht="15.6" x14ac:dyDescent="0.3">
      <c r="A32" s="338" t="s">
        <v>366</v>
      </c>
      <c r="B32" s="339"/>
      <c r="C32" s="339"/>
      <c r="D32" s="339"/>
      <c r="E32" s="339"/>
      <c r="F32" s="339"/>
      <c r="G32" s="32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</row>
    <row r="33" spans="1:18" ht="49.95" customHeight="1" x14ac:dyDescent="0.3">
      <c r="A33" s="155" t="s">
        <v>44</v>
      </c>
      <c r="B33" s="155" t="s">
        <v>367</v>
      </c>
      <c r="C33" s="155" t="s">
        <v>368</v>
      </c>
      <c r="D33" s="155" t="s">
        <v>369</v>
      </c>
      <c r="E33" s="155" t="s">
        <v>377</v>
      </c>
      <c r="F33" s="155" t="s">
        <v>371</v>
      </c>
      <c r="G33" s="337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</row>
    <row r="34" spans="1:18" ht="17.399999999999999" customHeight="1" x14ac:dyDescent="0.3">
      <c r="A34" s="360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2"/>
    </row>
    <row r="35" spans="1:18" ht="17.399999999999999" customHeight="1" x14ac:dyDescent="0.3">
      <c r="A35" s="360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2"/>
    </row>
    <row r="36" spans="1:18" ht="22.05" customHeight="1" x14ac:dyDescent="0.3">
      <c r="A36" s="323" t="s">
        <v>6</v>
      </c>
      <c r="B36" s="324"/>
      <c r="C36" s="324"/>
      <c r="D36" s="324"/>
      <c r="E36" s="324"/>
      <c r="F36" s="324"/>
      <c r="G36" s="2">
        <v>45999</v>
      </c>
      <c r="H36" s="323" t="s">
        <v>7</v>
      </c>
      <c r="I36" s="324"/>
      <c r="J36" s="324"/>
      <c r="K36" s="324"/>
      <c r="L36" s="324"/>
      <c r="M36" s="324"/>
      <c r="N36" s="324"/>
      <c r="O36" s="324"/>
      <c r="P36" s="324"/>
      <c r="Q36" s="324"/>
      <c r="R36" s="324"/>
    </row>
    <row r="37" spans="1:18" ht="24" customHeight="1" x14ac:dyDescent="0.3">
      <c r="A37" s="3" t="s">
        <v>8</v>
      </c>
      <c r="B37" s="3" t="s">
        <v>9</v>
      </c>
      <c r="C37" s="3" t="s">
        <v>10</v>
      </c>
      <c r="D37" s="3" t="s">
        <v>11</v>
      </c>
      <c r="E37" s="3" t="s">
        <v>12</v>
      </c>
      <c r="F37" s="4" t="s">
        <v>13</v>
      </c>
      <c r="G37" s="5" t="s">
        <v>14</v>
      </c>
      <c r="H37" s="3" t="s">
        <v>15</v>
      </c>
      <c r="I37" s="3" t="s">
        <v>16</v>
      </c>
      <c r="J37" s="3" t="s">
        <v>17</v>
      </c>
      <c r="K37" s="3" t="s">
        <v>18</v>
      </c>
      <c r="L37" s="3" t="s">
        <v>19</v>
      </c>
      <c r="M37" s="3" t="s">
        <v>20</v>
      </c>
      <c r="N37" s="3" t="s">
        <v>21</v>
      </c>
      <c r="O37" s="3" t="s">
        <v>22</v>
      </c>
      <c r="P37" s="3" t="s">
        <v>23</v>
      </c>
      <c r="Q37" s="3" t="s">
        <v>24</v>
      </c>
      <c r="R37" s="3" t="s">
        <v>25</v>
      </c>
    </row>
    <row r="38" spans="1:18" ht="49.95" customHeight="1" x14ac:dyDescent="0.3">
      <c r="A38" s="149" t="s">
        <v>44</v>
      </c>
      <c r="B38" s="149" t="s">
        <v>49</v>
      </c>
      <c r="C38" s="149">
        <v>0.80555555555555547</v>
      </c>
      <c r="D38" s="149" t="s">
        <v>61</v>
      </c>
      <c r="E38" s="149"/>
      <c r="F38" s="149" t="s">
        <v>363</v>
      </c>
      <c r="G38" s="335"/>
      <c r="H38" s="173" t="s">
        <v>49</v>
      </c>
      <c r="I38" s="174">
        <v>0.47020000000000001</v>
      </c>
      <c r="J38" s="175">
        <v>79</v>
      </c>
      <c r="K38" s="176" t="s">
        <v>378</v>
      </c>
      <c r="L38" s="175">
        <v>7</v>
      </c>
      <c r="M38" s="175">
        <v>0</v>
      </c>
      <c r="N38" s="175">
        <v>0</v>
      </c>
      <c r="O38" s="176" t="s">
        <v>265</v>
      </c>
      <c r="P38" s="176">
        <v>0.80555555555555547</v>
      </c>
      <c r="Q38" s="175">
        <v>168</v>
      </c>
      <c r="R38" s="177" t="s">
        <v>379</v>
      </c>
    </row>
    <row r="39" spans="1:18" ht="17.399999999999999" customHeight="1" x14ac:dyDescent="0.3">
      <c r="A39" s="360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2"/>
    </row>
    <row r="40" spans="1:18" ht="17.399999999999999" customHeight="1" x14ac:dyDescent="0.3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2"/>
    </row>
    <row r="41" spans="1:18" ht="22.05" customHeight="1" x14ac:dyDescent="0.3">
      <c r="A41" s="323" t="s">
        <v>6</v>
      </c>
      <c r="B41" s="324"/>
      <c r="C41" s="324"/>
      <c r="D41" s="324"/>
      <c r="E41" s="324"/>
      <c r="F41" s="324"/>
      <c r="G41" s="2">
        <v>46001</v>
      </c>
      <c r="H41" s="323" t="s">
        <v>7</v>
      </c>
      <c r="I41" s="324"/>
      <c r="J41" s="324"/>
      <c r="K41" s="324"/>
      <c r="L41" s="324"/>
      <c r="M41" s="324"/>
      <c r="N41" s="324"/>
      <c r="O41" s="324"/>
      <c r="P41" s="324"/>
      <c r="Q41" s="324"/>
      <c r="R41" s="324"/>
    </row>
    <row r="42" spans="1:18" ht="24" customHeight="1" x14ac:dyDescent="0.3">
      <c r="A42" s="3" t="s">
        <v>8</v>
      </c>
      <c r="B42" s="3" t="s">
        <v>9</v>
      </c>
      <c r="C42" s="3" t="s">
        <v>10</v>
      </c>
      <c r="D42" s="3" t="s">
        <v>11</v>
      </c>
      <c r="E42" s="3" t="s">
        <v>12</v>
      </c>
      <c r="F42" s="4" t="s">
        <v>13</v>
      </c>
      <c r="G42" s="5" t="s">
        <v>14</v>
      </c>
      <c r="H42" s="3" t="s">
        <v>15</v>
      </c>
      <c r="I42" s="3" t="s">
        <v>16</v>
      </c>
      <c r="J42" s="3" t="s">
        <v>17</v>
      </c>
      <c r="K42" s="3" t="s">
        <v>18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23</v>
      </c>
      <c r="Q42" s="3" t="s">
        <v>24</v>
      </c>
      <c r="R42" s="3" t="s">
        <v>25</v>
      </c>
    </row>
    <row r="43" spans="1:18" ht="49.95" customHeight="1" x14ac:dyDescent="0.3">
      <c r="A43" s="12" t="s">
        <v>44</v>
      </c>
      <c r="B43" s="12" t="s">
        <v>361</v>
      </c>
      <c r="C43" s="12">
        <v>0.61805555555555558</v>
      </c>
      <c r="D43" s="12" t="s">
        <v>61</v>
      </c>
      <c r="E43" s="12"/>
      <c r="F43" s="12" t="s">
        <v>363</v>
      </c>
      <c r="G43" s="335"/>
      <c r="H43" s="178" t="s">
        <v>361</v>
      </c>
      <c r="I43" s="179">
        <v>0.51790000000000003</v>
      </c>
      <c r="J43" s="180">
        <v>87</v>
      </c>
      <c r="K43" s="181" t="s">
        <v>175</v>
      </c>
      <c r="L43" s="180">
        <v>14</v>
      </c>
      <c r="M43" s="180">
        <v>1</v>
      </c>
      <c r="N43" s="180">
        <v>0</v>
      </c>
      <c r="O43" s="181" t="s">
        <v>364</v>
      </c>
      <c r="P43" s="181">
        <v>0.61805555555555558</v>
      </c>
      <c r="Q43" s="180">
        <v>168</v>
      </c>
      <c r="R43" s="182" t="s">
        <v>380</v>
      </c>
    </row>
  </sheetData>
  <mergeCells count="45">
    <mergeCell ref="H5:R5"/>
    <mergeCell ref="H18:R18"/>
    <mergeCell ref="A9:R9"/>
    <mergeCell ref="A34:R34"/>
    <mergeCell ref="A40:R40"/>
    <mergeCell ref="A11:F11"/>
    <mergeCell ref="A39:R39"/>
    <mergeCell ref="A36:F36"/>
    <mergeCell ref="G43"/>
    <mergeCell ref="A5:F5"/>
    <mergeCell ref="A23:F23"/>
    <mergeCell ref="A32:F32"/>
    <mergeCell ref="G2:J2"/>
    <mergeCell ref="A17:R17"/>
    <mergeCell ref="A8:R8"/>
    <mergeCell ref="H36:R36"/>
    <mergeCell ref="A22:R22"/>
    <mergeCell ref="A29:F29"/>
    <mergeCell ref="A35:R35"/>
    <mergeCell ref="A4:R4"/>
    <mergeCell ref="H11:R11"/>
    <mergeCell ref="A10:R10"/>
    <mergeCell ref="A28:R28"/>
    <mergeCell ref="G7"/>
    <mergeCell ref="H1:L1"/>
    <mergeCell ref="A1:E1"/>
    <mergeCell ref="G25"/>
    <mergeCell ref="A18:F18"/>
    <mergeCell ref="H41:R41"/>
    <mergeCell ref="A27:R27"/>
    <mergeCell ref="A2:F2"/>
    <mergeCell ref="A3:R3"/>
    <mergeCell ref="A21:R21"/>
    <mergeCell ref="A26:R26"/>
    <mergeCell ref="G31:G33"/>
    <mergeCell ref="A14:F14"/>
    <mergeCell ref="N1:R1"/>
    <mergeCell ref="G13:G15"/>
    <mergeCell ref="K2:R2"/>
    <mergeCell ref="G38"/>
    <mergeCell ref="H23:R23"/>
    <mergeCell ref="A41:F41"/>
    <mergeCell ref="A16:R16"/>
    <mergeCell ref="G20"/>
    <mergeCell ref="H29:R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9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77734375" style="343" bestFit="1" customWidth="1"/>
    <col min="6" max="6" width="4.21875" style="343" bestFit="1" customWidth="1"/>
    <col min="7" max="7" width="10" style="343" bestFit="1" customWidth="1"/>
    <col min="8" max="8" width="8.5546875" style="343" bestFit="1" customWidth="1"/>
    <col min="9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5" width="3.88671875" style="343" bestFit="1" customWidth="1"/>
    <col min="26" max="26" width="4.109375" style="343" bestFit="1" customWidth="1"/>
    <col min="27" max="28" width="3.88671875" style="343" bestFit="1" customWidth="1"/>
    <col min="29" max="29" width="4.21875" style="343" bestFit="1" customWidth="1"/>
    <col min="30" max="31" width="4.5546875" style="343" bestFit="1" customWidth="1"/>
    <col min="32" max="34" width="3.88671875" style="343" bestFit="1" customWidth="1"/>
    <col min="35" max="35" width="4.21875" style="343" bestFit="1" customWidth="1"/>
    <col min="36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331</v>
      </c>
      <c r="B2" s="345">
        <v>45987</v>
      </c>
      <c r="C2" s="346" t="s">
        <v>361</v>
      </c>
      <c r="D2" s="347" t="s">
        <v>381</v>
      </c>
      <c r="E2" s="346" t="s">
        <v>358</v>
      </c>
      <c r="F2" s="346" t="s">
        <v>214</v>
      </c>
      <c r="G2" s="348">
        <v>0.77380000000000004</v>
      </c>
      <c r="H2" s="349">
        <v>168</v>
      </c>
      <c r="I2" s="349">
        <v>130</v>
      </c>
      <c r="J2" s="349">
        <v>50</v>
      </c>
      <c r="K2" s="346" t="s">
        <v>215</v>
      </c>
      <c r="L2" s="350" t="s">
        <v>175</v>
      </c>
      <c r="M2" s="349">
        <v>1</v>
      </c>
      <c r="N2" s="349">
        <v>15</v>
      </c>
      <c r="O2" s="349">
        <v>36</v>
      </c>
      <c r="P2" s="346" t="s">
        <v>245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250</v>
      </c>
      <c r="AA2" s="342"/>
      <c r="AB2" s="342"/>
      <c r="AC2" s="349" t="s">
        <v>261</v>
      </c>
      <c r="AD2" s="349" t="s">
        <v>382</v>
      </c>
      <c r="AE2" s="349" t="s">
        <v>383</v>
      </c>
      <c r="AF2" s="349" t="s">
        <v>384</v>
      </c>
      <c r="AG2" s="342"/>
      <c r="AH2" s="342"/>
      <c r="AI2" s="349" t="s">
        <v>385</v>
      </c>
      <c r="AJ2" s="342"/>
    </row>
    <row r="3" spans="1:36" x14ac:dyDescent="0.3">
      <c r="A3" s="344" t="s">
        <v>248</v>
      </c>
      <c r="B3" s="345">
        <v>45990</v>
      </c>
      <c r="C3" s="346" t="s">
        <v>49</v>
      </c>
      <c r="D3" s="347" t="s">
        <v>386</v>
      </c>
      <c r="E3" s="346" t="s">
        <v>358</v>
      </c>
      <c r="F3" s="346" t="s">
        <v>214</v>
      </c>
      <c r="G3" s="348">
        <v>0.48809999999999998</v>
      </c>
      <c r="H3" s="349">
        <v>168</v>
      </c>
      <c r="I3" s="349">
        <v>82</v>
      </c>
      <c r="J3" s="349">
        <v>0</v>
      </c>
      <c r="K3" s="346" t="s">
        <v>215</v>
      </c>
      <c r="L3" s="350" t="s">
        <v>175</v>
      </c>
      <c r="M3" s="349">
        <v>1</v>
      </c>
      <c r="N3" s="349">
        <v>0</v>
      </c>
      <c r="O3" s="349">
        <v>43</v>
      </c>
      <c r="P3" s="346" t="s">
        <v>364</v>
      </c>
      <c r="Q3" s="342"/>
      <c r="R3" s="342"/>
      <c r="S3" s="342"/>
      <c r="T3" s="342"/>
      <c r="U3" s="342"/>
      <c r="V3" s="342"/>
      <c r="W3" s="342"/>
      <c r="X3" s="342"/>
      <c r="Y3" s="342"/>
      <c r="Z3" s="349" t="s">
        <v>264</v>
      </c>
      <c r="AA3" s="342"/>
      <c r="AB3" s="342"/>
      <c r="AC3" s="349" t="s">
        <v>387</v>
      </c>
      <c r="AD3" s="349" t="s">
        <v>388</v>
      </c>
      <c r="AE3" s="349" t="s">
        <v>389</v>
      </c>
      <c r="AF3" s="349" t="s">
        <v>390</v>
      </c>
      <c r="AG3" s="342"/>
      <c r="AH3" s="342"/>
      <c r="AI3" s="342"/>
      <c r="AJ3" s="342"/>
    </row>
    <row r="4" spans="1:36" x14ac:dyDescent="0.3">
      <c r="A4" s="344" t="s">
        <v>391</v>
      </c>
      <c r="B4" s="345">
        <v>45992</v>
      </c>
      <c r="C4" s="346" t="s">
        <v>49</v>
      </c>
      <c r="D4" s="347" t="s">
        <v>392</v>
      </c>
      <c r="E4" s="346" t="s">
        <v>358</v>
      </c>
      <c r="F4" s="346" t="s">
        <v>214</v>
      </c>
      <c r="G4" s="348">
        <v>0.73809999999999998</v>
      </c>
      <c r="H4" s="349">
        <v>168</v>
      </c>
      <c r="I4" s="349">
        <v>124</v>
      </c>
      <c r="J4" s="349">
        <v>86</v>
      </c>
      <c r="K4" s="346" t="s">
        <v>215</v>
      </c>
      <c r="L4" s="350" t="s">
        <v>175</v>
      </c>
      <c r="M4" s="349">
        <v>1</v>
      </c>
      <c r="N4" s="349">
        <v>2</v>
      </c>
      <c r="O4" s="349">
        <v>11</v>
      </c>
      <c r="P4" s="346" t="s">
        <v>279</v>
      </c>
      <c r="Q4" s="342"/>
      <c r="R4" s="342"/>
      <c r="S4" s="342"/>
      <c r="T4" s="342"/>
      <c r="U4" s="342"/>
      <c r="V4" s="342"/>
      <c r="W4" s="342"/>
      <c r="X4" s="342"/>
      <c r="Y4" s="342"/>
      <c r="Z4" s="349" t="s">
        <v>345</v>
      </c>
      <c r="AA4" s="342"/>
      <c r="AB4" s="342"/>
      <c r="AC4" s="349" t="s">
        <v>393</v>
      </c>
      <c r="AD4" s="349" t="s">
        <v>236</v>
      </c>
      <c r="AE4" s="349" t="s">
        <v>394</v>
      </c>
      <c r="AF4" s="349" t="s">
        <v>353</v>
      </c>
      <c r="AG4" s="342"/>
      <c r="AH4" s="342"/>
      <c r="AI4" s="349" t="s">
        <v>395</v>
      </c>
      <c r="AJ4" s="342"/>
    </row>
    <row r="5" spans="1:36" x14ac:dyDescent="0.3">
      <c r="A5" s="344" t="s">
        <v>331</v>
      </c>
      <c r="B5" s="345">
        <v>45994</v>
      </c>
      <c r="C5" s="346" t="s">
        <v>361</v>
      </c>
      <c r="D5" s="347" t="s">
        <v>381</v>
      </c>
      <c r="E5" s="346" t="s">
        <v>358</v>
      </c>
      <c r="F5" s="346" t="s">
        <v>214</v>
      </c>
      <c r="G5" s="348">
        <v>0.75</v>
      </c>
      <c r="H5" s="349">
        <v>168</v>
      </c>
      <c r="I5" s="349">
        <v>126</v>
      </c>
      <c r="J5" s="349">
        <v>79</v>
      </c>
      <c r="K5" s="346" t="s">
        <v>215</v>
      </c>
      <c r="L5" s="350" t="s">
        <v>175</v>
      </c>
      <c r="M5" s="349">
        <v>2</v>
      </c>
      <c r="N5" s="349">
        <v>2</v>
      </c>
      <c r="O5" s="349">
        <v>11</v>
      </c>
      <c r="P5" s="346" t="s">
        <v>334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258</v>
      </c>
      <c r="AA5" s="342"/>
      <c r="AB5" s="342"/>
      <c r="AC5" s="349" t="s">
        <v>235</v>
      </c>
      <c r="AD5" s="349" t="s">
        <v>266</v>
      </c>
      <c r="AE5" s="349" t="s">
        <v>237</v>
      </c>
      <c r="AF5" s="349" t="s">
        <v>396</v>
      </c>
      <c r="AG5" s="342"/>
      <c r="AH5" s="342"/>
      <c r="AI5" s="349" t="s">
        <v>397</v>
      </c>
      <c r="AJ5" s="342"/>
    </row>
    <row r="6" spans="1:36" x14ac:dyDescent="0.3">
      <c r="A6" s="344" t="s">
        <v>248</v>
      </c>
      <c r="B6" s="345">
        <v>45997</v>
      </c>
      <c r="C6" s="346" t="s">
        <v>49</v>
      </c>
      <c r="D6" s="347" t="s">
        <v>386</v>
      </c>
      <c r="E6" s="346" t="s">
        <v>358</v>
      </c>
      <c r="F6" s="346" t="s">
        <v>214</v>
      </c>
      <c r="G6" s="348">
        <v>0.16070000000000001</v>
      </c>
      <c r="H6" s="349">
        <v>168</v>
      </c>
      <c r="I6" s="349">
        <v>27</v>
      </c>
      <c r="J6" s="349">
        <v>0</v>
      </c>
      <c r="K6" s="346" t="s">
        <v>215</v>
      </c>
      <c r="L6" s="350" t="s">
        <v>175</v>
      </c>
      <c r="M6" s="349">
        <v>1</v>
      </c>
      <c r="N6" s="349">
        <v>3</v>
      </c>
      <c r="O6" s="349">
        <v>15</v>
      </c>
      <c r="P6" s="346" t="s">
        <v>375</v>
      </c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9" t="s">
        <v>279</v>
      </c>
      <c r="AD6" s="349" t="s">
        <v>277</v>
      </c>
      <c r="AE6" s="349" t="s">
        <v>286</v>
      </c>
      <c r="AF6" s="349" t="s">
        <v>287</v>
      </c>
      <c r="AG6" s="342"/>
      <c r="AH6" s="342"/>
      <c r="AI6" s="342"/>
      <c r="AJ6" s="342"/>
    </row>
    <row r="7" spans="1:36" x14ac:dyDescent="0.3">
      <c r="A7" s="344" t="s">
        <v>391</v>
      </c>
      <c r="B7" s="345">
        <v>45999</v>
      </c>
      <c r="C7" s="346" t="s">
        <v>49</v>
      </c>
      <c r="D7" s="347" t="s">
        <v>392</v>
      </c>
      <c r="E7" s="346" t="s">
        <v>358</v>
      </c>
      <c r="F7" s="346" t="s">
        <v>214</v>
      </c>
      <c r="G7" s="348">
        <v>0.47020000000000001</v>
      </c>
      <c r="H7" s="349">
        <v>168</v>
      </c>
      <c r="I7" s="349">
        <v>79</v>
      </c>
      <c r="J7" s="349">
        <v>52</v>
      </c>
      <c r="K7" s="346" t="s">
        <v>215</v>
      </c>
      <c r="L7" s="350" t="s">
        <v>378</v>
      </c>
      <c r="M7" s="349">
        <v>0</v>
      </c>
      <c r="N7" s="349">
        <v>0</v>
      </c>
      <c r="O7" s="349">
        <v>7</v>
      </c>
      <c r="P7" s="346" t="s">
        <v>265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345</v>
      </c>
      <c r="AA7" s="342"/>
      <c r="AB7" s="342"/>
      <c r="AC7" s="349" t="s">
        <v>334</v>
      </c>
      <c r="AD7" s="349" t="s">
        <v>236</v>
      </c>
      <c r="AE7" s="349" t="s">
        <v>394</v>
      </c>
      <c r="AF7" s="349" t="s">
        <v>353</v>
      </c>
      <c r="AG7" s="342"/>
      <c r="AH7" s="342"/>
      <c r="AI7" s="349" t="s">
        <v>398</v>
      </c>
      <c r="AJ7" s="342"/>
    </row>
    <row r="8" spans="1:36" x14ac:dyDescent="0.3">
      <c r="A8" s="344" t="s">
        <v>331</v>
      </c>
      <c r="B8" s="345">
        <v>46001</v>
      </c>
      <c r="C8" s="346" t="s">
        <v>361</v>
      </c>
      <c r="D8" s="347" t="s">
        <v>381</v>
      </c>
      <c r="E8" s="346" t="s">
        <v>358</v>
      </c>
      <c r="F8" s="346" t="s">
        <v>214</v>
      </c>
      <c r="G8" s="348">
        <v>0.51790000000000003</v>
      </c>
      <c r="H8" s="349">
        <v>168</v>
      </c>
      <c r="I8" s="349">
        <v>87</v>
      </c>
      <c r="J8" s="349">
        <v>49</v>
      </c>
      <c r="K8" s="346" t="s">
        <v>215</v>
      </c>
      <c r="L8" s="350" t="s">
        <v>175</v>
      </c>
      <c r="M8" s="349">
        <v>1</v>
      </c>
      <c r="N8" s="349">
        <v>0</v>
      </c>
      <c r="O8" s="349">
        <v>14</v>
      </c>
      <c r="P8" s="346" t="s">
        <v>364</v>
      </c>
      <c r="Q8" s="342"/>
      <c r="R8" s="342"/>
      <c r="S8" s="342"/>
      <c r="T8" s="342"/>
      <c r="U8" s="342"/>
      <c r="V8" s="342"/>
      <c r="W8" s="342"/>
      <c r="X8" s="342"/>
      <c r="Y8" s="342"/>
      <c r="Z8" s="349" t="s">
        <v>333</v>
      </c>
      <c r="AA8" s="342"/>
      <c r="AB8" s="342"/>
      <c r="AC8" s="349" t="s">
        <v>279</v>
      </c>
      <c r="AD8" s="349" t="s">
        <v>236</v>
      </c>
      <c r="AE8" s="349" t="s">
        <v>399</v>
      </c>
      <c r="AF8" s="349" t="s">
        <v>238</v>
      </c>
      <c r="AG8" s="342"/>
      <c r="AH8" s="342"/>
      <c r="AI8" s="349" t="s">
        <v>400</v>
      </c>
      <c r="AJ8" s="342"/>
    </row>
    <row r="9" spans="1:36" ht="21" x14ac:dyDescent="0.3">
      <c r="A9" s="351" t="s">
        <v>1574</v>
      </c>
      <c r="B9" s="352"/>
      <c r="C9" s="351">
        <f>SUBTOTAL(103,MED_ATZ_LF_LEGACY[Flt])</f>
        <v>7</v>
      </c>
      <c r="D9" s="351"/>
      <c r="E9" s="351">
        <f>SUBTOTAL(103,MED_ATZ_LF_LEGACY[Brd-Off])</f>
        <v>7</v>
      </c>
      <c r="F9" s="351"/>
      <c r="G9" s="353">
        <f>SUBTOTAL(101,MED_ATZ_LF_LEGACY[LF%])</f>
        <v>0.55697142857142856</v>
      </c>
      <c r="H9" s="354">
        <f>SUBTOTAL(109,MED_ATZ_LF_LEGACY[CAP])</f>
        <v>1176</v>
      </c>
      <c r="I9" s="354">
        <f>SUBTOTAL(109,MED_ATZ_LF_LEGACY[BKG(Y)])</f>
        <v>655</v>
      </c>
      <c r="J9" s="354">
        <f>SUBTOTAL(109,MED_ATZ_LF_LEGACY[GRP(Y)])</f>
        <v>316</v>
      </c>
      <c r="K9" s="351"/>
      <c r="L9" s="352"/>
      <c r="M9" s="354">
        <f>SUBTOTAL(109,MED_ATZ_LF_LEGACY[TO-DAY])</f>
        <v>7</v>
      </c>
      <c r="N9" s="354">
        <f>SUBTOTAL(109,MED_ATZ_LF_LEGACY[Y-DAY])</f>
        <v>22</v>
      </c>
      <c r="O9" s="354">
        <f>SUBTOTAL(109,MED_ATZ_LF_LEGACY[WEEKLY])</f>
        <v>137</v>
      </c>
      <c r="P9" s="355"/>
      <c r="Q9" s="354">
        <f>SUBTOTAL(109,MED_ATZ_LF_LEGACY[Y])</f>
        <v>0</v>
      </c>
      <c r="R9" s="354">
        <f>SUBTOTAL(109,MED_ATZ_LF_LEGACY[B])</f>
        <v>0</v>
      </c>
      <c r="S9" s="354">
        <f>SUBTOTAL(109,MED_ATZ_LF_LEGACY[M])</f>
        <v>0</v>
      </c>
      <c r="T9" s="354">
        <f>SUBTOTAL(109,MED_ATZ_LF_LEGACY[H])</f>
        <v>0</v>
      </c>
      <c r="U9" s="354">
        <f>SUBTOTAL(109,MED_ATZ_LF_LEGACY[Q])</f>
        <v>0</v>
      </c>
      <c r="V9" s="354">
        <f>SUBTOTAL(109,MED_ATZ_LF_LEGACY[K])</f>
        <v>0</v>
      </c>
      <c r="W9" s="354">
        <f>SUBTOTAL(109,MED_ATZ_LF_LEGACY[V])</f>
        <v>0</v>
      </c>
      <c r="X9" s="354">
        <f>SUBTOTAL(109,MED_ATZ_LF_LEGACY[L])</f>
        <v>0</v>
      </c>
      <c r="Y9" s="354">
        <f>SUBTOTAL(109,MED_ATZ_LF_LEGACY[G])</f>
        <v>0</v>
      </c>
      <c r="Z9" s="354">
        <f>SUBTOTAL(109,MED_ATZ_LF_LEGACY[S])</f>
        <v>0</v>
      </c>
      <c r="AA9" s="354">
        <f>SUBTOTAL(109,MED_ATZ_LF_LEGACY[W])</f>
        <v>0</v>
      </c>
      <c r="AB9" s="354">
        <f>SUBTOTAL(109,MED_ATZ_LF_LEGACY[T])</f>
        <v>0</v>
      </c>
      <c r="AC9" s="354">
        <f>SUBTOTAL(109,MED_ATZ_LF_LEGACY[X])</f>
        <v>0</v>
      </c>
      <c r="AD9" s="354">
        <f>SUBTOTAL(109,MED_ATZ_LF_LEGACY[U])</f>
        <v>0</v>
      </c>
      <c r="AE9" s="354">
        <f>SUBTOTAL(109,MED_ATZ_LF_LEGACY[O])</f>
        <v>0</v>
      </c>
      <c r="AF9" s="354">
        <f>SUBTOTAL(109,MED_ATZ_LF_LEGACY[I])</f>
        <v>0</v>
      </c>
      <c r="AG9" s="354">
        <f>SUBTOTAL(109,MED_ATZ_LF_LEGACY[E])</f>
        <v>0</v>
      </c>
      <c r="AH9" s="354">
        <f>SUBTOTAL(109,MED_ATZ_LF_LEGACY[A])</f>
        <v>0</v>
      </c>
      <c r="AI9" s="354">
        <f>SUBTOTAL(109,MED_ATZ_LF_LEGACY[P])</f>
        <v>0</v>
      </c>
      <c r="AJ9" s="354">
        <f>SUBTOTAL(103,MED_ATZ_LF_LEGACY[N])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  <col min="9" max="9" width="179.441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401</v>
      </c>
      <c r="B2" s="109" t="s">
        <v>44</v>
      </c>
      <c r="C2" s="110" t="s">
        <v>359</v>
      </c>
      <c r="D2" s="109" t="s">
        <v>358</v>
      </c>
      <c r="E2" s="109" t="s">
        <v>381</v>
      </c>
      <c r="F2" s="109" t="s">
        <v>46</v>
      </c>
      <c r="G2" s="141">
        <v>6</v>
      </c>
      <c r="H2" s="143">
        <v>455</v>
      </c>
      <c r="I2" s="88"/>
    </row>
    <row r="3" spans="1:9" ht="19.8" customHeight="1" x14ac:dyDescent="0.3">
      <c r="A3" s="105">
        <v>45990</v>
      </c>
      <c r="B3" s="99" t="s">
        <v>44</v>
      </c>
      <c r="C3" s="100" t="s">
        <v>45</v>
      </c>
      <c r="D3" s="99" t="s">
        <v>358</v>
      </c>
      <c r="E3" s="106">
        <v>1.9548611111111109</v>
      </c>
      <c r="F3" s="99"/>
      <c r="G3" s="99"/>
      <c r="H3" s="119" t="s">
        <v>363</v>
      </c>
      <c r="I3" s="88"/>
    </row>
    <row r="4" spans="1:9" ht="19.8" customHeight="1" x14ac:dyDescent="0.3">
      <c r="A4" s="183"/>
      <c r="B4" s="184"/>
      <c r="C4" s="184"/>
      <c r="D4" s="184"/>
      <c r="E4" s="184"/>
      <c r="F4" s="185" t="s">
        <v>402</v>
      </c>
      <c r="G4" s="184"/>
      <c r="H4" s="186"/>
      <c r="I4" s="88"/>
    </row>
    <row r="5" spans="1:9" ht="19.8" customHeight="1" x14ac:dyDescent="0.3">
      <c r="A5" s="113">
        <v>45990</v>
      </c>
      <c r="B5" s="114" t="s">
        <v>44</v>
      </c>
      <c r="C5" s="115" t="s">
        <v>367</v>
      </c>
      <c r="D5" s="114" t="s">
        <v>1</v>
      </c>
      <c r="E5" s="116">
        <v>1.9375</v>
      </c>
      <c r="F5" s="114" t="s">
        <v>369</v>
      </c>
      <c r="G5" s="117">
        <v>2</v>
      </c>
      <c r="H5" s="118" t="s">
        <v>371</v>
      </c>
      <c r="I5" s="88"/>
    </row>
    <row r="6" spans="1:9" ht="19.8" customHeight="1" x14ac:dyDescent="0.3">
      <c r="A6" s="108">
        <v>45992</v>
      </c>
      <c r="B6" s="109" t="s">
        <v>44</v>
      </c>
      <c r="C6" s="110" t="s">
        <v>45</v>
      </c>
      <c r="D6" s="109" t="s">
        <v>358</v>
      </c>
      <c r="E6" s="111">
        <v>1.805555555555556</v>
      </c>
      <c r="F6" s="109"/>
      <c r="G6" s="109"/>
      <c r="H6" s="112" t="s">
        <v>363</v>
      </c>
      <c r="I6" s="88"/>
    </row>
    <row r="7" spans="1:9" ht="19.8" customHeight="1" x14ac:dyDescent="0.3">
      <c r="A7" s="108">
        <v>45994</v>
      </c>
      <c r="B7" s="109" t="s">
        <v>44</v>
      </c>
      <c r="C7" s="110" t="s">
        <v>359</v>
      </c>
      <c r="D7" s="109" t="s">
        <v>358</v>
      </c>
      <c r="E7" s="111">
        <v>1.618055555555556</v>
      </c>
      <c r="F7" s="109"/>
      <c r="G7" s="109"/>
      <c r="H7" s="112" t="s">
        <v>363</v>
      </c>
      <c r="I7" s="88"/>
    </row>
    <row r="8" spans="1:9" ht="19.8" customHeight="1" x14ac:dyDescent="0.3">
      <c r="A8" s="105">
        <v>45997</v>
      </c>
      <c r="B8" s="99" t="s">
        <v>44</v>
      </c>
      <c r="C8" s="100" t="s">
        <v>45</v>
      </c>
      <c r="D8" s="99" t="s">
        <v>358</v>
      </c>
      <c r="E8" s="106">
        <v>1.9548611111111109</v>
      </c>
      <c r="F8" s="99" t="s">
        <v>46</v>
      </c>
      <c r="G8" s="101">
        <v>1</v>
      </c>
      <c r="H8" s="102">
        <v>401</v>
      </c>
      <c r="I8" s="88"/>
    </row>
    <row r="9" spans="1:9" ht="19.8" customHeight="1" x14ac:dyDescent="0.3">
      <c r="A9" s="183"/>
      <c r="B9" s="184"/>
      <c r="C9" s="184"/>
      <c r="D9" s="184"/>
      <c r="E9" s="184"/>
      <c r="F9" s="185" t="s">
        <v>402</v>
      </c>
      <c r="G9" s="184"/>
      <c r="H9" s="186"/>
      <c r="I9" s="88"/>
    </row>
    <row r="10" spans="1:9" ht="19.8" customHeight="1" x14ac:dyDescent="0.3">
      <c r="A10" s="113">
        <v>45997</v>
      </c>
      <c r="B10" s="114" t="s">
        <v>44</v>
      </c>
      <c r="C10" s="115" t="s">
        <v>367</v>
      </c>
      <c r="D10" s="114" t="s">
        <v>1</v>
      </c>
      <c r="E10" s="116">
        <v>1.9375</v>
      </c>
      <c r="F10" s="114" t="s">
        <v>369</v>
      </c>
      <c r="G10" s="117">
        <v>9</v>
      </c>
      <c r="H10" s="118" t="s">
        <v>371</v>
      </c>
      <c r="I10" s="88"/>
    </row>
    <row r="11" spans="1:9" ht="19.8" customHeight="1" x14ac:dyDescent="0.3">
      <c r="A11" s="108">
        <v>45999</v>
      </c>
      <c r="B11" s="109" t="s">
        <v>44</v>
      </c>
      <c r="C11" s="110" t="s">
        <v>45</v>
      </c>
      <c r="D11" s="109" t="s">
        <v>358</v>
      </c>
      <c r="E11" s="111">
        <v>1.805555555555556</v>
      </c>
      <c r="F11" s="109"/>
      <c r="G11" s="109"/>
      <c r="H11" s="112" t="s">
        <v>363</v>
      </c>
      <c r="I11" s="88"/>
    </row>
    <row r="12" spans="1:9" ht="19.8" customHeight="1" x14ac:dyDescent="0.3">
      <c r="A12" s="108">
        <v>46001</v>
      </c>
      <c r="B12" s="109" t="s">
        <v>44</v>
      </c>
      <c r="C12" s="110" t="s">
        <v>359</v>
      </c>
      <c r="D12" s="109" t="s">
        <v>358</v>
      </c>
      <c r="E12" s="111">
        <v>1.618055555555556</v>
      </c>
      <c r="F12" s="109"/>
      <c r="G12" s="109"/>
      <c r="H12" s="112" t="s">
        <v>363</v>
      </c>
      <c r="I12" s="88"/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73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51.3320312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403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45982.804256970187</v>
      </c>
      <c r="H2" s="330"/>
      <c r="I2" s="330"/>
      <c r="J2" s="330"/>
      <c r="K2" s="334">
        <v>45982.804256970558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15" customHeight="1" x14ac:dyDescent="0.3">
      <c r="A6" s="6" t="s">
        <v>404</v>
      </c>
      <c r="B6" s="6" t="s">
        <v>405</v>
      </c>
      <c r="C6" s="6">
        <v>0.27430555555555552</v>
      </c>
      <c r="D6" s="6" t="s">
        <v>406</v>
      </c>
      <c r="E6" s="6" t="s">
        <v>121</v>
      </c>
      <c r="F6" s="6" t="s">
        <v>407</v>
      </c>
      <c r="G6" s="328"/>
      <c r="H6" s="7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15" customHeight="1" x14ac:dyDescent="0.3">
      <c r="A7" s="26" t="s">
        <v>404</v>
      </c>
      <c r="B7" s="26" t="s">
        <v>408</v>
      </c>
      <c r="C7" s="26">
        <v>0.73958333333333337</v>
      </c>
      <c r="D7" s="26" t="s">
        <v>406</v>
      </c>
      <c r="E7" s="26" t="s">
        <v>71</v>
      </c>
      <c r="F7" s="26" t="s">
        <v>409</v>
      </c>
      <c r="G7" s="328"/>
      <c r="H7" s="7"/>
      <c r="I7" s="8"/>
      <c r="J7" s="8"/>
      <c r="K7" s="8"/>
      <c r="L7" s="8"/>
      <c r="M7" s="8"/>
      <c r="N7" s="8"/>
      <c r="O7" s="8"/>
      <c r="P7" s="8"/>
      <c r="Q7" s="8"/>
      <c r="R7" s="9"/>
    </row>
    <row r="8" spans="1:18" ht="15" customHeight="1" x14ac:dyDescent="0.3">
      <c r="A8" s="11" t="s">
        <v>410</v>
      </c>
      <c r="B8" s="11" t="s">
        <v>411</v>
      </c>
      <c r="C8" s="11">
        <v>0.36458333333333331</v>
      </c>
      <c r="D8" s="11" t="s">
        <v>406</v>
      </c>
      <c r="E8" s="11" t="s">
        <v>314</v>
      </c>
      <c r="F8" s="11" t="s">
        <v>374</v>
      </c>
      <c r="G8" s="328"/>
      <c r="H8" s="7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ht="15" customHeight="1" x14ac:dyDescent="0.3">
      <c r="A9" s="26" t="s">
        <v>410</v>
      </c>
      <c r="B9" s="26" t="s">
        <v>412</v>
      </c>
      <c r="C9" s="26">
        <v>4.5138888888888888E-2</v>
      </c>
      <c r="D9" s="26" t="s">
        <v>406</v>
      </c>
      <c r="E9" s="26" t="s">
        <v>71</v>
      </c>
      <c r="F9" s="26" t="s">
        <v>374</v>
      </c>
      <c r="G9" s="328"/>
      <c r="H9" s="7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ht="15" customHeight="1" x14ac:dyDescent="0.3">
      <c r="A10" s="26" t="s">
        <v>410</v>
      </c>
      <c r="B10" s="26" t="s">
        <v>413</v>
      </c>
      <c r="C10" s="26">
        <v>0.66666666666666663</v>
      </c>
      <c r="D10" s="26" t="s">
        <v>406</v>
      </c>
      <c r="E10" s="26" t="s">
        <v>152</v>
      </c>
      <c r="F10" s="26" t="s">
        <v>414</v>
      </c>
      <c r="G10" s="328"/>
      <c r="H10" s="7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 ht="15" customHeight="1" x14ac:dyDescent="0.3">
      <c r="A11" s="75" t="s">
        <v>44</v>
      </c>
      <c r="B11" s="75" t="s">
        <v>415</v>
      </c>
      <c r="C11" s="75">
        <v>0.96875</v>
      </c>
      <c r="D11" s="75" t="s">
        <v>46</v>
      </c>
      <c r="E11" s="75" t="s">
        <v>47</v>
      </c>
      <c r="F11" s="75" t="s">
        <v>416</v>
      </c>
      <c r="G11" s="328"/>
      <c r="H11" s="76" t="s">
        <v>417</v>
      </c>
      <c r="I11" s="187">
        <v>0.59219999999999995</v>
      </c>
      <c r="J11" s="78">
        <v>106</v>
      </c>
      <c r="K11" s="79" t="s">
        <v>175</v>
      </c>
      <c r="L11" s="78">
        <v>35</v>
      </c>
      <c r="M11" s="78">
        <v>1</v>
      </c>
      <c r="N11" s="78">
        <v>5</v>
      </c>
      <c r="O11" s="79" t="s">
        <v>237</v>
      </c>
      <c r="P11" s="79">
        <v>0.96875</v>
      </c>
      <c r="Q11" s="78">
        <v>179</v>
      </c>
      <c r="R11" s="80" t="s">
        <v>418</v>
      </c>
    </row>
    <row r="12" spans="1:18" ht="15" customHeight="1" x14ac:dyDescent="0.3">
      <c r="A12" s="18" t="s">
        <v>44</v>
      </c>
      <c r="B12" s="18" t="s">
        <v>419</v>
      </c>
      <c r="C12" s="18">
        <v>0.22916666666666671</v>
      </c>
      <c r="D12" s="18" t="s">
        <v>46</v>
      </c>
      <c r="E12" s="18" t="s">
        <v>71</v>
      </c>
      <c r="F12" s="18" t="s">
        <v>416</v>
      </c>
      <c r="G12" s="328"/>
      <c r="H12" s="19" t="s">
        <v>420</v>
      </c>
      <c r="I12" s="188">
        <v>0.4078</v>
      </c>
      <c r="J12" s="21">
        <v>73</v>
      </c>
      <c r="K12" s="22" t="s">
        <v>175</v>
      </c>
      <c r="L12" s="21">
        <v>55</v>
      </c>
      <c r="M12" s="21">
        <v>8</v>
      </c>
      <c r="N12" s="21">
        <v>10</v>
      </c>
      <c r="O12" s="22" t="s">
        <v>237</v>
      </c>
      <c r="P12" s="22">
        <v>0.22916666666666671</v>
      </c>
      <c r="Q12" s="21">
        <v>179</v>
      </c>
      <c r="R12" s="23" t="s">
        <v>421</v>
      </c>
    </row>
    <row r="13" spans="1:18" ht="15" customHeight="1" x14ac:dyDescent="0.3">
      <c r="A13" s="189" t="s">
        <v>44</v>
      </c>
      <c r="B13" s="189" t="s">
        <v>422</v>
      </c>
      <c r="C13" s="189">
        <v>0.93402777777777779</v>
      </c>
      <c r="D13" s="189" t="s">
        <v>46</v>
      </c>
      <c r="E13" s="189" t="s">
        <v>71</v>
      </c>
      <c r="F13" s="189" t="s">
        <v>416</v>
      </c>
      <c r="G13" s="328"/>
      <c r="H13" s="45" t="s">
        <v>423</v>
      </c>
      <c r="I13" s="190">
        <v>0.70950000000000002</v>
      </c>
      <c r="J13" s="47">
        <v>127</v>
      </c>
      <c r="K13" s="48" t="s">
        <v>175</v>
      </c>
      <c r="L13" s="47">
        <v>18</v>
      </c>
      <c r="M13" s="47">
        <v>5</v>
      </c>
      <c r="N13" s="47">
        <v>2</v>
      </c>
      <c r="O13" s="48" t="s">
        <v>237</v>
      </c>
      <c r="P13" s="48">
        <v>0.93402777777777779</v>
      </c>
      <c r="Q13" s="47">
        <v>179</v>
      </c>
      <c r="R13" s="49" t="s">
        <v>424</v>
      </c>
    </row>
    <row r="14" spans="1:18" ht="15" customHeight="1" x14ac:dyDescent="0.3">
      <c r="A14" s="24" t="s">
        <v>44</v>
      </c>
      <c r="B14" s="24" t="s">
        <v>425</v>
      </c>
      <c r="C14" s="24">
        <v>0.61458333333333337</v>
      </c>
      <c r="D14" s="24" t="s">
        <v>46</v>
      </c>
      <c r="E14" s="24" t="s">
        <v>71</v>
      </c>
      <c r="F14" s="24" t="s">
        <v>426</v>
      </c>
      <c r="G14" s="328"/>
      <c r="H14" s="13" t="s">
        <v>427</v>
      </c>
      <c r="I14" s="25">
        <v>0.88270000000000004</v>
      </c>
      <c r="J14" s="15">
        <v>158</v>
      </c>
      <c r="K14" s="16" t="s">
        <v>175</v>
      </c>
      <c r="L14" s="15">
        <v>41</v>
      </c>
      <c r="M14" s="15">
        <v>7</v>
      </c>
      <c r="N14" s="15">
        <v>15</v>
      </c>
      <c r="O14" s="16" t="s">
        <v>364</v>
      </c>
      <c r="P14" s="16">
        <v>0.61458333333333337</v>
      </c>
      <c r="Q14" s="15">
        <v>179</v>
      </c>
      <c r="R14" s="17" t="s">
        <v>428</v>
      </c>
    </row>
    <row r="15" spans="1:18" ht="15" customHeight="1" x14ac:dyDescent="0.3">
      <c r="A15" s="87" t="s">
        <v>44</v>
      </c>
      <c r="B15" s="87" t="s">
        <v>429</v>
      </c>
      <c r="C15" s="87">
        <v>0.72916666666666663</v>
      </c>
      <c r="D15" s="87" t="s">
        <v>46</v>
      </c>
      <c r="E15" s="87" t="s">
        <v>114</v>
      </c>
      <c r="F15" s="87" t="s">
        <v>426</v>
      </c>
      <c r="G15" s="328"/>
      <c r="H15" s="76" t="s">
        <v>430</v>
      </c>
      <c r="I15" s="77">
        <v>0.91059999999999997</v>
      </c>
      <c r="J15" s="78">
        <v>163</v>
      </c>
      <c r="K15" s="79" t="s">
        <v>63</v>
      </c>
      <c r="L15" s="78">
        <v>23</v>
      </c>
      <c r="M15" s="78">
        <v>0</v>
      </c>
      <c r="N15" s="78">
        <v>0</v>
      </c>
      <c r="O15" s="79" t="s">
        <v>277</v>
      </c>
      <c r="P15" s="79">
        <v>0.72916666666666663</v>
      </c>
      <c r="Q15" s="78">
        <v>179</v>
      </c>
      <c r="R15" s="80" t="s">
        <v>431</v>
      </c>
    </row>
    <row r="16" spans="1:18" ht="15" customHeight="1" x14ac:dyDescent="0.3">
      <c r="A16" s="24" t="s">
        <v>44</v>
      </c>
      <c r="B16" s="24" t="s">
        <v>432</v>
      </c>
      <c r="C16" s="24">
        <v>0.55902777777777779</v>
      </c>
      <c r="D16" s="24" t="s">
        <v>61</v>
      </c>
      <c r="E16" s="24"/>
      <c r="F16" s="24" t="s">
        <v>62</v>
      </c>
      <c r="G16" s="328"/>
      <c r="H16" s="13" t="s">
        <v>432</v>
      </c>
      <c r="I16" s="25">
        <v>0.9385</v>
      </c>
      <c r="J16" s="15">
        <v>168</v>
      </c>
      <c r="K16" s="16" t="s">
        <v>433</v>
      </c>
      <c r="L16" s="15">
        <v>25</v>
      </c>
      <c r="M16" s="15">
        <v>0</v>
      </c>
      <c r="N16" s="15">
        <v>0</v>
      </c>
      <c r="O16" s="16" t="s">
        <v>64</v>
      </c>
      <c r="P16" s="16">
        <v>0.55902777777777779</v>
      </c>
      <c r="Q16" s="15">
        <v>179</v>
      </c>
      <c r="R16" s="17" t="s">
        <v>434</v>
      </c>
    </row>
    <row r="17" spans="1:18" ht="15" customHeight="1" x14ac:dyDescent="0.3">
      <c r="A17" s="11" t="s">
        <v>36</v>
      </c>
      <c r="B17" s="11" t="s">
        <v>435</v>
      </c>
      <c r="C17" s="11">
        <v>0.90277777777777779</v>
      </c>
      <c r="D17" s="11" t="s">
        <v>38</v>
      </c>
      <c r="E17" s="11" t="s">
        <v>102</v>
      </c>
      <c r="F17" s="11" t="s">
        <v>436</v>
      </c>
      <c r="G17" s="328"/>
      <c r="H17" s="7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ht="15" customHeight="1" x14ac:dyDescent="0.3">
      <c r="A18" s="10" t="s">
        <v>36</v>
      </c>
      <c r="B18" s="10" t="s">
        <v>435</v>
      </c>
      <c r="C18" s="10">
        <v>0.90277777777777779</v>
      </c>
      <c r="D18" s="10" t="s">
        <v>40</v>
      </c>
      <c r="E18" s="10" t="s">
        <v>104</v>
      </c>
      <c r="F18" s="10" t="s">
        <v>437</v>
      </c>
      <c r="G18" s="328"/>
      <c r="H18" s="7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1:18" ht="15" customHeight="1" x14ac:dyDescent="0.3">
      <c r="A19" s="10" t="s">
        <v>36</v>
      </c>
      <c r="B19" s="10" t="s">
        <v>435</v>
      </c>
      <c r="C19" s="10">
        <v>0.90277777777777779</v>
      </c>
      <c r="D19" s="10" t="s">
        <v>42</v>
      </c>
      <c r="E19" s="10" t="s">
        <v>104</v>
      </c>
      <c r="F19" s="10" t="s">
        <v>39</v>
      </c>
      <c r="G19" s="328"/>
      <c r="H19" s="7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ht="15" customHeight="1" x14ac:dyDescent="0.3">
      <c r="A20" s="26" t="s">
        <v>36</v>
      </c>
      <c r="B20" s="26" t="s">
        <v>438</v>
      </c>
      <c r="C20" s="26">
        <v>0.85416666666666663</v>
      </c>
      <c r="D20" s="26" t="s">
        <v>38</v>
      </c>
      <c r="E20" s="26" t="s">
        <v>439</v>
      </c>
      <c r="F20" s="26" t="s">
        <v>440</v>
      </c>
      <c r="G20" s="328"/>
      <c r="H20" s="7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ht="15" customHeight="1" x14ac:dyDescent="0.3">
      <c r="A21" s="10" t="s">
        <v>36</v>
      </c>
      <c r="B21" s="10" t="s">
        <v>438</v>
      </c>
      <c r="C21" s="10">
        <v>0.85416666666666663</v>
      </c>
      <c r="D21" s="10" t="s">
        <v>40</v>
      </c>
      <c r="E21" s="10" t="s">
        <v>124</v>
      </c>
      <c r="F21" s="10" t="s">
        <v>166</v>
      </c>
      <c r="G21" s="328"/>
      <c r="H21" s="7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1:18" ht="15" customHeight="1" x14ac:dyDescent="0.3">
      <c r="A22" s="10" t="s">
        <v>36</v>
      </c>
      <c r="B22" s="10" t="s">
        <v>438</v>
      </c>
      <c r="C22" s="10">
        <v>0.85416666666666663</v>
      </c>
      <c r="D22" s="10" t="s">
        <v>42</v>
      </c>
      <c r="E22" s="10" t="s">
        <v>124</v>
      </c>
      <c r="F22" s="10" t="s">
        <v>441</v>
      </c>
      <c r="G22" s="328"/>
      <c r="H22" s="7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1:18" ht="15" customHeight="1" x14ac:dyDescent="0.3">
      <c r="A23" s="26" t="s">
        <v>36</v>
      </c>
      <c r="B23" s="26" t="s">
        <v>442</v>
      </c>
      <c r="C23" s="26">
        <v>0.25694444444444448</v>
      </c>
      <c r="D23" s="26" t="s">
        <v>38</v>
      </c>
      <c r="E23" s="26" t="s">
        <v>54</v>
      </c>
      <c r="F23" s="26" t="s">
        <v>440</v>
      </c>
      <c r="G23" s="328"/>
      <c r="H23" s="7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1:18" ht="15" customHeight="1" x14ac:dyDescent="0.3">
      <c r="A24" s="10" t="s">
        <v>36</v>
      </c>
      <c r="B24" s="10" t="s">
        <v>442</v>
      </c>
      <c r="C24" s="10">
        <v>0.25694444444444448</v>
      </c>
      <c r="D24" s="10" t="s">
        <v>40</v>
      </c>
      <c r="E24" s="10" t="s">
        <v>161</v>
      </c>
      <c r="F24" s="10" t="s">
        <v>166</v>
      </c>
      <c r="G24" s="328"/>
      <c r="H24" s="7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1:18" ht="15" customHeight="1" x14ac:dyDescent="0.3">
      <c r="A25" s="10" t="s">
        <v>36</v>
      </c>
      <c r="B25" s="10" t="s">
        <v>442</v>
      </c>
      <c r="C25" s="10">
        <v>0.25694444444444448</v>
      </c>
      <c r="D25" s="10" t="s">
        <v>42</v>
      </c>
      <c r="E25" s="10" t="s">
        <v>161</v>
      </c>
      <c r="F25" s="10" t="s">
        <v>441</v>
      </c>
      <c r="G25" s="328"/>
      <c r="H25" s="7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ht="15" customHeight="1" x14ac:dyDescent="0.3">
      <c r="A26" s="26" t="s">
        <v>36</v>
      </c>
      <c r="B26" s="26" t="s">
        <v>443</v>
      </c>
      <c r="C26" s="26">
        <v>0.30208333333333331</v>
      </c>
      <c r="D26" s="26" t="s">
        <v>38</v>
      </c>
      <c r="E26" s="26" t="s">
        <v>439</v>
      </c>
      <c r="F26" s="26" t="s">
        <v>440</v>
      </c>
      <c r="G26" s="328"/>
      <c r="H26" s="7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1:18" ht="15" customHeight="1" x14ac:dyDescent="0.3">
      <c r="A27" s="10" t="s">
        <v>36</v>
      </c>
      <c r="B27" s="10" t="s">
        <v>443</v>
      </c>
      <c r="C27" s="10">
        <v>0.30208333333333331</v>
      </c>
      <c r="D27" s="10" t="s">
        <v>40</v>
      </c>
      <c r="E27" s="10" t="s">
        <v>124</v>
      </c>
      <c r="F27" s="10" t="s">
        <v>166</v>
      </c>
      <c r="G27" s="328"/>
      <c r="H27" s="7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1:18" ht="15" customHeight="1" x14ac:dyDescent="0.3">
      <c r="A28" s="10" t="s">
        <v>36</v>
      </c>
      <c r="B28" s="10" t="s">
        <v>443</v>
      </c>
      <c r="C28" s="10">
        <v>0.30208333333333331</v>
      </c>
      <c r="D28" s="10" t="s">
        <v>42</v>
      </c>
      <c r="E28" s="10" t="s">
        <v>124</v>
      </c>
      <c r="F28" s="10" t="s">
        <v>441</v>
      </c>
      <c r="G28" s="328"/>
      <c r="H28" s="7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ht="15" customHeight="1" x14ac:dyDescent="0.3">
      <c r="A29" s="26" t="s">
        <v>36</v>
      </c>
      <c r="B29" s="26" t="s">
        <v>444</v>
      </c>
      <c r="C29" s="26">
        <v>0.51736111111111105</v>
      </c>
      <c r="D29" s="26" t="s">
        <v>38</v>
      </c>
      <c r="E29" s="26" t="s">
        <v>439</v>
      </c>
      <c r="F29" s="26" t="s">
        <v>440</v>
      </c>
      <c r="G29" s="328"/>
      <c r="H29" s="7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ht="15" customHeight="1" x14ac:dyDescent="0.3">
      <c r="A30" s="10" t="s">
        <v>36</v>
      </c>
      <c r="B30" s="10" t="s">
        <v>444</v>
      </c>
      <c r="C30" s="10">
        <v>0.51736111111111105</v>
      </c>
      <c r="D30" s="10" t="s">
        <v>40</v>
      </c>
      <c r="E30" s="10" t="s">
        <v>124</v>
      </c>
      <c r="F30" s="10" t="s">
        <v>166</v>
      </c>
      <c r="G30" s="328"/>
      <c r="H30" s="7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18" ht="15" customHeight="1" x14ac:dyDescent="0.3">
      <c r="A31" s="10" t="s">
        <v>36</v>
      </c>
      <c r="B31" s="10" t="s">
        <v>444</v>
      </c>
      <c r="C31" s="10">
        <v>0.51736111111111105</v>
      </c>
      <c r="D31" s="10" t="s">
        <v>42</v>
      </c>
      <c r="E31" s="10" t="s">
        <v>124</v>
      </c>
      <c r="F31" s="10" t="s">
        <v>441</v>
      </c>
      <c r="G31" s="328"/>
      <c r="H31" s="7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1:18" ht="15" customHeight="1" x14ac:dyDescent="0.3">
      <c r="A32" s="26" t="s">
        <v>36</v>
      </c>
      <c r="B32" s="26" t="s">
        <v>445</v>
      </c>
      <c r="C32" s="26">
        <v>0.79861111111111116</v>
      </c>
      <c r="D32" s="26" t="s">
        <v>38</v>
      </c>
      <c r="E32" s="26" t="s">
        <v>439</v>
      </c>
      <c r="F32" s="26" t="s">
        <v>440</v>
      </c>
      <c r="G32" s="328"/>
      <c r="H32" s="7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1:18" ht="15" customHeight="1" x14ac:dyDescent="0.3">
      <c r="A33" s="10" t="s">
        <v>36</v>
      </c>
      <c r="B33" s="10" t="s">
        <v>445</v>
      </c>
      <c r="C33" s="10">
        <v>0.79861111111111116</v>
      </c>
      <c r="D33" s="10" t="s">
        <v>40</v>
      </c>
      <c r="E33" s="10" t="s">
        <v>124</v>
      </c>
      <c r="F33" s="10" t="s">
        <v>166</v>
      </c>
      <c r="G33" s="328"/>
      <c r="H33" s="7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ht="15" customHeight="1" x14ac:dyDescent="0.3">
      <c r="A34" s="10" t="s">
        <v>36</v>
      </c>
      <c r="B34" s="10" t="s">
        <v>445</v>
      </c>
      <c r="C34" s="10">
        <v>0.79861111111111116</v>
      </c>
      <c r="D34" s="10" t="s">
        <v>42</v>
      </c>
      <c r="E34" s="10" t="s">
        <v>124</v>
      </c>
      <c r="F34" s="10" t="s">
        <v>441</v>
      </c>
      <c r="G34" s="328"/>
      <c r="H34" s="7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ht="15" customHeight="1" x14ac:dyDescent="0.3">
      <c r="A35" s="26" t="s">
        <v>36</v>
      </c>
      <c r="B35" s="26" t="s">
        <v>446</v>
      </c>
      <c r="C35" s="26">
        <v>0.64583333333333337</v>
      </c>
      <c r="D35" s="26" t="s">
        <v>38</v>
      </c>
      <c r="E35" s="26" t="s">
        <v>439</v>
      </c>
      <c r="F35" s="26" t="s">
        <v>440</v>
      </c>
      <c r="G35" s="328"/>
      <c r="H35" s="7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ht="15" customHeight="1" x14ac:dyDescent="0.3">
      <c r="A36" s="10" t="s">
        <v>36</v>
      </c>
      <c r="B36" s="10" t="s">
        <v>446</v>
      </c>
      <c r="C36" s="10">
        <v>0.64583333333333337</v>
      </c>
      <c r="D36" s="10" t="s">
        <v>40</v>
      </c>
      <c r="E36" s="10" t="s">
        <v>124</v>
      </c>
      <c r="F36" s="10" t="s">
        <v>166</v>
      </c>
      <c r="G36" s="328"/>
      <c r="H36" s="7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ht="15" customHeight="1" x14ac:dyDescent="0.3">
      <c r="A37" s="10" t="s">
        <v>36</v>
      </c>
      <c r="B37" s="10" t="s">
        <v>446</v>
      </c>
      <c r="C37" s="10">
        <v>0.64583333333333337</v>
      </c>
      <c r="D37" s="10" t="s">
        <v>42</v>
      </c>
      <c r="E37" s="10" t="s">
        <v>124</v>
      </c>
      <c r="F37" s="10" t="s">
        <v>441</v>
      </c>
      <c r="G37" s="328"/>
      <c r="H37" s="7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ht="15" customHeight="1" x14ac:dyDescent="0.3">
      <c r="A38" s="26" t="s">
        <v>36</v>
      </c>
      <c r="B38" s="26" t="s">
        <v>447</v>
      </c>
      <c r="C38" s="26">
        <v>0.39583333333333331</v>
      </c>
      <c r="D38" s="26" t="s">
        <v>38</v>
      </c>
      <c r="E38" s="26" t="s">
        <v>97</v>
      </c>
      <c r="F38" s="26" t="s">
        <v>448</v>
      </c>
      <c r="G38" s="328"/>
      <c r="H38" s="7"/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1:18" ht="15" customHeight="1" x14ac:dyDescent="0.3">
      <c r="A39" s="10" t="s">
        <v>36</v>
      </c>
      <c r="B39" s="10" t="s">
        <v>447</v>
      </c>
      <c r="C39" s="10">
        <v>0.39583333333333331</v>
      </c>
      <c r="D39" s="10" t="s">
        <v>40</v>
      </c>
      <c r="E39" s="10" t="s">
        <v>104</v>
      </c>
      <c r="F39" s="10" t="s">
        <v>449</v>
      </c>
      <c r="G39" s="328"/>
      <c r="H39" s="7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1:18" ht="15" customHeight="1" x14ac:dyDescent="0.3">
      <c r="A40" s="10" t="s">
        <v>36</v>
      </c>
      <c r="B40" s="10" t="s">
        <v>447</v>
      </c>
      <c r="C40" s="10">
        <v>0.39583333333333331</v>
      </c>
      <c r="D40" s="10" t="s">
        <v>42</v>
      </c>
      <c r="E40" s="10" t="s">
        <v>104</v>
      </c>
      <c r="F40" s="10" t="s">
        <v>450</v>
      </c>
      <c r="G40" s="328"/>
      <c r="H40" s="7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ht="15" customHeight="1" x14ac:dyDescent="0.3">
      <c r="A41" s="11" t="s">
        <v>26</v>
      </c>
      <c r="B41" s="11" t="s">
        <v>451</v>
      </c>
      <c r="C41" s="11">
        <v>0.12847222222222221</v>
      </c>
      <c r="D41" s="11" t="s">
        <v>28</v>
      </c>
      <c r="E41" s="11" t="s">
        <v>121</v>
      </c>
      <c r="F41" s="11" t="s">
        <v>452</v>
      </c>
      <c r="G41" s="328"/>
      <c r="H41" s="7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ht="15" customHeight="1" x14ac:dyDescent="0.3">
      <c r="A42" s="10" t="s">
        <v>26</v>
      </c>
      <c r="B42" s="10" t="s">
        <v>451</v>
      </c>
      <c r="C42" s="10">
        <v>0.12847222222222221</v>
      </c>
      <c r="D42" s="10" t="s">
        <v>31</v>
      </c>
      <c r="E42" s="10" t="s">
        <v>122</v>
      </c>
      <c r="F42" s="10" t="s">
        <v>179</v>
      </c>
      <c r="G42" s="328"/>
      <c r="H42" s="7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ht="15" customHeight="1" x14ac:dyDescent="0.3">
      <c r="A43" s="10" t="s">
        <v>26</v>
      </c>
      <c r="B43" s="10" t="s">
        <v>451</v>
      </c>
      <c r="C43" s="10">
        <v>0.12847222222222221</v>
      </c>
      <c r="D43" s="10" t="s">
        <v>34</v>
      </c>
      <c r="E43" s="10" t="s">
        <v>122</v>
      </c>
      <c r="F43" s="10" t="s">
        <v>35</v>
      </c>
      <c r="G43" s="328"/>
      <c r="H43" s="7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1:18" ht="15" customHeight="1" x14ac:dyDescent="0.3">
      <c r="A44" s="26" t="s">
        <v>26</v>
      </c>
      <c r="B44" s="26" t="s">
        <v>453</v>
      </c>
      <c r="C44" s="26">
        <v>0.30208333333333331</v>
      </c>
      <c r="D44" s="26" t="s">
        <v>28</v>
      </c>
      <c r="E44" s="26" t="s">
        <v>74</v>
      </c>
      <c r="F44" s="26" t="s">
        <v>452</v>
      </c>
      <c r="G44" s="328"/>
      <c r="H44" s="7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ht="15" customHeight="1" x14ac:dyDescent="0.3">
      <c r="A45" s="10" t="s">
        <v>26</v>
      </c>
      <c r="B45" s="10" t="s">
        <v>453</v>
      </c>
      <c r="C45" s="10">
        <v>0.30208333333333331</v>
      </c>
      <c r="D45" s="10" t="s">
        <v>31</v>
      </c>
      <c r="E45" s="10" t="s">
        <v>122</v>
      </c>
      <c r="F45" s="10" t="s">
        <v>179</v>
      </c>
      <c r="G45" s="328"/>
      <c r="H45" s="7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1:18" ht="15" customHeight="1" x14ac:dyDescent="0.3">
      <c r="A46" s="10" t="s">
        <v>26</v>
      </c>
      <c r="B46" s="10" t="s">
        <v>453</v>
      </c>
      <c r="C46" s="10">
        <v>0.30208333333333331</v>
      </c>
      <c r="D46" s="10" t="s">
        <v>34</v>
      </c>
      <c r="E46" s="10" t="s">
        <v>122</v>
      </c>
      <c r="F46" s="10" t="s">
        <v>35</v>
      </c>
      <c r="G46" s="328"/>
      <c r="H46" s="7"/>
      <c r="I46" s="8"/>
      <c r="J46" s="8"/>
      <c r="K46" s="8"/>
      <c r="L46" s="8"/>
      <c r="M46" s="8"/>
      <c r="N46" s="8"/>
      <c r="O46" s="8"/>
      <c r="P46" s="8"/>
      <c r="Q46" s="8"/>
      <c r="R46" s="9"/>
    </row>
    <row r="47" spans="1:18" ht="15" customHeight="1" x14ac:dyDescent="0.3">
      <c r="A47" s="26" t="s">
        <v>26</v>
      </c>
      <c r="B47" s="26" t="s">
        <v>454</v>
      </c>
      <c r="C47" s="26">
        <v>0.88888888888888884</v>
      </c>
      <c r="D47" s="26" t="s">
        <v>28</v>
      </c>
      <c r="E47" s="26" t="s">
        <v>152</v>
      </c>
      <c r="F47" s="26" t="s">
        <v>452</v>
      </c>
      <c r="G47" s="328"/>
      <c r="H47" s="7"/>
      <c r="I47" s="8"/>
      <c r="J47" s="8"/>
      <c r="K47" s="8"/>
      <c r="L47" s="8"/>
      <c r="M47" s="8"/>
      <c r="N47" s="8"/>
      <c r="O47" s="8"/>
      <c r="P47" s="8"/>
      <c r="Q47" s="8"/>
      <c r="R47" s="9"/>
    </row>
    <row r="48" spans="1:18" ht="15" customHeight="1" x14ac:dyDescent="0.3">
      <c r="A48" s="10" t="s">
        <v>26</v>
      </c>
      <c r="B48" s="10" t="s">
        <v>454</v>
      </c>
      <c r="C48" s="10">
        <v>0.88888888888888884</v>
      </c>
      <c r="D48" s="10" t="s">
        <v>31</v>
      </c>
      <c r="E48" s="10" t="s">
        <v>84</v>
      </c>
      <c r="F48" s="10" t="s">
        <v>179</v>
      </c>
      <c r="G48" s="328"/>
      <c r="H48" s="7"/>
      <c r="I48" s="8"/>
      <c r="J48" s="8"/>
      <c r="K48" s="8"/>
      <c r="L48" s="8"/>
      <c r="M48" s="8"/>
      <c r="N48" s="8"/>
      <c r="O48" s="8"/>
      <c r="P48" s="8"/>
      <c r="Q48" s="8"/>
      <c r="R48" s="9"/>
    </row>
    <row r="49" spans="1:18" ht="15" customHeight="1" x14ac:dyDescent="0.3">
      <c r="A49" s="10" t="s">
        <v>26</v>
      </c>
      <c r="B49" s="10" t="s">
        <v>454</v>
      </c>
      <c r="C49" s="10">
        <v>0.88888888888888884</v>
      </c>
      <c r="D49" s="10" t="s">
        <v>34</v>
      </c>
      <c r="E49" s="10" t="s">
        <v>84</v>
      </c>
      <c r="F49" s="10" t="s">
        <v>35</v>
      </c>
      <c r="G49" s="328"/>
      <c r="H49" s="7"/>
      <c r="I49" s="8"/>
      <c r="J49" s="8"/>
      <c r="K49" s="8"/>
      <c r="L49" s="8"/>
      <c r="M49" s="8"/>
      <c r="N49" s="8"/>
      <c r="O49" s="8"/>
      <c r="P49" s="8"/>
      <c r="Q49" s="8"/>
      <c r="R49" s="9"/>
    </row>
    <row r="50" spans="1:18" ht="15" customHeight="1" x14ac:dyDescent="0.3">
      <c r="A50" s="26" t="s">
        <v>26</v>
      </c>
      <c r="B50" s="26" t="s">
        <v>455</v>
      </c>
      <c r="C50" s="26">
        <v>0.78819444444444453</v>
      </c>
      <c r="D50" s="26" t="s">
        <v>28</v>
      </c>
      <c r="E50" s="26" t="s">
        <v>114</v>
      </c>
      <c r="F50" s="26" t="s">
        <v>452</v>
      </c>
      <c r="G50" s="328"/>
      <c r="H50" s="7"/>
      <c r="I50" s="8"/>
      <c r="J50" s="8"/>
      <c r="K50" s="8"/>
      <c r="L50" s="8"/>
      <c r="M50" s="8"/>
      <c r="N50" s="8"/>
      <c r="O50" s="8"/>
      <c r="P50" s="8"/>
      <c r="Q50" s="8"/>
      <c r="R50" s="9"/>
    </row>
    <row r="51" spans="1:18" ht="15" customHeight="1" x14ac:dyDescent="0.3">
      <c r="A51" s="10" t="s">
        <v>26</v>
      </c>
      <c r="B51" s="10" t="s">
        <v>455</v>
      </c>
      <c r="C51" s="10">
        <v>0.78819444444444453</v>
      </c>
      <c r="D51" s="10" t="s">
        <v>31</v>
      </c>
      <c r="E51" s="10" t="s">
        <v>115</v>
      </c>
      <c r="F51" s="10" t="s">
        <v>179</v>
      </c>
      <c r="G51" s="328"/>
      <c r="H51" s="7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1:18" ht="15" customHeight="1" x14ac:dyDescent="0.3">
      <c r="A52" s="10" t="s">
        <v>26</v>
      </c>
      <c r="B52" s="10" t="s">
        <v>455</v>
      </c>
      <c r="C52" s="10">
        <v>0.78819444444444453</v>
      </c>
      <c r="D52" s="10" t="s">
        <v>34</v>
      </c>
      <c r="E52" s="10" t="s">
        <v>115</v>
      </c>
      <c r="F52" s="10" t="s">
        <v>35</v>
      </c>
      <c r="G52" s="328"/>
      <c r="H52" s="7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1:18" ht="15" customHeight="1" x14ac:dyDescent="0.3">
      <c r="A53" s="11" t="s">
        <v>456</v>
      </c>
      <c r="B53" s="11" t="s">
        <v>457</v>
      </c>
      <c r="C53" s="11">
        <v>0.22222222222222221</v>
      </c>
      <c r="D53" s="11" t="s">
        <v>458</v>
      </c>
      <c r="E53" s="11" t="s">
        <v>123</v>
      </c>
      <c r="F53" s="11" t="s">
        <v>459</v>
      </c>
      <c r="G53" s="328"/>
      <c r="H53" s="7"/>
      <c r="I53" s="8"/>
      <c r="J53" s="8"/>
      <c r="K53" s="8"/>
      <c r="L53" s="8"/>
      <c r="M53" s="8"/>
      <c r="N53" s="8"/>
      <c r="O53" s="8"/>
      <c r="P53" s="8"/>
      <c r="Q53" s="8"/>
      <c r="R53" s="9"/>
    </row>
    <row r="54" spans="1:18" ht="15" customHeight="1" x14ac:dyDescent="0.3">
      <c r="A54" s="10" t="s">
        <v>456</v>
      </c>
      <c r="B54" s="10" t="s">
        <v>457</v>
      </c>
      <c r="C54" s="10">
        <v>0.22222222222222221</v>
      </c>
      <c r="D54" s="10" t="s">
        <v>34</v>
      </c>
      <c r="E54" s="10" t="s">
        <v>124</v>
      </c>
      <c r="F54" s="10" t="s">
        <v>460</v>
      </c>
      <c r="G54" s="328"/>
      <c r="H54" s="7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1:18" ht="15" customHeight="1" x14ac:dyDescent="0.3">
      <c r="A55" s="11" t="s">
        <v>78</v>
      </c>
      <c r="B55" s="11" t="s">
        <v>461</v>
      </c>
      <c r="C55" s="11">
        <v>0.23958333333333329</v>
      </c>
      <c r="D55" s="11" t="s">
        <v>80</v>
      </c>
      <c r="E55" s="11" t="s">
        <v>47</v>
      </c>
      <c r="F55" s="11" t="s">
        <v>462</v>
      </c>
      <c r="G55" s="328"/>
      <c r="H55" s="7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ht="15" customHeight="1" x14ac:dyDescent="0.3">
      <c r="A56" s="10" t="s">
        <v>78</v>
      </c>
      <c r="B56" s="10" t="s">
        <v>461</v>
      </c>
      <c r="C56" s="10">
        <v>0.23958333333333329</v>
      </c>
      <c r="D56" s="10" t="s">
        <v>83</v>
      </c>
      <c r="E56" s="10" t="s">
        <v>95</v>
      </c>
      <c r="F56" s="10" t="s">
        <v>463</v>
      </c>
      <c r="G56" s="328"/>
      <c r="H56" s="7"/>
      <c r="I56" s="8"/>
      <c r="J56" s="8"/>
      <c r="K56" s="8"/>
      <c r="L56" s="8"/>
      <c r="M56" s="8"/>
      <c r="N56" s="8"/>
      <c r="O56" s="8"/>
      <c r="P56" s="8"/>
      <c r="Q56" s="8"/>
      <c r="R56" s="9"/>
    </row>
    <row r="57" spans="1:18" ht="15" customHeight="1" x14ac:dyDescent="0.3">
      <c r="A57" s="26" t="s">
        <v>78</v>
      </c>
      <c r="B57" s="26" t="s">
        <v>464</v>
      </c>
      <c r="C57" s="26">
        <v>6.9444444444444441E-3</v>
      </c>
      <c r="D57" s="26" t="s">
        <v>80</v>
      </c>
      <c r="E57" s="26" t="s">
        <v>71</v>
      </c>
      <c r="F57" s="26" t="s">
        <v>465</v>
      </c>
      <c r="G57" s="328"/>
      <c r="H57" s="7"/>
      <c r="I57" s="8"/>
      <c r="J57" s="8"/>
      <c r="K57" s="8"/>
      <c r="L57" s="8"/>
      <c r="M57" s="8"/>
      <c r="N57" s="8"/>
      <c r="O57" s="8"/>
      <c r="P57" s="8"/>
      <c r="Q57" s="8"/>
      <c r="R57" s="9"/>
    </row>
    <row r="58" spans="1:18" ht="15" customHeight="1" x14ac:dyDescent="0.3">
      <c r="A58" s="10" t="s">
        <v>78</v>
      </c>
      <c r="B58" s="10" t="s">
        <v>464</v>
      </c>
      <c r="C58" s="10">
        <v>6.9444444444444441E-3</v>
      </c>
      <c r="D58" s="10" t="s">
        <v>83</v>
      </c>
      <c r="E58" s="10" t="s">
        <v>95</v>
      </c>
      <c r="F58" s="10" t="s">
        <v>466</v>
      </c>
      <c r="G58" s="328"/>
      <c r="H58" s="7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1:18" ht="15" customHeight="1" x14ac:dyDescent="0.3">
      <c r="A59" s="26" t="s">
        <v>78</v>
      </c>
      <c r="B59" s="26" t="s">
        <v>467</v>
      </c>
      <c r="C59" s="26">
        <v>0.1423611111111111</v>
      </c>
      <c r="D59" s="26" t="s">
        <v>80</v>
      </c>
      <c r="E59" s="26" t="s">
        <v>71</v>
      </c>
      <c r="F59" s="26" t="s">
        <v>465</v>
      </c>
      <c r="G59" s="328"/>
      <c r="H59" s="7"/>
      <c r="I59" s="8"/>
      <c r="J59" s="8"/>
      <c r="K59" s="8"/>
      <c r="L59" s="8"/>
      <c r="M59" s="8"/>
      <c r="N59" s="8"/>
      <c r="O59" s="8"/>
      <c r="P59" s="8"/>
      <c r="Q59" s="8"/>
      <c r="R59" s="9"/>
    </row>
    <row r="60" spans="1:18" ht="15" customHeight="1" x14ac:dyDescent="0.3">
      <c r="A60" s="10" t="s">
        <v>78</v>
      </c>
      <c r="B60" s="10" t="s">
        <v>467</v>
      </c>
      <c r="C60" s="10">
        <v>0.1423611111111111</v>
      </c>
      <c r="D60" s="10" t="s">
        <v>83</v>
      </c>
      <c r="E60" s="10" t="s">
        <v>95</v>
      </c>
      <c r="F60" s="10" t="s">
        <v>466</v>
      </c>
      <c r="G60" s="328"/>
      <c r="H60" s="7"/>
      <c r="I60" s="8"/>
      <c r="J60" s="8"/>
      <c r="K60" s="8"/>
      <c r="L60" s="8"/>
      <c r="M60" s="8"/>
      <c r="N60" s="8"/>
      <c r="O60" s="8"/>
      <c r="P60" s="8"/>
      <c r="Q60" s="8"/>
      <c r="R60" s="9"/>
    </row>
    <row r="61" spans="1:18" ht="15" customHeight="1" x14ac:dyDescent="0.3">
      <c r="A61" s="26" t="s">
        <v>78</v>
      </c>
      <c r="B61" s="26" t="s">
        <v>468</v>
      </c>
      <c r="C61" s="26">
        <v>0.93055555555555547</v>
      </c>
      <c r="D61" s="26" t="s">
        <v>80</v>
      </c>
      <c r="E61" s="26" t="s">
        <v>71</v>
      </c>
      <c r="F61" s="26" t="s">
        <v>465</v>
      </c>
      <c r="G61" s="328"/>
      <c r="H61" s="7"/>
      <c r="I61" s="8"/>
      <c r="J61" s="8"/>
      <c r="K61" s="8"/>
      <c r="L61" s="8"/>
      <c r="M61" s="8"/>
      <c r="N61" s="8"/>
      <c r="O61" s="8"/>
      <c r="P61" s="8"/>
      <c r="Q61" s="8"/>
      <c r="R61" s="9"/>
    </row>
    <row r="62" spans="1:18" ht="15" customHeight="1" x14ac:dyDescent="0.3">
      <c r="A62" s="10" t="s">
        <v>78</v>
      </c>
      <c r="B62" s="10" t="s">
        <v>468</v>
      </c>
      <c r="C62" s="10">
        <v>0.93055555555555547</v>
      </c>
      <c r="D62" s="10" t="s">
        <v>83</v>
      </c>
      <c r="E62" s="10" t="s">
        <v>95</v>
      </c>
      <c r="F62" s="10" t="s">
        <v>466</v>
      </c>
      <c r="G62" s="328"/>
      <c r="H62" s="7"/>
      <c r="I62" s="8"/>
      <c r="J62" s="8"/>
      <c r="K62" s="8"/>
      <c r="L62" s="8"/>
      <c r="M62" s="8"/>
      <c r="N62" s="8"/>
      <c r="O62" s="8"/>
      <c r="P62" s="8"/>
      <c r="Q62" s="8"/>
      <c r="R62" s="9"/>
    </row>
    <row r="63" spans="1:18" ht="15" customHeight="1" x14ac:dyDescent="0.3">
      <c r="A63" s="26" t="s">
        <v>78</v>
      </c>
      <c r="B63" s="26" t="s">
        <v>469</v>
      </c>
      <c r="C63" s="26">
        <v>0.37847222222222232</v>
      </c>
      <c r="D63" s="26" t="s">
        <v>80</v>
      </c>
      <c r="E63" s="26" t="s">
        <v>71</v>
      </c>
      <c r="F63" s="26" t="s">
        <v>465</v>
      </c>
      <c r="G63" s="328"/>
      <c r="H63" s="7"/>
      <c r="I63" s="8"/>
      <c r="J63" s="8"/>
      <c r="K63" s="8"/>
      <c r="L63" s="8"/>
      <c r="M63" s="8"/>
      <c r="N63" s="8"/>
      <c r="O63" s="8"/>
      <c r="P63" s="8"/>
      <c r="Q63" s="8"/>
      <c r="R63" s="9"/>
    </row>
    <row r="64" spans="1:18" ht="15" customHeight="1" x14ac:dyDescent="0.3">
      <c r="A64" s="10" t="s">
        <v>78</v>
      </c>
      <c r="B64" s="10" t="s">
        <v>469</v>
      </c>
      <c r="C64" s="10">
        <v>0.37847222222222232</v>
      </c>
      <c r="D64" s="10" t="s">
        <v>83</v>
      </c>
      <c r="E64" s="10" t="s">
        <v>95</v>
      </c>
      <c r="F64" s="10" t="s">
        <v>466</v>
      </c>
      <c r="G64" s="328"/>
      <c r="H64" s="7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 spans="1:18" ht="15" customHeight="1" x14ac:dyDescent="0.3">
      <c r="A65" s="26" t="s">
        <v>78</v>
      </c>
      <c r="B65" s="26" t="s">
        <v>470</v>
      </c>
      <c r="C65" s="26">
        <v>0.71875</v>
      </c>
      <c r="D65" s="26" t="s">
        <v>80</v>
      </c>
      <c r="E65" s="26" t="s">
        <v>71</v>
      </c>
      <c r="F65" s="26" t="s">
        <v>471</v>
      </c>
      <c r="G65" s="328"/>
      <c r="H65" s="7"/>
      <c r="I65" s="8"/>
      <c r="J65" s="8"/>
      <c r="K65" s="8"/>
      <c r="L65" s="8"/>
      <c r="M65" s="8"/>
      <c r="N65" s="8"/>
      <c r="O65" s="8"/>
      <c r="P65" s="8"/>
      <c r="Q65" s="8"/>
      <c r="R65" s="9"/>
    </row>
    <row r="66" spans="1:18" ht="15" customHeight="1" x14ac:dyDescent="0.3">
      <c r="A66" s="10" t="s">
        <v>78</v>
      </c>
      <c r="B66" s="10" t="s">
        <v>470</v>
      </c>
      <c r="C66" s="10">
        <v>0.71875</v>
      </c>
      <c r="D66" s="10" t="s">
        <v>83</v>
      </c>
      <c r="E66" s="10" t="s">
        <v>95</v>
      </c>
      <c r="F66" s="10" t="s">
        <v>472</v>
      </c>
      <c r="G66" s="328"/>
      <c r="H66" s="7"/>
      <c r="I66" s="8"/>
      <c r="J66" s="8"/>
      <c r="K66" s="8"/>
      <c r="L66" s="8"/>
      <c r="M66" s="8"/>
      <c r="N66" s="8"/>
      <c r="O66" s="8"/>
      <c r="P66" s="8"/>
      <c r="Q66" s="8"/>
      <c r="R66" s="9"/>
    </row>
    <row r="67" spans="1:18" ht="15" customHeight="1" x14ac:dyDescent="0.3">
      <c r="A67" s="26" t="s">
        <v>78</v>
      </c>
      <c r="B67" s="26" t="s">
        <v>473</v>
      </c>
      <c r="C67" s="26">
        <v>0.88888888888888884</v>
      </c>
      <c r="D67" s="26" t="s">
        <v>83</v>
      </c>
      <c r="E67" s="26" t="s">
        <v>87</v>
      </c>
      <c r="F67" s="26" t="s">
        <v>474</v>
      </c>
      <c r="G67" s="328"/>
      <c r="H67" s="7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ht="15" customHeight="1" x14ac:dyDescent="0.3">
      <c r="A68" s="26" t="s">
        <v>78</v>
      </c>
      <c r="B68" s="26" t="s">
        <v>475</v>
      </c>
      <c r="C68" s="26">
        <v>0.30208333333333331</v>
      </c>
      <c r="D68" s="26" t="s">
        <v>83</v>
      </c>
      <c r="E68" s="26" t="s">
        <v>87</v>
      </c>
      <c r="F68" s="26" t="s">
        <v>474</v>
      </c>
      <c r="G68" s="328"/>
      <c r="H68" s="7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ht="15" customHeight="1" x14ac:dyDescent="0.3">
      <c r="A69" s="26" t="s">
        <v>78</v>
      </c>
      <c r="B69" s="26" t="s">
        <v>476</v>
      </c>
      <c r="C69" s="26">
        <v>0.12847222222222221</v>
      </c>
      <c r="D69" s="26" t="s">
        <v>83</v>
      </c>
      <c r="E69" s="26" t="s">
        <v>87</v>
      </c>
      <c r="F69" s="26" t="s">
        <v>474</v>
      </c>
      <c r="G69" s="328"/>
      <c r="H69" s="7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ht="15" customHeight="1" x14ac:dyDescent="0.3">
      <c r="A70" s="26" t="s">
        <v>78</v>
      </c>
      <c r="B70" s="26" t="s">
        <v>477</v>
      </c>
      <c r="C70" s="26">
        <v>0.82986111111111116</v>
      </c>
      <c r="D70" s="26" t="s">
        <v>80</v>
      </c>
      <c r="E70" s="26" t="s">
        <v>71</v>
      </c>
      <c r="F70" s="26" t="s">
        <v>478</v>
      </c>
      <c r="G70" s="328"/>
      <c r="H70" s="7"/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ht="15" customHeight="1" x14ac:dyDescent="0.3">
      <c r="A71" s="10" t="s">
        <v>78</v>
      </c>
      <c r="B71" s="10" t="s">
        <v>477</v>
      </c>
      <c r="C71" s="10">
        <v>0.82986111111111116</v>
      </c>
      <c r="D71" s="10" t="s">
        <v>83</v>
      </c>
      <c r="E71" s="10" t="s">
        <v>95</v>
      </c>
      <c r="F71" s="10" t="s">
        <v>479</v>
      </c>
      <c r="G71" s="328"/>
      <c r="H71" s="7"/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1:18" ht="15" customHeight="1" x14ac:dyDescent="0.3">
      <c r="A72" s="26" t="s">
        <v>78</v>
      </c>
      <c r="B72" s="26" t="s">
        <v>480</v>
      </c>
      <c r="C72" s="26">
        <v>0.78819444444444453</v>
      </c>
      <c r="D72" s="26" t="s">
        <v>83</v>
      </c>
      <c r="E72" s="26" t="s">
        <v>87</v>
      </c>
      <c r="F72" s="26" t="s">
        <v>481</v>
      </c>
      <c r="G72" s="328"/>
      <c r="H72" s="7"/>
      <c r="I72" s="8"/>
      <c r="J72" s="8"/>
      <c r="K72" s="8"/>
      <c r="L72" s="8"/>
      <c r="M72" s="8"/>
      <c r="N72" s="8"/>
      <c r="O72" s="8"/>
      <c r="P72" s="8"/>
      <c r="Q72" s="8"/>
      <c r="R72" s="9"/>
    </row>
    <row r="73" spans="1:18" ht="15" customHeight="1" x14ac:dyDescent="0.3">
      <c r="A73" s="26" t="s">
        <v>78</v>
      </c>
      <c r="B73" s="26" t="s">
        <v>482</v>
      </c>
      <c r="C73" s="26">
        <v>0.61111111111111105</v>
      </c>
      <c r="D73" s="26" t="s">
        <v>80</v>
      </c>
      <c r="E73" s="26" t="s">
        <v>114</v>
      </c>
      <c r="F73" s="26" t="s">
        <v>483</v>
      </c>
      <c r="G73" s="328"/>
      <c r="H73" s="7"/>
      <c r="I73" s="8"/>
      <c r="J73" s="8"/>
      <c r="K73" s="8"/>
      <c r="L73" s="8"/>
      <c r="M73" s="8"/>
      <c r="N73" s="8"/>
      <c r="O73" s="8"/>
      <c r="P73" s="8"/>
      <c r="Q73" s="8"/>
      <c r="R73" s="9"/>
    </row>
    <row r="74" spans="1:18" ht="15" customHeight="1" x14ac:dyDescent="0.3">
      <c r="A74" s="10" t="s">
        <v>78</v>
      </c>
      <c r="B74" s="10" t="s">
        <v>482</v>
      </c>
      <c r="C74" s="10">
        <v>0.61111111111111105</v>
      </c>
      <c r="D74" s="10" t="s">
        <v>83</v>
      </c>
      <c r="E74" s="10" t="s">
        <v>115</v>
      </c>
      <c r="F74" s="10" t="s">
        <v>484</v>
      </c>
      <c r="G74" s="328"/>
      <c r="H74" s="7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1:18" ht="15" customHeight="1" x14ac:dyDescent="0.3">
      <c r="A75" s="11" t="s">
        <v>66</v>
      </c>
      <c r="B75" s="11" t="s">
        <v>485</v>
      </c>
      <c r="C75" s="11">
        <v>0.4861111111111111</v>
      </c>
      <c r="D75" s="11" t="s">
        <v>68</v>
      </c>
      <c r="E75" s="11" t="s">
        <v>47</v>
      </c>
      <c r="F75" s="11" t="s">
        <v>486</v>
      </c>
      <c r="G75" s="328"/>
      <c r="H75" s="7"/>
      <c r="I75" s="8"/>
      <c r="J75" s="8"/>
      <c r="K75" s="8"/>
      <c r="L75" s="8"/>
      <c r="M75" s="8"/>
      <c r="N75" s="8"/>
      <c r="O75" s="8"/>
      <c r="P75" s="8"/>
      <c r="Q75" s="8"/>
      <c r="R75" s="9"/>
    </row>
    <row r="76" spans="1:18" ht="15" customHeight="1" x14ac:dyDescent="0.3">
      <c r="A76" s="26" t="s">
        <v>66</v>
      </c>
      <c r="B76" s="26" t="s">
        <v>487</v>
      </c>
      <c r="C76" s="26">
        <v>0.51388888888888895</v>
      </c>
      <c r="D76" s="26" t="s">
        <v>68</v>
      </c>
      <c r="E76" s="26" t="s">
        <v>71</v>
      </c>
      <c r="F76" s="26" t="s">
        <v>486</v>
      </c>
      <c r="G76" s="328"/>
      <c r="H76" s="7"/>
      <c r="I76" s="8"/>
      <c r="J76" s="8"/>
      <c r="K76" s="8"/>
      <c r="L76" s="8"/>
      <c r="M76" s="8"/>
      <c r="N76" s="8"/>
      <c r="O76" s="8"/>
      <c r="P76" s="8"/>
      <c r="Q76" s="8"/>
      <c r="R76" s="9"/>
    </row>
    <row r="77" spans="1:18" ht="15" customHeight="1" x14ac:dyDescent="0.3">
      <c r="A77" s="26" t="s">
        <v>66</v>
      </c>
      <c r="B77" s="26" t="s">
        <v>488</v>
      </c>
      <c r="C77" s="26">
        <v>0.22222222222222221</v>
      </c>
      <c r="D77" s="26" t="s">
        <v>68</v>
      </c>
      <c r="E77" s="26" t="s">
        <v>71</v>
      </c>
      <c r="F77" s="26" t="s">
        <v>489</v>
      </c>
      <c r="G77" s="328"/>
      <c r="H77" s="7"/>
      <c r="I77" s="8"/>
      <c r="J77" s="8"/>
      <c r="K77" s="8"/>
      <c r="L77" s="8"/>
      <c r="M77" s="8"/>
      <c r="N77" s="8"/>
      <c r="O77" s="8"/>
      <c r="P77" s="8"/>
      <c r="Q77" s="8"/>
      <c r="R77" s="9"/>
    </row>
    <row r="78" spans="1:18" ht="15" customHeight="1" x14ac:dyDescent="0.3">
      <c r="A78" s="26" t="s">
        <v>66</v>
      </c>
      <c r="B78" s="26" t="s">
        <v>490</v>
      </c>
      <c r="C78" s="26">
        <v>0.27777777777777779</v>
      </c>
      <c r="D78" s="26" t="s">
        <v>68</v>
      </c>
      <c r="E78" s="26" t="s">
        <v>71</v>
      </c>
      <c r="F78" s="26" t="s">
        <v>491</v>
      </c>
      <c r="G78" s="328"/>
      <c r="H78" s="7"/>
      <c r="I78" s="8"/>
      <c r="J78" s="8"/>
      <c r="K78" s="8"/>
      <c r="L78" s="8"/>
      <c r="M78" s="8"/>
      <c r="N78" s="8"/>
      <c r="O78" s="8"/>
      <c r="P78" s="8"/>
      <c r="Q78" s="8"/>
      <c r="R78" s="9"/>
    </row>
    <row r="79" spans="1:18" ht="15" customHeight="1" x14ac:dyDescent="0.3">
      <c r="A79" s="31" t="s">
        <v>66</v>
      </c>
      <c r="B79" s="31" t="s">
        <v>492</v>
      </c>
      <c r="C79" s="31">
        <v>0.77430555555555547</v>
      </c>
      <c r="D79" s="31" t="s">
        <v>68</v>
      </c>
      <c r="E79" s="31" t="s">
        <v>71</v>
      </c>
      <c r="F79" s="31" t="s">
        <v>493</v>
      </c>
      <c r="G79" s="328"/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30"/>
    </row>
    <row r="80" spans="1:18" ht="17.399999999999999" customHeight="1" x14ac:dyDescent="0.3">
      <c r="A80" s="360"/>
      <c r="B80" s="361"/>
      <c r="C80" s="361"/>
      <c r="D80" s="361"/>
      <c r="E80" s="361"/>
      <c r="F80" s="361"/>
      <c r="G80" s="361"/>
      <c r="H80" s="361"/>
      <c r="I80" s="361"/>
      <c r="J80" s="361"/>
      <c r="K80" s="361"/>
      <c r="L80" s="361"/>
      <c r="M80" s="361"/>
      <c r="N80" s="361"/>
      <c r="O80" s="361"/>
      <c r="P80" s="361"/>
      <c r="Q80" s="361"/>
      <c r="R80" s="362"/>
    </row>
    <row r="81" spans="1:18" ht="22.05" customHeight="1" x14ac:dyDescent="0.3">
      <c r="A81" s="323" t="s">
        <v>6</v>
      </c>
      <c r="B81" s="324"/>
      <c r="C81" s="324"/>
      <c r="D81" s="324"/>
      <c r="E81" s="324"/>
      <c r="F81" s="324"/>
      <c r="G81" s="2">
        <v>45987</v>
      </c>
      <c r="H81" s="323" t="s">
        <v>7</v>
      </c>
      <c r="I81" s="324"/>
      <c r="J81" s="324"/>
      <c r="K81" s="324"/>
      <c r="L81" s="324"/>
      <c r="M81" s="324"/>
      <c r="N81" s="324"/>
      <c r="O81" s="324"/>
      <c r="P81" s="324"/>
      <c r="Q81" s="324"/>
      <c r="R81" s="324"/>
    </row>
    <row r="82" spans="1:18" ht="24" customHeight="1" x14ac:dyDescent="0.3">
      <c r="A82" s="3" t="s">
        <v>8</v>
      </c>
      <c r="B82" s="3" t="s">
        <v>9</v>
      </c>
      <c r="C82" s="3" t="s">
        <v>10</v>
      </c>
      <c r="D82" s="3" t="s">
        <v>11</v>
      </c>
      <c r="E82" s="3" t="s">
        <v>12</v>
      </c>
      <c r="F82" s="4" t="s">
        <v>13</v>
      </c>
      <c r="G82" s="5" t="s">
        <v>14</v>
      </c>
      <c r="H82" s="3" t="s">
        <v>15</v>
      </c>
      <c r="I82" s="3" t="s">
        <v>16</v>
      </c>
      <c r="J82" s="3" t="s">
        <v>17</v>
      </c>
      <c r="K82" s="3" t="s">
        <v>18</v>
      </c>
      <c r="L82" s="3" t="s">
        <v>19</v>
      </c>
      <c r="M82" s="3" t="s">
        <v>20</v>
      </c>
      <c r="N82" s="3" t="s">
        <v>21</v>
      </c>
      <c r="O82" s="3" t="s">
        <v>22</v>
      </c>
      <c r="P82" s="3" t="s">
        <v>23</v>
      </c>
      <c r="Q82" s="3" t="s">
        <v>24</v>
      </c>
      <c r="R82" s="3" t="s">
        <v>25</v>
      </c>
    </row>
    <row r="83" spans="1:18" ht="15" customHeight="1" x14ac:dyDescent="0.3">
      <c r="A83" s="6" t="s">
        <v>404</v>
      </c>
      <c r="B83" s="6" t="s">
        <v>405</v>
      </c>
      <c r="C83" s="6">
        <v>0.27083333333333331</v>
      </c>
      <c r="D83" s="6" t="s">
        <v>406</v>
      </c>
      <c r="E83" s="6" t="s">
        <v>81</v>
      </c>
      <c r="F83" s="6" t="s">
        <v>407</v>
      </c>
      <c r="G83" s="328"/>
      <c r="H83" s="7"/>
      <c r="I83" s="8"/>
      <c r="J83" s="8"/>
      <c r="K83" s="8"/>
      <c r="L83" s="8"/>
      <c r="M83" s="8"/>
      <c r="N83" s="8"/>
      <c r="O83" s="8"/>
      <c r="P83" s="8"/>
      <c r="Q83" s="8"/>
      <c r="R83" s="9"/>
    </row>
    <row r="84" spans="1:18" ht="15" customHeight="1" x14ac:dyDescent="0.3">
      <c r="A84" s="26" t="s">
        <v>404</v>
      </c>
      <c r="B84" s="26" t="s">
        <v>408</v>
      </c>
      <c r="C84" s="26">
        <v>0.86111111111111116</v>
      </c>
      <c r="D84" s="26" t="s">
        <v>406</v>
      </c>
      <c r="E84" s="26" t="s">
        <v>90</v>
      </c>
      <c r="F84" s="26" t="s">
        <v>494</v>
      </c>
      <c r="G84" s="328"/>
      <c r="H84" s="7"/>
      <c r="I84" s="8"/>
      <c r="J84" s="8"/>
      <c r="K84" s="8"/>
      <c r="L84" s="8"/>
      <c r="M84" s="8"/>
      <c r="N84" s="8"/>
      <c r="O84" s="8"/>
      <c r="P84" s="8"/>
      <c r="Q84" s="8"/>
      <c r="R84" s="9"/>
    </row>
    <row r="85" spans="1:18" ht="15" customHeight="1" x14ac:dyDescent="0.3">
      <c r="A85" s="11" t="s">
        <v>410</v>
      </c>
      <c r="B85" s="11" t="s">
        <v>411</v>
      </c>
      <c r="C85" s="11">
        <v>0.37152777777777768</v>
      </c>
      <c r="D85" s="11" t="s">
        <v>406</v>
      </c>
      <c r="E85" s="11" t="s">
        <v>47</v>
      </c>
      <c r="F85" s="11" t="s">
        <v>374</v>
      </c>
      <c r="G85" s="328"/>
      <c r="H85" s="7"/>
      <c r="I85" s="8"/>
      <c r="J85" s="8"/>
      <c r="K85" s="8"/>
      <c r="L85" s="8"/>
      <c r="M85" s="8"/>
      <c r="N85" s="8"/>
      <c r="O85" s="8"/>
      <c r="P85" s="8"/>
      <c r="Q85" s="8"/>
      <c r="R85" s="9"/>
    </row>
    <row r="86" spans="1:18" ht="15" customHeight="1" x14ac:dyDescent="0.3">
      <c r="A86" s="26" t="s">
        <v>410</v>
      </c>
      <c r="B86" s="26" t="s">
        <v>413</v>
      </c>
      <c r="C86" s="26">
        <v>0.9375</v>
      </c>
      <c r="D86" s="26" t="s">
        <v>406</v>
      </c>
      <c r="E86" s="26" t="s">
        <v>71</v>
      </c>
      <c r="F86" s="26" t="s">
        <v>374</v>
      </c>
      <c r="G86" s="328"/>
      <c r="H86" s="7"/>
      <c r="I86" s="8"/>
      <c r="J86" s="8"/>
      <c r="K86" s="8"/>
      <c r="L86" s="8"/>
      <c r="M86" s="8"/>
      <c r="N86" s="8"/>
      <c r="O86" s="8"/>
      <c r="P86" s="8"/>
      <c r="Q86" s="8"/>
      <c r="R86" s="9"/>
    </row>
    <row r="87" spans="1:18" ht="15" customHeight="1" x14ac:dyDescent="0.3">
      <c r="A87" s="44" t="s">
        <v>44</v>
      </c>
      <c r="B87" s="44" t="s">
        <v>415</v>
      </c>
      <c r="C87" s="44">
        <v>0.51736111111111105</v>
      </c>
      <c r="D87" s="44" t="s">
        <v>46</v>
      </c>
      <c r="E87" s="44" t="s">
        <v>47</v>
      </c>
      <c r="F87" s="44" t="s">
        <v>374</v>
      </c>
      <c r="G87" s="328"/>
      <c r="H87" s="45" t="s">
        <v>417</v>
      </c>
      <c r="I87" s="191">
        <v>0.4078</v>
      </c>
      <c r="J87" s="47">
        <v>73</v>
      </c>
      <c r="K87" s="48" t="s">
        <v>175</v>
      </c>
      <c r="L87" s="47">
        <v>51</v>
      </c>
      <c r="M87" s="47">
        <v>5</v>
      </c>
      <c r="N87" s="47">
        <v>3</v>
      </c>
      <c r="O87" s="48" t="s">
        <v>353</v>
      </c>
      <c r="P87" s="48">
        <v>0.51736111111111105</v>
      </c>
      <c r="Q87" s="47">
        <v>179</v>
      </c>
      <c r="R87" s="49" t="s">
        <v>495</v>
      </c>
    </row>
    <row r="88" spans="1:18" ht="15" customHeight="1" x14ac:dyDescent="0.3">
      <c r="A88" s="24" t="s">
        <v>44</v>
      </c>
      <c r="B88" s="24" t="s">
        <v>429</v>
      </c>
      <c r="C88" s="24">
        <v>0.52083333333333337</v>
      </c>
      <c r="D88" s="24" t="s">
        <v>46</v>
      </c>
      <c r="E88" s="24" t="s">
        <v>71</v>
      </c>
      <c r="F88" s="24" t="s">
        <v>374</v>
      </c>
      <c r="G88" s="328"/>
      <c r="H88" s="13" t="s">
        <v>430</v>
      </c>
      <c r="I88" s="192">
        <v>0.71509999999999996</v>
      </c>
      <c r="J88" s="15">
        <v>128</v>
      </c>
      <c r="K88" s="16" t="s">
        <v>175</v>
      </c>
      <c r="L88" s="15">
        <v>59</v>
      </c>
      <c r="M88" s="15">
        <v>4</v>
      </c>
      <c r="N88" s="15">
        <v>10</v>
      </c>
      <c r="O88" s="16" t="s">
        <v>353</v>
      </c>
      <c r="P88" s="16">
        <v>0.52083333333333337</v>
      </c>
      <c r="Q88" s="15">
        <v>179</v>
      </c>
      <c r="R88" s="17" t="s">
        <v>496</v>
      </c>
    </row>
    <row r="89" spans="1:18" ht="15" customHeight="1" x14ac:dyDescent="0.3">
      <c r="A89" s="193" t="s">
        <v>44</v>
      </c>
      <c r="B89" s="193" t="s">
        <v>425</v>
      </c>
      <c r="C89" s="193">
        <v>0.61458333333333337</v>
      </c>
      <c r="D89" s="193" t="s">
        <v>46</v>
      </c>
      <c r="E89" s="193" t="s">
        <v>71</v>
      </c>
      <c r="F89" s="193" t="s">
        <v>416</v>
      </c>
      <c r="G89" s="328"/>
      <c r="H89" s="194" t="s">
        <v>427</v>
      </c>
      <c r="I89" s="195">
        <v>0.63129999999999997</v>
      </c>
      <c r="J89" s="196">
        <v>113</v>
      </c>
      <c r="K89" s="197" t="s">
        <v>175</v>
      </c>
      <c r="L89" s="196">
        <v>27</v>
      </c>
      <c r="M89" s="196">
        <v>4</v>
      </c>
      <c r="N89" s="196">
        <v>0</v>
      </c>
      <c r="O89" s="197" t="s">
        <v>237</v>
      </c>
      <c r="P89" s="197">
        <v>0.61458333333333337</v>
      </c>
      <c r="Q89" s="196">
        <v>179</v>
      </c>
      <c r="R89" s="198" t="s">
        <v>497</v>
      </c>
    </row>
    <row r="90" spans="1:18" ht="15" customHeight="1" x14ac:dyDescent="0.3">
      <c r="A90" s="11" t="s">
        <v>26</v>
      </c>
      <c r="B90" s="11" t="s">
        <v>451</v>
      </c>
      <c r="C90" s="11">
        <v>0.12847222222222221</v>
      </c>
      <c r="D90" s="11" t="s">
        <v>28</v>
      </c>
      <c r="E90" s="11" t="s">
        <v>102</v>
      </c>
      <c r="F90" s="11" t="s">
        <v>498</v>
      </c>
      <c r="G90" s="328"/>
      <c r="H90" s="7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1:18" ht="15" customHeight="1" x14ac:dyDescent="0.3">
      <c r="A91" s="10" t="s">
        <v>26</v>
      </c>
      <c r="B91" s="10" t="s">
        <v>451</v>
      </c>
      <c r="C91" s="10">
        <v>0.12847222222222221</v>
      </c>
      <c r="D91" s="10" t="s">
        <v>31</v>
      </c>
      <c r="E91" s="10" t="s">
        <v>104</v>
      </c>
      <c r="F91" s="10" t="s">
        <v>499</v>
      </c>
      <c r="G91" s="328"/>
      <c r="H91" s="7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1:18" ht="15" customHeight="1" x14ac:dyDescent="0.3">
      <c r="A92" s="10" t="s">
        <v>26</v>
      </c>
      <c r="B92" s="10" t="s">
        <v>451</v>
      </c>
      <c r="C92" s="10">
        <v>0.12847222222222221</v>
      </c>
      <c r="D92" s="10" t="s">
        <v>34</v>
      </c>
      <c r="E92" s="10" t="s">
        <v>104</v>
      </c>
      <c r="F92" s="10" t="s">
        <v>35</v>
      </c>
      <c r="G92" s="328"/>
      <c r="H92" s="7"/>
      <c r="I92" s="8"/>
      <c r="J92" s="8"/>
      <c r="K92" s="8"/>
      <c r="L92" s="8"/>
      <c r="M92" s="8"/>
      <c r="N92" s="8"/>
      <c r="O92" s="8"/>
      <c r="P92" s="8"/>
      <c r="Q92" s="8"/>
      <c r="R92" s="9"/>
    </row>
    <row r="93" spans="1:18" ht="15" customHeight="1" x14ac:dyDescent="0.3">
      <c r="A93" s="26" t="s">
        <v>26</v>
      </c>
      <c r="B93" s="26" t="s">
        <v>453</v>
      </c>
      <c r="C93" s="26">
        <v>0.30208333333333331</v>
      </c>
      <c r="D93" s="26" t="s">
        <v>28</v>
      </c>
      <c r="E93" s="26" t="s">
        <v>74</v>
      </c>
      <c r="F93" s="26" t="s">
        <v>498</v>
      </c>
      <c r="G93" s="328"/>
      <c r="H93" s="7"/>
      <c r="I93" s="8"/>
      <c r="J93" s="8"/>
      <c r="K93" s="8"/>
      <c r="L93" s="8"/>
      <c r="M93" s="8"/>
      <c r="N93" s="8"/>
      <c r="O93" s="8"/>
      <c r="P93" s="8"/>
      <c r="Q93" s="8"/>
      <c r="R93" s="9"/>
    </row>
    <row r="94" spans="1:18" ht="15" customHeight="1" x14ac:dyDescent="0.3">
      <c r="A94" s="10" t="s">
        <v>26</v>
      </c>
      <c r="B94" s="10" t="s">
        <v>453</v>
      </c>
      <c r="C94" s="10">
        <v>0.30208333333333331</v>
      </c>
      <c r="D94" s="10" t="s">
        <v>31</v>
      </c>
      <c r="E94" s="10" t="s">
        <v>122</v>
      </c>
      <c r="F94" s="10" t="s">
        <v>499</v>
      </c>
      <c r="G94" s="328"/>
      <c r="H94" s="7"/>
      <c r="I94" s="8"/>
      <c r="J94" s="8"/>
      <c r="K94" s="8"/>
      <c r="L94" s="8"/>
      <c r="M94" s="8"/>
      <c r="N94" s="8"/>
      <c r="O94" s="8"/>
      <c r="P94" s="8"/>
      <c r="Q94" s="8"/>
      <c r="R94" s="9"/>
    </row>
    <row r="95" spans="1:18" ht="15" customHeight="1" x14ac:dyDescent="0.3">
      <c r="A95" s="10" t="s">
        <v>26</v>
      </c>
      <c r="B95" s="10" t="s">
        <v>453</v>
      </c>
      <c r="C95" s="10">
        <v>0.30208333333333331</v>
      </c>
      <c r="D95" s="10" t="s">
        <v>34</v>
      </c>
      <c r="E95" s="10" t="s">
        <v>122</v>
      </c>
      <c r="F95" s="10" t="s">
        <v>35</v>
      </c>
      <c r="G95" s="328"/>
      <c r="H95" s="7"/>
      <c r="I95" s="8"/>
      <c r="J95" s="8"/>
      <c r="K95" s="8"/>
      <c r="L95" s="8"/>
      <c r="M95" s="8"/>
      <c r="N95" s="8"/>
      <c r="O95" s="8"/>
      <c r="P95" s="8"/>
      <c r="Q95" s="8"/>
      <c r="R95" s="9"/>
    </row>
    <row r="96" spans="1:18" ht="15" customHeight="1" x14ac:dyDescent="0.3">
      <c r="A96" s="26" t="s">
        <v>26</v>
      </c>
      <c r="B96" s="26" t="s">
        <v>454</v>
      </c>
      <c r="C96" s="26">
        <v>0.88888888888888884</v>
      </c>
      <c r="D96" s="26" t="s">
        <v>28</v>
      </c>
      <c r="E96" s="26" t="s">
        <v>439</v>
      </c>
      <c r="F96" s="26" t="s">
        <v>498</v>
      </c>
      <c r="G96" s="328"/>
      <c r="H96" s="7"/>
      <c r="I96" s="8"/>
      <c r="J96" s="8"/>
      <c r="K96" s="8"/>
      <c r="L96" s="8"/>
      <c r="M96" s="8"/>
      <c r="N96" s="8"/>
      <c r="O96" s="8"/>
      <c r="P96" s="8"/>
      <c r="Q96" s="8"/>
      <c r="R96" s="9"/>
    </row>
    <row r="97" spans="1:18" ht="15" customHeight="1" x14ac:dyDescent="0.3">
      <c r="A97" s="10" t="s">
        <v>26</v>
      </c>
      <c r="B97" s="10" t="s">
        <v>454</v>
      </c>
      <c r="C97" s="10">
        <v>0.88888888888888884</v>
      </c>
      <c r="D97" s="10" t="s">
        <v>31</v>
      </c>
      <c r="E97" s="10" t="s">
        <v>124</v>
      </c>
      <c r="F97" s="10" t="s">
        <v>499</v>
      </c>
      <c r="G97" s="328"/>
      <c r="H97" s="7"/>
      <c r="I97" s="8"/>
      <c r="J97" s="8"/>
      <c r="K97" s="8"/>
      <c r="L97" s="8"/>
      <c r="M97" s="8"/>
      <c r="N97" s="8"/>
      <c r="O97" s="8"/>
      <c r="P97" s="8"/>
      <c r="Q97" s="8"/>
      <c r="R97" s="9"/>
    </row>
    <row r="98" spans="1:18" ht="15" customHeight="1" x14ac:dyDescent="0.3">
      <c r="A98" s="10" t="s">
        <v>26</v>
      </c>
      <c r="B98" s="10" t="s">
        <v>454</v>
      </c>
      <c r="C98" s="10">
        <v>0.88888888888888884</v>
      </c>
      <c r="D98" s="10" t="s">
        <v>34</v>
      </c>
      <c r="E98" s="10" t="s">
        <v>124</v>
      </c>
      <c r="F98" s="10" t="s">
        <v>35</v>
      </c>
      <c r="G98" s="328"/>
      <c r="H98" s="7"/>
      <c r="I98" s="8"/>
      <c r="J98" s="8"/>
      <c r="K98" s="8"/>
      <c r="L98" s="8"/>
      <c r="M98" s="8"/>
      <c r="N98" s="8"/>
      <c r="O98" s="8"/>
      <c r="P98" s="8"/>
      <c r="Q98" s="8"/>
      <c r="R98" s="9"/>
    </row>
    <row r="99" spans="1:18" ht="15" customHeight="1" x14ac:dyDescent="0.3">
      <c r="A99" s="26" t="s">
        <v>26</v>
      </c>
      <c r="B99" s="26" t="s">
        <v>455</v>
      </c>
      <c r="C99" s="26">
        <v>0.78819444444444453</v>
      </c>
      <c r="D99" s="26" t="s">
        <v>28</v>
      </c>
      <c r="E99" s="26" t="s">
        <v>74</v>
      </c>
      <c r="F99" s="26" t="s">
        <v>498</v>
      </c>
      <c r="G99" s="328"/>
      <c r="H99" s="7"/>
      <c r="I99" s="8"/>
      <c r="J99" s="8"/>
      <c r="K99" s="8"/>
      <c r="L99" s="8"/>
      <c r="M99" s="8"/>
      <c r="N99" s="8"/>
      <c r="O99" s="8"/>
      <c r="P99" s="8"/>
      <c r="Q99" s="8"/>
      <c r="R99" s="9"/>
    </row>
    <row r="100" spans="1:18" ht="15" customHeight="1" x14ac:dyDescent="0.3">
      <c r="A100" s="10" t="s">
        <v>26</v>
      </c>
      <c r="B100" s="10" t="s">
        <v>455</v>
      </c>
      <c r="C100" s="10">
        <v>0.78819444444444453</v>
      </c>
      <c r="D100" s="10" t="s">
        <v>31</v>
      </c>
      <c r="E100" s="10" t="s">
        <v>122</v>
      </c>
      <c r="F100" s="10" t="s">
        <v>499</v>
      </c>
      <c r="G100" s="32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9"/>
    </row>
    <row r="101" spans="1:18" ht="15" customHeight="1" x14ac:dyDescent="0.3">
      <c r="A101" s="10" t="s">
        <v>26</v>
      </c>
      <c r="B101" s="10" t="s">
        <v>455</v>
      </c>
      <c r="C101" s="10">
        <v>0.78819444444444453</v>
      </c>
      <c r="D101" s="10" t="s">
        <v>34</v>
      </c>
      <c r="E101" s="10" t="s">
        <v>122</v>
      </c>
      <c r="F101" s="10" t="s">
        <v>35</v>
      </c>
      <c r="G101" s="32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9"/>
    </row>
    <row r="102" spans="1:18" ht="15" customHeight="1" x14ac:dyDescent="0.3">
      <c r="A102" s="11" t="s">
        <v>36</v>
      </c>
      <c r="B102" s="11" t="s">
        <v>438</v>
      </c>
      <c r="C102" s="11">
        <v>0.85416666666666663</v>
      </c>
      <c r="D102" s="11" t="s">
        <v>38</v>
      </c>
      <c r="E102" s="11" t="s">
        <v>129</v>
      </c>
      <c r="F102" s="11" t="s">
        <v>440</v>
      </c>
      <c r="G102" s="32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9"/>
    </row>
    <row r="103" spans="1:18" ht="15" customHeight="1" x14ac:dyDescent="0.3">
      <c r="A103" s="10" t="s">
        <v>36</v>
      </c>
      <c r="B103" s="10" t="s">
        <v>438</v>
      </c>
      <c r="C103" s="10">
        <v>0.85416666666666663</v>
      </c>
      <c r="D103" s="10" t="s">
        <v>40</v>
      </c>
      <c r="E103" s="10" t="s">
        <v>92</v>
      </c>
      <c r="F103" s="10" t="s">
        <v>166</v>
      </c>
      <c r="G103" s="32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9"/>
    </row>
    <row r="104" spans="1:18" ht="15" customHeight="1" x14ac:dyDescent="0.3">
      <c r="A104" s="10" t="s">
        <v>36</v>
      </c>
      <c r="B104" s="10" t="s">
        <v>438</v>
      </c>
      <c r="C104" s="10">
        <v>0.85416666666666663</v>
      </c>
      <c r="D104" s="10" t="s">
        <v>42</v>
      </c>
      <c r="E104" s="10" t="s">
        <v>92</v>
      </c>
      <c r="F104" s="10" t="s">
        <v>441</v>
      </c>
      <c r="G104" s="32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9"/>
    </row>
    <row r="105" spans="1:18" ht="15" customHeight="1" x14ac:dyDescent="0.3">
      <c r="A105" s="26" t="s">
        <v>36</v>
      </c>
      <c r="B105" s="26" t="s">
        <v>442</v>
      </c>
      <c r="C105" s="26">
        <v>0.25694444444444448</v>
      </c>
      <c r="D105" s="26" t="s">
        <v>38</v>
      </c>
      <c r="E105" s="26" t="s">
        <v>439</v>
      </c>
      <c r="F105" s="26" t="s">
        <v>440</v>
      </c>
      <c r="G105" s="32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9"/>
    </row>
    <row r="106" spans="1:18" ht="15" customHeight="1" x14ac:dyDescent="0.3">
      <c r="A106" s="10" t="s">
        <v>36</v>
      </c>
      <c r="B106" s="10" t="s">
        <v>442</v>
      </c>
      <c r="C106" s="10">
        <v>0.25694444444444448</v>
      </c>
      <c r="D106" s="10" t="s">
        <v>40</v>
      </c>
      <c r="E106" s="10" t="s">
        <v>124</v>
      </c>
      <c r="F106" s="10" t="s">
        <v>166</v>
      </c>
      <c r="G106" s="32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9"/>
    </row>
    <row r="107" spans="1:18" ht="15" customHeight="1" x14ac:dyDescent="0.3">
      <c r="A107" s="10" t="s">
        <v>36</v>
      </c>
      <c r="B107" s="10" t="s">
        <v>442</v>
      </c>
      <c r="C107" s="10">
        <v>0.25694444444444448</v>
      </c>
      <c r="D107" s="10" t="s">
        <v>42</v>
      </c>
      <c r="E107" s="10" t="s">
        <v>124</v>
      </c>
      <c r="F107" s="10" t="s">
        <v>441</v>
      </c>
      <c r="G107" s="32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9"/>
    </row>
    <row r="108" spans="1:18" ht="15" customHeight="1" x14ac:dyDescent="0.3">
      <c r="A108" s="26" t="s">
        <v>36</v>
      </c>
      <c r="B108" s="26" t="s">
        <v>443</v>
      </c>
      <c r="C108" s="26">
        <v>0.30208333333333331</v>
      </c>
      <c r="D108" s="26" t="s">
        <v>38</v>
      </c>
      <c r="E108" s="26" t="s">
        <v>439</v>
      </c>
      <c r="F108" s="26" t="s">
        <v>440</v>
      </c>
      <c r="G108" s="32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9"/>
    </row>
    <row r="109" spans="1:18" ht="15" customHeight="1" x14ac:dyDescent="0.3">
      <c r="A109" s="10" t="s">
        <v>36</v>
      </c>
      <c r="B109" s="10" t="s">
        <v>443</v>
      </c>
      <c r="C109" s="10">
        <v>0.30208333333333331</v>
      </c>
      <c r="D109" s="10" t="s">
        <v>40</v>
      </c>
      <c r="E109" s="10" t="s">
        <v>124</v>
      </c>
      <c r="F109" s="10" t="s">
        <v>166</v>
      </c>
      <c r="G109" s="32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9"/>
    </row>
    <row r="110" spans="1:18" ht="15" customHeight="1" x14ac:dyDescent="0.3">
      <c r="A110" s="10" t="s">
        <v>36</v>
      </c>
      <c r="B110" s="10" t="s">
        <v>443</v>
      </c>
      <c r="C110" s="10">
        <v>0.30208333333333331</v>
      </c>
      <c r="D110" s="10" t="s">
        <v>42</v>
      </c>
      <c r="E110" s="10" t="s">
        <v>124</v>
      </c>
      <c r="F110" s="10" t="s">
        <v>441</v>
      </c>
      <c r="G110" s="32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9"/>
    </row>
    <row r="111" spans="1:18" ht="15" customHeight="1" x14ac:dyDescent="0.3">
      <c r="A111" s="26" t="s">
        <v>36</v>
      </c>
      <c r="B111" s="26" t="s">
        <v>444</v>
      </c>
      <c r="C111" s="26">
        <v>0.51736111111111105</v>
      </c>
      <c r="D111" s="26" t="s">
        <v>38</v>
      </c>
      <c r="E111" s="26" t="s">
        <v>439</v>
      </c>
      <c r="F111" s="26" t="s">
        <v>440</v>
      </c>
      <c r="G111" s="32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9"/>
    </row>
    <row r="112" spans="1:18" ht="15" customHeight="1" x14ac:dyDescent="0.3">
      <c r="A112" s="10" t="s">
        <v>36</v>
      </c>
      <c r="B112" s="10" t="s">
        <v>444</v>
      </c>
      <c r="C112" s="10">
        <v>0.51736111111111105</v>
      </c>
      <c r="D112" s="10" t="s">
        <v>40</v>
      </c>
      <c r="E112" s="10" t="s">
        <v>124</v>
      </c>
      <c r="F112" s="10" t="s">
        <v>166</v>
      </c>
      <c r="G112" s="32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9"/>
    </row>
    <row r="113" spans="1:18" ht="15" customHeight="1" x14ac:dyDescent="0.3">
      <c r="A113" s="10" t="s">
        <v>36</v>
      </c>
      <c r="B113" s="10" t="s">
        <v>444</v>
      </c>
      <c r="C113" s="10">
        <v>0.51736111111111105</v>
      </c>
      <c r="D113" s="10" t="s">
        <v>42</v>
      </c>
      <c r="E113" s="10" t="s">
        <v>124</v>
      </c>
      <c r="F113" s="10" t="s">
        <v>441</v>
      </c>
      <c r="G113" s="32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9"/>
    </row>
    <row r="114" spans="1:18" ht="15" customHeight="1" x14ac:dyDescent="0.3">
      <c r="A114" s="26" t="s">
        <v>36</v>
      </c>
      <c r="B114" s="26" t="s">
        <v>435</v>
      </c>
      <c r="C114" s="26">
        <v>0.90277777777777779</v>
      </c>
      <c r="D114" s="26" t="s">
        <v>38</v>
      </c>
      <c r="E114" s="26" t="s">
        <v>87</v>
      </c>
      <c r="F114" s="26" t="s">
        <v>440</v>
      </c>
      <c r="G114" s="32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9"/>
    </row>
    <row r="115" spans="1:18" ht="15" customHeight="1" x14ac:dyDescent="0.3">
      <c r="A115" s="10" t="s">
        <v>36</v>
      </c>
      <c r="B115" s="10" t="s">
        <v>435</v>
      </c>
      <c r="C115" s="10">
        <v>0.90277777777777779</v>
      </c>
      <c r="D115" s="10" t="s">
        <v>40</v>
      </c>
      <c r="E115" s="10" t="s">
        <v>32</v>
      </c>
      <c r="F115" s="10" t="s">
        <v>166</v>
      </c>
      <c r="G115" s="32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9"/>
    </row>
    <row r="116" spans="1:18" ht="15" customHeight="1" x14ac:dyDescent="0.3">
      <c r="A116" s="10" t="s">
        <v>36</v>
      </c>
      <c r="B116" s="10" t="s">
        <v>435</v>
      </c>
      <c r="C116" s="10">
        <v>0.90277777777777779</v>
      </c>
      <c r="D116" s="10" t="s">
        <v>42</v>
      </c>
      <c r="E116" s="10" t="s">
        <v>32</v>
      </c>
      <c r="F116" s="10" t="s">
        <v>441</v>
      </c>
      <c r="G116" s="32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9"/>
    </row>
    <row r="117" spans="1:18" ht="15" customHeight="1" x14ac:dyDescent="0.3">
      <c r="A117" s="26" t="s">
        <v>36</v>
      </c>
      <c r="B117" s="26" t="s">
        <v>445</v>
      </c>
      <c r="C117" s="26">
        <v>0.79861111111111116</v>
      </c>
      <c r="D117" s="26" t="s">
        <v>38</v>
      </c>
      <c r="E117" s="26" t="s">
        <v>439</v>
      </c>
      <c r="F117" s="26" t="s">
        <v>440</v>
      </c>
      <c r="G117" s="32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9"/>
    </row>
    <row r="118" spans="1:18" ht="15" customHeight="1" x14ac:dyDescent="0.3">
      <c r="A118" s="10" t="s">
        <v>36</v>
      </c>
      <c r="B118" s="10" t="s">
        <v>445</v>
      </c>
      <c r="C118" s="10">
        <v>0.79861111111111116</v>
      </c>
      <c r="D118" s="10" t="s">
        <v>40</v>
      </c>
      <c r="E118" s="10" t="s">
        <v>124</v>
      </c>
      <c r="F118" s="10" t="s">
        <v>166</v>
      </c>
      <c r="G118" s="328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9"/>
    </row>
    <row r="119" spans="1:18" ht="15" customHeight="1" x14ac:dyDescent="0.3">
      <c r="A119" s="10" t="s">
        <v>36</v>
      </c>
      <c r="B119" s="10" t="s">
        <v>445</v>
      </c>
      <c r="C119" s="10">
        <v>0.79861111111111116</v>
      </c>
      <c r="D119" s="10" t="s">
        <v>42</v>
      </c>
      <c r="E119" s="10" t="s">
        <v>124</v>
      </c>
      <c r="F119" s="10" t="s">
        <v>441</v>
      </c>
      <c r="G119" s="32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9"/>
    </row>
    <row r="120" spans="1:18" ht="15" customHeight="1" x14ac:dyDescent="0.3">
      <c r="A120" s="26" t="s">
        <v>36</v>
      </c>
      <c r="B120" s="26" t="s">
        <v>447</v>
      </c>
      <c r="C120" s="26">
        <v>0.39583333333333331</v>
      </c>
      <c r="D120" s="26" t="s">
        <v>38</v>
      </c>
      <c r="E120" s="26" t="s">
        <v>439</v>
      </c>
      <c r="F120" s="26" t="s">
        <v>440</v>
      </c>
      <c r="G120" s="328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9"/>
    </row>
    <row r="121" spans="1:18" ht="15" customHeight="1" x14ac:dyDescent="0.3">
      <c r="A121" s="10" t="s">
        <v>36</v>
      </c>
      <c r="B121" s="10" t="s">
        <v>447</v>
      </c>
      <c r="C121" s="10">
        <v>0.39583333333333331</v>
      </c>
      <c r="D121" s="10" t="s">
        <v>40</v>
      </c>
      <c r="E121" s="10" t="s">
        <v>124</v>
      </c>
      <c r="F121" s="10" t="s">
        <v>166</v>
      </c>
      <c r="G121" s="32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9"/>
    </row>
    <row r="122" spans="1:18" ht="15" customHeight="1" x14ac:dyDescent="0.3">
      <c r="A122" s="10" t="s">
        <v>36</v>
      </c>
      <c r="B122" s="10" t="s">
        <v>447</v>
      </c>
      <c r="C122" s="10">
        <v>0.39583333333333331</v>
      </c>
      <c r="D122" s="10" t="s">
        <v>42</v>
      </c>
      <c r="E122" s="10" t="s">
        <v>124</v>
      </c>
      <c r="F122" s="10" t="s">
        <v>441</v>
      </c>
      <c r="G122" s="328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9"/>
    </row>
    <row r="123" spans="1:18" ht="15" customHeight="1" x14ac:dyDescent="0.3">
      <c r="A123" s="26" t="s">
        <v>36</v>
      </c>
      <c r="B123" s="26" t="s">
        <v>446</v>
      </c>
      <c r="C123" s="26">
        <v>0.64583333333333337</v>
      </c>
      <c r="D123" s="26" t="s">
        <v>38</v>
      </c>
      <c r="E123" s="26" t="s">
        <v>439</v>
      </c>
      <c r="F123" s="26" t="s">
        <v>448</v>
      </c>
      <c r="G123" s="32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9"/>
    </row>
    <row r="124" spans="1:18" ht="15" customHeight="1" x14ac:dyDescent="0.3">
      <c r="A124" s="10" t="s">
        <v>36</v>
      </c>
      <c r="B124" s="10" t="s">
        <v>446</v>
      </c>
      <c r="C124" s="10">
        <v>0.64583333333333337</v>
      </c>
      <c r="D124" s="10" t="s">
        <v>40</v>
      </c>
      <c r="E124" s="10" t="s">
        <v>124</v>
      </c>
      <c r="F124" s="10" t="s">
        <v>449</v>
      </c>
      <c r="G124" s="32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9"/>
    </row>
    <row r="125" spans="1:18" ht="15" customHeight="1" x14ac:dyDescent="0.3">
      <c r="A125" s="10" t="s">
        <v>36</v>
      </c>
      <c r="B125" s="10" t="s">
        <v>446</v>
      </c>
      <c r="C125" s="10">
        <v>0.64583333333333337</v>
      </c>
      <c r="D125" s="10" t="s">
        <v>42</v>
      </c>
      <c r="E125" s="10" t="s">
        <v>124</v>
      </c>
      <c r="F125" s="10" t="s">
        <v>450</v>
      </c>
      <c r="G125" s="32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9"/>
    </row>
    <row r="126" spans="1:18" ht="15" customHeight="1" x14ac:dyDescent="0.3">
      <c r="A126" s="11" t="s">
        <v>456</v>
      </c>
      <c r="B126" s="11" t="s">
        <v>500</v>
      </c>
      <c r="C126" s="11">
        <v>0.3923611111111111</v>
      </c>
      <c r="D126" s="11" t="s">
        <v>458</v>
      </c>
      <c r="E126" s="11" t="s">
        <v>123</v>
      </c>
      <c r="F126" s="11" t="s">
        <v>501</v>
      </c>
      <c r="G126" s="32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9"/>
    </row>
    <row r="127" spans="1:18" ht="15" customHeight="1" x14ac:dyDescent="0.3">
      <c r="A127" s="10" t="s">
        <v>456</v>
      </c>
      <c r="B127" s="10" t="s">
        <v>500</v>
      </c>
      <c r="C127" s="10">
        <v>0.3923611111111111</v>
      </c>
      <c r="D127" s="10" t="s">
        <v>34</v>
      </c>
      <c r="E127" s="10" t="s">
        <v>124</v>
      </c>
      <c r="F127" s="10" t="s">
        <v>502</v>
      </c>
      <c r="G127" s="328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9"/>
    </row>
    <row r="128" spans="1:18" ht="15" customHeight="1" x14ac:dyDescent="0.3">
      <c r="A128" s="11" t="s">
        <v>66</v>
      </c>
      <c r="B128" s="11" t="s">
        <v>503</v>
      </c>
      <c r="C128" s="11">
        <v>0.78472222222222221</v>
      </c>
      <c r="D128" s="11" t="s">
        <v>68</v>
      </c>
      <c r="E128" s="11" t="s">
        <v>47</v>
      </c>
      <c r="F128" s="11" t="s">
        <v>504</v>
      </c>
      <c r="G128" s="32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9"/>
    </row>
    <row r="129" spans="1:18" ht="15" customHeight="1" x14ac:dyDescent="0.3">
      <c r="A129" s="26" t="s">
        <v>66</v>
      </c>
      <c r="B129" s="26" t="s">
        <v>505</v>
      </c>
      <c r="C129" s="26">
        <v>0.14583333333333329</v>
      </c>
      <c r="D129" s="26" t="s">
        <v>68</v>
      </c>
      <c r="E129" s="26" t="s">
        <v>71</v>
      </c>
      <c r="F129" s="26" t="s">
        <v>506</v>
      </c>
      <c r="G129" s="32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9"/>
    </row>
    <row r="130" spans="1:18" ht="15" customHeight="1" x14ac:dyDescent="0.3">
      <c r="A130" s="26" t="s">
        <v>66</v>
      </c>
      <c r="B130" s="26" t="s">
        <v>488</v>
      </c>
      <c r="C130" s="26">
        <v>0.22222222222222221</v>
      </c>
      <c r="D130" s="26" t="s">
        <v>68</v>
      </c>
      <c r="E130" s="26" t="s">
        <v>71</v>
      </c>
      <c r="F130" s="26" t="s">
        <v>507</v>
      </c>
      <c r="G130" s="32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9"/>
    </row>
    <row r="131" spans="1:18" ht="15" customHeight="1" x14ac:dyDescent="0.3">
      <c r="A131" s="26" t="s">
        <v>66</v>
      </c>
      <c r="B131" s="26" t="s">
        <v>508</v>
      </c>
      <c r="C131" s="26">
        <v>0.95833333333333337</v>
      </c>
      <c r="D131" s="26" t="s">
        <v>68</v>
      </c>
      <c r="E131" s="26" t="s">
        <v>71</v>
      </c>
      <c r="F131" s="26" t="s">
        <v>507</v>
      </c>
      <c r="G131" s="32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9"/>
    </row>
    <row r="132" spans="1:18" ht="15" customHeight="1" x14ac:dyDescent="0.3">
      <c r="A132" s="26" t="s">
        <v>66</v>
      </c>
      <c r="B132" s="26" t="s">
        <v>490</v>
      </c>
      <c r="C132" s="26">
        <v>0.27430555555555552</v>
      </c>
      <c r="D132" s="26" t="s">
        <v>68</v>
      </c>
      <c r="E132" s="26" t="s">
        <v>71</v>
      </c>
      <c r="F132" s="26" t="s">
        <v>507</v>
      </c>
      <c r="G132" s="32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9"/>
    </row>
    <row r="133" spans="1:18" ht="15" customHeight="1" x14ac:dyDescent="0.3">
      <c r="A133" s="26" t="s">
        <v>66</v>
      </c>
      <c r="B133" s="26" t="s">
        <v>485</v>
      </c>
      <c r="C133" s="26">
        <v>0.4861111111111111</v>
      </c>
      <c r="D133" s="26" t="s">
        <v>68</v>
      </c>
      <c r="E133" s="26" t="s">
        <v>71</v>
      </c>
      <c r="F133" s="26" t="s">
        <v>507</v>
      </c>
      <c r="G133" s="32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9"/>
    </row>
    <row r="134" spans="1:18" ht="15" customHeight="1" x14ac:dyDescent="0.3">
      <c r="A134" s="26" t="s">
        <v>66</v>
      </c>
      <c r="B134" s="26" t="s">
        <v>487</v>
      </c>
      <c r="C134" s="26">
        <v>0.50694444444444442</v>
      </c>
      <c r="D134" s="26" t="s">
        <v>68</v>
      </c>
      <c r="E134" s="26" t="s">
        <v>71</v>
      </c>
      <c r="F134" s="26" t="s">
        <v>507</v>
      </c>
      <c r="G134" s="32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9"/>
    </row>
    <row r="135" spans="1:18" ht="15" customHeight="1" x14ac:dyDescent="0.3">
      <c r="A135" s="26" t="s">
        <v>66</v>
      </c>
      <c r="B135" s="26" t="s">
        <v>509</v>
      </c>
      <c r="C135" s="26">
        <v>1.388888888888889E-2</v>
      </c>
      <c r="D135" s="26" t="s">
        <v>68</v>
      </c>
      <c r="E135" s="26" t="s">
        <v>71</v>
      </c>
      <c r="F135" s="26" t="s">
        <v>510</v>
      </c>
      <c r="G135" s="32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9"/>
    </row>
    <row r="136" spans="1:18" ht="15" customHeight="1" x14ac:dyDescent="0.3">
      <c r="A136" s="26" t="s">
        <v>66</v>
      </c>
      <c r="B136" s="26" t="s">
        <v>492</v>
      </c>
      <c r="C136" s="26">
        <v>0.77430555555555547</v>
      </c>
      <c r="D136" s="26" t="s">
        <v>68</v>
      </c>
      <c r="E136" s="26" t="s">
        <v>87</v>
      </c>
      <c r="F136" s="26" t="s">
        <v>493</v>
      </c>
      <c r="G136" s="32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9"/>
    </row>
    <row r="137" spans="1:18" ht="15" customHeight="1" x14ac:dyDescent="0.3">
      <c r="A137" s="11" t="s">
        <v>78</v>
      </c>
      <c r="B137" s="11" t="s">
        <v>467</v>
      </c>
      <c r="C137" s="11">
        <v>0.1423611111111111</v>
      </c>
      <c r="D137" s="11" t="s">
        <v>80</v>
      </c>
      <c r="E137" s="11" t="s">
        <v>129</v>
      </c>
      <c r="F137" s="11" t="s">
        <v>462</v>
      </c>
      <c r="G137" s="32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9"/>
    </row>
    <row r="138" spans="1:18" ht="15" customHeight="1" x14ac:dyDescent="0.3">
      <c r="A138" s="10" t="s">
        <v>78</v>
      </c>
      <c r="B138" s="10" t="s">
        <v>467</v>
      </c>
      <c r="C138" s="10">
        <v>0.1423611111111111</v>
      </c>
      <c r="D138" s="10" t="s">
        <v>83</v>
      </c>
      <c r="E138" s="10" t="s">
        <v>92</v>
      </c>
      <c r="F138" s="10" t="s">
        <v>463</v>
      </c>
      <c r="G138" s="328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9"/>
    </row>
    <row r="139" spans="1:18" ht="15" customHeight="1" x14ac:dyDescent="0.3">
      <c r="A139" s="26" t="s">
        <v>78</v>
      </c>
      <c r="B139" s="26" t="s">
        <v>464</v>
      </c>
      <c r="C139" s="26">
        <v>6.9444444444444441E-3</v>
      </c>
      <c r="D139" s="26" t="s">
        <v>80</v>
      </c>
      <c r="E139" s="26" t="s">
        <v>71</v>
      </c>
      <c r="F139" s="26" t="s">
        <v>465</v>
      </c>
      <c r="G139" s="32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9"/>
    </row>
    <row r="140" spans="1:18" ht="15" customHeight="1" x14ac:dyDescent="0.3">
      <c r="A140" s="10" t="s">
        <v>78</v>
      </c>
      <c r="B140" s="10" t="s">
        <v>464</v>
      </c>
      <c r="C140" s="10">
        <v>6.9444444444444441E-3</v>
      </c>
      <c r="D140" s="10" t="s">
        <v>83</v>
      </c>
      <c r="E140" s="10" t="s">
        <v>95</v>
      </c>
      <c r="F140" s="10" t="s">
        <v>466</v>
      </c>
      <c r="G140" s="32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9"/>
    </row>
    <row r="141" spans="1:18" ht="15" customHeight="1" x14ac:dyDescent="0.3">
      <c r="A141" s="26" t="s">
        <v>78</v>
      </c>
      <c r="B141" s="26" t="s">
        <v>469</v>
      </c>
      <c r="C141" s="26">
        <v>0.37847222222222232</v>
      </c>
      <c r="D141" s="26" t="s">
        <v>80</v>
      </c>
      <c r="E141" s="26" t="s">
        <v>71</v>
      </c>
      <c r="F141" s="26" t="s">
        <v>465</v>
      </c>
      <c r="G141" s="32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9"/>
    </row>
    <row r="142" spans="1:18" ht="15" customHeight="1" x14ac:dyDescent="0.3">
      <c r="A142" s="10" t="s">
        <v>78</v>
      </c>
      <c r="B142" s="10" t="s">
        <v>469</v>
      </c>
      <c r="C142" s="10">
        <v>0.37847222222222232</v>
      </c>
      <c r="D142" s="10" t="s">
        <v>83</v>
      </c>
      <c r="E142" s="10" t="s">
        <v>95</v>
      </c>
      <c r="F142" s="10" t="s">
        <v>466</v>
      </c>
      <c r="G142" s="32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9"/>
    </row>
    <row r="143" spans="1:18" ht="15" customHeight="1" x14ac:dyDescent="0.3">
      <c r="A143" s="26" t="s">
        <v>78</v>
      </c>
      <c r="B143" s="26" t="s">
        <v>461</v>
      </c>
      <c r="C143" s="26">
        <v>0.23958333333333329</v>
      </c>
      <c r="D143" s="26" t="s">
        <v>80</v>
      </c>
      <c r="E143" s="26" t="s">
        <v>71</v>
      </c>
      <c r="F143" s="26" t="s">
        <v>465</v>
      </c>
      <c r="G143" s="32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9"/>
    </row>
    <row r="144" spans="1:18" ht="15" customHeight="1" x14ac:dyDescent="0.3">
      <c r="A144" s="10" t="s">
        <v>78</v>
      </c>
      <c r="B144" s="10" t="s">
        <v>461</v>
      </c>
      <c r="C144" s="10">
        <v>0.23958333333333329</v>
      </c>
      <c r="D144" s="10" t="s">
        <v>83</v>
      </c>
      <c r="E144" s="10" t="s">
        <v>95</v>
      </c>
      <c r="F144" s="10" t="s">
        <v>466</v>
      </c>
      <c r="G144" s="32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9"/>
    </row>
    <row r="145" spans="1:18" ht="15" customHeight="1" x14ac:dyDescent="0.3">
      <c r="A145" s="26" t="s">
        <v>78</v>
      </c>
      <c r="B145" s="26" t="s">
        <v>468</v>
      </c>
      <c r="C145" s="26">
        <v>0.93055555555555547</v>
      </c>
      <c r="D145" s="26" t="s">
        <v>80</v>
      </c>
      <c r="E145" s="26" t="s">
        <v>71</v>
      </c>
      <c r="F145" s="26" t="s">
        <v>511</v>
      </c>
      <c r="G145" s="32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9"/>
    </row>
    <row r="146" spans="1:18" ht="15" customHeight="1" x14ac:dyDescent="0.3">
      <c r="A146" s="10" t="s">
        <v>78</v>
      </c>
      <c r="B146" s="10" t="s">
        <v>468</v>
      </c>
      <c r="C146" s="10">
        <v>0.93055555555555547</v>
      </c>
      <c r="D146" s="10" t="s">
        <v>83</v>
      </c>
      <c r="E146" s="10" t="s">
        <v>95</v>
      </c>
      <c r="F146" s="10" t="s">
        <v>512</v>
      </c>
      <c r="G146" s="32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9"/>
    </row>
    <row r="147" spans="1:18" ht="15" customHeight="1" x14ac:dyDescent="0.3">
      <c r="A147" s="26" t="s">
        <v>78</v>
      </c>
      <c r="B147" s="26" t="s">
        <v>473</v>
      </c>
      <c r="C147" s="26">
        <v>0.88888888888888884</v>
      </c>
      <c r="D147" s="26" t="s">
        <v>83</v>
      </c>
      <c r="E147" s="26" t="s">
        <v>87</v>
      </c>
      <c r="F147" s="26" t="s">
        <v>474</v>
      </c>
      <c r="G147" s="32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9"/>
    </row>
    <row r="148" spans="1:18" ht="15" customHeight="1" x14ac:dyDescent="0.3">
      <c r="A148" s="26" t="s">
        <v>78</v>
      </c>
      <c r="B148" s="26" t="s">
        <v>475</v>
      </c>
      <c r="C148" s="26">
        <v>0.30208333333333331</v>
      </c>
      <c r="D148" s="26" t="s">
        <v>83</v>
      </c>
      <c r="E148" s="26" t="s">
        <v>87</v>
      </c>
      <c r="F148" s="26" t="s">
        <v>474</v>
      </c>
      <c r="G148" s="32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9"/>
    </row>
    <row r="149" spans="1:18" ht="15" customHeight="1" x14ac:dyDescent="0.3">
      <c r="A149" s="26" t="s">
        <v>78</v>
      </c>
      <c r="B149" s="26" t="s">
        <v>476</v>
      </c>
      <c r="C149" s="26">
        <v>0.12847222222222221</v>
      </c>
      <c r="D149" s="26" t="s">
        <v>83</v>
      </c>
      <c r="E149" s="26" t="s">
        <v>87</v>
      </c>
      <c r="F149" s="26" t="s">
        <v>474</v>
      </c>
      <c r="G149" s="32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9"/>
    </row>
    <row r="150" spans="1:18" ht="15" customHeight="1" x14ac:dyDescent="0.3">
      <c r="A150" s="26" t="s">
        <v>78</v>
      </c>
      <c r="B150" s="26" t="s">
        <v>480</v>
      </c>
      <c r="C150" s="26">
        <v>0.78819444444444453</v>
      </c>
      <c r="D150" s="26" t="s">
        <v>83</v>
      </c>
      <c r="E150" s="26" t="s">
        <v>87</v>
      </c>
      <c r="F150" s="26" t="s">
        <v>474</v>
      </c>
      <c r="G150" s="328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9"/>
    </row>
    <row r="151" spans="1:18" ht="15" customHeight="1" x14ac:dyDescent="0.3">
      <c r="A151" s="26" t="s">
        <v>78</v>
      </c>
      <c r="B151" s="26" t="s">
        <v>470</v>
      </c>
      <c r="C151" s="26">
        <v>0.71875</v>
      </c>
      <c r="D151" s="26" t="s">
        <v>80</v>
      </c>
      <c r="E151" s="26" t="s">
        <v>71</v>
      </c>
      <c r="F151" s="26" t="s">
        <v>478</v>
      </c>
      <c r="G151" s="328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9"/>
    </row>
    <row r="152" spans="1:18" ht="15" customHeight="1" x14ac:dyDescent="0.3">
      <c r="A152" s="10" t="s">
        <v>78</v>
      </c>
      <c r="B152" s="10" t="s">
        <v>470</v>
      </c>
      <c r="C152" s="10">
        <v>0.71875</v>
      </c>
      <c r="D152" s="10" t="s">
        <v>83</v>
      </c>
      <c r="E152" s="10" t="s">
        <v>95</v>
      </c>
      <c r="F152" s="10" t="s">
        <v>479</v>
      </c>
      <c r="G152" s="328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9"/>
    </row>
    <row r="153" spans="1:18" ht="15" customHeight="1" x14ac:dyDescent="0.3">
      <c r="A153" s="26" t="s">
        <v>78</v>
      </c>
      <c r="B153" s="26" t="s">
        <v>477</v>
      </c>
      <c r="C153" s="26">
        <v>0.82986111111111116</v>
      </c>
      <c r="D153" s="26" t="s">
        <v>80</v>
      </c>
      <c r="E153" s="26" t="s">
        <v>71</v>
      </c>
      <c r="F153" s="26" t="s">
        <v>478</v>
      </c>
      <c r="G153" s="32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9"/>
    </row>
    <row r="154" spans="1:18" ht="15" customHeight="1" x14ac:dyDescent="0.3">
      <c r="A154" s="10" t="s">
        <v>78</v>
      </c>
      <c r="B154" s="10" t="s">
        <v>477</v>
      </c>
      <c r="C154" s="10">
        <v>0.82986111111111116</v>
      </c>
      <c r="D154" s="10" t="s">
        <v>83</v>
      </c>
      <c r="E154" s="10" t="s">
        <v>95</v>
      </c>
      <c r="F154" s="10" t="s">
        <v>479</v>
      </c>
      <c r="G154" s="328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9"/>
    </row>
    <row r="155" spans="1:18" ht="15" customHeight="1" x14ac:dyDescent="0.3">
      <c r="A155" s="26" t="s">
        <v>78</v>
      </c>
      <c r="B155" s="26" t="s">
        <v>482</v>
      </c>
      <c r="C155" s="26">
        <v>0.61111111111111105</v>
      </c>
      <c r="D155" s="26" t="s">
        <v>80</v>
      </c>
      <c r="E155" s="26" t="s">
        <v>71</v>
      </c>
      <c r="F155" s="26" t="s">
        <v>478</v>
      </c>
      <c r="G155" s="32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9"/>
    </row>
    <row r="156" spans="1:18" ht="15" customHeight="1" x14ac:dyDescent="0.3">
      <c r="A156" s="27" t="s">
        <v>78</v>
      </c>
      <c r="B156" s="27" t="s">
        <v>482</v>
      </c>
      <c r="C156" s="27">
        <v>0.61111111111111105</v>
      </c>
      <c r="D156" s="27" t="s">
        <v>83</v>
      </c>
      <c r="E156" s="27" t="s">
        <v>95</v>
      </c>
      <c r="F156" s="27" t="s">
        <v>479</v>
      </c>
      <c r="G156" s="328"/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30"/>
    </row>
    <row r="157" spans="1:18" ht="17.399999999999999" customHeight="1" x14ac:dyDescent="0.3">
      <c r="A157" s="360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1"/>
      <c r="P157" s="361"/>
      <c r="Q157" s="361"/>
      <c r="R157" s="362"/>
    </row>
    <row r="158" spans="1:18" ht="22.05" customHeight="1" x14ac:dyDescent="0.3">
      <c r="A158" s="323" t="s">
        <v>6</v>
      </c>
      <c r="B158" s="324"/>
      <c r="C158" s="324"/>
      <c r="D158" s="324"/>
      <c r="E158" s="324"/>
      <c r="F158" s="324"/>
      <c r="G158" s="2">
        <v>45988</v>
      </c>
      <c r="H158" s="323" t="s">
        <v>7</v>
      </c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</row>
    <row r="159" spans="1:18" ht="24" customHeight="1" x14ac:dyDescent="0.3">
      <c r="A159" s="3" t="s">
        <v>8</v>
      </c>
      <c r="B159" s="3" t="s">
        <v>9</v>
      </c>
      <c r="C159" s="3" t="s">
        <v>10</v>
      </c>
      <c r="D159" s="3" t="s">
        <v>11</v>
      </c>
      <c r="E159" s="3" t="s">
        <v>12</v>
      </c>
      <c r="F159" s="4" t="s">
        <v>13</v>
      </c>
      <c r="G159" s="5" t="s">
        <v>14</v>
      </c>
      <c r="H159" s="3" t="s">
        <v>15</v>
      </c>
      <c r="I159" s="3" t="s">
        <v>16</v>
      </c>
      <c r="J159" s="3" t="s">
        <v>17</v>
      </c>
      <c r="K159" s="3" t="s">
        <v>18</v>
      </c>
      <c r="L159" s="3" t="s">
        <v>19</v>
      </c>
      <c r="M159" s="3" t="s">
        <v>20</v>
      </c>
      <c r="N159" s="3" t="s">
        <v>21</v>
      </c>
      <c r="O159" s="3" t="s">
        <v>22</v>
      </c>
      <c r="P159" s="3" t="s">
        <v>23</v>
      </c>
      <c r="Q159" s="3" t="s">
        <v>24</v>
      </c>
      <c r="R159" s="3" t="s">
        <v>25</v>
      </c>
    </row>
    <row r="160" spans="1:18" ht="15" customHeight="1" x14ac:dyDescent="0.3">
      <c r="A160" s="6" t="s">
        <v>26</v>
      </c>
      <c r="B160" s="6" t="s">
        <v>451</v>
      </c>
      <c r="C160" s="6">
        <v>0.12847222222222221</v>
      </c>
      <c r="D160" s="6" t="s">
        <v>28</v>
      </c>
      <c r="E160" s="6" t="s">
        <v>129</v>
      </c>
      <c r="F160" s="6" t="s">
        <v>513</v>
      </c>
      <c r="G160" s="32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9"/>
    </row>
    <row r="161" spans="1:18" ht="15" customHeight="1" x14ac:dyDescent="0.3">
      <c r="A161" s="10" t="s">
        <v>26</v>
      </c>
      <c r="B161" s="10" t="s">
        <v>451</v>
      </c>
      <c r="C161" s="10">
        <v>0.12847222222222221</v>
      </c>
      <c r="D161" s="10" t="s">
        <v>31</v>
      </c>
      <c r="E161" s="10" t="s">
        <v>92</v>
      </c>
      <c r="F161" s="10" t="s">
        <v>514</v>
      </c>
      <c r="G161" s="32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9"/>
    </row>
    <row r="162" spans="1:18" ht="15" customHeight="1" x14ac:dyDescent="0.3">
      <c r="A162" s="10" t="s">
        <v>26</v>
      </c>
      <c r="B162" s="10" t="s">
        <v>451</v>
      </c>
      <c r="C162" s="10">
        <v>0.12847222222222221</v>
      </c>
      <c r="D162" s="10" t="s">
        <v>34</v>
      </c>
      <c r="E162" s="10" t="s">
        <v>92</v>
      </c>
      <c r="F162" s="10" t="s">
        <v>35</v>
      </c>
      <c r="G162" s="32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9"/>
    </row>
    <row r="163" spans="1:18" ht="15" customHeight="1" x14ac:dyDescent="0.3">
      <c r="A163" s="26" t="s">
        <v>26</v>
      </c>
      <c r="B163" s="26" t="s">
        <v>453</v>
      </c>
      <c r="C163" s="26">
        <v>0.30208333333333331</v>
      </c>
      <c r="D163" s="26" t="s">
        <v>28</v>
      </c>
      <c r="E163" s="26" t="s">
        <v>113</v>
      </c>
      <c r="F163" s="26" t="s">
        <v>515</v>
      </c>
      <c r="G163" s="32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9"/>
    </row>
    <row r="164" spans="1:18" ht="15" customHeight="1" x14ac:dyDescent="0.3">
      <c r="A164" s="10" t="s">
        <v>26</v>
      </c>
      <c r="B164" s="10" t="s">
        <v>453</v>
      </c>
      <c r="C164" s="10">
        <v>0.30208333333333331</v>
      </c>
      <c r="D164" s="10" t="s">
        <v>31</v>
      </c>
      <c r="E164" s="10" t="s">
        <v>136</v>
      </c>
      <c r="F164" s="10" t="s">
        <v>516</v>
      </c>
      <c r="G164" s="32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9"/>
    </row>
    <row r="165" spans="1:18" ht="15" customHeight="1" x14ac:dyDescent="0.3">
      <c r="A165" s="10" t="s">
        <v>26</v>
      </c>
      <c r="B165" s="10" t="s">
        <v>453</v>
      </c>
      <c r="C165" s="10">
        <v>0.30208333333333331</v>
      </c>
      <c r="D165" s="10" t="s">
        <v>34</v>
      </c>
      <c r="E165" s="10" t="s">
        <v>136</v>
      </c>
      <c r="F165" s="10" t="s">
        <v>35</v>
      </c>
      <c r="G165" s="32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9"/>
    </row>
    <row r="166" spans="1:18" ht="15" customHeight="1" x14ac:dyDescent="0.3">
      <c r="A166" s="26" t="s">
        <v>26</v>
      </c>
      <c r="B166" s="26" t="s">
        <v>454</v>
      </c>
      <c r="C166" s="26">
        <v>0.88888888888888884</v>
      </c>
      <c r="D166" s="26" t="s">
        <v>28</v>
      </c>
      <c r="E166" s="26" t="s">
        <v>54</v>
      </c>
      <c r="F166" s="26" t="s">
        <v>498</v>
      </c>
      <c r="G166" s="32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9"/>
    </row>
    <row r="167" spans="1:18" ht="15" customHeight="1" x14ac:dyDescent="0.3">
      <c r="A167" s="10" t="s">
        <v>26</v>
      </c>
      <c r="B167" s="10" t="s">
        <v>454</v>
      </c>
      <c r="C167" s="10">
        <v>0.88888888888888884</v>
      </c>
      <c r="D167" s="10" t="s">
        <v>31</v>
      </c>
      <c r="E167" s="10" t="s">
        <v>161</v>
      </c>
      <c r="F167" s="10" t="s">
        <v>499</v>
      </c>
      <c r="G167" s="32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9"/>
    </row>
    <row r="168" spans="1:18" ht="15" customHeight="1" x14ac:dyDescent="0.3">
      <c r="A168" s="10" t="s">
        <v>26</v>
      </c>
      <c r="B168" s="10" t="s">
        <v>454</v>
      </c>
      <c r="C168" s="10">
        <v>0.88888888888888884</v>
      </c>
      <c r="D168" s="10" t="s">
        <v>34</v>
      </c>
      <c r="E168" s="10" t="s">
        <v>161</v>
      </c>
      <c r="F168" s="10" t="s">
        <v>35</v>
      </c>
      <c r="G168" s="32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9"/>
    </row>
    <row r="169" spans="1:18" ht="15" customHeight="1" x14ac:dyDescent="0.3">
      <c r="A169" s="26" t="s">
        <v>26</v>
      </c>
      <c r="B169" s="26" t="s">
        <v>455</v>
      </c>
      <c r="C169" s="26">
        <v>0.78819444444444453</v>
      </c>
      <c r="D169" s="26" t="s">
        <v>28</v>
      </c>
      <c r="E169" s="26" t="s">
        <v>54</v>
      </c>
      <c r="F169" s="26" t="s">
        <v>498</v>
      </c>
      <c r="G169" s="32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9"/>
    </row>
    <row r="170" spans="1:18" ht="15" customHeight="1" x14ac:dyDescent="0.3">
      <c r="A170" s="10" t="s">
        <v>26</v>
      </c>
      <c r="B170" s="10" t="s">
        <v>455</v>
      </c>
      <c r="C170" s="10">
        <v>0.78819444444444453</v>
      </c>
      <c r="D170" s="10" t="s">
        <v>31</v>
      </c>
      <c r="E170" s="10" t="s">
        <v>161</v>
      </c>
      <c r="F170" s="10" t="s">
        <v>499</v>
      </c>
      <c r="G170" s="32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9"/>
    </row>
    <row r="171" spans="1:18" ht="15" customHeight="1" x14ac:dyDescent="0.3">
      <c r="A171" s="10" t="s">
        <v>26</v>
      </c>
      <c r="B171" s="10" t="s">
        <v>455</v>
      </c>
      <c r="C171" s="10">
        <v>0.78819444444444453</v>
      </c>
      <c r="D171" s="10" t="s">
        <v>34</v>
      </c>
      <c r="E171" s="10" t="s">
        <v>161</v>
      </c>
      <c r="F171" s="10" t="s">
        <v>35</v>
      </c>
      <c r="G171" s="328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9"/>
    </row>
    <row r="172" spans="1:18" ht="15" customHeight="1" x14ac:dyDescent="0.3">
      <c r="A172" s="11" t="s">
        <v>404</v>
      </c>
      <c r="B172" s="11" t="s">
        <v>408</v>
      </c>
      <c r="C172" s="11">
        <v>0.59375</v>
      </c>
      <c r="D172" s="11" t="s">
        <v>406</v>
      </c>
      <c r="E172" s="11" t="s">
        <v>47</v>
      </c>
      <c r="F172" s="11" t="s">
        <v>407</v>
      </c>
      <c r="G172" s="32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9"/>
    </row>
    <row r="173" spans="1:18" ht="15" customHeight="1" x14ac:dyDescent="0.3">
      <c r="A173" s="26" t="s">
        <v>404</v>
      </c>
      <c r="B173" s="26" t="s">
        <v>405</v>
      </c>
      <c r="C173" s="26">
        <v>0.29166666666666669</v>
      </c>
      <c r="D173" s="26" t="s">
        <v>406</v>
      </c>
      <c r="E173" s="26" t="s">
        <v>71</v>
      </c>
      <c r="F173" s="26" t="s">
        <v>407</v>
      </c>
      <c r="G173" s="32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9"/>
    </row>
    <row r="174" spans="1:18" ht="15" customHeight="1" x14ac:dyDescent="0.3">
      <c r="A174" s="12" t="s">
        <v>44</v>
      </c>
      <c r="B174" s="12" t="s">
        <v>517</v>
      </c>
      <c r="C174" s="12">
        <v>0.25347222222222221</v>
      </c>
      <c r="D174" s="12" t="s">
        <v>46</v>
      </c>
      <c r="E174" s="12" t="s">
        <v>47</v>
      </c>
      <c r="F174" s="12" t="s">
        <v>374</v>
      </c>
      <c r="G174" s="328"/>
      <c r="H174" s="13" t="s">
        <v>518</v>
      </c>
      <c r="I174" s="14">
        <v>0.32400000000000001</v>
      </c>
      <c r="J174" s="15">
        <v>58</v>
      </c>
      <c r="K174" s="16" t="s">
        <v>175</v>
      </c>
      <c r="L174" s="15">
        <v>22</v>
      </c>
      <c r="M174" s="15">
        <v>1</v>
      </c>
      <c r="N174" s="15">
        <v>5</v>
      </c>
      <c r="O174" s="16" t="s">
        <v>353</v>
      </c>
      <c r="P174" s="16">
        <v>0.25347222222222221</v>
      </c>
      <c r="Q174" s="15">
        <v>179</v>
      </c>
      <c r="R174" s="17" t="s">
        <v>519</v>
      </c>
    </row>
    <row r="175" spans="1:18" ht="15" customHeight="1" x14ac:dyDescent="0.3">
      <c r="A175" s="81" t="s">
        <v>44</v>
      </c>
      <c r="B175" s="81" t="s">
        <v>520</v>
      </c>
      <c r="C175" s="81">
        <v>0.73958333333333337</v>
      </c>
      <c r="D175" s="81" t="s">
        <v>46</v>
      </c>
      <c r="E175" s="81" t="s">
        <v>71</v>
      </c>
      <c r="F175" s="81" t="s">
        <v>374</v>
      </c>
      <c r="G175" s="328"/>
      <c r="H175" s="82" t="s">
        <v>432</v>
      </c>
      <c r="I175" s="199">
        <v>0.60340000000000005</v>
      </c>
      <c r="J175" s="84">
        <v>108</v>
      </c>
      <c r="K175" s="85" t="s">
        <v>175</v>
      </c>
      <c r="L175" s="84">
        <v>43</v>
      </c>
      <c r="M175" s="84">
        <v>15</v>
      </c>
      <c r="N175" s="84">
        <v>13</v>
      </c>
      <c r="O175" s="85" t="s">
        <v>353</v>
      </c>
      <c r="P175" s="85">
        <v>0.73958333333333337</v>
      </c>
      <c r="Q175" s="84">
        <v>179</v>
      </c>
      <c r="R175" s="86" t="s">
        <v>521</v>
      </c>
    </row>
    <row r="176" spans="1:18" ht="15" customHeight="1" x14ac:dyDescent="0.3">
      <c r="A176" s="87" t="s">
        <v>44</v>
      </c>
      <c r="B176" s="87" t="s">
        <v>425</v>
      </c>
      <c r="C176" s="87">
        <v>0.58333333333333337</v>
      </c>
      <c r="D176" s="87" t="s">
        <v>46</v>
      </c>
      <c r="E176" s="87" t="s">
        <v>71</v>
      </c>
      <c r="F176" s="87" t="s">
        <v>374</v>
      </c>
      <c r="G176" s="328"/>
      <c r="H176" s="76" t="s">
        <v>427</v>
      </c>
      <c r="I176" s="187">
        <v>0.78769999999999996</v>
      </c>
      <c r="J176" s="78">
        <v>141</v>
      </c>
      <c r="K176" s="79" t="s">
        <v>175</v>
      </c>
      <c r="L176" s="78">
        <v>27</v>
      </c>
      <c r="M176" s="78">
        <v>4</v>
      </c>
      <c r="N176" s="78">
        <v>8</v>
      </c>
      <c r="O176" s="79" t="s">
        <v>353</v>
      </c>
      <c r="P176" s="79">
        <v>0.58333333333333337</v>
      </c>
      <c r="Q176" s="78">
        <v>179</v>
      </c>
      <c r="R176" s="80" t="s">
        <v>522</v>
      </c>
    </row>
    <row r="177" spans="1:18" ht="15" customHeight="1" x14ac:dyDescent="0.3">
      <c r="A177" s="189" t="s">
        <v>44</v>
      </c>
      <c r="B177" s="189" t="s">
        <v>523</v>
      </c>
      <c r="C177" s="189">
        <v>0.36458333333333331</v>
      </c>
      <c r="D177" s="189" t="s">
        <v>46</v>
      </c>
      <c r="E177" s="189" t="s">
        <v>71</v>
      </c>
      <c r="F177" s="189" t="s">
        <v>374</v>
      </c>
      <c r="G177" s="328"/>
      <c r="H177" s="45" t="s">
        <v>524</v>
      </c>
      <c r="I177" s="191">
        <v>0.27929999999999999</v>
      </c>
      <c r="J177" s="47">
        <v>50</v>
      </c>
      <c r="K177" s="48" t="s">
        <v>175</v>
      </c>
      <c r="L177" s="47">
        <v>29</v>
      </c>
      <c r="M177" s="47">
        <v>5</v>
      </c>
      <c r="N177" s="47">
        <v>4</v>
      </c>
      <c r="O177" s="48" t="s">
        <v>353</v>
      </c>
      <c r="P177" s="48">
        <v>0.36458333333333331</v>
      </c>
      <c r="Q177" s="47">
        <v>179</v>
      </c>
      <c r="R177" s="49" t="s">
        <v>525</v>
      </c>
    </row>
    <row r="178" spans="1:18" ht="15" customHeight="1" x14ac:dyDescent="0.3">
      <c r="A178" s="81" t="s">
        <v>44</v>
      </c>
      <c r="B178" s="81" t="s">
        <v>415</v>
      </c>
      <c r="C178" s="81">
        <v>0.33333333333333331</v>
      </c>
      <c r="D178" s="81" t="s">
        <v>46</v>
      </c>
      <c r="E178" s="81" t="s">
        <v>74</v>
      </c>
      <c r="F178" s="81" t="s">
        <v>416</v>
      </c>
      <c r="G178" s="328"/>
      <c r="H178" s="82" t="s">
        <v>417</v>
      </c>
      <c r="I178" s="199">
        <v>0.80449999999999999</v>
      </c>
      <c r="J178" s="84">
        <v>144</v>
      </c>
      <c r="K178" s="85" t="s">
        <v>50</v>
      </c>
      <c r="L178" s="84">
        <v>2</v>
      </c>
      <c r="M178" s="84">
        <v>0</v>
      </c>
      <c r="N178" s="84">
        <v>1</v>
      </c>
      <c r="O178" s="85" t="s">
        <v>526</v>
      </c>
      <c r="P178" s="85">
        <v>0.33333333333333331</v>
      </c>
      <c r="Q178" s="84">
        <v>179</v>
      </c>
      <c r="R178" s="86" t="s">
        <v>527</v>
      </c>
    </row>
    <row r="179" spans="1:18" ht="15" customHeight="1" x14ac:dyDescent="0.3">
      <c r="A179" s="193" t="s">
        <v>44</v>
      </c>
      <c r="B179" s="193" t="s">
        <v>419</v>
      </c>
      <c r="C179" s="193">
        <v>0.1145833333333333</v>
      </c>
      <c r="D179" s="193" t="s">
        <v>46</v>
      </c>
      <c r="E179" s="193" t="s">
        <v>71</v>
      </c>
      <c r="F179" s="193" t="s">
        <v>416</v>
      </c>
      <c r="G179" s="328"/>
      <c r="H179" s="194" t="s">
        <v>420</v>
      </c>
      <c r="I179" s="200">
        <v>0.27929999999999999</v>
      </c>
      <c r="J179" s="196">
        <v>50</v>
      </c>
      <c r="K179" s="197" t="s">
        <v>175</v>
      </c>
      <c r="L179" s="196">
        <v>32</v>
      </c>
      <c r="M179" s="196">
        <v>1</v>
      </c>
      <c r="N179" s="196">
        <v>5</v>
      </c>
      <c r="O179" s="197" t="s">
        <v>237</v>
      </c>
      <c r="P179" s="197">
        <v>0.1145833333333333</v>
      </c>
      <c r="Q179" s="196">
        <v>179</v>
      </c>
      <c r="R179" s="198" t="s">
        <v>528</v>
      </c>
    </row>
    <row r="180" spans="1:18" ht="15" customHeight="1" x14ac:dyDescent="0.3">
      <c r="A180" s="24" t="s">
        <v>44</v>
      </c>
      <c r="B180" s="24" t="s">
        <v>422</v>
      </c>
      <c r="C180" s="24">
        <v>4.8611111111111112E-2</v>
      </c>
      <c r="D180" s="24" t="s">
        <v>46</v>
      </c>
      <c r="E180" s="24" t="s">
        <v>71</v>
      </c>
      <c r="F180" s="24" t="s">
        <v>416</v>
      </c>
      <c r="G180" s="328"/>
      <c r="H180" s="13" t="s">
        <v>423</v>
      </c>
      <c r="I180" s="14">
        <v>0.48039999999999999</v>
      </c>
      <c r="J180" s="15">
        <v>86</v>
      </c>
      <c r="K180" s="16" t="s">
        <v>63</v>
      </c>
      <c r="L180" s="15">
        <v>2</v>
      </c>
      <c r="M180" s="15">
        <v>0</v>
      </c>
      <c r="N180" s="15">
        <v>0</v>
      </c>
      <c r="O180" s="16" t="s">
        <v>237</v>
      </c>
      <c r="P180" s="16">
        <v>4.8611111111111112E-2</v>
      </c>
      <c r="Q180" s="15">
        <v>179</v>
      </c>
      <c r="R180" s="17" t="s">
        <v>529</v>
      </c>
    </row>
    <row r="181" spans="1:18" ht="15" customHeight="1" x14ac:dyDescent="0.3">
      <c r="A181" s="11" t="s">
        <v>410</v>
      </c>
      <c r="B181" s="11" t="s">
        <v>413</v>
      </c>
      <c r="C181" s="11">
        <v>0.66666666666666663</v>
      </c>
      <c r="D181" s="11" t="s">
        <v>406</v>
      </c>
      <c r="E181" s="11" t="s">
        <v>314</v>
      </c>
      <c r="F181" s="11" t="s">
        <v>374</v>
      </c>
      <c r="G181" s="32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9"/>
    </row>
    <row r="182" spans="1:18" ht="15" customHeight="1" x14ac:dyDescent="0.3">
      <c r="A182" s="11" t="s">
        <v>36</v>
      </c>
      <c r="B182" s="11" t="s">
        <v>444</v>
      </c>
      <c r="C182" s="11">
        <v>0.51736111111111105</v>
      </c>
      <c r="D182" s="11" t="s">
        <v>38</v>
      </c>
      <c r="E182" s="11" t="s">
        <v>314</v>
      </c>
      <c r="F182" s="11" t="s">
        <v>530</v>
      </c>
      <c r="G182" s="32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9"/>
    </row>
    <row r="183" spans="1:18" ht="15" customHeight="1" x14ac:dyDescent="0.3">
      <c r="A183" s="10" t="s">
        <v>36</v>
      </c>
      <c r="B183" s="10" t="s">
        <v>444</v>
      </c>
      <c r="C183" s="10">
        <v>0.51736111111111105</v>
      </c>
      <c r="D183" s="10" t="s">
        <v>40</v>
      </c>
      <c r="E183" s="10" t="s">
        <v>161</v>
      </c>
      <c r="F183" s="10" t="s">
        <v>514</v>
      </c>
      <c r="G183" s="32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9"/>
    </row>
    <row r="184" spans="1:18" ht="15" customHeight="1" x14ac:dyDescent="0.3">
      <c r="A184" s="10" t="s">
        <v>36</v>
      </c>
      <c r="B184" s="10" t="s">
        <v>444</v>
      </c>
      <c r="C184" s="10">
        <v>0.51736111111111105</v>
      </c>
      <c r="D184" s="10" t="s">
        <v>42</v>
      </c>
      <c r="E184" s="10" t="s">
        <v>161</v>
      </c>
      <c r="F184" s="10" t="s">
        <v>414</v>
      </c>
      <c r="G184" s="32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9"/>
    </row>
    <row r="185" spans="1:18" ht="15" customHeight="1" x14ac:dyDescent="0.3">
      <c r="A185" s="26" t="s">
        <v>36</v>
      </c>
      <c r="B185" s="26" t="s">
        <v>438</v>
      </c>
      <c r="C185" s="26">
        <v>0.85416666666666663</v>
      </c>
      <c r="D185" s="26" t="s">
        <v>38</v>
      </c>
      <c r="E185" s="26" t="s">
        <v>54</v>
      </c>
      <c r="F185" s="26" t="s">
        <v>436</v>
      </c>
      <c r="G185" s="32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9"/>
    </row>
    <row r="186" spans="1:18" ht="15" customHeight="1" x14ac:dyDescent="0.3">
      <c r="A186" s="10" t="s">
        <v>36</v>
      </c>
      <c r="B186" s="10" t="s">
        <v>438</v>
      </c>
      <c r="C186" s="10">
        <v>0.85416666666666663</v>
      </c>
      <c r="D186" s="10" t="s">
        <v>40</v>
      </c>
      <c r="E186" s="10" t="s">
        <v>161</v>
      </c>
      <c r="F186" s="10" t="s">
        <v>437</v>
      </c>
      <c r="G186" s="328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9"/>
    </row>
    <row r="187" spans="1:18" ht="15" customHeight="1" x14ac:dyDescent="0.3">
      <c r="A187" s="10" t="s">
        <v>36</v>
      </c>
      <c r="B187" s="10" t="s">
        <v>438</v>
      </c>
      <c r="C187" s="10">
        <v>0.85416666666666663</v>
      </c>
      <c r="D187" s="10" t="s">
        <v>42</v>
      </c>
      <c r="E187" s="10" t="s">
        <v>161</v>
      </c>
      <c r="F187" s="10" t="s">
        <v>39</v>
      </c>
      <c r="G187" s="328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9"/>
    </row>
    <row r="188" spans="1:18" ht="15" customHeight="1" x14ac:dyDescent="0.3">
      <c r="A188" s="26" t="s">
        <v>36</v>
      </c>
      <c r="B188" s="26" t="s">
        <v>442</v>
      </c>
      <c r="C188" s="26">
        <v>0.25694444444444448</v>
      </c>
      <c r="D188" s="26" t="s">
        <v>38</v>
      </c>
      <c r="E188" s="26" t="s">
        <v>113</v>
      </c>
      <c r="F188" s="26" t="s">
        <v>436</v>
      </c>
      <c r="G188" s="328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9"/>
    </row>
    <row r="189" spans="1:18" ht="15" customHeight="1" x14ac:dyDescent="0.3">
      <c r="A189" s="10" t="s">
        <v>36</v>
      </c>
      <c r="B189" s="10" t="s">
        <v>442</v>
      </c>
      <c r="C189" s="10">
        <v>0.25694444444444448</v>
      </c>
      <c r="D189" s="10" t="s">
        <v>40</v>
      </c>
      <c r="E189" s="10" t="s">
        <v>136</v>
      </c>
      <c r="F189" s="10" t="s">
        <v>437</v>
      </c>
      <c r="G189" s="328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9"/>
    </row>
    <row r="190" spans="1:18" ht="15" customHeight="1" x14ac:dyDescent="0.3">
      <c r="A190" s="10" t="s">
        <v>36</v>
      </c>
      <c r="B190" s="10" t="s">
        <v>442</v>
      </c>
      <c r="C190" s="10">
        <v>0.25694444444444448</v>
      </c>
      <c r="D190" s="10" t="s">
        <v>42</v>
      </c>
      <c r="E190" s="10" t="s">
        <v>136</v>
      </c>
      <c r="F190" s="10" t="s">
        <v>39</v>
      </c>
      <c r="G190" s="328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9"/>
    </row>
    <row r="191" spans="1:18" ht="15" customHeight="1" x14ac:dyDescent="0.3">
      <c r="A191" s="26" t="s">
        <v>36</v>
      </c>
      <c r="B191" s="26" t="s">
        <v>443</v>
      </c>
      <c r="C191" s="26">
        <v>0.30208333333333331</v>
      </c>
      <c r="D191" s="26" t="s">
        <v>38</v>
      </c>
      <c r="E191" s="26" t="s">
        <v>439</v>
      </c>
      <c r="F191" s="26" t="s">
        <v>436</v>
      </c>
      <c r="G191" s="328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9"/>
    </row>
    <row r="192" spans="1:18" ht="15" customHeight="1" x14ac:dyDescent="0.3">
      <c r="A192" s="10" t="s">
        <v>36</v>
      </c>
      <c r="B192" s="10" t="s">
        <v>443</v>
      </c>
      <c r="C192" s="10">
        <v>0.30208333333333331</v>
      </c>
      <c r="D192" s="10" t="s">
        <v>40</v>
      </c>
      <c r="E192" s="10" t="s">
        <v>124</v>
      </c>
      <c r="F192" s="10" t="s">
        <v>437</v>
      </c>
      <c r="G192" s="328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9"/>
    </row>
    <row r="193" spans="1:18" ht="15" customHeight="1" x14ac:dyDescent="0.3">
      <c r="A193" s="10" t="s">
        <v>36</v>
      </c>
      <c r="B193" s="10" t="s">
        <v>443</v>
      </c>
      <c r="C193" s="10">
        <v>0.30208333333333331</v>
      </c>
      <c r="D193" s="10" t="s">
        <v>42</v>
      </c>
      <c r="E193" s="10" t="s">
        <v>124</v>
      </c>
      <c r="F193" s="10" t="s">
        <v>39</v>
      </c>
      <c r="G193" s="328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9"/>
    </row>
    <row r="194" spans="1:18" ht="15" customHeight="1" x14ac:dyDescent="0.3">
      <c r="A194" s="26" t="s">
        <v>36</v>
      </c>
      <c r="B194" s="26" t="s">
        <v>435</v>
      </c>
      <c r="C194" s="26">
        <v>0.90277777777777779</v>
      </c>
      <c r="D194" s="26" t="s">
        <v>38</v>
      </c>
      <c r="E194" s="26" t="s">
        <v>54</v>
      </c>
      <c r="F194" s="26" t="s">
        <v>436</v>
      </c>
      <c r="G194" s="328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9"/>
    </row>
    <row r="195" spans="1:18" ht="15" customHeight="1" x14ac:dyDescent="0.3">
      <c r="A195" s="10" t="s">
        <v>36</v>
      </c>
      <c r="B195" s="10" t="s">
        <v>435</v>
      </c>
      <c r="C195" s="10">
        <v>0.90277777777777779</v>
      </c>
      <c r="D195" s="10" t="s">
        <v>40</v>
      </c>
      <c r="E195" s="10" t="s">
        <v>161</v>
      </c>
      <c r="F195" s="10" t="s">
        <v>437</v>
      </c>
      <c r="G195" s="328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9"/>
    </row>
    <row r="196" spans="1:18" ht="15" customHeight="1" x14ac:dyDescent="0.3">
      <c r="A196" s="10" t="s">
        <v>36</v>
      </c>
      <c r="B196" s="10" t="s">
        <v>435</v>
      </c>
      <c r="C196" s="10">
        <v>0.90277777777777779</v>
      </c>
      <c r="D196" s="10" t="s">
        <v>42</v>
      </c>
      <c r="E196" s="10" t="s">
        <v>161</v>
      </c>
      <c r="F196" s="10" t="s">
        <v>39</v>
      </c>
      <c r="G196" s="328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9"/>
    </row>
    <row r="197" spans="1:18" ht="15" customHeight="1" x14ac:dyDescent="0.3">
      <c r="A197" s="26" t="s">
        <v>36</v>
      </c>
      <c r="B197" s="26" t="s">
        <v>445</v>
      </c>
      <c r="C197" s="26">
        <v>0.79861111111111116</v>
      </c>
      <c r="D197" s="26" t="s">
        <v>38</v>
      </c>
      <c r="E197" s="26" t="s">
        <v>439</v>
      </c>
      <c r="F197" s="26" t="s">
        <v>436</v>
      </c>
      <c r="G197" s="328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9"/>
    </row>
    <row r="198" spans="1:18" ht="15" customHeight="1" x14ac:dyDescent="0.3">
      <c r="A198" s="10" t="s">
        <v>36</v>
      </c>
      <c r="B198" s="10" t="s">
        <v>445</v>
      </c>
      <c r="C198" s="10">
        <v>0.79861111111111116</v>
      </c>
      <c r="D198" s="10" t="s">
        <v>40</v>
      </c>
      <c r="E198" s="10" t="s">
        <v>124</v>
      </c>
      <c r="F198" s="10" t="s">
        <v>437</v>
      </c>
      <c r="G198" s="328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9"/>
    </row>
    <row r="199" spans="1:18" ht="15" customHeight="1" x14ac:dyDescent="0.3">
      <c r="A199" s="10" t="s">
        <v>36</v>
      </c>
      <c r="B199" s="10" t="s">
        <v>445</v>
      </c>
      <c r="C199" s="10">
        <v>0.79861111111111116</v>
      </c>
      <c r="D199" s="10" t="s">
        <v>42</v>
      </c>
      <c r="E199" s="10" t="s">
        <v>124</v>
      </c>
      <c r="F199" s="10" t="s">
        <v>39</v>
      </c>
      <c r="G199" s="328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9"/>
    </row>
    <row r="200" spans="1:18" ht="15" customHeight="1" x14ac:dyDescent="0.3">
      <c r="A200" s="26" t="s">
        <v>36</v>
      </c>
      <c r="B200" s="26" t="s">
        <v>447</v>
      </c>
      <c r="C200" s="26">
        <v>0.39583333333333331</v>
      </c>
      <c r="D200" s="26" t="s">
        <v>38</v>
      </c>
      <c r="E200" s="26" t="s">
        <v>439</v>
      </c>
      <c r="F200" s="26" t="s">
        <v>436</v>
      </c>
      <c r="G200" s="328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9"/>
    </row>
    <row r="201" spans="1:18" ht="15" customHeight="1" x14ac:dyDescent="0.3">
      <c r="A201" s="10" t="s">
        <v>36</v>
      </c>
      <c r="B201" s="10" t="s">
        <v>447</v>
      </c>
      <c r="C201" s="10">
        <v>0.39583333333333331</v>
      </c>
      <c r="D201" s="10" t="s">
        <v>40</v>
      </c>
      <c r="E201" s="10" t="s">
        <v>124</v>
      </c>
      <c r="F201" s="10" t="s">
        <v>437</v>
      </c>
      <c r="G201" s="328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9"/>
    </row>
    <row r="202" spans="1:18" ht="15" customHeight="1" x14ac:dyDescent="0.3">
      <c r="A202" s="10" t="s">
        <v>36</v>
      </c>
      <c r="B202" s="10" t="s">
        <v>447</v>
      </c>
      <c r="C202" s="10">
        <v>0.39583333333333331</v>
      </c>
      <c r="D202" s="10" t="s">
        <v>42</v>
      </c>
      <c r="E202" s="10" t="s">
        <v>124</v>
      </c>
      <c r="F202" s="10" t="s">
        <v>39</v>
      </c>
      <c r="G202" s="328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9"/>
    </row>
    <row r="203" spans="1:18" ht="15" customHeight="1" x14ac:dyDescent="0.3">
      <c r="A203" s="26" t="s">
        <v>36</v>
      </c>
      <c r="B203" s="26" t="s">
        <v>446</v>
      </c>
      <c r="C203" s="26">
        <v>0.65972222222222221</v>
      </c>
      <c r="D203" s="26" t="s">
        <v>38</v>
      </c>
      <c r="E203" s="26" t="s">
        <v>439</v>
      </c>
      <c r="F203" s="26" t="s">
        <v>436</v>
      </c>
      <c r="G203" s="328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9"/>
    </row>
    <row r="204" spans="1:18" ht="15" customHeight="1" x14ac:dyDescent="0.3">
      <c r="A204" s="10" t="s">
        <v>36</v>
      </c>
      <c r="B204" s="10" t="s">
        <v>446</v>
      </c>
      <c r="C204" s="10">
        <v>0.65972222222222221</v>
      </c>
      <c r="D204" s="10" t="s">
        <v>40</v>
      </c>
      <c r="E204" s="10" t="s">
        <v>124</v>
      </c>
      <c r="F204" s="10" t="s">
        <v>437</v>
      </c>
      <c r="G204" s="328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9"/>
    </row>
    <row r="205" spans="1:18" ht="15" customHeight="1" x14ac:dyDescent="0.3">
      <c r="A205" s="10" t="s">
        <v>36</v>
      </c>
      <c r="B205" s="10" t="s">
        <v>446</v>
      </c>
      <c r="C205" s="10">
        <v>0.65972222222222221</v>
      </c>
      <c r="D205" s="10" t="s">
        <v>42</v>
      </c>
      <c r="E205" s="10" t="s">
        <v>124</v>
      </c>
      <c r="F205" s="10" t="s">
        <v>39</v>
      </c>
      <c r="G205" s="328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9"/>
    </row>
    <row r="206" spans="1:18" ht="15" customHeight="1" x14ac:dyDescent="0.3">
      <c r="A206" s="11" t="s">
        <v>456</v>
      </c>
      <c r="B206" s="11" t="s">
        <v>500</v>
      </c>
      <c r="C206" s="11">
        <v>0.3298611111111111</v>
      </c>
      <c r="D206" s="11" t="s">
        <v>458</v>
      </c>
      <c r="E206" s="11" t="s">
        <v>123</v>
      </c>
      <c r="F206" s="11" t="s">
        <v>531</v>
      </c>
      <c r="G206" s="328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9"/>
    </row>
    <row r="207" spans="1:18" ht="15" customHeight="1" x14ac:dyDescent="0.3">
      <c r="A207" s="10" t="s">
        <v>456</v>
      </c>
      <c r="B207" s="10" t="s">
        <v>500</v>
      </c>
      <c r="C207" s="10">
        <v>0.3298611111111111</v>
      </c>
      <c r="D207" s="10" t="s">
        <v>34</v>
      </c>
      <c r="E207" s="10" t="s">
        <v>124</v>
      </c>
      <c r="F207" s="10" t="s">
        <v>532</v>
      </c>
      <c r="G207" s="328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9"/>
    </row>
    <row r="208" spans="1:18" ht="15" customHeight="1" x14ac:dyDescent="0.3">
      <c r="A208" s="11" t="s">
        <v>66</v>
      </c>
      <c r="B208" s="11" t="s">
        <v>488</v>
      </c>
      <c r="C208" s="11">
        <v>0.22222222222222221</v>
      </c>
      <c r="D208" s="11" t="s">
        <v>68</v>
      </c>
      <c r="E208" s="11" t="s">
        <v>47</v>
      </c>
      <c r="F208" s="11" t="s">
        <v>504</v>
      </c>
      <c r="G208" s="328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9"/>
    </row>
    <row r="209" spans="1:18" ht="15" customHeight="1" x14ac:dyDescent="0.3">
      <c r="A209" s="26" t="s">
        <v>66</v>
      </c>
      <c r="B209" s="26" t="s">
        <v>505</v>
      </c>
      <c r="C209" s="26">
        <v>0.14583333333333329</v>
      </c>
      <c r="D209" s="26" t="s">
        <v>68</v>
      </c>
      <c r="E209" s="26" t="s">
        <v>71</v>
      </c>
      <c r="F209" s="26" t="s">
        <v>504</v>
      </c>
      <c r="G209" s="328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9"/>
    </row>
    <row r="210" spans="1:18" ht="15" customHeight="1" x14ac:dyDescent="0.3">
      <c r="A210" s="26" t="s">
        <v>66</v>
      </c>
      <c r="B210" s="26" t="s">
        <v>485</v>
      </c>
      <c r="C210" s="26">
        <v>0.4861111111111111</v>
      </c>
      <c r="D210" s="26" t="s">
        <v>68</v>
      </c>
      <c r="E210" s="26" t="s">
        <v>71</v>
      </c>
      <c r="F210" s="26" t="s">
        <v>506</v>
      </c>
      <c r="G210" s="328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9"/>
    </row>
    <row r="211" spans="1:18" ht="15" customHeight="1" x14ac:dyDescent="0.3">
      <c r="A211" s="26" t="s">
        <v>66</v>
      </c>
      <c r="B211" s="26" t="s">
        <v>487</v>
      </c>
      <c r="C211" s="26">
        <v>0.51388888888888895</v>
      </c>
      <c r="D211" s="26" t="s">
        <v>68</v>
      </c>
      <c r="E211" s="26" t="s">
        <v>71</v>
      </c>
      <c r="F211" s="26" t="s">
        <v>506</v>
      </c>
      <c r="G211" s="328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9"/>
    </row>
    <row r="212" spans="1:18" ht="15" customHeight="1" x14ac:dyDescent="0.3">
      <c r="A212" s="26" t="s">
        <v>66</v>
      </c>
      <c r="B212" s="26" t="s">
        <v>508</v>
      </c>
      <c r="C212" s="26">
        <v>0.95833333333333337</v>
      </c>
      <c r="D212" s="26" t="s">
        <v>68</v>
      </c>
      <c r="E212" s="26" t="s">
        <v>71</v>
      </c>
      <c r="F212" s="26" t="s">
        <v>507</v>
      </c>
      <c r="G212" s="328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9"/>
    </row>
    <row r="213" spans="1:18" ht="15" customHeight="1" x14ac:dyDescent="0.3">
      <c r="A213" s="26" t="s">
        <v>66</v>
      </c>
      <c r="B213" s="26" t="s">
        <v>492</v>
      </c>
      <c r="C213" s="26">
        <v>0.77430555555555547</v>
      </c>
      <c r="D213" s="26" t="s">
        <v>68</v>
      </c>
      <c r="E213" s="26" t="s">
        <v>71</v>
      </c>
      <c r="F213" s="26" t="s">
        <v>486</v>
      </c>
      <c r="G213" s="328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9"/>
    </row>
    <row r="214" spans="1:18" ht="15" customHeight="1" x14ac:dyDescent="0.3">
      <c r="A214" s="26" t="s">
        <v>66</v>
      </c>
      <c r="B214" s="26" t="s">
        <v>509</v>
      </c>
      <c r="C214" s="26">
        <v>1.388888888888889E-2</v>
      </c>
      <c r="D214" s="26" t="s">
        <v>68</v>
      </c>
      <c r="E214" s="26" t="s">
        <v>71</v>
      </c>
      <c r="F214" s="26" t="s">
        <v>486</v>
      </c>
      <c r="G214" s="328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9"/>
    </row>
    <row r="215" spans="1:18" ht="15" customHeight="1" x14ac:dyDescent="0.3">
      <c r="A215" s="26" t="s">
        <v>66</v>
      </c>
      <c r="B215" s="26" t="s">
        <v>490</v>
      </c>
      <c r="C215" s="26">
        <v>0.27777777777777779</v>
      </c>
      <c r="D215" s="26" t="s">
        <v>68</v>
      </c>
      <c r="E215" s="26" t="s">
        <v>71</v>
      </c>
      <c r="F215" s="26" t="s">
        <v>486</v>
      </c>
      <c r="G215" s="328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9"/>
    </row>
    <row r="216" spans="1:18" ht="15" customHeight="1" x14ac:dyDescent="0.3">
      <c r="A216" s="11" t="s">
        <v>78</v>
      </c>
      <c r="B216" s="11" t="s">
        <v>467</v>
      </c>
      <c r="C216" s="11">
        <v>0.1423611111111111</v>
      </c>
      <c r="D216" s="11" t="s">
        <v>80</v>
      </c>
      <c r="E216" s="11" t="s">
        <v>47</v>
      </c>
      <c r="F216" s="11" t="s">
        <v>462</v>
      </c>
      <c r="G216" s="328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9"/>
    </row>
    <row r="217" spans="1:18" ht="15" customHeight="1" x14ac:dyDescent="0.3">
      <c r="A217" s="10" t="s">
        <v>78</v>
      </c>
      <c r="B217" s="10" t="s">
        <v>467</v>
      </c>
      <c r="C217" s="10">
        <v>0.1423611111111111</v>
      </c>
      <c r="D217" s="10" t="s">
        <v>83</v>
      </c>
      <c r="E217" s="10" t="s">
        <v>95</v>
      </c>
      <c r="F217" s="10" t="s">
        <v>463</v>
      </c>
      <c r="G217" s="328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9"/>
    </row>
    <row r="218" spans="1:18" ht="15" customHeight="1" x14ac:dyDescent="0.3">
      <c r="A218" s="26" t="s">
        <v>78</v>
      </c>
      <c r="B218" s="26" t="s">
        <v>469</v>
      </c>
      <c r="C218" s="26">
        <v>0.37847222222222232</v>
      </c>
      <c r="D218" s="26" t="s">
        <v>80</v>
      </c>
      <c r="E218" s="26" t="s">
        <v>71</v>
      </c>
      <c r="F218" s="26" t="s">
        <v>462</v>
      </c>
      <c r="G218" s="328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9"/>
    </row>
    <row r="219" spans="1:18" ht="15" customHeight="1" x14ac:dyDescent="0.3">
      <c r="A219" s="10" t="s">
        <v>78</v>
      </c>
      <c r="B219" s="10" t="s">
        <v>469</v>
      </c>
      <c r="C219" s="10">
        <v>0.37847222222222232</v>
      </c>
      <c r="D219" s="10" t="s">
        <v>83</v>
      </c>
      <c r="E219" s="10" t="s">
        <v>95</v>
      </c>
      <c r="F219" s="10" t="s">
        <v>463</v>
      </c>
      <c r="G219" s="328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9"/>
    </row>
    <row r="220" spans="1:18" ht="15" customHeight="1" x14ac:dyDescent="0.3">
      <c r="A220" s="26" t="s">
        <v>78</v>
      </c>
      <c r="B220" s="26" t="s">
        <v>461</v>
      </c>
      <c r="C220" s="26">
        <v>0.24305555555555561</v>
      </c>
      <c r="D220" s="26" t="s">
        <v>80</v>
      </c>
      <c r="E220" s="26" t="s">
        <v>71</v>
      </c>
      <c r="F220" s="26" t="s">
        <v>462</v>
      </c>
      <c r="G220" s="328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9"/>
    </row>
    <row r="221" spans="1:18" ht="15" customHeight="1" x14ac:dyDescent="0.3">
      <c r="A221" s="10" t="s">
        <v>78</v>
      </c>
      <c r="B221" s="10" t="s">
        <v>461</v>
      </c>
      <c r="C221" s="10">
        <v>0.24305555555555561</v>
      </c>
      <c r="D221" s="10" t="s">
        <v>83</v>
      </c>
      <c r="E221" s="10" t="s">
        <v>95</v>
      </c>
      <c r="F221" s="10" t="s">
        <v>463</v>
      </c>
      <c r="G221" s="328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9"/>
    </row>
    <row r="222" spans="1:18" ht="15" customHeight="1" x14ac:dyDescent="0.3">
      <c r="A222" s="26" t="s">
        <v>78</v>
      </c>
      <c r="B222" s="26" t="s">
        <v>464</v>
      </c>
      <c r="C222" s="26">
        <v>6.9444444444444441E-3</v>
      </c>
      <c r="D222" s="26" t="s">
        <v>80</v>
      </c>
      <c r="E222" s="26" t="s">
        <v>71</v>
      </c>
      <c r="F222" s="26" t="s">
        <v>465</v>
      </c>
      <c r="G222" s="328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9"/>
    </row>
    <row r="223" spans="1:18" ht="15" customHeight="1" x14ac:dyDescent="0.3">
      <c r="A223" s="10" t="s">
        <v>78</v>
      </c>
      <c r="B223" s="10" t="s">
        <v>464</v>
      </c>
      <c r="C223" s="10">
        <v>6.9444444444444441E-3</v>
      </c>
      <c r="D223" s="10" t="s">
        <v>83</v>
      </c>
      <c r="E223" s="10" t="s">
        <v>95</v>
      </c>
      <c r="F223" s="10" t="s">
        <v>466</v>
      </c>
      <c r="G223" s="328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9"/>
    </row>
    <row r="224" spans="1:18" ht="15" customHeight="1" x14ac:dyDescent="0.3">
      <c r="A224" s="26" t="s">
        <v>78</v>
      </c>
      <c r="B224" s="26" t="s">
        <v>482</v>
      </c>
      <c r="C224" s="26">
        <v>0.61111111111111105</v>
      </c>
      <c r="D224" s="26" t="s">
        <v>80</v>
      </c>
      <c r="E224" s="26" t="s">
        <v>71</v>
      </c>
      <c r="F224" s="26" t="s">
        <v>471</v>
      </c>
      <c r="G224" s="328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9"/>
    </row>
    <row r="225" spans="1:18" ht="15" customHeight="1" x14ac:dyDescent="0.3">
      <c r="A225" s="10" t="s">
        <v>78</v>
      </c>
      <c r="B225" s="10" t="s">
        <v>482</v>
      </c>
      <c r="C225" s="10">
        <v>0.61111111111111105</v>
      </c>
      <c r="D225" s="10" t="s">
        <v>83</v>
      </c>
      <c r="E225" s="10" t="s">
        <v>95</v>
      </c>
      <c r="F225" s="10" t="s">
        <v>472</v>
      </c>
      <c r="G225" s="328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9"/>
    </row>
    <row r="226" spans="1:18" ht="15" customHeight="1" x14ac:dyDescent="0.3">
      <c r="A226" s="26" t="s">
        <v>78</v>
      </c>
      <c r="B226" s="26" t="s">
        <v>470</v>
      </c>
      <c r="C226" s="26">
        <v>0.71875</v>
      </c>
      <c r="D226" s="26" t="s">
        <v>80</v>
      </c>
      <c r="E226" s="26" t="s">
        <v>71</v>
      </c>
      <c r="F226" s="26" t="s">
        <v>533</v>
      </c>
      <c r="G226" s="328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9"/>
    </row>
    <row r="227" spans="1:18" ht="15" customHeight="1" x14ac:dyDescent="0.3">
      <c r="A227" s="10" t="s">
        <v>78</v>
      </c>
      <c r="B227" s="10" t="s">
        <v>470</v>
      </c>
      <c r="C227" s="10">
        <v>0.71875</v>
      </c>
      <c r="D227" s="10" t="s">
        <v>83</v>
      </c>
      <c r="E227" s="10" t="s">
        <v>95</v>
      </c>
      <c r="F227" s="10" t="s">
        <v>534</v>
      </c>
      <c r="G227" s="328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9"/>
    </row>
    <row r="228" spans="1:18" ht="15" customHeight="1" x14ac:dyDescent="0.3">
      <c r="A228" s="26" t="s">
        <v>78</v>
      </c>
      <c r="B228" s="26" t="s">
        <v>475</v>
      </c>
      <c r="C228" s="26">
        <v>0.30208333333333331</v>
      </c>
      <c r="D228" s="26" t="s">
        <v>83</v>
      </c>
      <c r="E228" s="26" t="s">
        <v>87</v>
      </c>
      <c r="F228" s="26" t="s">
        <v>535</v>
      </c>
      <c r="G228" s="328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9"/>
    </row>
    <row r="229" spans="1:18" ht="15" customHeight="1" x14ac:dyDescent="0.3">
      <c r="A229" s="26" t="s">
        <v>78</v>
      </c>
      <c r="B229" s="26" t="s">
        <v>476</v>
      </c>
      <c r="C229" s="26">
        <v>0.12847222222222221</v>
      </c>
      <c r="D229" s="26" t="s">
        <v>83</v>
      </c>
      <c r="E229" s="26" t="s">
        <v>87</v>
      </c>
      <c r="F229" s="26" t="s">
        <v>535</v>
      </c>
      <c r="G229" s="328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9"/>
    </row>
    <row r="230" spans="1:18" ht="15" customHeight="1" x14ac:dyDescent="0.3">
      <c r="A230" s="26" t="s">
        <v>78</v>
      </c>
      <c r="B230" s="26" t="s">
        <v>468</v>
      </c>
      <c r="C230" s="26">
        <v>0.93055555555555547</v>
      </c>
      <c r="D230" s="26" t="s">
        <v>80</v>
      </c>
      <c r="E230" s="26" t="s">
        <v>71</v>
      </c>
      <c r="F230" s="26" t="s">
        <v>511</v>
      </c>
      <c r="G230" s="328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9"/>
    </row>
    <row r="231" spans="1:18" ht="15" customHeight="1" x14ac:dyDescent="0.3">
      <c r="A231" s="10" t="s">
        <v>78</v>
      </c>
      <c r="B231" s="10" t="s">
        <v>468</v>
      </c>
      <c r="C231" s="10">
        <v>0.93055555555555547</v>
      </c>
      <c r="D231" s="10" t="s">
        <v>83</v>
      </c>
      <c r="E231" s="10" t="s">
        <v>95</v>
      </c>
      <c r="F231" s="10" t="s">
        <v>512</v>
      </c>
      <c r="G231" s="328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9"/>
    </row>
    <row r="232" spans="1:18" ht="15" customHeight="1" x14ac:dyDescent="0.3">
      <c r="A232" s="26" t="s">
        <v>78</v>
      </c>
      <c r="B232" s="26" t="s">
        <v>473</v>
      </c>
      <c r="C232" s="26">
        <v>0.88888888888888884</v>
      </c>
      <c r="D232" s="26" t="s">
        <v>83</v>
      </c>
      <c r="E232" s="26" t="s">
        <v>87</v>
      </c>
      <c r="F232" s="26" t="s">
        <v>474</v>
      </c>
      <c r="G232" s="328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9"/>
    </row>
    <row r="233" spans="1:18" ht="15" customHeight="1" x14ac:dyDescent="0.3">
      <c r="A233" s="26" t="s">
        <v>78</v>
      </c>
      <c r="B233" s="26" t="s">
        <v>480</v>
      </c>
      <c r="C233" s="26">
        <v>0.78819444444444453</v>
      </c>
      <c r="D233" s="26" t="s">
        <v>83</v>
      </c>
      <c r="E233" s="26" t="s">
        <v>87</v>
      </c>
      <c r="F233" s="26" t="s">
        <v>474</v>
      </c>
      <c r="G233" s="328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9"/>
    </row>
    <row r="234" spans="1:18" ht="15" customHeight="1" x14ac:dyDescent="0.3">
      <c r="A234" s="26" t="s">
        <v>78</v>
      </c>
      <c r="B234" s="26" t="s">
        <v>477</v>
      </c>
      <c r="C234" s="26">
        <v>0.82986111111111116</v>
      </c>
      <c r="D234" s="26" t="s">
        <v>80</v>
      </c>
      <c r="E234" s="26" t="s">
        <v>71</v>
      </c>
      <c r="F234" s="26" t="s">
        <v>536</v>
      </c>
      <c r="G234" s="328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9"/>
    </row>
    <row r="235" spans="1:18" ht="15" customHeight="1" x14ac:dyDescent="0.3">
      <c r="A235" s="27" t="s">
        <v>78</v>
      </c>
      <c r="B235" s="27" t="s">
        <v>477</v>
      </c>
      <c r="C235" s="27">
        <v>0.82986111111111116</v>
      </c>
      <c r="D235" s="27" t="s">
        <v>83</v>
      </c>
      <c r="E235" s="27" t="s">
        <v>95</v>
      </c>
      <c r="F235" s="27" t="s">
        <v>537</v>
      </c>
      <c r="G235" s="328"/>
      <c r="H235" s="28"/>
      <c r="I235" s="29"/>
      <c r="J235" s="29"/>
      <c r="K235" s="29"/>
      <c r="L235" s="29"/>
      <c r="M235" s="29"/>
      <c r="N235" s="29"/>
      <c r="O235" s="29"/>
      <c r="P235" s="29"/>
      <c r="Q235" s="29"/>
      <c r="R235" s="30"/>
    </row>
    <row r="236" spans="1:18" ht="17.399999999999999" customHeight="1" x14ac:dyDescent="0.3">
      <c r="A236" s="360"/>
      <c r="B236" s="361"/>
      <c r="C236" s="361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1"/>
      <c r="P236" s="361"/>
      <c r="Q236" s="361"/>
      <c r="R236" s="362"/>
    </row>
    <row r="237" spans="1:18" ht="22.05" customHeight="1" x14ac:dyDescent="0.3">
      <c r="A237" s="323" t="s">
        <v>6</v>
      </c>
      <c r="B237" s="324"/>
      <c r="C237" s="324"/>
      <c r="D237" s="324"/>
      <c r="E237" s="324"/>
      <c r="F237" s="324"/>
      <c r="G237" s="2">
        <v>45989</v>
      </c>
      <c r="H237" s="323" t="s">
        <v>7</v>
      </c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</row>
    <row r="238" spans="1:18" ht="24" customHeight="1" x14ac:dyDescent="0.3">
      <c r="A238" s="3" t="s">
        <v>8</v>
      </c>
      <c r="B238" s="3" t="s">
        <v>9</v>
      </c>
      <c r="C238" s="3" t="s">
        <v>10</v>
      </c>
      <c r="D238" s="3" t="s">
        <v>11</v>
      </c>
      <c r="E238" s="3" t="s">
        <v>12</v>
      </c>
      <c r="F238" s="4" t="s">
        <v>13</v>
      </c>
      <c r="G238" s="5" t="s">
        <v>14</v>
      </c>
      <c r="H238" s="3" t="s">
        <v>15</v>
      </c>
      <c r="I238" s="3" t="s">
        <v>16</v>
      </c>
      <c r="J238" s="3" t="s">
        <v>17</v>
      </c>
      <c r="K238" s="3" t="s">
        <v>18</v>
      </c>
      <c r="L238" s="3" t="s">
        <v>19</v>
      </c>
      <c r="M238" s="3" t="s">
        <v>20</v>
      </c>
      <c r="N238" s="3" t="s">
        <v>21</v>
      </c>
      <c r="O238" s="3" t="s">
        <v>22</v>
      </c>
      <c r="P238" s="3" t="s">
        <v>23</v>
      </c>
      <c r="Q238" s="3" t="s">
        <v>24</v>
      </c>
      <c r="R238" s="3" t="s">
        <v>25</v>
      </c>
    </row>
    <row r="239" spans="1:18" ht="15" customHeight="1" x14ac:dyDescent="0.3">
      <c r="A239" s="149" t="s">
        <v>44</v>
      </c>
      <c r="B239" s="149" t="s">
        <v>520</v>
      </c>
      <c r="C239" s="149">
        <v>0.61458333333333337</v>
      </c>
      <c r="D239" s="149" t="s">
        <v>46</v>
      </c>
      <c r="E239" s="149" t="s">
        <v>47</v>
      </c>
      <c r="F239" s="149" t="s">
        <v>374</v>
      </c>
      <c r="G239" s="328"/>
      <c r="H239" s="19" t="s">
        <v>432</v>
      </c>
      <c r="I239" s="201">
        <v>0.65359999999999996</v>
      </c>
      <c r="J239" s="21">
        <v>117</v>
      </c>
      <c r="K239" s="22" t="s">
        <v>175</v>
      </c>
      <c r="L239" s="21">
        <v>29</v>
      </c>
      <c r="M239" s="21">
        <v>1</v>
      </c>
      <c r="N239" s="21">
        <v>9</v>
      </c>
      <c r="O239" s="22" t="s">
        <v>353</v>
      </c>
      <c r="P239" s="22">
        <v>0.61458333333333337</v>
      </c>
      <c r="Q239" s="21">
        <v>179</v>
      </c>
      <c r="R239" s="23" t="s">
        <v>538</v>
      </c>
    </row>
    <row r="240" spans="1:18" ht="15" customHeight="1" x14ac:dyDescent="0.3">
      <c r="A240" s="202" t="s">
        <v>44</v>
      </c>
      <c r="B240" s="202" t="s">
        <v>425</v>
      </c>
      <c r="C240" s="202">
        <v>0.45833333333333331</v>
      </c>
      <c r="D240" s="202" t="s">
        <v>46</v>
      </c>
      <c r="E240" s="202" t="s">
        <v>71</v>
      </c>
      <c r="F240" s="202" t="s">
        <v>374</v>
      </c>
      <c r="G240" s="328"/>
      <c r="H240" s="52" t="s">
        <v>427</v>
      </c>
      <c r="I240" s="203">
        <v>0.3911</v>
      </c>
      <c r="J240" s="54">
        <v>70</v>
      </c>
      <c r="K240" s="55" t="s">
        <v>175</v>
      </c>
      <c r="L240" s="54">
        <v>21</v>
      </c>
      <c r="M240" s="54">
        <v>5</v>
      </c>
      <c r="N240" s="54">
        <v>4</v>
      </c>
      <c r="O240" s="55" t="s">
        <v>353</v>
      </c>
      <c r="P240" s="55">
        <v>0.45833333333333331</v>
      </c>
      <c r="Q240" s="54">
        <v>179</v>
      </c>
      <c r="R240" s="56" t="s">
        <v>539</v>
      </c>
    </row>
    <row r="241" spans="1:18" ht="15" customHeight="1" x14ac:dyDescent="0.3">
      <c r="A241" s="81" t="s">
        <v>44</v>
      </c>
      <c r="B241" s="81" t="s">
        <v>415</v>
      </c>
      <c r="C241" s="81">
        <v>0.31944444444444448</v>
      </c>
      <c r="D241" s="81" t="s">
        <v>46</v>
      </c>
      <c r="E241" s="81" t="s">
        <v>71</v>
      </c>
      <c r="F241" s="81" t="s">
        <v>374</v>
      </c>
      <c r="G241" s="328"/>
      <c r="H241" s="82" t="s">
        <v>417</v>
      </c>
      <c r="I241" s="204">
        <v>0.26819999999999999</v>
      </c>
      <c r="J241" s="84">
        <v>48</v>
      </c>
      <c r="K241" s="85" t="s">
        <v>50</v>
      </c>
      <c r="L241" s="84">
        <v>38</v>
      </c>
      <c r="M241" s="84">
        <v>0</v>
      </c>
      <c r="N241" s="84">
        <v>2</v>
      </c>
      <c r="O241" s="85" t="s">
        <v>353</v>
      </c>
      <c r="P241" s="85">
        <v>0.31944444444444448</v>
      </c>
      <c r="Q241" s="84">
        <v>179</v>
      </c>
      <c r="R241" s="86" t="s">
        <v>540</v>
      </c>
    </row>
    <row r="242" spans="1:18" ht="15" customHeight="1" x14ac:dyDescent="0.3">
      <c r="A242" s="202" t="s">
        <v>44</v>
      </c>
      <c r="B242" s="202" t="s">
        <v>422</v>
      </c>
      <c r="C242" s="202">
        <v>0.1145833333333333</v>
      </c>
      <c r="D242" s="202" t="s">
        <v>46</v>
      </c>
      <c r="E242" s="202" t="s">
        <v>71</v>
      </c>
      <c r="F242" s="202" t="s">
        <v>374</v>
      </c>
      <c r="G242" s="328"/>
      <c r="H242" s="52" t="s">
        <v>423</v>
      </c>
      <c r="I242" s="203">
        <v>0.25140000000000001</v>
      </c>
      <c r="J242" s="54">
        <v>45</v>
      </c>
      <c r="K242" s="55" t="s">
        <v>50</v>
      </c>
      <c r="L242" s="54">
        <v>26</v>
      </c>
      <c r="M242" s="54">
        <v>0</v>
      </c>
      <c r="N242" s="54">
        <v>4</v>
      </c>
      <c r="O242" s="55" t="s">
        <v>353</v>
      </c>
      <c r="P242" s="55">
        <v>0.1145833333333333</v>
      </c>
      <c r="Q242" s="54">
        <v>179</v>
      </c>
      <c r="R242" s="56" t="s">
        <v>541</v>
      </c>
    </row>
    <row r="243" spans="1:18" ht="15" customHeight="1" x14ac:dyDescent="0.3">
      <c r="A243" s="57" t="s">
        <v>44</v>
      </c>
      <c r="B243" s="57" t="s">
        <v>419</v>
      </c>
      <c r="C243" s="57">
        <v>0.73611111111111116</v>
      </c>
      <c r="D243" s="57" t="s">
        <v>46</v>
      </c>
      <c r="E243" s="57" t="s">
        <v>71</v>
      </c>
      <c r="F243" s="57" t="s">
        <v>416</v>
      </c>
      <c r="G243" s="328"/>
      <c r="H243" s="58" t="s">
        <v>420</v>
      </c>
      <c r="I243" s="205">
        <v>0.44690000000000002</v>
      </c>
      <c r="J243" s="60">
        <v>80</v>
      </c>
      <c r="K243" s="61" t="s">
        <v>175</v>
      </c>
      <c r="L243" s="60">
        <v>43</v>
      </c>
      <c r="M243" s="60">
        <v>15</v>
      </c>
      <c r="N243" s="60">
        <v>7</v>
      </c>
      <c r="O243" s="61" t="s">
        <v>237</v>
      </c>
      <c r="P243" s="61">
        <v>0.73611111111111116</v>
      </c>
      <c r="Q243" s="60">
        <v>179</v>
      </c>
      <c r="R243" s="62" t="s">
        <v>542</v>
      </c>
    </row>
    <row r="244" spans="1:18" ht="15" customHeight="1" x14ac:dyDescent="0.3">
      <c r="A244" s="18" t="s">
        <v>44</v>
      </c>
      <c r="B244" s="18" t="s">
        <v>429</v>
      </c>
      <c r="C244" s="18">
        <v>0.9375</v>
      </c>
      <c r="D244" s="18" t="s">
        <v>46</v>
      </c>
      <c r="E244" s="18" t="s">
        <v>90</v>
      </c>
      <c r="F244" s="18" t="s">
        <v>426</v>
      </c>
      <c r="G244" s="328"/>
      <c r="H244" s="19" t="s">
        <v>430</v>
      </c>
      <c r="I244" s="20">
        <v>0.92179999999999995</v>
      </c>
      <c r="J244" s="21">
        <v>165</v>
      </c>
      <c r="K244" s="22" t="s">
        <v>63</v>
      </c>
      <c r="L244" s="21">
        <v>17</v>
      </c>
      <c r="M244" s="21">
        <v>0</v>
      </c>
      <c r="N244" s="21">
        <v>0</v>
      </c>
      <c r="O244" s="22" t="s">
        <v>543</v>
      </c>
      <c r="P244" s="22">
        <v>0.9375</v>
      </c>
      <c r="Q244" s="21">
        <v>179</v>
      </c>
      <c r="R244" s="23" t="s">
        <v>544</v>
      </c>
    </row>
    <row r="245" spans="1:18" ht="15" customHeight="1" x14ac:dyDescent="0.3">
      <c r="A245" s="11" t="s">
        <v>410</v>
      </c>
      <c r="B245" s="11" t="s">
        <v>413</v>
      </c>
      <c r="C245" s="11">
        <v>0.66666666666666663</v>
      </c>
      <c r="D245" s="11" t="s">
        <v>406</v>
      </c>
      <c r="E245" s="11" t="s">
        <v>121</v>
      </c>
      <c r="F245" s="11" t="s">
        <v>374</v>
      </c>
      <c r="G245" s="328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9"/>
    </row>
    <row r="246" spans="1:18" ht="15" customHeight="1" x14ac:dyDescent="0.3">
      <c r="A246" s="11" t="s">
        <v>78</v>
      </c>
      <c r="B246" s="11" t="s">
        <v>467</v>
      </c>
      <c r="C246" s="11">
        <v>0.1423611111111111</v>
      </c>
      <c r="D246" s="11" t="s">
        <v>80</v>
      </c>
      <c r="E246" s="11" t="s">
        <v>47</v>
      </c>
      <c r="F246" s="11" t="s">
        <v>462</v>
      </c>
      <c r="G246" s="328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9"/>
    </row>
    <row r="247" spans="1:18" ht="15" customHeight="1" x14ac:dyDescent="0.3">
      <c r="A247" s="10" t="s">
        <v>78</v>
      </c>
      <c r="B247" s="10" t="s">
        <v>467</v>
      </c>
      <c r="C247" s="10">
        <v>0.1423611111111111</v>
      </c>
      <c r="D247" s="10" t="s">
        <v>83</v>
      </c>
      <c r="E247" s="10" t="s">
        <v>95</v>
      </c>
      <c r="F247" s="10" t="s">
        <v>463</v>
      </c>
      <c r="G247" s="328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9"/>
    </row>
    <row r="248" spans="1:18" ht="15" customHeight="1" x14ac:dyDescent="0.3">
      <c r="A248" s="26" t="s">
        <v>78</v>
      </c>
      <c r="B248" s="26" t="s">
        <v>470</v>
      </c>
      <c r="C248" s="26">
        <v>0.71875</v>
      </c>
      <c r="D248" s="26" t="s">
        <v>80</v>
      </c>
      <c r="E248" s="26" t="s">
        <v>114</v>
      </c>
      <c r="F248" s="26" t="s">
        <v>462</v>
      </c>
      <c r="G248" s="328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9"/>
    </row>
    <row r="249" spans="1:18" ht="15" customHeight="1" x14ac:dyDescent="0.3">
      <c r="A249" s="10" t="s">
        <v>78</v>
      </c>
      <c r="B249" s="10" t="s">
        <v>470</v>
      </c>
      <c r="C249" s="10">
        <v>0.71875</v>
      </c>
      <c r="D249" s="10" t="s">
        <v>83</v>
      </c>
      <c r="E249" s="10" t="s">
        <v>115</v>
      </c>
      <c r="F249" s="10" t="s">
        <v>463</v>
      </c>
      <c r="G249" s="328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9"/>
    </row>
    <row r="250" spans="1:18" ht="15" customHeight="1" x14ac:dyDescent="0.3">
      <c r="A250" s="26" t="s">
        <v>78</v>
      </c>
      <c r="B250" s="26" t="s">
        <v>469</v>
      </c>
      <c r="C250" s="26">
        <v>0.37847222222222232</v>
      </c>
      <c r="D250" s="26" t="s">
        <v>80</v>
      </c>
      <c r="E250" s="26" t="s">
        <v>71</v>
      </c>
      <c r="F250" s="26" t="s">
        <v>462</v>
      </c>
      <c r="G250" s="328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9"/>
    </row>
    <row r="251" spans="1:18" ht="15" customHeight="1" x14ac:dyDescent="0.3">
      <c r="A251" s="10" t="s">
        <v>78</v>
      </c>
      <c r="B251" s="10" t="s">
        <v>469</v>
      </c>
      <c r="C251" s="10">
        <v>0.37847222222222232</v>
      </c>
      <c r="D251" s="10" t="s">
        <v>83</v>
      </c>
      <c r="E251" s="10" t="s">
        <v>95</v>
      </c>
      <c r="F251" s="10" t="s">
        <v>463</v>
      </c>
      <c r="G251" s="328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9"/>
    </row>
    <row r="252" spans="1:18" ht="15" customHeight="1" x14ac:dyDescent="0.3">
      <c r="A252" s="26" t="s">
        <v>78</v>
      </c>
      <c r="B252" s="26" t="s">
        <v>482</v>
      </c>
      <c r="C252" s="26">
        <v>0.61111111111111105</v>
      </c>
      <c r="D252" s="26" t="s">
        <v>80</v>
      </c>
      <c r="E252" s="26" t="s">
        <v>71</v>
      </c>
      <c r="F252" s="26" t="s">
        <v>462</v>
      </c>
      <c r="G252" s="328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9"/>
    </row>
    <row r="253" spans="1:18" ht="15" customHeight="1" x14ac:dyDescent="0.3">
      <c r="A253" s="10" t="s">
        <v>78</v>
      </c>
      <c r="B253" s="10" t="s">
        <v>482</v>
      </c>
      <c r="C253" s="10">
        <v>0.61111111111111105</v>
      </c>
      <c r="D253" s="10" t="s">
        <v>83</v>
      </c>
      <c r="E253" s="10" t="s">
        <v>95</v>
      </c>
      <c r="F253" s="10" t="s">
        <v>463</v>
      </c>
      <c r="G253" s="328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9"/>
    </row>
    <row r="254" spans="1:18" ht="15" customHeight="1" x14ac:dyDescent="0.3">
      <c r="A254" s="26" t="s">
        <v>78</v>
      </c>
      <c r="B254" s="26" t="s">
        <v>461</v>
      </c>
      <c r="C254" s="26">
        <v>0.23958333333333329</v>
      </c>
      <c r="D254" s="26" t="s">
        <v>80</v>
      </c>
      <c r="E254" s="26" t="s">
        <v>71</v>
      </c>
      <c r="F254" s="26" t="s">
        <v>462</v>
      </c>
      <c r="G254" s="328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9"/>
    </row>
    <row r="255" spans="1:18" ht="15" customHeight="1" x14ac:dyDescent="0.3">
      <c r="A255" s="10" t="s">
        <v>78</v>
      </c>
      <c r="B255" s="10" t="s">
        <v>461</v>
      </c>
      <c r="C255" s="10">
        <v>0.23958333333333329</v>
      </c>
      <c r="D255" s="10" t="s">
        <v>83</v>
      </c>
      <c r="E255" s="10" t="s">
        <v>95</v>
      </c>
      <c r="F255" s="10" t="s">
        <v>463</v>
      </c>
      <c r="G255" s="328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9"/>
    </row>
    <row r="256" spans="1:18" ht="15" customHeight="1" x14ac:dyDescent="0.3">
      <c r="A256" s="26" t="s">
        <v>78</v>
      </c>
      <c r="B256" s="26" t="s">
        <v>464</v>
      </c>
      <c r="C256" s="26">
        <v>6.9444444444444441E-3</v>
      </c>
      <c r="D256" s="26" t="s">
        <v>80</v>
      </c>
      <c r="E256" s="26" t="s">
        <v>71</v>
      </c>
      <c r="F256" s="26" t="s">
        <v>465</v>
      </c>
      <c r="G256" s="328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9"/>
    </row>
    <row r="257" spans="1:18" ht="15" customHeight="1" x14ac:dyDescent="0.3">
      <c r="A257" s="10" t="s">
        <v>78</v>
      </c>
      <c r="B257" s="10" t="s">
        <v>464</v>
      </c>
      <c r="C257" s="10">
        <v>6.9444444444444441E-3</v>
      </c>
      <c r="D257" s="10" t="s">
        <v>83</v>
      </c>
      <c r="E257" s="10" t="s">
        <v>95</v>
      </c>
      <c r="F257" s="10" t="s">
        <v>466</v>
      </c>
      <c r="G257" s="328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9"/>
    </row>
    <row r="258" spans="1:18" ht="15" customHeight="1" x14ac:dyDescent="0.3">
      <c r="A258" s="26" t="s">
        <v>78</v>
      </c>
      <c r="B258" s="26" t="s">
        <v>468</v>
      </c>
      <c r="C258" s="26">
        <v>0.93055555555555547</v>
      </c>
      <c r="D258" s="26" t="s">
        <v>80</v>
      </c>
      <c r="E258" s="26" t="s">
        <v>71</v>
      </c>
      <c r="F258" s="26" t="s">
        <v>465</v>
      </c>
      <c r="G258" s="328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9"/>
    </row>
    <row r="259" spans="1:18" ht="15" customHeight="1" x14ac:dyDescent="0.3">
      <c r="A259" s="10" t="s">
        <v>78</v>
      </c>
      <c r="B259" s="10" t="s">
        <v>468</v>
      </c>
      <c r="C259" s="10">
        <v>0.93055555555555547</v>
      </c>
      <c r="D259" s="10" t="s">
        <v>83</v>
      </c>
      <c r="E259" s="10" t="s">
        <v>95</v>
      </c>
      <c r="F259" s="10" t="s">
        <v>466</v>
      </c>
      <c r="G259" s="328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9"/>
    </row>
    <row r="260" spans="1:18" ht="15" customHeight="1" x14ac:dyDescent="0.3">
      <c r="A260" s="26" t="s">
        <v>78</v>
      </c>
      <c r="B260" s="26" t="s">
        <v>477</v>
      </c>
      <c r="C260" s="26">
        <v>0.82986111111111116</v>
      </c>
      <c r="D260" s="26" t="s">
        <v>80</v>
      </c>
      <c r="E260" s="26" t="s">
        <v>71</v>
      </c>
      <c r="F260" s="26" t="s">
        <v>465</v>
      </c>
      <c r="G260" s="328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9"/>
    </row>
    <row r="261" spans="1:18" ht="15" customHeight="1" x14ac:dyDescent="0.3">
      <c r="A261" s="10" t="s">
        <v>78</v>
      </c>
      <c r="B261" s="10" t="s">
        <v>477</v>
      </c>
      <c r="C261" s="10">
        <v>0.82986111111111116</v>
      </c>
      <c r="D261" s="10" t="s">
        <v>83</v>
      </c>
      <c r="E261" s="10" t="s">
        <v>95</v>
      </c>
      <c r="F261" s="10" t="s">
        <v>466</v>
      </c>
      <c r="G261" s="328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9"/>
    </row>
    <row r="262" spans="1:18" ht="15" customHeight="1" x14ac:dyDescent="0.3">
      <c r="A262" s="26" t="s">
        <v>78</v>
      </c>
      <c r="B262" s="26" t="s">
        <v>473</v>
      </c>
      <c r="C262" s="26">
        <v>0.88888888888888884</v>
      </c>
      <c r="D262" s="26" t="s">
        <v>83</v>
      </c>
      <c r="E262" s="26" t="s">
        <v>87</v>
      </c>
      <c r="F262" s="26" t="s">
        <v>474</v>
      </c>
      <c r="G262" s="328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9"/>
    </row>
    <row r="263" spans="1:18" ht="15" customHeight="1" x14ac:dyDescent="0.3">
      <c r="A263" s="26" t="s">
        <v>78</v>
      </c>
      <c r="B263" s="26" t="s">
        <v>475</v>
      </c>
      <c r="C263" s="26">
        <v>0.30208333333333331</v>
      </c>
      <c r="D263" s="26" t="s">
        <v>83</v>
      </c>
      <c r="E263" s="26" t="s">
        <v>87</v>
      </c>
      <c r="F263" s="26" t="s">
        <v>474</v>
      </c>
      <c r="G263" s="328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9"/>
    </row>
    <row r="264" spans="1:18" ht="15" customHeight="1" x14ac:dyDescent="0.3">
      <c r="A264" s="26" t="s">
        <v>78</v>
      </c>
      <c r="B264" s="26" t="s">
        <v>476</v>
      </c>
      <c r="C264" s="26">
        <v>0.12847222222222221</v>
      </c>
      <c r="D264" s="26" t="s">
        <v>83</v>
      </c>
      <c r="E264" s="26" t="s">
        <v>87</v>
      </c>
      <c r="F264" s="26" t="s">
        <v>474</v>
      </c>
      <c r="G264" s="328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9"/>
    </row>
    <row r="265" spans="1:18" ht="15" customHeight="1" x14ac:dyDescent="0.3">
      <c r="A265" s="26" t="s">
        <v>78</v>
      </c>
      <c r="B265" s="26" t="s">
        <v>480</v>
      </c>
      <c r="C265" s="26">
        <v>0.78819444444444453</v>
      </c>
      <c r="D265" s="26" t="s">
        <v>83</v>
      </c>
      <c r="E265" s="26" t="s">
        <v>87</v>
      </c>
      <c r="F265" s="26" t="s">
        <v>474</v>
      </c>
      <c r="G265" s="328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9"/>
    </row>
    <row r="266" spans="1:18" ht="15" customHeight="1" x14ac:dyDescent="0.3">
      <c r="A266" s="11" t="s">
        <v>66</v>
      </c>
      <c r="B266" s="11" t="s">
        <v>488</v>
      </c>
      <c r="C266" s="11">
        <v>0.22916666666666671</v>
      </c>
      <c r="D266" s="11" t="s">
        <v>68</v>
      </c>
      <c r="E266" s="11" t="s">
        <v>47</v>
      </c>
      <c r="F266" s="11" t="s">
        <v>507</v>
      </c>
      <c r="G266" s="328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9"/>
    </row>
    <row r="267" spans="1:18" ht="15" customHeight="1" x14ac:dyDescent="0.3">
      <c r="A267" s="26" t="s">
        <v>66</v>
      </c>
      <c r="B267" s="26" t="s">
        <v>509</v>
      </c>
      <c r="C267" s="26">
        <v>1.388888888888889E-2</v>
      </c>
      <c r="D267" s="26" t="s">
        <v>68</v>
      </c>
      <c r="E267" s="26" t="s">
        <v>71</v>
      </c>
      <c r="F267" s="26" t="s">
        <v>507</v>
      </c>
      <c r="G267" s="328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9"/>
    </row>
    <row r="268" spans="1:18" ht="15" customHeight="1" x14ac:dyDescent="0.3">
      <c r="A268" s="26" t="s">
        <v>66</v>
      </c>
      <c r="B268" s="26" t="s">
        <v>505</v>
      </c>
      <c r="C268" s="26">
        <v>0.14583333333333329</v>
      </c>
      <c r="D268" s="26" t="s">
        <v>68</v>
      </c>
      <c r="E268" s="26" t="s">
        <v>71</v>
      </c>
      <c r="F268" s="26" t="s">
        <v>507</v>
      </c>
      <c r="G268" s="328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9"/>
    </row>
    <row r="269" spans="1:18" ht="15" customHeight="1" x14ac:dyDescent="0.3">
      <c r="A269" s="26" t="s">
        <v>66</v>
      </c>
      <c r="B269" s="26" t="s">
        <v>490</v>
      </c>
      <c r="C269" s="26">
        <v>0.27777777777777779</v>
      </c>
      <c r="D269" s="26" t="s">
        <v>68</v>
      </c>
      <c r="E269" s="26" t="s">
        <v>71</v>
      </c>
      <c r="F269" s="26" t="s">
        <v>486</v>
      </c>
      <c r="G269" s="328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9"/>
    </row>
    <row r="270" spans="1:18" ht="15" customHeight="1" x14ac:dyDescent="0.3">
      <c r="A270" s="26" t="s">
        <v>66</v>
      </c>
      <c r="B270" s="26" t="s">
        <v>492</v>
      </c>
      <c r="C270" s="26">
        <v>0.77083333333333337</v>
      </c>
      <c r="D270" s="26" t="s">
        <v>68</v>
      </c>
      <c r="E270" s="26" t="s">
        <v>71</v>
      </c>
      <c r="F270" s="26" t="s">
        <v>510</v>
      </c>
      <c r="G270" s="328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9"/>
    </row>
    <row r="271" spans="1:18" ht="15" customHeight="1" x14ac:dyDescent="0.3">
      <c r="A271" s="26" t="s">
        <v>66</v>
      </c>
      <c r="B271" s="26" t="s">
        <v>485</v>
      </c>
      <c r="C271" s="26">
        <v>0.47222222222222232</v>
      </c>
      <c r="D271" s="26" t="s">
        <v>68</v>
      </c>
      <c r="E271" s="26" t="s">
        <v>71</v>
      </c>
      <c r="F271" s="26" t="s">
        <v>510</v>
      </c>
      <c r="G271" s="328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9"/>
    </row>
    <row r="272" spans="1:18" ht="15" customHeight="1" x14ac:dyDescent="0.3">
      <c r="A272" s="31" t="s">
        <v>66</v>
      </c>
      <c r="B272" s="31" t="s">
        <v>508</v>
      </c>
      <c r="C272" s="31">
        <v>0.95833333333333337</v>
      </c>
      <c r="D272" s="31" t="s">
        <v>68</v>
      </c>
      <c r="E272" s="31" t="s">
        <v>71</v>
      </c>
      <c r="F272" s="31" t="s">
        <v>491</v>
      </c>
      <c r="G272" s="328"/>
      <c r="H272" s="28"/>
      <c r="I272" s="29"/>
      <c r="J272" s="29"/>
      <c r="K272" s="29"/>
      <c r="L272" s="29"/>
      <c r="M272" s="29"/>
      <c r="N272" s="29"/>
      <c r="O272" s="29"/>
      <c r="P272" s="29"/>
      <c r="Q272" s="29"/>
      <c r="R272" s="30"/>
    </row>
    <row r="273" spans="1:18" ht="17.399999999999999" customHeight="1" x14ac:dyDescent="0.3">
      <c r="A273" s="360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2"/>
    </row>
    <row r="274" spans="1:18" ht="22.05" customHeight="1" x14ac:dyDescent="0.3">
      <c r="A274" s="323" t="s">
        <v>6</v>
      </c>
      <c r="B274" s="324"/>
      <c r="C274" s="324"/>
      <c r="D274" s="324"/>
      <c r="E274" s="324"/>
      <c r="F274" s="324"/>
      <c r="G274" s="2">
        <v>45990</v>
      </c>
      <c r="H274" s="323" t="s">
        <v>7</v>
      </c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</row>
    <row r="275" spans="1:18" ht="24" customHeight="1" x14ac:dyDescent="0.3">
      <c r="A275" s="3" t="s">
        <v>8</v>
      </c>
      <c r="B275" s="3" t="s">
        <v>9</v>
      </c>
      <c r="C275" s="3" t="s">
        <v>10</v>
      </c>
      <c r="D275" s="3" t="s">
        <v>11</v>
      </c>
      <c r="E275" s="3" t="s">
        <v>12</v>
      </c>
      <c r="F275" s="4" t="s">
        <v>13</v>
      </c>
      <c r="G275" s="5" t="s">
        <v>14</v>
      </c>
      <c r="H275" s="3" t="s">
        <v>15</v>
      </c>
      <c r="I275" s="3" t="s">
        <v>16</v>
      </c>
      <c r="J275" s="3" t="s">
        <v>17</v>
      </c>
      <c r="K275" s="3" t="s">
        <v>18</v>
      </c>
      <c r="L275" s="3" t="s">
        <v>19</v>
      </c>
      <c r="M275" s="3" t="s">
        <v>20</v>
      </c>
      <c r="N275" s="3" t="s">
        <v>21</v>
      </c>
      <c r="O275" s="3" t="s">
        <v>22</v>
      </c>
      <c r="P275" s="3" t="s">
        <v>23</v>
      </c>
      <c r="Q275" s="3" t="s">
        <v>24</v>
      </c>
      <c r="R275" s="3" t="s">
        <v>25</v>
      </c>
    </row>
    <row r="276" spans="1:18" ht="15" customHeight="1" x14ac:dyDescent="0.3">
      <c r="A276" s="6" t="s">
        <v>26</v>
      </c>
      <c r="B276" s="6" t="s">
        <v>451</v>
      </c>
      <c r="C276" s="6">
        <v>0.12847222222222221</v>
      </c>
      <c r="D276" s="6" t="s">
        <v>28</v>
      </c>
      <c r="E276" s="6" t="s">
        <v>29</v>
      </c>
      <c r="F276" s="6" t="s">
        <v>515</v>
      </c>
      <c r="G276" s="328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9"/>
    </row>
    <row r="277" spans="1:18" ht="15" customHeight="1" x14ac:dyDescent="0.3">
      <c r="A277" s="10" t="s">
        <v>26</v>
      </c>
      <c r="B277" s="10" t="s">
        <v>451</v>
      </c>
      <c r="C277" s="10">
        <v>0.12847222222222221</v>
      </c>
      <c r="D277" s="10" t="s">
        <v>31</v>
      </c>
      <c r="E277" s="10" t="s">
        <v>32</v>
      </c>
      <c r="F277" s="10" t="s">
        <v>516</v>
      </c>
      <c r="G277" s="328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9"/>
    </row>
    <row r="278" spans="1:18" ht="15" customHeight="1" x14ac:dyDescent="0.3">
      <c r="A278" s="10" t="s">
        <v>26</v>
      </c>
      <c r="B278" s="10" t="s">
        <v>451</v>
      </c>
      <c r="C278" s="10">
        <v>0.12847222222222221</v>
      </c>
      <c r="D278" s="10" t="s">
        <v>34</v>
      </c>
      <c r="E278" s="10" t="s">
        <v>32</v>
      </c>
      <c r="F278" s="10" t="s">
        <v>35</v>
      </c>
      <c r="G278" s="328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9"/>
    </row>
    <row r="279" spans="1:18" ht="15" customHeight="1" x14ac:dyDescent="0.3">
      <c r="A279" s="26" t="s">
        <v>26</v>
      </c>
      <c r="B279" s="26" t="s">
        <v>453</v>
      </c>
      <c r="C279" s="26">
        <v>0.30208333333333331</v>
      </c>
      <c r="D279" s="26" t="s">
        <v>28</v>
      </c>
      <c r="E279" s="26" t="s">
        <v>74</v>
      </c>
      <c r="F279" s="26" t="s">
        <v>498</v>
      </c>
      <c r="G279" s="328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9"/>
    </row>
    <row r="280" spans="1:18" ht="15" customHeight="1" x14ac:dyDescent="0.3">
      <c r="A280" s="10" t="s">
        <v>26</v>
      </c>
      <c r="B280" s="10" t="s">
        <v>453</v>
      </c>
      <c r="C280" s="10">
        <v>0.30208333333333331</v>
      </c>
      <c r="D280" s="10" t="s">
        <v>31</v>
      </c>
      <c r="E280" s="10" t="s">
        <v>122</v>
      </c>
      <c r="F280" s="10" t="s">
        <v>499</v>
      </c>
      <c r="G280" s="328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9"/>
    </row>
    <row r="281" spans="1:18" ht="15" customHeight="1" x14ac:dyDescent="0.3">
      <c r="A281" s="10" t="s">
        <v>26</v>
      </c>
      <c r="B281" s="10" t="s">
        <v>453</v>
      </c>
      <c r="C281" s="10">
        <v>0.30208333333333331</v>
      </c>
      <c r="D281" s="10" t="s">
        <v>34</v>
      </c>
      <c r="E281" s="10" t="s">
        <v>122</v>
      </c>
      <c r="F281" s="10" t="s">
        <v>35</v>
      </c>
      <c r="G281" s="328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9"/>
    </row>
    <row r="282" spans="1:18" ht="15" customHeight="1" x14ac:dyDescent="0.3">
      <c r="A282" s="26" t="s">
        <v>26</v>
      </c>
      <c r="B282" s="26" t="s">
        <v>455</v>
      </c>
      <c r="C282" s="26">
        <v>0.78819444444444453</v>
      </c>
      <c r="D282" s="26" t="s">
        <v>28</v>
      </c>
      <c r="E282" s="26" t="s">
        <v>87</v>
      </c>
      <c r="F282" s="26" t="s">
        <v>452</v>
      </c>
      <c r="G282" s="328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9"/>
    </row>
    <row r="283" spans="1:18" ht="15" customHeight="1" x14ac:dyDescent="0.3">
      <c r="A283" s="10" t="s">
        <v>26</v>
      </c>
      <c r="B283" s="10" t="s">
        <v>455</v>
      </c>
      <c r="C283" s="10">
        <v>0.78819444444444453</v>
      </c>
      <c r="D283" s="10" t="s">
        <v>31</v>
      </c>
      <c r="E283" s="10" t="s">
        <v>32</v>
      </c>
      <c r="F283" s="10" t="s">
        <v>179</v>
      </c>
      <c r="G283" s="328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9"/>
    </row>
    <row r="284" spans="1:18" ht="15" customHeight="1" x14ac:dyDescent="0.3">
      <c r="A284" s="10" t="s">
        <v>26</v>
      </c>
      <c r="B284" s="10" t="s">
        <v>455</v>
      </c>
      <c r="C284" s="10">
        <v>0.78819444444444453</v>
      </c>
      <c r="D284" s="10" t="s">
        <v>34</v>
      </c>
      <c r="E284" s="10" t="s">
        <v>32</v>
      </c>
      <c r="F284" s="10" t="s">
        <v>35</v>
      </c>
      <c r="G284" s="328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9"/>
    </row>
    <row r="285" spans="1:18" ht="15" customHeight="1" x14ac:dyDescent="0.3">
      <c r="A285" s="26" t="s">
        <v>26</v>
      </c>
      <c r="B285" s="26" t="s">
        <v>454</v>
      </c>
      <c r="C285" s="26">
        <v>0.88888888888888884</v>
      </c>
      <c r="D285" s="26" t="s">
        <v>28</v>
      </c>
      <c r="E285" s="26" t="s">
        <v>74</v>
      </c>
      <c r="F285" s="26" t="s">
        <v>545</v>
      </c>
      <c r="G285" s="328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9"/>
    </row>
    <row r="286" spans="1:18" ht="15" customHeight="1" x14ac:dyDescent="0.3">
      <c r="A286" s="10" t="s">
        <v>26</v>
      </c>
      <c r="B286" s="10" t="s">
        <v>454</v>
      </c>
      <c r="C286" s="10">
        <v>0.88888888888888884</v>
      </c>
      <c r="D286" s="10" t="s">
        <v>31</v>
      </c>
      <c r="E286" s="10" t="s">
        <v>122</v>
      </c>
      <c r="F286" s="10" t="s">
        <v>546</v>
      </c>
      <c r="G286" s="328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9"/>
    </row>
    <row r="287" spans="1:18" ht="15" customHeight="1" x14ac:dyDescent="0.3">
      <c r="A287" s="10" t="s">
        <v>26</v>
      </c>
      <c r="B287" s="10" t="s">
        <v>454</v>
      </c>
      <c r="C287" s="10">
        <v>0.88888888888888884</v>
      </c>
      <c r="D287" s="10" t="s">
        <v>34</v>
      </c>
      <c r="E287" s="10" t="s">
        <v>122</v>
      </c>
      <c r="F287" s="10" t="s">
        <v>35</v>
      </c>
      <c r="G287" s="328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9"/>
    </row>
    <row r="288" spans="1:18" ht="15" customHeight="1" x14ac:dyDescent="0.3">
      <c r="A288" s="149" t="s">
        <v>44</v>
      </c>
      <c r="B288" s="149" t="s">
        <v>517</v>
      </c>
      <c r="C288" s="149">
        <v>0.2361111111111111</v>
      </c>
      <c r="D288" s="149" t="s">
        <v>46</v>
      </c>
      <c r="E288" s="149" t="s">
        <v>134</v>
      </c>
      <c r="F288" s="149" t="s">
        <v>374</v>
      </c>
      <c r="G288" s="328"/>
      <c r="H288" s="19" t="s">
        <v>518</v>
      </c>
      <c r="I288" s="201">
        <v>0.71509999999999996</v>
      </c>
      <c r="J288" s="21">
        <v>128</v>
      </c>
      <c r="K288" s="22" t="s">
        <v>175</v>
      </c>
      <c r="L288" s="21">
        <v>87</v>
      </c>
      <c r="M288" s="21">
        <v>1</v>
      </c>
      <c r="N288" s="21">
        <v>14</v>
      </c>
      <c r="O288" s="22" t="s">
        <v>547</v>
      </c>
      <c r="P288" s="22">
        <v>0.2361111111111111</v>
      </c>
      <c r="Q288" s="21">
        <v>179</v>
      </c>
      <c r="R288" s="23" t="s">
        <v>548</v>
      </c>
    </row>
    <row r="289" spans="1:18" ht="15" customHeight="1" x14ac:dyDescent="0.3">
      <c r="A289" s="57" t="s">
        <v>44</v>
      </c>
      <c r="B289" s="57" t="s">
        <v>415</v>
      </c>
      <c r="C289" s="57">
        <v>0.33333333333333331</v>
      </c>
      <c r="D289" s="57" t="s">
        <v>46</v>
      </c>
      <c r="E289" s="57" t="s">
        <v>152</v>
      </c>
      <c r="F289" s="57" t="s">
        <v>374</v>
      </c>
      <c r="G289" s="328"/>
      <c r="H289" s="58" t="s">
        <v>417</v>
      </c>
      <c r="I289" s="206">
        <v>0.81010000000000004</v>
      </c>
      <c r="J289" s="60">
        <v>145</v>
      </c>
      <c r="K289" s="61" t="s">
        <v>175</v>
      </c>
      <c r="L289" s="60">
        <v>31</v>
      </c>
      <c r="M289" s="60">
        <v>10</v>
      </c>
      <c r="N289" s="60">
        <v>5</v>
      </c>
      <c r="O289" s="61" t="s">
        <v>335</v>
      </c>
      <c r="P289" s="61">
        <v>0.33333333333333331</v>
      </c>
      <c r="Q289" s="60">
        <v>179</v>
      </c>
      <c r="R289" s="62" t="s">
        <v>549</v>
      </c>
    </row>
    <row r="290" spans="1:18" ht="15" customHeight="1" x14ac:dyDescent="0.3">
      <c r="A290" s="202" t="s">
        <v>44</v>
      </c>
      <c r="B290" s="202" t="s">
        <v>425</v>
      </c>
      <c r="C290" s="202">
        <v>0.68055555555555547</v>
      </c>
      <c r="D290" s="202" t="s">
        <v>46</v>
      </c>
      <c r="E290" s="202" t="s">
        <v>71</v>
      </c>
      <c r="F290" s="202" t="s">
        <v>416</v>
      </c>
      <c r="G290" s="328"/>
      <c r="H290" s="52" t="s">
        <v>427</v>
      </c>
      <c r="I290" s="53">
        <v>0.77090000000000003</v>
      </c>
      <c r="J290" s="54">
        <v>138</v>
      </c>
      <c r="K290" s="55" t="s">
        <v>50</v>
      </c>
      <c r="L290" s="54">
        <v>27</v>
      </c>
      <c r="M290" s="54">
        <v>0</v>
      </c>
      <c r="N290" s="54">
        <v>8</v>
      </c>
      <c r="O290" s="55" t="s">
        <v>237</v>
      </c>
      <c r="P290" s="55">
        <v>0.68055555555555547</v>
      </c>
      <c r="Q290" s="54">
        <v>179</v>
      </c>
      <c r="R290" s="56" t="s">
        <v>550</v>
      </c>
    </row>
    <row r="291" spans="1:18" ht="15" customHeight="1" x14ac:dyDescent="0.3">
      <c r="A291" s="11" t="s">
        <v>410</v>
      </c>
      <c r="B291" s="11" t="s">
        <v>411</v>
      </c>
      <c r="C291" s="11">
        <v>0.21875</v>
      </c>
      <c r="D291" s="11" t="s">
        <v>406</v>
      </c>
      <c r="E291" s="11" t="s">
        <v>121</v>
      </c>
      <c r="F291" s="11" t="s">
        <v>374</v>
      </c>
      <c r="G291" s="328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9"/>
    </row>
    <row r="292" spans="1:18" ht="15" customHeight="1" x14ac:dyDescent="0.3">
      <c r="A292" s="26" t="s">
        <v>410</v>
      </c>
      <c r="B292" s="26" t="s">
        <v>413</v>
      </c>
      <c r="C292" s="26">
        <v>0.66666666666666663</v>
      </c>
      <c r="D292" s="26" t="s">
        <v>406</v>
      </c>
      <c r="E292" s="26" t="s">
        <v>71</v>
      </c>
      <c r="F292" s="26" t="s">
        <v>414</v>
      </c>
      <c r="G292" s="328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9"/>
    </row>
    <row r="293" spans="1:18" ht="15" customHeight="1" x14ac:dyDescent="0.3">
      <c r="A293" s="11" t="s">
        <v>456</v>
      </c>
      <c r="B293" s="11" t="s">
        <v>457</v>
      </c>
      <c r="C293" s="11">
        <v>0.21527777777777779</v>
      </c>
      <c r="D293" s="11" t="s">
        <v>458</v>
      </c>
      <c r="E293" s="11" t="s">
        <v>123</v>
      </c>
      <c r="F293" s="11" t="s">
        <v>551</v>
      </c>
      <c r="G293" s="328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9"/>
    </row>
    <row r="294" spans="1:18" ht="15" customHeight="1" x14ac:dyDescent="0.3">
      <c r="A294" s="10" t="s">
        <v>456</v>
      </c>
      <c r="B294" s="10" t="s">
        <v>457</v>
      </c>
      <c r="C294" s="10">
        <v>0.21527777777777779</v>
      </c>
      <c r="D294" s="10" t="s">
        <v>34</v>
      </c>
      <c r="E294" s="10" t="s">
        <v>124</v>
      </c>
      <c r="F294" s="10" t="s">
        <v>552</v>
      </c>
      <c r="G294" s="328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9"/>
    </row>
    <row r="295" spans="1:18" ht="15" customHeight="1" x14ac:dyDescent="0.3">
      <c r="A295" s="26" t="s">
        <v>456</v>
      </c>
      <c r="B295" s="26" t="s">
        <v>500</v>
      </c>
      <c r="C295" s="26">
        <v>0.3298611111111111</v>
      </c>
      <c r="D295" s="26" t="s">
        <v>458</v>
      </c>
      <c r="E295" s="26" t="s">
        <v>439</v>
      </c>
      <c r="F295" s="26" t="s">
        <v>553</v>
      </c>
      <c r="G295" s="328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9"/>
    </row>
    <row r="296" spans="1:18" ht="15" customHeight="1" x14ac:dyDescent="0.3">
      <c r="A296" s="10" t="s">
        <v>456</v>
      </c>
      <c r="B296" s="10" t="s">
        <v>500</v>
      </c>
      <c r="C296" s="10">
        <v>0.3298611111111111</v>
      </c>
      <c r="D296" s="10" t="s">
        <v>34</v>
      </c>
      <c r="E296" s="10" t="s">
        <v>124</v>
      </c>
      <c r="F296" s="10" t="s">
        <v>554</v>
      </c>
      <c r="G296" s="328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9"/>
    </row>
    <row r="297" spans="1:18" ht="15" customHeight="1" x14ac:dyDescent="0.3">
      <c r="A297" s="11" t="s">
        <v>36</v>
      </c>
      <c r="B297" s="11" t="s">
        <v>438</v>
      </c>
      <c r="C297" s="11">
        <v>0.85416666666666663</v>
      </c>
      <c r="D297" s="11" t="s">
        <v>164</v>
      </c>
      <c r="E297" s="11" t="s">
        <v>123</v>
      </c>
      <c r="F297" s="11" t="s">
        <v>436</v>
      </c>
      <c r="G297" s="328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9"/>
    </row>
    <row r="298" spans="1:18" ht="15" customHeight="1" x14ac:dyDescent="0.3">
      <c r="A298" s="26" t="s">
        <v>36</v>
      </c>
      <c r="B298" s="26" t="s">
        <v>444</v>
      </c>
      <c r="C298" s="26">
        <v>0.51736111111111105</v>
      </c>
      <c r="D298" s="26" t="s">
        <v>164</v>
      </c>
      <c r="E298" s="26" t="s">
        <v>152</v>
      </c>
      <c r="F298" s="26" t="s">
        <v>436</v>
      </c>
      <c r="G298" s="328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9"/>
    </row>
    <row r="299" spans="1:18" ht="15" customHeight="1" x14ac:dyDescent="0.3">
      <c r="A299" s="26" t="s">
        <v>36</v>
      </c>
      <c r="B299" s="26" t="s">
        <v>435</v>
      </c>
      <c r="C299" s="26">
        <v>0.90277777777777779</v>
      </c>
      <c r="D299" s="26" t="s">
        <v>164</v>
      </c>
      <c r="E299" s="26" t="s">
        <v>439</v>
      </c>
      <c r="F299" s="26" t="s">
        <v>436</v>
      </c>
      <c r="G299" s="328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9"/>
    </row>
    <row r="300" spans="1:18" ht="15" customHeight="1" x14ac:dyDescent="0.3">
      <c r="A300" s="26" t="s">
        <v>36</v>
      </c>
      <c r="B300" s="26" t="s">
        <v>445</v>
      </c>
      <c r="C300" s="26">
        <v>0.79861111111111116</v>
      </c>
      <c r="D300" s="26" t="s">
        <v>164</v>
      </c>
      <c r="E300" s="26" t="s">
        <v>90</v>
      </c>
      <c r="F300" s="26" t="s">
        <v>436</v>
      </c>
      <c r="G300" s="328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9"/>
    </row>
    <row r="301" spans="1:18" ht="15" customHeight="1" x14ac:dyDescent="0.3">
      <c r="A301" s="26" t="s">
        <v>36</v>
      </c>
      <c r="B301" s="26" t="s">
        <v>447</v>
      </c>
      <c r="C301" s="26">
        <v>0.39583333333333331</v>
      </c>
      <c r="D301" s="26" t="s">
        <v>38</v>
      </c>
      <c r="E301" s="26" t="s">
        <v>439</v>
      </c>
      <c r="F301" s="26" t="s">
        <v>436</v>
      </c>
      <c r="G301" s="328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9"/>
    </row>
    <row r="302" spans="1:18" ht="15" customHeight="1" x14ac:dyDescent="0.3">
      <c r="A302" s="10" t="s">
        <v>36</v>
      </c>
      <c r="B302" s="10" t="s">
        <v>447</v>
      </c>
      <c r="C302" s="10">
        <v>0.39583333333333331</v>
      </c>
      <c r="D302" s="10" t="s">
        <v>40</v>
      </c>
      <c r="E302" s="10" t="s">
        <v>124</v>
      </c>
      <c r="F302" s="10" t="s">
        <v>437</v>
      </c>
      <c r="G302" s="328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9"/>
    </row>
    <row r="303" spans="1:18" ht="15" customHeight="1" x14ac:dyDescent="0.3">
      <c r="A303" s="10" t="s">
        <v>36</v>
      </c>
      <c r="B303" s="10" t="s">
        <v>447</v>
      </c>
      <c r="C303" s="10">
        <v>0.39583333333333331</v>
      </c>
      <c r="D303" s="10" t="s">
        <v>42</v>
      </c>
      <c r="E303" s="10" t="s">
        <v>124</v>
      </c>
      <c r="F303" s="10" t="s">
        <v>39</v>
      </c>
      <c r="G303" s="328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9"/>
    </row>
    <row r="304" spans="1:18" ht="15" customHeight="1" x14ac:dyDescent="0.3">
      <c r="A304" s="26" t="s">
        <v>36</v>
      </c>
      <c r="B304" s="26" t="s">
        <v>446</v>
      </c>
      <c r="C304" s="26">
        <v>0.65972222222222221</v>
      </c>
      <c r="D304" s="26" t="s">
        <v>38</v>
      </c>
      <c r="E304" s="26" t="s">
        <v>114</v>
      </c>
      <c r="F304" s="26" t="s">
        <v>436</v>
      </c>
      <c r="G304" s="328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9"/>
    </row>
    <row r="305" spans="1:18" ht="15" customHeight="1" x14ac:dyDescent="0.3">
      <c r="A305" s="10" t="s">
        <v>36</v>
      </c>
      <c r="B305" s="10" t="s">
        <v>446</v>
      </c>
      <c r="C305" s="10">
        <v>0.65972222222222221</v>
      </c>
      <c r="D305" s="10" t="s">
        <v>40</v>
      </c>
      <c r="E305" s="10" t="s">
        <v>115</v>
      </c>
      <c r="F305" s="10" t="s">
        <v>437</v>
      </c>
      <c r="G305" s="328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9"/>
    </row>
    <row r="306" spans="1:18" ht="15" customHeight="1" x14ac:dyDescent="0.3">
      <c r="A306" s="10" t="s">
        <v>36</v>
      </c>
      <c r="B306" s="10" t="s">
        <v>446</v>
      </c>
      <c r="C306" s="10">
        <v>0.65972222222222221</v>
      </c>
      <c r="D306" s="10" t="s">
        <v>42</v>
      </c>
      <c r="E306" s="10" t="s">
        <v>115</v>
      </c>
      <c r="F306" s="10" t="s">
        <v>39</v>
      </c>
      <c r="G306" s="328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9"/>
    </row>
    <row r="307" spans="1:18" ht="15" customHeight="1" x14ac:dyDescent="0.3">
      <c r="A307" s="26" t="s">
        <v>36</v>
      </c>
      <c r="B307" s="26" t="s">
        <v>442</v>
      </c>
      <c r="C307" s="26">
        <v>0.25694444444444448</v>
      </c>
      <c r="D307" s="26" t="s">
        <v>164</v>
      </c>
      <c r="E307" s="26" t="s">
        <v>439</v>
      </c>
      <c r="F307" s="26" t="s">
        <v>440</v>
      </c>
      <c r="G307" s="328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9"/>
    </row>
    <row r="308" spans="1:18" ht="15" customHeight="1" x14ac:dyDescent="0.3">
      <c r="A308" s="11" t="s">
        <v>78</v>
      </c>
      <c r="B308" s="11" t="s">
        <v>464</v>
      </c>
      <c r="C308" s="11">
        <v>6.9444444444444441E-3</v>
      </c>
      <c r="D308" s="11" t="s">
        <v>369</v>
      </c>
      <c r="E308" s="11" t="s">
        <v>47</v>
      </c>
      <c r="F308" s="11" t="s">
        <v>462</v>
      </c>
      <c r="G308" s="328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9"/>
    </row>
    <row r="309" spans="1:18" ht="15" customHeight="1" x14ac:dyDescent="0.3">
      <c r="A309" s="26" t="s">
        <v>78</v>
      </c>
      <c r="B309" s="26" t="s">
        <v>467</v>
      </c>
      <c r="C309" s="26">
        <v>0.1423611111111111</v>
      </c>
      <c r="D309" s="26" t="s">
        <v>369</v>
      </c>
      <c r="E309" s="26" t="s">
        <v>71</v>
      </c>
      <c r="F309" s="26" t="s">
        <v>462</v>
      </c>
      <c r="G309" s="328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9"/>
    </row>
    <row r="310" spans="1:18" ht="15" customHeight="1" x14ac:dyDescent="0.3">
      <c r="A310" s="26" t="s">
        <v>78</v>
      </c>
      <c r="B310" s="26" t="s">
        <v>469</v>
      </c>
      <c r="C310" s="26">
        <v>0.37847222222222232</v>
      </c>
      <c r="D310" s="26" t="s">
        <v>369</v>
      </c>
      <c r="E310" s="26" t="s">
        <v>87</v>
      </c>
      <c r="F310" s="26" t="s">
        <v>462</v>
      </c>
      <c r="G310" s="328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9"/>
    </row>
    <row r="311" spans="1:18" ht="15" customHeight="1" x14ac:dyDescent="0.3">
      <c r="A311" s="26" t="s">
        <v>78</v>
      </c>
      <c r="B311" s="26" t="s">
        <v>461</v>
      </c>
      <c r="C311" s="26">
        <v>0.24305555555555561</v>
      </c>
      <c r="D311" s="26" t="s">
        <v>369</v>
      </c>
      <c r="E311" s="26" t="s">
        <v>71</v>
      </c>
      <c r="F311" s="26" t="s">
        <v>462</v>
      </c>
      <c r="G311" s="328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9"/>
    </row>
    <row r="312" spans="1:18" ht="15" customHeight="1" x14ac:dyDescent="0.3">
      <c r="A312" s="26" t="s">
        <v>78</v>
      </c>
      <c r="B312" s="26" t="s">
        <v>470</v>
      </c>
      <c r="C312" s="26">
        <v>0.71875</v>
      </c>
      <c r="D312" s="26" t="s">
        <v>369</v>
      </c>
      <c r="E312" s="26" t="s">
        <v>71</v>
      </c>
      <c r="F312" s="26" t="s">
        <v>465</v>
      </c>
      <c r="G312" s="328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9"/>
    </row>
    <row r="313" spans="1:18" ht="15" customHeight="1" x14ac:dyDescent="0.3">
      <c r="A313" s="26" t="s">
        <v>78</v>
      </c>
      <c r="B313" s="26" t="s">
        <v>482</v>
      </c>
      <c r="C313" s="26">
        <v>0.61111111111111105</v>
      </c>
      <c r="D313" s="26" t="s">
        <v>369</v>
      </c>
      <c r="E313" s="26" t="s">
        <v>74</v>
      </c>
      <c r="F313" s="26" t="s">
        <v>465</v>
      </c>
      <c r="G313" s="328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9"/>
    </row>
    <row r="314" spans="1:18" ht="15" customHeight="1" x14ac:dyDescent="0.3">
      <c r="A314" s="26" t="s">
        <v>78</v>
      </c>
      <c r="B314" s="26" t="s">
        <v>476</v>
      </c>
      <c r="C314" s="26">
        <v>0.12847222222222221</v>
      </c>
      <c r="D314" s="26" t="s">
        <v>68</v>
      </c>
      <c r="E314" s="26" t="s">
        <v>87</v>
      </c>
      <c r="F314" s="26" t="s">
        <v>535</v>
      </c>
      <c r="G314" s="328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9"/>
    </row>
    <row r="315" spans="1:18" ht="15" customHeight="1" x14ac:dyDescent="0.3">
      <c r="A315" s="26" t="s">
        <v>78</v>
      </c>
      <c r="B315" s="26" t="s">
        <v>468</v>
      </c>
      <c r="C315" s="26">
        <v>0.93055555555555547</v>
      </c>
      <c r="D315" s="26" t="s">
        <v>369</v>
      </c>
      <c r="E315" s="26" t="s">
        <v>54</v>
      </c>
      <c r="F315" s="26" t="s">
        <v>511</v>
      </c>
      <c r="G315" s="328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9"/>
    </row>
    <row r="316" spans="1:18" ht="15" customHeight="1" x14ac:dyDescent="0.3">
      <c r="A316" s="26" t="s">
        <v>78</v>
      </c>
      <c r="B316" s="26" t="s">
        <v>477</v>
      </c>
      <c r="C316" s="26">
        <v>0.82986111111111116</v>
      </c>
      <c r="D316" s="26" t="s">
        <v>369</v>
      </c>
      <c r="E316" s="26" t="s">
        <v>87</v>
      </c>
      <c r="F316" s="26" t="s">
        <v>511</v>
      </c>
      <c r="G316" s="328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9"/>
    </row>
    <row r="317" spans="1:18" ht="15" customHeight="1" x14ac:dyDescent="0.3">
      <c r="A317" s="26" t="s">
        <v>78</v>
      </c>
      <c r="B317" s="26" t="s">
        <v>475</v>
      </c>
      <c r="C317" s="26">
        <v>0.30208333333333331</v>
      </c>
      <c r="D317" s="26" t="s">
        <v>68</v>
      </c>
      <c r="E317" s="26" t="s">
        <v>87</v>
      </c>
      <c r="F317" s="26" t="s">
        <v>474</v>
      </c>
      <c r="G317" s="328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9"/>
    </row>
    <row r="318" spans="1:18" ht="15" customHeight="1" x14ac:dyDescent="0.3">
      <c r="A318" s="26" t="s">
        <v>78</v>
      </c>
      <c r="B318" s="26" t="s">
        <v>480</v>
      </c>
      <c r="C318" s="26">
        <v>0.78819444444444453</v>
      </c>
      <c r="D318" s="26" t="s">
        <v>68</v>
      </c>
      <c r="E318" s="26" t="s">
        <v>87</v>
      </c>
      <c r="F318" s="26" t="s">
        <v>474</v>
      </c>
      <c r="G318" s="328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9"/>
    </row>
    <row r="319" spans="1:18" ht="15" customHeight="1" x14ac:dyDescent="0.3">
      <c r="A319" s="26" t="s">
        <v>78</v>
      </c>
      <c r="B319" s="26" t="s">
        <v>473</v>
      </c>
      <c r="C319" s="26">
        <v>0.88888888888888884</v>
      </c>
      <c r="D319" s="26" t="s">
        <v>83</v>
      </c>
      <c r="E319" s="26" t="s">
        <v>87</v>
      </c>
      <c r="F319" s="26" t="s">
        <v>481</v>
      </c>
      <c r="G319" s="328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9"/>
    </row>
    <row r="320" spans="1:18" ht="15" customHeight="1" x14ac:dyDescent="0.3">
      <c r="A320" s="11" t="s">
        <v>66</v>
      </c>
      <c r="B320" s="11" t="s">
        <v>488</v>
      </c>
      <c r="C320" s="11">
        <v>0.22916666666666671</v>
      </c>
      <c r="D320" s="11" t="s">
        <v>68</v>
      </c>
      <c r="E320" s="11" t="s">
        <v>47</v>
      </c>
      <c r="F320" s="11" t="s">
        <v>555</v>
      </c>
      <c r="G320" s="328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9"/>
    </row>
    <row r="321" spans="1:18" ht="15" customHeight="1" x14ac:dyDescent="0.3">
      <c r="A321" s="26" t="s">
        <v>66</v>
      </c>
      <c r="B321" s="26" t="s">
        <v>505</v>
      </c>
      <c r="C321" s="26">
        <v>0.14583333333333329</v>
      </c>
      <c r="D321" s="26" t="s">
        <v>68</v>
      </c>
      <c r="E321" s="26" t="s">
        <v>71</v>
      </c>
      <c r="F321" s="26" t="s">
        <v>489</v>
      </c>
      <c r="G321" s="328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9"/>
    </row>
    <row r="322" spans="1:18" ht="15" customHeight="1" x14ac:dyDescent="0.3">
      <c r="A322" s="26" t="s">
        <v>66</v>
      </c>
      <c r="B322" s="26" t="s">
        <v>490</v>
      </c>
      <c r="C322" s="26">
        <v>0.28125</v>
      </c>
      <c r="D322" s="26" t="s">
        <v>68</v>
      </c>
      <c r="E322" s="26" t="s">
        <v>71</v>
      </c>
      <c r="F322" s="26" t="s">
        <v>556</v>
      </c>
      <c r="G322" s="328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9"/>
    </row>
    <row r="323" spans="1:18" ht="15" customHeight="1" x14ac:dyDescent="0.3">
      <c r="A323" s="26" t="s">
        <v>66</v>
      </c>
      <c r="B323" s="26" t="s">
        <v>492</v>
      </c>
      <c r="C323" s="26">
        <v>0.77430555555555547</v>
      </c>
      <c r="D323" s="26" t="s">
        <v>68</v>
      </c>
      <c r="E323" s="26" t="s">
        <v>71</v>
      </c>
      <c r="F323" s="26" t="s">
        <v>493</v>
      </c>
      <c r="G323" s="328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9"/>
    </row>
    <row r="324" spans="1:18" ht="15" customHeight="1" x14ac:dyDescent="0.3">
      <c r="A324" s="31" t="s">
        <v>66</v>
      </c>
      <c r="B324" s="31" t="s">
        <v>509</v>
      </c>
      <c r="C324" s="31">
        <v>1.388888888888889E-2</v>
      </c>
      <c r="D324" s="31" t="s">
        <v>68</v>
      </c>
      <c r="E324" s="31" t="s">
        <v>71</v>
      </c>
      <c r="F324" s="31" t="s">
        <v>557</v>
      </c>
      <c r="G324" s="328"/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30"/>
    </row>
    <row r="325" spans="1:18" ht="17.399999999999999" customHeight="1" x14ac:dyDescent="0.3">
      <c r="A325" s="360"/>
      <c r="B325" s="361"/>
      <c r="C325" s="361"/>
      <c r="D325" s="361"/>
      <c r="E325" s="361"/>
      <c r="F325" s="361"/>
      <c r="G325" s="361"/>
      <c r="H325" s="361"/>
      <c r="I325" s="361"/>
      <c r="J325" s="361"/>
      <c r="K325" s="361"/>
      <c r="L325" s="361"/>
      <c r="M325" s="361"/>
      <c r="N325" s="361"/>
      <c r="O325" s="361"/>
      <c r="P325" s="361"/>
      <c r="Q325" s="361"/>
      <c r="R325" s="362"/>
    </row>
    <row r="326" spans="1:18" ht="22.05" customHeight="1" x14ac:dyDescent="0.3">
      <c r="A326" s="323" t="s">
        <v>6</v>
      </c>
      <c r="B326" s="324"/>
      <c r="C326" s="324"/>
      <c r="D326" s="324"/>
      <c r="E326" s="324"/>
      <c r="F326" s="324"/>
      <c r="G326" s="2">
        <v>45991</v>
      </c>
      <c r="H326" s="323" t="s">
        <v>7</v>
      </c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</row>
    <row r="327" spans="1:18" ht="24" customHeight="1" x14ac:dyDescent="0.3">
      <c r="A327" s="3" t="s">
        <v>8</v>
      </c>
      <c r="B327" s="3" t="s">
        <v>9</v>
      </c>
      <c r="C327" s="3" t="s">
        <v>10</v>
      </c>
      <c r="D327" s="3" t="s">
        <v>11</v>
      </c>
      <c r="E327" s="3" t="s">
        <v>12</v>
      </c>
      <c r="F327" s="4" t="s">
        <v>13</v>
      </c>
      <c r="G327" s="5" t="s">
        <v>14</v>
      </c>
      <c r="H327" s="3" t="s">
        <v>15</v>
      </c>
      <c r="I327" s="3" t="s">
        <v>16</v>
      </c>
      <c r="J327" s="3" t="s">
        <v>17</v>
      </c>
      <c r="K327" s="3" t="s">
        <v>18</v>
      </c>
      <c r="L327" s="3" t="s">
        <v>19</v>
      </c>
      <c r="M327" s="3" t="s">
        <v>20</v>
      </c>
      <c r="N327" s="3" t="s">
        <v>21</v>
      </c>
      <c r="O327" s="3" t="s">
        <v>22</v>
      </c>
      <c r="P327" s="3" t="s">
        <v>23</v>
      </c>
      <c r="Q327" s="3" t="s">
        <v>24</v>
      </c>
      <c r="R327" s="3" t="s">
        <v>25</v>
      </c>
    </row>
    <row r="328" spans="1:18" ht="15" customHeight="1" x14ac:dyDescent="0.3">
      <c r="A328" s="6" t="s">
        <v>404</v>
      </c>
      <c r="B328" s="6" t="s">
        <v>405</v>
      </c>
      <c r="C328" s="6">
        <v>0.27430555555555552</v>
      </c>
      <c r="D328" s="6" t="s">
        <v>406</v>
      </c>
      <c r="E328" s="6" t="s">
        <v>134</v>
      </c>
      <c r="F328" s="6" t="s">
        <v>407</v>
      </c>
      <c r="G328" s="328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9"/>
    </row>
    <row r="329" spans="1:18" ht="15" customHeight="1" x14ac:dyDescent="0.3">
      <c r="A329" s="26" t="s">
        <v>404</v>
      </c>
      <c r="B329" s="26" t="s">
        <v>558</v>
      </c>
      <c r="C329" s="26">
        <v>0.34722222222222232</v>
      </c>
      <c r="D329" s="26" t="s">
        <v>406</v>
      </c>
      <c r="E329" s="26" t="s">
        <v>114</v>
      </c>
      <c r="F329" s="26" t="s">
        <v>159</v>
      </c>
      <c r="G329" s="328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9"/>
    </row>
    <row r="330" spans="1:18" ht="15" customHeight="1" x14ac:dyDescent="0.3">
      <c r="A330" s="11" t="s">
        <v>410</v>
      </c>
      <c r="B330" s="11" t="s">
        <v>411</v>
      </c>
      <c r="C330" s="11">
        <v>0.38194444444444442</v>
      </c>
      <c r="D330" s="11" t="s">
        <v>406</v>
      </c>
      <c r="E330" s="11" t="s">
        <v>47</v>
      </c>
      <c r="F330" s="11" t="s">
        <v>374</v>
      </c>
      <c r="G330" s="328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9"/>
    </row>
    <row r="331" spans="1:18" ht="15" customHeight="1" x14ac:dyDescent="0.3">
      <c r="A331" s="26" t="s">
        <v>410</v>
      </c>
      <c r="B331" s="26" t="s">
        <v>413</v>
      </c>
      <c r="C331" s="26">
        <v>0.66666666666666663</v>
      </c>
      <c r="D331" s="26" t="s">
        <v>406</v>
      </c>
      <c r="E331" s="26" t="s">
        <v>74</v>
      </c>
      <c r="F331" s="26" t="s">
        <v>374</v>
      </c>
      <c r="G331" s="328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9"/>
    </row>
    <row r="332" spans="1:18" ht="15" customHeight="1" x14ac:dyDescent="0.3">
      <c r="A332" s="75" t="s">
        <v>44</v>
      </c>
      <c r="B332" s="75" t="s">
        <v>415</v>
      </c>
      <c r="C332" s="75">
        <v>0.31944444444444448</v>
      </c>
      <c r="D332" s="75" t="s">
        <v>46</v>
      </c>
      <c r="E332" s="75" t="s">
        <v>47</v>
      </c>
      <c r="F332" s="75" t="s">
        <v>374</v>
      </c>
      <c r="G332" s="328"/>
      <c r="H332" s="76" t="s">
        <v>417</v>
      </c>
      <c r="I332" s="187">
        <v>0.62009999999999998</v>
      </c>
      <c r="J332" s="78">
        <v>111</v>
      </c>
      <c r="K332" s="79" t="s">
        <v>175</v>
      </c>
      <c r="L332" s="78">
        <v>47</v>
      </c>
      <c r="M332" s="78">
        <v>12</v>
      </c>
      <c r="N332" s="78">
        <v>8</v>
      </c>
      <c r="O332" s="79" t="s">
        <v>353</v>
      </c>
      <c r="P332" s="79">
        <v>0.31944444444444448</v>
      </c>
      <c r="Q332" s="78">
        <v>179</v>
      </c>
      <c r="R332" s="80" t="s">
        <v>559</v>
      </c>
    </row>
    <row r="333" spans="1:18" ht="15" customHeight="1" x14ac:dyDescent="0.3">
      <c r="A333" s="18" t="s">
        <v>44</v>
      </c>
      <c r="B333" s="18" t="s">
        <v>523</v>
      </c>
      <c r="C333" s="18">
        <v>0.33333333333333331</v>
      </c>
      <c r="D333" s="18" t="s">
        <v>46</v>
      </c>
      <c r="E333" s="18" t="s">
        <v>71</v>
      </c>
      <c r="F333" s="18" t="s">
        <v>416</v>
      </c>
      <c r="G333" s="328"/>
      <c r="H333" s="19" t="s">
        <v>524</v>
      </c>
      <c r="I333" s="201">
        <v>0.60709999999999997</v>
      </c>
      <c r="J333" s="21">
        <v>102</v>
      </c>
      <c r="K333" s="22" t="s">
        <v>433</v>
      </c>
      <c r="L333" s="21">
        <v>5</v>
      </c>
      <c r="M333" s="21">
        <v>0</v>
      </c>
      <c r="N333" s="21">
        <v>0</v>
      </c>
      <c r="O333" s="22" t="s">
        <v>237</v>
      </c>
      <c r="P333" s="22">
        <v>0.33333333333333331</v>
      </c>
      <c r="Q333" s="21">
        <v>168</v>
      </c>
      <c r="R333" s="23" t="s">
        <v>560</v>
      </c>
    </row>
    <row r="334" spans="1:18" ht="15" customHeight="1" x14ac:dyDescent="0.3">
      <c r="A334" s="24" t="s">
        <v>44</v>
      </c>
      <c r="B334" s="24" t="s">
        <v>422</v>
      </c>
      <c r="C334" s="24">
        <v>8.3333333333333329E-2</v>
      </c>
      <c r="D334" s="24" t="s">
        <v>46</v>
      </c>
      <c r="E334" s="24" t="s">
        <v>71</v>
      </c>
      <c r="F334" s="24" t="s">
        <v>416</v>
      </c>
      <c r="G334" s="328"/>
      <c r="H334" s="13" t="s">
        <v>423</v>
      </c>
      <c r="I334" s="192">
        <v>0.64249999999999996</v>
      </c>
      <c r="J334" s="15">
        <v>115</v>
      </c>
      <c r="K334" s="16" t="s">
        <v>50</v>
      </c>
      <c r="L334" s="15">
        <v>15</v>
      </c>
      <c r="M334" s="15">
        <v>0</v>
      </c>
      <c r="N334" s="15">
        <v>1</v>
      </c>
      <c r="O334" s="16" t="s">
        <v>237</v>
      </c>
      <c r="P334" s="16">
        <v>8.3333333333333329E-2</v>
      </c>
      <c r="Q334" s="15">
        <v>179</v>
      </c>
      <c r="R334" s="17" t="s">
        <v>561</v>
      </c>
    </row>
    <row r="335" spans="1:18" ht="15" customHeight="1" x14ac:dyDescent="0.3">
      <c r="A335" s="81" t="s">
        <v>44</v>
      </c>
      <c r="B335" s="81" t="s">
        <v>429</v>
      </c>
      <c r="C335" s="81">
        <v>0.51041666666666663</v>
      </c>
      <c r="D335" s="81" t="s">
        <v>46</v>
      </c>
      <c r="E335" s="81" t="s">
        <v>97</v>
      </c>
      <c r="F335" s="81" t="s">
        <v>562</v>
      </c>
      <c r="G335" s="328"/>
      <c r="H335" s="82" t="s">
        <v>430</v>
      </c>
      <c r="I335" s="83">
        <v>0.9274</v>
      </c>
      <c r="J335" s="84">
        <v>166</v>
      </c>
      <c r="K335" s="85" t="s">
        <v>63</v>
      </c>
      <c r="L335" s="84">
        <v>3</v>
      </c>
      <c r="M335" s="84">
        <v>0</v>
      </c>
      <c r="N335" s="84">
        <v>0</v>
      </c>
      <c r="O335" s="85" t="s">
        <v>563</v>
      </c>
      <c r="P335" s="85">
        <v>0.51041666666666663</v>
      </c>
      <c r="Q335" s="84">
        <v>179</v>
      </c>
      <c r="R335" s="86" t="s">
        <v>564</v>
      </c>
    </row>
    <row r="336" spans="1:18" ht="15" customHeight="1" x14ac:dyDescent="0.3">
      <c r="A336" s="24" t="s">
        <v>44</v>
      </c>
      <c r="B336" s="24" t="s">
        <v>427</v>
      </c>
      <c r="C336" s="24">
        <v>0.63194444444444442</v>
      </c>
      <c r="D336" s="24" t="s">
        <v>61</v>
      </c>
      <c r="E336" s="24"/>
      <c r="F336" s="24" t="s">
        <v>62</v>
      </c>
      <c r="G336" s="328"/>
      <c r="H336" s="13" t="s">
        <v>427</v>
      </c>
      <c r="I336" s="25">
        <v>0.96650000000000003</v>
      </c>
      <c r="J336" s="15">
        <v>173</v>
      </c>
      <c r="K336" s="16" t="s">
        <v>175</v>
      </c>
      <c r="L336" s="15">
        <v>6</v>
      </c>
      <c r="M336" s="15">
        <v>3</v>
      </c>
      <c r="N336" s="15">
        <v>0</v>
      </c>
      <c r="O336" s="16" t="s">
        <v>64</v>
      </c>
      <c r="P336" s="16">
        <v>0.63194444444444442</v>
      </c>
      <c r="Q336" s="15">
        <v>179</v>
      </c>
      <c r="R336" s="17" t="s">
        <v>565</v>
      </c>
    </row>
    <row r="337" spans="1:18" ht="15" customHeight="1" x14ac:dyDescent="0.3">
      <c r="A337" s="11" t="s">
        <v>36</v>
      </c>
      <c r="B337" s="11" t="s">
        <v>443</v>
      </c>
      <c r="C337" s="11">
        <v>0.30208333333333331</v>
      </c>
      <c r="D337" s="11" t="s">
        <v>164</v>
      </c>
      <c r="E337" s="11" t="s">
        <v>102</v>
      </c>
      <c r="F337" s="11" t="s">
        <v>530</v>
      </c>
      <c r="G337" s="328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9"/>
    </row>
    <row r="338" spans="1:18" ht="15" customHeight="1" x14ac:dyDescent="0.3">
      <c r="A338" s="26" t="s">
        <v>36</v>
      </c>
      <c r="B338" s="26" t="s">
        <v>447</v>
      </c>
      <c r="C338" s="26">
        <v>0.39583333333333331</v>
      </c>
      <c r="D338" s="26" t="s">
        <v>164</v>
      </c>
      <c r="E338" s="26" t="s">
        <v>90</v>
      </c>
      <c r="F338" s="26" t="s">
        <v>530</v>
      </c>
      <c r="G338" s="328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9"/>
    </row>
    <row r="339" spans="1:18" ht="15" customHeight="1" x14ac:dyDescent="0.3">
      <c r="A339" s="26" t="s">
        <v>36</v>
      </c>
      <c r="B339" s="26" t="s">
        <v>438</v>
      </c>
      <c r="C339" s="26">
        <v>0.85416666666666663</v>
      </c>
      <c r="D339" s="26" t="s">
        <v>164</v>
      </c>
      <c r="E339" s="26" t="s">
        <v>439</v>
      </c>
      <c r="F339" s="26" t="s">
        <v>436</v>
      </c>
      <c r="G339" s="328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9"/>
    </row>
    <row r="340" spans="1:18" ht="15" customHeight="1" x14ac:dyDescent="0.3">
      <c r="A340" s="26" t="s">
        <v>36</v>
      </c>
      <c r="B340" s="26" t="s">
        <v>442</v>
      </c>
      <c r="C340" s="26">
        <v>0.25694444444444448</v>
      </c>
      <c r="D340" s="26" t="s">
        <v>164</v>
      </c>
      <c r="E340" s="26" t="s">
        <v>439</v>
      </c>
      <c r="F340" s="26" t="s">
        <v>436</v>
      </c>
      <c r="G340" s="328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9"/>
    </row>
    <row r="341" spans="1:18" ht="15" customHeight="1" x14ac:dyDescent="0.3">
      <c r="A341" s="26" t="s">
        <v>36</v>
      </c>
      <c r="B341" s="26" t="s">
        <v>444</v>
      </c>
      <c r="C341" s="26">
        <v>0.51736111111111105</v>
      </c>
      <c r="D341" s="26" t="s">
        <v>164</v>
      </c>
      <c r="E341" s="26" t="s">
        <v>439</v>
      </c>
      <c r="F341" s="26" t="s">
        <v>436</v>
      </c>
      <c r="G341" s="328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9"/>
    </row>
    <row r="342" spans="1:18" ht="15" customHeight="1" x14ac:dyDescent="0.3">
      <c r="A342" s="26" t="s">
        <v>36</v>
      </c>
      <c r="B342" s="26" t="s">
        <v>435</v>
      </c>
      <c r="C342" s="26">
        <v>0.90277777777777779</v>
      </c>
      <c r="D342" s="26" t="s">
        <v>164</v>
      </c>
      <c r="E342" s="26" t="s">
        <v>114</v>
      </c>
      <c r="F342" s="26" t="s">
        <v>436</v>
      </c>
      <c r="G342" s="328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9"/>
    </row>
    <row r="343" spans="1:18" ht="15" customHeight="1" x14ac:dyDescent="0.3">
      <c r="A343" s="26" t="s">
        <v>36</v>
      </c>
      <c r="B343" s="26" t="s">
        <v>445</v>
      </c>
      <c r="C343" s="26">
        <v>0.79861111111111116</v>
      </c>
      <c r="D343" s="26" t="s">
        <v>164</v>
      </c>
      <c r="E343" s="26" t="s">
        <v>74</v>
      </c>
      <c r="F343" s="26" t="s">
        <v>436</v>
      </c>
      <c r="G343" s="328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9"/>
    </row>
    <row r="344" spans="1:18" ht="15" customHeight="1" x14ac:dyDescent="0.3">
      <c r="A344" s="26" t="s">
        <v>36</v>
      </c>
      <c r="B344" s="26" t="s">
        <v>446</v>
      </c>
      <c r="C344" s="26">
        <v>0.64583333333333337</v>
      </c>
      <c r="D344" s="26" t="s">
        <v>164</v>
      </c>
      <c r="E344" s="26" t="s">
        <v>439</v>
      </c>
      <c r="F344" s="26" t="s">
        <v>436</v>
      </c>
      <c r="G344" s="328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9"/>
    </row>
    <row r="345" spans="1:18" ht="15" customHeight="1" x14ac:dyDescent="0.3">
      <c r="A345" s="11" t="s">
        <v>26</v>
      </c>
      <c r="B345" s="11" t="s">
        <v>451</v>
      </c>
      <c r="C345" s="11">
        <v>0.12847222222222221</v>
      </c>
      <c r="D345" s="11" t="s">
        <v>28</v>
      </c>
      <c r="E345" s="11" t="s">
        <v>121</v>
      </c>
      <c r="F345" s="11" t="s">
        <v>498</v>
      </c>
      <c r="G345" s="328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9"/>
    </row>
    <row r="346" spans="1:18" ht="15" customHeight="1" x14ac:dyDescent="0.3">
      <c r="A346" s="10" t="s">
        <v>26</v>
      </c>
      <c r="B346" s="10" t="s">
        <v>451</v>
      </c>
      <c r="C346" s="10">
        <v>0.12847222222222221</v>
      </c>
      <c r="D346" s="10" t="s">
        <v>31</v>
      </c>
      <c r="E346" s="10" t="s">
        <v>122</v>
      </c>
      <c r="F346" s="10" t="s">
        <v>499</v>
      </c>
      <c r="G346" s="328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9"/>
    </row>
    <row r="347" spans="1:18" ht="15" customHeight="1" x14ac:dyDescent="0.3">
      <c r="A347" s="10" t="s">
        <v>26</v>
      </c>
      <c r="B347" s="10" t="s">
        <v>451</v>
      </c>
      <c r="C347" s="10">
        <v>0.12847222222222221</v>
      </c>
      <c r="D347" s="10" t="s">
        <v>34</v>
      </c>
      <c r="E347" s="10" t="s">
        <v>122</v>
      </c>
      <c r="F347" s="10" t="s">
        <v>35</v>
      </c>
      <c r="G347" s="328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9"/>
    </row>
    <row r="348" spans="1:18" ht="15" customHeight="1" x14ac:dyDescent="0.3">
      <c r="A348" s="26" t="s">
        <v>26</v>
      </c>
      <c r="B348" s="26" t="s">
        <v>453</v>
      </c>
      <c r="C348" s="26">
        <v>0.30208333333333331</v>
      </c>
      <c r="D348" s="26" t="s">
        <v>28</v>
      </c>
      <c r="E348" s="26" t="s">
        <v>113</v>
      </c>
      <c r="F348" s="26" t="s">
        <v>452</v>
      </c>
      <c r="G348" s="328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9"/>
    </row>
    <row r="349" spans="1:18" ht="15" customHeight="1" x14ac:dyDescent="0.3">
      <c r="A349" s="10" t="s">
        <v>26</v>
      </c>
      <c r="B349" s="10" t="s">
        <v>453</v>
      </c>
      <c r="C349" s="10">
        <v>0.30208333333333331</v>
      </c>
      <c r="D349" s="10" t="s">
        <v>31</v>
      </c>
      <c r="E349" s="10" t="s">
        <v>136</v>
      </c>
      <c r="F349" s="10" t="s">
        <v>179</v>
      </c>
      <c r="G349" s="328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9"/>
    </row>
    <row r="350" spans="1:18" ht="15" customHeight="1" x14ac:dyDescent="0.3">
      <c r="A350" s="10" t="s">
        <v>26</v>
      </c>
      <c r="B350" s="10" t="s">
        <v>453</v>
      </c>
      <c r="C350" s="10">
        <v>0.30208333333333331</v>
      </c>
      <c r="D350" s="10" t="s">
        <v>34</v>
      </c>
      <c r="E350" s="10" t="s">
        <v>136</v>
      </c>
      <c r="F350" s="10" t="s">
        <v>35</v>
      </c>
      <c r="G350" s="328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9"/>
    </row>
    <row r="351" spans="1:18" ht="15" customHeight="1" x14ac:dyDescent="0.3">
      <c r="A351" s="26" t="s">
        <v>26</v>
      </c>
      <c r="B351" s="26" t="s">
        <v>454</v>
      </c>
      <c r="C351" s="26">
        <v>0.88888888888888884</v>
      </c>
      <c r="D351" s="26" t="s">
        <v>28</v>
      </c>
      <c r="E351" s="26" t="s">
        <v>74</v>
      </c>
      <c r="F351" s="26" t="s">
        <v>452</v>
      </c>
      <c r="G351" s="328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9"/>
    </row>
    <row r="352" spans="1:18" ht="15" customHeight="1" x14ac:dyDescent="0.3">
      <c r="A352" s="10" t="s">
        <v>26</v>
      </c>
      <c r="B352" s="10" t="s">
        <v>454</v>
      </c>
      <c r="C352" s="10">
        <v>0.88888888888888884</v>
      </c>
      <c r="D352" s="10" t="s">
        <v>31</v>
      </c>
      <c r="E352" s="10" t="s">
        <v>122</v>
      </c>
      <c r="F352" s="10" t="s">
        <v>179</v>
      </c>
      <c r="G352" s="328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9"/>
    </row>
    <row r="353" spans="1:18" ht="15" customHeight="1" x14ac:dyDescent="0.3">
      <c r="A353" s="10" t="s">
        <v>26</v>
      </c>
      <c r="B353" s="10" t="s">
        <v>454</v>
      </c>
      <c r="C353" s="10">
        <v>0.88888888888888884</v>
      </c>
      <c r="D353" s="10" t="s">
        <v>34</v>
      </c>
      <c r="E353" s="10" t="s">
        <v>122</v>
      </c>
      <c r="F353" s="10" t="s">
        <v>35</v>
      </c>
      <c r="G353" s="328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9"/>
    </row>
    <row r="354" spans="1:18" ht="15" customHeight="1" x14ac:dyDescent="0.3">
      <c r="A354" s="26" t="s">
        <v>26</v>
      </c>
      <c r="B354" s="26" t="s">
        <v>455</v>
      </c>
      <c r="C354" s="26">
        <v>0.78819444444444453</v>
      </c>
      <c r="D354" s="26" t="s">
        <v>163</v>
      </c>
      <c r="E354" s="26" t="s">
        <v>566</v>
      </c>
      <c r="F354" s="26" t="s">
        <v>452</v>
      </c>
      <c r="G354" s="328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9"/>
    </row>
    <row r="355" spans="1:18" ht="15" customHeight="1" x14ac:dyDescent="0.3">
      <c r="A355" s="11" t="s">
        <v>456</v>
      </c>
      <c r="B355" s="11" t="s">
        <v>500</v>
      </c>
      <c r="C355" s="11">
        <v>0.3888888888888889</v>
      </c>
      <c r="D355" s="11" t="s">
        <v>567</v>
      </c>
      <c r="E355" s="11" t="s">
        <v>123</v>
      </c>
      <c r="F355" s="11" t="s">
        <v>568</v>
      </c>
      <c r="G355" s="328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9"/>
    </row>
    <row r="356" spans="1:18" ht="15" customHeight="1" x14ac:dyDescent="0.3">
      <c r="A356" s="11" t="s">
        <v>78</v>
      </c>
      <c r="B356" s="11" t="s">
        <v>461</v>
      </c>
      <c r="C356" s="11">
        <v>0.23958333333333329</v>
      </c>
      <c r="D356" s="11" t="s">
        <v>80</v>
      </c>
      <c r="E356" s="11" t="s">
        <v>47</v>
      </c>
      <c r="F356" s="11" t="s">
        <v>462</v>
      </c>
      <c r="G356" s="328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9"/>
    </row>
    <row r="357" spans="1:18" ht="15" customHeight="1" x14ac:dyDescent="0.3">
      <c r="A357" s="10" t="s">
        <v>78</v>
      </c>
      <c r="B357" s="10" t="s">
        <v>461</v>
      </c>
      <c r="C357" s="10">
        <v>0.23958333333333329</v>
      </c>
      <c r="D357" s="10" t="s">
        <v>83</v>
      </c>
      <c r="E357" s="10" t="s">
        <v>95</v>
      </c>
      <c r="F357" s="10" t="s">
        <v>463</v>
      </c>
      <c r="G357" s="328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9"/>
    </row>
    <row r="358" spans="1:18" ht="15" customHeight="1" x14ac:dyDescent="0.3">
      <c r="A358" s="26" t="s">
        <v>78</v>
      </c>
      <c r="B358" s="26" t="s">
        <v>470</v>
      </c>
      <c r="C358" s="26">
        <v>0.71875</v>
      </c>
      <c r="D358" s="26" t="s">
        <v>369</v>
      </c>
      <c r="E358" s="26" t="s">
        <v>71</v>
      </c>
      <c r="F358" s="26" t="s">
        <v>465</v>
      </c>
      <c r="G358" s="328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9"/>
    </row>
    <row r="359" spans="1:18" ht="15" customHeight="1" x14ac:dyDescent="0.3">
      <c r="A359" s="26" t="s">
        <v>78</v>
      </c>
      <c r="B359" s="26" t="s">
        <v>469</v>
      </c>
      <c r="C359" s="26">
        <v>0.37847222222222232</v>
      </c>
      <c r="D359" s="26" t="s">
        <v>80</v>
      </c>
      <c r="E359" s="26" t="s">
        <v>71</v>
      </c>
      <c r="F359" s="26" t="s">
        <v>465</v>
      </c>
      <c r="G359" s="328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9"/>
    </row>
    <row r="360" spans="1:18" ht="15" customHeight="1" x14ac:dyDescent="0.3">
      <c r="A360" s="10" t="s">
        <v>78</v>
      </c>
      <c r="B360" s="10" t="s">
        <v>469</v>
      </c>
      <c r="C360" s="10">
        <v>0.37847222222222232</v>
      </c>
      <c r="D360" s="10" t="s">
        <v>83</v>
      </c>
      <c r="E360" s="10" t="s">
        <v>95</v>
      </c>
      <c r="F360" s="10" t="s">
        <v>466</v>
      </c>
      <c r="G360" s="328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9"/>
    </row>
    <row r="361" spans="1:18" ht="15" customHeight="1" x14ac:dyDescent="0.3">
      <c r="A361" s="26" t="s">
        <v>78</v>
      </c>
      <c r="B361" s="26" t="s">
        <v>482</v>
      </c>
      <c r="C361" s="26">
        <v>0.61111111111111105</v>
      </c>
      <c r="D361" s="26" t="s">
        <v>80</v>
      </c>
      <c r="E361" s="26" t="s">
        <v>71</v>
      </c>
      <c r="F361" s="26" t="s">
        <v>465</v>
      </c>
      <c r="G361" s="328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9"/>
    </row>
    <row r="362" spans="1:18" ht="15" customHeight="1" x14ac:dyDescent="0.3">
      <c r="A362" s="10" t="s">
        <v>78</v>
      </c>
      <c r="B362" s="10" t="s">
        <v>482</v>
      </c>
      <c r="C362" s="10">
        <v>0.61111111111111105</v>
      </c>
      <c r="D362" s="10" t="s">
        <v>83</v>
      </c>
      <c r="E362" s="10" t="s">
        <v>95</v>
      </c>
      <c r="F362" s="10" t="s">
        <v>466</v>
      </c>
      <c r="G362" s="328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9"/>
    </row>
    <row r="363" spans="1:18" ht="15" customHeight="1" x14ac:dyDescent="0.3">
      <c r="A363" s="26" t="s">
        <v>78</v>
      </c>
      <c r="B363" s="26" t="s">
        <v>464</v>
      </c>
      <c r="C363" s="26">
        <v>6.9444444444444441E-3</v>
      </c>
      <c r="D363" s="26" t="s">
        <v>369</v>
      </c>
      <c r="E363" s="26" t="s">
        <v>71</v>
      </c>
      <c r="F363" s="26" t="s">
        <v>511</v>
      </c>
      <c r="G363" s="328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9"/>
    </row>
    <row r="364" spans="1:18" ht="15" customHeight="1" x14ac:dyDescent="0.3">
      <c r="A364" s="26" t="s">
        <v>78</v>
      </c>
      <c r="B364" s="26" t="s">
        <v>467</v>
      </c>
      <c r="C364" s="26">
        <v>0.1423611111111111</v>
      </c>
      <c r="D364" s="26" t="s">
        <v>369</v>
      </c>
      <c r="E364" s="26" t="s">
        <v>71</v>
      </c>
      <c r="F364" s="26" t="s">
        <v>511</v>
      </c>
      <c r="G364" s="328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9"/>
    </row>
    <row r="365" spans="1:18" ht="15" customHeight="1" x14ac:dyDescent="0.3">
      <c r="A365" s="26" t="s">
        <v>78</v>
      </c>
      <c r="B365" s="26" t="s">
        <v>468</v>
      </c>
      <c r="C365" s="26">
        <v>0.93055555555555547</v>
      </c>
      <c r="D365" s="26" t="s">
        <v>369</v>
      </c>
      <c r="E365" s="26" t="s">
        <v>71</v>
      </c>
      <c r="F365" s="26" t="s">
        <v>511</v>
      </c>
      <c r="G365" s="328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9"/>
    </row>
    <row r="366" spans="1:18" ht="15" customHeight="1" x14ac:dyDescent="0.3">
      <c r="A366" s="26" t="s">
        <v>78</v>
      </c>
      <c r="B366" s="26" t="s">
        <v>473</v>
      </c>
      <c r="C366" s="26">
        <v>0.88888888888888884</v>
      </c>
      <c r="D366" s="26" t="s">
        <v>68</v>
      </c>
      <c r="E366" s="26" t="s">
        <v>87</v>
      </c>
      <c r="F366" s="26" t="s">
        <v>474</v>
      </c>
      <c r="G366" s="328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9"/>
    </row>
    <row r="367" spans="1:18" ht="15" customHeight="1" x14ac:dyDescent="0.3">
      <c r="A367" s="26" t="s">
        <v>78</v>
      </c>
      <c r="B367" s="26" t="s">
        <v>475</v>
      </c>
      <c r="C367" s="26">
        <v>0.30208333333333331</v>
      </c>
      <c r="D367" s="26" t="s">
        <v>68</v>
      </c>
      <c r="E367" s="26" t="s">
        <v>87</v>
      </c>
      <c r="F367" s="26" t="s">
        <v>474</v>
      </c>
      <c r="G367" s="328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9"/>
    </row>
    <row r="368" spans="1:18" ht="15" customHeight="1" x14ac:dyDescent="0.3">
      <c r="A368" s="26" t="s">
        <v>78</v>
      </c>
      <c r="B368" s="26" t="s">
        <v>476</v>
      </c>
      <c r="C368" s="26">
        <v>0.12847222222222221</v>
      </c>
      <c r="D368" s="26" t="s">
        <v>83</v>
      </c>
      <c r="E368" s="26" t="s">
        <v>87</v>
      </c>
      <c r="F368" s="26" t="s">
        <v>474</v>
      </c>
      <c r="G368" s="328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9"/>
    </row>
    <row r="369" spans="1:18" ht="15" customHeight="1" x14ac:dyDescent="0.3">
      <c r="A369" s="26" t="s">
        <v>78</v>
      </c>
      <c r="B369" s="26" t="s">
        <v>480</v>
      </c>
      <c r="C369" s="26">
        <v>0.78819444444444453</v>
      </c>
      <c r="D369" s="26" t="s">
        <v>83</v>
      </c>
      <c r="E369" s="26" t="s">
        <v>87</v>
      </c>
      <c r="F369" s="26" t="s">
        <v>474</v>
      </c>
      <c r="G369" s="328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9"/>
    </row>
    <row r="370" spans="1:18" ht="15" customHeight="1" x14ac:dyDescent="0.3">
      <c r="A370" s="26" t="s">
        <v>78</v>
      </c>
      <c r="B370" s="26" t="s">
        <v>477</v>
      </c>
      <c r="C370" s="26">
        <v>0.82986111111111116</v>
      </c>
      <c r="D370" s="26" t="s">
        <v>369</v>
      </c>
      <c r="E370" s="26" t="s">
        <v>71</v>
      </c>
      <c r="F370" s="26" t="s">
        <v>569</v>
      </c>
      <c r="G370" s="328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9"/>
    </row>
    <row r="371" spans="1:18" ht="15" customHeight="1" x14ac:dyDescent="0.3">
      <c r="A371" s="11" t="s">
        <v>66</v>
      </c>
      <c r="B371" s="11" t="s">
        <v>505</v>
      </c>
      <c r="C371" s="11">
        <v>0.14583333333333329</v>
      </c>
      <c r="D371" s="11" t="s">
        <v>68</v>
      </c>
      <c r="E371" s="11" t="s">
        <v>47</v>
      </c>
      <c r="F371" s="11" t="s">
        <v>486</v>
      </c>
      <c r="G371" s="328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9"/>
    </row>
    <row r="372" spans="1:18" ht="15" customHeight="1" x14ac:dyDescent="0.3">
      <c r="A372" s="26" t="s">
        <v>66</v>
      </c>
      <c r="B372" s="26" t="s">
        <v>485</v>
      </c>
      <c r="C372" s="26">
        <v>0.4861111111111111</v>
      </c>
      <c r="D372" s="26" t="s">
        <v>68</v>
      </c>
      <c r="E372" s="26" t="s">
        <v>71</v>
      </c>
      <c r="F372" s="26" t="s">
        <v>491</v>
      </c>
      <c r="G372" s="328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9"/>
    </row>
    <row r="373" spans="1:18" ht="15" customHeight="1" x14ac:dyDescent="0.3">
      <c r="A373" s="26" t="s">
        <v>66</v>
      </c>
      <c r="B373" s="26" t="s">
        <v>488</v>
      </c>
      <c r="C373" s="26">
        <v>0.22222222222222221</v>
      </c>
      <c r="D373" s="26" t="s">
        <v>68</v>
      </c>
      <c r="E373" s="26" t="s">
        <v>71</v>
      </c>
      <c r="F373" s="26" t="s">
        <v>556</v>
      </c>
      <c r="G373" s="328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9"/>
    </row>
    <row r="374" spans="1:18" ht="15" customHeight="1" x14ac:dyDescent="0.3">
      <c r="A374" s="26" t="s">
        <v>66</v>
      </c>
      <c r="B374" s="26" t="s">
        <v>492</v>
      </c>
      <c r="C374" s="26">
        <v>0.77430555555555547</v>
      </c>
      <c r="D374" s="26" t="s">
        <v>68</v>
      </c>
      <c r="E374" s="26" t="s">
        <v>54</v>
      </c>
      <c r="F374" s="26" t="s">
        <v>493</v>
      </c>
      <c r="G374" s="328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9"/>
    </row>
    <row r="375" spans="1:18" ht="15" customHeight="1" x14ac:dyDescent="0.3">
      <c r="A375" s="31" t="s">
        <v>66</v>
      </c>
      <c r="B375" s="31" t="s">
        <v>509</v>
      </c>
      <c r="C375" s="31">
        <v>1.388888888888889E-2</v>
      </c>
      <c r="D375" s="31" t="s">
        <v>68</v>
      </c>
      <c r="E375" s="31" t="s">
        <v>114</v>
      </c>
      <c r="F375" s="31" t="s">
        <v>557</v>
      </c>
      <c r="G375" s="328"/>
      <c r="H375" s="28"/>
      <c r="I375" s="29"/>
      <c r="J375" s="29"/>
      <c r="K375" s="29"/>
      <c r="L375" s="29"/>
      <c r="M375" s="29"/>
      <c r="N375" s="29"/>
      <c r="O375" s="29"/>
      <c r="P375" s="29"/>
      <c r="Q375" s="29"/>
      <c r="R375" s="30"/>
    </row>
    <row r="376" spans="1:18" ht="17.399999999999999" customHeight="1" x14ac:dyDescent="0.3">
      <c r="A376" s="360"/>
      <c r="B376" s="361"/>
      <c r="C376" s="361"/>
      <c r="D376" s="361"/>
      <c r="E376" s="361"/>
      <c r="F376" s="361"/>
      <c r="G376" s="361"/>
      <c r="H376" s="361"/>
      <c r="I376" s="361"/>
      <c r="J376" s="361"/>
      <c r="K376" s="361"/>
      <c r="L376" s="361"/>
      <c r="M376" s="361"/>
      <c r="N376" s="361"/>
      <c r="O376" s="361"/>
      <c r="P376" s="361"/>
      <c r="Q376" s="361"/>
      <c r="R376" s="362"/>
    </row>
    <row r="377" spans="1:18" ht="22.05" customHeight="1" x14ac:dyDescent="0.3">
      <c r="A377" s="323" t="s">
        <v>6</v>
      </c>
      <c r="B377" s="324"/>
      <c r="C377" s="324"/>
      <c r="D377" s="324"/>
      <c r="E377" s="324"/>
      <c r="F377" s="324"/>
      <c r="G377" s="2">
        <v>45992</v>
      </c>
      <c r="H377" s="323" t="s">
        <v>7</v>
      </c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</row>
    <row r="378" spans="1:18" ht="24" customHeight="1" x14ac:dyDescent="0.3">
      <c r="A378" s="3" t="s">
        <v>8</v>
      </c>
      <c r="B378" s="3" t="s">
        <v>9</v>
      </c>
      <c r="C378" s="3" t="s">
        <v>10</v>
      </c>
      <c r="D378" s="3" t="s">
        <v>11</v>
      </c>
      <c r="E378" s="3" t="s">
        <v>12</v>
      </c>
      <c r="F378" s="4" t="s">
        <v>13</v>
      </c>
      <c r="G378" s="5" t="s">
        <v>14</v>
      </c>
      <c r="H378" s="3" t="s">
        <v>15</v>
      </c>
      <c r="I378" s="3" t="s">
        <v>16</v>
      </c>
      <c r="J378" s="3" t="s">
        <v>17</v>
      </c>
      <c r="K378" s="3" t="s">
        <v>18</v>
      </c>
      <c r="L378" s="3" t="s">
        <v>19</v>
      </c>
      <c r="M378" s="3" t="s">
        <v>20</v>
      </c>
      <c r="N378" s="3" t="s">
        <v>21</v>
      </c>
      <c r="O378" s="3" t="s">
        <v>22</v>
      </c>
      <c r="P378" s="3" t="s">
        <v>23</v>
      </c>
      <c r="Q378" s="3" t="s">
        <v>24</v>
      </c>
      <c r="R378" s="3" t="s">
        <v>25</v>
      </c>
    </row>
    <row r="379" spans="1:18" ht="15" customHeight="1" x14ac:dyDescent="0.3">
      <c r="A379" s="6" t="s">
        <v>410</v>
      </c>
      <c r="B379" s="6" t="s">
        <v>411</v>
      </c>
      <c r="C379" s="6">
        <v>0.3125</v>
      </c>
      <c r="D379" s="6" t="s">
        <v>406</v>
      </c>
      <c r="E379" s="6" t="s">
        <v>121</v>
      </c>
      <c r="F379" s="6" t="s">
        <v>374</v>
      </c>
      <c r="G379" s="328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9"/>
    </row>
    <row r="380" spans="1:18" ht="15" customHeight="1" x14ac:dyDescent="0.3">
      <c r="A380" s="26" t="s">
        <v>410</v>
      </c>
      <c r="B380" s="26" t="s">
        <v>413</v>
      </c>
      <c r="C380" s="26">
        <v>0.66666666666666663</v>
      </c>
      <c r="D380" s="26" t="s">
        <v>406</v>
      </c>
      <c r="E380" s="26" t="s">
        <v>54</v>
      </c>
      <c r="F380" s="26" t="s">
        <v>374</v>
      </c>
      <c r="G380" s="328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9"/>
    </row>
    <row r="381" spans="1:18" ht="15" customHeight="1" x14ac:dyDescent="0.3">
      <c r="A381" s="11" t="s">
        <v>36</v>
      </c>
      <c r="B381" s="11" t="s">
        <v>442</v>
      </c>
      <c r="C381" s="11">
        <v>0.25694444444444448</v>
      </c>
      <c r="D381" s="11" t="s">
        <v>38</v>
      </c>
      <c r="E381" s="11" t="s">
        <v>102</v>
      </c>
      <c r="F381" s="11" t="s">
        <v>530</v>
      </c>
      <c r="G381" s="328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9"/>
    </row>
    <row r="382" spans="1:18" ht="15" customHeight="1" x14ac:dyDescent="0.3">
      <c r="A382" s="10" t="s">
        <v>36</v>
      </c>
      <c r="B382" s="10" t="s">
        <v>442</v>
      </c>
      <c r="C382" s="10">
        <v>0.25694444444444448</v>
      </c>
      <c r="D382" s="10" t="s">
        <v>40</v>
      </c>
      <c r="E382" s="10" t="s">
        <v>104</v>
      </c>
      <c r="F382" s="10" t="s">
        <v>514</v>
      </c>
      <c r="G382" s="328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9"/>
    </row>
    <row r="383" spans="1:18" ht="15" customHeight="1" x14ac:dyDescent="0.3">
      <c r="A383" s="10" t="s">
        <v>36</v>
      </c>
      <c r="B383" s="10" t="s">
        <v>442</v>
      </c>
      <c r="C383" s="10">
        <v>0.25694444444444448</v>
      </c>
      <c r="D383" s="10" t="s">
        <v>42</v>
      </c>
      <c r="E383" s="10" t="s">
        <v>104</v>
      </c>
      <c r="F383" s="10" t="s">
        <v>414</v>
      </c>
      <c r="G383" s="328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9"/>
    </row>
    <row r="384" spans="1:18" ht="15" customHeight="1" x14ac:dyDescent="0.3">
      <c r="A384" s="26" t="s">
        <v>36</v>
      </c>
      <c r="B384" s="26" t="s">
        <v>443</v>
      </c>
      <c r="C384" s="26">
        <v>0.46875</v>
      </c>
      <c r="D384" s="26" t="s">
        <v>38</v>
      </c>
      <c r="E384" s="26" t="s">
        <v>87</v>
      </c>
      <c r="F384" s="26" t="s">
        <v>530</v>
      </c>
      <c r="G384" s="328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9"/>
    </row>
    <row r="385" spans="1:18" ht="15" customHeight="1" x14ac:dyDescent="0.3">
      <c r="A385" s="10" t="s">
        <v>36</v>
      </c>
      <c r="B385" s="10" t="s">
        <v>443</v>
      </c>
      <c r="C385" s="10">
        <v>0.46875</v>
      </c>
      <c r="D385" s="10" t="s">
        <v>40</v>
      </c>
      <c r="E385" s="10" t="s">
        <v>32</v>
      </c>
      <c r="F385" s="10" t="s">
        <v>514</v>
      </c>
      <c r="G385" s="328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9"/>
    </row>
    <row r="386" spans="1:18" ht="15" customHeight="1" x14ac:dyDescent="0.3">
      <c r="A386" s="10" t="s">
        <v>36</v>
      </c>
      <c r="B386" s="10" t="s">
        <v>443</v>
      </c>
      <c r="C386" s="10">
        <v>0.46875</v>
      </c>
      <c r="D386" s="10" t="s">
        <v>42</v>
      </c>
      <c r="E386" s="10" t="s">
        <v>32</v>
      </c>
      <c r="F386" s="10" t="s">
        <v>414</v>
      </c>
      <c r="G386" s="328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9"/>
    </row>
    <row r="387" spans="1:18" ht="15" customHeight="1" x14ac:dyDescent="0.3">
      <c r="A387" s="26" t="s">
        <v>36</v>
      </c>
      <c r="B387" s="26" t="s">
        <v>438</v>
      </c>
      <c r="C387" s="26">
        <v>0.85416666666666663</v>
      </c>
      <c r="D387" s="26" t="s">
        <v>38</v>
      </c>
      <c r="E387" s="26" t="s">
        <v>87</v>
      </c>
      <c r="F387" s="26" t="s">
        <v>436</v>
      </c>
      <c r="G387" s="328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9"/>
    </row>
    <row r="388" spans="1:18" ht="15" customHeight="1" x14ac:dyDescent="0.3">
      <c r="A388" s="10" t="s">
        <v>36</v>
      </c>
      <c r="B388" s="10" t="s">
        <v>438</v>
      </c>
      <c r="C388" s="10">
        <v>0.85416666666666663</v>
      </c>
      <c r="D388" s="10" t="s">
        <v>40</v>
      </c>
      <c r="E388" s="10" t="s">
        <v>32</v>
      </c>
      <c r="F388" s="10" t="s">
        <v>437</v>
      </c>
      <c r="G388" s="328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9"/>
    </row>
    <row r="389" spans="1:18" ht="15" customHeight="1" x14ac:dyDescent="0.3">
      <c r="A389" s="10" t="s">
        <v>36</v>
      </c>
      <c r="B389" s="10" t="s">
        <v>438</v>
      </c>
      <c r="C389" s="10">
        <v>0.85416666666666663</v>
      </c>
      <c r="D389" s="10" t="s">
        <v>42</v>
      </c>
      <c r="E389" s="10" t="s">
        <v>32</v>
      </c>
      <c r="F389" s="10" t="s">
        <v>39</v>
      </c>
      <c r="G389" s="328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9"/>
    </row>
    <row r="390" spans="1:18" ht="15" customHeight="1" x14ac:dyDescent="0.3">
      <c r="A390" s="26" t="s">
        <v>36</v>
      </c>
      <c r="B390" s="26" t="s">
        <v>444</v>
      </c>
      <c r="C390" s="26">
        <v>0.51736111111111105</v>
      </c>
      <c r="D390" s="26" t="s">
        <v>38</v>
      </c>
      <c r="E390" s="26" t="s">
        <v>90</v>
      </c>
      <c r="F390" s="26" t="s">
        <v>436</v>
      </c>
      <c r="G390" s="328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9"/>
    </row>
    <row r="391" spans="1:18" ht="15" customHeight="1" x14ac:dyDescent="0.3">
      <c r="A391" s="10" t="s">
        <v>36</v>
      </c>
      <c r="B391" s="10" t="s">
        <v>444</v>
      </c>
      <c r="C391" s="10">
        <v>0.51736111111111105</v>
      </c>
      <c r="D391" s="10" t="s">
        <v>40</v>
      </c>
      <c r="E391" s="10" t="s">
        <v>92</v>
      </c>
      <c r="F391" s="10" t="s">
        <v>437</v>
      </c>
      <c r="G391" s="328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9"/>
    </row>
    <row r="392" spans="1:18" ht="15" customHeight="1" x14ac:dyDescent="0.3">
      <c r="A392" s="10" t="s">
        <v>36</v>
      </c>
      <c r="B392" s="10" t="s">
        <v>444</v>
      </c>
      <c r="C392" s="10">
        <v>0.51736111111111105</v>
      </c>
      <c r="D392" s="10" t="s">
        <v>42</v>
      </c>
      <c r="E392" s="10" t="s">
        <v>92</v>
      </c>
      <c r="F392" s="10" t="s">
        <v>39</v>
      </c>
      <c r="G392" s="328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9"/>
    </row>
    <row r="393" spans="1:18" ht="15" customHeight="1" x14ac:dyDescent="0.3">
      <c r="A393" s="26" t="s">
        <v>36</v>
      </c>
      <c r="B393" s="26" t="s">
        <v>435</v>
      </c>
      <c r="C393" s="26">
        <v>0.90277777777777779</v>
      </c>
      <c r="D393" s="26" t="s">
        <v>38</v>
      </c>
      <c r="E393" s="26" t="s">
        <v>114</v>
      </c>
      <c r="F393" s="26" t="s">
        <v>436</v>
      </c>
      <c r="G393" s="328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9"/>
    </row>
    <row r="394" spans="1:18" ht="15" customHeight="1" x14ac:dyDescent="0.3">
      <c r="A394" s="10" t="s">
        <v>36</v>
      </c>
      <c r="B394" s="10" t="s">
        <v>435</v>
      </c>
      <c r="C394" s="10">
        <v>0.90277777777777779</v>
      </c>
      <c r="D394" s="10" t="s">
        <v>40</v>
      </c>
      <c r="E394" s="10" t="s">
        <v>115</v>
      </c>
      <c r="F394" s="10" t="s">
        <v>437</v>
      </c>
      <c r="G394" s="328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9"/>
    </row>
    <row r="395" spans="1:18" ht="15" customHeight="1" x14ac:dyDescent="0.3">
      <c r="A395" s="10" t="s">
        <v>36</v>
      </c>
      <c r="B395" s="10" t="s">
        <v>435</v>
      </c>
      <c r="C395" s="10">
        <v>0.90277777777777779</v>
      </c>
      <c r="D395" s="10" t="s">
        <v>42</v>
      </c>
      <c r="E395" s="10" t="s">
        <v>115</v>
      </c>
      <c r="F395" s="10" t="s">
        <v>39</v>
      </c>
      <c r="G395" s="328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9"/>
    </row>
    <row r="396" spans="1:18" ht="15" customHeight="1" x14ac:dyDescent="0.3">
      <c r="A396" s="26" t="s">
        <v>36</v>
      </c>
      <c r="B396" s="26" t="s">
        <v>445</v>
      </c>
      <c r="C396" s="26">
        <v>0.79861111111111116</v>
      </c>
      <c r="D396" s="26" t="s">
        <v>38</v>
      </c>
      <c r="E396" s="26" t="s">
        <v>114</v>
      </c>
      <c r="F396" s="26" t="s">
        <v>436</v>
      </c>
      <c r="G396" s="328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9"/>
    </row>
    <row r="397" spans="1:18" ht="15" customHeight="1" x14ac:dyDescent="0.3">
      <c r="A397" s="10" t="s">
        <v>36</v>
      </c>
      <c r="B397" s="10" t="s">
        <v>445</v>
      </c>
      <c r="C397" s="10">
        <v>0.79861111111111116</v>
      </c>
      <c r="D397" s="10" t="s">
        <v>40</v>
      </c>
      <c r="E397" s="10" t="s">
        <v>115</v>
      </c>
      <c r="F397" s="10" t="s">
        <v>437</v>
      </c>
      <c r="G397" s="328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9"/>
    </row>
    <row r="398" spans="1:18" ht="15" customHeight="1" x14ac:dyDescent="0.3">
      <c r="A398" s="10" t="s">
        <v>36</v>
      </c>
      <c r="B398" s="10" t="s">
        <v>445</v>
      </c>
      <c r="C398" s="10">
        <v>0.79861111111111116</v>
      </c>
      <c r="D398" s="10" t="s">
        <v>42</v>
      </c>
      <c r="E398" s="10" t="s">
        <v>115</v>
      </c>
      <c r="F398" s="10" t="s">
        <v>39</v>
      </c>
      <c r="G398" s="328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9"/>
    </row>
    <row r="399" spans="1:18" ht="15" customHeight="1" x14ac:dyDescent="0.3">
      <c r="A399" s="26" t="s">
        <v>36</v>
      </c>
      <c r="B399" s="26" t="s">
        <v>447</v>
      </c>
      <c r="C399" s="26">
        <v>0.39583333333333331</v>
      </c>
      <c r="D399" s="26" t="s">
        <v>38</v>
      </c>
      <c r="E399" s="26" t="s">
        <v>87</v>
      </c>
      <c r="F399" s="26" t="s">
        <v>436</v>
      </c>
      <c r="G399" s="328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9"/>
    </row>
    <row r="400" spans="1:18" ht="15" customHeight="1" x14ac:dyDescent="0.3">
      <c r="A400" s="10" t="s">
        <v>36</v>
      </c>
      <c r="B400" s="10" t="s">
        <v>447</v>
      </c>
      <c r="C400" s="10">
        <v>0.39583333333333331</v>
      </c>
      <c r="D400" s="10" t="s">
        <v>40</v>
      </c>
      <c r="E400" s="10" t="s">
        <v>32</v>
      </c>
      <c r="F400" s="10" t="s">
        <v>437</v>
      </c>
      <c r="G400" s="328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9"/>
    </row>
    <row r="401" spans="1:18" ht="15" customHeight="1" x14ac:dyDescent="0.3">
      <c r="A401" s="10" t="s">
        <v>36</v>
      </c>
      <c r="B401" s="10" t="s">
        <v>447</v>
      </c>
      <c r="C401" s="10">
        <v>0.39583333333333331</v>
      </c>
      <c r="D401" s="10" t="s">
        <v>42</v>
      </c>
      <c r="E401" s="10" t="s">
        <v>32</v>
      </c>
      <c r="F401" s="10" t="s">
        <v>39</v>
      </c>
      <c r="G401" s="328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9"/>
    </row>
    <row r="402" spans="1:18" ht="15" customHeight="1" x14ac:dyDescent="0.3">
      <c r="A402" s="26" t="s">
        <v>36</v>
      </c>
      <c r="B402" s="26" t="s">
        <v>446</v>
      </c>
      <c r="C402" s="26">
        <v>0.64583333333333337</v>
      </c>
      <c r="D402" s="26" t="s">
        <v>38</v>
      </c>
      <c r="E402" s="26" t="s">
        <v>87</v>
      </c>
      <c r="F402" s="26" t="s">
        <v>570</v>
      </c>
      <c r="G402" s="328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9"/>
    </row>
    <row r="403" spans="1:18" ht="15" customHeight="1" x14ac:dyDescent="0.3">
      <c r="A403" s="10" t="s">
        <v>36</v>
      </c>
      <c r="B403" s="10" t="s">
        <v>446</v>
      </c>
      <c r="C403" s="10">
        <v>0.64583333333333337</v>
      </c>
      <c r="D403" s="10" t="s">
        <v>40</v>
      </c>
      <c r="E403" s="10" t="s">
        <v>32</v>
      </c>
      <c r="F403" s="10" t="s">
        <v>105</v>
      </c>
      <c r="G403" s="328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9"/>
    </row>
    <row r="404" spans="1:18" ht="15" customHeight="1" x14ac:dyDescent="0.3">
      <c r="A404" s="10" t="s">
        <v>36</v>
      </c>
      <c r="B404" s="10" t="s">
        <v>446</v>
      </c>
      <c r="C404" s="10">
        <v>0.64583333333333337</v>
      </c>
      <c r="D404" s="10" t="s">
        <v>42</v>
      </c>
      <c r="E404" s="10" t="s">
        <v>32</v>
      </c>
      <c r="F404" s="10" t="s">
        <v>571</v>
      </c>
      <c r="G404" s="328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9"/>
    </row>
    <row r="405" spans="1:18" ht="15" customHeight="1" x14ac:dyDescent="0.3">
      <c r="A405" s="11" t="s">
        <v>26</v>
      </c>
      <c r="B405" s="11" t="s">
        <v>451</v>
      </c>
      <c r="C405" s="11">
        <v>0.12847222222222221</v>
      </c>
      <c r="D405" s="11" t="s">
        <v>28</v>
      </c>
      <c r="E405" s="11" t="s">
        <v>121</v>
      </c>
      <c r="F405" s="11" t="s">
        <v>498</v>
      </c>
      <c r="G405" s="328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9"/>
    </row>
    <row r="406" spans="1:18" ht="15" customHeight="1" x14ac:dyDescent="0.3">
      <c r="A406" s="10" t="s">
        <v>26</v>
      </c>
      <c r="B406" s="10" t="s">
        <v>451</v>
      </c>
      <c r="C406" s="10">
        <v>0.12847222222222221</v>
      </c>
      <c r="D406" s="10" t="s">
        <v>31</v>
      </c>
      <c r="E406" s="10" t="s">
        <v>122</v>
      </c>
      <c r="F406" s="10" t="s">
        <v>499</v>
      </c>
      <c r="G406" s="328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9"/>
    </row>
    <row r="407" spans="1:18" ht="15" customHeight="1" x14ac:dyDescent="0.3">
      <c r="A407" s="10" t="s">
        <v>26</v>
      </c>
      <c r="B407" s="10" t="s">
        <v>451</v>
      </c>
      <c r="C407" s="10">
        <v>0.12847222222222221</v>
      </c>
      <c r="D407" s="10" t="s">
        <v>34</v>
      </c>
      <c r="E407" s="10" t="s">
        <v>122</v>
      </c>
      <c r="F407" s="10" t="s">
        <v>35</v>
      </c>
      <c r="G407" s="328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9"/>
    </row>
    <row r="408" spans="1:18" ht="15" customHeight="1" x14ac:dyDescent="0.3">
      <c r="A408" s="26" t="s">
        <v>26</v>
      </c>
      <c r="B408" s="26" t="s">
        <v>453</v>
      </c>
      <c r="C408" s="26">
        <v>0.30208333333333331</v>
      </c>
      <c r="D408" s="26" t="s">
        <v>28</v>
      </c>
      <c r="E408" s="26" t="s">
        <v>114</v>
      </c>
      <c r="F408" s="26" t="s">
        <v>498</v>
      </c>
      <c r="G408" s="328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9"/>
    </row>
    <row r="409" spans="1:18" ht="15" customHeight="1" x14ac:dyDescent="0.3">
      <c r="A409" s="10" t="s">
        <v>26</v>
      </c>
      <c r="B409" s="10" t="s">
        <v>453</v>
      </c>
      <c r="C409" s="10">
        <v>0.30208333333333331</v>
      </c>
      <c r="D409" s="10" t="s">
        <v>31</v>
      </c>
      <c r="E409" s="10" t="s">
        <v>115</v>
      </c>
      <c r="F409" s="10" t="s">
        <v>499</v>
      </c>
      <c r="G409" s="328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9"/>
    </row>
    <row r="410" spans="1:18" ht="15" customHeight="1" x14ac:dyDescent="0.3">
      <c r="A410" s="10" t="s">
        <v>26</v>
      </c>
      <c r="B410" s="10" t="s">
        <v>453</v>
      </c>
      <c r="C410" s="10">
        <v>0.30208333333333331</v>
      </c>
      <c r="D410" s="10" t="s">
        <v>34</v>
      </c>
      <c r="E410" s="10" t="s">
        <v>115</v>
      </c>
      <c r="F410" s="10" t="s">
        <v>35</v>
      </c>
      <c r="G410" s="328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9"/>
    </row>
    <row r="411" spans="1:18" ht="15" customHeight="1" x14ac:dyDescent="0.3">
      <c r="A411" s="26" t="s">
        <v>26</v>
      </c>
      <c r="B411" s="26" t="s">
        <v>454</v>
      </c>
      <c r="C411" s="26">
        <v>0.88888888888888884</v>
      </c>
      <c r="D411" s="26" t="s">
        <v>28</v>
      </c>
      <c r="E411" s="26" t="s">
        <v>87</v>
      </c>
      <c r="F411" s="26" t="s">
        <v>498</v>
      </c>
      <c r="G411" s="328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9"/>
    </row>
    <row r="412" spans="1:18" ht="15" customHeight="1" x14ac:dyDescent="0.3">
      <c r="A412" s="10" t="s">
        <v>26</v>
      </c>
      <c r="B412" s="10" t="s">
        <v>454</v>
      </c>
      <c r="C412" s="10">
        <v>0.88888888888888884</v>
      </c>
      <c r="D412" s="10" t="s">
        <v>31</v>
      </c>
      <c r="E412" s="10" t="s">
        <v>32</v>
      </c>
      <c r="F412" s="10" t="s">
        <v>499</v>
      </c>
      <c r="G412" s="328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9"/>
    </row>
    <row r="413" spans="1:18" ht="15" customHeight="1" x14ac:dyDescent="0.3">
      <c r="A413" s="10" t="s">
        <v>26</v>
      </c>
      <c r="B413" s="10" t="s">
        <v>454</v>
      </c>
      <c r="C413" s="10">
        <v>0.88888888888888884</v>
      </c>
      <c r="D413" s="10" t="s">
        <v>34</v>
      </c>
      <c r="E413" s="10" t="s">
        <v>32</v>
      </c>
      <c r="F413" s="10" t="s">
        <v>35</v>
      </c>
      <c r="G413" s="328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9"/>
    </row>
    <row r="414" spans="1:18" ht="15" customHeight="1" x14ac:dyDescent="0.3">
      <c r="A414" s="26" t="s">
        <v>26</v>
      </c>
      <c r="B414" s="26" t="s">
        <v>455</v>
      </c>
      <c r="C414" s="26">
        <v>0.78819444444444453</v>
      </c>
      <c r="D414" s="26" t="s">
        <v>28</v>
      </c>
      <c r="E414" s="26" t="s">
        <v>113</v>
      </c>
      <c r="F414" s="26" t="s">
        <v>452</v>
      </c>
      <c r="G414" s="328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9"/>
    </row>
    <row r="415" spans="1:18" ht="15" customHeight="1" x14ac:dyDescent="0.3">
      <c r="A415" s="10" t="s">
        <v>26</v>
      </c>
      <c r="B415" s="10" t="s">
        <v>455</v>
      </c>
      <c r="C415" s="10">
        <v>0.78819444444444453</v>
      </c>
      <c r="D415" s="10" t="s">
        <v>31</v>
      </c>
      <c r="E415" s="10" t="s">
        <v>136</v>
      </c>
      <c r="F415" s="10" t="s">
        <v>179</v>
      </c>
      <c r="G415" s="328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9"/>
    </row>
    <row r="416" spans="1:18" ht="15" customHeight="1" x14ac:dyDescent="0.3">
      <c r="A416" s="10" t="s">
        <v>26</v>
      </c>
      <c r="B416" s="10" t="s">
        <v>455</v>
      </c>
      <c r="C416" s="10">
        <v>0.78819444444444453</v>
      </c>
      <c r="D416" s="10" t="s">
        <v>34</v>
      </c>
      <c r="E416" s="10" t="s">
        <v>136</v>
      </c>
      <c r="F416" s="10" t="s">
        <v>35</v>
      </c>
      <c r="G416" s="328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9"/>
    </row>
    <row r="417" spans="1:18" ht="15" customHeight="1" x14ac:dyDescent="0.3">
      <c r="A417" s="11" t="s">
        <v>456</v>
      </c>
      <c r="B417" s="11" t="s">
        <v>500</v>
      </c>
      <c r="C417" s="11">
        <v>0.3923611111111111</v>
      </c>
      <c r="D417" s="11" t="s">
        <v>458</v>
      </c>
      <c r="E417" s="11" t="s">
        <v>123</v>
      </c>
      <c r="F417" s="11" t="s">
        <v>572</v>
      </c>
      <c r="G417" s="328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9"/>
    </row>
    <row r="418" spans="1:18" ht="15" customHeight="1" x14ac:dyDescent="0.3">
      <c r="A418" s="10" t="s">
        <v>456</v>
      </c>
      <c r="B418" s="10" t="s">
        <v>500</v>
      </c>
      <c r="C418" s="10">
        <v>0.3923611111111111</v>
      </c>
      <c r="D418" s="10" t="s">
        <v>34</v>
      </c>
      <c r="E418" s="10" t="s">
        <v>124</v>
      </c>
      <c r="F418" s="10" t="s">
        <v>573</v>
      </c>
      <c r="G418" s="328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9"/>
    </row>
    <row r="419" spans="1:18" ht="15" customHeight="1" x14ac:dyDescent="0.3">
      <c r="A419" s="26" t="s">
        <v>456</v>
      </c>
      <c r="B419" s="26" t="s">
        <v>457</v>
      </c>
      <c r="C419" s="26">
        <v>0.1736111111111111</v>
      </c>
      <c r="D419" s="26" t="s">
        <v>458</v>
      </c>
      <c r="E419" s="26" t="s">
        <v>439</v>
      </c>
      <c r="F419" s="26" t="s">
        <v>574</v>
      </c>
      <c r="G419" s="328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9"/>
    </row>
    <row r="420" spans="1:18" ht="15" customHeight="1" x14ac:dyDescent="0.3">
      <c r="A420" s="10" t="s">
        <v>456</v>
      </c>
      <c r="B420" s="10" t="s">
        <v>457</v>
      </c>
      <c r="C420" s="10">
        <v>0.1736111111111111</v>
      </c>
      <c r="D420" s="10" t="s">
        <v>34</v>
      </c>
      <c r="E420" s="10" t="s">
        <v>124</v>
      </c>
      <c r="F420" s="10" t="s">
        <v>575</v>
      </c>
      <c r="G420" s="328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9"/>
    </row>
    <row r="421" spans="1:18" ht="15" customHeight="1" x14ac:dyDescent="0.3">
      <c r="A421" s="149" t="s">
        <v>44</v>
      </c>
      <c r="B421" s="149" t="s">
        <v>429</v>
      </c>
      <c r="C421" s="149">
        <v>0.97916666666666663</v>
      </c>
      <c r="D421" s="149" t="s">
        <v>46</v>
      </c>
      <c r="E421" s="149" t="s">
        <v>134</v>
      </c>
      <c r="F421" s="149" t="s">
        <v>426</v>
      </c>
      <c r="G421" s="328"/>
      <c r="H421" s="19" t="s">
        <v>430</v>
      </c>
      <c r="I421" s="20">
        <v>0.89390000000000003</v>
      </c>
      <c r="J421" s="21">
        <v>160</v>
      </c>
      <c r="K421" s="22" t="s">
        <v>50</v>
      </c>
      <c r="L421" s="21">
        <v>23</v>
      </c>
      <c r="M421" s="21">
        <v>0</v>
      </c>
      <c r="N421" s="21">
        <v>1</v>
      </c>
      <c r="O421" s="22" t="s">
        <v>282</v>
      </c>
      <c r="P421" s="22">
        <v>0.97916666666666663</v>
      </c>
      <c r="Q421" s="21">
        <v>179</v>
      </c>
      <c r="R421" s="23" t="s">
        <v>576</v>
      </c>
    </row>
    <row r="422" spans="1:18" ht="15" customHeight="1" x14ac:dyDescent="0.3">
      <c r="A422" s="193" t="s">
        <v>44</v>
      </c>
      <c r="B422" s="193" t="s">
        <v>425</v>
      </c>
      <c r="C422" s="193">
        <v>0.61458333333333337</v>
      </c>
      <c r="D422" s="193" t="s">
        <v>46</v>
      </c>
      <c r="E422" s="193" t="s">
        <v>97</v>
      </c>
      <c r="F422" s="193" t="s">
        <v>562</v>
      </c>
      <c r="G422" s="328"/>
      <c r="H422" s="194" t="s">
        <v>427</v>
      </c>
      <c r="I422" s="207">
        <v>0.86029999999999995</v>
      </c>
      <c r="J422" s="196">
        <v>154</v>
      </c>
      <c r="K422" s="197" t="s">
        <v>50</v>
      </c>
      <c r="L422" s="196">
        <v>28</v>
      </c>
      <c r="M422" s="196">
        <v>0</v>
      </c>
      <c r="N422" s="196">
        <v>4</v>
      </c>
      <c r="O422" s="197" t="s">
        <v>563</v>
      </c>
      <c r="P422" s="197">
        <v>0.61458333333333337</v>
      </c>
      <c r="Q422" s="196">
        <v>179</v>
      </c>
      <c r="R422" s="198" t="s">
        <v>577</v>
      </c>
    </row>
    <row r="423" spans="1:18" ht="15" customHeight="1" x14ac:dyDescent="0.3">
      <c r="A423" s="24" t="s">
        <v>44</v>
      </c>
      <c r="B423" s="24" t="s">
        <v>520</v>
      </c>
      <c r="C423" s="24">
        <v>6.9444444444444441E-3</v>
      </c>
      <c r="D423" s="24" t="s">
        <v>46</v>
      </c>
      <c r="E423" s="24" t="s">
        <v>113</v>
      </c>
      <c r="F423" s="24" t="s">
        <v>578</v>
      </c>
      <c r="G423" s="328"/>
      <c r="H423" s="13" t="s">
        <v>432</v>
      </c>
      <c r="I423" s="25">
        <v>0.88270000000000004</v>
      </c>
      <c r="J423" s="15">
        <v>158</v>
      </c>
      <c r="K423" s="16" t="s">
        <v>378</v>
      </c>
      <c r="L423" s="15">
        <v>8</v>
      </c>
      <c r="M423" s="15">
        <v>0</v>
      </c>
      <c r="N423" s="15">
        <v>0</v>
      </c>
      <c r="O423" s="16" t="s">
        <v>579</v>
      </c>
      <c r="P423" s="16">
        <v>6.9444444444444441E-3</v>
      </c>
      <c r="Q423" s="15">
        <v>179</v>
      </c>
      <c r="R423" s="17" t="s">
        <v>580</v>
      </c>
    </row>
    <row r="424" spans="1:18" ht="15" customHeight="1" x14ac:dyDescent="0.3">
      <c r="A424" s="57" t="s">
        <v>44</v>
      </c>
      <c r="B424" s="57" t="s">
        <v>415</v>
      </c>
      <c r="C424" s="57">
        <v>0.4236111111111111</v>
      </c>
      <c r="D424" s="57" t="s">
        <v>46</v>
      </c>
      <c r="E424" s="57" t="s">
        <v>113</v>
      </c>
      <c r="F424" s="57" t="s">
        <v>578</v>
      </c>
      <c r="G424" s="328"/>
      <c r="H424" s="58" t="s">
        <v>417</v>
      </c>
      <c r="I424" s="59">
        <v>0.9274</v>
      </c>
      <c r="J424" s="60">
        <v>166</v>
      </c>
      <c r="K424" s="61" t="s">
        <v>50</v>
      </c>
      <c r="L424" s="60">
        <v>57</v>
      </c>
      <c r="M424" s="60">
        <v>0</v>
      </c>
      <c r="N424" s="60">
        <v>2</v>
      </c>
      <c r="O424" s="61" t="s">
        <v>579</v>
      </c>
      <c r="P424" s="61">
        <v>0.4236111111111111</v>
      </c>
      <c r="Q424" s="60">
        <v>179</v>
      </c>
      <c r="R424" s="62" t="s">
        <v>581</v>
      </c>
    </row>
    <row r="425" spans="1:18" ht="15" customHeight="1" x14ac:dyDescent="0.3">
      <c r="A425" s="11" t="s">
        <v>404</v>
      </c>
      <c r="B425" s="11" t="s">
        <v>408</v>
      </c>
      <c r="C425" s="11">
        <v>0.20833333333333329</v>
      </c>
      <c r="D425" s="11" t="s">
        <v>406</v>
      </c>
      <c r="E425" s="11" t="s">
        <v>47</v>
      </c>
      <c r="F425" s="11" t="s">
        <v>409</v>
      </c>
      <c r="G425" s="328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9"/>
    </row>
    <row r="426" spans="1:18" ht="15" customHeight="1" x14ac:dyDescent="0.3">
      <c r="A426" s="11" t="s">
        <v>78</v>
      </c>
      <c r="B426" s="11" t="s">
        <v>469</v>
      </c>
      <c r="C426" s="11">
        <v>0.37847222222222232</v>
      </c>
      <c r="D426" s="11" t="s">
        <v>80</v>
      </c>
      <c r="E426" s="11" t="s">
        <v>47</v>
      </c>
      <c r="F426" s="11" t="s">
        <v>462</v>
      </c>
      <c r="G426" s="328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9"/>
    </row>
    <row r="427" spans="1:18" ht="15" customHeight="1" x14ac:dyDescent="0.3">
      <c r="A427" s="10" t="s">
        <v>78</v>
      </c>
      <c r="B427" s="10" t="s">
        <v>469</v>
      </c>
      <c r="C427" s="10">
        <v>0.37847222222222232</v>
      </c>
      <c r="D427" s="10" t="s">
        <v>83</v>
      </c>
      <c r="E427" s="10" t="s">
        <v>95</v>
      </c>
      <c r="F427" s="10" t="s">
        <v>463</v>
      </c>
      <c r="G427" s="328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9"/>
    </row>
    <row r="428" spans="1:18" ht="15" customHeight="1" x14ac:dyDescent="0.3">
      <c r="A428" s="26" t="s">
        <v>78</v>
      </c>
      <c r="B428" s="26" t="s">
        <v>461</v>
      </c>
      <c r="C428" s="26">
        <v>0.23958333333333329</v>
      </c>
      <c r="D428" s="26" t="s">
        <v>80</v>
      </c>
      <c r="E428" s="26" t="s">
        <v>71</v>
      </c>
      <c r="F428" s="26" t="s">
        <v>462</v>
      </c>
      <c r="G428" s="328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9"/>
    </row>
    <row r="429" spans="1:18" ht="15" customHeight="1" x14ac:dyDescent="0.3">
      <c r="A429" s="10" t="s">
        <v>78</v>
      </c>
      <c r="B429" s="10" t="s">
        <v>461</v>
      </c>
      <c r="C429" s="10">
        <v>0.23958333333333329</v>
      </c>
      <c r="D429" s="10" t="s">
        <v>83</v>
      </c>
      <c r="E429" s="10" t="s">
        <v>95</v>
      </c>
      <c r="F429" s="10" t="s">
        <v>463</v>
      </c>
      <c r="G429" s="328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9"/>
    </row>
    <row r="430" spans="1:18" ht="15" customHeight="1" x14ac:dyDescent="0.3">
      <c r="A430" s="26" t="s">
        <v>78</v>
      </c>
      <c r="B430" s="26" t="s">
        <v>468</v>
      </c>
      <c r="C430" s="26">
        <v>0.93055555555555547</v>
      </c>
      <c r="D430" s="26" t="s">
        <v>80</v>
      </c>
      <c r="E430" s="26" t="s">
        <v>71</v>
      </c>
      <c r="F430" s="26" t="s">
        <v>465</v>
      </c>
      <c r="G430" s="328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9"/>
    </row>
    <row r="431" spans="1:18" ht="15" customHeight="1" x14ac:dyDescent="0.3">
      <c r="A431" s="10" t="s">
        <v>78</v>
      </c>
      <c r="B431" s="10" t="s">
        <v>468</v>
      </c>
      <c r="C431" s="10">
        <v>0.93055555555555547</v>
      </c>
      <c r="D431" s="10" t="s">
        <v>83</v>
      </c>
      <c r="E431" s="10" t="s">
        <v>95</v>
      </c>
      <c r="F431" s="10" t="s">
        <v>466</v>
      </c>
      <c r="G431" s="328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9"/>
    </row>
    <row r="432" spans="1:18" ht="15" customHeight="1" x14ac:dyDescent="0.3">
      <c r="A432" s="26" t="s">
        <v>78</v>
      </c>
      <c r="B432" s="26" t="s">
        <v>482</v>
      </c>
      <c r="C432" s="26">
        <v>0.61111111111111105</v>
      </c>
      <c r="D432" s="26" t="s">
        <v>80</v>
      </c>
      <c r="E432" s="26" t="s">
        <v>71</v>
      </c>
      <c r="F432" s="26" t="s">
        <v>465</v>
      </c>
      <c r="G432" s="328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9"/>
    </row>
    <row r="433" spans="1:18" ht="15" customHeight="1" x14ac:dyDescent="0.3">
      <c r="A433" s="10" t="s">
        <v>78</v>
      </c>
      <c r="B433" s="10" t="s">
        <v>482</v>
      </c>
      <c r="C433" s="10">
        <v>0.61111111111111105</v>
      </c>
      <c r="D433" s="10" t="s">
        <v>83</v>
      </c>
      <c r="E433" s="10" t="s">
        <v>95</v>
      </c>
      <c r="F433" s="10" t="s">
        <v>466</v>
      </c>
      <c r="G433" s="328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9"/>
    </row>
    <row r="434" spans="1:18" ht="15" customHeight="1" x14ac:dyDescent="0.3">
      <c r="A434" s="26" t="s">
        <v>78</v>
      </c>
      <c r="B434" s="26" t="s">
        <v>464</v>
      </c>
      <c r="C434" s="26">
        <v>6.9444444444444441E-3</v>
      </c>
      <c r="D434" s="26" t="s">
        <v>80</v>
      </c>
      <c r="E434" s="26" t="s">
        <v>71</v>
      </c>
      <c r="F434" s="26" t="s">
        <v>511</v>
      </c>
      <c r="G434" s="328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9"/>
    </row>
    <row r="435" spans="1:18" ht="15" customHeight="1" x14ac:dyDescent="0.3">
      <c r="A435" s="10" t="s">
        <v>78</v>
      </c>
      <c r="B435" s="10" t="s">
        <v>464</v>
      </c>
      <c r="C435" s="10">
        <v>6.9444444444444441E-3</v>
      </c>
      <c r="D435" s="10" t="s">
        <v>83</v>
      </c>
      <c r="E435" s="10" t="s">
        <v>95</v>
      </c>
      <c r="F435" s="10" t="s">
        <v>512</v>
      </c>
      <c r="G435" s="328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9"/>
    </row>
    <row r="436" spans="1:18" ht="15" customHeight="1" x14ac:dyDescent="0.3">
      <c r="A436" s="26" t="s">
        <v>78</v>
      </c>
      <c r="B436" s="26" t="s">
        <v>470</v>
      </c>
      <c r="C436" s="26">
        <v>0.71875</v>
      </c>
      <c r="D436" s="26" t="s">
        <v>80</v>
      </c>
      <c r="E436" s="26" t="s">
        <v>71</v>
      </c>
      <c r="F436" s="26" t="s">
        <v>511</v>
      </c>
      <c r="G436" s="328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9"/>
    </row>
    <row r="437" spans="1:18" ht="15" customHeight="1" x14ac:dyDescent="0.3">
      <c r="A437" s="10" t="s">
        <v>78</v>
      </c>
      <c r="B437" s="10" t="s">
        <v>470</v>
      </c>
      <c r="C437" s="10">
        <v>0.71875</v>
      </c>
      <c r="D437" s="10" t="s">
        <v>83</v>
      </c>
      <c r="E437" s="10" t="s">
        <v>95</v>
      </c>
      <c r="F437" s="10" t="s">
        <v>512</v>
      </c>
      <c r="G437" s="328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9"/>
    </row>
    <row r="438" spans="1:18" ht="15" customHeight="1" x14ac:dyDescent="0.3">
      <c r="A438" s="26" t="s">
        <v>78</v>
      </c>
      <c r="B438" s="26" t="s">
        <v>477</v>
      </c>
      <c r="C438" s="26">
        <v>0.82986111111111116</v>
      </c>
      <c r="D438" s="26" t="s">
        <v>80</v>
      </c>
      <c r="E438" s="26" t="s">
        <v>71</v>
      </c>
      <c r="F438" s="26" t="s">
        <v>511</v>
      </c>
      <c r="G438" s="328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9"/>
    </row>
    <row r="439" spans="1:18" ht="15" customHeight="1" x14ac:dyDescent="0.3">
      <c r="A439" s="10" t="s">
        <v>78</v>
      </c>
      <c r="B439" s="10" t="s">
        <v>477</v>
      </c>
      <c r="C439" s="10">
        <v>0.82986111111111116</v>
      </c>
      <c r="D439" s="10" t="s">
        <v>83</v>
      </c>
      <c r="E439" s="10" t="s">
        <v>95</v>
      </c>
      <c r="F439" s="10" t="s">
        <v>512</v>
      </c>
      <c r="G439" s="328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9"/>
    </row>
    <row r="440" spans="1:18" ht="15" customHeight="1" x14ac:dyDescent="0.3">
      <c r="A440" s="26" t="s">
        <v>78</v>
      </c>
      <c r="B440" s="26" t="s">
        <v>473</v>
      </c>
      <c r="C440" s="26">
        <v>0.88888888888888884</v>
      </c>
      <c r="D440" s="26" t="s">
        <v>83</v>
      </c>
      <c r="E440" s="26" t="s">
        <v>87</v>
      </c>
      <c r="F440" s="26" t="s">
        <v>474</v>
      </c>
      <c r="G440" s="328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9"/>
    </row>
    <row r="441" spans="1:18" ht="15" customHeight="1" x14ac:dyDescent="0.3">
      <c r="A441" s="26" t="s">
        <v>78</v>
      </c>
      <c r="B441" s="26" t="s">
        <v>475</v>
      </c>
      <c r="C441" s="26">
        <v>0.30208333333333331</v>
      </c>
      <c r="D441" s="26" t="s">
        <v>83</v>
      </c>
      <c r="E441" s="26" t="s">
        <v>87</v>
      </c>
      <c r="F441" s="26" t="s">
        <v>474</v>
      </c>
      <c r="G441" s="328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9"/>
    </row>
    <row r="442" spans="1:18" ht="15" customHeight="1" x14ac:dyDescent="0.3">
      <c r="A442" s="26" t="s">
        <v>78</v>
      </c>
      <c r="B442" s="26" t="s">
        <v>476</v>
      </c>
      <c r="C442" s="26">
        <v>0.12847222222222221</v>
      </c>
      <c r="D442" s="26" t="s">
        <v>83</v>
      </c>
      <c r="E442" s="26" t="s">
        <v>87</v>
      </c>
      <c r="F442" s="26" t="s">
        <v>474</v>
      </c>
      <c r="G442" s="328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9"/>
    </row>
    <row r="443" spans="1:18" ht="15" customHeight="1" x14ac:dyDescent="0.3">
      <c r="A443" s="26" t="s">
        <v>78</v>
      </c>
      <c r="B443" s="26" t="s">
        <v>480</v>
      </c>
      <c r="C443" s="26">
        <v>0.78819444444444453</v>
      </c>
      <c r="D443" s="26" t="s">
        <v>83</v>
      </c>
      <c r="E443" s="26" t="s">
        <v>87</v>
      </c>
      <c r="F443" s="26" t="s">
        <v>474</v>
      </c>
      <c r="G443" s="328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9"/>
    </row>
    <row r="444" spans="1:18" ht="15" customHeight="1" x14ac:dyDescent="0.3">
      <c r="A444" s="26" t="s">
        <v>78</v>
      </c>
      <c r="B444" s="26" t="s">
        <v>467</v>
      </c>
      <c r="C444" s="26">
        <v>0.1423611111111111</v>
      </c>
      <c r="D444" s="26" t="s">
        <v>80</v>
      </c>
      <c r="E444" s="26" t="s">
        <v>71</v>
      </c>
      <c r="F444" s="26" t="s">
        <v>569</v>
      </c>
      <c r="G444" s="328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9"/>
    </row>
    <row r="445" spans="1:18" ht="15" customHeight="1" x14ac:dyDescent="0.3">
      <c r="A445" s="10" t="s">
        <v>78</v>
      </c>
      <c r="B445" s="10" t="s">
        <v>467</v>
      </c>
      <c r="C445" s="10">
        <v>0.1423611111111111</v>
      </c>
      <c r="D445" s="10" t="s">
        <v>83</v>
      </c>
      <c r="E445" s="10" t="s">
        <v>95</v>
      </c>
      <c r="F445" s="10" t="s">
        <v>582</v>
      </c>
      <c r="G445" s="328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9"/>
    </row>
    <row r="446" spans="1:18" ht="15" customHeight="1" x14ac:dyDescent="0.3">
      <c r="A446" s="11" t="s">
        <v>66</v>
      </c>
      <c r="B446" s="11" t="s">
        <v>488</v>
      </c>
      <c r="C446" s="11">
        <v>0.22916666666666671</v>
      </c>
      <c r="D446" s="11" t="s">
        <v>68</v>
      </c>
      <c r="E446" s="11" t="s">
        <v>47</v>
      </c>
      <c r="F446" s="11" t="s">
        <v>507</v>
      </c>
      <c r="G446" s="328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9"/>
    </row>
    <row r="447" spans="1:18" ht="15" customHeight="1" x14ac:dyDescent="0.3">
      <c r="A447" s="26" t="s">
        <v>66</v>
      </c>
      <c r="B447" s="26" t="s">
        <v>505</v>
      </c>
      <c r="C447" s="26">
        <v>0.14583333333333329</v>
      </c>
      <c r="D447" s="26" t="s">
        <v>68</v>
      </c>
      <c r="E447" s="26" t="s">
        <v>71</v>
      </c>
      <c r="F447" s="26" t="s">
        <v>507</v>
      </c>
      <c r="G447" s="328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9"/>
    </row>
    <row r="448" spans="1:18" ht="15" customHeight="1" x14ac:dyDescent="0.3">
      <c r="A448" s="26" t="s">
        <v>66</v>
      </c>
      <c r="B448" s="26" t="s">
        <v>490</v>
      </c>
      <c r="C448" s="26">
        <v>0.27777777777777779</v>
      </c>
      <c r="D448" s="26" t="s">
        <v>68</v>
      </c>
      <c r="E448" s="26" t="s">
        <v>71</v>
      </c>
      <c r="F448" s="26" t="s">
        <v>507</v>
      </c>
      <c r="G448" s="328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9"/>
    </row>
    <row r="449" spans="1:18" ht="15" customHeight="1" x14ac:dyDescent="0.3">
      <c r="A449" s="26" t="s">
        <v>66</v>
      </c>
      <c r="B449" s="26" t="s">
        <v>485</v>
      </c>
      <c r="C449" s="26">
        <v>0.4861111111111111</v>
      </c>
      <c r="D449" s="26" t="s">
        <v>68</v>
      </c>
      <c r="E449" s="26" t="s">
        <v>71</v>
      </c>
      <c r="F449" s="26" t="s">
        <v>507</v>
      </c>
      <c r="G449" s="328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9"/>
    </row>
    <row r="450" spans="1:18" ht="15" customHeight="1" x14ac:dyDescent="0.3">
      <c r="A450" s="26" t="s">
        <v>66</v>
      </c>
      <c r="B450" s="26" t="s">
        <v>487</v>
      </c>
      <c r="C450" s="26">
        <v>0.51388888888888895</v>
      </c>
      <c r="D450" s="26" t="s">
        <v>68</v>
      </c>
      <c r="E450" s="26" t="s">
        <v>71</v>
      </c>
      <c r="F450" s="26" t="s">
        <v>510</v>
      </c>
      <c r="G450" s="328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9"/>
    </row>
    <row r="451" spans="1:18" ht="15" customHeight="1" x14ac:dyDescent="0.3">
      <c r="A451" s="26" t="s">
        <v>66</v>
      </c>
      <c r="B451" s="26" t="s">
        <v>492</v>
      </c>
      <c r="C451" s="26">
        <v>0.77083333333333337</v>
      </c>
      <c r="D451" s="26" t="s">
        <v>68</v>
      </c>
      <c r="E451" s="26" t="s">
        <v>87</v>
      </c>
      <c r="F451" s="26" t="s">
        <v>493</v>
      </c>
      <c r="G451" s="328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9"/>
    </row>
    <row r="452" spans="1:18" ht="15" customHeight="1" x14ac:dyDescent="0.3">
      <c r="A452" s="26" t="s">
        <v>66</v>
      </c>
      <c r="B452" s="26" t="s">
        <v>508</v>
      </c>
      <c r="C452" s="26">
        <v>0.95833333333333337</v>
      </c>
      <c r="D452" s="26" t="s">
        <v>68</v>
      </c>
      <c r="E452" s="26" t="s">
        <v>71</v>
      </c>
      <c r="F452" s="26" t="s">
        <v>493</v>
      </c>
      <c r="G452" s="328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9"/>
    </row>
    <row r="453" spans="1:18" ht="15" customHeight="1" x14ac:dyDescent="0.3">
      <c r="A453" s="31" t="s">
        <v>66</v>
      </c>
      <c r="B453" s="31" t="s">
        <v>509</v>
      </c>
      <c r="C453" s="31">
        <v>1.388888888888889E-2</v>
      </c>
      <c r="D453" s="31" t="s">
        <v>68</v>
      </c>
      <c r="E453" s="31" t="s">
        <v>74</v>
      </c>
      <c r="F453" s="31" t="s">
        <v>493</v>
      </c>
      <c r="G453" s="328"/>
      <c r="H453" s="28"/>
      <c r="I453" s="29"/>
      <c r="J453" s="29"/>
      <c r="K453" s="29"/>
      <c r="L453" s="29"/>
      <c r="M453" s="29"/>
      <c r="N453" s="29"/>
      <c r="O453" s="29"/>
      <c r="P453" s="29"/>
      <c r="Q453" s="29"/>
      <c r="R453" s="30"/>
    </row>
    <row r="454" spans="1:18" ht="17.399999999999999" customHeight="1" x14ac:dyDescent="0.3">
      <c r="A454" s="360"/>
      <c r="B454" s="361"/>
      <c r="C454" s="361"/>
      <c r="D454" s="361"/>
      <c r="E454" s="361"/>
      <c r="F454" s="361"/>
      <c r="G454" s="361"/>
      <c r="H454" s="361"/>
      <c r="I454" s="361"/>
      <c r="J454" s="361"/>
      <c r="K454" s="361"/>
      <c r="L454" s="361"/>
      <c r="M454" s="361"/>
      <c r="N454" s="361"/>
      <c r="O454" s="361"/>
      <c r="P454" s="361"/>
      <c r="Q454" s="361"/>
      <c r="R454" s="362"/>
    </row>
    <row r="455" spans="1:18" ht="22.05" customHeight="1" x14ac:dyDescent="0.3">
      <c r="A455" s="323" t="s">
        <v>6</v>
      </c>
      <c r="B455" s="324"/>
      <c r="C455" s="324"/>
      <c r="D455" s="324"/>
      <c r="E455" s="324"/>
      <c r="F455" s="324"/>
      <c r="G455" s="2">
        <v>45993</v>
      </c>
      <c r="H455" s="323" t="s">
        <v>7</v>
      </c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</row>
    <row r="456" spans="1:18" ht="24" customHeight="1" x14ac:dyDescent="0.3">
      <c r="A456" s="3" t="s">
        <v>8</v>
      </c>
      <c r="B456" s="3" t="s">
        <v>9</v>
      </c>
      <c r="C456" s="3" t="s">
        <v>10</v>
      </c>
      <c r="D456" s="3" t="s">
        <v>11</v>
      </c>
      <c r="E456" s="3" t="s">
        <v>12</v>
      </c>
      <c r="F456" s="4" t="s">
        <v>13</v>
      </c>
      <c r="G456" s="5" t="s">
        <v>14</v>
      </c>
      <c r="H456" s="3" t="s">
        <v>15</v>
      </c>
      <c r="I456" s="3" t="s">
        <v>16</v>
      </c>
      <c r="J456" s="3" t="s">
        <v>17</v>
      </c>
      <c r="K456" s="3" t="s">
        <v>18</v>
      </c>
      <c r="L456" s="3" t="s">
        <v>19</v>
      </c>
      <c r="M456" s="3" t="s">
        <v>20</v>
      </c>
      <c r="N456" s="3" t="s">
        <v>21</v>
      </c>
      <c r="O456" s="3" t="s">
        <v>22</v>
      </c>
      <c r="P456" s="3" t="s">
        <v>23</v>
      </c>
      <c r="Q456" s="3" t="s">
        <v>24</v>
      </c>
      <c r="R456" s="3" t="s">
        <v>25</v>
      </c>
    </row>
    <row r="457" spans="1:18" ht="15" customHeight="1" x14ac:dyDescent="0.3">
      <c r="A457" s="6" t="s">
        <v>26</v>
      </c>
      <c r="B457" s="6" t="s">
        <v>451</v>
      </c>
      <c r="C457" s="6">
        <v>0.12847222222222221</v>
      </c>
      <c r="D457" s="6" t="s">
        <v>28</v>
      </c>
      <c r="E457" s="6" t="s">
        <v>102</v>
      </c>
      <c r="F457" s="6" t="s">
        <v>513</v>
      </c>
      <c r="G457" s="328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9"/>
    </row>
    <row r="458" spans="1:18" ht="15" customHeight="1" x14ac:dyDescent="0.3">
      <c r="A458" s="10" t="s">
        <v>26</v>
      </c>
      <c r="B458" s="10" t="s">
        <v>451</v>
      </c>
      <c r="C458" s="10">
        <v>0.12847222222222221</v>
      </c>
      <c r="D458" s="10" t="s">
        <v>31</v>
      </c>
      <c r="E458" s="10" t="s">
        <v>104</v>
      </c>
      <c r="F458" s="10" t="s">
        <v>514</v>
      </c>
      <c r="G458" s="328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9"/>
    </row>
    <row r="459" spans="1:18" ht="15" customHeight="1" x14ac:dyDescent="0.3">
      <c r="A459" s="10" t="s">
        <v>26</v>
      </c>
      <c r="B459" s="10" t="s">
        <v>451</v>
      </c>
      <c r="C459" s="10">
        <v>0.12847222222222221</v>
      </c>
      <c r="D459" s="10" t="s">
        <v>34</v>
      </c>
      <c r="E459" s="10" t="s">
        <v>104</v>
      </c>
      <c r="F459" s="10" t="s">
        <v>35</v>
      </c>
      <c r="G459" s="328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9"/>
    </row>
    <row r="460" spans="1:18" ht="15" customHeight="1" x14ac:dyDescent="0.3">
      <c r="A460" s="26" t="s">
        <v>26</v>
      </c>
      <c r="B460" s="26" t="s">
        <v>454</v>
      </c>
      <c r="C460" s="26">
        <v>0.88888888888888884</v>
      </c>
      <c r="D460" s="26" t="s">
        <v>28</v>
      </c>
      <c r="E460" s="26" t="s">
        <v>54</v>
      </c>
      <c r="F460" s="26" t="s">
        <v>515</v>
      </c>
      <c r="G460" s="328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9"/>
    </row>
    <row r="461" spans="1:18" ht="15" customHeight="1" x14ac:dyDescent="0.3">
      <c r="A461" s="10" t="s">
        <v>26</v>
      </c>
      <c r="B461" s="10" t="s">
        <v>454</v>
      </c>
      <c r="C461" s="10">
        <v>0.88888888888888884</v>
      </c>
      <c r="D461" s="10" t="s">
        <v>31</v>
      </c>
      <c r="E461" s="10" t="s">
        <v>161</v>
      </c>
      <c r="F461" s="10" t="s">
        <v>516</v>
      </c>
      <c r="G461" s="328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9"/>
    </row>
    <row r="462" spans="1:18" ht="15" customHeight="1" x14ac:dyDescent="0.3">
      <c r="A462" s="10" t="s">
        <v>26</v>
      </c>
      <c r="B462" s="10" t="s">
        <v>454</v>
      </c>
      <c r="C462" s="10">
        <v>0.88888888888888884</v>
      </c>
      <c r="D462" s="10" t="s">
        <v>34</v>
      </c>
      <c r="E462" s="10" t="s">
        <v>161</v>
      </c>
      <c r="F462" s="10" t="s">
        <v>35</v>
      </c>
      <c r="G462" s="328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9"/>
    </row>
    <row r="463" spans="1:18" ht="15" customHeight="1" x14ac:dyDescent="0.3">
      <c r="A463" s="26" t="s">
        <v>26</v>
      </c>
      <c r="B463" s="26" t="s">
        <v>455</v>
      </c>
      <c r="C463" s="26">
        <v>0.78819444444444453</v>
      </c>
      <c r="D463" s="26" t="s">
        <v>28</v>
      </c>
      <c r="E463" s="26" t="s">
        <v>54</v>
      </c>
      <c r="F463" s="26" t="s">
        <v>515</v>
      </c>
      <c r="G463" s="328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9"/>
    </row>
    <row r="464" spans="1:18" ht="15" customHeight="1" x14ac:dyDescent="0.3">
      <c r="A464" s="10" t="s">
        <v>26</v>
      </c>
      <c r="B464" s="10" t="s">
        <v>455</v>
      </c>
      <c r="C464" s="10">
        <v>0.78819444444444453</v>
      </c>
      <c r="D464" s="10" t="s">
        <v>31</v>
      </c>
      <c r="E464" s="10" t="s">
        <v>161</v>
      </c>
      <c r="F464" s="10" t="s">
        <v>516</v>
      </c>
      <c r="G464" s="328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9"/>
    </row>
    <row r="465" spans="1:18" ht="15" customHeight="1" x14ac:dyDescent="0.3">
      <c r="A465" s="10" t="s">
        <v>26</v>
      </c>
      <c r="B465" s="10" t="s">
        <v>455</v>
      </c>
      <c r="C465" s="10">
        <v>0.78819444444444453</v>
      </c>
      <c r="D465" s="10" t="s">
        <v>34</v>
      </c>
      <c r="E465" s="10" t="s">
        <v>161</v>
      </c>
      <c r="F465" s="10" t="s">
        <v>35</v>
      </c>
      <c r="G465" s="328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9"/>
    </row>
    <row r="466" spans="1:18" ht="15" customHeight="1" x14ac:dyDescent="0.3">
      <c r="A466" s="26" t="s">
        <v>26</v>
      </c>
      <c r="B466" s="26" t="s">
        <v>453</v>
      </c>
      <c r="C466" s="26">
        <v>0.30208333333333331</v>
      </c>
      <c r="D466" s="26" t="s">
        <v>28</v>
      </c>
      <c r="E466" s="26" t="s">
        <v>152</v>
      </c>
      <c r="F466" s="26" t="s">
        <v>498</v>
      </c>
      <c r="G466" s="328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9"/>
    </row>
    <row r="467" spans="1:18" ht="15" customHeight="1" x14ac:dyDescent="0.3">
      <c r="A467" s="10" t="s">
        <v>26</v>
      </c>
      <c r="B467" s="10" t="s">
        <v>453</v>
      </c>
      <c r="C467" s="10">
        <v>0.30208333333333331</v>
      </c>
      <c r="D467" s="10" t="s">
        <v>31</v>
      </c>
      <c r="E467" s="10" t="s">
        <v>84</v>
      </c>
      <c r="F467" s="10" t="s">
        <v>499</v>
      </c>
      <c r="G467" s="328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9"/>
    </row>
    <row r="468" spans="1:18" ht="15" customHeight="1" x14ac:dyDescent="0.3">
      <c r="A468" s="10" t="s">
        <v>26</v>
      </c>
      <c r="B468" s="10" t="s">
        <v>453</v>
      </c>
      <c r="C468" s="10">
        <v>0.30208333333333331</v>
      </c>
      <c r="D468" s="10" t="s">
        <v>34</v>
      </c>
      <c r="E468" s="10" t="s">
        <v>84</v>
      </c>
      <c r="F468" s="10" t="s">
        <v>35</v>
      </c>
      <c r="G468" s="328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9"/>
    </row>
    <row r="469" spans="1:18" ht="15" customHeight="1" x14ac:dyDescent="0.3">
      <c r="A469" s="11" t="s">
        <v>36</v>
      </c>
      <c r="B469" s="11" t="s">
        <v>442</v>
      </c>
      <c r="C469" s="11">
        <v>0.25694444444444448</v>
      </c>
      <c r="D469" s="11" t="s">
        <v>38</v>
      </c>
      <c r="E469" s="11" t="s">
        <v>123</v>
      </c>
      <c r="F469" s="11" t="s">
        <v>583</v>
      </c>
      <c r="G469" s="328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9"/>
    </row>
    <row r="470" spans="1:18" ht="15" customHeight="1" x14ac:dyDescent="0.3">
      <c r="A470" s="10" t="s">
        <v>36</v>
      </c>
      <c r="B470" s="10" t="s">
        <v>442</v>
      </c>
      <c r="C470" s="10">
        <v>0.25694444444444448</v>
      </c>
      <c r="D470" s="10" t="s">
        <v>40</v>
      </c>
      <c r="E470" s="10" t="s">
        <v>124</v>
      </c>
      <c r="F470" s="10" t="s">
        <v>531</v>
      </c>
      <c r="G470" s="328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9"/>
    </row>
    <row r="471" spans="1:18" ht="15" customHeight="1" x14ac:dyDescent="0.3">
      <c r="A471" s="10" t="s">
        <v>36</v>
      </c>
      <c r="B471" s="10" t="s">
        <v>442</v>
      </c>
      <c r="C471" s="10">
        <v>0.25694444444444448</v>
      </c>
      <c r="D471" s="10" t="s">
        <v>42</v>
      </c>
      <c r="E471" s="10" t="s">
        <v>124</v>
      </c>
      <c r="F471" s="10" t="s">
        <v>30</v>
      </c>
      <c r="G471" s="328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9"/>
    </row>
    <row r="472" spans="1:18" ht="15" customHeight="1" x14ac:dyDescent="0.3">
      <c r="A472" s="26" t="s">
        <v>36</v>
      </c>
      <c r="B472" s="26" t="s">
        <v>443</v>
      </c>
      <c r="C472" s="26">
        <v>0.30208333333333331</v>
      </c>
      <c r="D472" s="26" t="s">
        <v>38</v>
      </c>
      <c r="E472" s="26" t="s">
        <v>114</v>
      </c>
      <c r="F472" s="26" t="s">
        <v>583</v>
      </c>
      <c r="G472" s="328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9"/>
    </row>
    <row r="473" spans="1:18" ht="15" customHeight="1" x14ac:dyDescent="0.3">
      <c r="A473" s="10" t="s">
        <v>36</v>
      </c>
      <c r="B473" s="10" t="s">
        <v>443</v>
      </c>
      <c r="C473" s="10">
        <v>0.30208333333333331</v>
      </c>
      <c r="D473" s="10" t="s">
        <v>40</v>
      </c>
      <c r="E473" s="10" t="s">
        <v>115</v>
      </c>
      <c r="F473" s="10" t="s">
        <v>531</v>
      </c>
      <c r="G473" s="328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9"/>
    </row>
    <row r="474" spans="1:18" ht="15" customHeight="1" x14ac:dyDescent="0.3">
      <c r="A474" s="10" t="s">
        <v>36</v>
      </c>
      <c r="B474" s="10" t="s">
        <v>443</v>
      </c>
      <c r="C474" s="10">
        <v>0.30208333333333331</v>
      </c>
      <c r="D474" s="10" t="s">
        <v>42</v>
      </c>
      <c r="E474" s="10" t="s">
        <v>115</v>
      </c>
      <c r="F474" s="10" t="s">
        <v>30</v>
      </c>
      <c r="G474" s="328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9"/>
    </row>
    <row r="475" spans="1:18" ht="15" customHeight="1" x14ac:dyDescent="0.3">
      <c r="A475" s="26" t="s">
        <v>36</v>
      </c>
      <c r="B475" s="26" t="s">
        <v>438</v>
      </c>
      <c r="C475" s="26">
        <v>0.85416666666666663</v>
      </c>
      <c r="D475" s="26" t="s">
        <v>38</v>
      </c>
      <c r="E475" s="26" t="s">
        <v>97</v>
      </c>
      <c r="F475" s="26" t="s">
        <v>530</v>
      </c>
      <c r="G475" s="328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9"/>
    </row>
    <row r="476" spans="1:18" ht="15" customHeight="1" x14ac:dyDescent="0.3">
      <c r="A476" s="10" t="s">
        <v>36</v>
      </c>
      <c r="B476" s="10" t="s">
        <v>438</v>
      </c>
      <c r="C476" s="10">
        <v>0.85416666666666663</v>
      </c>
      <c r="D476" s="10" t="s">
        <v>40</v>
      </c>
      <c r="E476" s="10" t="s">
        <v>104</v>
      </c>
      <c r="F476" s="10" t="s">
        <v>514</v>
      </c>
      <c r="G476" s="328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9"/>
    </row>
    <row r="477" spans="1:18" ht="15" customHeight="1" x14ac:dyDescent="0.3">
      <c r="A477" s="10" t="s">
        <v>36</v>
      </c>
      <c r="B477" s="10" t="s">
        <v>438</v>
      </c>
      <c r="C477" s="10">
        <v>0.85416666666666663</v>
      </c>
      <c r="D477" s="10" t="s">
        <v>42</v>
      </c>
      <c r="E477" s="10" t="s">
        <v>104</v>
      </c>
      <c r="F477" s="10" t="s">
        <v>414</v>
      </c>
      <c r="G477" s="328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9"/>
    </row>
    <row r="478" spans="1:18" ht="15" customHeight="1" x14ac:dyDescent="0.3">
      <c r="A478" s="26" t="s">
        <v>36</v>
      </c>
      <c r="B478" s="26" t="s">
        <v>444</v>
      </c>
      <c r="C478" s="26">
        <v>0.51736111111111105</v>
      </c>
      <c r="D478" s="26" t="s">
        <v>38</v>
      </c>
      <c r="E478" s="26" t="s">
        <v>87</v>
      </c>
      <c r="F478" s="26" t="s">
        <v>530</v>
      </c>
      <c r="G478" s="328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9"/>
    </row>
    <row r="479" spans="1:18" ht="15" customHeight="1" x14ac:dyDescent="0.3">
      <c r="A479" s="10" t="s">
        <v>36</v>
      </c>
      <c r="B479" s="10" t="s">
        <v>444</v>
      </c>
      <c r="C479" s="10">
        <v>0.51736111111111105</v>
      </c>
      <c r="D479" s="10" t="s">
        <v>40</v>
      </c>
      <c r="E479" s="10" t="s">
        <v>32</v>
      </c>
      <c r="F479" s="10" t="s">
        <v>514</v>
      </c>
      <c r="G479" s="328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9"/>
    </row>
    <row r="480" spans="1:18" ht="15" customHeight="1" x14ac:dyDescent="0.3">
      <c r="A480" s="10" t="s">
        <v>36</v>
      </c>
      <c r="B480" s="10" t="s">
        <v>444</v>
      </c>
      <c r="C480" s="10">
        <v>0.51736111111111105</v>
      </c>
      <c r="D480" s="10" t="s">
        <v>42</v>
      </c>
      <c r="E480" s="10" t="s">
        <v>32</v>
      </c>
      <c r="F480" s="10" t="s">
        <v>414</v>
      </c>
      <c r="G480" s="328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9"/>
    </row>
    <row r="481" spans="1:18" ht="15" customHeight="1" x14ac:dyDescent="0.3">
      <c r="A481" s="26" t="s">
        <v>36</v>
      </c>
      <c r="B481" s="26" t="s">
        <v>446</v>
      </c>
      <c r="C481" s="26">
        <v>0.64583333333333337</v>
      </c>
      <c r="D481" s="26" t="s">
        <v>38</v>
      </c>
      <c r="E481" s="26" t="s">
        <v>97</v>
      </c>
      <c r="F481" s="26" t="s">
        <v>530</v>
      </c>
      <c r="G481" s="328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9"/>
    </row>
    <row r="482" spans="1:18" ht="15" customHeight="1" x14ac:dyDescent="0.3">
      <c r="A482" s="10" t="s">
        <v>36</v>
      </c>
      <c r="B482" s="10" t="s">
        <v>446</v>
      </c>
      <c r="C482" s="10">
        <v>0.64583333333333337</v>
      </c>
      <c r="D482" s="10" t="s">
        <v>40</v>
      </c>
      <c r="E482" s="10" t="s">
        <v>104</v>
      </c>
      <c r="F482" s="10" t="s">
        <v>514</v>
      </c>
      <c r="G482" s="328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9"/>
    </row>
    <row r="483" spans="1:18" ht="15" customHeight="1" x14ac:dyDescent="0.3">
      <c r="A483" s="10" t="s">
        <v>36</v>
      </c>
      <c r="B483" s="10" t="s">
        <v>446</v>
      </c>
      <c r="C483" s="10">
        <v>0.64583333333333337</v>
      </c>
      <c r="D483" s="10" t="s">
        <v>42</v>
      </c>
      <c r="E483" s="10" t="s">
        <v>104</v>
      </c>
      <c r="F483" s="10" t="s">
        <v>414</v>
      </c>
      <c r="G483" s="328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9"/>
    </row>
    <row r="484" spans="1:18" ht="15" customHeight="1" x14ac:dyDescent="0.3">
      <c r="A484" s="26" t="s">
        <v>36</v>
      </c>
      <c r="B484" s="26" t="s">
        <v>435</v>
      </c>
      <c r="C484" s="26">
        <v>0.90277777777777779</v>
      </c>
      <c r="D484" s="26" t="s">
        <v>38</v>
      </c>
      <c r="E484" s="26" t="s">
        <v>74</v>
      </c>
      <c r="F484" s="26" t="s">
        <v>436</v>
      </c>
      <c r="G484" s="328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9"/>
    </row>
    <row r="485" spans="1:18" ht="15" customHeight="1" x14ac:dyDescent="0.3">
      <c r="A485" s="10" t="s">
        <v>36</v>
      </c>
      <c r="B485" s="10" t="s">
        <v>435</v>
      </c>
      <c r="C485" s="10">
        <v>0.90277777777777779</v>
      </c>
      <c r="D485" s="10" t="s">
        <v>40</v>
      </c>
      <c r="E485" s="10" t="s">
        <v>122</v>
      </c>
      <c r="F485" s="10" t="s">
        <v>437</v>
      </c>
      <c r="G485" s="328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9"/>
    </row>
    <row r="486" spans="1:18" ht="15" customHeight="1" x14ac:dyDescent="0.3">
      <c r="A486" s="10" t="s">
        <v>36</v>
      </c>
      <c r="B486" s="10" t="s">
        <v>435</v>
      </c>
      <c r="C486" s="10">
        <v>0.90277777777777779</v>
      </c>
      <c r="D486" s="10" t="s">
        <v>42</v>
      </c>
      <c r="E486" s="10" t="s">
        <v>122</v>
      </c>
      <c r="F486" s="10" t="s">
        <v>39</v>
      </c>
      <c r="G486" s="328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9"/>
    </row>
    <row r="487" spans="1:18" ht="15" customHeight="1" x14ac:dyDescent="0.3">
      <c r="A487" s="26" t="s">
        <v>36</v>
      </c>
      <c r="B487" s="26" t="s">
        <v>445</v>
      </c>
      <c r="C487" s="26">
        <v>0.79861111111111116</v>
      </c>
      <c r="D487" s="26" t="s">
        <v>38</v>
      </c>
      <c r="E487" s="26" t="s">
        <v>54</v>
      </c>
      <c r="F487" s="26" t="s">
        <v>436</v>
      </c>
      <c r="G487" s="328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9"/>
    </row>
    <row r="488" spans="1:18" ht="15" customHeight="1" x14ac:dyDescent="0.3">
      <c r="A488" s="10" t="s">
        <v>36</v>
      </c>
      <c r="B488" s="10" t="s">
        <v>445</v>
      </c>
      <c r="C488" s="10">
        <v>0.79861111111111116</v>
      </c>
      <c r="D488" s="10" t="s">
        <v>40</v>
      </c>
      <c r="E488" s="10" t="s">
        <v>161</v>
      </c>
      <c r="F488" s="10" t="s">
        <v>437</v>
      </c>
      <c r="G488" s="328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9"/>
    </row>
    <row r="489" spans="1:18" ht="15" customHeight="1" x14ac:dyDescent="0.3">
      <c r="A489" s="10" t="s">
        <v>36</v>
      </c>
      <c r="B489" s="10" t="s">
        <v>445</v>
      </c>
      <c r="C489" s="10">
        <v>0.79861111111111116</v>
      </c>
      <c r="D489" s="10" t="s">
        <v>42</v>
      </c>
      <c r="E489" s="10" t="s">
        <v>161</v>
      </c>
      <c r="F489" s="10" t="s">
        <v>39</v>
      </c>
      <c r="G489" s="328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9"/>
    </row>
    <row r="490" spans="1:18" ht="15" customHeight="1" x14ac:dyDescent="0.3">
      <c r="A490" s="26" t="s">
        <v>36</v>
      </c>
      <c r="B490" s="26" t="s">
        <v>447</v>
      </c>
      <c r="C490" s="26">
        <v>0.39583333333333331</v>
      </c>
      <c r="D490" s="26" t="s">
        <v>38</v>
      </c>
      <c r="E490" s="26" t="s">
        <v>439</v>
      </c>
      <c r="F490" s="26" t="s">
        <v>436</v>
      </c>
      <c r="G490" s="328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9"/>
    </row>
    <row r="491" spans="1:18" ht="15" customHeight="1" x14ac:dyDescent="0.3">
      <c r="A491" s="10" t="s">
        <v>36</v>
      </c>
      <c r="B491" s="10" t="s">
        <v>447</v>
      </c>
      <c r="C491" s="10">
        <v>0.39583333333333331</v>
      </c>
      <c r="D491" s="10" t="s">
        <v>40</v>
      </c>
      <c r="E491" s="10" t="s">
        <v>124</v>
      </c>
      <c r="F491" s="10" t="s">
        <v>437</v>
      </c>
      <c r="G491" s="328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9"/>
    </row>
    <row r="492" spans="1:18" ht="15" customHeight="1" x14ac:dyDescent="0.3">
      <c r="A492" s="10" t="s">
        <v>36</v>
      </c>
      <c r="B492" s="10" t="s">
        <v>447</v>
      </c>
      <c r="C492" s="10">
        <v>0.39583333333333331</v>
      </c>
      <c r="D492" s="10" t="s">
        <v>42</v>
      </c>
      <c r="E492" s="10" t="s">
        <v>124</v>
      </c>
      <c r="F492" s="10" t="s">
        <v>39</v>
      </c>
      <c r="G492" s="328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9"/>
    </row>
    <row r="493" spans="1:18" ht="15" customHeight="1" x14ac:dyDescent="0.3">
      <c r="A493" s="11" t="s">
        <v>404</v>
      </c>
      <c r="B493" s="11" t="s">
        <v>408</v>
      </c>
      <c r="C493" s="11">
        <v>0.73958333333333337</v>
      </c>
      <c r="D493" s="11" t="s">
        <v>406</v>
      </c>
      <c r="E493" s="11" t="s">
        <v>29</v>
      </c>
      <c r="F493" s="11" t="s">
        <v>407</v>
      </c>
      <c r="G493" s="328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9"/>
    </row>
    <row r="494" spans="1:18" ht="15" customHeight="1" x14ac:dyDescent="0.3">
      <c r="A494" s="26" t="s">
        <v>404</v>
      </c>
      <c r="B494" s="26" t="s">
        <v>405</v>
      </c>
      <c r="C494" s="26">
        <v>0.27430555555555552</v>
      </c>
      <c r="D494" s="26" t="s">
        <v>406</v>
      </c>
      <c r="E494" s="26" t="s">
        <v>71</v>
      </c>
      <c r="F494" s="26" t="s">
        <v>407</v>
      </c>
      <c r="G494" s="328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9"/>
    </row>
    <row r="495" spans="1:18" ht="15" customHeight="1" x14ac:dyDescent="0.3">
      <c r="A495" s="139" t="s">
        <v>44</v>
      </c>
      <c r="B495" s="139" t="s">
        <v>419</v>
      </c>
      <c r="C495" s="139">
        <v>0.22916666666666671</v>
      </c>
      <c r="D495" s="139" t="s">
        <v>46</v>
      </c>
      <c r="E495" s="139" t="s">
        <v>29</v>
      </c>
      <c r="F495" s="139" t="s">
        <v>374</v>
      </c>
      <c r="G495" s="328"/>
      <c r="H495" s="194" t="s">
        <v>420</v>
      </c>
      <c r="I495" s="200">
        <v>0.16200000000000001</v>
      </c>
      <c r="J495" s="196">
        <v>29</v>
      </c>
      <c r="K495" s="197" t="s">
        <v>175</v>
      </c>
      <c r="L495" s="196">
        <v>17</v>
      </c>
      <c r="M495" s="196">
        <v>1</v>
      </c>
      <c r="N495" s="196">
        <v>1</v>
      </c>
      <c r="O495" s="197" t="s">
        <v>217</v>
      </c>
      <c r="P495" s="197">
        <v>0.22916666666666671</v>
      </c>
      <c r="Q495" s="196">
        <v>179</v>
      </c>
      <c r="R495" s="198" t="s">
        <v>584</v>
      </c>
    </row>
    <row r="496" spans="1:18" ht="15" customHeight="1" x14ac:dyDescent="0.3">
      <c r="A496" s="202" t="s">
        <v>44</v>
      </c>
      <c r="B496" s="202" t="s">
        <v>520</v>
      </c>
      <c r="C496" s="202">
        <v>0.55902777777777779</v>
      </c>
      <c r="D496" s="202" t="s">
        <v>46</v>
      </c>
      <c r="E496" s="202" t="s">
        <v>90</v>
      </c>
      <c r="F496" s="202" t="s">
        <v>416</v>
      </c>
      <c r="G496" s="328"/>
      <c r="H496" s="52" t="s">
        <v>432</v>
      </c>
      <c r="I496" s="53">
        <v>0.62570000000000003</v>
      </c>
      <c r="J496" s="54">
        <v>112</v>
      </c>
      <c r="K496" s="55" t="s">
        <v>63</v>
      </c>
      <c r="L496" s="54">
        <v>12</v>
      </c>
      <c r="M496" s="54">
        <v>0</v>
      </c>
      <c r="N496" s="54">
        <v>0</v>
      </c>
      <c r="O496" s="55" t="s">
        <v>394</v>
      </c>
      <c r="P496" s="55">
        <v>0.55902777777777779</v>
      </c>
      <c r="Q496" s="54">
        <v>179</v>
      </c>
      <c r="R496" s="56" t="s">
        <v>585</v>
      </c>
    </row>
    <row r="497" spans="1:18" ht="15" customHeight="1" x14ac:dyDescent="0.3">
      <c r="A497" s="24" t="s">
        <v>44</v>
      </c>
      <c r="B497" s="24" t="s">
        <v>422</v>
      </c>
      <c r="C497" s="24">
        <v>0.93402777777777779</v>
      </c>
      <c r="D497" s="24" t="s">
        <v>46</v>
      </c>
      <c r="E497" s="24" t="s">
        <v>114</v>
      </c>
      <c r="F497" s="24" t="s">
        <v>416</v>
      </c>
      <c r="G497" s="328"/>
      <c r="H497" s="13" t="s">
        <v>423</v>
      </c>
      <c r="I497" s="14">
        <v>0.38550000000000001</v>
      </c>
      <c r="J497" s="15">
        <v>69</v>
      </c>
      <c r="K497" s="16" t="s">
        <v>50</v>
      </c>
      <c r="L497" s="15">
        <v>14</v>
      </c>
      <c r="M497" s="15">
        <v>0</v>
      </c>
      <c r="N497" s="15">
        <v>5</v>
      </c>
      <c r="O497" s="16" t="s">
        <v>586</v>
      </c>
      <c r="P497" s="16">
        <v>0.93402777777777779</v>
      </c>
      <c r="Q497" s="15">
        <v>179</v>
      </c>
      <c r="R497" s="17" t="s">
        <v>587</v>
      </c>
    </row>
    <row r="498" spans="1:18" ht="15" customHeight="1" x14ac:dyDescent="0.3">
      <c r="A498" s="189" t="s">
        <v>44</v>
      </c>
      <c r="B498" s="189" t="s">
        <v>425</v>
      </c>
      <c r="C498" s="189">
        <v>0.61458333333333337</v>
      </c>
      <c r="D498" s="189" t="s">
        <v>46</v>
      </c>
      <c r="E498" s="189" t="s">
        <v>90</v>
      </c>
      <c r="F498" s="189" t="s">
        <v>426</v>
      </c>
      <c r="G498" s="328"/>
      <c r="H498" s="45" t="s">
        <v>427</v>
      </c>
      <c r="I498" s="190">
        <v>0.64249999999999996</v>
      </c>
      <c r="J498" s="47">
        <v>115</v>
      </c>
      <c r="K498" s="48" t="s">
        <v>50</v>
      </c>
      <c r="L498" s="47">
        <v>15</v>
      </c>
      <c r="M498" s="47">
        <v>0</v>
      </c>
      <c r="N498" s="47">
        <v>4</v>
      </c>
      <c r="O498" s="48" t="s">
        <v>543</v>
      </c>
      <c r="P498" s="48">
        <v>0.61458333333333337</v>
      </c>
      <c r="Q498" s="47">
        <v>179</v>
      </c>
      <c r="R498" s="49" t="s">
        <v>588</v>
      </c>
    </row>
    <row r="499" spans="1:18" ht="15" customHeight="1" x14ac:dyDescent="0.3">
      <c r="A499" s="57" t="s">
        <v>44</v>
      </c>
      <c r="B499" s="57" t="s">
        <v>415</v>
      </c>
      <c r="C499" s="57">
        <v>0.96875</v>
      </c>
      <c r="D499" s="57" t="s">
        <v>46</v>
      </c>
      <c r="E499" s="57" t="s">
        <v>71</v>
      </c>
      <c r="F499" s="57" t="s">
        <v>426</v>
      </c>
      <c r="G499" s="328"/>
      <c r="H499" s="58" t="s">
        <v>417</v>
      </c>
      <c r="I499" s="206">
        <v>0.65920000000000001</v>
      </c>
      <c r="J499" s="60">
        <v>118</v>
      </c>
      <c r="K499" s="61" t="s">
        <v>175</v>
      </c>
      <c r="L499" s="60">
        <v>13</v>
      </c>
      <c r="M499" s="60">
        <v>1</v>
      </c>
      <c r="N499" s="60">
        <v>2</v>
      </c>
      <c r="O499" s="61" t="s">
        <v>364</v>
      </c>
      <c r="P499" s="61">
        <v>0.96875</v>
      </c>
      <c r="Q499" s="60">
        <v>179</v>
      </c>
      <c r="R499" s="62" t="s">
        <v>589</v>
      </c>
    </row>
    <row r="500" spans="1:18" ht="15" customHeight="1" x14ac:dyDescent="0.3">
      <c r="A500" s="189" t="s">
        <v>44</v>
      </c>
      <c r="B500" s="189" t="s">
        <v>429</v>
      </c>
      <c r="C500" s="189">
        <v>0.72916666666666663</v>
      </c>
      <c r="D500" s="189" t="s">
        <v>46</v>
      </c>
      <c r="E500" s="189" t="s">
        <v>71</v>
      </c>
      <c r="F500" s="189" t="s">
        <v>426</v>
      </c>
      <c r="G500" s="328"/>
      <c r="H500" s="45" t="s">
        <v>430</v>
      </c>
      <c r="I500" s="190">
        <v>0.65359999999999996</v>
      </c>
      <c r="J500" s="47">
        <v>117</v>
      </c>
      <c r="K500" s="48" t="s">
        <v>590</v>
      </c>
      <c r="L500" s="47">
        <v>2</v>
      </c>
      <c r="M500" s="47">
        <v>0</v>
      </c>
      <c r="N500" s="47">
        <v>0</v>
      </c>
      <c r="O500" s="48" t="s">
        <v>364</v>
      </c>
      <c r="P500" s="48">
        <v>0.72916666666666663</v>
      </c>
      <c r="Q500" s="47">
        <v>179</v>
      </c>
      <c r="R500" s="49" t="s">
        <v>591</v>
      </c>
    </row>
    <row r="501" spans="1:18" ht="15" customHeight="1" x14ac:dyDescent="0.3">
      <c r="A501" s="11" t="s">
        <v>410</v>
      </c>
      <c r="B501" s="11" t="s">
        <v>412</v>
      </c>
      <c r="C501" s="11">
        <v>4.5138888888888888E-2</v>
      </c>
      <c r="D501" s="11" t="s">
        <v>406</v>
      </c>
      <c r="E501" s="11" t="s">
        <v>132</v>
      </c>
      <c r="F501" s="11" t="s">
        <v>374</v>
      </c>
      <c r="G501" s="328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9"/>
    </row>
    <row r="502" spans="1:18" ht="15" customHeight="1" x14ac:dyDescent="0.3">
      <c r="A502" s="26" t="s">
        <v>410</v>
      </c>
      <c r="B502" s="26" t="s">
        <v>413</v>
      </c>
      <c r="C502" s="26">
        <v>0.66666666666666663</v>
      </c>
      <c r="D502" s="26" t="s">
        <v>406</v>
      </c>
      <c r="E502" s="26" t="s">
        <v>71</v>
      </c>
      <c r="F502" s="26" t="s">
        <v>414</v>
      </c>
      <c r="G502" s="328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9"/>
    </row>
    <row r="503" spans="1:18" ht="15" customHeight="1" x14ac:dyDescent="0.3">
      <c r="A503" s="11" t="s">
        <v>456</v>
      </c>
      <c r="B503" s="11" t="s">
        <v>457</v>
      </c>
      <c r="C503" s="11">
        <v>0.22222222222222221</v>
      </c>
      <c r="D503" s="11" t="s">
        <v>458</v>
      </c>
      <c r="E503" s="11" t="s">
        <v>123</v>
      </c>
      <c r="F503" s="11" t="s">
        <v>592</v>
      </c>
      <c r="G503" s="328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9"/>
    </row>
    <row r="504" spans="1:18" ht="15" customHeight="1" x14ac:dyDescent="0.3">
      <c r="A504" s="10" t="s">
        <v>456</v>
      </c>
      <c r="B504" s="10" t="s">
        <v>457</v>
      </c>
      <c r="C504" s="10">
        <v>0.22222222222222221</v>
      </c>
      <c r="D504" s="10" t="s">
        <v>34</v>
      </c>
      <c r="E504" s="10" t="s">
        <v>124</v>
      </c>
      <c r="F504" s="10" t="s">
        <v>593</v>
      </c>
      <c r="G504" s="328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9"/>
    </row>
    <row r="505" spans="1:18" ht="15" customHeight="1" x14ac:dyDescent="0.3">
      <c r="A505" s="11" t="s">
        <v>78</v>
      </c>
      <c r="B505" s="11" t="s">
        <v>467</v>
      </c>
      <c r="C505" s="11">
        <v>0.1423611111111111</v>
      </c>
      <c r="D505" s="11" t="s">
        <v>80</v>
      </c>
      <c r="E505" s="11" t="s">
        <v>47</v>
      </c>
      <c r="F505" s="11" t="s">
        <v>462</v>
      </c>
      <c r="G505" s="328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9"/>
    </row>
    <row r="506" spans="1:18" ht="15" customHeight="1" x14ac:dyDescent="0.3">
      <c r="A506" s="10" t="s">
        <v>78</v>
      </c>
      <c r="B506" s="10" t="s">
        <v>467</v>
      </c>
      <c r="C506" s="10">
        <v>0.1423611111111111</v>
      </c>
      <c r="D506" s="10" t="s">
        <v>83</v>
      </c>
      <c r="E506" s="10" t="s">
        <v>95</v>
      </c>
      <c r="F506" s="10" t="s">
        <v>463</v>
      </c>
      <c r="G506" s="328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9"/>
    </row>
    <row r="507" spans="1:18" ht="15" customHeight="1" x14ac:dyDescent="0.3">
      <c r="A507" s="26" t="s">
        <v>78</v>
      </c>
      <c r="B507" s="26" t="s">
        <v>469</v>
      </c>
      <c r="C507" s="26">
        <v>0.37847222222222232</v>
      </c>
      <c r="D507" s="26" t="s">
        <v>80</v>
      </c>
      <c r="E507" s="26" t="s">
        <v>71</v>
      </c>
      <c r="F507" s="26" t="s">
        <v>462</v>
      </c>
      <c r="G507" s="328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9"/>
    </row>
    <row r="508" spans="1:18" ht="15" customHeight="1" x14ac:dyDescent="0.3">
      <c r="A508" s="10" t="s">
        <v>78</v>
      </c>
      <c r="B508" s="10" t="s">
        <v>469</v>
      </c>
      <c r="C508" s="10">
        <v>0.37847222222222232</v>
      </c>
      <c r="D508" s="10" t="s">
        <v>83</v>
      </c>
      <c r="E508" s="10" t="s">
        <v>95</v>
      </c>
      <c r="F508" s="10" t="s">
        <v>463</v>
      </c>
      <c r="G508" s="328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9"/>
    </row>
    <row r="509" spans="1:18" ht="15" customHeight="1" x14ac:dyDescent="0.3">
      <c r="A509" s="26" t="s">
        <v>78</v>
      </c>
      <c r="B509" s="26" t="s">
        <v>461</v>
      </c>
      <c r="C509" s="26">
        <v>0.23958333333333329</v>
      </c>
      <c r="D509" s="26" t="s">
        <v>80</v>
      </c>
      <c r="E509" s="26" t="s">
        <v>71</v>
      </c>
      <c r="F509" s="26" t="s">
        <v>462</v>
      </c>
      <c r="G509" s="328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9"/>
    </row>
    <row r="510" spans="1:18" ht="15" customHeight="1" x14ac:dyDescent="0.3">
      <c r="A510" s="10" t="s">
        <v>78</v>
      </c>
      <c r="B510" s="10" t="s">
        <v>461</v>
      </c>
      <c r="C510" s="10">
        <v>0.23958333333333329</v>
      </c>
      <c r="D510" s="10" t="s">
        <v>83</v>
      </c>
      <c r="E510" s="10" t="s">
        <v>95</v>
      </c>
      <c r="F510" s="10" t="s">
        <v>463</v>
      </c>
      <c r="G510" s="328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9"/>
    </row>
    <row r="511" spans="1:18" ht="15" customHeight="1" x14ac:dyDescent="0.3">
      <c r="A511" s="26" t="s">
        <v>78</v>
      </c>
      <c r="B511" s="26" t="s">
        <v>464</v>
      </c>
      <c r="C511" s="26">
        <v>6.9444444444444441E-3</v>
      </c>
      <c r="D511" s="26" t="s">
        <v>80</v>
      </c>
      <c r="E511" s="26" t="s">
        <v>71</v>
      </c>
      <c r="F511" s="26" t="s">
        <v>465</v>
      </c>
      <c r="G511" s="328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9"/>
    </row>
    <row r="512" spans="1:18" ht="15" customHeight="1" x14ac:dyDescent="0.3">
      <c r="A512" s="10" t="s">
        <v>78</v>
      </c>
      <c r="B512" s="10" t="s">
        <v>464</v>
      </c>
      <c r="C512" s="10">
        <v>6.9444444444444441E-3</v>
      </c>
      <c r="D512" s="10" t="s">
        <v>83</v>
      </c>
      <c r="E512" s="10" t="s">
        <v>95</v>
      </c>
      <c r="F512" s="10" t="s">
        <v>466</v>
      </c>
      <c r="G512" s="328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9"/>
    </row>
    <row r="513" spans="1:18" ht="15" customHeight="1" x14ac:dyDescent="0.3">
      <c r="A513" s="26" t="s">
        <v>78</v>
      </c>
      <c r="B513" s="26" t="s">
        <v>468</v>
      </c>
      <c r="C513" s="26">
        <v>0.93055555555555547</v>
      </c>
      <c r="D513" s="26" t="s">
        <v>80</v>
      </c>
      <c r="E513" s="26" t="s">
        <v>71</v>
      </c>
      <c r="F513" s="26" t="s">
        <v>465</v>
      </c>
      <c r="G513" s="328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9"/>
    </row>
    <row r="514" spans="1:18" ht="15" customHeight="1" x14ac:dyDescent="0.3">
      <c r="A514" s="10" t="s">
        <v>78</v>
      </c>
      <c r="B514" s="10" t="s">
        <v>468</v>
      </c>
      <c r="C514" s="10">
        <v>0.93055555555555547</v>
      </c>
      <c r="D514" s="10" t="s">
        <v>83</v>
      </c>
      <c r="E514" s="10" t="s">
        <v>95</v>
      </c>
      <c r="F514" s="10" t="s">
        <v>466</v>
      </c>
      <c r="G514" s="328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9"/>
    </row>
    <row r="515" spans="1:18" ht="15" customHeight="1" x14ac:dyDescent="0.3">
      <c r="A515" s="26" t="s">
        <v>78</v>
      </c>
      <c r="B515" s="26" t="s">
        <v>470</v>
      </c>
      <c r="C515" s="26">
        <v>0.71875</v>
      </c>
      <c r="D515" s="26" t="s">
        <v>80</v>
      </c>
      <c r="E515" s="26" t="s">
        <v>71</v>
      </c>
      <c r="F515" s="26" t="s">
        <v>465</v>
      </c>
      <c r="G515" s="328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9"/>
    </row>
    <row r="516" spans="1:18" ht="15" customHeight="1" x14ac:dyDescent="0.3">
      <c r="A516" s="10" t="s">
        <v>78</v>
      </c>
      <c r="B516" s="10" t="s">
        <v>470</v>
      </c>
      <c r="C516" s="10">
        <v>0.71875</v>
      </c>
      <c r="D516" s="10" t="s">
        <v>83</v>
      </c>
      <c r="E516" s="10" t="s">
        <v>95</v>
      </c>
      <c r="F516" s="10" t="s">
        <v>466</v>
      </c>
      <c r="G516" s="328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9"/>
    </row>
    <row r="517" spans="1:18" ht="15" customHeight="1" x14ac:dyDescent="0.3">
      <c r="A517" s="26" t="s">
        <v>78</v>
      </c>
      <c r="B517" s="26" t="s">
        <v>477</v>
      </c>
      <c r="C517" s="26">
        <v>0.82986111111111116</v>
      </c>
      <c r="D517" s="26" t="s">
        <v>80</v>
      </c>
      <c r="E517" s="26" t="s">
        <v>71</v>
      </c>
      <c r="F517" s="26" t="s">
        <v>465</v>
      </c>
      <c r="G517" s="328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9"/>
    </row>
    <row r="518" spans="1:18" ht="15" customHeight="1" x14ac:dyDescent="0.3">
      <c r="A518" s="10" t="s">
        <v>78</v>
      </c>
      <c r="B518" s="10" t="s">
        <v>477</v>
      </c>
      <c r="C518" s="10">
        <v>0.82986111111111116</v>
      </c>
      <c r="D518" s="10" t="s">
        <v>83</v>
      </c>
      <c r="E518" s="10" t="s">
        <v>95</v>
      </c>
      <c r="F518" s="10" t="s">
        <v>466</v>
      </c>
      <c r="G518" s="328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9"/>
    </row>
    <row r="519" spans="1:18" ht="15" customHeight="1" x14ac:dyDescent="0.3">
      <c r="A519" s="26" t="s">
        <v>78</v>
      </c>
      <c r="B519" s="26" t="s">
        <v>482</v>
      </c>
      <c r="C519" s="26">
        <v>0.61111111111111105</v>
      </c>
      <c r="D519" s="26" t="s">
        <v>80</v>
      </c>
      <c r="E519" s="26" t="s">
        <v>71</v>
      </c>
      <c r="F519" s="26" t="s">
        <v>465</v>
      </c>
      <c r="G519" s="328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9"/>
    </row>
    <row r="520" spans="1:18" ht="15" customHeight="1" x14ac:dyDescent="0.3">
      <c r="A520" s="10" t="s">
        <v>78</v>
      </c>
      <c r="B520" s="10" t="s">
        <v>482</v>
      </c>
      <c r="C520" s="10">
        <v>0.61111111111111105</v>
      </c>
      <c r="D520" s="10" t="s">
        <v>83</v>
      </c>
      <c r="E520" s="10" t="s">
        <v>95</v>
      </c>
      <c r="F520" s="10" t="s">
        <v>466</v>
      </c>
      <c r="G520" s="328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9"/>
    </row>
    <row r="521" spans="1:18" ht="15" customHeight="1" x14ac:dyDescent="0.3">
      <c r="A521" s="26" t="s">
        <v>78</v>
      </c>
      <c r="B521" s="26" t="s">
        <v>473</v>
      </c>
      <c r="C521" s="26">
        <v>0.88888888888888884</v>
      </c>
      <c r="D521" s="26" t="s">
        <v>83</v>
      </c>
      <c r="E521" s="26" t="s">
        <v>87</v>
      </c>
      <c r="F521" s="26" t="s">
        <v>535</v>
      </c>
      <c r="G521" s="328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9"/>
    </row>
    <row r="522" spans="1:18" ht="15" customHeight="1" x14ac:dyDescent="0.3">
      <c r="A522" s="26" t="s">
        <v>78</v>
      </c>
      <c r="B522" s="26" t="s">
        <v>476</v>
      </c>
      <c r="C522" s="26">
        <v>0.12847222222222221</v>
      </c>
      <c r="D522" s="26" t="s">
        <v>83</v>
      </c>
      <c r="E522" s="26" t="s">
        <v>87</v>
      </c>
      <c r="F522" s="26" t="s">
        <v>535</v>
      </c>
      <c r="G522" s="328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9"/>
    </row>
    <row r="523" spans="1:18" ht="15" customHeight="1" x14ac:dyDescent="0.3">
      <c r="A523" s="26" t="s">
        <v>78</v>
      </c>
      <c r="B523" s="26" t="s">
        <v>480</v>
      </c>
      <c r="C523" s="26">
        <v>0.78819444444444453</v>
      </c>
      <c r="D523" s="26" t="s">
        <v>83</v>
      </c>
      <c r="E523" s="26" t="s">
        <v>87</v>
      </c>
      <c r="F523" s="26" t="s">
        <v>535</v>
      </c>
      <c r="G523" s="328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9"/>
    </row>
    <row r="524" spans="1:18" ht="15" customHeight="1" x14ac:dyDescent="0.3">
      <c r="A524" s="26" t="s">
        <v>78</v>
      </c>
      <c r="B524" s="26" t="s">
        <v>475</v>
      </c>
      <c r="C524" s="26">
        <v>0.30208333333333331</v>
      </c>
      <c r="D524" s="26" t="s">
        <v>83</v>
      </c>
      <c r="E524" s="26" t="s">
        <v>87</v>
      </c>
      <c r="F524" s="26" t="s">
        <v>474</v>
      </c>
      <c r="G524" s="328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9"/>
    </row>
    <row r="525" spans="1:18" ht="15" customHeight="1" x14ac:dyDescent="0.3">
      <c r="A525" s="11" t="s">
        <v>66</v>
      </c>
      <c r="B525" s="11" t="s">
        <v>485</v>
      </c>
      <c r="C525" s="11">
        <v>0.4861111111111111</v>
      </c>
      <c r="D525" s="11" t="s">
        <v>68</v>
      </c>
      <c r="E525" s="11" t="s">
        <v>47</v>
      </c>
      <c r="F525" s="11" t="s">
        <v>507</v>
      </c>
      <c r="G525" s="328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9"/>
    </row>
    <row r="526" spans="1:18" ht="15" customHeight="1" x14ac:dyDescent="0.3">
      <c r="A526" s="26" t="s">
        <v>66</v>
      </c>
      <c r="B526" s="26" t="s">
        <v>487</v>
      </c>
      <c r="C526" s="26">
        <v>0.54861111111111105</v>
      </c>
      <c r="D526" s="26" t="s">
        <v>68</v>
      </c>
      <c r="E526" s="26" t="s">
        <v>71</v>
      </c>
      <c r="F526" s="26" t="s">
        <v>507</v>
      </c>
      <c r="G526" s="328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9"/>
    </row>
    <row r="527" spans="1:18" ht="15" customHeight="1" x14ac:dyDescent="0.3">
      <c r="A527" s="26" t="s">
        <v>66</v>
      </c>
      <c r="B527" s="26" t="s">
        <v>488</v>
      </c>
      <c r="C527" s="26">
        <v>0.22222222222222221</v>
      </c>
      <c r="D527" s="26" t="s">
        <v>68</v>
      </c>
      <c r="E527" s="26" t="s">
        <v>71</v>
      </c>
      <c r="F527" s="26" t="s">
        <v>486</v>
      </c>
      <c r="G527" s="328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9"/>
    </row>
    <row r="528" spans="1:18" ht="15" customHeight="1" x14ac:dyDescent="0.3">
      <c r="A528" s="26" t="s">
        <v>66</v>
      </c>
      <c r="B528" s="26" t="s">
        <v>490</v>
      </c>
      <c r="C528" s="26">
        <v>0.27777777777777779</v>
      </c>
      <c r="D528" s="26" t="s">
        <v>68</v>
      </c>
      <c r="E528" s="26" t="s">
        <v>71</v>
      </c>
      <c r="F528" s="26" t="s">
        <v>486</v>
      </c>
      <c r="G528" s="328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9"/>
    </row>
    <row r="529" spans="1:18" ht="15" customHeight="1" x14ac:dyDescent="0.3">
      <c r="A529" s="26" t="s">
        <v>66</v>
      </c>
      <c r="B529" s="26" t="s">
        <v>508</v>
      </c>
      <c r="C529" s="26">
        <v>0.95833333333333337</v>
      </c>
      <c r="D529" s="26" t="s">
        <v>68</v>
      </c>
      <c r="E529" s="26" t="s">
        <v>71</v>
      </c>
      <c r="F529" s="26" t="s">
        <v>489</v>
      </c>
      <c r="G529" s="328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9"/>
    </row>
    <row r="530" spans="1:18" ht="15" customHeight="1" x14ac:dyDescent="0.3">
      <c r="A530" s="26" t="s">
        <v>66</v>
      </c>
      <c r="B530" s="26" t="s">
        <v>509</v>
      </c>
      <c r="C530" s="26">
        <v>1.388888888888889E-2</v>
      </c>
      <c r="D530" s="26" t="s">
        <v>68</v>
      </c>
      <c r="E530" s="26" t="s">
        <v>71</v>
      </c>
      <c r="F530" s="26" t="s">
        <v>510</v>
      </c>
      <c r="G530" s="328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9"/>
    </row>
    <row r="531" spans="1:18" ht="15" customHeight="1" x14ac:dyDescent="0.3">
      <c r="A531" s="31" t="s">
        <v>66</v>
      </c>
      <c r="B531" s="31" t="s">
        <v>492</v>
      </c>
      <c r="C531" s="31">
        <v>0.77083333333333337</v>
      </c>
      <c r="D531" s="31" t="s">
        <v>68</v>
      </c>
      <c r="E531" s="31" t="s">
        <v>71</v>
      </c>
      <c r="F531" s="31" t="s">
        <v>594</v>
      </c>
      <c r="G531" s="328"/>
      <c r="H531" s="28"/>
      <c r="I531" s="29"/>
      <c r="J531" s="29"/>
      <c r="K531" s="29"/>
      <c r="L531" s="29"/>
      <c r="M531" s="29"/>
      <c r="N531" s="29"/>
      <c r="O531" s="29"/>
      <c r="P531" s="29"/>
      <c r="Q531" s="29"/>
      <c r="R531" s="30"/>
    </row>
    <row r="532" spans="1:18" ht="17.399999999999999" customHeight="1" x14ac:dyDescent="0.3">
      <c r="A532" s="360"/>
      <c r="B532" s="361"/>
      <c r="C532" s="361"/>
      <c r="D532" s="361"/>
      <c r="E532" s="361"/>
      <c r="F532" s="361"/>
      <c r="G532" s="361"/>
      <c r="H532" s="361"/>
      <c r="I532" s="361"/>
      <c r="J532" s="361"/>
      <c r="K532" s="361"/>
      <c r="L532" s="361"/>
      <c r="M532" s="361"/>
      <c r="N532" s="361"/>
      <c r="O532" s="361"/>
      <c r="P532" s="361"/>
      <c r="Q532" s="361"/>
      <c r="R532" s="362"/>
    </row>
    <row r="533" spans="1:18" ht="22.05" customHeight="1" x14ac:dyDescent="0.3">
      <c r="A533" s="323" t="s">
        <v>6</v>
      </c>
      <c r="B533" s="324"/>
      <c r="C533" s="324"/>
      <c r="D533" s="324"/>
      <c r="E533" s="324"/>
      <c r="F533" s="324"/>
      <c r="G533" s="2">
        <v>45994</v>
      </c>
      <c r="H533" s="323" t="s">
        <v>7</v>
      </c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</row>
    <row r="534" spans="1:18" ht="24" customHeight="1" x14ac:dyDescent="0.3">
      <c r="A534" s="3" t="s">
        <v>8</v>
      </c>
      <c r="B534" s="3" t="s">
        <v>9</v>
      </c>
      <c r="C534" s="3" t="s">
        <v>10</v>
      </c>
      <c r="D534" s="3" t="s">
        <v>11</v>
      </c>
      <c r="E534" s="3" t="s">
        <v>12</v>
      </c>
      <c r="F534" s="4" t="s">
        <v>13</v>
      </c>
      <c r="G534" s="5" t="s">
        <v>14</v>
      </c>
      <c r="H534" s="3" t="s">
        <v>15</v>
      </c>
      <c r="I534" s="3" t="s">
        <v>16</v>
      </c>
      <c r="J534" s="3" t="s">
        <v>17</v>
      </c>
      <c r="K534" s="3" t="s">
        <v>18</v>
      </c>
      <c r="L534" s="3" t="s">
        <v>19</v>
      </c>
      <c r="M534" s="3" t="s">
        <v>20</v>
      </c>
      <c r="N534" s="3" t="s">
        <v>21</v>
      </c>
      <c r="O534" s="3" t="s">
        <v>22</v>
      </c>
      <c r="P534" s="3" t="s">
        <v>23</v>
      </c>
      <c r="Q534" s="3" t="s">
        <v>24</v>
      </c>
      <c r="R534" s="3" t="s">
        <v>25</v>
      </c>
    </row>
    <row r="535" spans="1:18" ht="15" customHeight="1" x14ac:dyDescent="0.3">
      <c r="A535" s="6" t="s">
        <v>456</v>
      </c>
      <c r="B535" s="6" t="s">
        <v>500</v>
      </c>
      <c r="C535" s="6">
        <v>0.3923611111111111</v>
      </c>
      <c r="D535" s="6" t="s">
        <v>458</v>
      </c>
      <c r="E535" s="6" t="s">
        <v>123</v>
      </c>
      <c r="F535" s="6" t="s">
        <v>595</v>
      </c>
      <c r="G535" s="328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9"/>
    </row>
    <row r="536" spans="1:18" ht="15" customHeight="1" x14ac:dyDescent="0.3">
      <c r="A536" s="10" t="s">
        <v>456</v>
      </c>
      <c r="B536" s="10" t="s">
        <v>500</v>
      </c>
      <c r="C536" s="10">
        <v>0.3923611111111111</v>
      </c>
      <c r="D536" s="10" t="s">
        <v>34</v>
      </c>
      <c r="E536" s="10" t="s">
        <v>124</v>
      </c>
      <c r="F536" s="10" t="s">
        <v>596</v>
      </c>
      <c r="G536" s="328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9"/>
    </row>
    <row r="537" spans="1:18" ht="15" customHeight="1" x14ac:dyDescent="0.3">
      <c r="A537" s="11" t="s">
        <v>36</v>
      </c>
      <c r="B537" s="11" t="s">
        <v>443</v>
      </c>
      <c r="C537" s="11">
        <v>0.30208333333333331</v>
      </c>
      <c r="D537" s="11" t="s">
        <v>38</v>
      </c>
      <c r="E537" s="11" t="s">
        <v>102</v>
      </c>
      <c r="F537" s="11" t="s">
        <v>583</v>
      </c>
      <c r="G537" s="328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9"/>
    </row>
    <row r="538" spans="1:18" ht="15" customHeight="1" x14ac:dyDescent="0.3">
      <c r="A538" s="10" t="s">
        <v>36</v>
      </c>
      <c r="B538" s="10" t="s">
        <v>443</v>
      </c>
      <c r="C538" s="10">
        <v>0.30208333333333331</v>
      </c>
      <c r="D538" s="10" t="s">
        <v>40</v>
      </c>
      <c r="E538" s="10" t="s">
        <v>104</v>
      </c>
      <c r="F538" s="10" t="s">
        <v>531</v>
      </c>
      <c r="G538" s="328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9"/>
    </row>
    <row r="539" spans="1:18" ht="15" customHeight="1" x14ac:dyDescent="0.3">
      <c r="A539" s="10" t="s">
        <v>36</v>
      </c>
      <c r="B539" s="10" t="s">
        <v>443</v>
      </c>
      <c r="C539" s="10">
        <v>0.30208333333333331</v>
      </c>
      <c r="D539" s="10" t="s">
        <v>42</v>
      </c>
      <c r="E539" s="10" t="s">
        <v>104</v>
      </c>
      <c r="F539" s="10" t="s">
        <v>30</v>
      </c>
      <c r="G539" s="328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9"/>
    </row>
    <row r="540" spans="1:18" ht="15" customHeight="1" x14ac:dyDescent="0.3">
      <c r="A540" s="26" t="s">
        <v>36</v>
      </c>
      <c r="B540" s="26" t="s">
        <v>438</v>
      </c>
      <c r="C540" s="26">
        <v>0.85416666666666663</v>
      </c>
      <c r="D540" s="26" t="s">
        <v>38</v>
      </c>
      <c r="E540" s="26" t="s">
        <v>90</v>
      </c>
      <c r="F540" s="26" t="s">
        <v>530</v>
      </c>
      <c r="G540" s="328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9"/>
    </row>
    <row r="541" spans="1:18" ht="15" customHeight="1" x14ac:dyDescent="0.3">
      <c r="A541" s="10" t="s">
        <v>36</v>
      </c>
      <c r="B541" s="10" t="s">
        <v>438</v>
      </c>
      <c r="C541" s="10">
        <v>0.85416666666666663</v>
      </c>
      <c r="D541" s="10" t="s">
        <v>40</v>
      </c>
      <c r="E541" s="10" t="s">
        <v>92</v>
      </c>
      <c r="F541" s="10" t="s">
        <v>514</v>
      </c>
      <c r="G541" s="328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9"/>
    </row>
    <row r="542" spans="1:18" ht="15" customHeight="1" x14ac:dyDescent="0.3">
      <c r="A542" s="10" t="s">
        <v>36</v>
      </c>
      <c r="B542" s="10" t="s">
        <v>438</v>
      </c>
      <c r="C542" s="10">
        <v>0.85416666666666663</v>
      </c>
      <c r="D542" s="10" t="s">
        <v>42</v>
      </c>
      <c r="E542" s="10" t="s">
        <v>92</v>
      </c>
      <c r="F542" s="10" t="s">
        <v>414</v>
      </c>
      <c r="G542" s="328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9"/>
    </row>
    <row r="543" spans="1:18" ht="15" customHeight="1" x14ac:dyDescent="0.3">
      <c r="A543" s="26" t="s">
        <v>36</v>
      </c>
      <c r="B543" s="26" t="s">
        <v>442</v>
      </c>
      <c r="C543" s="26">
        <v>0.25694444444444448</v>
      </c>
      <c r="D543" s="26" t="s">
        <v>38</v>
      </c>
      <c r="E543" s="26" t="s">
        <v>114</v>
      </c>
      <c r="F543" s="26" t="s">
        <v>530</v>
      </c>
      <c r="G543" s="328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9"/>
    </row>
    <row r="544" spans="1:18" ht="15" customHeight="1" x14ac:dyDescent="0.3">
      <c r="A544" s="10" t="s">
        <v>36</v>
      </c>
      <c r="B544" s="10" t="s">
        <v>442</v>
      </c>
      <c r="C544" s="10">
        <v>0.25694444444444448</v>
      </c>
      <c r="D544" s="10" t="s">
        <v>40</v>
      </c>
      <c r="E544" s="10" t="s">
        <v>115</v>
      </c>
      <c r="F544" s="10" t="s">
        <v>514</v>
      </c>
      <c r="G544" s="328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9"/>
    </row>
    <row r="545" spans="1:18" ht="15" customHeight="1" x14ac:dyDescent="0.3">
      <c r="A545" s="10" t="s">
        <v>36</v>
      </c>
      <c r="B545" s="10" t="s">
        <v>442</v>
      </c>
      <c r="C545" s="10">
        <v>0.25694444444444448</v>
      </c>
      <c r="D545" s="10" t="s">
        <v>42</v>
      </c>
      <c r="E545" s="10" t="s">
        <v>115</v>
      </c>
      <c r="F545" s="10" t="s">
        <v>414</v>
      </c>
      <c r="G545" s="328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9"/>
    </row>
    <row r="546" spans="1:18" ht="15" customHeight="1" x14ac:dyDescent="0.3">
      <c r="A546" s="26" t="s">
        <v>36</v>
      </c>
      <c r="B546" s="26" t="s">
        <v>444</v>
      </c>
      <c r="C546" s="26">
        <v>0.51736111111111105</v>
      </c>
      <c r="D546" s="26" t="s">
        <v>38</v>
      </c>
      <c r="E546" s="26" t="s">
        <v>113</v>
      </c>
      <c r="F546" s="26" t="s">
        <v>530</v>
      </c>
      <c r="G546" s="328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9"/>
    </row>
    <row r="547" spans="1:18" ht="15" customHeight="1" x14ac:dyDescent="0.3">
      <c r="A547" s="10" t="s">
        <v>36</v>
      </c>
      <c r="B547" s="10" t="s">
        <v>444</v>
      </c>
      <c r="C547" s="10">
        <v>0.51736111111111105</v>
      </c>
      <c r="D547" s="10" t="s">
        <v>40</v>
      </c>
      <c r="E547" s="10" t="s">
        <v>136</v>
      </c>
      <c r="F547" s="10" t="s">
        <v>514</v>
      </c>
      <c r="G547" s="328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9"/>
    </row>
    <row r="548" spans="1:18" ht="15" customHeight="1" x14ac:dyDescent="0.3">
      <c r="A548" s="10" t="s">
        <v>36</v>
      </c>
      <c r="B548" s="10" t="s">
        <v>444</v>
      </c>
      <c r="C548" s="10">
        <v>0.51736111111111105</v>
      </c>
      <c r="D548" s="10" t="s">
        <v>42</v>
      </c>
      <c r="E548" s="10" t="s">
        <v>136</v>
      </c>
      <c r="F548" s="10" t="s">
        <v>414</v>
      </c>
      <c r="G548" s="328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9"/>
    </row>
    <row r="549" spans="1:18" ht="15" customHeight="1" x14ac:dyDescent="0.3">
      <c r="A549" s="26" t="s">
        <v>36</v>
      </c>
      <c r="B549" s="26" t="s">
        <v>435</v>
      </c>
      <c r="C549" s="26">
        <v>0.90277777777777779</v>
      </c>
      <c r="D549" s="26" t="s">
        <v>38</v>
      </c>
      <c r="E549" s="26" t="s">
        <v>90</v>
      </c>
      <c r="F549" s="26" t="s">
        <v>530</v>
      </c>
      <c r="G549" s="328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9"/>
    </row>
    <row r="550" spans="1:18" ht="15" customHeight="1" x14ac:dyDescent="0.3">
      <c r="A550" s="10" t="s">
        <v>36</v>
      </c>
      <c r="B550" s="10" t="s">
        <v>435</v>
      </c>
      <c r="C550" s="10">
        <v>0.90277777777777779</v>
      </c>
      <c r="D550" s="10" t="s">
        <v>40</v>
      </c>
      <c r="E550" s="10" t="s">
        <v>92</v>
      </c>
      <c r="F550" s="10" t="s">
        <v>514</v>
      </c>
      <c r="G550" s="328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9"/>
    </row>
    <row r="551" spans="1:18" ht="15" customHeight="1" x14ac:dyDescent="0.3">
      <c r="A551" s="10" t="s">
        <v>36</v>
      </c>
      <c r="B551" s="10" t="s">
        <v>435</v>
      </c>
      <c r="C551" s="10">
        <v>0.90277777777777779</v>
      </c>
      <c r="D551" s="10" t="s">
        <v>42</v>
      </c>
      <c r="E551" s="10" t="s">
        <v>92</v>
      </c>
      <c r="F551" s="10" t="s">
        <v>414</v>
      </c>
      <c r="G551" s="328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9"/>
    </row>
    <row r="552" spans="1:18" ht="15" customHeight="1" x14ac:dyDescent="0.3">
      <c r="A552" s="26" t="s">
        <v>36</v>
      </c>
      <c r="B552" s="26" t="s">
        <v>445</v>
      </c>
      <c r="C552" s="26">
        <v>0.79861111111111116</v>
      </c>
      <c r="D552" s="26" t="s">
        <v>38</v>
      </c>
      <c r="E552" s="26" t="s">
        <v>114</v>
      </c>
      <c r="F552" s="26" t="s">
        <v>530</v>
      </c>
      <c r="G552" s="328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9"/>
    </row>
    <row r="553" spans="1:18" ht="15" customHeight="1" x14ac:dyDescent="0.3">
      <c r="A553" s="10" t="s">
        <v>36</v>
      </c>
      <c r="B553" s="10" t="s">
        <v>445</v>
      </c>
      <c r="C553" s="10">
        <v>0.79861111111111116</v>
      </c>
      <c r="D553" s="10" t="s">
        <v>40</v>
      </c>
      <c r="E553" s="10" t="s">
        <v>115</v>
      </c>
      <c r="F553" s="10" t="s">
        <v>514</v>
      </c>
      <c r="G553" s="328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9"/>
    </row>
    <row r="554" spans="1:18" ht="15" customHeight="1" x14ac:dyDescent="0.3">
      <c r="A554" s="10" t="s">
        <v>36</v>
      </c>
      <c r="B554" s="10" t="s">
        <v>445</v>
      </c>
      <c r="C554" s="10">
        <v>0.79861111111111116</v>
      </c>
      <c r="D554" s="10" t="s">
        <v>42</v>
      </c>
      <c r="E554" s="10" t="s">
        <v>115</v>
      </c>
      <c r="F554" s="10" t="s">
        <v>414</v>
      </c>
      <c r="G554" s="328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9"/>
    </row>
    <row r="555" spans="1:18" ht="15" customHeight="1" x14ac:dyDescent="0.3">
      <c r="A555" s="26" t="s">
        <v>36</v>
      </c>
      <c r="B555" s="26" t="s">
        <v>447</v>
      </c>
      <c r="C555" s="26">
        <v>0.39583333333333331</v>
      </c>
      <c r="D555" s="26" t="s">
        <v>38</v>
      </c>
      <c r="E555" s="26" t="s">
        <v>97</v>
      </c>
      <c r="F555" s="26" t="s">
        <v>530</v>
      </c>
      <c r="G555" s="328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9"/>
    </row>
    <row r="556" spans="1:18" ht="15" customHeight="1" x14ac:dyDescent="0.3">
      <c r="A556" s="10" t="s">
        <v>36</v>
      </c>
      <c r="B556" s="10" t="s">
        <v>447</v>
      </c>
      <c r="C556" s="10">
        <v>0.39583333333333331</v>
      </c>
      <c r="D556" s="10" t="s">
        <v>40</v>
      </c>
      <c r="E556" s="10" t="s">
        <v>104</v>
      </c>
      <c r="F556" s="10" t="s">
        <v>514</v>
      </c>
      <c r="G556" s="328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9"/>
    </row>
    <row r="557" spans="1:18" ht="15" customHeight="1" x14ac:dyDescent="0.3">
      <c r="A557" s="10" t="s">
        <v>36</v>
      </c>
      <c r="B557" s="10" t="s">
        <v>447</v>
      </c>
      <c r="C557" s="10">
        <v>0.39583333333333331</v>
      </c>
      <c r="D557" s="10" t="s">
        <v>42</v>
      </c>
      <c r="E557" s="10" t="s">
        <v>104</v>
      </c>
      <c r="F557" s="10" t="s">
        <v>414</v>
      </c>
      <c r="G557" s="328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9"/>
    </row>
    <row r="558" spans="1:18" ht="15" customHeight="1" x14ac:dyDescent="0.3">
      <c r="A558" s="26" t="s">
        <v>36</v>
      </c>
      <c r="B558" s="26" t="s">
        <v>446</v>
      </c>
      <c r="C558" s="26">
        <v>0.64583333333333337</v>
      </c>
      <c r="D558" s="26" t="s">
        <v>38</v>
      </c>
      <c r="E558" s="26" t="s">
        <v>74</v>
      </c>
      <c r="F558" s="26" t="s">
        <v>436</v>
      </c>
      <c r="G558" s="328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9"/>
    </row>
    <row r="559" spans="1:18" ht="15" customHeight="1" x14ac:dyDescent="0.3">
      <c r="A559" s="10" t="s">
        <v>36</v>
      </c>
      <c r="B559" s="10" t="s">
        <v>446</v>
      </c>
      <c r="C559" s="10">
        <v>0.64583333333333337</v>
      </c>
      <c r="D559" s="10" t="s">
        <v>40</v>
      </c>
      <c r="E559" s="10" t="s">
        <v>122</v>
      </c>
      <c r="F559" s="10" t="s">
        <v>437</v>
      </c>
      <c r="G559" s="328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9"/>
    </row>
    <row r="560" spans="1:18" ht="15" customHeight="1" x14ac:dyDescent="0.3">
      <c r="A560" s="10" t="s">
        <v>36</v>
      </c>
      <c r="B560" s="10" t="s">
        <v>446</v>
      </c>
      <c r="C560" s="10">
        <v>0.64583333333333337</v>
      </c>
      <c r="D560" s="10" t="s">
        <v>42</v>
      </c>
      <c r="E560" s="10" t="s">
        <v>122</v>
      </c>
      <c r="F560" s="10" t="s">
        <v>39</v>
      </c>
      <c r="G560" s="328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9"/>
    </row>
    <row r="561" spans="1:18" ht="15" customHeight="1" x14ac:dyDescent="0.3">
      <c r="A561" s="11" t="s">
        <v>26</v>
      </c>
      <c r="B561" s="11" t="s">
        <v>453</v>
      </c>
      <c r="C561" s="11">
        <v>0.30208333333333331</v>
      </c>
      <c r="D561" s="11" t="s">
        <v>28</v>
      </c>
      <c r="E561" s="11" t="s">
        <v>132</v>
      </c>
      <c r="F561" s="11" t="s">
        <v>515</v>
      </c>
      <c r="G561" s="328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9"/>
    </row>
    <row r="562" spans="1:18" ht="15" customHeight="1" x14ac:dyDescent="0.3">
      <c r="A562" s="10" t="s">
        <v>26</v>
      </c>
      <c r="B562" s="10" t="s">
        <v>453</v>
      </c>
      <c r="C562" s="10">
        <v>0.30208333333333331</v>
      </c>
      <c r="D562" s="10" t="s">
        <v>31</v>
      </c>
      <c r="E562" s="10" t="s">
        <v>115</v>
      </c>
      <c r="F562" s="10" t="s">
        <v>516</v>
      </c>
      <c r="G562" s="328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9"/>
    </row>
    <row r="563" spans="1:18" ht="15" customHeight="1" x14ac:dyDescent="0.3">
      <c r="A563" s="10" t="s">
        <v>26</v>
      </c>
      <c r="B563" s="10" t="s">
        <v>453</v>
      </c>
      <c r="C563" s="10">
        <v>0.30208333333333331</v>
      </c>
      <c r="D563" s="10" t="s">
        <v>34</v>
      </c>
      <c r="E563" s="10" t="s">
        <v>115</v>
      </c>
      <c r="F563" s="10" t="s">
        <v>35</v>
      </c>
      <c r="G563" s="328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9"/>
    </row>
    <row r="564" spans="1:18" ht="15" customHeight="1" x14ac:dyDescent="0.3">
      <c r="A564" s="26" t="s">
        <v>26</v>
      </c>
      <c r="B564" s="26" t="s">
        <v>451</v>
      </c>
      <c r="C564" s="26">
        <v>0.12847222222222221</v>
      </c>
      <c r="D564" s="26" t="s">
        <v>28</v>
      </c>
      <c r="E564" s="26" t="s">
        <v>566</v>
      </c>
      <c r="F564" s="26" t="s">
        <v>498</v>
      </c>
      <c r="G564" s="328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9"/>
    </row>
    <row r="565" spans="1:18" ht="15" customHeight="1" x14ac:dyDescent="0.3">
      <c r="A565" s="10" t="s">
        <v>26</v>
      </c>
      <c r="B565" s="10" t="s">
        <v>451</v>
      </c>
      <c r="C565" s="10">
        <v>0.12847222222222221</v>
      </c>
      <c r="D565" s="10" t="s">
        <v>31</v>
      </c>
      <c r="E565" s="10" t="s">
        <v>149</v>
      </c>
      <c r="F565" s="10" t="s">
        <v>499</v>
      </c>
      <c r="G565" s="328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9"/>
    </row>
    <row r="566" spans="1:18" ht="15" customHeight="1" x14ac:dyDescent="0.3">
      <c r="A566" s="10" t="s">
        <v>26</v>
      </c>
      <c r="B566" s="10" t="s">
        <v>451</v>
      </c>
      <c r="C566" s="10">
        <v>0.12847222222222221</v>
      </c>
      <c r="D566" s="10" t="s">
        <v>34</v>
      </c>
      <c r="E566" s="10" t="s">
        <v>149</v>
      </c>
      <c r="F566" s="10" t="s">
        <v>35</v>
      </c>
      <c r="G566" s="328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9"/>
    </row>
    <row r="567" spans="1:18" ht="15" customHeight="1" x14ac:dyDescent="0.3">
      <c r="A567" s="26" t="s">
        <v>26</v>
      </c>
      <c r="B567" s="26" t="s">
        <v>454</v>
      </c>
      <c r="C567" s="26">
        <v>0.88888888888888884</v>
      </c>
      <c r="D567" s="26" t="s">
        <v>28</v>
      </c>
      <c r="E567" s="26" t="s">
        <v>597</v>
      </c>
      <c r="F567" s="26" t="s">
        <v>452</v>
      </c>
      <c r="G567" s="328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9"/>
    </row>
    <row r="568" spans="1:18" ht="15" customHeight="1" x14ac:dyDescent="0.3">
      <c r="A568" s="10" t="s">
        <v>26</v>
      </c>
      <c r="B568" s="10" t="s">
        <v>454</v>
      </c>
      <c r="C568" s="10">
        <v>0.88888888888888884</v>
      </c>
      <c r="D568" s="10" t="s">
        <v>31</v>
      </c>
      <c r="E568" s="10" t="s">
        <v>598</v>
      </c>
      <c r="F568" s="10" t="s">
        <v>179</v>
      </c>
      <c r="G568" s="328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9"/>
    </row>
    <row r="569" spans="1:18" ht="15" customHeight="1" x14ac:dyDescent="0.3">
      <c r="A569" s="10" t="s">
        <v>26</v>
      </c>
      <c r="B569" s="10" t="s">
        <v>454</v>
      </c>
      <c r="C569" s="10">
        <v>0.88888888888888884</v>
      </c>
      <c r="D569" s="10" t="s">
        <v>34</v>
      </c>
      <c r="E569" s="10" t="s">
        <v>598</v>
      </c>
      <c r="F569" s="10" t="s">
        <v>35</v>
      </c>
      <c r="G569" s="328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9"/>
    </row>
    <row r="570" spans="1:18" ht="15" customHeight="1" x14ac:dyDescent="0.3">
      <c r="A570" s="26" t="s">
        <v>26</v>
      </c>
      <c r="B570" s="26" t="s">
        <v>455</v>
      </c>
      <c r="C570" s="26">
        <v>0.78819444444444453</v>
      </c>
      <c r="D570" s="26" t="s">
        <v>28</v>
      </c>
      <c r="E570" s="26" t="s">
        <v>599</v>
      </c>
      <c r="F570" s="26" t="s">
        <v>452</v>
      </c>
      <c r="G570" s="328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9"/>
    </row>
    <row r="571" spans="1:18" ht="15" customHeight="1" x14ac:dyDescent="0.3">
      <c r="A571" s="10" t="s">
        <v>26</v>
      </c>
      <c r="B571" s="10" t="s">
        <v>455</v>
      </c>
      <c r="C571" s="10">
        <v>0.78819444444444453</v>
      </c>
      <c r="D571" s="10" t="s">
        <v>31</v>
      </c>
      <c r="E571" s="10" t="s">
        <v>600</v>
      </c>
      <c r="F571" s="10" t="s">
        <v>179</v>
      </c>
      <c r="G571" s="328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9"/>
    </row>
    <row r="572" spans="1:18" ht="15" customHeight="1" x14ac:dyDescent="0.3">
      <c r="A572" s="10" t="s">
        <v>26</v>
      </c>
      <c r="B572" s="10" t="s">
        <v>455</v>
      </c>
      <c r="C572" s="10">
        <v>0.78819444444444453</v>
      </c>
      <c r="D572" s="10" t="s">
        <v>34</v>
      </c>
      <c r="E572" s="10" t="s">
        <v>600</v>
      </c>
      <c r="F572" s="10" t="s">
        <v>35</v>
      </c>
      <c r="G572" s="328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9"/>
    </row>
    <row r="573" spans="1:18" ht="15" customHeight="1" x14ac:dyDescent="0.3">
      <c r="A573" s="11" t="s">
        <v>404</v>
      </c>
      <c r="B573" s="11" t="s">
        <v>405</v>
      </c>
      <c r="C573" s="11">
        <v>0.53819444444444442</v>
      </c>
      <c r="D573" s="11" t="s">
        <v>406</v>
      </c>
      <c r="E573" s="11" t="s">
        <v>121</v>
      </c>
      <c r="F573" s="11" t="s">
        <v>407</v>
      </c>
      <c r="G573" s="328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9"/>
    </row>
    <row r="574" spans="1:18" ht="15" customHeight="1" x14ac:dyDescent="0.3">
      <c r="A574" s="26" t="s">
        <v>404</v>
      </c>
      <c r="B574" s="26" t="s">
        <v>408</v>
      </c>
      <c r="C574" s="26">
        <v>0.86111111111111116</v>
      </c>
      <c r="D574" s="26" t="s">
        <v>406</v>
      </c>
      <c r="E574" s="26" t="s">
        <v>87</v>
      </c>
      <c r="F574" s="26" t="s">
        <v>159</v>
      </c>
      <c r="G574" s="328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9"/>
    </row>
    <row r="575" spans="1:18" ht="15" customHeight="1" x14ac:dyDescent="0.3">
      <c r="A575" s="11" t="s">
        <v>410</v>
      </c>
      <c r="B575" s="11" t="s">
        <v>411</v>
      </c>
      <c r="C575" s="11">
        <v>0.37152777777777768</v>
      </c>
      <c r="D575" s="11" t="s">
        <v>406</v>
      </c>
      <c r="E575" s="11" t="s">
        <v>29</v>
      </c>
      <c r="F575" s="11" t="s">
        <v>374</v>
      </c>
      <c r="G575" s="328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9"/>
    </row>
    <row r="576" spans="1:18" ht="15" customHeight="1" x14ac:dyDescent="0.3">
      <c r="A576" s="26" t="s">
        <v>410</v>
      </c>
      <c r="B576" s="26" t="s">
        <v>413</v>
      </c>
      <c r="C576" s="26">
        <v>0.66666666666666663</v>
      </c>
      <c r="D576" s="26" t="s">
        <v>406</v>
      </c>
      <c r="E576" s="26" t="s">
        <v>54</v>
      </c>
      <c r="F576" s="26" t="s">
        <v>414</v>
      </c>
      <c r="G576" s="328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9"/>
    </row>
    <row r="577" spans="1:18" ht="15" customHeight="1" x14ac:dyDescent="0.3">
      <c r="A577" s="149" t="s">
        <v>44</v>
      </c>
      <c r="B577" s="149" t="s">
        <v>415</v>
      </c>
      <c r="C577" s="149">
        <v>0.51736111111111105</v>
      </c>
      <c r="D577" s="149" t="s">
        <v>46</v>
      </c>
      <c r="E577" s="149" t="s">
        <v>81</v>
      </c>
      <c r="F577" s="149" t="s">
        <v>426</v>
      </c>
      <c r="G577" s="328"/>
      <c r="H577" s="19" t="s">
        <v>417</v>
      </c>
      <c r="I577" s="201">
        <v>0.62009999999999998</v>
      </c>
      <c r="J577" s="21">
        <v>111</v>
      </c>
      <c r="K577" s="22" t="s">
        <v>50</v>
      </c>
      <c r="L577" s="21">
        <v>14</v>
      </c>
      <c r="M577" s="21">
        <v>0</v>
      </c>
      <c r="N577" s="21">
        <v>5</v>
      </c>
      <c r="O577" s="22" t="s">
        <v>245</v>
      </c>
      <c r="P577" s="22">
        <v>0.51736111111111105</v>
      </c>
      <c r="Q577" s="21">
        <v>179</v>
      </c>
      <c r="R577" s="23" t="s">
        <v>601</v>
      </c>
    </row>
    <row r="578" spans="1:18" ht="15" customHeight="1" x14ac:dyDescent="0.3">
      <c r="A578" s="57" t="s">
        <v>44</v>
      </c>
      <c r="B578" s="57" t="s">
        <v>425</v>
      </c>
      <c r="C578" s="57">
        <v>0.61458333333333337</v>
      </c>
      <c r="D578" s="57" t="s">
        <v>46</v>
      </c>
      <c r="E578" s="57" t="s">
        <v>71</v>
      </c>
      <c r="F578" s="57" t="s">
        <v>562</v>
      </c>
      <c r="G578" s="328"/>
      <c r="H578" s="58" t="s">
        <v>427</v>
      </c>
      <c r="I578" s="206">
        <v>0.62160000000000004</v>
      </c>
      <c r="J578" s="60">
        <v>115</v>
      </c>
      <c r="K578" s="61" t="s">
        <v>175</v>
      </c>
      <c r="L578" s="60">
        <v>15</v>
      </c>
      <c r="M578" s="60">
        <v>3</v>
      </c>
      <c r="N578" s="60">
        <v>6</v>
      </c>
      <c r="O578" s="61" t="s">
        <v>265</v>
      </c>
      <c r="P578" s="61">
        <v>0.61458333333333337</v>
      </c>
      <c r="Q578" s="60">
        <v>185</v>
      </c>
      <c r="R578" s="62" t="s">
        <v>602</v>
      </c>
    </row>
    <row r="579" spans="1:18" ht="15" customHeight="1" x14ac:dyDescent="0.3">
      <c r="A579" s="193" t="s">
        <v>44</v>
      </c>
      <c r="B579" s="193" t="s">
        <v>429</v>
      </c>
      <c r="C579" s="193">
        <v>0.52083333333333337</v>
      </c>
      <c r="D579" s="193" t="s">
        <v>46</v>
      </c>
      <c r="E579" s="193" t="s">
        <v>54</v>
      </c>
      <c r="F579" s="193" t="s">
        <v>603</v>
      </c>
      <c r="G579" s="328"/>
      <c r="H579" s="194" t="s">
        <v>430</v>
      </c>
      <c r="I579" s="207">
        <v>0.93300000000000005</v>
      </c>
      <c r="J579" s="196">
        <v>167</v>
      </c>
      <c r="K579" s="197" t="s">
        <v>140</v>
      </c>
      <c r="L579" s="196">
        <v>3</v>
      </c>
      <c r="M579" s="196">
        <v>0</v>
      </c>
      <c r="N579" s="196">
        <v>0</v>
      </c>
      <c r="O579" s="197" t="s">
        <v>604</v>
      </c>
      <c r="P579" s="197">
        <v>0.52083333333333337</v>
      </c>
      <c r="Q579" s="196">
        <v>179</v>
      </c>
      <c r="R579" s="198" t="s">
        <v>605</v>
      </c>
    </row>
    <row r="580" spans="1:18" ht="15" customHeight="1" x14ac:dyDescent="0.3">
      <c r="A580" s="11" t="s">
        <v>78</v>
      </c>
      <c r="B580" s="11" t="s">
        <v>469</v>
      </c>
      <c r="C580" s="11">
        <v>0.37847222222222232</v>
      </c>
      <c r="D580" s="11" t="s">
        <v>80</v>
      </c>
      <c r="E580" s="11" t="s">
        <v>47</v>
      </c>
      <c r="F580" s="11" t="s">
        <v>606</v>
      </c>
      <c r="G580" s="328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9"/>
    </row>
    <row r="581" spans="1:18" ht="15" customHeight="1" x14ac:dyDescent="0.3">
      <c r="A581" s="10" t="s">
        <v>78</v>
      </c>
      <c r="B581" s="10" t="s">
        <v>469</v>
      </c>
      <c r="C581" s="10">
        <v>0.37847222222222232</v>
      </c>
      <c r="D581" s="10" t="s">
        <v>83</v>
      </c>
      <c r="E581" s="10" t="s">
        <v>95</v>
      </c>
      <c r="F581" s="10" t="s">
        <v>103</v>
      </c>
      <c r="G581" s="328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9"/>
    </row>
    <row r="582" spans="1:18" ht="15" customHeight="1" x14ac:dyDescent="0.3">
      <c r="A582" s="26" t="s">
        <v>78</v>
      </c>
      <c r="B582" s="26" t="s">
        <v>464</v>
      </c>
      <c r="C582" s="26">
        <v>6.9444444444444441E-3</v>
      </c>
      <c r="D582" s="26" t="s">
        <v>80</v>
      </c>
      <c r="E582" s="26" t="s">
        <v>71</v>
      </c>
      <c r="F582" s="26" t="s">
        <v>462</v>
      </c>
      <c r="G582" s="328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9"/>
    </row>
    <row r="583" spans="1:18" ht="15" customHeight="1" x14ac:dyDescent="0.3">
      <c r="A583" s="10" t="s">
        <v>78</v>
      </c>
      <c r="B583" s="10" t="s">
        <v>464</v>
      </c>
      <c r="C583" s="10">
        <v>6.9444444444444441E-3</v>
      </c>
      <c r="D583" s="10" t="s">
        <v>83</v>
      </c>
      <c r="E583" s="10" t="s">
        <v>95</v>
      </c>
      <c r="F583" s="10" t="s">
        <v>463</v>
      </c>
      <c r="G583" s="328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9"/>
    </row>
    <row r="584" spans="1:18" ht="15" customHeight="1" x14ac:dyDescent="0.3">
      <c r="A584" s="26" t="s">
        <v>78</v>
      </c>
      <c r="B584" s="26" t="s">
        <v>467</v>
      </c>
      <c r="C584" s="26">
        <v>0.1423611111111111</v>
      </c>
      <c r="D584" s="26" t="s">
        <v>80</v>
      </c>
      <c r="E584" s="26" t="s">
        <v>71</v>
      </c>
      <c r="F584" s="26" t="s">
        <v>462</v>
      </c>
      <c r="G584" s="328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9"/>
    </row>
    <row r="585" spans="1:18" ht="15" customHeight="1" x14ac:dyDescent="0.3">
      <c r="A585" s="10" t="s">
        <v>78</v>
      </c>
      <c r="B585" s="10" t="s">
        <v>467</v>
      </c>
      <c r="C585" s="10">
        <v>0.1423611111111111</v>
      </c>
      <c r="D585" s="10" t="s">
        <v>83</v>
      </c>
      <c r="E585" s="10" t="s">
        <v>95</v>
      </c>
      <c r="F585" s="10" t="s">
        <v>463</v>
      </c>
      <c r="G585" s="328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9"/>
    </row>
    <row r="586" spans="1:18" ht="15" customHeight="1" x14ac:dyDescent="0.3">
      <c r="A586" s="26" t="s">
        <v>78</v>
      </c>
      <c r="B586" s="26" t="s">
        <v>461</v>
      </c>
      <c r="C586" s="26">
        <v>0.23958333333333329</v>
      </c>
      <c r="D586" s="26" t="s">
        <v>80</v>
      </c>
      <c r="E586" s="26" t="s">
        <v>71</v>
      </c>
      <c r="F586" s="26" t="s">
        <v>462</v>
      </c>
      <c r="G586" s="328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9"/>
    </row>
    <row r="587" spans="1:18" ht="15" customHeight="1" x14ac:dyDescent="0.3">
      <c r="A587" s="10" t="s">
        <v>78</v>
      </c>
      <c r="B587" s="10" t="s">
        <v>461</v>
      </c>
      <c r="C587" s="10">
        <v>0.23958333333333329</v>
      </c>
      <c r="D587" s="10" t="s">
        <v>83</v>
      </c>
      <c r="E587" s="10" t="s">
        <v>95</v>
      </c>
      <c r="F587" s="10" t="s">
        <v>463</v>
      </c>
      <c r="G587" s="328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9"/>
    </row>
    <row r="588" spans="1:18" ht="15" customHeight="1" x14ac:dyDescent="0.3">
      <c r="A588" s="26" t="s">
        <v>78</v>
      </c>
      <c r="B588" s="26" t="s">
        <v>482</v>
      </c>
      <c r="C588" s="26">
        <v>0.61111111111111105</v>
      </c>
      <c r="D588" s="26" t="s">
        <v>80</v>
      </c>
      <c r="E588" s="26" t="s">
        <v>71</v>
      </c>
      <c r="F588" s="26" t="s">
        <v>465</v>
      </c>
      <c r="G588" s="328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9"/>
    </row>
    <row r="589" spans="1:18" ht="15" customHeight="1" x14ac:dyDescent="0.3">
      <c r="A589" s="10" t="s">
        <v>78</v>
      </c>
      <c r="B589" s="10" t="s">
        <v>482</v>
      </c>
      <c r="C589" s="10">
        <v>0.61111111111111105</v>
      </c>
      <c r="D589" s="10" t="s">
        <v>83</v>
      </c>
      <c r="E589" s="10" t="s">
        <v>95</v>
      </c>
      <c r="F589" s="10" t="s">
        <v>466</v>
      </c>
      <c r="G589" s="328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9"/>
    </row>
    <row r="590" spans="1:18" ht="15" customHeight="1" x14ac:dyDescent="0.3">
      <c r="A590" s="26" t="s">
        <v>78</v>
      </c>
      <c r="B590" s="26" t="s">
        <v>468</v>
      </c>
      <c r="C590" s="26">
        <v>0.93055555555555547</v>
      </c>
      <c r="D590" s="26" t="s">
        <v>80</v>
      </c>
      <c r="E590" s="26" t="s">
        <v>71</v>
      </c>
      <c r="F590" s="26" t="s">
        <v>511</v>
      </c>
      <c r="G590" s="328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9"/>
    </row>
    <row r="591" spans="1:18" ht="15" customHeight="1" x14ac:dyDescent="0.3">
      <c r="A591" s="10" t="s">
        <v>78</v>
      </c>
      <c r="B591" s="10" t="s">
        <v>468</v>
      </c>
      <c r="C591" s="10">
        <v>0.93055555555555547</v>
      </c>
      <c r="D591" s="10" t="s">
        <v>83</v>
      </c>
      <c r="E591" s="10" t="s">
        <v>95</v>
      </c>
      <c r="F591" s="10" t="s">
        <v>512</v>
      </c>
      <c r="G591" s="328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9"/>
    </row>
    <row r="592" spans="1:18" ht="15" customHeight="1" x14ac:dyDescent="0.3">
      <c r="A592" s="26" t="s">
        <v>78</v>
      </c>
      <c r="B592" s="26" t="s">
        <v>470</v>
      </c>
      <c r="C592" s="26">
        <v>0.71875</v>
      </c>
      <c r="D592" s="26" t="s">
        <v>80</v>
      </c>
      <c r="E592" s="26" t="s">
        <v>71</v>
      </c>
      <c r="F592" s="26" t="s">
        <v>511</v>
      </c>
      <c r="G592" s="328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9"/>
    </row>
    <row r="593" spans="1:18" ht="15" customHeight="1" x14ac:dyDescent="0.3">
      <c r="A593" s="10" t="s">
        <v>78</v>
      </c>
      <c r="B593" s="10" t="s">
        <v>470</v>
      </c>
      <c r="C593" s="10">
        <v>0.71875</v>
      </c>
      <c r="D593" s="10" t="s">
        <v>83</v>
      </c>
      <c r="E593" s="10" t="s">
        <v>95</v>
      </c>
      <c r="F593" s="10" t="s">
        <v>512</v>
      </c>
      <c r="G593" s="328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9"/>
    </row>
    <row r="594" spans="1:18" ht="15" customHeight="1" x14ac:dyDescent="0.3">
      <c r="A594" s="26" t="s">
        <v>78</v>
      </c>
      <c r="B594" s="26" t="s">
        <v>477</v>
      </c>
      <c r="C594" s="26">
        <v>0.82986111111111116</v>
      </c>
      <c r="D594" s="26" t="s">
        <v>80</v>
      </c>
      <c r="E594" s="26" t="s">
        <v>71</v>
      </c>
      <c r="F594" s="26" t="s">
        <v>511</v>
      </c>
      <c r="G594" s="328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9"/>
    </row>
    <row r="595" spans="1:18" ht="15" customHeight="1" x14ac:dyDescent="0.3">
      <c r="A595" s="10" t="s">
        <v>78</v>
      </c>
      <c r="B595" s="10" t="s">
        <v>477</v>
      </c>
      <c r="C595" s="10">
        <v>0.82986111111111116</v>
      </c>
      <c r="D595" s="10" t="s">
        <v>83</v>
      </c>
      <c r="E595" s="10" t="s">
        <v>95</v>
      </c>
      <c r="F595" s="10" t="s">
        <v>512</v>
      </c>
      <c r="G595" s="328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9"/>
    </row>
    <row r="596" spans="1:18" ht="15" customHeight="1" x14ac:dyDescent="0.3">
      <c r="A596" s="26" t="s">
        <v>78</v>
      </c>
      <c r="B596" s="26" t="s">
        <v>473</v>
      </c>
      <c r="C596" s="26">
        <v>0.88888888888888884</v>
      </c>
      <c r="D596" s="26" t="s">
        <v>83</v>
      </c>
      <c r="E596" s="26" t="s">
        <v>87</v>
      </c>
      <c r="F596" s="26" t="s">
        <v>474</v>
      </c>
      <c r="G596" s="328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9"/>
    </row>
    <row r="597" spans="1:18" ht="15" customHeight="1" x14ac:dyDescent="0.3">
      <c r="A597" s="26" t="s">
        <v>78</v>
      </c>
      <c r="B597" s="26" t="s">
        <v>475</v>
      </c>
      <c r="C597" s="26">
        <v>0.30208333333333331</v>
      </c>
      <c r="D597" s="26" t="s">
        <v>83</v>
      </c>
      <c r="E597" s="26" t="s">
        <v>87</v>
      </c>
      <c r="F597" s="26" t="s">
        <v>474</v>
      </c>
      <c r="G597" s="328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9"/>
    </row>
    <row r="598" spans="1:18" ht="15" customHeight="1" x14ac:dyDescent="0.3">
      <c r="A598" s="26" t="s">
        <v>78</v>
      </c>
      <c r="B598" s="26" t="s">
        <v>476</v>
      </c>
      <c r="C598" s="26">
        <v>0.12847222222222221</v>
      </c>
      <c r="D598" s="26" t="s">
        <v>83</v>
      </c>
      <c r="E598" s="26" t="s">
        <v>87</v>
      </c>
      <c r="F598" s="26" t="s">
        <v>474</v>
      </c>
      <c r="G598" s="328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9"/>
    </row>
    <row r="599" spans="1:18" ht="15" customHeight="1" x14ac:dyDescent="0.3">
      <c r="A599" s="26" t="s">
        <v>78</v>
      </c>
      <c r="B599" s="26" t="s">
        <v>480</v>
      </c>
      <c r="C599" s="26">
        <v>0.78819444444444453</v>
      </c>
      <c r="D599" s="26" t="s">
        <v>83</v>
      </c>
      <c r="E599" s="26" t="s">
        <v>87</v>
      </c>
      <c r="F599" s="26" t="s">
        <v>474</v>
      </c>
      <c r="G599" s="328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9"/>
    </row>
    <row r="600" spans="1:18" ht="15" customHeight="1" x14ac:dyDescent="0.3">
      <c r="A600" s="11" t="s">
        <v>66</v>
      </c>
      <c r="B600" s="11" t="s">
        <v>505</v>
      </c>
      <c r="C600" s="11">
        <v>0.14583333333333329</v>
      </c>
      <c r="D600" s="11" t="s">
        <v>68</v>
      </c>
      <c r="E600" s="11" t="s">
        <v>47</v>
      </c>
      <c r="F600" s="11" t="s">
        <v>607</v>
      </c>
      <c r="G600" s="328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9"/>
    </row>
    <row r="601" spans="1:18" ht="15" customHeight="1" x14ac:dyDescent="0.3">
      <c r="A601" s="26" t="s">
        <v>66</v>
      </c>
      <c r="B601" s="26" t="s">
        <v>485</v>
      </c>
      <c r="C601" s="26">
        <v>0.4861111111111111</v>
      </c>
      <c r="D601" s="26" t="s">
        <v>68</v>
      </c>
      <c r="E601" s="26" t="s">
        <v>71</v>
      </c>
      <c r="F601" s="26" t="s">
        <v>504</v>
      </c>
      <c r="G601" s="328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9"/>
    </row>
    <row r="602" spans="1:18" ht="15" customHeight="1" x14ac:dyDescent="0.3">
      <c r="A602" s="26" t="s">
        <v>66</v>
      </c>
      <c r="B602" s="26" t="s">
        <v>492</v>
      </c>
      <c r="C602" s="26">
        <v>0.77083333333333337</v>
      </c>
      <c r="D602" s="26" t="s">
        <v>68</v>
      </c>
      <c r="E602" s="26" t="s">
        <v>71</v>
      </c>
      <c r="F602" s="26" t="s">
        <v>506</v>
      </c>
      <c r="G602" s="328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9"/>
    </row>
    <row r="603" spans="1:18" ht="15" customHeight="1" x14ac:dyDescent="0.3">
      <c r="A603" s="26" t="s">
        <v>66</v>
      </c>
      <c r="B603" s="26" t="s">
        <v>509</v>
      </c>
      <c r="C603" s="26">
        <v>1.388888888888889E-2</v>
      </c>
      <c r="D603" s="26" t="s">
        <v>68</v>
      </c>
      <c r="E603" s="26" t="s">
        <v>71</v>
      </c>
      <c r="F603" s="26" t="s">
        <v>506</v>
      </c>
      <c r="G603" s="328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9"/>
    </row>
    <row r="604" spans="1:18" ht="15" customHeight="1" x14ac:dyDescent="0.3">
      <c r="A604" s="26" t="s">
        <v>66</v>
      </c>
      <c r="B604" s="26" t="s">
        <v>487</v>
      </c>
      <c r="C604" s="26">
        <v>0.51388888888888895</v>
      </c>
      <c r="D604" s="26" t="s">
        <v>68</v>
      </c>
      <c r="E604" s="26" t="s">
        <v>71</v>
      </c>
      <c r="F604" s="26" t="s">
        <v>506</v>
      </c>
      <c r="G604" s="328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9"/>
    </row>
    <row r="605" spans="1:18" ht="15" customHeight="1" x14ac:dyDescent="0.3">
      <c r="A605" s="26" t="s">
        <v>66</v>
      </c>
      <c r="B605" s="26" t="s">
        <v>508</v>
      </c>
      <c r="C605" s="26">
        <v>0.95833333333333337</v>
      </c>
      <c r="D605" s="26" t="s">
        <v>68</v>
      </c>
      <c r="E605" s="26" t="s">
        <v>71</v>
      </c>
      <c r="F605" s="26" t="s">
        <v>486</v>
      </c>
      <c r="G605" s="328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9"/>
    </row>
    <row r="606" spans="1:18" ht="15" customHeight="1" x14ac:dyDescent="0.3">
      <c r="A606" s="31" t="s">
        <v>66</v>
      </c>
      <c r="B606" s="31" t="s">
        <v>490</v>
      </c>
      <c r="C606" s="31">
        <v>0.27777777777777779</v>
      </c>
      <c r="D606" s="31" t="s">
        <v>68</v>
      </c>
      <c r="E606" s="31" t="s">
        <v>71</v>
      </c>
      <c r="F606" s="31" t="s">
        <v>489</v>
      </c>
      <c r="G606" s="328"/>
      <c r="H606" s="28"/>
      <c r="I606" s="29"/>
      <c r="J606" s="29"/>
      <c r="K606" s="29"/>
      <c r="L606" s="29"/>
      <c r="M606" s="29"/>
      <c r="N606" s="29"/>
      <c r="O606" s="29"/>
      <c r="P606" s="29"/>
      <c r="Q606" s="29"/>
      <c r="R606" s="30"/>
    </row>
    <row r="607" spans="1:18" ht="17.399999999999999" customHeight="1" x14ac:dyDescent="0.3">
      <c r="A607" s="360"/>
      <c r="B607" s="361"/>
      <c r="C607" s="361"/>
      <c r="D607" s="361"/>
      <c r="E607" s="361"/>
      <c r="F607" s="361"/>
      <c r="G607" s="361"/>
      <c r="H607" s="361"/>
      <c r="I607" s="361"/>
      <c r="J607" s="361"/>
      <c r="K607" s="361"/>
      <c r="L607" s="361"/>
      <c r="M607" s="361"/>
      <c r="N607" s="361"/>
      <c r="O607" s="361"/>
      <c r="P607" s="361"/>
      <c r="Q607" s="361"/>
      <c r="R607" s="362"/>
    </row>
    <row r="608" spans="1:18" ht="22.05" customHeight="1" x14ac:dyDescent="0.3">
      <c r="A608" s="323" t="s">
        <v>6</v>
      </c>
      <c r="B608" s="324"/>
      <c r="C608" s="324"/>
      <c r="D608" s="324"/>
      <c r="E608" s="324"/>
      <c r="F608" s="324"/>
      <c r="G608" s="2">
        <v>45995</v>
      </c>
      <c r="H608" s="323" t="s">
        <v>7</v>
      </c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</row>
    <row r="609" spans="1:18" ht="24" customHeight="1" x14ac:dyDescent="0.3">
      <c r="A609" s="3" t="s">
        <v>8</v>
      </c>
      <c r="B609" s="3" t="s">
        <v>9</v>
      </c>
      <c r="C609" s="3" t="s">
        <v>10</v>
      </c>
      <c r="D609" s="3" t="s">
        <v>11</v>
      </c>
      <c r="E609" s="3" t="s">
        <v>12</v>
      </c>
      <c r="F609" s="4" t="s">
        <v>13</v>
      </c>
      <c r="G609" s="5" t="s">
        <v>14</v>
      </c>
      <c r="H609" s="3" t="s">
        <v>15</v>
      </c>
      <c r="I609" s="3" t="s">
        <v>16</v>
      </c>
      <c r="J609" s="3" t="s">
        <v>17</v>
      </c>
      <c r="K609" s="3" t="s">
        <v>18</v>
      </c>
      <c r="L609" s="3" t="s">
        <v>19</v>
      </c>
      <c r="M609" s="3" t="s">
        <v>20</v>
      </c>
      <c r="N609" s="3" t="s">
        <v>21</v>
      </c>
      <c r="O609" s="3" t="s">
        <v>22</v>
      </c>
      <c r="P609" s="3" t="s">
        <v>23</v>
      </c>
      <c r="Q609" s="3" t="s">
        <v>24</v>
      </c>
      <c r="R609" s="3" t="s">
        <v>25</v>
      </c>
    </row>
    <row r="610" spans="1:18" ht="15" customHeight="1" x14ac:dyDescent="0.3">
      <c r="A610" s="6" t="s">
        <v>404</v>
      </c>
      <c r="B610" s="6" t="s">
        <v>408</v>
      </c>
      <c r="C610" s="6">
        <v>0.59375</v>
      </c>
      <c r="D610" s="6" t="s">
        <v>406</v>
      </c>
      <c r="E610" s="6" t="s">
        <v>81</v>
      </c>
      <c r="F610" s="6" t="s">
        <v>407</v>
      </c>
      <c r="G610" s="328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9"/>
    </row>
    <row r="611" spans="1:18" ht="15" customHeight="1" x14ac:dyDescent="0.3">
      <c r="A611" s="26" t="s">
        <v>404</v>
      </c>
      <c r="B611" s="26" t="s">
        <v>405</v>
      </c>
      <c r="C611" s="26">
        <v>0.29166666666666669</v>
      </c>
      <c r="D611" s="26" t="s">
        <v>406</v>
      </c>
      <c r="E611" s="26" t="s">
        <v>71</v>
      </c>
      <c r="F611" s="26" t="s">
        <v>407</v>
      </c>
      <c r="G611" s="328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9"/>
    </row>
    <row r="612" spans="1:18" ht="15" customHeight="1" x14ac:dyDescent="0.3">
      <c r="A612" s="149" t="s">
        <v>44</v>
      </c>
      <c r="B612" s="149" t="s">
        <v>517</v>
      </c>
      <c r="C612" s="149">
        <v>0.25347222222222221</v>
      </c>
      <c r="D612" s="149" t="s">
        <v>46</v>
      </c>
      <c r="E612" s="149" t="s">
        <v>129</v>
      </c>
      <c r="F612" s="149" t="s">
        <v>374</v>
      </c>
      <c r="G612" s="328"/>
      <c r="H612" s="19" t="s">
        <v>518</v>
      </c>
      <c r="I612" s="188">
        <v>0.36309999999999998</v>
      </c>
      <c r="J612" s="21">
        <v>65</v>
      </c>
      <c r="K612" s="22" t="s">
        <v>175</v>
      </c>
      <c r="L612" s="21">
        <v>25</v>
      </c>
      <c r="M612" s="21">
        <v>1</v>
      </c>
      <c r="N612" s="21">
        <v>8</v>
      </c>
      <c r="O612" s="22" t="s">
        <v>608</v>
      </c>
      <c r="P612" s="22">
        <v>0.25347222222222221</v>
      </c>
      <c r="Q612" s="21">
        <v>179</v>
      </c>
      <c r="R612" s="23" t="s">
        <v>609</v>
      </c>
    </row>
    <row r="613" spans="1:18" ht="15" customHeight="1" x14ac:dyDescent="0.3">
      <c r="A613" s="193" t="s">
        <v>44</v>
      </c>
      <c r="B613" s="193" t="s">
        <v>415</v>
      </c>
      <c r="C613" s="193">
        <v>0.33333333333333331</v>
      </c>
      <c r="D613" s="193" t="s">
        <v>46</v>
      </c>
      <c r="E613" s="193" t="s">
        <v>74</v>
      </c>
      <c r="F613" s="193" t="s">
        <v>374</v>
      </c>
      <c r="G613" s="328"/>
      <c r="H613" s="194" t="s">
        <v>417</v>
      </c>
      <c r="I613" s="195">
        <v>0.78769999999999996</v>
      </c>
      <c r="J613" s="196">
        <v>141</v>
      </c>
      <c r="K613" s="197" t="s">
        <v>175</v>
      </c>
      <c r="L613" s="196">
        <v>94</v>
      </c>
      <c r="M613" s="196">
        <v>1</v>
      </c>
      <c r="N613" s="196">
        <v>3</v>
      </c>
      <c r="O613" s="197" t="s">
        <v>217</v>
      </c>
      <c r="P613" s="197">
        <v>0.33333333333333331</v>
      </c>
      <c r="Q613" s="196">
        <v>179</v>
      </c>
      <c r="R613" s="198" t="s">
        <v>610</v>
      </c>
    </row>
    <row r="614" spans="1:18" ht="15" customHeight="1" x14ac:dyDescent="0.3">
      <c r="A614" s="18" t="s">
        <v>44</v>
      </c>
      <c r="B614" s="18" t="s">
        <v>520</v>
      </c>
      <c r="C614" s="18">
        <v>0.73958333333333337</v>
      </c>
      <c r="D614" s="18" t="s">
        <v>46</v>
      </c>
      <c r="E614" s="18" t="s">
        <v>114</v>
      </c>
      <c r="F614" s="18" t="s">
        <v>416</v>
      </c>
      <c r="G614" s="328"/>
      <c r="H614" s="19" t="s">
        <v>432</v>
      </c>
      <c r="I614" s="201">
        <v>0.76539999999999997</v>
      </c>
      <c r="J614" s="21">
        <v>137</v>
      </c>
      <c r="K614" s="22" t="s">
        <v>175</v>
      </c>
      <c r="L614" s="21">
        <v>21</v>
      </c>
      <c r="M614" s="21">
        <v>4</v>
      </c>
      <c r="N614" s="21">
        <v>12</v>
      </c>
      <c r="O614" s="22" t="s">
        <v>586</v>
      </c>
      <c r="P614" s="22">
        <v>0.73958333333333337</v>
      </c>
      <c r="Q614" s="21">
        <v>179</v>
      </c>
      <c r="R614" s="23" t="s">
        <v>611</v>
      </c>
    </row>
    <row r="615" spans="1:18" ht="15" customHeight="1" x14ac:dyDescent="0.3">
      <c r="A615" s="81" t="s">
        <v>44</v>
      </c>
      <c r="B615" s="81" t="s">
        <v>523</v>
      </c>
      <c r="C615" s="81">
        <v>0.36458333333333331</v>
      </c>
      <c r="D615" s="81" t="s">
        <v>46</v>
      </c>
      <c r="E615" s="81" t="s">
        <v>71</v>
      </c>
      <c r="F615" s="81" t="s">
        <v>416</v>
      </c>
      <c r="G615" s="328"/>
      <c r="H615" s="82" t="s">
        <v>524</v>
      </c>
      <c r="I615" s="204">
        <v>8.3799999999999999E-2</v>
      </c>
      <c r="J615" s="84">
        <v>15</v>
      </c>
      <c r="K615" s="85" t="s">
        <v>50</v>
      </c>
      <c r="L615" s="84">
        <v>11</v>
      </c>
      <c r="M615" s="84">
        <v>0</v>
      </c>
      <c r="N615" s="84">
        <v>5</v>
      </c>
      <c r="O615" s="85" t="s">
        <v>237</v>
      </c>
      <c r="P615" s="85">
        <v>0.36458333333333331</v>
      </c>
      <c r="Q615" s="84">
        <v>179</v>
      </c>
      <c r="R615" s="86" t="s">
        <v>612</v>
      </c>
    </row>
    <row r="616" spans="1:18" ht="15" customHeight="1" x14ac:dyDescent="0.3">
      <c r="A616" s="202" t="s">
        <v>44</v>
      </c>
      <c r="B616" s="202" t="s">
        <v>419</v>
      </c>
      <c r="C616" s="202">
        <v>0.1145833333333333</v>
      </c>
      <c r="D616" s="202" t="s">
        <v>46</v>
      </c>
      <c r="E616" s="202" t="s">
        <v>113</v>
      </c>
      <c r="F616" s="202" t="s">
        <v>416</v>
      </c>
      <c r="G616" s="328"/>
      <c r="H616" s="52" t="s">
        <v>420</v>
      </c>
      <c r="I616" s="203">
        <v>0.1341</v>
      </c>
      <c r="J616" s="54">
        <v>24</v>
      </c>
      <c r="K616" s="55" t="s">
        <v>175</v>
      </c>
      <c r="L616" s="54">
        <v>16</v>
      </c>
      <c r="M616" s="54">
        <v>2</v>
      </c>
      <c r="N616" s="54">
        <v>3</v>
      </c>
      <c r="O616" s="55" t="s">
        <v>346</v>
      </c>
      <c r="P616" s="55">
        <v>0.1145833333333333</v>
      </c>
      <c r="Q616" s="54">
        <v>179</v>
      </c>
      <c r="R616" s="56" t="s">
        <v>613</v>
      </c>
    </row>
    <row r="617" spans="1:18" ht="15" customHeight="1" x14ac:dyDescent="0.3">
      <c r="A617" s="189" t="s">
        <v>44</v>
      </c>
      <c r="B617" s="189" t="s">
        <v>422</v>
      </c>
      <c r="C617" s="189">
        <v>4.8611111111111112E-2</v>
      </c>
      <c r="D617" s="189" t="s">
        <v>46</v>
      </c>
      <c r="E617" s="189" t="s">
        <v>71</v>
      </c>
      <c r="F617" s="189" t="s">
        <v>416</v>
      </c>
      <c r="G617" s="328"/>
      <c r="H617" s="45" t="s">
        <v>423</v>
      </c>
      <c r="I617" s="190">
        <v>0.5978</v>
      </c>
      <c r="J617" s="47">
        <v>107</v>
      </c>
      <c r="K617" s="48" t="s">
        <v>50</v>
      </c>
      <c r="L617" s="47">
        <v>14</v>
      </c>
      <c r="M617" s="47">
        <v>0</v>
      </c>
      <c r="N617" s="47">
        <v>4</v>
      </c>
      <c r="O617" s="48" t="s">
        <v>237</v>
      </c>
      <c r="P617" s="48">
        <v>4.8611111111111112E-2</v>
      </c>
      <c r="Q617" s="47">
        <v>179</v>
      </c>
      <c r="R617" s="49" t="s">
        <v>614</v>
      </c>
    </row>
    <row r="618" spans="1:18" ht="15" customHeight="1" x14ac:dyDescent="0.3">
      <c r="A618" s="18" t="s">
        <v>44</v>
      </c>
      <c r="B618" s="18" t="s">
        <v>425</v>
      </c>
      <c r="C618" s="18">
        <v>0.58333333333333337</v>
      </c>
      <c r="D618" s="18" t="s">
        <v>46</v>
      </c>
      <c r="E618" s="18" t="s">
        <v>113</v>
      </c>
      <c r="F618" s="18" t="s">
        <v>578</v>
      </c>
      <c r="G618" s="328"/>
      <c r="H618" s="19" t="s">
        <v>427</v>
      </c>
      <c r="I618" s="20">
        <v>0.88270000000000004</v>
      </c>
      <c r="J618" s="21">
        <v>158</v>
      </c>
      <c r="K618" s="22" t="s">
        <v>63</v>
      </c>
      <c r="L618" s="21">
        <v>50</v>
      </c>
      <c r="M618" s="21">
        <v>0</v>
      </c>
      <c r="N618" s="21">
        <v>0</v>
      </c>
      <c r="O618" s="22" t="s">
        <v>579</v>
      </c>
      <c r="P618" s="22">
        <v>0.58333333333333337</v>
      </c>
      <c r="Q618" s="21">
        <v>179</v>
      </c>
      <c r="R618" s="23" t="s">
        <v>615</v>
      </c>
    </row>
    <row r="619" spans="1:18" ht="15" customHeight="1" x14ac:dyDescent="0.3">
      <c r="A619" s="11" t="s">
        <v>78</v>
      </c>
      <c r="B619" s="11" t="s">
        <v>461</v>
      </c>
      <c r="C619" s="11">
        <v>0.24305555555555561</v>
      </c>
      <c r="D619" s="11" t="s">
        <v>80</v>
      </c>
      <c r="E619" s="11" t="s">
        <v>134</v>
      </c>
      <c r="F619" s="11" t="s">
        <v>606</v>
      </c>
      <c r="G619" s="328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9"/>
    </row>
    <row r="620" spans="1:18" ht="15" customHeight="1" x14ac:dyDescent="0.3">
      <c r="A620" s="10" t="s">
        <v>78</v>
      </c>
      <c r="B620" s="10" t="s">
        <v>461</v>
      </c>
      <c r="C620" s="10">
        <v>0.24305555555555561</v>
      </c>
      <c r="D620" s="10" t="s">
        <v>83</v>
      </c>
      <c r="E620" s="10" t="s">
        <v>136</v>
      </c>
      <c r="F620" s="10" t="s">
        <v>103</v>
      </c>
      <c r="G620" s="328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9"/>
    </row>
    <row r="621" spans="1:18" ht="15" customHeight="1" x14ac:dyDescent="0.3">
      <c r="A621" s="26" t="s">
        <v>78</v>
      </c>
      <c r="B621" s="26" t="s">
        <v>467</v>
      </c>
      <c r="C621" s="26">
        <v>0.1423611111111111</v>
      </c>
      <c r="D621" s="26" t="s">
        <v>80</v>
      </c>
      <c r="E621" s="26" t="s">
        <v>71</v>
      </c>
      <c r="F621" s="26" t="s">
        <v>462</v>
      </c>
      <c r="G621" s="328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9"/>
    </row>
    <row r="622" spans="1:18" ht="15" customHeight="1" x14ac:dyDescent="0.3">
      <c r="A622" s="10" t="s">
        <v>78</v>
      </c>
      <c r="B622" s="10" t="s">
        <v>467</v>
      </c>
      <c r="C622" s="10">
        <v>0.1423611111111111</v>
      </c>
      <c r="D622" s="10" t="s">
        <v>83</v>
      </c>
      <c r="E622" s="10" t="s">
        <v>95</v>
      </c>
      <c r="F622" s="10" t="s">
        <v>463</v>
      </c>
      <c r="G622" s="328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9"/>
    </row>
    <row r="623" spans="1:18" ht="15" customHeight="1" x14ac:dyDescent="0.3">
      <c r="A623" s="26" t="s">
        <v>78</v>
      </c>
      <c r="B623" s="26" t="s">
        <v>469</v>
      </c>
      <c r="C623" s="26">
        <v>0.37847222222222232</v>
      </c>
      <c r="D623" s="26" t="s">
        <v>80</v>
      </c>
      <c r="E623" s="26" t="s">
        <v>71</v>
      </c>
      <c r="F623" s="26" t="s">
        <v>462</v>
      </c>
      <c r="G623" s="328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9"/>
    </row>
    <row r="624" spans="1:18" ht="15" customHeight="1" x14ac:dyDescent="0.3">
      <c r="A624" s="10" t="s">
        <v>78</v>
      </c>
      <c r="B624" s="10" t="s">
        <v>469</v>
      </c>
      <c r="C624" s="10">
        <v>0.37847222222222232</v>
      </c>
      <c r="D624" s="10" t="s">
        <v>83</v>
      </c>
      <c r="E624" s="10" t="s">
        <v>95</v>
      </c>
      <c r="F624" s="10" t="s">
        <v>463</v>
      </c>
      <c r="G624" s="328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9"/>
    </row>
    <row r="625" spans="1:18" ht="15" customHeight="1" x14ac:dyDescent="0.3">
      <c r="A625" s="26" t="s">
        <v>78</v>
      </c>
      <c r="B625" s="26" t="s">
        <v>482</v>
      </c>
      <c r="C625" s="26">
        <v>0.61111111111111105</v>
      </c>
      <c r="D625" s="26" t="s">
        <v>80</v>
      </c>
      <c r="E625" s="26" t="s">
        <v>71</v>
      </c>
      <c r="F625" s="26" t="s">
        <v>462</v>
      </c>
      <c r="G625" s="328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9"/>
    </row>
    <row r="626" spans="1:18" ht="15" customHeight="1" x14ac:dyDescent="0.3">
      <c r="A626" s="10" t="s">
        <v>78</v>
      </c>
      <c r="B626" s="10" t="s">
        <v>482</v>
      </c>
      <c r="C626" s="10">
        <v>0.61111111111111105</v>
      </c>
      <c r="D626" s="10" t="s">
        <v>83</v>
      </c>
      <c r="E626" s="10" t="s">
        <v>95</v>
      </c>
      <c r="F626" s="10" t="s">
        <v>463</v>
      </c>
      <c r="G626" s="328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9"/>
    </row>
    <row r="627" spans="1:18" ht="15" customHeight="1" x14ac:dyDescent="0.3">
      <c r="A627" s="26" t="s">
        <v>78</v>
      </c>
      <c r="B627" s="26" t="s">
        <v>470</v>
      </c>
      <c r="C627" s="26">
        <v>0.71875</v>
      </c>
      <c r="D627" s="26" t="s">
        <v>80</v>
      </c>
      <c r="E627" s="26" t="s">
        <v>71</v>
      </c>
      <c r="F627" s="26" t="s">
        <v>616</v>
      </c>
      <c r="G627" s="328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9"/>
    </row>
    <row r="628" spans="1:18" ht="15" customHeight="1" x14ac:dyDescent="0.3">
      <c r="A628" s="10" t="s">
        <v>78</v>
      </c>
      <c r="B628" s="10" t="s">
        <v>470</v>
      </c>
      <c r="C628" s="10">
        <v>0.71875</v>
      </c>
      <c r="D628" s="10" t="s">
        <v>83</v>
      </c>
      <c r="E628" s="10" t="s">
        <v>95</v>
      </c>
      <c r="F628" s="10" t="s">
        <v>617</v>
      </c>
      <c r="G628" s="328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9"/>
    </row>
    <row r="629" spans="1:18" ht="15" customHeight="1" x14ac:dyDescent="0.3">
      <c r="A629" s="26" t="s">
        <v>78</v>
      </c>
      <c r="B629" s="26" t="s">
        <v>464</v>
      </c>
      <c r="C629" s="26">
        <v>6.9444444444444441E-3</v>
      </c>
      <c r="D629" s="26" t="s">
        <v>80</v>
      </c>
      <c r="E629" s="26" t="s">
        <v>71</v>
      </c>
      <c r="F629" s="26" t="s">
        <v>465</v>
      </c>
      <c r="G629" s="328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9"/>
    </row>
    <row r="630" spans="1:18" ht="15" customHeight="1" x14ac:dyDescent="0.3">
      <c r="A630" s="10" t="s">
        <v>78</v>
      </c>
      <c r="B630" s="10" t="s">
        <v>464</v>
      </c>
      <c r="C630" s="10">
        <v>6.9444444444444441E-3</v>
      </c>
      <c r="D630" s="10" t="s">
        <v>83</v>
      </c>
      <c r="E630" s="10" t="s">
        <v>95</v>
      </c>
      <c r="F630" s="10" t="s">
        <v>466</v>
      </c>
      <c r="G630" s="328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9"/>
    </row>
    <row r="631" spans="1:18" ht="15" customHeight="1" x14ac:dyDescent="0.3">
      <c r="A631" s="26" t="s">
        <v>78</v>
      </c>
      <c r="B631" s="26" t="s">
        <v>468</v>
      </c>
      <c r="C631" s="26">
        <v>0.93055555555555547</v>
      </c>
      <c r="D631" s="26" t="s">
        <v>80</v>
      </c>
      <c r="E631" s="26" t="s">
        <v>71</v>
      </c>
      <c r="F631" s="26" t="s">
        <v>465</v>
      </c>
      <c r="G631" s="328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9"/>
    </row>
    <row r="632" spans="1:18" ht="15" customHeight="1" x14ac:dyDescent="0.3">
      <c r="A632" s="10" t="s">
        <v>78</v>
      </c>
      <c r="B632" s="10" t="s">
        <v>468</v>
      </c>
      <c r="C632" s="10">
        <v>0.93055555555555547</v>
      </c>
      <c r="D632" s="10" t="s">
        <v>83</v>
      </c>
      <c r="E632" s="10" t="s">
        <v>95</v>
      </c>
      <c r="F632" s="10" t="s">
        <v>466</v>
      </c>
      <c r="G632" s="328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9"/>
    </row>
    <row r="633" spans="1:18" ht="15" customHeight="1" x14ac:dyDescent="0.3">
      <c r="A633" s="26" t="s">
        <v>78</v>
      </c>
      <c r="B633" s="26" t="s">
        <v>475</v>
      </c>
      <c r="C633" s="26">
        <v>0.30208333333333331</v>
      </c>
      <c r="D633" s="26" t="s">
        <v>83</v>
      </c>
      <c r="E633" s="26" t="s">
        <v>87</v>
      </c>
      <c r="F633" s="26" t="s">
        <v>535</v>
      </c>
      <c r="G633" s="328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9"/>
    </row>
    <row r="634" spans="1:18" ht="15" customHeight="1" x14ac:dyDescent="0.3">
      <c r="A634" s="26" t="s">
        <v>78</v>
      </c>
      <c r="B634" s="26" t="s">
        <v>476</v>
      </c>
      <c r="C634" s="26">
        <v>0.12847222222222221</v>
      </c>
      <c r="D634" s="26" t="s">
        <v>83</v>
      </c>
      <c r="E634" s="26" t="s">
        <v>87</v>
      </c>
      <c r="F634" s="26" t="s">
        <v>535</v>
      </c>
      <c r="G634" s="328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9"/>
    </row>
    <row r="635" spans="1:18" ht="15" customHeight="1" x14ac:dyDescent="0.3">
      <c r="A635" s="26" t="s">
        <v>78</v>
      </c>
      <c r="B635" s="26" t="s">
        <v>473</v>
      </c>
      <c r="C635" s="26">
        <v>0.88888888888888884</v>
      </c>
      <c r="D635" s="26" t="s">
        <v>83</v>
      </c>
      <c r="E635" s="26" t="s">
        <v>87</v>
      </c>
      <c r="F635" s="26" t="s">
        <v>474</v>
      </c>
      <c r="G635" s="328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9"/>
    </row>
    <row r="636" spans="1:18" ht="15" customHeight="1" x14ac:dyDescent="0.3">
      <c r="A636" s="26" t="s">
        <v>78</v>
      </c>
      <c r="B636" s="26" t="s">
        <v>480</v>
      </c>
      <c r="C636" s="26">
        <v>0.78819444444444453</v>
      </c>
      <c r="D636" s="26" t="s">
        <v>83</v>
      </c>
      <c r="E636" s="26" t="s">
        <v>87</v>
      </c>
      <c r="F636" s="26" t="s">
        <v>474</v>
      </c>
      <c r="G636" s="328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9"/>
    </row>
    <row r="637" spans="1:18" ht="15" customHeight="1" x14ac:dyDescent="0.3">
      <c r="A637" s="26" t="s">
        <v>78</v>
      </c>
      <c r="B637" s="26" t="s">
        <v>477</v>
      </c>
      <c r="C637" s="26">
        <v>0.82986111111111116</v>
      </c>
      <c r="D637" s="26" t="s">
        <v>80</v>
      </c>
      <c r="E637" s="26" t="s">
        <v>71</v>
      </c>
      <c r="F637" s="26" t="s">
        <v>618</v>
      </c>
      <c r="G637" s="328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9"/>
    </row>
    <row r="638" spans="1:18" ht="15" customHeight="1" x14ac:dyDescent="0.3">
      <c r="A638" s="10" t="s">
        <v>78</v>
      </c>
      <c r="B638" s="10" t="s">
        <v>477</v>
      </c>
      <c r="C638" s="10">
        <v>0.82986111111111116</v>
      </c>
      <c r="D638" s="10" t="s">
        <v>83</v>
      </c>
      <c r="E638" s="10" t="s">
        <v>95</v>
      </c>
      <c r="F638" s="10" t="s">
        <v>619</v>
      </c>
      <c r="G638" s="328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9"/>
    </row>
    <row r="639" spans="1:18" ht="15" customHeight="1" x14ac:dyDescent="0.3">
      <c r="A639" s="11" t="s">
        <v>410</v>
      </c>
      <c r="B639" s="11" t="s">
        <v>413</v>
      </c>
      <c r="C639" s="11">
        <v>0.66666666666666663</v>
      </c>
      <c r="D639" s="11" t="s">
        <v>406</v>
      </c>
      <c r="E639" s="11" t="s">
        <v>129</v>
      </c>
      <c r="F639" s="11" t="s">
        <v>414</v>
      </c>
      <c r="G639" s="328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9"/>
    </row>
    <row r="640" spans="1:18" ht="15" customHeight="1" x14ac:dyDescent="0.3">
      <c r="A640" s="11" t="s">
        <v>66</v>
      </c>
      <c r="B640" s="11" t="s">
        <v>488</v>
      </c>
      <c r="C640" s="11">
        <v>0.22916666666666671</v>
      </c>
      <c r="D640" s="11" t="s">
        <v>68</v>
      </c>
      <c r="E640" s="11" t="s">
        <v>47</v>
      </c>
      <c r="F640" s="11" t="s">
        <v>607</v>
      </c>
      <c r="G640" s="328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9"/>
    </row>
    <row r="641" spans="1:18" ht="15" customHeight="1" x14ac:dyDescent="0.3">
      <c r="A641" s="26" t="s">
        <v>66</v>
      </c>
      <c r="B641" s="26" t="s">
        <v>485</v>
      </c>
      <c r="C641" s="26">
        <v>0.4861111111111111</v>
      </c>
      <c r="D641" s="26" t="s">
        <v>68</v>
      </c>
      <c r="E641" s="26" t="s">
        <v>71</v>
      </c>
      <c r="F641" s="26" t="s">
        <v>506</v>
      </c>
      <c r="G641" s="328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9"/>
    </row>
    <row r="642" spans="1:18" ht="15" customHeight="1" x14ac:dyDescent="0.3">
      <c r="A642" s="26" t="s">
        <v>66</v>
      </c>
      <c r="B642" s="26" t="s">
        <v>487</v>
      </c>
      <c r="C642" s="26">
        <v>0.51388888888888895</v>
      </c>
      <c r="D642" s="26" t="s">
        <v>68</v>
      </c>
      <c r="E642" s="26" t="s">
        <v>71</v>
      </c>
      <c r="F642" s="26" t="s">
        <v>506</v>
      </c>
      <c r="G642" s="328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9"/>
    </row>
    <row r="643" spans="1:18" ht="15" customHeight="1" x14ac:dyDescent="0.3">
      <c r="A643" s="26" t="s">
        <v>66</v>
      </c>
      <c r="B643" s="26" t="s">
        <v>508</v>
      </c>
      <c r="C643" s="26">
        <v>0.95833333333333337</v>
      </c>
      <c r="D643" s="26" t="s">
        <v>68</v>
      </c>
      <c r="E643" s="26" t="s">
        <v>71</v>
      </c>
      <c r="F643" s="26" t="s">
        <v>491</v>
      </c>
      <c r="G643" s="328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9"/>
    </row>
    <row r="644" spans="1:18" ht="15" customHeight="1" x14ac:dyDescent="0.3">
      <c r="A644" s="26" t="s">
        <v>66</v>
      </c>
      <c r="B644" s="26" t="s">
        <v>509</v>
      </c>
      <c r="C644" s="26">
        <v>1.388888888888889E-2</v>
      </c>
      <c r="D644" s="26" t="s">
        <v>68</v>
      </c>
      <c r="E644" s="26" t="s">
        <v>71</v>
      </c>
      <c r="F644" s="26" t="s">
        <v>491</v>
      </c>
      <c r="G644" s="328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9"/>
    </row>
    <row r="645" spans="1:18" ht="15" customHeight="1" x14ac:dyDescent="0.3">
      <c r="A645" s="26" t="s">
        <v>66</v>
      </c>
      <c r="B645" s="26" t="s">
        <v>505</v>
      </c>
      <c r="C645" s="26">
        <v>0.14583333333333329</v>
      </c>
      <c r="D645" s="26" t="s">
        <v>68</v>
      </c>
      <c r="E645" s="26" t="s">
        <v>71</v>
      </c>
      <c r="F645" s="26" t="s">
        <v>491</v>
      </c>
      <c r="G645" s="328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9"/>
    </row>
    <row r="646" spans="1:18" ht="15" customHeight="1" x14ac:dyDescent="0.3">
      <c r="A646" s="26" t="s">
        <v>66</v>
      </c>
      <c r="B646" s="26" t="s">
        <v>492</v>
      </c>
      <c r="C646" s="26">
        <v>0.77083333333333337</v>
      </c>
      <c r="D646" s="26" t="s">
        <v>68</v>
      </c>
      <c r="E646" s="26" t="s">
        <v>71</v>
      </c>
      <c r="F646" s="26" t="s">
        <v>493</v>
      </c>
      <c r="G646" s="328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9"/>
    </row>
    <row r="647" spans="1:18" ht="15" customHeight="1" x14ac:dyDescent="0.3">
      <c r="A647" s="31" t="s">
        <v>66</v>
      </c>
      <c r="B647" s="31" t="s">
        <v>490</v>
      </c>
      <c r="C647" s="31">
        <v>0.27777777777777779</v>
      </c>
      <c r="D647" s="31" t="s">
        <v>68</v>
      </c>
      <c r="E647" s="31" t="s">
        <v>87</v>
      </c>
      <c r="F647" s="31" t="s">
        <v>493</v>
      </c>
      <c r="G647" s="328"/>
      <c r="H647" s="28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399999999999999" customHeight="1" x14ac:dyDescent="0.3">
      <c r="A648" s="360"/>
      <c r="B648" s="361"/>
      <c r="C648" s="361"/>
      <c r="D648" s="361"/>
      <c r="E648" s="361"/>
      <c r="F648" s="361"/>
      <c r="G648" s="361"/>
      <c r="H648" s="361"/>
      <c r="I648" s="361"/>
      <c r="J648" s="361"/>
      <c r="K648" s="361"/>
      <c r="L648" s="361"/>
      <c r="M648" s="361"/>
      <c r="N648" s="361"/>
      <c r="O648" s="361"/>
      <c r="P648" s="361"/>
      <c r="Q648" s="361"/>
      <c r="R648" s="362"/>
    </row>
    <row r="649" spans="1:18" ht="22.05" customHeight="1" x14ac:dyDescent="0.3">
      <c r="A649" s="323" t="s">
        <v>6</v>
      </c>
      <c r="B649" s="324"/>
      <c r="C649" s="324"/>
      <c r="D649" s="324"/>
      <c r="E649" s="324"/>
      <c r="F649" s="324"/>
      <c r="G649" s="2">
        <v>45996</v>
      </c>
      <c r="H649" s="323" t="s">
        <v>7</v>
      </c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</row>
    <row r="650" spans="1:18" ht="24" customHeight="1" x14ac:dyDescent="0.3">
      <c r="A650" s="3" t="s">
        <v>8</v>
      </c>
      <c r="B650" s="3" t="s">
        <v>9</v>
      </c>
      <c r="C650" s="3" t="s">
        <v>10</v>
      </c>
      <c r="D650" s="3" t="s">
        <v>11</v>
      </c>
      <c r="E650" s="3" t="s">
        <v>12</v>
      </c>
      <c r="F650" s="4" t="s">
        <v>13</v>
      </c>
      <c r="G650" s="5" t="s">
        <v>14</v>
      </c>
      <c r="H650" s="3" t="s">
        <v>15</v>
      </c>
      <c r="I650" s="3" t="s">
        <v>16</v>
      </c>
      <c r="J650" s="3" t="s">
        <v>17</v>
      </c>
      <c r="K650" s="3" t="s">
        <v>18</v>
      </c>
      <c r="L650" s="3" t="s">
        <v>19</v>
      </c>
      <c r="M650" s="3" t="s">
        <v>20</v>
      </c>
      <c r="N650" s="3" t="s">
        <v>21</v>
      </c>
      <c r="O650" s="3" t="s">
        <v>22</v>
      </c>
      <c r="P650" s="3" t="s">
        <v>23</v>
      </c>
      <c r="Q650" s="3" t="s">
        <v>24</v>
      </c>
      <c r="R650" s="3" t="s">
        <v>25</v>
      </c>
    </row>
    <row r="651" spans="1:18" ht="15" customHeight="1" x14ac:dyDescent="0.3">
      <c r="A651" s="6" t="s">
        <v>36</v>
      </c>
      <c r="B651" s="6" t="s">
        <v>442</v>
      </c>
      <c r="C651" s="6">
        <v>0.25694444444444448</v>
      </c>
      <c r="D651" s="6" t="s">
        <v>38</v>
      </c>
      <c r="E651" s="6" t="s">
        <v>314</v>
      </c>
      <c r="F651" s="6" t="s">
        <v>620</v>
      </c>
      <c r="G651" s="328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9"/>
    </row>
    <row r="652" spans="1:18" ht="15" customHeight="1" x14ac:dyDescent="0.3">
      <c r="A652" s="10" t="s">
        <v>36</v>
      </c>
      <c r="B652" s="10" t="s">
        <v>442</v>
      </c>
      <c r="C652" s="10">
        <v>0.25694444444444448</v>
      </c>
      <c r="D652" s="10" t="s">
        <v>40</v>
      </c>
      <c r="E652" s="10" t="s">
        <v>161</v>
      </c>
      <c r="F652" s="10" t="s">
        <v>621</v>
      </c>
      <c r="G652" s="328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9"/>
    </row>
    <row r="653" spans="1:18" ht="15" customHeight="1" x14ac:dyDescent="0.3">
      <c r="A653" s="10" t="s">
        <v>36</v>
      </c>
      <c r="B653" s="10" t="s">
        <v>442</v>
      </c>
      <c r="C653" s="10">
        <v>0.25694444444444448</v>
      </c>
      <c r="D653" s="10" t="s">
        <v>42</v>
      </c>
      <c r="E653" s="10" t="s">
        <v>161</v>
      </c>
      <c r="F653" s="10" t="s">
        <v>622</v>
      </c>
      <c r="G653" s="328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9"/>
    </row>
    <row r="654" spans="1:18" ht="15" customHeight="1" x14ac:dyDescent="0.3">
      <c r="A654" s="26" t="s">
        <v>36</v>
      </c>
      <c r="B654" s="26" t="s">
        <v>438</v>
      </c>
      <c r="C654" s="26">
        <v>0.85416666666666663</v>
      </c>
      <c r="D654" s="26" t="s">
        <v>38</v>
      </c>
      <c r="E654" s="26" t="s">
        <v>97</v>
      </c>
      <c r="F654" s="26" t="s">
        <v>583</v>
      </c>
      <c r="G654" s="328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9"/>
    </row>
    <row r="655" spans="1:18" ht="15" customHeight="1" x14ac:dyDescent="0.3">
      <c r="A655" s="10" t="s">
        <v>36</v>
      </c>
      <c r="B655" s="10" t="s">
        <v>438</v>
      </c>
      <c r="C655" s="10">
        <v>0.85416666666666663</v>
      </c>
      <c r="D655" s="10" t="s">
        <v>40</v>
      </c>
      <c r="E655" s="10" t="s">
        <v>104</v>
      </c>
      <c r="F655" s="10" t="s">
        <v>531</v>
      </c>
      <c r="G655" s="328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9"/>
    </row>
    <row r="656" spans="1:18" ht="15" customHeight="1" x14ac:dyDescent="0.3">
      <c r="A656" s="10" t="s">
        <v>36</v>
      </c>
      <c r="B656" s="10" t="s">
        <v>438</v>
      </c>
      <c r="C656" s="10">
        <v>0.85416666666666663</v>
      </c>
      <c r="D656" s="10" t="s">
        <v>42</v>
      </c>
      <c r="E656" s="10" t="s">
        <v>104</v>
      </c>
      <c r="F656" s="10" t="s">
        <v>30</v>
      </c>
      <c r="G656" s="328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9"/>
    </row>
    <row r="657" spans="1:18" ht="15" customHeight="1" x14ac:dyDescent="0.3">
      <c r="A657" s="26" t="s">
        <v>36</v>
      </c>
      <c r="B657" s="26" t="s">
        <v>447</v>
      </c>
      <c r="C657" s="26">
        <v>0.39583333333333331</v>
      </c>
      <c r="D657" s="26" t="s">
        <v>38</v>
      </c>
      <c r="E657" s="26" t="s">
        <v>114</v>
      </c>
      <c r="F657" s="26" t="s">
        <v>583</v>
      </c>
      <c r="G657" s="328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9"/>
    </row>
    <row r="658" spans="1:18" ht="15" customHeight="1" x14ac:dyDescent="0.3">
      <c r="A658" s="10" t="s">
        <v>36</v>
      </c>
      <c r="B658" s="10" t="s">
        <v>447</v>
      </c>
      <c r="C658" s="10">
        <v>0.39583333333333331</v>
      </c>
      <c r="D658" s="10" t="s">
        <v>40</v>
      </c>
      <c r="E658" s="10" t="s">
        <v>115</v>
      </c>
      <c r="F658" s="10" t="s">
        <v>531</v>
      </c>
      <c r="G658" s="328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9"/>
    </row>
    <row r="659" spans="1:18" ht="15" customHeight="1" x14ac:dyDescent="0.3">
      <c r="A659" s="10" t="s">
        <v>36</v>
      </c>
      <c r="B659" s="10" t="s">
        <v>447</v>
      </c>
      <c r="C659" s="10">
        <v>0.39583333333333331</v>
      </c>
      <c r="D659" s="10" t="s">
        <v>42</v>
      </c>
      <c r="E659" s="10" t="s">
        <v>115</v>
      </c>
      <c r="F659" s="10" t="s">
        <v>30</v>
      </c>
      <c r="G659" s="328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9"/>
    </row>
    <row r="660" spans="1:18" ht="15" customHeight="1" x14ac:dyDescent="0.3">
      <c r="A660" s="26" t="s">
        <v>36</v>
      </c>
      <c r="B660" s="26" t="s">
        <v>443</v>
      </c>
      <c r="C660" s="26">
        <v>0.46875</v>
      </c>
      <c r="D660" s="26" t="s">
        <v>38</v>
      </c>
      <c r="E660" s="26" t="s">
        <v>439</v>
      </c>
      <c r="F660" s="26" t="s">
        <v>530</v>
      </c>
      <c r="G660" s="328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9"/>
    </row>
    <row r="661" spans="1:18" ht="15" customHeight="1" x14ac:dyDescent="0.3">
      <c r="A661" s="10" t="s">
        <v>36</v>
      </c>
      <c r="B661" s="10" t="s">
        <v>443</v>
      </c>
      <c r="C661" s="10">
        <v>0.46875</v>
      </c>
      <c r="D661" s="10" t="s">
        <v>40</v>
      </c>
      <c r="E661" s="10" t="s">
        <v>124</v>
      </c>
      <c r="F661" s="10" t="s">
        <v>514</v>
      </c>
      <c r="G661" s="328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9"/>
    </row>
    <row r="662" spans="1:18" ht="15" customHeight="1" x14ac:dyDescent="0.3">
      <c r="A662" s="10" t="s">
        <v>36</v>
      </c>
      <c r="B662" s="10" t="s">
        <v>443</v>
      </c>
      <c r="C662" s="10">
        <v>0.46875</v>
      </c>
      <c r="D662" s="10" t="s">
        <v>42</v>
      </c>
      <c r="E662" s="10" t="s">
        <v>124</v>
      </c>
      <c r="F662" s="10" t="s">
        <v>414</v>
      </c>
      <c r="G662" s="328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9"/>
    </row>
    <row r="663" spans="1:18" ht="15" customHeight="1" x14ac:dyDescent="0.3">
      <c r="A663" s="26" t="s">
        <v>36</v>
      </c>
      <c r="B663" s="26" t="s">
        <v>444</v>
      </c>
      <c r="C663" s="26">
        <v>0.51736111111111105</v>
      </c>
      <c r="D663" s="26" t="s">
        <v>38</v>
      </c>
      <c r="E663" s="26" t="s">
        <v>87</v>
      </c>
      <c r="F663" s="26" t="s">
        <v>530</v>
      </c>
      <c r="G663" s="328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9"/>
    </row>
    <row r="664" spans="1:18" ht="15" customHeight="1" x14ac:dyDescent="0.3">
      <c r="A664" s="10" t="s">
        <v>36</v>
      </c>
      <c r="B664" s="10" t="s">
        <v>444</v>
      </c>
      <c r="C664" s="10">
        <v>0.51736111111111105</v>
      </c>
      <c r="D664" s="10" t="s">
        <v>40</v>
      </c>
      <c r="E664" s="10" t="s">
        <v>32</v>
      </c>
      <c r="F664" s="10" t="s">
        <v>514</v>
      </c>
      <c r="G664" s="328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9"/>
    </row>
    <row r="665" spans="1:18" ht="15" customHeight="1" x14ac:dyDescent="0.3">
      <c r="A665" s="10" t="s">
        <v>36</v>
      </c>
      <c r="B665" s="10" t="s">
        <v>444</v>
      </c>
      <c r="C665" s="10">
        <v>0.51736111111111105</v>
      </c>
      <c r="D665" s="10" t="s">
        <v>42</v>
      </c>
      <c r="E665" s="10" t="s">
        <v>32</v>
      </c>
      <c r="F665" s="10" t="s">
        <v>414</v>
      </c>
      <c r="G665" s="328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9"/>
    </row>
    <row r="666" spans="1:18" ht="15" customHeight="1" x14ac:dyDescent="0.3">
      <c r="A666" s="26" t="s">
        <v>36</v>
      </c>
      <c r="B666" s="26" t="s">
        <v>445</v>
      </c>
      <c r="C666" s="26">
        <v>0.79861111111111116</v>
      </c>
      <c r="D666" s="26" t="s">
        <v>38</v>
      </c>
      <c r="E666" s="26" t="s">
        <v>87</v>
      </c>
      <c r="F666" s="26" t="s">
        <v>530</v>
      </c>
      <c r="G666" s="328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9"/>
    </row>
    <row r="667" spans="1:18" ht="15" customHeight="1" x14ac:dyDescent="0.3">
      <c r="A667" s="10" t="s">
        <v>36</v>
      </c>
      <c r="B667" s="10" t="s">
        <v>445</v>
      </c>
      <c r="C667" s="10">
        <v>0.79861111111111116</v>
      </c>
      <c r="D667" s="10" t="s">
        <v>40</v>
      </c>
      <c r="E667" s="10" t="s">
        <v>32</v>
      </c>
      <c r="F667" s="10" t="s">
        <v>514</v>
      </c>
      <c r="G667" s="328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9"/>
    </row>
    <row r="668" spans="1:18" ht="15" customHeight="1" x14ac:dyDescent="0.3">
      <c r="A668" s="10" t="s">
        <v>36</v>
      </c>
      <c r="B668" s="10" t="s">
        <v>445</v>
      </c>
      <c r="C668" s="10">
        <v>0.79861111111111116</v>
      </c>
      <c r="D668" s="10" t="s">
        <v>42</v>
      </c>
      <c r="E668" s="10" t="s">
        <v>32</v>
      </c>
      <c r="F668" s="10" t="s">
        <v>414</v>
      </c>
      <c r="G668" s="328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9"/>
    </row>
    <row r="669" spans="1:18" ht="15" customHeight="1" x14ac:dyDescent="0.3">
      <c r="A669" s="26" t="s">
        <v>36</v>
      </c>
      <c r="B669" s="26" t="s">
        <v>446</v>
      </c>
      <c r="C669" s="26">
        <v>0.64583333333333337</v>
      </c>
      <c r="D669" s="26" t="s">
        <v>38</v>
      </c>
      <c r="E669" s="26" t="s">
        <v>439</v>
      </c>
      <c r="F669" s="26" t="s">
        <v>530</v>
      </c>
      <c r="G669" s="328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9"/>
    </row>
    <row r="670" spans="1:18" ht="15" customHeight="1" x14ac:dyDescent="0.3">
      <c r="A670" s="10" t="s">
        <v>36</v>
      </c>
      <c r="B670" s="10" t="s">
        <v>446</v>
      </c>
      <c r="C670" s="10">
        <v>0.64583333333333337</v>
      </c>
      <c r="D670" s="10" t="s">
        <v>40</v>
      </c>
      <c r="E670" s="10" t="s">
        <v>124</v>
      </c>
      <c r="F670" s="10" t="s">
        <v>514</v>
      </c>
      <c r="G670" s="328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9"/>
    </row>
    <row r="671" spans="1:18" ht="15" customHeight="1" x14ac:dyDescent="0.3">
      <c r="A671" s="10" t="s">
        <v>36</v>
      </c>
      <c r="B671" s="10" t="s">
        <v>446</v>
      </c>
      <c r="C671" s="10">
        <v>0.64583333333333337</v>
      </c>
      <c r="D671" s="10" t="s">
        <v>42</v>
      </c>
      <c r="E671" s="10" t="s">
        <v>124</v>
      </c>
      <c r="F671" s="10" t="s">
        <v>414</v>
      </c>
      <c r="G671" s="328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9"/>
    </row>
    <row r="672" spans="1:18" ht="15" customHeight="1" x14ac:dyDescent="0.3">
      <c r="A672" s="26" t="s">
        <v>36</v>
      </c>
      <c r="B672" s="26" t="s">
        <v>435</v>
      </c>
      <c r="C672" s="26">
        <v>0.90277777777777779</v>
      </c>
      <c r="D672" s="26" t="s">
        <v>38</v>
      </c>
      <c r="E672" s="26" t="s">
        <v>74</v>
      </c>
      <c r="F672" s="26" t="s">
        <v>436</v>
      </c>
      <c r="G672" s="328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9"/>
    </row>
    <row r="673" spans="1:18" ht="15" customHeight="1" x14ac:dyDescent="0.3">
      <c r="A673" s="10" t="s">
        <v>36</v>
      </c>
      <c r="B673" s="10" t="s">
        <v>435</v>
      </c>
      <c r="C673" s="10">
        <v>0.90277777777777779</v>
      </c>
      <c r="D673" s="10" t="s">
        <v>40</v>
      </c>
      <c r="E673" s="10" t="s">
        <v>122</v>
      </c>
      <c r="F673" s="10" t="s">
        <v>437</v>
      </c>
      <c r="G673" s="328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9"/>
    </row>
    <row r="674" spans="1:18" ht="15" customHeight="1" x14ac:dyDescent="0.3">
      <c r="A674" s="10" t="s">
        <v>36</v>
      </c>
      <c r="B674" s="10" t="s">
        <v>435</v>
      </c>
      <c r="C674" s="10">
        <v>0.90277777777777779</v>
      </c>
      <c r="D674" s="10" t="s">
        <v>42</v>
      </c>
      <c r="E674" s="10" t="s">
        <v>122</v>
      </c>
      <c r="F674" s="10" t="s">
        <v>39</v>
      </c>
      <c r="G674" s="328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9"/>
    </row>
    <row r="675" spans="1:18" ht="15" customHeight="1" x14ac:dyDescent="0.3">
      <c r="A675" s="11" t="s">
        <v>456</v>
      </c>
      <c r="B675" s="11" t="s">
        <v>500</v>
      </c>
      <c r="C675" s="11">
        <v>0.3923611111111111</v>
      </c>
      <c r="D675" s="11" t="s">
        <v>458</v>
      </c>
      <c r="E675" s="11" t="s">
        <v>123</v>
      </c>
      <c r="F675" s="11" t="s">
        <v>623</v>
      </c>
      <c r="G675" s="328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9"/>
    </row>
    <row r="676" spans="1:18" ht="15" customHeight="1" x14ac:dyDescent="0.3">
      <c r="A676" s="10" t="s">
        <v>456</v>
      </c>
      <c r="B676" s="10" t="s">
        <v>500</v>
      </c>
      <c r="C676" s="10">
        <v>0.3923611111111111</v>
      </c>
      <c r="D676" s="10" t="s">
        <v>34</v>
      </c>
      <c r="E676" s="10" t="s">
        <v>124</v>
      </c>
      <c r="F676" s="10" t="s">
        <v>624</v>
      </c>
      <c r="G676" s="328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9"/>
    </row>
    <row r="677" spans="1:18" ht="15" customHeight="1" x14ac:dyDescent="0.3">
      <c r="A677" s="26" t="s">
        <v>456</v>
      </c>
      <c r="B677" s="26" t="s">
        <v>625</v>
      </c>
      <c r="C677" s="26">
        <v>0.97569444444444453</v>
      </c>
      <c r="D677" s="26" t="s">
        <v>458</v>
      </c>
      <c r="E677" s="26" t="s">
        <v>439</v>
      </c>
      <c r="F677" s="26" t="s">
        <v>623</v>
      </c>
      <c r="G677" s="328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9"/>
    </row>
    <row r="678" spans="1:18" ht="15" customHeight="1" x14ac:dyDescent="0.3">
      <c r="A678" s="10" t="s">
        <v>456</v>
      </c>
      <c r="B678" s="10" t="s">
        <v>625</v>
      </c>
      <c r="C678" s="10">
        <v>0.97569444444444453</v>
      </c>
      <c r="D678" s="10" t="s">
        <v>34</v>
      </c>
      <c r="E678" s="10" t="s">
        <v>124</v>
      </c>
      <c r="F678" s="10" t="s">
        <v>624</v>
      </c>
      <c r="G678" s="328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9"/>
    </row>
    <row r="679" spans="1:18" ht="15" customHeight="1" x14ac:dyDescent="0.3">
      <c r="A679" s="26" t="s">
        <v>456</v>
      </c>
      <c r="B679" s="26" t="s">
        <v>626</v>
      </c>
      <c r="C679" s="26">
        <v>0.67708333333333337</v>
      </c>
      <c r="D679" s="26" t="s">
        <v>458</v>
      </c>
      <c r="E679" s="26" t="s">
        <v>439</v>
      </c>
      <c r="F679" s="26" t="s">
        <v>627</v>
      </c>
      <c r="G679" s="328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9"/>
    </row>
    <row r="680" spans="1:18" ht="15" customHeight="1" x14ac:dyDescent="0.3">
      <c r="A680" s="10" t="s">
        <v>456</v>
      </c>
      <c r="B680" s="10" t="s">
        <v>626</v>
      </c>
      <c r="C680" s="10">
        <v>0.67708333333333337</v>
      </c>
      <c r="D680" s="10" t="s">
        <v>34</v>
      </c>
      <c r="E680" s="10" t="s">
        <v>124</v>
      </c>
      <c r="F680" s="10" t="s">
        <v>628</v>
      </c>
      <c r="G680" s="328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9"/>
    </row>
    <row r="681" spans="1:18" ht="15" customHeight="1" x14ac:dyDescent="0.3">
      <c r="A681" s="11" t="s">
        <v>26</v>
      </c>
      <c r="B681" s="11" t="s">
        <v>451</v>
      </c>
      <c r="C681" s="11">
        <v>0.12847222222222221</v>
      </c>
      <c r="D681" s="11" t="s">
        <v>28</v>
      </c>
      <c r="E681" s="11" t="s">
        <v>81</v>
      </c>
      <c r="F681" s="11" t="s">
        <v>513</v>
      </c>
      <c r="G681" s="328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9"/>
    </row>
    <row r="682" spans="1:18" ht="15" customHeight="1" x14ac:dyDescent="0.3">
      <c r="A682" s="10" t="s">
        <v>26</v>
      </c>
      <c r="B682" s="10" t="s">
        <v>451</v>
      </c>
      <c r="C682" s="10">
        <v>0.12847222222222221</v>
      </c>
      <c r="D682" s="10" t="s">
        <v>31</v>
      </c>
      <c r="E682" s="10" t="s">
        <v>84</v>
      </c>
      <c r="F682" s="10" t="s">
        <v>514</v>
      </c>
      <c r="G682" s="328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9"/>
    </row>
    <row r="683" spans="1:18" ht="15" customHeight="1" x14ac:dyDescent="0.3">
      <c r="A683" s="10" t="s">
        <v>26</v>
      </c>
      <c r="B683" s="10" t="s">
        <v>451</v>
      </c>
      <c r="C683" s="10">
        <v>0.12847222222222221</v>
      </c>
      <c r="D683" s="10" t="s">
        <v>34</v>
      </c>
      <c r="E683" s="10" t="s">
        <v>84</v>
      </c>
      <c r="F683" s="10" t="s">
        <v>35</v>
      </c>
      <c r="G683" s="328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9"/>
    </row>
    <row r="684" spans="1:18" ht="15" customHeight="1" x14ac:dyDescent="0.3">
      <c r="A684" s="26" t="s">
        <v>26</v>
      </c>
      <c r="B684" s="26" t="s">
        <v>453</v>
      </c>
      <c r="C684" s="26">
        <v>0.30208333333333331</v>
      </c>
      <c r="D684" s="26" t="s">
        <v>28</v>
      </c>
      <c r="E684" s="26" t="s">
        <v>114</v>
      </c>
      <c r="F684" s="26" t="s">
        <v>513</v>
      </c>
      <c r="G684" s="328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9"/>
    </row>
    <row r="685" spans="1:18" ht="15" customHeight="1" x14ac:dyDescent="0.3">
      <c r="A685" s="10" t="s">
        <v>26</v>
      </c>
      <c r="B685" s="10" t="s">
        <v>453</v>
      </c>
      <c r="C685" s="10">
        <v>0.30208333333333331</v>
      </c>
      <c r="D685" s="10" t="s">
        <v>31</v>
      </c>
      <c r="E685" s="10" t="s">
        <v>115</v>
      </c>
      <c r="F685" s="10" t="s">
        <v>514</v>
      </c>
      <c r="G685" s="328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9"/>
    </row>
    <row r="686" spans="1:18" ht="15" customHeight="1" x14ac:dyDescent="0.3">
      <c r="A686" s="10" t="s">
        <v>26</v>
      </c>
      <c r="B686" s="10" t="s">
        <v>453</v>
      </c>
      <c r="C686" s="10">
        <v>0.30208333333333331</v>
      </c>
      <c r="D686" s="10" t="s">
        <v>34</v>
      </c>
      <c r="E686" s="10" t="s">
        <v>115</v>
      </c>
      <c r="F686" s="10" t="s">
        <v>35</v>
      </c>
      <c r="G686" s="328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9"/>
    </row>
    <row r="687" spans="1:18" ht="15" customHeight="1" x14ac:dyDescent="0.3">
      <c r="A687" s="26" t="s">
        <v>26</v>
      </c>
      <c r="B687" s="26" t="s">
        <v>454</v>
      </c>
      <c r="C687" s="26">
        <v>0.88888888888888884</v>
      </c>
      <c r="D687" s="26" t="s">
        <v>28</v>
      </c>
      <c r="E687" s="26" t="s">
        <v>439</v>
      </c>
      <c r="F687" s="26" t="s">
        <v>513</v>
      </c>
      <c r="G687" s="328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9"/>
    </row>
    <row r="688" spans="1:18" ht="15" customHeight="1" x14ac:dyDescent="0.3">
      <c r="A688" s="10" t="s">
        <v>26</v>
      </c>
      <c r="B688" s="10" t="s">
        <v>454</v>
      </c>
      <c r="C688" s="10">
        <v>0.88888888888888884</v>
      </c>
      <c r="D688" s="10" t="s">
        <v>31</v>
      </c>
      <c r="E688" s="10" t="s">
        <v>124</v>
      </c>
      <c r="F688" s="10" t="s">
        <v>514</v>
      </c>
      <c r="G688" s="328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9"/>
    </row>
    <row r="689" spans="1:18" ht="15" customHeight="1" x14ac:dyDescent="0.3">
      <c r="A689" s="10" t="s">
        <v>26</v>
      </c>
      <c r="B689" s="10" t="s">
        <v>454</v>
      </c>
      <c r="C689" s="10">
        <v>0.88888888888888884</v>
      </c>
      <c r="D689" s="10" t="s">
        <v>34</v>
      </c>
      <c r="E689" s="10" t="s">
        <v>124</v>
      </c>
      <c r="F689" s="10" t="s">
        <v>35</v>
      </c>
      <c r="G689" s="328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9"/>
    </row>
    <row r="690" spans="1:18" ht="15" customHeight="1" x14ac:dyDescent="0.3">
      <c r="A690" s="26" t="s">
        <v>26</v>
      </c>
      <c r="B690" s="26" t="s">
        <v>455</v>
      </c>
      <c r="C690" s="26">
        <v>0.78819444444444453</v>
      </c>
      <c r="D690" s="26" t="s">
        <v>28</v>
      </c>
      <c r="E690" s="26" t="s">
        <v>113</v>
      </c>
      <c r="F690" s="26" t="s">
        <v>513</v>
      </c>
      <c r="G690" s="328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9"/>
    </row>
    <row r="691" spans="1:18" ht="15" customHeight="1" x14ac:dyDescent="0.3">
      <c r="A691" s="10" t="s">
        <v>26</v>
      </c>
      <c r="B691" s="10" t="s">
        <v>455</v>
      </c>
      <c r="C691" s="10">
        <v>0.78819444444444453</v>
      </c>
      <c r="D691" s="10" t="s">
        <v>31</v>
      </c>
      <c r="E691" s="10" t="s">
        <v>136</v>
      </c>
      <c r="F691" s="10" t="s">
        <v>514</v>
      </c>
      <c r="G691" s="328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9"/>
    </row>
    <row r="692" spans="1:18" ht="15" customHeight="1" x14ac:dyDescent="0.3">
      <c r="A692" s="10" t="s">
        <v>26</v>
      </c>
      <c r="B692" s="10" t="s">
        <v>455</v>
      </c>
      <c r="C692" s="10">
        <v>0.78819444444444453</v>
      </c>
      <c r="D692" s="10" t="s">
        <v>34</v>
      </c>
      <c r="E692" s="10" t="s">
        <v>136</v>
      </c>
      <c r="F692" s="10" t="s">
        <v>35</v>
      </c>
      <c r="G692" s="328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9"/>
    </row>
    <row r="693" spans="1:18" ht="15" customHeight="1" x14ac:dyDescent="0.3">
      <c r="A693" s="149" t="s">
        <v>44</v>
      </c>
      <c r="B693" s="149" t="s">
        <v>425</v>
      </c>
      <c r="C693" s="149">
        <v>0.45833333333333331</v>
      </c>
      <c r="D693" s="149" t="s">
        <v>46</v>
      </c>
      <c r="E693" s="149" t="s">
        <v>29</v>
      </c>
      <c r="F693" s="149" t="s">
        <v>416</v>
      </c>
      <c r="G693" s="328"/>
      <c r="H693" s="19" t="s">
        <v>427</v>
      </c>
      <c r="I693" s="188">
        <v>0.14530000000000001</v>
      </c>
      <c r="J693" s="21">
        <v>26</v>
      </c>
      <c r="K693" s="22" t="s">
        <v>50</v>
      </c>
      <c r="L693" s="21">
        <v>9</v>
      </c>
      <c r="M693" s="21">
        <v>0</v>
      </c>
      <c r="N693" s="21">
        <v>1</v>
      </c>
      <c r="O693" s="22" t="s">
        <v>263</v>
      </c>
      <c r="P693" s="22">
        <v>0.45833333333333331</v>
      </c>
      <c r="Q693" s="21">
        <v>179</v>
      </c>
      <c r="R693" s="23" t="s">
        <v>629</v>
      </c>
    </row>
    <row r="694" spans="1:18" ht="15" customHeight="1" x14ac:dyDescent="0.3">
      <c r="A694" s="24" t="s">
        <v>44</v>
      </c>
      <c r="B694" s="24" t="s">
        <v>415</v>
      </c>
      <c r="C694" s="24">
        <v>0.31944444444444448</v>
      </c>
      <c r="D694" s="24" t="s">
        <v>46</v>
      </c>
      <c r="E694" s="24" t="s">
        <v>71</v>
      </c>
      <c r="F694" s="24" t="s">
        <v>416</v>
      </c>
      <c r="G694" s="328"/>
      <c r="H694" s="13" t="s">
        <v>417</v>
      </c>
      <c r="I694" s="14">
        <v>0.1173</v>
      </c>
      <c r="J694" s="15">
        <v>21</v>
      </c>
      <c r="K694" s="16" t="s">
        <v>50</v>
      </c>
      <c r="L694" s="15">
        <v>2</v>
      </c>
      <c r="M694" s="15">
        <v>0</v>
      </c>
      <c r="N694" s="15">
        <v>1</v>
      </c>
      <c r="O694" s="16" t="s">
        <v>237</v>
      </c>
      <c r="P694" s="16">
        <v>0.31944444444444448</v>
      </c>
      <c r="Q694" s="15">
        <v>179</v>
      </c>
      <c r="R694" s="17" t="s">
        <v>630</v>
      </c>
    </row>
    <row r="695" spans="1:18" ht="15" customHeight="1" x14ac:dyDescent="0.3">
      <c r="A695" s="18" t="s">
        <v>44</v>
      </c>
      <c r="B695" s="18" t="s">
        <v>422</v>
      </c>
      <c r="C695" s="18">
        <v>0.1145833333333333</v>
      </c>
      <c r="D695" s="18" t="s">
        <v>46</v>
      </c>
      <c r="E695" s="18" t="s">
        <v>114</v>
      </c>
      <c r="F695" s="18" t="s">
        <v>416</v>
      </c>
      <c r="G695" s="328"/>
      <c r="H695" s="19" t="s">
        <v>423</v>
      </c>
      <c r="I695" s="188">
        <v>0.1676</v>
      </c>
      <c r="J695" s="21">
        <v>30</v>
      </c>
      <c r="K695" s="22" t="s">
        <v>50</v>
      </c>
      <c r="L695" s="21">
        <v>21</v>
      </c>
      <c r="M695" s="21">
        <v>0</v>
      </c>
      <c r="N695" s="21">
        <v>2</v>
      </c>
      <c r="O695" s="22" t="s">
        <v>586</v>
      </c>
      <c r="P695" s="22">
        <v>0.1145833333333333</v>
      </c>
      <c r="Q695" s="21">
        <v>179</v>
      </c>
      <c r="R695" s="23" t="s">
        <v>631</v>
      </c>
    </row>
    <row r="696" spans="1:18" ht="15" customHeight="1" x14ac:dyDescent="0.3">
      <c r="A696" s="87" t="s">
        <v>44</v>
      </c>
      <c r="B696" s="87" t="s">
        <v>520</v>
      </c>
      <c r="C696" s="87">
        <v>0.61458333333333337</v>
      </c>
      <c r="D696" s="87" t="s">
        <v>46</v>
      </c>
      <c r="E696" s="87" t="s">
        <v>71</v>
      </c>
      <c r="F696" s="87" t="s">
        <v>426</v>
      </c>
      <c r="G696" s="328"/>
      <c r="H696" s="76" t="s">
        <v>432</v>
      </c>
      <c r="I696" s="208">
        <v>0.3911</v>
      </c>
      <c r="J696" s="78">
        <v>70</v>
      </c>
      <c r="K696" s="79" t="s">
        <v>590</v>
      </c>
      <c r="L696" s="78">
        <v>3</v>
      </c>
      <c r="M696" s="78">
        <v>0</v>
      </c>
      <c r="N696" s="78">
        <v>0</v>
      </c>
      <c r="O696" s="79" t="s">
        <v>364</v>
      </c>
      <c r="P696" s="79">
        <v>0.61458333333333337</v>
      </c>
      <c r="Q696" s="78">
        <v>179</v>
      </c>
      <c r="R696" s="80" t="s">
        <v>632</v>
      </c>
    </row>
    <row r="697" spans="1:18" ht="15" customHeight="1" x14ac:dyDescent="0.3">
      <c r="A697" s="193" t="s">
        <v>44</v>
      </c>
      <c r="B697" s="193" t="s">
        <v>419</v>
      </c>
      <c r="C697" s="193">
        <v>0.73611111111111116</v>
      </c>
      <c r="D697" s="193" t="s">
        <v>46</v>
      </c>
      <c r="E697" s="193" t="s">
        <v>114</v>
      </c>
      <c r="F697" s="193" t="s">
        <v>426</v>
      </c>
      <c r="G697" s="328"/>
      <c r="H697" s="194" t="s">
        <v>420</v>
      </c>
      <c r="I697" s="200">
        <v>0.48599999999999999</v>
      </c>
      <c r="J697" s="196">
        <v>87</v>
      </c>
      <c r="K697" s="197" t="s">
        <v>175</v>
      </c>
      <c r="L697" s="196">
        <v>63</v>
      </c>
      <c r="M697" s="196">
        <v>1</v>
      </c>
      <c r="N697" s="196">
        <v>8</v>
      </c>
      <c r="O697" s="197" t="s">
        <v>277</v>
      </c>
      <c r="P697" s="197">
        <v>0.73611111111111116</v>
      </c>
      <c r="Q697" s="196">
        <v>179</v>
      </c>
      <c r="R697" s="198" t="s">
        <v>633</v>
      </c>
    </row>
    <row r="698" spans="1:18" ht="15" customHeight="1" x14ac:dyDescent="0.3">
      <c r="A698" s="24" t="s">
        <v>44</v>
      </c>
      <c r="B698" s="24" t="s">
        <v>429</v>
      </c>
      <c r="C698" s="24">
        <v>0.9375</v>
      </c>
      <c r="D698" s="24" t="s">
        <v>46</v>
      </c>
      <c r="E698" s="24" t="s">
        <v>71</v>
      </c>
      <c r="F698" s="24" t="s">
        <v>634</v>
      </c>
      <c r="G698" s="328"/>
      <c r="H698" s="13" t="s">
        <v>430</v>
      </c>
      <c r="I698" s="25">
        <v>0.91620000000000001</v>
      </c>
      <c r="J698" s="15">
        <v>164</v>
      </c>
      <c r="K698" s="16" t="s">
        <v>635</v>
      </c>
      <c r="L698" s="15">
        <v>0</v>
      </c>
      <c r="M698" s="15">
        <v>0</v>
      </c>
      <c r="N698" s="15">
        <v>0</v>
      </c>
      <c r="O698" s="16" t="s">
        <v>51</v>
      </c>
      <c r="P698" s="16">
        <v>0.9375</v>
      </c>
      <c r="Q698" s="15">
        <v>179</v>
      </c>
      <c r="R698" s="17" t="s">
        <v>636</v>
      </c>
    </row>
    <row r="699" spans="1:18" ht="15" customHeight="1" x14ac:dyDescent="0.3">
      <c r="A699" s="11" t="s">
        <v>410</v>
      </c>
      <c r="B699" s="11" t="s">
        <v>413</v>
      </c>
      <c r="C699" s="11">
        <v>0.66666666666666663</v>
      </c>
      <c r="D699" s="11" t="s">
        <v>406</v>
      </c>
      <c r="E699" s="11" t="s">
        <v>134</v>
      </c>
      <c r="F699" s="11" t="s">
        <v>414</v>
      </c>
      <c r="G699" s="328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9"/>
    </row>
    <row r="700" spans="1:18" ht="15" customHeight="1" x14ac:dyDescent="0.3">
      <c r="A700" s="11" t="s">
        <v>66</v>
      </c>
      <c r="B700" s="11" t="s">
        <v>505</v>
      </c>
      <c r="C700" s="11">
        <v>0.14583333333333329</v>
      </c>
      <c r="D700" s="11" t="s">
        <v>68</v>
      </c>
      <c r="E700" s="11" t="s">
        <v>47</v>
      </c>
      <c r="F700" s="11" t="s">
        <v>607</v>
      </c>
      <c r="G700" s="328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9"/>
    </row>
    <row r="701" spans="1:18" ht="15" customHeight="1" x14ac:dyDescent="0.3">
      <c r="A701" s="26" t="s">
        <v>66</v>
      </c>
      <c r="B701" s="26" t="s">
        <v>490</v>
      </c>
      <c r="C701" s="26">
        <v>0.27777777777777779</v>
      </c>
      <c r="D701" s="26" t="s">
        <v>68</v>
      </c>
      <c r="E701" s="26" t="s">
        <v>71</v>
      </c>
      <c r="F701" s="26" t="s">
        <v>607</v>
      </c>
      <c r="G701" s="328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9"/>
    </row>
    <row r="702" spans="1:18" ht="15" customHeight="1" x14ac:dyDescent="0.3">
      <c r="A702" s="26" t="s">
        <v>66</v>
      </c>
      <c r="B702" s="26" t="s">
        <v>509</v>
      </c>
      <c r="C702" s="26">
        <v>1.388888888888889E-2</v>
      </c>
      <c r="D702" s="26" t="s">
        <v>68</v>
      </c>
      <c r="E702" s="26" t="s">
        <v>71</v>
      </c>
      <c r="F702" s="26" t="s">
        <v>504</v>
      </c>
      <c r="G702" s="328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9"/>
    </row>
    <row r="703" spans="1:18" ht="15" customHeight="1" x14ac:dyDescent="0.3">
      <c r="A703" s="26" t="s">
        <v>66</v>
      </c>
      <c r="B703" s="26" t="s">
        <v>485</v>
      </c>
      <c r="C703" s="26">
        <v>0.4861111111111111</v>
      </c>
      <c r="D703" s="26" t="s">
        <v>68</v>
      </c>
      <c r="E703" s="26" t="s">
        <v>71</v>
      </c>
      <c r="F703" s="26" t="s">
        <v>504</v>
      </c>
      <c r="G703" s="328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9"/>
    </row>
    <row r="704" spans="1:18" ht="15" customHeight="1" x14ac:dyDescent="0.3">
      <c r="A704" s="26" t="s">
        <v>66</v>
      </c>
      <c r="B704" s="26" t="s">
        <v>488</v>
      </c>
      <c r="C704" s="26">
        <v>0.22916666666666671</v>
      </c>
      <c r="D704" s="26" t="s">
        <v>68</v>
      </c>
      <c r="E704" s="26" t="s">
        <v>71</v>
      </c>
      <c r="F704" s="26" t="s">
        <v>637</v>
      </c>
      <c r="G704" s="328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9"/>
    </row>
    <row r="705" spans="1:18" ht="15" customHeight="1" x14ac:dyDescent="0.3">
      <c r="A705" s="26" t="s">
        <v>66</v>
      </c>
      <c r="B705" s="26" t="s">
        <v>492</v>
      </c>
      <c r="C705" s="26">
        <v>0.77083333333333337</v>
      </c>
      <c r="D705" s="26" t="s">
        <v>68</v>
      </c>
      <c r="E705" s="26" t="s">
        <v>71</v>
      </c>
      <c r="F705" s="26" t="s">
        <v>486</v>
      </c>
      <c r="G705" s="328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9"/>
    </row>
    <row r="706" spans="1:18" ht="15" customHeight="1" x14ac:dyDescent="0.3">
      <c r="A706" s="11" t="s">
        <v>78</v>
      </c>
      <c r="B706" s="11" t="s">
        <v>467</v>
      </c>
      <c r="C706" s="11">
        <v>0.1423611111111111</v>
      </c>
      <c r="D706" s="11" t="s">
        <v>80</v>
      </c>
      <c r="E706" s="11" t="s">
        <v>47</v>
      </c>
      <c r="F706" s="11" t="s">
        <v>462</v>
      </c>
      <c r="G706" s="328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9"/>
    </row>
    <row r="707" spans="1:18" ht="15" customHeight="1" x14ac:dyDescent="0.3">
      <c r="A707" s="10" t="s">
        <v>78</v>
      </c>
      <c r="B707" s="10" t="s">
        <v>467</v>
      </c>
      <c r="C707" s="10">
        <v>0.1423611111111111</v>
      </c>
      <c r="D707" s="10" t="s">
        <v>83</v>
      </c>
      <c r="E707" s="10" t="s">
        <v>95</v>
      </c>
      <c r="F707" s="10" t="s">
        <v>463</v>
      </c>
      <c r="G707" s="328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9"/>
    </row>
    <row r="708" spans="1:18" ht="15" customHeight="1" x14ac:dyDescent="0.3">
      <c r="A708" s="26" t="s">
        <v>78</v>
      </c>
      <c r="B708" s="26" t="s">
        <v>470</v>
      </c>
      <c r="C708" s="26">
        <v>0.71875</v>
      </c>
      <c r="D708" s="26" t="s">
        <v>80</v>
      </c>
      <c r="E708" s="26" t="s">
        <v>71</v>
      </c>
      <c r="F708" s="26" t="s">
        <v>462</v>
      </c>
      <c r="G708" s="328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9"/>
    </row>
    <row r="709" spans="1:18" ht="15" customHeight="1" x14ac:dyDescent="0.3">
      <c r="A709" s="10" t="s">
        <v>78</v>
      </c>
      <c r="B709" s="10" t="s">
        <v>470</v>
      </c>
      <c r="C709" s="10">
        <v>0.71875</v>
      </c>
      <c r="D709" s="10" t="s">
        <v>83</v>
      </c>
      <c r="E709" s="10" t="s">
        <v>95</v>
      </c>
      <c r="F709" s="10" t="s">
        <v>463</v>
      </c>
      <c r="G709" s="328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9"/>
    </row>
    <row r="710" spans="1:18" ht="15" customHeight="1" x14ac:dyDescent="0.3">
      <c r="A710" s="26" t="s">
        <v>78</v>
      </c>
      <c r="B710" s="26" t="s">
        <v>469</v>
      </c>
      <c r="C710" s="26">
        <v>0.37847222222222232</v>
      </c>
      <c r="D710" s="26" t="s">
        <v>80</v>
      </c>
      <c r="E710" s="26" t="s">
        <v>71</v>
      </c>
      <c r="F710" s="26" t="s">
        <v>462</v>
      </c>
      <c r="G710" s="328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9"/>
    </row>
    <row r="711" spans="1:18" ht="15" customHeight="1" x14ac:dyDescent="0.3">
      <c r="A711" s="10" t="s">
        <v>78</v>
      </c>
      <c r="B711" s="10" t="s">
        <v>469</v>
      </c>
      <c r="C711" s="10">
        <v>0.37847222222222232</v>
      </c>
      <c r="D711" s="10" t="s">
        <v>83</v>
      </c>
      <c r="E711" s="10" t="s">
        <v>95</v>
      </c>
      <c r="F711" s="10" t="s">
        <v>463</v>
      </c>
      <c r="G711" s="328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9"/>
    </row>
    <row r="712" spans="1:18" ht="15" customHeight="1" x14ac:dyDescent="0.3">
      <c r="A712" s="26" t="s">
        <v>78</v>
      </c>
      <c r="B712" s="26" t="s">
        <v>482</v>
      </c>
      <c r="C712" s="26">
        <v>0.61111111111111105</v>
      </c>
      <c r="D712" s="26" t="s">
        <v>80</v>
      </c>
      <c r="E712" s="26" t="s">
        <v>71</v>
      </c>
      <c r="F712" s="26" t="s">
        <v>462</v>
      </c>
      <c r="G712" s="328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9"/>
    </row>
    <row r="713" spans="1:18" ht="15" customHeight="1" x14ac:dyDescent="0.3">
      <c r="A713" s="10" t="s">
        <v>78</v>
      </c>
      <c r="B713" s="10" t="s">
        <v>482</v>
      </c>
      <c r="C713" s="10">
        <v>0.61111111111111105</v>
      </c>
      <c r="D713" s="10" t="s">
        <v>83</v>
      </c>
      <c r="E713" s="10" t="s">
        <v>95</v>
      </c>
      <c r="F713" s="10" t="s">
        <v>463</v>
      </c>
      <c r="G713" s="328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9"/>
    </row>
    <row r="714" spans="1:18" ht="15" customHeight="1" x14ac:dyDescent="0.3">
      <c r="A714" s="26" t="s">
        <v>78</v>
      </c>
      <c r="B714" s="26" t="s">
        <v>461</v>
      </c>
      <c r="C714" s="26">
        <v>0.23958333333333329</v>
      </c>
      <c r="D714" s="26" t="s">
        <v>80</v>
      </c>
      <c r="E714" s="26" t="s">
        <v>71</v>
      </c>
      <c r="F714" s="26" t="s">
        <v>462</v>
      </c>
      <c r="G714" s="328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9"/>
    </row>
    <row r="715" spans="1:18" ht="15" customHeight="1" x14ac:dyDescent="0.3">
      <c r="A715" s="10" t="s">
        <v>78</v>
      </c>
      <c r="B715" s="10" t="s">
        <v>461</v>
      </c>
      <c r="C715" s="10">
        <v>0.23958333333333329</v>
      </c>
      <c r="D715" s="10" t="s">
        <v>83</v>
      </c>
      <c r="E715" s="10" t="s">
        <v>95</v>
      </c>
      <c r="F715" s="10" t="s">
        <v>463</v>
      </c>
      <c r="G715" s="328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9"/>
    </row>
    <row r="716" spans="1:18" ht="15" customHeight="1" x14ac:dyDescent="0.3">
      <c r="A716" s="26" t="s">
        <v>78</v>
      </c>
      <c r="B716" s="26" t="s">
        <v>464</v>
      </c>
      <c r="C716" s="26">
        <v>6.9444444444444441E-3</v>
      </c>
      <c r="D716" s="26" t="s">
        <v>80</v>
      </c>
      <c r="E716" s="26" t="s">
        <v>71</v>
      </c>
      <c r="F716" s="26" t="s">
        <v>465</v>
      </c>
      <c r="G716" s="328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9"/>
    </row>
    <row r="717" spans="1:18" ht="15" customHeight="1" x14ac:dyDescent="0.3">
      <c r="A717" s="10" t="s">
        <v>78</v>
      </c>
      <c r="B717" s="10" t="s">
        <v>464</v>
      </c>
      <c r="C717" s="10">
        <v>6.9444444444444441E-3</v>
      </c>
      <c r="D717" s="10" t="s">
        <v>83</v>
      </c>
      <c r="E717" s="10" t="s">
        <v>95</v>
      </c>
      <c r="F717" s="10" t="s">
        <v>466</v>
      </c>
      <c r="G717" s="328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9"/>
    </row>
    <row r="718" spans="1:18" ht="15" customHeight="1" x14ac:dyDescent="0.3">
      <c r="A718" s="26" t="s">
        <v>78</v>
      </c>
      <c r="B718" s="26" t="s">
        <v>468</v>
      </c>
      <c r="C718" s="26">
        <v>0.93055555555555547</v>
      </c>
      <c r="D718" s="26" t="s">
        <v>80</v>
      </c>
      <c r="E718" s="26" t="s">
        <v>71</v>
      </c>
      <c r="F718" s="26" t="s">
        <v>465</v>
      </c>
      <c r="G718" s="328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9"/>
    </row>
    <row r="719" spans="1:18" ht="15" customHeight="1" x14ac:dyDescent="0.3">
      <c r="A719" s="10" t="s">
        <v>78</v>
      </c>
      <c r="B719" s="10" t="s">
        <v>468</v>
      </c>
      <c r="C719" s="10">
        <v>0.93055555555555547</v>
      </c>
      <c r="D719" s="10" t="s">
        <v>83</v>
      </c>
      <c r="E719" s="10" t="s">
        <v>95</v>
      </c>
      <c r="F719" s="10" t="s">
        <v>466</v>
      </c>
      <c r="G719" s="328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9"/>
    </row>
    <row r="720" spans="1:18" ht="15" customHeight="1" x14ac:dyDescent="0.3">
      <c r="A720" s="26" t="s">
        <v>78</v>
      </c>
      <c r="B720" s="26" t="s">
        <v>477</v>
      </c>
      <c r="C720" s="26">
        <v>0.82986111111111116</v>
      </c>
      <c r="D720" s="26" t="s">
        <v>80</v>
      </c>
      <c r="E720" s="26" t="s">
        <v>71</v>
      </c>
      <c r="F720" s="26" t="s">
        <v>465</v>
      </c>
      <c r="G720" s="328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9"/>
    </row>
    <row r="721" spans="1:18" ht="15" customHeight="1" x14ac:dyDescent="0.3">
      <c r="A721" s="10" t="s">
        <v>78</v>
      </c>
      <c r="B721" s="10" t="s">
        <v>477</v>
      </c>
      <c r="C721" s="10">
        <v>0.82986111111111116</v>
      </c>
      <c r="D721" s="10" t="s">
        <v>83</v>
      </c>
      <c r="E721" s="10" t="s">
        <v>95</v>
      </c>
      <c r="F721" s="10" t="s">
        <v>466</v>
      </c>
      <c r="G721" s="328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9"/>
    </row>
    <row r="722" spans="1:18" ht="15" customHeight="1" x14ac:dyDescent="0.3">
      <c r="A722" s="26" t="s">
        <v>78</v>
      </c>
      <c r="B722" s="26" t="s">
        <v>473</v>
      </c>
      <c r="C722" s="26">
        <v>0.88888888888888884</v>
      </c>
      <c r="D722" s="26" t="s">
        <v>83</v>
      </c>
      <c r="E722" s="26" t="s">
        <v>87</v>
      </c>
      <c r="F722" s="26" t="s">
        <v>638</v>
      </c>
      <c r="G722" s="328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9"/>
    </row>
    <row r="723" spans="1:18" ht="15" customHeight="1" x14ac:dyDescent="0.3">
      <c r="A723" s="26" t="s">
        <v>78</v>
      </c>
      <c r="B723" s="26" t="s">
        <v>476</v>
      </c>
      <c r="C723" s="26">
        <v>0.12847222222222221</v>
      </c>
      <c r="D723" s="26" t="s">
        <v>83</v>
      </c>
      <c r="E723" s="26" t="s">
        <v>87</v>
      </c>
      <c r="F723" s="26" t="s">
        <v>638</v>
      </c>
      <c r="G723" s="328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9"/>
    </row>
    <row r="724" spans="1:18" ht="15" customHeight="1" x14ac:dyDescent="0.3">
      <c r="A724" s="26" t="s">
        <v>78</v>
      </c>
      <c r="B724" s="26" t="s">
        <v>480</v>
      </c>
      <c r="C724" s="26">
        <v>0.78819444444444453</v>
      </c>
      <c r="D724" s="26" t="s">
        <v>83</v>
      </c>
      <c r="E724" s="26" t="s">
        <v>87</v>
      </c>
      <c r="F724" s="26" t="s">
        <v>638</v>
      </c>
      <c r="G724" s="328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9"/>
    </row>
    <row r="725" spans="1:18" ht="15" customHeight="1" x14ac:dyDescent="0.3">
      <c r="A725" s="31" t="s">
        <v>78</v>
      </c>
      <c r="B725" s="31" t="s">
        <v>475</v>
      </c>
      <c r="C725" s="31">
        <v>0.30208333333333331</v>
      </c>
      <c r="D725" s="31" t="s">
        <v>83</v>
      </c>
      <c r="E725" s="31" t="s">
        <v>87</v>
      </c>
      <c r="F725" s="31" t="s">
        <v>535</v>
      </c>
      <c r="G725" s="328"/>
      <c r="H725" s="28"/>
      <c r="I725" s="29"/>
      <c r="J725" s="29"/>
      <c r="K725" s="29"/>
      <c r="L725" s="29"/>
      <c r="M725" s="29"/>
      <c r="N725" s="29"/>
      <c r="O725" s="29"/>
      <c r="P725" s="29"/>
      <c r="Q725" s="29"/>
      <c r="R725" s="30"/>
    </row>
    <row r="726" spans="1:18" ht="17.399999999999999" customHeight="1" x14ac:dyDescent="0.3">
      <c r="A726" s="360"/>
      <c r="B726" s="361"/>
      <c r="C726" s="361"/>
      <c r="D726" s="361"/>
      <c r="E726" s="361"/>
      <c r="F726" s="361"/>
      <c r="G726" s="361"/>
      <c r="H726" s="361"/>
      <c r="I726" s="361"/>
      <c r="J726" s="361"/>
      <c r="K726" s="361"/>
      <c r="L726" s="361"/>
      <c r="M726" s="361"/>
      <c r="N726" s="361"/>
      <c r="O726" s="361"/>
      <c r="P726" s="361"/>
      <c r="Q726" s="361"/>
      <c r="R726" s="362"/>
    </row>
    <row r="727" spans="1:18" ht="22.05" customHeight="1" x14ac:dyDescent="0.3">
      <c r="A727" s="323" t="s">
        <v>6</v>
      </c>
      <c r="B727" s="324"/>
      <c r="C727" s="324"/>
      <c r="D727" s="324"/>
      <c r="E727" s="324"/>
      <c r="F727" s="324"/>
      <c r="G727" s="2">
        <v>45997</v>
      </c>
      <c r="H727" s="323" t="s">
        <v>7</v>
      </c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</row>
    <row r="728" spans="1:18" ht="24" customHeight="1" x14ac:dyDescent="0.3">
      <c r="A728" s="3" t="s">
        <v>8</v>
      </c>
      <c r="B728" s="3" t="s">
        <v>9</v>
      </c>
      <c r="C728" s="3" t="s">
        <v>10</v>
      </c>
      <c r="D728" s="3" t="s">
        <v>11</v>
      </c>
      <c r="E728" s="3" t="s">
        <v>12</v>
      </c>
      <c r="F728" s="4" t="s">
        <v>13</v>
      </c>
      <c r="G728" s="5" t="s">
        <v>14</v>
      </c>
      <c r="H728" s="3" t="s">
        <v>15</v>
      </c>
      <c r="I728" s="3" t="s">
        <v>16</v>
      </c>
      <c r="J728" s="3" t="s">
        <v>17</v>
      </c>
      <c r="K728" s="3" t="s">
        <v>18</v>
      </c>
      <c r="L728" s="3" t="s">
        <v>19</v>
      </c>
      <c r="M728" s="3" t="s">
        <v>20</v>
      </c>
      <c r="N728" s="3" t="s">
        <v>21</v>
      </c>
      <c r="O728" s="3" t="s">
        <v>22</v>
      </c>
      <c r="P728" s="3" t="s">
        <v>23</v>
      </c>
      <c r="Q728" s="3" t="s">
        <v>24</v>
      </c>
      <c r="R728" s="3" t="s">
        <v>25</v>
      </c>
    </row>
    <row r="729" spans="1:18" ht="15" customHeight="1" x14ac:dyDescent="0.3">
      <c r="A729" s="6" t="s">
        <v>456</v>
      </c>
      <c r="B729" s="6" t="s">
        <v>500</v>
      </c>
      <c r="C729" s="6">
        <v>0.3298611111111111</v>
      </c>
      <c r="D729" s="6" t="s">
        <v>458</v>
      </c>
      <c r="E729" s="6" t="s">
        <v>123</v>
      </c>
      <c r="F729" s="6" t="s">
        <v>623</v>
      </c>
      <c r="G729" s="328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9"/>
    </row>
    <row r="730" spans="1:18" ht="15" customHeight="1" x14ac:dyDescent="0.3">
      <c r="A730" s="10" t="s">
        <v>456</v>
      </c>
      <c r="B730" s="10" t="s">
        <v>500</v>
      </c>
      <c r="C730" s="10">
        <v>0.3298611111111111</v>
      </c>
      <c r="D730" s="10" t="s">
        <v>34</v>
      </c>
      <c r="E730" s="10" t="s">
        <v>124</v>
      </c>
      <c r="F730" s="10" t="s">
        <v>624</v>
      </c>
      <c r="G730" s="328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9"/>
    </row>
    <row r="731" spans="1:18" ht="15" customHeight="1" x14ac:dyDescent="0.3">
      <c r="A731" s="26" t="s">
        <v>456</v>
      </c>
      <c r="B731" s="26" t="s">
        <v>457</v>
      </c>
      <c r="C731" s="26">
        <v>0.21527777777777779</v>
      </c>
      <c r="D731" s="26" t="s">
        <v>458</v>
      </c>
      <c r="E731" s="26" t="s">
        <v>439</v>
      </c>
      <c r="F731" s="26" t="s">
        <v>623</v>
      </c>
      <c r="G731" s="328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9"/>
    </row>
    <row r="732" spans="1:18" ht="15" customHeight="1" x14ac:dyDescent="0.3">
      <c r="A732" s="10" t="s">
        <v>456</v>
      </c>
      <c r="B732" s="10" t="s">
        <v>457</v>
      </c>
      <c r="C732" s="10">
        <v>0.21527777777777779</v>
      </c>
      <c r="D732" s="10" t="s">
        <v>34</v>
      </c>
      <c r="E732" s="10" t="s">
        <v>124</v>
      </c>
      <c r="F732" s="10" t="s">
        <v>624</v>
      </c>
      <c r="G732" s="328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9"/>
    </row>
    <row r="733" spans="1:18" ht="15" customHeight="1" x14ac:dyDescent="0.3">
      <c r="A733" s="11" t="s">
        <v>36</v>
      </c>
      <c r="B733" s="11" t="s">
        <v>447</v>
      </c>
      <c r="C733" s="11">
        <v>0.39583333333333331</v>
      </c>
      <c r="D733" s="11" t="s">
        <v>38</v>
      </c>
      <c r="E733" s="11" t="s">
        <v>129</v>
      </c>
      <c r="F733" s="11" t="s">
        <v>583</v>
      </c>
      <c r="G733" s="328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9"/>
    </row>
    <row r="734" spans="1:18" ht="15" customHeight="1" x14ac:dyDescent="0.3">
      <c r="A734" s="10" t="s">
        <v>36</v>
      </c>
      <c r="B734" s="10" t="s">
        <v>447</v>
      </c>
      <c r="C734" s="10">
        <v>0.39583333333333331</v>
      </c>
      <c r="D734" s="10" t="s">
        <v>40</v>
      </c>
      <c r="E734" s="10" t="s">
        <v>92</v>
      </c>
      <c r="F734" s="10" t="s">
        <v>531</v>
      </c>
      <c r="G734" s="328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9"/>
    </row>
    <row r="735" spans="1:18" ht="15" customHeight="1" x14ac:dyDescent="0.3">
      <c r="A735" s="10" t="s">
        <v>36</v>
      </c>
      <c r="B735" s="10" t="s">
        <v>447</v>
      </c>
      <c r="C735" s="10">
        <v>0.39583333333333331</v>
      </c>
      <c r="D735" s="10" t="s">
        <v>42</v>
      </c>
      <c r="E735" s="10" t="s">
        <v>92</v>
      </c>
      <c r="F735" s="10" t="s">
        <v>30</v>
      </c>
      <c r="G735" s="328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9"/>
    </row>
    <row r="736" spans="1:18" ht="15" customHeight="1" x14ac:dyDescent="0.3">
      <c r="A736" s="26" t="s">
        <v>36</v>
      </c>
      <c r="B736" s="26" t="s">
        <v>442</v>
      </c>
      <c r="C736" s="26">
        <v>0.25694444444444448</v>
      </c>
      <c r="D736" s="26" t="s">
        <v>38</v>
      </c>
      <c r="E736" s="26" t="s">
        <v>439</v>
      </c>
      <c r="F736" s="26" t="s">
        <v>530</v>
      </c>
      <c r="G736" s="328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9"/>
    </row>
    <row r="737" spans="1:18" ht="15" customHeight="1" x14ac:dyDescent="0.3">
      <c r="A737" s="10" t="s">
        <v>36</v>
      </c>
      <c r="B737" s="10" t="s">
        <v>442</v>
      </c>
      <c r="C737" s="10">
        <v>0.25694444444444448</v>
      </c>
      <c r="D737" s="10" t="s">
        <v>40</v>
      </c>
      <c r="E737" s="10" t="s">
        <v>124</v>
      </c>
      <c r="F737" s="10" t="s">
        <v>514</v>
      </c>
      <c r="G737" s="328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9"/>
    </row>
    <row r="738" spans="1:18" ht="15" customHeight="1" x14ac:dyDescent="0.3">
      <c r="A738" s="10" t="s">
        <v>36</v>
      </c>
      <c r="B738" s="10" t="s">
        <v>442</v>
      </c>
      <c r="C738" s="10">
        <v>0.25694444444444448</v>
      </c>
      <c r="D738" s="10" t="s">
        <v>42</v>
      </c>
      <c r="E738" s="10" t="s">
        <v>124</v>
      </c>
      <c r="F738" s="10" t="s">
        <v>414</v>
      </c>
      <c r="G738" s="328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9"/>
    </row>
    <row r="739" spans="1:18" ht="15" customHeight="1" x14ac:dyDescent="0.3">
      <c r="A739" s="26" t="s">
        <v>36</v>
      </c>
      <c r="B739" s="26" t="s">
        <v>443</v>
      </c>
      <c r="C739" s="26">
        <v>0.46875</v>
      </c>
      <c r="D739" s="26" t="s">
        <v>38</v>
      </c>
      <c r="E739" s="26" t="s">
        <v>439</v>
      </c>
      <c r="F739" s="26" t="s">
        <v>436</v>
      </c>
      <c r="G739" s="328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9"/>
    </row>
    <row r="740" spans="1:18" ht="15" customHeight="1" x14ac:dyDescent="0.3">
      <c r="A740" s="10" t="s">
        <v>36</v>
      </c>
      <c r="B740" s="10" t="s">
        <v>443</v>
      </c>
      <c r="C740" s="10">
        <v>0.46875</v>
      </c>
      <c r="D740" s="10" t="s">
        <v>40</v>
      </c>
      <c r="E740" s="10" t="s">
        <v>124</v>
      </c>
      <c r="F740" s="10" t="s">
        <v>437</v>
      </c>
      <c r="G740" s="328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9"/>
    </row>
    <row r="741" spans="1:18" ht="15" customHeight="1" x14ac:dyDescent="0.3">
      <c r="A741" s="10" t="s">
        <v>36</v>
      </c>
      <c r="B741" s="10" t="s">
        <v>443</v>
      </c>
      <c r="C741" s="10">
        <v>0.46875</v>
      </c>
      <c r="D741" s="10" t="s">
        <v>42</v>
      </c>
      <c r="E741" s="10" t="s">
        <v>124</v>
      </c>
      <c r="F741" s="10" t="s">
        <v>39</v>
      </c>
      <c r="G741" s="328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9"/>
    </row>
    <row r="742" spans="1:18" ht="15" customHeight="1" x14ac:dyDescent="0.3">
      <c r="A742" s="26" t="s">
        <v>36</v>
      </c>
      <c r="B742" s="26" t="s">
        <v>444</v>
      </c>
      <c r="C742" s="26">
        <v>0.51736111111111105</v>
      </c>
      <c r="D742" s="26" t="s">
        <v>38</v>
      </c>
      <c r="E742" s="26" t="s">
        <v>152</v>
      </c>
      <c r="F742" s="26" t="s">
        <v>436</v>
      </c>
      <c r="G742" s="328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9"/>
    </row>
    <row r="743" spans="1:18" ht="15" customHeight="1" x14ac:dyDescent="0.3">
      <c r="A743" s="10" t="s">
        <v>36</v>
      </c>
      <c r="B743" s="10" t="s">
        <v>444</v>
      </c>
      <c r="C743" s="10">
        <v>0.51736111111111105</v>
      </c>
      <c r="D743" s="10" t="s">
        <v>40</v>
      </c>
      <c r="E743" s="10" t="s">
        <v>84</v>
      </c>
      <c r="F743" s="10" t="s">
        <v>437</v>
      </c>
      <c r="G743" s="328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9"/>
    </row>
    <row r="744" spans="1:18" ht="15" customHeight="1" x14ac:dyDescent="0.3">
      <c r="A744" s="10" t="s">
        <v>36</v>
      </c>
      <c r="B744" s="10" t="s">
        <v>444</v>
      </c>
      <c r="C744" s="10">
        <v>0.51736111111111105</v>
      </c>
      <c r="D744" s="10" t="s">
        <v>42</v>
      </c>
      <c r="E744" s="10" t="s">
        <v>84</v>
      </c>
      <c r="F744" s="10" t="s">
        <v>39</v>
      </c>
      <c r="G744" s="328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9"/>
    </row>
    <row r="745" spans="1:18" ht="15" customHeight="1" x14ac:dyDescent="0.3">
      <c r="A745" s="26" t="s">
        <v>36</v>
      </c>
      <c r="B745" s="26" t="s">
        <v>445</v>
      </c>
      <c r="C745" s="26">
        <v>0.79861111111111116</v>
      </c>
      <c r="D745" s="26" t="s">
        <v>38</v>
      </c>
      <c r="E745" s="26" t="s">
        <v>74</v>
      </c>
      <c r="F745" s="26" t="s">
        <v>436</v>
      </c>
      <c r="G745" s="328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9"/>
    </row>
    <row r="746" spans="1:18" ht="15" customHeight="1" x14ac:dyDescent="0.3">
      <c r="A746" s="10" t="s">
        <v>36</v>
      </c>
      <c r="B746" s="10" t="s">
        <v>445</v>
      </c>
      <c r="C746" s="10">
        <v>0.79861111111111116</v>
      </c>
      <c r="D746" s="10" t="s">
        <v>40</v>
      </c>
      <c r="E746" s="10" t="s">
        <v>122</v>
      </c>
      <c r="F746" s="10" t="s">
        <v>437</v>
      </c>
      <c r="G746" s="328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9"/>
    </row>
    <row r="747" spans="1:18" ht="15" customHeight="1" x14ac:dyDescent="0.3">
      <c r="A747" s="10" t="s">
        <v>36</v>
      </c>
      <c r="B747" s="10" t="s">
        <v>445</v>
      </c>
      <c r="C747" s="10">
        <v>0.79861111111111116</v>
      </c>
      <c r="D747" s="10" t="s">
        <v>42</v>
      </c>
      <c r="E747" s="10" t="s">
        <v>122</v>
      </c>
      <c r="F747" s="10" t="s">
        <v>39</v>
      </c>
      <c r="G747" s="328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9"/>
    </row>
    <row r="748" spans="1:18" ht="15" customHeight="1" x14ac:dyDescent="0.3">
      <c r="A748" s="26" t="s">
        <v>36</v>
      </c>
      <c r="B748" s="26" t="s">
        <v>446</v>
      </c>
      <c r="C748" s="26">
        <v>0.64583333333333337</v>
      </c>
      <c r="D748" s="26" t="s">
        <v>38</v>
      </c>
      <c r="E748" s="26" t="s">
        <v>439</v>
      </c>
      <c r="F748" s="26" t="s">
        <v>440</v>
      </c>
      <c r="G748" s="328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9"/>
    </row>
    <row r="749" spans="1:18" ht="15" customHeight="1" x14ac:dyDescent="0.3">
      <c r="A749" s="10" t="s">
        <v>36</v>
      </c>
      <c r="B749" s="10" t="s">
        <v>446</v>
      </c>
      <c r="C749" s="10">
        <v>0.64583333333333337</v>
      </c>
      <c r="D749" s="10" t="s">
        <v>40</v>
      </c>
      <c r="E749" s="10" t="s">
        <v>124</v>
      </c>
      <c r="F749" s="10" t="s">
        <v>166</v>
      </c>
      <c r="G749" s="328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9"/>
    </row>
    <row r="750" spans="1:18" ht="15" customHeight="1" x14ac:dyDescent="0.3">
      <c r="A750" s="10" t="s">
        <v>36</v>
      </c>
      <c r="B750" s="10" t="s">
        <v>446</v>
      </c>
      <c r="C750" s="10">
        <v>0.64583333333333337</v>
      </c>
      <c r="D750" s="10" t="s">
        <v>42</v>
      </c>
      <c r="E750" s="10" t="s">
        <v>124</v>
      </c>
      <c r="F750" s="10" t="s">
        <v>441</v>
      </c>
      <c r="G750" s="328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9"/>
    </row>
    <row r="751" spans="1:18" ht="15" customHeight="1" x14ac:dyDescent="0.3">
      <c r="A751" s="26" t="s">
        <v>36</v>
      </c>
      <c r="B751" s="26" t="s">
        <v>438</v>
      </c>
      <c r="C751" s="26">
        <v>0.85416666666666663</v>
      </c>
      <c r="D751" s="26" t="s">
        <v>38</v>
      </c>
      <c r="E751" s="26" t="s">
        <v>152</v>
      </c>
      <c r="F751" s="26" t="s">
        <v>448</v>
      </c>
      <c r="G751" s="328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9"/>
    </row>
    <row r="752" spans="1:18" ht="15" customHeight="1" x14ac:dyDescent="0.3">
      <c r="A752" s="10" t="s">
        <v>36</v>
      </c>
      <c r="B752" s="10" t="s">
        <v>438</v>
      </c>
      <c r="C752" s="10">
        <v>0.85416666666666663</v>
      </c>
      <c r="D752" s="10" t="s">
        <v>40</v>
      </c>
      <c r="E752" s="10" t="s">
        <v>84</v>
      </c>
      <c r="F752" s="10" t="s">
        <v>449</v>
      </c>
      <c r="G752" s="328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9"/>
    </row>
    <row r="753" spans="1:18" ht="15" customHeight="1" x14ac:dyDescent="0.3">
      <c r="A753" s="10" t="s">
        <v>36</v>
      </c>
      <c r="B753" s="10" t="s">
        <v>438</v>
      </c>
      <c r="C753" s="10">
        <v>0.85416666666666663</v>
      </c>
      <c r="D753" s="10" t="s">
        <v>42</v>
      </c>
      <c r="E753" s="10" t="s">
        <v>84</v>
      </c>
      <c r="F753" s="10" t="s">
        <v>450</v>
      </c>
      <c r="G753" s="328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9"/>
    </row>
    <row r="754" spans="1:18" ht="15" customHeight="1" x14ac:dyDescent="0.3">
      <c r="A754" s="26" t="s">
        <v>36</v>
      </c>
      <c r="B754" s="26" t="s">
        <v>435</v>
      </c>
      <c r="C754" s="26">
        <v>0.90277777777777779</v>
      </c>
      <c r="D754" s="26" t="s">
        <v>38</v>
      </c>
      <c r="E754" s="26" t="s">
        <v>74</v>
      </c>
      <c r="F754" s="26" t="s">
        <v>448</v>
      </c>
      <c r="G754" s="328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9"/>
    </row>
    <row r="755" spans="1:18" ht="15" customHeight="1" x14ac:dyDescent="0.3">
      <c r="A755" s="10" t="s">
        <v>36</v>
      </c>
      <c r="B755" s="10" t="s">
        <v>435</v>
      </c>
      <c r="C755" s="10">
        <v>0.90277777777777779</v>
      </c>
      <c r="D755" s="10" t="s">
        <v>40</v>
      </c>
      <c r="E755" s="10" t="s">
        <v>122</v>
      </c>
      <c r="F755" s="10" t="s">
        <v>449</v>
      </c>
      <c r="G755" s="328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9"/>
    </row>
    <row r="756" spans="1:18" ht="15" customHeight="1" x14ac:dyDescent="0.3">
      <c r="A756" s="10" t="s">
        <v>36</v>
      </c>
      <c r="B756" s="10" t="s">
        <v>435</v>
      </c>
      <c r="C756" s="10">
        <v>0.90277777777777779</v>
      </c>
      <c r="D756" s="10" t="s">
        <v>42</v>
      </c>
      <c r="E756" s="10" t="s">
        <v>122</v>
      </c>
      <c r="F756" s="10" t="s">
        <v>450</v>
      </c>
      <c r="G756" s="328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9"/>
    </row>
    <row r="757" spans="1:18" ht="15" customHeight="1" x14ac:dyDescent="0.3">
      <c r="A757" s="11" t="s">
        <v>26</v>
      </c>
      <c r="B757" s="11" t="s">
        <v>451</v>
      </c>
      <c r="C757" s="11">
        <v>0.12847222222222221</v>
      </c>
      <c r="D757" s="11" t="s">
        <v>28</v>
      </c>
      <c r="E757" s="11" t="s">
        <v>639</v>
      </c>
      <c r="F757" s="11" t="s">
        <v>515</v>
      </c>
      <c r="G757" s="328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9"/>
    </row>
    <row r="758" spans="1:18" ht="15" customHeight="1" x14ac:dyDescent="0.3">
      <c r="A758" s="10" t="s">
        <v>26</v>
      </c>
      <c r="B758" s="10" t="s">
        <v>451</v>
      </c>
      <c r="C758" s="10">
        <v>0.12847222222222221</v>
      </c>
      <c r="D758" s="10" t="s">
        <v>31</v>
      </c>
      <c r="E758" s="10" t="s">
        <v>640</v>
      </c>
      <c r="F758" s="10" t="s">
        <v>516</v>
      </c>
      <c r="G758" s="328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9"/>
    </row>
    <row r="759" spans="1:18" ht="15" customHeight="1" x14ac:dyDescent="0.3">
      <c r="A759" s="10" t="s">
        <v>26</v>
      </c>
      <c r="B759" s="10" t="s">
        <v>451</v>
      </c>
      <c r="C759" s="10">
        <v>0.12847222222222221</v>
      </c>
      <c r="D759" s="10" t="s">
        <v>34</v>
      </c>
      <c r="E759" s="10" t="s">
        <v>640</v>
      </c>
      <c r="F759" s="10" t="s">
        <v>35</v>
      </c>
      <c r="G759" s="328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9"/>
    </row>
    <row r="760" spans="1:18" ht="15" customHeight="1" x14ac:dyDescent="0.3">
      <c r="A760" s="26" t="s">
        <v>26</v>
      </c>
      <c r="B760" s="26" t="s">
        <v>453</v>
      </c>
      <c r="C760" s="26">
        <v>0.30208333333333331</v>
      </c>
      <c r="D760" s="26" t="s">
        <v>28</v>
      </c>
      <c r="E760" s="26" t="s">
        <v>641</v>
      </c>
      <c r="F760" s="26" t="s">
        <v>515</v>
      </c>
      <c r="G760" s="328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9"/>
    </row>
    <row r="761" spans="1:18" ht="15" customHeight="1" x14ac:dyDescent="0.3">
      <c r="A761" s="10" t="s">
        <v>26</v>
      </c>
      <c r="B761" s="10" t="s">
        <v>453</v>
      </c>
      <c r="C761" s="10">
        <v>0.30208333333333331</v>
      </c>
      <c r="D761" s="10" t="s">
        <v>31</v>
      </c>
      <c r="E761" s="10" t="s">
        <v>181</v>
      </c>
      <c r="F761" s="10" t="s">
        <v>516</v>
      </c>
      <c r="G761" s="328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9"/>
    </row>
    <row r="762" spans="1:18" ht="15" customHeight="1" x14ac:dyDescent="0.3">
      <c r="A762" s="10" t="s">
        <v>26</v>
      </c>
      <c r="B762" s="10" t="s">
        <v>453</v>
      </c>
      <c r="C762" s="10">
        <v>0.30208333333333331</v>
      </c>
      <c r="D762" s="10" t="s">
        <v>34</v>
      </c>
      <c r="E762" s="10" t="s">
        <v>181</v>
      </c>
      <c r="F762" s="10" t="s">
        <v>35</v>
      </c>
      <c r="G762" s="328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9"/>
    </row>
    <row r="763" spans="1:18" ht="15" customHeight="1" x14ac:dyDescent="0.3">
      <c r="A763" s="26" t="s">
        <v>26</v>
      </c>
      <c r="B763" s="26" t="s">
        <v>454</v>
      </c>
      <c r="C763" s="26">
        <v>0.88888888888888884</v>
      </c>
      <c r="D763" s="26" t="s">
        <v>28</v>
      </c>
      <c r="E763" s="26" t="s">
        <v>90</v>
      </c>
      <c r="F763" s="26" t="s">
        <v>498</v>
      </c>
      <c r="G763" s="328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9"/>
    </row>
    <row r="764" spans="1:18" ht="15" customHeight="1" x14ac:dyDescent="0.3">
      <c r="A764" s="10" t="s">
        <v>26</v>
      </c>
      <c r="B764" s="10" t="s">
        <v>454</v>
      </c>
      <c r="C764" s="10">
        <v>0.88888888888888884</v>
      </c>
      <c r="D764" s="10" t="s">
        <v>31</v>
      </c>
      <c r="E764" s="10" t="s">
        <v>92</v>
      </c>
      <c r="F764" s="10" t="s">
        <v>499</v>
      </c>
      <c r="G764" s="328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9"/>
    </row>
    <row r="765" spans="1:18" ht="15" customHeight="1" x14ac:dyDescent="0.3">
      <c r="A765" s="10" t="s">
        <v>26</v>
      </c>
      <c r="B765" s="10" t="s">
        <v>454</v>
      </c>
      <c r="C765" s="10">
        <v>0.88888888888888884</v>
      </c>
      <c r="D765" s="10" t="s">
        <v>34</v>
      </c>
      <c r="E765" s="10" t="s">
        <v>92</v>
      </c>
      <c r="F765" s="10" t="s">
        <v>35</v>
      </c>
      <c r="G765" s="328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9"/>
    </row>
    <row r="766" spans="1:18" ht="15" customHeight="1" x14ac:dyDescent="0.3">
      <c r="A766" s="26" t="s">
        <v>26</v>
      </c>
      <c r="B766" s="26" t="s">
        <v>455</v>
      </c>
      <c r="C766" s="26">
        <v>0.78819444444444453</v>
      </c>
      <c r="D766" s="26" t="s">
        <v>28</v>
      </c>
      <c r="E766" s="26" t="s">
        <v>599</v>
      </c>
      <c r="F766" s="26" t="s">
        <v>498</v>
      </c>
      <c r="G766" s="328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9"/>
    </row>
    <row r="767" spans="1:18" ht="15" customHeight="1" x14ac:dyDescent="0.3">
      <c r="A767" s="10" t="s">
        <v>26</v>
      </c>
      <c r="B767" s="10" t="s">
        <v>455</v>
      </c>
      <c r="C767" s="10">
        <v>0.78819444444444453</v>
      </c>
      <c r="D767" s="10" t="s">
        <v>31</v>
      </c>
      <c r="E767" s="10" t="s">
        <v>600</v>
      </c>
      <c r="F767" s="10" t="s">
        <v>499</v>
      </c>
      <c r="G767" s="328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9"/>
    </row>
    <row r="768" spans="1:18" ht="15" customHeight="1" x14ac:dyDescent="0.3">
      <c r="A768" s="10" t="s">
        <v>26</v>
      </c>
      <c r="B768" s="10" t="s">
        <v>455</v>
      </c>
      <c r="C768" s="10">
        <v>0.78819444444444453</v>
      </c>
      <c r="D768" s="10" t="s">
        <v>34</v>
      </c>
      <c r="E768" s="10" t="s">
        <v>600</v>
      </c>
      <c r="F768" s="10" t="s">
        <v>35</v>
      </c>
      <c r="G768" s="328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9"/>
    </row>
    <row r="769" spans="1:18" ht="15" customHeight="1" x14ac:dyDescent="0.3">
      <c r="A769" s="11" t="s">
        <v>404</v>
      </c>
      <c r="B769" s="11" t="s">
        <v>405</v>
      </c>
      <c r="C769" s="11">
        <v>0.27083333333333331</v>
      </c>
      <c r="D769" s="11" t="s">
        <v>406</v>
      </c>
      <c r="E769" s="11" t="s">
        <v>47</v>
      </c>
      <c r="F769" s="11" t="s">
        <v>407</v>
      </c>
      <c r="G769" s="328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9"/>
    </row>
    <row r="770" spans="1:18" ht="15" customHeight="1" x14ac:dyDescent="0.3">
      <c r="A770" s="44" t="s">
        <v>44</v>
      </c>
      <c r="B770" s="44" t="s">
        <v>517</v>
      </c>
      <c r="C770" s="44">
        <v>0.2361111111111111</v>
      </c>
      <c r="D770" s="44" t="s">
        <v>46</v>
      </c>
      <c r="E770" s="44" t="s">
        <v>29</v>
      </c>
      <c r="F770" s="44" t="s">
        <v>416</v>
      </c>
      <c r="G770" s="328"/>
      <c r="H770" s="45" t="s">
        <v>518</v>
      </c>
      <c r="I770" s="191">
        <v>0.3352</v>
      </c>
      <c r="J770" s="47">
        <v>60</v>
      </c>
      <c r="K770" s="48" t="s">
        <v>50</v>
      </c>
      <c r="L770" s="47">
        <v>12</v>
      </c>
      <c r="M770" s="47">
        <v>0</v>
      </c>
      <c r="N770" s="47">
        <v>1</v>
      </c>
      <c r="O770" s="48" t="s">
        <v>263</v>
      </c>
      <c r="P770" s="48">
        <v>0.2361111111111111</v>
      </c>
      <c r="Q770" s="47">
        <v>179</v>
      </c>
      <c r="R770" s="49" t="s">
        <v>642</v>
      </c>
    </row>
    <row r="771" spans="1:18" ht="15" customHeight="1" x14ac:dyDescent="0.3">
      <c r="A771" s="57" t="s">
        <v>44</v>
      </c>
      <c r="B771" s="57" t="s">
        <v>415</v>
      </c>
      <c r="C771" s="57">
        <v>0.33333333333333331</v>
      </c>
      <c r="D771" s="57" t="s">
        <v>46</v>
      </c>
      <c r="E771" s="57" t="s">
        <v>97</v>
      </c>
      <c r="F771" s="57" t="s">
        <v>426</v>
      </c>
      <c r="G771" s="328"/>
      <c r="H771" s="58" t="s">
        <v>417</v>
      </c>
      <c r="I771" s="59">
        <v>0.86029999999999995</v>
      </c>
      <c r="J771" s="60">
        <v>154</v>
      </c>
      <c r="K771" s="61" t="s">
        <v>175</v>
      </c>
      <c r="L771" s="60">
        <v>34</v>
      </c>
      <c r="M771" s="60">
        <v>1</v>
      </c>
      <c r="N771" s="60">
        <v>4</v>
      </c>
      <c r="O771" s="61" t="s">
        <v>643</v>
      </c>
      <c r="P771" s="61">
        <v>0.33333333333333331</v>
      </c>
      <c r="Q771" s="60">
        <v>179</v>
      </c>
      <c r="R771" s="62" t="s">
        <v>644</v>
      </c>
    </row>
    <row r="772" spans="1:18" ht="15" customHeight="1" x14ac:dyDescent="0.3">
      <c r="A772" s="81" t="s">
        <v>44</v>
      </c>
      <c r="B772" s="81" t="s">
        <v>427</v>
      </c>
      <c r="C772" s="81">
        <v>0.68055555555555547</v>
      </c>
      <c r="D772" s="81" t="s">
        <v>61</v>
      </c>
      <c r="E772" s="81"/>
      <c r="F772" s="81" t="s">
        <v>62</v>
      </c>
      <c r="G772" s="328"/>
      <c r="H772" s="82" t="s">
        <v>427</v>
      </c>
      <c r="I772" s="83">
        <v>1.0223</v>
      </c>
      <c r="J772" s="84">
        <v>183</v>
      </c>
      <c r="K772" s="85" t="s">
        <v>433</v>
      </c>
      <c r="L772" s="84">
        <v>46</v>
      </c>
      <c r="M772" s="84">
        <v>0</v>
      </c>
      <c r="N772" s="84">
        <v>0</v>
      </c>
      <c r="O772" s="85" t="s">
        <v>64</v>
      </c>
      <c r="P772" s="85">
        <v>0.68055555555555547</v>
      </c>
      <c r="Q772" s="84">
        <v>179</v>
      </c>
      <c r="R772" s="86" t="s">
        <v>645</v>
      </c>
    </row>
    <row r="773" spans="1:18" ht="15" customHeight="1" x14ac:dyDescent="0.3">
      <c r="A773" s="11" t="s">
        <v>410</v>
      </c>
      <c r="B773" s="11" t="s">
        <v>413</v>
      </c>
      <c r="C773" s="11">
        <v>0.66666666666666663</v>
      </c>
      <c r="D773" s="11" t="s">
        <v>406</v>
      </c>
      <c r="E773" s="11" t="s">
        <v>81</v>
      </c>
      <c r="F773" s="11" t="s">
        <v>414</v>
      </c>
      <c r="G773" s="328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9"/>
    </row>
    <row r="774" spans="1:18" ht="15" customHeight="1" x14ac:dyDescent="0.3">
      <c r="A774" s="11" t="s">
        <v>66</v>
      </c>
      <c r="B774" s="11" t="s">
        <v>488</v>
      </c>
      <c r="C774" s="11">
        <v>0.22916666666666671</v>
      </c>
      <c r="D774" s="11" t="s">
        <v>68</v>
      </c>
      <c r="E774" s="11" t="s">
        <v>47</v>
      </c>
      <c r="F774" s="11" t="s">
        <v>607</v>
      </c>
      <c r="G774" s="328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9"/>
    </row>
    <row r="775" spans="1:18" ht="15" customHeight="1" x14ac:dyDescent="0.3">
      <c r="A775" s="26" t="s">
        <v>66</v>
      </c>
      <c r="B775" s="26" t="s">
        <v>505</v>
      </c>
      <c r="C775" s="26">
        <v>0.14583333333333329</v>
      </c>
      <c r="D775" s="26" t="s">
        <v>68</v>
      </c>
      <c r="E775" s="26" t="s">
        <v>71</v>
      </c>
      <c r="F775" s="26" t="s">
        <v>607</v>
      </c>
      <c r="G775" s="328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9"/>
    </row>
    <row r="776" spans="1:18" ht="15" customHeight="1" x14ac:dyDescent="0.3">
      <c r="A776" s="26" t="s">
        <v>66</v>
      </c>
      <c r="B776" s="26" t="s">
        <v>490</v>
      </c>
      <c r="C776" s="26">
        <v>0.27777777777777779</v>
      </c>
      <c r="D776" s="26" t="s">
        <v>68</v>
      </c>
      <c r="E776" s="26" t="s">
        <v>71</v>
      </c>
      <c r="F776" s="26" t="s">
        <v>607</v>
      </c>
      <c r="G776" s="328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9"/>
    </row>
    <row r="777" spans="1:18" ht="15" customHeight="1" x14ac:dyDescent="0.3">
      <c r="A777" s="26" t="s">
        <v>66</v>
      </c>
      <c r="B777" s="26" t="s">
        <v>485</v>
      </c>
      <c r="C777" s="26">
        <v>0.4861111111111111</v>
      </c>
      <c r="D777" s="26" t="s">
        <v>68</v>
      </c>
      <c r="E777" s="26" t="s">
        <v>71</v>
      </c>
      <c r="F777" s="26" t="s">
        <v>510</v>
      </c>
      <c r="G777" s="328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9"/>
    </row>
    <row r="778" spans="1:18" ht="15" customHeight="1" x14ac:dyDescent="0.3">
      <c r="A778" s="26" t="s">
        <v>66</v>
      </c>
      <c r="B778" s="26" t="s">
        <v>487</v>
      </c>
      <c r="C778" s="26">
        <v>0.50694444444444442</v>
      </c>
      <c r="D778" s="26" t="s">
        <v>68</v>
      </c>
      <c r="E778" s="26" t="s">
        <v>71</v>
      </c>
      <c r="F778" s="26" t="s">
        <v>493</v>
      </c>
      <c r="G778" s="328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9"/>
    </row>
    <row r="779" spans="1:18" ht="15" customHeight="1" x14ac:dyDescent="0.3">
      <c r="A779" s="26" t="s">
        <v>66</v>
      </c>
      <c r="B779" s="26" t="s">
        <v>509</v>
      </c>
      <c r="C779" s="26">
        <v>1.388888888888889E-2</v>
      </c>
      <c r="D779" s="26" t="s">
        <v>68</v>
      </c>
      <c r="E779" s="26" t="s">
        <v>87</v>
      </c>
      <c r="F779" s="26" t="s">
        <v>557</v>
      </c>
      <c r="G779" s="328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9"/>
    </row>
    <row r="780" spans="1:18" ht="15" customHeight="1" x14ac:dyDescent="0.3">
      <c r="A780" s="11" t="s">
        <v>78</v>
      </c>
      <c r="B780" s="11" t="s">
        <v>461</v>
      </c>
      <c r="C780" s="11">
        <v>0.24305555555555561</v>
      </c>
      <c r="D780" s="11" t="s">
        <v>80</v>
      </c>
      <c r="E780" s="11" t="s">
        <v>47</v>
      </c>
      <c r="F780" s="11" t="s">
        <v>462</v>
      </c>
      <c r="G780" s="328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9"/>
    </row>
    <row r="781" spans="1:18" ht="15" customHeight="1" x14ac:dyDescent="0.3">
      <c r="A781" s="10" t="s">
        <v>78</v>
      </c>
      <c r="B781" s="10" t="s">
        <v>461</v>
      </c>
      <c r="C781" s="10">
        <v>0.24305555555555561</v>
      </c>
      <c r="D781" s="10" t="s">
        <v>83</v>
      </c>
      <c r="E781" s="10" t="s">
        <v>95</v>
      </c>
      <c r="F781" s="10" t="s">
        <v>463</v>
      </c>
      <c r="G781" s="328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9"/>
    </row>
    <row r="782" spans="1:18" ht="15" customHeight="1" x14ac:dyDescent="0.3">
      <c r="A782" s="26" t="s">
        <v>78</v>
      </c>
      <c r="B782" s="26" t="s">
        <v>469</v>
      </c>
      <c r="C782" s="26">
        <v>0.37847222222222232</v>
      </c>
      <c r="D782" s="26" t="s">
        <v>80</v>
      </c>
      <c r="E782" s="26" t="s">
        <v>71</v>
      </c>
      <c r="F782" s="26" t="s">
        <v>465</v>
      </c>
      <c r="G782" s="328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9"/>
    </row>
    <row r="783" spans="1:18" ht="15" customHeight="1" x14ac:dyDescent="0.3">
      <c r="A783" s="10" t="s">
        <v>78</v>
      </c>
      <c r="B783" s="10" t="s">
        <v>469</v>
      </c>
      <c r="C783" s="10">
        <v>0.37847222222222232</v>
      </c>
      <c r="D783" s="10" t="s">
        <v>83</v>
      </c>
      <c r="E783" s="10" t="s">
        <v>95</v>
      </c>
      <c r="F783" s="10" t="s">
        <v>466</v>
      </c>
      <c r="G783" s="328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9"/>
    </row>
    <row r="784" spans="1:18" ht="15" customHeight="1" x14ac:dyDescent="0.3">
      <c r="A784" s="26" t="s">
        <v>78</v>
      </c>
      <c r="B784" s="26" t="s">
        <v>475</v>
      </c>
      <c r="C784" s="26">
        <v>0.30208333333333331</v>
      </c>
      <c r="D784" s="26" t="s">
        <v>83</v>
      </c>
      <c r="E784" s="26" t="s">
        <v>87</v>
      </c>
      <c r="F784" s="26" t="s">
        <v>535</v>
      </c>
      <c r="G784" s="328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9"/>
    </row>
    <row r="785" spans="1:18" ht="15" customHeight="1" x14ac:dyDescent="0.3">
      <c r="A785" s="26" t="s">
        <v>78</v>
      </c>
      <c r="B785" s="26" t="s">
        <v>476</v>
      </c>
      <c r="C785" s="26">
        <v>0.12847222222222221</v>
      </c>
      <c r="D785" s="26" t="s">
        <v>83</v>
      </c>
      <c r="E785" s="26" t="s">
        <v>87</v>
      </c>
      <c r="F785" s="26" t="s">
        <v>535</v>
      </c>
      <c r="G785" s="328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9"/>
    </row>
    <row r="786" spans="1:18" ht="15" customHeight="1" x14ac:dyDescent="0.3">
      <c r="A786" s="26" t="s">
        <v>78</v>
      </c>
      <c r="B786" s="26" t="s">
        <v>464</v>
      </c>
      <c r="C786" s="26">
        <v>6.9444444444444441E-3</v>
      </c>
      <c r="D786" s="26" t="s">
        <v>80</v>
      </c>
      <c r="E786" s="26" t="s">
        <v>71</v>
      </c>
      <c r="F786" s="26" t="s">
        <v>511</v>
      </c>
      <c r="G786" s="328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9"/>
    </row>
    <row r="787" spans="1:18" ht="15" customHeight="1" x14ac:dyDescent="0.3">
      <c r="A787" s="10" t="s">
        <v>78</v>
      </c>
      <c r="B787" s="10" t="s">
        <v>464</v>
      </c>
      <c r="C787" s="10">
        <v>6.9444444444444441E-3</v>
      </c>
      <c r="D787" s="10" t="s">
        <v>83</v>
      </c>
      <c r="E787" s="10" t="s">
        <v>95</v>
      </c>
      <c r="F787" s="10" t="s">
        <v>512</v>
      </c>
      <c r="G787" s="328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9"/>
    </row>
    <row r="788" spans="1:18" ht="15" customHeight="1" x14ac:dyDescent="0.3">
      <c r="A788" s="26" t="s">
        <v>78</v>
      </c>
      <c r="B788" s="26" t="s">
        <v>467</v>
      </c>
      <c r="C788" s="26">
        <v>0.1423611111111111</v>
      </c>
      <c r="D788" s="26" t="s">
        <v>80</v>
      </c>
      <c r="E788" s="26" t="s">
        <v>54</v>
      </c>
      <c r="F788" s="26" t="s">
        <v>511</v>
      </c>
      <c r="G788" s="328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9"/>
    </row>
    <row r="789" spans="1:18" ht="15" customHeight="1" x14ac:dyDescent="0.3">
      <c r="A789" s="10" t="s">
        <v>78</v>
      </c>
      <c r="B789" s="10" t="s">
        <v>467</v>
      </c>
      <c r="C789" s="10">
        <v>0.1423611111111111</v>
      </c>
      <c r="D789" s="10" t="s">
        <v>83</v>
      </c>
      <c r="E789" s="10" t="s">
        <v>161</v>
      </c>
      <c r="F789" s="10" t="s">
        <v>512</v>
      </c>
      <c r="G789" s="328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9"/>
    </row>
    <row r="790" spans="1:18" ht="15" customHeight="1" x14ac:dyDescent="0.3">
      <c r="A790" s="26" t="s">
        <v>78</v>
      </c>
      <c r="B790" s="26" t="s">
        <v>468</v>
      </c>
      <c r="C790" s="26">
        <v>0.93055555555555547</v>
      </c>
      <c r="D790" s="26" t="s">
        <v>80</v>
      </c>
      <c r="E790" s="26" t="s">
        <v>113</v>
      </c>
      <c r="F790" s="26" t="s">
        <v>511</v>
      </c>
      <c r="G790" s="328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9"/>
    </row>
    <row r="791" spans="1:18" ht="15" customHeight="1" x14ac:dyDescent="0.3">
      <c r="A791" s="10" t="s">
        <v>78</v>
      </c>
      <c r="B791" s="10" t="s">
        <v>468</v>
      </c>
      <c r="C791" s="10">
        <v>0.93055555555555547</v>
      </c>
      <c r="D791" s="10" t="s">
        <v>83</v>
      </c>
      <c r="E791" s="10" t="s">
        <v>136</v>
      </c>
      <c r="F791" s="10" t="s">
        <v>512</v>
      </c>
      <c r="G791" s="328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9"/>
    </row>
    <row r="792" spans="1:18" ht="15" customHeight="1" x14ac:dyDescent="0.3">
      <c r="A792" s="26" t="s">
        <v>78</v>
      </c>
      <c r="B792" s="26" t="s">
        <v>470</v>
      </c>
      <c r="C792" s="26">
        <v>0.71875</v>
      </c>
      <c r="D792" s="26" t="s">
        <v>80</v>
      </c>
      <c r="E792" s="26" t="s">
        <v>71</v>
      </c>
      <c r="F792" s="26" t="s">
        <v>511</v>
      </c>
      <c r="G792" s="328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9"/>
    </row>
    <row r="793" spans="1:18" ht="15" customHeight="1" x14ac:dyDescent="0.3">
      <c r="A793" s="10" t="s">
        <v>78</v>
      </c>
      <c r="B793" s="10" t="s">
        <v>470</v>
      </c>
      <c r="C793" s="10">
        <v>0.71875</v>
      </c>
      <c r="D793" s="10" t="s">
        <v>83</v>
      </c>
      <c r="E793" s="10" t="s">
        <v>95</v>
      </c>
      <c r="F793" s="10" t="s">
        <v>512</v>
      </c>
      <c r="G793" s="328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9"/>
    </row>
    <row r="794" spans="1:18" ht="15" customHeight="1" x14ac:dyDescent="0.3">
      <c r="A794" s="26" t="s">
        <v>78</v>
      </c>
      <c r="B794" s="26" t="s">
        <v>477</v>
      </c>
      <c r="C794" s="26">
        <v>0.82986111111111116</v>
      </c>
      <c r="D794" s="26" t="s">
        <v>80</v>
      </c>
      <c r="E794" s="26" t="s">
        <v>71</v>
      </c>
      <c r="F794" s="26" t="s">
        <v>511</v>
      </c>
      <c r="G794" s="328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9"/>
    </row>
    <row r="795" spans="1:18" ht="15" customHeight="1" x14ac:dyDescent="0.3">
      <c r="A795" s="10" t="s">
        <v>78</v>
      </c>
      <c r="B795" s="10" t="s">
        <v>477</v>
      </c>
      <c r="C795" s="10">
        <v>0.82986111111111116</v>
      </c>
      <c r="D795" s="10" t="s">
        <v>83</v>
      </c>
      <c r="E795" s="10" t="s">
        <v>95</v>
      </c>
      <c r="F795" s="10" t="s">
        <v>512</v>
      </c>
      <c r="G795" s="328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9"/>
    </row>
    <row r="796" spans="1:18" ht="15" customHeight="1" x14ac:dyDescent="0.3">
      <c r="A796" s="26" t="s">
        <v>78</v>
      </c>
      <c r="B796" s="26" t="s">
        <v>482</v>
      </c>
      <c r="C796" s="26">
        <v>0.61111111111111105</v>
      </c>
      <c r="D796" s="26" t="s">
        <v>80</v>
      </c>
      <c r="E796" s="26" t="s">
        <v>87</v>
      </c>
      <c r="F796" s="26" t="s">
        <v>511</v>
      </c>
      <c r="G796" s="328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9"/>
    </row>
    <row r="797" spans="1:18" ht="15" customHeight="1" x14ac:dyDescent="0.3">
      <c r="A797" s="10" t="s">
        <v>78</v>
      </c>
      <c r="B797" s="10" t="s">
        <v>482</v>
      </c>
      <c r="C797" s="10">
        <v>0.61111111111111105</v>
      </c>
      <c r="D797" s="10" t="s">
        <v>83</v>
      </c>
      <c r="E797" s="10" t="s">
        <v>32</v>
      </c>
      <c r="F797" s="10" t="s">
        <v>512</v>
      </c>
      <c r="G797" s="328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9"/>
    </row>
    <row r="798" spans="1:18" ht="15" customHeight="1" x14ac:dyDescent="0.3">
      <c r="A798" s="26" t="s">
        <v>78</v>
      </c>
      <c r="B798" s="26" t="s">
        <v>473</v>
      </c>
      <c r="C798" s="26">
        <v>0.88888888888888884</v>
      </c>
      <c r="D798" s="26" t="s">
        <v>83</v>
      </c>
      <c r="E798" s="26" t="s">
        <v>87</v>
      </c>
      <c r="F798" s="26" t="s">
        <v>474</v>
      </c>
      <c r="G798" s="328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9"/>
    </row>
    <row r="799" spans="1:18" ht="15" customHeight="1" x14ac:dyDescent="0.3">
      <c r="A799" s="31" t="s">
        <v>78</v>
      </c>
      <c r="B799" s="31" t="s">
        <v>480</v>
      </c>
      <c r="C799" s="31">
        <v>0.78819444444444453</v>
      </c>
      <c r="D799" s="31" t="s">
        <v>83</v>
      </c>
      <c r="E799" s="31" t="s">
        <v>87</v>
      </c>
      <c r="F799" s="31" t="s">
        <v>474</v>
      </c>
      <c r="G799" s="328"/>
      <c r="H799" s="28"/>
      <c r="I799" s="29"/>
      <c r="J799" s="29"/>
      <c r="K799" s="29"/>
      <c r="L799" s="29"/>
      <c r="M799" s="29"/>
      <c r="N799" s="29"/>
      <c r="O799" s="29"/>
      <c r="P799" s="29"/>
      <c r="Q799" s="29"/>
      <c r="R799" s="30"/>
    </row>
    <row r="800" spans="1:18" ht="17.399999999999999" customHeight="1" x14ac:dyDescent="0.3">
      <c r="A800" s="360"/>
      <c r="B800" s="361"/>
      <c r="C800" s="361"/>
      <c r="D800" s="361"/>
      <c r="E800" s="361"/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2"/>
    </row>
    <row r="801" spans="1:18" ht="22.05" customHeight="1" x14ac:dyDescent="0.3">
      <c r="A801" s="323" t="s">
        <v>6</v>
      </c>
      <c r="B801" s="324"/>
      <c r="C801" s="324"/>
      <c r="D801" s="324"/>
      <c r="E801" s="324"/>
      <c r="F801" s="324"/>
      <c r="G801" s="2">
        <v>45998</v>
      </c>
      <c r="H801" s="323" t="s">
        <v>7</v>
      </c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</row>
    <row r="802" spans="1:18" ht="24" customHeight="1" x14ac:dyDescent="0.3">
      <c r="A802" s="3" t="s">
        <v>8</v>
      </c>
      <c r="B802" s="3" t="s">
        <v>9</v>
      </c>
      <c r="C802" s="3" t="s">
        <v>10</v>
      </c>
      <c r="D802" s="3" t="s">
        <v>11</v>
      </c>
      <c r="E802" s="3" t="s">
        <v>12</v>
      </c>
      <c r="F802" s="4" t="s">
        <v>13</v>
      </c>
      <c r="G802" s="5" t="s">
        <v>14</v>
      </c>
      <c r="H802" s="3" t="s">
        <v>15</v>
      </c>
      <c r="I802" s="3" t="s">
        <v>16</v>
      </c>
      <c r="J802" s="3" t="s">
        <v>17</v>
      </c>
      <c r="K802" s="3" t="s">
        <v>18</v>
      </c>
      <c r="L802" s="3" t="s">
        <v>19</v>
      </c>
      <c r="M802" s="3" t="s">
        <v>20</v>
      </c>
      <c r="N802" s="3" t="s">
        <v>21</v>
      </c>
      <c r="O802" s="3" t="s">
        <v>22</v>
      </c>
      <c r="P802" s="3" t="s">
        <v>23</v>
      </c>
      <c r="Q802" s="3" t="s">
        <v>24</v>
      </c>
      <c r="R802" s="3" t="s">
        <v>25</v>
      </c>
    </row>
    <row r="803" spans="1:18" ht="15" customHeight="1" x14ac:dyDescent="0.3">
      <c r="A803" s="6" t="s">
        <v>36</v>
      </c>
      <c r="B803" s="6" t="s">
        <v>442</v>
      </c>
      <c r="C803" s="6">
        <v>0.25694444444444448</v>
      </c>
      <c r="D803" s="6" t="s">
        <v>38</v>
      </c>
      <c r="E803" s="6" t="s">
        <v>123</v>
      </c>
      <c r="F803" s="6" t="s">
        <v>620</v>
      </c>
      <c r="G803" s="328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9"/>
    </row>
    <row r="804" spans="1:18" ht="15" customHeight="1" x14ac:dyDescent="0.3">
      <c r="A804" s="10" t="s">
        <v>36</v>
      </c>
      <c r="B804" s="10" t="s">
        <v>442</v>
      </c>
      <c r="C804" s="10">
        <v>0.25694444444444448</v>
      </c>
      <c r="D804" s="10" t="s">
        <v>40</v>
      </c>
      <c r="E804" s="10" t="s">
        <v>124</v>
      </c>
      <c r="F804" s="10" t="s">
        <v>621</v>
      </c>
      <c r="G804" s="328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9"/>
    </row>
    <row r="805" spans="1:18" ht="15" customHeight="1" x14ac:dyDescent="0.3">
      <c r="A805" s="10" t="s">
        <v>36</v>
      </c>
      <c r="B805" s="10" t="s">
        <v>442</v>
      </c>
      <c r="C805" s="10">
        <v>0.25694444444444448</v>
      </c>
      <c r="D805" s="10" t="s">
        <v>42</v>
      </c>
      <c r="E805" s="10" t="s">
        <v>124</v>
      </c>
      <c r="F805" s="10" t="s">
        <v>622</v>
      </c>
      <c r="G805" s="328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9"/>
    </row>
    <row r="806" spans="1:18" ht="15" customHeight="1" x14ac:dyDescent="0.3">
      <c r="A806" s="26" t="s">
        <v>36</v>
      </c>
      <c r="B806" s="26" t="s">
        <v>443</v>
      </c>
      <c r="C806" s="26">
        <v>0.30208333333333331</v>
      </c>
      <c r="D806" s="26" t="s">
        <v>38</v>
      </c>
      <c r="E806" s="26" t="s">
        <v>54</v>
      </c>
      <c r="F806" s="26" t="s">
        <v>583</v>
      </c>
      <c r="G806" s="328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9"/>
    </row>
    <row r="807" spans="1:18" ht="15" customHeight="1" x14ac:dyDescent="0.3">
      <c r="A807" s="10" t="s">
        <v>36</v>
      </c>
      <c r="B807" s="10" t="s">
        <v>443</v>
      </c>
      <c r="C807" s="10">
        <v>0.30208333333333331</v>
      </c>
      <c r="D807" s="10" t="s">
        <v>40</v>
      </c>
      <c r="E807" s="10" t="s">
        <v>161</v>
      </c>
      <c r="F807" s="10" t="s">
        <v>531</v>
      </c>
      <c r="G807" s="328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9"/>
    </row>
    <row r="808" spans="1:18" ht="15" customHeight="1" x14ac:dyDescent="0.3">
      <c r="A808" s="10" t="s">
        <v>36</v>
      </c>
      <c r="B808" s="10" t="s">
        <v>443</v>
      </c>
      <c r="C808" s="10">
        <v>0.30208333333333331</v>
      </c>
      <c r="D808" s="10" t="s">
        <v>42</v>
      </c>
      <c r="E808" s="10" t="s">
        <v>161</v>
      </c>
      <c r="F808" s="10" t="s">
        <v>30</v>
      </c>
      <c r="G808" s="328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9"/>
    </row>
    <row r="809" spans="1:18" ht="15" customHeight="1" x14ac:dyDescent="0.3">
      <c r="A809" s="26" t="s">
        <v>36</v>
      </c>
      <c r="B809" s="26" t="s">
        <v>447</v>
      </c>
      <c r="C809" s="26">
        <v>0.39583333333333331</v>
      </c>
      <c r="D809" s="26" t="s">
        <v>38</v>
      </c>
      <c r="E809" s="26" t="s">
        <v>90</v>
      </c>
      <c r="F809" s="26" t="s">
        <v>583</v>
      </c>
      <c r="G809" s="328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9"/>
    </row>
    <row r="810" spans="1:18" ht="15" customHeight="1" x14ac:dyDescent="0.3">
      <c r="A810" s="10" t="s">
        <v>36</v>
      </c>
      <c r="B810" s="10" t="s">
        <v>447</v>
      </c>
      <c r="C810" s="10">
        <v>0.39583333333333331</v>
      </c>
      <c r="D810" s="10" t="s">
        <v>40</v>
      </c>
      <c r="E810" s="10" t="s">
        <v>92</v>
      </c>
      <c r="F810" s="10" t="s">
        <v>531</v>
      </c>
      <c r="G810" s="328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9"/>
    </row>
    <row r="811" spans="1:18" ht="15" customHeight="1" x14ac:dyDescent="0.3">
      <c r="A811" s="10" t="s">
        <v>36</v>
      </c>
      <c r="B811" s="10" t="s">
        <v>447</v>
      </c>
      <c r="C811" s="10">
        <v>0.39583333333333331</v>
      </c>
      <c r="D811" s="10" t="s">
        <v>42</v>
      </c>
      <c r="E811" s="10" t="s">
        <v>92</v>
      </c>
      <c r="F811" s="10" t="s">
        <v>30</v>
      </c>
      <c r="G811" s="328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9"/>
    </row>
    <row r="812" spans="1:18" ht="15" customHeight="1" x14ac:dyDescent="0.3">
      <c r="A812" s="26" t="s">
        <v>36</v>
      </c>
      <c r="B812" s="26" t="s">
        <v>438</v>
      </c>
      <c r="C812" s="26">
        <v>0.85416666666666663</v>
      </c>
      <c r="D812" s="26" t="s">
        <v>38</v>
      </c>
      <c r="E812" s="26" t="s">
        <v>54</v>
      </c>
      <c r="F812" s="26" t="s">
        <v>530</v>
      </c>
      <c r="G812" s="328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9"/>
    </row>
    <row r="813" spans="1:18" ht="15" customHeight="1" x14ac:dyDescent="0.3">
      <c r="A813" s="10" t="s">
        <v>36</v>
      </c>
      <c r="B813" s="10" t="s">
        <v>438</v>
      </c>
      <c r="C813" s="10">
        <v>0.85416666666666663</v>
      </c>
      <c r="D813" s="10" t="s">
        <v>40</v>
      </c>
      <c r="E813" s="10" t="s">
        <v>161</v>
      </c>
      <c r="F813" s="10" t="s">
        <v>514</v>
      </c>
      <c r="G813" s="328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9"/>
    </row>
    <row r="814" spans="1:18" ht="15" customHeight="1" x14ac:dyDescent="0.3">
      <c r="A814" s="10" t="s">
        <v>36</v>
      </c>
      <c r="B814" s="10" t="s">
        <v>438</v>
      </c>
      <c r="C814" s="10">
        <v>0.85416666666666663</v>
      </c>
      <c r="D814" s="10" t="s">
        <v>42</v>
      </c>
      <c r="E814" s="10" t="s">
        <v>161</v>
      </c>
      <c r="F814" s="10" t="s">
        <v>414</v>
      </c>
      <c r="G814" s="328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9"/>
    </row>
    <row r="815" spans="1:18" ht="15" customHeight="1" x14ac:dyDescent="0.3">
      <c r="A815" s="26" t="s">
        <v>36</v>
      </c>
      <c r="B815" s="26" t="s">
        <v>435</v>
      </c>
      <c r="C815" s="26">
        <v>0.90277777777777779</v>
      </c>
      <c r="D815" s="26" t="s">
        <v>38</v>
      </c>
      <c r="E815" s="26" t="s">
        <v>74</v>
      </c>
      <c r="F815" s="26" t="s">
        <v>530</v>
      </c>
      <c r="G815" s="328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9"/>
    </row>
    <row r="816" spans="1:18" ht="15" customHeight="1" x14ac:dyDescent="0.3">
      <c r="A816" s="10" t="s">
        <v>36</v>
      </c>
      <c r="B816" s="10" t="s">
        <v>435</v>
      </c>
      <c r="C816" s="10">
        <v>0.90277777777777779</v>
      </c>
      <c r="D816" s="10" t="s">
        <v>40</v>
      </c>
      <c r="E816" s="10" t="s">
        <v>122</v>
      </c>
      <c r="F816" s="10" t="s">
        <v>514</v>
      </c>
      <c r="G816" s="328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9"/>
    </row>
    <row r="817" spans="1:18" ht="15" customHeight="1" x14ac:dyDescent="0.3">
      <c r="A817" s="10" t="s">
        <v>36</v>
      </c>
      <c r="B817" s="10" t="s">
        <v>435</v>
      </c>
      <c r="C817" s="10">
        <v>0.90277777777777779</v>
      </c>
      <c r="D817" s="10" t="s">
        <v>42</v>
      </c>
      <c r="E817" s="10" t="s">
        <v>122</v>
      </c>
      <c r="F817" s="10" t="s">
        <v>414</v>
      </c>
      <c r="G817" s="328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9"/>
    </row>
    <row r="818" spans="1:18" ht="15" customHeight="1" x14ac:dyDescent="0.3">
      <c r="A818" s="26" t="s">
        <v>36</v>
      </c>
      <c r="B818" s="26" t="s">
        <v>444</v>
      </c>
      <c r="C818" s="26">
        <v>0.51736111111111105</v>
      </c>
      <c r="D818" s="26" t="s">
        <v>38</v>
      </c>
      <c r="E818" s="26" t="s">
        <v>54</v>
      </c>
      <c r="F818" s="26" t="s">
        <v>436</v>
      </c>
      <c r="G818" s="328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9"/>
    </row>
    <row r="819" spans="1:18" ht="15" customHeight="1" x14ac:dyDescent="0.3">
      <c r="A819" s="10" t="s">
        <v>36</v>
      </c>
      <c r="B819" s="10" t="s">
        <v>444</v>
      </c>
      <c r="C819" s="10">
        <v>0.51736111111111105</v>
      </c>
      <c r="D819" s="10" t="s">
        <v>40</v>
      </c>
      <c r="E819" s="10" t="s">
        <v>161</v>
      </c>
      <c r="F819" s="10" t="s">
        <v>437</v>
      </c>
      <c r="G819" s="328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9"/>
    </row>
    <row r="820" spans="1:18" ht="15" customHeight="1" x14ac:dyDescent="0.3">
      <c r="A820" s="10" t="s">
        <v>36</v>
      </c>
      <c r="B820" s="10" t="s">
        <v>444</v>
      </c>
      <c r="C820" s="10">
        <v>0.51736111111111105</v>
      </c>
      <c r="D820" s="10" t="s">
        <v>42</v>
      </c>
      <c r="E820" s="10" t="s">
        <v>161</v>
      </c>
      <c r="F820" s="10" t="s">
        <v>39</v>
      </c>
      <c r="G820" s="328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9"/>
    </row>
    <row r="821" spans="1:18" ht="15" customHeight="1" x14ac:dyDescent="0.3">
      <c r="A821" s="26" t="s">
        <v>36</v>
      </c>
      <c r="B821" s="26" t="s">
        <v>445</v>
      </c>
      <c r="C821" s="26">
        <v>0.79861111111111116</v>
      </c>
      <c r="D821" s="26" t="s">
        <v>38</v>
      </c>
      <c r="E821" s="26" t="s">
        <v>439</v>
      </c>
      <c r="F821" s="26" t="s">
        <v>436</v>
      </c>
      <c r="G821" s="328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9"/>
    </row>
    <row r="822" spans="1:18" ht="15" customHeight="1" x14ac:dyDescent="0.3">
      <c r="A822" s="10" t="s">
        <v>36</v>
      </c>
      <c r="B822" s="10" t="s">
        <v>445</v>
      </c>
      <c r="C822" s="10">
        <v>0.79861111111111116</v>
      </c>
      <c r="D822" s="10" t="s">
        <v>40</v>
      </c>
      <c r="E822" s="10" t="s">
        <v>124</v>
      </c>
      <c r="F822" s="10" t="s">
        <v>437</v>
      </c>
      <c r="G822" s="328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9"/>
    </row>
    <row r="823" spans="1:18" ht="15" customHeight="1" x14ac:dyDescent="0.3">
      <c r="A823" s="10" t="s">
        <v>36</v>
      </c>
      <c r="B823" s="10" t="s">
        <v>445</v>
      </c>
      <c r="C823" s="10">
        <v>0.79861111111111116</v>
      </c>
      <c r="D823" s="10" t="s">
        <v>42</v>
      </c>
      <c r="E823" s="10" t="s">
        <v>124</v>
      </c>
      <c r="F823" s="10" t="s">
        <v>39</v>
      </c>
      <c r="G823" s="328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9"/>
    </row>
    <row r="824" spans="1:18" ht="15" customHeight="1" x14ac:dyDescent="0.3">
      <c r="A824" s="26" t="s">
        <v>36</v>
      </c>
      <c r="B824" s="26" t="s">
        <v>446</v>
      </c>
      <c r="C824" s="26">
        <v>0.64583333333333337</v>
      </c>
      <c r="D824" s="26" t="s">
        <v>38</v>
      </c>
      <c r="E824" s="26" t="s">
        <v>74</v>
      </c>
      <c r="F824" s="26" t="s">
        <v>436</v>
      </c>
      <c r="G824" s="328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9"/>
    </row>
    <row r="825" spans="1:18" ht="15" customHeight="1" x14ac:dyDescent="0.3">
      <c r="A825" s="10" t="s">
        <v>36</v>
      </c>
      <c r="B825" s="10" t="s">
        <v>446</v>
      </c>
      <c r="C825" s="10">
        <v>0.64583333333333337</v>
      </c>
      <c r="D825" s="10" t="s">
        <v>40</v>
      </c>
      <c r="E825" s="10" t="s">
        <v>122</v>
      </c>
      <c r="F825" s="10" t="s">
        <v>437</v>
      </c>
      <c r="G825" s="328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9"/>
    </row>
    <row r="826" spans="1:18" ht="15" customHeight="1" x14ac:dyDescent="0.3">
      <c r="A826" s="10" t="s">
        <v>36</v>
      </c>
      <c r="B826" s="10" t="s">
        <v>446</v>
      </c>
      <c r="C826" s="10">
        <v>0.64583333333333337</v>
      </c>
      <c r="D826" s="10" t="s">
        <v>42</v>
      </c>
      <c r="E826" s="10" t="s">
        <v>122</v>
      </c>
      <c r="F826" s="10" t="s">
        <v>39</v>
      </c>
      <c r="G826" s="328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9"/>
    </row>
    <row r="827" spans="1:18" ht="15" customHeight="1" x14ac:dyDescent="0.3">
      <c r="A827" s="11" t="s">
        <v>26</v>
      </c>
      <c r="B827" s="11" t="s">
        <v>451</v>
      </c>
      <c r="C827" s="11">
        <v>0.12847222222222221</v>
      </c>
      <c r="D827" s="11" t="s">
        <v>28</v>
      </c>
      <c r="E827" s="11" t="s">
        <v>102</v>
      </c>
      <c r="F827" s="11" t="s">
        <v>513</v>
      </c>
      <c r="G827" s="328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9"/>
    </row>
    <row r="828" spans="1:18" ht="15" customHeight="1" x14ac:dyDescent="0.3">
      <c r="A828" s="10" t="s">
        <v>26</v>
      </c>
      <c r="B828" s="10" t="s">
        <v>451</v>
      </c>
      <c r="C828" s="10">
        <v>0.12847222222222221</v>
      </c>
      <c r="D828" s="10" t="s">
        <v>31</v>
      </c>
      <c r="E828" s="10" t="s">
        <v>104</v>
      </c>
      <c r="F828" s="10" t="s">
        <v>514</v>
      </c>
      <c r="G828" s="328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9"/>
    </row>
    <row r="829" spans="1:18" ht="15" customHeight="1" x14ac:dyDescent="0.3">
      <c r="A829" s="10" t="s">
        <v>26</v>
      </c>
      <c r="B829" s="10" t="s">
        <v>451</v>
      </c>
      <c r="C829" s="10">
        <v>0.12847222222222221</v>
      </c>
      <c r="D829" s="10" t="s">
        <v>34</v>
      </c>
      <c r="E829" s="10" t="s">
        <v>104</v>
      </c>
      <c r="F829" s="10" t="s">
        <v>35</v>
      </c>
      <c r="G829" s="328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9"/>
    </row>
    <row r="830" spans="1:18" ht="15" customHeight="1" x14ac:dyDescent="0.3">
      <c r="A830" s="26" t="s">
        <v>26</v>
      </c>
      <c r="B830" s="26" t="s">
        <v>453</v>
      </c>
      <c r="C830" s="26">
        <v>0.30208333333333331</v>
      </c>
      <c r="D830" s="26" t="s">
        <v>28</v>
      </c>
      <c r="E830" s="26" t="s">
        <v>641</v>
      </c>
      <c r="F830" s="26" t="s">
        <v>515</v>
      </c>
      <c r="G830" s="328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9"/>
    </row>
    <row r="831" spans="1:18" ht="15" customHeight="1" x14ac:dyDescent="0.3">
      <c r="A831" s="10" t="s">
        <v>26</v>
      </c>
      <c r="B831" s="10" t="s">
        <v>453</v>
      </c>
      <c r="C831" s="10">
        <v>0.30208333333333331</v>
      </c>
      <c r="D831" s="10" t="s">
        <v>31</v>
      </c>
      <c r="E831" s="10" t="s">
        <v>181</v>
      </c>
      <c r="F831" s="10" t="s">
        <v>516</v>
      </c>
      <c r="G831" s="328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9"/>
    </row>
    <row r="832" spans="1:18" ht="15" customHeight="1" x14ac:dyDescent="0.3">
      <c r="A832" s="10" t="s">
        <v>26</v>
      </c>
      <c r="B832" s="10" t="s">
        <v>453</v>
      </c>
      <c r="C832" s="10">
        <v>0.30208333333333331</v>
      </c>
      <c r="D832" s="10" t="s">
        <v>34</v>
      </c>
      <c r="E832" s="10" t="s">
        <v>181</v>
      </c>
      <c r="F832" s="10" t="s">
        <v>35</v>
      </c>
      <c r="G832" s="328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9"/>
    </row>
    <row r="833" spans="1:18" ht="15" customHeight="1" x14ac:dyDescent="0.3">
      <c r="A833" s="26" t="s">
        <v>26</v>
      </c>
      <c r="B833" s="26" t="s">
        <v>454</v>
      </c>
      <c r="C833" s="26">
        <v>0.88888888888888884</v>
      </c>
      <c r="D833" s="26" t="s">
        <v>28</v>
      </c>
      <c r="E833" s="26" t="s">
        <v>54</v>
      </c>
      <c r="F833" s="26" t="s">
        <v>515</v>
      </c>
      <c r="G833" s="328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9"/>
    </row>
    <row r="834" spans="1:18" ht="15" customHeight="1" x14ac:dyDescent="0.3">
      <c r="A834" s="10" t="s">
        <v>26</v>
      </c>
      <c r="B834" s="10" t="s">
        <v>454</v>
      </c>
      <c r="C834" s="10">
        <v>0.88888888888888884</v>
      </c>
      <c r="D834" s="10" t="s">
        <v>31</v>
      </c>
      <c r="E834" s="10" t="s">
        <v>161</v>
      </c>
      <c r="F834" s="10" t="s">
        <v>516</v>
      </c>
      <c r="G834" s="328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9"/>
    </row>
    <row r="835" spans="1:18" ht="15" customHeight="1" x14ac:dyDescent="0.3">
      <c r="A835" s="10" t="s">
        <v>26</v>
      </c>
      <c r="B835" s="10" t="s">
        <v>454</v>
      </c>
      <c r="C835" s="10">
        <v>0.88888888888888884</v>
      </c>
      <c r="D835" s="10" t="s">
        <v>34</v>
      </c>
      <c r="E835" s="10" t="s">
        <v>161</v>
      </c>
      <c r="F835" s="10" t="s">
        <v>35</v>
      </c>
      <c r="G835" s="328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9"/>
    </row>
    <row r="836" spans="1:18" ht="15" customHeight="1" x14ac:dyDescent="0.3">
      <c r="A836" s="26" t="s">
        <v>26</v>
      </c>
      <c r="B836" s="26" t="s">
        <v>455</v>
      </c>
      <c r="C836" s="26">
        <v>0.78819444444444453</v>
      </c>
      <c r="D836" s="26" t="s">
        <v>28</v>
      </c>
      <c r="E836" s="26" t="s">
        <v>97</v>
      </c>
      <c r="F836" s="26" t="s">
        <v>515</v>
      </c>
      <c r="G836" s="328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9"/>
    </row>
    <row r="837" spans="1:18" ht="15" customHeight="1" x14ac:dyDescent="0.3">
      <c r="A837" s="10" t="s">
        <v>26</v>
      </c>
      <c r="B837" s="10" t="s">
        <v>455</v>
      </c>
      <c r="C837" s="10">
        <v>0.78819444444444453</v>
      </c>
      <c r="D837" s="10" t="s">
        <v>31</v>
      </c>
      <c r="E837" s="10" t="s">
        <v>104</v>
      </c>
      <c r="F837" s="10" t="s">
        <v>516</v>
      </c>
      <c r="G837" s="328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9"/>
    </row>
    <row r="838" spans="1:18" ht="15" customHeight="1" x14ac:dyDescent="0.3">
      <c r="A838" s="10" t="s">
        <v>26</v>
      </c>
      <c r="B838" s="10" t="s">
        <v>455</v>
      </c>
      <c r="C838" s="10">
        <v>0.78819444444444453</v>
      </c>
      <c r="D838" s="10" t="s">
        <v>34</v>
      </c>
      <c r="E838" s="10" t="s">
        <v>104</v>
      </c>
      <c r="F838" s="10" t="s">
        <v>35</v>
      </c>
      <c r="G838" s="328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9"/>
    </row>
    <row r="839" spans="1:18" ht="15" customHeight="1" x14ac:dyDescent="0.3">
      <c r="A839" s="11" t="s">
        <v>404</v>
      </c>
      <c r="B839" s="11" t="s">
        <v>558</v>
      </c>
      <c r="C839" s="11">
        <v>0.34722222222222232</v>
      </c>
      <c r="D839" s="11" t="s">
        <v>406</v>
      </c>
      <c r="E839" s="11" t="s">
        <v>47</v>
      </c>
      <c r="F839" s="11" t="s">
        <v>407</v>
      </c>
      <c r="G839" s="328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9"/>
    </row>
    <row r="840" spans="1:18" ht="15" customHeight="1" x14ac:dyDescent="0.3">
      <c r="A840" s="11" t="s">
        <v>410</v>
      </c>
      <c r="B840" s="11" t="s">
        <v>411</v>
      </c>
      <c r="C840" s="11">
        <v>0.38194444444444442</v>
      </c>
      <c r="D840" s="11" t="s">
        <v>406</v>
      </c>
      <c r="E840" s="11" t="s">
        <v>47</v>
      </c>
      <c r="F840" s="11" t="s">
        <v>374</v>
      </c>
      <c r="G840" s="328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9"/>
    </row>
    <row r="841" spans="1:18" ht="15" customHeight="1" x14ac:dyDescent="0.3">
      <c r="A841" s="26" t="s">
        <v>410</v>
      </c>
      <c r="B841" s="26" t="s">
        <v>413</v>
      </c>
      <c r="C841" s="26">
        <v>0.66666666666666663</v>
      </c>
      <c r="D841" s="26" t="s">
        <v>406</v>
      </c>
      <c r="E841" s="26" t="s">
        <v>71</v>
      </c>
      <c r="F841" s="26" t="s">
        <v>374</v>
      </c>
      <c r="G841" s="328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9"/>
    </row>
    <row r="842" spans="1:18" ht="15" customHeight="1" x14ac:dyDescent="0.3">
      <c r="A842" s="167" t="s">
        <v>44</v>
      </c>
      <c r="B842" s="167" t="s">
        <v>415</v>
      </c>
      <c r="C842" s="167">
        <v>0.31944444444444448</v>
      </c>
      <c r="D842" s="167" t="s">
        <v>46</v>
      </c>
      <c r="E842" s="167" t="s">
        <v>102</v>
      </c>
      <c r="F842" s="167" t="s">
        <v>416</v>
      </c>
      <c r="G842" s="328"/>
      <c r="H842" s="58" t="s">
        <v>417</v>
      </c>
      <c r="I842" s="205">
        <v>0.15640000000000001</v>
      </c>
      <c r="J842" s="60">
        <v>28</v>
      </c>
      <c r="K842" s="61" t="s">
        <v>50</v>
      </c>
      <c r="L842" s="60">
        <v>18</v>
      </c>
      <c r="M842" s="60">
        <v>0</v>
      </c>
      <c r="N842" s="60">
        <v>3</v>
      </c>
      <c r="O842" s="61" t="s">
        <v>646</v>
      </c>
      <c r="P842" s="61">
        <v>0.31944444444444448</v>
      </c>
      <c r="Q842" s="60">
        <v>179</v>
      </c>
      <c r="R842" s="62" t="s">
        <v>647</v>
      </c>
    </row>
    <row r="843" spans="1:18" ht="15" customHeight="1" x14ac:dyDescent="0.3">
      <c r="A843" s="81" t="s">
        <v>44</v>
      </c>
      <c r="B843" s="81" t="s">
        <v>422</v>
      </c>
      <c r="C843" s="81">
        <v>8.3333333333333329E-2</v>
      </c>
      <c r="D843" s="81" t="s">
        <v>46</v>
      </c>
      <c r="E843" s="81" t="s">
        <v>71</v>
      </c>
      <c r="F843" s="81" t="s">
        <v>416</v>
      </c>
      <c r="G843" s="328"/>
      <c r="H843" s="82" t="s">
        <v>423</v>
      </c>
      <c r="I843" s="204">
        <v>0.48599999999999999</v>
      </c>
      <c r="J843" s="84">
        <v>87</v>
      </c>
      <c r="K843" s="85" t="s">
        <v>175</v>
      </c>
      <c r="L843" s="84">
        <v>7</v>
      </c>
      <c r="M843" s="84">
        <v>1</v>
      </c>
      <c r="N843" s="84">
        <v>1</v>
      </c>
      <c r="O843" s="85" t="s">
        <v>237</v>
      </c>
      <c r="P843" s="85">
        <v>8.3333333333333329E-2</v>
      </c>
      <c r="Q843" s="84">
        <v>179</v>
      </c>
      <c r="R843" s="86" t="s">
        <v>648</v>
      </c>
    </row>
    <row r="844" spans="1:18" ht="15" customHeight="1" x14ac:dyDescent="0.3">
      <c r="A844" s="57" t="s">
        <v>44</v>
      </c>
      <c r="B844" s="57" t="s">
        <v>523</v>
      </c>
      <c r="C844" s="57">
        <v>0.33333333333333331</v>
      </c>
      <c r="D844" s="57" t="s">
        <v>46</v>
      </c>
      <c r="E844" s="57" t="s">
        <v>74</v>
      </c>
      <c r="F844" s="57" t="s">
        <v>426</v>
      </c>
      <c r="G844" s="328"/>
      <c r="H844" s="58" t="s">
        <v>524</v>
      </c>
      <c r="I844" s="205">
        <v>0.1726</v>
      </c>
      <c r="J844" s="60">
        <v>29</v>
      </c>
      <c r="K844" s="61" t="s">
        <v>175</v>
      </c>
      <c r="L844" s="60">
        <v>19</v>
      </c>
      <c r="M844" s="60">
        <v>2</v>
      </c>
      <c r="N844" s="60">
        <v>0</v>
      </c>
      <c r="O844" s="61" t="s">
        <v>236</v>
      </c>
      <c r="P844" s="61">
        <v>0.33333333333333331</v>
      </c>
      <c r="Q844" s="60">
        <v>168</v>
      </c>
      <c r="R844" s="62" t="s">
        <v>649</v>
      </c>
    </row>
    <row r="845" spans="1:18" ht="15" customHeight="1" x14ac:dyDescent="0.3">
      <c r="A845" s="18" t="s">
        <v>44</v>
      </c>
      <c r="B845" s="18" t="s">
        <v>429</v>
      </c>
      <c r="C845" s="18">
        <v>0.51041666666666663</v>
      </c>
      <c r="D845" s="18" t="s">
        <v>46</v>
      </c>
      <c r="E845" s="18" t="s">
        <v>71</v>
      </c>
      <c r="F845" s="18" t="s">
        <v>650</v>
      </c>
      <c r="G845" s="328"/>
      <c r="H845" s="19" t="s">
        <v>430</v>
      </c>
      <c r="I845" s="20">
        <v>0.85470000000000002</v>
      </c>
      <c r="J845" s="21">
        <v>153</v>
      </c>
      <c r="K845" s="22" t="s">
        <v>433</v>
      </c>
      <c r="L845" s="21">
        <v>44</v>
      </c>
      <c r="M845" s="21">
        <v>0</v>
      </c>
      <c r="N845" s="21">
        <v>0</v>
      </c>
      <c r="O845" s="22" t="s">
        <v>352</v>
      </c>
      <c r="P845" s="22">
        <v>0.51041666666666663</v>
      </c>
      <c r="Q845" s="21">
        <v>179</v>
      </c>
      <c r="R845" s="23" t="s">
        <v>651</v>
      </c>
    </row>
    <row r="846" spans="1:18" ht="15" customHeight="1" x14ac:dyDescent="0.3">
      <c r="A846" s="202" t="s">
        <v>44</v>
      </c>
      <c r="B846" s="202" t="s">
        <v>425</v>
      </c>
      <c r="C846" s="202">
        <v>0.63194444444444442</v>
      </c>
      <c r="D846" s="202" t="s">
        <v>46</v>
      </c>
      <c r="E846" s="202" t="s">
        <v>97</v>
      </c>
      <c r="F846" s="202" t="s">
        <v>652</v>
      </c>
      <c r="G846" s="328"/>
      <c r="H846" s="52" t="s">
        <v>427</v>
      </c>
      <c r="I846" s="209">
        <v>0.98880000000000001</v>
      </c>
      <c r="J846" s="54">
        <v>177</v>
      </c>
      <c r="K846" s="55" t="s">
        <v>175</v>
      </c>
      <c r="L846" s="54">
        <v>4</v>
      </c>
      <c r="M846" s="54">
        <v>4</v>
      </c>
      <c r="N846" s="54">
        <v>0</v>
      </c>
      <c r="O846" s="55" t="s">
        <v>653</v>
      </c>
      <c r="P846" s="55">
        <v>0.63194444444444442</v>
      </c>
      <c r="Q846" s="54">
        <v>179</v>
      </c>
      <c r="R846" s="56" t="s">
        <v>654</v>
      </c>
    </row>
    <row r="847" spans="1:18" ht="15" customHeight="1" x14ac:dyDescent="0.3">
      <c r="A847" s="11" t="s">
        <v>456</v>
      </c>
      <c r="B847" s="11" t="s">
        <v>500</v>
      </c>
      <c r="C847" s="11">
        <v>0.3888888888888889</v>
      </c>
      <c r="D847" s="11" t="s">
        <v>458</v>
      </c>
      <c r="E847" s="11" t="s">
        <v>123</v>
      </c>
      <c r="F847" s="11" t="s">
        <v>655</v>
      </c>
      <c r="G847" s="328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9"/>
    </row>
    <row r="848" spans="1:18" ht="15" customHeight="1" x14ac:dyDescent="0.3">
      <c r="A848" s="10" t="s">
        <v>456</v>
      </c>
      <c r="B848" s="10" t="s">
        <v>500</v>
      </c>
      <c r="C848" s="10">
        <v>0.3888888888888889</v>
      </c>
      <c r="D848" s="10" t="s">
        <v>34</v>
      </c>
      <c r="E848" s="10" t="s">
        <v>124</v>
      </c>
      <c r="F848" s="10" t="s">
        <v>656</v>
      </c>
      <c r="G848" s="328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9"/>
    </row>
    <row r="849" spans="1:18" ht="15" customHeight="1" x14ac:dyDescent="0.3">
      <c r="A849" s="11" t="s">
        <v>78</v>
      </c>
      <c r="B849" s="11" t="s">
        <v>461</v>
      </c>
      <c r="C849" s="11">
        <v>0.23958333333333329</v>
      </c>
      <c r="D849" s="11" t="s">
        <v>80</v>
      </c>
      <c r="E849" s="11" t="s">
        <v>132</v>
      </c>
      <c r="F849" s="11" t="s">
        <v>606</v>
      </c>
      <c r="G849" s="328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9"/>
    </row>
    <row r="850" spans="1:18" ht="15" customHeight="1" x14ac:dyDescent="0.3">
      <c r="A850" s="10" t="s">
        <v>78</v>
      </c>
      <c r="B850" s="10" t="s">
        <v>461</v>
      </c>
      <c r="C850" s="10">
        <v>0.23958333333333329</v>
      </c>
      <c r="D850" s="10" t="s">
        <v>83</v>
      </c>
      <c r="E850" s="10" t="s">
        <v>115</v>
      </c>
      <c r="F850" s="10" t="s">
        <v>103</v>
      </c>
      <c r="G850" s="328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9"/>
    </row>
    <row r="851" spans="1:18" ht="15" customHeight="1" x14ac:dyDescent="0.3">
      <c r="A851" s="26" t="s">
        <v>78</v>
      </c>
      <c r="B851" s="26" t="s">
        <v>469</v>
      </c>
      <c r="C851" s="26">
        <v>0.37847222222222232</v>
      </c>
      <c r="D851" s="26" t="s">
        <v>80</v>
      </c>
      <c r="E851" s="26" t="s">
        <v>71</v>
      </c>
      <c r="F851" s="26" t="s">
        <v>462</v>
      </c>
      <c r="G851" s="328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9"/>
    </row>
    <row r="852" spans="1:18" ht="15" customHeight="1" x14ac:dyDescent="0.3">
      <c r="A852" s="10" t="s">
        <v>78</v>
      </c>
      <c r="B852" s="10" t="s">
        <v>469</v>
      </c>
      <c r="C852" s="10">
        <v>0.37847222222222232</v>
      </c>
      <c r="D852" s="10" t="s">
        <v>83</v>
      </c>
      <c r="E852" s="10" t="s">
        <v>95</v>
      </c>
      <c r="F852" s="10" t="s">
        <v>463</v>
      </c>
      <c r="G852" s="328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9"/>
    </row>
    <row r="853" spans="1:18" ht="15" customHeight="1" x14ac:dyDescent="0.3">
      <c r="A853" s="26" t="s">
        <v>78</v>
      </c>
      <c r="B853" s="26" t="s">
        <v>467</v>
      </c>
      <c r="C853" s="26">
        <v>0.1423611111111111</v>
      </c>
      <c r="D853" s="26" t="s">
        <v>80</v>
      </c>
      <c r="E853" s="26" t="s">
        <v>71</v>
      </c>
      <c r="F853" s="26" t="s">
        <v>465</v>
      </c>
      <c r="G853" s="328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9"/>
    </row>
    <row r="854" spans="1:18" ht="15" customHeight="1" x14ac:dyDescent="0.3">
      <c r="A854" s="10" t="s">
        <v>78</v>
      </c>
      <c r="B854" s="10" t="s">
        <v>467</v>
      </c>
      <c r="C854" s="10">
        <v>0.1423611111111111</v>
      </c>
      <c r="D854" s="10" t="s">
        <v>83</v>
      </c>
      <c r="E854" s="10" t="s">
        <v>95</v>
      </c>
      <c r="F854" s="10" t="s">
        <v>466</v>
      </c>
      <c r="G854" s="328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9"/>
    </row>
    <row r="855" spans="1:18" ht="15" customHeight="1" x14ac:dyDescent="0.3">
      <c r="A855" s="26" t="s">
        <v>78</v>
      </c>
      <c r="B855" s="26" t="s">
        <v>468</v>
      </c>
      <c r="C855" s="26">
        <v>0.93055555555555547</v>
      </c>
      <c r="D855" s="26" t="s">
        <v>80</v>
      </c>
      <c r="E855" s="26" t="s">
        <v>71</v>
      </c>
      <c r="F855" s="26" t="s">
        <v>465</v>
      </c>
      <c r="G855" s="328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9"/>
    </row>
    <row r="856" spans="1:18" ht="15" customHeight="1" x14ac:dyDescent="0.3">
      <c r="A856" s="10" t="s">
        <v>78</v>
      </c>
      <c r="B856" s="10" t="s">
        <v>468</v>
      </c>
      <c r="C856" s="10">
        <v>0.93055555555555547</v>
      </c>
      <c r="D856" s="10" t="s">
        <v>83</v>
      </c>
      <c r="E856" s="10" t="s">
        <v>95</v>
      </c>
      <c r="F856" s="10" t="s">
        <v>466</v>
      </c>
      <c r="G856" s="328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9"/>
    </row>
    <row r="857" spans="1:18" ht="15" customHeight="1" x14ac:dyDescent="0.3">
      <c r="A857" s="26" t="s">
        <v>78</v>
      </c>
      <c r="B857" s="26" t="s">
        <v>473</v>
      </c>
      <c r="C857" s="26">
        <v>0.88888888888888884</v>
      </c>
      <c r="D857" s="26" t="s">
        <v>83</v>
      </c>
      <c r="E857" s="26" t="s">
        <v>87</v>
      </c>
      <c r="F857" s="26" t="s">
        <v>535</v>
      </c>
      <c r="G857" s="328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9"/>
    </row>
    <row r="858" spans="1:18" ht="15" customHeight="1" x14ac:dyDescent="0.3">
      <c r="A858" s="26" t="s">
        <v>78</v>
      </c>
      <c r="B858" s="26" t="s">
        <v>475</v>
      </c>
      <c r="C858" s="26">
        <v>0.30208333333333331</v>
      </c>
      <c r="D858" s="26" t="s">
        <v>83</v>
      </c>
      <c r="E858" s="26" t="s">
        <v>87</v>
      </c>
      <c r="F858" s="26" t="s">
        <v>535</v>
      </c>
      <c r="G858" s="328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9"/>
    </row>
    <row r="859" spans="1:18" ht="15" customHeight="1" x14ac:dyDescent="0.3">
      <c r="A859" s="26" t="s">
        <v>78</v>
      </c>
      <c r="B859" s="26" t="s">
        <v>476</v>
      </c>
      <c r="C859" s="26">
        <v>0.12847222222222221</v>
      </c>
      <c r="D859" s="26" t="s">
        <v>83</v>
      </c>
      <c r="E859" s="26" t="s">
        <v>87</v>
      </c>
      <c r="F859" s="26" t="s">
        <v>535</v>
      </c>
      <c r="G859" s="328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9"/>
    </row>
    <row r="860" spans="1:18" ht="15" customHeight="1" x14ac:dyDescent="0.3">
      <c r="A860" s="26" t="s">
        <v>78</v>
      </c>
      <c r="B860" s="26" t="s">
        <v>482</v>
      </c>
      <c r="C860" s="26">
        <v>0.61111111111111105</v>
      </c>
      <c r="D860" s="26" t="s">
        <v>80</v>
      </c>
      <c r="E860" s="26" t="s">
        <v>71</v>
      </c>
      <c r="F860" s="26" t="s">
        <v>511</v>
      </c>
      <c r="G860" s="328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9"/>
    </row>
    <row r="861" spans="1:18" ht="15" customHeight="1" x14ac:dyDescent="0.3">
      <c r="A861" s="10" t="s">
        <v>78</v>
      </c>
      <c r="B861" s="10" t="s">
        <v>482</v>
      </c>
      <c r="C861" s="10">
        <v>0.61111111111111105</v>
      </c>
      <c r="D861" s="10" t="s">
        <v>83</v>
      </c>
      <c r="E861" s="10" t="s">
        <v>95</v>
      </c>
      <c r="F861" s="10" t="s">
        <v>512</v>
      </c>
      <c r="G861" s="328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9"/>
    </row>
    <row r="862" spans="1:18" ht="15" customHeight="1" x14ac:dyDescent="0.3">
      <c r="A862" s="26" t="s">
        <v>78</v>
      </c>
      <c r="B862" s="26" t="s">
        <v>480</v>
      </c>
      <c r="C862" s="26">
        <v>0.78819444444444453</v>
      </c>
      <c r="D862" s="26" t="s">
        <v>83</v>
      </c>
      <c r="E862" s="26" t="s">
        <v>87</v>
      </c>
      <c r="F862" s="26" t="s">
        <v>474</v>
      </c>
      <c r="G862" s="328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9"/>
    </row>
    <row r="863" spans="1:18" ht="15" customHeight="1" x14ac:dyDescent="0.3">
      <c r="A863" s="26" t="s">
        <v>78</v>
      </c>
      <c r="B863" s="26" t="s">
        <v>464</v>
      </c>
      <c r="C863" s="26">
        <v>6.9444444444444441E-3</v>
      </c>
      <c r="D863" s="26" t="s">
        <v>80</v>
      </c>
      <c r="E863" s="26" t="s">
        <v>114</v>
      </c>
      <c r="F863" s="26" t="s">
        <v>569</v>
      </c>
      <c r="G863" s="328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9"/>
    </row>
    <row r="864" spans="1:18" ht="15" customHeight="1" x14ac:dyDescent="0.3">
      <c r="A864" s="10" t="s">
        <v>78</v>
      </c>
      <c r="B864" s="10" t="s">
        <v>464</v>
      </c>
      <c r="C864" s="10">
        <v>6.9444444444444441E-3</v>
      </c>
      <c r="D864" s="10" t="s">
        <v>83</v>
      </c>
      <c r="E864" s="10" t="s">
        <v>115</v>
      </c>
      <c r="F864" s="10" t="s">
        <v>582</v>
      </c>
      <c r="G864" s="328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9"/>
    </row>
    <row r="865" spans="1:18" ht="15" customHeight="1" x14ac:dyDescent="0.3">
      <c r="A865" s="26" t="s">
        <v>78</v>
      </c>
      <c r="B865" s="26" t="s">
        <v>470</v>
      </c>
      <c r="C865" s="26">
        <v>0.71875</v>
      </c>
      <c r="D865" s="26" t="s">
        <v>80</v>
      </c>
      <c r="E865" s="26" t="s">
        <v>90</v>
      </c>
      <c r="F865" s="26" t="s">
        <v>569</v>
      </c>
      <c r="G865" s="328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9"/>
    </row>
    <row r="866" spans="1:18" ht="15" customHeight="1" x14ac:dyDescent="0.3">
      <c r="A866" s="10" t="s">
        <v>78</v>
      </c>
      <c r="B866" s="10" t="s">
        <v>470</v>
      </c>
      <c r="C866" s="10">
        <v>0.71875</v>
      </c>
      <c r="D866" s="10" t="s">
        <v>83</v>
      </c>
      <c r="E866" s="10" t="s">
        <v>92</v>
      </c>
      <c r="F866" s="10" t="s">
        <v>582</v>
      </c>
      <c r="G866" s="328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9"/>
    </row>
    <row r="867" spans="1:18" ht="15" customHeight="1" x14ac:dyDescent="0.3">
      <c r="A867" s="26" t="s">
        <v>78</v>
      </c>
      <c r="B867" s="26" t="s">
        <v>477</v>
      </c>
      <c r="C867" s="26">
        <v>0.82986111111111116</v>
      </c>
      <c r="D867" s="26" t="s">
        <v>80</v>
      </c>
      <c r="E867" s="26" t="s">
        <v>87</v>
      </c>
      <c r="F867" s="26" t="s">
        <v>483</v>
      </c>
      <c r="G867" s="328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9"/>
    </row>
    <row r="868" spans="1:18" ht="15" customHeight="1" x14ac:dyDescent="0.3">
      <c r="A868" s="10" t="s">
        <v>78</v>
      </c>
      <c r="B868" s="10" t="s">
        <v>477</v>
      </c>
      <c r="C868" s="10">
        <v>0.82986111111111116</v>
      </c>
      <c r="D868" s="10" t="s">
        <v>83</v>
      </c>
      <c r="E868" s="10" t="s">
        <v>32</v>
      </c>
      <c r="F868" s="10" t="s">
        <v>484</v>
      </c>
      <c r="G868" s="328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9"/>
    </row>
    <row r="869" spans="1:18" ht="15" customHeight="1" x14ac:dyDescent="0.3">
      <c r="A869" s="11" t="s">
        <v>66</v>
      </c>
      <c r="B869" s="11" t="s">
        <v>488</v>
      </c>
      <c r="C869" s="11">
        <v>0.22222222222222221</v>
      </c>
      <c r="D869" s="11" t="s">
        <v>68</v>
      </c>
      <c r="E869" s="11" t="s">
        <v>47</v>
      </c>
      <c r="F869" s="11" t="s">
        <v>489</v>
      </c>
      <c r="G869" s="328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9"/>
    </row>
    <row r="870" spans="1:18" ht="15" customHeight="1" x14ac:dyDescent="0.3">
      <c r="A870" s="26" t="s">
        <v>66</v>
      </c>
      <c r="B870" s="26" t="s">
        <v>508</v>
      </c>
      <c r="C870" s="26">
        <v>0.95833333333333337</v>
      </c>
      <c r="D870" s="26" t="s">
        <v>68</v>
      </c>
      <c r="E870" s="26" t="s">
        <v>71</v>
      </c>
      <c r="F870" s="26" t="s">
        <v>491</v>
      </c>
      <c r="G870" s="328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9"/>
    </row>
    <row r="871" spans="1:18" ht="15" customHeight="1" x14ac:dyDescent="0.3">
      <c r="A871" s="26" t="s">
        <v>66</v>
      </c>
      <c r="B871" s="26" t="s">
        <v>492</v>
      </c>
      <c r="C871" s="26">
        <v>0.77083333333333337</v>
      </c>
      <c r="D871" s="26" t="s">
        <v>68</v>
      </c>
      <c r="E871" s="26" t="s">
        <v>71</v>
      </c>
      <c r="F871" s="26" t="s">
        <v>493</v>
      </c>
      <c r="G871" s="328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9"/>
    </row>
    <row r="872" spans="1:18" ht="15" customHeight="1" x14ac:dyDescent="0.3">
      <c r="A872" s="26" t="s">
        <v>66</v>
      </c>
      <c r="B872" s="26" t="s">
        <v>505</v>
      </c>
      <c r="C872" s="26">
        <v>0.14583333333333329</v>
      </c>
      <c r="D872" s="26" t="s">
        <v>68</v>
      </c>
      <c r="E872" s="26" t="s">
        <v>71</v>
      </c>
      <c r="F872" s="26" t="s">
        <v>493</v>
      </c>
      <c r="G872" s="328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9"/>
    </row>
    <row r="873" spans="1:18" ht="15" customHeight="1" x14ac:dyDescent="0.3">
      <c r="A873" s="31" t="s">
        <v>66</v>
      </c>
      <c r="B873" s="31" t="s">
        <v>490</v>
      </c>
      <c r="C873" s="31">
        <v>0.27777777777777779</v>
      </c>
      <c r="D873" s="31" t="s">
        <v>68</v>
      </c>
      <c r="E873" s="31" t="s">
        <v>71</v>
      </c>
      <c r="F873" s="31" t="s">
        <v>493</v>
      </c>
      <c r="G873" s="328"/>
      <c r="H873" s="28"/>
      <c r="I873" s="29"/>
      <c r="J873" s="29"/>
      <c r="K873" s="29"/>
      <c r="L873" s="29"/>
      <c r="M873" s="29"/>
      <c r="N873" s="29"/>
      <c r="O873" s="29"/>
      <c r="P873" s="29"/>
      <c r="Q873" s="29"/>
      <c r="R873" s="30"/>
    </row>
    <row r="874" spans="1:18" ht="17.399999999999999" customHeight="1" x14ac:dyDescent="0.3">
      <c r="A874" s="360"/>
      <c r="B874" s="361"/>
      <c r="C874" s="361"/>
      <c r="D874" s="361"/>
      <c r="E874" s="361"/>
      <c r="F874" s="361"/>
      <c r="G874" s="361"/>
      <c r="H874" s="361"/>
      <c r="I874" s="361"/>
      <c r="J874" s="361"/>
      <c r="K874" s="361"/>
      <c r="L874" s="361"/>
      <c r="M874" s="361"/>
      <c r="N874" s="361"/>
      <c r="O874" s="361"/>
      <c r="P874" s="361"/>
      <c r="Q874" s="361"/>
      <c r="R874" s="362"/>
    </row>
    <row r="875" spans="1:18" ht="22.05" customHeight="1" x14ac:dyDescent="0.3">
      <c r="A875" s="323" t="s">
        <v>6</v>
      </c>
      <c r="B875" s="324"/>
      <c r="C875" s="324"/>
      <c r="D875" s="324"/>
      <c r="E875" s="324"/>
      <c r="F875" s="324"/>
      <c r="G875" s="2">
        <v>45999</v>
      </c>
      <c r="H875" s="323" t="s">
        <v>7</v>
      </c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</row>
    <row r="876" spans="1:18" ht="24" customHeight="1" x14ac:dyDescent="0.3">
      <c r="A876" s="3" t="s">
        <v>8</v>
      </c>
      <c r="B876" s="3" t="s">
        <v>9</v>
      </c>
      <c r="C876" s="3" t="s">
        <v>10</v>
      </c>
      <c r="D876" s="3" t="s">
        <v>11</v>
      </c>
      <c r="E876" s="3" t="s">
        <v>12</v>
      </c>
      <c r="F876" s="4" t="s">
        <v>13</v>
      </c>
      <c r="G876" s="5" t="s">
        <v>14</v>
      </c>
      <c r="H876" s="3" t="s">
        <v>15</v>
      </c>
      <c r="I876" s="3" t="s">
        <v>16</v>
      </c>
      <c r="J876" s="3" t="s">
        <v>17</v>
      </c>
      <c r="K876" s="3" t="s">
        <v>18</v>
      </c>
      <c r="L876" s="3" t="s">
        <v>19</v>
      </c>
      <c r="M876" s="3" t="s">
        <v>20</v>
      </c>
      <c r="N876" s="3" t="s">
        <v>21</v>
      </c>
      <c r="O876" s="3" t="s">
        <v>22</v>
      </c>
      <c r="P876" s="3" t="s">
        <v>23</v>
      </c>
      <c r="Q876" s="3" t="s">
        <v>24</v>
      </c>
      <c r="R876" s="3" t="s">
        <v>25</v>
      </c>
    </row>
    <row r="877" spans="1:18" ht="15" customHeight="1" x14ac:dyDescent="0.3">
      <c r="A877" s="6" t="s">
        <v>456</v>
      </c>
      <c r="B877" s="6" t="s">
        <v>500</v>
      </c>
      <c r="C877" s="6">
        <v>0.3923611111111111</v>
      </c>
      <c r="D877" s="6" t="s">
        <v>458</v>
      </c>
      <c r="E877" s="6" t="s">
        <v>123</v>
      </c>
      <c r="F877" s="6" t="s">
        <v>657</v>
      </c>
      <c r="G877" s="328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9"/>
    </row>
    <row r="878" spans="1:18" ht="15" customHeight="1" x14ac:dyDescent="0.3">
      <c r="A878" s="10" t="s">
        <v>456</v>
      </c>
      <c r="B878" s="10" t="s">
        <v>500</v>
      </c>
      <c r="C878" s="10">
        <v>0.3923611111111111</v>
      </c>
      <c r="D878" s="10" t="s">
        <v>34</v>
      </c>
      <c r="E878" s="10" t="s">
        <v>124</v>
      </c>
      <c r="F878" s="10" t="s">
        <v>658</v>
      </c>
      <c r="G878" s="328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9"/>
    </row>
    <row r="879" spans="1:18" ht="15" customHeight="1" x14ac:dyDescent="0.3">
      <c r="A879" s="26" t="s">
        <v>456</v>
      </c>
      <c r="B879" s="26" t="s">
        <v>457</v>
      </c>
      <c r="C879" s="26">
        <v>0.1736111111111111</v>
      </c>
      <c r="D879" s="26" t="s">
        <v>458</v>
      </c>
      <c r="E879" s="26" t="s">
        <v>439</v>
      </c>
      <c r="F879" s="26" t="s">
        <v>657</v>
      </c>
      <c r="G879" s="328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9"/>
    </row>
    <row r="880" spans="1:18" ht="15" customHeight="1" x14ac:dyDescent="0.3">
      <c r="A880" s="10" t="s">
        <v>456</v>
      </c>
      <c r="B880" s="10" t="s">
        <v>457</v>
      </c>
      <c r="C880" s="10">
        <v>0.1736111111111111</v>
      </c>
      <c r="D880" s="10" t="s">
        <v>34</v>
      </c>
      <c r="E880" s="10" t="s">
        <v>124</v>
      </c>
      <c r="F880" s="10" t="s">
        <v>658</v>
      </c>
      <c r="G880" s="328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9"/>
    </row>
    <row r="881" spans="1:18" ht="15" customHeight="1" x14ac:dyDescent="0.3">
      <c r="A881" s="11" t="s">
        <v>26</v>
      </c>
      <c r="B881" s="11" t="s">
        <v>451</v>
      </c>
      <c r="C881" s="11">
        <v>0.12847222222222221</v>
      </c>
      <c r="D881" s="11" t="s">
        <v>28</v>
      </c>
      <c r="E881" s="11" t="s">
        <v>29</v>
      </c>
      <c r="F881" s="11" t="s">
        <v>513</v>
      </c>
      <c r="G881" s="328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9"/>
    </row>
    <row r="882" spans="1:18" ht="15" customHeight="1" x14ac:dyDescent="0.3">
      <c r="A882" s="10" t="s">
        <v>26</v>
      </c>
      <c r="B882" s="10" t="s">
        <v>451</v>
      </c>
      <c r="C882" s="10">
        <v>0.12847222222222221</v>
      </c>
      <c r="D882" s="10" t="s">
        <v>31</v>
      </c>
      <c r="E882" s="10" t="s">
        <v>32</v>
      </c>
      <c r="F882" s="10" t="s">
        <v>514</v>
      </c>
      <c r="G882" s="328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9"/>
    </row>
    <row r="883" spans="1:18" ht="15" customHeight="1" x14ac:dyDescent="0.3">
      <c r="A883" s="10" t="s">
        <v>26</v>
      </c>
      <c r="B883" s="10" t="s">
        <v>451</v>
      </c>
      <c r="C883" s="10">
        <v>0.12847222222222221</v>
      </c>
      <c r="D883" s="10" t="s">
        <v>34</v>
      </c>
      <c r="E883" s="10" t="s">
        <v>32</v>
      </c>
      <c r="F883" s="10" t="s">
        <v>35</v>
      </c>
      <c r="G883" s="328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9"/>
    </row>
    <row r="884" spans="1:18" ht="15" customHeight="1" x14ac:dyDescent="0.3">
      <c r="A884" s="26" t="s">
        <v>26</v>
      </c>
      <c r="B884" s="26" t="s">
        <v>453</v>
      </c>
      <c r="C884" s="26">
        <v>0.30208333333333331</v>
      </c>
      <c r="D884" s="26" t="s">
        <v>28</v>
      </c>
      <c r="E884" s="26" t="s">
        <v>87</v>
      </c>
      <c r="F884" s="26" t="s">
        <v>513</v>
      </c>
      <c r="G884" s="328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9"/>
    </row>
    <row r="885" spans="1:18" ht="15" customHeight="1" x14ac:dyDescent="0.3">
      <c r="A885" s="10" t="s">
        <v>26</v>
      </c>
      <c r="B885" s="10" t="s">
        <v>453</v>
      </c>
      <c r="C885" s="10">
        <v>0.30208333333333331</v>
      </c>
      <c r="D885" s="10" t="s">
        <v>31</v>
      </c>
      <c r="E885" s="10" t="s">
        <v>32</v>
      </c>
      <c r="F885" s="10" t="s">
        <v>514</v>
      </c>
      <c r="G885" s="328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9"/>
    </row>
    <row r="886" spans="1:18" ht="15" customHeight="1" x14ac:dyDescent="0.3">
      <c r="A886" s="10" t="s">
        <v>26</v>
      </c>
      <c r="B886" s="10" t="s">
        <v>453</v>
      </c>
      <c r="C886" s="10">
        <v>0.30208333333333331</v>
      </c>
      <c r="D886" s="10" t="s">
        <v>34</v>
      </c>
      <c r="E886" s="10" t="s">
        <v>32</v>
      </c>
      <c r="F886" s="10" t="s">
        <v>35</v>
      </c>
      <c r="G886" s="328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9"/>
    </row>
    <row r="887" spans="1:18" ht="15" customHeight="1" x14ac:dyDescent="0.3">
      <c r="A887" s="26" t="s">
        <v>26</v>
      </c>
      <c r="B887" s="26" t="s">
        <v>455</v>
      </c>
      <c r="C887" s="26">
        <v>0.78819444444444453</v>
      </c>
      <c r="D887" s="26" t="s">
        <v>28</v>
      </c>
      <c r="E887" s="26" t="s">
        <v>90</v>
      </c>
      <c r="F887" s="26" t="s">
        <v>513</v>
      </c>
      <c r="G887" s="328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9"/>
    </row>
    <row r="888" spans="1:18" ht="15" customHeight="1" x14ac:dyDescent="0.3">
      <c r="A888" s="10" t="s">
        <v>26</v>
      </c>
      <c r="B888" s="10" t="s">
        <v>455</v>
      </c>
      <c r="C888" s="10">
        <v>0.78819444444444453</v>
      </c>
      <c r="D888" s="10" t="s">
        <v>31</v>
      </c>
      <c r="E888" s="10" t="s">
        <v>92</v>
      </c>
      <c r="F888" s="10" t="s">
        <v>514</v>
      </c>
      <c r="G888" s="328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9"/>
    </row>
    <row r="889" spans="1:18" ht="15" customHeight="1" x14ac:dyDescent="0.3">
      <c r="A889" s="10" t="s">
        <v>26</v>
      </c>
      <c r="B889" s="10" t="s">
        <v>455</v>
      </c>
      <c r="C889" s="10">
        <v>0.78819444444444453</v>
      </c>
      <c r="D889" s="10" t="s">
        <v>34</v>
      </c>
      <c r="E889" s="10" t="s">
        <v>92</v>
      </c>
      <c r="F889" s="10" t="s">
        <v>35</v>
      </c>
      <c r="G889" s="328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9"/>
    </row>
    <row r="890" spans="1:18" ht="15" customHeight="1" x14ac:dyDescent="0.3">
      <c r="A890" s="26" t="s">
        <v>26</v>
      </c>
      <c r="B890" s="26" t="s">
        <v>454</v>
      </c>
      <c r="C890" s="26">
        <v>0.88888888888888884</v>
      </c>
      <c r="D890" s="26" t="s">
        <v>28</v>
      </c>
      <c r="E890" s="26" t="s">
        <v>113</v>
      </c>
      <c r="F890" s="26" t="s">
        <v>515</v>
      </c>
      <c r="G890" s="328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9"/>
    </row>
    <row r="891" spans="1:18" ht="15" customHeight="1" x14ac:dyDescent="0.3">
      <c r="A891" s="10" t="s">
        <v>26</v>
      </c>
      <c r="B891" s="10" t="s">
        <v>454</v>
      </c>
      <c r="C891" s="10">
        <v>0.88888888888888884</v>
      </c>
      <c r="D891" s="10" t="s">
        <v>31</v>
      </c>
      <c r="E891" s="10" t="s">
        <v>136</v>
      </c>
      <c r="F891" s="10" t="s">
        <v>516</v>
      </c>
      <c r="G891" s="328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9"/>
    </row>
    <row r="892" spans="1:18" ht="15" customHeight="1" x14ac:dyDescent="0.3">
      <c r="A892" s="10" t="s">
        <v>26</v>
      </c>
      <c r="B892" s="10" t="s">
        <v>454</v>
      </c>
      <c r="C892" s="10">
        <v>0.88888888888888884</v>
      </c>
      <c r="D892" s="10" t="s">
        <v>34</v>
      </c>
      <c r="E892" s="10" t="s">
        <v>136</v>
      </c>
      <c r="F892" s="10" t="s">
        <v>35</v>
      </c>
      <c r="G892" s="328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9"/>
    </row>
    <row r="893" spans="1:18" ht="15" customHeight="1" x14ac:dyDescent="0.3">
      <c r="A893" s="11" t="s">
        <v>36</v>
      </c>
      <c r="B893" s="11" t="s">
        <v>438</v>
      </c>
      <c r="C893" s="11">
        <v>0.85416666666666663</v>
      </c>
      <c r="D893" s="11" t="s">
        <v>38</v>
      </c>
      <c r="E893" s="11" t="s">
        <v>132</v>
      </c>
      <c r="F893" s="11" t="s">
        <v>583</v>
      </c>
      <c r="G893" s="328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9"/>
    </row>
    <row r="894" spans="1:18" ht="15" customHeight="1" x14ac:dyDescent="0.3">
      <c r="A894" s="10" t="s">
        <v>36</v>
      </c>
      <c r="B894" s="10" t="s">
        <v>438</v>
      </c>
      <c r="C894" s="10">
        <v>0.85416666666666663</v>
      </c>
      <c r="D894" s="10" t="s">
        <v>40</v>
      </c>
      <c r="E894" s="10" t="s">
        <v>115</v>
      </c>
      <c r="F894" s="10" t="s">
        <v>531</v>
      </c>
      <c r="G894" s="328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9"/>
    </row>
    <row r="895" spans="1:18" ht="15" customHeight="1" x14ac:dyDescent="0.3">
      <c r="A895" s="10" t="s">
        <v>36</v>
      </c>
      <c r="B895" s="10" t="s">
        <v>438</v>
      </c>
      <c r="C895" s="10">
        <v>0.85416666666666663</v>
      </c>
      <c r="D895" s="10" t="s">
        <v>42</v>
      </c>
      <c r="E895" s="10" t="s">
        <v>115</v>
      </c>
      <c r="F895" s="10" t="s">
        <v>30</v>
      </c>
      <c r="G895" s="328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9"/>
    </row>
    <row r="896" spans="1:18" ht="15" customHeight="1" x14ac:dyDescent="0.3">
      <c r="A896" s="26" t="s">
        <v>36</v>
      </c>
      <c r="B896" s="26" t="s">
        <v>442</v>
      </c>
      <c r="C896" s="26">
        <v>0.25694444444444448</v>
      </c>
      <c r="D896" s="26" t="s">
        <v>38</v>
      </c>
      <c r="E896" s="26" t="s">
        <v>74</v>
      </c>
      <c r="F896" s="26" t="s">
        <v>583</v>
      </c>
      <c r="G896" s="328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9"/>
    </row>
    <row r="897" spans="1:18" ht="15" customHeight="1" x14ac:dyDescent="0.3">
      <c r="A897" s="10" t="s">
        <v>36</v>
      </c>
      <c r="B897" s="10" t="s">
        <v>442</v>
      </c>
      <c r="C897" s="10">
        <v>0.25694444444444448</v>
      </c>
      <c r="D897" s="10" t="s">
        <v>40</v>
      </c>
      <c r="E897" s="10" t="s">
        <v>122</v>
      </c>
      <c r="F897" s="10" t="s">
        <v>531</v>
      </c>
      <c r="G897" s="328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9"/>
    </row>
    <row r="898" spans="1:18" ht="15" customHeight="1" x14ac:dyDescent="0.3">
      <c r="A898" s="10" t="s">
        <v>36</v>
      </c>
      <c r="B898" s="10" t="s">
        <v>442</v>
      </c>
      <c r="C898" s="10">
        <v>0.25694444444444448</v>
      </c>
      <c r="D898" s="10" t="s">
        <v>42</v>
      </c>
      <c r="E898" s="10" t="s">
        <v>122</v>
      </c>
      <c r="F898" s="10" t="s">
        <v>30</v>
      </c>
      <c r="G898" s="328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9"/>
    </row>
    <row r="899" spans="1:18" ht="15" customHeight="1" x14ac:dyDescent="0.3">
      <c r="A899" s="26" t="s">
        <v>36</v>
      </c>
      <c r="B899" s="26" t="s">
        <v>435</v>
      </c>
      <c r="C899" s="26">
        <v>0.90277777777777779</v>
      </c>
      <c r="D899" s="26" t="s">
        <v>38</v>
      </c>
      <c r="E899" s="26" t="s">
        <v>87</v>
      </c>
      <c r="F899" s="26" t="s">
        <v>583</v>
      </c>
      <c r="G899" s="328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9"/>
    </row>
    <row r="900" spans="1:18" ht="15" customHeight="1" x14ac:dyDescent="0.3">
      <c r="A900" s="10" t="s">
        <v>36</v>
      </c>
      <c r="B900" s="10" t="s">
        <v>435</v>
      </c>
      <c r="C900" s="10">
        <v>0.90277777777777779</v>
      </c>
      <c r="D900" s="10" t="s">
        <v>40</v>
      </c>
      <c r="E900" s="10" t="s">
        <v>32</v>
      </c>
      <c r="F900" s="10" t="s">
        <v>531</v>
      </c>
      <c r="G900" s="328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9"/>
    </row>
    <row r="901" spans="1:18" ht="15" customHeight="1" x14ac:dyDescent="0.3">
      <c r="A901" s="10" t="s">
        <v>36</v>
      </c>
      <c r="B901" s="10" t="s">
        <v>435</v>
      </c>
      <c r="C901" s="10">
        <v>0.90277777777777779</v>
      </c>
      <c r="D901" s="10" t="s">
        <v>42</v>
      </c>
      <c r="E901" s="10" t="s">
        <v>32</v>
      </c>
      <c r="F901" s="10" t="s">
        <v>30</v>
      </c>
      <c r="G901" s="328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9"/>
    </row>
    <row r="902" spans="1:18" ht="15" customHeight="1" x14ac:dyDescent="0.3">
      <c r="A902" s="26" t="s">
        <v>36</v>
      </c>
      <c r="B902" s="26" t="s">
        <v>445</v>
      </c>
      <c r="C902" s="26">
        <v>0.79861111111111116</v>
      </c>
      <c r="D902" s="26" t="s">
        <v>38</v>
      </c>
      <c r="E902" s="26" t="s">
        <v>90</v>
      </c>
      <c r="F902" s="26" t="s">
        <v>583</v>
      </c>
      <c r="G902" s="328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9"/>
    </row>
    <row r="903" spans="1:18" ht="15" customHeight="1" x14ac:dyDescent="0.3">
      <c r="A903" s="10" t="s">
        <v>36</v>
      </c>
      <c r="B903" s="10" t="s">
        <v>445</v>
      </c>
      <c r="C903" s="10">
        <v>0.79861111111111116</v>
      </c>
      <c r="D903" s="10" t="s">
        <v>40</v>
      </c>
      <c r="E903" s="10" t="s">
        <v>92</v>
      </c>
      <c r="F903" s="10" t="s">
        <v>531</v>
      </c>
      <c r="G903" s="328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9"/>
    </row>
    <row r="904" spans="1:18" ht="15" customHeight="1" x14ac:dyDescent="0.3">
      <c r="A904" s="10" t="s">
        <v>36</v>
      </c>
      <c r="B904" s="10" t="s">
        <v>445</v>
      </c>
      <c r="C904" s="10">
        <v>0.79861111111111116</v>
      </c>
      <c r="D904" s="10" t="s">
        <v>42</v>
      </c>
      <c r="E904" s="10" t="s">
        <v>92</v>
      </c>
      <c r="F904" s="10" t="s">
        <v>30</v>
      </c>
      <c r="G904" s="328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9"/>
    </row>
    <row r="905" spans="1:18" ht="15" customHeight="1" x14ac:dyDescent="0.3">
      <c r="A905" s="26" t="s">
        <v>36</v>
      </c>
      <c r="B905" s="26" t="s">
        <v>447</v>
      </c>
      <c r="C905" s="26">
        <v>0.39583333333333331</v>
      </c>
      <c r="D905" s="26" t="s">
        <v>38</v>
      </c>
      <c r="E905" s="26" t="s">
        <v>97</v>
      </c>
      <c r="F905" s="26" t="s">
        <v>583</v>
      </c>
      <c r="G905" s="328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9"/>
    </row>
    <row r="906" spans="1:18" ht="15" customHeight="1" x14ac:dyDescent="0.3">
      <c r="A906" s="10" t="s">
        <v>36</v>
      </c>
      <c r="B906" s="10" t="s">
        <v>447</v>
      </c>
      <c r="C906" s="10">
        <v>0.39583333333333331</v>
      </c>
      <c r="D906" s="10" t="s">
        <v>40</v>
      </c>
      <c r="E906" s="10" t="s">
        <v>104</v>
      </c>
      <c r="F906" s="10" t="s">
        <v>531</v>
      </c>
      <c r="G906" s="328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9"/>
    </row>
    <row r="907" spans="1:18" ht="15" customHeight="1" x14ac:dyDescent="0.3">
      <c r="A907" s="10" t="s">
        <v>36</v>
      </c>
      <c r="B907" s="10" t="s">
        <v>447</v>
      </c>
      <c r="C907" s="10">
        <v>0.39583333333333331</v>
      </c>
      <c r="D907" s="10" t="s">
        <v>42</v>
      </c>
      <c r="E907" s="10" t="s">
        <v>104</v>
      </c>
      <c r="F907" s="10" t="s">
        <v>30</v>
      </c>
      <c r="G907" s="328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9"/>
    </row>
    <row r="908" spans="1:18" ht="15" customHeight="1" x14ac:dyDescent="0.3">
      <c r="A908" s="26" t="s">
        <v>36</v>
      </c>
      <c r="B908" s="26" t="s">
        <v>446</v>
      </c>
      <c r="C908" s="26">
        <v>0.64583333333333337</v>
      </c>
      <c r="D908" s="26" t="s">
        <v>38</v>
      </c>
      <c r="E908" s="26" t="s">
        <v>90</v>
      </c>
      <c r="F908" s="26" t="s">
        <v>583</v>
      </c>
      <c r="G908" s="328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9"/>
    </row>
    <row r="909" spans="1:18" ht="15" customHeight="1" x14ac:dyDescent="0.3">
      <c r="A909" s="10" t="s">
        <v>36</v>
      </c>
      <c r="B909" s="10" t="s">
        <v>446</v>
      </c>
      <c r="C909" s="10">
        <v>0.64583333333333337</v>
      </c>
      <c r="D909" s="10" t="s">
        <v>40</v>
      </c>
      <c r="E909" s="10" t="s">
        <v>92</v>
      </c>
      <c r="F909" s="10" t="s">
        <v>531</v>
      </c>
      <c r="G909" s="328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9"/>
    </row>
    <row r="910" spans="1:18" ht="15" customHeight="1" x14ac:dyDescent="0.3">
      <c r="A910" s="10" t="s">
        <v>36</v>
      </c>
      <c r="B910" s="10" t="s">
        <v>446</v>
      </c>
      <c r="C910" s="10">
        <v>0.64583333333333337</v>
      </c>
      <c r="D910" s="10" t="s">
        <v>42</v>
      </c>
      <c r="E910" s="10" t="s">
        <v>92</v>
      </c>
      <c r="F910" s="10" t="s">
        <v>30</v>
      </c>
      <c r="G910" s="328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9"/>
    </row>
    <row r="911" spans="1:18" ht="15" customHeight="1" x14ac:dyDescent="0.3">
      <c r="A911" s="26" t="s">
        <v>36</v>
      </c>
      <c r="B911" s="26" t="s">
        <v>443</v>
      </c>
      <c r="C911" s="26">
        <v>0.46875</v>
      </c>
      <c r="D911" s="26" t="s">
        <v>38</v>
      </c>
      <c r="E911" s="26" t="s">
        <v>113</v>
      </c>
      <c r="F911" s="26" t="s">
        <v>530</v>
      </c>
      <c r="G911" s="328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9"/>
    </row>
    <row r="912" spans="1:18" ht="15" customHeight="1" x14ac:dyDescent="0.3">
      <c r="A912" s="10" t="s">
        <v>36</v>
      </c>
      <c r="B912" s="10" t="s">
        <v>443</v>
      </c>
      <c r="C912" s="10">
        <v>0.46875</v>
      </c>
      <c r="D912" s="10" t="s">
        <v>40</v>
      </c>
      <c r="E912" s="10" t="s">
        <v>136</v>
      </c>
      <c r="F912" s="10" t="s">
        <v>514</v>
      </c>
      <c r="G912" s="328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9"/>
    </row>
    <row r="913" spans="1:18" ht="15" customHeight="1" x14ac:dyDescent="0.3">
      <c r="A913" s="10" t="s">
        <v>36</v>
      </c>
      <c r="B913" s="10" t="s">
        <v>443</v>
      </c>
      <c r="C913" s="10">
        <v>0.46875</v>
      </c>
      <c r="D913" s="10" t="s">
        <v>42</v>
      </c>
      <c r="E913" s="10" t="s">
        <v>136</v>
      </c>
      <c r="F913" s="10" t="s">
        <v>414</v>
      </c>
      <c r="G913" s="328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9"/>
    </row>
    <row r="914" spans="1:18" ht="15" customHeight="1" x14ac:dyDescent="0.3">
      <c r="A914" s="26" t="s">
        <v>36</v>
      </c>
      <c r="B914" s="26" t="s">
        <v>444</v>
      </c>
      <c r="C914" s="26">
        <v>0.51736111111111105</v>
      </c>
      <c r="D914" s="26" t="s">
        <v>38</v>
      </c>
      <c r="E914" s="26" t="s">
        <v>90</v>
      </c>
      <c r="F914" s="26" t="s">
        <v>530</v>
      </c>
      <c r="G914" s="328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9"/>
    </row>
    <row r="915" spans="1:18" ht="15" customHeight="1" x14ac:dyDescent="0.3">
      <c r="A915" s="10" t="s">
        <v>36</v>
      </c>
      <c r="B915" s="10" t="s">
        <v>444</v>
      </c>
      <c r="C915" s="10">
        <v>0.51736111111111105</v>
      </c>
      <c r="D915" s="10" t="s">
        <v>40</v>
      </c>
      <c r="E915" s="10" t="s">
        <v>92</v>
      </c>
      <c r="F915" s="10" t="s">
        <v>514</v>
      </c>
      <c r="G915" s="328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9"/>
    </row>
    <row r="916" spans="1:18" ht="15" customHeight="1" x14ac:dyDescent="0.3">
      <c r="A916" s="10" t="s">
        <v>36</v>
      </c>
      <c r="B916" s="10" t="s">
        <v>444</v>
      </c>
      <c r="C916" s="10">
        <v>0.51736111111111105</v>
      </c>
      <c r="D916" s="10" t="s">
        <v>42</v>
      </c>
      <c r="E916" s="10" t="s">
        <v>92</v>
      </c>
      <c r="F916" s="10" t="s">
        <v>414</v>
      </c>
      <c r="G916" s="328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9"/>
    </row>
    <row r="917" spans="1:18" ht="15" customHeight="1" x14ac:dyDescent="0.3">
      <c r="A917" s="11" t="s">
        <v>404</v>
      </c>
      <c r="B917" s="11" t="s">
        <v>408</v>
      </c>
      <c r="C917" s="11">
        <v>0.20833333333333329</v>
      </c>
      <c r="D917" s="11" t="s">
        <v>406</v>
      </c>
      <c r="E917" s="11" t="s">
        <v>47</v>
      </c>
      <c r="F917" s="11" t="s">
        <v>407</v>
      </c>
      <c r="G917" s="328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9"/>
    </row>
    <row r="918" spans="1:18" ht="15" customHeight="1" x14ac:dyDescent="0.3">
      <c r="A918" s="11" t="s">
        <v>410</v>
      </c>
      <c r="B918" s="11" t="s">
        <v>411</v>
      </c>
      <c r="C918" s="11">
        <v>0.3125</v>
      </c>
      <c r="D918" s="11" t="s">
        <v>406</v>
      </c>
      <c r="E918" s="11" t="s">
        <v>47</v>
      </c>
      <c r="F918" s="11" t="s">
        <v>374</v>
      </c>
      <c r="G918" s="328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9"/>
    </row>
    <row r="919" spans="1:18" ht="15" customHeight="1" x14ac:dyDescent="0.3">
      <c r="A919" s="26" t="s">
        <v>410</v>
      </c>
      <c r="B919" s="26" t="s">
        <v>413</v>
      </c>
      <c r="C919" s="26">
        <v>0.66666666666666663</v>
      </c>
      <c r="D919" s="26" t="s">
        <v>406</v>
      </c>
      <c r="E919" s="26" t="s">
        <v>71</v>
      </c>
      <c r="F919" s="26" t="s">
        <v>374</v>
      </c>
      <c r="G919" s="328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9"/>
    </row>
    <row r="920" spans="1:18" ht="15" customHeight="1" x14ac:dyDescent="0.3">
      <c r="A920" s="12" t="s">
        <v>44</v>
      </c>
      <c r="B920" s="12" t="s">
        <v>520</v>
      </c>
      <c r="C920" s="12">
        <v>6.9444444444444441E-3</v>
      </c>
      <c r="D920" s="12" t="s">
        <v>46</v>
      </c>
      <c r="E920" s="12" t="s">
        <v>47</v>
      </c>
      <c r="F920" s="12" t="s">
        <v>426</v>
      </c>
      <c r="G920" s="328"/>
      <c r="H920" s="13" t="s">
        <v>432</v>
      </c>
      <c r="I920" s="25">
        <v>0.85470000000000002</v>
      </c>
      <c r="J920" s="15">
        <v>153</v>
      </c>
      <c r="K920" s="16" t="s">
        <v>50</v>
      </c>
      <c r="L920" s="15">
        <v>13</v>
      </c>
      <c r="M920" s="15">
        <v>0</v>
      </c>
      <c r="N920" s="15">
        <v>1</v>
      </c>
      <c r="O920" s="16" t="s">
        <v>364</v>
      </c>
      <c r="P920" s="16">
        <v>6.9444444444444441E-3</v>
      </c>
      <c r="Q920" s="15">
        <v>179</v>
      </c>
      <c r="R920" s="17" t="s">
        <v>659</v>
      </c>
    </row>
    <row r="921" spans="1:18" ht="15" customHeight="1" x14ac:dyDescent="0.3">
      <c r="A921" s="81" t="s">
        <v>44</v>
      </c>
      <c r="B921" s="81" t="s">
        <v>425</v>
      </c>
      <c r="C921" s="81">
        <v>0.61458333333333337</v>
      </c>
      <c r="D921" s="81" t="s">
        <v>46</v>
      </c>
      <c r="E921" s="81" t="s">
        <v>71</v>
      </c>
      <c r="F921" s="81" t="s">
        <v>426</v>
      </c>
      <c r="G921" s="328"/>
      <c r="H921" s="82" t="s">
        <v>427</v>
      </c>
      <c r="I921" s="199">
        <v>0.78769999999999996</v>
      </c>
      <c r="J921" s="84">
        <v>141</v>
      </c>
      <c r="K921" s="85" t="s">
        <v>433</v>
      </c>
      <c r="L921" s="84">
        <v>5</v>
      </c>
      <c r="M921" s="84">
        <v>0</v>
      </c>
      <c r="N921" s="84">
        <v>0</v>
      </c>
      <c r="O921" s="85" t="s">
        <v>364</v>
      </c>
      <c r="P921" s="85">
        <v>0.61458333333333337</v>
      </c>
      <c r="Q921" s="84">
        <v>179</v>
      </c>
      <c r="R921" s="86" t="s">
        <v>660</v>
      </c>
    </row>
    <row r="922" spans="1:18" ht="15" customHeight="1" x14ac:dyDescent="0.3">
      <c r="A922" s="193" t="s">
        <v>44</v>
      </c>
      <c r="B922" s="193" t="s">
        <v>415</v>
      </c>
      <c r="C922" s="193">
        <v>0.4236111111111111</v>
      </c>
      <c r="D922" s="193" t="s">
        <v>46</v>
      </c>
      <c r="E922" s="193" t="s">
        <v>71</v>
      </c>
      <c r="F922" s="193" t="s">
        <v>426</v>
      </c>
      <c r="G922" s="328"/>
      <c r="H922" s="194" t="s">
        <v>417</v>
      </c>
      <c r="I922" s="207">
        <v>0.8659</v>
      </c>
      <c r="J922" s="196">
        <v>155</v>
      </c>
      <c r="K922" s="197" t="s">
        <v>63</v>
      </c>
      <c r="L922" s="196">
        <v>10</v>
      </c>
      <c r="M922" s="196">
        <v>0</v>
      </c>
      <c r="N922" s="196">
        <v>0</v>
      </c>
      <c r="O922" s="197" t="s">
        <v>364</v>
      </c>
      <c r="P922" s="197">
        <v>0.4236111111111111</v>
      </c>
      <c r="Q922" s="196">
        <v>179</v>
      </c>
      <c r="R922" s="198" t="s">
        <v>661</v>
      </c>
    </row>
    <row r="923" spans="1:18" ht="15" customHeight="1" x14ac:dyDescent="0.3">
      <c r="A923" s="18" t="s">
        <v>44</v>
      </c>
      <c r="B923" s="18" t="s">
        <v>429</v>
      </c>
      <c r="C923" s="18">
        <v>0.97916666666666663</v>
      </c>
      <c r="D923" s="18" t="s">
        <v>46</v>
      </c>
      <c r="E923" s="18" t="s">
        <v>71</v>
      </c>
      <c r="F923" s="18" t="s">
        <v>426</v>
      </c>
      <c r="G923" s="328"/>
      <c r="H923" s="19" t="s">
        <v>430</v>
      </c>
      <c r="I923" s="20">
        <v>0.87150000000000005</v>
      </c>
      <c r="J923" s="21">
        <v>156</v>
      </c>
      <c r="K923" s="22" t="s">
        <v>50</v>
      </c>
      <c r="L923" s="21">
        <v>11</v>
      </c>
      <c r="M923" s="21">
        <v>0</v>
      </c>
      <c r="N923" s="21">
        <v>5</v>
      </c>
      <c r="O923" s="22" t="s">
        <v>364</v>
      </c>
      <c r="P923" s="22">
        <v>0.97916666666666663</v>
      </c>
      <c r="Q923" s="21">
        <v>179</v>
      </c>
      <c r="R923" s="23" t="s">
        <v>662</v>
      </c>
    </row>
    <row r="924" spans="1:18" ht="15" customHeight="1" x14ac:dyDescent="0.3">
      <c r="A924" s="11" t="s">
        <v>66</v>
      </c>
      <c r="B924" s="11" t="s">
        <v>490</v>
      </c>
      <c r="C924" s="11">
        <v>0.27777777777777779</v>
      </c>
      <c r="D924" s="11" t="s">
        <v>68</v>
      </c>
      <c r="E924" s="11" t="s">
        <v>47</v>
      </c>
      <c r="F924" s="11" t="s">
        <v>504</v>
      </c>
      <c r="G924" s="328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9"/>
    </row>
    <row r="925" spans="1:18" ht="15" customHeight="1" x14ac:dyDescent="0.3">
      <c r="A925" s="26" t="s">
        <v>66</v>
      </c>
      <c r="B925" s="26" t="s">
        <v>509</v>
      </c>
      <c r="C925" s="26">
        <v>1.388888888888889E-2</v>
      </c>
      <c r="D925" s="26" t="s">
        <v>68</v>
      </c>
      <c r="E925" s="26" t="s">
        <v>71</v>
      </c>
      <c r="F925" s="26" t="s">
        <v>506</v>
      </c>
      <c r="G925" s="328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9"/>
    </row>
    <row r="926" spans="1:18" ht="15" customHeight="1" x14ac:dyDescent="0.3">
      <c r="A926" s="26" t="s">
        <v>66</v>
      </c>
      <c r="B926" s="26" t="s">
        <v>485</v>
      </c>
      <c r="C926" s="26">
        <v>0.4861111111111111</v>
      </c>
      <c r="D926" s="26" t="s">
        <v>68</v>
      </c>
      <c r="E926" s="26" t="s">
        <v>71</v>
      </c>
      <c r="F926" s="26" t="s">
        <v>506</v>
      </c>
      <c r="G926" s="328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9"/>
    </row>
    <row r="927" spans="1:18" ht="15" customHeight="1" x14ac:dyDescent="0.3">
      <c r="A927" s="26" t="s">
        <v>66</v>
      </c>
      <c r="B927" s="26" t="s">
        <v>505</v>
      </c>
      <c r="C927" s="26">
        <v>0.14583333333333329</v>
      </c>
      <c r="D927" s="26" t="s">
        <v>68</v>
      </c>
      <c r="E927" s="26" t="s">
        <v>71</v>
      </c>
      <c r="F927" s="26" t="s">
        <v>507</v>
      </c>
      <c r="G927" s="328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9"/>
    </row>
    <row r="928" spans="1:18" ht="15" customHeight="1" x14ac:dyDescent="0.3">
      <c r="A928" s="26" t="s">
        <v>66</v>
      </c>
      <c r="B928" s="26" t="s">
        <v>488</v>
      </c>
      <c r="C928" s="26">
        <v>0.22916666666666671</v>
      </c>
      <c r="D928" s="26" t="s">
        <v>68</v>
      </c>
      <c r="E928" s="26" t="s">
        <v>71</v>
      </c>
      <c r="F928" s="26" t="s">
        <v>489</v>
      </c>
      <c r="G928" s="328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9"/>
    </row>
    <row r="929" spans="1:18" ht="15" customHeight="1" x14ac:dyDescent="0.3">
      <c r="A929" s="26" t="s">
        <v>66</v>
      </c>
      <c r="B929" s="26" t="s">
        <v>492</v>
      </c>
      <c r="C929" s="26">
        <v>0.77083333333333337</v>
      </c>
      <c r="D929" s="26" t="s">
        <v>68</v>
      </c>
      <c r="E929" s="26" t="s">
        <v>71</v>
      </c>
      <c r="F929" s="26" t="s">
        <v>493</v>
      </c>
      <c r="G929" s="328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9"/>
    </row>
    <row r="930" spans="1:18" ht="15" customHeight="1" x14ac:dyDescent="0.3">
      <c r="A930" s="26" t="s">
        <v>66</v>
      </c>
      <c r="B930" s="26" t="s">
        <v>487</v>
      </c>
      <c r="C930" s="26">
        <v>0.51388888888888895</v>
      </c>
      <c r="D930" s="26" t="s">
        <v>68</v>
      </c>
      <c r="E930" s="26" t="s">
        <v>152</v>
      </c>
      <c r="F930" s="26" t="s">
        <v>493</v>
      </c>
      <c r="G930" s="328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9"/>
    </row>
    <row r="931" spans="1:18" ht="15" customHeight="1" x14ac:dyDescent="0.3">
      <c r="A931" s="11" t="s">
        <v>78</v>
      </c>
      <c r="B931" s="11" t="s">
        <v>461</v>
      </c>
      <c r="C931" s="11">
        <v>0.23958333333333329</v>
      </c>
      <c r="D931" s="11" t="s">
        <v>80</v>
      </c>
      <c r="E931" s="11" t="s">
        <v>47</v>
      </c>
      <c r="F931" s="11" t="s">
        <v>462</v>
      </c>
      <c r="G931" s="328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9"/>
    </row>
    <row r="932" spans="1:18" ht="15" customHeight="1" x14ac:dyDescent="0.3">
      <c r="A932" s="10" t="s">
        <v>78</v>
      </c>
      <c r="B932" s="10" t="s">
        <v>461</v>
      </c>
      <c r="C932" s="10">
        <v>0.23958333333333329</v>
      </c>
      <c r="D932" s="10" t="s">
        <v>83</v>
      </c>
      <c r="E932" s="10" t="s">
        <v>95</v>
      </c>
      <c r="F932" s="10" t="s">
        <v>463</v>
      </c>
      <c r="G932" s="328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9"/>
    </row>
    <row r="933" spans="1:18" ht="15" customHeight="1" x14ac:dyDescent="0.3">
      <c r="A933" s="26" t="s">
        <v>78</v>
      </c>
      <c r="B933" s="26" t="s">
        <v>482</v>
      </c>
      <c r="C933" s="26">
        <v>0.61111111111111105</v>
      </c>
      <c r="D933" s="26" t="s">
        <v>80</v>
      </c>
      <c r="E933" s="26" t="s">
        <v>71</v>
      </c>
      <c r="F933" s="26" t="s">
        <v>663</v>
      </c>
      <c r="G933" s="328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9"/>
    </row>
    <row r="934" spans="1:18" ht="15" customHeight="1" x14ac:dyDescent="0.3">
      <c r="A934" s="10" t="s">
        <v>78</v>
      </c>
      <c r="B934" s="10" t="s">
        <v>482</v>
      </c>
      <c r="C934" s="10">
        <v>0.61111111111111105</v>
      </c>
      <c r="D934" s="10" t="s">
        <v>83</v>
      </c>
      <c r="E934" s="10" t="s">
        <v>95</v>
      </c>
      <c r="F934" s="10" t="s">
        <v>507</v>
      </c>
      <c r="G934" s="328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9"/>
    </row>
    <row r="935" spans="1:18" ht="15" customHeight="1" x14ac:dyDescent="0.3">
      <c r="A935" s="26" t="s">
        <v>78</v>
      </c>
      <c r="B935" s="26" t="s">
        <v>464</v>
      </c>
      <c r="C935" s="26">
        <v>6.9444444444444441E-3</v>
      </c>
      <c r="D935" s="26" t="s">
        <v>80</v>
      </c>
      <c r="E935" s="26" t="s">
        <v>71</v>
      </c>
      <c r="F935" s="26" t="s">
        <v>465</v>
      </c>
      <c r="G935" s="328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9"/>
    </row>
    <row r="936" spans="1:18" ht="15" customHeight="1" x14ac:dyDescent="0.3">
      <c r="A936" s="10" t="s">
        <v>78</v>
      </c>
      <c r="B936" s="10" t="s">
        <v>464</v>
      </c>
      <c r="C936" s="10">
        <v>6.9444444444444441E-3</v>
      </c>
      <c r="D936" s="10" t="s">
        <v>83</v>
      </c>
      <c r="E936" s="10" t="s">
        <v>95</v>
      </c>
      <c r="F936" s="10" t="s">
        <v>466</v>
      </c>
      <c r="G936" s="328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9"/>
    </row>
    <row r="937" spans="1:18" ht="15" customHeight="1" x14ac:dyDescent="0.3">
      <c r="A937" s="26" t="s">
        <v>78</v>
      </c>
      <c r="B937" s="26" t="s">
        <v>470</v>
      </c>
      <c r="C937" s="26">
        <v>0.71875</v>
      </c>
      <c r="D937" s="26" t="s">
        <v>80</v>
      </c>
      <c r="E937" s="26" t="s">
        <v>71</v>
      </c>
      <c r="F937" s="26" t="s">
        <v>465</v>
      </c>
      <c r="G937" s="328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9"/>
    </row>
    <row r="938" spans="1:18" ht="15" customHeight="1" x14ac:dyDescent="0.3">
      <c r="A938" s="10" t="s">
        <v>78</v>
      </c>
      <c r="B938" s="10" t="s">
        <v>470</v>
      </c>
      <c r="C938" s="10">
        <v>0.71875</v>
      </c>
      <c r="D938" s="10" t="s">
        <v>83</v>
      </c>
      <c r="E938" s="10" t="s">
        <v>95</v>
      </c>
      <c r="F938" s="10" t="s">
        <v>466</v>
      </c>
      <c r="G938" s="328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9"/>
    </row>
    <row r="939" spans="1:18" ht="15" customHeight="1" x14ac:dyDescent="0.3">
      <c r="A939" s="26" t="s">
        <v>78</v>
      </c>
      <c r="B939" s="26" t="s">
        <v>477</v>
      </c>
      <c r="C939" s="26">
        <v>0.82986111111111116</v>
      </c>
      <c r="D939" s="26" t="s">
        <v>80</v>
      </c>
      <c r="E939" s="26" t="s">
        <v>71</v>
      </c>
      <c r="F939" s="26" t="s">
        <v>465</v>
      </c>
      <c r="G939" s="328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9"/>
    </row>
    <row r="940" spans="1:18" ht="15" customHeight="1" x14ac:dyDescent="0.3">
      <c r="A940" s="10" t="s">
        <v>78</v>
      </c>
      <c r="B940" s="10" t="s">
        <v>477</v>
      </c>
      <c r="C940" s="10">
        <v>0.82986111111111116</v>
      </c>
      <c r="D940" s="10" t="s">
        <v>83</v>
      </c>
      <c r="E940" s="10" t="s">
        <v>95</v>
      </c>
      <c r="F940" s="10" t="s">
        <v>466</v>
      </c>
      <c r="G940" s="328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9"/>
    </row>
    <row r="941" spans="1:18" ht="15" customHeight="1" x14ac:dyDescent="0.3">
      <c r="A941" s="26" t="s">
        <v>78</v>
      </c>
      <c r="B941" s="26" t="s">
        <v>469</v>
      </c>
      <c r="C941" s="26">
        <v>0.37847222222222232</v>
      </c>
      <c r="D941" s="26" t="s">
        <v>80</v>
      </c>
      <c r="E941" s="26" t="s">
        <v>71</v>
      </c>
      <c r="F941" s="26" t="s">
        <v>465</v>
      </c>
      <c r="G941" s="328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9"/>
    </row>
    <row r="942" spans="1:18" ht="15" customHeight="1" x14ac:dyDescent="0.3">
      <c r="A942" s="10" t="s">
        <v>78</v>
      </c>
      <c r="B942" s="10" t="s">
        <v>469</v>
      </c>
      <c r="C942" s="10">
        <v>0.37847222222222232</v>
      </c>
      <c r="D942" s="10" t="s">
        <v>83</v>
      </c>
      <c r="E942" s="10" t="s">
        <v>95</v>
      </c>
      <c r="F942" s="10" t="s">
        <v>466</v>
      </c>
      <c r="G942" s="328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9"/>
    </row>
    <row r="943" spans="1:18" ht="15" customHeight="1" x14ac:dyDescent="0.3">
      <c r="A943" s="26" t="s">
        <v>78</v>
      </c>
      <c r="B943" s="26" t="s">
        <v>475</v>
      </c>
      <c r="C943" s="26">
        <v>0.30208333333333331</v>
      </c>
      <c r="D943" s="26" t="s">
        <v>83</v>
      </c>
      <c r="E943" s="26" t="s">
        <v>87</v>
      </c>
      <c r="F943" s="26" t="s">
        <v>638</v>
      </c>
      <c r="G943" s="328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9"/>
    </row>
    <row r="944" spans="1:18" ht="15" customHeight="1" x14ac:dyDescent="0.3">
      <c r="A944" s="26" t="s">
        <v>78</v>
      </c>
      <c r="B944" s="26" t="s">
        <v>476</v>
      </c>
      <c r="C944" s="26">
        <v>0.12847222222222221</v>
      </c>
      <c r="D944" s="26" t="s">
        <v>83</v>
      </c>
      <c r="E944" s="26" t="s">
        <v>87</v>
      </c>
      <c r="F944" s="26" t="s">
        <v>638</v>
      </c>
      <c r="G944" s="328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9"/>
    </row>
    <row r="945" spans="1:18" ht="15" customHeight="1" x14ac:dyDescent="0.3">
      <c r="A945" s="26" t="s">
        <v>78</v>
      </c>
      <c r="B945" s="26" t="s">
        <v>473</v>
      </c>
      <c r="C945" s="26">
        <v>0.88888888888888884</v>
      </c>
      <c r="D945" s="26" t="s">
        <v>83</v>
      </c>
      <c r="E945" s="26" t="s">
        <v>87</v>
      </c>
      <c r="F945" s="26" t="s">
        <v>535</v>
      </c>
      <c r="G945" s="328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9"/>
    </row>
    <row r="946" spans="1:18" ht="15" customHeight="1" x14ac:dyDescent="0.3">
      <c r="A946" s="26" t="s">
        <v>78</v>
      </c>
      <c r="B946" s="26" t="s">
        <v>480</v>
      </c>
      <c r="C946" s="26">
        <v>0.78819444444444453</v>
      </c>
      <c r="D946" s="26" t="s">
        <v>83</v>
      </c>
      <c r="E946" s="26" t="s">
        <v>87</v>
      </c>
      <c r="F946" s="26" t="s">
        <v>535</v>
      </c>
      <c r="G946" s="328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9"/>
    </row>
    <row r="947" spans="1:18" ht="15" customHeight="1" x14ac:dyDescent="0.3">
      <c r="A947" s="26" t="s">
        <v>78</v>
      </c>
      <c r="B947" s="26" t="s">
        <v>467</v>
      </c>
      <c r="C947" s="26">
        <v>0.1423611111111111</v>
      </c>
      <c r="D947" s="26" t="s">
        <v>80</v>
      </c>
      <c r="E947" s="26" t="s">
        <v>71</v>
      </c>
      <c r="F947" s="26" t="s">
        <v>511</v>
      </c>
      <c r="G947" s="328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9"/>
    </row>
    <row r="948" spans="1:18" ht="15" customHeight="1" x14ac:dyDescent="0.3">
      <c r="A948" s="10" t="s">
        <v>78</v>
      </c>
      <c r="B948" s="10" t="s">
        <v>467</v>
      </c>
      <c r="C948" s="10">
        <v>0.1423611111111111</v>
      </c>
      <c r="D948" s="10" t="s">
        <v>83</v>
      </c>
      <c r="E948" s="10" t="s">
        <v>95</v>
      </c>
      <c r="F948" s="10" t="s">
        <v>512</v>
      </c>
      <c r="G948" s="328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9"/>
    </row>
    <row r="949" spans="1:18" ht="15" customHeight="1" x14ac:dyDescent="0.3">
      <c r="A949" s="26" t="s">
        <v>78</v>
      </c>
      <c r="B949" s="26" t="s">
        <v>468</v>
      </c>
      <c r="C949" s="26">
        <v>0.93055555555555547</v>
      </c>
      <c r="D949" s="26" t="s">
        <v>80</v>
      </c>
      <c r="E949" s="26" t="s">
        <v>71</v>
      </c>
      <c r="F949" s="26" t="s">
        <v>511</v>
      </c>
      <c r="G949" s="328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9"/>
    </row>
    <row r="950" spans="1:18" ht="15" customHeight="1" x14ac:dyDescent="0.3">
      <c r="A950" s="27" t="s">
        <v>78</v>
      </c>
      <c r="B950" s="27" t="s">
        <v>468</v>
      </c>
      <c r="C950" s="27">
        <v>0.93055555555555547</v>
      </c>
      <c r="D950" s="27" t="s">
        <v>83</v>
      </c>
      <c r="E950" s="27" t="s">
        <v>95</v>
      </c>
      <c r="F950" s="27" t="s">
        <v>512</v>
      </c>
      <c r="G950" s="328"/>
      <c r="H950" s="28"/>
      <c r="I950" s="29"/>
      <c r="J950" s="29"/>
      <c r="K950" s="29"/>
      <c r="L950" s="29"/>
      <c r="M950" s="29"/>
      <c r="N950" s="29"/>
      <c r="O950" s="29"/>
      <c r="P950" s="29"/>
      <c r="Q950" s="29"/>
      <c r="R950" s="30"/>
    </row>
    <row r="951" spans="1:18" ht="17.399999999999999" customHeight="1" x14ac:dyDescent="0.3">
      <c r="A951" s="360"/>
      <c r="B951" s="361"/>
      <c r="C951" s="361"/>
      <c r="D951" s="361"/>
      <c r="E951" s="361"/>
      <c r="F951" s="361"/>
      <c r="G951" s="361"/>
      <c r="H951" s="361"/>
      <c r="I951" s="361"/>
      <c r="J951" s="361"/>
      <c r="K951" s="361"/>
      <c r="L951" s="361"/>
      <c r="M951" s="361"/>
      <c r="N951" s="361"/>
      <c r="O951" s="361"/>
      <c r="P951" s="361"/>
      <c r="Q951" s="361"/>
      <c r="R951" s="362"/>
    </row>
    <row r="952" spans="1:18" ht="22.05" customHeight="1" x14ac:dyDescent="0.3">
      <c r="A952" s="323" t="s">
        <v>6</v>
      </c>
      <c r="B952" s="324"/>
      <c r="C952" s="324"/>
      <c r="D952" s="324"/>
      <c r="E952" s="324"/>
      <c r="F952" s="324"/>
      <c r="G952" s="2">
        <v>46000</v>
      </c>
      <c r="H952" s="323" t="s">
        <v>7</v>
      </c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</row>
    <row r="953" spans="1:18" ht="24" customHeight="1" x14ac:dyDescent="0.3">
      <c r="A953" s="3" t="s">
        <v>8</v>
      </c>
      <c r="B953" s="3" t="s">
        <v>9</v>
      </c>
      <c r="C953" s="3" t="s">
        <v>10</v>
      </c>
      <c r="D953" s="3" t="s">
        <v>11</v>
      </c>
      <c r="E953" s="3" t="s">
        <v>12</v>
      </c>
      <c r="F953" s="4" t="s">
        <v>13</v>
      </c>
      <c r="G953" s="5" t="s">
        <v>14</v>
      </c>
      <c r="H953" s="3" t="s">
        <v>15</v>
      </c>
      <c r="I953" s="3" t="s">
        <v>16</v>
      </c>
      <c r="J953" s="3" t="s">
        <v>17</v>
      </c>
      <c r="K953" s="3" t="s">
        <v>18</v>
      </c>
      <c r="L953" s="3" t="s">
        <v>19</v>
      </c>
      <c r="M953" s="3" t="s">
        <v>20</v>
      </c>
      <c r="N953" s="3" t="s">
        <v>21</v>
      </c>
      <c r="O953" s="3" t="s">
        <v>22</v>
      </c>
      <c r="P953" s="3" t="s">
        <v>23</v>
      </c>
      <c r="Q953" s="3" t="s">
        <v>24</v>
      </c>
      <c r="R953" s="3" t="s">
        <v>25</v>
      </c>
    </row>
    <row r="954" spans="1:18" ht="15" customHeight="1" x14ac:dyDescent="0.3">
      <c r="A954" s="6" t="s">
        <v>36</v>
      </c>
      <c r="B954" s="6" t="s">
        <v>442</v>
      </c>
      <c r="C954" s="6">
        <v>0.25694444444444448</v>
      </c>
      <c r="D954" s="6" t="s">
        <v>38</v>
      </c>
      <c r="E954" s="6" t="s">
        <v>132</v>
      </c>
      <c r="F954" s="6" t="s">
        <v>664</v>
      </c>
      <c r="G954" s="328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9"/>
    </row>
    <row r="955" spans="1:18" ht="15" customHeight="1" x14ac:dyDescent="0.3">
      <c r="A955" s="10" t="s">
        <v>36</v>
      </c>
      <c r="B955" s="10" t="s">
        <v>442</v>
      </c>
      <c r="C955" s="10">
        <v>0.25694444444444448</v>
      </c>
      <c r="D955" s="10" t="s">
        <v>40</v>
      </c>
      <c r="E955" s="10" t="s">
        <v>115</v>
      </c>
      <c r="F955" s="10" t="s">
        <v>515</v>
      </c>
      <c r="G955" s="328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9"/>
    </row>
    <row r="956" spans="1:18" ht="15" customHeight="1" x14ac:dyDescent="0.3">
      <c r="A956" s="10" t="s">
        <v>36</v>
      </c>
      <c r="B956" s="10" t="s">
        <v>442</v>
      </c>
      <c r="C956" s="10">
        <v>0.25694444444444448</v>
      </c>
      <c r="D956" s="10" t="s">
        <v>42</v>
      </c>
      <c r="E956" s="10" t="s">
        <v>115</v>
      </c>
      <c r="F956" s="10" t="s">
        <v>624</v>
      </c>
      <c r="G956" s="328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9"/>
    </row>
    <row r="957" spans="1:18" ht="15" customHeight="1" x14ac:dyDescent="0.3">
      <c r="A957" s="26" t="s">
        <v>36</v>
      </c>
      <c r="B957" s="26" t="s">
        <v>443</v>
      </c>
      <c r="C957" s="26">
        <v>0.30208333333333331</v>
      </c>
      <c r="D957" s="26" t="s">
        <v>38</v>
      </c>
      <c r="E957" s="26" t="s">
        <v>74</v>
      </c>
      <c r="F957" s="26" t="s">
        <v>620</v>
      </c>
      <c r="G957" s="328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9"/>
    </row>
    <row r="958" spans="1:18" ht="15" customHeight="1" x14ac:dyDescent="0.3">
      <c r="A958" s="10" t="s">
        <v>36</v>
      </c>
      <c r="B958" s="10" t="s">
        <v>443</v>
      </c>
      <c r="C958" s="10">
        <v>0.30208333333333331</v>
      </c>
      <c r="D958" s="10" t="s">
        <v>40</v>
      </c>
      <c r="E958" s="10" t="s">
        <v>122</v>
      </c>
      <c r="F958" s="10" t="s">
        <v>621</v>
      </c>
      <c r="G958" s="328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9"/>
    </row>
    <row r="959" spans="1:18" ht="15" customHeight="1" x14ac:dyDescent="0.3">
      <c r="A959" s="10" t="s">
        <v>36</v>
      </c>
      <c r="B959" s="10" t="s">
        <v>443</v>
      </c>
      <c r="C959" s="10">
        <v>0.30208333333333331</v>
      </c>
      <c r="D959" s="10" t="s">
        <v>42</v>
      </c>
      <c r="E959" s="10" t="s">
        <v>122</v>
      </c>
      <c r="F959" s="10" t="s">
        <v>622</v>
      </c>
      <c r="G959" s="328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9"/>
    </row>
    <row r="960" spans="1:18" ht="15" customHeight="1" x14ac:dyDescent="0.3">
      <c r="A960" s="26" t="s">
        <v>36</v>
      </c>
      <c r="B960" s="26" t="s">
        <v>447</v>
      </c>
      <c r="C960" s="26">
        <v>0.39583333333333331</v>
      </c>
      <c r="D960" s="26" t="s">
        <v>38</v>
      </c>
      <c r="E960" s="26" t="s">
        <v>97</v>
      </c>
      <c r="F960" s="26" t="s">
        <v>620</v>
      </c>
      <c r="G960" s="328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9"/>
    </row>
    <row r="961" spans="1:18" ht="15" customHeight="1" x14ac:dyDescent="0.3">
      <c r="A961" s="10" t="s">
        <v>36</v>
      </c>
      <c r="B961" s="10" t="s">
        <v>447</v>
      </c>
      <c r="C961" s="10">
        <v>0.39583333333333331</v>
      </c>
      <c r="D961" s="10" t="s">
        <v>40</v>
      </c>
      <c r="E961" s="10" t="s">
        <v>104</v>
      </c>
      <c r="F961" s="10" t="s">
        <v>621</v>
      </c>
      <c r="G961" s="328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9"/>
    </row>
    <row r="962" spans="1:18" ht="15" customHeight="1" x14ac:dyDescent="0.3">
      <c r="A962" s="10" t="s">
        <v>36</v>
      </c>
      <c r="B962" s="10" t="s">
        <v>447</v>
      </c>
      <c r="C962" s="10">
        <v>0.39583333333333331</v>
      </c>
      <c r="D962" s="10" t="s">
        <v>42</v>
      </c>
      <c r="E962" s="10" t="s">
        <v>104</v>
      </c>
      <c r="F962" s="10" t="s">
        <v>622</v>
      </c>
      <c r="G962" s="328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9"/>
    </row>
    <row r="963" spans="1:18" ht="15" customHeight="1" x14ac:dyDescent="0.3">
      <c r="A963" s="26" t="s">
        <v>36</v>
      </c>
      <c r="B963" s="26" t="s">
        <v>444</v>
      </c>
      <c r="C963" s="26">
        <v>0.51736111111111105</v>
      </c>
      <c r="D963" s="26" t="s">
        <v>38</v>
      </c>
      <c r="E963" s="26" t="s">
        <v>152</v>
      </c>
      <c r="F963" s="26" t="s">
        <v>530</v>
      </c>
      <c r="G963" s="328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9"/>
    </row>
    <row r="964" spans="1:18" ht="15" customHeight="1" x14ac:dyDescent="0.3">
      <c r="A964" s="10" t="s">
        <v>36</v>
      </c>
      <c r="B964" s="10" t="s">
        <v>444</v>
      </c>
      <c r="C964" s="10">
        <v>0.51736111111111105</v>
      </c>
      <c r="D964" s="10" t="s">
        <v>40</v>
      </c>
      <c r="E964" s="10" t="s">
        <v>84</v>
      </c>
      <c r="F964" s="10" t="s">
        <v>514</v>
      </c>
      <c r="G964" s="328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9"/>
    </row>
    <row r="965" spans="1:18" ht="15" customHeight="1" x14ac:dyDescent="0.3">
      <c r="A965" s="10" t="s">
        <v>36</v>
      </c>
      <c r="B965" s="10" t="s">
        <v>444</v>
      </c>
      <c r="C965" s="10">
        <v>0.51736111111111105</v>
      </c>
      <c r="D965" s="10" t="s">
        <v>42</v>
      </c>
      <c r="E965" s="10" t="s">
        <v>84</v>
      </c>
      <c r="F965" s="10" t="s">
        <v>414</v>
      </c>
      <c r="G965" s="328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9"/>
    </row>
    <row r="966" spans="1:18" ht="15" customHeight="1" x14ac:dyDescent="0.3">
      <c r="A966" s="26" t="s">
        <v>36</v>
      </c>
      <c r="B966" s="26" t="s">
        <v>445</v>
      </c>
      <c r="C966" s="26">
        <v>0.79861111111111116</v>
      </c>
      <c r="D966" s="26" t="s">
        <v>38</v>
      </c>
      <c r="E966" s="26" t="s">
        <v>54</v>
      </c>
      <c r="F966" s="26" t="s">
        <v>530</v>
      </c>
      <c r="G966" s="328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9"/>
    </row>
    <row r="967" spans="1:18" ht="15" customHeight="1" x14ac:dyDescent="0.3">
      <c r="A967" s="10" t="s">
        <v>36</v>
      </c>
      <c r="B967" s="10" t="s">
        <v>445</v>
      </c>
      <c r="C967" s="10">
        <v>0.79861111111111116</v>
      </c>
      <c r="D967" s="10" t="s">
        <v>40</v>
      </c>
      <c r="E967" s="10" t="s">
        <v>161</v>
      </c>
      <c r="F967" s="10" t="s">
        <v>514</v>
      </c>
      <c r="G967" s="328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9"/>
    </row>
    <row r="968" spans="1:18" ht="15" customHeight="1" x14ac:dyDescent="0.3">
      <c r="A968" s="10" t="s">
        <v>36</v>
      </c>
      <c r="B968" s="10" t="s">
        <v>445</v>
      </c>
      <c r="C968" s="10">
        <v>0.79861111111111116</v>
      </c>
      <c r="D968" s="10" t="s">
        <v>42</v>
      </c>
      <c r="E968" s="10" t="s">
        <v>161</v>
      </c>
      <c r="F968" s="10" t="s">
        <v>414</v>
      </c>
      <c r="G968" s="328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9"/>
    </row>
    <row r="969" spans="1:18" ht="15" customHeight="1" x14ac:dyDescent="0.3">
      <c r="A969" s="26" t="s">
        <v>36</v>
      </c>
      <c r="B969" s="26" t="s">
        <v>446</v>
      </c>
      <c r="C969" s="26">
        <v>0.64583333333333337</v>
      </c>
      <c r="D969" s="26" t="s">
        <v>38</v>
      </c>
      <c r="E969" s="26" t="s">
        <v>90</v>
      </c>
      <c r="F969" s="26" t="s">
        <v>530</v>
      </c>
      <c r="G969" s="328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9"/>
    </row>
    <row r="970" spans="1:18" ht="15" customHeight="1" x14ac:dyDescent="0.3">
      <c r="A970" s="10" t="s">
        <v>36</v>
      </c>
      <c r="B970" s="10" t="s">
        <v>446</v>
      </c>
      <c r="C970" s="10">
        <v>0.64583333333333337</v>
      </c>
      <c r="D970" s="10" t="s">
        <v>40</v>
      </c>
      <c r="E970" s="10" t="s">
        <v>92</v>
      </c>
      <c r="F970" s="10" t="s">
        <v>514</v>
      </c>
      <c r="G970" s="328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9"/>
    </row>
    <row r="971" spans="1:18" ht="15" customHeight="1" x14ac:dyDescent="0.3">
      <c r="A971" s="10" t="s">
        <v>36</v>
      </c>
      <c r="B971" s="10" t="s">
        <v>446</v>
      </c>
      <c r="C971" s="10">
        <v>0.64583333333333337</v>
      </c>
      <c r="D971" s="10" t="s">
        <v>42</v>
      </c>
      <c r="E971" s="10" t="s">
        <v>92</v>
      </c>
      <c r="F971" s="10" t="s">
        <v>414</v>
      </c>
      <c r="G971" s="328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9"/>
    </row>
    <row r="972" spans="1:18" ht="15" customHeight="1" x14ac:dyDescent="0.3">
      <c r="A972" s="26" t="s">
        <v>36</v>
      </c>
      <c r="B972" s="26" t="s">
        <v>435</v>
      </c>
      <c r="C972" s="26">
        <v>0.90277777777777779</v>
      </c>
      <c r="D972" s="26" t="s">
        <v>38</v>
      </c>
      <c r="E972" s="26" t="s">
        <v>113</v>
      </c>
      <c r="F972" s="26" t="s">
        <v>436</v>
      </c>
      <c r="G972" s="328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9"/>
    </row>
    <row r="973" spans="1:18" ht="15" customHeight="1" x14ac:dyDescent="0.3">
      <c r="A973" s="10" t="s">
        <v>36</v>
      </c>
      <c r="B973" s="10" t="s">
        <v>435</v>
      </c>
      <c r="C973" s="10">
        <v>0.90277777777777779</v>
      </c>
      <c r="D973" s="10" t="s">
        <v>40</v>
      </c>
      <c r="E973" s="10" t="s">
        <v>136</v>
      </c>
      <c r="F973" s="10" t="s">
        <v>437</v>
      </c>
      <c r="G973" s="328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9"/>
    </row>
    <row r="974" spans="1:18" ht="15" customHeight="1" x14ac:dyDescent="0.3">
      <c r="A974" s="10" t="s">
        <v>36</v>
      </c>
      <c r="B974" s="10" t="s">
        <v>435</v>
      </c>
      <c r="C974" s="10">
        <v>0.90277777777777779</v>
      </c>
      <c r="D974" s="10" t="s">
        <v>42</v>
      </c>
      <c r="E974" s="10" t="s">
        <v>136</v>
      </c>
      <c r="F974" s="10" t="s">
        <v>39</v>
      </c>
      <c r="G974" s="328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9"/>
    </row>
    <row r="975" spans="1:18" ht="15" customHeight="1" x14ac:dyDescent="0.3">
      <c r="A975" s="26" t="s">
        <v>36</v>
      </c>
      <c r="B975" s="26" t="s">
        <v>438</v>
      </c>
      <c r="C975" s="26">
        <v>0.85416666666666663</v>
      </c>
      <c r="D975" s="26" t="s">
        <v>38</v>
      </c>
      <c r="E975" s="26" t="s">
        <v>74</v>
      </c>
      <c r="F975" s="26" t="s">
        <v>448</v>
      </c>
      <c r="G975" s="328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9"/>
    </row>
    <row r="976" spans="1:18" ht="15" customHeight="1" x14ac:dyDescent="0.3">
      <c r="A976" s="10" t="s">
        <v>36</v>
      </c>
      <c r="B976" s="10" t="s">
        <v>438</v>
      </c>
      <c r="C976" s="10">
        <v>0.85416666666666663</v>
      </c>
      <c r="D976" s="10" t="s">
        <v>40</v>
      </c>
      <c r="E976" s="10" t="s">
        <v>122</v>
      </c>
      <c r="F976" s="10" t="s">
        <v>449</v>
      </c>
      <c r="G976" s="328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9"/>
    </row>
    <row r="977" spans="1:18" ht="15" customHeight="1" x14ac:dyDescent="0.3">
      <c r="A977" s="10" t="s">
        <v>36</v>
      </c>
      <c r="B977" s="10" t="s">
        <v>438</v>
      </c>
      <c r="C977" s="10">
        <v>0.85416666666666663</v>
      </c>
      <c r="D977" s="10" t="s">
        <v>42</v>
      </c>
      <c r="E977" s="10" t="s">
        <v>122</v>
      </c>
      <c r="F977" s="10" t="s">
        <v>450</v>
      </c>
      <c r="G977" s="328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9"/>
    </row>
    <row r="978" spans="1:18" ht="15" customHeight="1" x14ac:dyDescent="0.3">
      <c r="A978" s="11" t="s">
        <v>456</v>
      </c>
      <c r="B978" s="11" t="s">
        <v>457</v>
      </c>
      <c r="C978" s="11">
        <v>0.22222222222222221</v>
      </c>
      <c r="D978" s="11" t="s">
        <v>458</v>
      </c>
      <c r="E978" s="11" t="s">
        <v>123</v>
      </c>
      <c r="F978" s="11" t="s">
        <v>657</v>
      </c>
      <c r="G978" s="328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9"/>
    </row>
    <row r="979" spans="1:18" ht="15" customHeight="1" x14ac:dyDescent="0.3">
      <c r="A979" s="10" t="s">
        <v>456</v>
      </c>
      <c r="B979" s="10" t="s">
        <v>457</v>
      </c>
      <c r="C979" s="10">
        <v>0.22222222222222221</v>
      </c>
      <c r="D979" s="10" t="s">
        <v>34</v>
      </c>
      <c r="E979" s="10" t="s">
        <v>124</v>
      </c>
      <c r="F979" s="10" t="s">
        <v>658</v>
      </c>
      <c r="G979" s="328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9"/>
    </row>
    <row r="980" spans="1:18" ht="15" customHeight="1" x14ac:dyDescent="0.3">
      <c r="A980" s="11" t="s">
        <v>26</v>
      </c>
      <c r="B980" s="11" t="s">
        <v>451</v>
      </c>
      <c r="C980" s="11">
        <v>0.12847222222222221</v>
      </c>
      <c r="D980" s="11" t="s">
        <v>28</v>
      </c>
      <c r="E980" s="11" t="s">
        <v>639</v>
      </c>
      <c r="F980" s="11" t="s">
        <v>513</v>
      </c>
      <c r="G980" s="328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9"/>
    </row>
    <row r="981" spans="1:18" ht="15" customHeight="1" x14ac:dyDescent="0.3">
      <c r="A981" s="10" t="s">
        <v>26</v>
      </c>
      <c r="B981" s="10" t="s">
        <v>451</v>
      </c>
      <c r="C981" s="10">
        <v>0.12847222222222221</v>
      </c>
      <c r="D981" s="10" t="s">
        <v>31</v>
      </c>
      <c r="E981" s="10" t="s">
        <v>640</v>
      </c>
      <c r="F981" s="10" t="s">
        <v>514</v>
      </c>
      <c r="G981" s="328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9"/>
    </row>
    <row r="982" spans="1:18" ht="15" customHeight="1" x14ac:dyDescent="0.3">
      <c r="A982" s="10" t="s">
        <v>26</v>
      </c>
      <c r="B982" s="10" t="s">
        <v>451</v>
      </c>
      <c r="C982" s="10">
        <v>0.12847222222222221</v>
      </c>
      <c r="D982" s="10" t="s">
        <v>34</v>
      </c>
      <c r="E982" s="10" t="s">
        <v>640</v>
      </c>
      <c r="F982" s="10" t="s">
        <v>35</v>
      </c>
      <c r="G982" s="328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9"/>
    </row>
    <row r="983" spans="1:18" ht="15" customHeight="1" x14ac:dyDescent="0.3">
      <c r="A983" s="26" t="s">
        <v>26</v>
      </c>
      <c r="B983" s="26" t="s">
        <v>453</v>
      </c>
      <c r="C983" s="26">
        <v>0.30208333333333331</v>
      </c>
      <c r="D983" s="26" t="s">
        <v>28</v>
      </c>
      <c r="E983" s="26" t="s">
        <v>97</v>
      </c>
      <c r="F983" s="26" t="s">
        <v>513</v>
      </c>
      <c r="G983" s="328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9"/>
    </row>
    <row r="984" spans="1:18" ht="15" customHeight="1" x14ac:dyDescent="0.3">
      <c r="A984" s="10" t="s">
        <v>26</v>
      </c>
      <c r="B984" s="10" t="s">
        <v>453</v>
      </c>
      <c r="C984" s="10">
        <v>0.30208333333333331</v>
      </c>
      <c r="D984" s="10" t="s">
        <v>31</v>
      </c>
      <c r="E984" s="10" t="s">
        <v>104</v>
      </c>
      <c r="F984" s="10" t="s">
        <v>514</v>
      </c>
      <c r="G984" s="328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9"/>
    </row>
    <row r="985" spans="1:18" ht="15" customHeight="1" x14ac:dyDescent="0.3">
      <c r="A985" s="10" t="s">
        <v>26</v>
      </c>
      <c r="B985" s="10" t="s">
        <v>453</v>
      </c>
      <c r="C985" s="10">
        <v>0.30208333333333331</v>
      </c>
      <c r="D985" s="10" t="s">
        <v>34</v>
      </c>
      <c r="E985" s="10" t="s">
        <v>104</v>
      </c>
      <c r="F985" s="10" t="s">
        <v>35</v>
      </c>
      <c r="G985" s="328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9"/>
    </row>
    <row r="986" spans="1:18" ht="15" customHeight="1" x14ac:dyDescent="0.3">
      <c r="A986" s="26" t="s">
        <v>26</v>
      </c>
      <c r="B986" s="26" t="s">
        <v>454</v>
      </c>
      <c r="C986" s="26">
        <v>0.88888888888888884</v>
      </c>
      <c r="D986" s="26" t="s">
        <v>28</v>
      </c>
      <c r="E986" s="26" t="s">
        <v>566</v>
      </c>
      <c r="F986" s="26" t="s">
        <v>498</v>
      </c>
      <c r="G986" s="328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9"/>
    </row>
    <row r="987" spans="1:18" ht="15" customHeight="1" x14ac:dyDescent="0.3">
      <c r="A987" s="10" t="s">
        <v>26</v>
      </c>
      <c r="B987" s="10" t="s">
        <v>454</v>
      </c>
      <c r="C987" s="10">
        <v>0.88888888888888884</v>
      </c>
      <c r="D987" s="10" t="s">
        <v>31</v>
      </c>
      <c r="E987" s="10" t="s">
        <v>149</v>
      </c>
      <c r="F987" s="10" t="s">
        <v>499</v>
      </c>
      <c r="G987" s="328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9"/>
    </row>
    <row r="988" spans="1:18" ht="15" customHeight="1" x14ac:dyDescent="0.3">
      <c r="A988" s="10" t="s">
        <v>26</v>
      </c>
      <c r="B988" s="10" t="s">
        <v>454</v>
      </c>
      <c r="C988" s="10">
        <v>0.88888888888888884</v>
      </c>
      <c r="D988" s="10" t="s">
        <v>34</v>
      </c>
      <c r="E988" s="10" t="s">
        <v>149</v>
      </c>
      <c r="F988" s="10" t="s">
        <v>35</v>
      </c>
      <c r="G988" s="328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9"/>
    </row>
    <row r="989" spans="1:18" ht="15" customHeight="1" x14ac:dyDescent="0.3">
      <c r="A989" s="26" t="s">
        <v>26</v>
      </c>
      <c r="B989" s="26" t="s">
        <v>455</v>
      </c>
      <c r="C989" s="26">
        <v>0.78819444444444453</v>
      </c>
      <c r="D989" s="26" t="s">
        <v>28</v>
      </c>
      <c r="E989" s="26" t="s">
        <v>641</v>
      </c>
      <c r="F989" s="26" t="s">
        <v>452</v>
      </c>
      <c r="G989" s="328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9"/>
    </row>
    <row r="990" spans="1:18" ht="15" customHeight="1" x14ac:dyDescent="0.3">
      <c r="A990" s="10" t="s">
        <v>26</v>
      </c>
      <c r="B990" s="10" t="s">
        <v>455</v>
      </c>
      <c r="C990" s="10">
        <v>0.78819444444444453</v>
      </c>
      <c r="D990" s="10" t="s">
        <v>31</v>
      </c>
      <c r="E990" s="10" t="s">
        <v>181</v>
      </c>
      <c r="F990" s="10" t="s">
        <v>179</v>
      </c>
      <c r="G990" s="328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9"/>
    </row>
    <row r="991" spans="1:18" ht="15" customHeight="1" x14ac:dyDescent="0.3">
      <c r="A991" s="10" t="s">
        <v>26</v>
      </c>
      <c r="B991" s="10" t="s">
        <v>455</v>
      </c>
      <c r="C991" s="10">
        <v>0.78819444444444453</v>
      </c>
      <c r="D991" s="10" t="s">
        <v>34</v>
      </c>
      <c r="E991" s="10" t="s">
        <v>181</v>
      </c>
      <c r="F991" s="10" t="s">
        <v>35</v>
      </c>
      <c r="G991" s="328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9"/>
    </row>
    <row r="992" spans="1:18" ht="15" customHeight="1" x14ac:dyDescent="0.3">
      <c r="A992" s="11" t="s">
        <v>404</v>
      </c>
      <c r="B992" s="11" t="s">
        <v>408</v>
      </c>
      <c r="C992" s="11">
        <v>0.73958333333333337</v>
      </c>
      <c r="D992" s="11" t="s">
        <v>406</v>
      </c>
      <c r="E992" s="11" t="s">
        <v>47</v>
      </c>
      <c r="F992" s="11" t="s">
        <v>407</v>
      </c>
      <c r="G992" s="328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9"/>
    </row>
    <row r="993" spans="1:18" ht="15" customHeight="1" x14ac:dyDescent="0.3">
      <c r="A993" s="26" t="s">
        <v>404</v>
      </c>
      <c r="B993" s="26" t="s">
        <v>405</v>
      </c>
      <c r="C993" s="26">
        <v>0.27430555555555552</v>
      </c>
      <c r="D993" s="26" t="s">
        <v>406</v>
      </c>
      <c r="E993" s="26" t="s">
        <v>71</v>
      </c>
      <c r="F993" s="26" t="s">
        <v>407</v>
      </c>
      <c r="G993" s="328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9"/>
    </row>
    <row r="994" spans="1:18" ht="15" customHeight="1" x14ac:dyDescent="0.3">
      <c r="A994" s="75" t="s">
        <v>44</v>
      </c>
      <c r="B994" s="75" t="s">
        <v>520</v>
      </c>
      <c r="C994" s="75">
        <v>0.55902777777777779</v>
      </c>
      <c r="D994" s="75" t="s">
        <v>46</v>
      </c>
      <c r="E994" s="75" t="s">
        <v>134</v>
      </c>
      <c r="F994" s="75" t="s">
        <v>374</v>
      </c>
      <c r="G994" s="328"/>
      <c r="H994" s="76" t="s">
        <v>432</v>
      </c>
      <c r="I994" s="187">
        <v>0.57540000000000002</v>
      </c>
      <c r="J994" s="78">
        <v>103</v>
      </c>
      <c r="K994" s="79" t="s">
        <v>50</v>
      </c>
      <c r="L994" s="78">
        <v>3</v>
      </c>
      <c r="M994" s="78">
        <v>0</v>
      </c>
      <c r="N994" s="78">
        <v>2</v>
      </c>
      <c r="O994" s="79" t="s">
        <v>547</v>
      </c>
      <c r="P994" s="79">
        <v>0.55902777777777779</v>
      </c>
      <c r="Q994" s="78">
        <v>179</v>
      </c>
      <c r="R994" s="80" t="s">
        <v>665</v>
      </c>
    </row>
    <row r="995" spans="1:18" ht="15" customHeight="1" x14ac:dyDescent="0.3">
      <c r="A995" s="202" t="s">
        <v>44</v>
      </c>
      <c r="B995" s="202" t="s">
        <v>419</v>
      </c>
      <c r="C995" s="202">
        <v>0.22916666666666671</v>
      </c>
      <c r="D995" s="202" t="s">
        <v>46</v>
      </c>
      <c r="E995" s="202" t="s">
        <v>74</v>
      </c>
      <c r="F995" s="202" t="s">
        <v>374</v>
      </c>
      <c r="G995" s="328"/>
      <c r="H995" s="52" t="s">
        <v>420</v>
      </c>
      <c r="I995" s="203">
        <v>9.5000000000000001E-2</v>
      </c>
      <c r="J995" s="54">
        <v>17</v>
      </c>
      <c r="K995" s="55" t="s">
        <v>175</v>
      </c>
      <c r="L995" s="54">
        <v>6</v>
      </c>
      <c r="M995" s="54">
        <v>2</v>
      </c>
      <c r="N995" s="54">
        <v>1</v>
      </c>
      <c r="O995" s="55" t="s">
        <v>356</v>
      </c>
      <c r="P995" s="55">
        <v>0.22916666666666671</v>
      </c>
      <c r="Q995" s="54">
        <v>179</v>
      </c>
      <c r="R995" s="56" t="s">
        <v>666</v>
      </c>
    </row>
    <row r="996" spans="1:18" ht="15" customHeight="1" x14ac:dyDescent="0.3">
      <c r="A996" s="87" t="s">
        <v>44</v>
      </c>
      <c r="B996" s="87" t="s">
        <v>425</v>
      </c>
      <c r="C996" s="87">
        <v>0.61458333333333337</v>
      </c>
      <c r="D996" s="87" t="s">
        <v>46</v>
      </c>
      <c r="E996" s="87" t="s">
        <v>74</v>
      </c>
      <c r="F996" s="87" t="s">
        <v>416</v>
      </c>
      <c r="G996" s="328"/>
      <c r="H996" s="76" t="s">
        <v>427</v>
      </c>
      <c r="I996" s="187">
        <v>0.83799999999999997</v>
      </c>
      <c r="J996" s="78">
        <v>150</v>
      </c>
      <c r="K996" s="79" t="s">
        <v>378</v>
      </c>
      <c r="L996" s="78">
        <v>6</v>
      </c>
      <c r="M996" s="78">
        <v>0</v>
      </c>
      <c r="N996" s="78">
        <v>0</v>
      </c>
      <c r="O996" s="79" t="s">
        <v>526</v>
      </c>
      <c r="P996" s="79">
        <v>0.61458333333333337</v>
      </c>
      <c r="Q996" s="78">
        <v>179</v>
      </c>
      <c r="R996" s="80" t="s">
        <v>667</v>
      </c>
    </row>
    <row r="997" spans="1:18" ht="15" customHeight="1" x14ac:dyDescent="0.3">
      <c r="A997" s="57" t="s">
        <v>44</v>
      </c>
      <c r="B997" s="57" t="s">
        <v>415</v>
      </c>
      <c r="C997" s="57">
        <v>0.96875</v>
      </c>
      <c r="D997" s="57" t="s">
        <v>46</v>
      </c>
      <c r="E997" s="57" t="s">
        <v>71</v>
      </c>
      <c r="F997" s="57" t="s">
        <v>416</v>
      </c>
      <c r="G997" s="328"/>
      <c r="H997" s="58" t="s">
        <v>417</v>
      </c>
      <c r="I997" s="205">
        <v>0.1173</v>
      </c>
      <c r="J997" s="60">
        <v>21</v>
      </c>
      <c r="K997" s="61" t="s">
        <v>311</v>
      </c>
      <c r="L997" s="60">
        <v>11</v>
      </c>
      <c r="M997" s="60">
        <v>0</v>
      </c>
      <c r="N997" s="60">
        <v>0</v>
      </c>
      <c r="O997" s="61" t="s">
        <v>237</v>
      </c>
      <c r="P997" s="61">
        <v>0.96875</v>
      </c>
      <c r="Q997" s="60">
        <v>179</v>
      </c>
      <c r="R997" s="62" t="s">
        <v>668</v>
      </c>
    </row>
    <row r="998" spans="1:18" ht="15" customHeight="1" x14ac:dyDescent="0.3">
      <c r="A998" s="87" t="s">
        <v>44</v>
      </c>
      <c r="B998" s="87" t="s">
        <v>422</v>
      </c>
      <c r="C998" s="87">
        <v>0.93402777777777779</v>
      </c>
      <c r="D998" s="87" t="s">
        <v>46</v>
      </c>
      <c r="E998" s="87" t="s">
        <v>152</v>
      </c>
      <c r="F998" s="87" t="s">
        <v>416</v>
      </c>
      <c r="G998" s="328"/>
      <c r="H998" s="76" t="s">
        <v>423</v>
      </c>
      <c r="I998" s="77">
        <v>0.88829999999999998</v>
      </c>
      <c r="J998" s="78">
        <v>159</v>
      </c>
      <c r="K998" s="79" t="s">
        <v>50</v>
      </c>
      <c r="L998" s="78">
        <v>12</v>
      </c>
      <c r="M998" s="78">
        <v>0</v>
      </c>
      <c r="N998" s="78">
        <v>2</v>
      </c>
      <c r="O998" s="79" t="s">
        <v>286</v>
      </c>
      <c r="P998" s="79">
        <v>0.93402777777777779</v>
      </c>
      <c r="Q998" s="78">
        <v>179</v>
      </c>
      <c r="R998" s="80" t="s">
        <v>669</v>
      </c>
    </row>
    <row r="999" spans="1:18" ht="15" customHeight="1" x14ac:dyDescent="0.3">
      <c r="A999" s="81" t="s">
        <v>44</v>
      </c>
      <c r="B999" s="81" t="s">
        <v>429</v>
      </c>
      <c r="C999" s="81">
        <v>0.72916666666666663</v>
      </c>
      <c r="D999" s="81" t="s">
        <v>46</v>
      </c>
      <c r="E999" s="81" t="s">
        <v>71</v>
      </c>
      <c r="F999" s="81" t="s">
        <v>416</v>
      </c>
      <c r="G999" s="328"/>
      <c r="H999" s="82" t="s">
        <v>430</v>
      </c>
      <c r="I999" s="204">
        <v>0.5363</v>
      </c>
      <c r="J999" s="84">
        <v>96</v>
      </c>
      <c r="K999" s="85" t="s">
        <v>378</v>
      </c>
      <c r="L999" s="84">
        <v>7</v>
      </c>
      <c r="M999" s="84">
        <v>0</v>
      </c>
      <c r="N999" s="84">
        <v>0</v>
      </c>
      <c r="O999" s="85" t="s">
        <v>237</v>
      </c>
      <c r="P999" s="85">
        <v>0.72916666666666663</v>
      </c>
      <c r="Q999" s="84">
        <v>179</v>
      </c>
      <c r="R999" s="86" t="s">
        <v>670</v>
      </c>
    </row>
    <row r="1000" spans="1:18" ht="15" customHeight="1" x14ac:dyDescent="0.3">
      <c r="A1000" s="11" t="s">
        <v>410</v>
      </c>
      <c r="B1000" s="11" t="s">
        <v>412</v>
      </c>
      <c r="C1000" s="11">
        <v>4.5138888888888888E-2</v>
      </c>
      <c r="D1000" s="11" t="s">
        <v>406</v>
      </c>
      <c r="E1000" s="11" t="s">
        <v>47</v>
      </c>
      <c r="F1000" s="11" t="s">
        <v>374</v>
      </c>
      <c r="G1000" s="328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9"/>
    </row>
    <row r="1001" spans="1:18" ht="15" customHeight="1" x14ac:dyDescent="0.3">
      <c r="A1001" s="26" t="s">
        <v>410</v>
      </c>
      <c r="B1001" s="26" t="s">
        <v>413</v>
      </c>
      <c r="C1001" s="26">
        <v>0.66666666666666663</v>
      </c>
      <c r="D1001" s="26" t="s">
        <v>406</v>
      </c>
      <c r="E1001" s="26" t="s">
        <v>71</v>
      </c>
      <c r="F1001" s="26" t="s">
        <v>374</v>
      </c>
      <c r="G1001" s="328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9"/>
    </row>
    <row r="1002" spans="1:18" ht="15" customHeight="1" x14ac:dyDescent="0.3">
      <c r="A1002" s="11" t="s">
        <v>78</v>
      </c>
      <c r="B1002" s="11" t="s">
        <v>467</v>
      </c>
      <c r="C1002" s="11">
        <v>0.1423611111111111</v>
      </c>
      <c r="D1002" s="11" t="s">
        <v>80</v>
      </c>
      <c r="E1002" s="11" t="s">
        <v>47</v>
      </c>
      <c r="F1002" s="11" t="s">
        <v>462</v>
      </c>
      <c r="G1002" s="328"/>
      <c r="H1002" s="7"/>
      <c r="I1002" s="8"/>
      <c r="J1002" s="8"/>
      <c r="K1002" s="8"/>
      <c r="L1002" s="8"/>
      <c r="M1002" s="8"/>
      <c r="N1002" s="8"/>
      <c r="O1002" s="8"/>
      <c r="P1002" s="8"/>
      <c r="Q1002" s="8"/>
      <c r="R1002" s="9"/>
    </row>
    <row r="1003" spans="1:18" ht="15" customHeight="1" x14ac:dyDescent="0.3">
      <c r="A1003" s="10" t="s">
        <v>78</v>
      </c>
      <c r="B1003" s="10" t="s">
        <v>467</v>
      </c>
      <c r="C1003" s="10">
        <v>0.1423611111111111</v>
      </c>
      <c r="D1003" s="10" t="s">
        <v>83</v>
      </c>
      <c r="E1003" s="10" t="s">
        <v>95</v>
      </c>
      <c r="F1003" s="10" t="s">
        <v>463</v>
      </c>
      <c r="G1003" s="328"/>
      <c r="H1003" s="7"/>
      <c r="I1003" s="8"/>
      <c r="J1003" s="8"/>
      <c r="K1003" s="8"/>
      <c r="L1003" s="8"/>
      <c r="M1003" s="8"/>
      <c r="N1003" s="8"/>
      <c r="O1003" s="8"/>
      <c r="P1003" s="8"/>
      <c r="Q1003" s="8"/>
      <c r="R1003" s="9"/>
    </row>
    <row r="1004" spans="1:18" ht="15" customHeight="1" x14ac:dyDescent="0.3">
      <c r="A1004" s="26" t="s">
        <v>78</v>
      </c>
      <c r="B1004" s="26" t="s">
        <v>469</v>
      </c>
      <c r="C1004" s="26">
        <v>0.37847222222222232</v>
      </c>
      <c r="D1004" s="26" t="s">
        <v>80</v>
      </c>
      <c r="E1004" s="26" t="s">
        <v>71</v>
      </c>
      <c r="F1004" s="26" t="s">
        <v>462</v>
      </c>
      <c r="G1004" s="328"/>
      <c r="H1004" s="7"/>
      <c r="I1004" s="8"/>
      <c r="J1004" s="8"/>
      <c r="K1004" s="8"/>
      <c r="L1004" s="8"/>
      <c r="M1004" s="8"/>
      <c r="N1004" s="8"/>
      <c r="O1004" s="8"/>
      <c r="P1004" s="8"/>
      <c r="Q1004" s="8"/>
      <c r="R1004" s="9"/>
    </row>
    <row r="1005" spans="1:18" ht="15" customHeight="1" x14ac:dyDescent="0.3">
      <c r="A1005" s="10" t="s">
        <v>78</v>
      </c>
      <c r="B1005" s="10" t="s">
        <v>469</v>
      </c>
      <c r="C1005" s="10">
        <v>0.37847222222222232</v>
      </c>
      <c r="D1005" s="10" t="s">
        <v>83</v>
      </c>
      <c r="E1005" s="10" t="s">
        <v>95</v>
      </c>
      <c r="F1005" s="10" t="s">
        <v>463</v>
      </c>
      <c r="G1005" s="328"/>
      <c r="H1005" s="7"/>
      <c r="I1005" s="8"/>
      <c r="J1005" s="8"/>
      <c r="K1005" s="8"/>
      <c r="L1005" s="8"/>
      <c r="M1005" s="8"/>
      <c r="N1005" s="8"/>
      <c r="O1005" s="8"/>
      <c r="P1005" s="8"/>
      <c r="Q1005" s="8"/>
      <c r="R1005" s="9"/>
    </row>
    <row r="1006" spans="1:18" ht="15" customHeight="1" x14ac:dyDescent="0.3">
      <c r="A1006" s="26" t="s">
        <v>78</v>
      </c>
      <c r="B1006" s="26" t="s">
        <v>482</v>
      </c>
      <c r="C1006" s="26">
        <v>0.61111111111111105</v>
      </c>
      <c r="D1006" s="26" t="s">
        <v>80</v>
      </c>
      <c r="E1006" s="26" t="s">
        <v>71</v>
      </c>
      <c r="F1006" s="26" t="s">
        <v>462</v>
      </c>
      <c r="G1006" s="328"/>
      <c r="H1006" s="7"/>
      <c r="I1006" s="8"/>
      <c r="J1006" s="8"/>
      <c r="K1006" s="8"/>
      <c r="L1006" s="8"/>
      <c r="M1006" s="8"/>
      <c r="N1006" s="8"/>
      <c r="O1006" s="8"/>
      <c r="P1006" s="8"/>
      <c r="Q1006" s="8"/>
      <c r="R1006" s="9"/>
    </row>
    <row r="1007" spans="1:18" ht="15" customHeight="1" x14ac:dyDescent="0.3">
      <c r="A1007" s="10" t="s">
        <v>78</v>
      </c>
      <c r="B1007" s="10" t="s">
        <v>482</v>
      </c>
      <c r="C1007" s="10">
        <v>0.61111111111111105</v>
      </c>
      <c r="D1007" s="10" t="s">
        <v>83</v>
      </c>
      <c r="E1007" s="10" t="s">
        <v>95</v>
      </c>
      <c r="F1007" s="10" t="s">
        <v>463</v>
      </c>
      <c r="G1007" s="328"/>
      <c r="H1007" s="7"/>
      <c r="I1007" s="8"/>
      <c r="J1007" s="8"/>
      <c r="K1007" s="8"/>
      <c r="L1007" s="8"/>
      <c r="M1007" s="8"/>
      <c r="N1007" s="8"/>
      <c r="O1007" s="8"/>
      <c r="P1007" s="8"/>
      <c r="Q1007" s="8"/>
      <c r="R1007" s="9"/>
    </row>
    <row r="1008" spans="1:18" ht="15" customHeight="1" x14ac:dyDescent="0.3">
      <c r="A1008" s="26" t="s">
        <v>78</v>
      </c>
      <c r="B1008" s="26" t="s">
        <v>461</v>
      </c>
      <c r="C1008" s="26">
        <v>0.23958333333333329</v>
      </c>
      <c r="D1008" s="26" t="s">
        <v>80</v>
      </c>
      <c r="E1008" s="26" t="s">
        <v>71</v>
      </c>
      <c r="F1008" s="26" t="s">
        <v>462</v>
      </c>
      <c r="G1008" s="328"/>
      <c r="H1008" s="7"/>
      <c r="I1008" s="8"/>
      <c r="J1008" s="8"/>
      <c r="K1008" s="8"/>
      <c r="L1008" s="8"/>
      <c r="M1008" s="8"/>
      <c r="N1008" s="8"/>
      <c r="O1008" s="8"/>
      <c r="P1008" s="8"/>
      <c r="Q1008" s="8"/>
      <c r="R1008" s="9"/>
    </row>
    <row r="1009" spans="1:18" ht="15" customHeight="1" x14ac:dyDescent="0.3">
      <c r="A1009" s="10" t="s">
        <v>78</v>
      </c>
      <c r="B1009" s="10" t="s">
        <v>461</v>
      </c>
      <c r="C1009" s="10">
        <v>0.23958333333333329</v>
      </c>
      <c r="D1009" s="10" t="s">
        <v>83</v>
      </c>
      <c r="E1009" s="10" t="s">
        <v>95</v>
      </c>
      <c r="F1009" s="10" t="s">
        <v>463</v>
      </c>
      <c r="G1009" s="328"/>
      <c r="H1009" s="7"/>
      <c r="I1009" s="8"/>
      <c r="J1009" s="8"/>
      <c r="K1009" s="8"/>
      <c r="L1009" s="8"/>
      <c r="M1009" s="8"/>
      <c r="N1009" s="8"/>
      <c r="O1009" s="8"/>
      <c r="P1009" s="8"/>
      <c r="Q1009" s="8"/>
      <c r="R1009" s="9"/>
    </row>
    <row r="1010" spans="1:18" ht="15" customHeight="1" x14ac:dyDescent="0.3">
      <c r="A1010" s="26" t="s">
        <v>78</v>
      </c>
      <c r="B1010" s="26" t="s">
        <v>470</v>
      </c>
      <c r="C1010" s="26">
        <v>0.71875</v>
      </c>
      <c r="D1010" s="26" t="s">
        <v>80</v>
      </c>
      <c r="E1010" s="26" t="s">
        <v>71</v>
      </c>
      <c r="F1010" s="26" t="s">
        <v>465</v>
      </c>
      <c r="G1010" s="328"/>
      <c r="H1010" s="7"/>
      <c r="I1010" s="8"/>
      <c r="J1010" s="8"/>
      <c r="K1010" s="8"/>
      <c r="L1010" s="8"/>
      <c r="M1010" s="8"/>
      <c r="N1010" s="8"/>
      <c r="O1010" s="8"/>
      <c r="P1010" s="8"/>
      <c r="Q1010" s="8"/>
      <c r="R1010" s="9"/>
    </row>
    <row r="1011" spans="1:18" ht="15" customHeight="1" x14ac:dyDescent="0.3">
      <c r="A1011" s="10" t="s">
        <v>78</v>
      </c>
      <c r="B1011" s="10" t="s">
        <v>470</v>
      </c>
      <c r="C1011" s="10">
        <v>0.71875</v>
      </c>
      <c r="D1011" s="10" t="s">
        <v>83</v>
      </c>
      <c r="E1011" s="10" t="s">
        <v>95</v>
      </c>
      <c r="F1011" s="10" t="s">
        <v>466</v>
      </c>
      <c r="G1011" s="328"/>
      <c r="H1011" s="7"/>
      <c r="I1011" s="8"/>
      <c r="J1011" s="8"/>
      <c r="K1011" s="8"/>
      <c r="L1011" s="8"/>
      <c r="M1011" s="8"/>
      <c r="N1011" s="8"/>
      <c r="O1011" s="8"/>
      <c r="P1011" s="8"/>
      <c r="Q1011" s="8"/>
      <c r="R1011" s="9"/>
    </row>
    <row r="1012" spans="1:18" ht="15" customHeight="1" x14ac:dyDescent="0.3">
      <c r="A1012" s="26" t="s">
        <v>78</v>
      </c>
      <c r="B1012" s="26" t="s">
        <v>477</v>
      </c>
      <c r="C1012" s="26">
        <v>0.82986111111111116</v>
      </c>
      <c r="D1012" s="26" t="s">
        <v>80</v>
      </c>
      <c r="E1012" s="26" t="s">
        <v>71</v>
      </c>
      <c r="F1012" s="26" t="s">
        <v>465</v>
      </c>
      <c r="G1012" s="328"/>
      <c r="H1012" s="7"/>
      <c r="I1012" s="8"/>
      <c r="J1012" s="8"/>
      <c r="K1012" s="8"/>
      <c r="L1012" s="8"/>
      <c r="M1012" s="8"/>
      <c r="N1012" s="8"/>
      <c r="O1012" s="8"/>
      <c r="P1012" s="8"/>
      <c r="Q1012" s="8"/>
      <c r="R1012" s="9"/>
    </row>
    <row r="1013" spans="1:18" ht="15" customHeight="1" x14ac:dyDescent="0.3">
      <c r="A1013" s="10" t="s">
        <v>78</v>
      </c>
      <c r="B1013" s="10" t="s">
        <v>477</v>
      </c>
      <c r="C1013" s="10">
        <v>0.82986111111111116</v>
      </c>
      <c r="D1013" s="10" t="s">
        <v>83</v>
      </c>
      <c r="E1013" s="10" t="s">
        <v>95</v>
      </c>
      <c r="F1013" s="10" t="s">
        <v>466</v>
      </c>
      <c r="G1013" s="328"/>
      <c r="H1013" s="7"/>
      <c r="I1013" s="8"/>
      <c r="J1013" s="8"/>
      <c r="K1013" s="8"/>
      <c r="L1013" s="8"/>
      <c r="M1013" s="8"/>
      <c r="N1013" s="8"/>
      <c r="O1013" s="8"/>
      <c r="P1013" s="8"/>
      <c r="Q1013" s="8"/>
      <c r="R1013" s="9"/>
    </row>
    <row r="1014" spans="1:18" ht="15" customHeight="1" x14ac:dyDescent="0.3">
      <c r="A1014" s="26" t="s">
        <v>78</v>
      </c>
      <c r="B1014" s="26" t="s">
        <v>476</v>
      </c>
      <c r="C1014" s="26">
        <v>0.12847222222222221</v>
      </c>
      <c r="D1014" s="26" t="s">
        <v>83</v>
      </c>
      <c r="E1014" s="26" t="s">
        <v>87</v>
      </c>
      <c r="F1014" s="26" t="s">
        <v>638</v>
      </c>
      <c r="G1014" s="328"/>
      <c r="H1014" s="7"/>
      <c r="I1014" s="8"/>
      <c r="J1014" s="8"/>
      <c r="K1014" s="8"/>
      <c r="L1014" s="8"/>
      <c r="M1014" s="8"/>
      <c r="N1014" s="8"/>
      <c r="O1014" s="8"/>
      <c r="P1014" s="8"/>
      <c r="Q1014" s="8"/>
      <c r="R1014" s="9"/>
    </row>
    <row r="1015" spans="1:18" ht="15" customHeight="1" x14ac:dyDescent="0.3">
      <c r="A1015" s="26" t="s">
        <v>78</v>
      </c>
      <c r="B1015" s="26" t="s">
        <v>475</v>
      </c>
      <c r="C1015" s="26">
        <v>0.30208333333333331</v>
      </c>
      <c r="D1015" s="26" t="s">
        <v>83</v>
      </c>
      <c r="E1015" s="26" t="s">
        <v>87</v>
      </c>
      <c r="F1015" s="26" t="s">
        <v>535</v>
      </c>
      <c r="G1015" s="328"/>
      <c r="H1015" s="7"/>
      <c r="I1015" s="8"/>
      <c r="J1015" s="8"/>
      <c r="K1015" s="8"/>
      <c r="L1015" s="8"/>
      <c r="M1015" s="8"/>
      <c r="N1015" s="8"/>
      <c r="O1015" s="8"/>
      <c r="P1015" s="8"/>
      <c r="Q1015" s="8"/>
      <c r="R1015" s="9"/>
    </row>
    <row r="1016" spans="1:18" ht="15" customHeight="1" x14ac:dyDescent="0.3">
      <c r="A1016" s="26" t="s">
        <v>78</v>
      </c>
      <c r="B1016" s="26" t="s">
        <v>464</v>
      </c>
      <c r="C1016" s="26">
        <v>6.9444444444444441E-3</v>
      </c>
      <c r="D1016" s="26" t="s">
        <v>80</v>
      </c>
      <c r="E1016" s="26" t="s">
        <v>71</v>
      </c>
      <c r="F1016" s="26" t="s">
        <v>511</v>
      </c>
      <c r="G1016" s="328"/>
      <c r="H1016" s="7"/>
      <c r="I1016" s="8"/>
      <c r="J1016" s="8"/>
      <c r="K1016" s="8"/>
      <c r="L1016" s="8"/>
      <c r="M1016" s="8"/>
      <c r="N1016" s="8"/>
      <c r="O1016" s="8"/>
      <c r="P1016" s="8"/>
      <c r="Q1016" s="8"/>
      <c r="R1016" s="9"/>
    </row>
    <row r="1017" spans="1:18" ht="15" customHeight="1" x14ac:dyDescent="0.3">
      <c r="A1017" s="10" t="s">
        <v>78</v>
      </c>
      <c r="B1017" s="10" t="s">
        <v>464</v>
      </c>
      <c r="C1017" s="10">
        <v>6.9444444444444441E-3</v>
      </c>
      <c r="D1017" s="10" t="s">
        <v>83</v>
      </c>
      <c r="E1017" s="10" t="s">
        <v>95</v>
      </c>
      <c r="F1017" s="10" t="s">
        <v>512</v>
      </c>
      <c r="G1017" s="328"/>
      <c r="H1017" s="7"/>
      <c r="I1017" s="8"/>
      <c r="J1017" s="8"/>
      <c r="K1017" s="8"/>
      <c r="L1017" s="8"/>
      <c r="M1017" s="8"/>
      <c r="N1017" s="8"/>
      <c r="O1017" s="8"/>
      <c r="P1017" s="8"/>
      <c r="Q1017" s="8"/>
      <c r="R1017" s="9"/>
    </row>
    <row r="1018" spans="1:18" ht="15" customHeight="1" x14ac:dyDescent="0.3">
      <c r="A1018" s="26" t="s">
        <v>78</v>
      </c>
      <c r="B1018" s="26" t="s">
        <v>468</v>
      </c>
      <c r="C1018" s="26">
        <v>0.93055555555555547</v>
      </c>
      <c r="D1018" s="26" t="s">
        <v>80</v>
      </c>
      <c r="E1018" s="26" t="s">
        <v>71</v>
      </c>
      <c r="F1018" s="26" t="s">
        <v>511</v>
      </c>
      <c r="G1018" s="328"/>
      <c r="H1018" s="7"/>
      <c r="I1018" s="8"/>
      <c r="J1018" s="8"/>
      <c r="K1018" s="8"/>
      <c r="L1018" s="8"/>
      <c r="M1018" s="8"/>
      <c r="N1018" s="8"/>
      <c r="O1018" s="8"/>
      <c r="P1018" s="8"/>
      <c r="Q1018" s="8"/>
      <c r="R1018" s="9"/>
    </row>
    <row r="1019" spans="1:18" ht="15" customHeight="1" x14ac:dyDescent="0.3">
      <c r="A1019" s="10" t="s">
        <v>78</v>
      </c>
      <c r="B1019" s="10" t="s">
        <v>468</v>
      </c>
      <c r="C1019" s="10">
        <v>0.93055555555555547</v>
      </c>
      <c r="D1019" s="10" t="s">
        <v>83</v>
      </c>
      <c r="E1019" s="10" t="s">
        <v>95</v>
      </c>
      <c r="F1019" s="10" t="s">
        <v>512</v>
      </c>
      <c r="G1019" s="328"/>
      <c r="H1019" s="7"/>
      <c r="I1019" s="8"/>
      <c r="J1019" s="8"/>
      <c r="K1019" s="8"/>
      <c r="L1019" s="8"/>
      <c r="M1019" s="8"/>
      <c r="N1019" s="8"/>
      <c r="O1019" s="8"/>
      <c r="P1019" s="8"/>
      <c r="Q1019" s="8"/>
      <c r="R1019" s="9"/>
    </row>
    <row r="1020" spans="1:18" ht="15" customHeight="1" x14ac:dyDescent="0.3">
      <c r="A1020" s="26" t="s">
        <v>78</v>
      </c>
      <c r="B1020" s="26" t="s">
        <v>473</v>
      </c>
      <c r="C1020" s="26">
        <v>0.88888888888888884</v>
      </c>
      <c r="D1020" s="26" t="s">
        <v>83</v>
      </c>
      <c r="E1020" s="26" t="s">
        <v>87</v>
      </c>
      <c r="F1020" s="26" t="s">
        <v>474</v>
      </c>
      <c r="G1020" s="328"/>
      <c r="H1020" s="7"/>
      <c r="I1020" s="8"/>
      <c r="J1020" s="8"/>
      <c r="K1020" s="8"/>
      <c r="L1020" s="8"/>
      <c r="M1020" s="8"/>
      <c r="N1020" s="8"/>
      <c r="O1020" s="8"/>
      <c r="P1020" s="8"/>
      <c r="Q1020" s="8"/>
      <c r="R1020" s="9"/>
    </row>
    <row r="1021" spans="1:18" ht="15" customHeight="1" x14ac:dyDescent="0.3">
      <c r="A1021" s="26" t="s">
        <v>78</v>
      </c>
      <c r="B1021" s="26" t="s">
        <v>480</v>
      </c>
      <c r="C1021" s="26">
        <v>0.78819444444444453</v>
      </c>
      <c r="D1021" s="26" t="s">
        <v>83</v>
      </c>
      <c r="E1021" s="26" t="s">
        <v>87</v>
      </c>
      <c r="F1021" s="26" t="s">
        <v>474</v>
      </c>
      <c r="G1021" s="328"/>
      <c r="H1021" s="7"/>
      <c r="I1021" s="8"/>
      <c r="J1021" s="8"/>
      <c r="K1021" s="8"/>
      <c r="L1021" s="8"/>
      <c r="M1021" s="8"/>
      <c r="N1021" s="8"/>
      <c r="O1021" s="8"/>
      <c r="P1021" s="8"/>
      <c r="Q1021" s="8"/>
      <c r="R1021" s="9"/>
    </row>
    <row r="1022" spans="1:18" ht="15" customHeight="1" x14ac:dyDescent="0.3">
      <c r="A1022" s="11" t="s">
        <v>66</v>
      </c>
      <c r="B1022" s="11" t="s">
        <v>488</v>
      </c>
      <c r="C1022" s="11">
        <v>0.22222222222222221</v>
      </c>
      <c r="D1022" s="11" t="s">
        <v>68</v>
      </c>
      <c r="E1022" s="11" t="s">
        <v>47</v>
      </c>
      <c r="F1022" s="11" t="s">
        <v>507</v>
      </c>
      <c r="G1022" s="328"/>
      <c r="H1022" s="7"/>
      <c r="I1022" s="8"/>
      <c r="J1022" s="8"/>
      <c r="K1022" s="8"/>
      <c r="L1022" s="8"/>
      <c r="M1022" s="8"/>
      <c r="N1022" s="8"/>
      <c r="O1022" s="8"/>
      <c r="P1022" s="8"/>
      <c r="Q1022" s="8"/>
      <c r="R1022" s="9"/>
    </row>
    <row r="1023" spans="1:18" ht="15" customHeight="1" x14ac:dyDescent="0.3">
      <c r="A1023" s="26" t="s">
        <v>66</v>
      </c>
      <c r="B1023" s="26" t="s">
        <v>490</v>
      </c>
      <c r="C1023" s="26">
        <v>0.27777777777777779</v>
      </c>
      <c r="D1023" s="26" t="s">
        <v>68</v>
      </c>
      <c r="E1023" s="26" t="s">
        <v>71</v>
      </c>
      <c r="F1023" s="26" t="s">
        <v>507</v>
      </c>
      <c r="G1023" s="328"/>
      <c r="H1023" s="7"/>
      <c r="I1023" s="8"/>
      <c r="J1023" s="8"/>
      <c r="K1023" s="8"/>
      <c r="L1023" s="8"/>
      <c r="M1023" s="8"/>
      <c r="N1023" s="8"/>
      <c r="O1023" s="8"/>
      <c r="P1023" s="8"/>
      <c r="Q1023" s="8"/>
      <c r="R1023" s="9"/>
    </row>
    <row r="1024" spans="1:18" ht="15" customHeight="1" x14ac:dyDescent="0.3">
      <c r="A1024" s="26" t="s">
        <v>66</v>
      </c>
      <c r="B1024" s="26" t="s">
        <v>485</v>
      </c>
      <c r="C1024" s="26">
        <v>0.4861111111111111</v>
      </c>
      <c r="D1024" s="26" t="s">
        <v>68</v>
      </c>
      <c r="E1024" s="26" t="s">
        <v>71</v>
      </c>
      <c r="F1024" s="26" t="s">
        <v>489</v>
      </c>
      <c r="G1024" s="328"/>
      <c r="H1024" s="7"/>
      <c r="I1024" s="8"/>
      <c r="J1024" s="8"/>
      <c r="K1024" s="8"/>
      <c r="L1024" s="8"/>
      <c r="M1024" s="8"/>
      <c r="N1024" s="8"/>
      <c r="O1024" s="8"/>
      <c r="P1024" s="8"/>
      <c r="Q1024" s="8"/>
      <c r="R1024" s="9"/>
    </row>
    <row r="1025" spans="1:18" ht="15" customHeight="1" x14ac:dyDescent="0.3">
      <c r="A1025" s="26" t="s">
        <v>66</v>
      </c>
      <c r="B1025" s="26" t="s">
        <v>509</v>
      </c>
      <c r="C1025" s="26">
        <v>1.388888888888889E-2</v>
      </c>
      <c r="D1025" s="26" t="s">
        <v>68</v>
      </c>
      <c r="E1025" s="26" t="s">
        <v>87</v>
      </c>
      <c r="F1025" s="26" t="s">
        <v>493</v>
      </c>
      <c r="G1025" s="328"/>
      <c r="H1025" s="7"/>
      <c r="I1025" s="8"/>
      <c r="J1025" s="8"/>
      <c r="K1025" s="8"/>
      <c r="L1025" s="8"/>
      <c r="M1025" s="8"/>
      <c r="N1025" s="8"/>
      <c r="O1025" s="8"/>
      <c r="P1025" s="8"/>
      <c r="Q1025" s="8"/>
      <c r="R1025" s="9"/>
    </row>
    <row r="1026" spans="1:18" ht="15" customHeight="1" x14ac:dyDescent="0.3">
      <c r="A1026" s="31" t="s">
        <v>66</v>
      </c>
      <c r="B1026" s="31" t="s">
        <v>505</v>
      </c>
      <c r="C1026" s="31">
        <v>0.14583333333333329</v>
      </c>
      <c r="D1026" s="31" t="s">
        <v>68</v>
      </c>
      <c r="E1026" s="31" t="s">
        <v>71</v>
      </c>
      <c r="F1026" s="31" t="s">
        <v>493</v>
      </c>
      <c r="G1026" s="328"/>
      <c r="H1026" s="28"/>
      <c r="I1026" s="29"/>
      <c r="J1026" s="29"/>
      <c r="K1026" s="29"/>
      <c r="L1026" s="29"/>
      <c r="M1026" s="29"/>
      <c r="N1026" s="29"/>
      <c r="O1026" s="29"/>
      <c r="P1026" s="29"/>
      <c r="Q1026" s="29"/>
      <c r="R1026" s="30"/>
    </row>
    <row r="1027" spans="1:18" ht="17.399999999999999" customHeight="1" x14ac:dyDescent="0.3">
      <c r="A1027" s="360"/>
      <c r="B1027" s="361"/>
      <c r="C1027" s="361"/>
      <c r="D1027" s="361"/>
      <c r="E1027" s="361"/>
      <c r="F1027" s="361"/>
      <c r="G1027" s="361"/>
      <c r="H1027" s="361"/>
      <c r="I1027" s="361"/>
      <c r="J1027" s="361"/>
      <c r="K1027" s="361"/>
      <c r="L1027" s="361"/>
      <c r="M1027" s="361"/>
      <c r="N1027" s="361"/>
      <c r="O1027" s="361"/>
      <c r="P1027" s="361"/>
      <c r="Q1027" s="361"/>
      <c r="R1027" s="362"/>
    </row>
    <row r="1028" spans="1:18" ht="22.05" customHeight="1" x14ac:dyDescent="0.3">
      <c r="A1028" s="323" t="s">
        <v>6</v>
      </c>
      <c r="B1028" s="324"/>
      <c r="C1028" s="324"/>
      <c r="D1028" s="324"/>
      <c r="E1028" s="324"/>
      <c r="F1028" s="324"/>
      <c r="G1028" s="2">
        <v>46001</v>
      </c>
      <c r="H1028" s="323" t="s">
        <v>7</v>
      </c>
      <c r="I1028" s="324"/>
      <c r="J1028" s="324"/>
      <c r="K1028" s="324"/>
      <c r="L1028" s="324"/>
      <c r="M1028" s="324"/>
      <c r="N1028" s="324"/>
      <c r="O1028" s="324"/>
      <c r="P1028" s="324"/>
      <c r="Q1028" s="324"/>
      <c r="R1028" s="324"/>
    </row>
    <row r="1029" spans="1:18" ht="24" customHeight="1" x14ac:dyDescent="0.3">
      <c r="A1029" s="3" t="s">
        <v>8</v>
      </c>
      <c r="B1029" s="3" t="s">
        <v>9</v>
      </c>
      <c r="C1029" s="3" t="s">
        <v>10</v>
      </c>
      <c r="D1029" s="3" t="s">
        <v>11</v>
      </c>
      <c r="E1029" s="3" t="s">
        <v>12</v>
      </c>
      <c r="F1029" s="4" t="s">
        <v>13</v>
      </c>
      <c r="G1029" s="5" t="s">
        <v>14</v>
      </c>
      <c r="H1029" s="3" t="s">
        <v>15</v>
      </c>
      <c r="I1029" s="3" t="s">
        <v>16</v>
      </c>
      <c r="J1029" s="3" t="s">
        <v>17</v>
      </c>
      <c r="K1029" s="3" t="s">
        <v>18</v>
      </c>
      <c r="L1029" s="3" t="s">
        <v>19</v>
      </c>
      <c r="M1029" s="3" t="s">
        <v>20</v>
      </c>
      <c r="N1029" s="3" t="s">
        <v>21</v>
      </c>
      <c r="O1029" s="3" t="s">
        <v>22</v>
      </c>
      <c r="P1029" s="3" t="s">
        <v>23</v>
      </c>
      <c r="Q1029" s="3" t="s">
        <v>24</v>
      </c>
      <c r="R1029" s="3" t="s">
        <v>25</v>
      </c>
    </row>
    <row r="1030" spans="1:18" ht="15" customHeight="1" x14ac:dyDescent="0.3">
      <c r="A1030" s="6" t="s">
        <v>26</v>
      </c>
      <c r="B1030" s="6" t="s">
        <v>451</v>
      </c>
      <c r="C1030" s="6">
        <v>0.12847222222222221</v>
      </c>
      <c r="D1030" s="6" t="s">
        <v>163</v>
      </c>
      <c r="E1030" s="6" t="s">
        <v>132</v>
      </c>
      <c r="F1030" s="6" t="s">
        <v>513</v>
      </c>
      <c r="G1030" s="328"/>
      <c r="H1030" s="7"/>
      <c r="I1030" s="8"/>
      <c r="J1030" s="8"/>
      <c r="K1030" s="8"/>
      <c r="L1030" s="8"/>
      <c r="M1030" s="8"/>
      <c r="N1030" s="8"/>
      <c r="O1030" s="8"/>
      <c r="P1030" s="8"/>
      <c r="Q1030" s="8"/>
      <c r="R1030" s="9"/>
    </row>
    <row r="1031" spans="1:18" ht="15" customHeight="1" x14ac:dyDescent="0.3">
      <c r="A1031" s="26" t="s">
        <v>26</v>
      </c>
      <c r="B1031" s="26" t="s">
        <v>454</v>
      </c>
      <c r="C1031" s="26">
        <v>0.88888888888888884</v>
      </c>
      <c r="D1031" s="26" t="s">
        <v>163</v>
      </c>
      <c r="E1031" s="26" t="s">
        <v>152</v>
      </c>
      <c r="F1031" s="26" t="s">
        <v>515</v>
      </c>
      <c r="G1031" s="328"/>
      <c r="H1031" s="7"/>
      <c r="I1031" s="8"/>
      <c r="J1031" s="8"/>
      <c r="K1031" s="8"/>
      <c r="L1031" s="8"/>
      <c r="M1031" s="8"/>
      <c r="N1031" s="8"/>
      <c r="O1031" s="8"/>
      <c r="P1031" s="8"/>
      <c r="Q1031" s="8"/>
      <c r="R1031" s="9"/>
    </row>
    <row r="1032" spans="1:18" ht="15" customHeight="1" x14ac:dyDescent="0.3">
      <c r="A1032" s="26" t="s">
        <v>26</v>
      </c>
      <c r="B1032" s="26" t="s">
        <v>453</v>
      </c>
      <c r="C1032" s="26">
        <v>0.30208333333333331</v>
      </c>
      <c r="D1032" s="26" t="s">
        <v>163</v>
      </c>
      <c r="E1032" s="26" t="s">
        <v>87</v>
      </c>
      <c r="F1032" s="26" t="s">
        <v>498</v>
      </c>
      <c r="G1032" s="328"/>
      <c r="H1032" s="7"/>
      <c r="I1032" s="8"/>
      <c r="J1032" s="8"/>
      <c r="K1032" s="8"/>
      <c r="L1032" s="8"/>
      <c r="M1032" s="8"/>
      <c r="N1032" s="8"/>
      <c r="O1032" s="8"/>
      <c r="P1032" s="8"/>
      <c r="Q1032" s="8"/>
      <c r="R1032" s="9"/>
    </row>
    <row r="1033" spans="1:18" ht="15" customHeight="1" x14ac:dyDescent="0.3">
      <c r="A1033" s="26" t="s">
        <v>26</v>
      </c>
      <c r="B1033" s="26" t="s">
        <v>455</v>
      </c>
      <c r="C1033" s="26">
        <v>0.78819444444444453</v>
      </c>
      <c r="D1033" s="26" t="s">
        <v>163</v>
      </c>
      <c r="E1033" s="26" t="s">
        <v>671</v>
      </c>
      <c r="F1033" s="26" t="s">
        <v>516</v>
      </c>
      <c r="G1033" s="328"/>
      <c r="H1033" s="7"/>
      <c r="I1033" s="8"/>
      <c r="J1033" s="8"/>
      <c r="K1033" s="8"/>
      <c r="L1033" s="8"/>
      <c r="M1033" s="8"/>
      <c r="N1033" s="8"/>
      <c r="O1033" s="8"/>
      <c r="P1033" s="8"/>
      <c r="Q1033" s="8"/>
      <c r="R1033" s="9"/>
    </row>
    <row r="1034" spans="1:18" ht="15" customHeight="1" x14ac:dyDescent="0.3">
      <c r="A1034" s="11" t="s">
        <v>456</v>
      </c>
      <c r="B1034" s="11" t="s">
        <v>500</v>
      </c>
      <c r="C1034" s="11">
        <v>0.3923611111111111</v>
      </c>
      <c r="D1034" s="11" t="s">
        <v>567</v>
      </c>
      <c r="E1034" s="11" t="s">
        <v>123</v>
      </c>
      <c r="F1034" s="11" t="s">
        <v>672</v>
      </c>
      <c r="G1034" s="328"/>
      <c r="H1034" s="7"/>
      <c r="I1034" s="8"/>
      <c r="J1034" s="8"/>
      <c r="K1034" s="8"/>
      <c r="L1034" s="8"/>
      <c r="M1034" s="8"/>
      <c r="N1034" s="8"/>
      <c r="O1034" s="8"/>
      <c r="P1034" s="8"/>
      <c r="Q1034" s="8"/>
      <c r="R1034" s="9"/>
    </row>
    <row r="1035" spans="1:18" ht="15" customHeight="1" x14ac:dyDescent="0.3">
      <c r="A1035" s="11" t="s">
        <v>36</v>
      </c>
      <c r="B1035" s="11" t="s">
        <v>442</v>
      </c>
      <c r="C1035" s="11">
        <v>0.25694444444444448</v>
      </c>
      <c r="D1035" s="11" t="s">
        <v>164</v>
      </c>
      <c r="E1035" s="11" t="s">
        <v>29</v>
      </c>
      <c r="F1035" s="11" t="s">
        <v>515</v>
      </c>
      <c r="G1035" s="328"/>
      <c r="H1035" s="7"/>
      <c r="I1035" s="8"/>
      <c r="J1035" s="8"/>
      <c r="K1035" s="8"/>
      <c r="L1035" s="8"/>
      <c r="M1035" s="8"/>
      <c r="N1035" s="8"/>
      <c r="O1035" s="8"/>
      <c r="P1035" s="8"/>
      <c r="Q1035" s="8"/>
      <c r="R1035" s="9"/>
    </row>
    <row r="1036" spans="1:18" ht="15" customHeight="1" x14ac:dyDescent="0.3">
      <c r="A1036" s="26" t="s">
        <v>36</v>
      </c>
      <c r="B1036" s="26" t="s">
        <v>443</v>
      </c>
      <c r="C1036" s="26">
        <v>0.30208333333333331</v>
      </c>
      <c r="D1036" s="26" t="s">
        <v>164</v>
      </c>
      <c r="E1036" s="26" t="s">
        <v>114</v>
      </c>
      <c r="F1036" s="26" t="s">
        <v>515</v>
      </c>
      <c r="G1036" s="328"/>
      <c r="H1036" s="7"/>
      <c r="I1036" s="8"/>
      <c r="J1036" s="8"/>
      <c r="K1036" s="8"/>
      <c r="L1036" s="8"/>
      <c r="M1036" s="8"/>
      <c r="N1036" s="8"/>
      <c r="O1036" s="8"/>
      <c r="P1036" s="8"/>
      <c r="Q1036" s="8"/>
      <c r="R1036" s="9"/>
    </row>
    <row r="1037" spans="1:18" ht="15" customHeight="1" x14ac:dyDescent="0.3">
      <c r="A1037" s="26" t="s">
        <v>36</v>
      </c>
      <c r="B1037" s="26" t="s">
        <v>447</v>
      </c>
      <c r="C1037" s="26">
        <v>0.39583333333333331</v>
      </c>
      <c r="D1037" s="26" t="s">
        <v>164</v>
      </c>
      <c r="E1037" s="26" t="s">
        <v>74</v>
      </c>
      <c r="F1037" s="26" t="s">
        <v>621</v>
      </c>
      <c r="G1037" s="328"/>
      <c r="H1037" s="7"/>
      <c r="I1037" s="8"/>
      <c r="J1037" s="8"/>
      <c r="K1037" s="8"/>
      <c r="L1037" s="8"/>
      <c r="M1037" s="8"/>
      <c r="N1037" s="8"/>
      <c r="O1037" s="8"/>
      <c r="P1037" s="8"/>
      <c r="Q1037" s="8"/>
      <c r="R1037" s="9"/>
    </row>
    <row r="1038" spans="1:18" ht="15" customHeight="1" x14ac:dyDescent="0.3">
      <c r="A1038" s="26" t="s">
        <v>36</v>
      </c>
      <c r="B1038" s="26" t="s">
        <v>438</v>
      </c>
      <c r="C1038" s="26">
        <v>0.85416666666666663</v>
      </c>
      <c r="D1038" s="26" t="s">
        <v>164</v>
      </c>
      <c r="E1038" s="26" t="s">
        <v>87</v>
      </c>
      <c r="F1038" s="26" t="s">
        <v>514</v>
      </c>
      <c r="G1038" s="328"/>
      <c r="H1038" s="7"/>
      <c r="I1038" s="8"/>
      <c r="J1038" s="8"/>
      <c r="K1038" s="8"/>
      <c r="L1038" s="8"/>
      <c r="M1038" s="8"/>
      <c r="N1038" s="8"/>
      <c r="O1038" s="8"/>
      <c r="P1038" s="8"/>
      <c r="Q1038" s="8"/>
      <c r="R1038" s="9"/>
    </row>
    <row r="1039" spans="1:18" ht="15" customHeight="1" x14ac:dyDescent="0.3">
      <c r="A1039" s="26" t="s">
        <v>36</v>
      </c>
      <c r="B1039" s="26" t="s">
        <v>445</v>
      </c>
      <c r="C1039" s="26">
        <v>0.79861111111111116</v>
      </c>
      <c r="D1039" s="26" t="s">
        <v>164</v>
      </c>
      <c r="E1039" s="26" t="s">
        <v>152</v>
      </c>
      <c r="F1039" s="26" t="s">
        <v>514</v>
      </c>
      <c r="G1039" s="328"/>
      <c r="H1039" s="7"/>
      <c r="I1039" s="8"/>
      <c r="J1039" s="8"/>
      <c r="K1039" s="8"/>
      <c r="L1039" s="8"/>
      <c r="M1039" s="8"/>
      <c r="N1039" s="8"/>
      <c r="O1039" s="8"/>
      <c r="P1039" s="8"/>
      <c r="Q1039" s="8"/>
      <c r="R1039" s="9"/>
    </row>
    <row r="1040" spans="1:18" ht="15" customHeight="1" x14ac:dyDescent="0.3">
      <c r="A1040" s="26" t="s">
        <v>36</v>
      </c>
      <c r="B1040" s="26" t="s">
        <v>446</v>
      </c>
      <c r="C1040" s="26">
        <v>0.64583333333333337</v>
      </c>
      <c r="D1040" s="26" t="s">
        <v>164</v>
      </c>
      <c r="E1040" s="26" t="s">
        <v>114</v>
      </c>
      <c r="F1040" s="26" t="s">
        <v>514</v>
      </c>
      <c r="G1040" s="328"/>
      <c r="H1040" s="7"/>
      <c r="I1040" s="8"/>
      <c r="J1040" s="8"/>
      <c r="K1040" s="8"/>
      <c r="L1040" s="8"/>
      <c r="M1040" s="8"/>
      <c r="N1040" s="8"/>
      <c r="O1040" s="8"/>
      <c r="P1040" s="8"/>
      <c r="Q1040" s="8"/>
      <c r="R1040" s="9"/>
    </row>
    <row r="1041" spans="1:18" ht="15" customHeight="1" x14ac:dyDescent="0.3">
      <c r="A1041" s="26" t="s">
        <v>36</v>
      </c>
      <c r="B1041" s="26" t="s">
        <v>444</v>
      </c>
      <c r="C1041" s="26">
        <v>0.51736111111111105</v>
      </c>
      <c r="D1041" s="26" t="s">
        <v>164</v>
      </c>
      <c r="E1041" s="26" t="s">
        <v>87</v>
      </c>
      <c r="F1041" s="26" t="s">
        <v>437</v>
      </c>
      <c r="G1041" s="328"/>
      <c r="H1041" s="7"/>
      <c r="I1041" s="8"/>
      <c r="J1041" s="8"/>
      <c r="K1041" s="8"/>
      <c r="L1041" s="8"/>
      <c r="M1041" s="8"/>
      <c r="N1041" s="8"/>
      <c r="O1041" s="8"/>
      <c r="P1041" s="8"/>
      <c r="Q1041" s="8"/>
      <c r="R1041" s="9"/>
    </row>
    <row r="1042" spans="1:18" ht="15" customHeight="1" x14ac:dyDescent="0.3">
      <c r="A1042" s="26" t="s">
        <v>36</v>
      </c>
      <c r="B1042" s="26" t="s">
        <v>435</v>
      </c>
      <c r="C1042" s="26">
        <v>0.90277777777777779</v>
      </c>
      <c r="D1042" s="26" t="s">
        <v>164</v>
      </c>
      <c r="E1042" s="26" t="s">
        <v>439</v>
      </c>
      <c r="F1042" s="26" t="s">
        <v>450</v>
      </c>
      <c r="G1042" s="328"/>
      <c r="H1042" s="7"/>
      <c r="I1042" s="8"/>
      <c r="J1042" s="8"/>
      <c r="K1042" s="8"/>
      <c r="L1042" s="8"/>
      <c r="M1042" s="8"/>
      <c r="N1042" s="8"/>
      <c r="O1042" s="8"/>
      <c r="P1042" s="8"/>
      <c r="Q1042" s="8"/>
      <c r="R1042" s="9"/>
    </row>
    <row r="1043" spans="1:18" ht="15" customHeight="1" x14ac:dyDescent="0.3">
      <c r="A1043" s="11" t="s">
        <v>410</v>
      </c>
      <c r="B1043" s="11" t="s">
        <v>411</v>
      </c>
      <c r="C1043" s="11">
        <v>0.37152777777777768</v>
      </c>
      <c r="D1043" s="11" t="s">
        <v>406</v>
      </c>
      <c r="E1043" s="11" t="s">
        <v>314</v>
      </c>
      <c r="F1043" s="11" t="s">
        <v>374</v>
      </c>
      <c r="G1043" s="328"/>
      <c r="H1043" s="7"/>
      <c r="I1043" s="8"/>
      <c r="J1043" s="8"/>
      <c r="K1043" s="8"/>
      <c r="L1043" s="8"/>
      <c r="M1043" s="8"/>
      <c r="N1043" s="8"/>
      <c r="O1043" s="8"/>
      <c r="P1043" s="8"/>
      <c r="Q1043" s="8"/>
      <c r="R1043" s="9"/>
    </row>
    <row r="1044" spans="1:18" ht="15" customHeight="1" x14ac:dyDescent="0.3">
      <c r="A1044" s="26" t="s">
        <v>410</v>
      </c>
      <c r="B1044" s="26" t="s">
        <v>413</v>
      </c>
      <c r="C1044" s="26">
        <v>0.66666666666666663</v>
      </c>
      <c r="D1044" s="26" t="s">
        <v>406</v>
      </c>
      <c r="E1044" s="26" t="s">
        <v>74</v>
      </c>
      <c r="F1044" s="26" t="s">
        <v>374</v>
      </c>
      <c r="G1044" s="328"/>
      <c r="H1044" s="7"/>
      <c r="I1044" s="8"/>
      <c r="J1044" s="8"/>
      <c r="K1044" s="8"/>
      <c r="L1044" s="8"/>
      <c r="M1044" s="8"/>
      <c r="N1044" s="8"/>
      <c r="O1044" s="8"/>
      <c r="P1044" s="8"/>
      <c r="Q1044" s="8"/>
      <c r="R1044" s="9"/>
    </row>
    <row r="1045" spans="1:18" ht="15" customHeight="1" x14ac:dyDescent="0.3">
      <c r="A1045" s="12" t="s">
        <v>44</v>
      </c>
      <c r="B1045" s="12" t="s">
        <v>425</v>
      </c>
      <c r="C1045" s="12">
        <v>0.61458333333333337</v>
      </c>
      <c r="D1045" s="12" t="s">
        <v>46</v>
      </c>
      <c r="E1045" s="12" t="s">
        <v>121</v>
      </c>
      <c r="F1045" s="12" t="s">
        <v>416</v>
      </c>
      <c r="G1045" s="328"/>
      <c r="H1045" s="13" t="s">
        <v>427</v>
      </c>
      <c r="I1045" s="14">
        <v>0.17319999999999999</v>
      </c>
      <c r="J1045" s="15">
        <v>31</v>
      </c>
      <c r="K1045" s="16" t="s">
        <v>175</v>
      </c>
      <c r="L1045" s="15">
        <v>10</v>
      </c>
      <c r="M1045" s="15">
        <v>2</v>
      </c>
      <c r="N1045" s="15">
        <v>2</v>
      </c>
      <c r="O1045" s="16" t="s">
        <v>526</v>
      </c>
      <c r="P1045" s="16">
        <v>0.61458333333333337</v>
      </c>
      <c r="Q1045" s="15">
        <v>179</v>
      </c>
      <c r="R1045" s="17" t="s">
        <v>673</v>
      </c>
    </row>
    <row r="1046" spans="1:18" ht="15" customHeight="1" x14ac:dyDescent="0.3">
      <c r="A1046" s="57" t="s">
        <v>44</v>
      </c>
      <c r="B1046" s="57" t="s">
        <v>429</v>
      </c>
      <c r="C1046" s="57">
        <v>0.52083333333333337</v>
      </c>
      <c r="D1046" s="57" t="s">
        <v>46</v>
      </c>
      <c r="E1046" s="57" t="s">
        <v>87</v>
      </c>
      <c r="F1046" s="57" t="s">
        <v>416</v>
      </c>
      <c r="G1046" s="328"/>
      <c r="H1046" s="58" t="s">
        <v>430</v>
      </c>
      <c r="I1046" s="205">
        <v>0.17319999999999999</v>
      </c>
      <c r="J1046" s="60">
        <v>31</v>
      </c>
      <c r="K1046" s="61" t="s">
        <v>50</v>
      </c>
      <c r="L1046" s="60">
        <v>12</v>
      </c>
      <c r="M1046" s="60">
        <v>0</v>
      </c>
      <c r="N1046" s="60">
        <v>6</v>
      </c>
      <c r="O1046" s="61" t="s">
        <v>263</v>
      </c>
      <c r="P1046" s="61">
        <v>0.52083333333333337</v>
      </c>
      <c r="Q1046" s="60">
        <v>179</v>
      </c>
      <c r="R1046" s="62" t="s">
        <v>674</v>
      </c>
    </row>
    <row r="1047" spans="1:18" ht="15" customHeight="1" x14ac:dyDescent="0.3">
      <c r="A1047" s="202" t="s">
        <v>44</v>
      </c>
      <c r="B1047" s="202" t="s">
        <v>415</v>
      </c>
      <c r="C1047" s="202">
        <v>0.51736111111111105</v>
      </c>
      <c r="D1047" s="202" t="s">
        <v>46</v>
      </c>
      <c r="E1047" s="202" t="s">
        <v>54</v>
      </c>
      <c r="F1047" s="202" t="s">
        <v>426</v>
      </c>
      <c r="G1047" s="328"/>
      <c r="H1047" s="52" t="s">
        <v>417</v>
      </c>
      <c r="I1047" s="209">
        <v>0.91059999999999997</v>
      </c>
      <c r="J1047" s="54">
        <v>163</v>
      </c>
      <c r="K1047" s="55" t="s">
        <v>175</v>
      </c>
      <c r="L1047" s="54">
        <v>12</v>
      </c>
      <c r="M1047" s="54">
        <v>1</v>
      </c>
      <c r="N1047" s="54">
        <v>1</v>
      </c>
      <c r="O1047" s="55" t="s">
        <v>266</v>
      </c>
      <c r="P1047" s="55">
        <v>0.51736111111111105</v>
      </c>
      <c r="Q1047" s="54">
        <v>179</v>
      </c>
      <c r="R1047" s="56" t="s">
        <v>675</v>
      </c>
    </row>
    <row r="1048" spans="1:18" ht="15" customHeight="1" x14ac:dyDescent="0.3">
      <c r="A1048" s="11" t="s">
        <v>66</v>
      </c>
      <c r="B1048" s="11" t="s">
        <v>485</v>
      </c>
      <c r="C1048" s="11">
        <v>0.4861111111111111</v>
      </c>
      <c r="D1048" s="11" t="s">
        <v>68</v>
      </c>
      <c r="E1048" s="11" t="s">
        <v>47</v>
      </c>
      <c r="F1048" s="11" t="s">
        <v>506</v>
      </c>
      <c r="G1048" s="328"/>
      <c r="H1048" s="7"/>
      <c r="I1048" s="8"/>
      <c r="J1048" s="8"/>
      <c r="K1048" s="8"/>
      <c r="L1048" s="8"/>
      <c r="M1048" s="8"/>
      <c r="N1048" s="8"/>
      <c r="O1048" s="8"/>
      <c r="P1048" s="8"/>
      <c r="Q1048" s="8"/>
      <c r="R1048" s="9"/>
    </row>
    <row r="1049" spans="1:18" ht="15" customHeight="1" x14ac:dyDescent="0.3">
      <c r="A1049" s="26" t="s">
        <v>66</v>
      </c>
      <c r="B1049" s="26" t="s">
        <v>490</v>
      </c>
      <c r="C1049" s="26">
        <v>0.27777777777777779</v>
      </c>
      <c r="D1049" s="26" t="s">
        <v>68</v>
      </c>
      <c r="E1049" s="26" t="s">
        <v>71</v>
      </c>
      <c r="F1049" s="26" t="s">
        <v>676</v>
      </c>
      <c r="G1049" s="328"/>
      <c r="H1049" s="7"/>
      <c r="I1049" s="8"/>
      <c r="J1049" s="8"/>
      <c r="K1049" s="8"/>
      <c r="L1049" s="8"/>
      <c r="M1049" s="8"/>
      <c r="N1049" s="8"/>
      <c r="O1049" s="8"/>
      <c r="P1049" s="8"/>
      <c r="Q1049" s="8"/>
      <c r="R1049" s="9"/>
    </row>
    <row r="1050" spans="1:18" ht="15" customHeight="1" x14ac:dyDescent="0.3">
      <c r="A1050" s="26" t="s">
        <v>66</v>
      </c>
      <c r="B1050" s="26" t="s">
        <v>508</v>
      </c>
      <c r="C1050" s="26">
        <v>0.95833333333333337</v>
      </c>
      <c r="D1050" s="26" t="s">
        <v>68</v>
      </c>
      <c r="E1050" s="26" t="s">
        <v>71</v>
      </c>
      <c r="F1050" s="26" t="s">
        <v>510</v>
      </c>
      <c r="G1050" s="328"/>
      <c r="H1050" s="7"/>
      <c r="I1050" s="8"/>
      <c r="J1050" s="8"/>
      <c r="K1050" s="8"/>
      <c r="L1050" s="8"/>
      <c r="M1050" s="8"/>
      <c r="N1050" s="8"/>
      <c r="O1050" s="8"/>
      <c r="P1050" s="8"/>
      <c r="Q1050" s="8"/>
      <c r="R1050" s="9"/>
    </row>
    <row r="1051" spans="1:18" ht="15" customHeight="1" x14ac:dyDescent="0.3">
      <c r="A1051" s="26" t="s">
        <v>66</v>
      </c>
      <c r="B1051" s="26" t="s">
        <v>505</v>
      </c>
      <c r="C1051" s="26">
        <v>0.14583333333333329</v>
      </c>
      <c r="D1051" s="26" t="s">
        <v>68</v>
      </c>
      <c r="E1051" s="26" t="s">
        <v>71</v>
      </c>
      <c r="F1051" s="26" t="s">
        <v>491</v>
      </c>
      <c r="G1051" s="328"/>
      <c r="H1051" s="7"/>
      <c r="I1051" s="8"/>
      <c r="J1051" s="8"/>
      <c r="K1051" s="8"/>
      <c r="L1051" s="8"/>
      <c r="M1051" s="8"/>
      <c r="N1051" s="8"/>
      <c r="O1051" s="8"/>
      <c r="P1051" s="8"/>
      <c r="Q1051" s="8"/>
      <c r="R1051" s="9"/>
    </row>
    <row r="1052" spans="1:18" ht="15" customHeight="1" x14ac:dyDescent="0.3">
      <c r="A1052" s="26" t="s">
        <v>66</v>
      </c>
      <c r="B1052" s="26" t="s">
        <v>492</v>
      </c>
      <c r="C1052" s="26">
        <v>0.77083333333333337</v>
      </c>
      <c r="D1052" s="26" t="s">
        <v>68</v>
      </c>
      <c r="E1052" s="26" t="s">
        <v>114</v>
      </c>
      <c r="F1052" s="26" t="s">
        <v>493</v>
      </c>
      <c r="G1052" s="328"/>
      <c r="H1052" s="7"/>
      <c r="I1052" s="8"/>
      <c r="J1052" s="8"/>
      <c r="K1052" s="8"/>
      <c r="L1052" s="8"/>
      <c r="M1052" s="8"/>
      <c r="N1052" s="8"/>
      <c r="O1052" s="8"/>
      <c r="P1052" s="8"/>
      <c r="Q1052" s="8"/>
      <c r="R1052" s="9"/>
    </row>
    <row r="1053" spans="1:18" ht="15" customHeight="1" x14ac:dyDescent="0.3">
      <c r="A1053" s="11" t="s">
        <v>78</v>
      </c>
      <c r="B1053" s="11" t="s">
        <v>464</v>
      </c>
      <c r="C1053" s="11">
        <v>6.9444444444444441E-3</v>
      </c>
      <c r="D1053" s="11" t="s">
        <v>80</v>
      </c>
      <c r="E1053" s="11" t="s">
        <v>47</v>
      </c>
      <c r="F1053" s="11" t="s">
        <v>677</v>
      </c>
      <c r="G1053" s="328"/>
      <c r="H1053" s="7"/>
      <c r="I1053" s="8"/>
      <c r="J1053" s="8"/>
      <c r="K1053" s="8"/>
      <c r="L1053" s="8"/>
      <c r="M1053" s="8"/>
      <c r="N1053" s="8"/>
      <c r="O1053" s="8"/>
      <c r="P1053" s="8"/>
      <c r="Q1053" s="8"/>
      <c r="R1053" s="9"/>
    </row>
    <row r="1054" spans="1:18" ht="15" customHeight="1" x14ac:dyDescent="0.3">
      <c r="A1054" s="10" t="s">
        <v>78</v>
      </c>
      <c r="B1054" s="10" t="s">
        <v>464</v>
      </c>
      <c r="C1054" s="10">
        <v>6.9444444444444441E-3</v>
      </c>
      <c r="D1054" s="10" t="s">
        <v>83</v>
      </c>
      <c r="E1054" s="10" t="s">
        <v>95</v>
      </c>
      <c r="F1054" s="10" t="s">
        <v>678</v>
      </c>
      <c r="G1054" s="328"/>
      <c r="H1054" s="7"/>
      <c r="I1054" s="8"/>
      <c r="J1054" s="8"/>
      <c r="K1054" s="8"/>
      <c r="L1054" s="8"/>
      <c r="M1054" s="8"/>
      <c r="N1054" s="8"/>
      <c r="O1054" s="8"/>
      <c r="P1054" s="8"/>
      <c r="Q1054" s="8"/>
      <c r="R1054" s="9"/>
    </row>
    <row r="1055" spans="1:18" ht="15" customHeight="1" x14ac:dyDescent="0.3">
      <c r="A1055" s="26" t="s">
        <v>78</v>
      </c>
      <c r="B1055" s="26" t="s">
        <v>467</v>
      </c>
      <c r="C1055" s="26">
        <v>0.1423611111111111</v>
      </c>
      <c r="D1055" s="26" t="s">
        <v>80</v>
      </c>
      <c r="E1055" s="26" t="s">
        <v>71</v>
      </c>
      <c r="F1055" s="26" t="s">
        <v>677</v>
      </c>
      <c r="G1055" s="328"/>
      <c r="H1055" s="7"/>
      <c r="I1055" s="8"/>
      <c r="J1055" s="8"/>
      <c r="K1055" s="8"/>
      <c r="L1055" s="8"/>
      <c r="M1055" s="8"/>
      <c r="N1055" s="8"/>
      <c r="O1055" s="8"/>
      <c r="P1055" s="8"/>
      <c r="Q1055" s="8"/>
      <c r="R1055" s="9"/>
    </row>
    <row r="1056" spans="1:18" ht="15" customHeight="1" x14ac:dyDescent="0.3">
      <c r="A1056" s="10" t="s">
        <v>78</v>
      </c>
      <c r="B1056" s="10" t="s">
        <v>467</v>
      </c>
      <c r="C1056" s="10">
        <v>0.1423611111111111</v>
      </c>
      <c r="D1056" s="10" t="s">
        <v>83</v>
      </c>
      <c r="E1056" s="10" t="s">
        <v>95</v>
      </c>
      <c r="F1056" s="10" t="s">
        <v>678</v>
      </c>
      <c r="G1056" s="328"/>
      <c r="H1056" s="7"/>
      <c r="I1056" s="8"/>
      <c r="J1056" s="8"/>
      <c r="K1056" s="8"/>
      <c r="L1056" s="8"/>
      <c r="M1056" s="8"/>
      <c r="N1056" s="8"/>
      <c r="O1056" s="8"/>
      <c r="P1056" s="8"/>
      <c r="Q1056" s="8"/>
      <c r="R1056" s="9"/>
    </row>
    <row r="1057" spans="1:18" ht="15" customHeight="1" x14ac:dyDescent="0.3">
      <c r="A1057" s="26" t="s">
        <v>78</v>
      </c>
      <c r="B1057" s="26" t="s">
        <v>477</v>
      </c>
      <c r="C1057" s="26">
        <v>0.82986111111111116</v>
      </c>
      <c r="D1057" s="26" t="s">
        <v>80</v>
      </c>
      <c r="E1057" s="26" t="s">
        <v>71</v>
      </c>
      <c r="F1057" s="26" t="s">
        <v>677</v>
      </c>
      <c r="G1057" s="328"/>
      <c r="H1057" s="7"/>
      <c r="I1057" s="8"/>
      <c r="J1057" s="8"/>
      <c r="K1057" s="8"/>
      <c r="L1057" s="8"/>
      <c r="M1057" s="8"/>
      <c r="N1057" s="8"/>
      <c r="O1057" s="8"/>
      <c r="P1057" s="8"/>
      <c r="Q1057" s="8"/>
      <c r="R1057" s="9"/>
    </row>
    <row r="1058" spans="1:18" ht="15" customHeight="1" x14ac:dyDescent="0.3">
      <c r="A1058" s="10" t="s">
        <v>78</v>
      </c>
      <c r="B1058" s="10" t="s">
        <v>477</v>
      </c>
      <c r="C1058" s="10">
        <v>0.82986111111111116</v>
      </c>
      <c r="D1058" s="10" t="s">
        <v>83</v>
      </c>
      <c r="E1058" s="10" t="s">
        <v>95</v>
      </c>
      <c r="F1058" s="10" t="s">
        <v>678</v>
      </c>
      <c r="G1058" s="328"/>
      <c r="H1058" s="7"/>
      <c r="I1058" s="8"/>
      <c r="J1058" s="8"/>
      <c r="K1058" s="8"/>
      <c r="L1058" s="8"/>
      <c r="M1058" s="8"/>
      <c r="N1058" s="8"/>
      <c r="O1058" s="8"/>
      <c r="P1058" s="8"/>
      <c r="Q1058" s="8"/>
      <c r="R1058" s="9"/>
    </row>
    <row r="1059" spans="1:18" ht="15" customHeight="1" x14ac:dyDescent="0.3">
      <c r="A1059" s="26" t="s">
        <v>78</v>
      </c>
      <c r="B1059" s="26" t="s">
        <v>469</v>
      </c>
      <c r="C1059" s="26">
        <v>0.37847222222222232</v>
      </c>
      <c r="D1059" s="26" t="s">
        <v>80</v>
      </c>
      <c r="E1059" s="26" t="s">
        <v>71</v>
      </c>
      <c r="F1059" s="26" t="s">
        <v>677</v>
      </c>
      <c r="G1059" s="328"/>
      <c r="H1059" s="7"/>
      <c r="I1059" s="8"/>
      <c r="J1059" s="8"/>
      <c r="K1059" s="8"/>
      <c r="L1059" s="8"/>
      <c r="M1059" s="8"/>
      <c r="N1059" s="8"/>
      <c r="O1059" s="8"/>
      <c r="P1059" s="8"/>
      <c r="Q1059" s="8"/>
      <c r="R1059" s="9"/>
    </row>
    <row r="1060" spans="1:18" ht="15" customHeight="1" x14ac:dyDescent="0.3">
      <c r="A1060" s="10" t="s">
        <v>78</v>
      </c>
      <c r="B1060" s="10" t="s">
        <v>469</v>
      </c>
      <c r="C1060" s="10">
        <v>0.37847222222222232</v>
      </c>
      <c r="D1060" s="10" t="s">
        <v>83</v>
      </c>
      <c r="E1060" s="10" t="s">
        <v>95</v>
      </c>
      <c r="F1060" s="10" t="s">
        <v>678</v>
      </c>
      <c r="G1060" s="328"/>
      <c r="H1060" s="7"/>
      <c r="I1060" s="8"/>
      <c r="J1060" s="8"/>
      <c r="K1060" s="8"/>
      <c r="L1060" s="8"/>
      <c r="M1060" s="8"/>
      <c r="N1060" s="8"/>
      <c r="O1060" s="8"/>
      <c r="P1060" s="8"/>
      <c r="Q1060" s="8"/>
      <c r="R1060" s="9"/>
    </row>
    <row r="1061" spans="1:18" ht="15" customHeight="1" x14ac:dyDescent="0.3">
      <c r="A1061" s="26" t="s">
        <v>78</v>
      </c>
      <c r="B1061" s="26" t="s">
        <v>482</v>
      </c>
      <c r="C1061" s="26">
        <v>0.61111111111111105</v>
      </c>
      <c r="D1061" s="26" t="s">
        <v>80</v>
      </c>
      <c r="E1061" s="26" t="s">
        <v>71</v>
      </c>
      <c r="F1061" s="26" t="s">
        <v>677</v>
      </c>
      <c r="G1061" s="328"/>
      <c r="H1061" s="7"/>
      <c r="I1061" s="8"/>
      <c r="J1061" s="8"/>
      <c r="K1061" s="8"/>
      <c r="L1061" s="8"/>
      <c r="M1061" s="8"/>
      <c r="N1061" s="8"/>
      <c r="O1061" s="8"/>
      <c r="P1061" s="8"/>
      <c r="Q1061" s="8"/>
      <c r="R1061" s="9"/>
    </row>
    <row r="1062" spans="1:18" ht="15" customHeight="1" x14ac:dyDescent="0.3">
      <c r="A1062" s="10" t="s">
        <v>78</v>
      </c>
      <c r="B1062" s="10" t="s">
        <v>482</v>
      </c>
      <c r="C1062" s="10">
        <v>0.61111111111111105</v>
      </c>
      <c r="D1062" s="10" t="s">
        <v>83</v>
      </c>
      <c r="E1062" s="10" t="s">
        <v>95</v>
      </c>
      <c r="F1062" s="10" t="s">
        <v>678</v>
      </c>
      <c r="G1062" s="328"/>
      <c r="H1062" s="7"/>
      <c r="I1062" s="8"/>
      <c r="J1062" s="8"/>
      <c r="K1062" s="8"/>
      <c r="L1062" s="8"/>
      <c r="M1062" s="8"/>
      <c r="N1062" s="8"/>
      <c r="O1062" s="8"/>
      <c r="P1062" s="8"/>
      <c r="Q1062" s="8"/>
      <c r="R1062" s="9"/>
    </row>
    <row r="1063" spans="1:18" ht="15" customHeight="1" x14ac:dyDescent="0.3">
      <c r="A1063" s="26" t="s">
        <v>78</v>
      </c>
      <c r="B1063" s="26" t="s">
        <v>461</v>
      </c>
      <c r="C1063" s="26">
        <v>0.23958333333333329</v>
      </c>
      <c r="D1063" s="26" t="s">
        <v>80</v>
      </c>
      <c r="E1063" s="26" t="s">
        <v>71</v>
      </c>
      <c r="F1063" s="26" t="s">
        <v>677</v>
      </c>
      <c r="G1063" s="328"/>
      <c r="H1063" s="7"/>
      <c r="I1063" s="8"/>
      <c r="J1063" s="8"/>
      <c r="K1063" s="8"/>
      <c r="L1063" s="8"/>
      <c r="M1063" s="8"/>
      <c r="N1063" s="8"/>
      <c r="O1063" s="8"/>
      <c r="P1063" s="8"/>
      <c r="Q1063" s="8"/>
      <c r="R1063" s="9"/>
    </row>
    <row r="1064" spans="1:18" ht="15" customHeight="1" x14ac:dyDescent="0.3">
      <c r="A1064" s="10" t="s">
        <v>78</v>
      </c>
      <c r="B1064" s="10" t="s">
        <v>461</v>
      </c>
      <c r="C1064" s="10">
        <v>0.23958333333333329</v>
      </c>
      <c r="D1064" s="10" t="s">
        <v>83</v>
      </c>
      <c r="E1064" s="10" t="s">
        <v>95</v>
      </c>
      <c r="F1064" s="10" t="s">
        <v>678</v>
      </c>
      <c r="G1064" s="328"/>
      <c r="H1064" s="7"/>
      <c r="I1064" s="8"/>
      <c r="J1064" s="8"/>
      <c r="K1064" s="8"/>
      <c r="L1064" s="8"/>
      <c r="M1064" s="8"/>
      <c r="N1064" s="8"/>
      <c r="O1064" s="8"/>
      <c r="P1064" s="8"/>
      <c r="Q1064" s="8"/>
      <c r="R1064" s="9"/>
    </row>
    <row r="1065" spans="1:18" ht="15" customHeight="1" x14ac:dyDescent="0.3">
      <c r="A1065" s="26" t="s">
        <v>78</v>
      </c>
      <c r="B1065" s="26" t="s">
        <v>468</v>
      </c>
      <c r="C1065" s="26">
        <v>0.93055555555555547</v>
      </c>
      <c r="D1065" s="26" t="s">
        <v>80</v>
      </c>
      <c r="E1065" s="26" t="s">
        <v>71</v>
      </c>
      <c r="F1065" s="26" t="s">
        <v>679</v>
      </c>
      <c r="G1065" s="328"/>
      <c r="H1065" s="7"/>
      <c r="I1065" s="8"/>
      <c r="J1065" s="8"/>
      <c r="K1065" s="8"/>
      <c r="L1065" s="8"/>
      <c r="M1065" s="8"/>
      <c r="N1065" s="8"/>
      <c r="O1065" s="8"/>
      <c r="P1065" s="8"/>
      <c r="Q1065" s="8"/>
      <c r="R1065" s="9"/>
    </row>
    <row r="1066" spans="1:18" ht="15" customHeight="1" x14ac:dyDescent="0.3">
      <c r="A1066" s="10" t="s">
        <v>78</v>
      </c>
      <c r="B1066" s="10" t="s">
        <v>468</v>
      </c>
      <c r="C1066" s="10">
        <v>0.93055555555555547</v>
      </c>
      <c r="D1066" s="10" t="s">
        <v>83</v>
      </c>
      <c r="E1066" s="10" t="s">
        <v>95</v>
      </c>
      <c r="F1066" s="10" t="s">
        <v>680</v>
      </c>
      <c r="G1066" s="328"/>
      <c r="H1066" s="7"/>
      <c r="I1066" s="8"/>
      <c r="J1066" s="8"/>
      <c r="K1066" s="8"/>
      <c r="L1066" s="8"/>
      <c r="M1066" s="8"/>
      <c r="N1066" s="8"/>
      <c r="O1066" s="8"/>
      <c r="P1066" s="8"/>
      <c r="Q1066" s="8"/>
      <c r="R1066" s="9"/>
    </row>
    <row r="1067" spans="1:18" ht="15" customHeight="1" x14ac:dyDescent="0.3">
      <c r="A1067" s="26" t="s">
        <v>78</v>
      </c>
      <c r="B1067" s="26" t="s">
        <v>470</v>
      </c>
      <c r="C1067" s="26">
        <v>0.71875</v>
      </c>
      <c r="D1067" s="26" t="s">
        <v>80</v>
      </c>
      <c r="E1067" s="26" t="s">
        <v>71</v>
      </c>
      <c r="F1067" s="26" t="s">
        <v>679</v>
      </c>
      <c r="G1067" s="328"/>
      <c r="H1067" s="7"/>
      <c r="I1067" s="8"/>
      <c r="J1067" s="8"/>
      <c r="K1067" s="8"/>
      <c r="L1067" s="8"/>
      <c r="M1067" s="8"/>
      <c r="N1067" s="8"/>
      <c r="O1067" s="8"/>
      <c r="P1067" s="8"/>
      <c r="Q1067" s="8"/>
      <c r="R1067" s="9"/>
    </row>
    <row r="1068" spans="1:18" ht="15" customHeight="1" x14ac:dyDescent="0.3">
      <c r="A1068" s="10" t="s">
        <v>78</v>
      </c>
      <c r="B1068" s="10" t="s">
        <v>470</v>
      </c>
      <c r="C1068" s="10">
        <v>0.71875</v>
      </c>
      <c r="D1068" s="10" t="s">
        <v>83</v>
      </c>
      <c r="E1068" s="10" t="s">
        <v>95</v>
      </c>
      <c r="F1068" s="10" t="s">
        <v>680</v>
      </c>
      <c r="G1068" s="328"/>
      <c r="H1068" s="7"/>
      <c r="I1068" s="8"/>
      <c r="J1068" s="8"/>
      <c r="K1068" s="8"/>
      <c r="L1068" s="8"/>
      <c r="M1068" s="8"/>
      <c r="N1068" s="8"/>
      <c r="O1068" s="8"/>
      <c r="P1068" s="8"/>
      <c r="Q1068" s="8"/>
      <c r="R1068" s="9"/>
    </row>
    <row r="1069" spans="1:18" ht="15" customHeight="1" x14ac:dyDescent="0.3">
      <c r="A1069" s="26" t="s">
        <v>78</v>
      </c>
      <c r="B1069" s="26" t="s">
        <v>473</v>
      </c>
      <c r="C1069" s="26">
        <v>0.88888888888888884</v>
      </c>
      <c r="D1069" s="26" t="s">
        <v>83</v>
      </c>
      <c r="E1069" s="26" t="s">
        <v>87</v>
      </c>
      <c r="F1069" s="26" t="s">
        <v>535</v>
      </c>
      <c r="G1069" s="328"/>
      <c r="H1069" s="7"/>
      <c r="I1069" s="8"/>
      <c r="J1069" s="8"/>
      <c r="K1069" s="8"/>
      <c r="L1069" s="8"/>
      <c r="M1069" s="8"/>
      <c r="N1069" s="8"/>
      <c r="O1069" s="8"/>
      <c r="P1069" s="8"/>
      <c r="Q1069" s="8"/>
      <c r="R1069" s="9"/>
    </row>
    <row r="1070" spans="1:18" ht="15" customHeight="1" x14ac:dyDescent="0.3">
      <c r="A1070" s="26" t="s">
        <v>78</v>
      </c>
      <c r="B1070" s="26" t="s">
        <v>476</v>
      </c>
      <c r="C1070" s="26">
        <v>0.12847222222222221</v>
      </c>
      <c r="D1070" s="26" t="s">
        <v>83</v>
      </c>
      <c r="E1070" s="26" t="s">
        <v>87</v>
      </c>
      <c r="F1070" s="26" t="s">
        <v>535</v>
      </c>
      <c r="G1070" s="328"/>
      <c r="H1070" s="7"/>
      <c r="I1070" s="8"/>
      <c r="J1070" s="8"/>
      <c r="K1070" s="8"/>
      <c r="L1070" s="8"/>
      <c r="M1070" s="8"/>
      <c r="N1070" s="8"/>
      <c r="O1070" s="8"/>
      <c r="P1070" s="8"/>
      <c r="Q1070" s="8"/>
      <c r="R1070" s="9"/>
    </row>
    <row r="1071" spans="1:18" ht="15" customHeight="1" x14ac:dyDescent="0.3">
      <c r="A1071" s="26" t="s">
        <v>78</v>
      </c>
      <c r="B1071" s="26" t="s">
        <v>475</v>
      </c>
      <c r="C1071" s="26">
        <v>0.30208333333333331</v>
      </c>
      <c r="D1071" s="26" t="s">
        <v>83</v>
      </c>
      <c r="E1071" s="26" t="s">
        <v>87</v>
      </c>
      <c r="F1071" s="26" t="s">
        <v>474</v>
      </c>
      <c r="G1071" s="328"/>
      <c r="H1071" s="7"/>
      <c r="I1071" s="8"/>
      <c r="J1071" s="8"/>
      <c r="K1071" s="8"/>
      <c r="L1071" s="8"/>
      <c r="M1071" s="8"/>
      <c r="N1071" s="8"/>
      <c r="O1071" s="8"/>
      <c r="P1071" s="8"/>
      <c r="Q1071" s="8"/>
      <c r="R1071" s="9"/>
    </row>
    <row r="1072" spans="1:18" ht="15" customHeight="1" x14ac:dyDescent="0.3">
      <c r="A1072" s="26" t="s">
        <v>78</v>
      </c>
      <c r="B1072" s="26" t="s">
        <v>480</v>
      </c>
      <c r="C1072" s="26">
        <v>0.78819444444444453</v>
      </c>
      <c r="D1072" s="26" t="s">
        <v>83</v>
      </c>
      <c r="E1072" s="26" t="s">
        <v>87</v>
      </c>
      <c r="F1072" s="26" t="s">
        <v>481</v>
      </c>
      <c r="G1072" s="328"/>
      <c r="H1072" s="7"/>
      <c r="I1072" s="8"/>
      <c r="J1072" s="8"/>
      <c r="K1072" s="8"/>
      <c r="L1072" s="8"/>
      <c r="M1072" s="8"/>
      <c r="N1072" s="8"/>
      <c r="O1072" s="8"/>
      <c r="P1072" s="8"/>
      <c r="Q1072" s="8"/>
      <c r="R1072" s="9"/>
    </row>
    <row r="1073" spans="1:18" ht="15" customHeight="1" x14ac:dyDescent="0.3">
      <c r="A1073" s="50" t="s">
        <v>404</v>
      </c>
      <c r="B1073" s="50" t="s">
        <v>408</v>
      </c>
      <c r="C1073" s="50">
        <v>0.86111111111111116</v>
      </c>
      <c r="D1073" s="50" t="s">
        <v>406</v>
      </c>
      <c r="E1073" s="50" t="s">
        <v>47</v>
      </c>
      <c r="F1073" s="50" t="s">
        <v>465</v>
      </c>
      <c r="G1073" s="328"/>
      <c r="H1073" s="28"/>
      <c r="I1073" s="29"/>
      <c r="J1073" s="29"/>
      <c r="K1073" s="29"/>
      <c r="L1073" s="29"/>
      <c r="M1073" s="29"/>
      <c r="N1073" s="29"/>
      <c r="O1073" s="29"/>
      <c r="P1073" s="29"/>
      <c r="Q1073" s="29"/>
      <c r="R1073" s="30"/>
    </row>
  </sheetData>
  <mergeCells count="70">
    <mergeCell ref="G83:G156"/>
    <mergeCell ref="A157:R157"/>
    <mergeCell ref="H158:R158"/>
    <mergeCell ref="H649:R649"/>
    <mergeCell ref="A952:F952"/>
    <mergeCell ref="G651:G725"/>
    <mergeCell ref="G239:G272"/>
    <mergeCell ref="G535:G606"/>
    <mergeCell ref="A648:R648"/>
    <mergeCell ref="A800:R800"/>
    <mergeCell ref="H533:R533"/>
    <mergeCell ref="A325:R325"/>
    <mergeCell ref="A237:F237"/>
    <mergeCell ref="A532:R532"/>
    <mergeCell ref="A649:F649"/>
    <mergeCell ref="H237:R237"/>
    <mergeCell ref="G379:G453"/>
    <mergeCell ref="G729:G799"/>
    <mergeCell ref="G954:G1026"/>
    <mergeCell ref="H1028:R1028"/>
    <mergeCell ref="H326:R326"/>
    <mergeCell ref="A274:F274"/>
    <mergeCell ref="G276:G324"/>
    <mergeCell ref="A951:R951"/>
    <mergeCell ref="A801:F801"/>
    <mergeCell ref="A454:R454"/>
    <mergeCell ref="G803:G873"/>
    <mergeCell ref="A874:R874"/>
    <mergeCell ref="G610:G647"/>
    <mergeCell ref="A726:R726"/>
    <mergeCell ref="H727:R727"/>
    <mergeCell ref="A455:F455"/>
    <mergeCell ref="A608:F608"/>
    <mergeCell ref="H1:L1"/>
    <mergeCell ref="A1:E1"/>
    <mergeCell ref="A80:R80"/>
    <mergeCell ref="A273:R273"/>
    <mergeCell ref="A236:R236"/>
    <mergeCell ref="H4:R4"/>
    <mergeCell ref="A2:F2"/>
    <mergeCell ref="A3:R3"/>
    <mergeCell ref="G2:J2"/>
    <mergeCell ref="A4:F4"/>
    <mergeCell ref="G160:G235"/>
    <mergeCell ref="A81:F81"/>
    <mergeCell ref="N1:R1"/>
    <mergeCell ref="K2:R2"/>
    <mergeCell ref="G6:G79"/>
    <mergeCell ref="H81:R81"/>
    <mergeCell ref="A326:F326"/>
    <mergeCell ref="H455:R455"/>
    <mergeCell ref="A1028:F1028"/>
    <mergeCell ref="H875:R875"/>
    <mergeCell ref="A158:F158"/>
    <mergeCell ref="H274:R274"/>
    <mergeCell ref="G328:G375"/>
    <mergeCell ref="A1027:R1027"/>
    <mergeCell ref="A533:F533"/>
    <mergeCell ref="A376:R376"/>
    <mergeCell ref="A875:F875"/>
    <mergeCell ref="H801:R801"/>
    <mergeCell ref="A607:R607"/>
    <mergeCell ref="A377:F377"/>
    <mergeCell ref="G877:G950"/>
    <mergeCell ref="H952:R952"/>
    <mergeCell ref="A727:F727"/>
    <mergeCell ref="H377:R377"/>
    <mergeCell ref="G457:G531"/>
    <mergeCell ref="H608:R608"/>
    <mergeCell ref="G1030:G107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9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7.5546875" style="343" bestFit="1" customWidth="1"/>
    <col min="6" max="6" width="4.21875" style="343" bestFit="1" customWidth="1"/>
    <col min="7" max="7" width="10" style="343" bestFit="1" customWidth="1"/>
    <col min="8" max="8" width="10.109375" style="343" bestFit="1" customWidth="1"/>
    <col min="9" max="10" width="8.5546875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7" style="343" bestFit="1" customWidth="1" outlineLevel="1"/>
    <col min="15" max="15" width="8.5546875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9" width="3.88671875" style="343" bestFit="1" customWidth="1"/>
    <col min="30" max="31" width="4.5546875" style="343" bestFit="1" customWidth="1"/>
    <col min="32" max="32" width="3.88671875" style="343" bestFit="1" customWidth="1"/>
    <col min="33" max="33" width="4.21875" style="343" bestFit="1" customWidth="1"/>
    <col min="34" max="34" width="3.88671875" style="343" bestFit="1" customWidth="1"/>
    <col min="35" max="35" width="5.21875" style="343" bestFit="1" customWidth="1"/>
    <col min="36" max="36" width="5.4414062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420</v>
      </c>
      <c r="D2" s="347" t="s">
        <v>681</v>
      </c>
      <c r="E2" s="346" t="s">
        <v>403</v>
      </c>
      <c r="F2" s="346" t="s">
        <v>214</v>
      </c>
      <c r="G2" s="348">
        <v>0.4078</v>
      </c>
      <c r="H2" s="349">
        <v>179</v>
      </c>
      <c r="I2" s="349">
        <v>73</v>
      </c>
      <c r="J2" s="349">
        <v>0</v>
      </c>
      <c r="K2" s="346" t="s">
        <v>215</v>
      </c>
      <c r="L2" s="350" t="s">
        <v>175</v>
      </c>
      <c r="M2" s="349">
        <v>8</v>
      </c>
      <c r="N2" s="349">
        <v>10</v>
      </c>
      <c r="O2" s="349">
        <v>55</v>
      </c>
      <c r="P2" s="346" t="s">
        <v>237</v>
      </c>
      <c r="Q2" s="342"/>
      <c r="R2" s="342"/>
      <c r="S2" s="342"/>
      <c r="T2" s="342"/>
      <c r="U2" s="342"/>
      <c r="V2" s="342"/>
      <c r="W2" s="342"/>
      <c r="X2" s="342"/>
      <c r="Y2" s="349" t="s">
        <v>682</v>
      </c>
      <c r="Z2" s="349" t="s">
        <v>683</v>
      </c>
      <c r="AA2" s="342"/>
      <c r="AB2" s="342"/>
      <c r="AC2" s="349" t="s">
        <v>235</v>
      </c>
      <c r="AD2" s="349" t="s">
        <v>227</v>
      </c>
      <c r="AE2" s="349" t="s">
        <v>684</v>
      </c>
      <c r="AF2" s="349" t="s">
        <v>685</v>
      </c>
      <c r="AG2" s="342"/>
      <c r="AH2" s="342"/>
      <c r="AI2" s="342"/>
      <c r="AJ2" s="342"/>
    </row>
    <row r="3" spans="1:36" x14ac:dyDescent="0.3">
      <c r="A3" s="344" t="s">
        <v>212</v>
      </c>
      <c r="B3" s="345">
        <v>45986</v>
      </c>
      <c r="C3" s="346" t="s">
        <v>432</v>
      </c>
      <c r="D3" s="347" t="s">
        <v>686</v>
      </c>
      <c r="E3" s="346" t="s">
        <v>403</v>
      </c>
      <c r="F3" s="346" t="s">
        <v>214</v>
      </c>
      <c r="G3" s="348">
        <v>0.9385</v>
      </c>
      <c r="H3" s="349">
        <v>179</v>
      </c>
      <c r="I3" s="349">
        <v>168</v>
      </c>
      <c r="J3" s="349">
        <v>117</v>
      </c>
      <c r="K3" s="346" t="s">
        <v>215</v>
      </c>
      <c r="L3" s="350" t="s">
        <v>433</v>
      </c>
      <c r="M3" s="349">
        <v>0</v>
      </c>
      <c r="N3" s="349">
        <v>0</v>
      </c>
      <c r="O3" s="349">
        <v>25</v>
      </c>
      <c r="P3" s="346" t="s">
        <v>64</v>
      </c>
      <c r="Q3" s="342"/>
      <c r="R3" s="342"/>
      <c r="S3" s="342"/>
      <c r="T3" s="342"/>
      <c r="U3" s="342"/>
      <c r="V3" s="342"/>
      <c r="W3" s="342"/>
      <c r="X3" s="342"/>
      <c r="Y3" s="342"/>
      <c r="Z3" s="349" t="s">
        <v>333</v>
      </c>
      <c r="AA3" s="342"/>
      <c r="AB3" s="342"/>
      <c r="AC3" s="349" t="s">
        <v>279</v>
      </c>
      <c r="AD3" s="349" t="s">
        <v>687</v>
      </c>
      <c r="AE3" s="349" t="s">
        <v>688</v>
      </c>
      <c r="AF3" s="349" t="s">
        <v>612</v>
      </c>
      <c r="AG3" s="342"/>
      <c r="AH3" s="342"/>
      <c r="AI3" s="349" t="s">
        <v>689</v>
      </c>
      <c r="AJ3" s="349" t="s">
        <v>690</v>
      </c>
    </row>
    <row r="4" spans="1:36" x14ac:dyDescent="0.3">
      <c r="A4" s="344" t="s">
        <v>212</v>
      </c>
      <c r="B4" s="345">
        <v>45986</v>
      </c>
      <c r="C4" s="346" t="s">
        <v>427</v>
      </c>
      <c r="D4" s="347" t="s">
        <v>691</v>
      </c>
      <c r="E4" s="346" t="s">
        <v>403</v>
      </c>
      <c r="F4" s="346" t="s">
        <v>214</v>
      </c>
      <c r="G4" s="348">
        <v>0.88270000000000004</v>
      </c>
      <c r="H4" s="349">
        <v>179</v>
      </c>
      <c r="I4" s="349">
        <v>158</v>
      </c>
      <c r="J4" s="349">
        <v>82</v>
      </c>
      <c r="K4" s="346" t="s">
        <v>215</v>
      </c>
      <c r="L4" s="350" t="s">
        <v>175</v>
      </c>
      <c r="M4" s="349">
        <v>7</v>
      </c>
      <c r="N4" s="349">
        <v>15</v>
      </c>
      <c r="O4" s="349">
        <v>41</v>
      </c>
      <c r="P4" s="346" t="s">
        <v>364</v>
      </c>
      <c r="Q4" s="342"/>
      <c r="R4" s="342"/>
      <c r="S4" s="342"/>
      <c r="T4" s="342"/>
      <c r="U4" s="342"/>
      <c r="V4" s="342"/>
      <c r="W4" s="342"/>
      <c r="X4" s="342"/>
      <c r="Y4" s="342"/>
      <c r="Z4" s="349" t="s">
        <v>273</v>
      </c>
      <c r="AA4" s="342"/>
      <c r="AB4" s="342"/>
      <c r="AC4" s="349" t="s">
        <v>334</v>
      </c>
      <c r="AD4" s="349" t="s">
        <v>382</v>
      </c>
      <c r="AE4" s="349" t="s">
        <v>692</v>
      </c>
      <c r="AF4" s="349" t="s">
        <v>612</v>
      </c>
      <c r="AG4" s="342"/>
      <c r="AH4" s="342"/>
      <c r="AI4" s="349" t="s">
        <v>693</v>
      </c>
      <c r="AJ4" s="342"/>
    </row>
    <row r="5" spans="1:36" x14ac:dyDescent="0.3">
      <c r="A5" s="344" t="s">
        <v>212</v>
      </c>
      <c r="B5" s="345">
        <v>45986</v>
      </c>
      <c r="C5" s="346" t="s">
        <v>430</v>
      </c>
      <c r="D5" s="347" t="s">
        <v>694</v>
      </c>
      <c r="E5" s="346" t="s">
        <v>403</v>
      </c>
      <c r="F5" s="346" t="s">
        <v>214</v>
      </c>
      <c r="G5" s="348">
        <v>0.91059999999999997</v>
      </c>
      <c r="H5" s="349">
        <v>179</v>
      </c>
      <c r="I5" s="349">
        <v>163</v>
      </c>
      <c r="J5" s="349">
        <v>116</v>
      </c>
      <c r="K5" s="346" t="s">
        <v>215</v>
      </c>
      <c r="L5" s="350" t="s">
        <v>63</v>
      </c>
      <c r="M5" s="349">
        <v>0</v>
      </c>
      <c r="N5" s="349">
        <v>0</v>
      </c>
      <c r="O5" s="349">
        <v>23</v>
      </c>
      <c r="P5" s="346" t="s">
        <v>277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244</v>
      </c>
      <c r="AA5" s="349" t="s">
        <v>695</v>
      </c>
      <c r="AB5" s="342"/>
      <c r="AC5" s="349" t="s">
        <v>261</v>
      </c>
      <c r="AD5" s="349" t="s">
        <v>696</v>
      </c>
      <c r="AE5" s="349" t="s">
        <v>688</v>
      </c>
      <c r="AF5" s="349" t="s">
        <v>353</v>
      </c>
      <c r="AG5" s="342"/>
      <c r="AH5" s="342"/>
      <c r="AI5" s="349" t="s">
        <v>697</v>
      </c>
      <c r="AJ5" s="342"/>
    </row>
    <row r="6" spans="1:36" x14ac:dyDescent="0.3">
      <c r="A6" s="344" t="s">
        <v>212</v>
      </c>
      <c r="B6" s="345">
        <v>45986</v>
      </c>
      <c r="C6" s="346" t="s">
        <v>423</v>
      </c>
      <c r="D6" s="347" t="s">
        <v>698</v>
      </c>
      <c r="E6" s="346" t="s">
        <v>403</v>
      </c>
      <c r="F6" s="346" t="s">
        <v>214</v>
      </c>
      <c r="G6" s="348">
        <v>0.70950000000000002</v>
      </c>
      <c r="H6" s="349">
        <v>179</v>
      </c>
      <c r="I6" s="349">
        <v>127</v>
      </c>
      <c r="J6" s="349">
        <v>86</v>
      </c>
      <c r="K6" s="346" t="s">
        <v>215</v>
      </c>
      <c r="L6" s="350" t="s">
        <v>175</v>
      </c>
      <c r="M6" s="349">
        <v>5</v>
      </c>
      <c r="N6" s="349">
        <v>2</v>
      </c>
      <c r="O6" s="349">
        <v>18</v>
      </c>
      <c r="P6" s="346" t="s">
        <v>237</v>
      </c>
      <c r="Q6" s="342"/>
      <c r="R6" s="342"/>
      <c r="S6" s="342"/>
      <c r="T6" s="342"/>
      <c r="U6" s="342"/>
      <c r="V6" s="342"/>
      <c r="W6" s="342"/>
      <c r="X6" s="342"/>
      <c r="Y6" s="342"/>
      <c r="Z6" s="349" t="s">
        <v>333</v>
      </c>
      <c r="AA6" s="342"/>
      <c r="AB6" s="342"/>
      <c r="AC6" s="349" t="s">
        <v>261</v>
      </c>
      <c r="AD6" s="349" t="s">
        <v>236</v>
      </c>
      <c r="AE6" s="349" t="s">
        <v>688</v>
      </c>
      <c r="AF6" s="349" t="s">
        <v>612</v>
      </c>
      <c r="AG6" s="342"/>
      <c r="AH6" s="342"/>
      <c r="AI6" s="349" t="s">
        <v>395</v>
      </c>
      <c r="AJ6" s="342"/>
    </row>
    <row r="7" spans="1:36" x14ac:dyDescent="0.3">
      <c r="A7" s="344" t="s">
        <v>212</v>
      </c>
      <c r="B7" s="345">
        <v>45986</v>
      </c>
      <c r="C7" s="346" t="s">
        <v>417</v>
      </c>
      <c r="D7" s="347" t="s">
        <v>699</v>
      </c>
      <c r="E7" s="346" t="s">
        <v>403</v>
      </c>
      <c r="F7" s="346" t="s">
        <v>214</v>
      </c>
      <c r="G7" s="348">
        <v>0.59219999999999995</v>
      </c>
      <c r="H7" s="349">
        <v>179</v>
      </c>
      <c r="I7" s="349">
        <v>106</v>
      </c>
      <c r="J7" s="349">
        <v>46</v>
      </c>
      <c r="K7" s="346" t="s">
        <v>215</v>
      </c>
      <c r="L7" s="350" t="s">
        <v>175</v>
      </c>
      <c r="M7" s="349">
        <v>1</v>
      </c>
      <c r="N7" s="349">
        <v>5</v>
      </c>
      <c r="O7" s="349">
        <v>35</v>
      </c>
      <c r="P7" s="346" t="s">
        <v>237</v>
      </c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9" t="s">
        <v>279</v>
      </c>
      <c r="AD7" s="349" t="s">
        <v>227</v>
      </c>
      <c r="AE7" s="349" t="s">
        <v>700</v>
      </c>
      <c r="AF7" s="349" t="s">
        <v>685</v>
      </c>
      <c r="AG7" s="342"/>
      <c r="AH7" s="342"/>
      <c r="AI7" s="349" t="s">
        <v>701</v>
      </c>
      <c r="AJ7" s="342"/>
    </row>
    <row r="8" spans="1:36" x14ac:dyDescent="0.3">
      <c r="A8" s="344" t="s">
        <v>331</v>
      </c>
      <c r="B8" s="345">
        <v>45987</v>
      </c>
      <c r="C8" s="346" t="s">
        <v>417</v>
      </c>
      <c r="D8" s="347" t="s">
        <v>702</v>
      </c>
      <c r="E8" s="346" t="s">
        <v>403</v>
      </c>
      <c r="F8" s="346" t="s">
        <v>214</v>
      </c>
      <c r="G8" s="348">
        <v>0.4078</v>
      </c>
      <c r="H8" s="349">
        <v>179</v>
      </c>
      <c r="I8" s="349">
        <v>73</v>
      </c>
      <c r="J8" s="349">
        <v>0</v>
      </c>
      <c r="K8" s="346" t="s">
        <v>215</v>
      </c>
      <c r="L8" s="350" t="s">
        <v>175</v>
      </c>
      <c r="M8" s="349">
        <v>5</v>
      </c>
      <c r="N8" s="349">
        <v>3</v>
      </c>
      <c r="O8" s="349">
        <v>51</v>
      </c>
      <c r="P8" s="346" t="s">
        <v>353</v>
      </c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9" t="s">
        <v>643</v>
      </c>
      <c r="AE8" s="349" t="s">
        <v>684</v>
      </c>
      <c r="AF8" s="349" t="s">
        <v>703</v>
      </c>
      <c r="AG8" s="342"/>
      <c r="AH8" s="342"/>
      <c r="AI8" s="342"/>
      <c r="AJ8" s="342"/>
    </row>
    <row r="9" spans="1:36" x14ac:dyDescent="0.3">
      <c r="A9" s="344" t="s">
        <v>331</v>
      </c>
      <c r="B9" s="345">
        <v>45987</v>
      </c>
      <c r="C9" s="346" t="s">
        <v>430</v>
      </c>
      <c r="D9" s="347" t="s">
        <v>704</v>
      </c>
      <c r="E9" s="346" t="s">
        <v>403</v>
      </c>
      <c r="F9" s="346" t="s">
        <v>214</v>
      </c>
      <c r="G9" s="348">
        <v>0.71509999999999996</v>
      </c>
      <c r="H9" s="349">
        <v>179</v>
      </c>
      <c r="I9" s="349">
        <v>128</v>
      </c>
      <c r="J9" s="349">
        <v>47</v>
      </c>
      <c r="K9" s="346" t="s">
        <v>215</v>
      </c>
      <c r="L9" s="350" t="s">
        <v>175</v>
      </c>
      <c r="M9" s="349">
        <v>4</v>
      </c>
      <c r="N9" s="349">
        <v>10</v>
      </c>
      <c r="O9" s="349">
        <v>59</v>
      </c>
      <c r="P9" s="346" t="s">
        <v>353</v>
      </c>
      <c r="Q9" s="342"/>
      <c r="R9" s="342"/>
      <c r="S9" s="342"/>
      <c r="T9" s="342"/>
      <c r="U9" s="342"/>
      <c r="V9" s="342"/>
      <c r="W9" s="342"/>
      <c r="X9" s="342"/>
      <c r="Y9" s="342"/>
      <c r="Z9" s="349" t="s">
        <v>273</v>
      </c>
      <c r="AA9" s="349" t="s">
        <v>705</v>
      </c>
      <c r="AB9" s="342"/>
      <c r="AC9" s="342"/>
      <c r="AD9" s="349" t="s">
        <v>282</v>
      </c>
      <c r="AE9" s="349" t="s">
        <v>706</v>
      </c>
      <c r="AF9" s="349" t="s">
        <v>703</v>
      </c>
      <c r="AG9" s="342"/>
      <c r="AH9" s="342"/>
      <c r="AI9" s="349" t="s">
        <v>707</v>
      </c>
      <c r="AJ9" s="342"/>
    </row>
    <row r="10" spans="1:36" x14ac:dyDescent="0.3">
      <c r="A10" s="344" t="s">
        <v>331</v>
      </c>
      <c r="B10" s="345">
        <v>45987</v>
      </c>
      <c r="C10" s="346" t="s">
        <v>427</v>
      </c>
      <c r="D10" s="347" t="s">
        <v>691</v>
      </c>
      <c r="E10" s="346" t="s">
        <v>403</v>
      </c>
      <c r="F10" s="346" t="s">
        <v>214</v>
      </c>
      <c r="G10" s="348">
        <v>0.63129999999999997</v>
      </c>
      <c r="H10" s="349">
        <v>179</v>
      </c>
      <c r="I10" s="349">
        <v>113</v>
      </c>
      <c r="J10" s="349">
        <v>45</v>
      </c>
      <c r="K10" s="346" t="s">
        <v>215</v>
      </c>
      <c r="L10" s="350" t="s">
        <v>175</v>
      </c>
      <c r="M10" s="349">
        <v>4</v>
      </c>
      <c r="N10" s="349">
        <v>0</v>
      </c>
      <c r="O10" s="349">
        <v>27</v>
      </c>
      <c r="P10" s="346" t="s">
        <v>237</v>
      </c>
      <c r="Q10" s="342"/>
      <c r="R10" s="342"/>
      <c r="S10" s="342"/>
      <c r="T10" s="342"/>
      <c r="U10" s="342"/>
      <c r="V10" s="342"/>
      <c r="W10" s="342"/>
      <c r="X10" s="342"/>
      <c r="Y10" s="342"/>
      <c r="Z10" s="349" t="s">
        <v>333</v>
      </c>
      <c r="AA10" s="342"/>
      <c r="AB10" s="342"/>
      <c r="AC10" s="342"/>
      <c r="AD10" s="349" t="s">
        <v>708</v>
      </c>
      <c r="AE10" s="349" t="s">
        <v>709</v>
      </c>
      <c r="AF10" s="349" t="s">
        <v>384</v>
      </c>
      <c r="AG10" s="342"/>
      <c r="AH10" s="342"/>
      <c r="AI10" s="349" t="s">
        <v>710</v>
      </c>
      <c r="AJ10" s="349" t="s">
        <v>275</v>
      </c>
    </row>
    <row r="11" spans="1:36" x14ac:dyDescent="0.3">
      <c r="A11" s="344" t="s">
        <v>240</v>
      </c>
      <c r="B11" s="345">
        <v>45988</v>
      </c>
      <c r="C11" s="346" t="s">
        <v>423</v>
      </c>
      <c r="D11" s="347" t="s">
        <v>213</v>
      </c>
      <c r="E11" s="346" t="s">
        <v>403</v>
      </c>
      <c r="F11" s="346" t="s">
        <v>214</v>
      </c>
      <c r="G11" s="348">
        <v>0.48039999999999999</v>
      </c>
      <c r="H11" s="349">
        <v>179</v>
      </c>
      <c r="I11" s="349">
        <v>86</v>
      </c>
      <c r="J11" s="349">
        <v>84</v>
      </c>
      <c r="K11" s="346" t="s">
        <v>215</v>
      </c>
      <c r="L11" s="350" t="s">
        <v>63</v>
      </c>
      <c r="M11" s="349">
        <v>0</v>
      </c>
      <c r="N11" s="349">
        <v>0</v>
      </c>
      <c r="O11" s="349">
        <v>2</v>
      </c>
      <c r="P11" s="346" t="s">
        <v>237</v>
      </c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9" t="s">
        <v>279</v>
      </c>
      <c r="AD11" s="349" t="s">
        <v>277</v>
      </c>
      <c r="AE11" s="342"/>
      <c r="AF11" s="342"/>
      <c r="AG11" s="342"/>
      <c r="AH11" s="342"/>
      <c r="AI11" s="349" t="s">
        <v>711</v>
      </c>
      <c r="AJ11" s="342"/>
    </row>
    <row r="12" spans="1:36" x14ac:dyDescent="0.3">
      <c r="A12" s="344" t="s">
        <v>240</v>
      </c>
      <c r="B12" s="345">
        <v>45988</v>
      </c>
      <c r="C12" s="346" t="s">
        <v>420</v>
      </c>
      <c r="D12" s="347" t="s">
        <v>712</v>
      </c>
      <c r="E12" s="346" t="s">
        <v>403</v>
      </c>
      <c r="F12" s="346" t="s">
        <v>214</v>
      </c>
      <c r="G12" s="348">
        <v>0.27929999999999999</v>
      </c>
      <c r="H12" s="349">
        <v>179</v>
      </c>
      <c r="I12" s="349">
        <v>50</v>
      </c>
      <c r="J12" s="349">
        <v>0</v>
      </c>
      <c r="K12" s="346" t="s">
        <v>215</v>
      </c>
      <c r="L12" s="350" t="s">
        <v>175</v>
      </c>
      <c r="M12" s="349">
        <v>1</v>
      </c>
      <c r="N12" s="349">
        <v>5</v>
      </c>
      <c r="O12" s="349">
        <v>32</v>
      </c>
      <c r="P12" s="346" t="s">
        <v>237</v>
      </c>
      <c r="Q12" s="342"/>
      <c r="R12" s="342"/>
      <c r="S12" s="342"/>
      <c r="T12" s="342"/>
      <c r="U12" s="342"/>
      <c r="V12" s="342"/>
      <c r="W12" s="342"/>
      <c r="X12" s="342"/>
      <c r="Y12" s="342"/>
      <c r="Z12" s="349" t="s">
        <v>273</v>
      </c>
      <c r="AA12" s="342"/>
      <c r="AB12" s="342"/>
      <c r="AC12" s="342"/>
      <c r="AD12" s="349" t="s">
        <v>262</v>
      </c>
      <c r="AE12" s="349" t="s">
        <v>713</v>
      </c>
      <c r="AF12" s="349" t="s">
        <v>685</v>
      </c>
      <c r="AG12" s="342"/>
      <c r="AH12" s="342"/>
      <c r="AI12" s="342"/>
      <c r="AJ12" s="342"/>
    </row>
    <row r="13" spans="1:36" x14ac:dyDescent="0.3">
      <c r="A13" s="344" t="s">
        <v>240</v>
      </c>
      <c r="B13" s="345">
        <v>45988</v>
      </c>
      <c r="C13" s="346" t="s">
        <v>518</v>
      </c>
      <c r="D13" s="347" t="s">
        <v>714</v>
      </c>
      <c r="E13" s="346" t="s">
        <v>403</v>
      </c>
      <c r="F13" s="346" t="s">
        <v>214</v>
      </c>
      <c r="G13" s="348">
        <v>0.32400000000000001</v>
      </c>
      <c r="H13" s="349">
        <v>179</v>
      </c>
      <c r="I13" s="349">
        <v>58</v>
      </c>
      <c r="J13" s="349">
        <v>29</v>
      </c>
      <c r="K13" s="346" t="s">
        <v>215</v>
      </c>
      <c r="L13" s="350" t="s">
        <v>175</v>
      </c>
      <c r="M13" s="349">
        <v>1</v>
      </c>
      <c r="N13" s="349">
        <v>5</v>
      </c>
      <c r="O13" s="349">
        <v>22</v>
      </c>
      <c r="P13" s="346" t="s">
        <v>353</v>
      </c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2"/>
      <c r="AF13" s="349" t="s">
        <v>715</v>
      </c>
      <c r="AG13" s="349" t="s">
        <v>716</v>
      </c>
      <c r="AH13" s="342"/>
      <c r="AI13" s="342"/>
      <c r="AJ13" s="349" t="s">
        <v>247</v>
      </c>
    </row>
    <row r="14" spans="1:36" x14ac:dyDescent="0.3">
      <c r="A14" s="344" t="s">
        <v>240</v>
      </c>
      <c r="B14" s="345">
        <v>45988</v>
      </c>
      <c r="C14" s="346" t="s">
        <v>417</v>
      </c>
      <c r="D14" s="347" t="s">
        <v>717</v>
      </c>
      <c r="E14" s="346" t="s">
        <v>403</v>
      </c>
      <c r="F14" s="346" t="s">
        <v>214</v>
      </c>
      <c r="G14" s="348">
        <v>0.80449999999999999</v>
      </c>
      <c r="H14" s="349">
        <v>179</v>
      </c>
      <c r="I14" s="349">
        <v>144</v>
      </c>
      <c r="J14" s="349">
        <v>132</v>
      </c>
      <c r="K14" s="346" t="s">
        <v>215</v>
      </c>
      <c r="L14" s="350" t="s">
        <v>50</v>
      </c>
      <c r="M14" s="349">
        <v>0</v>
      </c>
      <c r="N14" s="349">
        <v>1</v>
      </c>
      <c r="O14" s="349">
        <v>2</v>
      </c>
      <c r="P14" s="346" t="s">
        <v>526</v>
      </c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9" t="s">
        <v>646</v>
      </c>
      <c r="AF14" s="349" t="s">
        <v>229</v>
      </c>
      <c r="AG14" s="342"/>
      <c r="AH14" s="342"/>
      <c r="AI14" s="349" t="s">
        <v>283</v>
      </c>
      <c r="AJ14" s="342"/>
    </row>
    <row r="15" spans="1:36" x14ac:dyDescent="0.3">
      <c r="A15" s="344" t="s">
        <v>240</v>
      </c>
      <c r="B15" s="345">
        <v>45988</v>
      </c>
      <c r="C15" s="346" t="s">
        <v>524</v>
      </c>
      <c r="D15" s="347" t="s">
        <v>718</v>
      </c>
      <c r="E15" s="346" t="s">
        <v>403</v>
      </c>
      <c r="F15" s="346" t="s">
        <v>214</v>
      </c>
      <c r="G15" s="348">
        <v>0.27929999999999999</v>
      </c>
      <c r="H15" s="349">
        <v>179</v>
      </c>
      <c r="I15" s="349">
        <v>50</v>
      </c>
      <c r="J15" s="349">
        <v>0</v>
      </c>
      <c r="K15" s="346" t="s">
        <v>215</v>
      </c>
      <c r="L15" s="350" t="s">
        <v>175</v>
      </c>
      <c r="M15" s="349">
        <v>5</v>
      </c>
      <c r="N15" s="349">
        <v>4</v>
      </c>
      <c r="O15" s="349">
        <v>29</v>
      </c>
      <c r="P15" s="346" t="s">
        <v>353</v>
      </c>
      <c r="Q15" s="342"/>
      <c r="R15" s="342"/>
      <c r="S15" s="342"/>
      <c r="T15" s="342"/>
      <c r="U15" s="342"/>
      <c r="V15" s="342"/>
      <c r="W15" s="342"/>
      <c r="X15" s="342"/>
      <c r="Y15" s="342"/>
      <c r="Z15" s="349" t="s">
        <v>244</v>
      </c>
      <c r="AA15" s="342"/>
      <c r="AB15" s="342"/>
      <c r="AC15" s="342"/>
      <c r="AD15" s="342"/>
      <c r="AE15" s="349" t="s">
        <v>286</v>
      </c>
      <c r="AF15" s="349" t="s">
        <v>719</v>
      </c>
      <c r="AG15" s="342"/>
      <c r="AH15" s="342"/>
      <c r="AI15" s="342"/>
      <c r="AJ15" s="342"/>
    </row>
    <row r="16" spans="1:36" x14ac:dyDescent="0.3">
      <c r="A16" s="344" t="s">
        <v>240</v>
      </c>
      <c r="B16" s="345">
        <v>45988</v>
      </c>
      <c r="C16" s="346" t="s">
        <v>427</v>
      </c>
      <c r="D16" s="347" t="s">
        <v>720</v>
      </c>
      <c r="E16" s="346" t="s">
        <v>403</v>
      </c>
      <c r="F16" s="346" t="s">
        <v>214</v>
      </c>
      <c r="G16" s="348">
        <v>0.78769999999999996</v>
      </c>
      <c r="H16" s="349">
        <v>179</v>
      </c>
      <c r="I16" s="349">
        <v>141</v>
      </c>
      <c r="J16" s="349">
        <v>89</v>
      </c>
      <c r="K16" s="346" t="s">
        <v>215</v>
      </c>
      <c r="L16" s="350" t="s">
        <v>175</v>
      </c>
      <c r="M16" s="349">
        <v>4</v>
      </c>
      <c r="N16" s="349">
        <v>8</v>
      </c>
      <c r="O16" s="349">
        <v>27</v>
      </c>
      <c r="P16" s="346" t="s">
        <v>353</v>
      </c>
      <c r="Q16" s="342"/>
      <c r="R16" s="342"/>
      <c r="S16" s="342"/>
      <c r="T16" s="342"/>
      <c r="U16" s="342"/>
      <c r="V16" s="342"/>
      <c r="W16" s="342"/>
      <c r="X16" s="342"/>
      <c r="Y16" s="342"/>
      <c r="Z16" s="349" t="s">
        <v>345</v>
      </c>
      <c r="AA16" s="342"/>
      <c r="AB16" s="342"/>
      <c r="AC16" s="342"/>
      <c r="AD16" s="349" t="s">
        <v>543</v>
      </c>
      <c r="AE16" s="349" t="s">
        <v>709</v>
      </c>
      <c r="AF16" s="349" t="s">
        <v>721</v>
      </c>
      <c r="AG16" s="342"/>
      <c r="AH16" s="342"/>
      <c r="AI16" s="349" t="s">
        <v>289</v>
      </c>
      <c r="AJ16" s="342"/>
    </row>
    <row r="17" spans="1:36" x14ac:dyDescent="0.3">
      <c r="A17" s="344" t="s">
        <v>240</v>
      </c>
      <c r="B17" s="345">
        <v>45988</v>
      </c>
      <c r="C17" s="346" t="s">
        <v>432</v>
      </c>
      <c r="D17" s="347" t="s">
        <v>722</v>
      </c>
      <c r="E17" s="346" t="s">
        <v>403</v>
      </c>
      <c r="F17" s="346" t="s">
        <v>214</v>
      </c>
      <c r="G17" s="348">
        <v>0.60340000000000005</v>
      </c>
      <c r="H17" s="349">
        <v>179</v>
      </c>
      <c r="I17" s="349">
        <v>108</v>
      </c>
      <c r="J17" s="349">
        <v>44</v>
      </c>
      <c r="K17" s="346" t="s">
        <v>215</v>
      </c>
      <c r="L17" s="350" t="s">
        <v>175</v>
      </c>
      <c r="M17" s="349">
        <v>15</v>
      </c>
      <c r="N17" s="349">
        <v>13</v>
      </c>
      <c r="O17" s="349">
        <v>43</v>
      </c>
      <c r="P17" s="346" t="s">
        <v>353</v>
      </c>
      <c r="Q17" s="342"/>
      <c r="R17" s="342"/>
      <c r="S17" s="342"/>
      <c r="T17" s="342"/>
      <c r="U17" s="342"/>
      <c r="V17" s="342"/>
      <c r="W17" s="342"/>
      <c r="X17" s="342"/>
      <c r="Y17" s="342"/>
      <c r="Z17" s="349" t="s">
        <v>244</v>
      </c>
      <c r="AA17" s="342"/>
      <c r="AB17" s="342"/>
      <c r="AC17" s="342"/>
      <c r="AD17" s="349" t="s">
        <v>262</v>
      </c>
      <c r="AE17" s="349" t="s">
        <v>383</v>
      </c>
      <c r="AF17" s="349" t="s">
        <v>723</v>
      </c>
      <c r="AG17" s="349" t="s">
        <v>218</v>
      </c>
      <c r="AH17" s="342"/>
      <c r="AI17" s="342"/>
      <c r="AJ17" s="349" t="s">
        <v>275</v>
      </c>
    </row>
    <row r="18" spans="1:36" x14ac:dyDescent="0.3">
      <c r="A18" s="344" t="s">
        <v>724</v>
      </c>
      <c r="B18" s="345">
        <v>45989</v>
      </c>
      <c r="C18" s="346" t="s">
        <v>423</v>
      </c>
      <c r="D18" s="347" t="s">
        <v>712</v>
      </c>
      <c r="E18" s="346" t="s">
        <v>403</v>
      </c>
      <c r="F18" s="346" t="s">
        <v>214</v>
      </c>
      <c r="G18" s="348">
        <v>0.25140000000000001</v>
      </c>
      <c r="H18" s="349">
        <v>179</v>
      </c>
      <c r="I18" s="349">
        <v>45</v>
      </c>
      <c r="J18" s="349">
        <v>0</v>
      </c>
      <c r="K18" s="346" t="s">
        <v>215</v>
      </c>
      <c r="L18" s="350" t="s">
        <v>50</v>
      </c>
      <c r="M18" s="349">
        <v>0</v>
      </c>
      <c r="N18" s="349">
        <v>4</v>
      </c>
      <c r="O18" s="349">
        <v>26</v>
      </c>
      <c r="P18" s="346" t="s">
        <v>353</v>
      </c>
      <c r="Q18" s="342"/>
      <c r="R18" s="349" t="s">
        <v>725</v>
      </c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9" t="s">
        <v>262</v>
      </c>
      <c r="AE18" s="349" t="s">
        <v>237</v>
      </c>
      <c r="AF18" s="349" t="s">
        <v>726</v>
      </c>
      <c r="AG18" s="342"/>
      <c r="AH18" s="342"/>
      <c r="AI18" s="342"/>
      <c r="AJ18" s="342"/>
    </row>
    <row r="19" spans="1:36" x14ac:dyDescent="0.3">
      <c r="A19" s="344" t="s">
        <v>724</v>
      </c>
      <c r="B19" s="345">
        <v>45989</v>
      </c>
      <c r="C19" s="346" t="s">
        <v>417</v>
      </c>
      <c r="D19" s="347" t="s">
        <v>727</v>
      </c>
      <c r="E19" s="346" t="s">
        <v>403</v>
      </c>
      <c r="F19" s="346" t="s">
        <v>214</v>
      </c>
      <c r="G19" s="348">
        <v>0.26819999999999999</v>
      </c>
      <c r="H19" s="349">
        <v>179</v>
      </c>
      <c r="I19" s="349">
        <v>48</v>
      </c>
      <c r="J19" s="349">
        <v>0</v>
      </c>
      <c r="K19" s="346" t="s">
        <v>215</v>
      </c>
      <c r="L19" s="350" t="s">
        <v>50</v>
      </c>
      <c r="M19" s="349">
        <v>0</v>
      </c>
      <c r="N19" s="349">
        <v>2</v>
      </c>
      <c r="O19" s="349">
        <v>38</v>
      </c>
      <c r="P19" s="346" t="s">
        <v>353</v>
      </c>
      <c r="Q19" s="342"/>
      <c r="R19" s="342"/>
      <c r="S19" s="342"/>
      <c r="T19" s="342"/>
      <c r="U19" s="342"/>
      <c r="V19" s="342"/>
      <c r="W19" s="342"/>
      <c r="X19" s="342"/>
      <c r="Y19" s="342"/>
      <c r="Z19" s="349" t="s">
        <v>345</v>
      </c>
      <c r="AA19" s="342"/>
      <c r="AB19" s="342"/>
      <c r="AC19" s="342"/>
      <c r="AD19" s="342"/>
      <c r="AE19" s="349" t="s">
        <v>237</v>
      </c>
      <c r="AF19" s="349" t="s">
        <v>728</v>
      </c>
      <c r="AG19" s="342"/>
      <c r="AH19" s="342"/>
      <c r="AI19" s="342"/>
      <c r="AJ19" s="342"/>
    </row>
    <row r="20" spans="1:36" x14ac:dyDescent="0.3">
      <c r="A20" s="344" t="s">
        <v>724</v>
      </c>
      <c r="B20" s="345">
        <v>45989</v>
      </c>
      <c r="C20" s="346" t="s">
        <v>427</v>
      </c>
      <c r="D20" s="347" t="s">
        <v>729</v>
      </c>
      <c r="E20" s="346" t="s">
        <v>403</v>
      </c>
      <c r="F20" s="346" t="s">
        <v>214</v>
      </c>
      <c r="G20" s="348">
        <v>0.3911</v>
      </c>
      <c r="H20" s="349">
        <v>179</v>
      </c>
      <c r="I20" s="349">
        <v>70</v>
      </c>
      <c r="J20" s="349">
        <v>39</v>
      </c>
      <c r="K20" s="346" t="s">
        <v>215</v>
      </c>
      <c r="L20" s="350" t="s">
        <v>175</v>
      </c>
      <c r="M20" s="349">
        <v>5</v>
      </c>
      <c r="N20" s="349">
        <v>4</v>
      </c>
      <c r="O20" s="349">
        <v>21</v>
      </c>
      <c r="P20" s="346" t="s">
        <v>353</v>
      </c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9" t="s">
        <v>706</v>
      </c>
      <c r="AF20" s="349" t="s">
        <v>730</v>
      </c>
      <c r="AG20" s="342"/>
      <c r="AH20" s="342"/>
      <c r="AI20" s="349" t="s">
        <v>731</v>
      </c>
      <c r="AJ20" s="342"/>
    </row>
    <row r="21" spans="1:36" x14ac:dyDescent="0.3">
      <c r="A21" s="344" t="s">
        <v>724</v>
      </c>
      <c r="B21" s="345">
        <v>45989</v>
      </c>
      <c r="C21" s="346" t="s">
        <v>432</v>
      </c>
      <c r="D21" s="347" t="s">
        <v>691</v>
      </c>
      <c r="E21" s="346" t="s">
        <v>403</v>
      </c>
      <c r="F21" s="346" t="s">
        <v>214</v>
      </c>
      <c r="G21" s="348">
        <v>0.65359999999999996</v>
      </c>
      <c r="H21" s="349">
        <v>179</v>
      </c>
      <c r="I21" s="349">
        <v>117</v>
      </c>
      <c r="J21" s="349">
        <v>68</v>
      </c>
      <c r="K21" s="346" t="s">
        <v>215</v>
      </c>
      <c r="L21" s="350" t="s">
        <v>175</v>
      </c>
      <c r="M21" s="349">
        <v>1</v>
      </c>
      <c r="N21" s="349">
        <v>9</v>
      </c>
      <c r="O21" s="349">
        <v>29</v>
      </c>
      <c r="P21" s="346" t="s">
        <v>353</v>
      </c>
      <c r="Q21" s="342"/>
      <c r="R21" s="342"/>
      <c r="S21" s="342"/>
      <c r="T21" s="342"/>
      <c r="U21" s="342"/>
      <c r="V21" s="342"/>
      <c r="W21" s="342"/>
      <c r="X21" s="349" t="s">
        <v>216</v>
      </c>
      <c r="Y21" s="349" t="s">
        <v>682</v>
      </c>
      <c r="Z21" s="349" t="s">
        <v>244</v>
      </c>
      <c r="AA21" s="342"/>
      <c r="AB21" s="342"/>
      <c r="AC21" s="342"/>
      <c r="AD21" s="349" t="s">
        <v>543</v>
      </c>
      <c r="AE21" s="349" t="s">
        <v>732</v>
      </c>
      <c r="AF21" s="349" t="s">
        <v>733</v>
      </c>
      <c r="AG21" s="342"/>
      <c r="AH21" s="342"/>
      <c r="AI21" s="349" t="s">
        <v>734</v>
      </c>
      <c r="AJ21" s="342"/>
    </row>
    <row r="22" spans="1:36" x14ac:dyDescent="0.3">
      <c r="A22" s="344" t="s">
        <v>724</v>
      </c>
      <c r="B22" s="345">
        <v>45989</v>
      </c>
      <c r="C22" s="346" t="s">
        <v>420</v>
      </c>
      <c r="D22" s="347" t="s">
        <v>735</v>
      </c>
      <c r="E22" s="346" t="s">
        <v>403</v>
      </c>
      <c r="F22" s="346" t="s">
        <v>214</v>
      </c>
      <c r="G22" s="348">
        <v>0.44690000000000002</v>
      </c>
      <c r="H22" s="349">
        <v>179</v>
      </c>
      <c r="I22" s="349">
        <v>80</v>
      </c>
      <c r="J22" s="349">
        <v>0</v>
      </c>
      <c r="K22" s="346" t="s">
        <v>215</v>
      </c>
      <c r="L22" s="350" t="s">
        <v>175</v>
      </c>
      <c r="M22" s="349">
        <v>15</v>
      </c>
      <c r="N22" s="349">
        <v>7</v>
      </c>
      <c r="O22" s="349">
        <v>43</v>
      </c>
      <c r="P22" s="346" t="s">
        <v>237</v>
      </c>
      <c r="Q22" s="342"/>
      <c r="R22" s="342"/>
      <c r="S22" s="342"/>
      <c r="T22" s="342"/>
      <c r="U22" s="342"/>
      <c r="V22" s="342"/>
      <c r="W22" s="342"/>
      <c r="X22" s="342"/>
      <c r="Y22" s="342"/>
      <c r="Z22" s="349" t="s">
        <v>258</v>
      </c>
      <c r="AA22" s="342"/>
      <c r="AB22" s="342"/>
      <c r="AC22" s="342"/>
      <c r="AD22" s="349" t="s">
        <v>736</v>
      </c>
      <c r="AE22" s="349" t="s">
        <v>737</v>
      </c>
      <c r="AF22" s="349" t="s">
        <v>728</v>
      </c>
      <c r="AG22" s="342"/>
      <c r="AH22" s="342"/>
      <c r="AI22" s="342"/>
      <c r="AJ22" s="349" t="s">
        <v>275</v>
      </c>
    </row>
    <row r="23" spans="1:36" x14ac:dyDescent="0.3">
      <c r="A23" s="344" t="s">
        <v>724</v>
      </c>
      <c r="B23" s="345">
        <v>45989</v>
      </c>
      <c r="C23" s="346" t="s">
        <v>430</v>
      </c>
      <c r="D23" s="347" t="s">
        <v>368</v>
      </c>
      <c r="E23" s="346" t="s">
        <v>403</v>
      </c>
      <c r="F23" s="346" t="s">
        <v>214</v>
      </c>
      <c r="G23" s="348">
        <v>0.92179999999999995</v>
      </c>
      <c r="H23" s="349">
        <v>179</v>
      </c>
      <c r="I23" s="349">
        <v>165</v>
      </c>
      <c r="J23" s="349">
        <v>114</v>
      </c>
      <c r="K23" s="346" t="s">
        <v>215</v>
      </c>
      <c r="L23" s="350" t="s">
        <v>63</v>
      </c>
      <c r="M23" s="349">
        <v>0</v>
      </c>
      <c r="N23" s="349">
        <v>0</v>
      </c>
      <c r="O23" s="349">
        <v>17</v>
      </c>
      <c r="P23" s="346" t="s">
        <v>543</v>
      </c>
      <c r="Q23" s="342"/>
      <c r="R23" s="342"/>
      <c r="S23" s="342"/>
      <c r="T23" s="342"/>
      <c r="U23" s="342"/>
      <c r="V23" s="342"/>
      <c r="W23" s="342"/>
      <c r="X23" s="342"/>
      <c r="Y23" s="342"/>
      <c r="Z23" s="349" t="s">
        <v>273</v>
      </c>
      <c r="AA23" s="349" t="s">
        <v>738</v>
      </c>
      <c r="AB23" s="342"/>
      <c r="AC23" s="342"/>
      <c r="AD23" s="349" t="s">
        <v>739</v>
      </c>
      <c r="AE23" s="349" t="s">
        <v>740</v>
      </c>
      <c r="AF23" s="349" t="s">
        <v>229</v>
      </c>
      <c r="AG23" s="342"/>
      <c r="AH23" s="342"/>
      <c r="AI23" s="349" t="s">
        <v>219</v>
      </c>
      <c r="AJ23" s="342"/>
    </row>
    <row r="24" spans="1:36" x14ac:dyDescent="0.3">
      <c r="A24" s="344" t="s">
        <v>248</v>
      </c>
      <c r="B24" s="345">
        <v>45990</v>
      </c>
      <c r="C24" s="346" t="s">
        <v>518</v>
      </c>
      <c r="D24" s="347" t="s">
        <v>741</v>
      </c>
      <c r="E24" s="346" t="s">
        <v>403</v>
      </c>
      <c r="F24" s="346" t="s">
        <v>214</v>
      </c>
      <c r="G24" s="348">
        <v>0.71509999999999996</v>
      </c>
      <c r="H24" s="349">
        <v>179</v>
      </c>
      <c r="I24" s="349">
        <v>128</v>
      </c>
      <c r="J24" s="349">
        <v>73</v>
      </c>
      <c r="K24" s="346" t="s">
        <v>215</v>
      </c>
      <c r="L24" s="350" t="s">
        <v>175</v>
      </c>
      <c r="M24" s="349">
        <v>1</v>
      </c>
      <c r="N24" s="349">
        <v>14</v>
      </c>
      <c r="O24" s="349">
        <v>87</v>
      </c>
      <c r="P24" s="346" t="s">
        <v>547</v>
      </c>
      <c r="Q24" s="342"/>
      <c r="R24" s="342"/>
      <c r="S24" s="342"/>
      <c r="T24" s="342"/>
      <c r="U24" s="342"/>
      <c r="V24" s="342"/>
      <c r="W24" s="342"/>
      <c r="X24" s="342"/>
      <c r="Y24" s="342"/>
      <c r="Z24" s="349" t="s">
        <v>333</v>
      </c>
      <c r="AA24" s="349" t="s">
        <v>705</v>
      </c>
      <c r="AB24" s="342"/>
      <c r="AC24" s="349" t="s">
        <v>235</v>
      </c>
      <c r="AD24" s="349" t="s">
        <v>643</v>
      </c>
      <c r="AE24" s="349" t="s">
        <v>732</v>
      </c>
      <c r="AF24" s="349" t="s">
        <v>742</v>
      </c>
      <c r="AG24" s="342"/>
      <c r="AH24" s="342"/>
      <c r="AI24" s="349" t="s">
        <v>743</v>
      </c>
      <c r="AJ24" s="342"/>
    </row>
    <row r="25" spans="1:36" x14ac:dyDescent="0.3">
      <c r="A25" s="344" t="s">
        <v>248</v>
      </c>
      <c r="B25" s="345">
        <v>45990</v>
      </c>
      <c r="C25" s="346" t="s">
        <v>417</v>
      </c>
      <c r="D25" s="347" t="s">
        <v>717</v>
      </c>
      <c r="E25" s="346" t="s">
        <v>403</v>
      </c>
      <c r="F25" s="346" t="s">
        <v>214</v>
      </c>
      <c r="G25" s="348">
        <v>0.81010000000000004</v>
      </c>
      <c r="H25" s="349">
        <v>179</v>
      </c>
      <c r="I25" s="349">
        <v>145</v>
      </c>
      <c r="J25" s="349">
        <v>98</v>
      </c>
      <c r="K25" s="346" t="s">
        <v>215</v>
      </c>
      <c r="L25" s="350" t="s">
        <v>175</v>
      </c>
      <c r="M25" s="349">
        <v>10</v>
      </c>
      <c r="N25" s="349">
        <v>5</v>
      </c>
      <c r="O25" s="349">
        <v>31</v>
      </c>
      <c r="P25" s="346" t="s">
        <v>335</v>
      </c>
      <c r="Q25" s="342"/>
      <c r="R25" s="342"/>
      <c r="S25" s="342"/>
      <c r="T25" s="342"/>
      <c r="U25" s="342"/>
      <c r="V25" s="342"/>
      <c r="W25" s="342"/>
      <c r="X25" s="342"/>
      <c r="Y25" s="342"/>
      <c r="Z25" s="349" t="s">
        <v>345</v>
      </c>
      <c r="AA25" s="342"/>
      <c r="AB25" s="342"/>
      <c r="AC25" s="349" t="s">
        <v>279</v>
      </c>
      <c r="AD25" s="349" t="s">
        <v>227</v>
      </c>
      <c r="AE25" s="349" t="s">
        <v>744</v>
      </c>
      <c r="AF25" s="349" t="s">
        <v>287</v>
      </c>
      <c r="AG25" s="349" t="s">
        <v>745</v>
      </c>
      <c r="AH25" s="342"/>
      <c r="AI25" s="349" t="s">
        <v>746</v>
      </c>
      <c r="AJ25" s="342"/>
    </row>
    <row r="26" spans="1:36" x14ac:dyDescent="0.3">
      <c r="A26" s="344" t="s">
        <v>248</v>
      </c>
      <c r="B26" s="345">
        <v>45990</v>
      </c>
      <c r="C26" s="346" t="s">
        <v>427</v>
      </c>
      <c r="D26" s="347" t="s">
        <v>747</v>
      </c>
      <c r="E26" s="346" t="s">
        <v>403</v>
      </c>
      <c r="F26" s="346" t="s">
        <v>214</v>
      </c>
      <c r="G26" s="348">
        <v>0.77090000000000003</v>
      </c>
      <c r="H26" s="349">
        <v>179</v>
      </c>
      <c r="I26" s="349">
        <v>138</v>
      </c>
      <c r="J26" s="349">
        <v>107</v>
      </c>
      <c r="K26" s="346" t="s">
        <v>215</v>
      </c>
      <c r="L26" s="350" t="s">
        <v>50</v>
      </c>
      <c r="M26" s="349">
        <v>0</v>
      </c>
      <c r="N26" s="349">
        <v>8</v>
      </c>
      <c r="O26" s="349">
        <v>27</v>
      </c>
      <c r="P26" s="346" t="s">
        <v>237</v>
      </c>
      <c r="Q26" s="342"/>
      <c r="R26" s="342"/>
      <c r="S26" s="342"/>
      <c r="T26" s="342"/>
      <c r="U26" s="342"/>
      <c r="V26" s="342"/>
      <c r="W26" s="342"/>
      <c r="X26" s="342"/>
      <c r="Y26" s="342"/>
      <c r="Z26" s="349" t="s">
        <v>244</v>
      </c>
      <c r="AA26" s="342"/>
      <c r="AB26" s="349" t="s">
        <v>748</v>
      </c>
      <c r="AC26" s="349" t="s">
        <v>265</v>
      </c>
      <c r="AD26" s="342"/>
      <c r="AE26" s="349" t="s">
        <v>346</v>
      </c>
      <c r="AF26" s="342"/>
      <c r="AG26" s="342"/>
      <c r="AH26" s="342"/>
      <c r="AI26" s="349" t="s">
        <v>749</v>
      </c>
      <c r="AJ26" s="349" t="s">
        <v>750</v>
      </c>
    </row>
    <row r="27" spans="1:36" x14ac:dyDescent="0.3">
      <c r="A27" s="344" t="s">
        <v>254</v>
      </c>
      <c r="B27" s="345">
        <v>45991</v>
      </c>
      <c r="C27" s="346" t="s">
        <v>423</v>
      </c>
      <c r="D27" s="347" t="s">
        <v>751</v>
      </c>
      <c r="E27" s="346" t="s">
        <v>403</v>
      </c>
      <c r="F27" s="346" t="s">
        <v>214</v>
      </c>
      <c r="G27" s="348">
        <v>0.64249999999999996</v>
      </c>
      <c r="H27" s="349">
        <v>179</v>
      </c>
      <c r="I27" s="349">
        <v>115</v>
      </c>
      <c r="J27" s="349">
        <v>95</v>
      </c>
      <c r="K27" s="346" t="s">
        <v>215</v>
      </c>
      <c r="L27" s="350" t="s">
        <v>50</v>
      </c>
      <c r="M27" s="349">
        <v>0</v>
      </c>
      <c r="N27" s="349">
        <v>1</v>
      </c>
      <c r="O27" s="349">
        <v>15</v>
      </c>
      <c r="P27" s="346" t="s">
        <v>237</v>
      </c>
      <c r="Q27" s="342"/>
      <c r="R27" s="342"/>
      <c r="S27" s="342"/>
      <c r="T27" s="342"/>
      <c r="U27" s="342"/>
      <c r="V27" s="342"/>
      <c r="W27" s="342"/>
      <c r="X27" s="342"/>
      <c r="Y27" s="342"/>
      <c r="Z27" s="349" t="s">
        <v>333</v>
      </c>
      <c r="AA27" s="349" t="s">
        <v>695</v>
      </c>
      <c r="AB27" s="342"/>
      <c r="AC27" s="349" t="s">
        <v>235</v>
      </c>
      <c r="AD27" s="349" t="s">
        <v>227</v>
      </c>
      <c r="AE27" s="349" t="s">
        <v>646</v>
      </c>
      <c r="AF27" s="349" t="s">
        <v>375</v>
      </c>
      <c r="AG27" s="342"/>
      <c r="AH27" s="342"/>
      <c r="AI27" s="349" t="s">
        <v>746</v>
      </c>
      <c r="AJ27" s="342"/>
    </row>
    <row r="28" spans="1:36" x14ac:dyDescent="0.3">
      <c r="A28" s="344" t="s">
        <v>254</v>
      </c>
      <c r="B28" s="345">
        <v>45991</v>
      </c>
      <c r="C28" s="346" t="s">
        <v>417</v>
      </c>
      <c r="D28" s="347" t="s">
        <v>727</v>
      </c>
      <c r="E28" s="346" t="s">
        <v>403</v>
      </c>
      <c r="F28" s="346" t="s">
        <v>214</v>
      </c>
      <c r="G28" s="348">
        <v>0.62009999999999998</v>
      </c>
      <c r="H28" s="349">
        <v>179</v>
      </c>
      <c r="I28" s="349">
        <v>111</v>
      </c>
      <c r="J28" s="349">
        <v>47</v>
      </c>
      <c r="K28" s="346" t="s">
        <v>215</v>
      </c>
      <c r="L28" s="350" t="s">
        <v>175</v>
      </c>
      <c r="M28" s="349">
        <v>12</v>
      </c>
      <c r="N28" s="349">
        <v>8</v>
      </c>
      <c r="O28" s="349">
        <v>47</v>
      </c>
      <c r="P28" s="346" t="s">
        <v>353</v>
      </c>
      <c r="Q28" s="342"/>
      <c r="R28" s="342"/>
      <c r="S28" s="342"/>
      <c r="T28" s="342"/>
      <c r="U28" s="342"/>
      <c r="V28" s="342"/>
      <c r="W28" s="342"/>
      <c r="X28" s="342"/>
      <c r="Y28" s="342"/>
      <c r="Z28" s="349" t="s">
        <v>333</v>
      </c>
      <c r="AA28" s="342"/>
      <c r="AB28" s="342"/>
      <c r="AC28" s="342"/>
      <c r="AD28" s="349" t="s">
        <v>262</v>
      </c>
      <c r="AE28" s="349" t="s">
        <v>752</v>
      </c>
      <c r="AF28" s="349" t="s">
        <v>685</v>
      </c>
      <c r="AG28" s="342"/>
      <c r="AH28" s="342"/>
      <c r="AI28" s="349" t="s">
        <v>707</v>
      </c>
      <c r="AJ28" s="342"/>
    </row>
    <row r="29" spans="1:36" x14ac:dyDescent="0.3">
      <c r="A29" s="344" t="s">
        <v>254</v>
      </c>
      <c r="B29" s="345">
        <v>45991</v>
      </c>
      <c r="C29" s="346" t="s">
        <v>524</v>
      </c>
      <c r="D29" s="347" t="s">
        <v>717</v>
      </c>
      <c r="E29" s="346" t="s">
        <v>403</v>
      </c>
      <c r="F29" s="346" t="s">
        <v>214</v>
      </c>
      <c r="G29" s="348">
        <v>0.60709999999999997</v>
      </c>
      <c r="H29" s="349">
        <v>168</v>
      </c>
      <c r="I29" s="349">
        <v>102</v>
      </c>
      <c r="J29" s="349">
        <v>83</v>
      </c>
      <c r="K29" s="346" t="s">
        <v>215</v>
      </c>
      <c r="L29" s="350" t="s">
        <v>433</v>
      </c>
      <c r="M29" s="349">
        <v>0</v>
      </c>
      <c r="N29" s="349">
        <v>0</v>
      </c>
      <c r="O29" s="349">
        <v>5</v>
      </c>
      <c r="P29" s="346" t="s">
        <v>237</v>
      </c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9" t="s">
        <v>262</v>
      </c>
      <c r="AE29" s="349" t="s">
        <v>228</v>
      </c>
      <c r="AF29" s="349" t="s">
        <v>356</v>
      </c>
      <c r="AG29" s="342"/>
      <c r="AH29" s="342"/>
      <c r="AI29" s="349" t="s">
        <v>753</v>
      </c>
      <c r="AJ29" s="342"/>
    </row>
    <row r="30" spans="1:36" x14ac:dyDescent="0.3">
      <c r="A30" s="344" t="s">
        <v>254</v>
      </c>
      <c r="B30" s="345">
        <v>45991</v>
      </c>
      <c r="C30" s="346" t="s">
        <v>430</v>
      </c>
      <c r="D30" s="347" t="s">
        <v>754</v>
      </c>
      <c r="E30" s="346" t="s">
        <v>403</v>
      </c>
      <c r="F30" s="346" t="s">
        <v>214</v>
      </c>
      <c r="G30" s="348">
        <v>0.9274</v>
      </c>
      <c r="H30" s="349">
        <v>179</v>
      </c>
      <c r="I30" s="349">
        <v>166</v>
      </c>
      <c r="J30" s="349">
        <v>157</v>
      </c>
      <c r="K30" s="346" t="s">
        <v>215</v>
      </c>
      <c r="L30" s="350" t="s">
        <v>63</v>
      </c>
      <c r="M30" s="349">
        <v>0</v>
      </c>
      <c r="N30" s="349">
        <v>0</v>
      </c>
      <c r="O30" s="349">
        <v>3</v>
      </c>
      <c r="P30" s="346" t="s">
        <v>563</v>
      </c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9" t="s">
        <v>263</v>
      </c>
      <c r="AF30" s="349" t="s">
        <v>356</v>
      </c>
      <c r="AG30" s="342"/>
      <c r="AH30" s="342"/>
      <c r="AI30" s="349" t="s">
        <v>755</v>
      </c>
      <c r="AJ30" s="342"/>
    </row>
    <row r="31" spans="1:36" x14ac:dyDescent="0.3">
      <c r="A31" s="344" t="s">
        <v>254</v>
      </c>
      <c r="B31" s="345">
        <v>45991</v>
      </c>
      <c r="C31" s="346" t="s">
        <v>427</v>
      </c>
      <c r="D31" s="347" t="s">
        <v>756</v>
      </c>
      <c r="E31" s="346" t="s">
        <v>403</v>
      </c>
      <c r="F31" s="346" t="s">
        <v>214</v>
      </c>
      <c r="G31" s="348">
        <v>0.96650000000000003</v>
      </c>
      <c r="H31" s="349">
        <v>179</v>
      </c>
      <c r="I31" s="349">
        <v>173</v>
      </c>
      <c r="J31" s="349">
        <v>135</v>
      </c>
      <c r="K31" s="346" t="s">
        <v>215</v>
      </c>
      <c r="L31" s="350" t="s">
        <v>175</v>
      </c>
      <c r="M31" s="349">
        <v>3</v>
      </c>
      <c r="N31" s="349">
        <v>0</v>
      </c>
      <c r="O31" s="349">
        <v>6</v>
      </c>
      <c r="P31" s="346" t="s">
        <v>64</v>
      </c>
      <c r="Q31" s="342"/>
      <c r="R31" s="342"/>
      <c r="S31" s="342"/>
      <c r="T31" s="342"/>
      <c r="U31" s="342"/>
      <c r="V31" s="349" t="s">
        <v>757</v>
      </c>
      <c r="W31" s="342"/>
      <c r="X31" s="342"/>
      <c r="Y31" s="342"/>
      <c r="Z31" s="349" t="s">
        <v>258</v>
      </c>
      <c r="AA31" s="342"/>
      <c r="AB31" s="342"/>
      <c r="AC31" s="349" t="s">
        <v>334</v>
      </c>
      <c r="AD31" s="349" t="s">
        <v>266</v>
      </c>
      <c r="AE31" s="349" t="s">
        <v>267</v>
      </c>
      <c r="AF31" s="349" t="s">
        <v>347</v>
      </c>
      <c r="AG31" s="349" t="s">
        <v>758</v>
      </c>
      <c r="AH31" s="342"/>
      <c r="AI31" s="349" t="s">
        <v>759</v>
      </c>
      <c r="AJ31" s="349" t="s">
        <v>275</v>
      </c>
    </row>
    <row r="32" spans="1:36" x14ac:dyDescent="0.3">
      <c r="A32" s="344" t="s">
        <v>391</v>
      </c>
      <c r="B32" s="345">
        <v>45992</v>
      </c>
      <c r="C32" s="346" t="s">
        <v>432</v>
      </c>
      <c r="D32" s="347" t="s">
        <v>760</v>
      </c>
      <c r="E32" s="346" t="s">
        <v>403</v>
      </c>
      <c r="F32" s="346" t="s">
        <v>214</v>
      </c>
      <c r="G32" s="348">
        <v>0.88270000000000004</v>
      </c>
      <c r="H32" s="349">
        <v>179</v>
      </c>
      <c r="I32" s="349">
        <v>158</v>
      </c>
      <c r="J32" s="349">
        <v>132</v>
      </c>
      <c r="K32" s="346" t="s">
        <v>215</v>
      </c>
      <c r="L32" s="350" t="s">
        <v>378</v>
      </c>
      <c r="M32" s="349">
        <v>0</v>
      </c>
      <c r="N32" s="349">
        <v>0</v>
      </c>
      <c r="O32" s="349">
        <v>8</v>
      </c>
      <c r="P32" s="346" t="s">
        <v>579</v>
      </c>
      <c r="Q32" s="342"/>
      <c r="R32" s="342"/>
      <c r="S32" s="342"/>
      <c r="T32" s="342"/>
      <c r="U32" s="342"/>
      <c r="V32" s="342"/>
      <c r="W32" s="342"/>
      <c r="X32" s="342"/>
      <c r="Y32" s="342"/>
      <c r="Z32" s="349" t="s">
        <v>258</v>
      </c>
      <c r="AA32" s="342"/>
      <c r="AB32" s="342"/>
      <c r="AC32" s="349" t="s">
        <v>279</v>
      </c>
      <c r="AD32" s="349" t="s">
        <v>543</v>
      </c>
      <c r="AE32" s="349" t="s">
        <v>267</v>
      </c>
      <c r="AF32" s="349" t="s">
        <v>229</v>
      </c>
      <c r="AG32" s="342"/>
      <c r="AH32" s="342"/>
      <c r="AI32" s="349" t="s">
        <v>283</v>
      </c>
      <c r="AJ32" s="342"/>
    </row>
    <row r="33" spans="1:36" x14ac:dyDescent="0.3">
      <c r="A33" s="344" t="s">
        <v>391</v>
      </c>
      <c r="B33" s="345">
        <v>45992</v>
      </c>
      <c r="C33" s="346" t="s">
        <v>417</v>
      </c>
      <c r="D33" s="347" t="s">
        <v>761</v>
      </c>
      <c r="E33" s="346" t="s">
        <v>403</v>
      </c>
      <c r="F33" s="346" t="s">
        <v>214</v>
      </c>
      <c r="G33" s="348">
        <v>0.9274</v>
      </c>
      <c r="H33" s="349">
        <v>179</v>
      </c>
      <c r="I33" s="349">
        <v>166</v>
      </c>
      <c r="J33" s="349">
        <v>135</v>
      </c>
      <c r="K33" s="346" t="s">
        <v>215</v>
      </c>
      <c r="L33" s="350" t="s">
        <v>50</v>
      </c>
      <c r="M33" s="349">
        <v>0</v>
      </c>
      <c r="N33" s="349">
        <v>2</v>
      </c>
      <c r="O33" s="349">
        <v>57</v>
      </c>
      <c r="P33" s="346" t="s">
        <v>579</v>
      </c>
      <c r="Q33" s="342"/>
      <c r="R33" s="342"/>
      <c r="S33" s="342"/>
      <c r="T33" s="342"/>
      <c r="U33" s="342"/>
      <c r="V33" s="342"/>
      <c r="W33" s="342"/>
      <c r="X33" s="342"/>
      <c r="Y33" s="342"/>
      <c r="Z33" s="349" t="s">
        <v>333</v>
      </c>
      <c r="AA33" s="342"/>
      <c r="AB33" s="342"/>
      <c r="AC33" s="342"/>
      <c r="AD33" s="342"/>
      <c r="AE33" s="349" t="s">
        <v>700</v>
      </c>
      <c r="AF33" s="349" t="s">
        <v>229</v>
      </c>
      <c r="AG33" s="342"/>
      <c r="AH33" s="342"/>
      <c r="AI33" s="349" t="s">
        <v>278</v>
      </c>
      <c r="AJ33" s="342"/>
    </row>
    <row r="34" spans="1:36" x14ac:dyDescent="0.3">
      <c r="A34" s="344" t="s">
        <v>391</v>
      </c>
      <c r="B34" s="345">
        <v>45992</v>
      </c>
      <c r="C34" s="346" t="s">
        <v>427</v>
      </c>
      <c r="D34" s="347" t="s">
        <v>691</v>
      </c>
      <c r="E34" s="346" t="s">
        <v>403</v>
      </c>
      <c r="F34" s="346" t="s">
        <v>214</v>
      </c>
      <c r="G34" s="348">
        <v>0.86029999999999995</v>
      </c>
      <c r="H34" s="349">
        <v>179</v>
      </c>
      <c r="I34" s="349">
        <v>154</v>
      </c>
      <c r="J34" s="349">
        <v>102</v>
      </c>
      <c r="K34" s="346" t="s">
        <v>215</v>
      </c>
      <c r="L34" s="350" t="s">
        <v>50</v>
      </c>
      <c r="M34" s="349">
        <v>0</v>
      </c>
      <c r="N34" s="349">
        <v>4</v>
      </c>
      <c r="O34" s="349">
        <v>28</v>
      </c>
      <c r="P34" s="346" t="s">
        <v>563</v>
      </c>
      <c r="Q34" s="342"/>
      <c r="R34" s="342"/>
      <c r="S34" s="342"/>
      <c r="T34" s="342"/>
      <c r="U34" s="342"/>
      <c r="V34" s="342"/>
      <c r="W34" s="342"/>
      <c r="X34" s="342"/>
      <c r="Y34" s="342"/>
      <c r="Z34" s="349" t="s">
        <v>258</v>
      </c>
      <c r="AA34" s="342"/>
      <c r="AB34" s="342"/>
      <c r="AC34" s="349" t="s">
        <v>329</v>
      </c>
      <c r="AD34" s="349" t="s">
        <v>736</v>
      </c>
      <c r="AE34" s="349" t="s">
        <v>688</v>
      </c>
      <c r="AF34" s="349" t="s">
        <v>229</v>
      </c>
      <c r="AG34" s="342"/>
      <c r="AH34" s="342"/>
      <c r="AI34" s="349" t="s">
        <v>749</v>
      </c>
      <c r="AJ34" s="349" t="s">
        <v>253</v>
      </c>
    </row>
    <row r="35" spans="1:36" x14ac:dyDescent="0.3">
      <c r="A35" s="344" t="s">
        <v>391</v>
      </c>
      <c r="B35" s="345">
        <v>45992</v>
      </c>
      <c r="C35" s="346" t="s">
        <v>430</v>
      </c>
      <c r="D35" s="347" t="s">
        <v>230</v>
      </c>
      <c r="E35" s="346" t="s">
        <v>403</v>
      </c>
      <c r="F35" s="346" t="s">
        <v>214</v>
      </c>
      <c r="G35" s="348">
        <v>0.89390000000000003</v>
      </c>
      <c r="H35" s="349">
        <v>179</v>
      </c>
      <c r="I35" s="349">
        <v>160</v>
      </c>
      <c r="J35" s="349">
        <v>116</v>
      </c>
      <c r="K35" s="346" t="s">
        <v>215</v>
      </c>
      <c r="L35" s="350" t="s">
        <v>50</v>
      </c>
      <c r="M35" s="349">
        <v>0</v>
      </c>
      <c r="N35" s="349">
        <v>1</v>
      </c>
      <c r="O35" s="349">
        <v>23</v>
      </c>
      <c r="P35" s="346" t="s">
        <v>282</v>
      </c>
      <c r="Q35" s="342"/>
      <c r="R35" s="342"/>
      <c r="S35" s="342"/>
      <c r="T35" s="342"/>
      <c r="U35" s="342"/>
      <c r="V35" s="342"/>
      <c r="W35" s="342"/>
      <c r="X35" s="342"/>
      <c r="Y35" s="342"/>
      <c r="Z35" s="349" t="s">
        <v>244</v>
      </c>
      <c r="AA35" s="342"/>
      <c r="AB35" s="342"/>
      <c r="AC35" s="342"/>
      <c r="AD35" s="349" t="s">
        <v>543</v>
      </c>
      <c r="AE35" s="349" t="s">
        <v>740</v>
      </c>
      <c r="AF35" s="349" t="s">
        <v>390</v>
      </c>
      <c r="AG35" s="349" t="s">
        <v>762</v>
      </c>
      <c r="AH35" s="342"/>
      <c r="AI35" s="349" t="s">
        <v>763</v>
      </c>
      <c r="AJ35" s="342"/>
    </row>
    <row r="36" spans="1:36" x14ac:dyDescent="0.3">
      <c r="A36" s="344" t="s">
        <v>212</v>
      </c>
      <c r="B36" s="345">
        <v>45993</v>
      </c>
      <c r="C36" s="346" t="s">
        <v>420</v>
      </c>
      <c r="D36" s="347" t="s">
        <v>681</v>
      </c>
      <c r="E36" s="346" t="s">
        <v>403</v>
      </c>
      <c r="F36" s="346" t="s">
        <v>214</v>
      </c>
      <c r="G36" s="348">
        <v>0.16200000000000001</v>
      </c>
      <c r="H36" s="349">
        <v>179</v>
      </c>
      <c r="I36" s="349">
        <v>29</v>
      </c>
      <c r="J36" s="349">
        <v>0</v>
      </c>
      <c r="K36" s="346" t="s">
        <v>215</v>
      </c>
      <c r="L36" s="350" t="s">
        <v>175</v>
      </c>
      <c r="M36" s="349">
        <v>1</v>
      </c>
      <c r="N36" s="349">
        <v>1</v>
      </c>
      <c r="O36" s="349">
        <v>17</v>
      </c>
      <c r="P36" s="346" t="s">
        <v>217</v>
      </c>
      <c r="Q36" s="342"/>
      <c r="R36" s="342"/>
      <c r="S36" s="342"/>
      <c r="T36" s="342"/>
      <c r="U36" s="342"/>
      <c r="V36" s="342"/>
      <c r="W36" s="342"/>
      <c r="X36" s="342"/>
      <c r="Y36" s="342"/>
      <c r="Z36" s="349" t="s">
        <v>345</v>
      </c>
      <c r="AA36" s="342"/>
      <c r="AB36" s="342"/>
      <c r="AC36" s="342"/>
      <c r="AD36" s="342"/>
      <c r="AE36" s="342"/>
      <c r="AF36" s="349" t="s">
        <v>764</v>
      </c>
      <c r="AG36" s="342"/>
      <c r="AH36" s="342"/>
      <c r="AI36" s="342"/>
      <c r="AJ36" s="342"/>
    </row>
    <row r="37" spans="1:36" x14ac:dyDescent="0.3">
      <c r="A37" s="344" t="s">
        <v>212</v>
      </c>
      <c r="B37" s="345">
        <v>45993</v>
      </c>
      <c r="C37" s="346" t="s">
        <v>432</v>
      </c>
      <c r="D37" s="347" t="s">
        <v>686</v>
      </c>
      <c r="E37" s="346" t="s">
        <v>403</v>
      </c>
      <c r="F37" s="346" t="s">
        <v>214</v>
      </c>
      <c r="G37" s="348">
        <v>0.62570000000000003</v>
      </c>
      <c r="H37" s="349">
        <v>179</v>
      </c>
      <c r="I37" s="349">
        <v>112</v>
      </c>
      <c r="J37" s="349">
        <v>90</v>
      </c>
      <c r="K37" s="346" t="s">
        <v>215</v>
      </c>
      <c r="L37" s="350" t="s">
        <v>63</v>
      </c>
      <c r="M37" s="349">
        <v>0</v>
      </c>
      <c r="N37" s="349">
        <v>0</v>
      </c>
      <c r="O37" s="349">
        <v>12</v>
      </c>
      <c r="P37" s="346" t="s">
        <v>394</v>
      </c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9" t="s">
        <v>765</v>
      </c>
      <c r="AF37" s="349" t="s">
        <v>229</v>
      </c>
      <c r="AG37" s="342"/>
      <c r="AH37" s="342"/>
      <c r="AI37" s="349" t="s">
        <v>269</v>
      </c>
      <c r="AJ37" s="342"/>
    </row>
    <row r="38" spans="1:36" x14ac:dyDescent="0.3">
      <c r="A38" s="344" t="s">
        <v>212</v>
      </c>
      <c r="B38" s="345">
        <v>45993</v>
      </c>
      <c r="C38" s="346" t="s">
        <v>427</v>
      </c>
      <c r="D38" s="347" t="s">
        <v>691</v>
      </c>
      <c r="E38" s="346" t="s">
        <v>403</v>
      </c>
      <c r="F38" s="346" t="s">
        <v>214</v>
      </c>
      <c r="G38" s="348">
        <v>0.64249999999999996</v>
      </c>
      <c r="H38" s="349">
        <v>179</v>
      </c>
      <c r="I38" s="349">
        <v>115</v>
      </c>
      <c r="J38" s="349">
        <v>83</v>
      </c>
      <c r="K38" s="346" t="s">
        <v>215</v>
      </c>
      <c r="L38" s="350" t="s">
        <v>50</v>
      </c>
      <c r="M38" s="349">
        <v>0</v>
      </c>
      <c r="N38" s="349">
        <v>4</v>
      </c>
      <c r="O38" s="349">
        <v>15</v>
      </c>
      <c r="P38" s="346" t="s">
        <v>543</v>
      </c>
      <c r="Q38" s="342"/>
      <c r="R38" s="342"/>
      <c r="S38" s="342"/>
      <c r="T38" s="342"/>
      <c r="U38" s="342"/>
      <c r="V38" s="342"/>
      <c r="W38" s="342"/>
      <c r="X38" s="342"/>
      <c r="Y38" s="342"/>
      <c r="Z38" s="349" t="s">
        <v>345</v>
      </c>
      <c r="AA38" s="342"/>
      <c r="AB38" s="342"/>
      <c r="AC38" s="342"/>
      <c r="AD38" s="349" t="s">
        <v>266</v>
      </c>
      <c r="AE38" s="349" t="s">
        <v>228</v>
      </c>
      <c r="AF38" s="349" t="s">
        <v>229</v>
      </c>
      <c r="AG38" s="342"/>
      <c r="AH38" s="342"/>
      <c r="AI38" s="349" t="s">
        <v>711</v>
      </c>
      <c r="AJ38" s="342"/>
    </row>
    <row r="39" spans="1:36" x14ac:dyDescent="0.3">
      <c r="A39" s="344" t="s">
        <v>212</v>
      </c>
      <c r="B39" s="345">
        <v>45993</v>
      </c>
      <c r="C39" s="346" t="s">
        <v>430</v>
      </c>
      <c r="D39" s="347" t="s">
        <v>694</v>
      </c>
      <c r="E39" s="346" t="s">
        <v>403</v>
      </c>
      <c r="F39" s="346" t="s">
        <v>214</v>
      </c>
      <c r="G39" s="348">
        <v>0.65359999999999996</v>
      </c>
      <c r="H39" s="349">
        <v>179</v>
      </c>
      <c r="I39" s="349">
        <v>117</v>
      </c>
      <c r="J39" s="349">
        <v>96</v>
      </c>
      <c r="K39" s="346" t="s">
        <v>215</v>
      </c>
      <c r="L39" s="350" t="s">
        <v>590</v>
      </c>
      <c r="M39" s="349">
        <v>0</v>
      </c>
      <c r="N39" s="349">
        <v>0</v>
      </c>
      <c r="O39" s="349">
        <v>2</v>
      </c>
      <c r="P39" s="346" t="s">
        <v>364</v>
      </c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9" t="s">
        <v>228</v>
      </c>
      <c r="AF39" s="349" t="s">
        <v>229</v>
      </c>
      <c r="AG39" s="342"/>
      <c r="AH39" s="342"/>
      <c r="AI39" s="349" t="s">
        <v>766</v>
      </c>
      <c r="AJ39" s="349" t="s">
        <v>247</v>
      </c>
    </row>
    <row r="40" spans="1:36" x14ac:dyDescent="0.3">
      <c r="A40" s="344" t="s">
        <v>212</v>
      </c>
      <c r="B40" s="345">
        <v>45993</v>
      </c>
      <c r="C40" s="346" t="s">
        <v>423</v>
      </c>
      <c r="D40" s="347" t="s">
        <v>698</v>
      </c>
      <c r="E40" s="346" t="s">
        <v>403</v>
      </c>
      <c r="F40" s="346" t="s">
        <v>214</v>
      </c>
      <c r="G40" s="348">
        <v>0.38550000000000001</v>
      </c>
      <c r="H40" s="349">
        <v>179</v>
      </c>
      <c r="I40" s="349">
        <v>69</v>
      </c>
      <c r="J40" s="349">
        <v>42</v>
      </c>
      <c r="K40" s="346" t="s">
        <v>215</v>
      </c>
      <c r="L40" s="350" t="s">
        <v>50</v>
      </c>
      <c r="M40" s="349">
        <v>0</v>
      </c>
      <c r="N40" s="349">
        <v>5</v>
      </c>
      <c r="O40" s="349">
        <v>14</v>
      </c>
      <c r="P40" s="346" t="s">
        <v>586</v>
      </c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49" t="s">
        <v>543</v>
      </c>
      <c r="AE40" s="349" t="s">
        <v>744</v>
      </c>
      <c r="AF40" s="349" t="s">
        <v>229</v>
      </c>
      <c r="AG40" s="342"/>
      <c r="AH40" s="342"/>
      <c r="AI40" s="349" t="s">
        <v>767</v>
      </c>
      <c r="AJ40" s="342"/>
    </row>
    <row r="41" spans="1:36" x14ac:dyDescent="0.3">
      <c r="A41" s="344" t="s">
        <v>212</v>
      </c>
      <c r="B41" s="345">
        <v>45993</v>
      </c>
      <c r="C41" s="346" t="s">
        <v>417</v>
      </c>
      <c r="D41" s="347" t="s">
        <v>699</v>
      </c>
      <c r="E41" s="346" t="s">
        <v>403</v>
      </c>
      <c r="F41" s="346" t="s">
        <v>214</v>
      </c>
      <c r="G41" s="348">
        <v>0.65920000000000001</v>
      </c>
      <c r="H41" s="349">
        <v>179</v>
      </c>
      <c r="I41" s="349">
        <v>118</v>
      </c>
      <c r="J41" s="349">
        <v>92</v>
      </c>
      <c r="K41" s="346" t="s">
        <v>215</v>
      </c>
      <c r="L41" s="350" t="s">
        <v>175</v>
      </c>
      <c r="M41" s="349">
        <v>1</v>
      </c>
      <c r="N41" s="349">
        <v>2</v>
      </c>
      <c r="O41" s="349">
        <v>13</v>
      </c>
      <c r="P41" s="346" t="s">
        <v>364</v>
      </c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9" t="s">
        <v>277</v>
      </c>
      <c r="AE41" s="349" t="s">
        <v>228</v>
      </c>
      <c r="AF41" s="349" t="s">
        <v>612</v>
      </c>
      <c r="AG41" s="342"/>
      <c r="AH41" s="342"/>
      <c r="AI41" s="349" t="s">
        <v>759</v>
      </c>
      <c r="AJ41" s="342"/>
    </row>
    <row r="42" spans="1:36" x14ac:dyDescent="0.3">
      <c r="A42" s="344" t="s">
        <v>331</v>
      </c>
      <c r="B42" s="345">
        <v>45994</v>
      </c>
      <c r="C42" s="346" t="s">
        <v>417</v>
      </c>
      <c r="D42" s="347" t="s">
        <v>702</v>
      </c>
      <c r="E42" s="346" t="s">
        <v>403</v>
      </c>
      <c r="F42" s="346" t="s">
        <v>214</v>
      </c>
      <c r="G42" s="348">
        <v>0.62009999999999998</v>
      </c>
      <c r="H42" s="349">
        <v>179</v>
      </c>
      <c r="I42" s="349">
        <v>111</v>
      </c>
      <c r="J42" s="349">
        <v>82</v>
      </c>
      <c r="K42" s="346" t="s">
        <v>215</v>
      </c>
      <c r="L42" s="350" t="s">
        <v>50</v>
      </c>
      <c r="M42" s="349">
        <v>0</v>
      </c>
      <c r="N42" s="349">
        <v>5</v>
      </c>
      <c r="O42" s="349">
        <v>14</v>
      </c>
      <c r="P42" s="346" t="s">
        <v>245</v>
      </c>
      <c r="Q42" s="342"/>
      <c r="R42" s="342"/>
      <c r="S42" s="342"/>
      <c r="T42" s="342"/>
      <c r="U42" s="342"/>
      <c r="V42" s="342"/>
      <c r="W42" s="342"/>
      <c r="X42" s="342"/>
      <c r="Y42" s="342"/>
      <c r="Z42" s="349" t="s">
        <v>258</v>
      </c>
      <c r="AA42" s="342"/>
      <c r="AB42" s="342"/>
      <c r="AC42" s="342"/>
      <c r="AD42" s="349" t="s">
        <v>236</v>
      </c>
      <c r="AE42" s="349" t="s">
        <v>228</v>
      </c>
      <c r="AF42" s="349" t="s">
        <v>229</v>
      </c>
      <c r="AG42" s="342"/>
      <c r="AH42" s="342"/>
      <c r="AI42" s="349" t="s">
        <v>693</v>
      </c>
      <c r="AJ42" s="342"/>
    </row>
    <row r="43" spans="1:36" x14ac:dyDescent="0.3">
      <c r="A43" s="344" t="s">
        <v>331</v>
      </c>
      <c r="B43" s="345">
        <v>45994</v>
      </c>
      <c r="C43" s="346" t="s">
        <v>430</v>
      </c>
      <c r="D43" s="347" t="s">
        <v>704</v>
      </c>
      <c r="E43" s="346" t="s">
        <v>403</v>
      </c>
      <c r="F43" s="346" t="s">
        <v>214</v>
      </c>
      <c r="G43" s="348">
        <v>0.93300000000000005</v>
      </c>
      <c r="H43" s="349">
        <v>179</v>
      </c>
      <c r="I43" s="349">
        <v>167</v>
      </c>
      <c r="J43" s="349">
        <v>150</v>
      </c>
      <c r="K43" s="346" t="s">
        <v>215</v>
      </c>
      <c r="L43" s="350" t="s">
        <v>140</v>
      </c>
      <c r="M43" s="349">
        <v>0</v>
      </c>
      <c r="N43" s="349">
        <v>0</v>
      </c>
      <c r="O43" s="349">
        <v>3</v>
      </c>
      <c r="P43" s="346" t="s">
        <v>604</v>
      </c>
      <c r="Q43" s="342"/>
      <c r="R43" s="342"/>
      <c r="S43" s="342"/>
      <c r="T43" s="342"/>
      <c r="U43" s="342"/>
      <c r="V43" s="342"/>
      <c r="W43" s="342"/>
      <c r="X43" s="342"/>
      <c r="Y43" s="342"/>
      <c r="Z43" s="349" t="s">
        <v>244</v>
      </c>
      <c r="AA43" s="342"/>
      <c r="AB43" s="342"/>
      <c r="AC43" s="349" t="s">
        <v>563</v>
      </c>
      <c r="AD43" s="342"/>
      <c r="AE43" s="349" t="s">
        <v>586</v>
      </c>
      <c r="AF43" s="349" t="s">
        <v>730</v>
      </c>
      <c r="AG43" s="342"/>
      <c r="AH43" s="342"/>
      <c r="AI43" s="349" t="s">
        <v>768</v>
      </c>
      <c r="AJ43" s="342"/>
    </row>
    <row r="44" spans="1:36" x14ac:dyDescent="0.3">
      <c r="A44" s="344" t="s">
        <v>331</v>
      </c>
      <c r="B44" s="345">
        <v>45994</v>
      </c>
      <c r="C44" s="346" t="s">
        <v>427</v>
      </c>
      <c r="D44" s="347" t="s">
        <v>691</v>
      </c>
      <c r="E44" s="346" t="s">
        <v>403</v>
      </c>
      <c r="F44" s="346" t="s">
        <v>214</v>
      </c>
      <c r="G44" s="348">
        <v>0.62160000000000004</v>
      </c>
      <c r="H44" s="349">
        <v>185</v>
      </c>
      <c r="I44" s="349">
        <v>115</v>
      </c>
      <c r="J44" s="349">
        <v>84</v>
      </c>
      <c r="K44" s="346" t="s">
        <v>215</v>
      </c>
      <c r="L44" s="350" t="s">
        <v>175</v>
      </c>
      <c r="M44" s="349">
        <v>3</v>
      </c>
      <c r="N44" s="349">
        <v>6</v>
      </c>
      <c r="O44" s="349">
        <v>15</v>
      </c>
      <c r="P44" s="346" t="s">
        <v>265</v>
      </c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9" t="s">
        <v>736</v>
      </c>
      <c r="AE44" s="349" t="s">
        <v>228</v>
      </c>
      <c r="AF44" s="349" t="s">
        <v>229</v>
      </c>
      <c r="AG44" s="342"/>
      <c r="AH44" s="342"/>
      <c r="AI44" s="349" t="s">
        <v>711</v>
      </c>
      <c r="AJ44" s="342"/>
    </row>
    <row r="45" spans="1:36" x14ac:dyDescent="0.3">
      <c r="A45" s="344" t="s">
        <v>240</v>
      </c>
      <c r="B45" s="345">
        <v>45995</v>
      </c>
      <c r="C45" s="346" t="s">
        <v>423</v>
      </c>
      <c r="D45" s="347" t="s">
        <v>213</v>
      </c>
      <c r="E45" s="346" t="s">
        <v>403</v>
      </c>
      <c r="F45" s="346" t="s">
        <v>214</v>
      </c>
      <c r="G45" s="348">
        <v>0.5978</v>
      </c>
      <c r="H45" s="349">
        <v>179</v>
      </c>
      <c r="I45" s="349">
        <v>107</v>
      </c>
      <c r="J45" s="349">
        <v>75</v>
      </c>
      <c r="K45" s="346" t="s">
        <v>215</v>
      </c>
      <c r="L45" s="350" t="s">
        <v>50</v>
      </c>
      <c r="M45" s="349">
        <v>0</v>
      </c>
      <c r="N45" s="349">
        <v>4</v>
      </c>
      <c r="O45" s="349">
        <v>14</v>
      </c>
      <c r="P45" s="346" t="s">
        <v>237</v>
      </c>
      <c r="Q45" s="342"/>
      <c r="R45" s="342"/>
      <c r="S45" s="342"/>
      <c r="T45" s="342"/>
      <c r="U45" s="342"/>
      <c r="V45" s="342"/>
      <c r="W45" s="342"/>
      <c r="X45" s="342"/>
      <c r="Y45" s="342"/>
      <c r="Z45" s="349" t="s">
        <v>244</v>
      </c>
      <c r="AA45" s="342"/>
      <c r="AB45" s="342"/>
      <c r="AC45" s="342"/>
      <c r="AD45" s="342"/>
      <c r="AE45" s="349" t="s">
        <v>586</v>
      </c>
      <c r="AF45" s="349" t="s">
        <v>685</v>
      </c>
      <c r="AG45" s="342"/>
      <c r="AH45" s="342"/>
      <c r="AI45" s="349" t="s">
        <v>763</v>
      </c>
      <c r="AJ45" s="342"/>
    </row>
    <row r="46" spans="1:36" x14ac:dyDescent="0.3">
      <c r="A46" s="344" t="s">
        <v>240</v>
      </c>
      <c r="B46" s="345">
        <v>45995</v>
      </c>
      <c r="C46" s="346" t="s">
        <v>420</v>
      </c>
      <c r="D46" s="347" t="s">
        <v>712</v>
      </c>
      <c r="E46" s="346" t="s">
        <v>403</v>
      </c>
      <c r="F46" s="346" t="s">
        <v>214</v>
      </c>
      <c r="G46" s="348">
        <v>0.1341</v>
      </c>
      <c r="H46" s="349">
        <v>179</v>
      </c>
      <c r="I46" s="349">
        <v>24</v>
      </c>
      <c r="J46" s="349">
        <v>0</v>
      </c>
      <c r="K46" s="346" t="s">
        <v>215</v>
      </c>
      <c r="L46" s="350" t="s">
        <v>175</v>
      </c>
      <c r="M46" s="349">
        <v>2</v>
      </c>
      <c r="N46" s="349">
        <v>3</v>
      </c>
      <c r="O46" s="349">
        <v>16</v>
      </c>
      <c r="P46" s="346" t="s">
        <v>346</v>
      </c>
      <c r="Q46" s="342"/>
      <c r="R46" s="342"/>
      <c r="S46" s="342"/>
      <c r="T46" s="342"/>
      <c r="U46" s="342"/>
      <c r="V46" s="342"/>
      <c r="W46" s="342"/>
      <c r="X46" s="342"/>
      <c r="Y46" s="342"/>
      <c r="Z46" s="349" t="s">
        <v>244</v>
      </c>
      <c r="AA46" s="342"/>
      <c r="AB46" s="342"/>
      <c r="AC46" s="342"/>
      <c r="AD46" s="342"/>
      <c r="AE46" s="349" t="s">
        <v>394</v>
      </c>
      <c r="AF46" s="349" t="s">
        <v>390</v>
      </c>
      <c r="AG46" s="342"/>
      <c r="AH46" s="342"/>
      <c r="AI46" s="342"/>
      <c r="AJ46" s="342"/>
    </row>
    <row r="47" spans="1:36" x14ac:dyDescent="0.3">
      <c r="A47" s="344" t="s">
        <v>240</v>
      </c>
      <c r="B47" s="345">
        <v>45995</v>
      </c>
      <c r="C47" s="346" t="s">
        <v>518</v>
      </c>
      <c r="D47" s="347" t="s">
        <v>714</v>
      </c>
      <c r="E47" s="346" t="s">
        <v>403</v>
      </c>
      <c r="F47" s="346" t="s">
        <v>214</v>
      </c>
      <c r="G47" s="348">
        <v>0.36309999999999998</v>
      </c>
      <c r="H47" s="349">
        <v>179</v>
      </c>
      <c r="I47" s="349">
        <v>65</v>
      </c>
      <c r="J47" s="349">
        <v>37</v>
      </c>
      <c r="K47" s="346" t="s">
        <v>215</v>
      </c>
      <c r="L47" s="350" t="s">
        <v>175</v>
      </c>
      <c r="M47" s="349">
        <v>1</v>
      </c>
      <c r="N47" s="349">
        <v>8</v>
      </c>
      <c r="O47" s="349">
        <v>25</v>
      </c>
      <c r="P47" s="346" t="s">
        <v>608</v>
      </c>
      <c r="Q47" s="342"/>
      <c r="R47" s="342"/>
      <c r="S47" s="342"/>
      <c r="T47" s="342"/>
      <c r="U47" s="342"/>
      <c r="V47" s="342"/>
      <c r="W47" s="342"/>
      <c r="X47" s="342"/>
      <c r="Y47" s="342"/>
      <c r="Z47" s="349" t="s">
        <v>244</v>
      </c>
      <c r="AA47" s="342"/>
      <c r="AB47" s="342"/>
      <c r="AC47" s="342"/>
      <c r="AD47" s="342"/>
      <c r="AE47" s="342"/>
      <c r="AF47" s="349" t="s">
        <v>769</v>
      </c>
      <c r="AG47" s="342"/>
      <c r="AH47" s="342"/>
      <c r="AI47" s="349" t="s">
        <v>770</v>
      </c>
      <c r="AJ47" s="342"/>
    </row>
    <row r="48" spans="1:36" x14ac:dyDescent="0.3">
      <c r="A48" s="344" t="s">
        <v>240</v>
      </c>
      <c r="B48" s="345">
        <v>45995</v>
      </c>
      <c r="C48" s="346" t="s">
        <v>417</v>
      </c>
      <c r="D48" s="347" t="s">
        <v>717</v>
      </c>
      <c r="E48" s="346" t="s">
        <v>403</v>
      </c>
      <c r="F48" s="346" t="s">
        <v>214</v>
      </c>
      <c r="G48" s="348">
        <v>0.78769999999999996</v>
      </c>
      <c r="H48" s="349">
        <v>179</v>
      </c>
      <c r="I48" s="349">
        <v>141</v>
      </c>
      <c r="J48" s="349">
        <v>116</v>
      </c>
      <c r="K48" s="346" t="s">
        <v>215</v>
      </c>
      <c r="L48" s="350" t="s">
        <v>175</v>
      </c>
      <c r="M48" s="349">
        <v>1</v>
      </c>
      <c r="N48" s="349">
        <v>3</v>
      </c>
      <c r="O48" s="349">
        <v>94</v>
      </c>
      <c r="P48" s="346" t="s">
        <v>217</v>
      </c>
      <c r="Q48" s="342"/>
      <c r="R48" s="342"/>
      <c r="S48" s="342"/>
      <c r="T48" s="342"/>
      <c r="U48" s="342"/>
      <c r="V48" s="342"/>
      <c r="W48" s="342"/>
      <c r="X48" s="342"/>
      <c r="Y48" s="342"/>
      <c r="Z48" s="349" t="s">
        <v>258</v>
      </c>
      <c r="AA48" s="342"/>
      <c r="AB48" s="342"/>
      <c r="AC48" s="342"/>
      <c r="AD48" s="342"/>
      <c r="AE48" s="342"/>
      <c r="AF48" s="349" t="s">
        <v>771</v>
      </c>
      <c r="AG48" s="342"/>
      <c r="AH48" s="342"/>
      <c r="AI48" s="349" t="s">
        <v>697</v>
      </c>
      <c r="AJ48" s="342"/>
    </row>
    <row r="49" spans="1:36" x14ac:dyDescent="0.3">
      <c r="A49" s="344" t="s">
        <v>240</v>
      </c>
      <c r="B49" s="345">
        <v>45995</v>
      </c>
      <c r="C49" s="346" t="s">
        <v>524</v>
      </c>
      <c r="D49" s="347" t="s">
        <v>718</v>
      </c>
      <c r="E49" s="346" t="s">
        <v>403</v>
      </c>
      <c r="F49" s="346" t="s">
        <v>214</v>
      </c>
      <c r="G49" s="348">
        <v>8.3799999999999999E-2</v>
      </c>
      <c r="H49" s="349">
        <v>179</v>
      </c>
      <c r="I49" s="349">
        <v>15</v>
      </c>
      <c r="J49" s="349">
        <v>0</v>
      </c>
      <c r="K49" s="346" t="s">
        <v>215</v>
      </c>
      <c r="L49" s="350" t="s">
        <v>50</v>
      </c>
      <c r="M49" s="349">
        <v>0</v>
      </c>
      <c r="N49" s="349">
        <v>5</v>
      </c>
      <c r="O49" s="349">
        <v>11</v>
      </c>
      <c r="P49" s="346" t="s">
        <v>237</v>
      </c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9" t="s">
        <v>612</v>
      </c>
      <c r="AG49" s="342"/>
      <c r="AH49" s="342"/>
      <c r="AI49" s="342"/>
      <c r="AJ49" s="342"/>
    </row>
    <row r="50" spans="1:36" x14ac:dyDescent="0.3">
      <c r="A50" s="344" t="s">
        <v>240</v>
      </c>
      <c r="B50" s="345">
        <v>45995</v>
      </c>
      <c r="C50" s="346" t="s">
        <v>427</v>
      </c>
      <c r="D50" s="347" t="s">
        <v>720</v>
      </c>
      <c r="E50" s="346" t="s">
        <v>403</v>
      </c>
      <c r="F50" s="346" t="s">
        <v>214</v>
      </c>
      <c r="G50" s="348">
        <v>0.88270000000000004</v>
      </c>
      <c r="H50" s="349">
        <v>179</v>
      </c>
      <c r="I50" s="349">
        <v>158</v>
      </c>
      <c r="J50" s="349">
        <v>125</v>
      </c>
      <c r="K50" s="346" t="s">
        <v>215</v>
      </c>
      <c r="L50" s="350" t="s">
        <v>63</v>
      </c>
      <c r="M50" s="349">
        <v>0</v>
      </c>
      <c r="N50" s="349">
        <v>0</v>
      </c>
      <c r="O50" s="349">
        <v>50</v>
      </c>
      <c r="P50" s="346" t="s">
        <v>579</v>
      </c>
      <c r="Q50" s="342"/>
      <c r="R50" s="342"/>
      <c r="S50" s="342"/>
      <c r="T50" s="342"/>
      <c r="U50" s="342"/>
      <c r="V50" s="342"/>
      <c r="W50" s="342"/>
      <c r="X50" s="342"/>
      <c r="Y50" s="342"/>
      <c r="Z50" s="349" t="s">
        <v>683</v>
      </c>
      <c r="AA50" s="342"/>
      <c r="AB50" s="342"/>
      <c r="AC50" s="342"/>
      <c r="AD50" s="349" t="s">
        <v>236</v>
      </c>
      <c r="AE50" s="349" t="s">
        <v>228</v>
      </c>
      <c r="AF50" s="349" t="s">
        <v>229</v>
      </c>
      <c r="AG50" s="349" t="s">
        <v>772</v>
      </c>
      <c r="AH50" s="342"/>
      <c r="AI50" s="349" t="s">
        <v>773</v>
      </c>
      <c r="AJ50" s="342"/>
    </row>
    <row r="51" spans="1:36" x14ac:dyDescent="0.3">
      <c r="A51" s="344" t="s">
        <v>240</v>
      </c>
      <c r="B51" s="345">
        <v>45995</v>
      </c>
      <c r="C51" s="346" t="s">
        <v>432</v>
      </c>
      <c r="D51" s="347" t="s">
        <v>722</v>
      </c>
      <c r="E51" s="346" t="s">
        <v>403</v>
      </c>
      <c r="F51" s="346" t="s">
        <v>214</v>
      </c>
      <c r="G51" s="348">
        <v>0.76539999999999997</v>
      </c>
      <c r="H51" s="349">
        <v>179</v>
      </c>
      <c r="I51" s="349">
        <v>137</v>
      </c>
      <c r="J51" s="349">
        <v>99</v>
      </c>
      <c r="K51" s="346" t="s">
        <v>215</v>
      </c>
      <c r="L51" s="350" t="s">
        <v>175</v>
      </c>
      <c r="M51" s="349">
        <v>4</v>
      </c>
      <c r="N51" s="349">
        <v>12</v>
      </c>
      <c r="O51" s="349">
        <v>21</v>
      </c>
      <c r="P51" s="346" t="s">
        <v>586</v>
      </c>
      <c r="Q51" s="342"/>
      <c r="R51" s="342"/>
      <c r="S51" s="342"/>
      <c r="T51" s="342"/>
      <c r="U51" s="342"/>
      <c r="V51" s="342"/>
      <c r="W51" s="342"/>
      <c r="X51" s="342"/>
      <c r="Y51" s="342"/>
      <c r="Z51" s="349" t="s">
        <v>774</v>
      </c>
      <c r="AA51" s="342"/>
      <c r="AB51" s="342"/>
      <c r="AC51" s="349" t="s">
        <v>563</v>
      </c>
      <c r="AD51" s="349" t="s">
        <v>236</v>
      </c>
      <c r="AE51" s="349" t="s">
        <v>744</v>
      </c>
      <c r="AF51" s="349" t="s">
        <v>229</v>
      </c>
      <c r="AG51" s="342"/>
      <c r="AH51" s="342"/>
      <c r="AI51" s="349" t="s">
        <v>775</v>
      </c>
      <c r="AJ51" s="342"/>
    </row>
    <row r="52" spans="1:36" x14ac:dyDescent="0.3">
      <c r="A52" s="344" t="s">
        <v>724</v>
      </c>
      <c r="B52" s="345">
        <v>45996</v>
      </c>
      <c r="C52" s="346" t="s">
        <v>423</v>
      </c>
      <c r="D52" s="347" t="s">
        <v>712</v>
      </c>
      <c r="E52" s="346" t="s">
        <v>403</v>
      </c>
      <c r="F52" s="346" t="s">
        <v>214</v>
      </c>
      <c r="G52" s="348">
        <v>0.1676</v>
      </c>
      <c r="H52" s="349">
        <v>179</v>
      </c>
      <c r="I52" s="349">
        <v>30</v>
      </c>
      <c r="J52" s="349">
        <v>0</v>
      </c>
      <c r="K52" s="346" t="s">
        <v>215</v>
      </c>
      <c r="L52" s="350" t="s">
        <v>50</v>
      </c>
      <c r="M52" s="349">
        <v>0</v>
      </c>
      <c r="N52" s="349">
        <v>2</v>
      </c>
      <c r="O52" s="349">
        <v>21</v>
      </c>
      <c r="P52" s="346" t="s">
        <v>586</v>
      </c>
      <c r="Q52" s="342"/>
      <c r="R52" s="342"/>
      <c r="S52" s="342"/>
      <c r="T52" s="342"/>
      <c r="U52" s="342"/>
      <c r="V52" s="342"/>
      <c r="W52" s="342"/>
      <c r="X52" s="342"/>
      <c r="Y52" s="342"/>
      <c r="Z52" s="349" t="s">
        <v>244</v>
      </c>
      <c r="AA52" s="342"/>
      <c r="AB52" s="342"/>
      <c r="AC52" s="342"/>
      <c r="AD52" s="342"/>
      <c r="AE52" s="349" t="s">
        <v>237</v>
      </c>
      <c r="AF52" s="349" t="s">
        <v>390</v>
      </c>
      <c r="AG52" s="342"/>
      <c r="AH52" s="342"/>
      <c r="AI52" s="342"/>
      <c r="AJ52" s="342"/>
    </row>
    <row r="53" spans="1:36" x14ac:dyDescent="0.3">
      <c r="A53" s="344" t="s">
        <v>724</v>
      </c>
      <c r="B53" s="345">
        <v>45996</v>
      </c>
      <c r="C53" s="346" t="s">
        <v>417</v>
      </c>
      <c r="D53" s="347" t="s">
        <v>727</v>
      </c>
      <c r="E53" s="346" t="s">
        <v>403</v>
      </c>
      <c r="F53" s="346" t="s">
        <v>214</v>
      </c>
      <c r="G53" s="348">
        <v>0.1173</v>
      </c>
      <c r="H53" s="349">
        <v>179</v>
      </c>
      <c r="I53" s="349">
        <v>21</v>
      </c>
      <c r="J53" s="349">
        <v>0</v>
      </c>
      <c r="K53" s="346" t="s">
        <v>215</v>
      </c>
      <c r="L53" s="350" t="s">
        <v>50</v>
      </c>
      <c r="M53" s="349">
        <v>0</v>
      </c>
      <c r="N53" s="349">
        <v>1</v>
      </c>
      <c r="O53" s="349">
        <v>2</v>
      </c>
      <c r="P53" s="346" t="s">
        <v>237</v>
      </c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42"/>
      <c r="AD53" s="342"/>
      <c r="AE53" s="349" t="s">
        <v>713</v>
      </c>
      <c r="AF53" s="349" t="s">
        <v>229</v>
      </c>
      <c r="AG53" s="342"/>
      <c r="AH53" s="342"/>
      <c r="AI53" s="342"/>
      <c r="AJ53" s="342"/>
    </row>
    <row r="54" spans="1:36" x14ac:dyDescent="0.3">
      <c r="A54" s="344" t="s">
        <v>724</v>
      </c>
      <c r="B54" s="345">
        <v>45996</v>
      </c>
      <c r="C54" s="346" t="s">
        <v>427</v>
      </c>
      <c r="D54" s="347" t="s">
        <v>729</v>
      </c>
      <c r="E54" s="346" t="s">
        <v>403</v>
      </c>
      <c r="F54" s="346" t="s">
        <v>214</v>
      </c>
      <c r="G54" s="348">
        <v>0.14530000000000001</v>
      </c>
      <c r="H54" s="349">
        <v>179</v>
      </c>
      <c r="I54" s="349">
        <v>26</v>
      </c>
      <c r="J54" s="349">
        <v>0</v>
      </c>
      <c r="K54" s="346" t="s">
        <v>215</v>
      </c>
      <c r="L54" s="350" t="s">
        <v>50</v>
      </c>
      <c r="M54" s="349">
        <v>0</v>
      </c>
      <c r="N54" s="349">
        <v>1</v>
      </c>
      <c r="O54" s="349">
        <v>9</v>
      </c>
      <c r="P54" s="346" t="s">
        <v>263</v>
      </c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42"/>
      <c r="AD54" s="342"/>
      <c r="AE54" s="349" t="s">
        <v>776</v>
      </c>
      <c r="AF54" s="349" t="s">
        <v>229</v>
      </c>
      <c r="AG54" s="342"/>
      <c r="AH54" s="342"/>
      <c r="AI54" s="342"/>
      <c r="AJ54" s="342"/>
    </row>
    <row r="55" spans="1:36" x14ac:dyDescent="0.3">
      <c r="A55" s="344" t="s">
        <v>724</v>
      </c>
      <c r="B55" s="345">
        <v>45996</v>
      </c>
      <c r="C55" s="346" t="s">
        <v>432</v>
      </c>
      <c r="D55" s="347" t="s">
        <v>691</v>
      </c>
      <c r="E55" s="346" t="s">
        <v>403</v>
      </c>
      <c r="F55" s="346" t="s">
        <v>214</v>
      </c>
      <c r="G55" s="348">
        <v>0.3911</v>
      </c>
      <c r="H55" s="349">
        <v>179</v>
      </c>
      <c r="I55" s="349">
        <v>70</v>
      </c>
      <c r="J55" s="349">
        <v>45</v>
      </c>
      <c r="K55" s="346" t="s">
        <v>215</v>
      </c>
      <c r="L55" s="350" t="s">
        <v>590</v>
      </c>
      <c r="M55" s="349">
        <v>0</v>
      </c>
      <c r="N55" s="349">
        <v>0</v>
      </c>
      <c r="O55" s="349">
        <v>3</v>
      </c>
      <c r="P55" s="346" t="s">
        <v>364</v>
      </c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9" t="s">
        <v>262</v>
      </c>
      <c r="AE55" s="349" t="s">
        <v>228</v>
      </c>
      <c r="AF55" s="349" t="s">
        <v>229</v>
      </c>
      <c r="AG55" s="342"/>
      <c r="AH55" s="342"/>
      <c r="AI55" s="349" t="s">
        <v>701</v>
      </c>
      <c r="AJ55" s="342"/>
    </row>
    <row r="56" spans="1:36" x14ac:dyDescent="0.3">
      <c r="A56" s="344" t="s">
        <v>724</v>
      </c>
      <c r="B56" s="345">
        <v>45996</v>
      </c>
      <c r="C56" s="346" t="s">
        <v>420</v>
      </c>
      <c r="D56" s="347" t="s">
        <v>735</v>
      </c>
      <c r="E56" s="346" t="s">
        <v>403</v>
      </c>
      <c r="F56" s="346" t="s">
        <v>214</v>
      </c>
      <c r="G56" s="348">
        <v>0.48599999999999999</v>
      </c>
      <c r="H56" s="349">
        <v>179</v>
      </c>
      <c r="I56" s="349">
        <v>87</v>
      </c>
      <c r="J56" s="349">
        <v>45</v>
      </c>
      <c r="K56" s="346" t="s">
        <v>215</v>
      </c>
      <c r="L56" s="350" t="s">
        <v>175</v>
      </c>
      <c r="M56" s="349">
        <v>1</v>
      </c>
      <c r="N56" s="349">
        <v>8</v>
      </c>
      <c r="O56" s="349">
        <v>63</v>
      </c>
      <c r="P56" s="346" t="s">
        <v>277</v>
      </c>
      <c r="Q56" s="342"/>
      <c r="R56" s="342"/>
      <c r="S56" s="342"/>
      <c r="T56" s="342"/>
      <c r="U56" s="342"/>
      <c r="V56" s="342"/>
      <c r="W56" s="342"/>
      <c r="X56" s="342"/>
      <c r="Y56" s="342"/>
      <c r="Z56" s="349" t="s">
        <v>333</v>
      </c>
      <c r="AA56" s="342"/>
      <c r="AB56" s="342"/>
      <c r="AC56" s="342"/>
      <c r="AD56" s="349" t="s">
        <v>777</v>
      </c>
      <c r="AE56" s="349" t="s">
        <v>267</v>
      </c>
      <c r="AF56" s="349" t="s">
        <v>778</v>
      </c>
      <c r="AG56" s="342"/>
      <c r="AH56" s="342"/>
      <c r="AI56" s="349" t="s">
        <v>710</v>
      </c>
      <c r="AJ56" s="342"/>
    </row>
    <row r="57" spans="1:36" x14ac:dyDescent="0.3">
      <c r="A57" s="344" t="s">
        <v>724</v>
      </c>
      <c r="B57" s="345">
        <v>45996</v>
      </c>
      <c r="C57" s="346" t="s">
        <v>430</v>
      </c>
      <c r="D57" s="347" t="s">
        <v>368</v>
      </c>
      <c r="E57" s="346" t="s">
        <v>403</v>
      </c>
      <c r="F57" s="346" t="s">
        <v>214</v>
      </c>
      <c r="G57" s="348">
        <v>0.91620000000000001</v>
      </c>
      <c r="H57" s="349">
        <v>179</v>
      </c>
      <c r="I57" s="349">
        <v>164</v>
      </c>
      <c r="J57" s="349">
        <v>140</v>
      </c>
      <c r="K57" s="346" t="s">
        <v>215</v>
      </c>
      <c r="L57" s="350" t="s">
        <v>635</v>
      </c>
      <c r="M57" s="349">
        <v>0</v>
      </c>
      <c r="N57" s="349">
        <v>0</v>
      </c>
      <c r="O57" s="349">
        <v>0</v>
      </c>
      <c r="P57" s="346" t="s">
        <v>51</v>
      </c>
      <c r="Q57" s="342"/>
      <c r="R57" s="342"/>
      <c r="S57" s="342"/>
      <c r="T57" s="342"/>
      <c r="U57" s="342"/>
      <c r="V57" s="342"/>
      <c r="W57" s="342"/>
      <c r="X57" s="342"/>
      <c r="Y57" s="342"/>
      <c r="Z57" s="349" t="s">
        <v>273</v>
      </c>
      <c r="AA57" s="342"/>
      <c r="AB57" s="342"/>
      <c r="AC57" s="342"/>
      <c r="AD57" s="342"/>
      <c r="AE57" s="349" t="s">
        <v>237</v>
      </c>
      <c r="AF57" s="349" t="s">
        <v>229</v>
      </c>
      <c r="AG57" s="342"/>
      <c r="AH57" s="342"/>
      <c r="AI57" s="349" t="s">
        <v>779</v>
      </c>
      <c r="AJ57" s="342"/>
    </row>
    <row r="58" spans="1:36" x14ac:dyDescent="0.3">
      <c r="A58" s="344" t="s">
        <v>248</v>
      </c>
      <c r="B58" s="345">
        <v>45997</v>
      </c>
      <c r="C58" s="346" t="s">
        <v>518</v>
      </c>
      <c r="D58" s="347" t="s">
        <v>741</v>
      </c>
      <c r="E58" s="346" t="s">
        <v>403</v>
      </c>
      <c r="F58" s="346" t="s">
        <v>214</v>
      </c>
      <c r="G58" s="348">
        <v>0.3352</v>
      </c>
      <c r="H58" s="349">
        <v>179</v>
      </c>
      <c r="I58" s="349">
        <v>60</v>
      </c>
      <c r="J58" s="349">
        <v>29</v>
      </c>
      <c r="K58" s="346" t="s">
        <v>215</v>
      </c>
      <c r="L58" s="350" t="s">
        <v>50</v>
      </c>
      <c r="M58" s="349">
        <v>0</v>
      </c>
      <c r="N58" s="349">
        <v>1</v>
      </c>
      <c r="O58" s="349">
        <v>12</v>
      </c>
      <c r="P58" s="346" t="s">
        <v>263</v>
      </c>
      <c r="Q58" s="342"/>
      <c r="R58" s="342"/>
      <c r="S58" s="342"/>
      <c r="T58" s="342"/>
      <c r="U58" s="342"/>
      <c r="V58" s="342"/>
      <c r="W58" s="342"/>
      <c r="X58" s="342"/>
      <c r="Y58" s="342"/>
      <c r="Z58" s="349" t="s">
        <v>345</v>
      </c>
      <c r="AA58" s="342"/>
      <c r="AB58" s="342"/>
      <c r="AC58" s="342"/>
      <c r="AD58" s="349" t="s">
        <v>643</v>
      </c>
      <c r="AE58" s="349" t="s">
        <v>776</v>
      </c>
      <c r="AF58" s="349" t="s">
        <v>229</v>
      </c>
      <c r="AG58" s="342"/>
      <c r="AH58" s="342"/>
      <c r="AI58" s="349" t="s">
        <v>780</v>
      </c>
      <c r="AJ58" s="342"/>
    </row>
    <row r="59" spans="1:36" x14ac:dyDescent="0.3">
      <c r="A59" s="344" t="s">
        <v>248</v>
      </c>
      <c r="B59" s="345">
        <v>45997</v>
      </c>
      <c r="C59" s="346" t="s">
        <v>417</v>
      </c>
      <c r="D59" s="347" t="s">
        <v>717</v>
      </c>
      <c r="E59" s="346" t="s">
        <v>403</v>
      </c>
      <c r="F59" s="346" t="s">
        <v>214</v>
      </c>
      <c r="G59" s="348">
        <v>0.86029999999999995</v>
      </c>
      <c r="H59" s="349">
        <v>179</v>
      </c>
      <c r="I59" s="349">
        <v>154</v>
      </c>
      <c r="J59" s="349">
        <v>113</v>
      </c>
      <c r="K59" s="346" t="s">
        <v>215</v>
      </c>
      <c r="L59" s="350" t="s">
        <v>175</v>
      </c>
      <c r="M59" s="349">
        <v>1</v>
      </c>
      <c r="N59" s="349">
        <v>4</v>
      </c>
      <c r="O59" s="349">
        <v>34</v>
      </c>
      <c r="P59" s="346" t="s">
        <v>643</v>
      </c>
      <c r="Q59" s="342"/>
      <c r="R59" s="342"/>
      <c r="S59" s="342"/>
      <c r="T59" s="342"/>
      <c r="U59" s="342"/>
      <c r="V59" s="342"/>
      <c r="W59" s="342"/>
      <c r="X59" s="342"/>
      <c r="Y59" s="342"/>
      <c r="Z59" s="349" t="s">
        <v>244</v>
      </c>
      <c r="AA59" s="342"/>
      <c r="AB59" s="342"/>
      <c r="AC59" s="349" t="s">
        <v>279</v>
      </c>
      <c r="AD59" s="349" t="s">
        <v>364</v>
      </c>
      <c r="AE59" s="349" t="s">
        <v>740</v>
      </c>
      <c r="AF59" s="349" t="s">
        <v>229</v>
      </c>
      <c r="AG59" s="342"/>
      <c r="AH59" s="342"/>
      <c r="AI59" s="349" t="s">
        <v>781</v>
      </c>
      <c r="AJ59" s="342"/>
    </row>
    <row r="60" spans="1:36" x14ac:dyDescent="0.3">
      <c r="A60" s="344" t="s">
        <v>248</v>
      </c>
      <c r="B60" s="345">
        <v>45997</v>
      </c>
      <c r="C60" s="346" t="s">
        <v>427</v>
      </c>
      <c r="D60" s="347" t="s">
        <v>747</v>
      </c>
      <c r="E60" s="346" t="s">
        <v>403</v>
      </c>
      <c r="F60" s="346" t="s">
        <v>214</v>
      </c>
      <c r="G60" s="348">
        <v>1.0223</v>
      </c>
      <c r="H60" s="349">
        <v>179</v>
      </c>
      <c r="I60" s="349">
        <v>183</v>
      </c>
      <c r="J60" s="349">
        <v>178</v>
      </c>
      <c r="K60" s="346" t="s">
        <v>215</v>
      </c>
      <c r="L60" s="350" t="s">
        <v>433</v>
      </c>
      <c r="M60" s="349">
        <v>0</v>
      </c>
      <c r="N60" s="349">
        <v>0</v>
      </c>
      <c r="O60" s="349">
        <v>46</v>
      </c>
      <c r="P60" s="346" t="s">
        <v>64</v>
      </c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9" t="s">
        <v>356</v>
      </c>
      <c r="AG60" s="349" t="s">
        <v>782</v>
      </c>
      <c r="AH60" s="342"/>
      <c r="AI60" s="349" t="s">
        <v>354</v>
      </c>
      <c r="AJ60" s="349" t="s">
        <v>690</v>
      </c>
    </row>
    <row r="61" spans="1:36" x14ac:dyDescent="0.3">
      <c r="A61" s="344" t="s">
        <v>254</v>
      </c>
      <c r="B61" s="345">
        <v>45998</v>
      </c>
      <c r="C61" s="346" t="s">
        <v>423</v>
      </c>
      <c r="D61" s="347" t="s">
        <v>751</v>
      </c>
      <c r="E61" s="346" t="s">
        <v>403</v>
      </c>
      <c r="F61" s="346" t="s">
        <v>214</v>
      </c>
      <c r="G61" s="348">
        <v>0.48599999999999999</v>
      </c>
      <c r="H61" s="349">
        <v>179</v>
      </c>
      <c r="I61" s="349">
        <v>87</v>
      </c>
      <c r="J61" s="349">
        <v>61</v>
      </c>
      <c r="K61" s="346" t="s">
        <v>215</v>
      </c>
      <c r="L61" s="350" t="s">
        <v>175</v>
      </c>
      <c r="M61" s="349">
        <v>1</v>
      </c>
      <c r="N61" s="349">
        <v>1</v>
      </c>
      <c r="O61" s="349">
        <v>7</v>
      </c>
      <c r="P61" s="346" t="s">
        <v>237</v>
      </c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9" t="s">
        <v>387</v>
      </c>
      <c r="AD61" s="349" t="s">
        <v>277</v>
      </c>
      <c r="AE61" s="349" t="s">
        <v>228</v>
      </c>
      <c r="AF61" s="349" t="s">
        <v>229</v>
      </c>
      <c r="AG61" s="349" t="s">
        <v>783</v>
      </c>
      <c r="AH61" s="342"/>
      <c r="AI61" s="349" t="s">
        <v>784</v>
      </c>
      <c r="AJ61" s="342"/>
    </row>
    <row r="62" spans="1:36" x14ac:dyDescent="0.3">
      <c r="A62" s="344" t="s">
        <v>254</v>
      </c>
      <c r="B62" s="345">
        <v>45998</v>
      </c>
      <c r="C62" s="346" t="s">
        <v>417</v>
      </c>
      <c r="D62" s="347" t="s">
        <v>727</v>
      </c>
      <c r="E62" s="346" t="s">
        <v>403</v>
      </c>
      <c r="F62" s="346" t="s">
        <v>214</v>
      </c>
      <c r="G62" s="348">
        <v>0.15640000000000001</v>
      </c>
      <c r="H62" s="349">
        <v>179</v>
      </c>
      <c r="I62" s="349">
        <v>28</v>
      </c>
      <c r="J62" s="349">
        <v>0</v>
      </c>
      <c r="K62" s="346" t="s">
        <v>215</v>
      </c>
      <c r="L62" s="350" t="s">
        <v>50</v>
      </c>
      <c r="M62" s="349">
        <v>0</v>
      </c>
      <c r="N62" s="349">
        <v>3</v>
      </c>
      <c r="O62" s="349">
        <v>18</v>
      </c>
      <c r="P62" s="346" t="s">
        <v>646</v>
      </c>
      <c r="Q62" s="342"/>
      <c r="R62" s="342"/>
      <c r="S62" s="342"/>
      <c r="T62" s="342"/>
      <c r="U62" s="342"/>
      <c r="V62" s="342"/>
      <c r="W62" s="342"/>
      <c r="X62" s="342"/>
      <c r="Y62" s="342"/>
      <c r="Z62" s="342"/>
      <c r="AA62" s="342"/>
      <c r="AB62" s="342"/>
      <c r="AC62" s="342"/>
      <c r="AD62" s="342"/>
      <c r="AE62" s="349" t="s">
        <v>267</v>
      </c>
      <c r="AF62" s="349" t="s">
        <v>390</v>
      </c>
      <c r="AG62" s="342"/>
      <c r="AH62" s="342"/>
      <c r="AI62" s="342"/>
      <c r="AJ62" s="342"/>
    </row>
    <row r="63" spans="1:36" x14ac:dyDescent="0.3">
      <c r="A63" s="344" t="s">
        <v>254</v>
      </c>
      <c r="B63" s="345">
        <v>45998</v>
      </c>
      <c r="C63" s="346" t="s">
        <v>524</v>
      </c>
      <c r="D63" s="347" t="s">
        <v>717</v>
      </c>
      <c r="E63" s="346" t="s">
        <v>403</v>
      </c>
      <c r="F63" s="346" t="s">
        <v>214</v>
      </c>
      <c r="G63" s="348">
        <v>0.1726</v>
      </c>
      <c r="H63" s="349">
        <v>168</v>
      </c>
      <c r="I63" s="349">
        <v>29</v>
      </c>
      <c r="J63" s="349">
        <v>0</v>
      </c>
      <c r="K63" s="346" t="s">
        <v>215</v>
      </c>
      <c r="L63" s="350" t="s">
        <v>175</v>
      </c>
      <c r="M63" s="349">
        <v>2</v>
      </c>
      <c r="N63" s="349">
        <v>0</v>
      </c>
      <c r="O63" s="349">
        <v>19</v>
      </c>
      <c r="P63" s="346" t="s">
        <v>236</v>
      </c>
      <c r="Q63" s="342"/>
      <c r="R63" s="342"/>
      <c r="S63" s="342"/>
      <c r="T63" s="342"/>
      <c r="U63" s="342"/>
      <c r="V63" s="342"/>
      <c r="W63" s="342"/>
      <c r="X63" s="342"/>
      <c r="Y63" s="342"/>
      <c r="Z63" s="349" t="s">
        <v>352</v>
      </c>
      <c r="AA63" s="342"/>
      <c r="AB63" s="342"/>
      <c r="AC63" s="342"/>
      <c r="AD63" s="342"/>
      <c r="AE63" s="349" t="s">
        <v>228</v>
      </c>
      <c r="AF63" s="349" t="s">
        <v>229</v>
      </c>
      <c r="AG63" s="342"/>
      <c r="AH63" s="342"/>
      <c r="AI63" s="342"/>
      <c r="AJ63" s="342"/>
    </row>
    <row r="64" spans="1:36" x14ac:dyDescent="0.3">
      <c r="A64" s="344" t="s">
        <v>254</v>
      </c>
      <c r="B64" s="345">
        <v>45998</v>
      </c>
      <c r="C64" s="346" t="s">
        <v>430</v>
      </c>
      <c r="D64" s="347" t="s">
        <v>754</v>
      </c>
      <c r="E64" s="346" t="s">
        <v>403</v>
      </c>
      <c r="F64" s="346" t="s">
        <v>214</v>
      </c>
      <c r="G64" s="348">
        <v>0.85470000000000002</v>
      </c>
      <c r="H64" s="349">
        <v>179</v>
      </c>
      <c r="I64" s="349">
        <v>153</v>
      </c>
      <c r="J64" s="349">
        <v>130</v>
      </c>
      <c r="K64" s="346" t="s">
        <v>215</v>
      </c>
      <c r="L64" s="350" t="s">
        <v>433</v>
      </c>
      <c r="M64" s="349">
        <v>0</v>
      </c>
      <c r="N64" s="349">
        <v>0</v>
      </c>
      <c r="O64" s="349">
        <v>44</v>
      </c>
      <c r="P64" s="346" t="s">
        <v>352</v>
      </c>
      <c r="Q64" s="342"/>
      <c r="R64" s="342"/>
      <c r="S64" s="342"/>
      <c r="T64" s="342"/>
      <c r="U64" s="342"/>
      <c r="V64" s="342"/>
      <c r="W64" s="342"/>
      <c r="X64" s="342"/>
      <c r="Y64" s="342"/>
      <c r="Z64" s="349" t="s">
        <v>333</v>
      </c>
      <c r="AA64" s="342"/>
      <c r="AB64" s="342"/>
      <c r="AC64" s="342"/>
      <c r="AD64" s="349" t="s">
        <v>543</v>
      </c>
      <c r="AE64" s="349" t="s">
        <v>237</v>
      </c>
      <c r="AF64" s="349" t="s">
        <v>353</v>
      </c>
      <c r="AG64" s="342"/>
      <c r="AH64" s="342"/>
      <c r="AI64" s="349" t="s">
        <v>354</v>
      </c>
      <c r="AJ64" s="342"/>
    </row>
    <row r="65" spans="1:36" x14ac:dyDescent="0.3">
      <c r="A65" s="344" t="s">
        <v>254</v>
      </c>
      <c r="B65" s="345">
        <v>45998</v>
      </c>
      <c r="C65" s="346" t="s">
        <v>427</v>
      </c>
      <c r="D65" s="347" t="s">
        <v>756</v>
      </c>
      <c r="E65" s="346" t="s">
        <v>403</v>
      </c>
      <c r="F65" s="346" t="s">
        <v>214</v>
      </c>
      <c r="G65" s="348">
        <v>0.98880000000000001</v>
      </c>
      <c r="H65" s="349">
        <v>179</v>
      </c>
      <c r="I65" s="349">
        <v>177</v>
      </c>
      <c r="J65" s="349">
        <v>159</v>
      </c>
      <c r="K65" s="346" t="s">
        <v>215</v>
      </c>
      <c r="L65" s="350" t="s">
        <v>175</v>
      </c>
      <c r="M65" s="349">
        <v>4</v>
      </c>
      <c r="N65" s="349">
        <v>0</v>
      </c>
      <c r="O65" s="349">
        <v>4</v>
      </c>
      <c r="P65" s="346" t="s">
        <v>653</v>
      </c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42"/>
      <c r="AE65" s="349" t="s">
        <v>267</v>
      </c>
      <c r="AF65" s="349" t="s">
        <v>229</v>
      </c>
      <c r="AG65" s="342"/>
      <c r="AH65" s="342"/>
      <c r="AI65" s="349" t="s">
        <v>785</v>
      </c>
      <c r="AJ65" s="342"/>
    </row>
    <row r="66" spans="1:36" x14ac:dyDescent="0.3">
      <c r="A66" s="344" t="s">
        <v>391</v>
      </c>
      <c r="B66" s="345">
        <v>45999</v>
      </c>
      <c r="C66" s="346" t="s">
        <v>432</v>
      </c>
      <c r="D66" s="347" t="s">
        <v>760</v>
      </c>
      <c r="E66" s="346" t="s">
        <v>403</v>
      </c>
      <c r="F66" s="346" t="s">
        <v>214</v>
      </c>
      <c r="G66" s="348">
        <v>0.85470000000000002</v>
      </c>
      <c r="H66" s="349">
        <v>179</v>
      </c>
      <c r="I66" s="349">
        <v>153</v>
      </c>
      <c r="J66" s="349">
        <v>133</v>
      </c>
      <c r="K66" s="346" t="s">
        <v>215</v>
      </c>
      <c r="L66" s="350" t="s">
        <v>50</v>
      </c>
      <c r="M66" s="349">
        <v>0</v>
      </c>
      <c r="N66" s="349">
        <v>1</v>
      </c>
      <c r="O66" s="349">
        <v>13</v>
      </c>
      <c r="P66" s="346" t="s">
        <v>364</v>
      </c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9" t="s">
        <v>228</v>
      </c>
      <c r="AF66" s="349" t="s">
        <v>229</v>
      </c>
      <c r="AG66" s="342"/>
      <c r="AH66" s="342"/>
      <c r="AI66" s="349" t="s">
        <v>252</v>
      </c>
      <c r="AJ66" s="342"/>
    </row>
    <row r="67" spans="1:36" x14ac:dyDescent="0.3">
      <c r="A67" s="344" t="s">
        <v>391</v>
      </c>
      <c r="B67" s="345">
        <v>45999</v>
      </c>
      <c r="C67" s="346" t="s">
        <v>417</v>
      </c>
      <c r="D67" s="347" t="s">
        <v>761</v>
      </c>
      <c r="E67" s="346" t="s">
        <v>403</v>
      </c>
      <c r="F67" s="346" t="s">
        <v>214</v>
      </c>
      <c r="G67" s="348">
        <v>0.8659</v>
      </c>
      <c r="H67" s="349">
        <v>179</v>
      </c>
      <c r="I67" s="349">
        <v>155</v>
      </c>
      <c r="J67" s="349">
        <v>134</v>
      </c>
      <c r="K67" s="346" t="s">
        <v>215</v>
      </c>
      <c r="L67" s="350" t="s">
        <v>63</v>
      </c>
      <c r="M67" s="349">
        <v>0</v>
      </c>
      <c r="N67" s="349">
        <v>0</v>
      </c>
      <c r="O67" s="349">
        <v>10</v>
      </c>
      <c r="P67" s="346" t="s">
        <v>364</v>
      </c>
      <c r="Q67" s="342"/>
      <c r="R67" s="342"/>
      <c r="S67" s="342"/>
      <c r="T67" s="342"/>
      <c r="U67" s="342"/>
      <c r="V67" s="342"/>
      <c r="W67" s="342"/>
      <c r="X67" s="342"/>
      <c r="Y67" s="342"/>
      <c r="Z67" s="349" t="s">
        <v>244</v>
      </c>
      <c r="AA67" s="342"/>
      <c r="AB67" s="342"/>
      <c r="AC67" s="342"/>
      <c r="AD67" s="342"/>
      <c r="AE67" s="349" t="s">
        <v>228</v>
      </c>
      <c r="AF67" s="349" t="s">
        <v>229</v>
      </c>
      <c r="AG67" s="342"/>
      <c r="AH67" s="342"/>
      <c r="AI67" s="349" t="s">
        <v>355</v>
      </c>
      <c r="AJ67" s="342"/>
    </row>
    <row r="68" spans="1:36" x14ac:dyDescent="0.3">
      <c r="A68" s="344" t="s">
        <v>391</v>
      </c>
      <c r="B68" s="345">
        <v>45999</v>
      </c>
      <c r="C68" s="346" t="s">
        <v>427</v>
      </c>
      <c r="D68" s="347" t="s">
        <v>691</v>
      </c>
      <c r="E68" s="346" t="s">
        <v>403</v>
      </c>
      <c r="F68" s="346" t="s">
        <v>214</v>
      </c>
      <c r="G68" s="348">
        <v>0.78769999999999996</v>
      </c>
      <c r="H68" s="349">
        <v>179</v>
      </c>
      <c r="I68" s="349">
        <v>141</v>
      </c>
      <c r="J68" s="349">
        <v>120</v>
      </c>
      <c r="K68" s="346" t="s">
        <v>215</v>
      </c>
      <c r="L68" s="350" t="s">
        <v>433</v>
      </c>
      <c r="M68" s="349">
        <v>0</v>
      </c>
      <c r="N68" s="349">
        <v>0</v>
      </c>
      <c r="O68" s="349">
        <v>5</v>
      </c>
      <c r="P68" s="346" t="s">
        <v>364</v>
      </c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9" t="s">
        <v>277</v>
      </c>
      <c r="AE68" s="349" t="s">
        <v>228</v>
      </c>
      <c r="AF68" s="349" t="s">
        <v>229</v>
      </c>
      <c r="AG68" s="342"/>
      <c r="AH68" s="342"/>
      <c r="AI68" s="349" t="s">
        <v>786</v>
      </c>
      <c r="AJ68" s="342"/>
    </row>
    <row r="69" spans="1:36" x14ac:dyDescent="0.3">
      <c r="A69" s="344" t="s">
        <v>391</v>
      </c>
      <c r="B69" s="345">
        <v>45999</v>
      </c>
      <c r="C69" s="346" t="s">
        <v>430</v>
      </c>
      <c r="D69" s="347" t="s">
        <v>230</v>
      </c>
      <c r="E69" s="346" t="s">
        <v>403</v>
      </c>
      <c r="F69" s="346" t="s">
        <v>214</v>
      </c>
      <c r="G69" s="348">
        <v>0.87150000000000005</v>
      </c>
      <c r="H69" s="349">
        <v>179</v>
      </c>
      <c r="I69" s="349">
        <v>156</v>
      </c>
      <c r="J69" s="349">
        <v>136</v>
      </c>
      <c r="K69" s="346" t="s">
        <v>215</v>
      </c>
      <c r="L69" s="350" t="s">
        <v>50</v>
      </c>
      <c r="M69" s="349">
        <v>0</v>
      </c>
      <c r="N69" s="349">
        <v>5</v>
      </c>
      <c r="O69" s="349">
        <v>11</v>
      </c>
      <c r="P69" s="346" t="s">
        <v>364</v>
      </c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42"/>
      <c r="AE69" s="349" t="s">
        <v>228</v>
      </c>
      <c r="AF69" s="349" t="s">
        <v>229</v>
      </c>
      <c r="AG69" s="342"/>
      <c r="AH69" s="342"/>
      <c r="AI69" s="349" t="s">
        <v>787</v>
      </c>
      <c r="AJ69" s="342"/>
    </row>
    <row r="70" spans="1:36" x14ac:dyDescent="0.3">
      <c r="A70" s="344" t="s">
        <v>212</v>
      </c>
      <c r="B70" s="345">
        <v>46000</v>
      </c>
      <c r="C70" s="346" t="s">
        <v>420</v>
      </c>
      <c r="D70" s="347" t="s">
        <v>681</v>
      </c>
      <c r="E70" s="346" t="s">
        <v>403</v>
      </c>
      <c r="F70" s="346" t="s">
        <v>214</v>
      </c>
      <c r="G70" s="348">
        <v>9.5000000000000001E-2</v>
      </c>
      <c r="H70" s="349">
        <v>179</v>
      </c>
      <c r="I70" s="349">
        <v>17</v>
      </c>
      <c r="J70" s="349">
        <v>0</v>
      </c>
      <c r="K70" s="346" t="s">
        <v>215</v>
      </c>
      <c r="L70" s="350" t="s">
        <v>175</v>
      </c>
      <c r="M70" s="349">
        <v>2</v>
      </c>
      <c r="N70" s="349">
        <v>1</v>
      </c>
      <c r="O70" s="349">
        <v>6</v>
      </c>
      <c r="P70" s="346" t="s">
        <v>356</v>
      </c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9" t="s">
        <v>563</v>
      </c>
      <c r="AD70" s="342"/>
      <c r="AE70" s="342"/>
      <c r="AF70" s="349" t="s">
        <v>612</v>
      </c>
      <c r="AG70" s="342"/>
      <c r="AH70" s="342"/>
      <c r="AI70" s="342"/>
      <c r="AJ70" s="342"/>
    </row>
    <row r="71" spans="1:36" x14ac:dyDescent="0.3">
      <c r="A71" s="344" t="s">
        <v>212</v>
      </c>
      <c r="B71" s="345">
        <v>46000</v>
      </c>
      <c r="C71" s="346" t="s">
        <v>432</v>
      </c>
      <c r="D71" s="347" t="s">
        <v>686</v>
      </c>
      <c r="E71" s="346" t="s">
        <v>403</v>
      </c>
      <c r="F71" s="346" t="s">
        <v>214</v>
      </c>
      <c r="G71" s="348">
        <v>0.57540000000000002</v>
      </c>
      <c r="H71" s="349">
        <v>179</v>
      </c>
      <c r="I71" s="349">
        <v>103</v>
      </c>
      <c r="J71" s="349">
        <v>90</v>
      </c>
      <c r="K71" s="346" t="s">
        <v>215</v>
      </c>
      <c r="L71" s="350" t="s">
        <v>50</v>
      </c>
      <c r="M71" s="349">
        <v>0</v>
      </c>
      <c r="N71" s="349">
        <v>2</v>
      </c>
      <c r="O71" s="349">
        <v>3</v>
      </c>
      <c r="P71" s="346" t="s">
        <v>547</v>
      </c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9" t="s">
        <v>730</v>
      </c>
      <c r="AG71" s="342"/>
      <c r="AH71" s="342"/>
      <c r="AI71" s="349" t="s">
        <v>269</v>
      </c>
      <c r="AJ71" s="342"/>
    </row>
    <row r="72" spans="1:36" x14ac:dyDescent="0.3">
      <c r="A72" s="344" t="s">
        <v>212</v>
      </c>
      <c r="B72" s="345">
        <v>46000</v>
      </c>
      <c r="C72" s="346" t="s">
        <v>427</v>
      </c>
      <c r="D72" s="347" t="s">
        <v>691</v>
      </c>
      <c r="E72" s="346" t="s">
        <v>403</v>
      </c>
      <c r="F72" s="346" t="s">
        <v>214</v>
      </c>
      <c r="G72" s="348">
        <v>0.83799999999999997</v>
      </c>
      <c r="H72" s="349">
        <v>179</v>
      </c>
      <c r="I72" s="349">
        <v>150</v>
      </c>
      <c r="J72" s="349">
        <v>135</v>
      </c>
      <c r="K72" s="346" t="s">
        <v>215</v>
      </c>
      <c r="L72" s="350" t="s">
        <v>378</v>
      </c>
      <c r="M72" s="349">
        <v>0</v>
      </c>
      <c r="N72" s="349">
        <v>0</v>
      </c>
      <c r="O72" s="349">
        <v>6</v>
      </c>
      <c r="P72" s="346" t="s">
        <v>526</v>
      </c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9" t="s">
        <v>526</v>
      </c>
      <c r="AF72" s="349" t="s">
        <v>229</v>
      </c>
      <c r="AG72" s="349" t="s">
        <v>782</v>
      </c>
      <c r="AH72" s="342"/>
      <c r="AI72" s="349" t="s">
        <v>269</v>
      </c>
      <c r="AJ72" s="342"/>
    </row>
    <row r="73" spans="1:36" x14ac:dyDescent="0.3">
      <c r="A73" s="344" t="s">
        <v>212</v>
      </c>
      <c r="B73" s="345">
        <v>46000</v>
      </c>
      <c r="C73" s="346" t="s">
        <v>430</v>
      </c>
      <c r="D73" s="347" t="s">
        <v>694</v>
      </c>
      <c r="E73" s="346" t="s">
        <v>403</v>
      </c>
      <c r="F73" s="346" t="s">
        <v>214</v>
      </c>
      <c r="G73" s="348">
        <v>0.5363</v>
      </c>
      <c r="H73" s="349">
        <v>179</v>
      </c>
      <c r="I73" s="349">
        <v>96</v>
      </c>
      <c r="J73" s="349">
        <v>76</v>
      </c>
      <c r="K73" s="346" t="s">
        <v>215</v>
      </c>
      <c r="L73" s="350" t="s">
        <v>378</v>
      </c>
      <c r="M73" s="349">
        <v>0</v>
      </c>
      <c r="N73" s="349">
        <v>0</v>
      </c>
      <c r="O73" s="349">
        <v>7</v>
      </c>
      <c r="P73" s="346" t="s">
        <v>237</v>
      </c>
      <c r="Q73" s="342"/>
      <c r="R73" s="342"/>
      <c r="S73" s="342"/>
      <c r="T73" s="342"/>
      <c r="U73" s="342"/>
      <c r="V73" s="342"/>
      <c r="W73" s="342"/>
      <c r="X73" s="342"/>
      <c r="Y73" s="342"/>
      <c r="Z73" s="349" t="s">
        <v>333</v>
      </c>
      <c r="AA73" s="342"/>
      <c r="AB73" s="342"/>
      <c r="AC73" s="349" t="s">
        <v>279</v>
      </c>
      <c r="AD73" s="342"/>
      <c r="AE73" s="349" t="s">
        <v>346</v>
      </c>
      <c r="AF73" s="349" t="s">
        <v>229</v>
      </c>
      <c r="AG73" s="342"/>
      <c r="AH73" s="342"/>
      <c r="AI73" s="349" t="s">
        <v>788</v>
      </c>
      <c r="AJ73" s="342"/>
    </row>
    <row r="74" spans="1:36" x14ac:dyDescent="0.3">
      <c r="A74" s="344" t="s">
        <v>212</v>
      </c>
      <c r="B74" s="345">
        <v>46000</v>
      </c>
      <c r="C74" s="346" t="s">
        <v>423</v>
      </c>
      <c r="D74" s="347" t="s">
        <v>698</v>
      </c>
      <c r="E74" s="346" t="s">
        <v>403</v>
      </c>
      <c r="F74" s="346" t="s">
        <v>214</v>
      </c>
      <c r="G74" s="348">
        <v>0.88829999999999998</v>
      </c>
      <c r="H74" s="349">
        <v>179</v>
      </c>
      <c r="I74" s="349">
        <v>159</v>
      </c>
      <c r="J74" s="349">
        <v>138</v>
      </c>
      <c r="K74" s="346" t="s">
        <v>215</v>
      </c>
      <c r="L74" s="350" t="s">
        <v>50</v>
      </c>
      <c r="M74" s="349">
        <v>0</v>
      </c>
      <c r="N74" s="349">
        <v>2</v>
      </c>
      <c r="O74" s="349">
        <v>12</v>
      </c>
      <c r="P74" s="346" t="s">
        <v>286</v>
      </c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9" t="s">
        <v>586</v>
      </c>
      <c r="AF74" s="349" t="s">
        <v>390</v>
      </c>
      <c r="AG74" s="342"/>
      <c r="AH74" s="342"/>
      <c r="AI74" s="349" t="s">
        <v>789</v>
      </c>
      <c r="AJ74" s="342"/>
    </row>
    <row r="75" spans="1:36" x14ac:dyDescent="0.3">
      <c r="A75" s="344" t="s">
        <v>212</v>
      </c>
      <c r="B75" s="345">
        <v>46000</v>
      </c>
      <c r="C75" s="346" t="s">
        <v>417</v>
      </c>
      <c r="D75" s="347" t="s">
        <v>699</v>
      </c>
      <c r="E75" s="346" t="s">
        <v>403</v>
      </c>
      <c r="F75" s="346" t="s">
        <v>214</v>
      </c>
      <c r="G75" s="348">
        <v>0.1173</v>
      </c>
      <c r="H75" s="349">
        <v>179</v>
      </c>
      <c r="I75" s="349">
        <v>21</v>
      </c>
      <c r="J75" s="349">
        <v>0</v>
      </c>
      <c r="K75" s="346" t="s">
        <v>215</v>
      </c>
      <c r="L75" s="350" t="s">
        <v>311</v>
      </c>
      <c r="M75" s="349">
        <v>0</v>
      </c>
      <c r="N75" s="349">
        <v>0</v>
      </c>
      <c r="O75" s="349">
        <v>11</v>
      </c>
      <c r="P75" s="346" t="s">
        <v>237</v>
      </c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9" t="s">
        <v>643</v>
      </c>
      <c r="AE75" s="349" t="s">
        <v>237</v>
      </c>
      <c r="AF75" s="349" t="s">
        <v>229</v>
      </c>
      <c r="AG75" s="342"/>
      <c r="AH75" s="342"/>
      <c r="AI75" s="342"/>
      <c r="AJ75" s="342"/>
    </row>
    <row r="76" spans="1:36" x14ac:dyDescent="0.3">
      <c r="A76" s="344" t="s">
        <v>331</v>
      </c>
      <c r="B76" s="345">
        <v>46001</v>
      </c>
      <c r="C76" s="346" t="s">
        <v>417</v>
      </c>
      <c r="D76" s="347" t="s">
        <v>702</v>
      </c>
      <c r="E76" s="346" t="s">
        <v>403</v>
      </c>
      <c r="F76" s="346" t="s">
        <v>214</v>
      </c>
      <c r="G76" s="348">
        <v>0.91059999999999997</v>
      </c>
      <c r="H76" s="349">
        <v>179</v>
      </c>
      <c r="I76" s="349">
        <v>163</v>
      </c>
      <c r="J76" s="349">
        <v>137</v>
      </c>
      <c r="K76" s="346" t="s">
        <v>215</v>
      </c>
      <c r="L76" s="350" t="s">
        <v>175</v>
      </c>
      <c r="M76" s="349">
        <v>1</v>
      </c>
      <c r="N76" s="349">
        <v>1</v>
      </c>
      <c r="O76" s="349">
        <v>12</v>
      </c>
      <c r="P76" s="346" t="s">
        <v>266</v>
      </c>
      <c r="Q76" s="342"/>
      <c r="R76" s="342"/>
      <c r="S76" s="342"/>
      <c r="T76" s="342"/>
      <c r="U76" s="342"/>
      <c r="V76" s="342"/>
      <c r="W76" s="342"/>
      <c r="X76" s="342"/>
      <c r="Y76" s="342"/>
      <c r="Z76" s="349" t="s">
        <v>345</v>
      </c>
      <c r="AA76" s="342"/>
      <c r="AB76" s="342"/>
      <c r="AC76" s="342"/>
      <c r="AD76" s="349" t="s">
        <v>543</v>
      </c>
      <c r="AE76" s="349" t="s">
        <v>228</v>
      </c>
      <c r="AF76" s="349" t="s">
        <v>229</v>
      </c>
      <c r="AG76" s="342"/>
      <c r="AH76" s="342"/>
      <c r="AI76" s="349" t="s">
        <v>280</v>
      </c>
      <c r="AJ76" s="342"/>
    </row>
    <row r="77" spans="1:36" x14ac:dyDescent="0.3">
      <c r="A77" s="344" t="s">
        <v>331</v>
      </c>
      <c r="B77" s="345">
        <v>46001</v>
      </c>
      <c r="C77" s="346" t="s">
        <v>430</v>
      </c>
      <c r="D77" s="347" t="s">
        <v>704</v>
      </c>
      <c r="E77" s="346" t="s">
        <v>403</v>
      </c>
      <c r="F77" s="346" t="s">
        <v>214</v>
      </c>
      <c r="G77" s="348">
        <v>0.17319999999999999</v>
      </c>
      <c r="H77" s="349">
        <v>179</v>
      </c>
      <c r="I77" s="349">
        <v>31</v>
      </c>
      <c r="J77" s="349">
        <v>3</v>
      </c>
      <c r="K77" s="346" t="s">
        <v>215</v>
      </c>
      <c r="L77" s="350" t="s">
        <v>50</v>
      </c>
      <c r="M77" s="349">
        <v>0</v>
      </c>
      <c r="N77" s="349">
        <v>6</v>
      </c>
      <c r="O77" s="349">
        <v>12</v>
      </c>
      <c r="P77" s="346" t="s">
        <v>263</v>
      </c>
      <c r="Q77" s="342"/>
      <c r="R77" s="342"/>
      <c r="S77" s="342"/>
      <c r="T77" s="342"/>
      <c r="U77" s="342"/>
      <c r="V77" s="342"/>
      <c r="W77" s="342"/>
      <c r="X77" s="342"/>
      <c r="Y77" s="342"/>
      <c r="Z77" s="349" t="s">
        <v>333</v>
      </c>
      <c r="AA77" s="342"/>
      <c r="AB77" s="342"/>
      <c r="AC77" s="342"/>
      <c r="AD77" s="342"/>
      <c r="AE77" s="349" t="s">
        <v>776</v>
      </c>
      <c r="AF77" s="349" t="s">
        <v>229</v>
      </c>
      <c r="AG77" s="342"/>
      <c r="AH77" s="342"/>
      <c r="AI77" s="349" t="s">
        <v>790</v>
      </c>
      <c r="AJ77" s="342"/>
    </row>
    <row r="78" spans="1:36" x14ac:dyDescent="0.3">
      <c r="A78" s="344" t="s">
        <v>331</v>
      </c>
      <c r="B78" s="345">
        <v>46001</v>
      </c>
      <c r="C78" s="346" t="s">
        <v>427</v>
      </c>
      <c r="D78" s="347" t="s">
        <v>691</v>
      </c>
      <c r="E78" s="346" t="s">
        <v>403</v>
      </c>
      <c r="F78" s="346" t="s">
        <v>214</v>
      </c>
      <c r="G78" s="348">
        <v>0.17319999999999999</v>
      </c>
      <c r="H78" s="349">
        <v>179</v>
      </c>
      <c r="I78" s="349">
        <v>31</v>
      </c>
      <c r="J78" s="349">
        <v>0</v>
      </c>
      <c r="K78" s="346" t="s">
        <v>215</v>
      </c>
      <c r="L78" s="350" t="s">
        <v>175</v>
      </c>
      <c r="M78" s="349">
        <v>2</v>
      </c>
      <c r="N78" s="349">
        <v>2</v>
      </c>
      <c r="O78" s="349">
        <v>10</v>
      </c>
      <c r="P78" s="346" t="s">
        <v>526</v>
      </c>
      <c r="Q78" s="342"/>
      <c r="R78" s="342"/>
      <c r="S78" s="342"/>
      <c r="T78" s="342"/>
      <c r="U78" s="342"/>
      <c r="V78" s="342"/>
      <c r="W78" s="342"/>
      <c r="X78" s="342"/>
      <c r="Y78" s="342"/>
      <c r="Z78" s="349" t="s">
        <v>345</v>
      </c>
      <c r="AA78" s="342"/>
      <c r="AB78" s="342"/>
      <c r="AC78" s="342"/>
      <c r="AD78" s="349" t="s">
        <v>543</v>
      </c>
      <c r="AE78" s="349" t="s">
        <v>688</v>
      </c>
      <c r="AF78" s="349" t="s">
        <v>229</v>
      </c>
      <c r="AG78" s="342"/>
      <c r="AH78" s="342"/>
      <c r="AI78" s="342"/>
      <c r="AJ78" s="342"/>
    </row>
    <row r="79" spans="1:36" ht="21" x14ac:dyDescent="0.3">
      <c r="A79" s="351" t="s">
        <v>1574</v>
      </c>
      <c r="B79" s="352"/>
      <c r="C79" s="351">
        <f>SUBTOTAL(103,JED_CAI_LF_LEGACY[Flt])</f>
        <v>77</v>
      </c>
      <c r="D79" s="351"/>
      <c r="E79" s="351">
        <f>SUBTOTAL(103,JED_CAI_LF_LEGACY[Brd-Off])</f>
        <v>77</v>
      </c>
      <c r="F79" s="351"/>
      <c r="G79" s="353">
        <f>SUBTOTAL(101,JED_CAI_LF_LEGACY[LF%])</f>
        <v>0.59760779220779214</v>
      </c>
      <c r="H79" s="354">
        <f>SUBTOTAL(109,JED_CAI_LF_LEGACY[CAP])</f>
        <v>13767</v>
      </c>
      <c r="I79" s="354">
        <f>SUBTOTAL(109,JED_CAI_LF_LEGACY[BKG(Y)])</f>
        <v>8232</v>
      </c>
      <c r="J79" s="354">
        <f>SUBTOTAL(109,JED_CAI_LF_LEGACY[GRP(Y)])</f>
        <v>5591</v>
      </c>
      <c r="K79" s="351"/>
      <c r="L79" s="352"/>
      <c r="M79" s="354">
        <f>SUBTOTAL(109,JED_CAI_LF_LEGACY[TO-DAY])</f>
        <v>134</v>
      </c>
      <c r="N79" s="354">
        <f>SUBTOTAL(109,JED_CAI_LF_LEGACY[Y-DAY])</f>
        <v>249</v>
      </c>
      <c r="O79" s="354">
        <f>SUBTOTAL(109,JED_CAI_LF_LEGACY[WEEKLY])</f>
        <v>1738</v>
      </c>
      <c r="P79" s="355"/>
      <c r="Q79" s="354">
        <f>SUBTOTAL(109,JED_CAI_LF_LEGACY[Y])</f>
        <v>0</v>
      </c>
      <c r="R79" s="354">
        <f>SUBTOTAL(109,JED_CAI_LF_LEGACY[B])</f>
        <v>0</v>
      </c>
      <c r="S79" s="354">
        <f>SUBTOTAL(109,JED_CAI_LF_LEGACY[M])</f>
        <v>0</v>
      </c>
      <c r="T79" s="354">
        <f>SUBTOTAL(109,JED_CAI_LF_LEGACY[H])</f>
        <v>0</v>
      </c>
      <c r="U79" s="354">
        <f>SUBTOTAL(109,JED_CAI_LF_LEGACY[Q])</f>
        <v>0</v>
      </c>
      <c r="V79" s="354">
        <f>SUBTOTAL(109,JED_CAI_LF_LEGACY[K])</f>
        <v>0</v>
      </c>
      <c r="W79" s="354">
        <f>SUBTOTAL(109,JED_CAI_LF_LEGACY[V])</f>
        <v>0</v>
      </c>
      <c r="X79" s="354">
        <f>SUBTOTAL(109,JED_CAI_LF_LEGACY[L])</f>
        <v>0</v>
      </c>
      <c r="Y79" s="354">
        <f>SUBTOTAL(109,JED_CAI_LF_LEGACY[G])</f>
        <v>0</v>
      </c>
      <c r="Z79" s="354">
        <f>SUBTOTAL(109,JED_CAI_LF_LEGACY[S])</f>
        <v>0</v>
      </c>
      <c r="AA79" s="354">
        <f>SUBTOTAL(109,JED_CAI_LF_LEGACY[W])</f>
        <v>0</v>
      </c>
      <c r="AB79" s="354">
        <f>SUBTOTAL(109,JED_CAI_LF_LEGACY[T])</f>
        <v>0</v>
      </c>
      <c r="AC79" s="354">
        <f>SUBTOTAL(109,JED_CAI_LF_LEGACY[X])</f>
        <v>0</v>
      </c>
      <c r="AD79" s="354">
        <f>SUBTOTAL(109,JED_CAI_LF_LEGACY[U])</f>
        <v>0</v>
      </c>
      <c r="AE79" s="354">
        <f>SUBTOTAL(109,JED_CAI_LF_LEGACY[O])</f>
        <v>0</v>
      </c>
      <c r="AF79" s="354">
        <f>SUBTOTAL(109,JED_CAI_LF_LEGACY[I])</f>
        <v>0</v>
      </c>
      <c r="AG79" s="354">
        <f>SUBTOTAL(109,JED_CAI_LF_LEGACY[E])</f>
        <v>0</v>
      </c>
      <c r="AH79" s="354">
        <f>SUBTOTAL(109,JED_CAI_LF_LEGACY[A])</f>
        <v>0</v>
      </c>
      <c r="AI79" s="354">
        <f>SUBTOTAL(109,JED_CAI_LF_LEGACY[P])</f>
        <v>0</v>
      </c>
      <c r="AJ79" s="354">
        <f>SUBTOTAL(103,JED_CAI_LF_LEGACY[N])</f>
        <v>10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2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3.66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404</v>
      </c>
      <c r="C2" s="95" t="s">
        <v>405</v>
      </c>
      <c r="D2" s="94" t="s">
        <v>403</v>
      </c>
      <c r="E2" s="94" t="s">
        <v>791</v>
      </c>
      <c r="F2" s="94" t="s">
        <v>406</v>
      </c>
      <c r="G2" s="96">
        <v>5</v>
      </c>
      <c r="H2" s="97">
        <v>400</v>
      </c>
      <c r="I2" s="88"/>
    </row>
    <row r="3" spans="1:9" ht="19.8" customHeight="1" x14ac:dyDescent="0.3">
      <c r="A3" s="93" t="s">
        <v>292</v>
      </c>
      <c r="B3" s="94" t="s">
        <v>410</v>
      </c>
      <c r="C3" s="95" t="s">
        <v>411</v>
      </c>
      <c r="D3" s="94" t="s">
        <v>403</v>
      </c>
      <c r="E3" s="94" t="s">
        <v>718</v>
      </c>
      <c r="F3" s="94" t="s">
        <v>406</v>
      </c>
      <c r="G3" s="96">
        <v>8</v>
      </c>
      <c r="H3" s="97">
        <v>401</v>
      </c>
      <c r="I3" s="88"/>
    </row>
    <row r="4" spans="1:9" ht="19.8" customHeight="1" x14ac:dyDescent="0.3">
      <c r="A4" s="93" t="s">
        <v>292</v>
      </c>
      <c r="B4" s="94" t="s">
        <v>410</v>
      </c>
      <c r="C4" s="95" t="s">
        <v>412</v>
      </c>
      <c r="D4" s="94" t="s">
        <v>403</v>
      </c>
      <c r="E4" s="94" t="s">
        <v>792</v>
      </c>
      <c r="F4" s="94" t="s">
        <v>406</v>
      </c>
      <c r="G4" s="96">
        <v>9</v>
      </c>
      <c r="H4" s="97">
        <v>401</v>
      </c>
      <c r="I4" s="88"/>
    </row>
    <row r="5" spans="1:9" ht="19.8" customHeight="1" x14ac:dyDescent="0.3">
      <c r="A5" s="98" t="s">
        <v>292</v>
      </c>
      <c r="B5" s="99" t="s">
        <v>44</v>
      </c>
      <c r="C5" s="100" t="s">
        <v>415</v>
      </c>
      <c r="D5" s="99" t="s">
        <v>403</v>
      </c>
      <c r="E5" s="99" t="s">
        <v>699</v>
      </c>
      <c r="F5" s="99" t="s">
        <v>46</v>
      </c>
      <c r="G5" s="101">
        <v>9</v>
      </c>
      <c r="H5" s="102">
        <v>436</v>
      </c>
      <c r="I5" s="88"/>
    </row>
    <row r="6" spans="1:9" ht="19.8" customHeight="1" x14ac:dyDescent="0.3">
      <c r="A6" s="105">
        <v>45986</v>
      </c>
      <c r="B6" s="99" t="s">
        <v>44</v>
      </c>
      <c r="C6" s="100" t="s">
        <v>419</v>
      </c>
      <c r="D6" s="99" t="s">
        <v>403</v>
      </c>
      <c r="E6" s="106">
        <v>1.229166666666667</v>
      </c>
      <c r="F6" s="99" t="s">
        <v>46</v>
      </c>
      <c r="G6" s="101">
        <v>9</v>
      </c>
      <c r="H6" s="102">
        <v>436</v>
      </c>
      <c r="I6" s="88"/>
    </row>
    <row r="7" spans="1:9" ht="19.8" customHeight="1" x14ac:dyDescent="0.3">
      <c r="A7" s="105">
        <v>45986</v>
      </c>
      <c r="B7" s="99" t="s">
        <v>44</v>
      </c>
      <c r="C7" s="100" t="s">
        <v>422</v>
      </c>
      <c r="D7" s="99" t="s">
        <v>403</v>
      </c>
      <c r="E7" s="106">
        <v>1.9340277777777779</v>
      </c>
      <c r="F7" s="99" t="s">
        <v>46</v>
      </c>
      <c r="G7" s="101">
        <v>9</v>
      </c>
      <c r="H7" s="102">
        <v>436</v>
      </c>
      <c r="I7" s="88"/>
    </row>
    <row r="8" spans="1:9" ht="19.8" customHeight="1" x14ac:dyDescent="0.3">
      <c r="A8" s="103">
        <v>45986</v>
      </c>
      <c r="B8" s="94" t="s">
        <v>36</v>
      </c>
      <c r="C8" s="95" t="s">
        <v>435</v>
      </c>
      <c r="D8" s="94" t="s">
        <v>403</v>
      </c>
      <c r="E8" s="104">
        <v>1.9027777777777779</v>
      </c>
      <c r="F8" s="94" t="s">
        <v>38</v>
      </c>
      <c r="G8" s="96">
        <v>2</v>
      </c>
      <c r="H8" s="97">
        <v>449</v>
      </c>
      <c r="I8" s="88"/>
    </row>
    <row r="9" spans="1:9" ht="19.8" customHeight="1" x14ac:dyDescent="0.3">
      <c r="A9" s="103">
        <v>45986</v>
      </c>
      <c r="B9" s="94" t="s">
        <v>26</v>
      </c>
      <c r="C9" s="95" t="s">
        <v>451</v>
      </c>
      <c r="D9" s="94" t="s">
        <v>403</v>
      </c>
      <c r="E9" s="104">
        <v>1.1284722222222221</v>
      </c>
      <c r="F9" s="94" t="s">
        <v>28</v>
      </c>
      <c r="G9" s="96">
        <v>5</v>
      </c>
      <c r="H9" s="97">
        <v>459</v>
      </c>
      <c r="I9" s="88"/>
    </row>
    <row r="10" spans="1:9" ht="19.8" customHeight="1" x14ac:dyDescent="0.3">
      <c r="A10" s="103">
        <v>45986</v>
      </c>
      <c r="B10" s="94" t="s">
        <v>26</v>
      </c>
      <c r="C10" s="95" t="s">
        <v>453</v>
      </c>
      <c r="D10" s="94" t="s">
        <v>403</v>
      </c>
      <c r="E10" s="104">
        <v>1.302083333333333</v>
      </c>
      <c r="F10" s="94" t="s">
        <v>28</v>
      </c>
      <c r="G10" s="96">
        <v>5</v>
      </c>
      <c r="H10" s="97">
        <v>459</v>
      </c>
      <c r="I10" s="88"/>
    </row>
    <row r="11" spans="1:9" ht="19.8" customHeight="1" x14ac:dyDescent="0.3">
      <c r="A11" s="103">
        <v>45986</v>
      </c>
      <c r="B11" s="94" t="s">
        <v>26</v>
      </c>
      <c r="C11" s="95" t="s">
        <v>454</v>
      </c>
      <c r="D11" s="94" t="s">
        <v>403</v>
      </c>
      <c r="E11" s="104">
        <v>1.8888888888888891</v>
      </c>
      <c r="F11" s="94" t="s">
        <v>28</v>
      </c>
      <c r="G11" s="96">
        <v>6</v>
      </c>
      <c r="H11" s="97">
        <v>459</v>
      </c>
      <c r="I11" s="88"/>
    </row>
    <row r="12" spans="1:9" ht="19.8" customHeight="1" x14ac:dyDescent="0.3">
      <c r="A12" s="103">
        <v>45986</v>
      </c>
      <c r="B12" s="94" t="s">
        <v>26</v>
      </c>
      <c r="C12" s="95" t="s">
        <v>455</v>
      </c>
      <c r="D12" s="94" t="s">
        <v>403</v>
      </c>
      <c r="E12" s="104">
        <v>1.788194444444444</v>
      </c>
      <c r="F12" s="94" t="s">
        <v>28</v>
      </c>
      <c r="G12" s="96">
        <v>1</v>
      </c>
      <c r="H12" s="97">
        <v>459</v>
      </c>
      <c r="I12" s="88"/>
    </row>
    <row r="13" spans="1:9" ht="19.8" customHeight="1" x14ac:dyDescent="0.3">
      <c r="A13" s="105">
        <v>45986</v>
      </c>
      <c r="B13" s="99" t="s">
        <v>44</v>
      </c>
      <c r="C13" s="100" t="s">
        <v>425</v>
      </c>
      <c r="D13" s="99" t="s">
        <v>403</v>
      </c>
      <c r="E13" s="106">
        <v>1.614583333333333</v>
      </c>
      <c r="F13" s="99" t="s">
        <v>46</v>
      </c>
      <c r="G13" s="101">
        <v>9</v>
      </c>
      <c r="H13" s="102">
        <v>471</v>
      </c>
      <c r="I13" s="88"/>
    </row>
    <row r="14" spans="1:9" ht="19.8" customHeight="1" x14ac:dyDescent="0.3">
      <c r="A14" s="105">
        <v>45986</v>
      </c>
      <c r="B14" s="99" t="s">
        <v>44</v>
      </c>
      <c r="C14" s="100" t="s">
        <v>429</v>
      </c>
      <c r="D14" s="99" t="s">
        <v>403</v>
      </c>
      <c r="E14" s="106">
        <v>1.729166666666667</v>
      </c>
      <c r="F14" s="99" t="s">
        <v>46</v>
      </c>
      <c r="G14" s="101">
        <v>1</v>
      </c>
      <c r="H14" s="102">
        <v>471</v>
      </c>
      <c r="I14" s="88"/>
    </row>
    <row r="15" spans="1:9" ht="19.8" customHeight="1" x14ac:dyDescent="0.3">
      <c r="A15" s="103">
        <v>45986</v>
      </c>
      <c r="B15" s="94" t="s">
        <v>36</v>
      </c>
      <c r="C15" s="95" t="s">
        <v>438</v>
      </c>
      <c r="D15" s="94" t="s">
        <v>403</v>
      </c>
      <c r="E15" s="104">
        <v>1.854166666666667</v>
      </c>
      <c r="F15" s="94" t="s">
        <v>38</v>
      </c>
      <c r="G15" s="96">
        <v>9</v>
      </c>
      <c r="H15" s="97">
        <v>489</v>
      </c>
      <c r="I15" s="88"/>
    </row>
    <row r="16" spans="1:9" ht="19.8" customHeight="1" x14ac:dyDescent="0.3">
      <c r="A16" s="103">
        <v>45986</v>
      </c>
      <c r="B16" s="94" t="s">
        <v>36</v>
      </c>
      <c r="C16" s="95" t="s">
        <v>442</v>
      </c>
      <c r="D16" s="94" t="s">
        <v>403</v>
      </c>
      <c r="E16" s="104">
        <v>1.256944444444444</v>
      </c>
      <c r="F16" s="94" t="s">
        <v>38</v>
      </c>
      <c r="G16" s="96">
        <v>8</v>
      </c>
      <c r="H16" s="97">
        <v>489</v>
      </c>
      <c r="I16" s="88"/>
    </row>
    <row r="17" spans="1:9" ht="19.8" customHeight="1" x14ac:dyDescent="0.3">
      <c r="A17" s="103">
        <v>45986</v>
      </c>
      <c r="B17" s="94" t="s">
        <v>36</v>
      </c>
      <c r="C17" s="95" t="s">
        <v>443</v>
      </c>
      <c r="D17" s="94" t="s">
        <v>403</v>
      </c>
      <c r="E17" s="104">
        <v>1.302083333333333</v>
      </c>
      <c r="F17" s="94" t="s">
        <v>38</v>
      </c>
      <c r="G17" s="96">
        <v>9</v>
      </c>
      <c r="H17" s="97">
        <v>489</v>
      </c>
      <c r="I17" s="88"/>
    </row>
    <row r="18" spans="1:9" ht="19.8" customHeight="1" x14ac:dyDescent="0.3">
      <c r="A18" s="103">
        <v>45986</v>
      </c>
      <c r="B18" s="94" t="s">
        <v>36</v>
      </c>
      <c r="C18" s="95" t="s">
        <v>444</v>
      </c>
      <c r="D18" s="94" t="s">
        <v>403</v>
      </c>
      <c r="E18" s="104">
        <v>1.5173611111111109</v>
      </c>
      <c r="F18" s="94" t="s">
        <v>38</v>
      </c>
      <c r="G18" s="96">
        <v>9</v>
      </c>
      <c r="H18" s="97">
        <v>489</v>
      </c>
      <c r="I18" s="88"/>
    </row>
    <row r="19" spans="1:9" ht="19.8" customHeight="1" x14ac:dyDescent="0.3">
      <c r="A19" s="103">
        <v>45986</v>
      </c>
      <c r="B19" s="94" t="s">
        <v>36</v>
      </c>
      <c r="C19" s="95" t="s">
        <v>445</v>
      </c>
      <c r="D19" s="94" t="s">
        <v>403</v>
      </c>
      <c r="E19" s="104">
        <v>1.7986111111111109</v>
      </c>
      <c r="F19" s="94" t="s">
        <v>38</v>
      </c>
      <c r="G19" s="96">
        <v>9</v>
      </c>
      <c r="H19" s="97">
        <v>489</v>
      </c>
      <c r="I19" s="88"/>
    </row>
    <row r="20" spans="1:9" ht="19.8" customHeight="1" x14ac:dyDescent="0.3">
      <c r="A20" s="103">
        <v>45986</v>
      </c>
      <c r="B20" s="94" t="s">
        <v>36</v>
      </c>
      <c r="C20" s="95" t="s">
        <v>446</v>
      </c>
      <c r="D20" s="94" t="s">
        <v>403</v>
      </c>
      <c r="E20" s="104">
        <v>1.645833333333333</v>
      </c>
      <c r="F20" s="94" t="s">
        <v>38</v>
      </c>
      <c r="G20" s="96">
        <v>9</v>
      </c>
      <c r="H20" s="97">
        <v>489</v>
      </c>
      <c r="I20" s="88"/>
    </row>
    <row r="21" spans="1:9" ht="19.8" customHeight="1" x14ac:dyDescent="0.3">
      <c r="A21" s="103">
        <v>45986</v>
      </c>
      <c r="B21" s="94" t="s">
        <v>36</v>
      </c>
      <c r="C21" s="95" t="s">
        <v>447</v>
      </c>
      <c r="D21" s="94" t="s">
        <v>403</v>
      </c>
      <c r="E21" s="104">
        <v>1.395833333333333</v>
      </c>
      <c r="F21" s="94" t="s">
        <v>38</v>
      </c>
      <c r="G21" s="96">
        <v>2</v>
      </c>
      <c r="H21" s="97">
        <v>529</v>
      </c>
      <c r="I21" s="88"/>
    </row>
    <row r="22" spans="1:9" ht="19.8" customHeight="1" x14ac:dyDescent="0.3">
      <c r="A22" s="103">
        <v>45986</v>
      </c>
      <c r="B22" s="94" t="s">
        <v>456</v>
      </c>
      <c r="C22" s="95" t="s">
        <v>457</v>
      </c>
      <c r="D22" s="94" t="s">
        <v>403</v>
      </c>
      <c r="E22" s="104">
        <v>1.2222222222222221</v>
      </c>
      <c r="F22" s="94" t="s">
        <v>458</v>
      </c>
      <c r="G22" s="96">
        <v>9</v>
      </c>
      <c r="H22" s="97">
        <v>544</v>
      </c>
      <c r="I22" s="88"/>
    </row>
    <row r="23" spans="1:9" ht="19.8" customHeight="1" x14ac:dyDescent="0.3">
      <c r="A23" s="103">
        <v>45986</v>
      </c>
      <c r="B23" s="94" t="s">
        <v>36</v>
      </c>
      <c r="C23" s="95" t="s">
        <v>435</v>
      </c>
      <c r="D23" s="94" t="s">
        <v>403</v>
      </c>
      <c r="E23" s="104">
        <v>1.9027777777777779</v>
      </c>
      <c r="F23" s="94" t="s">
        <v>40</v>
      </c>
      <c r="G23" s="96">
        <v>2</v>
      </c>
      <c r="H23" s="97">
        <v>549</v>
      </c>
      <c r="I23" s="88"/>
    </row>
    <row r="24" spans="1:9" ht="19.8" customHeight="1" x14ac:dyDescent="0.3">
      <c r="A24" s="103">
        <v>45986</v>
      </c>
      <c r="B24" s="94" t="s">
        <v>36</v>
      </c>
      <c r="C24" s="95" t="s">
        <v>438</v>
      </c>
      <c r="D24" s="94" t="s">
        <v>403</v>
      </c>
      <c r="E24" s="104">
        <v>1.854166666666667</v>
      </c>
      <c r="F24" s="94" t="s">
        <v>40</v>
      </c>
      <c r="G24" s="96">
        <v>9</v>
      </c>
      <c r="H24" s="97">
        <v>589</v>
      </c>
      <c r="I24" s="88"/>
    </row>
    <row r="25" spans="1:9" ht="19.8" customHeight="1" x14ac:dyDescent="0.3">
      <c r="A25" s="103">
        <v>45986</v>
      </c>
      <c r="B25" s="94" t="s">
        <v>36</v>
      </c>
      <c r="C25" s="95" t="s">
        <v>442</v>
      </c>
      <c r="D25" s="94" t="s">
        <v>403</v>
      </c>
      <c r="E25" s="104">
        <v>1.256944444444444</v>
      </c>
      <c r="F25" s="94" t="s">
        <v>40</v>
      </c>
      <c r="G25" s="96">
        <v>8</v>
      </c>
      <c r="H25" s="97">
        <v>589</v>
      </c>
      <c r="I25" s="88"/>
    </row>
    <row r="26" spans="1:9" ht="19.8" customHeight="1" x14ac:dyDescent="0.3">
      <c r="A26" s="103">
        <v>45986</v>
      </c>
      <c r="B26" s="94" t="s">
        <v>36</v>
      </c>
      <c r="C26" s="95" t="s">
        <v>443</v>
      </c>
      <c r="D26" s="94" t="s">
        <v>403</v>
      </c>
      <c r="E26" s="104">
        <v>1.302083333333333</v>
      </c>
      <c r="F26" s="94" t="s">
        <v>40</v>
      </c>
      <c r="G26" s="96">
        <v>9</v>
      </c>
      <c r="H26" s="97">
        <v>589</v>
      </c>
      <c r="I26" s="88"/>
    </row>
    <row r="27" spans="1:9" ht="19.8" customHeight="1" x14ac:dyDescent="0.3">
      <c r="A27" s="103">
        <v>45986</v>
      </c>
      <c r="B27" s="94" t="s">
        <v>36</v>
      </c>
      <c r="C27" s="95" t="s">
        <v>444</v>
      </c>
      <c r="D27" s="94" t="s">
        <v>403</v>
      </c>
      <c r="E27" s="104">
        <v>1.5173611111111109</v>
      </c>
      <c r="F27" s="94" t="s">
        <v>40</v>
      </c>
      <c r="G27" s="96">
        <v>9</v>
      </c>
      <c r="H27" s="97">
        <v>589</v>
      </c>
      <c r="I27" s="88"/>
    </row>
    <row r="28" spans="1:9" ht="19.8" customHeight="1" x14ac:dyDescent="0.3">
      <c r="A28" s="103">
        <v>45986</v>
      </c>
      <c r="B28" s="94" t="s">
        <v>36</v>
      </c>
      <c r="C28" s="95" t="s">
        <v>445</v>
      </c>
      <c r="D28" s="94" t="s">
        <v>403</v>
      </c>
      <c r="E28" s="104">
        <v>1.7986111111111109</v>
      </c>
      <c r="F28" s="94" t="s">
        <v>40</v>
      </c>
      <c r="G28" s="96">
        <v>9</v>
      </c>
      <c r="H28" s="97">
        <v>589</v>
      </c>
      <c r="I28" s="88"/>
    </row>
    <row r="29" spans="1:9" ht="19.8" customHeight="1" x14ac:dyDescent="0.3">
      <c r="A29" s="103">
        <v>45986</v>
      </c>
      <c r="B29" s="94" t="s">
        <v>36</v>
      </c>
      <c r="C29" s="95" t="s">
        <v>446</v>
      </c>
      <c r="D29" s="94" t="s">
        <v>403</v>
      </c>
      <c r="E29" s="104">
        <v>1.645833333333333</v>
      </c>
      <c r="F29" s="94" t="s">
        <v>40</v>
      </c>
      <c r="G29" s="96">
        <v>9</v>
      </c>
      <c r="H29" s="97">
        <v>589</v>
      </c>
      <c r="I29" s="88"/>
    </row>
    <row r="30" spans="1:9" ht="19.8" customHeight="1" x14ac:dyDescent="0.3">
      <c r="A30" s="103">
        <v>45986</v>
      </c>
      <c r="B30" s="94" t="s">
        <v>404</v>
      </c>
      <c r="C30" s="95" t="s">
        <v>408</v>
      </c>
      <c r="D30" s="94" t="s">
        <v>403</v>
      </c>
      <c r="E30" s="104">
        <v>1.739583333333333</v>
      </c>
      <c r="F30" s="94" t="s">
        <v>406</v>
      </c>
      <c r="G30" s="96">
        <v>9</v>
      </c>
      <c r="H30" s="97">
        <v>595</v>
      </c>
      <c r="I30" s="88"/>
    </row>
    <row r="31" spans="1:9" ht="19.8" customHeight="1" x14ac:dyDescent="0.3">
      <c r="A31" s="103">
        <v>45986</v>
      </c>
      <c r="B31" s="94" t="s">
        <v>410</v>
      </c>
      <c r="C31" s="95" t="s">
        <v>413</v>
      </c>
      <c r="D31" s="94" t="s">
        <v>403</v>
      </c>
      <c r="E31" s="104">
        <v>1.666666666666667</v>
      </c>
      <c r="F31" s="94" t="s">
        <v>406</v>
      </c>
      <c r="G31" s="96">
        <v>6</v>
      </c>
      <c r="H31" s="97">
        <v>599</v>
      </c>
      <c r="I31" s="88"/>
    </row>
    <row r="32" spans="1:9" ht="19.8" customHeight="1" x14ac:dyDescent="0.3">
      <c r="A32" s="103">
        <v>45986</v>
      </c>
      <c r="B32" s="94" t="s">
        <v>26</v>
      </c>
      <c r="C32" s="95" t="s">
        <v>451</v>
      </c>
      <c r="D32" s="94" t="s">
        <v>403</v>
      </c>
      <c r="E32" s="104">
        <v>1.1284722222222221</v>
      </c>
      <c r="F32" s="94" t="s">
        <v>31</v>
      </c>
      <c r="G32" s="96">
        <v>5</v>
      </c>
      <c r="H32" s="97">
        <v>609</v>
      </c>
      <c r="I32" s="88"/>
    </row>
    <row r="33" spans="1:9" ht="19.8" customHeight="1" x14ac:dyDescent="0.3">
      <c r="A33" s="103">
        <v>45986</v>
      </c>
      <c r="B33" s="94" t="s">
        <v>26</v>
      </c>
      <c r="C33" s="95" t="s">
        <v>453</v>
      </c>
      <c r="D33" s="94" t="s">
        <v>403</v>
      </c>
      <c r="E33" s="104">
        <v>1.302083333333333</v>
      </c>
      <c r="F33" s="94" t="s">
        <v>31</v>
      </c>
      <c r="G33" s="96">
        <v>5</v>
      </c>
      <c r="H33" s="97">
        <v>609</v>
      </c>
      <c r="I33" s="88"/>
    </row>
    <row r="34" spans="1:9" ht="19.8" customHeight="1" x14ac:dyDescent="0.3">
      <c r="A34" s="103">
        <v>45986</v>
      </c>
      <c r="B34" s="94" t="s">
        <v>26</v>
      </c>
      <c r="C34" s="95" t="s">
        <v>454</v>
      </c>
      <c r="D34" s="94" t="s">
        <v>403</v>
      </c>
      <c r="E34" s="104">
        <v>1.8888888888888891</v>
      </c>
      <c r="F34" s="94" t="s">
        <v>31</v>
      </c>
      <c r="G34" s="96">
        <v>6</v>
      </c>
      <c r="H34" s="97">
        <v>609</v>
      </c>
      <c r="I34" s="88"/>
    </row>
    <row r="35" spans="1:9" ht="19.8" customHeight="1" x14ac:dyDescent="0.3">
      <c r="A35" s="103">
        <v>45986</v>
      </c>
      <c r="B35" s="94" t="s">
        <v>26</v>
      </c>
      <c r="C35" s="95" t="s">
        <v>455</v>
      </c>
      <c r="D35" s="94" t="s">
        <v>403</v>
      </c>
      <c r="E35" s="104">
        <v>1.788194444444444</v>
      </c>
      <c r="F35" s="94" t="s">
        <v>31</v>
      </c>
      <c r="G35" s="96">
        <v>1</v>
      </c>
      <c r="H35" s="97">
        <v>609</v>
      </c>
      <c r="I35" s="88"/>
    </row>
    <row r="36" spans="1:9" ht="19.8" customHeight="1" x14ac:dyDescent="0.3">
      <c r="A36" s="103">
        <v>45986</v>
      </c>
      <c r="B36" s="94" t="s">
        <v>36</v>
      </c>
      <c r="C36" s="95" t="s">
        <v>447</v>
      </c>
      <c r="D36" s="94" t="s">
        <v>403</v>
      </c>
      <c r="E36" s="104">
        <v>1.395833333333333</v>
      </c>
      <c r="F36" s="94" t="s">
        <v>40</v>
      </c>
      <c r="G36" s="96">
        <v>2</v>
      </c>
      <c r="H36" s="97">
        <v>629</v>
      </c>
      <c r="I36" s="88"/>
    </row>
    <row r="37" spans="1:9" ht="19.8" customHeight="1" x14ac:dyDescent="0.3">
      <c r="A37" s="103">
        <v>45986</v>
      </c>
      <c r="B37" s="94" t="s">
        <v>36</v>
      </c>
      <c r="C37" s="95" t="s">
        <v>435</v>
      </c>
      <c r="D37" s="94" t="s">
        <v>403</v>
      </c>
      <c r="E37" s="104">
        <v>1.9027777777777779</v>
      </c>
      <c r="F37" s="94" t="s">
        <v>42</v>
      </c>
      <c r="G37" s="96">
        <v>2</v>
      </c>
      <c r="H37" s="97">
        <v>639</v>
      </c>
      <c r="I37" s="88"/>
    </row>
    <row r="38" spans="1:9" ht="19.8" customHeight="1" x14ac:dyDescent="0.3">
      <c r="A38" s="103">
        <v>45986</v>
      </c>
      <c r="B38" s="94" t="s">
        <v>456</v>
      </c>
      <c r="C38" s="95" t="s">
        <v>457</v>
      </c>
      <c r="D38" s="94" t="s">
        <v>403</v>
      </c>
      <c r="E38" s="104">
        <v>1.2222222222222221</v>
      </c>
      <c r="F38" s="94" t="s">
        <v>34</v>
      </c>
      <c r="G38" s="96">
        <v>9</v>
      </c>
      <c r="H38" s="97">
        <v>667</v>
      </c>
      <c r="I38" s="88"/>
    </row>
    <row r="39" spans="1:9" ht="19.8" customHeight="1" x14ac:dyDescent="0.3">
      <c r="A39" s="103">
        <v>45986</v>
      </c>
      <c r="B39" s="94" t="s">
        <v>78</v>
      </c>
      <c r="C39" s="95" t="s">
        <v>461</v>
      </c>
      <c r="D39" s="94" t="s">
        <v>403</v>
      </c>
      <c r="E39" s="104">
        <v>1.239583333333333</v>
      </c>
      <c r="F39" s="94" t="s">
        <v>80</v>
      </c>
      <c r="G39" s="96">
        <v>9</v>
      </c>
      <c r="H39" s="97">
        <v>678</v>
      </c>
      <c r="I39" s="88"/>
    </row>
    <row r="40" spans="1:9" ht="19.8" customHeight="1" x14ac:dyDescent="0.3">
      <c r="A40" s="103">
        <v>45986</v>
      </c>
      <c r="B40" s="94" t="s">
        <v>36</v>
      </c>
      <c r="C40" s="95" t="s">
        <v>438</v>
      </c>
      <c r="D40" s="94" t="s">
        <v>403</v>
      </c>
      <c r="E40" s="104">
        <v>1.854166666666667</v>
      </c>
      <c r="F40" s="94" t="s">
        <v>42</v>
      </c>
      <c r="G40" s="96">
        <v>9</v>
      </c>
      <c r="H40" s="97">
        <v>679</v>
      </c>
      <c r="I40" s="88"/>
    </row>
    <row r="41" spans="1:9" ht="19.8" customHeight="1" x14ac:dyDescent="0.3">
      <c r="A41" s="103">
        <v>45986</v>
      </c>
      <c r="B41" s="94" t="s">
        <v>36</v>
      </c>
      <c r="C41" s="95" t="s">
        <v>442</v>
      </c>
      <c r="D41" s="94" t="s">
        <v>403</v>
      </c>
      <c r="E41" s="104">
        <v>1.256944444444444</v>
      </c>
      <c r="F41" s="94" t="s">
        <v>42</v>
      </c>
      <c r="G41" s="96">
        <v>8</v>
      </c>
      <c r="H41" s="97">
        <v>679</v>
      </c>
      <c r="I41" s="88"/>
    </row>
    <row r="42" spans="1:9" ht="19.8" customHeight="1" x14ac:dyDescent="0.3">
      <c r="A42" s="103">
        <v>45986</v>
      </c>
      <c r="B42" s="94" t="s">
        <v>36</v>
      </c>
      <c r="C42" s="95" t="s">
        <v>443</v>
      </c>
      <c r="D42" s="94" t="s">
        <v>403</v>
      </c>
      <c r="E42" s="104">
        <v>1.302083333333333</v>
      </c>
      <c r="F42" s="94" t="s">
        <v>42</v>
      </c>
      <c r="G42" s="96">
        <v>9</v>
      </c>
      <c r="H42" s="97">
        <v>679</v>
      </c>
      <c r="I42" s="88"/>
    </row>
    <row r="43" spans="1:9" ht="19.8" customHeight="1" x14ac:dyDescent="0.3">
      <c r="A43" s="103">
        <v>45986</v>
      </c>
      <c r="B43" s="94" t="s">
        <v>36</v>
      </c>
      <c r="C43" s="95" t="s">
        <v>444</v>
      </c>
      <c r="D43" s="94" t="s">
        <v>403</v>
      </c>
      <c r="E43" s="104">
        <v>1.5173611111111109</v>
      </c>
      <c r="F43" s="94" t="s">
        <v>42</v>
      </c>
      <c r="G43" s="96">
        <v>9</v>
      </c>
      <c r="H43" s="97">
        <v>679</v>
      </c>
      <c r="I43" s="88"/>
    </row>
    <row r="44" spans="1:9" ht="19.8" customHeight="1" x14ac:dyDescent="0.3">
      <c r="A44" s="103">
        <v>45986</v>
      </c>
      <c r="B44" s="94" t="s">
        <v>36</v>
      </c>
      <c r="C44" s="95" t="s">
        <v>445</v>
      </c>
      <c r="D44" s="94" t="s">
        <v>403</v>
      </c>
      <c r="E44" s="104">
        <v>1.7986111111111109</v>
      </c>
      <c r="F44" s="94" t="s">
        <v>42</v>
      </c>
      <c r="G44" s="96">
        <v>9</v>
      </c>
      <c r="H44" s="97">
        <v>679</v>
      </c>
      <c r="I44" s="88"/>
    </row>
    <row r="45" spans="1:9" ht="19.8" customHeight="1" x14ac:dyDescent="0.3">
      <c r="A45" s="103">
        <v>45986</v>
      </c>
      <c r="B45" s="94" t="s">
        <v>36</v>
      </c>
      <c r="C45" s="95" t="s">
        <v>446</v>
      </c>
      <c r="D45" s="94" t="s">
        <v>403</v>
      </c>
      <c r="E45" s="104">
        <v>1.645833333333333</v>
      </c>
      <c r="F45" s="94" t="s">
        <v>42</v>
      </c>
      <c r="G45" s="96">
        <v>9</v>
      </c>
      <c r="H45" s="97">
        <v>679</v>
      </c>
      <c r="I45" s="88"/>
    </row>
    <row r="46" spans="1:9" ht="19.8" customHeight="1" x14ac:dyDescent="0.3">
      <c r="A46" s="103">
        <v>45986</v>
      </c>
      <c r="B46" s="94" t="s">
        <v>36</v>
      </c>
      <c r="C46" s="95" t="s">
        <v>447</v>
      </c>
      <c r="D46" s="94" t="s">
        <v>403</v>
      </c>
      <c r="E46" s="104">
        <v>1.395833333333333</v>
      </c>
      <c r="F46" s="94" t="s">
        <v>42</v>
      </c>
      <c r="G46" s="96">
        <v>2</v>
      </c>
      <c r="H46" s="97">
        <v>719</v>
      </c>
      <c r="I46" s="88"/>
    </row>
    <row r="47" spans="1:9" ht="19.8" customHeight="1" x14ac:dyDescent="0.3">
      <c r="A47" s="103">
        <v>45986</v>
      </c>
      <c r="B47" s="94" t="s">
        <v>78</v>
      </c>
      <c r="C47" s="95" t="s">
        <v>461</v>
      </c>
      <c r="D47" s="94" t="s">
        <v>403</v>
      </c>
      <c r="E47" s="104">
        <v>1.239583333333333</v>
      </c>
      <c r="F47" s="94" t="s">
        <v>83</v>
      </c>
      <c r="G47" s="96">
        <v>9</v>
      </c>
      <c r="H47" s="97">
        <v>723</v>
      </c>
      <c r="I47" s="88"/>
    </row>
    <row r="48" spans="1:9" ht="19.8" customHeight="1" x14ac:dyDescent="0.3">
      <c r="A48" s="103">
        <v>45986</v>
      </c>
      <c r="B48" s="94" t="s">
        <v>78</v>
      </c>
      <c r="C48" s="95" t="s">
        <v>464</v>
      </c>
      <c r="D48" s="94" t="s">
        <v>403</v>
      </c>
      <c r="E48" s="104">
        <v>1.006944444444444</v>
      </c>
      <c r="F48" s="94" t="s">
        <v>80</v>
      </c>
      <c r="G48" s="96">
        <v>9</v>
      </c>
      <c r="H48" s="97">
        <v>935</v>
      </c>
      <c r="I48" s="88"/>
    </row>
    <row r="49" spans="1:9" ht="19.8" customHeight="1" x14ac:dyDescent="0.3">
      <c r="A49" s="103">
        <v>45986</v>
      </c>
      <c r="B49" s="94" t="s">
        <v>78</v>
      </c>
      <c r="C49" s="95" t="s">
        <v>467</v>
      </c>
      <c r="D49" s="94" t="s">
        <v>403</v>
      </c>
      <c r="E49" s="104">
        <v>1.1423611111111109</v>
      </c>
      <c r="F49" s="94" t="s">
        <v>80</v>
      </c>
      <c r="G49" s="96">
        <v>9</v>
      </c>
      <c r="H49" s="97">
        <v>935</v>
      </c>
      <c r="I49" s="88"/>
    </row>
    <row r="50" spans="1:9" ht="19.8" customHeight="1" x14ac:dyDescent="0.3">
      <c r="A50" s="103">
        <v>45986</v>
      </c>
      <c r="B50" s="94" t="s">
        <v>78</v>
      </c>
      <c r="C50" s="95" t="s">
        <v>468</v>
      </c>
      <c r="D50" s="94" t="s">
        <v>403</v>
      </c>
      <c r="E50" s="104">
        <v>1.930555555555556</v>
      </c>
      <c r="F50" s="94" t="s">
        <v>80</v>
      </c>
      <c r="G50" s="96">
        <v>9</v>
      </c>
      <c r="H50" s="97">
        <v>935</v>
      </c>
      <c r="I50" s="88"/>
    </row>
    <row r="51" spans="1:9" ht="19.8" customHeight="1" x14ac:dyDescent="0.3">
      <c r="A51" s="103">
        <v>45986</v>
      </c>
      <c r="B51" s="94" t="s">
        <v>78</v>
      </c>
      <c r="C51" s="95" t="s">
        <v>469</v>
      </c>
      <c r="D51" s="94" t="s">
        <v>403</v>
      </c>
      <c r="E51" s="104">
        <v>1.3784722222222221</v>
      </c>
      <c r="F51" s="94" t="s">
        <v>80</v>
      </c>
      <c r="G51" s="96">
        <v>9</v>
      </c>
      <c r="H51" s="97">
        <v>935</v>
      </c>
      <c r="I51" s="88"/>
    </row>
    <row r="52" spans="1:9" ht="19.8" customHeight="1" x14ac:dyDescent="0.3">
      <c r="A52" s="103">
        <v>45986</v>
      </c>
      <c r="B52" s="94" t="s">
        <v>66</v>
      </c>
      <c r="C52" s="95" t="s">
        <v>485</v>
      </c>
      <c r="D52" s="94" t="s">
        <v>403</v>
      </c>
      <c r="E52" s="104">
        <v>1.4861111111111109</v>
      </c>
      <c r="F52" s="94" t="s">
        <v>68</v>
      </c>
      <c r="G52" s="96">
        <v>9</v>
      </c>
      <c r="H52" s="97">
        <v>970</v>
      </c>
      <c r="I52" s="88"/>
    </row>
    <row r="53" spans="1:9" ht="19.8" customHeight="1" x14ac:dyDescent="0.3">
      <c r="A53" s="103">
        <v>45986</v>
      </c>
      <c r="B53" s="94" t="s">
        <v>66</v>
      </c>
      <c r="C53" s="95" t="s">
        <v>487</v>
      </c>
      <c r="D53" s="94" t="s">
        <v>403</v>
      </c>
      <c r="E53" s="104">
        <v>1.5138888888888891</v>
      </c>
      <c r="F53" s="94" t="s">
        <v>68</v>
      </c>
      <c r="G53" s="96">
        <v>9</v>
      </c>
      <c r="H53" s="97">
        <v>970</v>
      </c>
      <c r="I53" s="88"/>
    </row>
    <row r="54" spans="1:9" ht="19.8" customHeight="1" x14ac:dyDescent="0.3">
      <c r="A54" s="103">
        <v>45986</v>
      </c>
      <c r="B54" s="94" t="s">
        <v>78</v>
      </c>
      <c r="C54" s="95" t="s">
        <v>464</v>
      </c>
      <c r="D54" s="94" t="s">
        <v>403</v>
      </c>
      <c r="E54" s="104">
        <v>1.006944444444444</v>
      </c>
      <c r="F54" s="94" t="s">
        <v>83</v>
      </c>
      <c r="G54" s="96">
        <v>9</v>
      </c>
      <c r="H54" s="97">
        <v>980</v>
      </c>
      <c r="I54" s="88"/>
    </row>
    <row r="55" spans="1:9" ht="19.8" customHeight="1" x14ac:dyDescent="0.3">
      <c r="A55" s="103">
        <v>45986</v>
      </c>
      <c r="B55" s="94" t="s">
        <v>78</v>
      </c>
      <c r="C55" s="95" t="s">
        <v>467</v>
      </c>
      <c r="D55" s="94" t="s">
        <v>403</v>
      </c>
      <c r="E55" s="104">
        <v>1.1423611111111109</v>
      </c>
      <c r="F55" s="94" t="s">
        <v>83</v>
      </c>
      <c r="G55" s="96">
        <v>9</v>
      </c>
      <c r="H55" s="97">
        <v>980</v>
      </c>
      <c r="I55" s="88"/>
    </row>
    <row r="56" spans="1:9" ht="19.8" customHeight="1" x14ac:dyDescent="0.3">
      <c r="A56" s="103">
        <v>45986</v>
      </c>
      <c r="B56" s="94" t="s">
        <v>78</v>
      </c>
      <c r="C56" s="95" t="s">
        <v>468</v>
      </c>
      <c r="D56" s="94" t="s">
        <v>403</v>
      </c>
      <c r="E56" s="104">
        <v>1.930555555555556</v>
      </c>
      <c r="F56" s="94" t="s">
        <v>83</v>
      </c>
      <c r="G56" s="96">
        <v>9</v>
      </c>
      <c r="H56" s="97">
        <v>980</v>
      </c>
      <c r="I56" s="88"/>
    </row>
    <row r="57" spans="1:9" ht="19.8" customHeight="1" x14ac:dyDescent="0.3">
      <c r="A57" s="103">
        <v>45986</v>
      </c>
      <c r="B57" s="94" t="s">
        <v>78</v>
      </c>
      <c r="C57" s="95" t="s">
        <v>469</v>
      </c>
      <c r="D57" s="94" t="s">
        <v>403</v>
      </c>
      <c r="E57" s="104">
        <v>1.3784722222222221</v>
      </c>
      <c r="F57" s="94" t="s">
        <v>83</v>
      </c>
      <c r="G57" s="96">
        <v>9</v>
      </c>
      <c r="H57" s="97">
        <v>980</v>
      </c>
      <c r="I57" s="88"/>
    </row>
    <row r="58" spans="1:9" ht="19.8" customHeight="1" x14ac:dyDescent="0.3">
      <c r="A58" s="103">
        <v>45986</v>
      </c>
      <c r="B58" s="94" t="s">
        <v>66</v>
      </c>
      <c r="C58" s="95" t="s">
        <v>488</v>
      </c>
      <c r="D58" s="94" t="s">
        <v>403</v>
      </c>
      <c r="E58" s="104">
        <v>1.2222222222222221</v>
      </c>
      <c r="F58" s="94" t="s">
        <v>68</v>
      </c>
      <c r="G58" s="96">
        <v>9</v>
      </c>
      <c r="H58" s="107" t="s">
        <v>489</v>
      </c>
      <c r="I58" s="88"/>
    </row>
    <row r="59" spans="1:9" ht="19.8" customHeight="1" x14ac:dyDescent="0.3">
      <c r="A59" s="103">
        <v>45986</v>
      </c>
      <c r="B59" s="94" t="s">
        <v>78</v>
      </c>
      <c r="C59" s="95" t="s">
        <v>470</v>
      </c>
      <c r="D59" s="94" t="s">
        <v>403</v>
      </c>
      <c r="E59" s="104">
        <v>1.71875</v>
      </c>
      <c r="F59" s="94" t="s">
        <v>80</v>
      </c>
      <c r="G59" s="96">
        <v>9</v>
      </c>
      <c r="H59" s="107" t="s">
        <v>471</v>
      </c>
      <c r="I59" s="88"/>
    </row>
    <row r="60" spans="1:9" ht="19.8" customHeight="1" x14ac:dyDescent="0.3">
      <c r="A60" s="103">
        <v>45986</v>
      </c>
      <c r="B60" s="94" t="s">
        <v>26</v>
      </c>
      <c r="C60" s="95" t="s">
        <v>451</v>
      </c>
      <c r="D60" s="94" t="s">
        <v>403</v>
      </c>
      <c r="E60" s="104">
        <v>1.1284722222222221</v>
      </c>
      <c r="F60" s="94" t="s">
        <v>34</v>
      </c>
      <c r="G60" s="96">
        <v>5</v>
      </c>
      <c r="H60" s="107" t="s">
        <v>35</v>
      </c>
      <c r="I60" s="88"/>
    </row>
    <row r="61" spans="1:9" ht="19.8" customHeight="1" x14ac:dyDescent="0.3">
      <c r="A61" s="103">
        <v>45986</v>
      </c>
      <c r="B61" s="94" t="s">
        <v>26</v>
      </c>
      <c r="C61" s="95" t="s">
        <v>453</v>
      </c>
      <c r="D61" s="94" t="s">
        <v>403</v>
      </c>
      <c r="E61" s="104">
        <v>1.302083333333333</v>
      </c>
      <c r="F61" s="94" t="s">
        <v>34</v>
      </c>
      <c r="G61" s="96">
        <v>5</v>
      </c>
      <c r="H61" s="107" t="s">
        <v>35</v>
      </c>
      <c r="I61" s="88"/>
    </row>
    <row r="62" spans="1:9" ht="19.8" customHeight="1" x14ac:dyDescent="0.3">
      <c r="A62" s="103">
        <v>45986</v>
      </c>
      <c r="B62" s="94" t="s">
        <v>26</v>
      </c>
      <c r="C62" s="95" t="s">
        <v>454</v>
      </c>
      <c r="D62" s="94" t="s">
        <v>403</v>
      </c>
      <c r="E62" s="104">
        <v>1.8888888888888891</v>
      </c>
      <c r="F62" s="94" t="s">
        <v>34</v>
      </c>
      <c r="G62" s="96">
        <v>6</v>
      </c>
      <c r="H62" s="107" t="s">
        <v>35</v>
      </c>
      <c r="I62" s="88"/>
    </row>
    <row r="63" spans="1:9" ht="19.8" customHeight="1" x14ac:dyDescent="0.3">
      <c r="A63" s="103">
        <v>45986</v>
      </c>
      <c r="B63" s="94" t="s">
        <v>26</v>
      </c>
      <c r="C63" s="95" t="s">
        <v>455</v>
      </c>
      <c r="D63" s="94" t="s">
        <v>403</v>
      </c>
      <c r="E63" s="104">
        <v>1.788194444444444</v>
      </c>
      <c r="F63" s="94" t="s">
        <v>34</v>
      </c>
      <c r="G63" s="96">
        <v>1</v>
      </c>
      <c r="H63" s="107" t="s">
        <v>35</v>
      </c>
      <c r="I63" s="88"/>
    </row>
    <row r="64" spans="1:9" ht="19.8" customHeight="1" x14ac:dyDescent="0.3">
      <c r="A64" s="103">
        <v>45986</v>
      </c>
      <c r="B64" s="94" t="s">
        <v>78</v>
      </c>
      <c r="C64" s="95" t="s">
        <v>470</v>
      </c>
      <c r="D64" s="94" t="s">
        <v>403</v>
      </c>
      <c r="E64" s="104">
        <v>1.71875</v>
      </c>
      <c r="F64" s="94" t="s">
        <v>83</v>
      </c>
      <c r="G64" s="96">
        <v>9</v>
      </c>
      <c r="H64" s="107" t="s">
        <v>472</v>
      </c>
      <c r="I64" s="88"/>
    </row>
    <row r="65" spans="1:9" ht="19.8" customHeight="1" x14ac:dyDescent="0.3">
      <c r="A65" s="103">
        <v>45986</v>
      </c>
      <c r="B65" s="94" t="s">
        <v>78</v>
      </c>
      <c r="C65" s="95" t="s">
        <v>473</v>
      </c>
      <c r="D65" s="94" t="s">
        <v>403</v>
      </c>
      <c r="E65" s="104">
        <v>1.8888888888888891</v>
      </c>
      <c r="F65" s="94" t="s">
        <v>83</v>
      </c>
      <c r="G65" s="96">
        <v>4</v>
      </c>
      <c r="H65" s="107" t="s">
        <v>474</v>
      </c>
      <c r="I65" s="88"/>
    </row>
    <row r="66" spans="1:9" ht="19.8" customHeight="1" x14ac:dyDescent="0.3">
      <c r="A66" s="103">
        <v>45986</v>
      </c>
      <c r="B66" s="94" t="s">
        <v>78</v>
      </c>
      <c r="C66" s="95" t="s">
        <v>475</v>
      </c>
      <c r="D66" s="94" t="s">
        <v>403</v>
      </c>
      <c r="E66" s="104">
        <v>1.302083333333333</v>
      </c>
      <c r="F66" s="94" t="s">
        <v>83</v>
      </c>
      <c r="G66" s="96">
        <v>4</v>
      </c>
      <c r="H66" s="107" t="s">
        <v>474</v>
      </c>
      <c r="I66" s="88"/>
    </row>
    <row r="67" spans="1:9" ht="19.8" customHeight="1" x14ac:dyDescent="0.3">
      <c r="A67" s="103">
        <v>45986</v>
      </c>
      <c r="B67" s="94" t="s">
        <v>78</v>
      </c>
      <c r="C67" s="95" t="s">
        <v>476</v>
      </c>
      <c r="D67" s="94" t="s">
        <v>403</v>
      </c>
      <c r="E67" s="104">
        <v>1.1284722222222221</v>
      </c>
      <c r="F67" s="94" t="s">
        <v>83</v>
      </c>
      <c r="G67" s="96">
        <v>4</v>
      </c>
      <c r="H67" s="107" t="s">
        <v>474</v>
      </c>
      <c r="I67" s="88"/>
    </row>
    <row r="68" spans="1:9" ht="19.8" customHeight="1" x14ac:dyDescent="0.3">
      <c r="A68" s="103">
        <v>45986</v>
      </c>
      <c r="B68" s="94" t="s">
        <v>66</v>
      </c>
      <c r="C68" s="95" t="s">
        <v>490</v>
      </c>
      <c r="D68" s="94" t="s">
        <v>403</v>
      </c>
      <c r="E68" s="104">
        <v>1.2777777777777779</v>
      </c>
      <c r="F68" s="94" t="s">
        <v>68</v>
      </c>
      <c r="G68" s="96">
        <v>9</v>
      </c>
      <c r="H68" s="107" t="s">
        <v>491</v>
      </c>
      <c r="I68" s="88"/>
    </row>
    <row r="69" spans="1:9" ht="19.8" customHeight="1" x14ac:dyDescent="0.3">
      <c r="A69" s="103">
        <v>45986</v>
      </c>
      <c r="B69" s="94" t="s">
        <v>78</v>
      </c>
      <c r="C69" s="95" t="s">
        <v>477</v>
      </c>
      <c r="D69" s="94" t="s">
        <v>403</v>
      </c>
      <c r="E69" s="104">
        <v>1.8298611111111109</v>
      </c>
      <c r="F69" s="94" t="s">
        <v>80</v>
      </c>
      <c r="G69" s="96">
        <v>9</v>
      </c>
      <c r="H69" s="107" t="s">
        <v>478</v>
      </c>
      <c r="I69" s="88"/>
    </row>
    <row r="70" spans="1:9" ht="19.8" customHeight="1" x14ac:dyDescent="0.3">
      <c r="A70" s="103">
        <v>45986</v>
      </c>
      <c r="B70" s="94" t="s">
        <v>78</v>
      </c>
      <c r="C70" s="95" t="s">
        <v>480</v>
      </c>
      <c r="D70" s="94" t="s">
        <v>403</v>
      </c>
      <c r="E70" s="104">
        <v>1.788194444444444</v>
      </c>
      <c r="F70" s="94" t="s">
        <v>83</v>
      </c>
      <c r="G70" s="96">
        <v>4</v>
      </c>
      <c r="H70" s="107" t="s">
        <v>481</v>
      </c>
      <c r="I70" s="88"/>
    </row>
    <row r="71" spans="1:9" ht="19.8" customHeight="1" x14ac:dyDescent="0.3">
      <c r="A71" s="103">
        <v>45986</v>
      </c>
      <c r="B71" s="94" t="s">
        <v>78</v>
      </c>
      <c r="C71" s="95" t="s">
        <v>477</v>
      </c>
      <c r="D71" s="94" t="s">
        <v>403</v>
      </c>
      <c r="E71" s="104">
        <v>1.8298611111111109</v>
      </c>
      <c r="F71" s="94" t="s">
        <v>83</v>
      </c>
      <c r="G71" s="96">
        <v>9</v>
      </c>
      <c r="H71" s="107" t="s">
        <v>479</v>
      </c>
      <c r="I71" s="88"/>
    </row>
    <row r="72" spans="1:9" ht="19.8" customHeight="1" x14ac:dyDescent="0.3">
      <c r="A72" s="103">
        <v>45986</v>
      </c>
      <c r="B72" s="94" t="s">
        <v>66</v>
      </c>
      <c r="C72" s="95" t="s">
        <v>492</v>
      </c>
      <c r="D72" s="94" t="s">
        <v>403</v>
      </c>
      <c r="E72" s="104">
        <v>1.774305555555556</v>
      </c>
      <c r="F72" s="94" t="s">
        <v>68</v>
      </c>
      <c r="G72" s="96">
        <v>9</v>
      </c>
      <c r="H72" s="107" t="s">
        <v>493</v>
      </c>
      <c r="I72" s="88"/>
    </row>
    <row r="73" spans="1:9" ht="19.8" customHeight="1" x14ac:dyDescent="0.3">
      <c r="A73" s="103">
        <v>45986</v>
      </c>
      <c r="B73" s="94" t="s">
        <v>78</v>
      </c>
      <c r="C73" s="95" t="s">
        <v>482</v>
      </c>
      <c r="D73" s="94" t="s">
        <v>403</v>
      </c>
      <c r="E73" s="104">
        <v>1.6111111111111109</v>
      </c>
      <c r="F73" s="94" t="s">
        <v>80</v>
      </c>
      <c r="G73" s="96">
        <v>1</v>
      </c>
      <c r="H73" s="107" t="s">
        <v>483</v>
      </c>
      <c r="I73" s="88"/>
    </row>
    <row r="74" spans="1:9" ht="19.8" customHeight="1" x14ac:dyDescent="0.3">
      <c r="A74" s="103">
        <v>45986</v>
      </c>
      <c r="B74" s="94" t="s">
        <v>78</v>
      </c>
      <c r="C74" s="95" t="s">
        <v>482</v>
      </c>
      <c r="D74" s="94" t="s">
        <v>403</v>
      </c>
      <c r="E74" s="104">
        <v>1.6111111111111109</v>
      </c>
      <c r="F74" s="94" t="s">
        <v>83</v>
      </c>
      <c r="G74" s="96">
        <v>1</v>
      </c>
      <c r="H74" s="107" t="s">
        <v>484</v>
      </c>
      <c r="I74" s="88"/>
    </row>
    <row r="75" spans="1:9" ht="19.8" customHeight="1" x14ac:dyDescent="0.3">
      <c r="A75" s="108">
        <v>45986</v>
      </c>
      <c r="B75" s="109" t="s">
        <v>44</v>
      </c>
      <c r="C75" s="110" t="s">
        <v>432</v>
      </c>
      <c r="D75" s="109" t="s">
        <v>403</v>
      </c>
      <c r="E75" s="111">
        <v>1.5590277777777779</v>
      </c>
      <c r="F75" s="109" t="s">
        <v>61</v>
      </c>
      <c r="G75" s="109"/>
      <c r="H75" s="112" t="s">
        <v>62</v>
      </c>
      <c r="I75" s="88"/>
    </row>
    <row r="76" spans="1:9" ht="19.8" customHeight="1" x14ac:dyDescent="0.3">
      <c r="A76" s="103">
        <v>45987</v>
      </c>
      <c r="B76" s="94" t="s">
        <v>404</v>
      </c>
      <c r="C76" s="95" t="s">
        <v>405</v>
      </c>
      <c r="D76" s="94" t="s">
        <v>403</v>
      </c>
      <c r="E76" s="104">
        <v>1.270833333333333</v>
      </c>
      <c r="F76" s="94" t="s">
        <v>406</v>
      </c>
      <c r="G76" s="96">
        <v>6</v>
      </c>
      <c r="H76" s="97">
        <v>400</v>
      </c>
      <c r="I76" s="88"/>
    </row>
    <row r="77" spans="1:9" ht="19.8" customHeight="1" x14ac:dyDescent="0.3">
      <c r="A77" s="103">
        <v>45987</v>
      </c>
      <c r="B77" s="94" t="s">
        <v>410</v>
      </c>
      <c r="C77" s="95" t="s">
        <v>411</v>
      </c>
      <c r="D77" s="94" t="s">
        <v>403</v>
      </c>
      <c r="E77" s="104">
        <v>1.3715277777777779</v>
      </c>
      <c r="F77" s="94" t="s">
        <v>406</v>
      </c>
      <c r="G77" s="96">
        <v>9</v>
      </c>
      <c r="H77" s="97">
        <v>401</v>
      </c>
      <c r="I77" s="88"/>
    </row>
    <row r="78" spans="1:9" ht="19.8" customHeight="1" x14ac:dyDescent="0.3">
      <c r="A78" s="105">
        <v>45987</v>
      </c>
      <c r="B78" s="99" t="s">
        <v>44</v>
      </c>
      <c r="C78" s="100" t="s">
        <v>415</v>
      </c>
      <c r="D78" s="99" t="s">
        <v>403</v>
      </c>
      <c r="E78" s="106">
        <v>1.5173611111111109</v>
      </c>
      <c r="F78" s="99" t="s">
        <v>46</v>
      </c>
      <c r="G78" s="101">
        <v>9</v>
      </c>
      <c r="H78" s="102">
        <v>401</v>
      </c>
      <c r="I78" s="88"/>
    </row>
    <row r="79" spans="1:9" ht="19.8" customHeight="1" x14ac:dyDescent="0.3">
      <c r="A79" s="103">
        <v>45987</v>
      </c>
      <c r="B79" s="94" t="s">
        <v>410</v>
      </c>
      <c r="C79" s="95" t="s">
        <v>413</v>
      </c>
      <c r="D79" s="94" t="s">
        <v>403</v>
      </c>
      <c r="E79" s="104">
        <v>1.9375</v>
      </c>
      <c r="F79" s="94" t="s">
        <v>406</v>
      </c>
      <c r="G79" s="96">
        <v>9</v>
      </c>
      <c r="H79" s="97">
        <v>401</v>
      </c>
      <c r="I79" s="88"/>
    </row>
    <row r="80" spans="1:9" ht="19.8" customHeight="1" x14ac:dyDescent="0.3">
      <c r="A80" s="105">
        <v>45987</v>
      </c>
      <c r="B80" s="99" t="s">
        <v>44</v>
      </c>
      <c r="C80" s="100" t="s">
        <v>429</v>
      </c>
      <c r="D80" s="99" t="s">
        <v>403</v>
      </c>
      <c r="E80" s="106">
        <v>1.520833333333333</v>
      </c>
      <c r="F80" s="99" t="s">
        <v>46</v>
      </c>
      <c r="G80" s="101">
        <v>9</v>
      </c>
      <c r="H80" s="102">
        <v>401</v>
      </c>
      <c r="I80" s="88"/>
    </row>
    <row r="81" spans="1:9" ht="19.8" customHeight="1" x14ac:dyDescent="0.3">
      <c r="A81" s="103">
        <v>45987</v>
      </c>
      <c r="B81" s="94" t="s">
        <v>26</v>
      </c>
      <c r="C81" s="95" t="s">
        <v>451</v>
      </c>
      <c r="D81" s="94" t="s">
        <v>403</v>
      </c>
      <c r="E81" s="104">
        <v>1.1284722222222221</v>
      </c>
      <c r="F81" s="94" t="s">
        <v>28</v>
      </c>
      <c r="G81" s="96">
        <v>2</v>
      </c>
      <c r="H81" s="97">
        <v>419</v>
      </c>
      <c r="I81" s="88"/>
    </row>
    <row r="82" spans="1:9" ht="19.8" customHeight="1" x14ac:dyDescent="0.3">
      <c r="A82" s="103">
        <v>45987</v>
      </c>
      <c r="B82" s="94" t="s">
        <v>26</v>
      </c>
      <c r="C82" s="95" t="s">
        <v>453</v>
      </c>
      <c r="D82" s="94" t="s">
        <v>403</v>
      </c>
      <c r="E82" s="104">
        <v>1.302083333333333</v>
      </c>
      <c r="F82" s="94" t="s">
        <v>28</v>
      </c>
      <c r="G82" s="96">
        <v>5</v>
      </c>
      <c r="H82" s="97">
        <v>419</v>
      </c>
      <c r="I82" s="88"/>
    </row>
    <row r="83" spans="1:9" ht="19.8" customHeight="1" x14ac:dyDescent="0.3">
      <c r="A83" s="103">
        <v>45987</v>
      </c>
      <c r="B83" s="94" t="s">
        <v>26</v>
      </c>
      <c r="C83" s="95" t="s">
        <v>454</v>
      </c>
      <c r="D83" s="94" t="s">
        <v>403</v>
      </c>
      <c r="E83" s="104">
        <v>1.8888888888888891</v>
      </c>
      <c r="F83" s="94" t="s">
        <v>28</v>
      </c>
      <c r="G83" s="96">
        <v>9</v>
      </c>
      <c r="H83" s="97">
        <v>419</v>
      </c>
      <c r="I83" s="88"/>
    </row>
    <row r="84" spans="1:9" ht="19.8" customHeight="1" x14ac:dyDescent="0.3">
      <c r="A84" s="103">
        <v>45987</v>
      </c>
      <c r="B84" s="94" t="s">
        <v>26</v>
      </c>
      <c r="C84" s="95" t="s">
        <v>455</v>
      </c>
      <c r="D84" s="94" t="s">
        <v>403</v>
      </c>
      <c r="E84" s="104">
        <v>1.788194444444444</v>
      </c>
      <c r="F84" s="94" t="s">
        <v>28</v>
      </c>
      <c r="G84" s="96">
        <v>5</v>
      </c>
      <c r="H84" s="97">
        <v>419</v>
      </c>
      <c r="I84" s="88"/>
    </row>
    <row r="85" spans="1:9" ht="19.8" customHeight="1" x14ac:dyDescent="0.3">
      <c r="A85" s="105">
        <v>45987</v>
      </c>
      <c r="B85" s="99" t="s">
        <v>44</v>
      </c>
      <c r="C85" s="100" t="s">
        <v>425</v>
      </c>
      <c r="D85" s="99" t="s">
        <v>403</v>
      </c>
      <c r="E85" s="106">
        <v>1.614583333333333</v>
      </c>
      <c r="F85" s="99" t="s">
        <v>46</v>
      </c>
      <c r="G85" s="101">
        <v>9</v>
      </c>
      <c r="H85" s="102">
        <v>436</v>
      </c>
      <c r="I85" s="88"/>
    </row>
    <row r="86" spans="1:9" ht="19.8" customHeight="1" x14ac:dyDescent="0.3">
      <c r="A86" s="103">
        <v>45987</v>
      </c>
      <c r="B86" s="94" t="s">
        <v>36</v>
      </c>
      <c r="C86" s="95" t="s">
        <v>438</v>
      </c>
      <c r="D86" s="94" t="s">
        <v>403</v>
      </c>
      <c r="E86" s="104">
        <v>1.854166666666667</v>
      </c>
      <c r="F86" s="94" t="s">
        <v>38</v>
      </c>
      <c r="G86" s="96">
        <v>3</v>
      </c>
      <c r="H86" s="97">
        <v>489</v>
      </c>
      <c r="I86" s="88"/>
    </row>
    <row r="87" spans="1:9" ht="19.8" customHeight="1" x14ac:dyDescent="0.3">
      <c r="A87" s="103">
        <v>45987</v>
      </c>
      <c r="B87" s="94" t="s">
        <v>36</v>
      </c>
      <c r="C87" s="95" t="s">
        <v>442</v>
      </c>
      <c r="D87" s="94" t="s">
        <v>403</v>
      </c>
      <c r="E87" s="104">
        <v>1.256944444444444</v>
      </c>
      <c r="F87" s="94" t="s">
        <v>38</v>
      </c>
      <c r="G87" s="96">
        <v>9</v>
      </c>
      <c r="H87" s="97">
        <v>489</v>
      </c>
      <c r="I87" s="88"/>
    </row>
    <row r="88" spans="1:9" ht="19.8" customHeight="1" x14ac:dyDescent="0.3">
      <c r="A88" s="103">
        <v>45987</v>
      </c>
      <c r="B88" s="94" t="s">
        <v>36</v>
      </c>
      <c r="C88" s="95" t="s">
        <v>443</v>
      </c>
      <c r="D88" s="94" t="s">
        <v>403</v>
      </c>
      <c r="E88" s="104">
        <v>1.302083333333333</v>
      </c>
      <c r="F88" s="94" t="s">
        <v>38</v>
      </c>
      <c r="G88" s="96">
        <v>9</v>
      </c>
      <c r="H88" s="97">
        <v>489</v>
      </c>
      <c r="I88" s="88"/>
    </row>
    <row r="89" spans="1:9" ht="19.8" customHeight="1" x14ac:dyDescent="0.3">
      <c r="A89" s="103">
        <v>45987</v>
      </c>
      <c r="B89" s="94" t="s">
        <v>36</v>
      </c>
      <c r="C89" s="95" t="s">
        <v>444</v>
      </c>
      <c r="D89" s="94" t="s">
        <v>403</v>
      </c>
      <c r="E89" s="104">
        <v>1.5173611111111109</v>
      </c>
      <c r="F89" s="94" t="s">
        <v>38</v>
      </c>
      <c r="G89" s="96">
        <v>9</v>
      </c>
      <c r="H89" s="97">
        <v>489</v>
      </c>
      <c r="I89" s="88"/>
    </row>
    <row r="90" spans="1:9" ht="19.8" customHeight="1" x14ac:dyDescent="0.3">
      <c r="A90" s="103">
        <v>45987</v>
      </c>
      <c r="B90" s="94" t="s">
        <v>36</v>
      </c>
      <c r="C90" s="95" t="s">
        <v>435</v>
      </c>
      <c r="D90" s="94" t="s">
        <v>403</v>
      </c>
      <c r="E90" s="104">
        <v>1.9027777777777779</v>
      </c>
      <c r="F90" s="94" t="s">
        <v>38</v>
      </c>
      <c r="G90" s="96">
        <v>4</v>
      </c>
      <c r="H90" s="97">
        <v>489</v>
      </c>
      <c r="I90" s="88"/>
    </row>
    <row r="91" spans="1:9" ht="19.8" customHeight="1" x14ac:dyDescent="0.3">
      <c r="A91" s="103">
        <v>45987</v>
      </c>
      <c r="B91" s="94" t="s">
        <v>36</v>
      </c>
      <c r="C91" s="95" t="s">
        <v>445</v>
      </c>
      <c r="D91" s="94" t="s">
        <v>403</v>
      </c>
      <c r="E91" s="104">
        <v>1.7986111111111109</v>
      </c>
      <c r="F91" s="94" t="s">
        <v>38</v>
      </c>
      <c r="G91" s="96">
        <v>9</v>
      </c>
      <c r="H91" s="97">
        <v>489</v>
      </c>
      <c r="I91" s="88"/>
    </row>
    <row r="92" spans="1:9" ht="19.8" customHeight="1" x14ac:dyDescent="0.3">
      <c r="A92" s="103">
        <v>45987</v>
      </c>
      <c r="B92" s="94" t="s">
        <v>36</v>
      </c>
      <c r="C92" s="95" t="s">
        <v>447</v>
      </c>
      <c r="D92" s="94" t="s">
        <v>403</v>
      </c>
      <c r="E92" s="104">
        <v>1.395833333333333</v>
      </c>
      <c r="F92" s="94" t="s">
        <v>38</v>
      </c>
      <c r="G92" s="96">
        <v>9</v>
      </c>
      <c r="H92" s="97">
        <v>489</v>
      </c>
      <c r="I92" s="88"/>
    </row>
    <row r="93" spans="1:9" ht="19.8" customHeight="1" x14ac:dyDescent="0.3">
      <c r="A93" s="103">
        <v>45987</v>
      </c>
      <c r="B93" s="94" t="s">
        <v>36</v>
      </c>
      <c r="C93" s="95" t="s">
        <v>446</v>
      </c>
      <c r="D93" s="94" t="s">
        <v>403</v>
      </c>
      <c r="E93" s="104">
        <v>1.645833333333333</v>
      </c>
      <c r="F93" s="94" t="s">
        <v>38</v>
      </c>
      <c r="G93" s="96">
        <v>9</v>
      </c>
      <c r="H93" s="97">
        <v>529</v>
      </c>
      <c r="I93" s="88"/>
    </row>
    <row r="94" spans="1:9" ht="19.8" customHeight="1" x14ac:dyDescent="0.3">
      <c r="A94" s="103">
        <v>45987</v>
      </c>
      <c r="B94" s="94" t="s">
        <v>456</v>
      </c>
      <c r="C94" s="95" t="s">
        <v>500</v>
      </c>
      <c r="D94" s="94" t="s">
        <v>403</v>
      </c>
      <c r="E94" s="104">
        <v>1.3923611111111109</v>
      </c>
      <c r="F94" s="94" t="s">
        <v>458</v>
      </c>
      <c r="G94" s="96">
        <v>9</v>
      </c>
      <c r="H94" s="97">
        <v>536</v>
      </c>
      <c r="I94" s="88"/>
    </row>
    <row r="95" spans="1:9" ht="19.8" customHeight="1" x14ac:dyDescent="0.3">
      <c r="A95" s="103">
        <v>45987</v>
      </c>
      <c r="B95" s="94" t="s">
        <v>26</v>
      </c>
      <c r="C95" s="95" t="s">
        <v>451</v>
      </c>
      <c r="D95" s="94" t="s">
        <v>403</v>
      </c>
      <c r="E95" s="104">
        <v>1.1284722222222221</v>
      </c>
      <c r="F95" s="94" t="s">
        <v>31</v>
      </c>
      <c r="G95" s="96">
        <v>2</v>
      </c>
      <c r="H95" s="97">
        <v>569</v>
      </c>
      <c r="I95" s="88"/>
    </row>
    <row r="96" spans="1:9" ht="19.8" customHeight="1" x14ac:dyDescent="0.3">
      <c r="A96" s="103">
        <v>45987</v>
      </c>
      <c r="B96" s="94" t="s">
        <v>26</v>
      </c>
      <c r="C96" s="95" t="s">
        <v>453</v>
      </c>
      <c r="D96" s="94" t="s">
        <v>403</v>
      </c>
      <c r="E96" s="104">
        <v>1.302083333333333</v>
      </c>
      <c r="F96" s="94" t="s">
        <v>31</v>
      </c>
      <c r="G96" s="96">
        <v>5</v>
      </c>
      <c r="H96" s="97">
        <v>569</v>
      </c>
      <c r="I96" s="88"/>
    </row>
    <row r="97" spans="1:9" ht="19.8" customHeight="1" x14ac:dyDescent="0.3">
      <c r="A97" s="103">
        <v>45987</v>
      </c>
      <c r="B97" s="94" t="s">
        <v>26</v>
      </c>
      <c r="C97" s="95" t="s">
        <v>454</v>
      </c>
      <c r="D97" s="94" t="s">
        <v>403</v>
      </c>
      <c r="E97" s="104">
        <v>1.8888888888888891</v>
      </c>
      <c r="F97" s="94" t="s">
        <v>31</v>
      </c>
      <c r="G97" s="96">
        <v>9</v>
      </c>
      <c r="H97" s="97">
        <v>569</v>
      </c>
      <c r="I97" s="88"/>
    </row>
    <row r="98" spans="1:9" ht="19.8" customHeight="1" x14ac:dyDescent="0.3">
      <c r="A98" s="103">
        <v>45987</v>
      </c>
      <c r="B98" s="94" t="s">
        <v>26</v>
      </c>
      <c r="C98" s="95" t="s">
        <v>455</v>
      </c>
      <c r="D98" s="94" t="s">
        <v>403</v>
      </c>
      <c r="E98" s="104">
        <v>1.788194444444444</v>
      </c>
      <c r="F98" s="94" t="s">
        <v>31</v>
      </c>
      <c r="G98" s="96">
        <v>5</v>
      </c>
      <c r="H98" s="97">
        <v>569</v>
      </c>
      <c r="I98" s="88"/>
    </row>
    <row r="99" spans="1:9" ht="19.8" customHeight="1" x14ac:dyDescent="0.3">
      <c r="A99" s="103">
        <v>45987</v>
      </c>
      <c r="B99" s="94" t="s">
        <v>36</v>
      </c>
      <c r="C99" s="95" t="s">
        <v>438</v>
      </c>
      <c r="D99" s="94" t="s">
        <v>403</v>
      </c>
      <c r="E99" s="104">
        <v>1.854166666666667</v>
      </c>
      <c r="F99" s="94" t="s">
        <v>40</v>
      </c>
      <c r="G99" s="96">
        <v>3</v>
      </c>
      <c r="H99" s="97">
        <v>589</v>
      </c>
      <c r="I99" s="88"/>
    </row>
    <row r="100" spans="1:9" ht="19.8" customHeight="1" x14ac:dyDescent="0.3">
      <c r="A100" s="103">
        <v>45987</v>
      </c>
      <c r="B100" s="94" t="s">
        <v>36</v>
      </c>
      <c r="C100" s="95" t="s">
        <v>442</v>
      </c>
      <c r="D100" s="94" t="s">
        <v>403</v>
      </c>
      <c r="E100" s="104">
        <v>1.256944444444444</v>
      </c>
      <c r="F100" s="94" t="s">
        <v>40</v>
      </c>
      <c r="G100" s="96">
        <v>9</v>
      </c>
      <c r="H100" s="97">
        <v>589</v>
      </c>
      <c r="I100" s="88"/>
    </row>
    <row r="101" spans="1:9" ht="19.8" customHeight="1" x14ac:dyDescent="0.3">
      <c r="A101" s="103">
        <v>45987</v>
      </c>
      <c r="B101" s="94" t="s">
        <v>36</v>
      </c>
      <c r="C101" s="95" t="s">
        <v>443</v>
      </c>
      <c r="D101" s="94" t="s">
        <v>403</v>
      </c>
      <c r="E101" s="104">
        <v>1.302083333333333</v>
      </c>
      <c r="F101" s="94" t="s">
        <v>40</v>
      </c>
      <c r="G101" s="96">
        <v>9</v>
      </c>
      <c r="H101" s="97">
        <v>589</v>
      </c>
      <c r="I101" s="88"/>
    </row>
    <row r="102" spans="1:9" ht="19.8" customHeight="1" x14ac:dyDescent="0.3">
      <c r="A102" s="103">
        <v>45987</v>
      </c>
      <c r="B102" s="94" t="s">
        <v>36</v>
      </c>
      <c r="C102" s="95" t="s">
        <v>444</v>
      </c>
      <c r="D102" s="94" t="s">
        <v>403</v>
      </c>
      <c r="E102" s="104">
        <v>1.5173611111111109</v>
      </c>
      <c r="F102" s="94" t="s">
        <v>40</v>
      </c>
      <c r="G102" s="96">
        <v>9</v>
      </c>
      <c r="H102" s="97">
        <v>589</v>
      </c>
      <c r="I102" s="88"/>
    </row>
    <row r="103" spans="1:9" ht="19.8" customHeight="1" x14ac:dyDescent="0.3">
      <c r="A103" s="103">
        <v>45987</v>
      </c>
      <c r="B103" s="94" t="s">
        <v>36</v>
      </c>
      <c r="C103" s="95" t="s">
        <v>435</v>
      </c>
      <c r="D103" s="94" t="s">
        <v>403</v>
      </c>
      <c r="E103" s="104">
        <v>1.9027777777777779</v>
      </c>
      <c r="F103" s="94" t="s">
        <v>40</v>
      </c>
      <c r="G103" s="96">
        <v>4</v>
      </c>
      <c r="H103" s="97">
        <v>589</v>
      </c>
      <c r="I103" s="88"/>
    </row>
    <row r="104" spans="1:9" ht="19.8" customHeight="1" x14ac:dyDescent="0.3">
      <c r="A104" s="103">
        <v>45987</v>
      </c>
      <c r="B104" s="94" t="s">
        <v>36</v>
      </c>
      <c r="C104" s="95" t="s">
        <v>445</v>
      </c>
      <c r="D104" s="94" t="s">
        <v>403</v>
      </c>
      <c r="E104" s="104">
        <v>1.7986111111111109</v>
      </c>
      <c r="F104" s="94" t="s">
        <v>40</v>
      </c>
      <c r="G104" s="96">
        <v>9</v>
      </c>
      <c r="H104" s="97">
        <v>589</v>
      </c>
      <c r="I104" s="88"/>
    </row>
    <row r="105" spans="1:9" ht="19.8" customHeight="1" x14ac:dyDescent="0.3">
      <c r="A105" s="103">
        <v>45987</v>
      </c>
      <c r="B105" s="94" t="s">
        <v>36</v>
      </c>
      <c r="C105" s="95" t="s">
        <v>447</v>
      </c>
      <c r="D105" s="94" t="s">
        <v>403</v>
      </c>
      <c r="E105" s="104">
        <v>1.395833333333333</v>
      </c>
      <c r="F105" s="94" t="s">
        <v>40</v>
      </c>
      <c r="G105" s="96">
        <v>9</v>
      </c>
      <c r="H105" s="97">
        <v>589</v>
      </c>
      <c r="I105" s="88"/>
    </row>
    <row r="106" spans="1:9" ht="19.8" customHeight="1" x14ac:dyDescent="0.3">
      <c r="A106" s="103">
        <v>45987</v>
      </c>
      <c r="B106" s="94" t="s">
        <v>36</v>
      </c>
      <c r="C106" s="95" t="s">
        <v>446</v>
      </c>
      <c r="D106" s="94" t="s">
        <v>403</v>
      </c>
      <c r="E106" s="104">
        <v>1.645833333333333</v>
      </c>
      <c r="F106" s="94" t="s">
        <v>40</v>
      </c>
      <c r="G106" s="96">
        <v>9</v>
      </c>
      <c r="H106" s="97">
        <v>629</v>
      </c>
      <c r="I106" s="88"/>
    </row>
    <row r="107" spans="1:9" ht="19.8" customHeight="1" x14ac:dyDescent="0.3">
      <c r="A107" s="103">
        <v>45987</v>
      </c>
      <c r="B107" s="94" t="s">
        <v>456</v>
      </c>
      <c r="C107" s="95" t="s">
        <v>500</v>
      </c>
      <c r="D107" s="94" t="s">
        <v>403</v>
      </c>
      <c r="E107" s="104">
        <v>1.3923611111111109</v>
      </c>
      <c r="F107" s="94" t="s">
        <v>34</v>
      </c>
      <c r="G107" s="96">
        <v>9</v>
      </c>
      <c r="H107" s="97">
        <v>660</v>
      </c>
      <c r="I107" s="88"/>
    </row>
    <row r="108" spans="1:9" ht="19.8" customHeight="1" x14ac:dyDescent="0.3">
      <c r="A108" s="103">
        <v>45987</v>
      </c>
      <c r="B108" s="94" t="s">
        <v>66</v>
      </c>
      <c r="C108" s="95" t="s">
        <v>503</v>
      </c>
      <c r="D108" s="94" t="s">
        <v>403</v>
      </c>
      <c r="E108" s="104">
        <v>1.7847222222222221</v>
      </c>
      <c r="F108" s="94" t="s">
        <v>68</v>
      </c>
      <c r="G108" s="96">
        <v>9</v>
      </c>
      <c r="H108" s="97">
        <v>673</v>
      </c>
      <c r="I108" s="88"/>
    </row>
    <row r="109" spans="1:9" ht="19.8" customHeight="1" x14ac:dyDescent="0.3">
      <c r="A109" s="103">
        <v>45987</v>
      </c>
      <c r="B109" s="94" t="s">
        <v>78</v>
      </c>
      <c r="C109" s="95" t="s">
        <v>467</v>
      </c>
      <c r="D109" s="94" t="s">
        <v>403</v>
      </c>
      <c r="E109" s="104">
        <v>1.1423611111111109</v>
      </c>
      <c r="F109" s="94" t="s">
        <v>80</v>
      </c>
      <c r="G109" s="96">
        <v>3</v>
      </c>
      <c r="H109" s="97">
        <v>678</v>
      </c>
      <c r="I109" s="88"/>
    </row>
    <row r="110" spans="1:9" ht="19.8" customHeight="1" x14ac:dyDescent="0.3">
      <c r="A110" s="103">
        <v>45987</v>
      </c>
      <c r="B110" s="94" t="s">
        <v>36</v>
      </c>
      <c r="C110" s="95" t="s">
        <v>438</v>
      </c>
      <c r="D110" s="94" t="s">
        <v>403</v>
      </c>
      <c r="E110" s="104">
        <v>1.854166666666667</v>
      </c>
      <c r="F110" s="94" t="s">
        <v>42</v>
      </c>
      <c r="G110" s="96">
        <v>3</v>
      </c>
      <c r="H110" s="97">
        <v>679</v>
      </c>
      <c r="I110" s="88"/>
    </row>
    <row r="111" spans="1:9" ht="19.8" customHeight="1" x14ac:dyDescent="0.3">
      <c r="A111" s="103">
        <v>45987</v>
      </c>
      <c r="B111" s="94" t="s">
        <v>36</v>
      </c>
      <c r="C111" s="95" t="s">
        <v>442</v>
      </c>
      <c r="D111" s="94" t="s">
        <v>403</v>
      </c>
      <c r="E111" s="104">
        <v>1.256944444444444</v>
      </c>
      <c r="F111" s="94" t="s">
        <v>42</v>
      </c>
      <c r="G111" s="96">
        <v>9</v>
      </c>
      <c r="H111" s="97">
        <v>679</v>
      </c>
      <c r="I111" s="88"/>
    </row>
    <row r="112" spans="1:9" ht="19.8" customHeight="1" x14ac:dyDescent="0.3">
      <c r="A112" s="103">
        <v>45987</v>
      </c>
      <c r="B112" s="94" t="s">
        <v>36</v>
      </c>
      <c r="C112" s="95" t="s">
        <v>443</v>
      </c>
      <c r="D112" s="94" t="s">
        <v>403</v>
      </c>
      <c r="E112" s="104">
        <v>1.302083333333333</v>
      </c>
      <c r="F112" s="94" t="s">
        <v>42</v>
      </c>
      <c r="G112" s="96">
        <v>9</v>
      </c>
      <c r="H112" s="97">
        <v>679</v>
      </c>
      <c r="I112" s="88"/>
    </row>
    <row r="113" spans="1:9" ht="19.8" customHeight="1" x14ac:dyDescent="0.3">
      <c r="A113" s="103">
        <v>45987</v>
      </c>
      <c r="B113" s="94" t="s">
        <v>36</v>
      </c>
      <c r="C113" s="95" t="s">
        <v>444</v>
      </c>
      <c r="D113" s="94" t="s">
        <v>403</v>
      </c>
      <c r="E113" s="104">
        <v>1.5173611111111109</v>
      </c>
      <c r="F113" s="94" t="s">
        <v>42</v>
      </c>
      <c r="G113" s="96">
        <v>9</v>
      </c>
      <c r="H113" s="97">
        <v>679</v>
      </c>
      <c r="I113" s="88"/>
    </row>
    <row r="114" spans="1:9" ht="19.8" customHeight="1" x14ac:dyDescent="0.3">
      <c r="A114" s="103">
        <v>45987</v>
      </c>
      <c r="B114" s="94" t="s">
        <v>36</v>
      </c>
      <c r="C114" s="95" t="s">
        <v>435</v>
      </c>
      <c r="D114" s="94" t="s">
        <v>403</v>
      </c>
      <c r="E114" s="104">
        <v>1.9027777777777779</v>
      </c>
      <c r="F114" s="94" t="s">
        <v>42</v>
      </c>
      <c r="G114" s="96">
        <v>4</v>
      </c>
      <c r="H114" s="97">
        <v>679</v>
      </c>
      <c r="I114" s="88"/>
    </row>
    <row r="115" spans="1:9" ht="19.8" customHeight="1" x14ac:dyDescent="0.3">
      <c r="A115" s="103">
        <v>45987</v>
      </c>
      <c r="B115" s="94" t="s">
        <v>36</v>
      </c>
      <c r="C115" s="95" t="s">
        <v>445</v>
      </c>
      <c r="D115" s="94" t="s">
        <v>403</v>
      </c>
      <c r="E115" s="104">
        <v>1.7986111111111109</v>
      </c>
      <c r="F115" s="94" t="s">
        <v>42</v>
      </c>
      <c r="G115" s="96">
        <v>9</v>
      </c>
      <c r="H115" s="97">
        <v>679</v>
      </c>
      <c r="I115" s="88"/>
    </row>
    <row r="116" spans="1:9" ht="19.8" customHeight="1" x14ac:dyDescent="0.3">
      <c r="A116" s="103">
        <v>45987</v>
      </c>
      <c r="B116" s="94" t="s">
        <v>36</v>
      </c>
      <c r="C116" s="95" t="s">
        <v>447</v>
      </c>
      <c r="D116" s="94" t="s">
        <v>403</v>
      </c>
      <c r="E116" s="104">
        <v>1.395833333333333</v>
      </c>
      <c r="F116" s="94" t="s">
        <v>42</v>
      </c>
      <c r="G116" s="96">
        <v>9</v>
      </c>
      <c r="H116" s="97">
        <v>679</v>
      </c>
      <c r="I116" s="88"/>
    </row>
    <row r="117" spans="1:9" ht="19.8" customHeight="1" x14ac:dyDescent="0.3">
      <c r="A117" s="103">
        <v>45987</v>
      </c>
      <c r="B117" s="94" t="s">
        <v>404</v>
      </c>
      <c r="C117" s="95" t="s">
        <v>408</v>
      </c>
      <c r="D117" s="94" t="s">
        <v>403</v>
      </c>
      <c r="E117" s="104">
        <v>1.8611111111111109</v>
      </c>
      <c r="F117" s="94" t="s">
        <v>406</v>
      </c>
      <c r="G117" s="96">
        <v>3</v>
      </c>
      <c r="H117" s="97">
        <v>695</v>
      </c>
      <c r="I117" s="88"/>
    </row>
    <row r="118" spans="1:9" ht="19.8" customHeight="1" x14ac:dyDescent="0.3">
      <c r="A118" s="103">
        <v>45987</v>
      </c>
      <c r="B118" s="94" t="s">
        <v>36</v>
      </c>
      <c r="C118" s="95" t="s">
        <v>446</v>
      </c>
      <c r="D118" s="94" t="s">
        <v>403</v>
      </c>
      <c r="E118" s="104">
        <v>1.645833333333333</v>
      </c>
      <c r="F118" s="94" t="s">
        <v>42</v>
      </c>
      <c r="G118" s="96">
        <v>9</v>
      </c>
      <c r="H118" s="97">
        <v>719</v>
      </c>
      <c r="I118" s="88"/>
    </row>
    <row r="119" spans="1:9" ht="19.8" customHeight="1" x14ac:dyDescent="0.3">
      <c r="A119" s="103">
        <v>45987</v>
      </c>
      <c r="B119" s="94" t="s">
        <v>78</v>
      </c>
      <c r="C119" s="95" t="s">
        <v>467</v>
      </c>
      <c r="D119" s="94" t="s">
        <v>403</v>
      </c>
      <c r="E119" s="104">
        <v>1.1423611111111109</v>
      </c>
      <c r="F119" s="94" t="s">
        <v>83</v>
      </c>
      <c r="G119" s="96">
        <v>3</v>
      </c>
      <c r="H119" s="97">
        <v>723</v>
      </c>
      <c r="I119" s="88"/>
    </row>
    <row r="120" spans="1:9" ht="19.8" customHeight="1" x14ac:dyDescent="0.3">
      <c r="A120" s="103">
        <v>45987</v>
      </c>
      <c r="B120" s="94" t="s">
        <v>66</v>
      </c>
      <c r="C120" s="95" t="s">
        <v>505</v>
      </c>
      <c r="D120" s="94" t="s">
        <v>403</v>
      </c>
      <c r="E120" s="104">
        <v>1.145833333333333</v>
      </c>
      <c r="F120" s="94" t="s">
        <v>68</v>
      </c>
      <c r="G120" s="96">
        <v>9</v>
      </c>
      <c r="H120" s="97">
        <v>765</v>
      </c>
      <c r="I120" s="88"/>
    </row>
    <row r="121" spans="1:9" ht="19.8" customHeight="1" x14ac:dyDescent="0.3">
      <c r="A121" s="103">
        <v>45987</v>
      </c>
      <c r="B121" s="94" t="s">
        <v>66</v>
      </c>
      <c r="C121" s="95" t="s">
        <v>488</v>
      </c>
      <c r="D121" s="94" t="s">
        <v>403</v>
      </c>
      <c r="E121" s="104">
        <v>1.2222222222222221</v>
      </c>
      <c r="F121" s="94" t="s">
        <v>68</v>
      </c>
      <c r="G121" s="96">
        <v>9</v>
      </c>
      <c r="H121" s="97">
        <v>842</v>
      </c>
      <c r="I121" s="88"/>
    </row>
    <row r="122" spans="1:9" ht="19.8" customHeight="1" x14ac:dyDescent="0.3">
      <c r="A122" s="103">
        <v>45987</v>
      </c>
      <c r="B122" s="94" t="s">
        <v>66</v>
      </c>
      <c r="C122" s="95" t="s">
        <v>508</v>
      </c>
      <c r="D122" s="94" t="s">
        <v>403</v>
      </c>
      <c r="E122" s="104">
        <v>1.958333333333333</v>
      </c>
      <c r="F122" s="94" t="s">
        <v>68</v>
      </c>
      <c r="G122" s="96">
        <v>9</v>
      </c>
      <c r="H122" s="97">
        <v>842</v>
      </c>
      <c r="I122" s="88"/>
    </row>
    <row r="123" spans="1:9" ht="19.8" customHeight="1" x14ac:dyDescent="0.3">
      <c r="A123" s="103">
        <v>45987</v>
      </c>
      <c r="B123" s="94" t="s">
        <v>66</v>
      </c>
      <c r="C123" s="95" t="s">
        <v>490</v>
      </c>
      <c r="D123" s="94" t="s">
        <v>403</v>
      </c>
      <c r="E123" s="104">
        <v>1.274305555555556</v>
      </c>
      <c r="F123" s="94" t="s">
        <v>68</v>
      </c>
      <c r="G123" s="96">
        <v>9</v>
      </c>
      <c r="H123" s="97">
        <v>842</v>
      </c>
      <c r="I123" s="88"/>
    </row>
    <row r="124" spans="1:9" ht="19.8" customHeight="1" x14ac:dyDescent="0.3">
      <c r="A124" s="103">
        <v>45987</v>
      </c>
      <c r="B124" s="94" t="s">
        <v>66</v>
      </c>
      <c r="C124" s="95" t="s">
        <v>485</v>
      </c>
      <c r="D124" s="94" t="s">
        <v>403</v>
      </c>
      <c r="E124" s="104">
        <v>1.4861111111111109</v>
      </c>
      <c r="F124" s="94" t="s">
        <v>68</v>
      </c>
      <c r="G124" s="96">
        <v>9</v>
      </c>
      <c r="H124" s="97">
        <v>842</v>
      </c>
      <c r="I124" s="88"/>
    </row>
    <row r="125" spans="1:9" ht="19.8" customHeight="1" x14ac:dyDescent="0.3">
      <c r="A125" s="103">
        <v>45987</v>
      </c>
      <c r="B125" s="94" t="s">
        <v>66</v>
      </c>
      <c r="C125" s="95" t="s">
        <v>487</v>
      </c>
      <c r="D125" s="94" t="s">
        <v>403</v>
      </c>
      <c r="E125" s="104">
        <v>1.506944444444444</v>
      </c>
      <c r="F125" s="94" t="s">
        <v>68</v>
      </c>
      <c r="G125" s="96">
        <v>9</v>
      </c>
      <c r="H125" s="97">
        <v>842</v>
      </c>
      <c r="I125" s="88"/>
    </row>
    <row r="126" spans="1:9" ht="19.8" customHeight="1" x14ac:dyDescent="0.3">
      <c r="A126" s="103">
        <v>45987</v>
      </c>
      <c r="B126" s="94" t="s">
        <v>78</v>
      </c>
      <c r="C126" s="95" t="s">
        <v>464</v>
      </c>
      <c r="D126" s="94" t="s">
        <v>403</v>
      </c>
      <c r="E126" s="104">
        <v>1.006944444444444</v>
      </c>
      <c r="F126" s="94" t="s">
        <v>80</v>
      </c>
      <c r="G126" s="96">
        <v>9</v>
      </c>
      <c r="H126" s="97">
        <v>935</v>
      </c>
      <c r="I126" s="88"/>
    </row>
    <row r="127" spans="1:9" ht="19.8" customHeight="1" x14ac:dyDescent="0.3">
      <c r="A127" s="103">
        <v>45987</v>
      </c>
      <c r="B127" s="94" t="s">
        <v>78</v>
      </c>
      <c r="C127" s="95" t="s">
        <v>469</v>
      </c>
      <c r="D127" s="94" t="s">
        <v>403</v>
      </c>
      <c r="E127" s="104">
        <v>1.3784722222222221</v>
      </c>
      <c r="F127" s="94" t="s">
        <v>80</v>
      </c>
      <c r="G127" s="96">
        <v>9</v>
      </c>
      <c r="H127" s="97">
        <v>935</v>
      </c>
      <c r="I127" s="88"/>
    </row>
    <row r="128" spans="1:9" ht="19.8" customHeight="1" x14ac:dyDescent="0.3">
      <c r="A128" s="103">
        <v>45987</v>
      </c>
      <c r="B128" s="94" t="s">
        <v>78</v>
      </c>
      <c r="C128" s="95" t="s">
        <v>461</v>
      </c>
      <c r="D128" s="94" t="s">
        <v>403</v>
      </c>
      <c r="E128" s="104">
        <v>1.239583333333333</v>
      </c>
      <c r="F128" s="94" t="s">
        <v>80</v>
      </c>
      <c r="G128" s="96">
        <v>9</v>
      </c>
      <c r="H128" s="97">
        <v>935</v>
      </c>
      <c r="I128" s="88"/>
    </row>
    <row r="129" spans="1:9" ht="19.8" customHeight="1" x14ac:dyDescent="0.3">
      <c r="A129" s="103">
        <v>45987</v>
      </c>
      <c r="B129" s="94" t="s">
        <v>78</v>
      </c>
      <c r="C129" s="95" t="s">
        <v>464</v>
      </c>
      <c r="D129" s="94" t="s">
        <v>403</v>
      </c>
      <c r="E129" s="104">
        <v>1.006944444444444</v>
      </c>
      <c r="F129" s="94" t="s">
        <v>83</v>
      </c>
      <c r="G129" s="96">
        <v>9</v>
      </c>
      <c r="H129" s="97">
        <v>980</v>
      </c>
      <c r="I129" s="88"/>
    </row>
    <row r="130" spans="1:9" ht="19.8" customHeight="1" x14ac:dyDescent="0.3">
      <c r="A130" s="103">
        <v>45987</v>
      </c>
      <c r="B130" s="94" t="s">
        <v>78</v>
      </c>
      <c r="C130" s="95" t="s">
        <v>469</v>
      </c>
      <c r="D130" s="94" t="s">
        <v>403</v>
      </c>
      <c r="E130" s="104">
        <v>1.3784722222222221</v>
      </c>
      <c r="F130" s="94" t="s">
        <v>83</v>
      </c>
      <c r="G130" s="96">
        <v>9</v>
      </c>
      <c r="H130" s="97">
        <v>980</v>
      </c>
      <c r="I130" s="88"/>
    </row>
    <row r="131" spans="1:9" ht="19.8" customHeight="1" x14ac:dyDescent="0.3">
      <c r="A131" s="103">
        <v>45987</v>
      </c>
      <c r="B131" s="94" t="s">
        <v>78</v>
      </c>
      <c r="C131" s="95" t="s">
        <v>461</v>
      </c>
      <c r="D131" s="94" t="s">
        <v>403</v>
      </c>
      <c r="E131" s="104">
        <v>1.239583333333333</v>
      </c>
      <c r="F131" s="94" t="s">
        <v>83</v>
      </c>
      <c r="G131" s="96">
        <v>9</v>
      </c>
      <c r="H131" s="97">
        <v>980</v>
      </c>
      <c r="I131" s="88"/>
    </row>
    <row r="132" spans="1:9" ht="19.8" customHeight="1" x14ac:dyDescent="0.3">
      <c r="A132" s="103">
        <v>45987</v>
      </c>
      <c r="B132" s="94" t="s">
        <v>26</v>
      </c>
      <c r="C132" s="95" t="s">
        <v>451</v>
      </c>
      <c r="D132" s="94" t="s">
        <v>403</v>
      </c>
      <c r="E132" s="104">
        <v>1.1284722222222221</v>
      </c>
      <c r="F132" s="94" t="s">
        <v>34</v>
      </c>
      <c r="G132" s="96">
        <v>2</v>
      </c>
      <c r="H132" s="107" t="s">
        <v>35</v>
      </c>
      <c r="I132" s="88"/>
    </row>
    <row r="133" spans="1:9" ht="19.8" customHeight="1" x14ac:dyDescent="0.3">
      <c r="A133" s="103">
        <v>45987</v>
      </c>
      <c r="B133" s="94" t="s">
        <v>26</v>
      </c>
      <c r="C133" s="95" t="s">
        <v>453</v>
      </c>
      <c r="D133" s="94" t="s">
        <v>403</v>
      </c>
      <c r="E133" s="104">
        <v>1.302083333333333</v>
      </c>
      <c r="F133" s="94" t="s">
        <v>34</v>
      </c>
      <c r="G133" s="96">
        <v>5</v>
      </c>
      <c r="H133" s="107" t="s">
        <v>35</v>
      </c>
      <c r="I133" s="88"/>
    </row>
    <row r="134" spans="1:9" ht="19.8" customHeight="1" x14ac:dyDescent="0.3">
      <c r="A134" s="103">
        <v>45987</v>
      </c>
      <c r="B134" s="94" t="s">
        <v>26</v>
      </c>
      <c r="C134" s="95" t="s">
        <v>454</v>
      </c>
      <c r="D134" s="94" t="s">
        <v>403</v>
      </c>
      <c r="E134" s="104">
        <v>1.8888888888888891</v>
      </c>
      <c r="F134" s="94" t="s">
        <v>34</v>
      </c>
      <c r="G134" s="96">
        <v>9</v>
      </c>
      <c r="H134" s="107" t="s">
        <v>35</v>
      </c>
      <c r="I134" s="88"/>
    </row>
    <row r="135" spans="1:9" ht="19.8" customHeight="1" x14ac:dyDescent="0.3">
      <c r="A135" s="103">
        <v>45987</v>
      </c>
      <c r="B135" s="94" t="s">
        <v>26</v>
      </c>
      <c r="C135" s="95" t="s">
        <v>455</v>
      </c>
      <c r="D135" s="94" t="s">
        <v>403</v>
      </c>
      <c r="E135" s="104">
        <v>1.788194444444444</v>
      </c>
      <c r="F135" s="94" t="s">
        <v>34</v>
      </c>
      <c r="G135" s="96">
        <v>5</v>
      </c>
      <c r="H135" s="107" t="s">
        <v>35</v>
      </c>
      <c r="I135" s="88"/>
    </row>
    <row r="136" spans="1:9" ht="19.8" customHeight="1" x14ac:dyDescent="0.3">
      <c r="A136" s="103">
        <v>45987</v>
      </c>
      <c r="B136" s="94" t="s">
        <v>66</v>
      </c>
      <c r="C136" s="95" t="s">
        <v>509</v>
      </c>
      <c r="D136" s="94" t="s">
        <v>403</v>
      </c>
      <c r="E136" s="104">
        <v>1.0138888888888891</v>
      </c>
      <c r="F136" s="94" t="s">
        <v>68</v>
      </c>
      <c r="G136" s="96">
        <v>9</v>
      </c>
      <c r="H136" s="107" t="s">
        <v>510</v>
      </c>
      <c r="I136" s="88"/>
    </row>
    <row r="137" spans="1:9" ht="19.8" customHeight="1" x14ac:dyDescent="0.3">
      <c r="A137" s="103">
        <v>45987</v>
      </c>
      <c r="B137" s="94" t="s">
        <v>78</v>
      </c>
      <c r="C137" s="95" t="s">
        <v>468</v>
      </c>
      <c r="D137" s="94" t="s">
        <v>403</v>
      </c>
      <c r="E137" s="104">
        <v>1.930555555555556</v>
      </c>
      <c r="F137" s="94" t="s">
        <v>80</v>
      </c>
      <c r="G137" s="96">
        <v>9</v>
      </c>
      <c r="H137" s="107" t="s">
        <v>511</v>
      </c>
      <c r="I137" s="88"/>
    </row>
    <row r="138" spans="1:9" ht="19.8" customHeight="1" x14ac:dyDescent="0.3">
      <c r="A138" s="103">
        <v>45987</v>
      </c>
      <c r="B138" s="94" t="s">
        <v>78</v>
      </c>
      <c r="C138" s="95" t="s">
        <v>468</v>
      </c>
      <c r="D138" s="94" t="s">
        <v>403</v>
      </c>
      <c r="E138" s="104">
        <v>1.930555555555556</v>
      </c>
      <c r="F138" s="94" t="s">
        <v>83</v>
      </c>
      <c r="G138" s="96">
        <v>9</v>
      </c>
      <c r="H138" s="107" t="s">
        <v>512</v>
      </c>
      <c r="I138" s="88"/>
    </row>
    <row r="139" spans="1:9" ht="19.8" customHeight="1" x14ac:dyDescent="0.3">
      <c r="A139" s="103">
        <v>45987</v>
      </c>
      <c r="B139" s="94" t="s">
        <v>78</v>
      </c>
      <c r="C139" s="95" t="s">
        <v>473</v>
      </c>
      <c r="D139" s="94" t="s">
        <v>403</v>
      </c>
      <c r="E139" s="104">
        <v>1.8888888888888891</v>
      </c>
      <c r="F139" s="94" t="s">
        <v>83</v>
      </c>
      <c r="G139" s="96">
        <v>4</v>
      </c>
      <c r="H139" s="107" t="s">
        <v>474</v>
      </c>
      <c r="I139" s="88"/>
    </row>
    <row r="140" spans="1:9" ht="19.8" customHeight="1" x14ac:dyDescent="0.3">
      <c r="A140" s="103">
        <v>45987</v>
      </c>
      <c r="B140" s="94" t="s">
        <v>78</v>
      </c>
      <c r="C140" s="95" t="s">
        <v>475</v>
      </c>
      <c r="D140" s="94" t="s">
        <v>403</v>
      </c>
      <c r="E140" s="104">
        <v>1.302083333333333</v>
      </c>
      <c r="F140" s="94" t="s">
        <v>83</v>
      </c>
      <c r="G140" s="96">
        <v>4</v>
      </c>
      <c r="H140" s="107" t="s">
        <v>474</v>
      </c>
      <c r="I140" s="88"/>
    </row>
    <row r="141" spans="1:9" ht="19.8" customHeight="1" x14ac:dyDescent="0.3">
      <c r="A141" s="103">
        <v>45987</v>
      </c>
      <c r="B141" s="94" t="s">
        <v>78</v>
      </c>
      <c r="C141" s="95" t="s">
        <v>476</v>
      </c>
      <c r="D141" s="94" t="s">
        <v>403</v>
      </c>
      <c r="E141" s="104">
        <v>1.1284722222222221</v>
      </c>
      <c r="F141" s="94" t="s">
        <v>83</v>
      </c>
      <c r="G141" s="96">
        <v>4</v>
      </c>
      <c r="H141" s="107" t="s">
        <v>474</v>
      </c>
      <c r="I141" s="88"/>
    </row>
    <row r="142" spans="1:9" ht="19.8" customHeight="1" x14ac:dyDescent="0.3">
      <c r="A142" s="103">
        <v>45987</v>
      </c>
      <c r="B142" s="94" t="s">
        <v>78</v>
      </c>
      <c r="C142" s="95" t="s">
        <v>480</v>
      </c>
      <c r="D142" s="94" t="s">
        <v>403</v>
      </c>
      <c r="E142" s="104">
        <v>1.788194444444444</v>
      </c>
      <c r="F142" s="94" t="s">
        <v>83</v>
      </c>
      <c r="G142" s="96">
        <v>4</v>
      </c>
      <c r="H142" s="107" t="s">
        <v>474</v>
      </c>
      <c r="I142" s="88"/>
    </row>
    <row r="143" spans="1:9" ht="19.8" customHeight="1" x14ac:dyDescent="0.3">
      <c r="A143" s="103">
        <v>45987</v>
      </c>
      <c r="B143" s="94" t="s">
        <v>78</v>
      </c>
      <c r="C143" s="95" t="s">
        <v>470</v>
      </c>
      <c r="D143" s="94" t="s">
        <v>403</v>
      </c>
      <c r="E143" s="104">
        <v>1.71875</v>
      </c>
      <c r="F143" s="94" t="s">
        <v>80</v>
      </c>
      <c r="G143" s="96">
        <v>9</v>
      </c>
      <c r="H143" s="107" t="s">
        <v>478</v>
      </c>
      <c r="I143" s="88"/>
    </row>
    <row r="144" spans="1:9" ht="19.8" customHeight="1" x14ac:dyDescent="0.3">
      <c r="A144" s="103">
        <v>45987</v>
      </c>
      <c r="B144" s="94" t="s">
        <v>78</v>
      </c>
      <c r="C144" s="95" t="s">
        <v>477</v>
      </c>
      <c r="D144" s="94" t="s">
        <v>403</v>
      </c>
      <c r="E144" s="104">
        <v>1.8298611111111109</v>
      </c>
      <c r="F144" s="94" t="s">
        <v>80</v>
      </c>
      <c r="G144" s="96">
        <v>9</v>
      </c>
      <c r="H144" s="107" t="s">
        <v>478</v>
      </c>
      <c r="I144" s="88"/>
    </row>
    <row r="145" spans="1:9" ht="19.8" customHeight="1" x14ac:dyDescent="0.3">
      <c r="A145" s="103">
        <v>45987</v>
      </c>
      <c r="B145" s="94" t="s">
        <v>78</v>
      </c>
      <c r="C145" s="95" t="s">
        <v>482</v>
      </c>
      <c r="D145" s="94" t="s">
        <v>403</v>
      </c>
      <c r="E145" s="104">
        <v>1.6111111111111109</v>
      </c>
      <c r="F145" s="94" t="s">
        <v>80</v>
      </c>
      <c r="G145" s="96">
        <v>9</v>
      </c>
      <c r="H145" s="107" t="s">
        <v>478</v>
      </c>
      <c r="I145" s="88"/>
    </row>
    <row r="146" spans="1:9" ht="19.8" customHeight="1" x14ac:dyDescent="0.3">
      <c r="A146" s="103">
        <v>45987</v>
      </c>
      <c r="B146" s="94" t="s">
        <v>78</v>
      </c>
      <c r="C146" s="95" t="s">
        <v>470</v>
      </c>
      <c r="D146" s="94" t="s">
        <v>403</v>
      </c>
      <c r="E146" s="104">
        <v>1.71875</v>
      </c>
      <c r="F146" s="94" t="s">
        <v>83</v>
      </c>
      <c r="G146" s="96">
        <v>9</v>
      </c>
      <c r="H146" s="107" t="s">
        <v>479</v>
      </c>
      <c r="I146" s="88"/>
    </row>
    <row r="147" spans="1:9" ht="19.8" customHeight="1" x14ac:dyDescent="0.3">
      <c r="A147" s="103">
        <v>45987</v>
      </c>
      <c r="B147" s="94" t="s">
        <v>78</v>
      </c>
      <c r="C147" s="95" t="s">
        <v>477</v>
      </c>
      <c r="D147" s="94" t="s">
        <v>403</v>
      </c>
      <c r="E147" s="104">
        <v>1.8298611111111109</v>
      </c>
      <c r="F147" s="94" t="s">
        <v>83</v>
      </c>
      <c r="G147" s="96">
        <v>9</v>
      </c>
      <c r="H147" s="107" t="s">
        <v>479</v>
      </c>
      <c r="I147" s="88"/>
    </row>
    <row r="148" spans="1:9" ht="19.8" customHeight="1" x14ac:dyDescent="0.3">
      <c r="A148" s="103">
        <v>45987</v>
      </c>
      <c r="B148" s="94" t="s">
        <v>78</v>
      </c>
      <c r="C148" s="95" t="s">
        <v>482</v>
      </c>
      <c r="D148" s="94" t="s">
        <v>403</v>
      </c>
      <c r="E148" s="104">
        <v>1.6111111111111109</v>
      </c>
      <c r="F148" s="94" t="s">
        <v>83</v>
      </c>
      <c r="G148" s="96">
        <v>9</v>
      </c>
      <c r="H148" s="107" t="s">
        <v>479</v>
      </c>
      <c r="I148" s="88"/>
    </row>
    <row r="149" spans="1:9" ht="19.8" customHeight="1" x14ac:dyDescent="0.3">
      <c r="A149" s="113">
        <v>45987</v>
      </c>
      <c r="B149" s="114" t="s">
        <v>66</v>
      </c>
      <c r="C149" s="115" t="s">
        <v>492</v>
      </c>
      <c r="D149" s="114" t="s">
        <v>403</v>
      </c>
      <c r="E149" s="116">
        <v>1.774305555555556</v>
      </c>
      <c r="F149" s="114" t="s">
        <v>68</v>
      </c>
      <c r="G149" s="117">
        <v>4</v>
      </c>
      <c r="H149" s="118" t="s">
        <v>493</v>
      </c>
      <c r="I149" s="88"/>
    </row>
    <row r="150" spans="1:9" ht="19.8" customHeight="1" x14ac:dyDescent="0.3">
      <c r="A150" s="103">
        <v>45988</v>
      </c>
      <c r="B150" s="94" t="s">
        <v>26</v>
      </c>
      <c r="C150" s="95" t="s">
        <v>451</v>
      </c>
      <c r="D150" s="94" t="s">
        <v>403</v>
      </c>
      <c r="E150" s="104">
        <v>1.1284722222222221</v>
      </c>
      <c r="F150" s="94" t="s">
        <v>28</v>
      </c>
      <c r="G150" s="96">
        <v>3</v>
      </c>
      <c r="H150" s="97">
        <v>359</v>
      </c>
      <c r="I150" s="88"/>
    </row>
    <row r="151" spans="1:9" ht="19.8" customHeight="1" x14ac:dyDescent="0.3">
      <c r="A151" s="103">
        <v>45988</v>
      </c>
      <c r="B151" s="94" t="s">
        <v>26</v>
      </c>
      <c r="C151" s="95" t="s">
        <v>453</v>
      </c>
      <c r="D151" s="94" t="s">
        <v>403</v>
      </c>
      <c r="E151" s="104">
        <v>1.302083333333333</v>
      </c>
      <c r="F151" s="94" t="s">
        <v>28</v>
      </c>
      <c r="G151" s="96">
        <v>7</v>
      </c>
      <c r="H151" s="97">
        <v>389</v>
      </c>
      <c r="I151" s="88"/>
    </row>
    <row r="152" spans="1:9" ht="19.8" customHeight="1" x14ac:dyDescent="0.3">
      <c r="A152" s="103">
        <v>45988</v>
      </c>
      <c r="B152" s="94" t="s">
        <v>404</v>
      </c>
      <c r="C152" s="95" t="s">
        <v>408</v>
      </c>
      <c r="D152" s="94" t="s">
        <v>403</v>
      </c>
      <c r="E152" s="104">
        <v>1.59375</v>
      </c>
      <c r="F152" s="94" t="s">
        <v>406</v>
      </c>
      <c r="G152" s="96">
        <v>9</v>
      </c>
      <c r="H152" s="97">
        <v>400</v>
      </c>
      <c r="I152" s="88"/>
    </row>
    <row r="153" spans="1:9" ht="19.8" customHeight="1" x14ac:dyDescent="0.3">
      <c r="A153" s="103">
        <v>45988</v>
      </c>
      <c r="B153" s="94" t="s">
        <v>404</v>
      </c>
      <c r="C153" s="95" t="s">
        <v>405</v>
      </c>
      <c r="D153" s="94" t="s">
        <v>403</v>
      </c>
      <c r="E153" s="104">
        <v>1.291666666666667</v>
      </c>
      <c r="F153" s="94" t="s">
        <v>406</v>
      </c>
      <c r="G153" s="96">
        <v>9</v>
      </c>
      <c r="H153" s="97">
        <v>400</v>
      </c>
      <c r="I153" s="88"/>
    </row>
    <row r="154" spans="1:9" ht="19.8" customHeight="1" x14ac:dyDescent="0.3">
      <c r="A154" s="105">
        <v>45988</v>
      </c>
      <c r="B154" s="99" t="s">
        <v>44</v>
      </c>
      <c r="C154" s="100" t="s">
        <v>517</v>
      </c>
      <c r="D154" s="99" t="s">
        <v>403</v>
      </c>
      <c r="E154" s="106">
        <v>1.2534722222222221</v>
      </c>
      <c r="F154" s="99" t="s">
        <v>46</v>
      </c>
      <c r="G154" s="101">
        <v>9</v>
      </c>
      <c r="H154" s="102">
        <v>401</v>
      </c>
      <c r="I154" s="88"/>
    </row>
    <row r="155" spans="1:9" ht="19.8" customHeight="1" x14ac:dyDescent="0.3">
      <c r="A155" s="105">
        <v>45988</v>
      </c>
      <c r="B155" s="99" t="s">
        <v>44</v>
      </c>
      <c r="C155" s="100" t="s">
        <v>520</v>
      </c>
      <c r="D155" s="99" t="s">
        <v>403</v>
      </c>
      <c r="E155" s="106">
        <v>1.739583333333333</v>
      </c>
      <c r="F155" s="99" t="s">
        <v>46</v>
      </c>
      <c r="G155" s="101">
        <v>9</v>
      </c>
      <c r="H155" s="102">
        <v>401</v>
      </c>
      <c r="I155" s="88"/>
    </row>
    <row r="156" spans="1:9" ht="19.8" customHeight="1" x14ac:dyDescent="0.3">
      <c r="A156" s="105">
        <v>45988</v>
      </c>
      <c r="B156" s="99" t="s">
        <v>44</v>
      </c>
      <c r="C156" s="100" t="s">
        <v>425</v>
      </c>
      <c r="D156" s="99" t="s">
        <v>403</v>
      </c>
      <c r="E156" s="106">
        <v>1.583333333333333</v>
      </c>
      <c r="F156" s="99" t="s">
        <v>46</v>
      </c>
      <c r="G156" s="101">
        <v>9</v>
      </c>
      <c r="H156" s="102">
        <v>401</v>
      </c>
      <c r="I156" s="88"/>
    </row>
    <row r="157" spans="1:9" ht="19.8" customHeight="1" x14ac:dyDescent="0.3">
      <c r="A157" s="105">
        <v>45988</v>
      </c>
      <c r="B157" s="99" t="s">
        <v>44</v>
      </c>
      <c r="C157" s="100" t="s">
        <v>523</v>
      </c>
      <c r="D157" s="99" t="s">
        <v>403</v>
      </c>
      <c r="E157" s="106">
        <v>1.364583333333333</v>
      </c>
      <c r="F157" s="99" t="s">
        <v>46</v>
      </c>
      <c r="G157" s="101">
        <v>9</v>
      </c>
      <c r="H157" s="102">
        <v>401</v>
      </c>
      <c r="I157" s="88"/>
    </row>
    <row r="158" spans="1:9" ht="19.8" customHeight="1" x14ac:dyDescent="0.3">
      <c r="A158" s="103">
        <v>45988</v>
      </c>
      <c r="B158" s="94" t="s">
        <v>410</v>
      </c>
      <c r="C158" s="95" t="s">
        <v>413</v>
      </c>
      <c r="D158" s="94" t="s">
        <v>403</v>
      </c>
      <c r="E158" s="104">
        <v>1.666666666666667</v>
      </c>
      <c r="F158" s="94" t="s">
        <v>406</v>
      </c>
      <c r="G158" s="96">
        <v>8</v>
      </c>
      <c r="H158" s="97">
        <v>401</v>
      </c>
      <c r="I158" s="88"/>
    </row>
    <row r="159" spans="1:9" ht="19.8" customHeight="1" x14ac:dyDescent="0.3">
      <c r="A159" s="103">
        <v>45988</v>
      </c>
      <c r="B159" s="94" t="s">
        <v>36</v>
      </c>
      <c r="C159" s="95" t="s">
        <v>444</v>
      </c>
      <c r="D159" s="94" t="s">
        <v>403</v>
      </c>
      <c r="E159" s="104">
        <v>1.5173611111111109</v>
      </c>
      <c r="F159" s="94" t="s">
        <v>38</v>
      </c>
      <c r="G159" s="96">
        <v>8</v>
      </c>
      <c r="H159" s="97">
        <v>409</v>
      </c>
      <c r="I159" s="88"/>
    </row>
    <row r="160" spans="1:9" ht="19.8" customHeight="1" x14ac:dyDescent="0.3">
      <c r="A160" s="103">
        <v>45988</v>
      </c>
      <c r="B160" s="94" t="s">
        <v>26</v>
      </c>
      <c r="C160" s="95" t="s">
        <v>454</v>
      </c>
      <c r="D160" s="94" t="s">
        <v>403</v>
      </c>
      <c r="E160" s="104">
        <v>1.8888888888888891</v>
      </c>
      <c r="F160" s="94" t="s">
        <v>28</v>
      </c>
      <c r="G160" s="96">
        <v>8</v>
      </c>
      <c r="H160" s="97">
        <v>419</v>
      </c>
      <c r="I160" s="88"/>
    </row>
    <row r="161" spans="1:9" ht="19.8" customHeight="1" x14ac:dyDescent="0.3">
      <c r="A161" s="103">
        <v>45988</v>
      </c>
      <c r="B161" s="94" t="s">
        <v>26</v>
      </c>
      <c r="C161" s="95" t="s">
        <v>455</v>
      </c>
      <c r="D161" s="94" t="s">
        <v>403</v>
      </c>
      <c r="E161" s="104">
        <v>1.788194444444444</v>
      </c>
      <c r="F161" s="94" t="s">
        <v>28</v>
      </c>
      <c r="G161" s="96">
        <v>8</v>
      </c>
      <c r="H161" s="97">
        <v>419</v>
      </c>
      <c r="I161" s="88"/>
    </row>
    <row r="162" spans="1:9" ht="19.8" customHeight="1" x14ac:dyDescent="0.3">
      <c r="A162" s="105">
        <v>45988</v>
      </c>
      <c r="B162" s="99" t="s">
        <v>44</v>
      </c>
      <c r="C162" s="100" t="s">
        <v>415</v>
      </c>
      <c r="D162" s="99" t="s">
        <v>403</v>
      </c>
      <c r="E162" s="106">
        <v>1.333333333333333</v>
      </c>
      <c r="F162" s="99" t="s">
        <v>46</v>
      </c>
      <c r="G162" s="101">
        <v>5</v>
      </c>
      <c r="H162" s="102">
        <v>436</v>
      </c>
      <c r="I162" s="88"/>
    </row>
    <row r="163" spans="1:9" ht="19.8" customHeight="1" x14ac:dyDescent="0.3">
      <c r="A163" s="105">
        <v>45988</v>
      </c>
      <c r="B163" s="99" t="s">
        <v>44</v>
      </c>
      <c r="C163" s="100" t="s">
        <v>419</v>
      </c>
      <c r="D163" s="99" t="s">
        <v>403</v>
      </c>
      <c r="E163" s="106">
        <v>1.114583333333333</v>
      </c>
      <c r="F163" s="99" t="s">
        <v>46</v>
      </c>
      <c r="G163" s="101">
        <v>9</v>
      </c>
      <c r="H163" s="102">
        <v>436</v>
      </c>
      <c r="I163" s="88"/>
    </row>
    <row r="164" spans="1:9" ht="19.8" customHeight="1" x14ac:dyDescent="0.3">
      <c r="A164" s="105">
        <v>45988</v>
      </c>
      <c r="B164" s="99" t="s">
        <v>44</v>
      </c>
      <c r="C164" s="100" t="s">
        <v>422</v>
      </c>
      <c r="D164" s="99" t="s">
        <v>403</v>
      </c>
      <c r="E164" s="106">
        <v>1.0486111111111109</v>
      </c>
      <c r="F164" s="99" t="s">
        <v>46</v>
      </c>
      <c r="G164" s="101">
        <v>9</v>
      </c>
      <c r="H164" s="102">
        <v>436</v>
      </c>
      <c r="I164" s="88"/>
    </row>
    <row r="165" spans="1:9" ht="19.8" customHeight="1" x14ac:dyDescent="0.3">
      <c r="A165" s="103">
        <v>45988</v>
      </c>
      <c r="B165" s="94" t="s">
        <v>36</v>
      </c>
      <c r="C165" s="95" t="s">
        <v>438</v>
      </c>
      <c r="D165" s="94" t="s">
        <v>403</v>
      </c>
      <c r="E165" s="104">
        <v>1.854166666666667</v>
      </c>
      <c r="F165" s="94" t="s">
        <v>38</v>
      </c>
      <c r="G165" s="96">
        <v>8</v>
      </c>
      <c r="H165" s="97">
        <v>449</v>
      </c>
      <c r="I165" s="88"/>
    </row>
    <row r="166" spans="1:9" ht="19.8" customHeight="1" x14ac:dyDescent="0.3">
      <c r="A166" s="103">
        <v>45988</v>
      </c>
      <c r="B166" s="94" t="s">
        <v>36</v>
      </c>
      <c r="C166" s="95" t="s">
        <v>442</v>
      </c>
      <c r="D166" s="94" t="s">
        <v>403</v>
      </c>
      <c r="E166" s="104">
        <v>1.256944444444444</v>
      </c>
      <c r="F166" s="94" t="s">
        <v>38</v>
      </c>
      <c r="G166" s="96">
        <v>7</v>
      </c>
      <c r="H166" s="97">
        <v>449</v>
      </c>
      <c r="I166" s="88"/>
    </row>
    <row r="167" spans="1:9" ht="19.8" customHeight="1" x14ac:dyDescent="0.3">
      <c r="A167" s="103">
        <v>45988</v>
      </c>
      <c r="B167" s="94" t="s">
        <v>36</v>
      </c>
      <c r="C167" s="95" t="s">
        <v>443</v>
      </c>
      <c r="D167" s="94" t="s">
        <v>403</v>
      </c>
      <c r="E167" s="104">
        <v>1.302083333333333</v>
      </c>
      <c r="F167" s="94" t="s">
        <v>38</v>
      </c>
      <c r="G167" s="96">
        <v>9</v>
      </c>
      <c r="H167" s="97">
        <v>449</v>
      </c>
      <c r="I167" s="88"/>
    </row>
    <row r="168" spans="1:9" ht="19.8" customHeight="1" x14ac:dyDescent="0.3">
      <c r="A168" s="103">
        <v>45988</v>
      </c>
      <c r="B168" s="94" t="s">
        <v>36</v>
      </c>
      <c r="C168" s="95" t="s">
        <v>435</v>
      </c>
      <c r="D168" s="94" t="s">
        <v>403</v>
      </c>
      <c r="E168" s="104">
        <v>1.9027777777777779</v>
      </c>
      <c r="F168" s="94" t="s">
        <v>38</v>
      </c>
      <c r="G168" s="96">
        <v>8</v>
      </c>
      <c r="H168" s="97">
        <v>449</v>
      </c>
      <c r="I168" s="88"/>
    </row>
    <row r="169" spans="1:9" ht="19.8" customHeight="1" x14ac:dyDescent="0.3">
      <c r="A169" s="103">
        <v>45988</v>
      </c>
      <c r="B169" s="94" t="s">
        <v>36</v>
      </c>
      <c r="C169" s="95" t="s">
        <v>445</v>
      </c>
      <c r="D169" s="94" t="s">
        <v>403</v>
      </c>
      <c r="E169" s="104">
        <v>1.7986111111111109</v>
      </c>
      <c r="F169" s="94" t="s">
        <v>38</v>
      </c>
      <c r="G169" s="96">
        <v>9</v>
      </c>
      <c r="H169" s="97">
        <v>449</v>
      </c>
      <c r="I169" s="88"/>
    </row>
    <row r="170" spans="1:9" ht="19.8" customHeight="1" x14ac:dyDescent="0.3">
      <c r="A170" s="103">
        <v>45988</v>
      </c>
      <c r="B170" s="94" t="s">
        <v>36</v>
      </c>
      <c r="C170" s="95" t="s">
        <v>447</v>
      </c>
      <c r="D170" s="94" t="s">
        <v>403</v>
      </c>
      <c r="E170" s="104">
        <v>1.395833333333333</v>
      </c>
      <c r="F170" s="94" t="s">
        <v>38</v>
      </c>
      <c r="G170" s="96">
        <v>9</v>
      </c>
      <c r="H170" s="97">
        <v>449</v>
      </c>
      <c r="I170" s="88"/>
    </row>
    <row r="171" spans="1:9" ht="19.8" customHeight="1" x14ac:dyDescent="0.3">
      <c r="A171" s="103">
        <v>45988</v>
      </c>
      <c r="B171" s="94" t="s">
        <v>36</v>
      </c>
      <c r="C171" s="95" t="s">
        <v>446</v>
      </c>
      <c r="D171" s="94" t="s">
        <v>403</v>
      </c>
      <c r="E171" s="104">
        <v>1.6597222222222221</v>
      </c>
      <c r="F171" s="94" t="s">
        <v>38</v>
      </c>
      <c r="G171" s="96">
        <v>9</v>
      </c>
      <c r="H171" s="97">
        <v>449</v>
      </c>
      <c r="I171" s="88"/>
    </row>
    <row r="172" spans="1:9" ht="19.8" customHeight="1" x14ac:dyDescent="0.3">
      <c r="A172" s="103">
        <v>45988</v>
      </c>
      <c r="B172" s="94" t="s">
        <v>456</v>
      </c>
      <c r="C172" s="95" t="s">
        <v>500</v>
      </c>
      <c r="D172" s="94" t="s">
        <v>403</v>
      </c>
      <c r="E172" s="104">
        <v>1.3298611111111109</v>
      </c>
      <c r="F172" s="94" t="s">
        <v>458</v>
      </c>
      <c r="G172" s="96">
        <v>9</v>
      </c>
      <c r="H172" s="97">
        <v>469</v>
      </c>
      <c r="I172" s="88"/>
    </row>
    <row r="173" spans="1:9" ht="19.8" customHeight="1" x14ac:dyDescent="0.3">
      <c r="A173" s="103">
        <v>45988</v>
      </c>
      <c r="B173" s="94" t="s">
        <v>26</v>
      </c>
      <c r="C173" s="95" t="s">
        <v>451</v>
      </c>
      <c r="D173" s="94" t="s">
        <v>403</v>
      </c>
      <c r="E173" s="104">
        <v>1.1284722222222221</v>
      </c>
      <c r="F173" s="94" t="s">
        <v>31</v>
      </c>
      <c r="G173" s="96">
        <v>3</v>
      </c>
      <c r="H173" s="97">
        <v>509</v>
      </c>
      <c r="I173" s="88"/>
    </row>
    <row r="174" spans="1:9" ht="19.8" customHeight="1" x14ac:dyDescent="0.3">
      <c r="A174" s="103">
        <v>45988</v>
      </c>
      <c r="B174" s="94" t="s">
        <v>36</v>
      </c>
      <c r="C174" s="95" t="s">
        <v>444</v>
      </c>
      <c r="D174" s="94" t="s">
        <v>403</v>
      </c>
      <c r="E174" s="104">
        <v>1.5173611111111109</v>
      </c>
      <c r="F174" s="94" t="s">
        <v>40</v>
      </c>
      <c r="G174" s="96">
        <v>8</v>
      </c>
      <c r="H174" s="97">
        <v>509</v>
      </c>
      <c r="I174" s="88"/>
    </row>
    <row r="175" spans="1:9" ht="19.8" customHeight="1" x14ac:dyDescent="0.3">
      <c r="A175" s="103">
        <v>45988</v>
      </c>
      <c r="B175" s="94" t="s">
        <v>26</v>
      </c>
      <c r="C175" s="95" t="s">
        <v>453</v>
      </c>
      <c r="D175" s="94" t="s">
        <v>403</v>
      </c>
      <c r="E175" s="104">
        <v>1.302083333333333</v>
      </c>
      <c r="F175" s="94" t="s">
        <v>31</v>
      </c>
      <c r="G175" s="96">
        <v>7</v>
      </c>
      <c r="H175" s="97">
        <v>539</v>
      </c>
      <c r="I175" s="88"/>
    </row>
    <row r="176" spans="1:9" ht="19.8" customHeight="1" x14ac:dyDescent="0.3">
      <c r="A176" s="103">
        <v>45988</v>
      </c>
      <c r="B176" s="94" t="s">
        <v>36</v>
      </c>
      <c r="C176" s="95" t="s">
        <v>438</v>
      </c>
      <c r="D176" s="94" t="s">
        <v>403</v>
      </c>
      <c r="E176" s="104">
        <v>1.854166666666667</v>
      </c>
      <c r="F176" s="94" t="s">
        <v>40</v>
      </c>
      <c r="G176" s="96">
        <v>8</v>
      </c>
      <c r="H176" s="97">
        <v>549</v>
      </c>
      <c r="I176" s="88"/>
    </row>
    <row r="177" spans="1:9" ht="19.8" customHeight="1" x14ac:dyDescent="0.3">
      <c r="A177" s="103">
        <v>45988</v>
      </c>
      <c r="B177" s="94" t="s">
        <v>36</v>
      </c>
      <c r="C177" s="95" t="s">
        <v>442</v>
      </c>
      <c r="D177" s="94" t="s">
        <v>403</v>
      </c>
      <c r="E177" s="104">
        <v>1.256944444444444</v>
      </c>
      <c r="F177" s="94" t="s">
        <v>40</v>
      </c>
      <c r="G177" s="96">
        <v>7</v>
      </c>
      <c r="H177" s="97">
        <v>549</v>
      </c>
      <c r="I177" s="88"/>
    </row>
    <row r="178" spans="1:9" ht="19.8" customHeight="1" x14ac:dyDescent="0.3">
      <c r="A178" s="103">
        <v>45988</v>
      </c>
      <c r="B178" s="94" t="s">
        <v>36</v>
      </c>
      <c r="C178" s="95" t="s">
        <v>443</v>
      </c>
      <c r="D178" s="94" t="s">
        <v>403</v>
      </c>
      <c r="E178" s="104">
        <v>1.302083333333333</v>
      </c>
      <c r="F178" s="94" t="s">
        <v>40</v>
      </c>
      <c r="G178" s="96">
        <v>9</v>
      </c>
      <c r="H178" s="97">
        <v>549</v>
      </c>
      <c r="I178" s="88"/>
    </row>
    <row r="179" spans="1:9" ht="19.8" customHeight="1" x14ac:dyDescent="0.3">
      <c r="A179" s="103">
        <v>45988</v>
      </c>
      <c r="B179" s="94" t="s">
        <v>36</v>
      </c>
      <c r="C179" s="95" t="s">
        <v>435</v>
      </c>
      <c r="D179" s="94" t="s">
        <v>403</v>
      </c>
      <c r="E179" s="104">
        <v>1.9027777777777779</v>
      </c>
      <c r="F179" s="94" t="s">
        <v>40</v>
      </c>
      <c r="G179" s="96">
        <v>8</v>
      </c>
      <c r="H179" s="97">
        <v>549</v>
      </c>
      <c r="I179" s="88"/>
    </row>
    <row r="180" spans="1:9" ht="19.8" customHeight="1" x14ac:dyDescent="0.3">
      <c r="A180" s="103">
        <v>45988</v>
      </c>
      <c r="B180" s="94" t="s">
        <v>36</v>
      </c>
      <c r="C180" s="95" t="s">
        <v>445</v>
      </c>
      <c r="D180" s="94" t="s">
        <v>403</v>
      </c>
      <c r="E180" s="104">
        <v>1.7986111111111109</v>
      </c>
      <c r="F180" s="94" t="s">
        <v>40</v>
      </c>
      <c r="G180" s="96">
        <v>9</v>
      </c>
      <c r="H180" s="97">
        <v>549</v>
      </c>
      <c r="I180" s="88"/>
    </row>
    <row r="181" spans="1:9" ht="19.8" customHeight="1" x14ac:dyDescent="0.3">
      <c r="A181" s="103">
        <v>45988</v>
      </c>
      <c r="B181" s="94" t="s">
        <v>36</v>
      </c>
      <c r="C181" s="95" t="s">
        <v>447</v>
      </c>
      <c r="D181" s="94" t="s">
        <v>403</v>
      </c>
      <c r="E181" s="104">
        <v>1.395833333333333</v>
      </c>
      <c r="F181" s="94" t="s">
        <v>40</v>
      </c>
      <c r="G181" s="96">
        <v>9</v>
      </c>
      <c r="H181" s="97">
        <v>549</v>
      </c>
      <c r="I181" s="88"/>
    </row>
    <row r="182" spans="1:9" ht="19.8" customHeight="1" x14ac:dyDescent="0.3">
      <c r="A182" s="103">
        <v>45988</v>
      </c>
      <c r="B182" s="94" t="s">
        <v>36</v>
      </c>
      <c r="C182" s="95" t="s">
        <v>446</v>
      </c>
      <c r="D182" s="94" t="s">
        <v>403</v>
      </c>
      <c r="E182" s="104">
        <v>1.6597222222222221</v>
      </c>
      <c r="F182" s="94" t="s">
        <v>40</v>
      </c>
      <c r="G182" s="96">
        <v>9</v>
      </c>
      <c r="H182" s="97">
        <v>549</v>
      </c>
      <c r="I182" s="88"/>
    </row>
    <row r="183" spans="1:9" ht="19.8" customHeight="1" x14ac:dyDescent="0.3">
      <c r="A183" s="103">
        <v>45988</v>
      </c>
      <c r="B183" s="94" t="s">
        <v>26</v>
      </c>
      <c r="C183" s="95" t="s">
        <v>454</v>
      </c>
      <c r="D183" s="94" t="s">
        <v>403</v>
      </c>
      <c r="E183" s="104">
        <v>1.8888888888888891</v>
      </c>
      <c r="F183" s="94" t="s">
        <v>31</v>
      </c>
      <c r="G183" s="96">
        <v>8</v>
      </c>
      <c r="H183" s="97">
        <v>569</v>
      </c>
      <c r="I183" s="88"/>
    </row>
    <row r="184" spans="1:9" ht="19.8" customHeight="1" x14ac:dyDescent="0.3">
      <c r="A184" s="103">
        <v>45988</v>
      </c>
      <c r="B184" s="94" t="s">
        <v>26</v>
      </c>
      <c r="C184" s="95" t="s">
        <v>455</v>
      </c>
      <c r="D184" s="94" t="s">
        <v>403</v>
      </c>
      <c r="E184" s="104">
        <v>1.788194444444444</v>
      </c>
      <c r="F184" s="94" t="s">
        <v>31</v>
      </c>
      <c r="G184" s="96">
        <v>8</v>
      </c>
      <c r="H184" s="97">
        <v>569</v>
      </c>
      <c r="I184" s="88"/>
    </row>
    <row r="185" spans="1:9" ht="19.8" customHeight="1" x14ac:dyDescent="0.3">
      <c r="A185" s="103">
        <v>45988</v>
      </c>
      <c r="B185" s="94" t="s">
        <v>456</v>
      </c>
      <c r="C185" s="95" t="s">
        <v>500</v>
      </c>
      <c r="D185" s="94" t="s">
        <v>403</v>
      </c>
      <c r="E185" s="104">
        <v>1.3298611111111109</v>
      </c>
      <c r="F185" s="94" t="s">
        <v>34</v>
      </c>
      <c r="G185" s="96">
        <v>9</v>
      </c>
      <c r="H185" s="97">
        <v>593</v>
      </c>
      <c r="I185" s="88"/>
    </row>
    <row r="186" spans="1:9" ht="19.8" customHeight="1" x14ac:dyDescent="0.3">
      <c r="A186" s="103">
        <v>45988</v>
      </c>
      <c r="B186" s="94" t="s">
        <v>36</v>
      </c>
      <c r="C186" s="95" t="s">
        <v>444</v>
      </c>
      <c r="D186" s="94" t="s">
        <v>403</v>
      </c>
      <c r="E186" s="104">
        <v>1.5173611111111109</v>
      </c>
      <c r="F186" s="94" t="s">
        <v>42</v>
      </c>
      <c r="G186" s="96">
        <v>8</v>
      </c>
      <c r="H186" s="97">
        <v>599</v>
      </c>
      <c r="I186" s="88"/>
    </row>
    <row r="187" spans="1:9" ht="19.8" customHeight="1" x14ac:dyDescent="0.3">
      <c r="A187" s="103">
        <v>45988</v>
      </c>
      <c r="B187" s="94" t="s">
        <v>36</v>
      </c>
      <c r="C187" s="95" t="s">
        <v>438</v>
      </c>
      <c r="D187" s="94" t="s">
        <v>403</v>
      </c>
      <c r="E187" s="104">
        <v>1.854166666666667</v>
      </c>
      <c r="F187" s="94" t="s">
        <v>42</v>
      </c>
      <c r="G187" s="96">
        <v>8</v>
      </c>
      <c r="H187" s="97">
        <v>639</v>
      </c>
      <c r="I187" s="88"/>
    </row>
    <row r="188" spans="1:9" ht="19.8" customHeight="1" x14ac:dyDescent="0.3">
      <c r="A188" s="103">
        <v>45988</v>
      </c>
      <c r="B188" s="94" t="s">
        <v>36</v>
      </c>
      <c r="C188" s="95" t="s">
        <v>442</v>
      </c>
      <c r="D188" s="94" t="s">
        <v>403</v>
      </c>
      <c r="E188" s="104">
        <v>1.256944444444444</v>
      </c>
      <c r="F188" s="94" t="s">
        <v>42</v>
      </c>
      <c r="G188" s="96">
        <v>7</v>
      </c>
      <c r="H188" s="97">
        <v>639</v>
      </c>
      <c r="I188" s="88"/>
    </row>
    <row r="189" spans="1:9" ht="19.8" customHeight="1" x14ac:dyDescent="0.3">
      <c r="A189" s="103">
        <v>45988</v>
      </c>
      <c r="B189" s="94" t="s">
        <v>36</v>
      </c>
      <c r="C189" s="95" t="s">
        <v>443</v>
      </c>
      <c r="D189" s="94" t="s">
        <v>403</v>
      </c>
      <c r="E189" s="104">
        <v>1.302083333333333</v>
      </c>
      <c r="F189" s="94" t="s">
        <v>42</v>
      </c>
      <c r="G189" s="96">
        <v>9</v>
      </c>
      <c r="H189" s="97">
        <v>639</v>
      </c>
      <c r="I189" s="88"/>
    </row>
    <row r="190" spans="1:9" ht="19.8" customHeight="1" x14ac:dyDescent="0.3">
      <c r="A190" s="103">
        <v>45988</v>
      </c>
      <c r="B190" s="94" t="s">
        <v>36</v>
      </c>
      <c r="C190" s="95" t="s">
        <v>435</v>
      </c>
      <c r="D190" s="94" t="s">
        <v>403</v>
      </c>
      <c r="E190" s="104">
        <v>1.9027777777777779</v>
      </c>
      <c r="F190" s="94" t="s">
        <v>42</v>
      </c>
      <c r="G190" s="96">
        <v>8</v>
      </c>
      <c r="H190" s="97">
        <v>639</v>
      </c>
      <c r="I190" s="88"/>
    </row>
    <row r="191" spans="1:9" ht="19.8" customHeight="1" x14ac:dyDescent="0.3">
      <c r="A191" s="103">
        <v>45988</v>
      </c>
      <c r="B191" s="94" t="s">
        <v>36</v>
      </c>
      <c r="C191" s="95" t="s">
        <v>445</v>
      </c>
      <c r="D191" s="94" t="s">
        <v>403</v>
      </c>
      <c r="E191" s="104">
        <v>1.7986111111111109</v>
      </c>
      <c r="F191" s="94" t="s">
        <v>42</v>
      </c>
      <c r="G191" s="96">
        <v>9</v>
      </c>
      <c r="H191" s="97">
        <v>639</v>
      </c>
      <c r="I191" s="88"/>
    </row>
    <row r="192" spans="1:9" ht="19.8" customHeight="1" x14ac:dyDescent="0.3">
      <c r="A192" s="103">
        <v>45988</v>
      </c>
      <c r="B192" s="94" t="s">
        <v>36</v>
      </c>
      <c r="C192" s="95" t="s">
        <v>447</v>
      </c>
      <c r="D192" s="94" t="s">
        <v>403</v>
      </c>
      <c r="E192" s="104">
        <v>1.395833333333333</v>
      </c>
      <c r="F192" s="94" t="s">
        <v>42</v>
      </c>
      <c r="G192" s="96">
        <v>9</v>
      </c>
      <c r="H192" s="97">
        <v>639</v>
      </c>
      <c r="I192" s="88"/>
    </row>
    <row r="193" spans="1:9" ht="19.8" customHeight="1" x14ac:dyDescent="0.3">
      <c r="A193" s="103">
        <v>45988</v>
      </c>
      <c r="B193" s="94" t="s">
        <v>36</v>
      </c>
      <c r="C193" s="95" t="s">
        <v>446</v>
      </c>
      <c r="D193" s="94" t="s">
        <v>403</v>
      </c>
      <c r="E193" s="104">
        <v>1.6597222222222221</v>
      </c>
      <c r="F193" s="94" t="s">
        <v>42</v>
      </c>
      <c r="G193" s="96">
        <v>9</v>
      </c>
      <c r="H193" s="97">
        <v>639</v>
      </c>
      <c r="I193" s="88"/>
    </row>
    <row r="194" spans="1:9" ht="19.8" customHeight="1" x14ac:dyDescent="0.3">
      <c r="A194" s="103">
        <v>45988</v>
      </c>
      <c r="B194" s="94" t="s">
        <v>66</v>
      </c>
      <c r="C194" s="95" t="s">
        <v>488</v>
      </c>
      <c r="D194" s="94" t="s">
        <v>403</v>
      </c>
      <c r="E194" s="104">
        <v>1.2222222222222221</v>
      </c>
      <c r="F194" s="94" t="s">
        <v>68</v>
      </c>
      <c r="G194" s="96">
        <v>9</v>
      </c>
      <c r="H194" s="97">
        <v>673</v>
      </c>
      <c r="I194" s="88"/>
    </row>
    <row r="195" spans="1:9" ht="19.8" customHeight="1" x14ac:dyDescent="0.3">
      <c r="A195" s="103">
        <v>45988</v>
      </c>
      <c r="B195" s="94" t="s">
        <v>66</v>
      </c>
      <c r="C195" s="95" t="s">
        <v>505</v>
      </c>
      <c r="D195" s="94" t="s">
        <v>403</v>
      </c>
      <c r="E195" s="104">
        <v>1.145833333333333</v>
      </c>
      <c r="F195" s="94" t="s">
        <v>68</v>
      </c>
      <c r="G195" s="96">
        <v>9</v>
      </c>
      <c r="H195" s="97">
        <v>673</v>
      </c>
      <c r="I195" s="88"/>
    </row>
    <row r="196" spans="1:9" ht="19.8" customHeight="1" x14ac:dyDescent="0.3">
      <c r="A196" s="103">
        <v>45988</v>
      </c>
      <c r="B196" s="94" t="s">
        <v>78</v>
      </c>
      <c r="C196" s="95" t="s">
        <v>467</v>
      </c>
      <c r="D196" s="94" t="s">
        <v>403</v>
      </c>
      <c r="E196" s="104">
        <v>1.1423611111111109</v>
      </c>
      <c r="F196" s="94" t="s">
        <v>80</v>
      </c>
      <c r="G196" s="96">
        <v>9</v>
      </c>
      <c r="H196" s="97">
        <v>678</v>
      </c>
      <c r="I196" s="88"/>
    </row>
    <row r="197" spans="1:9" ht="19.8" customHeight="1" x14ac:dyDescent="0.3">
      <c r="A197" s="103">
        <v>45988</v>
      </c>
      <c r="B197" s="94" t="s">
        <v>78</v>
      </c>
      <c r="C197" s="95" t="s">
        <v>469</v>
      </c>
      <c r="D197" s="94" t="s">
        <v>403</v>
      </c>
      <c r="E197" s="104">
        <v>1.3784722222222221</v>
      </c>
      <c r="F197" s="94" t="s">
        <v>80</v>
      </c>
      <c r="G197" s="96">
        <v>9</v>
      </c>
      <c r="H197" s="97">
        <v>678</v>
      </c>
      <c r="I197" s="88"/>
    </row>
    <row r="198" spans="1:9" ht="19.8" customHeight="1" x14ac:dyDescent="0.3">
      <c r="A198" s="103">
        <v>45988</v>
      </c>
      <c r="B198" s="94" t="s">
        <v>78</v>
      </c>
      <c r="C198" s="95" t="s">
        <v>461</v>
      </c>
      <c r="D198" s="94" t="s">
        <v>403</v>
      </c>
      <c r="E198" s="104">
        <v>1.243055555555556</v>
      </c>
      <c r="F198" s="94" t="s">
        <v>80</v>
      </c>
      <c r="G198" s="96">
        <v>9</v>
      </c>
      <c r="H198" s="97">
        <v>678</v>
      </c>
      <c r="I198" s="88"/>
    </row>
    <row r="199" spans="1:9" ht="19.8" customHeight="1" x14ac:dyDescent="0.3">
      <c r="A199" s="103">
        <v>45988</v>
      </c>
      <c r="B199" s="94" t="s">
        <v>78</v>
      </c>
      <c r="C199" s="95" t="s">
        <v>467</v>
      </c>
      <c r="D199" s="94" t="s">
        <v>403</v>
      </c>
      <c r="E199" s="104">
        <v>1.1423611111111109</v>
      </c>
      <c r="F199" s="94" t="s">
        <v>83</v>
      </c>
      <c r="G199" s="96">
        <v>9</v>
      </c>
      <c r="H199" s="97">
        <v>723</v>
      </c>
      <c r="I199" s="88"/>
    </row>
    <row r="200" spans="1:9" ht="19.8" customHeight="1" x14ac:dyDescent="0.3">
      <c r="A200" s="103">
        <v>45988</v>
      </c>
      <c r="B200" s="94" t="s">
        <v>78</v>
      </c>
      <c r="C200" s="95" t="s">
        <v>469</v>
      </c>
      <c r="D200" s="94" t="s">
        <v>403</v>
      </c>
      <c r="E200" s="104">
        <v>1.3784722222222221</v>
      </c>
      <c r="F200" s="94" t="s">
        <v>83</v>
      </c>
      <c r="G200" s="96">
        <v>9</v>
      </c>
      <c r="H200" s="97">
        <v>723</v>
      </c>
      <c r="I200" s="88"/>
    </row>
    <row r="201" spans="1:9" ht="19.8" customHeight="1" x14ac:dyDescent="0.3">
      <c r="A201" s="103">
        <v>45988</v>
      </c>
      <c r="B201" s="94" t="s">
        <v>78</v>
      </c>
      <c r="C201" s="95" t="s">
        <v>461</v>
      </c>
      <c r="D201" s="94" t="s">
        <v>403</v>
      </c>
      <c r="E201" s="104">
        <v>1.243055555555556</v>
      </c>
      <c r="F201" s="94" t="s">
        <v>83</v>
      </c>
      <c r="G201" s="96">
        <v>9</v>
      </c>
      <c r="H201" s="97">
        <v>723</v>
      </c>
      <c r="I201" s="88"/>
    </row>
    <row r="202" spans="1:9" ht="19.8" customHeight="1" x14ac:dyDescent="0.3">
      <c r="A202" s="103">
        <v>45988</v>
      </c>
      <c r="B202" s="94" t="s">
        <v>66</v>
      </c>
      <c r="C202" s="95" t="s">
        <v>485</v>
      </c>
      <c r="D202" s="94" t="s">
        <v>403</v>
      </c>
      <c r="E202" s="104">
        <v>1.4861111111111109</v>
      </c>
      <c r="F202" s="94" t="s">
        <v>68</v>
      </c>
      <c r="G202" s="96">
        <v>9</v>
      </c>
      <c r="H202" s="97">
        <v>765</v>
      </c>
      <c r="I202" s="88"/>
    </row>
    <row r="203" spans="1:9" ht="19.8" customHeight="1" x14ac:dyDescent="0.3">
      <c r="A203" s="103">
        <v>45988</v>
      </c>
      <c r="B203" s="94" t="s">
        <v>66</v>
      </c>
      <c r="C203" s="95" t="s">
        <v>487</v>
      </c>
      <c r="D203" s="94" t="s">
        <v>403</v>
      </c>
      <c r="E203" s="104">
        <v>1.5138888888888891</v>
      </c>
      <c r="F203" s="94" t="s">
        <v>68</v>
      </c>
      <c r="G203" s="96">
        <v>9</v>
      </c>
      <c r="H203" s="97">
        <v>765</v>
      </c>
      <c r="I203" s="88"/>
    </row>
    <row r="204" spans="1:9" ht="19.8" customHeight="1" x14ac:dyDescent="0.3">
      <c r="A204" s="103">
        <v>45988</v>
      </c>
      <c r="B204" s="94" t="s">
        <v>66</v>
      </c>
      <c r="C204" s="95" t="s">
        <v>508</v>
      </c>
      <c r="D204" s="94" t="s">
        <v>403</v>
      </c>
      <c r="E204" s="104">
        <v>1.958333333333333</v>
      </c>
      <c r="F204" s="94" t="s">
        <v>68</v>
      </c>
      <c r="G204" s="96">
        <v>9</v>
      </c>
      <c r="H204" s="97">
        <v>842</v>
      </c>
      <c r="I204" s="88"/>
    </row>
    <row r="205" spans="1:9" ht="19.8" customHeight="1" x14ac:dyDescent="0.3">
      <c r="A205" s="103">
        <v>45988</v>
      </c>
      <c r="B205" s="94" t="s">
        <v>78</v>
      </c>
      <c r="C205" s="95" t="s">
        <v>464</v>
      </c>
      <c r="D205" s="94" t="s">
        <v>403</v>
      </c>
      <c r="E205" s="104">
        <v>1.006944444444444</v>
      </c>
      <c r="F205" s="94" t="s">
        <v>80</v>
      </c>
      <c r="G205" s="96">
        <v>9</v>
      </c>
      <c r="H205" s="97">
        <v>935</v>
      </c>
      <c r="I205" s="88"/>
    </row>
    <row r="206" spans="1:9" ht="19.8" customHeight="1" x14ac:dyDescent="0.3">
      <c r="A206" s="103">
        <v>45988</v>
      </c>
      <c r="B206" s="94" t="s">
        <v>66</v>
      </c>
      <c r="C206" s="95" t="s">
        <v>492</v>
      </c>
      <c r="D206" s="94" t="s">
        <v>403</v>
      </c>
      <c r="E206" s="104">
        <v>1.774305555555556</v>
      </c>
      <c r="F206" s="94" t="s">
        <v>68</v>
      </c>
      <c r="G206" s="96">
        <v>9</v>
      </c>
      <c r="H206" s="97">
        <v>970</v>
      </c>
      <c r="I206" s="88"/>
    </row>
    <row r="207" spans="1:9" ht="19.8" customHeight="1" x14ac:dyDescent="0.3">
      <c r="A207" s="103">
        <v>45988</v>
      </c>
      <c r="B207" s="94" t="s">
        <v>66</v>
      </c>
      <c r="C207" s="95" t="s">
        <v>509</v>
      </c>
      <c r="D207" s="94" t="s">
        <v>403</v>
      </c>
      <c r="E207" s="104">
        <v>1.0138888888888891</v>
      </c>
      <c r="F207" s="94" t="s">
        <v>68</v>
      </c>
      <c r="G207" s="96">
        <v>9</v>
      </c>
      <c r="H207" s="97">
        <v>970</v>
      </c>
      <c r="I207" s="88"/>
    </row>
    <row r="208" spans="1:9" ht="19.8" customHeight="1" x14ac:dyDescent="0.3">
      <c r="A208" s="103">
        <v>45988</v>
      </c>
      <c r="B208" s="94" t="s">
        <v>66</v>
      </c>
      <c r="C208" s="95" t="s">
        <v>490</v>
      </c>
      <c r="D208" s="94" t="s">
        <v>403</v>
      </c>
      <c r="E208" s="104">
        <v>1.2777777777777779</v>
      </c>
      <c r="F208" s="94" t="s">
        <v>68</v>
      </c>
      <c r="G208" s="96">
        <v>9</v>
      </c>
      <c r="H208" s="97">
        <v>970</v>
      </c>
      <c r="I208" s="88"/>
    </row>
    <row r="209" spans="1:9" ht="19.8" customHeight="1" x14ac:dyDescent="0.3">
      <c r="A209" s="103">
        <v>45988</v>
      </c>
      <c r="B209" s="94" t="s">
        <v>78</v>
      </c>
      <c r="C209" s="95" t="s">
        <v>464</v>
      </c>
      <c r="D209" s="94" t="s">
        <v>403</v>
      </c>
      <c r="E209" s="104">
        <v>1.006944444444444</v>
      </c>
      <c r="F209" s="94" t="s">
        <v>83</v>
      </c>
      <c r="G209" s="96">
        <v>9</v>
      </c>
      <c r="H209" s="97">
        <v>980</v>
      </c>
      <c r="I209" s="88"/>
    </row>
    <row r="210" spans="1:9" ht="19.8" customHeight="1" x14ac:dyDescent="0.3">
      <c r="A210" s="103">
        <v>45988</v>
      </c>
      <c r="B210" s="94" t="s">
        <v>78</v>
      </c>
      <c r="C210" s="95" t="s">
        <v>482</v>
      </c>
      <c r="D210" s="94" t="s">
        <v>403</v>
      </c>
      <c r="E210" s="104">
        <v>1.6111111111111109</v>
      </c>
      <c r="F210" s="94" t="s">
        <v>80</v>
      </c>
      <c r="G210" s="96">
        <v>9</v>
      </c>
      <c r="H210" s="107" t="s">
        <v>471</v>
      </c>
      <c r="I210" s="88"/>
    </row>
    <row r="211" spans="1:9" ht="19.8" customHeight="1" x14ac:dyDescent="0.3">
      <c r="A211" s="103">
        <v>45988</v>
      </c>
      <c r="B211" s="94" t="s">
        <v>26</v>
      </c>
      <c r="C211" s="95" t="s">
        <v>451</v>
      </c>
      <c r="D211" s="94" t="s">
        <v>403</v>
      </c>
      <c r="E211" s="104">
        <v>1.1284722222222221</v>
      </c>
      <c r="F211" s="94" t="s">
        <v>34</v>
      </c>
      <c r="G211" s="96">
        <v>3</v>
      </c>
      <c r="H211" s="107" t="s">
        <v>35</v>
      </c>
      <c r="I211" s="88"/>
    </row>
    <row r="212" spans="1:9" ht="19.8" customHeight="1" x14ac:dyDescent="0.3">
      <c r="A212" s="103">
        <v>45988</v>
      </c>
      <c r="B212" s="94" t="s">
        <v>26</v>
      </c>
      <c r="C212" s="95" t="s">
        <v>453</v>
      </c>
      <c r="D212" s="94" t="s">
        <v>403</v>
      </c>
      <c r="E212" s="104">
        <v>1.302083333333333</v>
      </c>
      <c r="F212" s="94" t="s">
        <v>34</v>
      </c>
      <c r="G212" s="96">
        <v>7</v>
      </c>
      <c r="H212" s="107" t="s">
        <v>35</v>
      </c>
      <c r="I212" s="88"/>
    </row>
    <row r="213" spans="1:9" ht="19.8" customHeight="1" x14ac:dyDescent="0.3">
      <c r="A213" s="103">
        <v>45988</v>
      </c>
      <c r="B213" s="94" t="s">
        <v>26</v>
      </c>
      <c r="C213" s="95" t="s">
        <v>454</v>
      </c>
      <c r="D213" s="94" t="s">
        <v>403</v>
      </c>
      <c r="E213" s="104">
        <v>1.8888888888888891</v>
      </c>
      <c r="F213" s="94" t="s">
        <v>34</v>
      </c>
      <c r="G213" s="96">
        <v>8</v>
      </c>
      <c r="H213" s="107" t="s">
        <v>35</v>
      </c>
      <c r="I213" s="88"/>
    </row>
    <row r="214" spans="1:9" ht="19.8" customHeight="1" x14ac:dyDescent="0.3">
      <c r="A214" s="103">
        <v>45988</v>
      </c>
      <c r="B214" s="94" t="s">
        <v>26</v>
      </c>
      <c r="C214" s="95" t="s">
        <v>455</v>
      </c>
      <c r="D214" s="94" t="s">
        <v>403</v>
      </c>
      <c r="E214" s="104">
        <v>1.788194444444444</v>
      </c>
      <c r="F214" s="94" t="s">
        <v>34</v>
      </c>
      <c r="G214" s="96">
        <v>8</v>
      </c>
      <c r="H214" s="107" t="s">
        <v>35</v>
      </c>
      <c r="I214" s="88"/>
    </row>
    <row r="215" spans="1:9" ht="19.8" customHeight="1" x14ac:dyDescent="0.3">
      <c r="A215" s="103">
        <v>45988</v>
      </c>
      <c r="B215" s="94" t="s">
        <v>78</v>
      </c>
      <c r="C215" s="95" t="s">
        <v>482</v>
      </c>
      <c r="D215" s="94" t="s">
        <v>403</v>
      </c>
      <c r="E215" s="104">
        <v>1.6111111111111109</v>
      </c>
      <c r="F215" s="94" t="s">
        <v>83</v>
      </c>
      <c r="G215" s="96">
        <v>9</v>
      </c>
      <c r="H215" s="107" t="s">
        <v>472</v>
      </c>
      <c r="I215" s="88"/>
    </row>
    <row r="216" spans="1:9" ht="19.8" customHeight="1" x14ac:dyDescent="0.3">
      <c r="A216" s="103">
        <v>45988</v>
      </c>
      <c r="B216" s="94" t="s">
        <v>78</v>
      </c>
      <c r="C216" s="95" t="s">
        <v>470</v>
      </c>
      <c r="D216" s="94" t="s">
        <v>403</v>
      </c>
      <c r="E216" s="104">
        <v>1.71875</v>
      </c>
      <c r="F216" s="94" t="s">
        <v>80</v>
      </c>
      <c r="G216" s="96">
        <v>9</v>
      </c>
      <c r="H216" s="107" t="s">
        <v>533</v>
      </c>
      <c r="I216" s="88"/>
    </row>
    <row r="217" spans="1:9" ht="19.8" customHeight="1" x14ac:dyDescent="0.3">
      <c r="A217" s="103">
        <v>45988</v>
      </c>
      <c r="B217" s="94" t="s">
        <v>78</v>
      </c>
      <c r="C217" s="95" t="s">
        <v>475</v>
      </c>
      <c r="D217" s="94" t="s">
        <v>403</v>
      </c>
      <c r="E217" s="104">
        <v>1.302083333333333</v>
      </c>
      <c r="F217" s="94" t="s">
        <v>83</v>
      </c>
      <c r="G217" s="96">
        <v>4</v>
      </c>
      <c r="H217" s="107" t="s">
        <v>535</v>
      </c>
      <c r="I217" s="88"/>
    </row>
    <row r="218" spans="1:9" ht="19.8" customHeight="1" x14ac:dyDescent="0.3">
      <c r="A218" s="103">
        <v>45988</v>
      </c>
      <c r="B218" s="94" t="s">
        <v>78</v>
      </c>
      <c r="C218" s="95" t="s">
        <v>476</v>
      </c>
      <c r="D218" s="94" t="s">
        <v>403</v>
      </c>
      <c r="E218" s="104">
        <v>1.1284722222222221</v>
      </c>
      <c r="F218" s="94" t="s">
        <v>83</v>
      </c>
      <c r="G218" s="96">
        <v>4</v>
      </c>
      <c r="H218" s="107" t="s">
        <v>535</v>
      </c>
      <c r="I218" s="88"/>
    </row>
    <row r="219" spans="1:9" ht="19.8" customHeight="1" x14ac:dyDescent="0.3">
      <c r="A219" s="103">
        <v>45988</v>
      </c>
      <c r="B219" s="94" t="s">
        <v>78</v>
      </c>
      <c r="C219" s="95" t="s">
        <v>470</v>
      </c>
      <c r="D219" s="94" t="s">
        <v>403</v>
      </c>
      <c r="E219" s="104">
        <v>1.71875</v>
      </c>
      <c r="F219" s="94" t="s">
        <v>83</v>
      </c>
      <c r="G219" s="96">
        <v>9</v>
      </c>
      <c r="H219" s="107" t="s">
        <v>534</v>
      </c>
      <c r="I219" s="88"/>
    </row>
    <row r="220" spans="1:9" ht="19.8" customHeight="1" x14ac:dyDescent="0.3">
      <c r="A220" s="103">
        <v>45988</v>
      </c>
      <c r="B220" s="94" t="s">
        <v>78</v>
      </c>
      <c r="C220" s="95" t="s">
        <v>468</v>
      </c>
      <c r="D220" s="94" t="s">
        <v>403</v>
      </c>
      <c r="E220" s="104">
        <v>1.930555555555556</v>
      </c>
      <c r="F220" s="94" t="s">
        <v>80</v>
      </c>
      <c r="G220" s="96">
        <v>9</v>
      </c>
      <c r="H220" s="107" t="s">
        <v>511</v>
      </c>
      <c r="I220" s="88"/>
    </row>
    <row r="221" spans="1:9" ht="19.8" customHeight="1" x14ac:dyDescent="0.3">
      <c r="A221" s="103">
        <v>45988</v>
      </c>
      <c r="B221" s="94" t="s">
        <v>78</v>
      </c>
      <c r="C221" s="95" t="s">
        <v>468</v>
      </c>
      <c r="D221" s="94" t="s">
        <v>403</v>
      </c>
      <c r="E221" s="104">
        <v>1.930555555555556</v>
      </c>
      <c r="F221" s="94" t="s">
        <v>83</v>
      </c>
      <c r="G221" s="96">
        <v>9</v>
      </c>
      <c r="H221" s="107" t="s">
        <v>512</v>
      </c>
      <c r="I221" s="88"/>
    </row>
    <row r="222" spans="1:9" ht="19.8" customHeight="1" x14ac:dyDescent="0.3">
      <c r="A222" s="103">
        <v>45988</v>
      </c>
      <c r="B222" s="94" t="s">
        <v>78</v>
      </c>
      <c r="C222" s="95" t="s">
        <v>473</v>
      </c>
      <c r="D222" s="94" t="s">
        <v>403</v>
      </c>
      <c r="E222" s="104">
        <v>1.8888888888888891</v>
      </c>
      <c r="F222" s="94" t="s">
        <v>83</v>
      </c>
      <c r="G222" s="96">
        <v>4</v>
      </c>
      <c r="H222" s="107" t="s">
        <v>474</v>
      </c>
      <c r="I222" s="88"/>
    </row>
    <row r="223" spans="1:9" ht="19.8" customHeight="1" x14ac:dyDescent="0.3">
      <c r="A223" s="103">
        <v>45988</v>
      </c>
      <c r="B223" s="94" t="s">
        <v>78</v>
      </c>
      <c r="C223" s="95" t="s">
        <v>480</v>
      </c>
      <c r="D223" s="94" t="s">
        <v>403</v>
      </c>
      <c r="E223" s="104">
        <v>1.788194444444444</v>
      </c>
      <c r="F223" s="94" t="s">
        <v>83</v>
      </c>
      <c r="G223" s="96">
        <v>4</v>
      </c>
      <c r="H223" s="107" t="s">
        <v>474</v>
      </c>
      <c r="I223" s="88"/>
    </row>
    <row r="224" spans="1:9" ht="19.8" customHeight="1" x14ac:dyDescent="0.3">
      <c r="A224" s="103">
        <v>45988</v>
      </c>
      <c r="B224" s="94" t="s">
        <v>78</v>
      </c>
      <c r="C224" s="95" t="s">
        <v>477</v>
      </c>
      <c r="D224" s="94" t="s">
        <v>403</v>
      </c>
      <c r="E224" s="104">
        <v>1.8298611111111109</v>
      </c>
      <c r="F224" s="94" t="s">
        <v>80</v>
      </c>
      <c r="G224" s="96">
        <v>9</v>
      </c>
      <c r="H224" s="107" t="s">
        <v>536</v>
      </c>
      <c r="I224" s="88"/>
    </row>
    <row r="225" spans="1:9" ht="19.8" customHeight="1" x14ac:dyDescent="0.3">
      <c r="A225" s="113">
        <v>45988</v>
      </c>
      <c r="B225" s="114" t="s">
        <v>78</v>
      </c>
      <c r="C225" s="115" t="s">
        <v>477</v>
      </c>
      <c r="D225" s="114" t="s">
        <v>403</v>
      </c>
      <c r="E225" s="116">
        <v>1.8298611111111109</v>
      </c>
      <c r="F225" s="114" t="s">
        <v>83</v>
      </c>
      <c r="G225" s="117">
        <v>9</v>
      </c>
      <c r="H225" s="118" t="s">
        <v>537</v>
      </c>
      <c r="I225" s="88"/>
    </row>
    <row r="226" spans="1:9" ht="19.8" customHeight="1" x14ac:dyDescent="0.3">
      <c r="A226" s="105">
        <v>45989</v>
      </c>
      <c r="B226" s="99" t="s">
        <v>44</v>
      </c>
      <c r="C226" s="100" t="s">
        <v>520</v>
      </c>
      <c r="D226" s="99" t="s">
        <v>403</v>
      </c>
      <c r="E226" s="106">
        <v>1.614583333333333</v>
      </c>
      <c r="F226" s="99" t="s">
        <v>46</v>
      </c>
      <c r="G226" s="101">
        <v>9</v>
      </c>
      <c r="H226" s="102">
        <v>401</v>
      </c>
      <c r="I226" s="88"/>
    </row>
    <row r="227" spans="1:9" ht="19.8" customHeight="1" x14ac:dyDescent="0.3">
      <c r="A227" s="105">
        <v>45989</v>
      </c>
      <c r="B227" s="99" t="s">
        <v>44</v>
      </c>
      <c r="C227" s="100" t="s">
        <v>425</v>
      </c>
      <c r="D227" s="99" t="s">
        <v>403</v>
      </c>
      <c r="E227" s="106">
        <v>1.458333333333333</v>
      </c>
      <c r="F227" s="99" t="s">
        <v>46</v>
      </c>
      <c r="G227" s="101">
        <v>9</v>
      </c>
      <c r="H227" s="102">
        <v>401</v>
      </c>
      <c r="I227" s="88"/>
    </row>
    <row r="228" spans="1:9" ht="19.8" customHeight="1" x14ac:dyDescent="0.3">
      <c r="A228" s="105">
        <v>45989</v>
      </c>
      <c r="B228" s="99" t="s">
        <v>44</v>
      </c>
      <c r="C228" s="100" t="s">
        <v>415</v>
      </c>
      <c r="D228" s="99" t="s">
        <v>403</v>
      </c>
      <c r="E228" s="106">
        <v>1.319444444444444</v>
      </c>
      <c r="F228" s="99" t="s">
        <v>46</v>
      </c>
      <c r="G228" s="101">
        <v>9</v>
      </c>
      <c r="H228" s="102">
        <v>401</v>
      </c>
      <c r="I228" s="88"/>
    </row>
    <row r="229" spans="1:9" ht="19.8" customHeight="1" x14ac:dyDescent="0.3">
      <c r="A229" s="105">
        <v>45989</v>
      </c>
      <c r="B229" s="99" t="s">
        <v>44</v>
      </c>
      <c r="C229" s="100" t="s">
        <v>422</v>
      </c>
      <c r="D229" s="99" t="s">
        <v>403</v>
      </c>
      <c r="E229" s="106">
        <v>1.114583333333333</v>
      </c>
      <c r="F229" s="99" t="s">
        <v>46</v>
      </c>
      <c r="G229" s="101">
        <v>9</v>
      </c>
      <c r="H229" s="102">
        <v>401</v>
      </c>
      <c r="I229" s="88"/>
    </row>
    <row r="230" spans="1:9" ht="19.8" customHeight="1" x14ac:dyDescent="0.3">
      <c r="A230" s="103">
        <v>45989</v>
      </c>
      <c r="B230" s="94" t="s">
        <v>410</v>
      </c>
      <c r="C230" s="95" t="s">
        <v>413</v>
      </c>
      <c r="D230" s="94" t="s">
        <v>403</v>
      </c>
      <c r="E230" s="104">
        <v>1.666666666666667</v>
      </c>
      <c r="F230" s="94" t="s">
        <v>406</v>
      </c>
      <c r="G230" s="96">
        <v>5</v>
      </c>
      <c r="H230" s="97">
        <v>401</v>
      </c>
      <c r="I230" s="88"/>
    </row>
    <row r="231" spans="1:9" ht="19.8" customHeight="1" x14ac:dyDescent="0.3">
      <c r="A231" s="105">
        <v>45989</v>
      </c>
      <c r="B231" s="99" t="s">
        <v>44</v>
      </c>
      <c r="C231" s="100" t="s">
        <v>419</v>
      </c>
      <c r="D231" s="99" t="s">
        <v>403</v>
      </c>
      <c r="E231" s="106">
        <v>1.7361111111111109</v>
      </c>
      <c r="F231" s="99" t="s">
        <v>46</v>
      </c>
      <c r="G231" s="101">
        <v>9</v>
      </c>
      <c r="H231" s="102">
        <v>436</v>
      </c>
      <c r="I231" s="88"/>
    </row>
    <row r="232" spans="1:9" ht="19.8" customHeight="1" x14ac:dyDescent="0.3">
      <c r="A232" s="105">
        <v>45989</v>
      </c>
      <c r="B232" s="99" t="s">
        <v>44</v>
      </c>
      <c r="C232" s="100" t="s">
        <v>429</v>
      </c>
      <c r="D232" s="99" t="s">
        <v>403</v>
      </c>
      <c r="E232" s="106">
        <v>1.9375</v>
      </c>
      <c r="F232" s="99" t="s">
        <v>46</v>
      </c>
      <c r="G232" s="101">
        <v>3</v>
      </c>
      <c r="H232" s="102">
        <v>471</v>
      </c>
      <c r="I232" s="88"/>
    </row>
    <row r="233" spans="1:9" ht="19.8" customHeight="1" x14ac:dyDescent="0.3">
      <c r="A233" s="103">
        <v>45989</v>
      </c>
      <c r="B233" s="94" t="s">
        <v>78</v>
      </c>
      <c r="C233" s="95" t="s">
        <v>467</v>
      </c>
      <c r="D233" s="94" t="s">
        <v>403</v>
      </c>
      <c r="E233" s="104">
        <v>1.1423611111111109</v>
      </c>
      <c r="F233" s="94" t="s">
        <v>80</v>
      </c>
      <c r="G233" s="96">
        <v>9</v>
      </c>
      <c r="H233" s="97">
        <v>678</v>
      </c>
      <c r="I233" s="88"/>
    </row>
    <row r="234" spans="1:9" ht="19.8" customHeight="1" x14ac:dyDescent="0.3">
      <c r="A234" s="103">
        <v>45989</v>
      </c>
      <c r="B234" s="94" t="s">
        <v>78</v>
      </c>
      <c r="C234" s="95" t="s">
        <v>470</v>
      </c>
      <c r="D234" s="94" t="s">
        <v>403</v>
      </c>
      <c r="E234" s="104">
        <v>1.71875</v>
      </c>
      <c r="F234" s="94" t="s">
        <v>80</v>
      </c>
      <c r="G234" s="96">
        <v>1</v>
      </c>
      <c r="H234" s="97">
        <v>678</v>
      </c>
      <c r="I234" s="88"/>
    </row>
    <row r="235" spans="1:9" ht="19.8" customHeight="1" x14ac:dyDescent="0.3">
      <c r="A235" s="103">
        <v>45989</v>
      </c>
      <c r="B235" s="94" t="s">
        <v>78</v>
      </c>
      <c r="C235" s="95" t="s">
        <v>469</v>
      </c>
      <c r="D235" s="94" t="s">
        <v>403</v>
      </c>
      <c r="E235" s="104">
        <v>1.3784722222222221</v>
      </c>
      <c r="F235" s="94" t="s">
        <v>80</v>
      </c>
      <c r="G235" s="96">
        <v>9</v>
      </c>
      <c r="H235" s="97">
        <v>678</v>
      </c>
      <c r="I235" s="88"/>
    </row>
    <row r="236" spans="1:9" ht="19.8" customHeight="1" x14ac:dyDescent="0.3">
      <c r="A236" s="103">
        <v>45989</v>
      </c>
      <c r="B236" s="94" t="s">
        <v>78</v>
      </c>
      <c r="C236" s="95" t="s">
        <v>482</v>
      </c>
      <c r="D236" s="94" t="s">
        <v>403</v>
      </c>
      <c r="E236" s="104">
        <v>1.6111111111111109</v>
      </c>
      <c r="F236" s="94" t="s">
        <v>80</v>
      </c>
      <c r="G236" s="96">
        <v>9</v>
      </c>
      <c r="H236" s="97">
        <v>678</v>
      </c>
      <c r="I236" s="88"/>
    </row>
    <row r="237" spans="1:9" ht="19.8" customHeight="1" x14ac:dyDescent="0.3">
      <c r="A237" s="103">
        <v>45989</v>
      </c>
      <c r="B237" s="94" t="s">
        <v>78</v>
      </c>
      <c r="C237" s="95" t="s">
        <v>461</v>
      </c>
      <c r="D237" s="94" t="s">
        <v>403</v>
      </c>
      <c r="E237" s="104">
        <v>1.239583333333333</v>
      </c>
      <c r="F237" s="94" t="s">
        <v>80</v>
      </c>
      <c r="G237" s="96">
        <v>9</v>
      </c>
      <c r="H237" s="97">
        <v>678</v>
      </c>
      <c r="I237" s="88"/>
    </row>
    <row r="238" spans="1:9" ht="19.8" customHeight="1" x14ac:dyDescent="0.3">
      <c r="A238" s="103">
        <v>45989</v>
      </c>
      <c r="B238" s="94" t="s">
        <v>78</v>
      </c>
      <c r="C238" s="95" t="s">
        <v>467</v>
      </c>
      <c r="D238" s="94" t="s">
        <v>403</v>
      </c>
      <c r="E238" s="104">
        <v>1.1423611111111109</v>
      </c>
      <c r="F238" s="94" t="s">
        <v>83</v>
      </c>
      <c r="G238" s="96">
        <v>9</v>
      </c>
      <c r="H238" s="97">
        <v>723</v>
      </c>
      <c r="I238" s="88"/>
    </row>
    <row r="239" spans="1:9" ht="19.8" customHeight="1" x14ac:dyDescent="0.3">
      <c r="A239" s="103">
        <v>45989</v>
      </c>
      <c r="B239" s="94" t="s">
        <v>78</v>
      </c>
      <c r="C239" s="95" t="s">
        <v>470</v>
      </c>
      <c r="D239" s="94" t="s">
        <v>403</v>
      </c>
      <c r="E239" s="104">
        <v>1.71875</v>
      </c>
      <c r="F239" s="94" t="s">
        <v>83</v>
      </c>
      <c r="G239" s="96">
        <v>1</v>
      </c>
      <c r="H239" s="97">
        <v>723</v>
      </c>
      <c r="I239" s="88"/>
    </row>
    <row r="240" spans="1:9" ht="19.8" customHeight="1" x14ac:dyDescent="0.3">
      <c r="A240" s="103">
        <v>45989</v>
      </c>
      <c r="B240" s="94" t="s">
        <v>78</v>
      </c>
      <c r="C240" s="95" t="s">
        <v>469</v>
      </c>
      <c r="D240" s="94" t="s">
        <v>403</v>
      </c>
      <c r="E240" s="104">
        <v>1.3784722222222221</v>
      </c>
      <c r="F240" s="94" t="s">
        <v>83</v>
      </c>
      <c r="G240" s="96">
        <v>9</v>
      </c>
      <c r="H240" s="97">
        <v>723</v>
      </c>
      <c r="I240" s="88"/>
    </row>
    <row r="241" spans="1:9" ht="19.8" customHeight="1" x14ac:dyDescent="0.3">
      <c r="A241" s="103">
        <v>45989</v>
      </c>
      <c r="B241" s="94" t="s">
        <v>78</v>
      </c>
      <c r="C241" s="95" t="s">
        <v>482</v>
      </c>
      <c r="D241" s="94" t="s">
        <v>403</v>
      </c>
      <c r="E241" s="104">
        <v>1.6111111111111109</v>
      </c>
      <c r="F241" s="94" t="s">
        <v>83</v>
      </c>
      <c r="G241" s="96">
        <v>9</v>
      </c>
      <c r="H241" s="97">
        <v>723</v>
      </c>
      <c r="I241" s="88"/>
    </row>
    <row r="242" spans="1:9" ht="19.8" customHeight="1" x14ac:dyDescent="0.3">
      <c r="A242" s="103">
        <v>45989</v>
      </c>
      <c r="B242" s="94" t="s">
        <v>78</v>
      </c>
      <c r="C242" s="95" t="s">
        <v>461</v>
      </c>
      <c r="D242" s="94" t="s">
        <v>403</v>
      </c>
      <c r="E242" s="104">
        <v>1.239583333333333</v>
      </c>
      <c r="F242" s="94" t="s">
        <v>83</v>
      </c>
      <c r="G242" s="96">
        <v>9</v>
      </c>
      <c r="H242" s="97">
        <v>723</v>
      </c>
      <c r="I242" s="88"/>
    </row>
    <row r="243" spans="1:9" ht="19.8" customHeight="1" x14ac:dyDescent="0.3">
      <c r="A243" s="103">
        <v>45989</v>
      </c>
      <c r="B243" s="94" t="s">
        <v>66</v>
      </c>
      <c r="C243" s="95" t="s">
        <v>488</v>
      </c>
      <c r="D243" s="94" t="s">
        <v>403</v>
      </c>
      <c r="E243" s="104">
        <v>1.229166666666667</v>
      </c>
      <c r="F243" s="94" t="s">
        <v>68</v>
      </c>
      <c r="G243" s="96">
        <v>9</v>
      </c>
      <c r="H243" s="97">
        <v>842</v>
      </c>
      <c r="I243" s="88"/>
    </row>
    <row r="244" spans="1:9" ht="19.8" customHeight="1" x14ac:dyDescent="0.3">
      <c r="A244" s="103">
        <v>45989</v>
      </c>
      <c r="B244" s="94" t="s">
        <v>66</v>
      </c>
      <c r="C244" s="95" t="s">
        <v>509</v>
      </c>
      <c r="D244" s="94" t="s">
        <v>403</v>
      </c>
      <c r="E244" s="104">
        <v>1.0138888888888891</v>
      </c>
      <c r="F244" s="94" t="s">
        <v>68</v>
      </c>
      <c r="G244" s="96">
        <v>9</v>
      </c>
      <c r="H244" s="97">
        <v>842</v>
      </c>
      <c r="I244" s="88"/>
    </row>
    <row r="245" spans="1:9" ht="19.8" customHeight="1" x14ac:dyDescent="0.3">
      <c r="A245" s="103">
        <v>45989</v>
      </c>
      <c r="B245" s="94" t="s">
        <v>66</v>
      </c>
      <c r="C245" s="95" t="s">
        <v>505</v>
      </c>
      <c r="D245" s="94" t="s">
        <v>403</v>
      </c>
      <c r="E245" s="104">
        <v>1.145833333333333</v>
      </c>
      <c r="F245" s="94" t="s">
        <v>68</v>
      </c>
      <c r="G245" s="96">
        <v>9</v>
      </c>
      <c r="H245" s="97">
        <v>842</v>
      </c>
      <c r="I245" s="88"/>
    </row>
    <row r="246" spans="1:9" ht="19.8" customHeight="1" x14ac:dyDescent="0.3">
      <c r="A246" s="103">
        <v>45989</v>
      </c>
      <c r="B246" s="94" t="s">
        <v>78</v>
      </c>
      <c r="C246" s="95" t="s">
        <v>464</v>
      </c>
      <c r="D246" s="94" t="s">
        <v>403</v>
      </c>
      <c r="E246" s="104">
        <v>1.006944444444444</v>
      </c>
      <c r="F246" s="94" t="s">
        <v>80</v>
      </c>
      <c r="G246" s="96">
        <v>9</v>
      </c>
      <c r="H246" s="97">
        <v>935</v>
      </c>
      <c r="I246" s="88"/>
    </row>
    <row r="247" spans="1:9" ht="19.8" customHeight="1" x14ac:dyDescent="0.3">
      <c r="A247" s="103">
        <v>45989</v>
      </c>
      <c r="B247" s="94" t="s">
        <v>78</v>
      </c>
      <c r="C247" s="95" t="s">
        <v>468</v>
      </c>
      <c r="D247" s="94" t="s">
        <v>403</v>
      </c>
      <c r="E247" s="104">
        <v>1.930555555555556</v>
      </c>
      <c r="F247" s="94" t="s">
        <v>80</v>
      </c>
      <c r="G247" s="96">
        <v>9</v>
      </c>
      <c r="H247" s="97">
        <v>935</v>
      </c>
      <c r="I247" s="88"/>
    </row>
    <row r="248" spans="1:9" ht="19.8" customHeight="1" x14ac:dyDescent="0.3">
      <c r="A248" s="103">
        <v>45989</v>
      </c>
      <c r="B248" s="94" t="s">
        <v>78</v>
      </c>
      <c r="C248" s="95" t="s">
        <v>477</v>
      </c>
      <c r="D248" s="94" t="s">
        <v>403</v>
      </c>
      <c r="E248" s="104">
        <v>1.8298611111111109</v>
      </c>
      <c r="F248" s="94" t="s">
        <v>80</v>
      </c>
      <c r="G248" s="96">
        <v>9</v>
      </c>
      <c r="H248" s="97">
        <v>935</v>
      </c>
      <c r="I248" s="88"/>
    </row>
    <row r="249" spans="1:9" ht="19.8" customHeight="1" x14ac:dyDescent="0.3">
      <c r="A249" s="103">
        <v>45989</v>
      </c>
      <c r="B249" s="94" t="s">
        <v>66</v>
      </c>
      <c r="C249" s="95" t="s">
        <v>490</v>
      </c>
      <c r="D249" s="94" t="s">
        <v>403</v>
      </c>
      <c r="E249" s="104">
        <v>1.2777777777777779</v>
      </c>
      <c r="F249" s="94" t="s">
        <v>68</v>
      </c>
      <c r="G249" s="96">
        <v>9</v>
      </c>
      <c r="H249" s="97">
        <v>970</v>
      </c>
      <c r="I249" s="88"/>
    </row>
    <row r="250" spans="1:9" ht="19.8" customHeight="1" x14ac:dyDescent="0.3">
      <c r="A250" s="103">
        <v>45989</v>
      </c>
      <c r="B250" s="94" t="s">
        <v>78</v>
      </c>
      <c r="C250" s="95" t="s">
        <v>464</v>
      </c>
      <c r="D250" s="94" t="s">
        <v>403</v>
      </c>
      <c r="E250" s="104">
        <v>1.006944444444444</v>
      </c>
      <c r="F250" s="94" t="s">
        <v>83</v>
      </c>
      <c r="G250" s="96">
        <v>9</v>
      </c>
      <c r="H250" s="97">
        <v>980</v>
      </c>
      <c r="I250" s="88"/>
    </row>
    <row r="251" spans="1:9" ht="19.8" customHeight="1" x14ac:dyDescent="0.3">
      <c r="A251" s="103">
        <v>45989</v>
      </c>
      <c r="B251" s="94" t="s">
        <v>78</v>
      </c>
      <c r="C251" s="95" t="s">
        <v>468</v>
      </c>
      <c r="D251" s="94" t="s">
        <v>403</v>
      </c>
      <c r="E251" s="104">
        <v>1.930555555555556</v>
      </c>
      <c r="F251" s="94" t="s">
        <v>83</v>
      </c>
      <c r="G251" s="96">
        <v>9</v>
      </c>
      <c r="H251" s="97">
        <v>980</v>
      </c>
      <c r="I251" s="88"/>
    </row>
    <row r="252" spans="1:9" ht="19.8" customHeight="1" x14ac:dyDescent="0.3">
      <c r="A252" s="103">
        <v>45989</v>
      </c>
      <c r="B252" s="94" t="s">
        <v>78</v>
      </c>
      <c r="C252" s="95" t="s">
        <v>477</v>
      </c>
      <c r="D252" s="94" t="s">
        <v>403</v>
      </c>
      <c r="E252" s="104">
        <v>1.8298611111111109</v>
      </c>
      <c r="F252" s="94" t="s">
        <v>83</v>
      </c>
      <c r="G252" s="96">
        <v>9</v>
      </c>
      <c r="H252" s="97">
        <v>980</v>
      </c>
      <c r="I252" s="88"/>
    </row>
    <row r="253" spans="1:9" ht="19.8" customHeight="1" x14ac:dyDescent="0.3">
      <c r="A253" s="103">
        <v>45989</v>
      </c>
      <c r="B253" s="94" t="s">
        <v>66</v>
      </c>
      <c r="C253" s="95" t="s">
        <v>492</v>
      </c>
      <c r="D253" s="94" t="s">
        <v>403</v>
      </c>
      <c r="E253" s="104">
        <v>1.770833333333333</v>
      </c>
      <c r="F253" s="94" t="s">
        <v>68</v>
      </c>
      <c r="G253" s="96">
        <v>9</v>
      </c>
      <c r="H253" s="107" t="s">
        <v>510</v>
      </c>
      <c r="I253" s="88"/>
    </row>
    <row r="254" spans="1:9" ht="19.8" customHeight="1" x14ac:dyDescent="0.3">
      <c r="A254" s="103">
        <v>45989</v>
      </c>
      <c r="B254" s="94" t="s">
        <v>66</v>
      </c>
      <c r="C254" s="95" t="s">
        <v>485</v>
      </c>
      <c r="D254" s="94" t="s">
        <v>403</v>
      </c>
      <c r="E254" s="104">
        <v>1.4722222222222221</v>
      </c>
      <c r="F254" s="94" t="s">
        <v>68</v>
      </c>
      <c r="G254" s="96">
        <v>9</v>
      </c>
      <c r="H254" s="107" t="s">
        <v>510</v>
      </c>
      <c r="I254" s="88"/>
    </row>
    <row r="255" spans="1:9" ht="19.8" customHeight="1" x14ac:dyDescent="0.3">
      <c r="A255" s="103">
        <v>45989</v>
      </c>
      <c r="B255" s="94" t="s">
        <v>78</v>
      </c>
      <c r="C255" s="95" t="s">
        <v>473</v>
      </c>
      <c r="D255" s="94" t="s">
        <v>403</v>
      </c>
      <c r="E255" s="104">
        <v>1.8888888888888891</v>
      </c>
      <c r="F255" s="94" t="s">
        <v>83</v>
      </c>
      <c r="G255" s="96">
        <v>4</v>
      </c>
      <c r="H255" s="107" t="s">
        <v>474</v>
      </c>
      <c r="I255" s="88"/>
    </row>
    <row r="256" spans="1:9" ht="19.8" customHeight="1" x14ac:dyDescent="0.3">
      <c r="A256" s="103">
        <v>45989</v>
      </c>
      <c r="B256" s="94" t="s">
        <v>78</v>
      </c>
      <c r="C256" s="95" t="s">
        <v>475</v>
      </c>
      <c r="D256" s="94" t="s">
        <v>403</v>
      </c>
      <c r="E256" s="104">
        <v>1.302083333333333</v>
      </c>
      <c r="F256" s="94" t="s">
        <v>83</v>
      </c>
      <c r="G256" s="96">
        <v>4</v>
      </c>
      <c r="H256" s="107" t="s">
        <v>474</v>
      </c>
      <c r="I256" s="88"/>
    </row>
    <row r="257" spans="1:9" ht="19.8" customHeight="1" x14ac:dyDescent="0.3">
      <c r="A257" s="103">
        <v>45989</v>
      </c>
      <c r="B257" s="94" t="s">
        <v>78</v>
      </c>
      <c r="C257" s="95" t="s">
        <v>476</v>
      </c>
      <c r="D257" s="94" t="s">
        <v>403</v>
      </c>
      <c r="E257" s="104">
        <v>1.1284722222222221</v>
      </c>
      <c r="F257" s="94" t="s">
        <v>83</v>
      </c>
      <c r="G257" s="96">
        <v>4</v>
      </c>
      <c r="H257" s="107" t="s">
        <v>474</v>
      </c>
      <c r="I257" s="88"/>
    </row>
    <row r="258" spans="1:9" ht="19.8" customHeight="1" x14ac:dyDescent="0.3">
      <c r="A258" s="103">
        <v>45989</v>
      </c>
      <c r="B258" s="94" t="s">
        <v>78</v>
      </c>
      <c r="C258" s="95" t="s">
        <v>480</v>
      </c>
      <c r="D258" s="94" t="s">
        <v>403</v>
      </c>
      <c r="E258" s="104">
        <v>1.788194444444444</v>
      </c>
      <c r="F258" s="94" t="s">
        <v>83</v>
      </c>
      <c r="G258" s="96">
        <v>4</v>
      </c>
      <c r="H258" s="107" t="s">
        <v>474</v>
      </c>
      <c r="I258" s="88"/>
    </row>
    <row r="259" spans="1:9" ht="19.8" customHeight="1" x14ac:dyDescent="0.3">
      <c r="A259" s="113">
        <v>45989</v>
      </c>
      <c r="B259" s="114" t="s">
        <v>66</v>
      </c>
      <c r="C259" s="115" t="s">
        <v>508</v>
      </c>
      <c r="D259" s="114" t="s">
        <v>403</v>
      </c>
      <c r="E259" s="116">
        <v>1.958333333333333</v>
      </c>
      <c r="F259" s="114" t="s">
        <v>68</v>
      </c>
      <c r="G259" s="117">
        <v>9</v>
      </c>
      <c r="H259" s="118" t="s">
        <v>491</v>
      </c>
      <c r="I259" s="88"/>
    </row>
    <row r="260" spans="1:9" ht="19.8" customHeight="1" x14ac:dyDescent="0.3">
      <c r="A260" s="103">
        <v>45990</v>
      </c>
      <c r="B260" s="94" t="s">
        <v>26</v>
      </c>
      <c r="C260" s="95" t="s">
        <v>451</v>
      </c>
      <c r="D260" s="94" t="s">
        <v>403</v>
      </c>
      <c r="E260" s="104">
        <v>1.1284722222222221</v>
      </c>
      <c r="F260" s="94" t="s">
        <v>28</v>
      </c>
      <c r="G260" s="96">
        <v>4</v>
      </c>
      <c r="H260" s="97">
        <v>389</v>
      </c>
      <c r="I260" s="88"/>
    </row>
    <row r="261" spans="1:9" ht="19.8" customHeight="1" x14ac:dyDescent="0.3">
      <c r="A261" s="105">
        <v>45990</v>
      </c>
      <c r="B261" s="99" t="s">
        <v>44</v>
      </c>
      <c r="C261" s="100" t="s">
        <v>517</v>
      </c>
      <c r="D261" s="99" t="s">
        <v>403</v>
      </c>
      <c r="E261" s="106">
        <v>1.2361111111111109</v>
      </c>
      <c r="F261" s="99" t="s">
        <v>46</v>
      </c>
      <c r="G261" s="101">
        <v>7</v>
      </c>
      <c r="H261" s="102">
        <v>401</v>
      </c>
      <c r="I261" s="88"/>
    </row>
    <row r="262" spans="1:9" ht="19.8" customHeight="1" x14ac:dyDescent="0.3">
      <c r="A262" s="103">
        <v>45990</v>
      </c>
      <c r="B262" s="94" t="s">
        <v>410</v>
      </c>
      <c r="C262" s="95" t="s">
        <v>411</v>
      </c>
      <c r="D262" s="94" t="s">
        <v>403</v>
      </c>
      <c r="E262" s="104">
        <v>1.21875</v>
      </c>
      <c r="F262" s="94" t="s">
        <v>406</v>
      </c>
      <c r="G262" s="96">
        <v>5</v>
      </c>
      <c r="H262" s="97">
        <v>401</v>
      </c>
      <c r="I262" s="88"/>
    </row>
    <row r="263" spans="1:9" ht="19.8" customHeight="1" x14ac:dyDescent="0.3">
      <c r="A263" s="105">
        <v>45990</v>
      </c>
      <c r="B263" s="99" t="s">
        <v>44</v>
      </c>
      <c r="C263" s="100" t="s">
        <v>415</v>
      </c>
      <c r="D263" s="99" t="s">
        <v>403</v>
      </c>
      <c r="E263" s="106">
        <v>1.333333333333333</v>
      </c>
      <c r="F263" s="99" t="s">
        <v>46</v>
      </c>
      <c r="G263" s="101">
        <v>6</v>
      </c>
      <c r="H263" s="102">
        <v>401</v>
      </c>
      <c r="I263" s="88"/>
    </row>
    <row r="264" spans="1:9" ht="19.8" customHeight="1" x14ac:dyDescent="0.3">
      <c r="A264" s="103">
        <v>45990</v>
      </c>
      <c r="B264" s="94" t="s">
        <v>26</v>
      </c>
      <c r="C264" s="95" t="s">
        <v>453</v>
      </c>
      <c r="D264" s="94" t="s">
        <v>403</v>
      </c>
      <c r="E264" s="104">
        <v>1.302083333333333</v>
      </c>
      <c r="F264" s="94" t="s">
        <v>28</v>
      </c>
      <c r="G264" s="96">
        <v>5</v>
      </c>
      <c r="H264" s="97">
        <v>419</v>
      </c>
      <c r="I264" s="88"/>
    </row>
    <row r="265" spans="1:9" ht="19.8" customHeight="1" x14ac:dyDescent="0.3">
      <c r="A265" s="103">
        <v>45990</v>
      </c>
      <c r="B265" s="94" t="s">
        <v>456</v>
      </c>
      <c r="C265" s="95" t="s">
        <v>457</v>
      </c>
      <c r="D265" s="94" t="s">
        <v>403</v>
      </c>
      <c r="E265" s="104">
        <v>1.2152777777777779</v>
      </c>
      <c r="F265" s="94" t="s">
        <v>458</v>
      </c>
      <c r="G265" s="96">
        <v>9</v>
      </c>
      <c r="H265" s="97">
        <v>430</v>
      </c>
      <c r="I265" s="88"/>
    </row>
    <row r="266" spans="1:9" ht="19.8" customHeight="1" x14ac:dyDescent="0.3">
      <c r="A266" s="105">
        <v>45990</v>
      </c>
      <c r="B266" s="99" t="s">
        <v>44</v>
      </c>
      <c r="C266" s="100" t="s">
        <v>425</v>
      </c>
      <c r="D266" s="99" t="s">
        <v>403</v>
      </c>
      <c r="E266" s="106">
        <v>1.680555555555556</v>
      </c>
      <c r="F266" s="99" t="s">
        <v>46</v>
      </c>
      <c r="G266" s="101">
        <v>9</v>
      </c>
      <c r="H266" s="102">
        <v>436</v>
      </c>
      <c r="I266" s="88"/>
    </row>
    <row r="267" spans="1:9" ht="19.8" customHeight="1" x14ac:dyDescent="0.3">
      <c r="A267" s="103">
        <v>45990</v>
      </c>
      <c r="B267" s="94" t="s">
        <v>36</v>
      </c>
      <c r="C267" s="95" t="s">
        <v>438</v>
      </c>
      <c r="D267" s="94" t="s">
        <v>403</v>
      </c>
      <c r="E267" s="104">
        <v>1.854166666666667</v>
      </c>
      <c r="F267" s="94" t="s">
        <v>164</v>
      </c>
      <c r="G267" s="96">
        <v>9</v>
      </c>
      <c r="H267" s="97">
        <v>449</v>
      </c>
      <c r="I267" s="88"/>
    </row>
    <row r="268" spans="1:9" ht="19.8" customHeight="1" x14ac:dyDescent="0.3">
      <c r="A268" s="103">
        <v>45990</v>
      </c>
      <c r="B268" s="94" t="s">
        <v>36</v>
      </c>
      <c r="C268" s="95" t="s">
        <v>444</v>
      </c>
      <c r="D268" s="94" t="s">
        <v>403</v>
      </c>
      <c r="E268" s="104">
        <v>1.5173611111111109</v>
      </c>
      <c r="F268" s="94" t="s">
        <v>164</v>
      </c>
      <c r="G268" s="96">
        <v>6</v>
      </c>
      <c r="H268" s="97">
        <v>449</v>
      </c>
      <c r="I268" s="88"/>
    </row>
    <row r="269" spans="1:9" ht="19.8" customHeight="1" x14ac:dyDescent="0.3">
      <c r="A269" s="103">
        <v>45990</v>
      </c>
      <c r="B269" s="94" t="s">
        <v>36</v>
      </c>
      <c r="C269" s="95" t="s">
        <v>435</v>
      </c>
      <c r="D269" s="94" t="s">
        <v>403</v>
      </c>
      <c r="E269" s="104">
        <v>1.9027777777777779</v>
      </c>
      <c r="F269" s="94" t="s">
        <v>164</v>
      </c>
      <c r="G269" s="96">
        <v>9</v>
      </c>
      <c r="H269" s="97">
        <v>449</v>
      </c>
      <c r="I269" s="88"/>
    </row>
    <row r="270" spans="1:9" ht="19.8" customHeight="1" x14ac:dyDescent="0.3">
      <c r="A270" s="103">
        <v>45990</v>
      </c>
      <c r="B270" s="94" t="s">
        <v>36</v>
      </c>
      <c r="C270" s="95" t="s">
        <v>445</v>
      </c>
      <c r="D270" s="94" t="s">
        <v>403</v>
      </c>
      <c r="E270" s="104">
        <v>1.7986111111111109</v>
      </c>
      <c r="F270" s="94" t="s">
        <v>164</v>
      </c>
      <c r="G270" s="96">
        <v>3</v>
      </c>
      <c r="H270" s="97">
        <v>449</v>
      </c>
      <c r="I270" s="88"/>
    </row>
    <row r="271" spans="1:9" ht="19.8" customHeight="1" x14ac:dyDescent="0.3">
      <c r="A271" s="103">
        <v>45990</v>
      </c>
      <c r="B271" s="94" t="s">
        <v>36</v>
      </c>
      <c r="C271" s="95" t="s">
        <v>447</v>
      </c>
      <c r="D271" s="94" t="s">
        <v>403</v>
      </c>
      <c r="E271" s="104">
        <v>1.395833333333333</v>
      </c>
      <c r="F271" s="94" t="s">
        <v>38</v>
      </c>
      <c r="G271" s="96">
        <v>9</v>
      </c>
      <c r="H271" s="97">
        <v>449</v>
      </c>
      <c r="I271" s="88"/>
    </row>
    <row r="272" spans="1:9" ht="19.8" customHeight="1" x14ac:dyDescent="0.3">
      <c r="A272" s="103">
        <v>45990</v>
      </c>
      <c r="B272" s="94" t="s">
        <v>36</v>
      </c>
      <c r="C272" s="95" t="s">
        <v>446</v>
      </c>
      <c r="D272" s="94" t="s">
        <v>403</v>
      </c>
      <c r="E272" s="104">
        <v>1.6597222222222221</v>
      </c>
      <c r="F272" s="94" t="s">
        <v>38</v>
      </c>
      <c r="G272" s="96">
        <v>1</v>
      </c>
      <c r="H272" s="97">
        <v>449</v>
      </c>
      <c r="I272" s="88"/>
    </row>
    <row r="273" spans="1:9" ht="19.8" customHeight="1" x14ac:dyDescent="0.3">
      <c r="A273" s="103">
        <v>45990</v>
      </c>
      <c r="B273" s="94" t="s">
        <v>456</v>
      </c>
      <c r="C273" s="95" t="s">
        <v>500</v>
      </c>
      <c r="D273" s="94" t="s">
        <v>403</v>
      </c>
      <c r="E273" s="104">
        <v>1.3298611111111109</v>
      </c>
      <c r="F273" s="94" t="s">
        <v>458</v>
      </c>
      <c r="G273" s="96">
        <v>9</v>
      </c>
      <c r="H273" s="97">
        <v>456</v>
      </c>
      <c r="I273" s="88"/>
    </row>
    <row r="274" spans="1:9" ht="19.8" customHeight="1" x14ac:dyDescent="0.3">
      <c r="A274" s="103">
        <v>45990</v>
      </c>
      <c r="B274" s="94" t="s">
        <v>26</v>
      </c>
      <c r="C274" s="95" t="s">
        <v>455</v>
      </c>
      <c r="D274" s="94" t="s">
        <v>403</v>
      </c>
      <c r="E274" s="104">
        <v>1.788194444444444</v>
      </c>
      <c r="F274" s="94" t="s">
        <v>28</v>
      </c>
      <c r="G274" s="96">
        <v>4</v>
      </c>
      <c r="H274" s="97">
        <v>459</v>
      </c>
      <c r="I274" s="88"/>
    </row>
    <row r="275" spans="1:9" ht="19.8" customHeight="1" x14ac:dyDescent="0.3">
      <c r="A275" s="103">
        <v>45990</v>
      </c>
      <c r="B275" s="94" t="s">
        <v>36</v>
      </c>
      <c r="C275" s="95" t="s">
        <v>442</v>
      </c>
      <c r="D275" s="94" t="s">
        <v>403</v>
      </c>
      <c r="E275" s="104">
        <v>1.256944444444444</v>
      </c>
      <c r="F275" s="94" t="s">
        <v>164</v>
      </c>
      <c r="G275" s="96">
        <v>9</v>
      </c>
      <c r="H275" s="97">
        <v>489</v>
      </c>
      <c r="I275" s="88"/>
    </row>
    <row r="276" spans="1:9" ht="19.8" customHeight="1" x14ac:dyDescent="0.3">
      <c r="A276" s="103">
        <v>45990</v>
      </c>
      <c r="B276" s="94" t="s">
        <v>26</v>
      </c>
      <c r="C276" s="95" t="s">
        <v>454</v>
      </c>
      <c r="D276" s="94" t="s">
        <v>403</v>
      </c>
      <c r="E276" s="104">
        <v>1.8888888888888891</v>
      </c>
      <c r="F276" s="94" t="s">
        <v>28</v>
      </c>
      <c r="G276" s="96">
        <v>5</v>
      </c>
      <c r="H276" s="97">
        <v>499</v>
      </c>
      <c r="I276" s="88"/>
    </row>
    <row r="277" spans="1:9" ht="19.8" customHeight="1" x14ac:dyDescent="0.3">
      <c r="A277" s="103">
        <v>45990</v>
      </c>
      <c r="B277" s="94" t="s">
        <v>26</v>
      </c>
      <c r="C277" s="95" t="s">
        <v>451</v>
      </c>
      <c r="D277" s="94" t="s">
        <v>403</v>
      </c>
      <c r="E277" s="104">
        <v>1.1284722222222221</v>
      </c>
      <c r="F277" s="94" t="s">
        <v>31</v>
      </c>
      <c r="G277" s="96">
        <v>4</v>
      </c>
      <c r="H277" s="97">
        <v>539</v>
      </c>
      <c r="I277" s="88"/>
    </row>
    <row r="278" spans="1:9" ht="19.8" customHeight="1" x14ac:dyDescent="0.3">
      <c r="A278" s="103">
        <v>45990</v>
      </c>
      <c r="B278" s="94" t="s">
        <v>36</v>
      </c>
      <c r="C278" s="95" t="s">
        <v>447</v>
      </c>
      <c r="D278" s="94" t="s">
        <v>403</v>
      </c>
      <c r="E278" s="104">
        <v>1.395833333333333</v>
      </c>
      <c r="F278" s="94" t="s">
        <v>40</v>
      </c>
      <c r="G278" s="96">
        <v>9</v>
      </c>
      <c r="H278" s="97">
        <v>549</v>
      </c>
      <c r="I278" s="88"/>
    </row>
    <row r="279" spans="1:9" ht="19.8" customHeight="1" x14ac:dyDescent="0.3">
      <c r="A279" s="103">
        <v>45990</v>
      </c>
      <c r="B279" s="94" t="s">
        <v>36</v>
      </c>
      <c r="C279" s="95" t="s">
        <v>446</v>
      </c>
      <c r="D279" s="94" t="s">
        <v>403</v>
      </c>
      <c r="E279" s="104">
        <v>1.6597222222222221</v>
      </c>
      <c r="F279" s="94" t="s">
        <v>40</v>
      </c>
      <c r="G279" s="96">
        <v>1</v>
      </c>
      <c r="H279" s="97">
        <v>549</v>
      </c>
      <c r="I279" s="88"/>
    </row>
    <row r="280" spans="1:9" ht="19.8" customHeight="1" x14ac:dyDescent="0.3">
      <c r="A280" s="103">
        <v>45990</v>
      </c>
      <c r="B280" s="94" t="s">
        <v>456</v>
      </c>
      <c r="C280" s="95" t="s">
        <v>457</v>
      </c>
      <c r="D280" s="94" t="s">
        <v>403</v>
      </c>
      <c r="E280" s="104">
        <v>1.2152777777777779</v>
      </c>
      <c r="F280" s="94" t="s">
        <v>34</v>
      </c>
      <c r="G280" s="96">
        <v>9</v>
      </c>
      <c r="H280" s="97">
        <v>553</v>
      </c>
      <c r="I280" s="88"/>
    </row>
    <row r="281" spans="1:9" ht="19.8" customHeight="1" x14ac:dyDescent="0.3">
      <c r="A281" s="103">
        <v>45990</v>
      </c>
      <c r="B281" s="94" t="s">
        <v>26</v>
      </c>
      <c r="C281" s="95" t="s">
        <v>453</v>
      </c>
      <c r="D281" s="94" t="s">
        <v>403</v>
      </c>
      <c r="E281" s="104">
        <v>1.302083333333333</v>
      </c>
      <c r="F281" s="94" t="s">
        <v>31</v>
      </c>
      <c r="G281" s="96">
        <v>5</v>
      </c>
      <c r="H281" s="97">
        <v>569</v>
      </c>
      <c r="I281" s="88"/>
    </row>
    <row r="282" spans="1:9" ht="19.8" customHeight="1" x14ac:dyDescent="0.3">
      <c r="A282" s="103">
        <v>45990</v>
      </c>
      <c r="B282" s="94" t="s">
        <v>456</v>
      </c>
      <c r="C282" s="95" t="s">
        <v>500</v>
      </c>
      <c r="D282" s="94" t="s">
        <v>403</v>
      </c>
      <c r="E282" s="104">
        <v>1.3298611111111109</v>
      </c>
      <c r="F282" s="94" t="s">
        <v>34</v>
      </c>
      <c r="G282" s="96">
        <v>9</v>
      </c>
      <c r="H282" s="97">
        <v>579</v>
      </c>
      <c r="I282" s="88"/>
    </row>
    <row r="283" spans="1:9" ht="19.8" customHeight="1" x14ac:dyDescent="0.3">
      <c r="A283" s="103">
        <v>45990</v>
      </c>
      <c r="B283" s="94" t="s">
        <v>410</v>
      </c>
      <c r="C283" s="95" t="s">
        <v>413</v>
      </c>
      <c r="D283" s="94" t="s">
        <v>403</v>
      </c>
      <c r="E283" s="104">
        <v>1.666666666666667</v>
      </c>
      <c r="F283" s="94" t="s">
        <v>406</v>
      </c>
      <c r="G283" s="96">
        <v>9</v>
      </c>
      <c r="H283" s="97">
        <v>599</v>
      </c>
      <c r="I283" s="88"/>
    </row>
    <row r="284" spans="1:9" ht="19.8" customHeight="1" x14ac:dyDescent="0.3">
      <c r="A284" s="103">
        <v>45990</v>
      </c>
      <c r="B284" s="94" t="s">
        <v>26</v>
      </c>
      <c r="C284" s="95" t="s">
        <v>455</v>
      </c>
      <c r="D284" s="94" t="s">
        <v>403</v>
      </c>
      <c r="E284" s="104">
        <v>1.788194444444444</v>
      </c>
      <c r="F284" s="94" t="s">
        <v>31</v>
      </c>
      <c r="G284" s="96">
        <v>4</v>
      </c>
      <c r="H284" s="97">
        <v>609</v>
      </c>
      <c r="I284" s="88"/>
    </row>
    <row r="285" spans="1:9" ht="19.8" customHeight="1" x14ac:dyDescent="0.3">
      <c r="A285" s="103">
        <v>45990</v>
      </c>
      <c r="B285" s="94" t="s">
        <v>36</v>
      </c>
      <c r="C285" s="95" t="s">
        <v>447</v>
      </c>
      <c r="D285" s="94" t="s">
        <v>403</v>
      </c>
      <c r="E285" s="104">
        <v>1.395833333333333</v>
      </c>
      <c r="F285" s="94" t="s">
        <v>42</v>
      </c>
      <c r="G285" s="96">
        <v>9</v>
      </c>
      <c r="H285" s="97">
        <v>639</v>
      </c>
      <c r="I285" s="88"/>
    </row>
    <row r="286" spans="1:9" ht="19.8" customHeight="1" x14ac:dyDescent="0.3">
      <c r="A286" s="103">
        <v>45990</v>
      </c>
      <c r="B286" s="94" t="s">
        <v>36</v>
      </c>
      <c r="C286" s="95" t="s">
        <v>446</v>
      </c>
      <c r="D286" s="94" t="s">
        <v>403</v>
      </c>
      <c r="E286" s="104">
        <v>1.6597222222222221</v>
      </c>
      <c r="F286" s="94" t="s">
        <v>42</v>
      </c>
      <c r="G286" s="96">
        <v>1</v>
      </c>
      <c r="H286" s="97">
        <v>639</v>
      </c>
      <c r="I286" s="88"/>
    </row>
    <row r="287" spans="1:9" ht="19.8" customHeight="1" x14ac:dyDescent="0.3">
      <c r="A287" s="103">
        <v>45990</v>
      </c>
      <c r="B287" s="94" t="s">
        <v>26</v>
      </c>
      <c r="C287" s="95" t="s">
        <v>454</v>
      </c>
      <c r="D287" s="94" t="s">
        <v>403</v>
      </c>
      <c r="E287" s="104">
        <v>1.8888888888888891</v>
      </c>
      <c r="F287" s="94" t="s">
        <v>31</v>
      </c>
      <c r="G287" s="96">
        <v>5</v>
      </c>
      <c r="H287" s="97">
        <v>649</v>
      </c>
      <c r="I287" s="88"/>
    </row>
    <row r="288" spans="1:9" ht="19.8" customHeight="1" x14ac:dyDescent="0.3">
      <c r="A288" s="103">
        <v>45990</v>
      </c>
      <c r="B288" s="94" t="s">
        <v>78</v>
      </c>
      <c r="C288" s="95" t="s">
        <v>464</v>
      </c>
      <c r="D288" s="94" t="s">
        <v>403</v>
      </c>
      <c r="E288" s="104">
        <v>1.006944444444444</v>
      </c>
      <c r="F288" s="94" t="s">
        <v>369</v>
      </c>
      <c r="G288" s="96">
        <v>9</v>
      </c>
      <c r="H288" s="97">
        <v>678</v>
      </c>
      <c r="I288" s="88"/>
    </row>
    <row r="289" spans="1:9" ht="19.8" customHeight="1" x14ac:dyDescent="0.3">
      <c r="A289" s="103">
        <v>45990</v>
      </c>
      <c r="B289" s="94" t="s">
        <v>78</v>
      </c>
      <c r="C289" s="95" t="s">
        <v>467</v>
      </c>
      <c r="D289" s="94" t="s">
        <v>403</v>
      </c>
      <c r="E289" s="104">
        <v>1.1423611111111109</v>
      </c>
      <c r="F289" s="94" t="s">
        <v>369</v>
      </c>
      <c r="G289" s="96">
        <v>9</v>
      </c>
      <c r="H289" s="97">
        <v>678</v>
      </c>
      <c r="I289" s="88"/>
    </row>
    <row r="290" spans="1:9" ht="19.8" customHeight="1" x14ac:dyDescent="0.3">
      <c r="A290" s="103">
        <v>45990</v>
      </c>
      <c r="B290" s="94" t="s">
        <v>78</v>
      </c>
      <c r="C290" s="95" t="s">
        <v>469</v>
      </c>
      <c r="D290" s="94" t="s">
        <v>403</v>
      </c>
      <c r="E290" s="104">
        <v>1.3784722222222221</v>
      </c>
      <c r="F290" s="94" t="s">
        <v>369</v>
      </c>
      <c r="G290" s="96">
        <v>4</v>
      </c>
      <c r="H290" s="97">
        <v>678</v>
      </c>
      <c r="I290" s="88"/>
    </row>
    <row r="291" spans="1:9" ht="19.8" customHeight="1" x14ac:dyDescent="0.3">
      <c r="A291" s="103">
        <v>45990</v>
      </c>
      <c r="B291" s="94" t="s">
        <v>78</v>
      </c>
      <c r="C291" s="95" t="s">
        <v>461</v>
      </c>
      <c r="D291" s="94" t="s">
        <v>403</v>
      </c>
      <c r="E291" s="104">
        <v>1.243055555555556</v>
      </c>
      <c r="F291" s="94" t="s">
        <v>369</v>
      </c>
      <c r="G291" s="96">
        <v>9</v>
      </c>
      <c r="H291" s="97">
        <v>678</v>
      </c>
      <c r="I291" s="88"/>
    </row>
    <row r="292" spans="1:9" ht="19.8" customHeight="1" x14ac:dyDescent="0.3">
      <c r="A292" s="103">
        <v>45990</v>
      </c>
      <c r="B292" s="94" t="s">
        <v>78</v>
      </c>
      <c r="C292" s="95" t="s">
        <v>470</v>
      </c>
      <c r="D292" s="94" t="s">
        <v>403</v>
      </c>
      <c r="E292" s="104">
        <v>1.71875</v>
      </c>
      <c r="F292" s="94" t="s">
        <v>369</v>
      </c>
      <c r="G292" s="96">
        <v>9</v>
      </c>
      <c r="H292" s="97">
        <v>935</v>
      </c>
      <c r="I292" s="88"/>
    </row>
    <row r="293" spans="1:9" ht="19.8" customHeight="1" x14ac:dyDescent="0.3">
      <c r="A293" s="103">
        <v>45990</v>
      </c>
      <c r="B293" s="94" t="s">
        <v>78</v>
      </c>
      <c r="C293" s="95" t="s">
        <v>482</v>
      </c>
      <c r="D293" s="94" t="s">
        <v>403</v>
      </c>
      <c r="E293" s="104">
        <v>1.6111111111111109</v>
      </c>
      <c r="F293" s="94" t="s">
        <v>369</v>
      </c>
      <c r="G293" s="96">
        <v>5</v>
      </c>
      <c r="H293" s="97">
        <v>935</v>
      </c>
      <c r="I293" s="88"/>
    </row>
    <row r="294" spans="1:9" ht="19.8" customHeight="1" x14ac:dyDescent="0.3">
      <c r="A294" s="103">
        <v>45990</v>
      </c>
      <c r="B294" s="94" t="s">
        <v>66</v>
      </c>
      <c r="C294" s="95" t="s">
        <v>488</v>
      </c>
      <c r="D294" s="94" t="s">
        <v>403</v>
      </c>
      <c r="E294" s="104">
        <v>1.229166666666667</v>
      </c>
      <c r="F294" s="94" t="s">
        <v>68</v>
      </c>
      <c r="G294" s="96">
        <v>9</v>
      </c>
      <c r="H294" s="97">
        <v>974</v>
      </c>
      <c r="I294" s="88"/>
    </row>
    <row r="295" spans="1:9" ht="19.8" customHeight="1" x14ac:dyDescent="0.3">
      <c r="A295" s="103">
        <v>45990</v>
      </c>
      <c r="B295" s="94" t="s">
        <v>66</v>
      </c>
      <c r="C295" s="95" t="s">
        <v>505</v>
      </c>
      <c r="D295" s="94" t="s">
        <v>403</v>
      </c>
      <c r="E295" s="104">
        <v>1.145833333333333</v>
      </c>
      <c r="F295" s="94" t="s">
        <v>68</v>
      </c>
      <c r="G295" s="96">
        <v>9</v>
      </c>
      <c r="H295" s="107" t="s">
        <v>489</v>
      </c>
      <c r="I295" s="88"/>
    </row>
    <row r="296" spans="1:9" ht="19.8" customHeight="1" x14ac:dyDescent="0.3">
      <c r="A296" s="103">
        <v>45990</v>
      </c>
      <c r="B296" s="94" t="s">
        <v>26</v>
      </c>
      <c r="C296" s="95" t="s">
        <v>451</v>
      </c>
      <c r="D296" s="94" t="s">
        <v>403</v>
      </c>
      <c r="E296" s="104">
        <v>1.1284722222222221</v>
      </c>
      <c r="F296" s="94" t="s">
        <v>34</v>
      </c>
      <c r="G296" s="96">
        <v>4</v>
      </c>
      <c r="H296" s="107" t="s">
        <v>35</v>
      </c>
      <c r="I296" s="88"/>
    </row>
    <row r="297" spans="1:9" ht="19.8" customHeight="1" x14ac:dyDescent="0.3">
      <c r="A297" s="103">
        <v>45990</v>
      </c>
      <c r="B297" s="94" t="s">
        <v>26</v>
      </c>
      <c r="C297" s="95" t="s">
        <v>453</v>
      </c>
      <c r="D297" s="94" t="s">
        <v>403</v>
      </c>
      <c r="E297" s="104">
        <v>1.302083333333333</v>
      </c>
      <c r="F297" s="94" t="s">
        <v>34</v>
      </c>
      <c r="G297" s="96">
        <v>5</v>
      </c>
      <c r="H297" s="107" t="s">
        <v>35</v>
      </c>
      <c r="I297" s="88"/>
    </row>
    <row r="298" spans="1:9" ht="19.8" customHeight="1" x14ac:dyDescent="0.3">
      <c r="A298" s="103">
        <v>45990</v>
      </c>
      <c r="B298" s="94" t="s">
        <v>26</v>
      </c>
      <c r="C298" s="95" t="s">
        <v>454</v>
      </c>
      <c r="D298" s="94" t="s">
        <v>403</v>
      </c>
      <c r="E298" s="104">
        <v>1.8888888888888891</v>
      </c>
      <c r="F298" s="94" t="s">
        <v>34</v>
      </c>
      <c r="G298" s="96">
        <v>5</v>
      </c>
      <c r="H298" s="107" t="s">
        <v>35</v>
      </c>
      <c r="I298" s="88"/>
    </row>
    <row r="299" spans="1:9" ht="19.8" customHeight="1" x14ac:dyDescent="0.3">
      <c r="A299" s="103">
        <v>45990</v>
      </c>
      <c r="B299" s="94" t="s">
        <v>26</v>
      </c>
      <c r="C299" s="95" t="s">
        <v>455</v>
      </c>
      <c r="D299" s="94" t="s">
        <v>403</v>
      </c>
      <c r="E299" s="104">
        <v>1.788194444444444</v>
      </c>
      <c r="F299" s="94" t="s">
        <v>34</v>
      </c>
      <c r="G299" s="96">
        <v>4</v>
      </c>
      <c r="H299" s="107" t="s">
        <v>35</v>
      </c>
      <c r="I299" s="88"/>
    </row>
    <row r="300" spans="1:9" ht="19.8" customHeight="1" x14ac:dyDescent="0.3">
      <c r="A300" s="103">
        <v>45990</v>
      </c>
      <c r="B300" s="94" t="s">
        <v>78</v>
      </c>
      <c r="C300" s="95" t="s">
        <v>476</v>
      </c>
      <c r="D300" s="94" t="s">
        <v>403</v>
      </c>
      <c r="E300" s="104">
        <v>1.1284722222222221</v>
      </c>
      <c r="F300" s="94" t="s">
        <v>68</v>
      </c>
      <c r="G300" s="96">
        <v>4</v>
      </c>
      <c r="H300" s="107" t="s">
        <v>535</v>
      </c>
      <c r="I300" s="88"/>
    </row>
    <row r="301" spans="1:9" ht="19.8" customHeight="1" x14ac:dyDescent="0.3">
      <c r="A301" s="103">
        <v>45990</v>
      </c>
      <c r="B301" s="94" t="s">
        <v>78</v>
      </c>
      <c r="C301" s="95" t="s">
        <v>468</v>
      </c>
      <c r="D301" s="94" t="s">
        <v>403</v>
      </c>
      <c r="E301" s="104">
        <v>1.930555555555556</v>
      </c>
      <c r="F301" s="94" t="s">
        <v>369</v>
      </c>
      <c r="G301" s="96">
        <v>8</v>
      </c>
      <c r="H301" s="107" t="s">
        <v>511</v>
      </c>
      <c r="I301" s="88"/>
    </row>
    <row r="302" spans="1:9" ht="19.8" customHeight="1" x14ac:dyDescent="0.3">
      <c r="A302" s="103">
        <v>45990</v>
      </c>
      <c r="B302" s="94" t="s">
        <v>78</v>
      </c>
      <c r="C302" s="95" t="s">
        <v>477</v>
      </c>
      <c r="D302" s="94" t="s">
        <v>403</v>
      </c>
      <c r="E302" s="104">
        <v>1.8298611111111109</v>
      </c>
      <c r="F302" s="94" t="s">
        <v>369</v>
      </c>
      <c r="G302" s="96">
        <v>4</v>
      </c>
      <c r="H302" s="107" t="s">
        <v>511</v>
      </c>
      <c r="I302" s="88"/>
    </row>
    <row r="303" spans="1:9" ht="19.8" customHeight="1" x14ac:dyDescent="0.3">
      <c r="A303" s="103">
        <v>45990</v>
      </c>
      <c r="B303" s="94" t="s">
        <v>78</v>
      </c>
      <c r="C303" s="95" t="s">
        <v>475</v>
      </c>
      <c r="D303" s="94" t="s">
        <v>403</v>
      </c>
      <c r="E303" s="104">
        <v>1.302083333333333</v>
      </c>
      <c r="F303" s="94" t="s">
        <v>68</v>
      </c>
      <c r="G303" s="96">
        <v>4</v>
      </c>
      <c r="H303" s="107" t="s">
        <v>474</v>
      </c>
      <c r="I303" s="88"/>
    </row>
    <row r="304" spans="1:9" ht="19.8" customHeight="1" x14ac:dyDescent="0.3">
      <c r="A304" s="103">
        <v>45990</v>
      </c>
      <c r="B304" s="94" t="s">
        <v>78</v>
      </c>
      <c r="C304" s="95" t="s">
        <v>480</v>
      </c>
      <c r="D304" s="94" t="s">
        <v>403</v>
      </c>
      <c r="E304" s="104">
        <v>1.788194444444444</v>
      </c>
      <c r="F304" s="94" t="s">
        <v>68</v>
      </c>
      <c r="G304" s="96">
        <v>4</v>
      </c>
      <c r="H304" s="107" t="s">
        <v>474</v>
      </c>
      <c r="I304" s="88"/>
    </row>
    <row r="305" spans="1:9" ht="19.8" customHeight="1" x14ac:dyDescent="0.3">
      <c r="A305" s="103">
        <v>45990</v>
      </c>
      <c r="B305" s="94" t="s">
        <v>66</v>
      </c>
      <c r="C305" s="95" t="s">
        <v>490</v>
      </c>
      <c r="D305" s="94" t="s">
        <v>403</v>
      </c>
      <c r="E305" s="104">
        <v>1.28125</v>
      </c>
      <c r="F305" s="94" t="s">
        <v>68</v>
      </c>
      <c r="G305" s="96">
        <v>9</v>
      </c>
      <c r="H305" s="107" t="s">
        <v>556</v>
      </c>
      <c r="I305" s="88"/>
    </row>
    <row r="306" spans="1:9" ht="19.8" customHeight="1" x14ac:dyDescent="0.3">
      <c r="A306" s="103">
        <v>45990</v>
      </c>
      <c r="B306" s="94" t="s">
        <v>78</v>
      </c>
      <c r="C306" s="95" t="s">
        <v>473</v>
      </c>
      <c r="D306" s="94" t="s">
        <v>403</v>
      </c>
      <c r="E306" s="104">
        <v>1.8888888888888891</v>
      </c>
      <c r="F306" s="94" t="s">
        <v>83</v>
      </c>
      <c r="G306" s="96">
        <v>4</v>
      </c>
      <c r="H306" s="107" t="s">
        <v>481</v>
      </c>
      <c r="I306" s="88"/>
    </row>
    <row r="307" spans="1:9" ht="19.8" customHeight="1" x14ac:dyDescent="0.3">
      <c r="A307" s="103">
        <v>45990</v>
      </c>
      <c r="B307" s="94" t="s">
        <v>66</v>
      </c>
      <c r="C307" s="95" t="s">
        <v>492</v>
      </c>
      <c r="D307" s="94" t="s">
        <v>403</v>
      </c>
      <c r="E307" s="104">
        <v>1.774305555555556</v>
      </c>
      <c r="F307" s="94" t="s">
        <v>68</v>
      </c>
      <c r="G307" s="96">
        <v>9</v>
      </c>
      <c r="H307" s="107" t="s">
        <v>493</v>
      </c>
      <c r="I307" s="88"/>
    </row>
    <row r="308" spans="1:9" ht="19.8" customHeight="1" x14ac:dyDescent="0.3">
      <c r="A308" s="113">
        <v>45990</v>
      </c>
      <c r="B308" s="114" t="s">
        <v>66</v>
      </c>
      <c r="C308" s="115" t="s">
        <v>509</v>
      </c>
      <c r="D308" s="114" t="s">
        <v>403</v>
      </c>
      <c r="E308" s="116">
        <v>1.0138888888888891</v>
      </c>
      <c r="F308" s="114" t="s">
        <v>68</v>
      </c>
      <c r="G308" s="117">
        <v>9</v>
      </c>
      <c r="H308" s="118" t="s">
        <v>557</v>
      </c>
      <c r="I308" s="88"/>
    </row>
    <row r="309" spans="1:9" ht="19.8" customHeight="1" x14ac:dyDescent="0.3">
      <c r="A309" s="103">
        <v>45991</v>
      </c>
      <c r="B309" s="94" t="s">
        <v>404</v>
      </c>
      <c r="C309" s="95" t="s">
        <v>405</v>
      </c>
      <c r="D309" s="94" t="s">
        <v>403</v>
      </c>
      <c r="E309" s="104">
        <v>1.274305555555556</v>
      </c>
      <c r="F309" s="94" t="s">
        <v>406</v>
      </c>
      <c r="G309" s="96">
        <v>7</v>
      </c>
      <c r="H309" s="97">
        <v>400</v>
      </c>
      <c r="I309" s="88"/>
    </row>
    <row r="310" spans="1:9" ht="19.8" customHeight="1" x14ac:dyDescent="0.3">
      <c r="A310" s="103">
        <v>45991</v>
      </c>
      <c r="B310" s="94" t="s">
        <v>410</v>
      </c>
      <c r="C310" s="95" t="s">
        <v>411</v>
      </c>
      <c r="D310" s="94" t="s">
        <v>403</v>
      </c>
      <c r="E310" s="104">
        <v>1.381944444444444</v>
      </c>
      <c r="F310" s="94" t="s">
        <v>406</v>
      </c>
      <c r="G310" s="96">
        <v>9</v>
      </c>
      <c r="H310" s="97">
        <v>401</v>
      </c>
      <c r="I310" s="88"/>
    </row>
    <row r="311" spans="1:9" ht="19.8" customHeight="1" x14ac:dyDescent="0.3">
      <c r="A311" s="105">
        <v>45991</v>
      </c>
      <c r="B311" s="99" t="s">
        <v>44</v>
      </c>
      <c r="C311" s="100" t="s">
        <v>415</v>
      </c>
      <c r="D311" s="99" t="s">
        <v>403</v>
      </c>
      <c r="E311" s="106">
        <v>1.319444444444444</v>
      </c>
      <c r="F311" s="99" t="s">
        <v>46</v>
      </c>
      <c r="G311" s="101">
        <v>9</v>
      </c>
      <c r="H311" s="102">
        <v>401</v>
      </c>
      <c r="I311" s="88"/>
    </row>
    <row r="312" spans="1:9" ht="19.8" customHeight="1" x14ac:dyDescent="0.3">
      <c r="A312" s="103">
        <v>45991</v>
      </c>
      <c r="B312" s="94" t="s">
        <v>410</v>
      </c>
      <c r="C312" s="95" t="s">
        <v>413</v>
      </c>
      <c r="D312" s="94" t="s">
        <v>403</v>
      </c>
      <c r="E312" s="104">
        <v>1.666666666666667</v>
      </c>
      <c r="F312" s="94" t="s">
        <v>406</v>
      </c>
      <c r="G312" s="96">
        <v>5</v>
      </c>
      <c r="H312" s="97">
        <v>401</v>
      </c>
      <c r="I312" s="88"/>
    </row>
    <row r="313" spans="1:9" ht="19.8" customHeight="1" x14ac:dyDescent="0.3">
      <c r="A313" s="103">
        <v>45991</v>
      </c>
      <c r="B313" s="94" t="s">
        <v>36</v>
      </c>
      <c r="C313" s="95" t="s">
        <v>443</v>
      </c>
      <c r="D313" s="94" t="s">
        <v>403</v>
      </c>
      <c r="E313" s="104">
        <v>1.302083333333333</v>
      </c>
      <c r="F313" s="94" t="s">
        <v>164</v>
      </c>
      <c r="G313" s="96">
        <v>2</v>
      </c>
      <c r="H313" s="97">
        <v>409</v>
      </c>
      <c r="I313" s="88"/>
    </row>
    <row r="314" spans="1:9" ht="19.8" customHeight="1" x14ac:dyDescent="0.3">
      <c r="A314" s="103">
        <v>45991</v>
      </c>
      <c r="B314" s="94" t="s">
        <v>36</v>
      </c>
      <c r="C314" s="95" t="s">
        <v>447</v>
      </c>
      <c r="D314" s="94" t="s">
        <v>403</v>
      </c>
      <c r="E314" s="104">
        <v>1.395833333333333</v>
      </c>
      <c r="F314" s="94" t="s">
        <v>164</v>
      </c>
      <c r="G314" s="96">
        <v>3</v>
      </c>
      <c r="H314" s="97">
        <v>409</v>
      </c>
      <c r="I314" s="88"/>
    </row>
    <row r="315" spans="1:9" ht="19.8" customHeight="1" x14ac:dyDescent="0.3">
      <c r="A315" s="103">
        <v>45991</v>
      </c>
      <c r="B315" s="94" t="s">
        <v>26</v>
      </c>
      <c r="C315" s="95" t="s">
        <v>451</v>
      </c>
      <c r="D315" s="94" t="s">
        <v>403</v>
      </c>
      <c r="E315" s="104">
        <v>1.1284722222222221</v>
      </c>
      <c r="F315" s="94" t="s">
        <v>28</v>
      </c>
      <c r="G315" s="96">
        <v>5</v>
      </c>
      <c r="H315" s="97">
        <v>419</v>
      </c>
      <c r="I315" s="88"/>
    </row>
    <row r="316" spans="1:9" ht="19.8" customHeight="1" x14ac:dyDescent="0.3">
      <c r="A316" s="103">
        <v>45991</v>
      </c>
      <c r="B316" s="94" t="s">
        <v>456</v>
      </c>
      <c r="C316" s="95" t="s">
        <v>500</v>
      </c>
      <c r="D316" s="94" t="s">
        <v>403</v>
      </c>
      <c r="E316" s="104">
        <v>1.3888888888888891</v>
      </c>
      <c r="F316" s="94" t="s">
        <v>567</v>
      </c>
      <c r="G316" s="96">
        <v>9</v>
      </c>
      <c r="H316" s="97">
        <v>422</v>
      </c>
      <c r="I316" s="88"/>
    </row>
    <row r="317" spans="1:9" ht="19.8" customHeight="1" x14ac:dyDescent="0.3">
      <c r="A317" s="105">
        <v>45991</v>
      </c>
      <c r="B317" s="99" t="s">
        <v>44</v>
      </c>
      <c r="C317" s="100" t="s">
        <v>523</v>
      </c>
      <c r="D317" s="99" t="s">
        <v>403</v>
      </c>
      <c r="E317" s="106">
        <v>1.333333333333333</v>
      </c>
      <c r="F317" s="99" t="s">
        <v>46</v>
      </c>
      <c r="G317" s="101">
        <v>9</v>
      </c>
      <c r="H317" s="102">
        <v>436</v>
      </c>
      <c r="I317" s="88"/>
    </row>
    <row r="318" spans="1:9" ht="19.8" customHeight="1" x14ac:dyDescent="0.3">
      <c r="A318" s="105">
        <v>45991</v>
      </c>
      <c r="B318" s="99" t="s">
        <v>44</v>
      </c>
      <c r="C318" s="100" t="s">
        <v>422</v>
      </c>
      <c r="D318" s="99" t="s">
        <v>403</v>
      </c>
      <c r="E318" s="106">
        <v>1.083333333333333</v>
      </c>
      <c r="F318" s="99" t="s">
        <v>46</v>
      </c>
      <c r="G318" s="101">
        <v>9</v>
      </c>
      <c r="H318" s="102">
        <v>436</v>
      </c>
      <c r="I318" s="88"/>
    </row>
    <row r="319" spans="1:9" ht="19.8" customHeight="1" x14ac:dyDescent="0.3">
      <c r="A319" s="103">
        <v>45991</v>
      </c>
      <c r="B319" s="94" t="s">
        <v>36</v>
      </c>
      <c r="C319" s="95" t="s">
        <v>438</v>
      </c>
      <c r="D319" s="94" t="s">
        <v>403</v>
      </c>
      <c r="E319" s="104">
        <v>1.854166666666667</v>
      </c>
      <c r="F319" s="94" t="s">
        <v>164</v>
      </c>
      <c r="G319" s="96">
        <v>9</v>
      </c>
      <c r="H319" s="97">
        <v>449</v>
      </c>
      <c r="I319" s="88"/>
    </row>
    <row r="320" spans="1:9" ht="19.8" customHeight="1" x14ac:dyDescent="0.3">
      <c r="A320" s="103">
        <v>45991</v>
      </c>
      <c r="B320" s="94" t="s">
        <v>36</v>
      </c>
      <c r="C320" s="95" t="s">
        <v>442</v>
      </c>
      <c r="D320" s="94" t="s">
        <v>403</v>
      </c>
      <c r="E320" s="104">
        <v>1.256944444444444</v>
      </c>
      <c r="F320" s="94" t="s">
        <v>164</v>
      </c>
      <c r="G320" s="96">
        <v>9</v>
      </c>
      <c r="H320" s="97">
        <v>449</v>
      </c>
      <c r="I320" s="88"/>
    </row>
    <row r="321" spans="1:9" ht="19.8" customHeight="1" x14ac:dyDescent="0.3">
      <c r="A321" s="103">
        <v>45991</v>
      </c>
      <c r="B321" s="94" t="s">
        <v>36</v>
      </c>
      <c r="C321" s="95" t="s">
        <v>444</v>
      </c>
      <c r="D321" s="94" t="s">
        <v>403</v>
      </c>
      <c r="E321" s="104">
        <v>1.5173611111111109</v>
      </c>
      <c r="F321" s="94" t="s">
        <v>164</v>
      </c>
      <c r="G321" s="96">
        <v>9</v>
      </c>
      <c r="H321" s="97">
        <v>449</v>
      </c>
      <c r="I321" s="88"/>
    </row>
    <row r="322" spans="1:9" ht="19.8" customHeight="1" x14ac:dyDescent="0.3">
      <c r="A322" s="103">
        <v>45991</v>
      </c>
      <c r="B322" s="94" t="s">
        <v>36</v>
      </c>
      <c r="C322" s="95" t="s">
        <v>435</v>
      </c>
      <c r="D322" s="94" t="s">
        <v>403</v>
      </c>
      <c r="E322" s="104">
        <v>1.9027777777777779</v>
      </c>
      <c r="F322" s="94" t="s">
        <v>164</v>
      </c>
      <c r="G322" s="96">
        <v>1</v>
      </c>
      <c r="H322" s="97">
        <v>449</v>
      </c>
      <c r="I322" s="88"/>
    </row>
    <row r="323" spans="1:9" ht="19.8" customHeight="1" x14ac:dyDescent="0.3">
      <c r="A323" s="103">
        <v>45991</v>
      </c>
      <c r="B323" s="94" t="s">
        <v>36</v>
      </c>
      <c r="C323" s="95" t="s">
        <v>445</v>
      </c>
      <c r="D323" s="94" t="s">
        <v>403</v>
      </c>
      <c r="E323" s="104">
        <v>1.7986111111111109</v>
      </c>
      <c r="F323" s="94" t="s">
        <v>164</v>
      </c>
      <c r="G323" s="96">
        <v>5</v>
      </c>
      <c r="H323" s="97">
        <v>449</v>
      </c>
      <c r="I323" s="88"/>
    </row>
    <row r="324" spans="1:9" ht="19.8" customHeight="1" x14ac:dyDescent="0.3">
      <c r="A324" s="103">
        <v>45991</v>
      </c>
      <c r="B324" s="94" t="s">
        <v>36</v>
      </c>
      <c r="C324" s="95" t="s">
        <v>446</v>
      </c>
      <c r="D324" s="94" t="s">
        <v>403</v>
      </c>
      <c r="E324" s="104">
        <v>1.645833333333333</v>
      </c>
      <c r="F324" s="94" t="s">
        <v>164</v>
      </c>
      <c r="G324" s="96">
        <v>9</v>
      </c>
      <c r="H324" s="97">
        <v>449</v>
      </c>
      <c r="I324" s="88"/>
    </row>
    <row r="325" spans="1:9" ht="19.8" customHeight="1" x14ac:dyDescent="0.3">
      <c r="A325" s="103">
        <v>45991</v>
      </c>
      <c r="B325" s="94" t="s">
        <v>26</v>
      </c>
      <c r="C325" s="95" t="s">
        <v>453</v>
      </c>
      <c r="D325" s="94" t="s">
        <v>403</v>
      </c>
      <c r="E325" s="104">
        <v>1.302083333333333</v>
      </c>
      <c r="F325" s="94" t="s">
        <v>28</v>
      </c>
      <c r="G325" s="96">
        <v>7</v>
      </c>
      <c r="H325" s="97">
        <v>459</v>
      </c>
      <c r="I325" s="88"/>
    </row>
    <row r="326" spans="1:9" ht="19.8" customHeight="1" x14ac:dyDescent="0.3">
      <c r="A326" s="103">
        <v>45991</v>
      </c>
      <c r="B326" s="94" t="s">
        <v>26</v>
      </c>
      <c r="C326" s="95" t="s">
        <v>454</v>
      </c>
      <c r="D326" s="94" t="s">
        <v>403</v>
      </c>
      <c r="E326" s="104">
        <v>1.8888888888888891</v>
      </c>
      <c r="F326" s="94" t="s">
        <v>28</v>
      </c>
      <c r="G326" s="96">
        <v>5</v>
      </c>
      <c r="H326" s="97">
        <v>459</v>
      </c>
      <c r="I326" s="88"/>
    </row>
    <row r="327" spans="1:9" ht="19.8" customHeight="1" x14ac:dyDescent="0.3">
      <c r="A327" s="103">
        <v>45991</v>
      </c>
      <c r="B327" s="94" t="s">
        <v>26</v>
      </c>
      <c r="C327" s="95" t="s">
        <v>455</v>
      </c>
      <c r="D327" s="94" t="s">
        <v>403</v>
      </c>
      <c r="E327" s="104">
        <v>1.788194444444444</v>
      </c>
      <c r="F327" s="94" t="s">
        <v>163</v>
      </c>
      <c r="G327" s="96">
        <v>10</v>
      </c>
      <c r="H327" s="97">
        <v>459</v>
      </c>
      <c r="I327" s="88"/>
    </row>
    <row r="328" spans="1:9" ht="19.8" customHeight="1" x14ac:dyDescent="0.3">
      <c r="A328" s="105">
        <v>45991</v>
      </c>
      <c r="B328" s="99" t="s">
        <v>44</v>
      </c>
      <c r="C328" s="100" t="s">
        <v>429</v>
      </c>
      <c r="D328" s="99" t="s">
        <v>403</v>
      </c>
      <c r="E328" s="106">
        <v>1.510416666666667</v>
      </c>
      <c r="F328" s="99" t="s">
        <v>46</v>
      </c>
      <c r="G328" s="101">
        <v>2</v>
      </c>
      <c r="H328" s="102">
        <v>526</v>
      </c>
      <c r="I328" s="88"/>
    </row>
    <row r="329" spans="1:9" ht="19.8" customHeight="1" x14ac:dyDescent="0.3">
      <c r="A329" s="103">
        <v>45991</v>
      </c>
      <c r="B329" s="94" t="s">
        <v>26</v>
      </c>
      <c r="C329" s="95" t="s">
        <v>451</v>
      </c>
      <c r="D329" s="94" t="s">
        <v>403</v>
      </c>
      <c r="E329" s="104">
        <v>1.1284722222222221</v>
      </c>
      <c r="F329" s="94" t="s">
        <v>31</v>
      </c>
      <c r="G329" s="96">
        <v>5</v>
      </c>
      <c r="H329" s="97">
        <v>569</v>
      </c>
      <c r="I329" s="88"/>
    </row>
    <row r="330" spans="1:9" ht="19.8" customHeight="1" x14ac:dyDescent="0.3">
      <c r="A330" s="103">
        <v>45991</v>
      </c>
      <c r="B330" s="94" t="s">
        <v>26</v>
      </c>
      <c r="C330" s="95" t="s">
        <v>453</v>
      </c>
      <c r="D330" s="94" t="s">
        <v>403</v>
      </c>
      <c r="E330" s="104">
        <v>1.302083333333333</v>
      </c>
      <c r="F330" s="94" t="s">
        <v>31</v>
      </c>
      <c r="G330" s="96">
        <v>7</v>
      </c>
      <c r="H330" s="97">
        <v>609</v>
      </c>
      <c r="I330" s="88"/>
    </row>
    <row r="331" spans="1:9" ht="19.8" customHeight="1" x14ac:dyDescent="0.3">
      <c r="A331" s="103">
        <v>45991</v>
      </c>
      <c r="B331" s="94" t="s">
        <v>26</v>
      </c>
      <c r="C331" s="95" t="s">
        <v>454</v>
      </c>
      <c r="D331" s="94" t="s">
        <v>403</v>
      </c>
      <c r="E331" s="104">
        <v>1.8888888888888891</v>
      </c>
      <c r="F331" s="94" t="s">
        <v>31</v>
      </c>
      <c r="G331" s="96">
        <v>5</v>
      </c>
      <c r="H331" s="97">
        <v>609</v>
      </c>
      <c r="I331" s="88"/>
    </row>
    <row r="332" spans="1:9" ht="19.8" customHeight="1" x14ac:dyDescent="0.3">
      <c r="A332" s="103">
        <v>45991</v>
      </c>
      <c r="B332" s="94" t="s">
        <v>78</v>
      </c>
      <c r="C332" s="95" t="s">
        <v>461</v>
      </c>
      <c r="D332" s="94" t="s">
        <v>403</v>
      </c>
      <c r="E332" s="104">
        <v>1.239583333333333</v>
      </c>
      <c r="F332" s="94" t="s">
        <v>80</v>
      </c>
      <c r="G332" s="96">
        <v>9</v>
      </c>
      <c r="H332" s="97">
        <v>678</v>
      </c>
      <c r="I332" s="88"/>
    </row>
    <row r="333" spans="1:9" ht="19.8" customHeight="1" x14ac:dyDescent="0.3">
      <c r="A333" s="103">
        <v>45991</v>
      </c>
      <c r="B333" s="94" t="s">
        <v>78</v>
      </c>
      <c r="C333" s="95" t="s">
        <v>461</v>
      </c>
      <c r="D333" s="94" t="s">
        <v>403</v>
      </c>
      <c r="E333" s="104">
        <v>1.239583333333333</v>
      </c>
      <c r="F333" s="94" t="s">
        <v>83</v>
      </c>
      <c r="G333" s="96">
        <v>9</v>
      </c>
      <c r="H333" s="97">
        <v>723</v>
      </c>
      <c r="I333" s="88"/>
    </row>
    <row r="334" spans="1:9" ht="19.8" customHeight="1" x14ac:dyDescent="0.3">
      <c r="A334" s="103">
        <v>45991</v>
      </c>
      <c r="B334" s="94" t="s">
        <v>404</v>
      </c>
      <c r="C334" s="95" t="s">
        <v>558</v>
      </c>
      <c r="D334" s="94" t="s">
        <v>403</v>
      </c>
      <c r="E334" s="104">
        <v>1.3472222222222221</v>
      </c>
      <c r="F334" s="94" t="s">
        <v>406</v>
      </c>
      <c r="G334" s="96">
        <v>1</v>
      </c>
      <c r="H334" s="97">
        <v>745</v>
      </c>
      <c r="I334" s="88"/>
    </row>
    <row r="335" spans="1:9" ht="19.8" customHeight="1" x14ac:dyDescent="0.3">
      <c r="A335" s="103">
        <v>45991</v>
      </c>
      <c r="B335" s="94" t="s">
        <v>78</v>
      </c>
      <c r="C335" s="95" t="s">
        <v>470</v>
      </c>
      <c r="D335" s="94" t="s">
        <v>403</v>
      </c>
      <c r="E335" s="104">
        <v>1.71875</v>
      </c>
      <c r="F335" s="94" t="s">
        <v>369</v>
      </c>
      <c r="G335" s="96">
        <v>9</v>
      </c>
      <c r="H335" s="97">
        <v>935</v>
      </c>
      <c r="I335" s="88"/>
    </row>
    <row r="336" spans="1:9" ht="19.8" customHeight="1" x14ac:dyDescent="0.3">
      <c r="A336" s="103">
        <v>45991</v>
      </c>
      <c r="B336" s="94" t="s">
        <v>78</v>
      </c>
      <c r="C336" s="95" t="s">
        <v>469</v>
      </c>
      <c r="D336" s="94" t="s">
        <v>403</v>
      </c>
      <c r="E336" s="104">
        <v>1.3784722222222221</v>
      </c>
      <c r="F336" s="94" t="s">
        <v>80</v>
      </c>
      <c r="G336" s="96">
        <v>9</v>
      </c>
      <c r="H336" s="97">
        <v>935</v>
      </c>
      <c r="I336" s="88"/>
    </row>
    <row r="337" spans="1:9" ht="19.8" customHeight="1" x14ac:dyDescent="0.3">
      <c r="A337" s="103">
        <v>45991</v>
      </c>
      <c r="B337" s="94" t="s">
        <v>78</v>
      </c>
      <c r="C337" s="95" t="s">
        <v>482</v>
      </c>
      <c r="D337" s="94" t="s">
        <v>403</v>
      </c>
      <c r="E337" s="104">
        <v>1.6111111111111109</v>
      </c>
      <c r="F337" s="94" t="s">
        <v>80</v>
      </c>
      <c r="G337" s="96">
        <v>9</v>
      </c>
      <c r="H337" s="97">
        <v>935</v>
      </c>
      <c r="I337" s="88"/>
    </row>
    <row r="338" spans="1:9" ht="19.8" customHeight="1" x14ac:dyDescent="0.3">
      <c r="A338" s="103">
        <v>45991</v>
      </c>
      <c r="B338" s="94" t="s">
        <v>66</v>
      </c>
      <c r="C338" s="95" t="s">
        <v>505</v>
      </c>
      <c r="D338" s="94" t="s">
        <v>403</v>
      </c>
      <c r="E338" s="104">
        <v>1.145833333333333</v>
      </c>
      <c r="F338" s="94" t="s">
        <v>68</v>
      </c>
      <c r="G338" s="96">
        <v>9</v>
      </c>
      <c r="H338" s="97">
        <v>970</v>
      </c>
      <c r="I338" s="88"/>
    </row>
    <row r="339" spans="1:9" ht="19.8" customHeight="1" x14ac:dyDescent="0.3">
      <c r="A339" s="103">
        <v>45991</v>
      </c>
      <c r="B339" s="94" t="s">
        <v>78</v>
      </c>
      <c r="C339" s="95" t="s">
        <v>469</v>
      </c>
      <c r="D339" s="94" t="s">
        <v>403</v>
      </c>
      <c r="E339" s="104">
        <v>1.3784722222222221</v>
      </c>
      <c r="F339" s="94" t="s">
        <v>83</v>
      </c>
      <c r="G339" s="96">
        <v>9</v>
      </c>
      <c r="H339" s="97">
        <v>980</v>
      </c>
      <c r="I339" s="88"/>
    </row>
    <row r="340" spans="1:9" ht="19.8" customHeight="1" x14ac:dyDescent="0.3">
      <c r="A340" s="103">
        <v>45991</v>
      </c>
      <c r="B340" s="94" t="s">
        <v>78</v>
      </c>
      <c r="C340" s="95" t="s">
        <v>482</v>
      </c>
      <c r="D340" s="94" t="s">
        <v>403</v>
      </c>
      <c r="E340" s="104">
        <v>1.6111111111111109</v>
      </c>
      <c r="F340" s="94" t="s">
        <v>83</v>
      </c>
      <c r="G340" s="96">
        <v>9</v>
      </c>
      <c r="H340" s="97">
        <v>980</v>
      </c>
      <c r="I340" s="88"/>
    </row>
    <row r="341" spans="1:9" ht="19.8" customHeight="1" x14ac:dyDescent="0.3">
      <c r="A341" s="103">
        <v>45991</v>
      </c>
      <c r="B341" s="94" t="s">
        <v>26</v>
      </c>
      <c r="C341" s="95" t="s">
        <v>451</v>
      </c>
      <c r="D341" s="94" t="s">
        <v>403</v>
      </c>
      <c r="E341" s="104">
        <v>1.1284722222222221</v>
      </c>
      <c r="F341" s="94" t="s">
        <v>34</v>
      </c>
      <c r="G341" s="96">
        <v>5</v>
      </c>
      <c r="H341" s="107" t="s">
        <v>35</v>
      </c>
      <c r="I341" s="88"/>
    </row>
    <row r="342" spans="1:9" ht="19.8" customHeight="1" x14ac:dyDescent="0.3">
      <c r="A342" s="103">
        <v>45991</v>
      </c>
      <c r="B342" s="94" t="s">
        <v>26</v>
      </c>
      <c r="C342" s="95" t="s">
        <v>453</v>
      </c>
      <c r="D342" s="94" t="s">
        <v>403</v>
      </c>
      <c r="E342" s="104">
        <v>1.302083333333333</v>
      </c>
      <c r="F342" s="94" t="s">
        <v>34</v>
      </c>
      <c r="G342" s="96">
        <v>7</v>
      </c>
      <c r="H342" s="107" t="s">
        <v>35</v>
      </c>
      <c r="I342" s="88"/>
    </row>
    <row r="343" spans="1:9" ht="19.8" customHeight="1" x14ac:dyDescent="0.3">
      <c r="A343" s="103">
        <v>45991</v>
      </c>
      <c r="B343" s="94" t="s">
        <v>26</v>
      </c>
      <c r="C343" s="95" t="s">
        <v>454</v>
      </c>
      <c r="D343" s="94" t="s">
        <v>403</v>
      </c>
      <c r="E343" s="104">
        <v>1.8888888888888891</v>
      </c>
      <c r="F343" s="94" t="s">
        <v>34</v>
      </c>
      <c r="G343" s="96">
        <v>5</v>
      </c>
      <c r="H343" s="107" t="s">
        <v>35</v>
      </c>
      <c r="I343" s="88"/>
    </row>
    <row r="344" spans="1:9" ht="19.8" customHeight="1" x14ac:dyDescent="0.3">
      <c r="A344" s="103">
        <v>45991</v>
      </c>
      <c r="B344" s="94" t="s">
        <v>78</v>
      </c>
      <c r="C344" s="95" t="s">
        <v>464</v>
      </c>
      <c r="D344" s="94" t="s">
        <v>403</v>
      </c>
      <c r="E344" s="104">
        <v>1.006944444444444</v>
      </c>
      <c r="F344" s="94" t="s">
        <v>369</v>
      </c>
      <c r="G344" s="96">
        <v>9</v>
      </c>
      <c r="H344" s="107" t="s">
        <v>511</v>
      </c>
      <c r="I344" s="88"/>
    </row>
    <row r="345" spans="1:9" ht="19.8" customHeight="1" x14ac:dyDescent="0.3">
      <c r="A345" s="103">
        <v>45991</v>
      </c>
      <c r="B345" s="94" t="s">
        <v>78</v>
      </c>
      <c r="C345" s="95" t="s">
        <v>467</v>
      </c>
      <c r="D345" s="94" t="s">
        <v>403</v>
      </c>
      <c r="E345" s="104">
        <v>1.1423611111111109</v>
      </c>
      <c r="F345" s="94" t="s">
        <v>369</v>
      </c>
      <c r="G345" s="96">
        <v>9</v>
      </c>
      <c r="H345" s="107" t="s">
        <v>511</v>
      </c>
      <c r="I345" s="88"/>
    </row>
    <row r="346" spans="1:9" ht="19.8" customHeight="1" x14ac:dyDescent="0.3">
      <c r="A346" s="103">
        <v>45991</v>
      </c>
      <c r="B346" s="94" t="s">
        <v>78</v>
      </c>
      <c r="C346" s="95" t="s">
        <v>468</v>
      </c>
      <c r="D346" s="94" t="s">
        <v>403</v>
      </c>
      <c r="E346" s="104">
        <v>1.930555555555556</v>
      </c>
      <c r="F346" s="94" t="s">
        <v>369</v>
      </c>
      <c r="G346" s="96">
        <v>9</v>
      </c>
      <c r="H346" s="107" t="s">
        <v>511</v>
      </c>
      <c r="I346" s="88"/>
    </row>
    <row r="347" spans="1:9" ht="19.8" customHeight="1" x14ac:dyDescent="0.3">
      <c r="A347" s="103">
        <v>45991</v>
      </c>
      <c r="B347" s="94" t="s">
        <v>78</v>
      </c>
      <c r="C347" s="95" t="s">
        <v>473</v>
      </c>
      <c r="D347" s="94" t="s">
        <v>403</v>
      </c>
      <c r="E347" s="104">
        <v>1.8888888888888891</v>
      </c>
      <c r="F347" s="94" t="s">
        <v>68</v>
      </c>
      <c r="G347" s="96">
        <v>4</v>
      </c>
      <c r="H347" s="107" t="s">
        <v>474</v>
      </c>
      <c r="I347" s="88"/>
    </row>
    <row r="348" spans="1:9" ht="19.8" customHeight="1" x14ac:dyDescent="0.3">
      <c r="A348" s="103">
        <v>45991</v>
      </c>
      <c r="B348" s="94" t="s">
        <v>78</v>
      </c>
      <c r="C348" s="95" t="s">
        <v>475</v>
      </c>
      <c r="D348" s="94" t="s">
        <v>403</v>
      </c>
      <c r="E348" s="104">
        <v>1.302083333333333</v>
      </c>
      <c r="F348" s="94" t="s">
        <v>68</v>
      </c>
      <c r="G348" s="96">
        <v>4</v>
      </c>
      <c r="H348" s="107" t="s">
        <v>474</v>
      </c>
      <c r="I348" s="88"/>
    </row>
    <row r="349" spans="1:9" ht="19.8" customHeight="1" x14ac:dyDescent="0.3">
      <c r="A349" s="103">
        <v>45991</v>
      </c>
      <c r="B349" s="94" t="s">
        <v>78</v>
      </c>
      <c r="C349" s="95" t="s">
        <v>476</v>
      </c>
      <c r="D349" s="94" t="s">
        <v>403</v>
      </c>
      <c r="E349" s="104">
        <v>1.1284722222222221</v>
      </c>
      <c r="F349" s="94" t="s">
        <v>83</v>
      </c>
      <c r="G349" s="96">
        <v>4</v>
      </c>
      <c r="H349" s="107" t="s">
        <v>474</v>
      </c>
      <c r="I349" s="88"/>
    </row>
    <row r="350" spans="1:9" ht="19.8" customHeight="1" x14ac:dyDescent="0.3">
      <c r="A350" s="103">
        <v>45991</v>
      </c>
      <c r="B350" s="94" t="s">
        <v>78</v>
      </c>
      <c r="C350" s="95" t="s">
        <v>480</v>
      </c>
      <c r="D350" s="94" t="s">
        <v>403</v>
      </c>
      <c r="E350" s="104">
        <v>1.788194444444444</v>
      </c>
      <c r="F350" s="94" t="s">
        <v>83</v>
      </c>
      <c r="G350" s="96">
        <v>4</v>
      </c>
      <c r="H350" s="107" t="s">
        <v>474</v>
      </c>
      <c r="I350" s="88"/>
    </row>
    <row r="351" spans="1:9" ht="19.8" customHeight="1" x14ac:dyDescent="0.3">
      <c r="A351" s="103">
        <v>45991</v>
      </c>
      <c r="B351" s="94" t="s">
        <v>66</v>
      </c>
      <c r="C351" s="95" t="s">
        <v>485</v>
      </c>
      <c r="D351" s="94" t="s">
        <v>403</v>
      </c>
      <c r="E351" s="104">
        <v>1.4861111111111109</v>
      </c>
      <c r="F351" s="94" t="s">
        <v>68</v>
      </c>
      <c r="G351" s="96">
        <v>9</v>
      </c>
      <c r="H351" s="107" t="s">
        <v>491</v>
      </c>
      <c r="I351" s="88"/>
    </row>
    <row r="352" spans="1:9" ht="19.8" customHeight="1" x14ac:dyDescent="0.3">
      <c r="A352" s="103">
        <v>45991</v>
      </c>
      <c r="B352" s="94" t="s">
        <v>66</v>
      </c>
      <c r="C352" s="95" t="s">
        <v>488</v>
      </c>
      <c r="D352" s="94" t="s">
        <v>403</v>
      </c>
      <c r="E352" s="104">
        <v>1.2222222222222221</v>
      </c>
      <c r="F352" s="94" t="s">
        <v>68</v>
      </c>
      <c r="G352" s="96">
        <v>9</v>
      </c>
      <c r="H352" s="107" t="s">
        <v>556</v>
      </c>
      <c r="I352" s="88"/>
    </row>
    <row r="353" spans="1:9" ht="19.8" customHeight="1" x14ac:dyDescent="0.3">
      <c r="A353" s="103">
        <v>45991</v>
      </c>
      <c r="B353" s="94" t="s">
        <v>78</v>
      </c>
      <c r="C353" s="95" t="s">
        <v>477</v>
      </c>
      <c r="D353" s="94" t="s">
        <v>403</v>
      </c>
      <c r="E353" s="104">
        <v>1.8298611111111109</v>
      </c>
      <c r="F353" s="94" t="s">
        <v>369</v>
      </c>
      <c r="G353" s="96">
        <v>9</v>
      </c>
      <c r="H353" s="107" t="s">
        <v>569</v>
      </c>
      <c r="I353" s="88"/>
    </row>
    <row r="354" spans="1:9" ht="19.8" customHeight="1" x14ac:dyDescent="0.3">
      <c r="A354" s="103">
        <v>45991</v>
      </c>
      <c r="B354" s="94" t="s">
        <v>66</v>
      </c>
      <c r="C354" s="95" t="s">
        <v>492</v>
      </c>
      <c r="D354" s="94" t="s">
        <v>403</v>
      </c>
      <c r="E354" s="104">
        <v>1.774305555555556</v>
      </c>
      <c r="F354" s="94" t="s">
        <v>68</v>
      </c>
      <c r="G354" s="96">
        <v>8</v>
      </c>
      <c r="H354" s="107" t="s">
        <v>493</v>
      </c>
      <c r="I354" s="88"/>
    </row>
    <row r="355" spans="1:9" ht="19.8" customHeight="1" x14ac:dyDescent="0.3">
      <c r="A355" s="103">
        <v>45991</v>
      </c>
      <c r="B355" s="94" t="s">
        <v>66</v>
      </c>
      <c r="C355" s="95" t="s">
        <v>509</v>
      </c>
      <c r="D355" s="94" t="s">
        <v>403</v>
      </c>
      <c r="E355" s="104">
        <v>1.0138888888888891</v>
      </c>
      <c r="F355" s="94" t="s">
        <v>68</v>
      </c>
      <c r="G355" s="96">
        <v>1</v>
      </c>
      <c r="H355" s="107" t="s">
        <v>557</v>
      </c>
      <c r="I355" s="88"/>
    </row>
    <row r="356" spans="1:9" ht="19.8" customHeight="1" x14ac:dyDescent="0.3">
      <c r="A356" s="108">
        <v>45991</v>
      </c>
      <c r="B356" s="109" t="s">
        <v>44</v>
      </c>
      <c r="C356" s="110" t="s">
        <v>427</v>
      </c>
      <c r="D356" s="109" t="s">
        <v>403</v>
      </c>
      <c r="E356" s="111">
        <v>1.631944444444444</v>
      </c>
      <c r="F356" s="109" t="s">
        <v>61</v>
      </c>
      <c r="G356" s="109"/>
      <c r="H356" s="112" t="s">
        <v>62</v>
      </c>
      <c r="I356" s="88"/>
    </row>
    <row r="357" spans="1:9" ht="19.8" customHeight="1" x14ac:dyDescent="0.3">
      <c r="A357" s="103">
        <v>45992</v>
      </c>
      <c r="B357" s="94" t="s">
        <v>410</v>
      </c>
      <c r="C357" s="95" t="s">
        <v>411</v>
      </c>
      <c r="D357" s="94" t="s">
        <v>403</v>
      </c>
      <c r="E357" s="104">
        <v>1.3125</v>
      </c>
      <c r="F357" s="94" t="s">
        <v>406</v>
      </c>
      <c r="G357" s="96">
        <v>5</v>
      </c>
      <c r="H357" s="97">
        <v>401</v>
      </c>
      <c r="I357" s="88"/>
    </row>
    <row r="358" spans="1:9" ht="19.8" customHeight="1" x14ac:dyDescent="0.3">
      <c r="A358" s="103">
        <v>45992</v>
      </c>
      <c r="B358" s="94" t="s">
        <v>410</v>
      </c>
      <c r="C358" s="95" t="s">
        <v>413</v>
      </c>
      <c r="D358" s="94" t="s">
        <v>403</v>
      </c>
      <c r="E358" s="104">
        <v>1.666666666666667</v>
      </c>
      <c r="F358" s="94" t="s">
        <v>406</v>
      </c>
      <c r="G358" s="96">
        <v>8</v>
      </c>
      <c r="H358" s="97">
        <v>401</v>
      </c>
      <c r="I358" s="88"/>
    </row>
    <row r="359" spans="1:9" ht="19.8" customHeight="1" x14ac:dyDescent="0.3">
      <c r="A359" s="103">
        <v>45992</v>
      </c>
      <c r="B359" s="94" t="s">
        <v>36</v>
      </c>
      <c r="C359" s="95" t="s">
        <v>442</v>
      </c>
      <c r="D359" s="94" t="s">
        <v>403</v>
      </c>
      <c r="E359" s="104">
        <v>1.256944444444444</v>
      </c>
      <c r="F359" s="94" t="s">
        <v>38</v>
      </c>
      <c r="G359" s="96">
        <v>2</v>
      </c>
      <c r="H359" s="97">
        <v>409</v>
      </c>
      <c r="I359" s="88"/>
    </row>
    <row r="360" spans="1:9" ht="19.8" customHeight="1" x14ac:dyDescent="0.3">
      <c r="A360" s="103">
        <v>45992</v>
      </c>
      <c r="B360" s="94" t="s">
        <v>36</v>
      </c>
      <c r="C360" s="95" t="s">
        <v>443</v>
      </c>
      <c r="D360" s="94" t="s">
        <v>403</v>
      </c>
      <c r="E360" s="104">
        <v>1.46875</v>
      </c>
      <c r="F360" s="94" t="s">
        <v>38</v>
      </c>
      <c r="G360" s="96">
        <v>4</v>
      </c>
      <c r="H360" s="97">
        <v>409</v>
      </c>
      <c r="I360" s="88"/>
    </row>
    <row r="361" spans="1:9" ht="19.8" customHeight="1" x14ac:dyDescent="0.3">
      <c r="A361" s="103">
        <v>45992</v>
      </c>
      <c r="B361" s="94" t="s">
        <v>26</v>
      </c>
      <c r="C361" s="95" t="s">
        <v>451</v>
      </c>
      <c r="D361" s="94" t="s">
        <v>403</v>
      </c>
      <c r="E361" s="104">
        <v>1.1284722222222221</v>
      </c>
      <c r="F361" s="94" t="s">
        <v>28</v>
      </c>
      <c r="G361" s="96">
        <v>5</v>
      </c>
      <c r="H361" s="97">
        <v>419</v>
      </c>
      <c r="I361" s="88"/>
    </row>
    <row r="362" spans="1:9" ht="19.8" customHeight="1" x14ac:dyDescent="0.3">
      <c r="A362" s="103">
        <v>45992</v>
      </c>
      <c r="B362" s="94" t="s">
        <v>26</v>
      </c>
      <c r="C362" s="95" t="s">
        <v>453</v>
      </c>
      <c r="D362" s="94" t="s">
        <v>403</v>
      </c>
      <c r="E362" s="104">
        <v>1.302083333333333</v>
      </c>
      <c r="F362" s="94" t="s">
        <v>28</v>
      </c>
      <c r="G362" s="96">
        <v>1</v>
      </c>
      <c r="H362" s="97">
        <v>419</v>
      </c>
      <c r="I362" s="88"/>
    </row>
    <row r="363" spans="1:9" ht="19.8" customHeight="1" x14ac:dyDescent="0.3">
      <c r="A363" s="103">
        <v>45992</v>
      </c>
      <c r="B363" s="94" t="s">
        <v>26</v>
      </c>
      <c r="C363" s="95" t="s">
        <v>454</v>
      </c>
      <c r="D363" s="94" t="s">
        <v>403</v>
      </c>
      <c r="E363" s="104">
        <v>1.8888888888888891</v>
      </c>
      <c r="F363" s="94" t="s">
        <v>28</v>
      </c>
      <c r="G363" s="96">
        <v>4</v>
      </c>
      <c r="H363" s="97">
        <v>419</v>
      </c>
      <c r="I363" s="88"/>
    </row>
    <row r="364" spans="1:9" ht="19.8" customHeight="1" x14ac:dyDescent="0.3">
      <c r="A364" s="103">
        <v>45992</v>
      </c>
      <c r="B364" s="94" t="s">
        <v>456</v>
      </c>
      <c r="C364" s="95" t="s">
        <v>500</v>
      </c>
      <c r="D364" s="94" t="s">
        <v>403</v>
      </c>
      <c r="E364" s="104">
        <v>1.3923611111111109</v>
      </c>
      <c r="F364" s="94" t="s">
        <v>458</v>
      </c>
      <c r="G364" s="96">
        <v>9</v>
      </c>
      <c r="H364" s="97">
        <v>447</v>
      </c>
      <c r="I364" s="88"/>
    </row>
    <row r="365" spans="1:9" ht="19.8" customHeight="1" x14ac:dyDescent="0.3">
      <c r="A365" s="103">
        <v>45992</v>
      </c>
      <c r="B365" s="94" t="s">
        <v>36</v>
      </c>
      <c r="C365" s="95" t="s">
        <v>438</v>
      </c>
      <c r="D365" s="94" t="s">
        <v>403</v>
      </c>
      <c r="E365" s="104">
        <v>1.854166666666667</v>
      </c>
      <c r="F365" s="94" t="s">
        <v>38</v>
      </c>
      <c r="G365" s="96">
        <v>4</v>
      </c>
      <c r="H365" s="97">
        <v>449</v>
      </c>
      <c r="I365" s="88"/>
    </row>
    <row r="366" spans="1:9" ht="19.8" customHeight="1" x14ac:dyDescent="0.3">
      <c r="A366" s="103">
        <v>45992</v>
      </c>
      <c r="B366" s="94" t="s">
        <v>36</v>
      </c>
      <c r="C366" s="95" t="s">
        <v>444</v>
      </c>
      <c r="D366" s="94" t="s">
        <v>403</v>
      </c>
      <c r="E366" s="104">
        <v>1.5173611111111109</v>
      </c>
      <c r="F366" s="94" t="s">
        <v>38</v>
      </c>
      <c r="G366" s="96">
        <v>3</v>
      </c>
      <c r="H366" s="97">
        <v>449</v>
      </c>
      <c r="I366" s="88"/>
    </row>
    <row r="367" spans="1:9" ht="19.8" customHeight="1" x14ac:dyDescent="0.3">
      <c r="A367" s="103">
        <v>45992</v>
      </c>
      <c r="B367" s="94" t="s">
        <v>36</v>
      </c>
      <c r="C367" s="95" t="s">
        <v>435</v>
      </c>
      <c r="D367" s="94" t="s">
        <v>403</v>
      </c>
      <c r="E367" s="104">
        <v>1.9027777777777779</v>
      </c>
      <c r="F367" s="94" t="s">
        <v>38</v>
      </c>
      <c r="G367" s="96">
        <v>1</v>
      </c>
      <c r="H367" s="97">
        <v>449</v>
      </c>
      <c r="I367" s="88"/>
    </row>
    <row r="368" spans="1:9" ht="19.8" customHeight="1" x14ac:dyDescent="0.3">
      <c r="A368" s="103">
        <v>45992</v>
      </c>
      <c r="B368" s="94" t="s">
        <v>36</v>
      </c>
      <c r="C368" s="95" t="s">
        <v>445</v>
      </c>
      <c r="D368" s="94" t="s">
        <v>403</v>
      </c>
      <c r="E368" s="104">
        <v>1.7986111111111109</v>
      </c>
      <c r="F368" s="94" t="s">
        <v>38</v>
      </c>
      <c r="G368" s="96">
        <v>1</v>
      </c>
      <c r="H368" s="97">
        <v>449</v>
      </c>
      <c r="I368" s="88"/>
    </row>
    <row r="369" spans="1:9" ht="19.8" customHeight="1" x14ac:dyDescent="0.3">
      <c r="A369" s="103">
        <v>45992</v>
      </c>
      <c r="B369" s="94" t="s">
        <v>36</v>
      </c>
      <c r="C369" s="95" t="s">
        <v>447</v>
      </c>
      <c r="D369" s="94" t="s">
        <v>403</v>
      </c>
      <c r="E369" s="104">
        <v>1.395833333333333</v>
      </c>
      <c r="F369" s="94" t="s">
        <v>38</v>
      </c>
      <c r="G369" s="96">
        <v>4</v>
      </c>
      <c r="H369" s="97">
        <v>449</v>
      </c>
      <c r="I369" s="88"/>
    </row>
    <row r="370" spans="1:9" ht="19.8" customHeight="1" x14ac:dyDescent="0.3">
      <c r="A370" s="103">
        <v>45992</v>
      </c>
      <c r="B370" s="94" t="s">
        <v>26</v>
      </c>
      <c r="C370" s="95" t="s">
        <v>455</v>
      </c>
      <c r="D370" s="94" t="s">
        <v>403</v>
      </c>
      <c r="E370" s="104">
        <v>1.788194444444444</v>
      </c>
      <c r="F370" s="94" t="s">
        <v>28</v>
      </c>
      <c r="G370" s="96">
        <v>7</v>
      </c>
      <c r="H370" s="97">
        <v>459</v>
      </c>
      <c r="I370" s="88"/>
    </row>
    <row r="371" spans="1:9" ht="19.8" customHeight="1" x14ac:dyDescent="0.3">
      <c r="A371" s="105">
        <v>45992</v>
      </c>
      <c r="B371" s="99" t="s">
        <v>44</v>
      </c>
      <c r="C371" s="100" t="s">
        <v>429</v>
      </c>
      <c r="D371" s="99" t="s">
        <v>403</v>
      </c>
      <c r="E371" s="106">
        <v>1.979166666666667</v>
      </c>
      <c r="F371" s="99" t="s">
        <v>46</v>
      </c>
      <c r="G371" s="101">
        <v>7</v>
      </c>
      <c r="H371" s="102">
        <v>471</v>
      </c>
      <c r="I371" s="88"/>
    </row>
    <row r="372" spans="1:9" ht="19.8" customHeight="1" x14ac:dyDescent="0.3">
      <c r="A372" s="103">
        <v>45992</v>
      </c>
      <c r="B372" s="94" t="s">
        <v>456</v>
      </c>
      <c r="C372" s="95" t="s">
        <v>457</v>
      </c>
      <c r="D372" s="94" t="s">
        <v>403</v>
      </c>
      <c r="E372" s="104">
        <v>1.1736111111111109</v>
      </c>
      <c r="F372" s="94" t="s">
        <v>458</v>
      </c>
      <c r="G372" s="96">
        <v>9</v>
      </c>
      <c r="H372" s="97">
        <v>477</v>
      </c>
      <c r="I372" s="88"/>
    </row>
    <row r="373" spans="1:9" ht="19.8" customHeight="1" x14ac:dyDescent="0.3">
      <c r="A373" s="103">
        <v>45992</v>
      </c>
      <c r="B373" s="94" t="s">
        <v>36</v>
      </c>
      <c r="C373" s="95" t="s">
        <v>442</v>
      </c>
      <c r="D373" s="94" t="s">
        <v>403</v>
      </c>
      <c r="E373" s="104">
        <v>1.256944444444444</v>
      </c>
      <c r="F373" s="94" t="s">
        <v>40</v>
      </c>
      <c r="G373" s="96">
        <v>2</v>
      </c>
      <c r="H373" s="97">
        <v>509</v>
      </c>
      <c r="I373" s="88"/>
    </row>
    <row r="374" spans="1:9" ht="19.8" customHeight="1" x14ac:dyDescent="0.3">
      <c r="A374" s="103">
        <v>45992</v>
      </c>
      <c r="B374" s="94" t="s">
        <v>36</v>
      </c>
      <c r="C374" s="95" t="s">
        <v>443</v>
      </c>
      <c r="D374" s="94" t="s">
        <v>403</v>
      </c>
      <c r="E374" s="104">
        <v>1.46875</v>
      </c>
      <c r="F374" s="94" t="s">
        <v>40</v>
      </c>
      <c r="G374" s="96">
        <v>4</v>
      </c>
      <c r="H374" s="97">
        <v>509</v>
      </c>
      <c r="I374" s="88"/>
    </row>
    <row r="375" spans="1:9" ht="19.8" customHeight="1" x14ac:dyDescent="0.3">
      <c r="A375" s="105">
        <v>45992</v>
      </c>
      <c r="B375" s="99" t="s">
        <v>44</v>
      </c>
      <c r="C375" s="100" t="s">
        <v>425</v>
      </c>
      <c r="D375" s="99" t="s">
        <v>403</v>
      </c>
      <c r="E375" s="106">
        <v>1.614583333333333</v>
      </c>
      <c r="F375" s="99" t="s">
        <v>46</v>
      </c>
      <c r="G375" s="101">
        <v>2</v>
      </c>
      <c r="H375" s="102">
        <v>526</v>
      </c>
      <c r="I375" s="88"/>
    </row>
    <row r="376" spans="1:9" ht="19.8" customHeight="1" x14ac:dyDescent="0.3">
      <c r="A376" s="103">
        <v>45992</v>
      </c>
      <c r="B376" s="94" t="s">
        <v>36</v>
      </c>
      <c r="C376" s="95" t="s">
        <v>438</v>
      </c>
      <c r="D376" s="94" t="s">
        <v>403</v>
      </c>
      <c r="E376" s="104">
        <v>1.854166666666667</v>
      </c>
      <c r="F376" s="94" t="s">
        <v>40</v>
      </c>
      <c r="G376" s="96">
        <v>4</v>
      </c>
      <c r="H376" s="97">
        <v>549</v>
      </c>
      <c r="I376" s="88"/>
    </row>
    <row r="377" spans="1:9" ht="19.8" customHeight="1" x14ac:dyDescent="0.3">
      <c r="A377" s="103">
        <v>45992</v>
      </c>
      <c r="B377" s="94" t="s">
        <v>36</v>
      </c>
      <c r="C377" s="95" t="s">
        <v>444</v>
      </c>
      <c r="D377" s="94" t="s">
        <v>403</v>
      </c>
      <c r="E377" s="104">
        <v>1.5173611111111109</v>
      </c>
      <c r="F377" s="94" t="s">
        <v>40</v>
      </c>
      <c r="G377" s="96">
        <v>3</v>
      </c>
      <c r="H377" s="97">
        <v>549</v>
      </c>
      <c r="I377" s="88"/>
    </row>
    <row r="378" spans="1:9" ht="19.8" customHeight="1" x14ac:dyDescent="0.3">
      <c r="A378" s="103">
        <v>45992</v>
      </c>
      <c r="B378" s="94" t="s">
        <v>36</v>
      </c>
      <c r="C378" s="95" t="s">
        <v>435</v>
      </c>
      <c r="D378" s="94" t="s">
        <v>403</v>
      </c>
      <c r="E378" s="104">
        <v>1.9027777777777779</v>
      </c>
      <c r="F378" s="94" t="s">
        <v>40</v>
      </c>
      <c r="G378" s="96">
        <v>1</v>
      </c>
      <c r="H378" s="97">
        <v>549</v>
      </c>
      <c r="I378" s="88"/>
    </row>
    <row r="379" spans="1:9" ht="19.8" customHeight="1" x14ac:dyDescent="0.3">
      <c r="A379" s="103">
        <v>45992</v>
      </c>
      <c r="B379" s="94" t="s">
        <v>36</v>
      </c>
      <c r="C379" s="95" t="s">
        <v>445</v>
      </c>
      <c r="D379" s="94" t="s">
        <v>403</v>
      </c>
      <c r="E379" s="104">
        <v>1.7986111111111109</v>
      </c>
      <c r="F379" s="94" t="s">
        <v>40</v>
      </c>
      <c r="G379" s="96">
        <v>1</v>
      </c>
      <c r="H379" s="97">
        <v>549</v>
      </c>
      <c r="I379" s="88"/>
    </row>
    <row r="380" spans="1:9" ht="19.8" customHeight="1" x14ac:dyDescent="0.3">
      <c r="A380" s="103">
        <v>45992</v>
      </c>
      <c r="B380" s="94" t="s">
        <v>36</v>
      </c>
      <c r="C380" s="95" t="s">
        <v>447</v>
      </c>
      <c r="D380" s="94" t="s">
        <v>403</v>
      </c>
      <c r="E380" s="104">
        <v>1.395833333333333</v>
      </c>
      <c r="F380" s="94" t="s">
        <v>40</v>
      </c>
      <c r="G380" s="96">
        <v>4</v>
      </c>
      <c r="H380" s="97">
        <v>549</v>
      </c>
      <c r="I380" s="88"/>
    </row>
    <row r="381" spans="1:9" ht="19.8" customHeight="1" x14ac:dyDescent="0.3">
      <c r="A381" s="103">
        <v>45992</v>
      </c>
      <c r="B381" s="94" t="s">
        <v>26</v>
      </c>
      <c r="C381" s="95" t="s">
        <v>451</v>
      </c>
      <c r="D381" s="94" t="s">
        <v>403</v>
      </c>
      <c r="E381" s="104">
        <v>1.1284722222222221</v>
      </c>
      <c r="F381" s="94" t="s">
        <v>31</v>
      </c>
      <c r="G381" s="96">
        <v>5</v>
      </c>
      <c r="H381" s="97">
        <v>569</v>
      </c>
      <c r="I381" s="88"/>
    </row>
    <row r="382" spans="1:9" ht="19.8" customHeight="1" x14ac:dyDescent="0.3">
      <c r="A382" s="103">
        <v>45992</v>
      </c>
      <c r="B382" s="94" t="s">
        <v>26</v>
      </c>
      <c r="C382" s="95" t="s">
        <v>453</v>
      </c>
      <c r="D382" s="94" t="s">
        <v>403</v>
      </c>
      <c r="E382" s="104">
        <v>1.302083333333333</v>
      </c>
      <c r="F382" s="94" t="s">
        <v>31</v>
      </c>
      <c r="G382" s="96">
        <v>1</v>
      </c>
      <c r="H382" s="97">
        <v>569</v>
      </c>
      <c r="I382" s="88"/>
    </row>
    <row r="383" spans="1:9" ht="19.8" customHeight="1" x14ac:dyDescent="0.3">
      <c r="A383" s="103">
        <v>45992</v>
      </c>
      <c r="B383" s="94" t="s">
        <v>26</v>
      </c>
      <c r="C383" s="95" t="s">
        <v>454</v>
      </c>
      <c r="D383" s="94" t="s">
        <v>403</v>
      </c>
      <c r="E383" s="104">
        <v>1.8888888888888891</v>
      </c>
      <c r="F383" s="94" t="s">
        <v>31</v>
      </c>
      <c r="G383" s="96">
        <v>4</v>
      </c>
      <c r="H383" s="97">
        <v>569</v>
      </c>
      <c r="I383" s="88"/>
    </row>
    <row r="384" spans="1:9" ht="19.8" customHeight="1" x14ac:dyDescent="0.3">
      <c r="A384" s="103">
        <v>45992</v>
      </c>
      <c r="B384" s="94" t="s">
        <v>456</v>
      </c>
      <c r="C384" s="95" t="s">
        <v>500</v>
      </c>
      <c r="D384" s="94" t="s">
        <v>403</v>
      </c>
      <c r="E384" s="104">
        <v>1.3923611111111109</v>
      </c>
      <c r="F384" s="94" t="s">
        <v>34</v>
      </c>
      <c r="G384" s="96">
        <v>9</v>
      </c>
      <c r="H384" s="97">
        <v>570</v>
      </c>
      <c r="I384" s="88"/>
    </row>
    <row r="385" spans="1:9" ht="19.8" customHeight="1" x14ac:dyDescent="0.3">
      <c r="A385" s="103">
        <v>45992</v>
      </c>
      <c r="B385" s="94" t="s">
        <v>404</v>
      </c>
      <c r="C385" s="95" t="s">
        <v>408</v>
      </c>
      <c r="D385" s="94" t="s">
        <v>403</v>
      </c>
      <c r="E385" s="104">
        <v>1.208333333333333</v>
      </c>
      <c r="F385" s="94" t="s">
        <v>406</v>
      </c>
      <c r="G385" s="96">
        <v>9</v>
      </c>
      <c r="H385" s="97">
        <v>595</v>
      </c>
      <c r="I385" s="88"/>
    </row>
    <row r="386" spans="1:9" ht="19.8" customHeight="1" x14ac:dyDescent="0.3">
      <c r="A386" s="103">
        <v>45992</v>
      </c>
      <c r="B386" s="94" t="s">
        <v>36</v>
      </c>
      <c r="C386" s="95" t="s">
        <v>442</v>
      </c>
      <c r="D386" s="94" t="s">
        <v>403</v>
      </c>
      <c r="E386" s="104">
        <v>1.256944444444444</v>
      </c>
      <c r="F386" s="94" t="s">
        <v>42</v>
      </c>
      <c r="G386" s="96">
        <v>2</v>
      </c>
      <c r="H386" s="97">
        <v>599</v>
      </c>
      <c r="I386" s="88"/>
    </row>
    <row r="387" spans="1:9" ht="19.8" customHeight="1" x14ac:dyDescent="0.3">
      <c r="A387" s="103">
        <v>45992</v>
      </c>
      <c r="B387" s="94" t="s">
        <v>36</v>
      </c>
      <c r="C387" s="95" t="s">
        <v>443</v>
      </c>
      <c r="D387" s="94" t="s">
        <v>403</v>
      </c>
      <c r="E387" s="104">
        <v>1.46875</v>
      </c>
      <c r="F387" s="94" t="s">
        <v>42</v>
      </c>
      <c r="G387" s="96">
        <v>4</v>
      </c>
      <c r="H387" s="97">
        <v>599</v>
      </c>
      <c r="I387" s="88"/>
    </row>
    <row r="388" spans="1:9" ht="19.8" customHeight="1" x14ac:dyDescent="0.3">
      <c r="A388" s="103">
        <v>45992</v>
      </c>
      <c r="B388" s="94" t="s">
        <v>456</v>
      </c>
      <c r="C388" s="95" t="s">
        <v>457</v>
      </c>
      <c r="D388" s="94" t="s">
        <v>403</v>
      </c>
      <c r="E388" s="104">
        <v>1.1736111111111109</v>
      </c>
      <c r="F388" s="94" t="s">
        <v>34</v>
      </c>
      <c r="G388" s="96">
        <v>9</v>
      </c>
      <c r="H388" s="97">
        <v>600</v>
      </c>
      <c r="I388" s="88"/>
    </row>
    <row r="389" spans="1:9" ht="19.8" customHeight="1" x14ac:dyDescent="0.3">
      <c r="A389" s="103">
        <v>45992</v>
      </c>
      <c r="B389" s="94" t="s">
        <v>26</v>
      </c>
      <c r="C389" s="95" t="s">
        <v>455</v>
      </c>
      <c r="D389" s="94" t="s">
        <v>403</v>
      </c>
      <c r="E389" s="104">
        <v>1.788194444444444</v>
      </c>
      <c r="F389" s="94" t="s">
        <v>31</v>
      </c>
      <c r="G389" s="96">
        <v>7</v>
      </c>
      <c r="H389" s="97">
        <v>609</v>
      </c>
      <c r="I389" s="88"/>
    </row>
    <row r="390" spans="1:9" ht="19.8" customHeight="1" x14ac:dyDescent="0.3">
      <c r="A390" s="103">
        <v>45992</v>
      </c>
      <c r="B390" s="94" t="s">
        <v>36</v>
      </c>
      <c r="C390" s="95" t="s">
        <v>438</v>
      </c>
      <c r="D390" s="94" t="s">
        <v>403</v>
      </c>
      <c r="E390" s="104">
        <v>1.854166666666667</v>
      </c>
      <c r="F390" s="94" t="s">
        <v>42</v>
      </c>
      <c r="G390" s="96">
        <v>4</v>
      </c>
      <c r="H390" s="97">
        <v>639</v>
      </c>
      <c r="I390" s="88"/>
    </row>
    <row r="391" spans="1:9" ht="19.8" customHeight="1" x14ac:dyDescent="0.3">
      <c r="A391" s="103">
        <v>45992</v>
      </c>
      <c r="B391" s="94" t="s">
        <v>36</v>
      </c>
      <c r="C391" s="95" t="s">
        <v>444</v>
      </c>
      <c r="D391" s="94" t="s">
        <v>403</v>
      </c>
      <c r="E391" s="104">
        <v>1.5173611111111109</v>
      </c>
      <c r="F391" s="94" t="s">
        <v>42</v>
      </c>
      <c r="G391" s="96">
        <v>3</v>
      </c>
      <c r="H391" s="97">
        <v>639</v>
      </c>
      <c r="I391" s="88"/>
    </row>
    <row r="392" spans="1:9" ht="19.8" customHeight="1" x14ac:dyDescent="0.3">
      <c r="A392" s="103">
        <v>45992</v>
      </c>
      <c r="B392" s="94" t="s">
        <v>36</v>
      </c>
      <c r="C392" s="95" t="s">
        <v>435</v>
      </c>
      <c r="D392" s="94" t="s">
        <v>403</v>
      </c>
      <c r="E392" s="104">
        <v>1.9027777777777779</v>
      </c>
      <c r="F392" s="94" t="s">
        <v>42</v>
      </c>
      <c r="G392" s="96">
        <v>1</v>
      </c>
      <c r="H392" s="97">
        <v>639</v>
      </c>
      <c r="I392" s="88"/>
    </row>
    <row r="393" spans="1:9" ht="19.8" customHeight="1" x14ac:dyDescent="0.3">
      <c r="A393" s="103">
        <v>45992</v>
      </c>
      <c r="B393" s="94" t="s">
        <v>36</v>
      </c>
      <c r="C393" s="95" t="s">
        <v>445</v>
      </c>
      <c r="D393" s="94" t="s">
        <v>403</v>
      </c>
      <c r="E393" s="104">
        <v>1.7986111111111109</v>
      </c>
      <c r="F393" s="94" t="s">
        <v>42</v>
      </c>
      <c r="G393" s="96">
        <v>1</v>
      </c>
      <c r="H393" s="97">
        <v>639</v>
      </c>
      <c r="I393" s="88"/>
    </row>
    <row r="394" spans="1:9" ht="19.8" customHeight="1" x14ac:dyDescent="0.3">
      <c r="A394" s="103">
        <v>45992</v>
      </c>
      <c r="B394" s="94" t="s">
        <v>36</v>
      </c>
      <c r="C394" s="95" t="s">
        <v>447</v>
      </c>
      <c r="D394" s="94" t="s">
        <v>403</v>
      </c>
      <c r="E394" s="104">
        <v>1.395833333333333</v>
      </c>
      <c r="F394" s="94" t="s">
        <v>42</v>
      </c>
      <c r="G394" s="96">
        <v>4</v>
      </c>
      <c r="H394" s="97">
        <v>639</v>
      </c>
      <c r="I394" s="88"/>
    </row>
    <row r="395" spans="1:9" ht="19.8" customHeight="1" x14ac:dyDescent="0.3">
      <c r="A395" s="105">
        <v>45992</v>
      </c>
      <c r="B395" s="99" t="s">
        <v>44</v>
      </c>
      <c r="C395" s="100" t="s">
        <v>520</v>
      </c>
      <c r="D395" s="99" t="s">
        <v>403</v>
      </c>
      <c r="E395" s="106">
        <v>1.006944444444444</v>
      </c>
      <c r="F395" s="99" t="s">
        <v>46</v>
      </c>
      <c r="G395" s="101">
        <v>7</v>
      </c>
      <c r="H395" s="102">
        <v>646</v>
      </c>
      <c r="I395" s="88"/>
    </row>
    <row r="396" spans="1:9" ht="19.8" customHeight="1" x14ac:dyDescent="0.3">
      <c r="A396" s="105">
        <v>45992</v>
      </c>
      <c r="B396" s="99" t="s">
        <v>44</v>
      </c>
      <c r="C396" s="100" t="s">
        <v>415</v>
      </c>
      <c r="D396" s="99" t="s">
        <v>403</v>
      </c>
      <c r="E396" s="106">
        <v>1.4236111111111109</v>
      </c>
      <c r="F396" s="99" t="s">
        <v>46</v>
      </c>
      <c r="G396" s="101">
        <v>7</v>
      </c>
      <c r="H396" s="102">
        <v>646</v>
      </c>
      <c r="I396" s="88"/>
    </row>
    <row r="397" spans="1:9" ht="19.8" customHeight="1" x14ac:dyDescent="0.3">
      <c r="A397" s="103">
        <v>45992</v>
      </c>
      <c r="B397" s="94" t="s">
        <v>36</v>
      </c>
      <c r="C397" s="95" t="s">
        <v>446</v>
      </c>
      <c r="D397" s="94" t="s">
        <v>403</v>
      </c>
      <c r="E397" s="104">
        <v>1.645833333333333</v>
      </c>
      <c r="F397" s="94" t="s">
        <v>38</v>
      </c>
      <c r="G397" s="96">
        <v>4</v>
      </c>
      <c r="H397" s="97">
        <v>669</v>
      </c>
      <c r="I397" s="88"/>
    </row>
    <row r="398" spans="1:9" ht="19.8" customHeight="1" x14ac:dyDescent="0.3">
      <c r="A398" s="103">
        <v>45992</v>
      </c>
      <c r="B398" s="94" t="s">
        <v>78</v>
      </c>
      <c r="C398" s="95" t="s">
        <v>469</v>
      </c>
      <c r="D398" s="94" t="s">
        <v>403</v>
      </c>
      <c r="E398" s="104">
        <v>1.3784722222222221</v>
      </c>
      <c r="F398" s="94" t="s">
        <v>80</v>
      </c>
      <c r="G398" s="96">
        <v>9</v>
      </c>
      <c r="H398" s="97">
        <v>678</v>
      </c>
      <c r="I398" s="88"/>
    </row>
    <row r="399" spans="1:9" ht="19.8" customHeight="1" x14ac:dyDescent="0.3">
      <c r="A399" s="103">
        <v>45992</v>
      </c>
      <c r="B399" s="94" t="s">
        <v>78</v>
      </c>
      <c r="C399" s="95" t="s">
        <v>461</v>
      </c>
      <c r="D399" s="94" t="s">
        <v>403</v>
      </c>
      <c r="E399" s="104">
        <v>1.239583333333333</v>
      </c>
      <c r="F399" s="94" t="s">
        <v>80</v>
      </c>
      <c r="G399" s="96">
        <v>9</v>
      </c>
      <c r="H399" s="97">
        <v>678</v>
      </c>
      <c r="I399" s="88"/>
    </row>
    <row r="400" spans="1:9" ht="19.8" customHeight="1" x14ac:dyDescent="0.3">
      <c r="A400" s="103">
        <v>45992</v>
      </c>
      <c r="B400" s="94" t="s">
        <v>78</v>
      </c>
      <c r="C400" s="95" t="s">
        <v>469</v>
      </c>
      <c r="D400" s="94" t="s">
        <v>403</v>
      </c>
      <c r="E400" s="104">
        <v>1.3784722222222221</v>
      </c>
      <c r="F400" s="94" t="s">
        <v>83</v>
      </c>
      <c r="G400" s="96">
        <v>9</v>
      </c>
      <c r="H400" s="97">
        <v>723</v>
      </c>
      <c r="I400" s="88"/>
    </row>
    <row r="401" spans="1:9" ht="19.8" customHeight="1" x14ac:dyDescent="0.3">
      <c r="A401" s="103">
        <v>45992</v>
      </c>
      <c r="B401" s="94" t="s">
        <v>78</v>
      </c>
      <c r="C401" s="95" t="s">
        <v>461</v>
      </c>
      <c r="D401" s="94" t="s">
        <v>403</v>
      </c>
      <c r="E401" s="104">
        <v>1.239583333333333</v>
      </c>
      <c r="F401" s="94" t="s">
        <v>83</v>
      </c>
      <c r="G401" s="96">
        <v>9</v>
      </c>
      <c r="H401" s="97">
        <v>723</v>
      </c>
      <c r="I401" s="88"/>
    </row>
    <row r="402" spans="1:9" ht="19.8" customHeight="1" x14ac:dyDescent="0.3">
      <c r="A402" s="103">
        <v>45992</v>
      </c>
      <c r="B402" s="94" t="s">
        <v>36</v>
      </c>
      <c r="C402" s="95" t="s">
        <v>446</v>
      </c>
      <c r="D402" s="94" t="s">
        <v>403</v>
      </c>
      <c r="E402" s="104">
        <v>1.645833333333333</v>
      </c>
      <c r="F402" s="94" t="s">
        <v>40</v>
      </c>
      <c r="G402" s="96">
        <v>4</v>
      </c>
      <c r="H402" s="97">
        <v>769</v>
      </c>
      <c r="I402" s="88"/>
    </row>
    <row r="403" spans="1:9" ht="19.8" customHeight="1" x14ac:dyDescent="0.3">
      <c r="A403" s="103">
        <v>45992</v>
      </c>
      <c r="B403" s="94" t="s">
        <v>66</v>
      </c>
      <c r="C403" s="95" t="s">
        <v>488</v>
      </c>
      <c r="D403" s="94" t="s">
        <v>403</v>
      </c>
      <c r="E403" s="104">
        <v>1.229166666666667</v>
      </c>
      <c r="F403" s="94" t="s">
        <v>68</v>
      </c>
      <c r="G403" s="96">
        <v>9</v>
      </c>
      <c r="H403" s="97">
        <v>842</v>
      </c>
      <c r="I403" s="88"/>
    </row>
    <row r="404" spans="1:9" ht="19.8" customHeight="1" x14ac:dyDescent="0.3">
      <c r="A404" s="103">
        <v>45992</v>
      </c>
      <c r="B404" s="94" t="s">
        <v>66</v>
      </c>
      <c r="C404" s="95" t="s">
        <v>505</v>
      </c>
      <c r="D404" s="94" t="s">
        <v>403</v>
      </c>
      <c r="E404" s="104">
        <v>1.145833333333333</v>
      </c>
      <c r="F404" s="94" t="s">
        <v>68</v>
      </c>
      <c r="G404" s="96">
        <v>9</v>
      </c>
      <c r="H404" s="97">
        <v>842</v>
      </c>
      <c r="I404" s="88"/>
    </row>
    <row r="405" spans="1:9" ht="19.8" customHeight="1" x14ac:dyDescent="0.3">
      <c r="A405" s="103">
        <v>45992</v>
      </c>
      <c r="B405" s="94" t="s">
        <v>66</v>
      </c>
      <c r="C405" s="95" t="s">
        <v>490</v>
      </c>
      <c r="D405" s="94" t="s">
        <v>403</v>
      </c>
      <c r="E405" s="104">
        <v>1.2777777777777779</v>
      </c>
      <c r="F405" s="94" t="s">
        <v>68</v>
      </c>
      <c r="G405" s="96">
        <v>9</v>
      </c>
      <c r="H405" s="97">
        <v>842</v>
      </c>
      <c r="I405" s="88"/>
    </row>
    <row r="406" spans="1:9" ht="19.8" customHeight="1" x14ac:dyDescent="0.3">
      <c r="A406" s="103">
        <v>45992</v>
      </c>
      <c r="B406" s="94" t="s">
        <v>66</v>
      </c>
      <c r="C406" s="95" t="s">
        <v>485</v>
      </c>
      <c r="D406" s="94" t="s">
        <v>403</v>
      </c>
      <c r="E406" s="104">
        <v>1.4861111111111109</v>
      </c>
      <c r="F406" s="94" t="s">
        <v>68</v>
      </c>
      <c r="G406" s="96">
        <v>9</v>
      </c>
      <c r="H406" s="97">
        <v>842</v>
      </c>
      <c r="I406" s="88"/>
    </row>
    <row r="407" spans="1:9" ht="19.8" customHeight="1" x14ac:dyDescent="0.3">
      <c r="A407" s="103">
        <v>45992</v>
      </c>
      <c r="B407" s="94" t="s">
        <v>36</v>
      </c>
      <c r="C407" s="95" t="s">
        <v>446</v>
      </c>
      <c r="D407" s="94" t="s">
        <v>403</v>
      </c>
      <c r="E407" s="104">
        <v>1.645833333333333</v>
      </c>
      <c r="F407" s="94" t="s">
        <v>42</v>
      </c>
      <c r="G407" s="96">
        <v>4</v>
      </c>
      <c r="H407" s="97">
        <v>859</v>
      </c>
      <c r="I407" s="88"/>
    </row>
    <row r="408" spans="1:9" ht="19.8" customHeight="1" x14ac:dyDescent="0.3">
      <c r="A408" s="103">
        <v>45992</v>
      </c>
      <c r="B408" s="94" t="s">
        <v>78</v>
      </c>
      <c r="C408" s="95" t="s">
        <v>468</v>
      </c>
      <c r="D408" s="94" t="s">
        <v>403</v>
      </c>
      <c r="E408" s="104">
        <v>1.930555555555556</v>
      </c>
      <c r="F408" s="94" t="s">
        <v>80</v>
      </c>
      <c r="G408" s="96">
        <v>9</v>
      </c>
      <c r="H408" s="97">
        <v>935</v>
      </c>
      <c r="I408" s="88"/>
    </row>
    <row r="409" spans="1:9" ht="19.8" customHeight="1" x14ac:dyDescent="0.3">
      <c r="A409" s="103">
        <v>45992</v>
      </c>
      <c r="B409" s="94" t="s">
        <v>78</v>
      </c>
      <c r="C409" s="95" t="s">
        <v>482</v>
      </c>
      <c r="D409" s="94" t="s">
        <v>403</v>
      </c>
      <c r="E409" s="104">
        <v>1.6111111111111109</v>
      </c>
      <c r="F409" s="94" t="s">
        <v>80</v>
      </c>
      <c r="G409" s="96">
        <v>9</v>
      </c>
      <c r="H409" s="97">
        <v>935</v>
      </c>
      <c r="I409" s="88"/>
    </row>
    <row r="410" spans="1:9" ht="19.8" customHeight="1" x14ac:dyDescent="0.3">
      <c r="A410" s="103">
        <v>45992</v>
      </c>
      <c r="B410" s="94" t="s">
        <v>78</v>
      </c>
      <c r="C410" s="95" t="s">
        <v>468</v>
      </c>
      <c r="D410" s="94" t="s">
        <v>403</v>
      </c>
      <c r="E410" s="104">
        <v>1.930555555555556</v>
      </c>
      <c r="F410" s="94" t="s">
        <v>83</v>
      </c>
      <c r="G410" s="96">
        <v>9</v>
      </c>
      <c r="H410" s="97">
        <v>980</v>
      </c>
      <c r="I410" s="88"/>
    </row>
    <row r="411" spans="1:9" ht="19.8" customHeight="1" x14ac:dyDescent="0.3">
      <c r="A411" s="103">
        <v>45992</v>
      </c>
      <c r="B411" s="94" t="s">
        <v>78</v>
      </c>
      <c r="C411" s="95" t="s">
        <v>482</v>
      </c>
      <c r="D411" s="94" t="s">
        <v>403</v>
      </c>
      <c r="E411" s="104">
        <v>1.6111111111111109</v>
      </c>
      <c r="F411" s="94" t="s">
        <v>83</v>
      </c>
      <c r="G411" s="96">
        <v>9</v>
      </c>
      <c r="H411" s="97">
        <v>980</v>
      </c>
      <c r="I411" s="88"/>
    </row>
    <row r="412" spans="1:9" ht="19.8" customHeight="1" x14ac:dyDescent="0.3">
      <c r="A412" s="103">
        <v>45992</v>
      </c>
      <c r="B412" s="94" t="s">
        <v>26</v>
      </c>
      <c r="C412" s="95" t="s">
        <v>451</v>
      </c>
      <c r="D412" s="94" t="s">
        <v>403</v>
      </c>
      <c r="E412" s="104">
        <v>1.1284722222222221</v>
      </c>
      <c r="F412" s="94" t="s">
        <v>34</v>
      </c>
      <c r="G412" s="96">
        <v>5</v>
      </c>
      <c r="H412" s="107" t="s">
        <v>35</v>
      </c>
      <c r="I412" s="88"/>
    </row>
    <row r="413" spans="1:9" ht="19.8" customHeight="1" x14ac:dyDescent="0.3">
      <c r="A413" s="103">
        <v>45992</v>
      </c>
      <c r="B413" s="94" t="s">
        <v>26</v>
      </c>
      <c r="C413" s="95" t="s">
        <v>453</v>
      </c>
      <c r="D413" s="94" t="s">
        <v>403</v>
      </c>
      <c r="E413" s="104">
        <v>1.302083333333333</v>
      </c>
      <c r="F413" s="94" t="s">
        <v>34</v>
      </c>
      <c r="G413" s="96">
        <v>1</v>
      </c>
      <c r="H413" s="107" t="s">
        <v>35</v>
      </c>
      <c r="I413" s="88"/>
    </row>
    <row r="414" spans="1:9" ht="19.8" customHeight="1" x14ac:dyDescent="0.3">
      <c r="A414" s="103">
        <v>45992</v>
      </c>
      <c r="B414" s="94" t="s">
        <v>26</v>
      </c>
      <c r="C414" s="95" t="s">
        <v>454</v>
      </c>
      <c r="D414" s="94" t="s">
        <v>403</v>
      </c>
      <c r="E414" s="104">
        <v>1.8888888888888891</v>
      </c>
      <c r="F414" s="94" t="s">
        <v>34</v>
      </c>
      <c r="G414" s="96">
        <v>4</v>
      </c>
      <c r="H414" s="107" t="s">
        <v>35</v>
      </c>
      <c r="I414" s="88"/>
    </row>
    <row r="415" spans="1:9" ht="19.8" customHeight="1" x14ac:dyDescent="0.3">
      <c r="A415" s="103">
        <v>45992</v>
      </c>
      <c r="B415" s="94" t="s">
        <v>26</v>
      </c>
      <c r="C415" s="95" t="s">
        <v>455</v>
      </c>
      <c r="D415" s="94" t="s">
        <v>403</v>
      </c>
      <c r="E415" s="104">
        <v>1.788194444444444</v>
      </c>
      <c r="F415" s="94" t="s">
        <v>34</v>
      </c>
      <c r="G415" s="96">
        <v>7</v>
      </c>
      <c r="H415" s="107" t="s">
        <v>35</v>
      </c>
      <c r="I415" s="88"/>
    </row>
    <row r="416" spans="1:9" ht="19.8" customHeight="1" x14ac:dyDescent="0.3">
      <c r="A416" s="103">
        <v>45992</v>
      </c>
      <c r="B416" s="94" t="s">
        <v>66</v>
      </c>
      <c r="C416" s="95" t="s">
        <v>487</v>
      </c>
      <c r="D416" s="94" t="s">
        <v>403</v>
      </c>
      <c r="E416" s="104">
        <v>1.5138888888888891</v>
      </c>
      <c r="F416" s="94" t="s">
        <v>68</v>
      </c>
      <c r="G416" s="96">
        <v>9</v>
      </c>
      <c r="H416" s="107" t="s">
        <v>510</v>
      </c>
      <c r="I416" s="88"/>
    </row>
    <row r="417" spans="1:9" ht="19.8" customHeight="1" x14ac:dyDescent="0.3">
      <c r="A417" s="103">
        <v>45992</v>
      </c>
      <c r="B417" s="94" t="s">
        <v>78</v>
      </c>
      <c r="C417" s="95" t="s">
        <v>464</v>
      </c>
      <c r="D417" s="94" t="s">
        <v>403</v>
      </c>
      <c r="E417" s="104">
        <v>1.006944444444444</v>
      </c>
      <c r="F417" s="94" t="s">
        <v>80</v>
      </c>
      <c r="G417" s="96">
        <v>9</v>
      </c>
      <c r="H417" s="107" t="s">
        <v>511</v>
      </c>
      <c r="I417" s="88"/>
    </row>
    <row r="418" spans="1:9" ht="19.8" customHeight="1" x14ac:dyDescent="0.3">
      <c r="A418" s="103">
        <v>45992</v>
      </c>
      <c r="B418" s="94" t="s">
        <v>78</v>
      </c>
      <c r="C418" s="95" t="s">
        <v>470</v>
      </c>
      <c r="D418" s="94" t="s">
        <v>403</v>
      </c>
      <c r="E418" s="104">
        <v>1.71875</v>
      </c>
      <c r="F418" s="94" t="s">
        <v>80</v>
      </c>
      <c r="G418" s="96">
        <v>9</v>
      </c>
      <c r="H418" s="107" t="s">
        <v>511</v>
      </c>
      <c r="I418" s="88"/>
    </row>
    <row r="419" spans="1:9" ht="19.8" customHeight="1" x14ac:dyDescent="0.3">
      <c r="A419" s="103">
        <v>45992</v>
      </c>
      <c r="B419" s="94" t="s">
        <v>78</v>
      </c>
      <c r="C419" s="95" t="s">
        <v>477</v>
      </c>
      <c r="D419" s="94" t="s">
        <v>403</v>
      </c>
      <c r="E419" s="104">
        <v>1.8298611111111109</v>
      </c>
      <c r="F419" s="94" t="s">
        <v>80</v>
      </c>
      <c r="G419" s="96">
        <v>9</v>
      </c>
      <c r="H419" s="107" t="s">
        <v>511</v>
      </c>
      <c r="I419" s="88"/>
    </row>
    <row r="420" spans="1:9" ht="19.8" customHeight="1" x14ac:dyDescent="0.3">
      <c r="A420" s="103">
        <v>45992</v>
      </c>
      <c r="B420" s="94" t="s">
        <v>78</v>
      </c>
      <c r="C420" s="95" t="s">
        <v>464</v>
      </c>
      <c r="D420" s="94" t="s">
        <v>403</v>
      </c>
      <c r="E420" s="104">
        <v>1.006944444444444</v>
      </c>
      <c r="F420" s="94" t="s">
        <v>83</v>
      </c>
      <c r="G420" s="96">
        <v>9</v>
      </c>
      <c r="H420" s="107" t="s">
        <v>512</v>
      </c>
      <c r="I420" s="88"/>
    </row>
    <row r="421" spans="1:9" ht="19.8" customHeight="1" x14ac:dyDescent="0.3">
      <c r="A421" s="103">
        <v>45992</v>
      </c>
      <c r="B421" s="94" t="s">
        <v>78</v>
      </c>
      <c r="C421" s="95" t="s">
        <v>470</v>
      </c>
      <c r="D421" s="94" t="s">
        <v>403</v>
      </c>
      <c r="E421" s="104">
        <v>1.71875</v>
      </c>
      <c r="F421" s="94" t="s">
        <v>83</v>
      </c>
      <c r="G421" s="96">
        <v>9</v>
      </c>
      <c r="H421" s="107" t="s">
        <v>512</v>
      </c>
      <c r="I421" s="88"/>
    </row>
    <row r="422" spans="1:9" ht="19.8" customHeight="1" x14ac:dyDescent="0.3">
      <c r="A422" s="103">
        <v>45992</v>
      </c>
      <c r="B422" s="94" t="s">
        <v>78</v>
      </c>
      <c r="C422" s="95" t="s">
        <v>477</v>
      </c>
      <c r="D422" s="94" t="s">
        <v>403</v>
      </c>
      <c r="E422" s="104">
        <v>1.8298611111111109</v>
      </c>
      <c r="F422" s="94" t="s">
        <v>83</v>
      </c>
      <c r="G422" s="96">
        <v>9</v>
      </c>
      <c r="H422" s="107" t="s">
        <v>512</v>
      </c>
      <c r="I422" s="88"/>
    </row>
    <row r="423" spans="1:9" ht="19.8" customHeight="1" x14ac:dyDescent="0.3">
      <c r="A423" s="103">
        <v>45992</v>
      </c>
      <c r="B423" s="94" t="s">
        <v>78</v>
      </c>
      <c r="C423" s="95" t="s">
        <v>473</v>
      </c>
      <c r="D423" s="94" t="s">
        <v>403</v>
      </c>
      <c r="E423" s="104">
        <v>1.8888888888888891</v>
      </c>
      <c r="F423" s="94" t="s">
        <v>83</v>
      </c>
      <c r="G423" s="96">
        <v>4</v>
      </c>
      <c r="H423" s="107" t="s">
        <v>474</v>
      </c>
      <c r="I423" s="88"/>
    </row>
    <row r="424" spans="1:9" ht="19.8" customHeight="1" x14ac:dyDescent="0.3">
      <c r="A424" s="103">
        <v>45992</v>
      </c>
      <c r="B424" s="94" t="s">
        <v>78</v>
      </c>
      <c r="C424" s="95" t="s">
        <v>475</v>
      </c>
      <c r="D424" s="94" t="s">
        <v>403</v>
      </c>
      <c r="E424" s="104">
        <v>1.302083333333333</v>
      </c>
      <c r="F424" s="94" t="s">
        <v>83</v>
      </c>
      <c r="G424" s="96">
        <v>4</v>
      </c>
      <c r="H424" s="107" t="s">
        <v>474</v>
      </c>
      <c r="I424" s="88"/>
    </row>
    <row r="425" spans="1:9" ht="19.8" customHeight="1" x14ac:dyDescent="0.3">
      <c r="A425" s="103">
        <v>45992</v>
      </c>
      <c r="B425" s="94" t="s">
        <v>78</v>
      </c>
      <c r="C425" s="95" t="s">
        <v>476</v>
      </c>
      <c r="D425" s="94" t="s">
        <v>403</v>
      </c>
      <c r="E425" s="104">
        <v>1.1284722222222221</v>
      </c>
      <c r="F425" s="94" t="s">
        <v>83</v>
      </c>
      <c r="G425" s="96">
        <v>4</v>
      </c>
      <c r="H425" s="107" t="s">
        <v>474</v>
      </c>
      <c r="I425" s="88"/>
    </row>
    <row r="426" spans="1:9" ht="19.8" customHeight="1" x14ac:dyDescent="0.3">
      <c r="A426" s="103">
        <v>45992</v>
      </c>
      <c r="B426" s="94" t="s">
        <v>78</v>
      </c>
      <c r="C426" s="95" t="s">
        <v>480</v>
      </c>
      <c r="D426" s="94" t="s">
        <v>403</v>
      </c>
      <c r="E426" s="104">
        <v>1.788194444444444</v>
      </c>
      <c r="F426" s="94" t="s">
        <v>83</v>
      </c>
      <c r="G426" s="96">
        <v>4</v>
      </c>
      <c r="H426" s="107" t="s">
        <v>474</v>
      </c>
      <c r="I426" s="88"/>
    </row>
    <row r="427" spans="1:9" ht="19.8" customHeight="1" x14ac:dyDescent="0.3">
      <c r="A427" s="103">
        <v>45992</v>
      </c>
      <c r="B427" s="94" t="s">
        <v>78</v>
      </c>
      <c r="C427" s="95" t="s">
        <v>467</v>
      </c>
      <c r="D427" s="94" t="s">
        <v>403</v>
      </c>
      <c r="E427" s="104">
        <v>1.1423611111111109</v>
      </c>
      <c r="F427" s="94" t="s">
        <v>80</v>
      </c>
      <c r="G427" s="96">
        <v>9</v>
      </c>
      <c r="H427" s="107" t="s">
        <v>569</v>
      </c>
      <c r="I427" s="88"/>
    </row>
    <row r="428" spans="1:9" ht="19.8" customHeight="1" x14ac:dyDescent="0.3">
      <c r="A428" s="103">
        <v>45992</v>
      </c>
      <c r="B428" s="94" t="s">
        <v>78</v>
      </c>
      <c r="C428" s="95" t="s">
        <v>467</v>
      </c>
      <c r="D428" s="94" t="s">
        <v>403</v>
      </c>
      <c r="E428" s="104">
        <v>1.1423611111111109</v>
      </c>
      <c r="F428" s="94" t="s">
        <v>83</v>
      </c>
      <c r="G428" s="96">
        <v>9</v>
      </c>
      <c r="H428" s="107" t="s">
        <v>582</v>
      </c>
      <c r="I428" s="88"/>
    </row>
    <row r="429" spans="1:9" ht="19.8" customHeight="1" x14ac:dyDescent="0.3">
      <c r="A429" s="103">
        <v>45992</v>
      </c>
      <c r="B429" s="94" t="s">
        <v>66</v>
      </c>
      <c r="C429" s="95" t="s">
        <v>492</v>
      </c>
      <c r="D429" s="94" t="s">
        <v>403</v>
      </c>
      <c r="E429" s="104">
        <v>1.770833333333333</v>
      </c>
      <c r="F429" s="94" t="s">
        <v>68</v>
      </c>
      <c r="G429" s="96">
        <v>4</v>
      </c>
      <c r="H429" s="107" t="s">
        <v>493</v>
      </c>
      <c r="I429" s="88"/>
    </row>
    <row r="430" spans="1:9" ht="19.8" customHeight="1" x14ac:dyDescent="0.3">
      <c r="A430" s="103">
        <v>45992</v>
      </c>
      <c r="B430" s="94" t="s">
        <v>66</v>
      </c>
      <c r="C430" s="95" t="s">
        <v>508</v>
      </c>
      <c r="D430" s="94" t="s">
        <v>403</v>
      </c>
      <c r="E430" s="104">
        <v>1.958333333333333</v>
      </c>
      <c r="F430" s="94" t="s">
        <v>68</v>
      </c>
      <c r="G430" s="96">
        <v>9</v>
      </c>
      <c r="H430" s="107" t="s">
        <v>493</v>
      </c>
      <c r="I430" s="88"/>
    </row>
    <row r="431" spans="1:9" ht="19.8" customHeight="1" x14ac:dyDescent="0.3">
      <c r="A431" s="113">
        <v>45992</v>
      </c>
      <c r="B431" s="114" t="s">
        <v>66</v>
      </c>
      <c r="C431" s="115" t="s">
        <v>509</v>
      </c>
      <c r="D431" s="114" t="s">
        <v>403</v>
      </c>
      <c r="E431" s="116">
        <v>1.0138888888888891</v>
      </c>
      <c r="F431" s="114" t="s">
        <v>68</v>
      </c>
      <c r="G431" s="117">
        <v>5</v>
      </c>
      <c r="H431" s="118" t="s">
        <v>493</v>
      </c>
      <c r="I431" s="88"/>
    </row>
    <row r="432" spans="1:9" ht="19.8" customHeight="1" x14ac:dyDescent="0.3">
      <c r="A432" s="103">
        <v>45993</v>
      </c>
      <c r="B432" s="94" t="s">
        <v>26</v>
      </c>
      <c r="C432" s="95" t="s">
        <v>451</v>
      </c>
      <c r="D432" s="94" t="s">
        <v>403</v>
      </c>
      <c r="E432" s="104">
        <v>1.1284722222222221</v>
      </c>
      <c r="F432" s="94" t="s">
        <v>28</v>
      </c>
      <c r="G432" s="96">
        <v>2</v>
      </c>
      <c r="H432" s="97">
        <v>359</v>
      </c>
      <c r="I432" s="88"/>
    </row>
    <row r="433" spans="1:9" ht="19.8" customHeight="1" x14ac:dyDescent="0.3">
      <c r="A433" s="103">
        <v>45993</v>
      </c>
      <c r="B433" s="94" t="s">
        <v>36</v>
      </c>
      <c r="C433" s="95" t="s">
        <v>442</v>
      </c>
      <c r="D433" s="94" t="s">
        <v>403</v>
      </c>
      <c r="E433" s="104">
        <v>1.256944444444444</v>
      </c>
      <c r="F433" s="94" t="s">
        <v>38</v>
      </c>
      <c r="G433" s="96">
        <v>9</v>
      </c>
      <c r="H433" s="97">
        <v>369</v>
      </c>
      <c r="I433" s="88"/>
    </row>
    <row r="434" spans="1:9" ht="19.8" customHeight="1" x14ac:dyDescent="0.3">
      <c r="A434" s="103">
        <v>45993</v>
      </c>
      <c r="B434" s="94" t="s">
        <v>36</v>
      </c>
      <c r="C434" s="95" t="s">
        <v>443</v>
      </c>
      <c r="D434" s="94" t="s">
        <v>403</v>
      </c>
      <c r="E434" s="104">
        <v>1.302083333333333</v>
      </c>
      <c r="F434" s="94" t="s">
        <v>38</v>
      </c>
      <c r="G434" s="96">
        <v>1</v>
      </c>
      <c r="H434" s="97">
        <v>369</v>
      </c>
      <c r="I434" s="88"/>
    </row>
    <row r="435" spans="1:9" ht="19.8" customHeight="1" x14ac:dyDescent="0.3">
      <c r="A435" s="103">
        <v>45993</v>
      </c>
      <c r="B435" s="94" t="s">
        <v>26</v>
      </c>
      <c r="C435" s="95" t="s">
        <v>454</v>
      </c>
      <c r="D435" s="94" t="s">
        <v>403</v>
      </c>
      <c r="E435" s="104">
        <v>1.8888888888888891</v>
      </c>
      <c r="F435" s="94" t="s">
        <v>28</v>
      </c>
      <c r="G435" s="96">
        <v>8</v>
      </c>
      <c r="H435" s="97">
        <v>389</v>
      </c>
      <c r="I435" s="88"/>
    </row>
    <row r="436" spans="1:9" ht="19.8" customHeight="1" x14ac:dyDescent="0.3">
      <c r="A436" s="103">
        <v>45993</v>
      </c>
      <c r="B436" s="94" t="s">
        <v>26</v>
      </c>
      <c r="C436" s="95" t="s">
        <v>455</v>
      </c>
      <c r="D436" s="94" t="s">
        <v>403</v>
      </c>
      <c r="E436" s="104">
        <v>1.788194444444444</v>
      </c>
      <c r="F436" s="94" t="s">
        <v>28</v>
      </c>
      <c r="G436" s="96">
        <v>8</v>
      </c>
      <c r="H436" s="97">
        <v>389</v>
      </c>
      <c r="I436" s="88"/>
    </row>
    <row r="437" spans="1:9" ht="19.8" customHeight="1" x14ac:dyDescent="0.3">
      <c r="A437" s="103">
        <v>45993</v>
      </c>
      <c r="B437" s="94" t="s">
        <v>404</v>
      </c>
      <c r="C437" s="95" t="s">
        <v>408</v>
      </c>
      <c r="D437" s="94" t="s">
        <v>403</v>
      </c>
      <c r="E437" s="104">
        <v>1.739583333333333</v>
      </c>
      <c r="F437" s="94" t="s">
        <v>406</v>
      </c>
      <c r="G437" s="96">
        <v>4</v>
      </c>
      <c r="H437" s="97">
        <v>400</v>
      </c>
      <c r="I437" s="88"/>
    </row>
    <row r="438" spans="1:9" ht="19.8" customHeight="1" x14ac:dyDescent="0.3">
      <c r="A438" s="103">
        <v>45993</v>
      </c>
      <c r="B438" s="94" t="s">
        <v>404</v>
      </c>
      <c r="C438" s="95" t="s">
        <v>405</v>
      </c>
      <c r="D438" s="94" t="s">
        <v>403</v>
      </c>
      <c r="E438" s="104">
        <v>1.274305555555556</v>
      </c>
      <c r="F438" s="94" t="s">
        <v>406</v>
      </c>
      <c r="G438" s="96">
        <v>9</v>
      </c>
      <c r="H438" s="97">
        <v>400</v>
      </c>
      <c r="I438" s="88"/>
    </row>
    <row r="439" spans="1:9" ht="19.8" customHeight="1" x14ac:dyDescent="0.3">
      <c r="A439" s="105">
        <v>45993</v>
      </c>
      <c r="B439" s="99" t="s">
        <v>44</v>
      </c>
      <c r="C439" s="100" t="s">
        <v>419</v>
      </c>
      <c r="D439" s="99" t="s">
        <v>403</v>
      </c>
      <c r="E439" s="106">
        <v>1.229166666666667</v>
      </c>
      <c r="F439" s="99" t="s">
        <v>46</v>
      </c>
      <c r="G439" s="101">
        <v>4</v>
      </c>
      <c r="H439" s="102">
        <v>401</v>
      </c>
      <c r="I439" s="88"/>
    </row>
    <row r="440" spans="1:9" ht="19.8" customHeight="1" x14ac:dyDescent="0.3">
      <c r="A440" s="103">
        <v>45993</v>
      </c>
      <c r="B440" s="94" t="s">
        <v>410</v>
      </c>
      <c r="C440" s="95" t="s">
        <v>412</v>
      </c>
      <c r="D440" s="94" t="s">
        <v>403</v>
      </c>
      <c r="E440" s="104">
        <v>1.0451388888888891</v>
      </c>
      <c r="F440" s="94" t="s">
        <v>406</v>
      </c>
      <c r="G440" s="96">
        <v>1</v>
      </c>
      <c r="H440" s="97">
        <v>401</v>
      </c>
      <c r="I440" s="88"/>
    </row>
    <row r="441" spans="1:9" ht="19.8" customHeight="1" x14ac:dyDescent="0.3">
      <c r="A441" s="103">
        <v>45993</v>
      </c>
      <c r="B441" s="94" t="s">
        <v>36</v>
      </c>
      <c r="C441" s="95" t="s">
        <v>438</v>
      </c>
      <c r="D441" s="94" t="s">
        <v>403</v>
      </c>
      <c r="E441" s="104">
        <v>1.854166666666667</v>
      </c>
      <c r="F441" s="94" t="s">
        <v>38</v>
      </c>
      <c r="G441" s="96">
        <v>2</v>
      </c>
      <c r="H441" s="97">
        <v>409</v>
      </c>
      <c r="I441" s="88"/>
    </row>
    <row r="442" spans="1:9" ht="19.8" customHeight="1" x14ac:dyDescent="0.3">
      <c r="A442" s="103">
        <v>45993</v>
      </c>
      <c r="B442" s="94" t="s">
        <v>36</v>
      </c>
      <c r="C442" s="95" t="s">
        <v>444</v>
      </c>
      <c r="D442" s="94" t="s">
        <v>403</v>
      </c>
      <c r="E442" s="104">
        <v>1.5173611111111109</v>
      </c>
      <c r="F442" s="94" t="s">
        <v>38</v>
      </c>
      <c r="G442" s="96">
        <v>4</v>
      </c>
      <c r="H442" s="97">
        <v>409</v>
      </c>
      <c r="I442" s="88"/>
    </row>
    <row r="443" spans="1:9" ht="19.8" customHeight="1" x14ac:dyDescent="0.3">
      <c r="A443" s="103">
        <v>45993</v>
      </c>
      <c r="B443" s="94" t="s">
        <v>36</v>
      </c>
      <c r="C443" s="95" t="s">
        <v>446</v>
      </c>
      <c r="D443" s="94" t="s">
        <v>403</v>
      </c>
      <c r="E443" s="104">
        <v>1.645833333333333</v>
      </c>
      <c r="F443" s="94" t="s">
        <v>38</v>
      </c>
      <c r="G443" s="96">
        <v>2</v>
      </c>
      <c r="H443" s="97">
        <v>409</v>
      </c>
      <c r="I443" s="88"/>
    </row>
    <row r="444" spans="1:9" ht="19.8" customHeight="1" x14ac:dyDescent="0.3">
      <c r="A444" s="103">
        <v>45993</v>
      </c>
      <c r="B444" s="94" t="s">
        <v>26</v>
      </c>
      <c r="C444" s="95" t="s">
        <v>453</v>
      </c>
      <c r="D444" s="94" t="s">
        <v>403</v>
      </c>
      <c r="E444" s="104">
        <v>1.302083333333333</v>
      </c>
      <c r="F444" s="94" t="s">
        <v>28</v>
      </c>
      <c r="G444" s="96">
        <v>6</v>
      </c>
      <c r="H444" s="97">
        <v>419</v>
      </c>
      <c r="I444" s="88"/>
    </row>
    <row r="445" spans="1:9" ht="19.8" customHeight="1" x14ac:dyDescent="0.3">
      <c r="A445" s="103">
        <v>45993</v>
      </c>
      <c r="B445" s="94" t="s">
        <v>456</v>
      </c>
      <c r="C445" s="95" t="s">
        <v>457</v>
      </c>
      <c r="D445" s="94" t="s">
        <v>403</v>
      </c>
      <c r="E445" s="104">
        <v>1.2222222222222221</v>
      </c>
      <c r="F445" s="94" t="s">
        <v>458</v>
      </c>
      <c r="G445" s="96">
        <v>9</v>
      </c>
      <c r="H445" s="97">
        <v>432</v>
      </c>
      <c r="I445" s="88"/>
    </row>
    <row r="446" spans="1:9" ht="19.8" customHeight="1" x14ac:dyDescent="0.3">
      <c r="A446" s="105">
        <v>45993</v>
      </c>
      <c r="B446" s="99" t="s">
        <v>44</v>
      </c>
      <c r="C446" s="100" t="s">
        <v>520</v>
      </c>
      <c r="D446" s="99" t="s">
        <v>403</v>
      </c>
      <c r="E446" s="106">
        <v>1.5590277777777779</v>
      </c>
      <c r="F446" s="99" t="s">
        <v>46</v>
      </c>
      <c r="G446" s="101">
        <v>3</v>
      </c>
      <c r="H446" s="102">
        <v>436</v>
      </c>
      <c r="I446" s="88"/>
    </row>
    <row r="447" spans="1:9" ht="19.8" customHeight="1" x14ac:dyDescent="0.3">
      <c r="A447" s="105">
        <v>45993</v>
      </c>
      <c r="B447" s="99" t="s">
        <v>44</v>
      </c>
      <c r="C447" s="100" t="s">
        <v>422</v>
      </c>
      <c r="D447" s="99" t="s">
        <v>403</v>
      </c>
      <c r="E447" s="106">
        <v>1.9340277777777779</v>
      </c>
      <c r="F447" s="99" t="s">
        <v>46</v>
      </c>
      <c r="G447" s="101">
        <v>1</v>
      </c>
      <c r="H447" s="102">
        <v>436</v>
      </c>
      <c r="I447" s="88"/>
    </row>
    <row r="448" spans="1:9" ht="19.8" customHeight="1" x14ac:dyDescent="0.3">
      <c r="A448" s="103">
        <v>45993</v>
      </c>
      <c r="B448" s="94" t="s">
        <v>36</v>
      </c>
      <c r="C448" s="95" t="s">
        <v>435</v>
      </c>
      <c r="D448" s="94" t="s">
        <v>403</v>
      </c>
      <c r="E448" s="104">
        <v>1.9027777777777779</v>
      </c>
      <c r="F448" s="94" t="s">
        <v>38</v>
      </c>
      <c r="G448" s="96">
        <v>5</v>
      </c>
      <c r="H448" s="97">
        <v>449</v>
      </c>
      <c r="I448" s="88"/>
    </row>
    <row r="449" spans="1:9" ht="19.8" customHeight="1" x14ac:dyDescent="0.3">
      <c r="A449" s="103">
        <v>45993</v>
      </c>
      <c r="B449" s="94" t="s">
        <v>36</v>
      </c>
      <c r="C449" s="95" t="s">
        <v>445</v>
      </c>
      <c r="D449" s="94" t="s">
        <v>403</v>
      </c>
      <c r="E449" s="104">
        <v>1.7986111111111109</v>
      </c>
      <c r="F449" s="94" t="s">
        <v>38</v>
      </c>
      <c r="G449" s="96">
        <v>8</v>
      </c>
      <c r="H449" s="97">
        <v>449</v>
      </c>
      <c r="I449" s="88"/>
    </row>
    <row r="450" spans="1:9" ht="19.8" customHeight="1" x14ac:dyDescent="0.3">
      <c r="A450" s="103">
        <v>45993</v>
      </c>
      <c r="B450" s="94" t="s">
        <v>36</v>
      </c>
      <c r="C450" s="95" t="s">
        <v>447</v>
      </c>
      <c r="D450" s="94" t="s">
        <v>403</v>
      </c>
      <c r="E450" s="104">
        <v>1.395833333333333</v>
      </c>
      <c r="F450" s="94" t="s">
        <v>38</v>
      </c>
      <c r="G450" s="96">
        <v>9</v>
      </c>
      <c r="H450" s="97">
        <v>449</v>
      </c>
      <c r="I450" s="88"/>
    </row>
    <row r="451" spans="1:9" ht="19.8" customHeight="1" x14ac:dyDescent="0.3">
      <c r="A451" s="103">
        <v>45993</v>
      </c>
      <c r="B451" s="94" t="s">
        <v>36</v>
      </c>
      <c r="C451" s="95" t="s">
        <v>442</v>
      </c>
      <c r="D451" s="94" t="s">
        <v>403</v>
      </c>
      <c r="E451" s="104">
        <v>1.256944444444444</v>
      </c>
      <c r="F451" s="94" t="s">
        <v>40</v>
      </c>
      <c r="G451" s="96">
        <v>9</v>
      </c>
      <c r="H451" s="97">
        <v>469</v>
      </c>
      <c r="I451" s="88"/>
    </row>
    <row r="452" spans="1:9" ht="19.8" customHeight="1" x14ac:dyDescent="0.3">
      <c r="A452" s="103">
        <v>45993</v>
      </c>
      <c r="B452" s="94" t="s">
        <v>36</v>
      </c>
      <c r="C452" s="95" t="s">
        <v>443</v>
      </c>
      <c r="D452" s="94" t="s">
        <v>403</v>
      </c>
      <c r="E452" s="104">
        <v>1.302083333333333</v>
      </c>
      <c r="F452" s="94" t="s">
        <v>40</v>
      </c>
      <c r="G452" s="96">
        <v>1</v>
      </c>
      <c r="H452" s="97">
        <v>469</v>
      </c>
      <c r="I452" s="88"/>
    </row>
    <row r="453" spans="1:9" ht="19.8" customHeight="1" x14ac:dyDescent="0.3">
      <c r="A453" s="105">
        <v>45993</v>
      </c>
      <c r="B453" s="99" t="s">
        <v>44</v>
      </c>
      <c r="C453" s="100" t="s">
        <v>425</v>
      </c>
      <c r="D453" s="99" t="s">
        <v>403</v>
      </c>
      <c r="E453" s="106">
        <v>1.614583333333333</v>
      </c>
      <c r="F453" s="99" t="s">
        <v>46</v>
      </c>
      <c r="G453" s="101">
        <v>3</v>
      </c>
      <c r="H453" s="102">
        <v>471</v>
      </c>
      <c r="I453" s="88"/>
    </row>
    <row r="454" spans="1:9" ht="19.8" customHeight="1" x14ac:dyDescent="0.3">
      <c r="A454" s="105">
        <v>45993</v>
      </c>
      <c r="B454" s="99" t="s">
        <v>44</v>
      </c>
      <c r="C454" s="100" t="s">
        <v>415</v>
      </c>
      <c r="D454" s="99" t="s">
        <v>403</v>
      </c>
      <c r="E454" s="106">
        <v>1.96875</v>
      </c>
      <c r="F454" s="99" t="s">
        <v>46</v>
      </c>
      <c r="G454" s="101">
        <v>9</v>
      </c>
      <c r="H454" s="102">
        <v>471</v>
      </c>
      <c r="I454" s="88"/>
    </row>
    <row r="455" spans="1:9" ht="19.8" customHeight="1" x14ac:dyDescent="0.3">
      <c r="A455" s="105">
        <v>45993</v>
      </c>
      <c r="B455" s="99" t="s">
        <v>44</v>
      </c>
      <c r="C455" s="100" t="s">
        <v>429</v>
      </c>
      <c r="D455" s="99" t="s">
        <v>403</v>
      </c>
      <c r="E455" s="106">
        <v>1.729166666666667</v>
      </c>
      <c r="F455" s="99" t="s">
        <v>46</v>
      </c>
      <c r="G455" s="101">
        <v>9</v>
      </c>
      <c r="H455" s="102">
        <v>471</v>
      </c>
      <c r="I455" s="88"/>
    </row>
    <row r="456" spans="1:9" ht="19.8" customHeight="1" x14ac:dyDescent="0.3">
      <c r="A456" s="103">
        <v>45993</v>
      </c>
      <c r="B456" s="94" t="s">
        <v>26</v>
      </c>
      <c r="C456" s="95" t="s">
        <v>451</v>
      </c>
      <c r="D456" s="94" t="s">
        <v>403</v>
      </c>
      <c r="E456" s="104">
        <v>1.1284722222222221</v>
      </c>
      <c r="F456" s="94" t="s">
        <v>31</v>
      </c>
      <c r="G456" s="96">
        <v>2</v>
      </c>
      <c r="H456" s="97">
        <v>509</v>
      </c>
      <c r="I456" s="88"/>
    </row>
    <row r="457" spans="1:9" ht="19.8" customHeight="1" x14ac:dyDescent="0.3">
      <c r="A457" s="103">
        <v>45993</v>
      </c>
      <c r="B457" s="94" t="s">
        <v>36</v>
      </c>
      <c r="C457" s="95" t="s">
        <v>438</v>
      </c>
      <c r="D457" s="94" t="s">
        <v>403</v>
      </c>
      <c r="E457" s="104">
        <v>1.854166666666667</v>
      </c>
      <c r="F457" s="94" t="s">
        <v>40</v>
      </c>
      <c r="G457" s="96">
        <v>2</v>
      </c>
      <c r="H457" s="97">
        <v>509</v>
      </c>
      <c r="I457" s="88"/>
    </row>
    <row r="458" spans="1:9" ht="19.8" customHeight="1" x14ac:dyDescent="0.3">
      <c r="A458" s="103">
        <v>45993</v>
      </c>
      <c r="B458" s="94" t="s">
        <v>36</v>
      </c>
      <c r="C458" s="95" t="s">
        <v>444</v>
      </c>
      <c r="D458" s="94" t="s">
        <v>403</v>
      </c>
      <c r="E458" s="104">
        <v>1.5173611111111109</v>
      </c>
      <c r="F458" s="94" t="s">
        <v>40</v>
      </c>
      <c r="G458" s="96">
        <v>4</v>
      </c>
      <c r="H458" s="97">
        <v>509</v>
      </c>
      <c r="I458" s="88"/>
    </row>
    <row r="459" spans="1:9" ht="19.8" customHeight="1" x14ac:dyDescent="0.3">
      <c r="A459" s="103">
        <v>45993</v>
      </c>
      <c r="B459" s="94" t="s">
        <v>36</v>
      </c>
      <c r="C459" s="95" t="s">
        <v>446</v>
      </c>
      <c r="D459" s="94" t="s">
        <v>403</v>
      </c>
      <c r="E459" s="104">
        <v>1.645833333333333</v>
      </c>
      <c r="F459" s="94" t="s">
        <v>40</v>
      </c>
      <c r="G459" s="96">
        <v>2</v>
      </c>
      <c r="H459" s="97">
        <v>509</v>
      </c>
      <c r="I459" s="88"/>
    </row>
    <row r="460" spans="1:9" ht="19.8" customHeight="1" x14ac:dyDescent="0.3">
      <c r="A460" s="103">
        <v>45993</v>
      </c>
      <c r="B460" s="94" t="s">
        <v>26</v>
      </c>
      <c r="C460" s="95" t="s">
        <v>454</v>
      </c>
      <c r="D460" s="94" t="s">
        <v>403</v>
      </c>
      <c r="E460" s="104">
        <v>1.8888888888888891</v>
      </c>
      <c r="F460" s="94" t="s">
        <v>31</v>
      </c>
      <c r="G460" s="96">
        <v>8</v>
      </c>
      <c r="H460" s="97">
        <v>539</v>
      </c>
      <c r="I460" s="88"/>
    </row>
    <row r="461" spans="1:9" ht="19.8" customHeight="1" x14ac:dyDescent="0.3">
      <c r="A461" s="103">
        <v>45993</v>
      </c>
      <c r="B461" s="94" t="s">
        <v>26</v>
      </c>
      <c r="C461" s="95" t="s">
        <v>455</v>
      </c>
      <c r="D461" s="94" t="s">
        <v>403</v>
      </c>
      <c r="E461" s="104">
        <v>1.788194444444444</v>
      </c>
      <c r="F461" s="94" t="s">
        <v>31</v>
      </c>
      <c r="G461" s="96">
        <v>8</v>
      </c>
      <c r="H461" s="97">
        <v>539</v>
      </c>
      <c r="I461" s="88"/>
    </row>
    <row r="462" spans="1:9" ht="19.8" customHeight="1" x14ac:dyDescent="0.3">
      <c r="A462" s="103">
        <v>45993</v>
      </c>
      <c r="B462" s="94" t="s">
        <v>36</v>
      </c>
      <c r="C462" s="95" t="s">
        <v>435</v>
      </c>
      <c r="D462" s="94" t="s">
        <v>403</v>
      </c>
      <c r="E462" s="104">
        <v>1.9027777777777779</v>
      </c>
      <c r="F462" s="94" t="s">
        <v>40</v>
      </c>
      <c r="G462" s="96">
        <v>5</v>
      </c>
      <c r="H462" s="97">
        <v>549</v>
      </c>
      <c r="I462" s="88"/>
    </row>
    <row r="463" spans="1:9" ht="19.8" customHeight="1" x14ac:dyDescent="0.3">
      <c r="A463" s="103">
        <v>45993</v>
      </c>
      <c r="B463" s="94" t="s">
        <v>36</v>
      </c>
      <c r="C463" s="95" t="s">
        <v>445</v>
      </c>
      <c r="D463" s="94" t="s">
        <v>403</v>
      </c>
      <c r="E463" s="104">
        <v>1.7986111111111109</v>
      </c>
      <c r="F463" s="94" t="s">
        <v>40</v>
      </c>
      <c r="G463" s="96">
        <v>8</v>
      </c>
      <c r="H463" s="97">
        <v>549</v>
      </c>
      <c r="I463" s="88"/>
    </row>
    <row r="464" spans="1:9" ht="19.8" customHeight="1" x14ac:dyDescent="0.3">
      <c r="A464" s="103">
        <v>45993</v>
      </c>
      <c r="B464" s="94" t="s">
        <v>36</v>
      </c>
      <c r="C464" s="95" t="s">
        <v>447</v>
      </c>
      <c r="D464" s="94" t="s">
        <v>403</v>
      </c>
      <c r="E464" s="104">
        <v>1.395833333333333</v>
      </c>
      <c r="F464" s="94" t="s">
        <v>40</v>
      </c>
      <c r="G464" s="96">
        <v>9</v>
      </c>
      <c r="H464" s="97">
        <v>549</v>
      </c>
      <c r="I464" s="88"/>
    </row>
    <row r="465" spans="1:9" ht="19.8" customHeight="1" x14ac:dyDescent="0.3">
      <c r="A465" s="103">
        <v>45993</v>
      </c>
      <c r="B465" s="94" t="s">
        <v>456</v>
      </c>
      <c r="C465" s="95" t="s">
        <v>457</v>
      </c>
      <c r="D465" s="94" t="s">
        <v>403</v>
      </c>
      <c r="E465" s="104">
        <v>1.2222222222222221</v>
      </c>
      <c r="F465" s="94" t="s">
        <v>34</v>
      </c>
      <c r="G465" s="96">
        <v>9</v>
      </c>
      <c r="H465" s="97">
        <v>555</v>
      </c>
      <c r="I465" s="88"/>
    </row>
    <row r="466" spans="1:9" ht="19.8" customHeight="1" x14ac:dyDescent="0.3">
      <c r="A466" s="103">
        <v>45993</v>
      </c>
      <c r="B466" s="94" t="s">
        <v>36</v>
      </c>
      <c r="C466" s="95" t="s">
        <v>442</v>
      </c>
      <c r="D466" s="94" t="s">
        <v>403</v>
      </c>
      <c r="E466" s="104">
        <v>1.256944444444444</v>
      </c>
      <c r="F466" s="94" t="s">
        <v>42</v>
      </c>
      <c r="G466" s="96">
        <v>9</v>
      </c>
      <c r="H466" s="97">
        <v>559</v>
      </c>
      <c r="I466" s="88"/>
    </row>
    <row r="467" spans="1:9" ht="19.8" customHeight="1" x14ac:dyDescent="0.3">
      <c r="A467" s="103">
        <v>45993</v>
      </c>
      <c r="B467" s="94" t="s">
        <v>36</v>
      </c>
      <c r="C467" s="95" t="s">
        <v>443</v>
      </c>
      <c r="D467" s="94" t="s">
        <v>403</v>
      </c>
      <c r="E467" s="104">
        <v>1.302083333333333</v>
      </c>
      <c r="F467" s="94" t="s">
        <v>42</v>
      </c>
      <c r="G467" s="96">
        <v>1</v>
      </c>
      <c r="H467" s="97">
        <v>559</v>
      </c>
      <c r="I467" s="88"/>
    </row>
    <row r="468" spans="1:9" ht="19.8" customHeight="1" x14ac:dyDescent="0.3">
      <c r="A468" s="103">
        <v>45993</v>
      </c>
      <c r="B468" s="94" t="s">
        <v>26</v>
      </c>
      <c r="C468" s="95" t="s">
        <v>453</v>
      </c>
      <c r="D468" s="94" t="s">
        <v>403</v>
      </c>
      <c r="E468" s="104">
        <v>1.302083333333333</v>
      </c>
      <c r="F468" s="94" t="s">
        <v>31</v>
      </c>
      <c r="G468" s="96">
        <v>6</v>
      </c>
      <c r="H468" s="97">
        <v>569</v>
      </c>
      <c r="I468" s="88"/>
    </row>
    <row r="469" spans="1:9" ht="19.8" customHeight="1" x14ac:dyDescent="0.3">
      <c r="A469" s="103">
        <v>45993</v>
      </c>
      <c r="B469" s="94" t="s">
        <v>36</v>
      </c>
      <c r="C469" s="95" t="s">
        <v>438</v>
      </c>
      <c r="D469" s="94" t="s">
        <v>403</v>
      </c>
      <c r="E469" s="104">
        <v>1.854166666666667</v>
      </c>
      <c r="F469" s="94" t="s">
        <v>42</v>
      </c>
      <c r="G469" s="96">
        <v>2</v>
      </c>
      <c r="H469" s="97">
        <v>599</v>
      </c>
      <c r="I469" s="88"/>
    </row>
    <row r="470" spans="1:9" ht="19.8" customHeight="1" x14ac:dyDescent="0.3">
      <c r="A470" s="103">
        <v>45993</v>
      </c>
      <c r="B470" s="94" t="s">
        <v>36</v>
      </c>
      <c r="C470" s="95" t="s">
        <v>444</v>
      </c>
      <c r="D470" s="94" t="s">
        <v>403</v>
      </c>
      <c r="E470" s="104">
        <v>1.5173611111111109</v>
      </c>
      <c r="F470" s="94" t="s">
        <v>42</v>
      </c>
      <c r="G470" s="96">
        <v>4</v>
      </c>
      <c r="H470" s="97">
        <v>599</v>
      </c>
      <c r="I470" s="88"/>
    </row>
    <row r="471" spans="1:9" ht="19.8" customHeight="1" x14ac:dyDescent="0.3">
      <c r="A471" s="103">
        <v>45993</v>
      </c>
      <c r="B471" s="94" t="s">
        <v>36</v>
      </c>
      <c r="C471" s="95" t="s">
        <v>446</v>
      </c>
      <c r="D471" s="94" t="s">
        <v>403</v>
      </c>
      <c r="E471" s="104">
        <v>1.645833333333333</v>
      </c>
      <c r="F471" s="94" t="s">
        <v>42</v>
      </c>
      <c r="G471" s="96">
        <v>2</v>
      </c>
      <c r="H471" s="97">
        <v>599</v>
      </c>
      <c r="I471" s="88"/>
    </row>
    <row r="472" spans="1:9" ht="19.8" customHeight="1" x14ac:dyDescent="0.3">
      <c r="A472" s="103">
        <v>45993</v>
      </c>
      <c r="B472" s="94" t="s">
        <v>410</v>
      </c>
      <c r="C472" s="95" t="s">
        <v>413</v>
      </c>
      <c r="D472" s="94" t="s">
        <v>403</v>
      </c>
      <c r="E472" s="104">
        <v>1.666666666666667</v>
      </c>
      <c r="F472" s="94" t="s">
        <v>406</v>
      </c>
      <c r="G472" s="96">
        <v>9</v>
      </c>
      <c r="H472" s="97">
        <v>599</v>
      </c>
      <c r="I472" s="88"/>
    </row>
    <row r="473" spans="1:9" ht="19.8" customHeight="1" x14ac:dyDescent="0.3">
      <c r="A473" s="103">
        <v>45993</v>
      </c>
      <c r="B473" s="94" t="s">
        <v>36</v>
      </c>
      <c r="C473" s="95" t="s">
        <v>435</v>
      </c>
      <c r="D473" s="94" t="s">
        <v>403</v>
      </c>
      <c r="E473" s="104">
        <v>1.9027777777777779</v>
      </c>
      <c r="F473" s="94" t="s">
        <v>42</v>
      </c>
      <c r="G473" s="96">
        <v>5</v>
      </c>
      <c r="H473" s="97">
        <v>639</v>
      </c>
      <c r="I473" s="88"/>
    </row>
    <row r="474" spans="1:9" ht="19.8" customHeight="1" x14ac:dyDescent="0.3">
      <c r="A474" s="103">
        <v>45993</v>
      </c>
      <c r="B474" s="94" t="s">
        <v>36</v>
      </c>
      <c r="C474" s="95" t="s">
        <v>445</v>
      </c>
      <c r="D474" s="94" t="s">
        <v>403</v>
      </c>
      <c r="E474" s="104">
        <v>1.7986111111111109</v>
      </c>
      <c r="F474" s="94" t="s">
        <v>42</v>
      </c>
      <c r="G474" s="96">
        <v>8</v>
      </c>
      <c r="H474" s="97">
        <v>639</v>
      </c>
      <c r="I474" s="88"/>
    </row>
    <row r="475" spans="1:9" ht="19.8" customHeight="1" x14ac:dyDescent="0.3">
      <c r="A475" s="103">
        <v>45993</v>
      </c>
      <c r="B475" s="94" t="s">
        <v>36</v>
      </c>
      <c r="C475" s="95" t="s">
        <v>447</v>
      </c>
      <c r="D475" s="94" t="s">
        <v>403</v>
      </c>
      <c r="E475" s="104">
        <v>1.395833333333333</v>
      </c>
      <c r="F475" s="94" t="s">
        <v>42</v>
      </c>
      <c r="G475" s="96">
        <v>9</v>
      </c>
      <c r="H475" s="97">
        <v>639</v>
      </c>
      <c r="I475" s="88"/>
    </row>
    <row r="476" spans="1:9" ht="19.8" customHeight="1" x14ac:dyDescent="0.3">
      <c r="A476" s="103">
        <v>45993</v>
      </c>
      <c r="B476" s="94" t="s">
        <v>78</v>
      </c>
      <c r="C476" s="95" t="s">
        <v>467</v>
      </c>
      <c r="D476" s="94" t="s">
        <v>403</v>
      </c>
      <c r="E476" s="104">
        <v>1.1423611111111109</v>
      </c>
      <c r="F476" s="94" t="s">
        <v>80</v>
      </c>
      <c r="G476" s="96">
        <v>9</v>
      </c>
      <c r="H476" s="97">
        <v>678</v>
      </c>
      <c r="I476" s="88"/>
    </row>
    <row r="477" spans="1:9" ht="19.8" customHeight="1" x14ac:dyDescent="0.3">
      <c r="A477" s="103">
        <v>45993</v>
      </c>
      <c r="B477" s="94" t="s">
        <v>78</v>
      </c>
      <c r="C477" s="95" t="s">
        <v>469</v>
      </c>
      <c r="D477" s="94" t="s">
        <v>403</v>
      </c>
      <c r="E477" s="104">
        <v>1.3784722222222221</v>
      </c>
      <c r="F477" s="94" t="s">
        <v>80</v>
      </c>
      <c r="G477" s="96">
        <v>9</v>
      </c>
      <c r="H477" s="97">
        <v>678</v>
      </c>
      <c r="I477" s="88"/>
    </row>
    <row r="478" spans="1:9" ht="19.8" customHeight="1" x14ac:dyDescent="0.3">
      <c r="A478" s="103">
        <v>45993</v>
      </c>
      <c r="B478" s="94" t="s">
        <v>78</v>
      </c>
      <c r="C478" s="95" t="s">
        <v>461</v>
      </c>
      <c r="D478" s="94" t="s">
        <v>403</v>
      </c>
      <c r="E478" s="104">
        <v>1.239583333333333</v>
      </c>
      <c r="F478" s="94" t="s">
        <v>80</v>
      </c>
      <c r="G478" s="96">
        <v>9</v>
      </c>
      <c r="H478" s="97">
        <v>678</v>
      </c>
      <c r="I478" s="88"/>
    </row>
    <row r="479" spans="1:9" ht="19.8" customHeight="1" x14ac:dyDescent="0.3">
      <c r="A479" s="103">
        <v>45993</v>
      </c>
      <c r="B479" s="94" t="s">
        <v>78</v>
      </c>
      <c r="C479" s="95" t="s">
        <v>467</v>
      </c>
      <c r="D479" s="94" t="s">
        <v>403</v>
      </c>
      <c r="E479" s="104">
        <v>1.1423611111111109</v>
      </c>
      <c r="F479" s="94" t="s">
        <v>83</v>
      </c>
      <c r="G479" s="96">
        <v>9</v>
      </c>
      <c r="H479" s="97">
        <v>723</v>
      </c>
      <c r="I479" s="88"/>
    </row>
    <row r="480" spans="1:9" ht="19.8" customHeight="1" x14ac:dyDescent="0.3">
      <c r="A480" s="103">
        <v>45993</v>
      </c>
      <c r="B480" s="94" t="s">
        <v>78</v>
      </c>
      <c r="C480" s="95" t="s">
        <v>469</v>
      </c>
      <c r="D480" s="94" t="s">
        <v>403</v>
      </c>
      <c r="E480" s="104">
        <v>1.3784722222222221</v>
      </c>
      <c r="F480" s="94" t="s">
        <v>83</v>
      </c>
      <c r="G480" s="96">
        <v>9</v>
      </c>
      <c r="H480" s="97">
        <v>723</v>
      </c>
      <c r="I480" s="88"/>
    </row>
    <row r="481" spans="1:9" ht="19.8" customHeight="1" x14ac:dyDescent="0.3">
      <c r="A481" s="103">
        <v>45993</v>
      </c>
      <c r="B481" s="94" t="s">
        <v>78</v>
      </c>
      <c r="C481" s="95" t="s">
        <v>461</v>
      </c>
      <c r="D481" s="94" t="s">
        <v>403</v>
      </c>
      <c r="E481" s="104">
        <v>1.239583333333333</v>
      </c>
      <c r="F481" s="94" t="s">
        <v>83</v>
      </c>
      <c r="G481" s="96">
        <v>9</v>
      </c>
      <c r="H481" s="97">
        <v>723</v>
      </c>
      <c r="I481" s="88"/>
    </row>
    <row r="482" spans="1:9" ht="19.8" customHeight="1" x14ac:dyDescent="0.3">
      <c r="A482" s="103">
        <v>45993</v>
      </c>
      <c r="B482" s="94" t="s">
        <v>66</v>
      </c>
      <c r="C482" s="95" t="s">
        <v>485</v>
      </c>
      <c r="D482" s="94" t="s">
        <v>403</v>
      </c>
      <c r="E482" s="104">
        <v>1.4861111111111109</v>
      </c>
      <c r="F482" s="94" t="s">
        <v>68</v>
      </c>
      <c r="G482" s="96">
        <v>9</v>
      </c>
      <c r="H482" s="97">
        <v>842</v>
      </c>
      <c r="I482" s="88"/>
    </row>
    <row r="483" spans="1:9" ht="19.8" customHeight="1" x14ac:dyDescent="0.3">
      <c r="A483" s="103">
        <v>45993</v>
      </c>
      <c r="B483" s="94" t="s">
        <v>66</v>
      </c>
      <c r="C483" s="95" t="s">
        <v>487</v>
      </c>
      <c r="D483" s="94" t="s">
        <v>403</v>
      </c>
      <c r="E483" s="104">
        <v>1.5486111111111109</v>
      </c>
      <c r="F483" s="94" t="s">
        <v>68</v>
      </c>
      <c r="G483" s="96">
        <v>9</v>
      </c>
      <c r="H483" s="97">
        <v>842</v>
      </c>
      <c r="I483" s="88"/>
    </row>
    <row r="484" spans="1:9" ht="19.8" customHeight="1" x14ac:dyDescent="0.3">
      <c r="A484" s="103">
        <v>45993</v>
      </c>
      <c r="B484" s="94" t="s">
        <v>78</v>
      </c>
      <c r="C484" s="95" t="s">
        <v>464</v>
      </c>
      <c r="D484" s="94" t="s">
        <v>403</v>
      </c>
      <c r="E484" s="104">
        <v>1.006944444444444</v>
      </c>
      <c r="F484" s="94" t="s">
        <v>80</v>
      </c>
      <c r="G484" s="96">
        <v>9</v>
      </c>
      <c r="H484" s="97">
        <v>935</v>
      </c>
      <c r="I484" s="88"/>
    </row>
    <row r="485" spans="1:9" ht="19.8" customHeight="1" x14ac:dyDescent="0.3">
      <c r="A485" s="103">
        <v>45993</v>
      </c>
      <c r="B485" s="94" t="s">
        <v>78</v>
      </c>
      <c r="C485" s="95" t="s">
        <v>468</v>
      </c>
      <c r="D485" s="94" t="s">
        <v>403</v>
      </c>
      <c r="E485" s="104">
        <v>1.930555555555556</v>
      </c>
      <c r="F485" s="94" t="s">
        <v>80</v>
      </c>
      <c r="G485" s="96">
        <v>9</v>
      </c>
      <c r="H485" s="97">
        <v>935</v>
      </c>
      <c r="I485" s="88"/>
    </row>
    <row r="486" spans="1:9" ht="19.8" customHeight="1" x14ac:dyDescent="0.3">
      <c r="A486" s="103">
        <v>45993</v>
      </c>
      <c r="B486" s="94" t="s">
        <v>78</v>
      </c>
      <c r="C486" s="95" t="s">
        <v>470</v>
      </c>
      <c r="D486" s="94" t="s">
        <v>403</v>
      </c>
      <c r="E486" s="104">
        <v>1.71875</v>
      </c>
      <c r="F486" s="94" t="s">
        <v>80</v>
      </c>
      <c r="G486" s="96">
        <v>9</v>
      </c>
      <c r="H486" s="97">
        <v>935</v>
      </c>
      <c r="I486" s="88"/>
    </row>
    <row r="487" spans="1:9" ht="19.8" customHeight="1" x14ac:dyDescent="0.3">
      <c r="A487" s="103">
        <v>45993</v>
      </c>
      <c r="B487" s="94" t="s">
        <v>78</v>
      </c>
      <c r="C487" s="95" t="s">
        <v>477</v>
      </c>
      <c r="D487" s="94" t="s">
        <v>403</v>
      </c>
      <c r="E487" s="104">
        <v>1.8298611111111109</v>
      </c>
      <c r="F487" s="94" t="s">
        <v>80</v>
      </c>
      <c r="G487" s="96">
        <v>9</v>
      </c>
      <c r="H487" s="97">
        <v>935</v>
      </c>
      <c r="I487" s="88"/>
    </row>
    <row r="488" spans="1:9" ht="19.8" customHeight="1" x14ac:dyDescent="0.3">
      <c r="A488" s="103">
        <v>45993</v>
      </c>
      <c r="B488" s="94" t="s">
        <v>78</v>
      </c>
      <c r="C488" s="95" t="s">
        <v>482</v>
      </c>
      <c r="D488" s="94" t="s">
        <v>403</v>
      </c>
      <c r="E488" s="104">
        <v>1.6111111111111109</v>
      </c>
      <c r="F488" s="94" t="s">
        <v>80</v>
      </c>
      <c r="G488" s="96">
        <v>9</v>
      </c>
      <c r="H488" s="97">
        <v>935</v>
      </c>
      <c r="I488" s="88"/>
    </row>
    <row r="489" spans="1:9" ht="19.8" customHeight="1" x14ac:dyDescent="0.3">
      <c r="A489" s="103">
        <v>45993</v>
      </c>
      <c r="B489" s="94" t="s">
        <v>66</v>
      </c>
      <c r="C489" s="95" t="s">
        <v>488</v>
      </c>
      <c r="D489" s="94" t="s">
        <v>403</v>
      </c>
      <c r="E489" s="104">
        <v>1.2222222222222221</v>
      </c>
      <c r="F489" s="94" t="s">
        <v>68</v>
      </c>
      <c r="G489" s="96">
        <v>9</v>
      </c>
      <c r="H489" s="97">
        <v>970</v>
      </c>
      <c r="I489" s="88"/>
    </row>
    <row r="490" spans="1:9" ht="19.8" customHeight="1" x14ac:dyDescent="0.3">
      <c r="A490" s="103">
        <v>45993</v>
      </c>
      <c r="B490" s="94" t="s">
        <v>66</v>
      </c>
      <c r="C490" s="95" t="s">
        <v>490</v>
      </c>
      <c r="D490" s="94" t="s">
        <v>403</v>
      </c>
      <c r="E490" s="104">
        <v>1.2777777777777779</v>
      </c>
      <c r="F490" s="94" t="s">
        <v>68</v>
      </c>
      <c r="G490" s="96">
        <v>9</v>
      </c>
      <c r="H490" s="97">
        <v>970</v>
      </c>
      <c r="I490" s="88"/>
    </row>
    <row r="491" spans="1:9" ht="19.8" customHeight="1" x14ac:dyDescent="0.3">
      <c r="A491" s="103">
        <v>45993</v>
      </c>
      <c r="B491" s="94" t="s">
        <v>78</v>
      </c>
      <c r="C491" s="95" t="s">
        <v>464</v>
      </c>
      <c r="D491" s="94" t="s">
        <v>403</v>
      </c>
      <c r="E491" s="104">
        <v>1.006944444444444</v>
      </c>
      <c r="F491" s="94" t="s">
        <v>83</v>
      </c>
      <c r="G491" s="96">
        <v>9</v>
      </c>
      <c r="H491" s="97">
        <v>980</v>
      </c>
      <c r="I491" s="88"/>
    </row>
    <row r="492" spans="1:9" ht="19.8" customHeight="1" x14ac:dyDescent="0.3">
      <c r="A492" s="103">
        <v>45993</v>
      </c>
      <c r="B492" s="94" t="s">
        <v>78</v>
      </c>
      <c r="C492" s="95" t="s">
        <v>468</v>
      </c>
      <c r="D492" s="94" t="s">
        <v>403</v>
      </c>
      <c r="E492" s="104">
        <v>1.930555555555556</v>
      </c>
      <c r="F492" s="94" t="s">
        <v>83</v>
      </c>
      <c r="G492" s="96">
        <v>9</v>
      </c>
      <c r="H492" s="97">
        <v>980</v>
      </c>
      <c r="I492" s="88"/>
    </row>
    <row r="493" spans="1:9" ht="19.8" customHeight="1" x14ac:dyDescent="0.3">
      <c r="A493" s="103">
        <v>45993</v>
      </c>
      <c r="B493" s="94" t="s">
        <v>78</v>
      </c>
      <c r="C493" s="95" t="s">
        <v>470</v>
      </c>
      <c r="D493" s="94" t="s">
        <v>403</v>
      </c>
      <c r="E493" s="104">
        <v>1.71875</v>
      </c>
      <c r="F493" s="94" t="s">
        <v>83</v>
      </c>
      <c r="G493" s="96">
        <v>9</v>
      </c>
      <c r="H493" s="97">
        <v>980</v>
      </c>
      <c r="I493" s="88"/>
    </row>
    <row r="494" spans="1:9" ht="19.8" customHeight="1" x14ac:dyDescent="0.3">
      <c r="A494" s="103">
        <v>45993</v>
      </c>
      <c r="B494" s="94" t="s">
        <v>78</v>
      </c>
      <c r="C494" s="95" t="s">
        <v>477</v>
      </c>
      <c r="D494" s="94" t="s">
        <v>403</v>
      </c>
      <c r="E494" s="104">
        <v>1.8298611111111109</v>
      </c>
      <c r="F494" s="94" t="s">
        <v>83</v>
      </c>
      <c r="G494" s="96">
        <v>9</v>
      </c>
      <c r="H494" s="97">
        <v>980</v>
      </c>
      <c r="I494" s="88"/>
    </row>
    <row r="495" spans="1:9" ht="19.8" customHeight="1" x14ac:dyDescent="0.3">
      <c r="A495" s="103">
        <v>45993</v>
      </c>
      <c r="B495" s="94" t="s">
        <v>78</v>
      </c>
      <c r="C495" s="95" t="s">
        <v>482</v>
      </c>
      <c r="D495" s="94" t="s">
        <v>403</v>
      </c>
      <c r="E495" s="104">
        <v>1.6111111111111109</v>
      </c>
      <c r="F495" s="94" t="s">
        <v>83</v>
      </c>
      <c r="G495" s="96">
        <v>9</v>
      </c>
      <c r="H495" s="97">
        <v>980</v>
      </c>
      <c r="I495" s="88"/>
    </row>
    <row r="496" spans="1:9" ht="19.8" customHeight="1" x14ac:dyDescent="0.3">
      <c r="A496" s="103">
        <v>45993</v>
      </c>
      <c r="B496" s="94" t="s">
        <v>66</v>
      </c>
      <c r="C496" s="95" t="s">
        <v>508</v>
      </c>
      <c r="D496" s="94" t="s">
        <v>403</v>
      </c>
      <c r="E496" s="104">
        <v>1.958333333333333</v>
      </c>
      <c r="F496" s="94" t="s">
        <v>68</v>
      </c>
      <c r="G496" s="96">
        <v>9</v>
      </c>
      <c r="H496" s="107" t="s">
        <v>489</v>
      </c>
      <c r="I496" s="88"/>
    </row>
    <row r="497" spans="1:9" ht="19.8" customHeight="1" x14ac:dyDescent="0.3">
      <c r="A497" s="103">
        <v>45993</v>
      </c>
      <c r="B497" s="94" t="s">
        <v>26</v>
      </c>
      <c r="C497" s="95" t="s">
        <v>451</v>
      </c>
      <c r="D497" s="94" t="s">
        <v>403</v>
      </c>
      <c r="E497" s="104">
        <v>1.1284722222222221</v>
      </c>
      <c r="F497" s="94" t="s">
        <v>34</v>
      </c>
      <c r="G497" s="96">
        <v>2</v>
      </c>
      <c r="H497" s="107" t="s">
        <v>35</v>
      </c>
      <c r="I497" s="88"/>
    </row>
    <row r="498" spans="1:9" ht="19.8" customHeight="1" x14ac:dyDescent="0.3">
      <c r="A498" s="103">
        <v>45993</v>
      </c>
      <c r="B498" s="94" t="s">
        <v>26</v>
      </c>
      <c r="C498" s="95" t="s">
        <v>453</v>
      </c>
      <c r="D498" s="94" t="s">
        <v>403</v>
      </c>
      <c r="E498" s="104">
        <v>1.302083333333333</v>
      </c>
      <c r="F498" s="94" t="s">
        <v>34</v>
      </c>
      <c r="G498" s="96">
        <v>6</v>
      </c>
      <c r="H498" s="107" t="s">
        <v>35</v>
      </c>
      <c r="I498" s="88"/>
    </row>
    <row r="499" spans="1:9" ht="19.8" customHeight="1" x14ac:dyDescent="0.3">
      <c r="A499" s="103">
        <v>45993</v>
      </c>
      <c r="B499" s="94" t="s">
        <v>26</v>
      </c>
      <c r="C499" s="95" t="s">
        <v>454</v>
      </c>
      <c r="D499" s="94" t="s">
        <v>403</v>
      </c>
      <c r="E499" s="104">
        <v>1.8888888888888891</v>
      </c>
      <c r="F499" s="94" t="s">
        <v>34</v>
      </c>
      <c r="G499" s="96">
        <v>8</v>
      </c>
      <c r="H499" s="107" t="s">
        <v>35</v>
      </c>
      <c r="I499" s="88"/>
    </row>
    <row r="500" spans="1:9" ht="19.8" customHeight="1" x14ac:dyDescent="0.3">
      <c r="A500" s="103">
        <v>45993</v>
      </c>
      <c r="B500" s="94" t="s">
        <v>26</v>
      </c>
      <c r="C500" s="95" t="s">
        <v>455</v>
      </c>
      <c r="D500" s="94" t="s">
        <v>403</v>
      </c>
      <c r="E500" s="104">
        <v>1.788194444444444</v>
      </c>
      <c r="F500" s="94" t="s">
        <v>34</v>
      </c>
      <c r="G500" s="96">
        <v>8</v>
      </c>
      <c r="H500" s="107" t="s">
        <v>35</v>
      </c>
      <c r="I500" s="88"/>
    </row>
    <row r="501" spans="1:9" ht="19.8" customHeight="1" x14ac:dyDescent="0.3">
      <c r="A501" s="103">
        <v>45993</v>
      </c>
      <c r="B501" s="94" t="s">
        <v>78</v>
      </c>
      <c r="C501" s="95" t="s">
        <v>473</v>
      </c>
      <c r="D501" s="94" t="s">
        <v>403</v>
      </c>
      <c r="E501" s="104">
        <v>1.8888888888888891</v>
      </c>
      <c r="F501" s="94" t="s">
        <v>83</v>
      </c>
      <c r="G501" s="96">
        <v>4</v>
      </c>
      <c r="H501" s="107" t="s">
        <v>535</v>
      </c>
      <c r="I501" s="88"/>
    </row>
    <row r="502" spans="1:9" ht="19.8" customHeight="1" x14ac:dyDescent="0.3">
      <c r="A502" s="103">
        <v>45993</v>
      </c>
      <c r="B502" s="94" t="s">
        <v>78</v>
      </c>
      <c r="C502" s="95" t="s">
        <v>476</v>
      </c>
      <c r="D502" s="94" t="s">
        <v>403</v>
      </c>
      <c r="E502" s="104">
        <v>1.1284722222222221</v>
      </c>
      <c r="F502" s="94" t="s">
        <v>83</v>
      </c>
      <c r="G502" s="96">
        <v>4</v>
      </c>
      <c r="H502" s="107" t="s">
        <v>535</v>
      </c>
      <c r="I502" s="88"/>
    </row>
    <row r="503" spans="1:9" ht="19.8" customHeight="1" x14ac:dyDescent="0.3">
      <c r="A503" s="103">
        <v>45993</v>
      </c>
      <c r="B503" s="94" t="s">
        <v>78</v>
      </c>
      <c r="C503" s="95" t="s">
        <v>480</v>
      </c>
      <c r="D503" s="94" t="s">
        <v>403</v>
      </c>
      <c r="E503" s="104">
        <v>1.788194444444444</v>
      </c>
      <c r="F503" s="94" t="s">
        <v>83</v>
      </c>
      <c r="G503" s="96">
        <v>4</v>
      </c>
      <c r="H503" s="107" t="s">
        <v>535</v>
      </c>
      <c r="I503" s="88"/>
    </row>
    <row r="504" spans="1:9" ht="19.8" customHeight="1" x14ac:dyDescent="0.3">
      <c r="A504" s="103">
        <v>45993</v>
      </c>
      <c r="B504" s="94" t="s">
        <v>66</v>
      </c>
      <c r="C504" s="95" t="s">
        <v>509</v>
      </c>
      <c r="D504" s="94" t="s">
        <v>403</v>
      </c>
      <c r="E504" s="104">
        <v>1.0138888888888891</v>
      </c>
      <c r="F504" s="94" t="s">
        <v>68</v>
      </c>
      <c r="G504" s="96">
        <v>9</v>
      </c>
      <c r="H504" s="107" t="s">
        <v>510</v>
      </c>
      <c r="I504" s="88"/>
    </row>
    <row r="505" spans="1:9" ht="19.8" customHeight="1" x14ac:dyDescent="0.3">
      <c r="A505" s="103">
        <v>45993</v>
      </c>
      <c r="B505" s="94" t="s">
        <v>78</v>
      </c>
      <c r="C505" s="95" t="s">
        <v>475</v>
      </c>
      <c r="D505" s="94" t="s">
        <v>403</v>
      </c>
      <c r="E505" s="104">
        <v>1.302083333333333</v>
      </c>
      <c r="F505" s="94" t="s">
        <v>83</v>
      </c>
      <c r="G505" s="96">
        <v>4</v>
      </c>
      <c r="H505" s="107" t="s">
        <v>474</v>
      </c>
      <c r="I505" s="88"/>
    </row>
    <row r="506" spans="1:9" ht="19.8" customHeight="1" x14ac:dyDescent="0.3">
      <c r="A506" s="113">
        <v>45993</v>
      </c>
      <c r="B506" s="114" t="s">
        <v>66</v>
      </c>
      <c r="C506" s="115" t="s">
        <v>492</v>
      </c>
      <c r="D506" s="114" t="s">
        <v>403</v>
      </c>
      <c r="E506" s="116">
        <v>1.770833333333333</v>
      </c>
      <c r="F506" s="114" t="s">
        <v>68</v>
      </c>
      <c r="G506" s="117">
        <v>9</v>
      </c>
      <c r="H506" s="118" t="s">
        <v>594</v>
      </c>
      <c r="I506" s="88"/>
    </row>
    <row r="507" spans="1:9" ht="19.8" customHeight="1" x14ac:dyDescent="0.3">
      <c r="A507" s="103">
        <v>45994</v>
      </c>
      <c r="B507" s="94" t="s">
        <v>456</v>
      </c>
      <c r="C507" s="95" t="s">
        <v>500</v>
      </c>
      <c r="D507" s="94" t="s">
        <v>403</v>
      </c>
      <c r="E507" s="104">
        <v>1.3923611111111109</v>
      </c>
      <c r="F507" s="94" t="s">
        <v>458</v>
      </c>
      <c r="G507" s="96">
        <v>9</v>
      </c>
      <c r="H507" s="97">
        <v>368</v>
      </c>
      <c r="I507" s="88"/>
    </row>
    <row r="508" spans="1:9" ht="19.8" customHeight="1" x14ac:dyDescent="0.3">
      <c r="A508" s="103">
        <v>45994</v>
      </c>
      <c r="B508" s="94" t="s">
        <v>36</v>
      </c>
      <c r="C508" s="95" t="s">
        <v>443</v>
      </c>
      <c r="D508" s="94" t="s">
        <v>403</v>
      </c>
      <c r="E508" s="104">
        <v>1.302083333333333</v>
      </c>
      <c r="F508" s="94" t="s">
        <v>38</v>
      </c>
      <c r="G508" s="96">
        <v>2</v>
      </c>
      <c r="H508" s="97">
        <v>369</v>
      </c>
      <c r="I508" s="88"/>
    </row>
    <row r="509" spans="1:9" ht="19.8" customHeight="1" x14ac:dyDescent="0.3">
      <c r="A509" s="103">
        <v>45994</v>
      </c>
      <c r="B509" s="94" t="s">
        <v>26</v>
      </c>
      <c r="C509" s="95" t="s">
        <v>453</v>
      </c>
      <c r="D509" s="94" t="s">
        <v>403</v>
      </c>
      <c r="E509" s="104">
        <v>1.302083333333333</v>
      </c>
      <c r="F509" s="94" t="s">
        <v>28</v>
      </c>
      <c r="G509" s="96">
        <v>1</v>
      </c>
      <c r="H509" s="97">
        <v>389</v>
      </c>
      <c r="I509" s="88"/>
    </row>
    <row r="510" spans="1:9" ht="19.8" customHeight="1" x14ac:dyDescent="0.3">
      <c r="A510" s="103">
        <v>45994</v>
      </c>
      <c r="B510" s="94" t="s">
        <v>404</v>
      </c>
      <c r="C510" s="95" t="s">
        <v>405</v>
      </c>
      <c r="D510" s="94" t="s">
        <v>403</v>
      </c>
      <c r="E510" s="104">
        <v>1.538194444444444</v>
      </c>
      <c r="F510" s="94" t="s">
        <v>406</v>
      </c>
      <c r="G510" s="96">
        <v>5</v>
      </c>
      <c r="H510" s="97">
        <v>400</v>
      </c>
      <c r="I510" s="88"/>
    </row>
    <row r="511" spans="1:9" ht="19.8" customHeight="1" x14ac:dyDescent="0.3">
      <c r="A511" s="103">
        <v>45994</v>
      </c>
      <c r="B511" s="94" t="s">
        <v>410</v>
      </c>
      <c r="C511" s="95" t="s">
        <v>411</v>
      </c>
      <c r="D511" s="94" t="s">
        <v>403</v>
      </c>
      <c r="E511" s="104">
        <v>1.3715277777777779</v>
      </c>
      <c r="F511" s="94" t="s">
        <v>406</v>
      </c>
      <c r="G511" s="96">
        <v>4</v>
      </c>
      <c r="H511" s="97">
        <v>401</v>
      </c>
      <c r="I511" s="88"/>
    </row>
    <row r="512" spans="1:9" ht="19.8" customHeight="1" x14ac:dyDescent="0.3">
      <c r="A512" s="103">
        <v>45994</v>
      </c>
      <c r="B512" s="94" t="s">
        <v>36</v>
      </c>
      <c r="C512" s="95" t="s">
        <v>438</v>
      </c>
      <c r="D512" s="94" t="s">
        <v>403</v>
      </c>
      <c r="E512" s="104">
        <v>1.854166666666667</v>
      </c>
      <c r="F512" s="94" t="s">
        <v>38</v>
      </c>
      <c r="G512" s="96">
        <v>3</v>
      </c>
      <c r="H512" s="97">
        <v>409</v>
      </c>
      <c r="I512" s="88"/>
    </row>
    <row r="513" spans="1:9" ht="19.8" customHeight="1" x14ac:dyDescent="0.3">
      <c r="A513" s="103">
        <v>45994</v>
      </c>
      <c r="B513" s="94" t="s">
        <v>36</v>
      </c>
      <c r="C513" s="95" t="s">
        <v>442</v>
      </c>
      <c r="D513" s="94" t="s">
        <v>403</v>
      </c>
      <c r="E513" s="104">
        <v>1.256944444444444</v>
      </c>
      <c r="F513" s="94" t="s">
        <v>38</v>
      </c>
      <c r="G513" s="96">
        <v>1</v>
      </c>
      <c r="H513" s="97">
        <v>409</v>
      </c>
      <c r="I513" s="88"/>
    </row>
    <row r="514" spans="1:9" ht="19.8" customHeight="1" x14ac:dyDescent="0.3">
      <c r="A514" s="103">
        <v>45994</v>
      </c>
      <c r="B514" s="94" t="s">
        <v>36</v>
      </c>
      <c r="C514" s="95" t="s">
        <v>444</v>
      </c>
      <c r="D514" s="94" t="s">
        <v>403</v>
      </c>
      <c r="E514" s="104">
        <v>1.5173611111111109</v>
      </c>
      <c r="F514" s="94" t="s">
        <v>38</v>
      </c>
      <c r="G514" s="96">
        <v>7</v>
      </c>
      <c r="H514" s="97">
        <v>409</v>
      </c>
      <c r="I514" s="88"/>
    </row>
    <row r="515" spans="1:9" ht="19.8" customHeight="1" x14ac:dyDescent="0.3">
      <c r="A515" s="103">
        <v>45994</v>
      </c>
      <c r="B515" s="94" t="s">
        <v>36</v>
      </c>
      <c r="C515" s="95" t="s">
        <v>435</v>
      </c>
      <c r="D515" s="94" t="s">
        <v>403</v>
      </c>
      <c r="E515" s="104">
        <v>1.9027777777777779</v>
      </c>
      <c r="F515" s="94" t="s">
        <v>38</v>
      </c>
      <c r="G515" s="96">
        <v>3</v>
      </c>
      <c r="H515" s="97">
        <v>409</v>
      </c>
      <c r="I515" s="88"/>
    </row>
    <row r="516" spans="1:9" ht="19.8" customHeight="1" x14ac:dyDescent="0.3">
      <c r="A516" s="103">
        <v>45994</v>
      </c>
      <c r="B516" s="94" t="s">
        <v>36</v>
      </c>
      <c r="C516" s="95" t="s">
        <v>445</v>
      </c>
      <c r="D516" s="94" t="s">
        <v>403</v>
      </c>
      <c r="E516" s="104">
        <v>1.7986111111111109</v>
      </c>
      <c r="F516" s="94" t="s">
        <v>38</v>
      </c>
      <c r="G516" s="96">
        <v>1</v>
      </c>
      <c r="H516" s="97">
        <v>409</v>
      </c>
      <c r="I516" s="88"/>
    </row>
    <row r="517" spans="1:9" ht="19.8" customHeight="1" x14ac:dyDescent="0.3">
      <c r="A517" s="103">
        <v>45994</v>
      </c>
      <c r="B517" s="94" t="s">
        <v>36</v>
      </c>
      <c r="C517" s="95" t="s">
        <v>447</v>
      </c>
      <c r="D517" s="94" t="s">
        <v>403</v>
      </c>
      <c r="E517" s="104">
        <v>1.395833333333333</v>
      </c>
      <c r="F517" s="94" t="s">
        <v>38</v>
      </c>
      <c r="G517" s="96">
        <v>2</v>
      </c>
      <c r="H517" s="97">
        <v>409</v>
      </c>
      <c r="I517" s="88"/>
    </row>
    <row r="518" spans="1:9" ht="19.8" customHeight="1" x14ac:dyDescent="0.3">
      <c r="A518" s="103">
        <v>45994</v>
      </c>
      <c r="B518" s="94" t="s">
        <v>26</v>
      </c>
      <c r="C518" s="95" t="s">
        <v>451</v>
      </c>
      <c r="D518" s="94" t="s">
        <v>403</v>
      </c>
      <c r="E518" s="104">
        <v>1.1284722222222221</v>
      </c>
      <c r="F518" s="94" t="s">
        <v>28</v>
      </c>
      <c r="G518" s="96">
        <v>10</v>
      </c>
      <c r="H518" s="97">
        <v>419</v>
      </c>
      <c r="I518" s="88"/>
    </row>
    <row r="519" spans="1:9" ht="19.8" customHeight="1" x14ac:dyDescent="0.3">
      <c r="A519" s="103">
        <v>45994</v>
      </c>
      <c r="B519" s="94" t="s">
        <v>36</v>
      </c>
      <c r="C519" s="95" t="s">
        <v>446</v>
      </c>
      <c r="D519" s="94" t="s">
        <v>403</v>
      </c>
      <c r="E519" s="104">
        <v>1.645833333333333</v>
      </c>
      <c r="F519" s="94" t="s">
        <v>38</v>
      </c>
      <c r="G519" s="96">
        <v>5</v>
      </c>
      <c r="H519" s="97">
        <v>449</v>
      </c>
      <c r="I519" s="88"/>
    </row>
    <row r="520" spans="1:9" ht="19.8" customHeight="1" x14ac:dyDescent="0.3">
      <c r="A520" s="103">
        <v>45994</v>
      </c>
      <c r="B520" s="94" t="s">
        <v>26</v>
      </c>
      <c r="C520" s="95" t="s">
        <v>454</v>
      </c>
      <c r="D520" s="94" t="s">
        <v>403</v>
      </c>
      <c r="E520" s="104">
        <v>1.8888888888888891</v>
      </c>
      <c r="F520" s="94" t="s">
        <v>28</v>
      </c>
      <c r="G520" s="96">
        <v>12</v>
      </c>
      <c r="H520" s="97">
        <v>459</v>
      </c>
      <c r="I520" s="88"/>
    </row>
    <row r="521" spans="1:9" ht="19.8" customHeight="1" x14ac:dyDescent="0.3">
      <c r="A521" s="103">
        <v>45994</v>
      </c>
      <c r="B521" s="94" t="s">
        <v>26</v>
      </c>
      <c r="C521" s="95" t="s">
        <v>455</v>
      </c>
      <c r="D521" s="94" t="s">
        <v>403</v>
      </c>
      <c r="E521" s="104">
        <v>1.788194444444444</v>
      </c>
      <c r="F521" s="94" t="s">
        <v>28</v>
      </c>
      <c r="G521" s="96">
        <v>13</v>
      </c>
      <c r="H521" s="97">
        <v>459</v>
      </c>
      <c r="I521" s="88"/>
    </row>
    <row r="522" spans="1:9" ht="19.8" customHeight="1" x14ac:dyDescent="0.3">
      <c r="A522" s="103">
        <v>45994</v>
      </c>
      <c r="B522" s="94" t="s">
        <v>36</v>
      </c>
      <c r="C522" s="95" t="s">
        <v>443</v>
      </c>
      <c r="D522" s="94" t="s">
        <v>403</v>
      </c>
      <c r="E522" s="104">
        <v>1.302083333333333</v>
      </c>
      <c r="F522" s="94" t="s">
        <v>40</v>
      </c>
      <c r="G522" s="96">
        <v>2</v>
      </c>
      <c r="H522" s="97">
        <v>469</v>
      </c>
      <c r="I522" s="88"/>
    </row>
    <row r="523" spans="1:9" ht="19.8" customHeight="1" x14ac:dyDescent="0.3">
      <c r="A523" s="105">
        <v>45994</v>
      </c>
      <c r="B523" s="99" t="s">
        <v>44</v>
      </c>
      <c r="C523" s="100" t="s">
        <v>415</v>
      </c>
      <c r="D523" s="99" t="s">
        <v>403</v>
      </c>
      <c r="E523" s="106">
        <v>1.5173611111111109</v>
      </c>
      <c r="F523" s="99" t="s">
        <v>46</v>
      </c>
      <c r="G523" s="101">
        <v>6</v>
      </c>
      <c r="H523" s="102">
        <v>471</v>
      </c>
      <c r="I523" s="88"/>
    </row>
    <row r="524" spans="1:9" ht="19.8" customHeight="1" x14ac:dyDescent="0.3">
      <c r="A524" s="103">
        <v>45994</v>
      </c>
      <c r="B524" s="94" t="s">
        <v>456</v>
      </c>
      <c r="C524" s="95" t="s">
        <v>500</v>
      </c>
      <c r="D524" s="94" t="s">
        <v>403</v>
      </c>
      <c r="E524" s="104">
        <v>1.3923611111111109</v>
      </c>
      <c r="F524" s="94" t="s">
        <v>34</v>
      </c>
      <c r="G524" s="96">
        <v>9</v>
      </c>
      <c r="H524" s="97">
        <v>492</v>
      </c>
      <c r="I524" s="88"/>
    </row>
    <row r="525" spans="1:9" ht="19.8" customHeight="1" x14ac:dyDescent="0.3">
      <c r="A525" s="103">
        <v>45994</v>
      </c>
      <c r="B525" s="94" t="s">
        <v>36</v>
      </c>
      <c r="C525" s="95" t="s">
        <v>438</v>
      </c>
      <c r="D525" s="94" t="s">
        <v>403</v>
      </c>
      <c r="E525" s="104">
        <v>1.854166666666667</v>
      </c>
      <c r="F525" s="94" t="s">
        <v>40</v>
      </c>
      <c r="G525" s="96">
        <v>3</v>
      </c>
      <c r="H525" s="97">
        <v>509</v>
      </c>
      <c r="I525" s="88"/>
    </row>
    <row r="526" spans="1:9" ht="19.8" customHeight="1" x14ac:dyDescent="0.3">
      <c r="A526" s="103">
        <v>45994</v>
      </c>
      <c r="B526" s="94" t="s">
        <v>36</v>
      </c>
      <c r="C526" s="95" t="s">
        <v>442</v>
      </c>
      <c r="D526" s="94" t="s">
        <v>403</v>
      </c>
      <c r="E526" s="104">
        <v>1.256944444444444</v>
      </c>
      <c r="F526" s="94" t="s">
        <v>40</v>
      </c>
      <c r="G526" s="96">
        <v>1</v>
      </c>
      <c r="H526" s="97">
        <v>509</v>
      </c>
      <c r="I526" s="88"/>
    </row>
    <row r="527" spans="1:9" ht="19.8" customHeight="1" x14ac:dyDescent="0.3">
      <c r="A527" s="103">
        <v>45994</v>
      </c>
      <c r="B527" s="94" t="s">
        <v>36</v>
      </c>
      <c r="C527" s="95" t="s">
        <v>444</v>
      </c>
      <c r="D527" s="94" t="s">
        <v>403</v>
      </c>
      <c r="E527" s="104">
        <v>1.5173611111111109</v>
      </c>
      <c r="F527" s="94" t="s">
        <v>40</v>
      </c>
      <c r="G527" s="96">
        <v>7</v>
      </c>
      <c r="H527" s="97">
        <v>509</v>
      </c>
      <c r="I527" s="88"/>
    </row>
    <row r="528" spans="1:9" ht="19.8" customHeight="1" x14ac:dyDescent="0.3">
      <c r="A528" s="103">
        <v>45994</v>
      </c>
      <c r="B528" s="94" t="s">
        <v>36</v>
      </c>
      <c r="C528" s="95" t="s">
        <v>435</v>
      </c>
      <c r="D528" s="94" t="s">
        <v>403</v>
      </c>
      <c r="E528" s="104">
        <v>1.9027777777777779</v>
      </c>
      <c r="F528" s="94" t="s">
        <v>40</v>
      </c>
      <c r="G528" s="96">
        <v>3</v>
      </c>
      <c r="H528" s="97">
        <v>509</v>
      </c>
      <c r="I528" s="88"/>
    </row>
    <row r="529" spans="1:9" ht="19.8" customHeight="1" x14ac:dyDescent="0.3">
      <c r="A529" s="103">
        <v>45994</v>
      </c>
      <c r="B529" s="94" t="s">
        <v>36</v>
      </c>
      <c r="C529" s="95" t="s">
        <v>445</v>
      </c>
      <c r="D529" s="94" t="s">
        <v>403</v>
      </c>
      <c r="E529" s="104">
        <v>1.7986111111111109</v>
      </c>
      <c r="F529" s="94" t="s">
        <v>40</v>
      </c>
      <c r="G529" s="96">
        <v>1</v>
      </c>
      <c r="H529" s="97">
        <v>509</v>
      </c>
      <c r="I529" s="88"/>
    </row>
    <row r="530" spans="1:9" ht="19.8" customHeight="1" x14ac:dyDescent="0.3">
      <c r="A530" s="103">
        <v>45994</v>
      </c>
      <c r="B530" s="94" t="s">
        <v>36</v>
      </c>
      <c r="C530" s="95" t="s">
        <v>447</v>
      </c>
      <c r="D530" s="94" t="s">
        <v>403</v>
      </c>
      <c r="E530" s="104">
        <v>1.395833333333333</v>
      </c>
      <c r="F530" s="94" t="s">
        <v>40</v>
      </c>
      <c r="G530" s="96">
        <v>2</v>
      </c>
      <c r="H530" s="97">
        <v>509</v>
      </c>
      <c r="I530" s="88"/>
    </row>
    <row r="531" spans="1:9" ht="19.8" customHeight="1" x14ac:dyDescent="0.3">
      <c r="A531" s="105">
        <v>45994</v>
      </c>
      <c r="B531" s="99" t="s">
        <v>44</v>
      </c>
      <c r="C531" s="100" t="s">
        <v>425</v>
      </c>
      <c r="D531" s="99" t="s">
        <v>403</v>
      </c>
      <c r="E531" s="106">
        <v>1.614583333333333</v>
      </c>
      <c r="F531" s="99" t="s">
        <v>46</v>
      </c>
      <c r="G531" s="101">
        <v>9</v>
      </c>
      <c r="H531" s="102">
        <v>526</v>
      </c>
      <c r="I531" s="88"/>
    </row>
    <row r="532" spans="1:9" ht="19.8" customHeight="1" x14ac:dyDescent="0.3">
      <c r="A532" s="103">
        <v>45994</v>
      </c>
      <c r="B532" s="94" t="s">
        <v>26</v>
      </c>
      <c r="C532" s="95" t="s">
        <v>453</v>
      </c>
      <c r="D532" s="94" t="s">
        <v>403</v>
      </c>
      <c r="E532" s="104">
        <v>1.302083333333333</v>
      </c>
      <c r="F532" s="94" t="s">
        <v>31</v>
      </c>
      <c r="G532" s="96">
        <v>1</v>
      </c>
      <c r="H532" s="97">
        <v>539</v>
      </c>
      <c r="I532" s="88"/>
    </row>
    <row r="533" spans="1:9" ht="19.8" customHeight="1" x14ac:dyDescent="0.3">
      <c r="A533" s="103">
        <v>45994</v>
      </c>
      <c r="B533" s="94" t="s">
        <v>36</v>
      </c>
      <c r="C533" s="95" t="s">
        <v>446</v>
      </c>
      <c r="D533" s="94" t="s">
        <v>403</v>
      </c>
      <c r="E533" s="104">
        <v>1.645833333333333</v>
      </c>
      <c r="F533" s="94" t="s">
        <v>40</v>
      </c>
      <c r="G533" s="96">
        <v>5</v>
      </c>
      <c r="H533" s="97">
        <v>549</v>
      </c>
      <c r="I533" s="88"/>
    </row>
    <row r="534" spans="1:9" ht="19.8" customHeight="1" x14ac:dyDescent="0.3">
      <c r="A534" s="103">
        <v>45994</v>
      </c>
      <c r="B534" s="94" t="s">
        <v>36</v>
      </c>
      <c r="C534" s="95" t="s">
        <v>443</v>
      </c>
      <c r="D534" s="94" t="s">
        <v>403</v>
      </c>
      <c r="E534" s="104">
        <v>1.302083333333333</v>
      </c>
      <c r="F534" s="94" t="s">
        <v>42</v>
      </c>
      <c r="G534" s="96">
        <v>2</v>
      </c>
      <c r="H534" s="97">
        <v>559</v>
      </c>
      <c r="I534" s="88"/>
    </row>
    <row r="535" spans="1:9" ht="19.8" customHeight="1" x14ac:dyDescent="0.3">
      <c r="A535" s="103">
        <v>45994</v>
      </c>
      <c r="B535" s="94" t="s">
        <v>26</v>
      </c>
      <c r="C535" s="95" t="s">
        <v>451</v>
      </c>
      <c r="D535" s="94" t="s">
        <v>403</v>
      </c>
      <c r="E535" s="104">
        <v>1.1284722222222221</v>
      </c>
      <c r="F535" s="94" t="s">
        <v>31</v>
      </c>
      <c r="G535" s="96">
        <v>10</v>
      </c>
      <c r="H535" s="97">
        <v>569</v>
      </c>
      <c r="I535" s="88"/>
    </row>
    <row r="536" spans="1:9" ht="19.8" customHeight="1" x14ac:dyDescent="0.3">
      <c r="A536" s="103">
        <v>45994</v>
      </c>
      <c r="B536" s="94" t="s">
        <v>78</v>
      </c>
      <c r="C536" s="95" t="s">
        <v>469</v>
      </c>
      <c r="D536" s="94" t="s">
        <v>403</v>
      </c>
      <c r="E536" s="104">
        <v>1.3784722222222221</v>
      </c>
      <c r="F536" s="94" t="s">
        <v>80</v>
      </c>
      <c r="G536" s="96">
        <v>9</v>
      </c>
      <c r="H536" s="97">
        <v>574</v>
      </c>
      <c r="I536" s="88"/>
    </row>
    <row r="537" spans="1:9" ht="19.8" customHeight="1" x14ac:dyDescent="0.3">
      <c r="A537" s="103">
        <v>45994</v>
      </c>
      <c r="B537" s="94" t="s">
        <v>36</v>
      </c>
      <c r="C537" s="95" t="s">
        <v>438</v>
      </c>
      <c r="D537" s="94" t="s">
        <v>403</v>
      </c>
      <c r="E537" s="104">
        <v>1.854166666666667</v>
      </c>
      <c r="F537" s="94" t="s">
        <v>42</v>
      </c>
      <c r="G537" s="96">
        <v>3</v>
      </c>
      <c r="H537" s="97">
        <v>599</v>
      </c>
      <c r="I537" s="88"/>
    </row>
    <row r="538" spans="1:9" ht="19.8" customHeight="1" x14ac:dyDescent="0.3">
      <c r="A538" s="103">
        <v>45994</v>
      </c>
      <c r="B538" s="94" t="s">
        <v>36</v>
      </c>
      <c r="C538" s="95" t="s">
        <v>442</v>
      </c>
      <c r="D538" s="94" t="s">
        <v>403</v>
      </c>
      <c r="E538" s="104">
        <v>1.256944444444444</v>
      </c>
      <c r="F538" s="94" t="s">
        <v>42</v>
      </c>
      <c r="G538" s="96">
        <v>1</v>
      </c>
      <c r="H538" s="97">
        <v>599</v>
      </c>
      <c r="I538" s="88"/>
    </row>
    <row r="539" spans="1:9" ht="19.8" customHeight="1" x14ac:dyDescent="0.3">
      <c r="A539" s="103">
        <v>45994</v>
      </c>
      <c r="B539" s="94" t="s">
        <v>36</v>
      </c>
      <c r="C539" s="95" t="s">
        <v>444</v>
      </c>
      <c r="D539" s="94" t="s">
        <v>403</v>
      </c>
      <c r="E539" s="104">
        <v>1.5173611111111109</v>
      </c>
      <c r="F539" s="94" t="s">
        <v>42</v>
      </c>
      <c r="G539" s="96">
        <v>7</v>
      </c>
      <c r="H539" s="97">
        <v>599</v>
      </c>
      <c r="I539" s="88"/>
    </row>
    <row r="540" spans="1:9" ht="19.8" customHeight="1" x14ac:dyDescent="0.3">
      <c r="A540" s="103">
        <v>45994</v>
      </c>
      <c r="B540" s="94" t="s">
        <v>36</v>
      </c>
      <c r="C540" s="95" t="s">
        <v>435</v>
      </c>
      <c r="D540" s="94" t="s">
        <v>403</v>
      </c>
      <c r="E540" s="104">
        <v>1.9027777777777779</v>
      </c>
      <c r="F540" s="94" t="s">
        <v>42</v>
      </c>
      <c r="G540" s="96">
        <v>3</v>
      </c>
      <c r="H540" s="97">
        <v>599</v>
      </c>
      <c r="I540" s="88"/>
    </row>
    <row r="541" spans="1:9" ht="19.8" customHeight="1" x14ac:dyDescent="0.3">
      <c r="A541" s="103">
        <v>45994</v>
      </c>
      <c r="B541" s="94" t="s">
        <v>36</v>
      </c>
      <c r="C541" s="95" t="s">
        <v>445</v>
      </c>
      <c r="D541" s="94" t="s">
        <v>403</v>
      </c>
      <c r="E541" s="104">
        <v>1.7986111111111109</v>
      </c>
      <c r="F541" s="94" t="s">
        <v>42</v>
      </c>
      <c r="G541" s="96">
        <v>1</v>
      </c>
      <c r="H541" s="97">
        <v>599</v>
      </c>
      <c r="I541" s="88"/>
    </row>
    <row r="542" spans="1:9" ht="19.8" customHeight="1" x14ac:dyDescent="0.3">
      <c r="A542" s="103">
        <v>45994</v>
      </c>
      <c r="B542" s="94" t="s">
        <v>36</v>
      </c>
      <c r="C542" s="95" t="s">
        <v>447</v>
      </c>
      <c r="D542" s="94" t="s">
        <v>403</v>
      </c>
      <c r="E542" s="104">
        <v>1.395833333333333</v>
      </c>
      <c r="F542" s="94" t="s">
        <v>42</v>
      </c>
      <c r="G542" s="96">
        <v>2</v>
      </c>
      <c r="H542" s="97">
        <v>599</v>
      </c>
      <c r="I542" s="88"/>
    </row>
    <row r="543" spans="1:9" ht="19.8" customHeight="1" x14ac:dyDescent="0.3">
      <c r="A543" s="103">
        <v>45994</v>
      </c>
      <c r="B543" s="94" t="s">
        <v>410</v>
      </c>
      <c r="C543" s="95" t="s">
        <v>413</v>
      </c>
      <c r="D543" s="94" t="s">
        <v>403</v>
      </c>
      <c r="E543" s="104">
        <v>1.666666666666667</v>
      </c>
      <c r="F543" s="94" t="s">
        <v>406</v>
      </c>
      <c r="G543" s="96">
        <v>8</v>
      </c>
      <c r="H543" s="97">
        <v>599</v>
      </c>
      <c r="I543" s="88"/>
    </row>
    <row r="544" spans="1:9" ht="19.8" customHeight="1" x14ac:dyDescent="0.3">
      <c r="A544" s="103">
        <v>45994</v>
      </c>
      <c r="B544" s="94" t="s">
        <v>26</v>
      </c>
      <c r="C544" s="95" t="s">
        <v>454</v>
      </c>
      <c r="D544" s="94" t="s">
        <v>403</v>
      </c>
      <c r="E544" s="104">
        <v>1.8888888888888891</v>
      </c>
      <c r="F544" s="94" t="s">
        <v>31</v>
      </c>
      <c r="G544" s="96">
        <v>12</v>
      </c>
      <c r="H544" s="97">
        <v>609</v>
      </c>
      <c r="I544" s="88"/>
    </row>
    <row r="545" spans="1:9" ht="19.8" customHeight="1" x14ac:dyDescent="0.3">
      <c r="A545" s="103">
        <v>45994</v>
      </c>
      <c r="B545" s="94" t="s">
        <v>26</v>
      </c>
      <c r="C545" s="95" t="s">
        <v>455</v>
      </c>
      <c r="D545" s="94" t="s">
        <v>403</v>
      </c>
      <c r="E545" s="104">
        <v>1.788194444444444</v>
      </c>
      <c r="F545" s="94" t="s">
        <v>31</v>
      </c>
      <c r="G545" s="96">
        <v>13</v>
      </c>
      <c r="H545" s="97">
        <v>609</v>
      </c>
      <c r="I545" s="88"/>
    </row>
    <row r="546" spans="1:9" ht="19.8" customHeight="1" x14ac:dyDescent="0.3">
      <c r="A546" s="103">
        <v>45994</v>
      </c>
      <c r="B546" s="94" t="s">
        <v>66</v>
      </c>
      <c r="C546" s="95" t="s">
        <v>505</v>
      </c>
      <c r="D546" s="94" t="s">
        <v>403</v>
      </c>
      <c r="E546" s="104">
        <v>1.145833333333333</v>
      </c>
      <c r="F546" s="94" t="s">
        <v>68</v>
      </c>
      <c r="G546" s="96">
        <v>9</v>
      </c>
      <c r="H546" s="97">
        <v>615</v>
      </c>
      <c r="I546" s="88"/>
    </row>
    <row r="547" spans="1:9" ht="19.8" customHeight="1" x14ac:dyDescent="0.3">
      <c r="A547" s="103">
        <v>45994</v>
      </c>
      <c r="B547" s="94" t="s">
        <v>78</v>
      </c>
      <c r="C547" s="95" t="s">
        <v>469</v>
      </c>
      <c r="D547" s="94" t="s">
        <v>403</v>
      </c>
      <c r="E547" s="104">
        <v>1.3784722222222221</v>
      </c>
      <c r="F547" s="94" t="s">
        <v>83</v>
      </c>
      <c r="G547" s="96">
        <v>9</v>
      </c>
      <c r="H547" s="97">
        <v>619</v>
      </c>
      <c r="I547" s="88"/>
    </row>
    <row r="548" spans="1:9" ht="19.8" customHeight="1" x14ac:dyDescent="0.3">
      <c r="A548" s="103">
        <v>45994</v>
      </c>
      <c r="B548" s="94" t="s">
        <v>36</v>
      </c>
      <c r="C548" s="95" t="s">
        <v>446</v>
      </c>
      <c r="D548" s="94" t="s">
        <v>403</v>
      </c>
      <c r="E548" s="104">
        <v>1.645833333333333</v>
      </c>
      <c r="F548" s="94" t="s">
        <v>42</v>
      </c>
      <c r="G548" s="96">
        <v>5</v>
      </c>
      <c r="H548" s="97">
        <v>639</v>
      </c>
      <c r="I548" s="88"/>
    </row>
    <row r="549" spans="1:9" ht="19.8" customHeight="1" x14ac:dyDescent="0.3">
      <c r="A549" s="103">
        <v>45994</v>
      </c>
      <c r="B549" s="94" t="s">
        <v>66</v>
      </c>
      <c r="C549" s="95" t="s">
        <v>485</v>
      </c>
      <c r="D549" s="94" t="s">
        <v>403</v>
      </c>
      <c r="E549" s="104">
        <v>1.4861111111111109</v>
      </c>
      <c r="F549" s="94" t="s">
        <v>68</v>
      </c>
      <c r="G549" s="96">
        <v>9</v>
      </c>
      <c r="H549" s="97">
        <v>673</v>
      </c>
      <c r="I549" s="88"/>
    </row>
    <row r="550" spans="1:9" ht="19.8" customHeight="1" x14ac:dyDescent="0.3">
      <c r="A550" s="103">
        <v>45994</v>
      </c>
      <c r="B550" s="94" t="s">
        <v>78</v>
      </c>
      <c r="C550" s="95" t="s">
        <v>464</v>
      </c>
      <c r="D550" s="94" t="s">
        <v>403</v>
      </c>
      <c r="E550" s="104">
        <v>1.006944444444444</v>
      </c>
      <c r="F550" s="94" t="s">
        <v>80</v>
      </c>
      <c r="G550" s="96">
        <v>9</v>
      </c>
      <c r="H550" s="97">
        <v>678</v>
      </c>
      <c r="I550" s="88"/>
    </row>
    <row r="551" spans="1:9" ht="19.8" customHeight="1" x14ac:dyDescent="0.3">
      <c r="A551" s="103">
        <v>45994</v>
      </c>
      <c r="B551" s="94" t="s">
        <v>78</v>
      </c>
      <c r="C551" s="95" t="s">
        <v>467</v>
      </c>
      <c r="D551" s="94" t="s">
        <v>403</v>
      </c>
      <c r="E551" s="104">
        <v>1.1423611111111109</v>
      </c>
      <c r="F551" s="94" t="s">
        <v>80</v>
      </c>
      <c r="G551" s="96">
        <v>9</v>
      </c>
      <c r="H551" s="97">
        <v>678</v>
      </c>
      <c r="I551" s="88"/>
    </row>
    <row r="552" spans="1:9" ht="19.8" customHeight="1" x14ac:dyDescent="0.3">
      <c r="A552" s="103">
        <v>45994</v>
      </c>
      <c r="B552" s="94" t="s">
        <v>78</v>
      </c>
      <c r="C552" s="95" t="s">
        <v>461</v>
      </c>
      <c r="D552" s="94" t="s">
        <v>403</v>
      </c>
      <c r="E552" s="104">
        <v>1.239583333333333</v>
      </c>
      <c r="F552" s="94" t="s">
        <v>80</v>
      </c>
      <c r="G552" s="96">
        <v>9</v>
      </c>
      <c r="H552" s="97">
        <v>678</v>
      </c>
      <c r="I552" s="88"/>
    </row>
    <row r="553" spans="1:9" ht="19.8" customHeight="1" x14ac:dyDescent="0.3">
      <c r="A553" s="103">
        <v>45994</v>
      </c>
      <c r="B553" s="94" t="s">
        <v>78</v>
      </c>
      <c r="C553" s="95" t="s">
        <v>464</v>
      </c>
      <c r="D553" s="94" t="s">
        <v>403</v>
      </c>
      <c r="E553" s="104">
        <v>1.006944444444444</v>
      </c>
      <c r="F553" s="94" t="s">
        <v>83</v>
      </c>
      <c r="G553" s="96">
        <v>9</v>
      </c>
      <c r="H553" s="97">
        <v>723</v>
      </c>
      <c r="I553" s="88"/>
    </row>
    <row r="554" spans="1:9" ht="19.8" customHeight="1" x14ac:dyDescent="0.3">
      <c r="A554" s="103">
        <v>45994</v>
      </c>
      <c r="B554" s="94" t="s">
        <v>78</v>
      </c>
      <c r="C554" s="95" t="s">
        <v>467</v>
      </c>
      <c r="D554" s="94" t="s">
        <v>403</v>
      </c>
      <c r="E554" s="104">
        <v>1.1423611111111109</v>
      </c>
      <c r="F554" s="94" t="s">
        <v>83</v>
      </c>
      <c r="G554" s="96">
        <v>9</v>
      </c>
      <c r="H554" s="97">
        <v>723</v>
      </c>
      <c r="I554" s="88"/>
    </row>
    <row r="555" spans="1:9" ht="19.8" customHeight="1" x14ac:dyDescent="0.3">
      <c r="A555" s="103">
        <v>45994</v>
      </c>
      <c r="B555" s="94" t="s">
        <v>78</v>
      </c>
      <c r="C555" s="95" t="s">
        <v>461</v>
      </c>
      <c r="D555" s="94" t="s">
        <v>403</v>
      </c>
      <c r="E555" s="104">
        <v>1.239583333333333</v>
      </c>
      <c r="F555" s="94" t="s">
        <v>83</v>
      </c>
      <c r="G555" s="96">
        <v>9</v>
      </c>
      <c r="H555" s="97">
        <v>723</v>
      </c>
      <c r="I555" s="88"/>
    </row>
    <row r="556" spans="1:9" ht="19.8" customHeight="1" x14ac:dyDescent="0.3">
      <c r="A556" s="103">
        <v>45994</v>
      </c>
      <c r="B556" s="94" t="s">
        <v>404</v>
      </c>
      <c r="C556" s="95" t="s">
        <v>408</v>
      </c>
      <c r="D556" s="94" t="s">
        <v>403</v>
      </c>
      <c r="E556" s="104">
        <v>1.8611111111111109</v>
      </c>
      <c r="F556" s="94" t="s">
        <v>406</v>
      </c>
      <c r="G556" s="96">
        <v>4</v>
      </c>
      <c r="H556" s="97">
        <v>745</v>
      </c>
      <c r="I556" s="88"/>
    </row>
    <row r="557" spans="1:9" ht="19.8" customHeight="1" x14ac:dyDescent="0.3">
      <c r="A557" s="103">
        <v>45994</v>
      </c>
      <c r="B557" s="94" t="s">
        <v>66</v>
      </c>
      <c r="C557" s="95" t="s">
        <v>492</v>
      </c>
      <c r="D557" s="94" t="s">
        <v>403</v>
      </c>
      <c r="E557" s="104">
        <v>1.770833333333333</v>
      </c>
      <c r="F557" s="94" t="s">
        <v>68</v>
      </c>
      <c r="G557" s="96">
        <v>9</v>
      </c>
      <c r="H557" s="97">
        <v>765</v>
      </c>
      <c r="I557" s="88"/>
    </row>
    <row r="558" spans="1:9" ht="19.8" customHeight="1" x14ac:dyDescent="0.3">
      <c r="A558" s="103">
        <v>45994</v>
      </c>
      <c r="B558" s="94" t="s">
        <v>66</v>
      </c>
      <c r="C558" s="95" t="s">
        <v>509</v>
      </c>
      <c r="D558" s="94" t="s">
        <v>403</v>
      </c>
      <c r="E558" s="104">
        <v>1.0138888888888891</v>
      </c>
      <c r="F558" s="94" t="s">
        <v>68</v>
      </c>
      <c r="G558" s="96">
        <v>9</v>
      </c>
      <c r="H558" s="97">
        <v>765</v>
      </c>
      <c r="I558" s="88"/>
    </row>
    <row r="559" spans="1:9" ht="19.8" customHeight="1" x14ac:dyDescent="0.3">
      <c r="A559" s="103">
        <v>45994</v>
      </c>
      <c r="B559" s="94" t="s">
        <v>66</v>
      </c>
      <c r="C559" s="95" t="s">
        <v>487</v>
      </c>
      <c r="D559" s="94" t="s">
        <v>403</v>
      </c>
      <c r="E559" s="104">
        <v>1.5138888888888891</v>
      </c>
      <c r="F559" s="94" t="s">
        <v>68</v>
      </c>
      <c r="G559" s="96">
        <v>9</v>
      </c>
      <c r="H559" s="97">
        <v>765</v>
      </c>
      <c r="I559" s="88"/>
    </row>
    <row r="560" spans="1:9" ht="19.8" customHeight="1" x14ac:dyDescent="0.3">
      <c r="A560" s="103">
        <v>45994</v>
      </c>
      <c r="B560" s="94" t="s">
        <v>78</v>
      </c>
      <c r="C560" s="95" t="s">
        <v>482</v>
      </c>
      <c r="D560" s="94" t="s">
        <v>403</v>
      </c>
      <c r="E560" s="104">
        <v>1.6111111111111109</v>
      </c>
      <c r="F560" s="94" t="s">
        <v>80</v>
      </c>
      <c r="G560" s="96">
        <v>9</v>
      </c>
      <c r="H560" s="97">
        <v>935</v>
      </c>
      <c r="I560" s="88"/>
    </row>
    <row r="561" spans="1:9" ht="19.8" customHeight="1" x14ac:dyDescent="0.3">
      <c r="A561" s="103">
        <v>45994</v>
      </c>
      <c r="B561" s="94" t="s">
        <v>66</v>
      </c>
      <c r="C561" s="95" t="s">
        <v>508</v>
      </c>
      <c r="D561" s="94" t="s">
        <v>403</v>
      </c>
      <c r="E561" s="104">
        <v>1.958333333333333</v>
      </c>
      <c r="F561" s="94" t="s">
        <v>68</v>
      </c>
      <c r="G561" s="96">
        <v>9</v>
      </c>
      <c r="H561" s="97">
        <v>970</v>
      </c>
      <c r="I561" s="88"/>
    </row>
    <row r="562" spans="1:9" ht="19.8" customHeight="1" x14ac:dyDescent="0.3">
      <c r="A562" s="103">
        <v>45994</v>
      </c>
      <c r="B562" s="94" t="s">
        <v>78</v>
      </c>
      <c r="C562" s="95" t="s">
        <v>482</v>
      </c>
      <c r="D562" s="94" t="s">
        <v>403</v>
      </c>
      <c r="E562" s="104">
        <v>1.6111111111111109</v>
      </c>
      <c r="F562" s="94" t="s">
        <v>83</v>
      </c>
      <c r="G562" s="96">
        <v>9</v>
      </c>
      <c r="H562" s="97">
        <v>980</v>
      </c>
      <c r="I562" s="88"/>
    </row>
    <row r="563" spans="1:9" ht="19.8" customHeight="1" x14ac:dyDescent="0.3">
      <c r="A563" s="103">
        <v>45994</v>
      </c>
      <c r="B563" s="94" t="s">
        <v>66</v>
      </c>
      <c r="C563" s="95" t="s">
        <v>490</v>
      </c>
      <c r="D563" s="94" t="s">
        <v>403</v>
      </c>
      <c r="E563" s="104">
        <v>1.2777777777777779</v>
      </c>
      <c r="F563" s="94" t="s">
        <v>68</v>
      </c>
      <c r="G563" s="96">
        <v>9</v>
      </c>
      <c r="H563" s="107" t="s">
        <v>489</v>
      </c>
      <c r="I563" s="88"/>
    </row>
    <row r="564" spans="1:9" ht="19.8" customHeight="1" x14ac:dyDescent="0.3">
      <c r="A564" s="103">
        <v>45994</v>
      </c>
      <c r="B564" s="94" t="s">
        <v>26</v>
      </c>
      <c r="C564" s="95" t="s">
        <v>451</v>
      </c>
      <c r="D564" s="94" t="s">
        <v>403</v>
      </c>
      <c r="E564" s="104">
        <v>1.1284722222222221</v>
      </c>
      <c r="F564" s="94" t="s">
        <v>34</v>
      </c>
      <c r="G564" s="96">
        <v>10</v>
      </c>
      <c r="H564" s="107" t="s">
        <v>35</v>
      </c>
      <c r="I564" s="88"/>
    </row>
    <row r="565" spans="1:9" ht="19.8" customHeight="1" x14ac:dyDescent="0.3">
      <c r="A565" s="103">
        <v>45994</v>
      </c>
      <c r="B565" s="94" t="s">
        <v>26</v>
      </c>
      <c r="C565" s="95" t="s">
        <v>453</v>
      </c>
      <c r="D565" s="94" t="s">
        <v>403</v>
      </c>
      <c r="E565" s="104">
        <v>1.302083333333333</v>
      </c>
      <c r="F565" s="94" t="s">
        <v>34</v>
      </c>
      <c r="G565" s="96">
        <v>1</v>
      </c>
      <c r="H565" s="107" t="s">
        <v>35</v>
      </c>
      <c r="I565" s="88"/>
    </row>
    <row r="566" spans="1:9" ht="19.8" customHeight="1" x14ac:dyDescent="0.3">
      <c r="A566" s="103">
        <v>45994</v>
      </c>
      <c r="B566" s="94" t="s">
        <v>26</v>
      </c>
      <c r="C566" s="95" t="s">
        <v>454</v>
      </c>
      <c r="D566" s="94" t="s">
        <v>403</v>
      </c>
      <c r="E566" s="104">
        <v>1.8888888888888891</v>
      </c>
      <c r="F566" s="94" t="s">
        <v>34</v>
      </c>
      <c r="G566" s="96">
        <v>12</v>
      </c>
      <c r="H566" s="107" t="s">
        <v>35</v>
      </c>
      <c r="I566" s="88"/>
    </row>
    <row r="567" spans="1:9" ht="19.8" customHeight="1" x14ac:dyDescent="0.3">
      <c r="A567" s="103">
        <v>45994</v>
      </c>
      <c r="B567" s="94" t="s">
        <v>26</v>
      </c>
      <c r="C567" s="95" t="s">
        <v>455</v>
      </c>
      <c r="D567" s="94" t="s">
        <v>403</v>
      </c>
      <c r="E567" s="104">
        <v>1.788194444444444</v>
      </c>
      <c r="F567" s="94" t="s">
        <v>34</v>
      </c>
      <c r="G567" s="96">
        <v>13</v>
      </c>
      <c r="H567" s="107" t="s">
        <v>35</v>
      </c>
      <c r="I567" s="88"/>
    </row>
    <row r="568" spans="1:9" ht="19.8" customHeight="1" x14ac:dyDescent="0.3">
      <c r="A568" s="105">
        <v>45994</v>
      </c>
      <c r="B568" s="99" t="s">
        <v>44</v>
      </c>
      <c r="C568" s="100" t="s">
        <v>429</v>
      </c>
      <c r="D568" s="99" t="s">
        <v>403</v>
      </c>
      <c r="E568" s="106">
        <v>1.520833333333333</v>
      </c>
      <c r="F568" s="99" t="s">
        <v>46</v>
      </c>
      <c r="G568" s="101">
        <v>8</v>
      </c>
      <c r="H568" s="119" t="s">
        <v>603</v>
      </c>
      <c r="I568" s="88"/>
    </row>
    <row r="569" spans="1:9" ht="19.8" customHeight="1" x14ac:dyDescent="0.3">
      <c r="A569" s="103">
        <v>45994</v>
      </c>
      <c r="B569" s="94" t="s">
        <v>78</v>
      </c>
      <c r="C569" s="95" t="s">
        <v>468</v>
      </c>
      <c r="D569" s="94" t="s">
        <v>403</v>
      </c>
      <c r="E569" s="104">
        <v>1.930555555555556</v>
      </c>
      <c r="F569" s="94" t="s">
        <v>80</v>
      </c>
      <c r="G569" s="96">
        <v>9</v>
      </c>
      <c r="H569" s="107" t="s">
        <v>511</v>
      </c>
      <c r="I569" s="88"/>
    </row>
    <row r="570" spans="1:9" ht="19.8" customHeight="1" x14ac:dyDescent="0.3">
      <c r="A570" s="103">
        <v>45994</v>
      </c>
      <c r="B570" s="94" t="s">
        <v>78</v>
      </c>
      <c r="C570" s="95" t="s">
        <v>470</v>
      </c>
      <c r="D570" s="94" t="s">
        <v>403</v>
      </c>
      <c r="E570" s="104">
        <v>1.71875</v>
      </c>
      <c r="F570" s="94" t="s">
        <v>80</v>
      </c>
      <c r="G570" s="96">
        <v>9</v>
      </c>
      <c r="H570" s="107" t="s">
        <v>511</v>
      </c>
      <c r="I570" s="88"/>
    </row>
    <row r="571" spans="1:9" ht="19.8" customHeight="1" x14ac:dyDescent="0.3">
      <c r="A571" s="103">
        <v>45994</v>
      </c>
      <c r="B571" s="94" t="s">
        <v>78</v>
      </c>
      <c r="C571" s="95" t="s">
        <v>477</v>
      </c>
      <c r="D571" s="94" t="s">
        <v>403</v>
      </c>
      <c r="E571" s="104">
        <v>1.8298611111111109</v>
      </c>
      <c r="F571" s="94" t="s">
        <v>80</v>
      </c>
      <c r="G571" s="96">
        <v>9</v>
      </c>
      <c r="H571" s="107" t="s">
        <v>511</v>
      </c>
      <c r="I571" s="88"/>
    </row>
    <row r="572" spans="1:9" ht="19.8" customHeight="1" x14ac:dyDescent="0.3">
      <c r="A572" s="103">
        <v>45994</v>
      </c>
      <c r="B572" s="94" t="s">
        <v>78</v>
      </c>
      <c r="C572" s="95" t="s">
        <v>468</v>
      </c>
      <c r="D572" s="94" t="s">
        <v>403</v>
      </c>
      <c r="E572" s="104">
        <v>1.930555555555556</v>
      </c>
      <c r="F572" s="94" t="s">
        <v>83</v>
      </c>
      <c r="G572" s="96">
        <v>9</v>
      </c>
      <c r="H572" s="107" t="s">
        <v>512</v>
      </c>
      <c r="I572" s="88"/>
    </row>
    <row r="573" spans="1:9" ht="19.8" customHeight="1" x14ac:dyDescent="0.3">
      <c r="A573" s="103">
        <v>45994</v>
      </c>
      <c r="B573" s="94" t="s">
        <v>78</v>
      </c>
      <c r="C573" s="95" t="s">
        <v>470</v>
      </c>
      <c r="D573" s="94" t="s">
        <v>403</v>
      </c>
      <c r="E573" s="104">
        <v>1.71875</v>
      </c>
      <c r="F573" s="94" t="s">
        <v>83</v>
      </c>
      <c r="G573" s="96">
        <v>9</v>
      </c>
      <c r="H573" s="107" t="s">
        <v>512</v>
      </c>
      <c r="I573" s="88"/>
    </row>
    <row r="574" spans="1:9" ht="19.8" customHeight="1" x14ac:dyDescent="0.3">
      <c r="A574" s="103">
        <v>45994</v>
      </c>
      <c r="B574" s="94" t="s">
        <v>78</v>
      </c>
      <c r="C574" s="95" t="s">
        <v>477</v>
      </c>
      <c r="D574" s="94" t="s">
        <v>403</v>
      </c>
      <c r="E574" s="104">
        <v>1.8298611111111109</v>
      </c>
      <c r="F574" s="94" t="s">
        <v>83</v>
      </c>
      <c r="G574" s="96">
        <v>9</v>
      </c>
      <c r="H574" s="107" t="s">
        <v>512</v>
      </c>
      <c r="I574" s="88"/>
    </row>
    <row r="575" spans="1:9" ht="19.8" customHeight="1" x14ac:dyDescent="0.3">
      <c r="A575" s="103">
        <v>45994</v>
      </c>
      <c r="B575" s="94" t="s">
        <v>78</v>
      </c>
      <c r="C575" s="95" t="s">
        <v>473</v>
      </c>
      <c r="D575" s="94" t="s">
        <v>403</v>
      </c>
      <c r="E575" s="104">
        <v>1.8888888888888891</v>
      </c>
      <c r="F575" s="94" t="s">
        <v>83</v>
      </c>
      <c r="G575" s="96">
        <v>4</v>
      </c>
      <c r="H575" s="107" t="s">
        <v>474</v>
      </c>
      <c r="I575" s="88"/>
    </row>
    <row r="576" spans="1:9" ht="19.8" customHeight="1" x14ac:dyDescent="0.3">
      <c r="A576" s="103">
        <v>45994</v>
      </c>
      <c r="B576" s="94" t="s">
        <v>78</v>
      </c>
      <c r="C576" s="95" t="s">
        <v>475</v>
      </c>
      <c r="D576" s="94" t="s">
        <v>403</v>
      </c>
      <c r="E576" s="104">
        <v>1.302083333333333</v>
      </c>
      <c r="F576" s="94" t="s">
        <v>83</v>
      </c>
      <c r="G576" s="96">
        <v>4</v>
      </c>
      <c r="H576" s="107" t="s">
        <v>474</v>
      </c>
      <c r="I576" s="88"/>
    </row>
    <row r="577" spans="1:9" ht="19.8" customHeight="1" x14ac:dyDescent="0.3">
      <c r="A577" s="103">
        <v>45994</v>
      </c>
      <c r="B577" s="94" t="s">
        <v>78</v>
      </c>
      <c r="C577" s="95" t="s">
        <v>476</v>
      </c>
      <c r="D577" s="94" t="s">
        <v>403</v>
      </c>
      <c r="E577" s="104">
        <v>1.1284722222222221</v>
      </c>
      <c r="F577" s="94" t="s">
        <v>83</v>
      </c>
      <c r="G577" s="96">
        <v>4</v>
      </c>
      <c r="H577" s="107" t="s">
        <v>474</v>
      </c>
      <c r="I577" s="88"/>
    </row>
    <row r="578" spans="1:9" ht="19.8" customHeight="1" x14ac:dyDescent="0.3">
      <c r="A578" s="113">
        <v>45994</v>
      </c>
      <c r="B578" s="114" t="s">
        <v>78</v>
      </c>
      <c r="C578" s="115" t="s">
        <v>480</v>
      </c>
      <c r="D578" s="114" t="s">
        <v>403</v>
      </c>
      <c r="E578" s="116">
        <v>1.788194444444444</v>
      </c>
      <c r="F578" s="114" t="s">
        <v>83</v>
      </c>
      <c r="G578" s="117">
        <v>4</v>
      </c>
      <c r="H578" s="118" t="s">
        <v>474</v>
      </c>
      <c r="I578" s="88"/>
    </row>
    <row r="579" spans="1:9" ht="19.8" customHeight="1" x14ac:dyDescent="0.3">
      <c r="A579" s="103">
        <v>45995</v>
      </c>
      <c r="B579" s="94" t="s">
        <v>404</v>
      </c>
      <c r="C579" s="95" t="s">
        <v>408</v>
      </c>
      <c r="D579" s="94" t="s">
        <v>403</v>
      </c>
      <c r="E579" s="104">
        <v>1.59375</v>
      </c>
      <c r="F579" s="94" t="s">
        <v>406</v>
      </c>
      <c r="G579" s="96">
        <v>6</v>
      </c>
      <c r="H579" s="97">
        <v>400</v>
      </c>
      <c r="I579" s="88"/>
    </row>
    <row r="580" spans="1:9" ht="19.8" customHeight="1" x14ac:dyDescent="0.3">
      <c r="A580" s="103">
        <v>45995</v>
      </c>
      <c r="B580" s="94" t="s">
        <v>404</v>
      </c>
      <c r="C580" s="95" t="s">
        <v>405</v>
      </c>
      <c r="D580" s="94" t="s">
        <v>403</v>
      </c>
      <c r="E580" s="104">
        <v>1.291666666666667</v>
      </c>
      <c r="F580" s="94" t="s">
        <v>406</v>
      </c>
      <c r="G580" s="96">
        <v>9</v>
      </c>
      <c r="H580" s="97">
        <v>400</v>
      </c>
      <c r="I580" s="88"/>
    </row>
    <row r="581" spans="1:9" ht="19.8" customHeight="1" x14ac:dyDescent="0.3">
      <c r="A581" s="105">
        <v>45995</v>
      </c>
      <c r="B581" s="99" t="s">
        <v>44</v>
      </c>
      <c r="C581" s="100" t="s">
        <v>517</v>
      </c>
      <c r="D581" s="99" t="s">
        <v>403</v>
      </c>
      <c r="E581" s="106">
        <v>1.2534722222222221</v>
      </c>
      <c r="F581" s="99" t="s">
        <v>46</v>
      </c>
      <c r="G581" s="101">
        <v>3</v>
      </c>
      <c r="H581" s="102">
        <v>401</v>
      </c>
      <c r="I581" s="88"/>
    </row>
    <row r="582" spans="1:9" ht="19.8" customHeight="1" x14ac:dyDescent="0.3">
      <c r="A582" s="105">
        <v>45995</v>
      </c>
      <c r="B582" s="99" t="s">
        <v>44</v>
      </c>
      <c r="C582" s="100" t="s">
        <v>415</v>
      </c>
      <c r="D582" s="99" t="s">
        <v>403</v>
      </c>
      <c r="E582" s="106">
        <v>1.333333333333333</v>
      </c>
      <c r="F582" s="99" t="s">
        <v>46</v>
      </c>
      <c r="G582" s="101">
        <v>5</v>
      </c>
      <c r="H582" s="102">
        <v>401</v>
      </c>
      <c r="I582" s="88"/>
    </row>
    <row r="583" spans="1:9" ht="19.8" customHeight="1" x14ac:dyDescent="0.3">
      <c r="A583" s="105">
        <v>45995</v>
      </c>
      <c r="B583" s="99" t="s">
        <v>44</v>
      </c>
      <c r="C583" s="100" t="s">
        <v>520</v>
      </c>
      <c r="D583" s="99" t="s">
        <v>403</v>
      </c>
      <c r="E583" s="106">
        <v>1.739583333333333</v>
      </c>
      <c r="F583" s="99" t="s">
        <v>46</v>
      </c>
      <c r="G583" s="101">
        <v>1</v>
      </c>
      <c r="H583" s="102">
        <v>436</v>
      </c>
      <c r="I583" s="88"/>
    </row>
    <row r="584" spans="1:9" ht="19.8" customHeight="1" x14ac:dyDescent="0.3">
      <c r="A584" s="105">
        <v>45995</v>
      </c>
      <c r="B584" s="99" t="s">
        <v>44</v>
      </c>
      <c r="C584" s="100" t="s">
        <v>523</v>
      </c>
      <c r="D584" s="99" t="s">
        <v>403</v>
      </c>
      <c r="E584" s="106">
        <v>1.364583333333333</v>
      </c>
      <c r="F584" s="99" t="s">
        <v>46</v>
      </c>
      <c r="G584" s="101">
        <v>9</v>
      </c>
      <c r="H584" s="102">
        <v>436</v>
      </c>
      <c r="I584" s="88"/>
    </row>
    <row r="585" spans="1:9" ht="19.8" customHeight="1" x14ac:dyDescent="0.3">
      <c r="A585" s="105">
        <v>45995</v>
      </c>
      <c r="B585" s="99" t="s">
        <v>44</v>
      </c>
      <c r="C585" s="100" t="s">
        <v>419</v>
      </c>
      <c r="D585" s="99" t="s">
        <v>403</v>
      </c>
      <c r="E585" s="106">
        <v>1.114583333333333</v>
      </c>
      <c r="F585" s="99" t="s">
        <v>46</v>
      </c>
      <c r="G585" s="101">
        <v>7</v>
      </c>
      <c r="H585" s="102">
        <v>436</v>
      </c>
      <c r="I585" s="88"/>
    </row>
    <row r="586" spans="1:9" ht="19.8" customHeight="1" x14ac:dyDescent="0.3">
      <c r="A586" s="105">
        <v>45995</v>
      </c>
      <c r="B586" s="99" t="s">
        <v>44</v>
      </c>
      <c r="C586" s="100" t="s">
        <v>422</v>
      </c>
      <c r="D586" s="99" t="s">
        <v>403</v>
      </c>
      <c r="E586" s="106">
        <v>1.0486111111111109</v>
      </c>
      <c r="F586" s="99" t="s">
        <v>46</v>
      </c>
      <c r="G586" s="101">
        <v>9</v>
      </c>
      <c r="H586" s="102">
        <v>436</v>
      </c>
      <c r="I586" s="88"/>
    </row>
    <row r="587" spans="1:9" ht="19.8" customHeight="1" x14ac:dyDescent="0.3">
      <c r="A587" s="103">
        <v>45995</v>
      </c>
      <c r="B587" s="94" t="s">
        <v>78</v>
      </c>
      <c r="C587" s="95" t="s">
        <v>461</v>
      </c>
      <c r="D587" s="94" t="s">
        <v>403</v>
      </c>
      <c r="E587" s="104">
        <v>1.243055555555556</v>
      </c>
      <c r="F587" s="94" t="s">
        <v>80</v>
      </c>
      <c r="G587" s="96">
        <v>7</v>
      </c>
      <c r="H587" s="97">
        <v>574</v>
      </c>
      <c r="I587" s="88"/>
    </row>
    <row r="588" spans="1:9" ht="19.8" customHeight="1" x14ac:dyDescent="0.3">
      <c r="A588" s="103">
        <v>45995</v>
      </c>
      <c r="B588" s="94" t="s">
        <v>410</v>
      </c>
      <c r="C588" s="95" t="s">
        <v>413</v>
      </c>
      <c r="D588" s="94" t="s">
        <v>403</v>
      </c>
      <c r="E588" s="104">
        <v>1.666666666666667</v>
      </c>
      <c r="F588" s="94" t="s">
        <v>406</v>
      </c>
      <c r="G588" s="96">
        <v>3</v>
      </c>
      <c r="H588" s="97">
        <v>599</v>
      </c>
      <c r="I588" s="88"/>
    </row>
    <row r="589" spans="1:9" ht="19.8" customHeight="1" x14ac:dyDescent="0.3">
      <c r="A589" s="103">
        <v>45995</v>
      </c>
      <c r="B589" s="94" t="s">
        <v>66</v>
      </c>
      <c r="C589" s="95" t="s">
        <v>488</v>
      </c>
      <c r="D589" s="94" t="s">
        <v>403</v>
      </c>
      <c r="E589" s="104">
        <v>1.229166666666667</v>
      </c>
      <c r="F589" s="94" t="s">
        <v>68</v>
      </c>
      <c r="G589" s="96">
        <v>9</v>
      </c>
      <c r="H589" s="97">
        <v>615</v>
      </c>
      <c r="I589" s="88"/>
    </row>
    <row r="590" spans="1:9" ht="19.8" customHeight="1" x14ac:dyDescent="0.3">
      <c r="A590" s="103">
        <v>45995</v>
      </c>
      <c r="B590" s="94" t="s">
        <v>78</v>
      </c>
      <c r="C590" s="95" t="s">
        <v>461</v>
      </c>
      <c r="D590" s="94" t="s">
        <v>403</v>
      </c>
      <c r="E590" s="104">
        <v>1.243055555555556</v>
      </c>
      <c r="F590" s="94" t="s">
        <v>83</v>
      </c>
      <c r="G590" s="96">
        <v>7</v>
      </c>
      <c r="H590" s="97">
        <v>619</v>
      </c>
      <c r="I590" s="88"/>
    </row>
    <row r="591" spans="1:9" ht="19.8" customHeight="1" x14ac:dyDescent="0.3">
      <c r="A591" s="105">
        <v>45995</v>
      </c>
      <c r="B591" s="99" t="s">
        <v>44</v>
      </c>
      <c r="C591" s="100" t="s">
        <v>425</v>
      </c>
      <c r="D591" s="99" t="s">
        <v>403</v>
      </c>
      <c r="E591" s="106">
        <v>1.583333333333333</v>
      </c>
      <c r="F591" s="99" t="s">
        <v>46</v>
      </c>
      <c r="G591" s="101">
        <v>7</v>
      </c>
      <c r="H591" s="102">
        <v>646</v>
      </c>
      <c r="I591" s="88"/>
    </row>
    <row r="592" spans="1:9" ht="19.8" customHeight="1" x14ac:dyDescent="0.3">
      <c r="A592" s="103">
        <v>45995</v>
      </c>
      <c r="B592" s="94" t="s">
        <v>78</v>
      </c>
      <c r="C592" s="95" t="s">
        <v>467</v>
      </c>
      <c r="D592" s="94" t="s">
        <v>403</v>
      </c>
      <c r="E592" s="104">
        <v>1.1423611111111109</v>
      </c>
      <c r="F592" s="94" t="s">
        <v>80</v>
      </c>
      <c r="G592" s="96">
        <v>9</v>
      </c>
      <c r="H592" s="97">
        <v>678</v>
      </c>
      <c r="I592" s="88"/>
    </row>
    <row r="593" spans="1:9" ht="19.8" customHeight="1" x14ac:dyDescent="0.3">
      <c r="A593" s="103">
        <v>45995</v>
      </c>
      <c r="B593" s="94" t="s">
        <v>78</v>
      </c>
      <c r="C593" s="95" t="s">
        <v>469</v>
      </c>
      <c r="D593" s="94" t="s">
        <v>403</v>
      </c>
      <c r="E593" s="104">
        <v>1.3784722222222221</v>
      </c>
      <c r="F593" s="94" t="s">
        <v>80</v>
      </c>
      <c r="G593" s="96">
        <v>9</v>
      </c>
      <c r="H593" s="97">
        <v>678</v>
      </c>
      <c r="I593" s="88"/>
    </row>
    <row r="594" spans="1:9" ht="19.8" customHeight="1" x14ac:dyDescent="0.3">
      <c r="A594" s="103">
        <v>45995</v>
      </c>
      <c r="B594" s="94" t="s">
        <v>78</v>
      </c>
      <c r="C594" s="95" t="s">
        <v>482</v>
      </c>
      <c r="D594" s="94" t="s">
        <v>403</v>
      </c>
      <c r="E594" s="104">
        <v>1.6111111111111109</v>
      </c>
      <c r="F594" s="94" t="s">
        <v>80</v>
      </c>
      <c r="G594" s="96">
        <v>9</v>
      </c>
      <c r="H594" s="97">
        <v>678</v>
      </c>
      <c r="I594" s="88"/>
    </row>
    <row r="595" spans="1:9" ht="19.8" customHeight="1" x14ac:dyDescent="0.3">
      <c r="A595" s="103">
        <v>45995</v>
      </c>
      <c r="B595" s="94" t="s">
        <v>78</v>
      </c>
      <c r="C595" s="95" t="s">
        <v>467</v>
      </c>
      <c r="D595" s="94" t="s">
        <v>403</v>
      </c>
      <c r="E595" s="104">
        <v>1.1423611111111109</v>
      </c>
      <c r="F595" s="94" t="s">
        <v>83</v>
      </c>
      <c r="G595" s="96">
        <v>9</v>
      </c>
      <c r="H595" s="97">
        <v>723</v>
      </c>
      <c r="I595" s="88"/>
    </row>
    <row r="596" spans="1:9" ht="19.8" customHeight="1" x14ac:dyDescent="0.3">
      <c r="A596" s="103">
        <v>45995</v>
      </c>
      <c r="B596" s="94" t="s">
        <v>78</v>
      </c>
      <c r="C596" s="95" t="s">
        <v>469</v>
      </c>
      <c r="D596" s="94" t="s">
        <v>403</v>
      </c>
      <c r="E596" s="104">
        <v>1.3784722222222221</v>
      </c>
      <c r="F596" s="94" t="s">
        <v>83</v>
      </c>
      <c r="G596" s="96">
        <v>9</v>
      </c>
      <c r="H596" s="97">
        <v>723</v>
      </c>
      <c r="I596" s="88"/>
    </row>
    <row r="597" spans="1:9" ht="19.8" customHeight="1" x14ac:dyDescent="0.3">
      <c r="A597" s="103">
        <v>45995</v>
      </c>
      <c r="B597" s="94" t="s">
        <v>78</v>
      </c>
      <c r="C597" s="95" t="s">
        <v>482</v>
      </c>
      <c r="D597" s="94" t="s">
        <v>403</v>
      </c>
      <c r="E597" s="104">
        <v>1.6111111111111109</v>
      </c>
      <c r="F597" s="94" t="s">
        <v>83</v>
      </c>
      <c r="G597" s="96">
        <v>9</v>
      </c>
      <c r="H597" s="97">
        <v>723</v>
      </c>
      <c r="I597" s="88"/>
    </row>
    <row r="598" spans="1:9" ht="19.8" customHeight="1" x14ac:dyDescent="0.3">
      <c r="A598" s="103">
        <v>45995</v>
      </c>
      <c r="B598" s="94" t="s">
        <v>66</v>
      </c>
      <c r="C598" s="95" t="s">
        <v>485</v>
      </c>
      <c r="D598" s="94" t="s">
        <v>403</v>
      </c>
      <c r="E598" s="104">
        <v>1.4861111111111109</v>
      </c>
      <c r="F598" s="94" t="s">
        <v>68</v>
      </c>
      <c r="G598" s="96">
        <v>9</v>
      </c>
      <c r="H598" s="97">
        <v>765</v>
      </c>
      <c r="I598" s="88"/>
    </row>
    <row r="599" spans="1:9" ht="19.8" customHeight="1" x14ac:dyDescent="0.3">
      <c r="A599" s="103">
        <v>45995</v>
      </c>
      <c r="B599" s="94" t="s">
        <v>66</v>
      </c>
      <c r="C599" s="95" t="s">
        <v>487</v>
      </c>
      <c r="D599" s="94" t="s">
        <v>403</v>
      </c>
      <c r="E599" s="104">
        <v>1.5138888888888891</v>
      </c>
      <c r="F599" s="94" t="s">
        <v>68</v>
      </c>
      <c r="G599" s="96">
        <v>9</v>
      </c>
      <c r="H599" s="97">
        <v>765</v>
      </c>
      <c r="I599" s="88"/>
    </row>
    <row r="600" spans="1:9" ht="19.8" customHeight="1" x14ac:dyDescent="0.3">
      <c r="A600" s="103">
        <v>45995</v>
      </c>
      <c r="B600" s="94" t="s">
        <v>78</v>
      </c>
      <c r="C600" s="95" t="s">
        <v>470</v>
      </c>
      <c r="D600" s="94" t="s">
        <v>403</v>
      </c>
      <c r="E600" s="104">
        <v>1.71875</v>
      </c>
      <c r="F600" s="94" t="s">
        <v>80</v>
      </c>
      <c r="G600" s="96">
        <v>9</v>
      </c>
      <c r="H600" s="97">
        <v>810</v>
      </c>
      <c r="I600" s="88"/>
    </row>
    <row r="601" spans="1:9" ht="19.8" customHeight="1" x14ac:dyDescent="0.3">
      <c r="A601" s="103">
        <v>45995</v>
      </c>
      <c r="B601" s="94" t="s">
        <v>78</v>
      </c>
      <c r="C601" s="95" t="s">
        <v>470</v>
      </c>
      <c r="D601" s="94" t="s">
        <v>403</v>
      </c>
      <c r="E601" s="104">
        <v>1.71875</v>
      </c>
      <c r="F601" s="94" t="s">
        <v>83</v>
      </c>
      <c r="G601" s="96">
        <v>9</v>
      </c>
      <c r="H601" s="97">
        <v>855</v>
      </c>
      <c r="I601" s="88"/>
    </row>
    <row r="602" spans="1:9" ht="19.8" customHeight="1" x14ac:dyDescent="0.3">
      <c r="A602" s="103">
        <v>45995</v>
      </c>
      <c r="B602" s="94" t="s">
        <v>78</v>
      </c>
      <c r="C602" s="95" t="s">
        <v>464</v>
      </c>
      <c r="D602" s="94" t="s">
        <v>403</v>
      </c>
      <c r="E602" s="104">
        <v>1.006944444444444</v>
      </c>
      <c r="F602" s="94" t="s">
        <v>80</v>
      </c>
      <c r="G602" s="96">
        <v>9</v>
      </c>
      <c r="H602" s="97">
        <v>935</v>
      </c>
      <c r="I602" s="88"/>
    </row>
    <row r="603" spans="1:9" ht="19.8" customHeight="1" x14ac:dyDescent="0.3">
      <c r="A603" s="103">
        <v>45995</v>
      </c>
      <c r="B603" s="94" t="s">
        <v>78</v>
      </c>
      <c r="C603" s="95" t="s">
        <v>468</v>
      </c>
      <c r="D603" s="94" t="s">
        <v>403</v>
      </c>
      <c r="E603" s="104">
        <v>1.930555555555556</v>
      </c>
      <c r="F603" s="94" t="s">
        <v>80</v>
      </c>
      <c r="G603" s="96">
        <v>9</v>
      </c>
      <c r="H603" s="97">
        <v>935</v>
      </c>
      <c r="I603" s="88"/>
    </row>
    <row r="604" spans="1:9" ht="19.8" customHeight="1" x14ac:dyDescent="0.3">
      <c r="A604" s="103">
        <v>45995</v>
      </c>
      <c r="B604" s="94" t="s">
        <v>78</v>
      </c>
      <c r="C604" s="95" t="s">
        <v>464</v>
      </c>
      <c r="D604" s="94" t="s">
        <v>403</v>
      </c>
      <c r="E604" s="104">
        <v>1.006944444444444</v>
      </c>
      <c r="F604" s="94" t="s">
        <v>83</v>
      </c>
      <c r="G604" s="96">
        <v>9</v>
      </c>
      <c r="H604" s="97">
        <v>980</v>
      </c>
      <c r="I604" s="88"/>
    </row>
    <row r="605" spans="1:9" ht="19.8" customHeight="1" x14ac:dyDescent="0.3">
      <c r="A605" s="103">
        <v>45995</v>
      </c>
      <c r="B605" s="94" t="s">
        <v>78</v>
      </c>
      <c r="C605" s="95" t="s">
        <v>468</v>
      </c>
      <c r="D605" s="94" t="s">
        <v>403</v>
      </c>
      <c r="E605" s="104">
        <v>1.930555555555556</v>
      </c>
      <c r="F605" s="94" t="s">
        <v>83</v>
      </c>
      <c r="G605" s="96">
        <v>9</v>
      </c>
      <c r="H605" s="97">
        <v>980</v>
      </c>
      <c r="I605" s="88"/>
    </row>
    <row r="606" spans="1:9" ht="19.8" customHeight="1" x14ac:dyDescent="0.3">
      <c r="A606" s="103">
        <v>45995</v>
      </c>
      <c r="B606" s="94" t="s">
        <v>78</v>
      </c>
      <c r="C606" s="95" t="s">
        <v>475</v>
      </c>
      <c r="D606" s="94" t="s">
        <v>403</v>
      </c>
      <c r="E606" s="104">
        <v>1.302083333333333</v>
      </c>
      <c r="F606" s="94" t="s">
        <v>83</v>
      </c>
      <c r="G606" s="96">
        <v>4</v>
      </c>
      <c r="H606" s="107" t="s">
        <v>535</v>
      </c>
      <c r="I606" s="88"/>
    </row>
    <row r="607" spans="1:9" ht="19.8" customHeight="1" x14ac:dyDescent="0.3">
      <c r="A607" s="103">
        <v>45995</v>
      </c>
      <c r="B607" s="94" t="s">
        <v>78</v>
      </c>
      <c r="C607" s="95" t="s">
        <v>476</v>
      </c>
      <c r="D607" s="94" t="s">
        <v>403</v>
      </c>
      <c r="E607" s="104">
        <v>1.1284722222222221</v>
      </c>
      <c r="F607" s="94" t="s">
        <v>83</v>
      </c>
      <c r="G607" s="96">
        <v>4</v>
      </c>
      <c r="H607" s="107" t="s">
        <v>535</v>
      </c>
      <c r="I607" s="88"/>
    </row>
    <row r="608" spans="1:9" ht="19.8" customHeight="1" x14ac:dyDescent="0.3">
      <c r="A608" s="103">
        <v>45995</v>
      </c>
      <c r="B608" s="94" t="s">
        <v>78</v>
      </c>
      <c r="C608" s="95" t="s">
        <v>473</v>
      </c>
      <c r="D608" s="94" t="s">
        <v>403</v>
      </c>
      <c r="E608" s="104">
        <v>1.8888888888888891</v>
      </c>
      <c r="F608" s="94" t="s">
        <v>83</v>
      </c>
      <c r="G608" s="96">
        <v>4</v>
      </c>
      <c r="H608" s="107" t="s">
        <v>474</v>
      </c>
      <c r="I608" s="88"/>
    </row>
    <row r="609" spans="1:9" ht="19.8" customHeight="1" x14ac:dyDescent="0.3">
      <c r="A609" s="103">
        <v>45995</v>
      </c>
      <c r="B609" s="94" t="s">
        <v>78</v>
      </c>
      <c r="C609" s="95" t="s">
        <v>480</v>
      </c>
      <c r="D609" s="94" t="s">
        <v>403</v>
      </c>
      <c r="E609" s="104">
        <v>1.788194444444444</v>
      </c>
      <c r="F609" s="94" t="s">
        <v>83</v>
      </c>
      <c r="G609" s="96">
        <v>4</v>
      </c>
      <c r="H609" s="107" t="s">
        <v>474</v>
      </c>
      <c r="I609" s="88"/>
    </row>
    <row r="610" spans="1:9" ht="19.8" customHeight="1" x14ac:dyDescent="0.3">
      <c r="A610" s="103">
        <v>45995</v>
      </c>
      <c r="B610" s="94" t="s">
        <v>66</v>
      </c>
      <c r="C610" s="95" t="s">
        <v>508</v>
      </c>
      <c r="D610" s="94" t="s">
        <v>403</v>
      </c>
      <c r="E610" s="104">
        <v>1.958333333333333</v>
      </c>
      <c r="F610" s="94" t="s">
        <v>68</v>
      </c>
      <c r="G610" s="96">
        <v>9</v>
      </c>
      <c r="H610" s="107" t="s">
        <v>491</v>
      </c>
      <c r="I610" s="88"/>
    </row>
    <row r="611" spans="1:9" ht="19.8" customHeight="1" x14ac:dyDescent="0.3">
      <c r="A611" s="103">
        <v>45995</v>
      </c>
      <c r="B611" s="94" t="s">
        <v>66</v>
      </c>
      <c r="C611" s="95" t="s">
        <v>509</v>
      </c>
      <c r="D611" s="94" t="s">
        <v>403</v>
      </c>
      <c r="E611" s="104">
        <v>1.0138888888888891</v>
      </c>
      <c r="F611" s="94" t="s">
        <v>68</v>
      </c>
      <c r="G611" s="96">
        <v>9</v>
      </c>
      <c r="H611" s="107" t="s">
        <v>491</v>
      </c>
      <c r="I611" s="88"/>
    </row>
    <row r="612" spans="1:9" ht="19.8" customHeight="1" x14ac:dyDescent="0.3">
      <c r="A612" s="103">
        <v>45995</v>
      </c>
      <c r="B612" s="94" t="s">
        <v>66</v>
      </c>
      <c r="C612" s="95" t="s">
        <v>505</v>
      </c>
      <c r="D612" s="94" t="s">
        <v>403</v>
      </c>
      <c r="E612" s="104">
        <v>1.145833333333333</v>
      </c>
      <c r="F612" s="94" t="s">
        <v>68</v>
      </c>
      <c r="G612" s="96">
        <v>9</v>
      </c>
      <c r="H612" s="107" t="s">
        <v>491</v>
      </c>
      <c r="I612" s="88"/>
    </row>
    <row r="613" spans="1:9" ht="19.8" customHeight="1" x14ac:dyDescent="0.3">
      <c r="A613" s="103">
        <v>45995</v>
      </c>
      <c r="B613" s="94" t="s">
        <v>78</v>
      </c>
      <c r="C613" s="95" t="s">
        <v>477</v>
      </c>
      <c r="D613" s="94" t="s">
        <v>403</v>
      </c>
      <c r="E613" s="104">
        <v>1.8298611111111109</v>
      </c>
      <c r="F613" s="94" t="s">
        <v>80</v>
      </c>
      <c r="G613" s="96">
        <v>9</v>
      </c>
      <c r="H613" s="107" t="s">
        <v>618</v>
      </c>
      <c r="I613" s="88"/>
    </row>
    <row r="614" spans="1:9" ht="19.8" customHeight="1" x14ac:dyDescent="0.3">
      <c r="A614" s="103">
        <v>45995</v>
      </c>
      <c r="B614" s="94" t="s">
        <v>78</v>
      </c>
      <c r="C614" s="95" t="s">
        <v>477</v>
      </c>
      <c r="D614" s="94" t="s">
        <v>403</v>
      </c>
      <c r="E614" s="104">
        <v>1.8298611111111109</v>
      </c>
      <c r="F614" s="94" t="s">
        <v>83</v>
      </c>
      <c r="G614" s="96">
        <v>9</v>
      </c>
      <c r="H614" s="107" t="s">
        <v>619</v>
      </c>
      <c r="I614" s="88"/>
    </row>
    <row r="615" spans="1:9" ht="19.8" customHeight="1" x14ac:dyDescent="0.3">
      <c r="A615" s="103">
        <v>45995</v>
      </c>
      <c r="B615" s="94" t="s">
        <v>66</v>
      </c>
      <c r="C615" s="95" t="s">
        <v>492</v>
      </c>
      <c r="D615" s="94" t="s">
        <v>403</v>
      </c>
      <c r="E615" s="104">
        <v>1.770833333333333</v>
      </c>
      <c r="F615" s="94" t="s">
        <v>68</v>
      </c>
      <c r="G615" s="96">
        <v>9</v>
      </c>
      <c r="H615" s="107" t="s">
        <v>493</v>
      </c>
      <c r="I615" s="88"/>
    </row>
    <row r="616" spans="1:9" ht="19.8" customHeight="1" x14ac:dyDescent="0.3">
      <c r="A616" s="113">
        <v>45995</v>
      </c>
      <c r="B616" s="114" t="s">
        <v>66</v>
      </c>
      <c r="C616" s="115" t="s">
        <v>490</v>
      </c>
      <c r="D616" s="114" t="s">
        <v>403</v>
      </c>
      <c r="E616" s="116">
        <v>1.2777777777777779</v>
      </c>
      <c r="F616" s="114" t="s">
        <v>68</v>
      </c>
      <c r="G616" s="117">
        <v>4</v>
      </c>
      <c r="H616" s="118" t="s">
        <v>493</v>
      </c>
      <c r="I616" s="88"/>
    </row>
    <row r="617" spans="1:9" ht="19.8" customHeight="1" x14ac:dyDescent="0.3">
      <c r="A617" s="103">
        <v>45996</v>
      </c>
      <c r="B617" s="94" t="s">
        <v>36</v>
      </c>
      <c r="C617" s="95" t="s">
        <v>442</v>
      </c>
      <c r="D617" s="94" t="s">
        <v>403</v>
      </c>
      <c r="E617" s="104">
        <v>1.256944444444444</v>
      </c>
      <c r="F617" s="94" t="s">
        <v>38</v>
      </c>
      <c r="G617" s="96">
        <v>8</v>
      </c>
      <c r="H617" s="97">
        <v>329</v>
      </c>
      <c r="I617" s="88"/>
    </row>
    <row r="618" spans="1:9" ht="19.8" customHeight="1" x14ac:dyDescent="0.3">
      <c r="A618" s="103">
        <v>45996</v>
      </c>
      <c r="B618" s="94" t="s">
        <v>456</v>
      </c>
      <c r="C618" s="95" t="s">
        <v>500</v>
      </c>
      <c r="D618" s="94" t="s">
        <v>403</v>
      </c>
      <c r="E618" s="104">
        <v>1.3923611111111109</v>
      </c>
      <c r="F618" s="94" t="s">
        <v>458</v>
      </c>
      <c r="G618" s="96">
        <v>9</v>
      </c>
      <c r="H618" s="97">
        <v>355</v>
      </c>
      <c r="I618" s="88"/>
    </row>
    <row r="619" spans="1:9" ht="19.8" customHeight="1" x14ac:dyDescent="0.3">
      <c r="A619" s="103">
        <v>45996</v>
      </c>
      <c r="B619" s="94" t="s">
        <v>456</v>
      </c>
      <c r="C619" s="95" t="s">
        <v>625</v>
      </c>
      <c r="D619" s="94" t="s">
        <v>403</v>
      </c>
      <c r="E619" s="104">
        <v>1.975694444444444</v>
      </c>
      <c r="F619" s="94" t="s">
        <v>458</v>
      </c>
      <c r="G619" s="96">
        <v>9</v>
      </c>
      <c r="H619" s="97">
        <v>355</v>
      </c>
      <c r="I619" s="88"/>
    </row>
    <row r="620" spans="1:9" ht="19.8" customHeight="1" x14ac:dyDescent="0.3">
      <c r="A620" s="103">
        <v>45996</v>
      </c>
      <c r="B620" s="94" t="s">
        <v>26</v>
      </c>
      <c r="C620" s="95" t="s">
        <v>451</v>
      </c>
      <c r="D620" s="94" t="s">
        <v>403</v>
      </c>
      <c r="E620" s="104">
        <v>1.1284722222222221</v>
      </c>
      <c r="F620" s="94" t="s">
        <v>28</v>
      </c>
      <c r="G620" s="96">
        <v>6</v>
      </c>
      <c r="H620" s="97">
        <v>359</v>
      </c>
      <c r="I620" s="88"/>
    </row>
    <row r="621" spans="1:9" ht="19.8" customHeight="1" x14ac:dyDescent="0.3">
      <c r="A621" s="103">
        <v>45996</v>
      </c>
      <c r="B621" s="94" t="s">
        <v>26</v>
      </c>
      <c r="C621" s="95" t="s">
        <v>453</v>
      </c>
      <c r="D621" s="94" t="s">
        <v>403</v>
      </c>
      <c r="E621" s="104">
        <v>1.302083333333333</v>
      </c>
      <c r="F621" s="94" t="s">
        <v>28</v>
      </c>
      <c r="G621" s="96">
        <v>1</v>
      </c>
      <c r="H621" s="97">
        <v>359</v>
      </c>
      <c r="I621" s="88"/>
    </row>
    <row r="622" spans="1:9" ht="19.8" customHeight="1" x14ac:dyDescent="0.3">
      <c r="A622" s="103">
        <v>45996</v>
      </c>
      <c r="B622" s="94" t="s">
        <v>26</v>
      </c>
      <c r="C622" s="95" t="s">
        <v>454</v>
      </c>
      <c r="D622" s="94" t="s">
        <v>403</v>
      </c>
      <c r="E622" s="104">
        <v>1.8888888888888891</v>
      </c>
      <c r="F622" s="94" t="s">
        <v>28</v>
      </c>
      <c r="G622" s="96">
        <v>9</v>
      </c>
      <c r="H622" s="97">
        <v>359</v>
      </c>
      <c r="I622" s="88"/>
    </row>
    <row r="623" spans="1:9" ht="19.8" customHeight="1" x14ac:dyDescent="0.3">
      <c r="A623" s="103">
        <v>45996</v>
      </c>
      <c r="B623" s="94" t="s">
        <v>26</v>
      </c>
      <c r="C623" s="95" t="s">
        <v>455</v>
      </c>
      <c r="D623" s="94" t="s">
        <v>403</v>
      </c>
      <c r="E623" s="104">
        <v>1.788194444444444</v>
      </c>
      <c r="F623" s="94" t="s">
        <v>28</v>
      </c>
      <c r="G623" s="96">
        <v>7</v>
      </c>
      <c r="H623" s="97">
        <v>359</v>
      </c>
      <c r="I623" s="88"/>
    </row>
    <row r="624" spans="1:9" ht="19.8" customHeight="1" x14ac:dyDescent="0.3">
      <c r="A624" s="103">
        <v>45996</v>
      </c>
      <c r="B624" s="94" t="s">
        <v>36</v>
      </c>
      <c r="C624" s="95" t="s">
        <v>438</v>
      </c>
      <c r="D624" s="94" t="s">
        <v>403</v>
      </c>
      <c r="E624" s="104">
        <v>1.854166666666667</v>
      </c>
      <c r="F624" s="94" t="s">
        <v>38</v>
      </c>
      <c r="G624" s="96">
        <v>2</v>
      </c>
      <c r="H624" s="97">
        <v>369</v>
      </c>
      <c r="I624" s="88"/>
    </row>
    <row r="625" spans="1:9" ht="19.8" customHeight="1" x14ac:dyDescent="0.3">
      <c r="A625" s="103">
        <v>45996</v>
      </c>
      <c r="B625" s="94" t="s">
        <v>36</v>
      </c>
      <c r="C625" s="95" t="s">
        <v>447</v>
      </c>
      <c r="D625" s="94" t="s">
        <v>403</v>
      </c>
      <c r="E625" s="104">
        <v>1.395833333333333</v>
      </c>
      <c r="F625" s="94" t="s">
        <v>38</v>
      </c>
      <c r="G625" s="96">
        <v>1</v>
      </c>
      <c r="H625" s="97">
        <v>369</v>
      </c>
      <c r="I625" s="88"/>
    </row>
    <row r="626" spans="1:9" ht="19.8" customHeight="1" x14ac:dyDescent="0.3">
      <c r="A626" s="103">
        <v>45996</v>
      </c>
      <c r="B626" s="94" t="s">
        <v>456</v>
      </c>
      <c r="C626" s="95" t="s">
        <v>626</v>
      </c>
      <c r="D626" s="94" t="s">
        <v>403</v>
      </c>
      <c r="E626" s="104">
        <v>1.677083333333333</v>
      </c>
      <c r="F626" s="94" t="s">
        <v>458</v>
      </c>
      <c r="G626" s="96">
        <v>9</v>
      </c>
      <c r="H626" s="97">
        <v>374</v>
      </c>
      <c r="I626" s="88"/>
    </row>
    <row r="627" spans="1:9" ht="19.8" customHeight="1" x14ac:dyDescent="0.3">
      <c r="A627" s="103">
        <v>45996</v>
      </c>
      <c r="B627" s="94" t="s">
        <v>36</v>
      </c>
      <c r="C627" s="95" t="s">
        <v>443</v>
      </c>
      <c r="D627" s="94" t="s">
        <v>403</v>
      </c>
      <c r="E627" s="104">
        <v>1.46875</v>
      </c>
      <c r="F627" s="94" t="s">
        <v>38</v>
      </c>
      <c r="G627" s="96">
        <v>9</v>
      </c>
      <c r="H627" s="97">
        <v>409</v>
      </c>
      <c r="I627" s="88"/>
    </row>
    <row r="628" spans="1:9" ht="19.8" customHeight="1" x14ac:dyDescent="0.3">
      <c r="A628" s="103">
        <v>45996</v>
      </c>
      <c r="B628" s="94" t="s">
        <v>36</v>
      </c>
      <c r="C628" s="95" t="s">
        <v>444</v>
      </c>
      <c r="D628" s="94" t="s">
        <v>403</v>
      </c>
      <c r="E628" s="104">
        <v>1.5173611111111109</v>
      </c>
      <c r="F628" s="94" t="s">
        <v>38</v>
      </c>
      <c r="G628" s="96">
        <v>4</v>
      </c>
      <c r="H628" s="97">
        <v>409</v>
      </c>
      <c r="I628" s="88"/>
    </row>
    <row r="629" spans="1:9" ht="19.8" customHeight="1" x14ac:dyDescent="0.3">
      <c r="A629" s="103">
        <v>45996</v>
      </c>
      <c r="B629" s="94" t="s">
        <v>36</v>
      </c>
      <c r="C629" s="95" t="s">
        <v>445</v>
      </c>
      <c r="D629" s="94" t="s">
        <v>403</v>
      </c>
      <c r="E629" s="104">
        <v>1.7986111111111109</v>
      </c>
      <c r="F629" s="94" t="s">
        <v>38</v>
      </c>
      <c r="G629" s="96">
        <v>4</v>
      </c>
      <c r="H629" s="97">
        <v>409</v>
      </c>
      <c r="I629" s="88"/>
    </row>
    <row r="630" spans="1:9" ht="19.8" customHeight="1" x14ac:dyDescent="0.3">
      <c r="A630" s="103">
        <v>45996</v>
      </c>
      <c r="B630" s="94" t="s">
        <v>36</v>
      </c>
      <c r="C630" s="95" t="s">
        <v>446</v>
      </c>
      <c r="D630" s="94" t="s">
        <v>403</v>
      </c>
      <c r="E630" s="104">
        <v>1.645833333333333</v>
      </c>
      <c r="F630" s="94" t="s">
        <v>38</v>
      </c>
      <c r="G630" s="96">
        <v>9</v>
      </c>
      <c r="H630" s="97">
        <v>409</v>
      </c>
      <c r="I630" s="88"/>
    </row>
    <row r="631" spans="1:9" ht="19.8" customHeight="1" x14ac:dyDescent="0.3">
      <c r="A631" s="103">
        <v>45996</v>
      </c>
      <c r="B631" s="94" t="s">
        <v>36</v>
      </c>
      <c r="C631" s="95" t="s">
        <v>442</v>
      </c>
      <c r="D631" s="94" t="s">
        <v>403</v>
      </c>
      <c r="E631" s="104">
        <v>1.256944444444444</v>
      </c>
      <c r="F631" s="94" t="s">
        <v>40</v>
      </c>
      <c r="G631" s="96">
        <v>8</v>
      </c>
      <c r="H631" s="97">
        <v>429</v>
      </c>
      <c r="I631" s="88"/>
    </row>
    <row r="632" spans="1:9" ht="19.8" customHeight="1" x14ac:dyDescent="0.3">
      <c r="A632" s="105">
        <v>45996</v>
      </c>
      <c r="B632" s="99" t="s">
        <v>44</v>
      </c>
      <c r="C632" s="100" t="s">
        <v>425</v>
      </c>
      <c r="D632" s="99" t="s">
        <v>403</v>
      </c>
      <c r="E632" s="106">
        <v>1.458333333333333</v>
      </c>
      <c r="F632" s="99" t="s">
        <v>46</v>
      </c>
      <c r="G632" s="101">
        <v>4</v>
      </c>
      <c r="H632" s="102">
        <v>436</v>
      </c>
      <c r="I632" s="88"/>
    </row>
    <row r="633" spans="1:9" ht="19.8" customHeight="1" x14ac:dyDescent="0.3">
      <c r="A633" s="105">
        <v>45996</v>
      </c>
      <c r="B633" s="99" t="s">
        <v>44</v>
      </c>
      <c r="C633" s="100" t="s">
        <v>415</v>
      </c>
      <c r="D633" s="99" t="s">
        <v>403</v>
      </c>
      <c r="E633" s="106">
        <v>1.319444444444444</v>
      </c>
      <c r="F633" s="99" t="s">
        <v>46</v>
      </c>
      <c r="G633" s="101">
        <v>9</v>
      </c>
      <c r="H633" s="102">
        <v>436</v>
      </c>
      <c r="I633" s="88"/>
    </row>
    <row r="634" spans="1:9" ht="19.8" customHeight="1" x14ac:dyDescent="0.3">
      <c r="A634" s="105">
        <v>45996</v>
      </c>
      <c r="B634" s="99" t="s">
        <v>44</v>
      </c>
      <c r="C634" s="100" t="s">
        <v>422</v>
      </c>
      <c r="D634" s="99" t="s">
        <v>403</v>
      </c>
      <c r="E634" s="106">
        <v>1.114583333333333</v>
      </c>
      <c r="F634" s="99" t="s">
        <v>46</v>
      </c>
      <c r="G634" s="101">
        <v>1</v>
      </c>
      <c r="H634" s="102">
        <v>436</v>
      </c>
      <c r="I634" s="88"/>
    </row>
    <row r="635" spans="1:9" ht="19.8" customHeight="1" x14ac:dyDescent="0.3">
      <c r="A635" s="103">
        <v>45996</v>
      </c>
      <c r="B635" s="94" t="s">
        <v>36</v>
      </c>
      <c r="C635" s="95" t="s">
        <v>435</v>
      </c>
      <c r="D635" s="94" t="s">
        <v>403</v>
      </c>
      <c r="E635" s="104">
        <v>1.9027777777777779</v>
      </c>
      <c r="F635" s="94" t="s">
        <v>38</v>
      </c>
      <c r="G635" s="96">
        <v>5</v>
      </c>
      <c r="H635" s="97">
        <v>449</v>
      </c>
      <c r="I635" s="88"/>
    </row>
    <row r="636" spans="1:9" ht="19.8" customHeight="1" x14ac:dyDescent="0.3">
      <c r="A636" s="103">
        <v>45996</v>
      </c>
      <c r="B636" s="94" t="s">
        <v>36</v>
      </c>
      <c r="C636" s="95" t="s">
        <v>438</v>
      </c>
      <c r="D636" s="94" t="s">
        <v>403</v>
      </c>
      <c r="E636" s="104">
        <v>1.854166666666667</v>
      </c>
      <c r="F636" s="94" t="s">
        <v>40</v>
      </c>
      <c r="G636" s="96">
        <v>2</v>
      </c>
      <c r="H636" s="97">
        <v>469</v>
      </c>
      <c r="I636" s="88"/>
    </row>
    <row r="637" spans="1:9" ht="19.8" customHeight="1" x14ac:dyDescent="0.3">
      <c r="A637" s="103">
        <v>45996</v>
      </c>
      <c r="B637" s="94" t="s">
        <v>36</v>
      </c>
      <c r="C637" s="95" t="s">
        <v>447</v>
      </c>
      <c r="D637" s="94" t="s">
        <v>403</v>
      </c>
      <c r="E637" s="104">
        <v>1.395833333333333</v>
      </c>
      <c r="F637" s="94" t="s">
        <v>40</v>
      </c>
      <c r="G637" s="96">
        <v>1</v>
      </c>
      <c r="H637" s="97">
        <v>469</v>
      </c>
      <c r="I637" s="88"/>
    </row>
    <row r="638" spans="1:9" ht="19.8" customHeight="1" x14ac:dyDescent="0.3">
      <c r="A638" s="105">
        <v>45996</v>
      </c>
      <c r="B638" s="99" t="s">
        <v>44</v>
      </c>
      <c r="C638" s="100" t="s">
        <v>520</v>
      </c>
      <c r="D638" s="99" t="s">
        <v>403</v>
      </c>
      <c r="E638" s="106">
        <v>1.614583333333333</v>
      </c>
      <c r="F638" s="99" t="s">
        <v>46</v>
      </c>
      <c r="G638" s="101">
        <v>9</v>
      </c>
      <c r="H638" s="102">
        <v>471</v>
      </c>
      <c r="I638" s="88"/>
    </row>
    <row r="639" spans="1:9" ht="19.8" customHeight="1" x14ac:dyDescent="0.3">
      <c r="A639" s="105">
        <v>45996</v>
      </c>
      <c r="B639" s="99" t="s">
        <v>44</v>
      </c>
      <c r="C639" s="100" t="s">
        <v>419</v>
      </c>
      <c r="D639" s="99" t="s">
        <v>403</v>
      </c>
      <c r="E639" s="106">
        <v>1.7361111111111109</v>
      </c>
      <c r="F639" s="99" t="s">
        <v>46</v>
      </c>
      <c r="G639" s="101">
        <v>1</v>
      </c>
      <c r="H639" s="102">
        <v>471</v>
      </c>
      <c r="I639" s="88"/>
    </row>
    <row r="640" spans="1:9" ht="19.8" customHeight="1" x14ac:dyDescent="0.3">
      <c r="A640" s="103">
        <v>45996</v>
      </c>
      <c r="B640" s="94" t="s">
        <v>456</v>
      </c>
      <c r="C640" s="95" t="s">
        <v>500</v>
      </c>
      <c r="D640" s="94" t="s">
        <v>403</v>
      </c>
      <c r="E640" s="104">
        <v>1.3923611111111109</v>
      </c>
      <c r="F640" s="94" t="s">
        <v>34</v>
      </c>
      <c r="G640" s="96">
        <v>9</v>
      </c>
      <c r="H640" s="97">
        <v>479</v>
      </c>
      <c r="I640" s="88"/>
    </row>
    <row r="641" spans="1:9" ht="19.8" customHeight="1" x14ac:dyDescent="0.3">
      <c r="A641" s="103">
        <v>45996</v>
      </c>
      <c r="B641" s="94" t="s">
        <v>456</v>
      </c>
      <c r="C641" s="95" t="s">
        <v>625</v>
      </c>
      <c r="D641" s="94" t="s">
        <v>403</v>
      </c>
      <c r="E641" s="104">
        <v>1.975694444444444</v>
      </c>
      <c r="F641" s="94" t="s">
        <v>34</v>
      </c>
      <c r="G641" s="96">
        <v>9</v>
      </c>
      <c r="H641" s="97">
        <v>479</v>
      </c>
      <c r="I641" s="88"/>
    </row>
    <row r="642" spans="1:9" ht="19.8" customHeight="1" x14ac:dyDescent="0.3">
      <c r="A642" s="103">
        <v>45996</v>
      </c>
      <c r="B642" s="94" t="s">
        <v>456</v>
      </c>
      <c r="C642" s="95" t="s">
        <v>626</v>
      </c>
      <c r="D642" s="94" t="s">
        <v>403</v>
      </c>
      <c r="E642" s="104">
        <v>1.677083333333333</v>
      </c>
      <c r="F642" s="94" t="s">
        <v>34</v>
      </c>
      <c r="G642" s="96">
        <v>9</v>
      </c>
      <c r="H642" s="97">
        <v>497</v>
      </c>
      <c r="I642" s="88"/>
    </row>
    <row r="643" spans="1:9" ht="19.8" customHeight="1" x14ac:dyDescent="0.3">
      <c r="A643" s="103">
        <v>45996</v>
      </c>
      <c r="B643" s="94" t="s">
        <v>26</v>
      </c>
      <c r="C643" s="95" t="s">
        <v>451</v>
      </c>
      <c r="D643" s="94" t="s">
        <v>403</v>
      </c>
      <c r="E643" s="104">
        <v>1.1284722222222221</v>
      </c>
      <c r="F643" s="94" t="s">
        <v>31</v>
      </c>
      <c r="G643" s="96">
        <v>6</v>
      </c>
      <c r="H643" s="97">
        <v>509</v>
      </c>
      <c r="I643" s="88"/>
    </row>
    <row r="644" spans="1:9" ht="19.8" customHeight="1" x14ac:dyDescent="0.3">
      <c r="A644" s="103">
        <v>45996</v>
      </c>
      <c r="B644" s="94" t="s">
        <v>26</v>
      </c>
      <c r="C644" s="95" t="s">
        <v>453</v>
      </c>
      <c r="D644" s="94" t="s">
        <v>403</v>
      </c>
      <c r="E644" s="104">
        <v>1.302083333333333</v>
      </c>
      <c r="F644" s="94" t="s">
        <v>31</v>
      </c>
      <c r="G644" s="96">
        <v>1</v>
      </c>
      <c r="H644" s="97">
        <v>509</v>
      </c>
      <c r="I644" s="88"/>
    </row>
    <row r="645" spans="1:9" ht="19.8" customHeight="1" x14ac:dyDescent="0.3">
      <c r="A645" s="103">
        <v>45996</v>
      </c>
      <c r="B645" s="94" t="s">
        <v>26</v>
      </c>
      <c r="C645" s="95" t="s">
        <v>454</v>
      </c>
      <c r="D645" s="94" t="s">
        <v>403</v>
      </c>
      <c r="E645" s="104">
        <v>1.8888888888888891</v>
      </c>
      <c r="F645" s="94" t="s">
        <v>31</v>
      </c>
      <c r="G645" s="96">
        <v>9</v>
      </c>
      <c r="H645" s="97">
        <v>509</v>
      </c>
      <c r="I645" s="88"/>
    </row>
    <row r="646" spans="1:9" ht="19.8" customHeight="1" x14ac:dyDescent="0.3">
      <c r="A646" s="103">
        <v>45996</v>
      </c>
      <c r="B646" s="94" t="s">
        <v>26</v>
      </c>
      <c r="C646" s="95" t="s">
        <v>455</v>
      </c>
      <c r="D646" s="94" t="s">
        <v>403</v>
      </c>
      <c r="E646" s="104">
        <v>1.788194444444444</v>
      </c>
      <c r="F646" s="94" t="s">
        <v>31</v>
      </c>
      <c r="G646" s="96">
        <v>7</v>
      </c>
      <c r="H646" s="97">
        <v>509</v>
      </c>
      <c r="I646" s="88"/>
    </row>
    <row r="647" spans="1:9" ht="19.8" customHeight="1" x14ac:dyDescent="0.3">
      <c r="A647" s="103">
        <v>45996</v>
      </c>
      <c r="B647" s="94" t="s">
        <v>36</v>
      </c>
      <c r="C647" s="95" t="s">
        <v>443</v>
      </c>
      <c r="D647" s="94" t="s">
        <v>403</v>
      </c>
      <c r="E647" s="104">
        <v>1.46875</v>
      </c>
      <c r="F647" s="94" t="s">
        <v>40</v>
      </c>
      <c r="G647" s="96">
        <v>9</v>
      </c>
      <c r="H647" s="97">
        <v>509</v>
      </c>
      <c r="I647" s="88"/>
    </row>
    <row r="648" spans="1:9" ht="19.8" customHeight="1" x14ac:dyDescent="0.3">
      <c r="A648" s="103">
        <v>45996</v>
      </c>
      <c r="B648" s="94" t="s">
        <v>36</v>
      </c>
      <c r="C648" s="95" t="s">
        <v>444</v>
      </c>
      <c r="D648" s="94" t="s">
        <v>403</v>
      </c>
      <c r="E648" s="104">
        <v>1.5173611111111109</v>
      </c>
      <c r="F648" s="94" t="s">
        <v>40</v>
      </c>
      <c r="G648" s="96">
        <v>4</v>
      </c>
      <c r="H648" s="97">
        <v>509</v>
      </c>
      <c r="I648" s="88"/>
    </row>
    <row r="649" spans="1:9" ht="19.8" customHeight="1" x14ac:dyDescent="0.3">
      <c r="A649" s="103">
        <v>45996</v>
      </c>
      <c r="B649" s="94" t="s">
        <v>36</v>
      </c>
      <c r="C649" s="95" t="s">
        <v>445</v>
      </c>
      <c r="D649" s="94" t="s">
        <v>403</v>
      </c>
      <c r="E649" s="104">
        <v>1.7986111111111109</v>
      </c>
      <c r="F649" s="94" t="s">
        <v>40</v>
      </c>
      <c r="G649" s="96">
        <v>4</v>
      </c>
      <c r="H649" s="97">
        <v>509</v>
      </c>
      <c r="I649" s="88"/>
    </row>
    <row r="650" spans="1:9" ht="19.8" customHeight="1" x14ac:dyDescent="0.3">
      <c r="A650" s="103">
        <v>45996</v>
      </c>
      <c r="B650" s="94" t="s">
        <v>36</v>
      </c>
      <c r="C650" s="95" t="s">
        <v>446</v>
      </c>
      <c r="D650" s="94" t="s">
        <v>403</v>
      </c>
      <c r="E650" s="104">
        <v>1.645833333333333</v>
      </c>
      <c r="F650" s="94" t="s">
        <v>40</v>
      </c>
      <c r="G650" s="96">
        <v>9</v>
      </c>
      <c r="H650" s="97">
        <v>509</v>
      </c>
      <c r="I650" s="88"/>
    </row>
    <row r="651" spans="1:9" ht="19.8" customHeight="1" x14ac:dyDescent="0.3">
      <c r="A651" s="103">
        <v>45996</v>
      </c>
      <c r="B651" s="94" t="s">
        <v>36</v>
      </c>
      <c r="C651" s="95" t="s">
        <v>442</v>
      </c>
      <c r="D651" s="94" t="s">
        <v>403</v>
      </c>
      <c r="E651" s="104">
        <v>1.256944444444444</v>
      </c>
      <c r="F651" s="94" t="s">
        <v>42</v>
      </c>
      <c r="G651" s="96">
        <v>8</v>
      </c>
      <c r="H651" s="97">
        <v>519</v>
      </c>
      <c r="I651" s="88"/>
    </row>
    <row r="652" spans="1:9" ht="19.8" customHeight="1" x14ac:dyDescent="0.3">
      <c r="A652" s="103">
        <v>45996</v>
      </c>
      <c r="B652" s="94" t="s">
        <v>36</v>
      </c>
      <c r="C652" s="95" t="s">
        <v>435</v>
      </c>
      <c r="D652" s="94" t="s">
        <v>403</v>
      </c>
      <c r="E652" s="104">
        <v>1.9027777777777779</v>
      </c>
      <c r="F652" s="94" t="s">
        <v>40</v>
      </c>
      <c r="G652" s="96">
        <v>5</v>
      </c>
      <c r="H652" s="97">
        <v>549</v>
      </c>
      <c r="I652" s="88"/>
    </row>
    <row r="653" spans="1:9" ht="19.8" customHeight="1" x14ac:dyDescent="0.3">
      <c r="A653" s="103">
        <v>45996</v>
      </c>
      <c r="B653" s="94" t="s">
        <v>36</v>
      </c>
      <c r="C653" s="95" t="s">
        <v>438</v>
      </c>
      <c r="D653" s="94" t="s">
        <v>403</v>
      </c>
      <c r="E653" s="104">
        <v>1.854166666666667</v>
      </c>
      <c r="F653" s="94" t="s">
        <v>42</v>
      </c>
      <c r="G653" s="96">
        <v>2</v>
      </c>
      <c r="H653" s="97">
        <v>559</v>
      </c>
      <c r="I653" s="88"/>
    </row>
    <row r="654" spans="1:9" ht="19.8" customHeight="1" x14ac:dyDescent="0.3">
      <c r="A654" s="103">
        <v>45996</v>
      </c>
      <c r="B654" s="94" t="s">
        <v>36</v>
      </c>
      <c r="C654" s="95" t="s">
        <v>447</v>
      </c>
      <c r="D654" s="94" t="s">
        <v>403</v>
      </c>
      <c r="E654" s="104">
        <v>1.395833333333333</v>
      </c>
      <c r="F654" s="94" t="s">
        <v>42</v>
      </c>
      <c r="G654" s="96">
        <v>1</v>
      </c>
      <c r="H654" s="97">
        <v>559</v>
      </c>
      <c r="I654" s="88"/>
    </row>
    <row r="655" spans="1:9" ht="19.8" customHeight="1" x14ac:dyDescent="0.3">
      <c r="A655" s="103">
        <v>45996</v>
      </c>
      <c r="B655" s="94" t="s">
        <v>36</v>
      </c>
      <c r="C655" s="95" t="s">
        <v>443</v>
      </c>
      <c r="D655" s="94" t="s">
        <v>403</v>
      </c>
      <c r="E655" s="104">
        <v>1.46875</v>
      </c>
      <c r="F655" s="94" t="s">
        <v>42</v>
      </c>
      <c r="G655" s="96">
        <v>9</v>
      </c>
      <c r="H655" s="97">
        <v>599</v>
      </c>
      <c r="I655" s="88"/>
    </row>
    <row r="656" spans="1:9" ht="19.8" customHeight="1" x14ac:dyDescent="0.3">
      <c r="A656" s="103">
        <v>45996</v>
      </c>
      <c r="B656" s="94" t="s">
        <v>36</v>
      </c>
      <c r="C656" s="95" t="s">
        <v>444</v>
      </c>
      <c r="D656" s="94" t="s">
        <v>403</v>
      </c>
      <c r="E656" s="104">
        <v>1.5173611111111109</v>
      </c>
      <c r="F656" s="94" t="s">
        <v>42</v>
      </c>
      <c r="G656" s="96">
        <v>4</v>
      </c>
      <c r="H656" s="97">
        <v>599</v>
      </c>
      <c r="I656" s="88"/>
    </row>
    <row r="657" spans="1:9" ht="19.8" customHeight="1" x14ac:dyDescent="0.3">
      <c r="A657" s="103">
        <v>45996</v>
      </c>
      <c r="B657" s="94" t="s">
        <v>36</v>
      </c>
      <c r="C657" s="95" t="s">
        <v>445</v>
      </c>
      <c r="D657" s="94" t="s">
        <v>403</v>
      </c>
      <c r="E657" s="104">
        <v>1.7986111111111109</v>
      </c>
      <c r="F657" s="94" t="s">
        <v>42</v>
      </c>
      <c r="G657" s="96">
        <v>4</v>
      </c>
      <c r="H657" s="97">
        <v>599</v>
      </c>
      <c r="I657" s="88"/>
    </row>
    <row r="658" spans="1:9" ht="19.8" customHeight="1" x14ac:dyDescent="0.3">
      <c r="A658" s="103">
        <v>45996</v>
      </c>
      <c r="B658" s="94" t="s">
        <v>36</v>
      </c>
      <c r="C658" s="95" t="s">
        <v>446</v>
      </c>
      <c r="D658" s="94" t="s">
        <v>403</v>
      </c>
      <c r="E658" s="104">
        <v>1.645833333333333</v>
      </c>
      <c r="F658" s="94" t="s">
        <v>42</v>
      </c>
      <c r="G658" s="96">
        <v>9</v>
      </c>
      <c r="H658" s="97">
        <v>599</v>
      </c>
      <c r="I658" s="88"/>
    </row>
    <row r="659" spans="1:9" ht="19.8" customHeight="1" x14ac:dyDescent="0.3">
      <c r="A659" s="103">
        <v>45996</v>
      </c>
      <c r="B659" s="94" t="s">
        <v>410</v>
      </c>
      <c r="C659" s="95" t="s">
        <v>413</v>
      </c>
      <c r="D659" s="94" t="s">
        <v>403</v>
      </c>
      <c r="E659" s="104">
        <v>1.666666666666667</v>
      </c>
      <c r="F659" s="94" t="s">
        <v>406</v>
      </c>
      <c r="G659" s="96">
        <v>7</v>
      </c>
      <c r="H659" s="97">
        <v>599</v>
      </c>
      <c r="I659" s="88"/>
    </row>
    <row r="660" spans="1:9" ht="19.8" customHeight="1" x14ac:dyDescent="0.3">
      <c r="A660" s="103">
        <v>45996</v>
      </c>
      <c r="B660" s="94" t="s">
        <v>66</v>
      </c>
      <c r="C660" s="95" t="s">
        <v>505</v>
      </c>
      <c r="D660" s="94" t="s">
        <v>403</v>
      </c>
      <c r="E660" s="104">
        <v>1.145833333333333</v>
      </c>
      <c r="F660" s="94" t="s">
        <v>68</v>
      </c>
      <c r="G660" s="96">
        <v>9</v>
      </c>
      <c r="H660" s="97">
        <v>615</v>
      </c>
      <c r="I660" s="88"/>
    </row>
    <row r="661" spans="1:9" ht="19.8" customHeight="1" x14ac:dyDescent="0.3">
      <c r="A661" s="103">
        <v>45996</v>
      </c>
      <c r="B661" s="94" t="s">
        <v>66</v>
      </c>
      <c r="C661" s="95" t="s">
        <v>490</v>
      </c>
      <c r="D661" s="94" t="s">
        <v>403</v>
      </c>
      <c r="E661" s="104">
        <v>1.2777777777777779</v>
      </c>
      <c r="F661" s="94" t="s">
        <v>68</v>
      </c>
      <c r="G661" s="96">
        <v>9</v>
      </c>
      <c r="H661" s="97">
        <v>615</v>
      </c>
      <c r="I661" s="88"/>
    </row>
    <row r="662" spans="1:9" ht="19.8" customHeight="1" x14ac:dyDescent="0.3">
      <c r="A662" s="103">
        <v>45996</v>
      </c>
      <c r="B662" s="94" t="s">
        <v>36</v>
      </c>
      <c r="C662" s="95" t="s">
        <v>435</v>
      </c>
      <c r="D662" s="94" t="s">
        <v>403</v>
      </c>
      <c r="E662" s="104">
        <v>1.9027777777777779</v>
      </c>
      <c r="F662" s="94" t="s">
        <v>42</v>
      </c>
      <c r="G662" s="96">
        <v>5</v>
      </c>
      <c r="H662" s="97">
        <v>639</v>
      </c>
      <c r="I662" s="88"/>
    </row>
    <row r="663" spans="1:9" ht="19.8" customHeight="1" x14ac:dyDescent="0.3">
      <c r="A663" s="103">
        <v>45996</v>
      </c>
      <c r="B663" s="94" t="s">
        <v>66</v>
      </c>
      <c r="C663" s="95" t="s">
        <v>509</v>
      </c>
      <c r="D663" s="94" t="s">
        <v>403</v>
      </c>
      <c r="E663" s="104">
        <v>1.0138888888888891</v>
      </c>
      <c r="F663" s="94" t="s">
        <v>68</v>
      </c>
      <c r="G663" s="96">
        <v>9</v>
      </c>
      <c r="H663" s="97">
        <v>673</v>
      </c>
      <c r="I663" s="88"/>
    </row>
    <row r="664" spans="1:9" ht="19.8" customHeight="1" x14ac:dyDescent="0.3">
      <c r="A664" s="103">
        <v>45996</v>
      </c>
      <c r="B664" s="94" t="s">
        <v>66</v>
      </c>
      <c r="C664" s="95" t="s">
        <v>485</v>
      </c>
      <c r="D664" s="94" t="s">
        <v>403</v>
      </c>
      <c r="E664" s="104">
        <v>1.4861111111111109</v>
      </c>
      <c r="F664" s="94" t="s">
        <v>68</v>
      </c>
      <c r="G664" s="96">
        <v>9</v>
      </c>
      <c r="H664" s="97">
        <v>673</v>
      </c>
      <c r="I664" s="88"/>
    </row>
    <row r="665" spans="1:9" ht="19.8" customHeight="1" x14ac:dyDescent="0.3">
      <c r="A665" s="103">
        <v>45996</v>
      </c>
      <c r="B665" s="94" t="s">
        <v>66</v>
      </c>
      <c r="C665" s="95" t="s">
        <v>488</v>
      </c>
      <c r="D665" s="94" t="s">
        <v>403</v>
      </c>
      <c r="E665" s="104">
        <v>1.229166666666667</v>
      </c>
      <c r="F665" s="94" t="s">
        <v>68</v>
      </c>
      <c r="G665" s="96">
        <v>9</v>
      </c>
      <c r="H665" s="97">
        <v>677</v>
      </c>
      <c r="I665" s="88"/>
    </row>
    <row r="666" spans="1:9" ht="19.8" customHeight="1" x14ac:dyDescent="0.3">
      <c r="A666" s="103">
        <v>45996</v>
      </c>
      <c r="B666" s="94" t="s">
        <v>78</v>
      </c>
      <c r="C666" s="95" t="s">
        <v>467</v>
      </c>
      <c r="D666" s="94" t="s">
        <v>403</v>
      </c>
      <c r="E666" s="104">
        <v>1.1423611111111109</v>
      </c>
      <c r="F666" s="94" t="s">
        <v>80</v>
      </c>
      <c r="G666" s="96">
        <v>9</v>
      </c>
      <c r="H666" s="97">
        <v>678</v>
      </c>
      <c r="I666" s="88"/>
    </row>
    <row r="667" spans="1:9" ht="19.8" customHeight="1" x14ac:dyDescent="0.3">
      <c r="A667" s="103">
        <v>45996</v>
      </c>
      <c r="B667" s="94" t="s">
        <v>78</v>
      </c>
      <c r="C667" s="95" t="s">
        <v>470</v>
      </c>
      <c r="D667" s="94" t="s">
        <v>403</v>
      </c>
      <c r="E667" s="104">
        <v>1.71875</v>
      </c>
      <c r="F667" s="94" t="s">
        <v>80</v>
      </c>
      <c r="G667" s="96">
        <v>9</v>
      </c>
      <c r="H667" s="97">
        <v>678</v>
      </c>
      <c r="I667" s="88"/>
    </row>
    <row r="668" spans="1:9" ht="19.8" customHeight="1" x14ac:dyDescent="0.3">
      <c r="A668" s="103">
        <v>45996</v>
      </c>
      <c r="B668" s="94" t="s">
        <v>78</v>
      </c>
      <c r="C668" s="95" t="s">
        <v>469</v>
      </c>
      <c r="D668" s="94" t="s">
        <v>403</v>
      </c>
      <c r="E668" s="104">
        <v>1.3784722222222221</v>
      </c>
      <c r="F668" s="94" t="s">
        <v>80</v>
      </c>
      <c r="G668" s="96">
        <v>9</v>
      </c>
      <c r="H668" s="97">
        <v>678</v>
      </c>
      <c r="I668" s="88"/>
    </row>
    <row r="669" spans="1:9" ht="19.8" customHeight="1" x14ac:dyDescent="0.3">
      <c r="A669" s="103">
        <v>45996</v>
      </c>
      <c r="B669" s="94" t="s">
        <v>78</v>
      </c>
      <c r="C669" s="95" t="s">
        <v>482</v>
      </c>
      <c r="D669" s="94" t="s">
        <v>403</v>
      </c>
      <c r="E669" s="104">
        <v>1.6111111111111109</v>
      </c>
      <c r="F669" s="94" t="s">
        <v>80</v>
      </c>
      <c r="G669" s="96">
        <v>9</v>
      </c>
      <c r="H669" s="97">
        <v>678</v>
      </c>
      <c r="I669" s="88"/>
    </row>
    <row r="670" spans="1:9" ht="19.8" customHeight="1" x14ac:dyDescent="0.3">
      <c r="A670" s="103">
        <v>45996</v>
      </c>
      <c r="B670" s="94" t="s">
        <v>78</v>
      </c>
      <c r="C670" s="95" t="s">
        <v>461</v>
      </c>
      <c r="D670" s="94" t="s">
        <v>403</v>
      </c>
      <c r="E670" s="104">
        <v>1.239583333333333</v>
      </c>
      <c r="F670" s="94" t="s">
        <v>80</v>
      </c>
      <c r="G670" s="96">
        <v>9</v>
      </c>
      <c r="H670" s="97">
        <v>678</v>
      </c>
      <c r="I670" s="88"/>
    </row>
    <row r="671" spans="1:9" ht="19.8" customHeight="1" x14ac:dyDescent="0.3">
      <c r="A671" s="103">
        <v>45996</v>
      </c>
      <c r="B671" s="94" t="s">
        <v>78</v>
      </c>
      <c r="C671" s="95" t="s">
        <v>467</v>
      </c>
      <c r="D671" s="94" t="s">
        <v>403</v>
      </c>
      <c r="E671" s="104">
        <v>1.1423611111111109</v>
      </c>
      <c r="F671" s="94" t="s">
        <v>83</v>
      </c>
      <c r="G671" s="96">
        <v>9</v>
      </c>
      <c r="H671" s="97">
        <v>723</v>
      </c>
      <c r="I671" s="88"/>
    </row>
    <row r="672" spans="1:9" ht="19.8" customHeight="1" x14ac:dyDescent="0.3">
      <c r="A672" s="103">
        <v>45996</v>
      </c>
      <c r="B672" s="94" t="s">
        <v>78</v>
      </c>
      <c r="C672" s="95" t="s">
        <v>470</v>
      </c>
      <c r="D672" s="94" t="s">
        <v>403</v>
      </c>
      <c r="E672" s="104">
        <v>1.71875</v>
      </c>
      <c r="F672" s="94" t="s">
        <v>83</v>
      </c>
      <c r="G672" s="96">
        <v>9</v>
      </c>
      <c r="H672" s="97">
        <v>723</v>
      </c>
      <c r="I672" s="88"/>
    </row>
    <row r="673" spans="1:9" ht="19.8" customHeight="1" x14ac:dyDescent="0.3">
      <c r="A673" s="103">
        <v>45996</v>
      </c>
      <c r="B673" s="94" t="s">
        <v>78</v>
      </c>
      <c r="C673" s="95" t="s">
        <v>469</v>
      </c>
      <c r="D673" s="94" t="s">
        <v>403</v>
      </c>
      <c r="E673" s="104">
        <v>1.3784722222222221</v>
      </c>
      <c r="F673" s="94" t="s">
        <v>83</v>
      </c>
      <c r="G673" s="96">
        <v>9</v>
      </c>
      <c r="H673" s="97">
        <v>723</v>
      </c>
      <c r="I673" s="88"/>
    </row>
    <row r="674" spans="1:9" ht="19.8" customHeight="1" x14ac:dyDescent="0.3">
      <c r="A674" s="103">
        <v>45996</v>
      </c>
      <c r="B674" s="94" t="s">
        <v>78</v>
      </c>
      <c r="C674" s="95" t="s">
        <v>482</v>
      </c>
      <c r="D674" s="94" t="s">
        <v>403</v>
      </c>
      <c r="E674" s="104">
        <v>1.6111111111111109</v>
      </c>
      <c r="F674" s="94" t="s">
        <v>83</v>
      </c>
      <c r="G674" s="96">
        <v>9</v>
      </c>
      <c r="H674" s="97">
        <v>723</v>
      </c>
      <c r="I674" s="88"/>
    </row>
    <row r="675" spans="1:9" ht="19.8" customHeight="1" x14ac:dyDescent="0.3">
      <c r="A675" s="103">
        <v>45996</v>
      </c>
      <c r="B675" s="94" t="s">
        <v>78</v>
      </c>
      <c r="C675" s="95" t="s">
        <v>461</v>
      </c>
      <c r="D675" s="94" t="s">
        <v>403</v>
      </c>
      <c r="E675" s="104">
        <v>1.239583333333333</v>
      </c>
      <c r="F675" s="94" t="s">
        <v>83</v>
      </c>
      <c r="G675" s="96">
        <v>9</v>
      </c>
      <c r="H675" s="97">
        <v>723</v>
      </c>
      <c r="I675" s="88"/>
    </row>
    <row r="676" spans="1:9" ht="19.8" customHeight="1" x14ac:dyDescent="0.3">
      <c r="A676" s="105">
        <v>45996</v>
      </c>
      <c r="B676" s="99" t="s">
        <v>44</v>
      </c>
      <c r="C676" s="100" t="s">
        <v>429</v>
      </c>
      <c r="D676" s="99" t="s">
        <v>403</v>
      </c>
      <c r="E676" s="106">
        <v>1.9375</v>
      </c>
      <c r="F676" s="99" t="s">
        <v>46</v>
      </c>
      <c r="G676" s="101">
        <v>9</v>
      </c>
      <c r="H676" s="102">
        <v>781</v>
      </c>
      <c r="I676" s="88"/>
    </row>
    <row r="677" spans="1:9" ht="19.8" customHeight="1" x14ac:dyDescent="0.3">
      <c r="A677" s="103">
        <v>45996</v>
      </c>
      <c r="B677" s="94" t="s">
        <v>78</v>
      </c>
      <c r="C677" s="95" t="s">
        <v>464</v>
      </c>
      <c r="D677" s="94" t="s">
        <v>403</v>
      </c>
      <c r="E677" s="104">
        <v>1.006944444444444</v>
      </c>
      <c r="F677" s="94" t="s">
        <v>80</v>
      </c>
      <c r="G677" s="96">
        <v>9</v>
      </c>
      <c r="H677" s="97">
        <v>935</v>
      </c>
      <c r="I677" s="88"/>
    </row>
    <row r="678" spans="1:9" ht="19.8" customHeight="1" x14ac:dyDescent="0.3">
      <c r="A678" s="103">
        <v>45996</v>
      </c>
      <c r="B678" s="94" t="s">
        <v>78</v>
      </c>
      <c r="C678" s="95" t="s">
        <v>468</v>
      </c>
      <c r="D678" s="94" t="s">
        <v>403</v>
      </c>
      <c r="E678" s="104">
        <v>1.930555555555556</v>
      </c>
      <c r="F678" s="94" t="s">
        <v>80</v>
      </c>
      <c r="G678" s="96">
        <v>9</v>
      </c>
      <c r="H678" s="97">
        <v>935</v>
      </c>
      <c r="I678" s="88"/>
    </row>
    <row r="679" spans="1:9" ht="19.8" customHeight="1" x14ac:dyDescent="0.3">
      <c r="A679" s="103">
        <v>45996</v>
      </c>
      <c r="B679" s="94" t="s">
        <v>78</v>
      </c>
      <c r="C679" s="95" t="s">
        <v>477</v>
      </c>
      <c r="D679" s="94" t="s">
        <v>403</v>
      </c>
      <c r="E679" s="104">
        <v>1.8298611111111109</v>
      </c>
      <c r="F679" s="94" t="s">
        <v>80</v>
      </c>
      <c r="G679" s="96">
        <v>9</v>
      </c>
      <c r="H679" s="97">
        <v>935</v>
      </c>
      <c r="I679" s="88"/>
    </row>
    <row r="680" spans="1:9" ht="19.8" customHeight="1" x14ac:dyDescent="0.3">
      <c r="A680" s="103">
        <v>45996</v>
      </c>
      <c r="B680" s="94" t="s">
        <v>66</v>
      </c>
      <c r="C680" s="95" t="s">
        <v>492</v>
      </c>
      <c r="D680" s="94" t="s">
        <v>403</v>
      </c>
      <c r="E680" s="104">
        <v>1.770833333333333</v>
      </c>
      <c r="F680" s="94" t="s">
        <v>68</v>
      </c>
      <c r="G680" s="96">
        <v>9</v>
      </c>
      <c r="H680" s="97">
        <v>970</v>
      </c>
      <c r="I680" s="88"/>
    </row>
    <row r="681" spans="1:9" ht="19.8" customHeight="1" x14ac:dyDescent="0.3">
      <c r="A681" s="103">
        <v>45996</v>
      </c>
      <c r="B681" s="94" t="s">
        <v>78</v>
      </c>
      <c r="C681" s="95" t="s">
        <v>464</v>
      </c>
      <c r="D681" s="94" t="s">
        <v>403</v>
      </c>
      <c r="E681" s="104">
        <v>1.006944444444444</v>
      </c>
      <c r="F681" s="94" t="s">
        <v>83</v>
      </c>
      <c r="G681" s="96">
        <v>9</v>
      </c>
      <c r="H681" s="97">
        <v>980</v>
      </c>
      <c r="I681" s="88"/>
    </row>
    <row r="682" spans="1:9" ht="19.8" customHeight="1" x14ac:dyDescent="0.3">
      <c r="A682" s="103">
        <v>45996</v>
      </c>
      <c r="B682" s="94" t="s">
        <v>78</v>
      </c>
      <c r="C682" s="95" t="s">
        <v>468</v>
      </c>
      <c r="D682" s="94" t="s">
        <v>403</v>
      </c>
      <c r="E682" s="104">
        <v>1.930555555555556</v>
      </c>
      <c r="F682" s="94" t="s">
        <v>83</v>
      </c>
      <c r="G682" s="96">
        <v>9</v>
      </c>
      <c r="H682" s="97">
        <v>980</v>
      </c>
      <c r="I682" s="88"/>
    </row>
    <row r="683" spans="1:9" ht="19.8" customHeight="1" x14ac:dyDescent="0.3">
      <c r="A683" s="103">
        <v>45996</v>
      </c>
      <c r="B683" s="94" t="s">
        <v>78</v>
      </c>
      <c r="C683" s="95" t="s">
        <v>477</v>
      </c>
      <c r="D683" s="94" t="s">
        <v>403</v>
      </c>
      <c r="E683" s="104">
        <v>1.8298611111111109</v>
      </c>
      <c r="F683" s="94" t="s">
        <v>83</v>
      </c>
      <c r="G683" s="96">
        <v>9</v>
      </c>
      <c r="H683" s="97">
        <v>980</v>
      </c>
      <c r="I683" s="88"/>
    </row>
    <row r="684" spans="1:9" ht="19.8" customHeight="1" x14ac:dyDescent="0.3">
      <c r="A684" s="103">
        <v>45996</v>
      </c>
      <c r="B684" s="94" t="s">
        <v>26</v>
      </c>
      <c r="C684" s="95" t="s">
        <v>451</v>
      </c>
      <c r="D684" s="94" t="s">
        <v>403</v>
      </c>
      <c r="E684" s="104">
        <v>1.1284722222222221</v>
      </c>
      <c r="F684" s="94" t="s">
        <v>34</v>
      </c>
      <c r="G684" s="96">
        <v>6</v>
      </c>
      <c r="H684" s="107" t="s">
        <v>35</v>
      </c>
      <c r="I684" s="88"/>
    </row>
    <row r="685" spans="1:9" ht="19.8" customHeight="1" x14ac:dyDescent="0.3">
      <c r="A685" s="103">
        <v>45996</v>
      </c>
      <c r="B685" s="94" t="s">
        <v>26</v>
      </c>
      <c r="C685" s="95" t="s">
        <v>453</v>
      </c>
      <c r="D685" s="94" t="s">
        <v>403</v>
      </c>
      <c r="E685" s="104">
        <v>1.302083333333333</v>
      </c>
      <c r="F685" s="94" t="s">
        <v>34</v>
      </c>
      <c r="G685" s="96">
        <v>1</v>
      </c>
      <c r="H685" s="107" t="s">
        <v>35</v>
      </c>
      <c r="I685" s="88"/>
    </row>
    <row r="686" spans="1:9" ht="19.8" customHeight="1" x14ac:dyDescent="0.3">
      <c r="A686" s="103">
        <v>45996</v>
      </c>
      <c r="B686" s="94" t="s">
        <v>26</v>
      </c>
      <c r="C686" s="95" t="s">
        <v>454</v>
      </c>
      <c r="D686" s="94" t="s">
        <v>403</v>
      </c>
      <c r="E686" s="104">
        <v>1.8888888888888891</v>
      </c>
      <c r="F686" s="94" t="s">
        <v>34</v>
      </c>
      <c r="G686" s="96">
        <v>9</v>
      </c>
      <c r="H686" s="107" t="s">
        <v>35</v>
      </c>
      <c r="I686" s="88"/>
    </row>
    <row r="687" spans="1:9" ht="19.8" customHeight="1" x14ac:dyDescent="0.3">
      <c r="A687" s="103">
        <v>45996</v>
      </c>
      <c r="B687" s="94" t="s">
        <v>26</v>
      </c>
      <c r="C687" s="95" t="s">
        <v>455</v>
      </c>
      <c r="D687" s="94" t="s">
        <v>403</v>
      </c>
      <c r="E687" s="104">
        <v>1.788194444444444</v>
      </c>
      <c r="F687" s="94" t="s">
        <v>34</v>
      </c>
      <c r="G687" s="96">
        <v>7</v>
      </c>
      <c r="H687" s="107" t="s">
        <v>35</v>
      </c>
      <c r="I687" s="88"/>
    </row>
    <row r="688" spans="1:9" ht="19.8" customHeight="1" x14ac:dyDescent="0.3">
      <c r="A688" s="103">
        <v>45996</v>
      </c>
      <c r="B688" s="94" t="s">
        <v>78</v>
      </c>
      <c r="C688" s="95" t="s">
        <v>473</v>
      </c>
      <c r="D688" s="94" t="s">
        <v>403</v>
      </c>
      <c r="E688" s="104">
        <v>1.8888888888888891</v>
      </c>
      <c r="F688" s="94" t="s">
        <v>83</v>
      </c>
      <c r="G688" s="96">
        <v>4</v>
      </c>
      <c r="H688" s="107" t="s">
        <v>638</v>
      </c>
      <c r="I688" s="88"/>
    </row>
    <row r="689" spans="1:9" ht="19.8" customHeight="1" x14ac:dyDescent="0.3">
      <c r="A689" s="103">
        <v>45996</v>
      </c>
      <c r="B689" s="94" t="s">
        <v>78</v>
      </c>
      <c r="C689" s="95" t="s">
        <v>476</v>
      </c>
      <c r="D689" s="94" t="s">
        <v>403</v>
      </c>
      <c r="E689" s="104">
        <v>1.1284722222222221</v>
      </c>
      <c r="F689" s="94" t="s">
        <v>83</v>
      </c>
      <c r="G689" s="96">
        <v>4</v>
      </c>
      <c r="H689" s="107" t="s">
        <v>638</v>
      </c>
      <c r="I689" s="88"/>
    </row>
    <row r="690" spans="1:9" ht="19.8" customHeight="1" x14ac:dyDescent="0.3">
      <c r="A690" s="103">
        <v>45996</v>
      </c>
      <c r="B690" s="94" t="s">
        <v>78</v>
      </c>
      <c r="C690" s="95" t="s">
        <v>480</v>
      </c>
      <c r="D690" s="94" t="s">
        <v>403</v>
      </c>
      <c r="E690" s="104">
        <v>1.788194444444444</v>
      </c>
      <c r="F690" s="94" t="s">
        <v>83</v>
      </c>
      <c r="G690" s="96">
        <v>4</v>
      </c>
      <c r="H690" s="107" t="s">
        <v>638</v>
      </c>
      <c r="I690" s="88"/>
    </row>
    <row r="691" spans="1:9" ht="19.8" customHeight="1" x14ac:dyDescent="0.3">
      <c r="A691" s="113">
        <v>45996</v>
      </c>
      <c r="B691" s="114" t="s">
        <v>78</v>
      </c>
      <c r="C691" s="115" t="s">
        <v>475</v>
      </c>
      <c r="D691" s="114" t="s">
        <v>403</v>
      </c>
      <c r="E691" s="116">
        <v>1.302083333333333</v>
      </c>
      <c r="F691" s="114" t="s">
        <v>83</v>
      </c>
      <c r="G691" s="117">
        <v>4</v>
      </c>
      <c r="H691" s="118" t="s">
        <v>535</v>
      </c>
      <c r="I691" s="88"/>
    </row>
    <row r="692" spans="1:9" ht="19.8" customHeight="1" x14ac:dyDescent="0.3">
      <c r="A692" s="103">
        <v>45997</v>
      </c>
      <c r="B692" s="94" t="s">
        <v>456</v>
      </c>
      <c r="C692" s="95" t="s">
        <v>500</v>
      </c>
      <c r="D692" s="94" t="s">
        <v>403</v>
      </c>
      <c r="E692" s="104">
        <v>1.3298611111111109</v>
      </c>
      <c r="F692" s="94" t="s">
        <v>458</v>
      </c>
      <c r="G692" s="96">
        <v>9</v>
      </c>
      <c r="H692" s="97">
        <v>355</v>
      </c>
      <c r="I692" s="88"/>
    </row>
    <row r="693" spans="1:9" ht="19.8" customHeight="1" x14ac:dyDescent="0.3">
      <c r="A693" s="103">
        <v>45997</v>
      </c>
      <c r="B693" s="94" t="s">
        <v>456</v>
      </c>
      <c r="C693" s="95" t="s">
        <v>457</v>
      </c>
      <c r="D693" s="94" t="s">
        <v>403</v>
      </c>
      <c r="E693" s="104">
        <v>1.2152777777777779</v>
      </c>
      <c r="F693" s="94" t="s">
        <v>458</v>
      </c>
      <c r="G693" s="96">
        <v>9</v>
      </c>
      <c r="H693" s="97">
        <v>355</v>
      </c>
      <c r="I693" s="88"/>
    </row>
    <row r="694" spans="1:9" ht="19.8" customHeight="1" x14ac:dyDescent="0.3">
      <c r="A694" s="103">
        <v>45997</v>
      </c>
      <c r="B694" s="94" t="s">
        <v>36</v>
      </c>
      <c r="C694" s="95" t="s">
        <v>447</v>
      </c>
      <c r="D694" s="94" t="s">
        <v>403</v>
      </c>
      <c r="E694" s="104">
        <v>1.395833333333333</v>
      </c>
      <c r="F694" s="94" t="s">
        <v>38</v>
      </c>
      <c r="G694" s="96">
        <v>3</v>
      </c>
      <c r="H694" s="97">
        <v>369</v>
      </c>
      <c r="I694" s="88"/>
    </row>
    <row r="695" spans="1:9" ht="19.8" customHeight="1" x14ac:dyDescent="0.3">
      <c r="A695" s="103">
        <v>45997</v>
      </c>
      <c r="B695" s="94" t="s">
        <v>26</v>
      </c>
      <c r="C695" s="95" t="s">
        <v>451</v>
      </c>
      <c r="D695" s="94" t="s">
        <v>403</v>
      </c>
      <c r="E695" s="104">
        <v>1.1284722222222221</v>
      </c>
      <c r="F695" s="94" t="s">
        <v>28</v>
      </c>
      <c r="G695" s="96">
        <v>15</v>
      </c>
      <c r="H695" s="97">
        <v>389</v>
      </c>
      <c r="I695" s="88"/>
    </row>
    <row r="696" spans="1:9" ht="19.8" customHeight="1" x14ac:dyDescent="0.3">
      <c r="A696" s="103">
        <v>45997</v>
      </c>
      <c r="B696" s="94" t="s">
        <v>26</v>
      </c>
      <c r="C696" s="95" t="s">
        <v>453</v>
      </c>
      <c r="D696" s="94" t="s">
        <v>403</v>
      </c>
      <c r="E696" s="104">
        <v>1.302083333333333</v>
      </c>
      <c r="F696" s="94" t="s">
        <v>28</v>
      </c>
      <c r="G696" s="96">
        <v>11</v>
      </c>
      <c r="H696" s="97">
        <v>389</v>
      </c>
      <c r="I696" s="88"/>
    </row>
    <row r="697" spans="1:9" ht="19.8" customHeight="1" x14ac:dyDescent="0.3">
      <c r="A697" s="103">
        <v>45997</v>
      </c>
      <c r="B697" s="94" t="s">
        <v>404</v>
      </c>
      <c r="C697" s="95" t="s">
        <v>405</v>
      </c>
      <c r="D697" s="94" t="s">
        <v>403</v>
      </c>
      <c r="E697" s="104">
        <v>1.270833333333333</v>
      </c>
      <c r="F697" s="94" t="s">
        <v>406</v>
      </c>
      <c r="G697" s="96">
        <v>9</v>
      </c>
      <c r="H697" s="97">
        <v>400</v>
      </c>
      <c r="I697" s="88"/>
    </row>
    <row r="698" spans="1:9" ht="19.8" customHeight="1" x14ac:dyDescent="0.3">
      <c r="A698" s="103">
        <v>45997</v>
      </c>
      <c r="B698" s="94" t="s">
        <v>36</v>
      </c>
      <c r="C698" s="95" t="s">
        <v>442</v>
      </c>
      <c r="D698" s="94" t="s">
        <v>403</v>
      </c>
      <c r="E698" s="104">
        <v>1.256944444444444</v>
      </c>
      <c r="F698" s="94" t="s">
        <v>38</v>
      </c>
      <c r="G698" s="96">
        <v>9</v>
      </c>
      <c r="H698" s="97">
        <v>409</v>
      </c>
      <c r="I698" s="88"/>
    </row>
    <row r="699" spans="1:9" ht="19.8" customHeight="1" x14ac:dyDescent="0.3">
      <c r="A699" s="103">
        <v>45997</v>
      </c>
      <c r="B699" s="94" t="s">
        <v>26</v>
      </c>
      <c r="C699" s="95" t="s">
        <v>454</v>
      </c>
      <c r="D699" s="94" t="s">
        <v>403</v>
      </c>
      <c r="E699" s="104">
        <v>1.8888888888888891</v>
      </c>
      <c r="F699" s="94" t="s">
        <v>28</v>
      </c>
      <c r="G699" s="96">
        <v>3</v>
      </c>
      <c r="H699" s="97">
        <v>419</v>
      </c>
      <c r="I699" s="88"/>
    </row>
    <row r="700" spans="1:9" ht="19.8" customHeight="1" x14ac:dyDescent="0.3">
      <c r="A700" s="103">
        <v>45997</v>
      </c>
      <c r="B700" s="94" t="s">
        <v>26</v>
      </c>
      <c r="C700" s="95" t="s">
        <v>455</v>
      </c>
      <c r="D700" s="94" t="s">
        <v>403</v>
      </c>
      <c r="E700" s="104">
        <v>1.788194444444444</v>
      </c>
      <c r="F700" s="94" t="s">
        <v>28</v>
      </c>
      <c r="G700" s="96">
        <v>13</v>
      </c>
      <c r="H700" s="97">
        <v>419</v>
      </c>
      <c r="I700" s="88"/>
    </row>
    <row r="701" spans="1:9" ht="19.8" customHeight="1" x14ac:dyDescent="0.3">
      <c r="A701" s="105">
        <v>45997</v>
      </c>
      <c r="B701" s="99" t="s">
        <v>44</v>
      </c>
      <c r="C701" s="100" t="s">
        <v>517</v>
      </c>
      <c r="D701" s="99" t="s">
        <v>403</v>
      </c>
      <c r="E701" s="106">
        <v>1.2361111111111109</v>
      </c>
      <c r="F701" s="99" t="s">
        <v>46</v>
      </c>
      <c r="G701" s="101">
        <v>4</v>
      </c>
      <c r="H701" s="102">
        <v>436</v>
      </c>
      <c r="I701" s="88"/>
    </row>
    <row r="702" spans="1:9" ht="19.8" customHeight="1" x14ac:dyDescent="0.3">
      <c r="A702" s="103">
        <v>45997</v>
      </c>
      <c r="B702" s="94" t="s">
        <v>36</v>
      </c>
      <c r="C702" s="95" t="s">
        <v>443</v>
      </c>
      <c r="D702" s="94" t="s">
        <v>403</v>
      </c>
      <c r="E702" s="104">
        <v>1.46875</v>
      </c>
      <c r="F702" s="94" t="s">
        <v>38</v>
      </c>
      <c r="G702" s="96">
        <v>9</v>
      </c>
      <c r="H702" s="97">
        <v>449</v>
      </c>
      <c r="I702" s="88"/>
    </row>
    <row r="703" spans="1:9" ht="19.8" customHeight="1" x14ac:dyDescent="0.3">
      <c r="A703" s="103">
        <v>45997</v>
      </c>
      <c r="B703" s="94" t="s">
        <v>36</v>
      </c>
      <c r="C703" s="95" t="s">
        <v>444</v>
      </c>
      <c r="D703" s="94" t="s">
        <v>403</v>
      </c>
      <c r="E703" s="104">
        <v>1.5173611111111109</v>
      </c>
      <c r="F703" s="94" t="s">
        <v>38</v>
      </c>
      <c r="G703" s="96">
        <v>6</v>
      </c>
      <c r="H703" s="97">
        <v>449</v>
      </c>
      <c r="I703" s="88"/>
    </row>
    <row r="704" spans="1:9" ht="19.8" customHeight="1" x14ac:dyDescent="0.3">
      <c r="A704" s="103">
        <v>45997</v>
      </c>
      <c r="B704" s="94" t="s">
        <v>36</v>
      </c>
      <c r="C704" s="95" t="s">
        <v>445</v>
      </c>
      <c r="D704" s="94" t="s">
        <v>403</v>
      </c>
      <c r="E704" s="104">
        <v>1.7986111111111109</v>
      </c>
      <c r="F704" s="94" t="s">
        <v>38</v>
      </c>
      <c r="G704" s="96">
        <v>5</v>
      </c>
      <c r="H704" s="97">
        <v>449</v>
      </c>
      <c r="I704" s="88"/>
    </row>
    <row r="705" spans="1:9" ht="19.8" customHeight="1" x14ac:dyDescent="0.3">
      <c r="A705" s="103">
        <v>45997</v>
      </c>
      <c r="B705" s="94" t="s">
        <v>36</v>
      </c>
      <c r="C705" s="95" t="s">
        <v>447</v>
      </c>
      <c r="D705" s="94" t="s">
        <v>403</v>
      </c>
      <c r="E705" s="104">
        <v>1.395833333333333</v>
      </c>
      <c r="F705" s="94" t="s">
        <v>40</v>
      </c>
      <c r="G705" s="96">
        <v>3</v>
      </c>
      <c r="H705" s="97">
        <v>469</v>
      </c>
      <c r="I705" s="88"/>
    </row>
    <row r="706" spans="1:9" ht="19.8" customHeight="1" x14ac:dyDescent="0.3">
      <c r="A706" s="105">
        <v>45997</v>
      </c>
      <c r="B706" s="99" t="s">
        <v>44</v>
      </c>
      <c r="C706" s="100" t="s">
        <v>415</v>
      </c>
      <c r="D706" s="99" t="s">
        <v>403</v>
      </c>
      <c r="E706" s="106">
        <v>1.333333333333333</v>
      </c>
      <c r="F706" s="99" t="s">
        <v>46</v>
      </c>
      <c r="G706" s="101">
        <v>2</v>
      </c>
      <c r="H706" s="102">
        <v>471</v>
      </c>
      <c r="I706" s="88"/>
    </row>
    <row r="707" spans="1:9" ht="19.8" customHeight="1" x14ac:dyDescent="0.3">
      <c r="A707" s="103">
        <v>45997</v>
      </c>
      <c r="B707" s="94" t="s">
        <v>456</v>
      </c>
      <c r="C707" s="95" t="s">
        <v>500</v>
      </c>
      <c r="D707" s="94" t="s">
        <v>403</v>
      </c>
      <c r="E707" s="104">
        <v>1.3298611111111109</v>
      </c>
      <c r="F707" s="94" t="s">
        <v>34</v>
      </c>
      <c r="G707" s="96">
        <v>9</v>
      </c>
      <c r="H707" s="97">
        <v>479</v>
      </c>
      <c r="I707" s="88"/>
    </row>
    <row r="708" spans="1:9" ht="19.8" customHeight="1" x14ac:dyDescent="0.3">
      <c r="A708" s="103">
        <v>45997</v>
      </c>
      <c r="B708" s="94" t="s">
        <v>456</v>
      </c>
      <c r="C708" s="95" t="s">
        <v>457</v>
      </c>
      <c r="D708" s="94" t="s">
        <v>403</v>
      </c>
      <c r="E708" s="104">
        <v>1.2152777777777779</v>
      </c>
      <c r="F708" s="94" t="s">
        <v>34</v>
      </c>
      <c r="G708" s="96">
        <v>9</v>
      </c>
      <c r="H708" s="97">
        <v>479</v>
      </c>
      <c r="I708" s="88"/>
    </row>
    <row r="709" spans="1:9" ht="19.8" customHeight="1" x14ac:dyDescent="0.3">
      <c r="A709" s="103">
        <v>45997</v>
      </c>
      <c r="B709" s="94" t="s">
        <v>36</v>
      </c>
      <c r="C709" s="95" t="s">
        <v>446</v>
      </c>
      <c r="D709" s="94" t="s">
        <v>403</v>
      </c>
      <c r="E709" s="104">
        <v>1.645833333333333</v>
      </c>
      <c r="F709" s="94" t="s">
        <v>38</v>
      </c>
      <c r="G709" s="96">
        <v>9</v>
      </c>
      <c r="H709" s="97">
        <v>489</v>
      </c>
      <c r="I709" s="88"/>
    </row>
    <row r="710" spans="1:9" ht="19.8" customHeight="1" x14ac:dyDescent="0.3">
      <c r="A710" s="103">
        <v>45997</v>
      </c>
      <c r="B710" s="94" t="s">
        <v>36</v>
      </c>
      <c r="C710" s="95" t="s">
        <v>442</v>
      </c>
      <c r="D710" s="94" t="s">
        <v>403</v>
      </c>
      <c r="E710" s="104">
        <v>1.256944444444444</v>
      </c>
      <c r="F710" s="94" t="s">
        <v>40</v>
      </c>
      <c r="G710" s="96">
        <v>9</v>
      </c>
      <c r="H710" s="97">
        <v>509</v>
      </c>
      <c r="I710" s="88"/>
    </row>
    <row r="711" spans="1:9" ht="19.8" customHeight="1" x14ac:dyDescent="0.3">
      <c r="A711" s="103">
        <v>45997</v>
      </c>
      <c r="B711" s="94" t="s">
        <v>36</v>
      </c>
      <c r="C711" s="95" t="s">
        <v>438</v>
      </c>
      <c r="D711" s="94" t="s">
        <v>403</v>
      </c>
      <c r="E711" s="104">
        <v>1.854166666666667</v>
      </c>
      <c r="F711" s="94" t="s">
        <v>38</v>
      </c>
      <c r="G711" s="96">
        <v>6</v>
      </c>
      <c r="H711" s="97">
        <v>529</v>
      </c>
      <c r="I711" s="88"/>
    </row>
    <row r="712" spans="1:9" ht="19.8" customHeight="1" x14ac:dyDescent="0.3">
      <c r="A712" s="103">
        <v>45997</v>
      </c>
      <c r="B712" s="94" t="s">
        <v>36</v>
      </c>
      <c r="C712" s="95" t="s">
        <v>435</v>
      </c>
      <c r="D712" s="94" t="s">
        <v>403</v>
      </c>
      <c r="E712" s="104">
        <v>1.9027777777777779</v>
      </c>
      <c r="F712" s="94" t="s">
        <v>38</v>
      </c>
      <c r="G712" s="96">
        <v>5</v>
      </c>
      <c r="H712" s="97">
        <v>529</v>
      </c>
      <c r="I712" s="88"/>
    </row>
    <row r="713" spans="1:9" ht="19.8" customHeight="1" x14ac:dyDescent="0.3">
      <c r="A713" s="103">
        <v>45997</v>
      </c>
      <c r="B713" s="94" t="s">
        <v>26</v>
      </c>
      <c r="C713" s="95" t="s">
        <v>451</v>
      </c>
      <c r="D713" s="94" t="s">
        <v>403</v>
      </c>
      <c r="E713" s="104">
        <v>1.1284722222222221</v>
      </c>
      <c r="F713" s="94" t="s">
        <v>31</v>
      </c>
      <c r="G713" s="96">
        <v>15</v>
      </c>
      <c r="H713" s="97">
        <v>539</v>
      </c>
      <c r="I713" s="88"/>
    </row>
    <row r="714" spans="1:9" ht="19.8" customHeight="1" x14ac:dyDescent="0.3">
      <c r="A714" s="103">
        <v>45997</v>
      </c>
      <c r="B714" s="94" t="s">
        <v>26</v>
      </c>
      <c r="C714" s="95" t="s">
        <v>453</v>
      </c>
      <c r="D714" s="94" t="s">
        <v>403</v>
      </c>
      <c r="E714" s="104">
        <v>1.302083333333333</v>
      </c>
      <c r="F714" s="94" t="s">
        <v>31</v>
      </c>
      <c r="G714" s="96">
        <v>11</v>
      </c>
      <c r="H714" s="97">
        <v>539</v>
      </c>
      <c r="I714" s="88"/>
    </row>
    <row r="715" spans="1:9" ht="19.8" customHeight="1" x14ac:dyDescent="0.3">
      <c r="A715" s="103">
        <v>45997</v>
      </c>
      <c r="B715" s="94" t="s">
        <v>36</v>
      </c>
      <c r="C715" s="95" t="s">
        <v>443</v>
      </c>
      <c r="D715" s="94" t="s">
        <v>403</v>
      </c>
      <c r="E715" s="104">
        <v>1.46875</v>
      </c>
      <c r="F715" s="94" t="s">
        <v>40</v>
      </c>
      <c r="G715" s="96">
        <v>9</v>
      </c>
      <c r="H715" s="97">
        <v>549</v>
      </c>
      <c r="I715" s="88"/>
    </row>
    <row r="716" spans="1:9" ht="19.8" customHeight="1" x14ac:dyDescent="0.3">
      <c r="A716" s="103">
        <v>45997</v>
      </c>
      <c r="B716" s="94" t="s">
        <v>36</v>
      </c>
      <c r="C716" s="95" t="s">
        <v>444</v>
      </c>
      <c r="D716" s="94" t="s">
        <v>403</v>
      </c>
      <c r="E716" s="104">
        <v>1.5173611111111109</v>
      </c>
      <c r="F716" s="94" t="s">
        <v>40</v>
      </c>
      <c r="G716" s="96">
        <v>6</v>
      </c>
      <c r="H716" s="97">
        <v>549</v>
      </c>
      <c r="I716" s="88"/>
    </row>
    <row r="717" spans="1:9" ht="19.8" customHeight="1" x14ac:dyDescent="0.3">
      <c r="A717" s="103">
        <v>45997</v>
      </c>
      <c r="B717" s="94" t="s">
        <v>36</v>
      </c>
      <c r="C717" s="95" t="s">
        <v>445</v>
      </c>
      <c r="D717" s="94" t="s">
        <v>403</v>
      </c>
      <c r="E717" s="104">
        <v>1.7986111111111109</v>
      </c>
      <c r="F717" s="94" t="s">
        <v>40</v>
      </c>
      <c r="G717" s="96">
        <v>5</v>
      </c>
      <c r="H717" s="97">
        <v>549</v>
      </c>
      <c r="I717" s="88"/>
    </row>
    <row r="718" spans="1:9" ht="19.8" customHeight="1" x14ac:dyDescent="0.3">
      <c r="A718" s="103">
        <v>45997</v>
      </c>
      <c r="B718" s="94" t="s">
        <v>36</v>
      </c>
      <c r="C718" s="95" t="s">
        <v>447</v>
      </c>
      <c r="D718" s="94" t="s">
        <v>403</v>
      </c>
      <c r="E718" s="104">
        <v>1.395833333333333</v>
      </c>
      <c r="F718" s="94" t="s">
        <v>42</v>
      </c>
      <c r="G718" s="96">
        <v>3</v>
      </c>
      <c r="H718" s="97">
        <v>559</v>
      </c>
      <c r="I718" s="88"/>
    </row>
    <row r="719" spans="1:9" ht="19.8" customHeight="1" x14ac:dyDescent="0.3">
      <c r="A719" s="103">
        <v>45997</v>
      </c>
      <c r="B719" s="94" t="s">
        <v>26</v>
      </c>
      <c r="C719" s="95" t="s">
        <v>454</v>
      </c>
      <c r="D719" s="94" t="s">
        <v>403</v>
      </c>
      <c r="E719" s="104">
        <v>1.8888888888888891</v>
      </c>
      <c r="F719" s="94" t="s">
        <v>31</v>
      </c>
      <c r="G719" s="96">
        <v>3</v>
      </c>
      <c r="H719" s="97">
        <v>569</v>
      </c>
      <c r="I719" s="88"/>
    </row>
    <row r="720" spans="1:9" ht="19.8" customHeight="1" x14ac:dyDescent="0.3">
      <c r="A720" s="103">
        <v>45997</v>
      </c>
      <c r="B720" s="94" t="s">
        <v>26</v>
      </c>
      <c r="C720" s="95" t="s">
        <v>455</v>
      </c>
      <c r="D720" s="94" t="s">
        <v>403</v>
      </c>
      <c r="E720" s="104">
        <v>1.788194444444444</v>
      </c>
      <c r="F720" s="94" t="s">
        <v>31</v>
      </c>
      <c r="G720" s="96">
        <v>13</v>
      </c>
      <c r="H720" s="97">
        <v>569</v>
      </c>
      <c r="I720" s="88"/>
    </row>
    <row r="721" spans="1:9" ht="19.8" customHeight="1" x14ac:dyDescent="0.3">
      <c r="A721" s="103">
        <v>45997</v>
      </c>
      <c r="B721" s="94" t="s">
        <v>36</v>
      </c>
      <c r="C721" s="95" t="s">
        <v>446</v>
      </c>
      <c r="D721" s="94" t="s">
        <v>403</v>
      </c>
      <c r="E721" s="104">
        <v>1.645833333333333</v>
      </c>
      <c r="F721" s="94" t="s">
        <v>40</v>
      </c>
      <c r="G721" s="96">
        <v>9</v>
      </c>
      <c r="H721" s="97">
        <v>589</v>
      </c>
      <c r="I721" s="88"/>
    </row>
    <row r="722" spans="1:9" ht="19.8" customHeight="1" x14ac:dyDescent="0.3">
      <c r="A722" s="103">
        <v>45997</v>
      </c>
      <c r="B722" s="94" t="s">
        <v>36</v>
      </c>
      <c r="C722" s="95" t="s">
        <v>442</v>
      </c>
      <c r="D722" s="94" t="s">
        <v>403</v>
      </c>
      <c r="E722" s="104">
        <v>1.256944444444444</v>
      </c>
      <c r="F722" s="94" t="s">
        <v>42</v>
      </c>
      <c r="G722" s="96">
        <v>9</v>
      </c>
      <c r="H722" s="97">
        <v>599</v>
      </c>
      <c r="I722" s="88"/>
    </row>
    <row r="723" spans="1:9" ht="19.8" customHeight="1" x14ac:dyDescent="0.3">
      <c r="A723" s="103">
        <v>45997</v>
      </c>
      <c r="B723" s="94" t="s">
        <v>410</v>
      </c>
      <c r="C723" s="95" t="s">
        <v>413</v>
      </c>
      <c r="D723" s="94" t="s">
        <v>403</v>
      </c>
      <c r="E723" s="104">
        <v>1.666666666666667</v>
      </c>
      <c r="F723" s="94" t="s">
        <v>406</v>
      </c>
      <c r="G723" s="96">
        <v>6</v>
      </c>
      <c r="H723" s="97">
        <v>599</v>
      </c>
      <c r="I723" s="88"/>
    </row>
    <row r="724" spans="1:9" ht="19.8" customHeight="1" x14ac:dyDescent="0.3">
      <c r="A724" s="103">
        <v>45997</v>
      </c>
      <c r="B724" s="94" t="s">
        <v>66</v>
      </c>
      <c r="C724" s="95" t="s">
        <v>488</v>
      </c>
      <c r="D724" s="94" t="s">
        <v>403</v>
      </c>
      <c r="E724" s="104">
        <v>1.229166666666667</v>
      </c>
      <c r="F724" s="94" t="s">
        <v>68</v>
      </c>
      <c r="G724" s="96">
        <v>9</v>
      </c>
      <c r="H724" s="97">
        <v>615</v>
      </c>
      <c r="I724" s="88"/>
    </row>
    <row r="725" spans="1:9" ht="19.8" customHeight="1" x14ac:dyDescent="0.3">
      <c r="A725" s="103">
        <v>45997</v>
      </c>
      <c r="B725" s="94" t="s">
        <v>66</v>
      </c>
      <c r="C725" s="95" t="s">
        <v>505</v>
      </c>
      <c r="D725" s="94" t="s">
        <v>403</v>
      </c>
      <c r="E725" s="104">
        <v>1.145833333333333</v>
      </c>
      <c r="F725" s="94" t="s">
        <v>68</v>
      </c>
      <c r="G725" s="96">
        <v>9</v>
      </c>
      <c r="H725" s="97">
        <v>615</v>
      </c>
      <c r="I725" s="88"/>
    </row>
    <row r="726" spans="1:9" ht="19.8" customHeight="1" x14ac:dyDescent="0.3">
      <c r="A726" s="103">
        <v>45997</v>
      </c>
      <c r="B726" s="94" t="s">
        <v>66</v>
      </c>
      <c r="C726" s="95" t="s">
        <v>490</v>
      </c>
      <c r="D726" s="94" t="s">
        <v>403</v>
      </c>
      <c r="E726" s="104">
        <v>1.2777777777777779</v>
      </c>
      <c r="F726" s="94" t="s">
        <v>68</v>
      </c>
      <c r="G726" s="96">
        <v>9</v>
      </c>
      <c r="H726" s="97">
        <v>615</v>
      </c>
      <c r="I726" s="88"/>
    </row>
    <row r="727" spans="1:9" ht="19.8" customHeight="1" x14ac:dyDescent="0.3">
      <c r="A727" s="103">
        <v>45997</v>
      </c>
      <c r="B727" s="94" t="s">
        <v>36</v>
      </c>
      <c r="C727" s="95" t="s">
        <v>438</v>
      </c>
      <c r="D727" s="94" t="s">
        <v>403</v>
      </c>
      <c r="E727" s="104">
        <v>1.854166666666667</v>
      </c>
      <c r="F727" s="94" t="s">
        <v>40</v>
      </c>
      <c r="G727" s="96">
        <v>6</v>
      </c>
      <c r="H727" s="97">
        <v>629</v>
      </c>
      <c r="I727" s="88"/>
    </row>
    <row r="728" spans="1:9" ht="19.8" customHeight="1" x14ac:dyDescent="0.3">
      <c r="A728" s="103">
        <v>45997</v>
      </c>
      <c r="B728" s="94" t="s">
        <v>36</v>
      </c>
      <c r="C728" s="95" t="s">
        <v>435</v>
      </c>
      <c r="D728" s="94" t="s">
        <v>403</v>
      </c>
      <c r="E728" s="104">
        <v>1.9027777777777779</v>
      </c>
      <c r="F728" s="94" t="s">
        <v>40</v>
      </c>
      <c r="G728" s="96">
        <v>5</v>
      </c>
      <c r="H728" s="97">
        <v>629</v>
      </c>
      <c r="I728" s="88"/>
    </row>
    <row r="729" spans="1:9" ht="19.8" customHeight="1" x14ac:dyDescent="0.3">
      <c r="A729" s="103">
        <v>45997</v>
      </c>
      <c r="B729" s="94" t="s">
        <v>36</v>
      </c>
      <c r="C729" s="95" t="s">
        <v>443</v>
      </c>
      <c r="D729" s="94" t="s">
        <v>403</v>
      </c>
      <c r="E729" s="104">
        <v>1.46875</v>
      </c>
      <c r="F729" s="94" t="s">
        <v>42</v>
      </c>
      <c r="G729" s="96">
        <v>9</v>
      </c>
      <c r="H729" s="97">
        <v>639</v>
      </c>
      <c r="I729" s="88"/>
    </row>
    <row r="730" spans="1:9" ht="19.8" customHeight="1" x14ac:dyDescent="0.3">
      <c r="A730" s="103">
        <v>45997</v>
      </c>
      <c r="B730" s="94" t="s">
        <v>36</v>
      </c>
      <c r="C730" s="95" t="s">
        <v>444</v>
      </c>
      <c r="D730" s="94" t="s">
        <v>403</v>
      </c>
      <c r="E730" s="104">
        <v>1.5173611111111109</v>
      </c>
      <c r="F730" s="94" t="s">
        <v>42</v>
      </c>
      <c r="G730" s="96">
        <v>6</v>
      </c>
      <c r="H730" s="97">
        <v>639</v>
      </c>
      <c r="I730" s="88"/>
    </row>
    <row r="731" spans="1:9" ht="19.8" customHeight="1" x14ac:dyDescent="0.3">
      <c r="A731" s="103">
        <v>45997</v>
      </c>
      <c r="B731" s="94" t="s">
        <v>36</v>
      </c>
      <c r="C731" s="95" t="s">
        <v>445</v>
      </c>
      <c r="D731" s="94" t="s">
        <v>403</v>
      </c>
      <c r="E731" s="104">
        <v>1.7986111111111109</v>
      </c>
      <c r="F731" s="94" t="s">
        <v>42</v>
      </c>
      <c r="G731" s="96">
        <v>5</v>
      </c>
      <c r="H731" s="97">
        <v>639</v>
      </c>
      <c r="I731" s="88"/>
    </row>
    <row r="732" spans="1:9" ht="19.8" customHeight="1" x14ac:dyDescent="0.3">
      <c r="A732" s="103">
        <v>45997</v>
      </c>
      <c r="B732" s="94" t="s">
        <v>78</v>
      </c>
      <c r="C732" s="95" t="s">
        <v>461</v>
      </c>
      <c r="D732" s="94" t="s">
        <v>403</v>
      </c>
      <c r="E732" s="104">
        <v>1.243055555555556</v>
      </c>
      <c r="F732" s="94" t="s">
        <v>80</v>
      </c>
      <c r="G732" s="96">
        <v>9</v>
      </c>
      <c r="H732" s="97">
        <v>678</v>
      </c>
      <c r="I732" s="88"/>
    </row>
    <row r="733" spans="1:9" ht="19.8" customHeight="1" x14ac:dyDescent="0.3">
      <c r="A733" s="103">
        <v>45997</v>
      </c>
      <c r="B733" s="94" t="s">
        <v>36</v>
      </c>
      <c r="C733" s="95" t="s">
        <v>446</v>
      </c>
      <c r="D733" s="94" t="s">
        <v>403</v>
      </c>
      <c r="E733" s="104">
        <v>1.645833333333333</v>
      </c>
      <c r="F733" s="94" t="s">
        <v>42</v>
      </c>
      <c r="G733" s="96">
        <v>9</v>
      </c>
      <c r="H733" s="97">
        <v>679</v>
      </c>
      <c r="I733" s="88"/>
    </row>
    <row r="734" spans="1:9" ht="19.8" customHeight="1" x14ac:dyDescent="0.3">
      <c r="A734" s="103">
        <v>45997</v>
      </c>
      <c r="B734" s="94" t="s">
        <v>36</v>
      </c>
      <c r="C734" s="95" t="s">
        <v>438</v>
      </c>
      <c r="D734" s="94" t="s">
        <v>403</v>
      </c>
      <c r="E734" s="104">
        <v>1.854166666666667</v>
      </c>
      <c r="F734" s="94" t="s">
        <v>42</v>
      </c>
      <c r="G734" s="96">
        <v>6</v>
      </c>
      <c r="H734" s="97">
        <v>719</v>
      </c>
      <c r="I734" s="88"/>
    </row>
    <row r="735" spans="1:9" ht="19.8" customHeight="1" x14ac:dyDescent="0.3">
      <c r="A735" s="103">
        <v>45997</v>
      </c>
      <c r="B735" s="94" t="s">
        <v>36</v>
      </c>
      <c r="C735" s="95" t="s">
        <v>435</v>
      </c>
      <c r="D735" s="94" t="s">
        <v>403</v>
      </c>
      <c r="E735" s="104">
        <v>1.9027777777777779</v>
      </c>
      <c r="F735" s="94" t="s">
        <v>42</v>
      </c>
      <c r="G735" s="96">
        <v>5</v>
      </c>
      <c r="H735" s="97">
        <v>719</v>
      </c>
      <c r="I735" s="88"/>
    </row>
    <row r="736" spans="1:9" ht="19.8" customHeight="1" x14ac:dyDescent="0.3">
      <c r="A736" s="103">
        <v>45997</v>
      </c>
      <c r="B736" s="94" t="s">
        <v>78</v>
      </c>
      <c r="C736" s="95" t="s">
        <v>461</v>
      </c>
      <c r="D736" s="94" t="s">
        <v>403</v>
      </c>
      <c r="E736" s="104">
        <v>1.243055555555556</v>
      </c>
      <c r="F736" s="94" t="s">
        <v>83</v>
      </c>
      <c r="G736" s="96">
        <v>9</v>
      </c>
      <c r="H736" s="97">
        <v>723</v>
      </c>
      <c r="I736" s="88"/>
    </row>
    <row r="737" spans="1:9" ht="19.8" customHeight="1" x14ac:dyDescent="0.3">
      <c r="A737" s="103">
        <v>45997</v>
      </c>
      <c r="B737" s="94" t="s">
        <v>78</v>
      </c>
      <c r="C737" s="95" t="s">
        <v>469</v>
      </c>
      <c r="D737" s="94" t="s">
        <v>403</v>
      </c>
      <c r="E737" s="104">
        <v>1.3784722222222221</v>
      </c>
      <c r="F737" s="94" t="s">
        <v>80</v>
      </c>
      <c r="G737" s="96">
        <v>9</v>
      </c>
      <c r="H737" s="97">
        <v>935</v>
      </c>
      <c r="I737" s="88"/>
    </row>
    <row r="738" spans="1:9" ht="19.8" customHeight="1" x14ac:dyDescent="0.3">
      <c r="A738" s="103">
        <v>45997</v>
      </c>
      <c r="B738" s="94" t="s">
        <v>78</v>
      </c>
      <c r="C738" s="95" t="s">
        <v>469</v>
      </c>
      <c r="D738" s="94" t="s">
        <v>403</v>
      </c>
      <c r="E738" s="104">
        <v>1.3784722222222221</v>
      </c>
      <c r="F738" s="94" t="s">
        <v>83</v>
      </c>
      <c r="G738" s="96">
        <v>9</v>
      </c>
      <c r="H738" s="97">
        <v>980</v>
      </c>
      <c r="I738" s="88"/>
    </row>
    <row r="739" spans="1:9" ht="19.8" customHeight="1" x14ac:dyDescent="0.3">
      <c r="A739" s="103">
        <v>45997</v>
      </c>
      <c r="B739" s="94" t="s">
        <v>26</v>
      </c>
      <c r="C739" s="95" t="s">
        <v>451</v>
      </c>
      <c r="D739" s="94" t="s">
        <v>403</v>
      </c>
      <c r="E739" s="104">
        <v>1.1284722222222221</v>
      </c>
      <c r="F739" s="94" t="s">
        <v>34</v>
      </c>
      <c r="G739" s="96">
        <v>15</v>
      </c>
      <c r="H739" s="107" t="s">
        <v>35</v>
      </c>
      <c r="I739" s="88"/>
    </row>
    <row r="740" spans="1:9" ht="19.8" customHeight="1" x14ac:dyDescent="0.3">
      <c r="A740" s="103">
        <v>45997</v>
      </c>
      <c r="B740" s="94" t="s">
        <v>26</v>
      </c>
      <c r="C740" s="95" t="s">
        <v>453</v>
      </c>
      <c r="D740" s="94" t="s">
        <v>403</v>
      </c>
      <c r="E740" s="104">
        <v>1.302083333333333</v>
      </c>
      <c r="F740" s="94" t="s">
        <v>34</v>
      </c>
      <c r="G740" s="96">
        <v>11</v>
      </c>
      <c r="H740" s="107" t="s">
        <v>35</v>
      </c>
      <c r="I740" s="88"/>
    </row>
    <row r="741" spans="1:9" ht="19.8" customHeight="1" x14ac:dyDescent="0.3">
      <c r="A741" s="103">
        <v>45997</v>
      </c>
      <c r="B741" s="94" t="s">
        <v>26</v>
      </c>
      <c r="C741" s="95" t="s">
        <v>454</v>
      </c>
      <c r="D741" s="94" t="s">
        <v>403</v>
      </c>
      <c r="E741" s="104">
        <v>1.8888888888888891</v>
      </c>
      <c r="F741" s="94" t="s">
        <v>34</v>
      </c>
      <c r="G741" s="96">
        <v>3</v>
      </c>
      <c r="H741" s="107" t="s">
        <v>35</v>
      </c>
      <c r="I741" s="88"/>
    </row>
    <row r="742" spans="1:9" ht="19.8" customHeight="1" x14ac:dyDescent="0.3">
      <c r="A742" s="103">
        <v>45997</v>
      </c>
      <c r="B742" s="94" t="s">
        <v>26</v>
      </c>
      <c r="C742" s="95" t="s">
        <v>455</v>
      </c>
      <c r="D742" s="94" t="s">
        <v>403</v>
      </c>
      <c r="E742" s="104">
        <v>1.788194444444444</v>
      </c>
      <c r="F742" s="94" t="s">
        <v>34</v>
      </c>
      <c r="G742" s="96">
        <v>13</v>
      </c>
      <c r="H742" s="107" t="s">
        <v>35</v>
      </c>
      <c r="I742" s="88"/>
    </row>
    <row r="743" spans="1:9" ht="19.8" customHeight="1" x14ac:dyDescent="0.3">
      <c r="A743" s="103">
        <v>45997</v>
      </c>
      <c r="B743" s="94" t="s">
        <v>78</v>
      </c>
      <c r="C743" s="95" t="s">
        <v>475</v>
      </c>
      <c r="D743" s="94" t="s">
        <v>403</v>
      </c>
      <c r="E743" s="104">
        <v>1.302083333333333</v>
      </c>
      <c r="F743" s="94" t="s">
        <v>83</v>
      </c>
      <c r="G743" s="96">
        <v>4</v>
      </c>
      <c r="H743" s="107" t="s">
        <v>535</v>
      </c>
      <c r="I743" s="88"/>
    </row>
    <row r="744" spans="1:9" ht="19.8" customHeight="1" x14ac:dyDescent="0.3">
      <c r="A744" s="103">
        <v>45997</v>
      </c>
      <c r="B744" s="94" t="s">
        <v>78</v>
      </c>
      <c r="C744" s="95" t="s">
        <v>476</v>
      </c>
      <c r="D744" s="94" t="s">
        <v>403</v>
      </c>
      <c r="E744" s="104">
        <v>1.1284722222222221</v>
      </c>
      <c r="F744" s="94" t="s">
        <v>83</v>
      </c>
      <c r="G744" s="96">
        <v>4</v>
      </c>
      <c r="H744" s="107" t="s">
        <v>535</v>
      </c>
      <c r="I744" s="88"/>
    </row>
    <row r="745" spans="1:9" ht="19.8" customHeight="1" x14ac:dyDescent="0.3">
      <c r="A745" s="103">
        <v>45997</v>
      </c>
      <c r="B745" s="94" t="s">
        <v>66</v>
      </c>
      <c r="C745" s="95" t="s">
        <v>485</v>
      </c>
      <c r="D745" s="94" t="s">
        <v>403</v>
      </c>
      <c r="E745" s="104">
        <v>1.4861111111111109</v>
      </c>
      <c r="F745" s="94" t="s">
        <v>68</v>
      </c>
      <c r="G745" s="96">
        <v>9</v>
      </c>
      <c r="H745" s="107" t="s">
        <v>510</v>
      </c>
      <c r="I745" s="88"/>
    </row>
    <row r="746" spans="1:9" ht="19.8" customHeight="1" x14ac:dyDescent="0.3">
      <c r="A746" s="103">
        <v>45997</v>
      </c>
      <c r="B746" s="94" t="s">
        <v>78</v>
      </c>
      <c r="C746" s="95" t="s">
        <v>464</v>
      </c>
      <c r="D746" s="94" t="s">
        <v>403</v>
      </c>
      <c r="E746" s="104">
        <v>1.006944444444444</v>
      </c>
      <c r="F746" s="94" t="s">
        <v>80</v>
      </c>
      <c r="G746" s="96">
        <v>9</v>
      </c>
      <c r="H746" s="107" t="s">
        <v>511</v>
      </c>
      <c r="I746" s="88"/>
    </row>
    <row r="747" spans="1:9" ht="19.8" customHeight="1" x14ac:dyDescent="0.3">
      <c r="A747" s="103">
        <v>45997</v>
      </c>
      <c r="B747" s="94" t="s">
        <v>78</v>
      </c>
      <c r="C747" s="95" t="s">
        <v>467</v>
      </c>
      <c r="D747" s="94" t="s">
        <v>403</v>
      </c>
      <c r="E747" s="104">
        <v>1.1423611111111109</v>
      </c>
      <c r="F747" s="94" t="s">
        <v>80</v>
      </c>
      <c r="G747" s="96">
        <v>8</v>
      </c>
      <c r="H747" s="107" t="s">
        <v>511</v>
      </c>
      <c r="I747" s="88"/>
    </row>
    <row r="748" spans="1:9" ht="19.8" customHeight="1" x14ac:dyDescent="0.3">
      <c r="A748" s="103">
        <v>45997</v>
      </c>
      <c r="B748" s="94" t="s">
        <v>78</v>
      </c>
      <c r="C748" s="95" t="s">
        <v>468</v>
      </c>
      <c r="D748" s="94" t="s">
        <v>403</v>
      </c>
      <c r="E748" s="104">
        <v>1.930555555555556</v>
      </c>
      <c r="F748" s="94" t="s">
        <v>80</v>
      </c>
      <c r="G748" s="96">
        <v>7</v>
      </c>
      <c r="H748" s="107" t="s">
        <v>511</v>
      </c>
      <c r="I748" s="88"/>
    </row>
    <row r="749" spans="1:9" ht="19.8" customHeight="1" x14ac:dyDescent="0.3">
      <c r="A749" s="103">
        <v>45997</v>
      </c>
      <c r="B749" s="94" t="s">
        <v>78</v>
      </c>
      <c r="C749" s="95" t="s">
        <v>470</v>
      </c>
      <c r="D749" s="94" t="s">
        <v>403</v>
      </c>
      <c r="E749" s="104">
        <v>1.71875</v>
      </c>
      <c r="F749" s="94" t="s">
        <v>80</v>
      </c>
      <c r="G749" s="96">
        <v>9</v>
      </c>
      <c r="H749" s="107" t="s">
        <v>511</v>
      </c>
      <c r="I749" s="88"/>
    </row>
    <row r="750" spans="1:9" ht="19.8" customHeight="1" x14ac:dyDescent="0.3">
      <c r="A750" s="103">
        <v>45997</v>
      </c>
      <c r="B750" s="94" t="s">
        <v>78</v>
      </c>
      <c r="C750" s="95" t="s">
        <v>477</v>
      </c>
      <c r="D750" s="94" t="s">
        <v>403</v>
      </c>
      <c r="E750" s="104">
        <v>1.8298611111111109</v>
      </c>
      <c r="F750" s="94" t="s">
        <v>80</v>
      </c>
      <c r="G750" s="96">
        <v>9</v>
      </c>
      <c r="H750" s="107" t="s">
        <v>511</v>
      </c>
      <c r="I750" s="88"/>
    </row>
    <row r="751" spans="1:9" ht="19.8" customHeight="1" x14ac:dyDescent="0.3">
      <c r="A751" s="103">
        <v>45997</v>
      </c>
      <c r="B751" s="94" t="s">
        <v>78</v>
      </c>
      <c r="C751" s="95" t="s">
        <v>482</v>
      </c>
      <c r="D751" s="94" t="s">
        <v>403</v>
      </c>
      <c r="E751" s="104">
        <v>1.6111111111111109</v>
      </c>
      <c r="F751" s="94" t="s">
        <v>80</v>
      </c>
      <c r="G751" s="96">
        <v>4</v>
      </c>
      <c r="H751" s="107" t="s">
        <v>511</v>
      </c>
      <c r="I751" s="88"/>
    </row>
    <row r="752" spans="1:9" ht="19.8" customHeight="1" x14ac:dyDescent="0.3">
      <c r="A752" s="103">
        <v>45997</v>
      </c>
      <c r="B752" s="94" t="s">
        <v>78</v>
      </c>
      <c r="C752" s="95" t="s">
        <v>464</v>
      </c>
      <c r="D752" s="94" t="s">
        <v>403</v>
      </c>
      <c r="E752" s="104">
        <v>1.006944444444444</v>
      </c>
      <c r="F752" s="94" t="s">
        <v>83</v>
      </c>
      <c r="G752" s="96">
        <v>9</v>
      </c>
      <c r="H752" s="107" t="s">
        <v>512</v>
      </c>
      <c r="I752" s="88"/>
    </row>
    <row r="753" spans="1:9" ht="19.8" customHeight="1" x14ac:dyDescent="0.3">
      <c r="A753" s="103">
        <v>45997</v>
      </c>
      <c r="B753" s="94" t="s">
        <v>78</v>
      </c>
      <c r="C753" s="95" t="s">
        <v>467</v>
      </c>
      <c r="D753" s="94" t="s">
        <v>403</v>
      </c>
      <c r="E753" s="104">
        <v>1.1423611111111109</v>
      </c>
      <c r="F753" s="94" t="s">
        <v>83</v>
      </c>
      <c r="G753" s="96">
        <v>8</v>
      </c>
      <c r="H753" s="107" t="s">
        <v>512</v>
      </c>
      <c r="I753" s="88"/>
    </row>
    <row r="754" spans="1:9" ht="19.8" customHeight="1" x14ac:dyDescent="0.3">
      <c r="A754" s="103">
        <v>45997</v>
      </c>
      <c r="B754" s="94" t="s">
        <v>78</v>
      </c>
      <c r="C754" s="95" t="s">
        <v>468</v>
      </c>
      <c r="D754" s="94" t="s">
        <v>403</v>
      </c>
      <c r="E754" s="104">
        <v>1.930555555555556</v>
      </c>
      <c r="F754" s="94" t="s">
        <v>83</v>
      </c>
      <c r="G754" s="96">
        <v>7</v>
      </c>
      <c r="H754" s="107" t="s">
        <v>512</v>
      </c>
      <c r="I754" s="88"/>
    </row>
    <row r="755" spans="1:9" ht="19.8" customHeight="1" x14ac:dyDescent="0.3">
      <c r="A755" s="103">
        <v>45997</v>
      </c>
      <c r="B755" s="94" t="s">
        <v>78</v>
      </c>
      <c r="C755" s="95" t="s">
        <v>470</v>
      </c>
      <c r="D755" s="94" t="s">
        <v>403</v>
      </c>
      <c r="E755" s="104">
        <v>1.71875</v>
      </c>
      <c r="F755" s="94" t="s">
        <v>83</v>
      </c>
      <c r="G755" s="96">
        <v>9</v>
      </c>
      <c r="H755" s="107" t="s">
        <v>512</v>
      </c>
      <c r="I755" s="88"/>
    </row>
    <row r="756" spans="1:9" ht="19.8" customHeight="1" x14ac:dyDescent="0.3">
      <c r="A756" s="103">
        <v>45997</v>
      </c>
      <c r="B756" s="94" t="s">
        <v>78</v>
      </c>
      <c r="C756" s="95" t="s">
        <v>477</v>
      </c>
      <c r="D756" s="94" t="s">
        <v>403</v>
      </c>
      <c r="E756" s="104">
        <v>1.8298611111111109</v>
      </c>
      <c r="F756" s="94" t="s">
        <v>83</v>
      </c>
      <c r="G756" s="96">
        <v>9</v>
      </c>
      <c r="H756" s="107" t="s">
        <v>512</v>
      </c>
      <c r="I756" s="88"/>
    </row>
    <row r="757" spans="1:9" ht="19.8" customHeight="1" x14ac:dyDescent="0.3">
      <c r="A757" s="103">
        <v>45997</v>
      </c>
      <c r="B757" s="94" t="s">
        <v>78</v>
      </c>
      <c r="C757" s="95" t="s">
        <v>482</v>
      </c>
      <c r="D757" s="94" t="s">
        <v>403</v>
      </c>
      <c r="E757" s="104">
        <v>1.6111111111111109</v>
      </c>
      <c r="F757" s="94" t="s">
        <v>83</v>
      </c>
      <c r="G757" s="96">
        <v>4</v>
      </c>
      <c r="H757" s="107" t="s">
        <v>512</v>
      </c>
      <c r="I757" s="88"/>
    </row>
    <row r="758" spans="1:9" ht="19.8" customHeight="1" x14ac:dyDescent="0.3">
      <c r="A758" s="103">
        <v>45997</v>
      </c>
      <c r="B758" s="94" t="s">
        <v>78</v>
      </c>
      <c r="C758" s="95" t="s">
        <v>473</v>
      </c>
      <c r="D758" s="94" t="s">
        <v>403</v>
      </c>
      <c r="E758" s="104">
        <v>1.8888888888888891</v>
      </c>
      <c r="F758" s="94" t="s">
        <v>83</v>
      </c>
      <c r="G758" s="96">
        <v>4</v>
      </c>
      <c r="H758" s="107" t="s">
        <v>474</v>
      </c>
      <c r="I758" s="88"/>
    </row>
    <row r="759" spans="1:9" ht="19.8" customHeight="1" x14ac:dyDescent="0.3">
      <c r="A759" s="103">
        <v>45997</v>
      </c>
      <c r="B759" s="94" t="s">
        <v>78</v>
      </c>
      <c r="C759" s="95" t="s">
        <v>480</v>
      </c>
      <c r="D759" s="94" t="s">
        <v>403</v>
      </c>
      <c r="E759" s="104">
        <v>1.788194444444444</v>
      </c>
      <c r="F759" s="94" t="s">
        <v>83</v>
      </c>
      <c r="G759" s="96">
        <v>4</v>
      </c>
      <c r="H759" s="107" t="s">
        <v>474</v>
      </c>
      <c r="I759" s="88"/>
    </row>
    <row r="760" spans="1:9" ht="19.8" customHeight="1" x14ac:dyDescent="0.3">
      <c r="A760" s="103">
        <v>45997</v>
      </c>
      <c r="B760" s="94" t="s">
        <v>66</v>
      </c>
      <c r="C760" s="95" t="s">
        <v>487</v>
      </c>
      <c r="D760" s="94" t="s">
        <v>403</v>
      </c>
      <c r="E760" s="104">
        <v>1.506944444444444</v>
      </c>
      <c r="F760" s="94" t="s">
        <v>68</v>
      </c>
      <c r="G760" s="96">
        <v>9</v>
      </c>
      <c r="H760" s="107" t="s">
        <v>493</v>
      </c>
      <c r="I760" s="88"/>
    </row>
    <row r="761" spans="1:9" ht="19.8" customHeight="1" x14ac:dyDescent="0.3">
      <c r="A761" s="103">
        <v>45997</v>
      </c>
      <c r="B761" s="94" t="s">
        <v>66</v>
      </c>
      <c r="C761" s="95" t="s">
        <v>509</v>
      </c>
      <c r="D761" s="94" t="s">
        <v>403</v>
      </c>
      <c r="E761" s="104">
        <v>1.0138888888888891</v>
      </c>
      <c r="F761" s="94" t="s">
        <v>68</v>
      </c>
      <c r="G761" s="96">
        <v>4</v>
      </c>
      <c r="H761" s="107" t="s">
        <v>557</v>
      </c>
      <c r="I761" s="88"/>
    </row>
    <row r="762" spans="1:9" ht="19.8" customHeight="1" x14ac:dyDescent="0.3">
      <c r="A762" s="108">
        <v>45997</v>
      </c>
      <c r="B762" s="109" t="s">
        <v>44</v>
      </c>
      <c r="C762" s="110" t="s">
        <v>427</v>
      </c>
      <c r="D762" s="109" t="s">
        <v>403</v>
      </c>
      <c r="E762" s="111">
        <v>1.680555555555556</v>
      </c>
      <c r="F762" s="109" t="s">
        <v>61</v>
      </c>
      <c r="G762" s="109"/>
      <c r="H762" s="112" t="s">
        <v>62</v>
      </c>
      <c r="I762" s="88"/>
    </row>
    <row r="763" spans="1:9" ht="19.8" customHeight="1" x14ac:dyDescent="0.3">
      <c r="A763" s="103">
        <v>45998</v>
      </c>
      <c r="B763" s="94" t="s">
        <v>36</v>
      </c>
      <c r="C763" s="95" t="s">
        <v>442</v>
      </c>
      <c r="D763" s="94" t="s">
        <v>403</v>
      </c>
      <c r="E763" s="104">
        <v>1.256944444444444</v>
      </c>
      <c r="F763" s="94" t="s">
        <v>38</v>
      </c>
      <c r="G763" s="96">
        <v>9</v>
      </c>
      <c r="H763" s="97">
        <v>329</v>
      </c>
      <c r="I763" s="88"/>
    </row>
    <row r="764" spans="1:9" ht="19.8" customHeight="1" x14ac:dyDescent="0.3">
      <c r="A764" s="103">
        <v>45998</v>
      </c>
      <c r="B764" s="94" t="s">
        <v>26</v>
      </c>
      <c r="C764" s="95" t="s">
        <v>451</v>
      </c>
      <c r="D764" s="94" t="s">
        <v>403</v>
      </c>
      <c r="E764" s="104">
        <v>1.1284722222222221</v>
      </c>
      <c r="F764" s="94" t="s">
        <v>28</v>
      </c>
      <c r="G764" s="96">
        <v>2</v>
      </c>
      <c r="H764" s="97">
        <v>359</v>
      </c>
      <c r="I764" s="88"/>
    </row>
    <row r="765" spans="1:9" ht="19.8" customHeight="1" x14ac:dyDescent="0.3">
      <c r="A765" s="103">
        <v>45998</v>
      </c>
      <c r="B765" s="94" t="s">
        <v>36</v>
      </c>
      <c r="C765" s="95" t="s">
        <v>443</v>
      </c>
      <c r="D765" s="94" t="s">
        <v>403</v>
      </c>
      <c r="E765" s="104">
        <v>1.302083333333333</v>
      </c>
      <c r="F765" s="94" t="s">
        <v>38</v>
      </c>
      <c r="G765" s="96">
        <v>8</v>
      </c>
      <c r="H765" s="97">
        <v>369</v>
      </c>
      <c r="I765" s="88"/>
    </row>
    <row r="766" spans="1:9" ht="19.8" customHeight="1" x14ac:dyDescent="0.3">
      <c r="A766" s="103">
        <v>45998</v>
      </c>
      <c r="B766" s="94" t="s">
        <v>36</v>
      </c>
      <c r="C766" s="95" t="s">
        <v>447</v>
      </c>
      <c r="D766" s="94" t="s">
        <v>403</v>
      </c>
      <c r="E766" s="104">
        <v>1.395833333333333</v>
      </c>
      <c r="F766" s="94" t="s">
        <v>38</v>
      </c>
      <c r="G766" s="96">
        <v>3</v>
      </c>
      <c r="H766" s="97">
        <v>369</v>
      </c>
      <c r="I766" s="88"/>
    </row>
    <row r="767" spans="1:9" ht="19.8" customHeight="1" x14ac:dyDescent="0.3">
      <c r="A767" s="103">
        <v>45998</v>
      </c>
      <c r="B767" s="94" t="s">
        <v>26</v>
      </c>
      <c r="C767" s="95" t="s">
        <v>453</v>
      </c>
      <c r="D767" s="94" t="s">
        <v>403</v>
      </c>
      <c r="E767" s="104">
        <v>1.302083333333333</v>
      </c>
      <c r="F767" s="94" t="s">
        <v>28</v>
      </c>
      <c r="G767" s="96">
        <v>11</v>
      </c>
      <c r="H767" s="97">
        <v>389</v>
      </c>
      <c r="I767" s="88"/>
    </row>
    <row r="768" spans="1:9" ht="19.8" customHeight="1" x14ac:dyDescent="0.3">
      <c r="A768" s="103">
        <v>45998</v>
      </c>
      <c r="B768" s="94" t="s">
        <v>26</v>
      </c>
      <c r="C768" s="95" t="s">
        <v>454</v>
      </c>
      <c r="D768" s="94" t="s">
        <v>403</v>
      </c>
      <c r="E768" s="104">
        <v>1.8888888888888891</v>
      </c>
      <c r="F768" s="94" t="s">
        <v>28</v>
      </c>
      <c r="G768" s="96">
        <v>8</v>
      </c>
      <c r="H768" s="97">
        <v>389</v>
      </c>
      <c r="I768" s="88"/>
    </row>
    <row r="769" spans="1:9" ht="19.8" customHeight="1" x14ac:dyDescent="0.3">
      <c r="A769" s="103">
        <v>45998</v>
      </c>
      <c r="B769" s="94" t="s">
        <v>26</v>
      </c>
      <c r="C769" s="95" t="s">
        <v>455</v>
      </c>
      <c r="D769" s="94" t="s">
        <v>403</v>
      </c>
      <c r="E769" s="104">
        <v>1.788194444444444</v>
      </c>
      <c r="F769" s="94" t="s">
        <v>28</v>
      </c>
      <c r="G769" s="96">
        <v>2</v>
      </c>
      <c r="H769" s="97">
        <v>389</v>
      </c>
      <c r="I769" s="88"/>
    </row>
    <row r="770" spans="1:9" ht="19.8" customHeight="1" x14ac:dyDescent="0.3">
      <c r="A770" s="103">
        <v>45998</v>
      </c>
      <c r="B770" s="94" t="s">
        <v>404</v>
      </c>
      <c r="C770" s="95" t="s">
        <v>558</v>
      </c>
      <c r="D770" s="94" t="s">
        <v>403</v>
      </c>
      <c r="E770" s="104">
        <v>1.3472222222222221</v>
      </c>
      <c r="F770" s="94" t="s">
        <v>406</v>
      </c>
      <c r="G770" s="96">
        <v>9</v>
      </c>
      <c r="H770" s="97">
        <v>400</v>
      </c>
      <c r="I770" s="88"/>
    </row>
    <row r="771" spans="1:9" ht="19.8" customHeight="1" x14ac:dyDescent="0.3">
      <c r="A771" s="103">
        <v>45998</v>
      </c>
      <c r="B771" s="94" t="s">
        <v>410</v>
      </c>
      <c r="C771" s="95" t="s">
        <v>411</v>
      </c>
      <c r="D771" s="94" t="s">
        <v>403</v>
      </c>
      <c r="E771" s="104">
        <v>1.381944444444444</v>
      </c>
      <c r="F771" s="94" t="s">
        <v>406</v>
      </c>
      <c r="G771" s="96">
        <v>9</v>
      </c>
      <c r="H771" s="97">
        <v>401</v>
      </c>
      <c r="I771" s="88"/>
    </row>
    <row r="772" spans="1:9" ht="19.8" customHeight="1" x14ac:dyDescent="0.3">
      <c r="A772" s="103">
        <v>45998</v>
      </c>
      <c r="B772" s="94" t="s">
        <v>410</v>
      </c>
      <c r="C772" s="95" t="s">
        <v>413</v>
      </c>
      <c r="D772" s="94" t="s">
        <v>403</v>
      </c>
      <c r="E772" s="104">
        <v>1.666666666666667</v>
      </c>
      <c r="F772" s="94" t="s">
        <v>406</v>
      </c>
      <c r="G772" s="96">
        <v>9</v>
      </c>
      <c r="H772" s="97">
        <v>401</v>
      </c>
      <c r="I772" s="88"/>
    </row>
    <row r="773" spans="1:9" ht="19.8" customHeight="1" x14ac:dyDescent="0.3">
      <c r="A773" s="103">
        <v>45998</v>
      </c>
      <c r="B773" s="94" t="s">
        <v>36</v>
      </c>
      <c r="C773" s="95" t="s">
        <v>438</v>
      </c>
      <c r="D773" s="94" t="s">
        <v>403</v>
      </c>
      <c r="E773" s="104">
        <v>1.854166666666667</v>
      </c>
      <c r="F773" s="94" t="s">
        <v>38</v>
      </c>
      <c r="G773" s="96">
        <v>8</v>
      </c>
      <c r="H773" s="97">
        <v>409</v>
      </c>
      <c r="I773" s="88"/>
    </row>
    <row r="774" spans="1:9" ht="19.8" customHeight="1" x14ac:dyDescent="0.3">
      <c r="A774" s="103">
        <v>45998</v>
      </c>
      <c r="B774" s="94" t="s">
        <v>36</v>
      </c>
      <c r="C774" s="95" t="s">
        <v>435</v>
      </c>
      <c r="D774" s="94" t="s">
        <v>403</v>
      </c>
      <c r="E774" s="104">
        <v>1.9027777777777779</v>
      </c>
      <c r="F774" s="94" t="s">
        <v>38</v>
      </c>
      <c r="G774" s="96">
        <v>5</v>
      </c>
      <c r="H774" s="97">
        <v>409</v>
      </c>
      <c r="I774" s="88"/>
    </row>
    <row r="775" spans="1:9" ht="19.8" customHeight="1" x14ac:dyDescent="0.3">
      <c r="A775" s="103">
        <v>45998</v>
      </c>
      <c r="B775" s="94" t="s">
        <v>36</v>
      </c>
      <c r="C775" s="95" t="s">
        <v>442</v>
      </c>
      <c r="D775" s="94" t="s">
        <v>403</v>
      </c>
      <c r="E775" s="104">
        <v>1.256944444444444</v>
      </c>
      <c r="F775" s="94" t="s">
        <v>40</v>
      </c>
      <c r="G775" s="96">
        <v>9</v>
      </c>
      <c r="H775" s="97">
        <v>429</v>
      </c>
      <c r="I775" s="88"/>
    </row>
    <row r="776" spans="1:9" ht="19.8" customHeight="1" x14ac:dyDescent="0.3">
      <c r="A776" s="105">
        <v>45998</v>
      </c>
      <c r="B776" s="99" t="s">
        <v>44</v>
      </c>
      <c r="C776" s="100" t="s">
        <v>415</v>
      </c>
      <c r="D776" s="99" t="s">
        <v>403</v>
      </c>
      <c r="E776" s="106">
        <v>1.319444444444444</v>
      </c>
      <c r="F776" s="99" t="s">
        <v>46</v>
      </c>
      <c r="G776" s="101">
        <v>2</v>
      </c>
      <c r="H776" s="102">
        <v>436</v>
      </c>
      <c r="I776" s="88"/>
    </row>
    <row r="777" spans="1:9" ht="19.8" customHeight="1" x14ac:dyDescent="0.3">
      <c r="A777" s="105">
        <v>45998</v>
      </c>
      <c r="B777" s="99" t="s">
        <v>44</v>
      </c>
      <c r="C777" s="100" t="s">
        <v>422</v>
      </c>
      <c r="D777" s="99" t="s">
        <v>403</v>
      </c>
      <c r="E777" s="106">
        <v>1.083333333333333</v>
      </c>
      <c r="F777" s="99" t="s">
        <v>46</v>
      </c>
      <c r="G777" s="101">
        <v>9</v>
      </c>
      <c r="H777" s="102">
        <v>436</v>
      </c>
      <c r="I777" s="88"/>
    </row>
    <row r="778" spans="1:9" ht="19.8" customHeight="1" x14ac:dyDescent="0.3">
      <c r="A778" s="103">
        <v>45998</v>
      </c>
      <c r="B778" s="94" t="s">
        <v>36</v>
      </c>
      <c r="C778" s="95" t="s">
        <v>444</v>
      </c>
      <c r="D778" s="94" t="s">
        <v>403</v>
      </c>
      <c r="E778" s="104">
        <v>1.5173611111111109</v>
      </c>
      <c r="F778" s="94" t="s">
        <v>38</v>
      </c>
      <c r="G778" s="96">
        <v>8</v>
      </c>
      <c r="H778" s="97">
        <v>449</v>
      </c>
      <c r="I778" s="88"/>
    </row>
    <row r="779" spans="1:9" ht="19.8" customHeight="1" x14ac:dyDescent="0.3">
      <c r="A779" s="103">
        <v>45998</v>
      </c>
      <c r="B779" s="94" t="s">
        <v>36</v>
      </c>
      <c r="C779" s="95" t="s">
        <v>445</v>
      </c>
      <c r="D779" s="94" t="s">
        <v>403</v>
      </c>
      <c r="E779" s="104">
        <v>1.7986111111111109</v>
      </c>
      <c r="F779" s="94" t="s">
        <v>38</v>
      </c>
      <c r="G779" s="96">
        <v>9</v>
      </c>
      <c r="H779" s="97">
        <v>449</v>
      </c>
      <c r="I779" s="88"/>
    </row>
    <row r="780" spans="1:9" ht="19.8" customHeight="1" x14ac:dyDescent="0.3">
      <c r="A780" s="103">
        <v>45998</v>
      </c>
      <c r="B780" s="94" t="s">
        <v>36</v>
      </c>
      <c r="C780" s="95" t="s">
        <v>446</v>
      </c>
      <c r="D780" s="94" t="s">
        <v>403</v>
      </c>
      <c r="E780" s="104">
        <v>1.645833333333333</v>
      </c>
      <c r="F780" s="94" t="s">
        <v>38</v>
      </c>
      <c r="G780" s="96">
        <v>5</v>
      </c>
      <c r="H780" s="97">
        <v>449</v>
      </c>
      <c r="I780" s="88"/>
    </row>
    <row r="781" spans="1:9" ht="19.8" customHeight="1" x14ac:dyDescent="0.3">
      <c r="A781" s="103">
        <v>45998</v>
      </c>
      <c r="B781" s="94" t="s">
        <v>36</v>
      </c>
      <c r="C781" s="95" t="s">
        <v>443</v>
      </c>
      <c r="D781" s="94" t="s">
        <v>403</v>
      </c>
      <c r="E781" s="104">
        <v>1.302083333333333</v>
      </c>
      <c r="F781" s="94" t="s">
        <v>40</v>
      </c>
      <c r="G781" s="96">
        <v>8</v>
      </c>
      <c r="H781" s="97">
        <v>469</v>
      </c>
      <c r="I781" s="88"/>
    </row>
    <row r="782" spans="1:9" ht="19.8" customHeight="1" x14ac:dyDescent="0.3">
      <c r="A782" s="103">
        <v>45998</v>
      </c>
      <c r="B782" s="94" t="s">
        <v>36</v>
      </c>
      <c r="C782" s="95" t="s">
        <v>447</v>
      </c>
      <c r="D782" s="94" t="s">
        <v>403</v>
      </c>
      <c r="E782" s="104">
        <v>1.395833333333333</v>
      </c>
      <c r="F782" s="94" t="s">
        <v>40</v>
      </c>
      <c r="G782" s="96">
        <v>3</v>
      </c>
      <c r="H782" s="97">
        <v>469</v>
      </c>
      <c r="I782" s="88"/>
    </row>
    <row r="783" spans="1:9" ht="19.8" customHeight="1" x14ac:dyDescent="0.3">
      <c r="A783" s="105">
        <v>45998</v>
      </c>
      <c r="B783" s="99" t="s">
        <v>44</v>
      </c>
      <c r="C783" s="100" t="s">
        <v>523</v>
      </c>
      <c r="D783" s="99" t="s">
        <v>403</v>
      </c>
      <c r="E783" s="106">
        <v>1.333333333333333</v>
      </c>
      <c r="F783" s="99" t="s">
        <v>46</v>
      </c>
      <c r="G783" s="101">
        <v>5</v>
      </c>
      <c r="H783" s="102">
        <v>471</v>
      </c>
      <c r="I783" s="88"/>
    </row>
    <row r="784" spans="1:9" ht="19.8" customHeight="1" x14ac:dyDescent="0.3">
      <c r="A784" s="103">
        <v>45998</v>
      </c>
      <c r="B784" s="94" t="s">
        <v>26</v>
      </c>
      <c r="C784" s="95" t="s">
        <v>451</v>
      </c>
      <c r="D784" s="94" t="s">
        <v>403</v>
      </c>
      <c r="E784" s="104">
        <v>1.1284722222222221</v>
      </c>
      <c r="F784" s="94" t="s">
        <v>31</v>
      </c>
      <c r="G784" s="96">
        <v>2</v>
      </c>
      <c r="H784" s="97">
        <v>509</v>
      </c>
      <c r="I784" s="88"/>
    </row>
    <row r="785" spans="1:9" ht="19.8" customHeight="1" x14ac:dyDescent="0.3">
      <c r="A785" s="103">
        <v>45998</v>
      </c>
      <c r="B785" s="94" t="s">
        <v>36</v>
      </c>
      <c r="C785" s="95" t="s">
        <v>438</v>
      </c>
      <c r="D785" s="94" t="s">
        <v>403</v>
      </c>
      <c r="E785" s="104">
        <v>1.854166666666667</v>
      </c>
      <c r="F785" s="94" t="s">
        <v>40</v>
      </c>
      <c r="G785" s="96">
        <v>8</v>
      </c>
      <c r="H785" s="97">
        <v>509</v>
      </c>
      <c r="I785" s="88"/>
    </row>
    <row r="786" spans="1:9" ht="19.8" customHeight="1" x14ac:dyDescent="0.3">
      <c r="A786" s="103">
        <v>45998</v>
      </c>
      <c r="B786" s="94" t="s">
        <v>36</v>
      </c>
      <c r="C786" s="95" t="s">
        <v>435</v>
      </c>
      <c r="D786" s="94" t="s">
        <v>403</v>
      </c>
      <c r="E786" s="104">
        <v>1.9027777777777779</v>
      </c>
      <c r="F786" s="94" t="s">
        <v>40</v>
      </c>
      <c r="G786" s="96">
        <v>5</v>
      </c>
      <c r="H786" s="97">
        <v>509</v>
      </c>
      <c r="I786" s="88"/>
    </row>
    <row r="787" spans="1:9" ht="19.8" customHeight="1" x14ac:dyDescent="0.3">
      <c r="A787" s="103">
        <v>45998</v>
      </c>
      <c r="B787" s="94" t="s">
        <v>36</v>
      </c>
      <c r="C787" s="95" t="s">
        <v>442</v>
      </c>
      <c r="D787" s="94" t="s">
        <v>403</v>
      </c>
      <c r="E787" s="104">
        <v>1.256944444444444</v>
      </c>
      <c r="F787" s="94" t="s">
        <v>42</v>
      </c>
      <c r="G787" s="96">
        <v>9</v>
      </c>
      <c r="H787" s="97">
        <v>519</v>
      </c>
      <c r="I787" s="88"/>
    </row>
    <row r="788" spans="1:9" ht="19.8" customHeight="1" x14ac:dyDescent="0.3">
      <c r="A788" s="103">
        <v>45998</v>
      </c>
      <c r="B788" s="94" t="s">
        <v>456</v>
      </c>
      <c r="C788" s="95" t="s">
        <v>500</v>
      </c>
      <c r="D788" s="94" t="s">
        <v>403</v>
      </c>
      <c r="E788" s="104">
        <v>1.3888888888888891</v>
      </c>
      <c r="F788" s="94" t="s">
        <v>458</v>
      </c>
      <c r="G788" s="96">
        <v>9</v>
      </c>
      <c r="H788" s="97">
        <v>535</v>
      </c>
      <c r="I788" s="88"/>
    </row>
    <row r="789" spans="1:9" ht="19.8" customHeight="1" x14ac:dyDescent="0.3">
      <c r="A789" s="103">
        <v>45998</v>
      </c>
      <c r="B789" s="94" t="s">
        <v>26</v>
      </c>
      <c r="C789" s="95" t="s">
        <v>453</v>
      </c>
      <c r="D789" s="94" t="s">
        <v>403</v>
      </c>
      <c r="E789" s="104">
        <v>1.302083333333333</v>
      </c>
      <c r="F789" s="94" t="s">
        <v>31</v>
      </c>
      <c r="G789" s="96">
        <v>11</v>
      </c>
      <c r="H789" s="97">
        <v>539</v>
      </c>
      <c r="I789" s="88"/>
    </row>
    <row r="790" spans="1:9" ht="19.8" customHeight="1" x14ac:dyDescent="0.3">
      <c r="A790" s="103">
        <v>45998</v>
      </c>
      <c r="B790" s="94" t="s">
        <v>26</v>
      </c>
      <c r="C790" s="95" t="s">
        <v>454</v>
      </c>
      <c r="D790" s="94" t="s">
        <v>403</v>
      </c>
      <c r="E790" s="104">
        <v>1.8888888888888891</v>
      </c>
      <c r="F790" s="94" t="s">
        <v>31</v>
      </c>
      <c r="G790" s="96">
        <v>8</v>
      </c>
      <c r="H790" s="97">
        <v>539</v>
      </c>
      <c r="I790" s="88"/>
    </row>
    <row r="791" spans="1:9" ht="19.8" customHeight="1" x14ac:dyDescent="0.3">
      <c r="A791" s="103">
        <v>45998</v>
      </c>
      <c r="B791" s="94" t="s">
        <v>26</v>
      </c>
      <c r="C791" s="95" t="s">
        <v>455</v>
      </c>
      <c r="D791" s="94" t="s">
        <v>403</v>
      </c>
      <c r="E791" s="104">
        <v>1.788194444444444</v>
      </c>
      <c r="F791" s="94" t="s">
        <v>31</v>
      </c>
      <c r="G791" s="96">
        <v>2</v>
      </c>
      <c r="H791" s="97">
        <v>539</v>
      </c>
      <c r="I791" s="88"/>
    </row>
    <row r="792" spans="1:9" ht="19.8" customHeight="1" x14ac:dyDescent="0.3">
      <c r="A792" s="103">
        <v>45998</v>
      </c>
      <c r="B792" s="94" t="s">
        <v>36</v>
      </c>
      <c r="C792" s="95" t="s">
        <v>444</v>
      </c>
      <c r="D792" s="94" t="s">
        <v>403</v>
      </c>
      <c r="E792" s="104">
        <v>1.5173611111111109</v>
      </c>
      <c r="F792" s="94" t="s">
        <v>40</v>
      </c>
      <c r="G792" s="96">
        <v>8</v>
      </c>
      <c r="H792" s="97">
        <v>549</v>
      </c>
      <c r="I792" s="88"/>
    </row>
    <row r="793" spans="1:9" ht="19.8" customHeight="1" x14ac:dyDescent="0.3">
      <c r="A793" s="103">
        <v>45998</v>
      </c>
      <c r="B793" s="94" t="s">
        <v>36</v>
      </c>
      <c r="C793" s="95" t="s">
        <v>445</v>
      </c>
      <c r="D793" s="94" t="s">
        <v>403</v>
      </c>
      <c r="E793" s="104">
        <v>1.7986111111111109</v>
      </c>
      <c r="F793" s="94" t="s">
        <v>40</v>
      </c>
      <c r="G793" s="96">
        <v>9</v>
      </c>
      <c r="H793" s="97">
        <v>549</v>
      </c>
      <c r="I793" s="88"/>
    </row>
    <row r="794" spans="1:9" ht="19.8" customHeight="1" x14ac:dyDescent="0.3">
      <c r="A794" s="103">
        <v>45998</v>
      </c>
      <c r="B794" s="94" t="s">
        <v>36</v>
      </c>
      <c r="C794" s="95" t="s">
        <v>446</v>
      </c>
      <c r="D794" s="94" t="s">
        <v>403</v>
      </c>
      <c r="E794" s="104">
        <v>1.645833333333333</v>
      </c>
      <c r="F794" s="94" t="s">
        <v>40</v>
      </c>
      <c r="G794" s="96">
        <v>5</v>
      </c>
      <c r="H794" s="97">
        <v>549</v>
      </c>
      <c r="I794" s="88"/>
    </row>
    <row r="795" spans="1:9" ht="19.8" customHeight="1" x14ac:dyDescent="0.3">
      <c r="A795" s="103">
        <v>45998</v>
      </c>
      <c r="B795" s="94" t="s">
        <v>36</v>
      </c>
      <c r="C795" s="95" t="s">
        <v>443</v>
      </c>
      <c r="D795" s="94" t="s">
        <v>403</v>
      </c>
      <c r="E795" s="104">
        <v>1.302083333333333</v>
      </c>
      <c r="F795" s="94" t="s">
        <v>42</v>
      </c>
      <c r="G795" s="96">
        <v>8</v>
      </c>
      <c r="H795" s="97">
        <v>559</v>
      </c>
      <c r="I795" s="88"/>
    </row>
    <row r="796" spans="1:9" ht="19.8" customHeight="1" x14ac:dyDescent="0.3">
      <c r="A796" s="103">
        <v>45998</v>
      </c>
      <c r="B796" s="94" t="s">
        <v>36</v>
      </c>
      <c r="C796" s="95" t="s">
        <v>447</v>
      </c>
      <c r="D796" s="94" t="s">
        <v>403</v>
      </c>
      <c r="E796" s="104">
        <v>1.395833333333333</v>
      </c>
      <c r="F796" s="94" t="s">
        <v>42</v>
      </c>
      <c r="G796" s="96">
        <v>3</v>
      </c>
      <c r="H796" s="97">
        <v>559</v>
      </c>
      <c r="I796" s="88"/>
    </row>
    <row r="797" spans="1:9" ht="19.8" customHeight="1" x14ac:dyDescent="0.3">
      <c r="A797" s="103">
        <v>45998</v>
      </c>
      <c r="B797" s="94" t="s">
        <v>78</v>
      </c>
      <c r="C797" s="95" t="s">
        <v>461</v>
      </c>
      <c r="D797" s="94" t="s">
        <v>403</v>
      </c>
      <c r="E797" s="104">
        <v>1.239583333333333</v>
      </c>
      <c r="F797" s="94" t="s">
        <v>80</v>
      </c>
      <c r="G797" s="96">
        <v>1</v>
      </c>
      <c r="H797" s="97">
        <v>574</v>
      </c>
      <c r="I797" s="88"/>
    </row>
    <row r="798" spans="1:9" ht="19.8" customHeight="1" x14ac:dyDescent="0.3">
      <c r="A798" s="103">
        <v>45998</v>
      </c>
      <c r="B798" s="94" t="s">
        <v>36</v>
      </c>
      <c r="C798" s="95" t="s">
        <v>438</v>
      </c>
      <c r="D798" s="94" t="s">
        <v>403</v>
      </c>
      <c r="E798" s="104">
        <v>1.854166666666667</v>
      </c>
      <c r="F798" s="94" t="s">
        <v>42</v>
      </c>
      <c r="G798" s="96">
        <v>8</v>
      </c>
      <c r="H798" s="97">
        <v>599</v>
      </c>
      <c r="I798" s="88"/>
    </row>
    <row r="799" spans="1:9" ht="19.8" customHeight="1" x14ac:dyDescent="0.3">
      <c r="A799" s="103">
        <v>45998</v>
      </c>
      <c r="B799" s="94" t="s">
        <v>36</v>
      </c>
      <c r="C799" s="95" t="s">
        <v>435</v>
      </c>
      <c r="D799" s="94" t="s">
        <v>403</v>
      </c>
      <c r="E799" s="104">
        <v>1.9027777777777779</v>
      </c>
      <c r="F799" s="94" t="s">
        <v>42</v>
      </c>
      <c r="G799" s="96">
        <v>5</v>
      </c>
      <c r="H799" s="97">
        <v>599</v>
      </c>
      <c r="I799" s="88"/>
    </row>
    <row r="800" spans="1:9" ht="19.8" customHeight="1" x14ac:dyDescent="0.3">
      <c r="A800" s="103">
        <v>45998</v>
      </c>
      <c r="B800" s="94" t="s">
        <v>78</v>
      </c>
      <c r="C800" s="95" t="s">
        <v>461</v>
      </c>
      <c r="D800" s="94" t="s">
        <v>403</v>
      </c>
      <c r="E800" s="104">
        <v>1.239583333333333</v>
      </c>
      <c r="F800" s="94" t="s">
        <v>83</v>
      </c>
      <c r="G800" s="96">
        <v>1</v>
      </c>
      <c r="H800" s="97">
        <v>619</v>
      </c>
      <c r="I800" s="88"/>
    </row>
    <row r="801" spans="1:9" ht="19.8" customHeight="1" x14ac:dyDescent="0.3">
      <c r="A801" s="103">
        <v>45998</v>
      </c>
      <c r="B801" s="94" t="s">
        <v>36</v>
      </c>
      <c r="C801" s="95" t="s">
        <v>444</v>
      </c>
      <c r="D801" s="94" t="s">
        <v>403</v>
      </c>
      <c r="E801" s="104">
        <v>1.5173611111111109</v>
      </c>
      <c r="F801" s="94" t="s">
        <v>42</v>
      </c>
      <c r="G801" s="96">
        <v>8</v>
      </c>
      <c r="H801" s="97">
        <v>639</v>
      </c>
      <c r="I801" s="88"/>
    </row>
    <row r="802" spans="1:9" ht="19.8" customHeight="1" x14ac:dyDescent="0.3">
      <c r="A802" s="103">
        <v>45998</v>
      </c>
      <c r="B802" s="94" t="s">
        <v>36</v>
      </c>
      <c r="C802" s="95" t="s">
        <v>445</v>
      </c>
      <c r="D802" s="94" t="s">
        <v>403</v>
      </c>
      <c r="E802" s="104">
        <v>1.7986111111111109</v>
      </c>
      <c r="F802" s="94" t="s">
        <v>42</v>
      </c>
      <c r="G802" s="96">
        <v>9</v>
      </c>
      <c r="H802" s="97">
        <v>639</v>
      </c>
      <c r="I802" s="88"/>
    </row>
    <row r="803" spans="1:9" ht="19.8" customHeight="1" x14ac:dyDescent="0.3">
      <c r="A803" s="103">
        <v>45998</v>
      </c>
      <c r="B803" s="94" t="s">
        <v>36</v>
      </c>
      <c r="C803" s="95" t="s">
        <v>446</v>
      </c>
      <c r="D803" s="94" t="s">
        <v>403</v>
      </c>
      <c r="E803" s="104">
        <v>1.645833333333333</v>
      </c>
      <c r="F803" s="94" t="s">
        <v>42</v>
      </c>
      <c r="G803" s="96">
        <v>5</v>
      </c>
      <c r="H803" s="97">
        <v>639</v>
      </c>
      <c r="I803" s="88"/>
    </row>
    <row r="804" spans="1:9" ht="19.8" customHeight="1" x14ac:dyDescent="0.3">
      <c r="A804" s="103">
        <v>45998</v>
      </c>
      <c r="B804" s="94" t="s">
        <v>456</v>
      </c>
      <c r="C804" s="95" t="s">
        <v>500</v>
      </c>
      <c r="D804" s="94" t="s">
        <v>403</v>
      </c>
      <c r="E804" s="104">
        <v>1.3888888888888891</v>
      </c>
      <c r="F804" s="94" t="s">
        <v>34</v>
      </c>
      <c r="G804" s="96">
        <v>9</v>
      </c>
      <c r="H804" s="97">
        <v>658</v>
      </c>
      <c r="I804" s="88"/>
    </row>
    <row r="805" spans="1:9" ht="19.8" customHeight="1" x14ac:dyDescent="0.3">
      <c r="A805" s="103">
        <v>45998</v>
      </c>
      <c r="B805" s="94" t="s">
        <v>78</v>
      </c>
      <c r="C805" s="95" t="s">
        <v>469</v>
      </c>
      <c r="D805" s="94" t="s">
        <v>403</v>
      </c>
      <c r="E805" s="104">
        <v>1.3784722222222221</v>
      </c>
      <c r="F805" s="94" t="s">
        <v>80</v>
      </c>
      <c r="G805" s="96">
        <v>9</v>
      </c>
      <c r="H805" s="97">
        <v>678</v>
      </c>
      <c r="I805" s="88"/>
    </row>
    <row r="806" spans="1:9" ht="19.8" customHeight="1" x14ac:dyDescent="0.3">
      <c r="A806" s="105">
        <v>45998</v>
      </c>
      <c r="B806" s="99" t="s">
        <v>44</v>
      </c>
      <c r="C806" s="100" t="s">
        <v>429</v>
      </c>
      <c r="D806" s="99" t="s">
        <v>403</v>
      </c>
      <c r="E806" s="106">
        <v>1.510416666666667</v>
      </c>
      <c r="F806" s="99" t="s">
        <v>46</v>
      </c>
      <c r="G806" s="101">
        <v>9</v>
      </c>
      <c r="H806" s="102">
        <v>706</v>
      </c>
      <c r="I806" s="88"/>
    </row>
    <row r="807" spans="1:9" ht="19.8" customHeight="1" x14ac:dyDescent="0.3">
      <c r="A807" s="103">
        <v>45998</v>
      </c>
      <c r="B807" s="94" t="s">
        <v>78</v>
      </c>
      <c r="C807" s="95" t="s">
        <v>469</v>
      </c>
      <c r="D807" s="94" t="s">
        <v>403</v>
      </c>
      <c r="E807" s="104">
        <v>1.3784722222222221</v>
      </c>
      <c r="F807" s="94" t="s">
        <v>83</v>
      </c>
      <c r="G807" s="96">
        <v>9</v>
      </c>
      <c r="H807" s="97">
        <v>723</v>
      </c>
      <c r="I807" s="88"/>
    </row>
    <row r="808" spans="1:9" ht="19.8" customHeight="1" x14ac:dyDescent="0.3">
      <c r="A808" s="103">
        <v>45998</v>
      </c>
      <c r="B808" s="94" t="s">
        <v>78</v>
      </c>
      <c r="C808" s="95" t="s">
        <v>467</v>
      </c>
      <c r="D808" s="94" t="s">
        <v>403</v>
      </c>
      <c r="E808" s="104">
        <v>1.1423611111111109</v>
      </c>
      <c r="F808" s="94" t="s">
        <v>80</v>
      </c>
      <c r="G808" s="96">
        <v>9</v>
      </c>
      <c r="H808" s="97">
        <v>935</v>
      </c>
      <c r="I808" s="88"/>
    </row>
    <row r="809" spans="1:9" ht="19.8" customHeight="1" x14ac:dyDescent="0.3">
      <c r="A809" s="103">
        <v>45998</v>
      </c>
      <c r="B809" s="94" t="s">
        <v>78</v>
      </c>
      <c r="C809" s="95" t="s">
        <v>468</v>
      </c>
      <c r="D809" s="94" t="s">
        <v>403</v>
      </c>
      <c r="E809" s="104">
        <v>1.930555555555556</v>
      </c>
      <c r="F809" s="94" t="s">
        <v>80</v>
      </c>
      <c r="G809" s="96">
        <v>9</v>
      </c>
      <c r="H809" s="97">
        <v>935</v>
      </c>
      <c r="I809" s="88"/>
    </row>
    <row r="810" spans="1:9" ht="19.8" customHeight="1" x14ac:dyDescent="0.3">
      <c r="A810" s="103">
        <v>45998</v>
      </c>
      <c r="B810" s="94" t="s">
        <v>78</v>
      </c>
      <c r="C810" s="95" t="s">
        <v>467</v>
      </c>
      <c r="D810" s="94" t="s">
        <v>403</v>
      </c>
      <c r="E810" s="104">
        <v>1.1423611111111109</v>
      </c>
      <c r="F810" s="94" t="s">
        <v>83</v>
      </c>
      <c r="G810" s="96">
        <v>9</v>
      </c>
      <c r="H810" s="97">
        <v>980</v>
      </c>
      <c r="I810" s="88"/>
    </row>
    <row r="811" spans="1:9" ht="19.8" customHeight="1" x14ac:dyDescent="0.3">
      <c r="A811" s="103">
        <v>45998</v>
      </c>
      <c r="B811" s="94" t="s">
        <v>78</v>
      </c>
      <c r="C811" s="95" t="s">
        <v>468</v>
      </c>
      <c r="D811" s="94" t="s">
        <v>403</v>
      </c>
      <c r="E811" s="104">
        <v>1.930555555555556</v>
      </c>
      <c r="F811" s="94" t="s">
        <v>83</v>
      </c>
      <c r="G811" s="96">
        <v>9</v>
      </c>
      <c r="H811" s="97">
        <v>980</v>
      </c>
      <c r="I811" s="88"/>
    </row>
    <row r="812" spans="1:9" ht="19.8" customHeight="1" x14ac:dyDescent="0.3">
      <c r="A812" s="103">
        <v>45998</v>
      </c>
      <c r="B812" s="94" t="s">
        <v>66</v>
      </c>
      <c r="C812" s="95" t="s">
        <v>488</v>
      </c>
      <c r="D812" s="94" t="s">
        <v>403</v>
      </c>
      <c r="E812" s="104">
        <v>1.2222222222222221</v>
      </c>
      <c r="F812" s="94" t="s">
        <v>68</v>
      </c>
      <c r="G812" s="96">
        <v>9</v>
      </c>
      <c r="H812" s="107" t="s">
        <v>489</v>
      </c>
      <c r="I812" s="88"/>
    </row>
    <row r="813" spans="1:9" ht="19.8" customHeight="1" x14ac:dyDescent="0.3">
      <c r="A813" s="103">
        <v>45998</v>
      </c>
      <c r="B813" s="94" t="s">
        <v>26</v>
      </c>
      <c r="C813" s="95" t="s">
        <v>451</v>
      </c>
      <c r="D813" s="94" t="s">
        <v>403</v>
      </c>
      <c r="E813" s="104">
        <v>1.1284722222222221</v>
      </c>
      <c r="F813" s="94" t="s">
        <v>34</v>
      </c>
      <c r="G813" s="96">
        <v>2</v>
      </c>
      <c r="H813" s="107" t="s">
        <v>35</v>
      </c>
      <c r="I813" s="88"/>
    </row>
    <row r="814" spans="1:9" ht="19.8" customHeight="1" x14ac:dyDescent="0.3">
      <c r="A814" s="103">
        <v>45998</v>
      </c>
      <c r="B814" s="94" t="s">
        <v>26</v>
      </c>
      <c r="C814" s="95" t="s">
        <v>453</v>
      </c>
      <c r="D814" s="94" t="s">
        <v>403</v>
      </c>
      <c r="E814" s="104">
        <v>1.302083333333333</v>
      </c>
      <c r="F814" s="94" t="s">
        <v>34</v>
      </c>
      <c r="G814" s="96">
        <v>11</v>
      </c>
      <c r="H814" s="107" t="s">
        <v>35</v>
      </c>
      <c r="I814" s="88"/>
    </row>
    <row r="815" spans="1:9" ht="19.8" customHeight="1" x14ac:dyDescent="0.3">
      <c r="A815" s="103">
        <v>45998</v>
      </c>
      <c r="B815" s="94" t="s">
        <v>26</v>
      </c>
      <c r="C815" s="95" t="s">
        <v>454</v>
      </c>
      <c r="D815" s="94" t="s">
        <v>403</v>
      </c>
      <c r="E815" s="104">
        <v>1.8888888888888891</v>
      </c>
      <c r="F815" s="94" t="s">
        <v>34</v>
      </c>
      <c r="G815" s="96">
        <v>8</v>
      </c>
      <c r="H815" s="107" t="s">
        <v>35</v>
      </c>
      <c r="I815" s="88"/>
    </row>
    <row r="816" spans="1:9" ht="19.8" customHeight="1" x14ac:dyDescent="0.3">
      <c r="A816" s="103">
        <v>45998</v>
      </c>
      <c r="B816" s="94" t="s">
        <v>26</v>
      </c>
      <c r="C816" s="95" t="s">
        <v>455</v>
      </c>
      <c r="D816" s="94" t="s">
        <v>403</v>
      </c>
      <c r="E816" s="104">
        <v>1.788194444444444</v>
      </c>
      <c r="F816" s="94" t="s">
        <v>34</v>
      </c>
      <c r="G816" s="96">
        <v>2</v>
      </c>
      <c r="H816" s="107" t="s">
        <v>35</v>
      </c>
      <c r="I816" s="88"/>
    </row>
    <row r="817" spans="1:9" ht="19.8" customHeight="1" x14ac:dyDescent="0.3">
      <c r="A817" s="103">
        <v>45998</v>
      </c>
      <c r="B817" s="94" t="s">
        <v>78</v>
      </c>
      <c r="C817" s="95" t="s">
        <v>473</v>
      </c>
      <c r="D817" s="94" t="s">
        <v>403</v>
      </c>
      <c r="E817" s="104">
        <v>1.8888888888888891</v>
      </c>
      <c r="F817" s="94" t="s">
        <v>83</v>
      </c>
      <c r="G817" s="96">
        <v>4</v>
      </c>
      <c r="H817" s="107" t="s">
        <v>535</v>
      </c>
      <c r="I817" s="88"/>
    </row>
    <row r="818" spans="1:9" ht="19.8" customHeight="1" x14ac:dyDescent="0.3">
      <c r="A818" s="103">
        <v>45998</v>
      </c>
      <c r="B818" s="94" t="s">
        <v>78</v>
      </c>
      <c r="C818" s="95" t="s">
        <v>475</v>
      </c>
      <c r="D818" s="94" t="s">
        <v>403</v>
      </c>
      <c r="E818" s="104">
        <v>1.302083333333333</v>
      </c>
      <c r="F818" s="94" t="s">
        <v>83</v>
      </c>
      <c r="G818" s="96">
        <v>4</v>
      </c>
      <c r="H818" s="107" t="s">
        <v>535</v>
      </c>
      <c r="I818" s="88"/>
    </row>
    <row r="819" spans="1:9" ht="19.8" customHeight="1" x14ac:dyDescent="0.3">
      <c r="A819" s="103">
        <v>45998</v>
      </c>
      <c r="B819" s="94" t="s">
        <v>78</v>
      </c>
      <c r="C819" s="95" t="s">
        <v>476</v>
      </c>
      <c r="D819" s="94" t="s">
        <v>403</v>
      </c>
      <c r="E819" s="104">
        <v>1.1284722222222221</v>
      </c>
      <c r="F819" s="94" t="s">
        <v>83</v>
      </c>
      <c r="G819" s="96">
        <v>4</v>
      </c>
      <c r="H819" s="107" t="s">
        <v>535</v>
      </c>
      <c r="I819" s="88"/>
    </row>
    <row r="820" spans="1:9" ht="19.8" customHeight="1" x14ac:dyDescent="0.3">
      <c r="A820" s="103">
        <v>45998</v>
      </c>
      <c r="B820" s="94" t="s">
        <v>78</v>
      </c>
      <c r="C820" s="95" t="s">
        <v>482</v>
      </c>
      <c r="D820" s="94" t="s">
        <v>403</v>
      </c>
      <c r="E820" s="104">
        <v>1.6111111111111109</v>
      </c>
      <c r="F820" s="94" t="s">
        <v>80</v>
      </c>
      <c r="G820" s="96">
        <v>9</v>
      </c>
      <c r="H820" s="107" t="s">
        <v>511</v>
      </c>
      <c r="I820" s="88"/>
    </row>
    <row r="821" spans="1:9" ht="19.8" customHeight="1" x14ac:dyDescent="0.3">
      <c r="A821" s="103">
        <v>45998</v>
      </c>
      <c r="B821" s="94" t="s">
        <v>78</v>
      </c>
      <c r="C821" s="95" t="s">
        <v>482</v>
      </c>
      <c r="D821" s="94" t="s">
        <v>403</v>
      </c>
      <c r="E821" s="104">
        <v>1.6111111111111109</v>
      </c>
      <c r="F821" s="94" t="s">
        <v>83</v>
      </c>
      <c r="G821" s="96">
        <v>9</v>
      </c>
      <c r="H821" s="107" t="s">
        <v>512</v>
      </c>
      <c r="I821" s="88"/>
    </row>
    <row r="822" spans="1:9" ht="19.8" customHeight="1" x14ac:dyDescent="0.3">
      <c r="A822" s="103">
        <v>45998</v>
      </c>
      <c r="B822" s="94" t="s">
        <v>78</v>
      </c>
      <c r="C822" s="95" t="s">
        <v>480</v>
      </c>
      <c r="D822" s="94" t="s">
        <v>403</v>
      </c>
      <c r="E822" s="104">
        <v>1.788194444444444</v>
      </c>
      <c r="F822" s="94" t="s">
        <v>83</v>
      </c>
      <c r="G822" s="96">
        <v>4</v>
      </c>
      <c r="H822" s="107" t="s">
        <v>474</v>
      </c>
      <c r="I822" s="88"/>
    </row>
    <row r="823" spans="1:9" ht="19.8" customHeight="1" x14ac:dyDescent="0.3">
      <c r="A823" s="103">
        <v>45998</v>
      </c>
      <c r="B823" s="94" t="s">
        <v>66</v>
      </c>
      <c r="C823" s="95" t="s">
        <v>508</v>
      </c>
      <c r="D823" s="94" t="s">
        <v>403</v>
      </c>
      <c r="E823" s="104">
        <v>1.958333333333333</v>
      </c>
      <c r="F823" s="94" t="s">
        <v>68</v>
      </c>
      <c r="G823" s="96">
        <v>9</v>
      </c>
      <c r="H823" s="107" t="s">
        <v>491</v>
      </c>
      <c r="I823" s="88"/>
    </row>
    <row r="824" spans="1:9" ht="19.8" customHeight="1" x14ac:dyDescent="0.3">
      <c r="A824" s="103">
        <v>45998</v>
      </c>
      <c r="B824" s="94" t="s">
        <v>78</v>
      </c>
      <c r="C824" s="95" t="s">
        <v>464</v>
      </c>
      <c r="D824" s="94" t="s">
        <v>403</v>
      </c>
      <c r="E824" s="104">
        <v>1.006944444444444</v>
      </c>
      <c r="F824" s="94" t="s">
        <v>80</v>
      </c>
      <c r="G824" s="96">
        <v>1</v>
      </c>
      <c r="H824" s="107" t="s">
        <v>569</v>
      </c>
      <c r="I824" s="88"/>
    </row>
    <row r="825" spans="1:9" ht="19.8" customHeight="1" x14ac:dyDescent="0.3">
      <c r="A825" s="103">
        <v>45998</v>
      </c>
      <c r="B825" s="94" t="s">
        <v>78</v>
      </c>
      <c r="C825" s="95" t="s">
        <v>470</v>
      </c>
      <c r="D825" s="94" t="s">
        <v>403</v>
      </c>
      <c r="E825" s="104">
        <v>1.71875</v>
      </c>
      <c r="F825" s="94" t="s">
        <v>80</v>
      </c>
      <c r="G825" s="96">
        <v>3</v>
      </c>
      <c r="H825" s="107" t="s">
        <v>569</v>
      </c>
      <c r="I825" s="88"/>
    </row>
    <row r="826" spans="1:9" ht="19.8" customHeight="1" x14ac:dyDescent="0.3">
      <c r="A826" s="103">
        <v>45998</v>
      </c>
      <c r="B826" s="94" t="s">
        <v>78</v>
      </c>
      <c r="C826" s="95" t="s">
        <v>464</v>
      </c>
      <c r="D826" s="94" t="s">
        <v>403</v>
      </c>
      <c r="E826" s="104">
        <v>1.006944444444444</v>
      </c>
      <c r="F826" s="94" t="s">
        <v>83</v>
      </c>
      <c r="G826" s="96">
        <v>1</v>
      </c>
      <c r="H826" s="107" t="s">
        <v>582</v>
      </c>
      <c r="I826" s="88"/>
    </row>
    <row r="827" spans="1:9" ht="19.8" customHeight="1" x14ac:dyDescent="0.3">
      <c r="A827" s="103">
        <v>45998</v>
      </c>
      <c r="B827" s="94" t="s">
        <v>78</v>
      </c>
      <c r="C827" s="95" t="s">
        <v>470</v>
      </c>
      <c r="D827" s="94" t="s">
        <v>403</v>
      </c>
      <c r="E827" s="104">
        <v>1.71875</v>
      </c>
      <c r="F827" s="94" t="s">
        <v>83</v>
      </c>
      <c r="G827" s="96">
        <v>3</v>
      </c>
      <c r="H827" s="107" t="s">
        <v>582</v>
      </c>
      <c r="I827" s="88"/>
    </row>
    <row r="828" spans="1:9" ht="19.8" customHeight="1" x14ac:dyDescent="0.3">
      <c r="A828" s="103">
        <v>45998</v>
      </c>
      <c r="B828" s="94" t="s">
        <v>66</v>
      </c>
      <c r="C828" s="95" t="s">
        <v>492</v>
      </c>
      <c r="D828" s="94" t="s">
        <v>403</v>
      </c>
      <c r="E828" s="104">
        <v>1.770833333333333</v>
      </c>
      <c r="F828" s="94" t="s">
        <v>68</v>
      </c>
      <c r="G828" s="96">
        <v>9</v>
      </c>
      <c r="H828" s="107" t="s">
        <v>493</v>
      </c>
      <c r="I828" s="88"/>
    </row>
    <row r="829" spans="1:9" ht="19.8" customHeight="1" x14ac:dyDescent="0.3">
      <c r="A829" s="103">
        <v>45998</v>
      </c>
      <c r="B829" s="94" t="s">
        <v>66</v>
      </c>
      <c r="C829" s="95" t="s">
        <v>505</v>
      </c>
      <c r="D829" s="94" t="s">
        <v>403</v>
      </c>
      <c r="E829" s="104">
        <v>1.145833333333333</v>
      </c>
      <c r="F829" s="94" t="s">
        <v>68</v>
      </c>
      <c r="G829" s="96">
        <v>9</v>
      </c>
      <c r="H829" s="107" t="s">
        <v>493</v>
      </c>
      <c r="I829" s="88"/>
    </row>
    <row r="830" spans="1:9" ht="19.8" customHeight="1" x14ac:dyDescent="0.3">
      <c r="A830" s="103">
        <v>45998</v>
      </c>
      <c r="B830" s="94" t="s">
        <v>66</v>
      </c>
      <c r="C830" s="95" t="s">
        <v>490</v>
      </c>
      <c r="D830" s="94" t="s">
        <v>403</v>
      </c>
      <c r="E830" s="104">
        <v>1.2777777777777779</v>
      </c>
      <c r="F830" s="94" t="s">
        <v>68</v>
      </c>
      <c r="G830" s="96">
        <v>9</v>
      </c>
      <c r="H830" s="107" t="s">
        <v>493</v>
      </c>
      <c r="I830" s="88"/>
    </row>
    <row r="831" spans="1:9" ht="19.8" customHeight="1" x14ac:dyDescent="0.3">
      <c r="A831" s="103">
        <v>45998</v>
      </c>
      <c r="B831" s="94" t="s">
        <v>78</v>
      </c>
      <c r="C831" s="95" t="s">
        <v>477</v>
      </c>
      <c r="D831" s="94" t="s">
        <v>403</v>
      </c>
      <c r="E831" s="104">
        <v>1.8298611111111109</v>
      </c>
      <c r="F831" s="94" t="s">
        <v>80</v>
      </c>
      <c r="G831" s="96">
        <v>4</v>
      </c>
      <c r="H831" s="107" t="s">
        <v>483</v>
      </c>
      <c r="I831" s="88"/>
    </row>
    <row r="832" spans="1:9" ht="19.8" customHeight="1" x14ac:dyDescent="0.3">
      <c r="A832" s="105">
        <v>45998</v>
      </c>
      <c r="B832" s="99" t="s">
        <v>44</v>
      </c>
      <c r="C832" s="100" t="s">
        <v>425</v>
      </c>
      <c r="D832" s="99" t="s">
        <v>403</v>
      </c>
      <c r="E832" s="106">
        <v>1.631944444444444</v>
      </c>
      <c r="F832" s="99" t="s">
        <v>46</v>
      </c>
      <c r="G832" s="101">
        <v>2</v>
      </c>
      <c r="H832" s="119" t="s">
        <v>652</v>
      </c>
      <c r="I832" s="88"/>
    </row>
    <row r="833" spans="1:9" ht="19.8" customHeight="1" x14ac:dyDescent="0.3">
      <c r="A833" s="113">
        <v>45998</v>
      </c>
      <c r="B833" s="114" t="s">
        <v>78</v>
      </c>
      <c r="C833" s="115" t="s">
        <v>477</v>
      </c>
      <c r="D833" s="114" t="s">
        <v>403</v>
      </c>
      <c r="E833" s="116">
        <v>1.8298611111111109</v>
      </c>
      <c r="F833" s="114" t="s">
        <v>83</v>
      </c>
      <c r="G833" s="117">
        <v>4</v>
      </c>
      <c r="H833" s="118" t="s">
        <v>484</v>
      </c>
      <c r="I833" s="88"/>
    </row>
    <row r="834" spans="1:9" ht="19.8" customHeight="1" x14ac:dyDescent="0.3">
      <c r="A834" s="103">
        <v>45999</v>
      </c>
      <c r="B834" s="94" t="s">
        <v>456</v>
      </c>
      <c r="C834" s="95" t="s">
        <v>500</v>
      </c>
      <c r="D834" s="94" t="s">
        <v>403</v>
      </c>
      <c r="E834" s="104">
        <v>1.3923611111111109</v>
      </c>
      <c r="F834" s="94" t="s">
        <v>458</v>
      </c>
      <c r="G834" s="96">
        <v>9</v>
      </c>
      <c r="H834" s="97">
        <v>350</v>
      </c>
      <c r="I834" s="88"/>
    </row>
    <row r="835" spans="1:9" ht="19.8" customHeight="1" x14ac:dyDescent="0.3">
      <c r="A835" s="103">
        <v>45999</v>
      </c>
      <c r="B835" s="94" t="s">
        <v>456</v>
      </c>
      <c r="C835" s="95" t="s">
        <v>457</v>
      </c>
      <c r="D835" s="94" t="s">
        <v>403</v>
      </c>
      <c r="E835" s="104">
        <v>1.1736111111111109</v>
      </c>
      <c r="F835" s="94" t="s">
        <v>458</v>
      </c>
      <c r="G835" s="96">
        <v>9</v>
      </c>
      <c r="H835" s="97">
        <v>350</v>
      </c>
      <c r="I835" s="88"/>
    </row>
    <row r="836" spans="1:9" ht="19.8" customHeight="1" x14ac:dyDescent="0.3">
      <c r="A836" s="103">
        <v>45999</v>
      </c>
      <c r="B836" s="94" t="s">
        <v>26</v>
      </c>
      <c r="C836" s="95" t="s">
        <v>451</v>
      </c>
      <c r="D836" s="94" t="s">
        <v>403</v>
      </c>
      <c r="E836" s="104">
        <v>1.1284722222222221</v>
      </c>
      <c r="F836" s="94" t="s">
        <v>28</v>
      </c>
      <c r="G836" s="96">
        <v>4</v>
      </c>
      <c r="H836" s="97">
        <v>359</v>
      </c>
      <c r="I836" s="88"/>
    </row>
    <row r="837" spans="1:9" ht="19.8" customHeight="1" x14ac:dyDescent="0.3">
      <c r="A837" s="103">
        <v>45999</v>
      </c>
      <c r="B837" s="94" t="s">
        <v>26</v>
      </c>
      <c r="C837" s="95" t="s">
        <v>453</v>
      </c>
      <c r="D837" s="94" t="s">
        <v>403</v>
      </c>
      <c r="E837" s="104">
        <v>1.302083333333333</v>
      </c>
      <c r="F837" s="94" t="s">
        <v>28</v>
      </c>
      <c r="G837" s="96">
        <v>4</v>
      </c>
      <c r="H837" s="97">
        <v>359</v>
      </c>
      <c r="I837" s="88"/>
    </row>
    <row r="838" spans="1:9" ht="19.8" customHeight="1" x14ac:dyDescent="0.3">
      <c r="A838" s="103">
        <v>45999</v>
      </c>
      <c r="B838" s="94" t="s">
        <v>26</v>
      </c>
      <c r="C838" s="95" t="s">
        <v>455</v>
      </c>
      <c r="D838" s="94" t="s">
        <v>403</v>
      </c>
      <c r="E838" s="104">
        <v>1.788194444444444</v>
      </c>
      <c r="F838" s="94" t="s">
        <v>28</v>
      </c>
      <c r="G838" s="96">
        <v>3</v>
      </c>
      <c r="H838" s="97">
        <v>359</v>
      </c>
      <c r="I838" s="88"/>
    </row>
    <row r="839" spans="1:9" ht="19.8" customHeight="1" x14ac:dyDescent="0.3">
      <c r="A839" s="103">
        <v>45999</v>
      </c>
      <c r="B839" s="94" t="s">
        <v>36</v>
      </c>
      <c r="C839" s="95" t="s">
        <v>438</v>
      </c>
      <c r="D839" s="94" t="s">
        <v>403</v>
      </c>
      <c r="E839" s="104">
        <v>1.854166666666667</v>
      </c>
      <c r="F839" s="94" t="s">
        <v>38</v>
      </c>
      <c r="G839" s="96">
        <v>1</v>
      </c>
      <c r="H839" s="97">
        <v>369</v>
      </c>
      <c r="I839" s="88"/>
    </row>
    <row r="840" spans="1:9" ht="19.8" customHeight="1" x14ac:dyDescent="0.3">
      <c r="A840" s="103">
        <v>45999</v>
      </c>
      <c r="B840" s="94" t="s">
        <v>36</v>
      </c>
      <c r="C840" s="95" t="s">
        <v>442</v>
      </c>
      <c r="D840" s="94" t="s">
        <v>403</v>
      </c>
      <c r="E840" s="104">
        <v>1.256944444444444</v>
      </c>
      <c r="F840" s="94" t="s">
        <v>38</v>
      </c>
      <c r="G840" s="96">
        <v>5</v>
      </c>
      <c r="H840" s="97">
        <v>369</v>
      </c>
      <c r="I840" s="88"/>
    </row>
    <row r="841" spans="1:9" ht="19.8" customHeight="1" x14ac:dyDescent="0.3">
      <c r="A841" s="103">
        <v>45999</v>
      </c>
      <c r="B841" s="94" t="s">
        <v>36</v>
      </c>
      <c r="C841" s="95" t="s">
        <v>435</v>
      </c>
      <c r="D841" s="94" t="s">
        <v>403</v>
      </c>
      <c r="E841" s="104">
        <v>1.9027777777777779</v>
      </c>
      <c r="F841" s="94" t="s">
        <v>38</v>
      </c>
      <c r="G841" s="96">
        <v>4</v>
      </c>
      <c r="H841" s="97">
        <v>369</v>
      </c>
      <c r="I841" s="88"/>
    </row>
    <row r="842" spans="1:9" ht="19.8" customHeight="1" x14ac:dyDescent="0.3">
      <c r="A842" s="103">
        <v>45999</v>
      </c>
      <c r="B842" s="94" t="s">
        <v>36</v>
      </c>
      <c r="C842" s="95" t="s">
        <v>445</v>
      </c>
      <c r="D842" s="94" t="s">
        <v>403</v>
      </c>
      <c r="E842" s="104">
        <v>1.7986111111111109</v>
      </c>
      <c r="F842" s="94" t="s">
        <v>38</v>
      </c>
      <c r="G842" s="96">
        <v>3</v>
      </c>
      <c r="H842" s="97">
        <v>369</v>
      </c>
      <c r="I842" s="88"/>
    </row>
    <row r="843" spans="1:9" ht="19.8" customHeight="1" x14ac:dyDescent="0.3">
      <c r="A843" s="103">
        <v>45999</v>
      </c>
      <c r="B843" s="94" t="s">
        <v>36</v>
      </c>
      <c r="C843" s="95" t="s">
        <v>447</v>
      </c>
      <c r="D843" s="94" t="s">
        <v>403</v>
      </c>
      <c r="E843" s="104">
        <v>1.395833333333333</v>
      </c>
      <c r="F843" s="94" t="s">
        <v>38</v>
      </c>
      <c r="G843" s="96">
        <v>2</v>
      </c>
      <c r="H843" s="97">
        <v>369</v>
      </c>
      <c r="I843" s="88"/>
    </row>
    <row r="844" spans="1:9" ht="19.8" customHeight="1" x14ac:dyDescent="0.3">
      <c r="A844" s="103">
        <v>45999</v>
      </c>
      <c r="B844" s="94" t="s">
        <v>36</v>
      </c>
      <c r="C844" s="95" t="s">
        <v>446</v>
      </c>
      <c r="D844" s="94" t="s">
        <v>403</v>
      </c>
      <c r="E844" s="104">
        <v>1.645833333333333</v>
      </c>
      <c r="F844" s="94" t="s">
        <v>38</v>
      </c>
      <c r="G844" s="96">
        <v>3</v>
      </c>
      <c r="H844" s="97">
        <v>369</v>
      </c>
      <c r="I844" s="88"/>
    </row>
    <row r="845" spans="1:9" ht="19.8" customHeight="1" x14ac:dyDescent="0.3">
      <c r="A845" s="103">
        <v>45999</v>
      </c>
      <c r="B845" s="94" t="s">
        <v>26</v>
      </c>
      <c r="C845" s="95" t="s">
        <v>454</v>
      </c>
      <c r="D845" s="94" t="s">
        <v>403</v>
      </c>
      <c r="E845" s="104">
        <v>1.8888888888888891</v>
      </c>
      <c r="F845" s="94" t="s">
        <v>28</v>
      </c>
      <c r="G845" s="96">
        <v>7</v>
      </c>
      <c r="H845" s="97">
        <v>389</v>
      </c>
      <c r="I845" s="88"/>
    </row>
    <row r="846" spans="1:9" ht="19.8" customHeight="1" x14ac:dyDescent="0.3">
      <c r="A846" s="103">
        <v>45999</v>
      </c>
      <c r="B846" s="94" t="s">
        <v>404</v>
      </c>
      <c r="C846" s="95" t="s">
        <v>408</v>
      </c>
      <c r="D846" s="94" t="s">
        <v>403</v>
      </c>
      <c r="E846" s="104">
        <v>1.208333333333333</v>
      </c>
      <c r="F846" s="94" t="s">
        <v>406</v>
      </c>
      <c r="G846" s="96">
        <v>9</v>
      </c>
      <c r="H846" s="97">
        <v>400</v>
      </c>
      <c r="I846" s="88"/>
    </row>
    <row r="847" spans="1:9" ht="19.8" customHeight="1" x14ac:dyDescent="0.3">
      <c r="A847" s="103">
        <v>45999</v>
      </c>
      <c r="B847" s="94" t="s">
        <v>410</v>
      </c>
      <c r="C847" s="95" t="s">
        <v>411</v>
      </c>
      <c r="D847" s="94" t="s">
        <v>403</v>
      </c>
      <c r="E847" s="104">
        <v>1.3125</v>
      </c>
      <c r="F847" s="94" t="s">
        <v>406</v>
      </c>
      <c r="G847" s="96">
        <v>9</v>
      </c>
      <c r="H847" s="97">
        <v>401</v>
      </c>
      <c r="I847" s="88"/>
    </row>
    <row r="848" spans="1:9" ht="19.8" customHeight="1" x14ac:dyDescent="0.3">
      <c r="A848" s="103">
        <v>45999</v>
      </c>
      <c r="B848" s="94" t="s">
        <v>410</v>
      </c>
      <c r="C848" s="95" t="s">
        <v>413</v>
      </c>
      <c r="D848" s="94" t="s">
        <v>403</v>
      </c>
      <c r="E848" s="104">
        <v>1.666666666666667</v>
      </c>
      <c r="F848" s="94" t="s">
        <v>406</v>
      </c>
      <c r="G848" s="96">
        <v>9</v>
      </c>
      <c r="H848" s="97">
        <v>401</v>
      </c>
      <c r="I848" s="88"/>
    </row>
    <row r="849" spans="1:9" ht="19.8" customHeight="1" x14ac:dyDescent="0.3">
      <c r="A849" s="103">
        <v>45999</v>
      </c>
      <c r="B849" s="94" t="s">
        <v>36</v>
      </c>
      <c r="C849" s="95" t="s">
        <v>443</v>
      </c>
      <c r="D849" s="94" t="s">
        <v>403</v>
      </c>
      <c r="E849" s="104">
        <v>1.46875</v>
      </c>
      <c r="F849" s="94" t="s">
        <v>38</v>
      </c>
      <c r="G849" s="96">
        <v>7</v>
      </c>
      <c r="H849" s="97">
        <v>409</v>
      </c>
      <c r="I849" s="88"/>
    </row>
    <row r="850" spans="1:9" ht="19.8" customHeight="1" x14ac:dyDescent="0.3">
      <c r="A850" s="103">
        <v>45999</v>
      </c>
      <c r="B850" s="94" t="s">
        <v>36</v>
      </c>
      <c r="C850" s="95" t="s">
        <v>444</v>
      </c>
      <c r="D850" s="94" t="s">
        <v>403</v>
      </c>
      <c r="E850" s="104">
        <v>1.5173611111111109</v>
      </c>
      <c r="F850" s="94" t="s">
        <v>38</v>
      </c>
      <c r="G850" s="96">
        <v>3</v>
      </c>
      <c r="H850" s="97">
        <v>409</v>
      </c>
      <c r="I850" s="88"/>
    </row>
    <row r="851" spans="1:9" ht="19.8" customHeight="1" x14ac:dyDescent="0.3">
      <c r="A851" s="103">
        <v>45999</v>
      </c>
      <c r="B851" s="94" t="s">
        <v>36</v>
      </c>
      <c r="C851" s="95" t="s">
        <v>438</v>
      </c>
      <c r="D851" s="94" t="s">
        <v>403</v>
      </c>
      <c r="E851" s="104">
        <v>1.854166666666667</v>
      </c>
      <c r="F851" s="94" t="s">
        <v>40</v>
      </c>
      <c r="G851" s="96">
        <v>1</v>
      </c>
      <c r="H851" s="97">
        <v>469</v>
      </c>
      <c r="I851" s="88"/>
    </row>
    <row r="852" spans="1:9" ht="19.8" customHeight="1" x14ac:dyDescent="0.3">
      <c r="A852" s="103">
        <v>45999</v>
      </c>
      <c r="B852" s="94" t="s">
        <v>36</v>
      </c>
      <c r="C852" s="95" t="s">
        <v>442</v>
      </c>
      <c r="D852" s="94" t="s">
        <v>403</v>
      </c>
      <c r="E852" s="104">
        <v>1.256944444444444</v>
      </c>
      <c r="F852" s="94" t="s">
        <v>40</v>
      </c>
      <c r="G852" s="96">
        <v>5</v>
      </c>
      <c r="H852" s="97">
        <v>469</v>
      </c>
      <c r="I852" s="88"/>
    </row>
    <row r="853" spans="1:9" ht="19.8" customHeight="1" x14ac:dyDescent="0.3">
      <c r="A853" s="103">
        <v>45999</v>
      </c>
      <c r="B853" s="94" t="s">
        <v>36</v>
      </c>
      <c r="C853" s="95" t="s">
        <v>435</v>
      </c>
      <c r="D853" s="94" t="s">
        <v>403</v>
      </c>
      <c r="E853" s="104">
        <v>1.9027777777777779</v>
      </c>
      <c r="F853" s="94" t="s">
        <v>40</v>
      </c>
      <c r="G853" s="96">
        <v>4</v>
      </c>
      <c r="H853" s="97">
        <v>469</v>
      </c>
      <c r="I853" s="88"/>
    </row>
    <row r="854" spans="1:9" ht="19.8" customHeight="1" x14ac:dyDescent="0.3">
      <c r="A854" s="103">
        <v>45999</v>
      </c>
      <c r="B854" s="94" t="s">
        <v>36</v>
      </c>
      <c r="C854" s="95" t="s">
        <v>445</v>
      </c>
      <c r="D854" s="94" t="s">
        <v>403</v>
      </c>
      <c r="E854" s="104">
        <v>1.7986111111111109</v>
      </c>
      <c r="F854" s="94" t="s">
        <v>40</v>
      </c>
      <c r="G854" s="96">
        <v>3</v>
      </c>
      <c r="H854" s="97">
        <v>469</v>
      </c>
      <c r="I854" s="88"/>
    </row>
    <row r="855" spans="1:9" ht="19.8" customHeight="1" x14ac:dyDescent="0.3">
      <c r="A855" s="103">
        <v>45999</v>
      </c>
      <c r="B855" s="94" t="s">
        <v>36</v>
      </c>
      <c r="C855" s="95" t="s">
        <v>447</v>
      </c>
      <c r="D855" s="94" t="s">
        <v>403</v>
      </c>
      <c r="E855" s="104">
        <v>1.395833333333333</v>
      </c>
      <c r="F855" s="94" t="s">
        <v>40</v>
      </c>
      <c r="G855" s="96">
        <v>2</v>
      </c>
      <c r="H855" s="97">
        <v>469</v>
      </c>
      <c r="I855" s="88"/>
    </row>
    <row r="856" spans="1:9" ht="19.8" customHeight="1" x14ac:dyDescent="0.3">
      <c r="A856" s="103">
        <v>45999</v>
      </c>
      <c r="B856" s="94" t="s">
        <v>36</v>
      </c>
      <c r="C856" s="95" t="s">
        <v>446</v>
      </c>
      <c r="D856" s="94" t="s">
        <v>403</v>
      </c>
      <c r="E856" s="104">
        <v>1.645833333333333</v>
      </c>
      <c r="F856" s="94" t="s">
        <v>40</v>
      </c>
      <c r="G856" s="96">
        <v>3</v>
      </c>
      <c r="H856" s="97">
        <v>469</v>
      </c>
      <c r="I856" s="88"/>
    </row>
    <row r="857" spans="1:9" ht="19.8" customHeight="1" x14ac:dyDescent="0.3">
      <c r="A857" s="105">
        <v>45999</v>
      </c>
      <c r="B857" s="99" t="s">
        <v>44</v>
      </c>
      <c r="C857" s="100" t="s">
        <v>520</v>
      </c>
      <c r="D857" s="99" t="s">
        <v>403</v>
      </c>
      <c r="E857" s="106">
        <v>1.006944444444444</v>
      </c>
      <c r="F857" s="99" t="s">
        <v>46</v>
      </c>
      <c r="G857" s="101">
        <v>9</v>
      </c>
      <c r="H857" s="102">
        <v>471</v>
      </c>
      <c r="I857" s="88"/>
    </row>
    <row r="858" spans="1:9" ht="19.8" customHeight="1" x14ac:dyDescent="0.3">
      <c r="A858" s="105">
        <v>45999</v>
      </c>
      <c r="B858" s="99" t="s">
        <v>44</v>
      </c>
      <c r="C858" s="100" t="s">
        <v>425</v>
      </c>
      <c r="D858" s="99" t="s">
        <v>403</v>
      </c>
      <c r="E858" s="106">
        <v>1.614583333333333</v>
      </c>
      <c r="F858" s="99" t="s">
        <v>46</v>
      </c>
      <c r="G858" s="101">
        <v>9</v>
      </c>
      <c r="H858" s="102">
        <v>471</v>
      </c>
      <c r="I858" s="88"/>
    </row>
    <row r="859" spans="1:9" ht="19.8" customHeight="1" x14ac:dyDescent="0.3">
      <c r="A859" s="105">
        <v>45999</v>
      </c>
      <c r="B859" s="99" t="s">
        <v>44</v>
      </c>
      <c r="C859" s="100" t="s">
        <v>415</v>
      </c>
      <c r="D859" s="99" t="s">
        <v>403</v>
      </c>
      <c r="E859" s="106">
        <v>1.4236111111111109</v>
      </c>
      <c r="F859" s="99" t="s">
        <v>46</v>
      </c>
      <c r="G859" s="101">
        <v>9</v>
      </c>
      <c r="H859" s="102">
        <v>471</v>
      </c>
      <c r="I859" s="88"/>
    </row>
    <row r="860" spans="1:9" ht="19.8" customHeight="1" x14ac:dyDescent="0.3">
      <c r="A860" s="105">
        <v>45999</v>
      </c>
      <c r="B860" s="99" t="s">
        <v>44</v>
      </c>
      <c r="C860" s="100" t="s">
        <v>429</v>
      </c>
      <c r="D860" s="99" t="s">
        <v>403</v>
      </c>
      <c r="E860" s="106">
        <v>1.979166666666667</v>
      </c>
      <c r="F860" s="99" t="s">
        <v>46</v>
      </c>
      <c r="G860" s="101">
        <v>9</v>
      </c>
      <c r="H860" s="102">
        <v>471</v>
      </c>
      <c r="I860" s="88"/>
    </row>
    <row r="861" spans="1:9" ht="19.8" customHeight="1" x14ac:dyDescent="0.3">
      <c r="A861" s="103">
        <v>45999</v>
      </c>
      <c r="B861" s="94" t="s">
        <v>456</v>
      </c>
      <c r="C861" s="95" t="s">
        <v>500</v>
      </c>
      <c r="D861" s="94" t="s">
        <v>403</v>
      </c>
      <c r="E861" s="104">
        <v>1.3923611111111109</v>
      </c>
      <c r="F861" s="94" t="s">
        <v>34</v>
      </c>
      <c r="G861" s="96">
        <v>9</v>
      </c>
      <c r="H861" s="97">
        <v>473</v>
      </c>
      <c r="I861" s="88"/>
    </row>
    <row r="862" spans="1:9" ht="19.8" customHeight="1" x14ac:dyDescent="0.3">
      <c r="A862" s="103">
        <v>45999</v>
      </c>
      <c r="B862" s="94" t="s">
        <v>456</v>
      </c>
      <c r="C862" s="95" t="s">
        <v>457</v>
      </c>
      <c r="D862" s="94" t="s">
        <v>403</v>
      </c>
      <c r="E862" s="104">
        <v>1.1736111111111109</v>
      </c>
      <c r="F862" s="94" t="s">
        <v>34</v>
      </c>
      <c r="G862" s="96">
        <v>9</v>
      </c>
      <c r="H862" s="97">
        <v>473</v>
      </c>
      <c r="I862" s="88"/>
    </row>
    <row r="863" spans="1:9" ht="19.8" customHeight="1" x14ac:dyDescent="0.3">
      <c r="A863" s="103">
        <v>45999</v>
      </c>
      <c r="B863" s="94" t="s">
        <v>26</v>
      </c>
      <c r="C863" s="95" t="s">
        <v>451</v>
      </c>
      <c r="D863" s="94" t="s">
        <v>403</v>
      </c>
      <c r="E863" s="104">
        <v>1.1284722222222221</v>
      </c>
      <c r="F863" s="94" t="s">
        <v>31</v>
      </c>
      <c r="G863" s="96">
        <v>4</v>
      </c>
      <c r="H863" s="97">
        <v>509</v>
      </c>
      <c r="I863" s="88"/>
    </row>
    <row r="864" spans="1:9" ht="19.8" customHeight="1" x14ac:dyDescent="0.3">
      <c r="A864" s="103">
        <v>45999</v>
      </c>
      <c r="B864" s="94" t="s">
        <v>26</v>
      </c>
      <c r="C864" s="95" t="s">
        <v>453</v>
      </c>
      <c r="D864" s="94" t="s">
        <v>403</v>
      </c>
      <c r="E864" s="104">
        <v>1.302083333333333</v>
      </c>
      <c r="F864" s="94" t="s">
        <v>31</v>
      </c>
      <c r="G864" s="96">
        <v>4</v>
      </c>
      <c r="H864" s="97">
        <v>509</v>
      </c>
      <c r="I864" s="88"/>
    </row>
    <row r="865" spans="1:9" ht="19.8" customHeight="1" x14ac:dyDescent="0.3">
      <c r="A865" s="103">
        <v>45999</v>
      </c>
      <c r="B865" s="94" t="s">
        <v>26</v>
      </c>
      <c r="C865" s="95" t="s">
        <v>455</v>
      </c>
      <c r="D865" s="94" t="s">
        <v>403</v>
      </c>
      <c r="E865" s="104">
        <v>1.788194444444444</v>
      </c>
      <c r="F865" s="94" t="s">
        <v>31</v>
      </c>
      <c r="G865" s="96">
        <v>3</v>
      </c>
      <c r="H865" s="97">
        <v>509</v>
      </c>
      <c r="I865" s="88"/>
    </row>
    <row r="866" spans="1:9" ht="19.8" customHeight="1" x14ac:dyDescent="0.3">
      <c r="A866" s="103">
        <v>45999</v>
      </c>
      <c r="B866" s="94" t="s">
        <v>36</v>
      </c>
      <c r="C866" s="95" t="s">
        <v>443</v>
      </c>
      <c r="D866" s="94" t="s">
        <v>403</v>
      </c>
      <c r="E866" s="104">
        <v>1.46875</v>
      </c>
      <c r="F866" s="94" t="s">
        <v>40</v>
      </c>
      <c r="G866" s="96">
        <v>7</v>
      </c>
      <c r="H866" s="97">
        <v>509</v>
      </c>
      <c r="I866" s="88"/>
    </row>
    <row r="867" spans="1:9" ht="19.8" customHeight="1" x14ac:dyDescent="0.3">
      <c r="A867" s="103">
        <v>45999</v>
      </c>
      <c r="B867" s="94" t="s">
        <v>36</v>
      </c>
      <c r="C867" s="95" t="s">
        <v>444</v>
      </c>
      <c r="D867" s="94" t="s">
        <v>403</v>
      </c>
      <c r="E867" s="104">
        <v>1.5173611111111109</v>
      </c>
      <c r="F867" s="94" t="s">
        <v>40</v>
      </c>
      <c r="G867" s="96">
        <v>3</v>
      </c>
      <c r="H867" s="97">
        <v>509</v>
      </c>
      <c r="I867" s="88"/>
    </row>
    <row r="868" spans="1:9" ht="19.8" customHeight="1" x14ac:dyDescent="0.3">
      <c r="A868" s="103">
        <v>45999</v>
      </c>
      <c r="B868" s="94" t="s">
        <v>26</v>
      </c>
      <c r="C868" s="95" t="s">
        <v>454</v>
      </c>
      <c r="D868" s="94" t="s">
        <v>403</v>
      </c>
      <c r="E868" s="104">
        <v>1.8888888888888891</v>
      </c>
      <c r="F868" s="94" t="s">
        <v>31</v>
      </c>
      <c r="G868" s="96">
        <v>7</v>
      </c>
      <c r="H868" s="97">
        <v>539</v>
      </c>
      <c r="I868" s="88"/>
    </row>
    <row r="869" spans="1:9" ht="19.8" customHeight="1" x14ac:dyDescent="0.3">
      <c r="A869" s="103">
        <v>45999</v>
      </c>
      <c r="B869" s="94" t="s">
        <v>36</v>
      </c>
      <c r="C869" s="95" t="s">
        <v>438</v>
      </c>
      <c r="D869" s="94" t="s">
        <v>403</v>
      </c>
      <c r="E869" s="104">
        <v>1.854166666666667</v>
      </c>
      <c r="F869" s="94" t="s">
        <v>42</v>
      </c>
      <c r="G869" s="96">
        <v>1</v>
      </c>
      <c r="H869" s="97">
        <v>559</v>
      </c>
      <c r="I869" s="88"/>
    </row>
    <row r="870" spans="1:9" ht="19.8" customHeight="1" x14ac:dyDescent="0.3">
      <c r="A870" s="103">
        <v>45999</v>
      </c>
      <c r="B870" s="94" t="s">
        <v>36</v>
      </c>
      <c r="C870" s="95" t="s">
        <v>442</v>
      </c>
      <c r="D870" s="94" t="s">
        <v>403</v>
      </c>
      <c r="E870" s="104">
        <v>1.256944444444444</v>
      </c>
      <c r="F870" s="94" t="s">
        <v>42</v>
      </c>
      <c r="G870" s="96">
        <v>5</v>
      </c>
      <c r="H870" s="97">
        <v>559</v>
      </c>
      <c r="I870" s="88"/>
    </row>
    <row r="871" spans="1:9" ht="19.8" customHeight="1" x14ac:dyDescent="0.3">
      <c r="A871" s="103">
        <v>45999</v>
      </c>
      <c r="B871" s="94" t="s">
        <v>36</v>
      </c>
      <c r="C871" s="95" t="s">
        <v>435</v>
      </c>
      <c r="D871" s="94" t="s">
        <v>403</v>
      </c>
      <c r="E871" s="104">
        <v>1.9027777777777779</v>
      </c>
      <c r="F871" s="94" t="s">
        <v>42</v>
      </c>
      <c r="G871" s="96">
        <v>4</v>
      </c>
      <c r="H871" s="97">
        <v>559</v>
      </c>
      <c r="I871" s="88"/>
    </row>
    <row r="872" spans="1:9" ht="19.8" customHeight="1" x14ac:dyDescent="0.3">
      <c r="A872" s="103">
        <v>45999</v>
      </c>
      <c r="B872" s="94" t="s">
        <v>36</v>
      </c>
      <c r="C872" s="95" t="s">
        <v>445</v>
      </c>
      <c r="D872" s="94" t="s">
        <v>403</v>
      </c>
      <c r="E872" s="104">
        <v>1.7986111111111109</v>
      </c>
      <c r="F872" s="94" t="s">
        <v>42</v>
      </c>
      <c r="G872" s="96">
        <v>3</v>
      </c>
      <c r="H872" s="97">
        <v>559</v>
      </c>
      <c r="I872" s="88"/>
    </row>
    <row r="873" spans="1:9" ht="19.8" customHeight="1" x14ac:dyDescent="0.3">
      <c r="A873" s="103">
        <v>45999</v>
      </c>
      <c r="B873" s="94" t="s">
        <v>36</v>
      </c>
      <c r="C873" s="95" t="s">
        <v>447</v>
      </c>
      <c r="D873" s="94" t="s">
        <v>403</v>
      </c>
      <c r="E873" s="104">
        <v>1.395833333333333</v>
      </c>
      <c r="F873" s="94" t="s">
        <v>42</v>
      </c>
      <c r="G873" s="96">
        <v>2</v>
      </c>
      <c r="H873" s="97">
        <v>559</v>
      </c>
      <c r="I873" s="88"/>
    </row>
    <row r="874" spans="1:9" ht="19.8" customHeight="1" x14ac:dyDescent="0.3">
      <c r="A874" s="103">
        <v>45999</v>
      </c>
      <c r="B874" s="94" t="s">
        <v>36</v>
      </c>
      <c r="C874" s="95" t="s">
        <v>446</v>
      </c>
      <c r="D874" s="94" t="s">
        <v>403</v>
      </c>
      <c r="E874" s="104">
        <v>1.645833333333333</v>
      </c>
      <c r="F874" s="94" t="s">
        <v>42</v>
      </c>
      <c r="G874" s="96">
        <v>3</v>
      </c>
      <c r="H874" s="97">
        <v>559</v>
      </c>
      <c r="I874" s="88"/>
    </row>
    <row r="875" spans="1:9" ht="19.8" customHeight="1" x14ac:dyDescent="0.3">
      <c r="A875" s="103">
        <v>45999</v>
      </c>
      <c r="B875" s="94" t="s">
        <v>36</v>
      </c>
      <c r="C875" s="95" t="s">
        <v>443</v>
      </c>
      <c r="D875" s="94" t="s">
        <v>403</v>
      </c>
      <c r="E875" s="104">
        <v>1.46875</v>
      </c>
      <c r="F875" s="94" t="s">
        <v>42</v>
      </c>
      <c r="G875" s="96">
        <v>7</v>
      </c>
      <c r="H875" s="97">
        <v>599</v>
      </c>
      <c r="I875" s="88"/>
    </row>
    <row r="876" spans="1:9" ht="19.8" customHeight="1" x14ac:dyDescent="0.3">
      <c r="A876" s="103">
        <v>45999</v>
      </c>
      <c r="B876" s="94" t="s">
        <v>36</v>
      </c>
      <c r="C876" s="95" t="s">
        <v>444</v>
      </c>
      <c r="D876" s="94" t="s">
        <v>403</v>
      </c>
      <c r="E876" s="104">
        <v>1.5173611111111109</v>
      </c>
      <c r="F876" s="94" t="s">
        <v>42</v>
      </c>
      <c r="G876" s="96">
        <v>3</v>
      </c>
      <c r="H876" s="97">
        <v>599</v>
      </c>
      <c r="I876" s="88"/>
    </row>
    <row r="877" spans="1:9" ht="19.8" customHeight="1" x14ac:dyDescent="0.3">
      <c r="A877" s="103">
        <v>45999</v>
      </c>
      <c r="B877" s="94" t="s">
        <v>66</v>
      </c>
      <c r="C877" s="95" t="s">
        <v>490</v>
      </c>
      <c r="D877" s="94" t="s">
        <v>403</v>
      </c>
      <c r="E877" s="104">
        <v>1.2777777777777779</v>
      </c>
      <c r="F877" s="94" t="s">
        <v>68</v>
      </c>
      <c r="G877" s="96">
        <v>9</v>
      </c>
      <c r="H877" s="97">
        <v>673</v>
      </c>
      <c r="I877" s="88"/>
    </row>
    <row r="878" spans="1:9" ht="19.8" customHeight="1" x14ac:dyDescent="0.3">
      <c r="A878" s="103">
        <v>45999</v>
      </c>
      <c r="B878" s="94" t="s">
        <v>78</v>
      </c>
      <c r="C878" s="95" t="s">
        <v>461</v>
      </c>
      <c r="D878" s="94" t="s">
        <v>403</v>
      </c>
      <c r="E878" s="104">
        <v>1.239583333333333</v>
      </c>
      <c r="F878" s="94" t="s">
        <v>80</v>
      </c>
      <c r="G878" s="96">
        <v>9</v>
      </c>
      <c r="H878" s="97">
        <v>678</v>
      </c>
      <c r="I878" s="88"/>
    </row>
    <row r="879" spans="1:9" ht="19.8" customHeight="1" x14ac:dyDescent="0.3">
      <c r="A879" s="103">
        <v>45999</v>
      </c>
      <c r="B879" s="94" t="s">
        <v>78</v>
      </c>
      <c r="C879" s="95" t="s">
        <v>461</v>
      </c>
      <c r="D879" s="94" t="s">
        <v>403</v>
      </c>
      <c r="E879" s="104">
        <v>1.239583333333333</v>
      </c>
      <c r="F879" s="94" t="s">
        <v>83</v>
      </c>
      <c r="G879" s="96">
        <v>9</v>
      </c>
      <c r="H879" s="97">
        <v>723</v>
      </c>
      <c r="I879" s="88"/>
    </row>
    <row r="880" spans="1:9" ht="19.8" customHeight="1" x14ac:dyDescent="0.3">
      <c r="A880" s="103">
        <v>45999</v>
      </c>
      <c r="B880" s="94" t="s">
        <v>66</v>
      </c>
      <c r="C880" s="95" t="s">
        <v>509</v>
      </c>
      <c r="D880" s="94" t="s">
        <v>403</v>
      </c>
      <c r="E880" s="104">
        <v>1.0138888888888891</v>
      </c>
      <c r="F880" s="94" t="s">
        <v>68</v>
      </c>
      <c r="G880" s="96">
        <v>9</v>
      </c>
      <c r="H880" s="97">
        <v>765</v>
      </c>
      <c r="I880" s="88"/>
    </row>
    <row r="881" spans="1:9" ht="19.8" customHeight="1" x14ac:dyDescent="0.3">
      <c r="A881" s="103">
        <v>45999</v>
      </c>
      <c r="B881" s="94" t="s">
        <v>66</v>
      </c>
      <c r="C881" s="95" t="s">
        <v>485</v>
      </c>
      <c r="D881" s="94" t="s">
        <v>403</v>
      </c>
      <c r="E881" s="104">
        <v>1.4861111111111109</v>
      </c>
      <c r="F881" s="94" t="s">
        <v>68</v>
      </c>
      <c r="G881" s="96">
        <v>9</v>
      </c>
      <c r="H881" s="97">
        <v>765</v>
      </c>
      <c r="I881" s="88"/>
    </row>
    <row r="882" spans="1:9" ht="19.8" customHeight="1" x14ac:dyDescent="0.3">
      <c r="A882" s="103">
        <v>45999</v>
      </c>
      <c r="B882" s="94" t="s">
        <v>78</v>
      </c>
      <c r="C882" s="95" t="s">
        <v>482</v>
      </c>
      <c r="D882" s="94" t="s">
        <v>403</v>
      </c>
      <c r="E882" s="104">
        <v>1.6111111111111109</v>
      </c>
      <c r="F882" s="94" t="s">
        <v>80</v>
      </c>
      <c r="G882" s="96">
        <v>9</v>
      </c>
      <c r="H882" s="97">
        <v>797</v>
      </c>
      <c r="I882" s="88"/>
    </row>
    <row r="883" spans="1:9" ht="19.8" customHeight="1" x14ac:dyDescent="0.3">
      <c r="A883" s="103">
        <v>45999</v>
      </c>
      <c r="B883" s="94" t="s">
        <v>78</v>
      </c>
      <c r="C883" s="95" t="s">
        <v>482</v>
      </c>
      <c r="D883" s="94" t="s">
        <v>403</v>
      </c>
      <c r="E883" s="104">
        <v>1.6111111111111109</v>
      </c>
      <c r="F883" s="94" t="s">
        <v>83</v>
      </c>
      <c r="G883" s="96">
        <v>9</v>
      </c>
      <c r="H883" s="97">
        <v>842</v>
      </c>
      <c r="I883" s="88"/>
    </row>
    <row r="884" spans="1:9" ht="19.8" customHeight="1" x14ac:dyDescent="0.3">
      <c r="A884" s="103">
        <v>45999</v>
      </c>
      <c r="B884" s="94" t="s">
        <v>66</v>
      </c>
      <c r="C884" s="95" t="s">
        <v>505</v>
      </c>
      <c r="D884" s="94" t="s">
        <v>403</v>
      </c>
      <c r="E884" s="104">
        <v>1.145833333333333</v>
      </c>
      <c r="F884" s="94" t="s">
        <v>68</v>
      </c>
      <c r="G884" s="96">
        <v>9</v>
      </c>
      <c r="H884" s="97">
        <v>842</v>
      </c>
      <c r="I884" s="88"/>
    </row>
    <row r="885" spans="1:9" ht="19.8" customHeight="1" x14ac:dyDescent="0.3">
      <c r="A885" s="103">
        <v>45999</v>
      </c>
      <c r="B885" s="94" t="s">
        <v>78</v>
      </c>
      <c r="C885" s="95" t="s">
        <v>464</v>
      </c>
      <c r="D885" s="94" t="s">
        <v>403</v>
      </c>
      <c r="E885" s="104">
        <v>1.006944444444444</v>
      </c>
      <c r="F885" s="94" t="s">
        <v>80</v>
      </c>
      <c r="G885" s="96">
        <v>9</v>
      </c>
      <c r="H885" s="97">
        <v>935</v>
      </c>
      <c r="I885" s="88"/>
    </row>
    <row r="886" spans="1:9" ht="19.8" customHeight="1" x14ac:dyDescent="0.3">
      <c r="A886" s="103">
        <v>45999</v>
      </c>
      <c r="B886" s="94" t="s">
        <v>78</v>
      </c>
      <c r="C886" s="95" t="s">
        <v>470</v>
      </c>
      <c r="D886" s="94" t="s">
        <v>403</v>
      </c>
      <c r="E886" s="104">
        <v>1.71875</v>
      </c>
      <c r="F886" s="94" t="s">
        <v>80</v>
      </c>
      <c r="G886" s="96">
        <v>9</v>
      </c>
      <c r="H886" s="97">
        <v>935</v>
      </c>
      <c r="I886" s="88"/>
    </row>
    <row r="887" spans="1:9" ht="19.8" customHeight="1" x14ac:dyDescent="0.3">
      <c r="A887" s="103">
        <v>45999</v>
      </c>
      <c r="B887" s="94" t="s">
        <v>78</v>
      </c>
      <c r="C887" s="95" t="s">
        <v>477</v>
      </c>
      <c r="D887" s="94" t="s">
        <v>403</v>
      </c>
      <c r="E887" s="104">
        <v>1.8298611111111109</v>
      </c>
      <c r="F887" s="94" t="s">
        <v>80</v>
      </c>
      <c r="G887" s="96">
        <v>9</v>
      </c>
      <c r="H887" s="97">
        <v>935</v>
      </c>
      <c r="I887" s="88"/>
    </row>
    <row r="888" spans="1:9" ht="19.8" customHeight="1" x14ac:dyDescent="0.3">
      <c r="A888" s="103">
        <v>45999</v>
      </c>
      <c r="B888" s="94" t="s">
        <v>78</v>
      </c>
      <c r="C888" s="95" t="s">
        <v>469</v>
      </c>
      <c r="D888" s="94" t="s">
        <v>403</v>
      </c>
      <c r="E888" s="104">
        <v>1.3784722222222221</v>
      </c>
      <c r="F888" s="94" t="s">
        <v>80</v>
      </c>
      <c r="G888" s="96">
        <v>9</v>
      </c>
      <c r="H888" s="97">
        <v>935</v>
      </c>
      <c r="I888" s="88"/>
    </row>
    <row r="889" spans="1:9" ht="19.8" customHeight="1" x14ac:dyDescent="0.3">
      <c r="A889" s="103">
        <v>45999</v>
      </c>
      <c r="B889" s="94" t="s">
        <v>78</v>
      </c>
      <c r="C889" s="95" t="s">
        <v>464</v>
      </c>
      <c r="D889" s="94" t="s">
        <v>403</v>
      </c>
      <c r="E889" s="104">
        <v>1.006944444444444</v>
      </c>
      <c r="F889" s="94" t="s">
        <v>83</v>
      </c>
      <c r="G889" s="96">
        <v>9</v>
      </c>
      <c r="H889" s="97">
        <v>980</v>
      </c>
      <c r="I889" s="88"/>
    </row>
    <row r="890" spans="1:9" ht="19.8" customHeight="1" x14ac:dyDescent="0.3">
      <c r="A890" s="103">
        <v>45999</v>
      </c>
      <c r="B890" s="94" t="s">
        <v>78</v>
      </c>
      <c r="C890" s="95" t="s">
        <v>470</v>
      </c>
      <c r="D890" s="94" t="s">
        <v>403</v>
      </c>
      <c r="E890" s="104">
        <v>1.71875</v>
      </c>
      <c r="F890" s="94" t="s">
        <v>83</v>
      </c>
      <c r="G890" s="96">
        <v>9</v>
      </c>
      <c r="H890" s="97">
        <v>980</v>
      </c>
      <c r="I890" s="88"/>
    </row>
    <row r="891" spans="1:9" ht="19.8" customHeight="1" x14ac:dyDescent="0.3">
      <c r="A891" s="103">
        <v>45999</v>
      </c>
      <c r="B891" s="94" t="s">
        <v>78</v>
      </c>
      <c r="C891" s="95" t="s">
        <v>477</v>
      </c>
      <c r="D891" s="94" t="s">
        <v>403</v>
      </c>
      <c r="E891" s="104">
        <v>1.8298611111111109</v>
      </c>
      <c r="F891" s="94" t="s">
        <v>83</v>
      </c>
      <c r="G891" s="96">
        <v>9</v>
      </c>
      <c r="H891" s="97">
        <v>980</v>
      </c>
      <c r="I891" s="88"/>
    </row>
    <row r="892" spans="1:9" ht="19.8" customHeight="1" x14ac:dyDescent="0.3">
      <c r="A892" s="103">
        <v>45999</v>
      </c>
      <c r="B892" s="94" t="s">
        <v>78</v>
      </c>
      <c r="C892" s="95" t="s">
        <v>469</v>
      </c>
      <c r="D892" s="94" t="s">
        <v>403</v>
      </c>
      <c r="E892" s="104">
        <v>1.3784722222222221</v>
      </c>
      <c r="F892" s="94" t="s">
        <v>83</v>
      </c>
      <c r="G892" s="96">
        <v>9</v>
      </c>
      <c r="H892" s="97">
        <v>980</v>
      </c>
      <c r="I892" s="88"/>
    </row>
    <row r="893" spans="1:9" ht="19.8" customHeight="1" x14ac:dyDescent="0.3">
      <c r="A893" s="103">
        <v>45999</v>
      </c>
      <c r="B893" s="94" t="s">
        <v>66</v>
      </c>
      <c r="C893" s="95" t="s">
        <v>488</v>
      </c>
      <c r="D893" s="94" t="s">
        <v>403</v>
      </c>
      <c r="E893" s="104">
        <v>1.229166666666667</v>
      </c>
      <c r="F893" s="94" t="s">
        <v>68</v>
      </c>
      <c r="G893" s="96">
        <v>9</v>
      </c>
      <c r="H893" s="107" t="s">
        <v>489</v>
      </c>
      <c r="I893" s="88"/>
    </row>
    <row r="894" spans="1:9" ht="19.8" customHeight="1" x14ac:dyDescent="0.3">
      <c r="A894" s="103">
        <v>45999</v>
      </c>
      <c r="B894" s="94" t="s">
        <v>26</v>
      </c>
      <c r="C894" s="95" t="s">
        <v>451</v>
      </c>
      <c r="D894" s="94" t="s">
        <v>403</v>
      </c>
      <c r="E894" s="104">
        <v>1.1284722222222221</v>
      </c>
      <c r="F894" s="94" t="s">
        <v>34</v>
      </c>
      <c r="G894" s="96">
        <v>4</v>
      </c>
      <c r="H894" s="107" t="s">
        <v>35</v>
      </c>
      <c r="I894" s="88"/>
    </row>
    <row r="895" spans="1:9" ht="19.8" customHeight="1" x14ac:dyDescent="0.3">
      <c r="A895" s="103">
        <v>45999</v>
      </c>
      <c r="B895" s="94" t="s">
        <v>26</v>
      </c>
      <c r="C895" s="95" t="s">
        <v>453</v>
      </c>
      <c r="D895" s="94" t="s">
        <v>403</v>
      </c>
      <c r="E895" s="104">
        <v>1.302083333333333</v>
      </c>
      <c r="F895" s="94" t="s">
        <v>34</v>
      </c>
      <c r="G895" s="96">
        <v>4</v>
      </c>
      <c r="H895" s="107" t="s">
        <v>35</v>
      </c>
      <c r="I895" s="88"/>
    </row>
    <row r="896" spans="1:9" ht="19.8" customHeight="1" x14ac:dyDescent="0.3">
      <c r="A896" s="103">
        <v>45999</v>
      </c>
      <c r="B896" s="94" t="s">
        <v>26</v>
      </c>
      <c r="C896" s="95" t="s">
        <v>454</v>
      </c>
      <c r="D896" s="94" t="s">
        <v>403</v>
      </c>
      <c r="E896" s="104">
        <v>1.8888888888888891</v>
      </c>
      <c r="F896" s="94" t="s">
        <v>34</v>
      </c>
      <c r="G896" s="96">
        <v>7</v>
      </c>
      <c r="H896" s="107" t="s">
        <v>35</v>
      </c>
      <c r="I896" s="88"/>
    </row>
    <row r="897" spans="1:9" ht="19.8" customHeight="1" x14ac:dyDescent="0.3">
      <c r="A897" s="103">
        <v>45999</v>
      </c>
      <c r="B897" s="94" t="s">
        <v>26</v>
      </c>
      <c r="C897" s="95" t="s">
        <v>455</v>
      </c>
      <c r="D897" s="94" t="s">
        <v>403</v>
      </c>
      <c r="E897" s="104">
        <v>1.788194444444444</v>
      </c>
      <c r="F897" s="94" t="s">
        <v>34</v>
      </c>
      <c r="G897" s="96">
        <v>3</v>
      </c>
      <c r="H897" s="107" t="s">
        <v>35</v>
      </c>
      <c r="I897" s="88"/>
    </row>
    <row r="898" spans="1:9" ht="19.8" customHeight="1" x14ac:dyDescent="0.3">
      <c r="A898" s="103">
        <v>45999</v>
      </c>
      <c r="B898" s="94" t="s">
        <v>78</v>
      </c>
      <c r="C898" s="95" t="s">
        <v>475</v>
      </c>
      <c r="D898" s="94" t="s">
        <v>403</v>
      </c>
      <c r="E898" s="104">
        <v>1.302083333333333</v>
      </c>
      <c r="F898" s="94" t="s">
        <v>83</v>
      </c>
      <c r="G898" s="96">
        <v>4</v>
      </c>
      <c r="H898" s="107" t="s">
        <v>638</v>
      </c>
      <c r="I898" s="88"/>
    </row>
    <row r="899" spans="1:9" ht="19.8" customHeight="1" x14ac:dyDescent="0.3">
      <c r="A899" s="103">
        <v>45999</v>
      </c>
      <c r="B899" s="94" t="s">
        <v>78</v>
      </c>
      <c r="C899" s="95" t="s">
        <v>476</v>
      </c>
      <c r="D899" s="94" t="s">
        <v>403</v>
      </c>
      <c r="E899" s="104">
        <v>1.1284722222222221</v>
      </c>
      <c r="F899" s="94" t="s">
        <v>83</v>
      </c>
      <c r="G899" s="96">
        <v>4</v>
      </c>
      <c r="H899" s="107" t="s">
        <v>638</v>
      </c>
      <c r="I899" s="88"/>
    </row>
    <row r="900" spans="1:9" ht="19.8" customHeight="1" x14ac:dyDescent="0.3">
      <c r="A900" s="103">
        <v>45999</v>
      </c>
      <c r="B900" s="94" t="s">
        <v>78</v>
      </c>
      <c r="C900" s="95" t="s">
        <v>473</v>
      </c>
      <c r="D900" s="94" t="s">
        <v>403</v>
      </c>
      <c r="E900" s="104">
        <v>1.8888888888888891</v>
      </c>
      <c r="F900" s="94" t="s">
        <v>83</v>
      </c>
      <c r="G900" s="96">
        <v>4</v>
      </c>
      <c r="H900" s="107" t="s">
        <v>535</v>
      </c>
      <c r="I900" s="88"/>
    </row>
    <row r="901" spans="1:9" ht="19.8" customHeight="1" x14ac:dyDescent="0.3">
      <c r="A901" s="103">
        <v>45999</v>
      </c>
      <c r="B901" s="94" t="s">
        <v>78</v>
      </c>
      <c r="C901" s="95" t="s">
        <v>480</v>
      </c>
      <c r="D901" s="94" t="s">
        <v>403</v>
      </c>
      <c r="E901" s="104">
        <v>1.788194444444444</v>
      </c>
      <c r="F901" s="94" t="s">
        <v>83</v>
      </c>
      <c r="G901" s="96">
        <v>4</v>
      </c>
      <c r="H901" s="107" t="s">
        <v>535</v>
      </c>
      <c r="I901" s="88"/>
    </row>
    <row r="902" spans="1:9" ht="19.8" customHeight="1" x14ac:dyDescent="0.3">
      <c r="A902" s="103">
        <v>45999</v>
      </c>
      <c r="B902" s="94" t="s">
        <v>78</v>
      </c>
      <c r="C902" s="95" t="s">
        <v>467</v>
      </c>
      <c r="D902" s="94" t="s">
        <v>403</v>
      </c>
      <c r="E902" s="104">
        <v>1.1423611111111109</v>
      </c>
      <c r="F902" s="94" t="s">
        <v>80</v>
      </c>
      <c r="G902" s="96">
        <v>9</v>
      </c>
      <c r="H902" s="107" t="s">
        <v>511</v>
      </c>
      <c r="I902" s="88"/>
    </row>
    <row r="903" spans="1:9" ht="19.8" customHeight="1" x14ac:dyDescent="0.3">
      <c r="A903" s="103">
        <v>45999</v>
      </c>
      <c r="B903" s="94" t="s">
        <v>78</v>
      </c>
      <c r="C903" s="95" t="s">
        <v>468</v>
      </c>
      <c r="D903" s="94" t="s">
        <v>403</v>
      </c>
      <c r="E903" s="104">
        <v>1.930555555555556</v>
      </c>
      <c r="F903" s="94" t="s">
        <v>80</v>
      </c>
      <c r="G903" s="96">
        <v>9</v>
      </c>
      <c r="H903" s="107" t="s">
        <v>511</v>
      </c>
      <c r="I903" s="88"/>
    </row>
    <row r="904" spans="1:9" ht="19.8" customHeight="1" x14ac:dyDescent="0.3">
      <c r="A904" s="103">
        <v>45999</v>
      </c>
      <c r="B904" s="94" t="s">
        <v>78</v>
      </c>
      <c r="C904" s="95" t="s">
        <v>467</v>
      </c>
      <c r="D904" s="94" t="s">
        <v>403</v>
      </c>
      <c r="E904" s="104">
        <v>1.1423611111111109</v>
      </c>
      <c r="F904" s="94" t="s">
        <v>83</v>
      </c>
      <c r="G904" s="96">
        <v>9</v>
      </c>
      <c r="H904" s="107" t="s">
        <v>512</v>
      </c>
      <c r="I904" s="88"/>
    </row>
    <row r="905" spans="1:9" ht="19.8" customHeight="1" x14ac:dyDescent="0.3">
      <c r="A905" s="103">
        <v>45999</v>
      </c>
      <c r="B905" s="94" t="s">
        <v>78</v>
      </c>
      <c r="C905" s="95" t="s">
        <v>468</v>
      </c>
      <c r="D905" s="94" t="s">
        <v>403</v>
      </c>
      <c r="E905" s="104">
        <v>1.930555555555556</v>
      </c>
      <c r="F905" s="94" t="s">
        <v>83</v>
      </c>
      <c r="G905" s="96">
        <v>9</v>
      </c>
      <c r="H905" s="107" t="s">
        <v>512</v>
      </c>
      <c r="I905" s="88"/>
    </row>
    <row r="906" spans="1:9" ht="19.8" customHeight="1" x14ac:dyDescent="0.3">
      <c r="A906" s="103">
        <v>45999</v>
      </c>
      <c r="B906" s="94" t="s">
        <v>66</v>
      </c>
      <c r="C906" s="95" t="s">
        <v>492</v>
      </c>
      <c r="D906" s="94" t="s">
        <v>403</v>
      </c>
      <c r="E906" s="104">
        <v>1.770833333333333</v>
      </c>
      <c r="F906" s="94" t="s">
        <v>68</v>
      </c>
      <c r="G906" s="96">
        <v>9</v>
      </c>
      <c r="H906" s="107" t="s">
        <v>493</v>
      </c>
      <c r="I906" s="88"/>
    </row>
    <row r="907" spans="1:9" ht="19.8" customHeight="1" x14ac:dyDescent="0.3">
      <c r="A907" s="113">
        <v>45999</v>
      </c>
      <c r="B907" s="114" t="s">
        <v>66</v>
      </c>
      <c r="C907" s="115" t="s">
        <v>487</v>
      </c>
      <c r="D907" s="114" t="s">
        <v>403</v>
      </c>
      <c r="E907" s="116">
        <v>1.5138888888888891</v>
      </c>
      <c r="F907" s="114" t="s">
        <v>68</v>
      </c>
      <c r="G907" s="117">
        <v>6</v>
      </c>
      <c r="H907" s="118" t="s">
        <v>493</v>
      </c>
      <c r="I907" s="88"/>
    </row>
    <row r="908" spans="1:9" ht="19.8" customHeight="1" x14ac:dyDescent="0.3">
      <c r="A908" s="103">
        <v>46000</v>
      </c>
      <c r="B908" s="94" t="s">
        <v>36</v>
      </c>
      <c r="C908" s="95" t="s">
        <v>442</v>
      </c>
      <c r="D908" s="94" t="s">
        <v>403</v>
      </c>
      <c r="E908" s="104">
        <v>1.256944444444444</v>
      </c>
      <c r="F908" s="94" t="s">
        <v>38</v>
      </c>
      <c r="G908" s="96">
        <v>1</v>
      </c>
      <c r="H908" s="97">
        <v>289</v>
      </c>
      <c r="I908" s="88"/>
    </row>
    <row r="909" spans="1:9" ht="19.8" customHeight="1" x14ac:dyDescent="0.3">
      <c r="A909" s="103">
        <v>46000</v>
      </c>
      <c r="B909" s="94" t="s">
        <v>36</v>
      </c>
      <c r="C909" s="95" t="s">
        <v>443</v>
      </c>
      <c r="D909" s="94" t="s">
        <v>403</v>
      </c>
      <c r="E909" s="104">
        <v>1.302083333333333</v>
      </c>
      <c r="F909" s="94" t="s">
        <v>38</v>
      </c>
      <c r="G909" s="96">
        <v>5</v>
      </c>
      <c r="H909" s="97">
        <v>329</v>
      </c>
      <c r="I909" s="88"/>
    </row>
    <row r="910" spans="1:9" ht="19.8" customHeight="1" x14ac:dyDescent="0.3">
      <c r="A910" s="103">
        <v>46000</v>
      </c>
      <c r="B910" s="94" t="s">
        <v>36</v>
      </c>
      <c r="C910" s="95" t="s">
        <v>447</v>
      </c>
      <c r="D910" s="94" t="s">
        <v>403</v>
      </c>
      <c r="E910" s="104">
        <v>1.395833333333333</v>
      </c>
      <c r="F910" s="94" t="s">
        <v>38</v>
      </c>
      <c r="G910" s="96">
        <v>2</v>
      </c>
      <c r="H910" s="97">
        <v>329</v>
      </c>
      <c r="I910" s="88"/>
    </row>
    <row r="911" spans="1:9" ht="19.8" customHeight="1" x14ac:dyDescent="0.3">
      <c r="A911" s="103">
        <v>46000</v>
      </c>
      <c r="B911" s="94" t="s">
        <v>456</v>
      </c>
      <c r="C911" s="95" t="s">
        <v>457</v>
      </c>
      <c r="D911" s="94" t="s">
        <v>403</v>
      </c>
      <c r="E911" s="104">
        <v>1.2222222222222221</v>
      </c>
      <c r="F911" s="94" t="s">
        <v>458</v>
      </c>
      <c r="G911" s="96">
        <v>9</v>
      </c>
      <c r="H911" s="97">
        <v>350</v>
      </c>
      <c r="I911" s="88"/>
    </row>
    <row r="912" spans="1:9" ht="19.8" customHeight="1" x14ac:dyDescent="0.3">
      <c r="A912" s="103">
        <v>46000</v>
      </c>
      <c r="B912" s="94" t="s">
        <v>26</v>
      </c>
      <c r="C912" s="95" t="s">
        <v>451</v>
      </c>
      <c r="D912" s="94" t="s">
        <v>403</v>
      </c>
      <c r="E912" s="104">
        <v>1.1284722222222221</v>
      </c>
      <c r="F912" s="94" t="s">
        <v>28</v>
      </c>
      <c r="G912" s="96">
        <v>15</v>
      </c>
      <c r="H912" s="97">
        <v>359</v>
      </c>
      <c r="I912" s="88"/>
    </row>
    <row r="913" spans="1:9" ht="19.8" customHeight="1" x14ac:dyDescent="0.3">
      <c r="A913" s="103">
        <v>46000</v>
      </c>
      <c r="B913" s="94" t="s">
        <v>26</v>
      </c>
      <c r="C913" s="95" t="s">
        <v>453</v>
      </c>
      <c r="D913" s="94" t="s">
        <v>403</v>
      </c>
      <c r="E913" s="104">
        <v>1.302083333333333</v>
      </c>
      <c r="F913" s="94" t="s">
        <v>28</v>
      </c>
      <c r="G913" s="96">
        <v>2</v>
      </c>
      <c r="H913" s="97">
        <v>359</v>
      </c>
      <c r="I913" s="88"/>
    </row>
    <row r="914" spans="1:9" ht="19.8" customHeight="1" x14ac:dyDescent="0.3">
      <c r="A914" s="103">
        <v>46000</v>
      </c>
      <c r="B914" s="94" t="s">
        <v>36</v>
      </c>
      <c r="C914" s="95" t="s">
        <v>442</v>
      </c>
      <c r="D914" s="94" t="s">
        <v>403</v>
      </c>
      <c r="E914" s="104">
        <v>1.256944444444444</v>
      </c>
      <c r="F914" s="94" t="s">
        <v>40</v>
      </c>
      <c r="G914" s="96">
        <v>1</v>
      </c>
      <c r="H914" s="97">
        <v>389</v>
      </c>
      <c r="I914" s="88"/>
    </row>
    <row r="915" spans="1:9" ht="19.8" customHeight="1" x14ac:dyDescent="0.3">
      <c r="A915" s="103">
        <v>46000</v>
      </c>
      <c r="B915" s="94" t="s">
        <v>404</v>
      </c>
      <c r="C915" s="95" t="s">
        <v>408</v>
      </c>
      <c r="D915" s="94" t="s">
        <v>403</v>
      </c>
      <c r="E915" s="104">
        <v>1.739583333333333</v>
      </c>
      <c r="F915" s="94" t="s">
        <v>406</v>
      </c>
      <c r="G915" s="96">
        <v>9</v>
      </c>
      <c r="H915" s="97">
        <v>400</v>
      </c>
      <c r="I915" s="88"/>
    </row>
    <row r="916" spans="1:9" ht="19.8" customHeight="1" x14ac:dyDescent="0.3">
      <c r="A916" s="103">
        <v>46000</v>
      </c>
      <c r="B916" s="94" t="s">
        <v>404</v>
      </c>
      <c r="C916" s="95" t="s">
        <v>405</v>
      </c>
      <c r="D916" s="94" t="s">
        <v>403</v>
      </c>
      <c r="E916" s="104">
        <v>1.274305555555556</v>
      </c>
      <c r="F916" s="94" t="s">
        <v>406</v>
      </c>
      <c r="G916" s="96">
        <v>9</v>
      </c>
      <c r="H916" s="97">
        <v>400</v>
      </c>
      <c r="I916" s="88"/>
    </row>
    <row r="917" spans="1:9" ht="19.8" customHeight="1" x14ac:dyDescent="0.3">
      <c r="A917" s="105">
        <v>46000</v>
      </c>
      <c r="B917" s="99" t="s">
        <v>44</v>
      </c>
      <c r="C917" s="100" t="s">
        <v>520</v>
      </c>
      <c r="D917" s="99" t="s">
        <v>403</v>
      </c>
      <c r="E917" s="106">
        <v>1.5590277777777779</v>
      </c>
      <c r="F917" s="99" t="s">
        <v>46</v>
      </c>
      <c r="G917" s="101">
        <v>7</v>
      </c>
      <c r="H917" s="102">
        <v>401</v>
      </c>
      <c r="I917" s="88"/>
    </row>
    <row r="918" spans="1:9" ht="19.8" customHeight="1" x14ac:dyDescent="0.3">
      <c r="A918" s="105">
        <v>46000</v>
      </c>
      <c r="B918" s="99" t="s">
        <v>44</v>
      </c>
      <c r="C918" s="100" t="s">
        <v>419</v>
      </c>
      <c r="D918" s="99" t="s">
        <v>403</v>
      </c>
      <c r="E918" s="106">
        <v>1.229166666666667</v>
      </c>
      <c r="F918" s="99" t="s">
        <v>46</v>
      </c>
      <c r="G918" s="101">
        <v>5</v>
      </c>
      <c r="H918" s="102">
        <v>401</v>
      </c>
      <c r="I918" s="88"/>
    </row>
    <row r="919" spans="1:9" ht="19.8" customHeight="1" x14ac:dyDescent="0.3">
      <c r="A919" s="103">
        <v>46000</v>
      </c>
      <c r="B919" s="94" t="s">
        <v>410</v>
      </c>
      <c r="C919" s="95" t="s">
        <v>412</v>
      </c>
      <c r="D919" s="94" t="s">
        <v>403</v>
      </c>
      <c r="E919" s="104">
        <v>1.0451388888888891</v>
      </c>
      <c r="F919" s="94" t="s">
        <v>406</v>
      </c>
      <c r="G919" s="96">
        <v>9</v>
      </c>
      <c r="H919" s="97">
        <v>401</v>
      </c>
      <c r="I919" s="88"/>
    </row>
    <row r="920" spans="1:9" ht="19.8" customHeight="1" x14ac:dyDescent="0.3">
      <c r="A920" s="103">
        <v>46000</v>
      </c>
      <c r="B920" s="94" t="s">
        <v>410</v>
      </c>
      <c r="C920" s="95" t="s">
        <v>413</v>
      </c>
      <c r="D920" s="94" t="s">
        <v>403</v>
      </c>
      <c r="E920" s="104">
        <v>1.666666666666667</v>
      </c>
      <c r="F920" s="94" t="s">
        <v>406</v>
      </c>
      <c r="G920" s="96">
        <v>9</v>
      </c>
      <c r="H920" s="97">
        <v>401</v>
      </c>
      <c r="I920" s="88"/>
    </row>
    <row r="921" spans="1:9" ht="19.8" customHeight="1" x14ac:dyDescent="0.3">
      <c r="A921" s="103">
        <v>46000</v>
      </c>
      <c r="B921" s="94" t="s">
        <v>36</v>
      </c>
      <c r="C921" s="95" t="s">
        <v>444</v>
      </c>
      <c r="D921" s="94" t="s">
        <v>403</v>
      </c>
      <c r="E921" s="104">
        <v>1.5173611111111109</v>
      </c>
      <c r="F921" s="94" t="s">
        <v>38</v>
      </c>
      <c r="G921" s="96">
        <v>6</v>
      </c>
      <c r="H921" s="97">
        <v>409</v>
      </c>
      <c r="I921" s="88"/>
    </row>
    <row r="922" spans="1:9" ht="19.8" customHeight="1" x14ac:dyDescent="0.3">
      <c r="A922" s="103">
        <v>46000</v>
      </c>
      <c r="B922" s="94" t="s">
        <v>36</v>
      </c>
      <c r="C922" s="95" t="s">
        <v>445</v>
      </c>
      <c r="D922" s="94" t="s">
        <v>403</v>
      </c>
      <c r="E922" s="104">
        <v>1.7986111111111109</v>
      </c>
      <c r="F922" s="94" t="s">
        <v>38</v>
      </c>
      <c r="G922" s="96">
        <v>8</v>
      </c>
      <c r="H922" s="97">
        <v>409</v>
      </c>
      <c r="I922" s="88"/>
    </row>
    <row r="923" spans="1:9" ht="19.8" customHeight="1" x14ac:dyDescent="0.3">
      <c r="A923" s="103">
        <v>46000</v>
      </c>
      <c r="B923" s="94" t="s">
        <v>36</v>
      </c>
      <c r="C923" s="95" t="s">
        <v>446</v>
      </c>
      <c r="D923" s="94" t="s">
        <v>403</v>
      </c>
      <c r="E923" s="104">
        <v>1.645833333333333</v>
      </c>
      <c r="F923" s="94" t="s">
        <v>38</v>
      </c>
      <c r="G923" s="96">
        <v>3</v>
      </c>
      <c r="H923" s="97">
        <v>409</v>
      </c>
      <c r="I923" s="88"/>
    </row>
    <row r="924" spans="1:9" ht="19.8" customHeight="1" x14ac:dyDescent="0.3">
      <c r="A924" s="103">
        <v>46000</v>
      </c>
      <c r="B924" s="94" t="s">
        <v>26</v>
      </c>
      <c r="C924" s="95" t="s">
        <v>454</v>
      </c>
      <c r="D924" s="94" t="s">
        <v>403</v>
      </c>
      <c r="E924" s="104">
        <v>1.8888888888888891</v>
      </c>
      <c r="F924" s="94" t="s">
        <v>28</v>
      </c>
      <c r="G924" s="96">
        <v>10</v>
      </c>
      <c r="H924" s="97">
        <v>419</v>
      </c>
      <c r="I924" s="88"/>
    </row>
    <row r="925" spans="1:9" ht="19.8" customHeight="1" x14ac:dyDescent="0.3">
      <c r="A925" s="103">
        <v>46000</v>
      </c>
      <c r="B925" s="94" t="s">
        <v>36</v>
      </c>
      <c r="C925" s="95" t="s">
        <v>443</v>
      </c>
      <c r="D925" s="94" t="s">
        <v>403</v>
      </c>
      <c r="E925" s="104">
        <v>1.302083333333333</v>
      </c>
      <c r="F925" s="94" t="s">
        <v>40</v>
      </c>
      <c r="G925" s="96">
        <v>5</v>
      </c>
      <c r="H925" s="97">
        <v>429</v>
      </c>
      <c r="I925" s="88"/>
    </row>
    <row r="926" spans="1:9" ht="19.8" customHeight="1" x14ac:dyDescent="0.3">
      <c r="A926" s="103">
        <v>46000</v>
      </c>
      <c r="B926" s="94" t="s">
        <v>36</v>
      </c>
      <c r="C926" s="95" t="s">
        <v>447</v>
      </c>
      <c r="D926" s="94" t="s">
        <v>403</v>
      </c>
      <c r="E926" s="104">
        <v>1.395833333333333</v>
      </c>
      <c r="F926" s="94" t="s">
        <v>40</v>
      </c>
      <c r="G926" s="96">
        <v>2</v>
      </c>
      <c r="H926" s="97">
        <v>429</v>
      </c>
      <c r="I926" s="88"/>
    </row>
    <row r="927" spans="1:9" ht="19.8" customHeight="1" x14ac:dyDescent="0.3">
      <c r="A927" s="105">
        <v>46000</v>
      </c>
      <c r="B927" s="99" t="s">
        <v>44</v>
      </c>
      <c r="C927" s="100" t="s">
        <v>425</v>
      </c>
      <c r="D927" s="99" t="s">
        <v>403</v>
      </c>
      <c r="E927" s="106">
        <v>1.614583333333333</v>
      </c>
      <c r="F927" s="99" t="s">
        <v>46</v>
      </c>
      <c r="G927" s="101">
        <v>5</v>
      </c>
      <c r="H927" s="102">
        <v>436</v>
      </c>
      <c r="I927" s="88"/>
    </row>
    <row r="928" spans="1:9" ht="19.8" customHeight="1" x14ac:dyDescent="0.3">
      <c r="A928" s="105">
        <v>46000</v>
      </c>
      <c r="B928" s="99" t="s">
        <v>44</v>
      </c>
      <c r="C928" s="100" t="s">
        <v>415</v>
      </c>
      <c r="D928" s="99" t="s">
        <v>403</v>
      </c>
      <c r="E928" s="106">
        <v>1.96875</v>
      </c>
      <c r="F928" s="99" t="s">
        <v>46</v>
      </c>
      <c r="G928" s="101">
        <v>9</v>
      </c>
      <c r="H928" s="102">
        <v>436</v>
      </c>
      <c r="I928" s="88"/>
    </row>
    <row r="929" spans="1:9" ht="19.8" customHeight="1" x14ac:dyDescent="0.3">
      <c r="A929" s="105">
        <v>46000</v>
      </c>
      <c r="B929" s="99" t="s">
        <v>44</v>
      </c>
      <c r="C929" s="100" t="s">
        <v>422</v>
      </c>
      <c r="D929" s="99" t="s">
        <v>403</v>
      </c>
      <c r="E929" s="106">
        <v>1.9340277777777779</v>
      </c>
      <c r="F929" s="99" t="s">
        <v>46</v>
      </c>
      <c r="G929" s="101">
        <v>6</v>
      </c>
      <c r="H929" s="102">
        <v>436</v>
      </c>
      <c r="I929" s="88"/>
    </row>
    <row r="930" spans="1:9" ht="19.8" customHeight="1" x14ac:dyDescent="0.3">
      <c r="A930" s="105">
        <v>46000</v>
      </c>
      <c r="B930" s="99" t="s">
        <v>44</v>
      </c>
      <c r="C930" s="100" t="s">
        <v>429</v>
      </c>
      <c r="D930" s="99" t="s">
        <v>403</v>
      </c>
      <c r="E930" s="106">
        <v>1.729166666666667</v>
      </c>
      <c r="F930" s="99" t="s">
        <v>46</v>
      </c>
      <c r="G930" s="101">
        <v>9</v>
      </c>
      <c r="H930" s="102">
        <v>436</v>
      </c>
      <c r="I930" s="88"/>
    </row>
    <row r="931" spans="1:9" ht="19.8" customHeight="1" x14ac:dyDescent="0.3">
      <c r="A931" s="103">
        <v>46000</v>
      </c>
      <c r="B931" s="94" t="s">
        <v>36</v>
      </c>
      <c r="C931" s="95" t="s">
        <v>435</v>
      </c>
      <c r="D931" s="94" t="s">
        <v>403</v>
      </c>
      <c r="E931" s="104">
        <v>1.9027777777777779</v>
      </c>
      <c r="F931" s="94" t="s">
        <v>38</v>
      </c>
      <c r="G931" s="96">
        <v>7</v>
      </c>
      <c r="H931" s="97">
        <v>449</v>
      </c>
      <c r="I931" s="88"/>
    </row>
    <row r="932" spans="1:9" ht="19.8" customHeight="1" x14ac:dyDescent="0.3">
      <c r="A932" s="103">
        <v>46000</v>
      </c>
      <c r="B932" s="94" t="s">
        <v>26</v>
      </c>
      <c r="C932" s="95" t="s">
        <v>455</v>
      </c>
      <c r="D932" s="94" t="s">
        <v>403</v>
      </c>
      <c r="E932" s="104">
        <v>1.788194444444444</v>
      </c>
      <c r="F932" s="94" t="s">
        <v>28</v>
      </c>
      <c r="G932" s="96">
        <v>11</v>
      </c>
      <c r="H932" s="97">
        <v>459</v>
      </c>
      <c r="I932" s="88"/>
    </row>
    <row r="933" spans="1:9" ht="19.8" customHeight="1" x14ac:dyDescent="0.3">
      <c r="A933" s="103">
        <v>46000</v>
      </c>
      <c r="B933" s="94" t="s">
        <v>456</v>
      </c>
      <c r="C933" s="95" t="s">
        <v>457</v>
      </c>
      <c r="D933" s="94" t="s">
        <v>403</v>
      </c>
      <c r="E933" s="104">
        <v>1.2222222222222221</v>
      </c>
      <c r="F933" s="94" t="s">
        <v>34</v>
      </c>
      <c r="G933" s="96">
        <v>9</v>
      </c>
      <c r="H933" s="97">
        <v>473</v>
      </c>
      <c r="I933" s="88"/>
    </row>
    <row r="934" spans="1:9" ht="19.8" customHeight="1" x14ac:dyDescent="0.3">
      <c r="A934" s="103">
        <v>46000</v>
      </c>
      <c r="B934" s="94" t="s">
        <v>36</v>
      </c>
      <c r="C934" s="95" t="s">
        <v>442</v>
      </c>
      <c r="D934" s="94" t="s">
        <v>403</v>
      </c>
      <c r="E934" s="104">
        <v>1.256944444444444</v>
      </c>
      <c r="F934" s="94" t="s">
        <v>42</v>
      </c>
      <c r="G934" s="96">
        <v>1</v>
      </c>
      <c r="H934" s="97">
        <v>479</v>
      </c>
      <c r="I934" s="88"/>
    </row>
    <row r="935" spans="1:9" ht="19.8" customHeight="1" x14ac:dyDescent="0.3">
      <c r="A935" s="103">
        <v>46000</v>
      </c>
      <c r="B935" s="94" t="s">
        <v>36</v>
      </c>
      <c r="C935" s="95" t="s">
        <v>444</v>
      </c>
      <c r="D935" s="94" t="s">
        <v>403</v>
      </c>
      <c r="E935" s="104">
        <v>1.5173611111111109</v>
      </c>
      <c r="F935" s="94" t="s">
        <v>40</v>
      </c>
      <c r="G935" s="96">
        <v>6</v>
      </c>
      <c r="H935" s="97">
        <v>509</v>
      </c>
      <c r="I935" s="88"/>
    </row>
    <row r="936" spans="1:9" ht="19.8" customHeight="1" x14ac:dyDescent="0.3">
      <c r="A936" s="103">
        <v>46000</v>
      </c>
      <c r="B936" s="94" t="s">
        <v>36</v>
      </c>
      <c r="C936" s="95" t="s">
        <v>445</v>
      </c>
      <c r="D936" s="94" t="s">
        <v>403</v>
      </c>
      <c r="E936" s="104">
        <v>1.7986111111111109</v>
      </c>
      <c r="F936" s="94" t="s">
        <v>40</v>
      </c>
      <c r="G936" s="96">
        <v>8</v>
      </c>
      <c r="H936" s="97">
        <v>509</v>
      </c>
      <c r="I936" s="88"/>
    </row>
    <row r="937" spans="1:9" ht="19.8" customHeight="1" x14ac:dyDescent="0.3">
      <c r="A937" s="103">
        <v>46000</v>
      </c>
      <c r="B937" s="94" t="s">
        <v>36</v>
      </c>
      <c r="C937" s="95" t="s">
        <v>446</v>
      </c>
      <c r="D937" s="94" t="s">
        <v>403</v>
      </c>
      <c r="E937" s="104">
        <v>1.645833333333333</v>
      </c>
      <c r="F937" s="94" t="s">
        <v>40</v>
      </c>
      <c r="G937" s="96">
        <v>3</v>
      </c>
      <c r="H937" s="97">
        <v>509</v>
      </c>
      <c r="I937" s="88"/>
    </row>
    <row r="938" spans="1:9" ht="19.8" customHeight="1" x14ac:dyDescent="0.3">
      <c r="A938" s="103">
        <v>46000</v>
      </c>
      <c r="B938" s="94" t="s">
        <v>26</v>
      </c>
      <c r="C938" s="95" t="s">
        <v>451</v>
      </c>
      <c r="D938" s="94" t="s">
        <v>403</v>
      </c>
      <c r="E938" s="104">
        <v>1.1284722222222221</v>
      </c>
      <c r="F938" s="94" t="s">
        <v>31</v>
      </c>
      <c r="G938" s="96">
        <v>15</v>
      </c>
      <c r="H938" s="97">
        <v>509</v>
      </c>
      <c r="I938" s="88"/>
    </row>
    <row r="939" spans="1:9" ht="19.8" customHeight="1" x14ac:dyDescent="0.3">
      <c r="A939" s="103">
        <v>46000</v>
      </c>
      <c r="B939" s="94" t="s">
        <v>26</v>
      </c>
      <c r="C939" s="95" t="s">
        <v>453</v>
      </c>
      <c r="D939" s="94" t="s">
        <v>403</v>
      </c>
      <c r="E939" s="104">
        <v>1.302083333333333</v>
      </c>
      <c r="F939" s="94" t="s">
        <v>31</v>
      </c>
      <c r="G939" s="96">
        <v>2</v>
      </c>
      <c r="H939" s="97">
        <v>509</v>
      </c>
      <c r="I939" s="88"/>
    </row>
    <row r="940" spans="1:9" ht="19.8" customHeight="1" x14ac:dyDescent="0.3">
      <c r="A940" s="103">
        <v>46000</v>
      </c>
      <c r="B940" s="94" t="s">
        <v>36</v>
      </c>
      <c r="C940" s="95" t="s">
        <v>443</v>
      </c>
      <c r="D940" s="94" t="s">
        <v>403</v>
      </c>
      <c r="E940" s="104">
        <v>1.302083333333333</v>
      </c>
      <c r="F940" s="94" t="s">
        <v>42</v>
      </c>
      <c r="G940" s="96">
        <v>5</v>
      </c>
      <c r="H940" s="97">
        <v>519</v>
      </c>
      <c r="I940" s="88"/>
    </row>
    <row r="941" spans="1:9" ht="19.8" customHeight="1" x14ac:dyDescent="0.3">
      <c r="A941" s="103">
        <v>46000</v>
      </c>
      <c r="B941" s="94" t="s">
        <v>36</v>
      </c>
      <c r="C941" s="95" t="s">
        <v>447</v>
      </c>
      <c r="D941" s="94" t="s">
        <v>403</v>
      </c>
      <c r="E941" s="104">
        <v>1.395833333333333</v>
      </c>
      <c r="F941" s="94" t="s">
        <v>42</v>
      </c>
      <c r="G941" s="96">
        <v>2</v>
      </c>
      <c r="H941" s="97">
        <v>519</v>
      </c>
      <c r="I941" s="88"/>
    </row>
    <row r="942" spans="1:9" ht="19.8" customHeight="1" x14ac:dyDescent="0.3">
      <c r="A942" s="103">
        <v>46000</v>
      </c>
      <c r="B942" s="94" t="s">
        <v>36</v>
      </c>
      <c r="C942" s="95" t="s">
        <v>438</v>
      </c>
      <c r="D942" s="94" t="s">
        <v>403</v>
      </c>
      <c r="E942" s="104">
        <v>1.854166666666667</v>
      </c>
      <c r="F942" s="94" t="s">
        <v>38</v>
      </c>
      <c r="G942" s="96">
        <v>5</v>
      </c>
      <c r="H942" s="97">
        <v>529</v>
      </c>
      <c r="I942" s="88"/>
    </row>
    <row r="943" spans="1:9" ht="19.8" customHeight="1" x14ac:dyDescent="0.3">
      <c r="A943" s="103">
        <v>46000</v>
      </c>
      <c r="B943" s="94" t="s">
        <v>36</v>
      </c>
      <c r="C943" s="95" t="s">
        <v>435</v>
      </c>
      <c r="D943" s="94" t="s">
        <v>403</v>
      </c>
      <c r="E943" s="104">
        <v>1.9027777777777779</v>
      </c>
      <c r="F943" s="94" t="s">
        <v>40</v>
      </c>
      <c r="G943" s="96">
        <v>7</v>
      </c>
      <c r="H943" s="97">
        <v>549</v>
      </c>
      <c r="I943" s="88"/>
    </row>
    <row r="944" spans="1:9" ht="19.8" customHeight="1" x14ac:dyDescent="0.3">
      <c r="A944" s="103">
        <v>46000</v>
      </c>
      <c r="B944" s="94" t="s">
        <v>26</v>
      </c>
      <c r="C944" s="95" t="s">
        <v>454</v>
      </c>
      <c r="D944" s="94" t="s">
        <v>403</v>
      </c>
      <c r="E944" s="104">
        <v>1.8888888888888891</v>
      </c>
      <c r="F944" s="94" t="s">
        <v>31</v>
      </c>
      <c r="G944" s="96">
        <v>10</v>
      </c>
      <c r="H944" s="97">
        <v>569</v>
      </c>
      <c r="I944" s="88"/>
    </row>
    <row r="945" spans="1:9" ht="19.8" customHeight="1" x14ac:dyDescent="0.3">
      <c r="A945" s="103">
        <v>46000</v>
      </c>
      <c r="B945" s="94" t="s">
        <v>36</v>
      </c>
      <c r="C945" s="95" t="s">
        <v>444</v>
      </c>
      <c r="D945" s="94" t="s">
        <v>403</v>
      </c>
      <c r="E945" s="104">
        <v>1.5173611111111109</v>
      </c>
      <c r="F945" s="94" t="s">
        <v>42</v>
      </c>
      <c r="G945" s="96">
        <v>6</v>
      </c>
      <c r="H945" s="97">
        <v>599</v>
      </c>
      <c r="I945" s="88"/>
    </row>
    <row r="946" spans="1:9" ht="19.8" customHeight="1" x14ac:dyDescent="0.3">
      <c r="A946" s="103">
        <v>46000</v>
      </c>
      <c r="B946" s="94" t="s">
        <v>36</v>
      </c>
      <c r="C946" s="95" t="s">
        <v>445</v>
      </c>
      <c r="D946" s="94" t="s">
        <v>403</v>
      </c>
      <c r="E946" s="104">
        <v>1.7986111111111109</v>
      </c>
      <c r="F946" s="94" t="s">
        <v>42</v>
      </c>
      <c r="G946" s="96">
        <v>8</v>
      </c>
      <c r="H946" s="97">
        <v>599</v>
      </c>
      <c r="I946" s="88"/>
    </row>
    <row r="947" spans="1:9" ht="19.8" customHeight="1" x14ac:dyDescent="0.3">
      <c r="A947" s="103">
        <v>46000</v>
      </c>
      <c r="B947" s="94" t="s">
        <v>36</v>
      </c>
      <c r="C947" s="95" t="s">
        <v>446</v>
      </c>
      <c r="D947" s="94" t="s">
        <v>403</v>
      </c>
      <c r="E947" s="104">
        <v>1.645833333333333</v>
      </c>
      <c r="F947" s="94" t="s">
        <v>42</v>
      </c>
      <c r="G947" s="96">
        <v>3</v>
      </c>
      <c r="H947" s="97">
        <v>599</v>
      </c>
      <c r="I947" s="88"/>
    </row>
    <row r="948" spans="1:9" ht="19.8" customHeight="1" x14ac:dyDescent="0.3">
      <c r="A948" s="103">
        <v>46000</v>
      </c>
      <c r="B948" s="94" t="s">
        <v>26</v>
      </c>
      <c r="C948" s="95" t="s">
        <v>455</v>
      </c>
      <c r="D948" s="94" t="s">
        <v>403</v>
      </c>
      <c r="E948" s="104">
        <v>1.788194444444444</v>
      </c>
      <c r="F948" s="94" t="s">
        <v>31</v>
      </c>
      <c r="G948" s="96">
        <v>11</v>
      </c>
      <c r="H948" s="97">
        <v>609</v>
      </c>
      <c r="I948" s="88"/>
    </row>
    <row r="949" spans="1:9" ht="19.8" customHeight="1" x14ac:dyDescent="0.3">
      <c r="A949" s="103">
        <v>46000</v>
      </c>
      <c r="B949" s="94" t="s">
        <v>36</v>
      </c>
      <c r="C949" s="95" t="s">
        <v>438</v>
      </c>
      <c r="D949" s="94" t="s">
        <v>403</v>
      </c>
      <c r="E949" s="104">
        <v>1.854166666666667</v>
      </c>
      <c r="F949" s="94" t="s">
        <v>40</v>
      </c>
      <c r="G949" s="96">
        <v>5</v>
      </c>
      <c r="H949" s="97">
        <v>629</v>
      </c>
      <c r="I949" s="88"/>
    </row>
    <row r="950" spans="1:9" ht="19.8" customHeight="1" x14ac:dyDescent="0.3">
      <c r="A950" s="103">
        <v>46000</v>
      </c>
      <c r="B950" s="94" t="s">
        <v>36</v>
      </c>
      <c r="C950" s="95" t="s">
        <v>435</v>
      </c>
      <c r="D950" s="94" t="s">
        <v>403</v>
      </c>
      <c r="E950" s="104">
        <v>1.9027777777777779</v>
      </c>
      <c r="F950" s="94" t="s">
        <v>42</v>
      </c>
      <c r="G950" s="96">
        <v>7</v>
      </c>
      <c r="H950" s="97">
        <v>639</v>
      </c>
      <c r="I950" s="88"/>
    </row>
    <row r="951" spans="1:9" ht="19.8" customHeight="1" x14ac:dyDescent="0.3">
      <c r="A951" s="103">
        <v>46000</v>
      </c>
      <c r="B951" s="94" t="s">
        <v>78</v>
      </c>
      <c r="C951" s="95" t="s">
        <v>467</v>
      </c>
      <c r="D951" s="94" t="s">
        <v>403</v>
      </c>
      <c r="E951" s="104">
        <v>1.1423611111111109</v>
      </c>
      <c r="F951" s="94" t="s">
        <v>80</v>
      </c>
      <c r="G951" s="96">
        <v>9</v>
      </c>
      <c r="H951" s="97">
        <v>678</v>
      </c>
      <c r="I951" s="88"/>
    </row>
    <row r="952" spans="1:9" ht="19.8" customHeight="1" x14ac:dyDescent="0.3">
      <c r="A952" s="103">
        <v>46000</v>
      </c>
      <c r="B952" s="94" t="s">
        <v>78</v>
      </c>
      <c r="C952" s="95" t="s">
        <v>469</v>
      </c>
      <c r="D952" s="94" t="s">
        <v>403</v>
      </c>
      <c r="E952" s="104">
        <v>1.3784722222222221</v>
      </c>
      <c r="F952" s="94" t="s">
        <v>80</v>
      </c>
      <c r="G952" s="96">
        <v>9</v>
      </c>
      <c r="H952" s="97">
        <v>678</v>
      </c>
      <c r="I952" s="88"/>
    </row>
    <row r="953" spans="1:9" ht="19.8" customHeight="1" x14ac:dyDescent="0.3">
      <c r="A953" s="103">
        <v>46000</v>
      </c>
      <c r="B953" s="94" t="s">
        <v>78</v>
      </c>
      <c r="C953" s="95" t="s">
        <v>482</v>
      </c>
      <c r="D953" s="94" t="s">
        <v>403</v>
      </c>
      <c r="E953" s="104">
        <v>1.6111111111111109</v>
      </c>
      <c r="F953" s="94" t="s">
        <v>80</v>
      </c>
      <c r="G953" s="96">
        <v>9</v>
      </c>
      <c r="H953" s="97">
        <v>678</v>
      </c>
      <c r="I953" s="88"/>
    </row>
    <row r="954" spans="1:9" ht="19.8" customHeight="1" x14ac:dyDescent="0.3">
      <c r="A954" s="103">
        <v>46000</v>
      </c>
      <c r="B954" s="94" t="s">
        <v>78</v>
      </c>
      <c r="C954" s="95" t="s">
        <v>461</v>
      </c>
      <c r="D954" s="94" t="s">
        <v>403</v>
      </c>
      <c r="E954" s="104">
        <v>1.239583333333333</v>
      </c>
      <c r="F954" s="94" t="s">
        <v>80</v>
      </c>
      <c r="G954" s="96">
        <v>9</v>
      </c>
      <c r="H954" s="97">
        <v>678</v>
      </c>
      <c r="I954" s="88"/>
    </row>
    <row r="955" spans="1:9" ht="19.8" customHeight="1" x14ac:dyDescent="0.3">
      <c r="A955" s="103">
        <v>46000</v>
      </c>
      <c r="B955" s="94" t="s">
        <v>36</v>
      </c>
      <c r="C955" s="95" t="s">
        <v>438</v>
      </c>
      <c r="D955" s="94" t="s">
        <v>403</v>
      </c>
      <c r="E955" s="104">
        <v>1.854166666666667</v>
      </c>
      <c r="F955" s="94" t="s">
        <v>42</v>
      </c>
      <c r="G955" s="96">
        <v>5</v>
      </c>
      <c r="H955" s="97">
        <v>719</v>
      </c>
      <c r="I955" s="88"/>
    </row>
    <row r="956" spans="1:9" ht="19.8" customHeight="1" x14ac:dyDescent="0.3">
      <c r="A956" s="103">
        <v>46000</v>
      </c>
      <c r="B956" s="94" t="s">
        <v>78</v>
      </c>
      <c r="C956" s="95" t="s">
        <v>467</v>
      </c>
      <c r="D956" s="94" t="s">
        <v>403</v>
      </c>
      <c r="E956" s="104">
        <v>1.1423611111111109</v>
      </c>
      <c r="F956" s="94" t="s">
        <v>83</v>
      </c>
      <c r="G956" s="96">
        <v>9</v>
      </c>
      <c r="H956" s="97">
        <v>723</v>
      </c>
      <c r="I956" s="88"/>
    </row>
    <row r="957" spans="1:9" ht="19.8" customHeight="1" x14ac:dyDescent="0.3">
      <c r="A957" s="103">
        <v>46000</v>
      </c>
      <c r="B957" s="94" t="s">
        <v>78</v>
      </c>
      <c r="C957" s="95" t="s">
        <v>469</v>
      </c>
      <c r="D957" s="94" t="s">
        <v>403</v>
      </c>
      <c r="E957" s="104">
        <v>1.3784722222222221</v>
      </c>
      <c r="F957" s="94" t="s">
        <v>83</v>
      </c>
      <c r="G957" s="96">
        <v>9</v>
      </c>
      <c r="H957" s="97">
        <v>723</v>
      </c>
      <c r="I957" s="88"/>
    </row>
    <row r="958" spans="1:9" ht="19.8" customHeight="1" x14ac:dyDescent="0.3">
      <c r="A958" s="103">
        <v>46000</v>
      </c>
      <c r="B958" s="94" t="s">
        <v>78</v>
      </c>
      <c r="C958" s="95" t="s">
        <v>482</v>
      </c>
      <c r="D958" s="94" t="s">
        <v>403</v>
      </c>
      <c r="E958" s="104">
        <v>1.6111111111111109</v>
      </c>
      <c r="F958" s="94" t="s">
        <v>83</v>
      </c>
      <c r="G958" s="96">
        <v>9</v>
      </c>
      <c r="H958" s="97">
        <v>723</v>
      </c>
      <c r="I958" s="88"/>
    </row>
    <row r="959" spans="1:9" ht="19.8" customHeight="1" x14ac:dyDescent="0.3">
      <c r="A959" s="103">
        <v>46000</v>
      </c>
      <c r="B959" s="94" t="s">
        <v>78</v>
      </c>
      <c r="C959" s="95" t="s">
        <v>461</v>
      </c>
      <c r="D959" s="94" t="s">
        <v>403</v>
      </c>
      <c r="E959" s="104">
        <v>1.239583333333333</v>
      </c>
      <c r="F959" s="94" t="s">
        <v>83</v>
      </c>
      <c r="G959" s="96">
        <v>9</v>
      </c>
      <c r="H959" s="97">
        <v>723</v>
      </c>
      <c r="I959" s="88"/>
    </row>
    <row r="960" spans="1:9" ht="19.8" customHeight="1" x14ac:dyDescent="0.3">
      <c r="A960" s="103">
        <v>46000</v>
      </c>
      <c r="B960" s="94" t="s">
        <v>66</v>
      </c>
      <c r="C960" s="95" t="s">
        <v>488</v>
      </c>
      <c r="D960" s="94" t="s">
        <v>403</v>
      </c>
      <c r="E960" s="104">
        <v>1.2222222222222221</v>
      </c>
      <c r="F960" s="94" t="s">
        <v>68</v>
      </c>
      <c r="G960" s="96">
        <v>9</v>
      </c>
      <c r="H960" s="97">
        <v>842</v>
      </c>
      <c r="I960" s="88"/>
    </row>
    <row r="961" spans="1:9" ht="19.8" customHeight="1" x14ac:dyDescent="0.3">
      <c r="A961" s="103">
        <v>46000</v>
      </c>
      <c r="B961" s="94" t="s">
        <v>66</v>
      </c>
      <c r="C961" s="95" t="s">
        <v>490</v>
      </c>
      <c r="D961" s="94" t="s">
        <v>403</v>
      </c>
      <c r="E961" s="104">
        <v>1.2777777777777779</v>
      </c>
      <c r="F961" s="94" t="s">
        <v>68</v>
      </c>
      <c r="G961" s="96">
        <v>9</v>
      </c>
      <c r="H961" s="97">
        <v>842</v>
      </c>
      <c r="I961" s="88"/>
    </row>
    <row r="962" spans="1:9" ht="19.8" customHeight="1" x14ac:dyDescent="0.3">
      <c r="A962" s="103">
        <v>46000</v>
      </c>
      <c r="B962" s="94" t="s">
        <v>78</v>
      </c>
      <c r="C962" s="95" t="s">
        <v>470</v>
      </c>
      <c r="D962" s="94" t="s">
        <v>403</v>
      </c>
      <c r="E962" s="104">
        <v>1.71875</v>
      </c>
      <c r="F962" s="94" t="s">
        <v>80</v>
      </c>
      <c r="G962" s="96">
        <v>9</v>
      </c>
      <c r="H962" s="97">
        <v>935</v>
      </c>
      <c r="I962" s="88"/>
    </row>
    <row r="963" spans="1:9" ht="19.8" customHeight="1" x14ac:dyDescent="0.3">
      <c r="A963" s="103">
        <v>46000</v>
      </c>
      <c r="B963" s="94" t="s">
        <v>78</v>
      </c>
      <c r="C963" s="95" t="s">
        <v>477</v>
      </c>
      <c r="D963" s="94" t="s">
        <v>403</v>
      </c>
      <c r="E963" s="104">
        <v>1.8298611111111109</v>
      </c>
      <c r="F963" s="94" t="s">
        <v>80</v>
      </c>
      <c r="G963" s="96">
        <v>9</v>
      </c>
      <c r="H963" s="97">
        <v>935</v>
      </c>
      <c r="I963" s="88"/>
    </row>
    <row r="964" spans="1:9" ht="19.8" customHeight="1" x14ac:dyDescent="0.3">
      <c r="A964" s="103">
        <v>46000</v>
      </c>
      <c r="B964" s="94" t="s">
        <v>78</v>
      </c>
      <c r="C964" s="95" t="s">
        <v>470</v>
      </c>
      <c r="D964" s="94" t="s">
        <v>403</v>
      </c>
      <c r="E964" s="104">
        <v>1.71875</v>
      </c>
      <c r="F964" s="94" t="s">
        <v>83</v>
      </c>
      <c r="G964" s="96">
        <v>9</v>
      </c>
      <c r="H964" s="97">
        <v>980</v>
      </c>
      <c r="I964" s="88"/>
    </row>
    <row r="965" spans="1:9" ht="19.8" customHeight="1" x14ac:dyDescent="0.3">
      <c r="A965" s="103">
        <v>46000</v>
      </c>
      <c r="B965" s="94" t="s">
        <v>78</v>
      </c>
      <c r="C965" s="95" t="s">
        <v>477</v>
      </c>
      <c r="D965" s="94" t="s">
        <v>403</v>
      </c>
      <c r="E965" s="104">
        <v>1.8298611111111109</v>
      </c>
      <c r="F965" s="94" t="s">
        <v>83</v>
      </c>
      <c r="G965" s="96">
        <v>9</v>
      </c>
      <c r="H965" s="97">
        <v>980</v>
      </c>
      <c r="I965" s="88"/>
    </row>
    <row r="966" spans="1:9" ht="19.8" customHeight="1" x14ac:dyDescent="0.3">
      <c r="A966" s="103">
        <v>46000</v>
      </c>
      <c r="B966" s="94" t="s">
        <v>66</v>
      </c>
      <c r="C966" s="95" t="s">
        <v>485</v>
      </c>
      <c r="D966" s="94" t="s">
        <v>403</v>
      </c>
      <c r="E966" s="104">
        <v>1.4861111111111109</v>
      </c>
      <c r="F966" s="94" t="s">
        <v>68</v>
      </c>
      <c r="G966" s="96">
        <v>9</v>
      </c>
      <c r="H966" s="107" t="s">
        <v>489</v>
      </c>
      <c r="I966" s="88"/>
    </row>
    <row r="967" spans="1:9" ht="19.8" customHeight="1" x14ac:dyDescent="0.3">
      <c r="A967" s="103">
        <v>46000</v>
      </c>
      <c r="B967" s="94" t="s">
        <v>26</v>
      </c>
      <c r="C967" s="95" t="s">
        <v>451</v>
      </c>
      <c r="D967" s="94" t="s">
        <v>403</v>
      </c>
      <c r="E967" s="104">
        <v>1.1284722222222221</v>
      </c>
      <c r="F967" s="94" t="s">
        <v>34</v>
      </c>
      <c r="G967" s="96">
        <v>15</v>
      </c>
      <c r="H967" s="107" t="s">
        <v>35</v>
      </c>
      <c r="I967" s="88"/>
    </row>
    <row r="968" spans="1:9" ht="19.8" customHeight="1" x14ac:dyDescent="0.3">
      <c r="A968" s="103">
        <v>46000</v>
      </c>
      <c r="B968" s="94" t="s">
        <v>26</v>
      </c>
      <c r="C968" s="95" t="s">
        <v>453</v>
      </c>
      <c r="D968" s="94" t="s">
        <v>403</v>
      </c>
      <c r="E968" s="104">
        <v>1.302083333333333</v>
      </c>
      <c r="F968" s="94" t="s">
        <v>34</v>
      </c>
      <c r="G968" s="96">
        <v>2</v>
      </c>
      <c r="H968" s="107" t="s">
        <v>35</v>
      </c>
      <c r="I968" s="88"/>
    </row>
    <row r="969" spans="1:9" ht="19.8" customHeight="1" x14ac:dyDescent="0.3">
      <c r="A969" s="103">
        <v>46000</v>
      </c>
      <c r="B969" s="94" t="s">
        <v>26</v>
      </c>
      <c r="C969" s="95" t="s">
        <v>454</v>
      </c>
      <c r="D969" s="94" t="s">
        <v>403</v>
      </c>
      <c r="E969" s="104">
        <v>1.8888888888888891</v>
      </c>
      <c r="F969" s="94" t="s">
        <v>34</v>
      </c>
      <c r="G969" s="96">
        <v>10</v>
      </c>
      <c r="H969" s="107" t="s">
        <v>35</v>
      </c>
      <c r="I969" s="88"/>
    </row>
    <row r="970" spans="1:9" ht="19.8" customHeight="1" x14ac:dyDescent="0.3">
      <c r="A970" s="103">
        <v>46000</v>
      </c>
      <c r="B970" s="94" t="s">
        <v>26</v>
      </c>
      <c r="C970" s="95" t="s">
        <v>455</v>
      </c>
      <c r="D970" s="94" t="s">
        <v>403</v>
      </c>
      <c r="E970" s="104">
        <v>1.788194444444444</v>
      </c>
      <c r="F970" s="94" t="s">
        <v>34</v>
      </c>
      <c r="G970" s="96">
        <v>11</v>
      </c>
      <c r="H970" s="107" t="s">
        <v>35</v>
      </c>
      <c r="I970" s="88"/>
    </row>
    <row r="971" spans="1:9" ht="19.8" customHeight="1" x14ac:dyDescent="0.3">
      <c r="A971" s="103">
        <v>46000</v>
      </c>
      <c r="B971" s="94" t="s">
        <v>78</v>
      </c>
      <c r="C971" s="95" t="s">
        <v>476</v>
      </c>
      <c r="D971" s="94" t="s">
        <v>403</v>
      </c>
      <c r="E971" s="104">
        <v>1.1284722222222221</v>
      </c>
      <c r="F971" s="94" t="s">
        <v>83</v>
      </c>
      <c r="G971" s="96">
        <v>4</v>
      </c>
      <c r="H971" s="107" t="s">
        <v>638</v>
      </c>
      <c r="I971" s="88"/>
    </row>
    <row r="972" spans="1:9" ht="19.8" customHeight="1" x14ac:dyDescent="0.3">
      <c r="A972" s="103">
        <v>46000</v>
      </c>
      <c r="B972" s="94" t="s">
        <v>78</v>
      </c>
      <c r="C972" s="95" t="s">
        <v>475</v>
      </c>
      <c r="D972" s="94" t="s">
        <v>403</v>
      </c>
      <c r="E972" s="104">
        <v>1.302083333333333</v>
      </c>
      <c r="F972" s="94" t="s">
        <v>83</v>
      </c>
      <c r="G972" s="96">
        <v>4</v>
      </c>
      <c r="H972" s="107" t="s">
        <v>535</v>
      </c>
      <c r="I972" s="88"/>
    </row>
    <row r="973" spans="1:9" ht="19.8" customHeight="1" x14ac:dyDescent="0.3">
      <c r="A973" s="103">
        <v>46000</v>
      </c>
      <c r="B973" s="94" t="s">
        <v>78</v>
      </c>
      <c r="C973" s="95" t="s">
        <v>464</v>
      </c>
      <c r="D973" s="94" t="s">
        <v>403</v>
      </c>
      <c r="E973" s="104">
        <v>1.006944444444444</v>
      </c>
      <c r="F973" s="94" t="s">
        <v>80</v>
      </c>
      <c r="G973" s="96">
        <v>9</v>
      </c>
      <c r="H973" s="107" t="s">
        <v>511</v>
      </c>
      <c r="I973" s="88"/>
    </row>
    <row r="974" spans="1:9" ht="19.8" customHeight="1" x14ac:dyDescent="0.3">
      <c r="A974" s="103">
        <v>46000</v>
      </c>
      <c r="B974" s="94" t="s">
        <v>78</v>
      </c>
      <c r="C974" s="95" t="s">
        <v>468</v>
      </c>
      <c r="D974" s="94" t="s">
        <v>403</v>
      </c>
      <c r="E974" s="104">
        <v>1.930555555555556</v>
      </c>
      <c r="F974" s="94" t="s">
        <v>80</v>
      </c>
      <c r="G974" s="96">
        <v>9</v>
      </c>
      <c r="H974" s="107" t="s">
        <v>511</v>
      </c>
      <c r="I974" s="88"/>
    </row>
    <row r="975" spans="1:9" ht="19.8" customHeight="1" x14ac:dyDescent="0.3">
      <c r="A975" s="103">
        <v>46000</v>
      </c>
      <c r="B975" s="94" t="s">
        <v>78</v>
      </c>
      <c r="C975" s="95" t="s">
        <v>464</v>
      </c>
      <c r="D975" s="94" t="s">
        <v>403</v>
      </c>
      <c r="E975" s="104">
        <v>1.006944444444444</v>
      </c>
      <c r="F975" s="94" t="s">
        <v>83</v>
      </c>
      <c r="G975" s="96">
        <v>9</v>
      </c>
      <c r="H975" s="107" t="s">
        <v>512</v>
      </c>
      <c r="I975" s="88"/>
    </row>
    <row r="976" spans="1:9" ht="19.8" customHeight="1" x14ac:dyDescent="0.3">
      <c r="A976" s="103">
        <v>46000</v>
      </c>
      <c r="B976" s="94" t="s">
        <v>78</v>
      </c>
      <c r="C976" s="95" t="s">
        <v>468</v>
      </c>
      <c r="D976" s="94" t="s">
        <v>403</v>
      </c>
      <c r="E976" s="104">
        <v>1.930555555555556</v>
      </c>
      <c r="F976" s="94" t="s">
        <v>83</v>
      </c>
      <c r="G976" s="96">
        <v>9</v>
      </c>
      <c r="H976" s="107" t="s">
        <v>512</v>
      </c>
      <c r="I976" s="88"/>
    </row>
    <row r="977" spans="1:9" ht="19.8" customHeight="1" x14ac:dyDescent="0.3">
      <c r="A977" s="103">
        <v>46000</v>
      </c>
      <c r="B977" s="94" t="s">
        <v>78</v>
      </c>
      <c r="C977" s="95" t="s">
        <v>473</v>
      </c>
      <c r="D977" s="94" t="s">
        <v>403</v>
      </c>
      <c r="E977" s="104">
        <v>1.8888888888888891</v>
      </c>
      <c r="F977" s="94" t="s">
        <v>83</v>
      </c>
      <c r="G977" s="96">
        <v>4</v>
      </c>
      <c r="H977" s="107" t="s">
        <v>474</v>
      </c>
      <c r="I977" s="88"/>
    </row>
    <row r="978" spans="1:9" ht="19.8" customHeight="1" x14ac:dyDescent="0.3">
      <c r="A978" s="103">
        <v>46000</v>
      </c>
      <c r="B978" s="94" t="s">
        <v>78</v>
      </c>
      <c r="C978" s="95" t="s">
        <v>480</v>
      </c>
      <c r="D978" s="94" t="s">
        <v>403</v>
      </c>
      <c r="E978" s="104">
        <v>1.788194444444444</v>
      </c>
      <c r="F978" s="94" t="s">
        <v>83</v>
      </c>
      <c r="G978" s="96">
        <v>4</v>
      </c>
      <c r="H978" s="107" t="s">
        <v>474</v>
      </c>
      <c r="I978" s="88"/>
    </row>
    <row r="979" spans="1:9" ht="19.8" customHeight="1" x14ac:dyDescent="0.3">
      <c r="A979" s="103">
        <v>46000</v>
      </c>
      <c r="B979" s="94" t="s">
        <v>66</v>
      </c>
      <c r="C979" s="95" t="s">
        <v>509</v>
      </c>
      <c r="D979" s="94" t="s">
        <v>403</v>
      </c>
      <c r="E979" s="104">
        <v>1.0138888888888891</v>
      </c>
      <c r="F979" s="94" t="s">
        <v>68</v>
      </c>
      <c r="G979" s="96">
        <v>4</v>
      </c>
      <c r="H979" s="107" t="s">
        <v>493</v>
      </c>
      <c r="I979" s="88"/>
    </row>
    <row r="980" spans="1:9" ht="19.8" customHeight="1" x14ac:dyDescent="0.3">
      <c r="A980" s="113">
        <v>46000</v>
      </c>
      <c r="B980" s="114" t="s">
        <v>66</v>
      </c>
      <c r="C980" s="115" t="s">
        <v>505</v>
      </c>
      <c r="D980" s="114" t="s">
        <v>403</v>
      </c>
      <c r="E980" s="116">
        <v>1.145833333333333</v>
      </c>
      <c r="F980" s="114" t="s">
        <v>68</v>
      </c>
      <c r="G980" s="117">
        <v>9</v>
      </c>
      <c r="H980" s="118" t="s">
        <v>493</v>
      </c>
      <c r="I980" s="88"/>
    </row>
    <row r="981" spans="1:9" ht="19.8" customHeight="1" x14ac:dyDescent="0.3">
      <c r="A981" s="103">
        <v>46001</v>
      </c>
      <c r="B981" s="94" t="s">
        <v>26</v>
      </c>
      <c r="C981" s="95" t="s">
        <v>451</v>
      </c>
      <c r="D981" s="94" t="s">
        <v>403</v>
      </c>
      <c r="E981" s="104">
        <v>1.1284722222222221</v>
      </c>
      <c r="F981" s="94" t="s">
        <v>163</v>
      </c>
      <c r="G981" s="96">
        <v>1</v>
      </c>
      <c r="H981" s="97">
        <v>359</v>
      </c>
      <c r="I981" s="88"/>
    </row>
    <row r="982" spans="1:9" ht="19.8" customHeight="1" x14ac:dyDescent="0.3">
      <c r="A982" s="103">
        <v>46001</v>
      </c>
      <c r="B982" s="94" t="s">
        <v>456</v>
      </c>
      <c r="C982" s="95" t="s">
        <v>500</v>
      </c>
      <c r="D982" s="94" t="s">
        <v>403</v>
      </c>
      <c r="E982" s="104">
        <v>1.3923611111111109</v>
      </c>
      <c r="F982" s="94" t="s">
        <v>567</v>
      </c>
      <c r="G982" s="96">
        <v>9</v>
      </c>
      <c r="H982" s="97">
        <v>387</v>
      </c>
      <c r="I982" s="88"/>
    </row>
    <row r="983" spans="1:9" ht="19.8" customHeight="1" x14ac:dyDescent="0.3">
      <c r="A983" s="103">
        <v>46001</v>
      </c>
      <c r="B983" s="94" t="s">
        <v>36</v>
      </c>
      <c r="C983" s="95" t="s">
        <v>442</v>
      </c>
      <c r="D983" s="94" t="s">
        <v>403</v>
      </c>
      <c r="E983" s="104">
        <v>1.256944444444444</v>
      </c>
      <c r="F983" s="94" t="s">
        <v>164</v>
      </c>
      <c r="G983" s="96">
        <v>4</v>
      </c>
      <c r="H983" s="97">
        <v>389</v>
      </c>
      <c r="I983" s="88"/>
    </row>
    <row r="984" spans="1:9" ht="19.8" customHeight="1" x14ac:dyDescent="0.3">
      <c r="A984" s="103">
        <v>46001</v>
      </c>
      <c r="B984" s="94" t="s">
        <v>36</v>
      </c>
      <c r="C984" s="95" t="s">
        <v>443</v>
      </c>
      <c r="D984" s="94" t="s">
        <v>403</v>
      </c>
      <c r="E984" s="104">
        <v>1.302083333333333</v>
      </c>
      <c r="F984" s="94" t="s">
        <v>164</v>
      </c>
      <c r="G984" s="96">
        <v>1</v>
      </c>
      <c r="H984" s="97">
        <v>389</v>
      </c>
      <c r="I984" s="88"/>
    </row>
    <row r="985" spans="1:9" ht="19.8" customHeight="1" x14ac:dyDescent="0.3">
      <c r="A985" s="103">
        <v>46001</v>
      </c>
      <c r="B985" s="94" t="s">
        <v>26</v>
      </c>
      <c r="C985" s="95" t="s">
        <v>454</v>
      </c>
      <c r="D985" s="94" t="s">
        <v>403</v>
      </c>
      <c r="E985" s="104">
        <v>1.8888888888888891</v>
      </c>
      <c r="F985" s="94" t="s">
        <v>163</v>
      </c>
      <c r="G985" s="96">
        <v>6</v>
      </c>
      <c r="H985" s="97">
        <v>389</v>
      </c>
      <c r="I985" s="88"/>
    </row>
    <row r="986" spans="1:9" ht="19.8" customHeight="1" x14ac:dyDescent="0.3">
      <c r="A986" s="103">
        <v>46001</v>
      </c>
      <c r="B986" s="94" t="s">
        <v>410</v>
      </c>
      <c r="C986" s="95" t="s">
        <v>411</v>
      </c>
      <c r="D986" s="94" t="s">
        <v>403</v>
      </c>
      <c r="E986" s="104">
        <v>1.3715277777777779</v>
      </c>
      <c r="F986" s="94" t="s">
        <v>406</v>
      </c>
      <c r="G986" s="96">
        <v>8</v>
      </c>
      <c r="H986" s="97">
        <v>401</v>
      </c>
      <c r="I986" s="88"/>
    </row>
    <row r="987" spans="1:9" ht="19.8" customHeight="1" x14ac:dyDescent="0.3">
      <c r="A987" s="103">
        <v>46001</v>
      </c>
      <c r="B987" s="94" t="s">
        <v>410</v>
      </c>
      <c r="C987" s="95" t="s">
        <v>413</v>
      </c>
      <c r="D987" s="94" t="s">
        <v>403</v>
      </c>
      <c r="E987" s="104">
        <v>1.666666666666667</v>
      </c>
      <c r="F987" s="94" t="s">
        <v>406</v>
      </c>
      <c r="G987" s="96">
        <v>5</v>
      </c>
      <c r="H987" s="97">
        <v>401</v>
      </c>
      <c r="I987" s="88"/>
    </row>
    <row r="988" spans="1:9" ht="19.8" customHeight="1" x14ac:dyDescent="0.3">
      <c r="A988" s="103">
        <v>46001</v>
      </c>
      <c r="B988" s="94" t="s">
        <v>26</v>
      </c>
      <c r="C988" s="95" t="s">
        <v>453</v>
      </c>
      <c r="D988" s="94" t="s">
        <v>403</v>
      </c>
      <c r="E988" s="104">
        <v>1.302083333333333</v>
      </c>
      <c r="F988" s="94" t="s">
        <v>163</v>
      </c>
      <c r="G988" s="96">
        <v>4</v>
      </c>
      <c r="H988" s="97">
        <v>419</v>
      </c>
      <c r="I988" s="88"/>
    </row>
    <row r="989" spans="1:9" ht="19.8" customHeight="1" x14ac:dyDescent="0.3">
      <c r="A989" s="103">
        <v>46001</v>
      </c>
      <c r="B989" s="94" t="s">
        <v>36</v>
      </c>
      <c r="C989" s="95" t="s">
        <v>447</v>
      </c>
      <c r="D989" s="94" t="s">
        <v>403</v>
      </c>
      <c r="E989" s="104">
        <v>1.395833333333333</v>
      </c>
      <c r="F989" s="94" t="s">
        <v>164</v>
      </c>
      <c r="G989" s="96">
        <v>5</v>
      </c>
      <c r="H989" s="97">
        <v>429</v>
      </c>
      <c r="I989" s="88"/>
    </row>
    <row r="990" spans="1:9" ht="19.8" customHeight="1" x14ac:dyDescent="0.3">
      <c r="A990" s="105">
        <v>46001</v>
      </c>
      <c r="B990" s="99" t="s">
        <v>44</v>
      </c>
      <c r="C990" s="100" t="s">
        <v>425</v>
      </c>
      <c r="D990" s="99" t="s">
        <v>403</v>
      </c>
      <c r="E990" s="106">
        <v>1.614583333333333</v>
      </c>
      <c r="F990" s="99" t="s">
        <v>46</v>
      </c>
      <c r="G990" s="101">
        <v>5</v>
      </c>
      <c r="H990" s="102">
        <v>436</v>
      </c>
      <c r="I990" s="88"/>
    </row>
    <row r="991" spans="1:9" ht="19.8" customHeight="1" x14ac:dyDescent="0.3">
      <c r="A991" s="105">
        <v>46001</v>
      </c>
      <c r="B991" s="99" t="s">
        <v>44</v>
      </c>
      <c r="C991" s="100" t="s">
        <v>429</v>
      </c>
      <c r="D991" s="99" t="s">
        <v>403</v>
      </c>
      <c r="E991" s="106">
        <v>1.520833333333333</v>
      </c>
      <c r="F991" s="99" t="s">
        <v>46</v>
      </c>
      <c r="G991" s="101">
        <v>4</v>
      </c>
      <c r="H991" s="102">
        <v>436</v>
      </c>
      <c r="I991" s="88"/>
    </row>
    <row r="992" spans="1:9" ht="19.8" customHeight="1" x14ac:dyDescent="0.3">
      <c r="A992" s="105">
        <v>46001</v>
      </c>
      <c r="B992" s="99" t="s">
        <v>44</v>
      </c>
      <c r="C992" s="100" t="s">
        <v>415</v>
      </c>
      <c r="D992" s="99" t="s">
        <v>403</v>
      </c>
      <c r="E992" s="106">
        <v>1.5173611111111109</v>
      </c>
      <c r="F992" s="99" t="s">
        <v>46</v>
      </c>
      <c r="G992" s="101">
        <v>8</v>
      </c>
      <c r="H992" s="102">
        <v>471</v>
      </c>
      <c r="I992" s="88"/>
    </row>
    <row r="993" spans="1:9" ht="19.8" customHeight="1" x14ac:dyDescent="0.3">
      <c r="A993" s="103">
        <v>46001</v>
      </c>
      <c r="B993" s="94" t="s">
        <v>36</v>
      </c>
      <c r="C993" s="95" t="s">
        <v>438</v>
      </c>
      <c r="D993" s="94" t="s">
        <v>403</v>
      </c>
      <c r="E993" s="104">
        <v>1.854166666666667</v>
      </c>
      <c r="F993" s="94" t="s">
        <v>164</v>
      </c>
      <c r="G993" s="96">
        <v>4</v>
      </c>
      <c r="H993" s="97">
        <v>509</v>
      </c>
      <c r="I993" s="88"/>
    </row>
    <row r="994" spans="1:9" ht="19.8" customHeight="1" x14ac:dyDescent="0.3">
      <c r="A994" s="103">
        <v>46001</v>
      </c>
      <c r="B994" s="94" t="s">
        <v>36</v>
      </c>
      <c r="C994" s="95" t="s">
        <v>445</v>
      </c>
      <c r="D994" s="94" t="s">
        <v>403</v>
      </c>
      <c r="E994" s="104">
        <v>1.7986111111111109</v>
      </c>
      <c r="F994" s="94" t="s">
        <v>164</v>
      </c>
      <c r="G994" s="96">
        <v>6</v>
      </c>
      <c r="H994" s="97">
        <v>509</v>
      </c>
      <c r="I994" s="88"/>
    </row>
    <row r="995" spans="1:9" ht="19.8" customHeight="1" x14ac:dyDescent="0.3">
      <c r="A995" s="103">
        <v>46001</v>
      </c>
      <c r="B995" s="94" t="s">
        <v>36</v>
      </c>
      <c r="C995" s="95" t="s">
        <v>446</v>
      </c>
      <c r="D995" s="94" t="s">
        <v>403</v>
      </c>
      <c r="E995" s="104">
        <v>1.645833333333333</v>
      </c>
      <c r="F995" s="94" t="s">
        <v>164</v>
      </c>
      <c r="G995" s="96">
        <v>1</v>
      </c>
      <c r="H995" s="97">
        <v>509</v>
      </c>
      <c r="I995" s="88"/>
    </row>
    <row r="996" spans="1:9" ht="19.8" customHeight="1" x14ac:dyDescent="0.3">
      <c r="A996" s="103">
        <v>46001</v>
      </c>
      <c r="B996" s="94" t="s">
        <v>26</v>
      </c>
      <c r="C996" s="95" t="s">
        <v>455</v>
      </c>
      <c r="D996" s="94" t="s">
        <v>403</v>
      </c>
      <c r="E996" s="104">
        <v>1.788194444444444</v>
      </c>
      <c r="F996" s="94" t="s">
        <v>163</v>
      </c>
      <c r="G996" s="96">
        <v>16</v>
      </c>
      <c r="H996" s="97">
        <v>539</v>
      </c>
      <c r="I996" s="88"/>
    </row>
    <row r="997" spans="1:9" ht="19.8" customHeight="1" x14ac:dyDescent="0.3">
      <c r="A997" s="103">
        <v>46001</v>
      </c>
      <c r="B997" s="94" t="s">
        <v>36</v>
      </c>
      <c r="C997" s="95" t="s">
        <v>444</v>
      </c>
      <c r="D997" s="94" t="s">
        <v>403</v>
      </c>
      <c r="E997" s="104">
        <v>1.5173611111111109</v>
      </c>
      <c r="F997" s="94" t="s">
        <v>164</v>
      </c>
      <c r="G997" s="96">
        <v>4</v>
      </c>
      <c r="H997" s="97">
        <v>549</v>
      </c>
      <c r="I997" s="88"/>
    </row>
    <row r="998" spans="1:9" ht="19.8" customHeight="1" x14ac:dyDescent="0.3">
      <c r="A998" s="103">
        <v>46001</v>
      </c>
      <c r="B998" s="94" t="s">
        <v>36</v>
      </c>
      <c r="C998" s="95" t="s">
        <v>435</v>
      </c>
      <c r="D998" s="94" t="s">
        <v>403</v>
      </c>
      <c r="E998" s="104">
        <v>1.9027777777777779</v>
      </c>
      <c r="F998" s="94" t="s">
        <v>164</v>
      </c>
      <c r="G998" s="96">
        <v>9</v>
      </c>
      <c r="H998" s="97">
        <v>719</v>
      </c>
      <c r="I998" s="88"/>
    </row>
    <row r="999" spans="1:9" ht="19.8" customHeight="1" x14ac:dyDescent="0.3">
      <c r="A999" s="103">
        <v>46001</v>
      </c>
      <c r="B999" s="94" t="s">
        <v>66</v>
      </c>
      <c r="C999" s="95" t="s">
        <v>485</v>
      </c>
      <c r="D999" s="94" t="s">
        <v>403</v>
      </c>
      <c r="E999" s="104">
        <v>1.4861111111111109</v>
      </c>
      <c r="F999" s="94" t="s">
        <v>68</v>
      </c>
      <c r="G999" s="96">
        <v>9</v>
      </c>
      <c r="H999" s="97">
        <v>765</v>
      </c>
      <c r="I999" s="88"/>
    </row>
    <row r="1000" spans="1:9" ht="19.8" customHeight="1" x14ac:dyDescent="0.3">
      <c r="A1000" s="103">
        <v>46001</v>
      </c>
      <c r="B1000" s="94" t="s">
        <v>78</v>
      </c>
      <c r="C1000" s="95" t="s">
        <v>464</v>
      </c>
      <c r="D1000" s="94" t="s">
        <v>403</v>
      </c>
      <c r="E1000" s="104">
        <v>1.006944444444444</v>
      </c>
      <c r="F1000" s="94" t="s">
        <v>80</v>
      </c>
      <c r="G1000" s="96">
        <v>9</v>
      </c>
      <c r="H1000" s="97">
        <v>897</v>
      </c>
      <c r="I1000" s="88"/>
    </row>
    <row r="1001" spans="1:9" ht="19.8" customHeight="1" x14ac:dyDescent="0.3">
      <c r="A1001" s="103">
        <v>46001</v>
      </c>
      <c r="B1001" s="94" t="s">
        <v>78</v>
      </c>
      <c r="C1001" s="95" t="s">
        <v>467</v>
      </c>
      <c r="D1001" s="94" t="s">
        <v>403</v>
      </c>
      <c r="E1001" s="104">
        <v>1.1423611111111109</v>
      </c>
      <c r="F1001" s="94" t="s">
        <v>80</v>
      </c>
      <c r="G1001" s="96">
        <v>9</v>
      </c>
      <c r="H1001" s="97">
        <v>897</v>
      </c>
      <c r="I1001" s="88"/>
    </row>
    <row r="1002" spans="1:9" ht="19.8" customHeight="1" x14ac:dyDescent="0.3">
      <c r="A1002" s="103">
        <v>46001</v>
      </c>
      <c r="B1002" s="94" t="s">
        <v>78</v>
      </c>
      <c r="C1002" s="95" t="s">
        <v>477</v>
      </c>
      <c r="D1002" s="94" t="s">
        <v>403</v>
      </c>
      <c r="E1002" s="104">
        <v>1.8298611111111109</v>
      </c>
      <c r="F1002" s="94" t="s">
        <v>80</v>
      </c>
      <c r="G1002" s="96">
        <v>9</v>
      </c>
      <c r="H1002" s="97">
        <v>897</v>
      </c>
      <c r="I1002" s="88"/>
    </row>
    <row r="1003" spans="1:9" ht="19.8" customHeight="1" x14ac:dyDescent="0.3">
      <c r="A1003" s="103">
        <v>46001</v>
      </c>
      <c r="B1003" s="94" t="s">
        <v>78</v>
      </c>
      <c r="C1003" s="95" t="s">
        <v>469</v>
      </c>
      <c r="D1003" s="94" t="s">
        <v>403</v>
      </c>
      <c r="E1003" s="104">
        <v>1.3784722222222221</v>
      </c>
      <c r="F1003" s="94" t="s">
        <v>80</v>
      </c>
      <c r="G1003" s="96">
        <v>9</v>
      </c>
      <c r="H1003" s="97">
        <v>897</v>
      </c>
      <c r="I1003" s="88"/>
    </row>
    <row r="1004" spans="1:9" ht="19.8" customHeight="1" x14ac:dyDescent="0.3">
      <c r="A1004" s="103">
        <v>46001</v>
      </c>
      <c r="B1004" s="94" t="s">
        <v>78</v>
      </c>
      <c r="C1004" s="95" t="s">
        <v>482</v>
      </c>
      <c r="D1004" s="94" t="s">
        <v>403</v>
      </c>
      <c r="E1004" s="104">
        <v>1.6111111111111109</v>
      </c>
      <c r="F1004" s="94" t="s">
        <v>80</v>
      </c>
      <c r="G1004" s="96">
        <v>9</v>
      </c>
      <c r="H1004" s="97">
        <v>897</v>
      </c>
      <c r="I1004" s="88"/>
    </row>
    <row r="1005" spans="1:9" ht="19.8" customHeight="1" x14ac:dyDescent="0.3">
      <c r="A1005" s="103">
        <v>46001</v>
      </c>
      <c r="B1005" s="94" t="s">
        <v>78</v>
      </c>
      <c r="C1005" s="95" t="s">
        <v>461</v>
      </c>
      <c r="D1005" s="94" t="s">
        <v>403</v>
      </c>
      <c r="E1005" s="104">
        <v>1.239583333333333</v>
      </c>
      <c r="F1005" s="94" t="s">
        <v>80</v>
      </c>
      <c r="G1005" s="96">
        <v>9</v>
      </c>
      <c r="H1005" s="97">
        <v>897</v>
      </c>
      <c r="I1005" s="88"/>
    </row>
    <row r="1006" spans="1:9" ht="19.8" customHeight="1" x14ac:dyDescent="0.3">
      <c r="A1006" s="103">
        <v>46001</v>
      </c>
      <c r="B1006" s="94" t="s">
        <v>404</v>
      </c>
      <c r="C1006" s="95" t="s">
        <v>408</v>
      </c>
      <c r="D1006" s="94" t="s">
        <v>403</v>
      </c>
      <c r="E1006" s="104">
        <v>1.8611111111111109</v>
      </c>
      <c r="F1006" s="94" t="s">
        <v>406</v>
      </c>
      <c r="G1006" s="96">
        <v>9</v>
      </c>
      <c r="H1006" s="97">
        <v>935</v>
      </c>
      <c r="I1006" s="88"/>
    </row>
    <row r="1007" spans="1:9" ht="19.8" customHeight="1" x14ac:dyDescent="0.3">
      <c r="A1007" s="103">
        <v>46001</v>
      </c>
      <c r="B1007" s="94" t="s">
        <v>78</v>
      </c>
      <c r="C1007" s="95" t="s">
        <v>464</v>
      </c>
      <c r="D1007" s="94" t="s">
        <v>403</v>
      </c>
      <c r="E1007" s="104">
        <v>1.006944444444444</v>
      </c>
      <c r="F1007" s="94" t="s">
        <v>83</v>
      </c>
      <c r="G1007" s="96">
        <v>9</v>
      </c>
      <c r="H1007" s="107" t="s">
        <v>678</v>
      </c>
      <c r="I1007" s="88"/>
    </row>
    <row r="1008" spans="1:9" ht="19.8" customHeight="1" x14ac:dyDescent="0.3">
      <c r="A1008" s="103">
        <v>46001</v>
      </c>
      <c r="B1008" s="94" t="s">
        <v>78</v>
      </c>
      <c r="C1008" s="95" t="s">
        <v>467</v>
      </c>
      <c r="D1008" s="94" t="s">
        <v>403</v>
      </c>
      <c r="E1008" s="104">
        <v>1.1423611111111109</v>
      </c>
      <c r="F1008" s="94" t="s">
        <v>83</v>
      </c>
      <c r="G1008" s="96">
        <v>9</v>
      </c>
      <c r="H1008" s="107" t="s">
        <v>678</v>
      </c>
      <c r="I1008" s="88"/>
    </row>
    <row r="1009" spans="1:9" ht="19.8" customHeight="1" x14ac:dyDescent="0.3">
      <c r="A1009" s="103">
        <v>46001</v>
      </c>
      <c r="B1009" s="94" t="s">
        <v>78</v>
      </c>
      <c r="C1009" s="95" t="s">
        <v>477</v>
      </c>
      <c r="D1009" s="94" t="s">
        <v>403</v>
      </c>
      <c r="E1009" s="104">
        <v>1.8298611111111109</v>
      </c>
      <c r="F1009" s="94" t="s">
        <v>83</v>
      </c>
      <c r="G1009" s="96">
        <v>9</v>
      </c>
      <c r="H1009" s="107" t="s">
        <v>678</v>
      </c>
      <c r="I1009" s="88"/>
    </row>
    <row r="1010" spans="1:9" ht="19.8" customHeight="1" x14ac:dyDescent="0.3">
      <c r="A1010" s="103">
        <v>46001</v>
      </c>
      <c r="B1010" s="94" t="s">
        <v>78</v>
      </c>
      <c r="C1010" s="95" t="s">
        <v>469</v>
      </c>
      <c r="D1010" s="94" t="s">
        <v>403</v>
      </c>
      <c r="E1010" s="104">
        <v>1.3784722222222221</v>
      </c>
      <c r="F1010" s="94" t="s">
        <v>83</v>
      </c>
      <c r="G1010" s="96">
        <v>9</v>
      </c>
      <c r="H1010" s="107" t="s">
        <v>678</v>
      </c>
      <c r="I1010" s="88"/>
    </row>
    <row r="1011" spans="1:9" ht="19.8" customHeight="1" x14ac:dyDescent="0.3">
      <c r="A1011" s="103">
        <v>46001</v>
      </c>
      <c r="B1011" s="94" t="s">
        <v>78</v>
      </c>
      <c r="C1011" s="95" t="s">
        <v>482</v>
      </c>
      <c r="D1011" s="94" t="s">
        <v>403</v>
      </c>
      <c r="E1011" s="104">
        <v>1.6111111111111109</v>
      </c>
      <c r="F1011" s="94" t="s">
        <v>83</v>
      </c>
      <c r="G1011" s="96">
        <v>9</v>
      </c>
      <c r="H1011" s="107" t="s">
        <v>678</v>
      </c>
      <c r="I1011" s="88"/>
    </row>
    <row r="1012" spans="1:9" ht="19.8" customHeight="1" x14ac:dyDescent="0.3">
      <c r="A1012" s="103">
        <v>46001</v>
      </c>
      <c r="B1012" s="94" t="s">
        <v>78</v>
      </c>
      <c r="C1012" s="95" t="s">
        <v>461</v>
      </c>
      <c r="D1012" s="94" t="s">
        <v>403</v>
      </c>
      <c r="E1012" s="104">
        <v>1.239583333333333</v>
      </c>
      <c r="F1012" s="94" t="s">
        <v>83</v>
      </c>
      <c r="G1012" s="96">
        <v>9</v>
      </c>
      <c r="H1012" s="107" t="s">
        <v>678</v>
      </c>
      <c r="I1012" s="88"/>
    </row>
    <row r="1013" spans="1:9" ht="19.8" customHeight="1" x14ac:dyDescent="0.3">
      <c r="A1013" s="103">
        <v>46001</v>
      </c>
      <c r="B1013" s="94" t="s">
        <v>66</v>
      </c>
      <c r="C1013" s="95" t="s">
        <v>490</v>
      </c>
      <c r="D1013" s="94" t="s">
        <v>403</v>
      </c>
      <c r="E1013" s="104">
        <v>1.2777777777777779</v>
      </c>
      <c r="F1013" s="94" t="s">
        <v>68</v>
      </c>
      <c r="G1013" s="96">
        <v>9</v>
      </c>
      <c r="H1013" s="107" t="s">
        <v>676</v>
      </c>
      <c r="I1013" s="88"/>
    </row>
    <row r="1014" spans="1:9" ht="19.8" customHeight="1" x14ac:dyDescent="0.3">
      <c r="A1014" s="103">
        <v>46001</v>
      </c>
      <c r="B1014" s="94" t="s">
        <v>78</v>
      </c>
      <c r="C1014" s="95" t="s">
        <v>468</v>
      </c>
      <c r="D1014" s="94" t="s">
        <v>403</v>
      </c>
      <c r="E1014" s="104">
        <v>1.930555555555556</v>
      </c>
      <c r="F1014" s="94" t="s">
        <v>80</v>
      </c>
      <c r="G1014" s="96">
        <v>9</v>
      </c>
      <c r="H1014" s="107" t="s">
        <v>679</v>
      </c>
      <c r="I1014" s="88"/>
    </row>
    <row r="1015" spans="1:9" ht="19.8" customHeight="1" x14ac:dyDescent="0.3">
      <c r="A1015" s="103">
        <v>46001</v>
      </c>
      <c r="B1015" s="94" t="s">
        <v>78</v>
      </c>
      <c r="C1015" s="95" t="s">
        <v>470</v>
      </c>
      <c r="D1015" s="94" t="s">
        <v>403</v>
      </c>
      <c r="E1015" s="104">
        <v>1.71875</v>
      </c>
      <c r="F1015" s="94" t="s">
        <v>80</v>
      </c>
      <c r="G1015" s="96">
        <v>9</v>
      </c>
      <c r="H1015" s="107" t="s">
        <v>679</v>
      </c>
      <c r="I1015" s="88"/>
    </row>
    <row r="1016" spans="1:9" ht="19.8" customHeight="1" x14ac:dyDescent="0.3">
      <c r="A1016" s="103">
        <v>46001</v>
      </c>
      <c r="B1016" s="94" t="s">
        <v>78</v>
      </c>
      <c r="C1016" s="95" t="s">
        <v>473</v>
      </c>
      <c r="D1016" s="94" t="s">
        <v>403</v>
      </c>
      <c r="E1016" s="104">
        <v>1.8888888888888891</v>
      </c>
      <c r="F1016" s="94" t="s">
        <v>83</v>
      </c>
      <c r="G1016" s="96">
        <v>4</v>
      </c>
      <c r="H1016" s="107" t="s">
        <v>535</v>
      </c>
      <c r="I1016" s="88"/>
    </row>
    <row r="1017" spans="1:9" ht="19.8" customHeight="1" x14ac:dyDescent="0.3">
      <c r="A1017" s="103">
        <v>46001</v>
      </c>
      <c r="B1017" s="94" t="s">
        <v>78</v>
      </c>
      <c r="C1017" s="95" t="s">
        <v>476</v>
      </c>
      <c r="D1017" s="94" t="s">
        <v>403</v>
      </c>
      <c r="E1017" s="104">
        <v>1.1284722222222221</v>
      </c>
      <c r="F1017" s="94" t="s">
        <v>83</v>
      </c>
      <c r="G1017" s="96">
        <v>4</v>
      </c>
      <c r="H1017" s="107" t="s">
        <v>535</v>
      </c>
      <c r="I1017" s="88"/>
    </row>
    <row r="1018" spans="1:9" ht="19.8" customHeight="1" x14ac:dyDescent="0.3">
      <c r="A1018" s="103">
        <v>46001</v>
      </c>
      <c r="B1018" s="94" t="s">
        <v>66</v>
      </c>
      <c r="C1018" s="95" t="s">
        <v>508</v>
      </c>
      <c r="D1018" s="94" t="s">
        <v>403</v>
      </c>
      <c r="E1018" s="104">
        <v>1.958333333333333</v>
      </c>
      <c r="F1018" s="94" t="s">
        <v>68</v>
      </c>
      <c r="G1018" s="96">
        <v>9</v>
      </c>
      <c r="H1018" s="107" t="s">
        <v>510</v>
      </c>
      <c r="I1018" s="88"/>
    </row>
    <row r="1019" spans="1:9" ht="19.8" customHeight="1" x14ac:dyDescent="0.3">
      <c r="A1019" s="103">
        <v>46001</v>
      </c>
      <c r="B1019" s="94" t="s">
        <v>78</v>
      </c>
      <c r="C1019" s="95" t="s">
        <v>468</v>
      </c>
      <c r="D1019" s="94" t="s">
        <v>403</v>
      </c>
      <c r="E1019" s="104">
        <v>1.930555555555556</v>
      </c>
      <c r="F1019" s="94" t="s">
        <v>83</v>
      </c>
      <c r="G1019" s="96">
        <v>9</v>
      </c>
      <c r="H1019" s="107" t="s">
        <v>680</v>
      </c>
      <c r="I1019" s="88"/>
    </row>
    <row r="1020" spans="1:9" ht="19.8" customHeight="1" x14ac:dyDescent="0.3">
      <c r="A1020" s="103">
        <v>46001</v>
      </c>
      <c r="B1020" s="94" t="s">
        <v>78</v>
      </c>
      <c r="C1020" s="95" t="s">
        <v>470</v>
      </c>
      <c r="D1020" s="94" t="s">
        <v>403</v>
      </c>
      <c r="E1020" s="104">
        <v>1.71875</v>
      </c>
      <c r="F1020" s="94" t="s">
        <v>83</v>
      </c>
      <c r="G1020" s="96">
        <v>9</v>
      </c>
      <c r="H1020" s="107" t="s">
        <v>680</v>
      </c>
      <c r="I1020" s="88"/>
    </row>
    <row r="1021" spans="1:9" ht="19.8" customHeight="1" x14ac:dyDescent="0.3">
      <c r="A1021" s="103">
        <v>46001</v>
      </c>
      <c r="B1021" s="94" t="s">
        <v>78</v>
      </c>
      <c r="C1021" s="95" t="s">
        <v>475</v>
      </c>
      <c r="D1021" s="94" t="s">
        <v>403</v>
      </c>
      <c r="E1021" s="104">
        <v>1.302083333333333</v>
      </c>
      <c r="F1021" s="94" t="s">
        <v>83</v>
      </c>
      <c r="G1021" s="96">
        <v>4</v>
      </c>
      <c r="H1021" s="107" t="s">
        <v>474</v>
      </c>
      <c r="I1021" s="88"/>
    </row>
    <row r="1022" spans="1:9" ht="19.8" customHeight="1" x14ac:dyDescent="0.3">
      <c r="A1022" s="103">
        <v>46001</v>
      </c>
      <c r="B1022" s="94" t="s">
        <v>66</v>
      </c>
      <c r="C1022" s="95" t="s">
        <v>505</v>
      </c>
      <c r="D1022" s="94" t="s">
        <v>403</v>
      </c>
      <c r="E1022" s="104">
        <v>1.145833333333333</v>
      </c>
      <c r="F1022" s="94" t="s">
        <v>68</v>
      </c>
      <c r="G1022" s="96">
        <v>9</v>
      </c>
      <c r="H1022" s="107" t="s">
        <v>491</v>
      </c>
      <c r="I1022" s="88"/>
    </row>
    <row r="1023" spans="1:9" ht="19.8" customHeight="1" x14ac:dyDescent="0.3">
      <c r="A1023" s="103">
        <v>46001</v>
      </c>
      <c r="B1023" s="94" t="s">
        <v>78</v>
      </c>
      <c r="C1023" s="95" t="s">
        <v>480</v>
      </c>
      <c r="D1023" s="94" t="s">
        <v>403</v>
      </c>
      <c r="E1023" s="104">
        <v>1.788194444444444</v>
      </c>
      <c r="F1023" s="94" t="s">
        <v>83</v>
      </c>
      <c r="G1023" s="96">
        <v>4</v>
      </c>
      <c r="H1023" s="107" t="s">
        <v>481</v>
      </c>
      <c r="I1023" s="88"/>
    </row>
    <row r="1024" spans="1:9" ht="19.8" customHeight="1" x14ac:dyDescent="0.3">
      <c r="A1024" s="113">
        <v>46001</v>
      </c>
      <c r="B1024" s="114" t="s">
        <v>66</v>
      </c>
      <c r="C1024" s="115" t="s">
        <v>492</v>
      </c>
      <c r="D1024" s="114" t="s">
        <v>403</v>
      </c>
      <c r="E1024" s="116">
        <v>1.770833333333333</v>
      </c>
      <c r="F1024" s="114" t="s">
        <v>68</v>
      </c>
      <c r="G1024" s="117">
        <v>1</v>
      </c>
      <c r="H1024" s="118" t="s">
        <v>493</v>
      </c>
      <c r="I1024" s="88"/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81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9.2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793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45982.80428604436</v>
      </c>
      <c r="H2" s="330"/>
      <c r="I2" s="330"/>
      <c r="J2" s="330"/>
      <c r="K2" s="334">
        <v>45982.804286044717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15" customHeight="1" x14ac:dyDescent="0.3">
      <c r="A6" s="6" t="s">
        <v>26</v>
      </c>
      <c r="B6" s="6" t="s">
        <v>794</v>
      </c>
      <c r="C6" s="6">
        <v>0.25694444444444448</v>
      </c>
      <c r="D6" s="6" t="s">
        <v>795</v>
      </c>
      <c r="E6" s="6" t="s">
        <v>129</v>
      </c>
      <c r="F6" s="6" t="s">
        <v>622</v>
      </c>
      <c r="G6" s="335"/>
      <c r="H6" s="7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15" customHeight="1" x14ac:dyDescent="0.3">
      <c r="A7" s="10" t="s">
        <v>26</v>
      </c>
      <c r="B7" s="10" t="s">
        <v>794</v>
      </c>
      <c r="C7" s="10">
        <v>0.25694444444444448</v>
      </c>
      <c r="D7" s="10" t="s">
        <v>796</v>
      </c>
      <c r="E7" s="10" t="s">
        <v>92</v>
      </c>
      <c r="F7" s="10" t="s">
        <v>797</v>
      </c>
      <c r="G7" s="328"/>
      <c r="H7" s="7"/>
      <c r="I7" s="8"/>
      <c r="J7" s="8"/>
      <c r="K7" s="8"/>
      <c r="L7" s="8"/>
      <c r="M7" s="8"/>
      <c r="N7" s="8"/>
      <c r="O7" s="8"/>
      <c r="P7" s="8"/>
      <c r="Q7" s="8"/>
      <c r="R7" s="9"/>
    </row>
    <row r="8" spans="1:18" ht="15" customHeight="1" x14ac:dyDescent="0.3">
      <c r="A8" s="10" t="s">
        <v>26</v>
      </c>
      <c r="B8" s="10" t="s">
        <v>794</v>
      </c>
      <c r="C8" s="10">
        <v>0.25694444444444448</v>
      </c>
      <c r="D8" s="10" t="s">
        <v>798</v>
      </c>
      <c r="E8" s="10" t="s">
        <v>92</v>
      </c>
      <c r="F8" s="10" t="s">
        <v>799</v>
      </c>
      <c r="G8" s="328"/>
      <c r="H8" s="7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ht="15" customHeight="1" x14ac:dyDescent="0.3">
      <c r="A9" s="10" t="s">
        <v>26</v>
      </c>
      <c r="B9" s="10" t="s">
        <v>794</v>
      </c>
      <c r="C9" s="10">
        <v>0.25694444444444448</v>
      </c>
      <c r="D9" s="10" t="s">
        <v>800</v>
      </c>
      <c r="E9" s="10" t="s">
        <v>92</v>
      </c>
      <c r="F9" s="10" t="s">
        <v>105</v>
      </c>
      <c r="G9" s="328"/>
      <c r="H9" s="7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ht="15" customHeight="1" x14ac:dyDescent="0.3">
      <c r="A10" s="11" t="s">
        <v>456</v>
      </c>
      <c r="B10" s="11" t="s">
        <v>801</v>
      </c>
      <c r="C10" s="11">
        <v>0.1875</v>
      </c>
      <c r="D10" s="11" t="s">
        <v>796</v>
      </c>
      <c r="E10" s="11" t="s">
        <v>123</v>
      </c>
      <c r="F10" s="11" t="s">
        <v>622</v>
      </c>
      <c r="G10" s="328"/>
      <c r="H10" s="7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 ht="15" customHeight="1" x14ac:dyDescent="0.3">
      <c r="A11" s="10" t="s">
        <v>456</v>
      </c>
      <c r="B11" s="10" t="s">
        <v>801</v>
      </c>
      <c r="C11" s="10">
        <v>0.1875</v>
      </c>
      <c r="D11" s="10" t="s">
        <v>798</v>
      </c>
      <c r="E11" s="10" t="s">
        <v>124</v>
      </c>
      <c r="F11" s="10" t="s">
        <v>802</v>
      </c>
      <c r="G11" s="328"/>
      <c r="H11" s="7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 ht="15" customHeight="1" x14ac:dyDescent="0.3">
      <c r="A12" s="10" t="s">
        <v>456</v>
      </c>
      <c r="B12" s="10" t="s">
        <v>801</v>
      </c>
      <c r="C12" s="10">
        <v>0.1875</v>
      </c>
      <c r="D12" s="10" t="s">
        <v>34</v>
      </c>
      <c r="E12" s="10" t="s">
        <v>124</v>
      </c>
      <c r="F12" s="10" t="s">
        <v>803</v>
      </c>
      <c r="G12" s="328"/>
      <c r="H12" s="7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ht="15" customHeight="1" x14ac:dyDescent="0.3">
      <c r="A13" s="26" t="s">
        <v>456</v>
      </c>
      <c r="B13" s="26" t="s">
        <v>804</v>
      </c>
      <c r="C13" s="26">
        <v>0.52777777777777779</v>
      </c>
      <c r="D13" s="26" t="s">
        <v>796</v>
      </c>
      <c r="E13" s="26" t="s">
        <v>439</v>
      </c>
      <c r="F13" s="26" t="s">
        <v>460</v>
      </c>
      <c r="G13" s="328"/>
      <c r="H13" s="7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ht="15" customHeight="1" x14ac:dyDescent="0.3">
      <c r="A14" s="10" t="s">
        <v>456</v>
      </c>
      <c r="B14" s="10" t="s">
        <v>804</v>
      </c>
      <c r="C14" s="10">
        <v>0.52777777777777779</v>
      </c>
      <c r="D14" s="10" t="s">
        <v>798</v>
      </c>
      <c r="E14" s="10" t="s">
        <v>124</v>
      </c>
      <c r="F14" s="10" t="s">
        <v>805</v>
      </c>
      <c r="G14" s="328"/>
      <c r="H14" s="7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 ht="15" customHeight="1" x14ac:dyDescent="0.3">
      <c r="A15" s="10" t="s">
        <v>456</v>
      </c>
      <c r="B15" s="10" t="s">
        <v>804</v>
      </c>
      <c r="C15" s="10">
        <v>0.52777777777777779</v>
      </c>
      <c r="D15" s="10" t="s">
        <v>34</v>
      </c>
      <c r="E15" s="10" t="s">
        <v>124</v>
      </c>
      <c r="F15" s="10" t="s">
        <v>806</v>
      </c>
      <c r="G15" s="328"/>
      <c r="H15" s="7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 ht="15" customHeight="1" x14ac:dyDescent="0.3">
      <c r="A16" s="11" t="s">
        <v>66</v>
      </c>
      <c r="B16" s="11" t="s">
        <v>807</v>
      </c>
      <c r="C16" s="11">
        <v>0.60416666666666663</v>
      </c>
      <c r="D16" s="11" t="s">
        <v>68</v>
      </c>
      <c r="E16" s="11" t="s">
        <v>47</v>
      </c>
      <c r="F16" s="11" t="s">
        <v>808</v>
      </c>
      <c r="G16" s="328"/>
      <c r="H16" s="7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ht="15" customHeight="1" x14ac:dyDescent="0.3">
      <c r="A17" s="12" t="s">
        <v>44</v>
      </c>
      <c r="B17" s="12" t="s">
        <v>809</v>
      </c>
      <c r="C17" s="12">
        <v>0.70833333333333337</v>
      </c>
      <c r="D17" s="12" t="s">
        <v>46</v>
      </c>
      <c r="E17" s="12" t="s">
        <v>129</v>
      </c>
      <c r="F17" s="12" t="s">
        <v>603</v>
      </c>
      <c r="G17" s="328"/>
      <c r="H17" s="13" t="s">
        <v>810</v>
      </c>
      <c r="I17" s="25">
        <v>0.98880000000000001</v>
      </c>
      <c r="J17" s="15">
        <v>177</v>
      </c>
      <c r="K17" s="16" t="s">
        <v>63</v>
      </c>
      <c r="L17" s="15">
        <v>5</v>
      </c>
      <c r="M17" s="15">
        <v>0</v>
      </c>
      <c r="N17" s="15">
        <v>0</v>
      </c>
      <c r="O17" s="16" t="s">
        <v>231</v>
      </c>
      <c r="P17" s="16">
        <v>0.70833333333333337</v>
      </c>
      <c r="Q17" s="15">
        <v>179</v>
      </c>
      <c r="R17" s="17" t="s">
        <v>811</v>
      </c>
    </row>
    <row r="18" spans="1:18" ht="15" customHeight="1" x14ac:dyDescent="0.3">
      <c r="A18" s="11" t="s">
        <v>78</v>
      </c>
      <c r="B18" s="11" t="s">
        <v>812</v>
      </c>
      <c r="C18" s="11">
        <v>0.34027777777777768</v>
      </c>
      <c r="D18" s="11" t="s">
        <v>80</v>
      </c>
      <c r="E18" s="11" t="s">
        <v>47</v>
      </c>
      <c r="F18" s="11" t="s">
        <v>813</v>
      </c>
      <c r="G18" s="328"/>
      <c r="H18" s="7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1:18" ht="15" customHeight="1" x14ac:dyDescent="0.3">
      <c r="A19" s="10" t="s">
        <v>78</v>
      </c>
      <c r="B19" s="10" t="s">
        <v>812</v>
      </c>
      <c r="C19" s="10">
        <v>0.34027777777777768</v>
      </c>
      <c r="D19" s="10" t="s">
        <v>83</v>
      </c>
      <c r="E19" s="10" t="s">
        <v>95</v>
      </c>
      <c r="F19" s="10" t="s">
        <v>814</v>
      </c>
      <c r="G19" s="328"/>
      <c r="H19" s="7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ht="15" customHeight="1" x14ac:dyDescent="0.3">
      <c r="A20" s="26" t="s">
        <v>78</v>
      </c>
      <c r="B20" s="26" t="s">
        <v>815</v>
      </c>
      <c r="C20" s="26">
        <v>0.71180555555555547</v>
      </c>
      <c r="D20" s="26" t="s">
        <v>80</v>
      </c>
      <c r="E20" s="26" t="s">
        <v>71</v>
      </c>
      <c r="F20" s="26" t="s">
        <v>813</v>
      </c>
      <c r="G20" s="328"/>
      <c r="H20" s="7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ht="15" customHeight="1" x14ac:dyDescent="0.3">
      <c r="A21" s="27" t="s">
        <v>78</v>
      </c>
      <c r="B21" s="27" t="s">
        <v>815</v>
      </c>
      <c r="C21" s="27">
        <v>0.71180555555555547</v>
      </c>
      <c r="D21" s="27" t="s">
        <v>83</v>
      </c>
      <c r="E21" s="27" t="s">
        <v>95</v>
      </c>
      <c r="F21" s="27" t="s">
        <v>814</v>
      </c>
      <c r="G21" s="328"/>
      <c r="H21" s="28"/>
      <c r="I21" s="29"/>
      <c r="J21" s="29"/>
      <c r="K21" s="29"/>
      <c r="L21" s="29"/>
      <c r="M21" s="29"/>
      <c r="N21" s="29"/>
      <c r="O21" s="29"/>
      <c r="P21" s="29"/>
      <c r="Q21" s="29"/>
      <c r="R21" s="30"/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22.05" customHeight="1" x14ac:dyDescent="0.3">
      <c r="A23" s="323" t="s">
        <v>6</v>
      </c>
      <c r="B23" s="324"/>
      <c r="C23" s="324"/>
      <c r="D23" s="324"/>
      <c r="E23" s="324"/>
      <c r="F23" s="324"/>
      <c r="G23" s="2">
        <v>45987</v>
      </c>
      <c r="H23" s="323" t="s">
        <v>7</v>
      </c>
      <c r="I23" s="324"/>
      <c r="J23" s="324"/>
      <c r="K23" s="324"/>
      <c r="L23" s="324"/>
      <c r="M23" s="324"/>
      <c r="N23" s="324"/>
      <c r="O23" s="324"/>
      <c r="P23" s="324"/>
      <c r="Q23" s="324"/>
      <c r="R23" s="324"/>
    </row>
    <row r="24" spans="1:18" ht="24" customHeight="1" x14ac:dyDescent="0.3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4" t="s">
        <v>13</v>
      </c>
      <c r="G24" s="5" t="s">
        <v>14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M24" s="3" t="s">
        <v>20</v>
      </c>
      <c r="N24" s="3" t="s">
        <v>21</v>
      </c>
      <c r="O24" s="3" t="s">
        <v>22</v>
      </c>
      <c r="P24" s="3" t="s">
        <v>23</v>
      </c>
      <c r="Q24" s="3" t="s">
        <v>24</v>
      </c>
      <c r="R24" s="3" t="s">
        <v>25</v>
      </c>
    </row>
    <row r="25" spans="1:18" ht="15" customHeight="1" x14ac:dyDescent="0.3">
      <c r="A25" s="6" t="s">
        <v>66</v>
      </c>
      <c r="B25" s="6" t="s">
        <v>807</v>
      </c>
      <c r="C25" s="6">
        <v>0.60416666666666663</v>
      </c>
      <c r="D25" s="6" t="s">
        <v>68</v>
      </c>
      <c r="E25" s="6" t="s">
        <v>47</v>
      </c>
      <c r="F25" s="6" t="s">
        <v>816</v>
      </c>
      <c r="G25" s="335"/>
      <c r="H25" s="7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ht="15" customHeight="1" x14ac:dyDescent="0.3">
      <c r="A26" s="75" t="s">
        <v>44</v>
      </c>
      <c r="B26" s="75" t="s">
        <v>817</v>
      </c>
      <c r="C26" s="75">
        <v>0.40972222222222232</v>
      </c>
      <c r="D26" s="75" t="s">
        <v>46</v>
      </c>
      <c r="E26" s="75" t="s">
        <v>121</v>
      </c>
      <c r="F26" s="75" t="s">
        <v>818</v>
      </c>
      <c r="G26" s="328"/>
      <c r="H26" s="76" t="s">
        <v>819</v>
      </c>
      <c r="I26" s="77">
        <v>0.97209999999999996</v>
      </c>
      <c r="J26" s="78">
        <v>174</v>
      </c>
      <c r="K26" s="79" t="s">
        <v>63</v>
      </c>
      <c r="L26" s="78">
        <v>11</v>
      </c>
      <c r="M26" s="78">
        <v>0</v>
      </c>
      <c r="N26" s="78">
        <v>0</v>
      </c>
      <c r="O26" s="79" t="s">
        <v>232</v>
      </c>
      <c r="P26" s="79">
        <v>0.40972222222222232</v>
      </c>
      <c r="Q26" s="78">
        <v>179</v>
      </c>
      <c r="R26" s="80" t="s">
        <v>820</v>
      </c>
    </row>
    <row r="27" spans="1:18" ht="15" customHeight="1" x14ac:dyDescent="0.3">
      <c r="A27" s="81" t="s">
        <v>44</v>
      </c>
      <c r="B27" s="81" t="s">
        <v>810</v>
      </c>
      <c r="C27" s="81">
        <v>0.65625</v>
      </c>
      <c r="D27" s="81" t="s">
        <v>61</v>
      </c>
      <c r="E27" s="81"/>
      <c r="F27" s="81" t="s">
        <v>62</v>
      </c>
      <c r="G27" s="328"/>
      <c r="H27" s="82" t="s">
        <v>810</v>
      </c>
      <c r="I27" s="83">
        <v>1</v>
      </c>
      <c r="J27" s="84">
        <v>179</v>
      </c>
      <c r="K27" s="85" t="s">
        <v>433</v>
      </c>
      <c r="L27" s="84">
        <v>16</v>
      </c>
      <c r="M27" s="84">
        <v>0</v>
      </c>
      <c r="N27" s="84">
        <v>0</v>
      </c>
      <c r="O27" s="85" t="s">
        <v>64</v>
      </c>
      <c r="P27" s="85">
        <v>0.65625</v>
      </c>
      <c r="Q27" s="84">
        <v>179</v>
      </c>
      <c r="R27" s="86" t="s">
        <v>821</v>
      </c>
    </row>
    <row r="28" spans="1:18" ht="15" customHeight="1" x14ac:dyDescent="0.3">
      <c r="A28" s="189" t="s">
        <v>44</v>
      </c>
      <c r="B28" s="189" t="s">
        <v>822</v>
      </c>
      <c r="C28" s="189">
        <v>0.71875</v>
      </c>
      <c r="D28" s="189" t="s">
        <v>61</v>
      </c>
      <c r="E28" s="189"/>
      <c r="F28" s="189" t="s">
        <v>62</v>
      </c>
      <c r="G28" s="328"/>
      <c r="H28" s="45" t="s">
        <v>822</v>
      </c>
      <c r="I28" s="46">
        <v>1</v>
      </c>
      <c r="J28" s="47">
        <v>179</v>
      </c>
      <c r="K28" s="48" t="s">
        <v>175</v>
      </c>
      <c r="L28" s="47">
        <v>15</v>
      </c>
      <c r="M28" s="47">
        <v>1</v>
      </c>
      <c r="N28" s="47">
        <v>2</v>
      </c>
      <c r="O28" s="48" t="s">
        <v>64</v>
      </c>
      <c r="P28" s="48">
        <v>0.71875</v>
      </c>
      <c r="Q28" s="47">
        <v>179</v>
      </c>
      <c r="R28" s="49" t="s">
        <v>823</v>
      </c>
    </row>
    <row r="29" spans="1:18" ht="15" customHeight="1" x14ac:dyDescent="0.3">
      <c r="A29" s="11" t="s">
        <v>78</v>
      </c>
      <c r="B29" s="11" t="s">
        <v>815</v>
      </c>
      <c r="C29" s="11">
        <v>0.71180555555555547</v>
      </c>
      <c r="D29" s="11" t="s">
        <v>80</v>
      </c>
      <c r="E29" s="11" t="s">
        <v>102</v>
      </c>
      <c r="F29" s="11" t="s">
        <v>813</v>
      </c>
      <c r="G29" s="328"/>
      <c r="H29" s="7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ht="15" customHeight="1" x14ac:dyDescent="0.3">
      <c r="A30" s="27" t="s">
        <v>78</v>
      </c>
      <c r="B30" s="27" t="s">
        <v>815</v>
      </c>
      <c r="C30" s="27">
        <v>0.71180555555555547</v>
      </c>
      <c r="D30" s="27" t="s">
        <v>83</v>
      </c>
      <c r="E30" s="27" t="s">
        <v>104</v>
      </c>
      <c r="F30" s="27" t="s">
        <v>814</v>
      </c>
      <c r="G30" s="328"/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30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22.05" customHeight="1" x14ac:dyDescent="0.3">
      <c r="A32" s="323" t="s">
        <v>6</v>
      </c>
      <c r="B32" s="324"/>
      <c r="C32" s="324"/>
      <c r="D32" s="324"/>
      <c r="E32" s="324"/>
      <c r="F32" s="324"/>
      <c r="G32" s="2">
        <v>45988</v>
      </c>
      <c r="H32" s="323" t="s">
        <v>7</v>
      </c>
      <c r="I32" s="324"/>
      <c r="J32" s="324"/>
      <c r="K32" s="324"/>
      <c r="L32" s="324"/>
      <c r="M32" s="324"/>
      <c r="N32" s="324"/>
      <c r="O32" s="324"/>
      <c r="P32" s="324"/>
      <c r="Q32" s="324"/>
      <c r="R32" s="324"/>
    </row>
    <row r="33" spans="1:18" ht="24" customHeight="1" x14ac:dyDescent="0.3">
      <c r="A33" s="3" t="s">
        <v>8</v>
      </c>
      <c r="B33" s="3" t="s">
        <v>9</v>
      </c>
      <c r="C33" s="3" t="s">
        <v>10</v>
      </c>
      <c r="D33" s="3" t="s">
        <v>11</v>
      </c>
      <c r="E33" s="3" t="s">
        <v>12</v>
      </c>
      <c r="F33" s="4" t="s">
        <v>13</v>
      </c>
      <c r="G33" s="5" t="s">
        <v>14</v>
      </c>
      <c r="H33" s="3" t="s">
        <v>15</v>
      </c>
      <c r="I33" s="3" t="s">
        <v>16</v>
      </c>
      <c r="J33" s="3" t="s">
        <v>17</v>
      </c>
      <c r="K33" s="3" t="s">
        <v>18</v>
      </c>
      <c r="L33" s="3" t="s">
        <v>19</v>
      </c>
      <c r="M33" s="3" t="s">
        <v>20</v>
      </c>
      <c r="N33" s="3" t="s">
        <v>21</v>
      </c>
      <c r="O33" s="3" t="s">
        <v>22</v>
      </c>
      <c r="P33" s="3" t="s">
        <v>23</v>
      </c>
      <c r="Q33" s="3" t="s">
        <v>24</v>
      </c>
      <c r="R33" s="3" t="s">
        <v>25</v>
      </c>
    </row>
    <row r="34" spans="1:18" ht="15" customHeight="1" x14ac:dyDescent="0.3">
      <c r="A34" s="6" t="s">
        <v>456</v>
      </c>
      <c r="B34" s="6" t="s">
        <v>804</v>
      </c>
      <c r="C34" s="6">
        <v>0.52777777777777779</v>
      </c>
      <c r="D34" s="6" t="s">
        <v>796</v>
      </c>
      <c r="E34" s="6" t="s">
        <v>123</v>
      </c>
      <c r="F34" s="6" t="s">
        <v>452</v>
      </c>
      <c r="G34" s="335"/>
      <c r="H34" s="7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ht="15" customHeight="1" x14ac:dyDescent="0.3">
      <c r="A35" s="10" t="s">
        <v>456</v>
      </c>
      <c r="B35" s="10" t="s">
        <v>804</v>
      </c>
      <c r="C35" s="10">
        <v>0.52777777777777779</v>
      </c>
      <c r="D35" s="10" t="s">
        <v>798</v>
      </c>
      <c r="E35" s="10" t="s">
        <v>124</v>
      </c>
      <c r="F35" s="10" t="s">
        <v>824</v>
      </c>
      <c r="G35" s="328"/>
      <c r="H35" s="7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ht="15" customHeight="1" x14ac:dyDescent="0.3">
      <c r="A36" s="10" t="s">
        <v>456</v>
      </c>
      <c r="B36" s="10" t="s">
        <v>804</v>
      </c>
      <c r="C36" s="10">
        <v>0.52777777777777779</v>
      </c>
      <c r="D36" s="10" t="s">
        <v>34</v>
      </c>
      <c r="E36" s="10" t="s">
        <v>124</v>
      </c>
      <c r="F36" s="10" t="s">
        <v>825</v>
      </c>
      <c r="G36" s="328"/>
      <c r="H36" s="7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ht="15" customHeight="1" x14ac:dyDescent="0.3">
      <c r="A37" s="26" t="s">
        <v>456</v>
      </c>
      <c r="B37" s="26" t="s">
        <v>826</v>
      </c>
      <c r="C37" s="26">
        <v>0.79861111111111116</v>
      </c>
      <c r="D37" s="26" t="s">
        <v>796</v>
      </c>
      <c r="E37" s="26" t="s">
        <v>439</v>
      </c>
      <c r="F37" s="26" t="s">
        <v>827</v>
      </c>
      <c r="G37" s="328"/>
      <c r="H37" s="7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ht="15" customHeight="1" x14ac:dyDescent="0.3">
      <c r="A38" s="10" t="s">
        <v>456</v>
      </c>
      <c r="B38" s="10" t="s">
        <v>826</v>
      </c>
      <c r="C38" s="10">
        <v>0.79861111111111116</v>
      </c>
      <c r="D38" s="10" t="s">
        <v>798</v>
      </c>
      <c r="E38" s="10" t="s">
        <v>124</v>
      </c>
      <c r="F38" s="10" t="s">
        <v>499</v>
      </c>
      <c r="G38" s="328"/>
      <c r="H38" s="7"/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1:18" ht="15" customHeight="1" x14ac:dyDescent="0.3">
      <c r="A39" s="10" t="s">
        <v>456</v>
      </c>
      <c r="B39" s="10" t="s">
        <v>826</v>
      </c>
      <c r="C39" s="10">
        <v>0.79861111111111116</v>
      </c>
      <c r="D39" s="10" t="s">
        <v>34</v>
      </c>
      <c r="E39" s="10" t="s">
        <v>124</v>
      </c>
      <c r="F39" s="10" t="s">
        <v>828</v>
      </c>
      <c r="G39" s="328"/>
      <c r="H39" s="7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1:18" ht="15" customHeight="1" x14ac:dyDescent="0.3">
      <c r="A40" s="11" t="s">
        <v>78</v>
      </c>
      <c r="B40" s="11" t="s">
        <v>812</v>
      </c>
      <c r="C40" s="11">
        <v>0.34027777777777768</v>
      </c>
      <c r="D40" s="11" t="s">
        <v>829</v>
      </c>
      <c r="E40" s="11" t="s">
        <v>47</v>
      </c>
      <c r="F40" s="11" t="s">
        <v>830</v>
      </c>
      <c r="G40" s="328"/>
      <c r="H40" s="7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ht="15" customHeight="1" x14ac:dyDescent="0.3">
      <c r="A41" s="10" t="s">
        <v>78</v>
      </c>
      <c r="B41" s="10" t="s">
        <v>812</v>
      </c>
      <c r="C41" s="10">
        <v>0.34027777777777768</v>
      </c>
      <c r="D41" s="10" t="s">
        <v>80</v>
      </c>
      <c r="E41" s="10" t="s">
        <v>95</v>
      </c>
      <c r="F41" s="10" t="s">
        <v>831</v>
      </c>
      <c r="G41" s="328"/>
      <c r="H41" s="7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ht="15" customHeight="1" x14ac:dyDescent="0.3">
      <c r="A42" s="10" t="s">
        <v>78</v>
      </c>
      <c r="B42" s="10" t="s">
        <v>812</v>
      </c>
      <c r="C42" s="10">
        <v>0.34027777777777768</v>
      </c>
      <c r="D42" s="10" t="s">
        <v>83</v>
      </c>
      <c r="E42" s="10" t="s">
        <v>95</v>
      </c>
      <c r="F42" s="10" t="s">
        <v>832</v>
      </c>
      <c r="G42" s="328"/>
      <c r="H42" s="7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ht="15" customHeight="1" x14ac:dyDescent="0.3">
      <c r="A43" s="126" t="s">
        <v>44</v>
      </c>
      <c r="B43" s="126" t="s">
        <v>809</v>
      </c>
      <c r="C43" s="126">
        <v>0.27430555555555552</v>
      </c>
      <c r="D43" s="126" t="s">
        <v>46</v>
      </c>
      <c r="E43" s="126" t="s">
        <v>29</v>
      </c>
      <c r="F43" s="126" t="s">
        <v>833</v>
      </c>
      <c r="G43" s="328"/>
      <c r="H43" s="120" t="s">
        <v>810</v>
      </c>
      <c r="I43" s="121">
        <v>0.97770000000000001</v>
      </c>
      <c r="J43" s="122">
        <v>175</v>
      </c>
      <c r="K43" s="123" t="s">
        <v>50</v>
      </c>
      <c r="L43" s="122">
        <v>2</v>
      </c>
      <c r="M43" s="122">
        <v>0</v>
      </c>
      <c r="N43" s="122">
        <v>2</v>
      </c>
      <c r="O43" s="123" t="s">
        <v>256</v>
      </c>
      <c r="P43" s="123">
        <v>0.27430555555555552</v>
      </c>
      <c r="Q43" s="122">
        <v>179</v>
      </c>
      <c r="R43" s="124" t="s">
        <v>834</v>
      </c>
    </row>
    <row r="44" spans="1:18" ht="17.399999999999999" customHeight="1" x14ac:dyDescent="0.3">
      <c r="A44" s="360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2"/>
    </row>
    <row r="45" spans="1:18" ht="22.05" customHeight="1" x14ac:dyDescent="0.3">
      <c r="A45" s="323" t="s">
        <v>6</v>
      </c>
      <c r="B45" s="324"/>
      <c r="C45" s="324"/>
      <c r="D45" s="324"/>
      <c r="E45" s="324"/>
      <c r="F45" s="324"/>
      <c r="G45" s="2">
        <v>45989</v>
      </c>
      <c r="H45" s="323" t="s">
        <v>7</v>
      </c>
      <c r="I45" s="324"/>
      <c r="J45" s="324"/>
      <c r="K45" s="324"/>
      <c r="L45" s="324"/>
      <c r="M45" s="324"/>
      <c r="N45" s="324"/>
      <c r="O45" s="324"/>
      <c r="P45" s="324"/>
      <c r="Q45" s="324"/>
      <c r="R45" s="324"/>
    </row>
    <row r="46" spans="1:18" ht="24" customHeight="1" x14ac:dyDescent="0.3">
      <c r="A46" s="3" t="s">
        <v>8</v>
      </c>
      <c r="B46" s="3" t="s">
        <v>9</v>
      </c>
      <c r="C46" s="3" t="s">
        <v>10</v>
      </c>
      <c r="D46" s="3" t="s">
        <v>11</v>
      </c>
      <c r="E46" s="3" t="s">
        <v>12</v>
      </c>
      <c r="F46" s="4" t="s">
        <v>13</v>
      </c>
      <c r="G46" s="5" t="s">
        <v>14</v>
      </c>
      <c r="H46" s="3" t="s">
        <v>15</v>
      </c>
      <c r="I46" s="3" t="s">
        <v>16</v>
      </c>
      <c r="J46" s="3" t="s">
        <v>17</v>
      </c>
      <c r="K46" s="3" t="s">
        <v>18</v>
      </c>
      <c r="L46" s="3" t="s">
        <v>19</v>
      </c>
      <c r="M46" s="3" t="s">
        <v>20</v>
      </c>
      <c r="N46" s="3" t="s">
        <v>21</v>
      </c>
      <c r="O46" s="3" t="s">
        <v>22</v>
      </c>
      <c r="P46" s="3" t="s">
        <v>23</v>
      </c>
      <c r="Q46" s="3" t="s">
        <v>24</v>
      </c>
      <c r="R46" s="3" t="s">
        <v>25</v>
      </c>
    </row>
    <row r="47" spans="1:18" ht="49.95" customHeight="1" x14ac:dyDescent="0.3">
      <c r="A47" s="44" t="s">
        <v>44</v>
      </c>
      <c r="B47" s="44" t="s">
        <v>809</v>
      </c>
      <c r="C47" s="44">
        <v>0.41666666666666669</v>
      </c>
      <c r="D47" s="44" t="s">
        <v>46</v>
      </c>
      <c r="E47" s="44" t="s">
        <v>129</v>
      </c>
      <c r="F47" s="44" t="s">
        <v>578</v>
      </c>
      <c r="G47" s="335"/>
      <c r="H47" s="45" t="s">
        <v>810</v>
      </c>
      <c r="I47" s="191">
        <v>0.48809999999999998</v>
      </c>
      <c r="J47" s="47">
        <v>82</v>
      </c>
      <c r="K47" s="48" t="s">
        <v>175</v>
      </c>
      <c r="L47" s="47">
        <v>53</v>
      </c>
      <c r="M47" s="47">
        <v>4</v>
      </c>
      <c r="N47" s="47">
        <v>13</v>
      </c>
      <c r="O47" s="48" t="s">
        <v>738</v>
      </c>
      <c r="P47" s="48">
        <v>0.41666666666666669</v>
      </c>
      <c r="Q47" s="47">
        <v>168</v>
      </c>
      <c r="R47" s="49" t="s">
        <v>835</v>
      </c>
    </row>
    <row r="48" spans="1:18" ht="49.95" customHeight="1" x14ac:dyDescent="0.3">
      <c r="A48" s="11" t="s">
        <v>78</v>
      </c>
      <c r="B48" s="11" t="s">
        <v>815</v>
      </c>
      <c r="C48" s="11">
        <v>0.71180555555555547</v>
      </c>
      <c r="D48" s="11" t="s">
        <v>80</v>
      </c>
      <c r="E48" s="11" t="s">
        <v>29</v>
      </c>
      <c r="F48" s="11" t="s">
        <v>813</v>
      </c>
      <c r="G48" s="328"/>
      <c r="H48" s="7"/>
      <c r="I48" s="8"/>
      <c r="J48" s="8"/>
      <c r="K48" s="8"/>
      <c r="L48" s="8"/>
      <c r="M48" s="8"/>
      <c r="N48" s="8"/>
      <c r="O48" s="8"/>
      <c r="P48" s="8"/>
      <c r="Q48" s="8"/>
      <c r="R48" s="9"/>
    </row>
    <row r="49" spans="1:18" ht="49.95" customHeight="1" x14ac:dyDescent="0.3">
      <c r="A49" s="27" t="s">
        <v>78</v>
      </c>
      <c r="B49" s="27" t="s">
        <v>815</v>
      </c>
      <c r="C49" s="27">
        <v>0.71180555555555547</v>
      </c>
      <c r="D49" s="27" t="s">
        <v>83</v>
      </c>
      <c r="E49" s="27" t="s">
        <v>32</v>
      </c>
      <c r="F49" s="27" t="s">
        <v>814</v>
      </c>
      <c r="G49" s="328"/>
      <c r="H49" s="28"/>
      <c r="I49" s="29"/>
      <c r="J49" s="29"/>
      <c r="K49" s="29"/>
      <c r="L49" s="29"/>
      <c r="M49" s="29"/>
      <c r="N49" s="29"/>
      <c r="O49" s="29"/>
      <c r="P49" s="29"/>
      <c r="Q49" s="29"/>
      <c r="R49" s="30"/>
    </row>
    <row r="50" spans="1:18" ht="17.399999999999999" customHeight="1" x14ac:dyDescent="0.3">
      <c r="A50" s="360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2"/>
    </row>
    <row r="51" spans="1:18" ht="22.05" customHeight="1" x14ac:dyDescent="0.3">
      <c r="A51" s="323" t="s">
        <v>6</v>
      </c>
      <c r="B51" s="324"/>
      <c r="C51" s="324"/>
      <c r="D51" s="324"/>
      <c r="E51" s="324"/>
      <c r="F51" s="324"/>
      <c r="G51" s="2">
        <v>45990</v>
      </c>
      <c r="H51" s="323" t="s">
        <v>7</v>
      </c>
      <c r="I51" s="324"/>
      <c r="J51" s="324"/>
      <c r="K51" s="324"/>
      <c r="L51" s="324"/>
      <c r="M51" s="324"/>
      <c r="N51" s="324"/>
      <c r="O51" s="324"/>
      <c r="P51" s="324"/>
      <c r="Q51" s="324"/>
      <c r="R51" s="324"/>
    </row>
    <row r="52" spans="1:18" ht="24" customHeight="1" x14ac:dyDescent="0.3">
      <c r="A52" s="3" t="s">
        <v>8</v>
      </c>
      <c r="B52" s="3" t="s">
        <v>9</v>
      </c>
      <c r="C52" s="3" t="s">
        <v>10</v>
      </c>
      <c r="D52" s="3" t="s">
        <v>11</v>
      </c>
      <c r="E52" s="3" t="s">
        <v>12</v>
      </c>
      <c r="F52" s="4" t="s">
        <v>13</v>
      </c>
      <c r="G52" s="5" t="s">
        <v>14</v>
      </c>
      <c r="H52" s="3" t="s">
        <v>15</v>
      </c>
      <c r="I52" s="3" t="s">
        <v>16</v>
      </c>
      <c r="J52" s="3" t="s">
        <v>17</v>
      </c>
      <c r="K52" s="3" t="s">
        <v>18</v>
      </c>
      <c r="L52" s="3" t="s">
        <v>19</v>
      </c>
      <c r="M52" s="3" t="s">
        <v>20</v>
      </c>
      <c r="N52" s="3" t="s">
        <v>21</v>
      </c>
      <c r="O52" s="3" t="s">
        <v>22</v>
      </c>
      <c r="P52" s="3" t="s">
        <v>23</v>
      </c>
      <c r="Q52" s="3" t="s">
        <v>24</v>
      </c>
      <c r="R52" s="3" t="s">
        <v>25</v>
      </c>
    </row>
    <row r="53" spans="1:18" ht="15" customHeight="1" x14ac:dyDescent="0.3">
      <c r="A53" s="6" t="s">
        <v>26</v>
      </c>
      <c r="B53" s="6" t="s">
        <v>794</v>
      </c>
      <c r="C53" s="6">
        <v>0.25694444444444448</v>
      </c>
      <c r="D53" s="6" t="s">
        <v>795</v>
      </c>
      <c r="E53" s="6" t="s">
        <v>121</v>
      </c>
      <c r="F53" s="6" t="s">
        <v>531</v>
      </c>
      <c r="G53" s="335"/>
      <c r="H53" s="7"/>
      <c r="I53" s="8"/>
      <c r="J53" s="8"/>
      <c r="K53" s="8"/>
      <c r="L53" s="8"/>
      <c r="M53" s="8"/>
      <c r="N53" s="8"/>
      <c r="O53" s="8"/>
      <c r="P53" s="8"/>
      <c r="Q53" s="8"/>
      <c r="R53" s="9"/>
    </row>
    <row r="54" spans="1:18" ht="15" customHeight="1" x14ac:dyDescent="0.3">
      <c r="A54" s="10" t="s">
        <v>26</v>
      </c>
      <c r="B54" s="10" t="s">
        <v>794</v>
      </c>
      <c r="C54" s="10">
        <v>0.25694444444444448</v>
      </c>
      <c r="D54" s="10" t="s">
        <v>796</v>
      </c>
      <c r="E54" s="10" t="s">
        <v>122</v>
      </c>
      <c r="F54" s="10" t="s">
        <v>836</v>
      </c>
      <c r="G54" s="328"/>
      <c r="H54" s="7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1:18" ht="15" customHeight="1" x14ac:dyDescent="0.3">
      <c r="A55" s="10" t="s">
        <v>26</v>
      </c>
      <c r="B55" s="10" t="s">
        <v>794</v>
      </c>
      <c r="C55" s="10">
        <v>0.25694444444444448</v>
      </c>
      <c r="D55" s="10" t="s">
        <v>798</v>
      </c>
      <c r="E55" s="10" t="s">
        <v>122</v>
      </c>
      <c r="F55" s="10" t="s">
        <v>837</v>
      </c>
      <c r="G55" s="328"/>
      <c r="H55" s="7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ht="15" customHeight="1" x14ac:dyDescent="0.3">
      <c r="A56" s="10" t="s">
        <v>26</v>
      </c>
      <c r="B56" s="10" t="s">
        <v>794</v>
      </c>
      <c r="C56" s="10">
        <v>0.25694444444444448</v>
      </c>
      <c r="D56" s="10" t="s">
        <v>800</v>
      </c>
      <c r="E56" s="10" t="s">
        <v>122</v>
      </c>
      <c r="F56" s="10" t="s">
        <v>450</v>
      </c>
      <c r="G56" s="328"/>
      <c r="H56" s="7"/>
      <c r="I56" s="8"/>
      <c r="J56" s="8"/>
      <c r="K56" s="8"/>
      <c r="L56" s="8"/>
      <c r="M56" s="8"/>
      <c r="N56" s="8"/>
      <c r="O56" s="8"/>
      <c r="P56" s="8"/>
      <c r="Q56" s="8"/>
      <c r="R56" s="9"/>
    </row>
    <row r="57" spans="1:18" ht="15" customHeight="1" x14ac:dyDescent="0.3">
      <c r="A57" s="11" t="s">
        <v>456</v>
      </c>
      <c r="B57" s="11" t="s">
        <v>804</v>
      </c>
      <c r="C57" s="11">
        <v>0.52777777777777779</v>
      </c>
      <c r="D57" s="11" t="s">
        <v>796</v>
      </c>
      <c r="E57" s="11" t="s">
        <v>123</v>
      </c>
      <c r="F57" s="11" t="s">
        <v>838</v>
      </c>
      <c r="G57" s="328"/>
      <c r="H57" s="7"/>
      <c r="I57" s="8"/>
      <c r="J57" s="8"/>
      <c r="K57" s="8"/>
      <c r="L57" s="8"/>
      <c r="M57" s="8"/>
      <c r="N57" s="8"/>
      <c r="O57" s="8"/>
      <c r="P57" s="8"/>
      <c r="Q57" s="8"/>
      <c r="R57" s="9"/>
    </row>
    <row r="58" spans="1:18" ht="15" customHeight="1" x14ac:dyDescent="0.3">
      <c r="A58" s="10" t="s">
        <v>456</v>
      </c>
      <c r="B58" s="10" t="s">
        <v>804</v>
      </c>
      <c r="C58" s="10">
        <v>0.52777777777777779</v>
      </c>
      <c r="D58" s="10" t="s">
        <v>798</v>
      </c>
      <c r="E58" s="10" t="s">
        <v>124</v>
      </c>
      <c r="F58" s="10" t="s">
        <v>839</v>
      </c>
      <c r="G58" s="328"/>
      <c r="H58" s="7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1:18" ht="15" customHeight="1" x14ac:dyDescent="0.3">
      <c r="A59" s="10" t="s">
        <v>456</v>
      </c>
      <c r="B59" s="10" t="s">
        <v>804</v>
      </c>
      <c r="C59" s="10">
        <v>0.52777777777777779</v>
      </c>
      <c r="D59" s="10" t="s">
        <v>34</v>
      </c>
      <c r="E59" s="10" t="s">
        <v>124</v>
      </c>
      <c r="F59" s="10" t="s">
        <v>840</v>
      </c>
      <c r="G59" s="328"/>
      <c r="H59" s="7"/>
      <c r="I59" s="8"/>
      <c r="J59" s="8"/>
      <c r="K59" s="8"/>
      <c r="L59" s="8"/>
      <c r="M59" s="8"/>
      <c r="N59" s="8"/>
      <c r="O59" s="8"/>
      <c r="P59" s="8"/>
      <c r="Q59" s="8"/>
      <c r="R59" s="9"/>
    </row>
    <row r="60" spans="1:18" ht="15" customHeight="1" x14ac:dyDescent="0.3">
      <c r="A60" s="167" t="s">
        <v>44</v>
      </c>
      <c r="B60" s="167" t="s">
        <v>809</v>
      </c>
      <c r="C60" s="167">
        <v>0.79166666666666663</v>
      </c>
      <c r="D60" s="167" t="s">
        <v>46</v>
      </c>
      <c r="E60" s="167" t="s">
        <v>314</v>
      </c>
      <c r="F60" s="167" t="s">
        <v>634</v>
      </c>
      <c r="G60" s="328"/>
      <c r="H60" s="58" t="s">
        <v>810</v>
      </c>
      <c r="I60" s="59">
        <v>0.95240000000000002</v>
      </c>
      <c r="J60" s="60">
        <v>160</v>
      </c>
      <c r="K60" s="61" t="s">
        <v>378</v>
      </c>
      <c r="L60" s="60">
        <v>1</v>
      </c>
      <c r="M60" s="60">
        <v>0</v>
      </c>
      <c r="N60" s="60">
        <v>0</v>
      </c>
      <c r="O60" s="61" t="s">
        <v>841</v>
      </c>
      <c r="P60" s="61">
        <v>0.79166666666666663</v>
      </c>
      <c r="Q60" s="60">
        <v>168</v>
      </c>
      <c r="R60" s="62" t="s">
        <v>842</v>
      </c>
    </row>
    <row r="61" spans="1:18" ht="15" customHeight="1" x14ac:dyDescent="0.3">
      <c r="A61" s="87" t="s">
        <v>44</v>
      </c>
      <c r="B61" s="87" t="s">
        <v>843</v>
      </c>
      <c r="C61" s="87">
        <v>0.45833333333333331</v>
      </c>
      <c r="D61" s="87" t="s">
        <v>46</v>
      </c>
      <c r="E61" s="87" t="s">
        <v>87</v>
      </c>
      <c r="F61" s="87" t="s">
        <v>634</v>
      </c>
      <c r="G61" s="328"/>
      <c r="H61" s="76" t="s">
        <v>822</v>
      </c>
      <c r="I61" s="77">
        <v>0.97619999999999996</v>
      </c>
      <c r="J61" s="78">
        <v>164</v>
      </c>
      <c r="K61" s="79" t="s">
        <v>433</v>
      </c>
      <c r="L61" s="78">
        <v>2</v>
      </c>
      <c r="M61" s="78">
        <v>0</v>
      </c>
      <c r="N61" s="78">
        <v>0</v>
      </c>
      <c r="O61" s="79" t="s">
        <v>319</v>
      </c>
      <c r="P61" s="79">
        <v>0.45833333333333331</v>
      </c>
      <c r="Q61" s="78">
        <v>168</v>
      </c>
      <c r="R61" s="80" t="s">
        <v>844</v>
      </c>
    </row>
    <row r="62" spans="1:18" ht="15" customHeight="1" x14ac:dyDescent="0.3">
      <c r="A62" s="11" t="s">
        <v>78</v>
      </c>
      <c r="B62" s="11" t="s">
        <v>812</v>
      </c>
      <c r="C62" s="11">
        <v>0.34027777777777768</v>
      </c>
      <c r="D62" s="11" t="s">
        <v>80</v>
      </c>
      <c r="E62" s="11" t="s">
        <v>47</v>
      </c>
      <c r="F62" s="11" t="s">
        <v>813</v>
      </c>
      <c r="G62" s="328"/>
      <c r="H62" s="7"/>
      <c r="I62" s="8"/>
      <c r="J62" s="8"/>
      <c r="K62" s="8"/>
      <c r="L62" s="8"/>
      <c r="M62" s="8"/>
      <c r="N62" s="8"/>
      <c r="O62" s="8"/>
      <c r="P62" s="8"/>
      <c r="Q62" s="8"/>
      <c r="R62" s="9"/>
    </row>
    <row r="63" spans="1:18" ht="15" customHeight="1" x14ac:dyDescent="0.3">
      <c r="A63" s="10" t="s">
        <v>78</v>
      </c>
      <c r="B63" s="10" t="s">
        <v>812</v>
      </c>
      <c r="C63" s="10">
        <v>0.34027777777777768</v>
      </c>
      <c r="D63" s="10" t="s">
        <v>83</v>
      </c>
      <c r="E63" s="10" t="s">
        <v>95</v>
      </c>
      <c r="F63" s="10" t="s">
        <v>814</v>
      </c>
      <c r="G63" s="328"/>
      <c r="H63" s="7"/>
      <c r="I63" s="8"/>
      <c r="J63" s="8"/>
      <c r="K63" s="8"/>
      <c r="L63" s="8"/>
      <c r="M63" s="8"/>
      <c r="N63" s="8"/>
      <c r="O63" s="8"/>
      <c r="P63" s="8"/>
      <c r="Q63" s="8"/>
      <c r="R63" s="9"/>
    </row>
    <row r="64" spans="1:18" ht="15" customHeight="1" x14ac:dyDescent="0.3">
      <c r="A64" s="26" t="s">
        <v>78</v>
      </c>
      <c r="B64" s="26" t="s">
        <v>815</v>
      </c>
      <c r="C64" s="26">
        <v>0.71180555555555547</v>
      </c>
      <c r="D64" s="26" t="s">
        <v>80</v>
      </c>
      <c r="E64" s="26" t="s">
        <v>71</v>
      </c>
      <c r="F64" s="26" t="s">
        <v>813</v>
      </c>
      <c r="G64" s="328"/>
      <c r="H64" s="7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 spans="1:18" ht="15" customHeight="1" x14ac:dyDescent="0.3">
      <c r="A65" s="27" t="s">
        <v>78</v>
      </c>
      <c r="B65" s="27" t="s">
        <v>815</v>
      </c>
      <c r="C65" s="27">
        <v>0.71180555555555547</v>
      </c>
      <c r="D65" s="27" t="s">
        <v>83</v>
      </c>
      <c r="E65" s="27" t="s">
        <v>95</v>
      </c>
      <c r="F65" s="27" t="s">
        <v>814</v>
      </c>
      <c r="G65" s="328"/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30"/>
    </row>
    <row r="66" spans="1:18" ht="17.399999999999999" customHeight="1" x14ac:dyDescent="0.3">
      <c r="A66" s="360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1"/>
      <c r="P66" s="361"/>
      <c r="Q66" s="361"/>
      <c r="R66" s="362"/>
    </row>
    <row r="67" spans="1:18" ht="22.05" customHeight="1" x14ac:dyDescent="0.3">
      <c r="A67" s="323" t="s">
        <v>6</v>
      </c>
      <c r="B67" s="324"/>
      <c r="C67" s="324"/>
      <c r="D67" s="324"/>
      <c r="E67" s="324"/>
      <c r="F67" s="324"/>
      <c r="G67" s="2">
        <v>45991</v>
      </c>
      <c r="H67" s="323" t="s">
        <v>7</v>
      </c>
      <c r="I67" s="324"/>
      <c r="J67" s="324"/>
      <c r="K67" s="324"/>
      <c r="L67" s="324"/>
      <c r="M67" s="324"/>
      <c r="N67" s="324"/>
      <c r="O67" s="324"/>
      <c r="P67" s="324"/>
      <c r="Q67" s="324"/>
      <c r="R67" s="324"/>
    </row>
    <row r="68" spans="1:18" ht="24" customHeight="1" x14ac:dyDescent="0.3">
      <c r="A68" s="3" t="s">
        <v>8</v>
      </c>
      <c r="B68" s="3" t="s">
        <v>9</v>
      </c>
      <c r="C68" s="3" t="s">
        <v>10</v>
      </c>
      <c r="D68" s="3" t="s">
        <v>11</v>
      </c>
      <c r="E68" s="3" t="s">
        <v>12</v>
      </c>
      <c r="F68" s="4" t="s">
        <v>13</v>
      </c>
      <c r="G68" s="5" t="s">
        <v>14</v>
      </c>
      <c r="H68" s="3" t="s">
        <v>15</v>
      </c>
      <c r="I68" s="3" t="s">
        <v>16</v>
      </c>
      <c r="J68" s="3" t="s">
        <v>17</v>
      </c>
      <c r="K68" s="3" t="s">
        <v>18</v>
      </c>
      <c r="L68" s="3" t="s">
        <v>19</v>
      </c>
      <c r="M68" s="3" t="s">
        <v>20</v>
      </c>
      <c r="N68" s="3" t="s">
        <v>21</v>
      </c>
      <c r="O68" s="3" t="s">
        <v>22</v>
      </c>
      <c r="P68" s="3" t="s">
        <v>23</v>
      </c>
      <c r="Q68" s="3" t="s">
        <v>24</v>
      </c>
      <c r="R68" s="3" t="s">
        <v>25</v>
      </c>
    </row>
    <row r="69" spans="1:18" ht="15" customHeight="1" x14ac:dyDescent="0.3">
      <c r="A69" s="6" t="s">
        <v>456</v>
      </c>
      <c r="B69" s="6" t="s">
        <v>804</v>
      </c>
      <c r="C69" s="6">
        <v>0.52777777777777779</v>
      </c>
      <c r="D69" s="6" t="s">
        <v>796</v>
      </c>
      <c r="E69" s="6" t="s">
        <v>123</v>
      </c>
      <c r="F69" s="6" t="s">
        <v>845</v>
      </c>
      <c r="G69" s="335"/>
      <c r="H69" s="7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ht="15" customHeight="1" x14ac:dyDescent="0.3">
      <c r="A70" s="10" t="s">
        <v>456</v>
      </c>
      <c r="B70" s="10" t="s">
        <v>804</v>
      </c>
      <c r="C70" s="10">
        <v>0.52777777777777779</v>
      </c>
      <c r="D70" s="10" t="s">
        <v>798</v>
      </c>
      <c r="E70" s="10" t="s">
        <v>124</v>
      </c>
      <c r="F70" s="10" t="s">
        <v>165</v>
      </c>
      <c r="G70" s="328"/>
      <c r="H70" s="7"/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ht="15" customHeight="1" x14ac:dyDescent="0.3">
      <c r="A71" s="10" t="s">
        <v>456</v>
      </c>
      <c r="B71" s="10" t="s">
        <v>804</v>
      </c>
      <c r="C71" s="10">
        <v>0.52777777777777779</v>
      </c>
      <c r="D71" s="10" t="s">
        <v>34</v>
      </c>
      <c r="E71" s="10" t="s">
        <v>124</v>
      </c>
      <c r="F71" s="10" t="s">
        <v>41</v>
      </c>
      <c r="G71" s="328"/>
      <c r="H71" s="7"/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1:18" ht="15" customHeight="1" x14ac:dyDescent="0.3">
      <c r="A72" s="75" t="s">
        <v>44</v>
      </c>
      <c r="B72" s="75" t="s">
        <v>809</v>
      </c>
      <c r="C72" s="75">
        <v>0.6875</v>
      </c>
      <c r="D72" s="75" t="s">
        <v>46</v>
      </c>
      <c r="E72" s="75" t="s">
        <v>121</v>
      </c>
      <c r="F72" s="75" t="s">
        <v>578</v>
      </c>
      <c r="G72" s="328"/>
      <c r="H72" s="76" t="s">
        <v>810</v>
      </c>
      <c r="I72" s="77">
        <v>0.97019999999999995</v>
      </c>
      <c r="J72" s="78">
        <v>163</v>
      </c>
      <c r="K72" s="79" t="s">
        <v>175</v>
      </c>
      <c r="L72" s="78">
        <v>4</v>
      </c>
      <c r="M72" s="78">
        <v>2</v>
      </c>
      <c r="N72" s="78">
        <v>0</v>
      </c>
      <c r="O72" s="79" t="s">
        <v>846</v>
      </c>
      <c r="P72" s="79">
        <v>0.6875</v>
      </c>
      <c r="Q72" s="78">
        <v>168</v>
      </c>
      <c r="R72" s="80" t="s">
        <v>847</v>
      </c>
    </row>
    <row r="73" spans="1:18" ht="15" customHeight="1" x14ac:dyDescent="0.3">
      <c r="A73" s="202" t="s">
        <v>44</v>
      </c>
      <c r="B73" s="202" t="s">
        <v>843</v>
      </c>
      <c r="C73" s="202">
        <v>0.48958333333333331</v>
      </c>
      <c r="D73" s="202" t="s">
        <v>46</v>
      </c>
      <c r="E73" s="202" t="s">
        <v>97</v>
      </c>
      <c r="F73" s="202" t="s">
        <v>634</v>
      </c>
      <c r="G73" s="328"/>
      <c r="H73" s="52" t="s">
        <v>822</v>
      </c>
      <c r="I73" s="209">
        <v>0.98809999999999998</v>
      </c>
      <c r="J73" s="54">
        <v>166</v>
      </c>
      <c r="K73" s="55" t="s">
        <v>130</v>
      </c>
      <c r="L73" s="54">
        <v>0</v>
      </c>
      <c r="M73" s="54">
        <v>0</v>
      </c>
      <c r="N73" s="54">
        <v>0</v>
      </c>
      <c r="O73" s="55" t="s">
        <v>173</v>
      </c>
      <c r="P73" s="55">
        <v>0.48958333333333331</v>
      </c>
      <c r="Q73" s="54">
        <v>168</v>
      </c>
      <c r="R73" s="56" t="s">
        <v>848</v>
      </c>
    </row>
    <row r="74" spans="1:18" ht="15" customHeight="1" x14ac:dyDescent="0.3">
      <c r="A74" s="11" t="s">
        <v>78</v>
      </c>
      <c r="B74" s="11" t="s">
        <v>815</v>
      </c>
      <c r="C74" s="11">
        <v>0.71180555555555547</v>
      </c>
      <c r="D74" s="11" t="s">
        <v>80</v>
      </c>
      <c r="E74" s="11" t="s">
        <v>29</v>
      </c>
      <c r="F74" s="11" t="s">
        <v>849</v>
      </c>
      <c r="G74" s="328"/>
      <c r="H74" s="7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1:18" ht="15" customHeight="1" x14ac:dyDescent="0.3">
      <c r="A75" s="27" t="s">
        <v>78</v>
      </c>
      <c r="B75" s="27" t="s">
        <v>815</v>
      </c>
      <c r="C75" s="27">
        <v>0.71180555555555547</v>
      </c>
      <c r="D75" s="27" t="s">
        <v>83</v>
      </c>
      <c r="E75" s="27" t="s">
        <v>32</v>
      </c>
      <c r="F75" s="27" t="s">
        <v>850</v>
      </c>
      <c r="G75" s="328"/>
      <c r="H75" s="28"/>
      <c r="I75" s="29"/>
      <c r="J75" s="29"/>
      <c r="K75" s="29"/>
      <c r="L75" s="29"/>
      <c r="M75" s="29"/>
      <c r="N75" s="29"/>
      <c r="O75" s="29"/>
      <c r="P75" s="29"/>
      <c r="Q75" s="29"/>
      <c r="R75" s="30"/>
    </row>
    <row r="76" spans="1:18" ht="17.399999999999999" customHeight="1" x14ac:dyDescent="0.3">
      <c r="A76" s="360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2"/>
    </row>
    <row r="77" spans="1:18" ht="22.05" customHeight="1" x14ac:dyDescent="0.3">
      <c r="A77" s="323" t="s">
        <v>6</v>
      </c>
      <c r="B77" s="324"/>
      <c r="C77" s="324"/>
      <c r="D77" s="324"/>
      <c r="E77" s="324"/>
      <c r="F77" s="324"/>
      <c r="G77" s="2">
        <v>45992</v>
      </c>
      <c r="H77" s="323" t="s">
        <v>7</v>
      </c>
      <c r="I77" s="324"/>
      <c r="J77" s="324"/>
      <c r="K77" s="324"/>
      <c r="L77" s="324"/>
      <c r="M77" s="324"/>
      <c r="N77" s="324"/>
      <c r="O77" s="324"/>
      <c r="P77" s="324"/>
      <c r="Q77" s="324"/>
      <c r="R77" s="324"/>
    </row>
    <row r="78" spans="1:18" ht="24" customHeight="1" x14ac:dyDescent="0.3">
      <c r="A78" s="3" t="s">
        <v>8</v>
      </c>
      <c r="B78" s="3" t="s">
        <v>9</v>
      </c>
      <c r="C78" s="3" t="s">
        <v>10</v>
      </c>
      <c r="D78" s="3" t="s">
        <v>11</v>
      </c>
      <c r="E78" s="3" t="s">
        <v>12</v>
      </c>
      <c r="F78" s="4" t="s">
        <v>13</v>
      </c>
      <c r="G78" s="5" t="s">
        <v>14</v>
      </c>
      <c r="H78" s="3" t="s">
        <v>15</v>
      </c>
      <c r="I78" s="3" t="s">
        <v>16</v>
      </c>
      <c r="J78" s="3" t="s">
        <v>17</v>
      </c>
      <c r="K78" s="3" t="s">
        <v>18</v>
      </c>
      <c r="L78" s="3" t="s">
        <v>19</v>
      </c>
      <c r="M78" s="3" t="s">
        <v>20</v>
      </c>
      <c r="N78" s="3" t="s">
        <v>21</v>
      </c>
      <c r="O78" s="3" t="s">
        <v>22</v>
      </c>
      <c r="P78" s="3" t="s">
        <v>23</v>
      </c>
      <c r="Q78" s="3" t="s">
        <v>24</v>
      </c>
      <c r="R78" s="3" t="s">
        <v>25</v>
      </c>
    </row>
    <row r="79" spans="1:18" ht="49.95" customHeight="1" x14ac:dyDescent="0.3">
      <c r="A79" s="139" t="s">
        <v>44</v>
      </c>
      <c r="B79" s="139" t="s">
        <v>843</v>
      </c>
      <c r="C79" s="139">
        <v>0.33680555555555558</v>
      </c>
      <c r="D79" s="139" t="s">
        <v>46</v>
      </c>
      <c r="E79" s="139" t="s">
        <v>47</v>
      </c>
      <c r="F79" s="139" t="s">
        <v>833</v>
      </c>
      <c r="G79" s="335"/>
      <c r="H79" s="194" t="s">
        <v>822</v>
      </c>
      <c r="I79" s="207">
        <v>0.93300000000000005</v>
      </c>
      <c r="J79" s="196">
        <v>167</v>
      </c>
      <c r="K79" s="197" t="s">
        <v>311</v>
      </c>
      <c r="L79" s="196">
        <v>11</v>
      </c>
      <c r="M79" s="196">
        <v>0</v>
      </c>
      <c r="N79" s="196">
        <v>0</v>
      </c>
      <c r="O79" s="197" t="s">
        <v>851</v>
      </c>
      <c r="P79" s="197">
        <v>0.33680555555555558</v>
      </c>
      <c r="Q79" s="196">
        <v>179</v>
      </c>
      <c r="R79" s="198" t="s">
        <v>852</v>
      </c>
    </row>
    <row r="80" spans="1:18" ht="49.95" customHeight="1" x14ac:dyDescent="0.3">
      <c r="A80" s="57" t="s">
        <v>44</v>
      </c>
      <c r="B80" s="57" t="s">
        <v>810</v>
      </c>
      <c r="C80" s="57">
        <v>0.64583333333333337</v>
      </c>
      <c r="D80" s="57" t="s">
        <v>61</v>
      </c>
      <c r="E80" s="57"/>
      <c r="F80" s="57" t="s">
        <v>62</v>
      </c>
      <c r="G80" s="328"/>
      <c r="H80" s="58" t="s">
        <v>810</v>
      </c>
      <c r="I80" s="59">
        <v>1</v>
      </c>
      <c r="J80" s="60">
        <v>168</v>
      </c>
      <c r="K80" s="61" t="s">
        <v>63</v>
      </c>
      <c r="L80" s="60">
        <v>1</v>
      </c>
      <c r="M80" s="60">
        <v>0</v>
      </c>
      <c r="N80" s="60">
        <v>0</v>
      </c>
      <c r="O80" s="61" t="s">
        <v>64</v>
      </c>
      <c r="P80" s="61">
        <v>0.64583333333333337</v>
      </c>
      <c r="Q80" s="60">
        <v>168</v>
      </c>
      <c r="R80" s="62" t="s">
        <v>853</v>
      </c>
    </row>
    <row r="81" spans="1:18" ht="49.95" customHeight="1" x14ac:dyDescent="0.3">
      <c r="A81" s="11" t="s">
        <v>66</v>
      </c>
      <c r="B81" s="11" t="s">
        <v>807</v>
      </c>
      <c r="C81" s="11">
        <v>0.60416666666666663</v>
      </c>
      <c r="D81" s="11" t="s">
        <v>68</v>
      </c>
      <c r="E81" s="11" t="s">
        <v>47</v>
      </c>
      <c r="F81" s="11" t="s">
        <v>816</v>
      </c>
      <c r="G81" s="328"/>
      <c r="H81" s="7"/>
      <c r="I81" s="8"/>
      <c r="J81" s="8"/>
      <c r="K81" s="8"/>
      <c r="L81" s="8"/>
      <c r="M81" s="8"/>
      <c r="N81" s="8"/>
      <c r="O81" s="8"/>
      <c r="P81" s="8"/>
      <c r="Q81" s="8"/>
      <c r="R81" s="9"/>
    </row>
    <row r="82" spans="1:18" ht="49.95" customHeight="1" x14ac:dyDescent="0.3">
      <c r="A82" s="11" t="s">
        <v>78</v>
      </c>
      <c r="B82" s="11" t="s">
        <v>815</v>
      </c>
      <c r="C82" s="11">
        <v>0.71180555555555547</v>
      </c>
      <c r="D82" s="11" t="s">
        <v>80</v>
      </c>
      <c r="E82" s="11" t="s">
        <v>47</v>
      </c>
      <c r="F82" s="11" t="s">
        <v>813</v>
      </c>
      <c r="G82" s="328"/>
      <c r="H82" s="7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1:18" ht="49.95" customHeight="1" x14ac:dyDescent="0.3">
      <c r="A83" s="27" t="s">
        <v>78</v>
      </c>
      <c r="B83" s="27" t="s">
        <v>815</v>
      </c>
      <c r="C83" s="27">
        <v>0.71180555555555547</v>
      </c>
      <c r="D83" s="27" t="s">
        <v>83</v>
      </c>
      <c r="E83" s="27" t="s">
        <v>95</v>
      </c>
      <c r="F83" s="27" t="s">
        <v>814</v>
      </c>
      <c r="G83" s="328"/>
      <c r="H83" s="28"/>
      <c r="I83" s="29"/>
      <c r="J83" s="29"/>
      <c r="K83" s="29"/>
      <c r="L83" s="29"/>
      <c r="M83" s="29"/>
      <c r="N83" s="29"/>
      <c r="O83" s="29"/>
      <c r="P83" s="29"/>
      <c r="Q83" s="29"/>
      <c r="R83" s="30"/>
    </row>
    <row r="84" spans="1:18" ht="17.399999999999999" customHeight="1" x14ac:dyDescent="0.3">
      <c r="A84" s="360"/>
      <c r="B84" s="361"/>
      <c r="C84" s="361"/>
      <c r="D84" s="361"/>
      <c r="E84" s="361"/>
      <c r="F84" s="361"/>
      <c r="G84" s="361"/>
      <c r="H84" s="361"/>
      <c r="I84" s="361"/>
      <c r="J84" s="361"/>
      <c r="K84" s="361"/>
      <c r="L84" s="361"/>
      <c r="M84" s="361"/>
      <c r="N84" s="361"/>
      <c r="O84" s="361"/>
      <c r="P84" s="361"/>
      <c r="Q84" s="361"/>
      <c r="R84" s="362"/>
    </row>
    <row r="85" spans="1:18" ht="22.05" customHeight="1" x14ac:dyDescent="0.3">
      <c r="A85" s="323" t="s">
        <v>6</v>
      </c>
      <c r="B85" s="324"/>
      <c r="C85" s="324"/>
      <c r="D85" s="324"/>
      <c r="E85" s="324"/>
      <c r="F85" s="324"/>
      <c r="G85" s="2">
        <v>45993</v>
      </c>
      <c r="H85" s="323" t="s">
        <v>7</v>
      </c>
      <c r="I85" s="324"/>
      <c r="J85" s="324"/>
      <c r="K85" s="324"/>
      <c r="L85" s="324"/>
      <c r="M85" s="324"/>
      <c r="N85" s="324"/>
      <c r="O85" s="324"/>
      <c r="P85" s="324"/>
      <c r="Q85" s="324"/>
      <c r="R85" s="324"/>
    </row>
    <row r="86" spans="1:18" ht="24" customHeight="1" x14ac:dyDescent="0.3">
      <c r="A86" s="3" t="s">
        <v>8</v>
      </c>
      <c r="B86" s="3" t="s">
        <v>9</v>
      </c>
      <c r="C86" s="3" t="s">
        <v>10</v>
      </c>
      <c r="D86" s="3" t="s">
        <v>11</v>
      </c>
      <c r="E86" s="3" t="s">
        <v>12</v>
      </c>
      <c r="F86" s="4" t="s">
        <v>13</v>
      </c>
      <c r="G86" s="5" t="s">
        <v>14</v>
      </c>
      <c r="H86" s="3" t="s">
        <v>15</v>
      </c>
      <c r="I86" s="3" t="s">
        <v>16</v>
      </c>
      <c r="J86" s="3" t="s">
        <v>17</v>
      </c>
      <c r="K86" s="3" t="s">
        <v>18</v>
      </c>
      <c r="L86" s="3" t="s">
        <v>19</v>
      </c>
      <c r="M86" s="3" t="s">
        <v>20</v>
      </c>
      <c r="N86" s="3" t="s">
        <v>21</v>
      </c>
      <c r="O86" s="3" t="s">
        <v>22</v>
      </c>
      <c r="P86" s="3" t="s">
        <v>23</v>
      </c>
      <c r="Q86" s="3" t="s">
        <v>24</v>
      </c>
      <c r="R86" s="3" t="s">
        <v>25</v>
      </c>
    </row>
    <row r="87" spans="1:18" ht="15" customHeight="1" x14ac:dyDescent="0.3">
      <c r="A87" s="6" t="s">
        <v>78</v>
      </c>
      <c r="B87" s="6" t="s">
        <v>812</v>
      </c>
      <c r="C87" s="6">
        <v>0.34027777777777768</v>
      </c>
      <c r="D87" s="6" t="s">
        <v>829</v>
      </c>
      <c r="E87" s="6" t="s">
        <v>132</v>
      </c>
      <c r="F87" s="6" t="s">
        <v>426</v>
      </c>
      <c r="G87" s="335"/>
      <c r="H87" s="7"/>
      <c r="I87" s="8"/>
      <c r="J87" s="8"/>
      <c r="K87" s="8"/>
      <c r="L87" s="8"/>
      <c r="M87" s="8"/>
      <c r="N87" s="8"/>
      <c r="O87" s="8"/>
      <c r="P87" s="8"/>
      <c r="Q87" s="8"/>
      <c r="R87" s="9"/>
    </row>
    <row r="88" spans="1:18" ht="15" customHeight="1" x14ac:dyDescent="0.3">
      <c r="A88" s="10" t="s">
        <v>78</v>
      </c>
      <c r="B88" s="10" t="s">
        <v>812</v>
      </c>
      <c r="C88" s="10">
        <v>0.34027777777777768</v>
      </c>
      <c r="D88" s="10" t="s">
        <v>80</v>
      </c>
      <c r="E88" s="10" t="s">
        <v>115</v>
      </c>
      <c r="F88" s="10" t="s">
        <v>414</v>
      </c>
      <c r="G88" s="328"/>
      <c r="H88" s="7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1:18" ht="15" customHeight="1" x14ac:dyDescent="0.3">
      <c r="A89" s="10" t="s">
        <v>78</v>
      </c>
      <c r="B89" s="10" t="s">
        <v>812</v>
      </c>
      <c r="C89" s="10">
        <v>0.34027777777777768</v>
      </c>
      <c r="D89" s="10" t="s">
        <v>83</v>
      </c>
      <c r="E89" s="10" t="s">
        <v>115</v>
      </c>
      <c r="F89" s="10" t="s">
        <v>854</v>
      </c>
      <c r="G89" s="328"/>
      <c r="H89" s="7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1:18" ht="15" customHeight="1" x14ac:dyDescent="0.3">
      <c r="A90" s="26" t="s">
        <v>78</v>
      </c>
      <c r="B90" s="26" t="s">
        <v>815</v>
      </c>
      <c r="C90" s="26">
        <v>0.71180555555555547</v>
      </c>
      <c r="D90" s="26" t="s">
        <v>80</v>
      </c>
      <c r="E90" s="26" t="s">
        <v>71</v>
      </c>
      <c r="F90" s="26" t="s">
        <v>813</v>
      </c>
      <c r="G90" s="328"/>
      <c r="H90" s="7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1:18" ht="15" customHeight="1" x14ac:dyDescent="0.3">
      <c r="A91" s="10" t="s">
        <v>78</v>
      </c>
      <c r="B91" s="10" t="s">
        <v>815</v>
      </c>
      <c r="C91" s="10">
        <v>0.71180555555555547</v>
      </c>
      <c r="D91" s="10" t="s">
        <v>83</v>
      </c>
      <c r="E91" s="10" t="s">
        <v>95</v>
      </c>
      <c r="F91" s="10" t="s">
        <v>814</v>
      </c>
      <c r="G91" s="328"/>
      <c r="H91" s="7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1:18" ht="15" customHeight="1" x14ac:dyDescent="0.3">
      <c r="A92" s="127" t="s">
        <v>44</v>
      </c>
      <c r="B92" s="127" t="s">
        <v>809</v>
      </c>
      <c r="C92" s="127">
        <v>0.70833333333333337</v>
      </c>
      <c r="D92" s="127" t="s">
        <v>46</v>
      </c>
      <c r="E92" s="127" t="s">
        <v>29</v>
      </c>
      <c r="F92" s="127" t="s">
        <v>855</v>
      </c>
      <c r="G92" s="328"/>
      <c r="H92" s="82" t="s">
        <v>810</v>
      </c>
      <c r="I92" s="83">
        <v>0.95240000000000002</v>
      </c>
      <c r="J92" s="84">
        <v>160</v>
      </c>
      <c r="K92" s="85" t="s">
        <v>175</v>
      </c>
      <c r="L92" s="84">
        <v>8</v>
      </c>
      <c r="M92" s="84">
        <v>1</v>
      </c>
      <c r="N92" s="84">
        <v>2</v>
      </c>
      <c r="O92" s="85" t="s">
        <v>260</v>
      </c>
      <c r="P92" s="85">
        <v>0.70833333333333337</v>
      </c>
      <c r="Q92" s="84">
        <v>168</v>
      </c>
      <c r="R92" s="86" t="s">
        <v>856</v>
      </c>
    </row>
    <row r="93" spans="1:18" ht="15" customHeight="1" x14ac:dyDescent="0.3">
      <c r="A93" s="50" t="s">
        <v>66</v>
      </c>
      <c r="B93" s="50" t="s">
        <v>807</v>
      </c>
      <c r="C93" s="50">
        <v>0.60416666666666663</v>
      </c>
      <c r="D93" s="50" t="s">
        <v>68</v>
      </c>
      <c r="E93" s="50" t="s">
        <v>47</v>
      </c>
      <c r="F93" s="50" t="s">
        <v>857</v>
      </c>
      <c r="G93" s="328"/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30"/>
    </row>
    <row r="94" spans="1:18" ht="17.399999999999999" customHeight="1" x14ac:dyDescent="0.3">
      <c r="A94" s="360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1"/>
      <c r="P94" s="361"/>
      <c r="Q94" s="361"/>
      <c r="R94" s="362"/>
    </row>
    <row r="95" spans="1:18" ht="22.05" customHeight="1" x14ac:dyDescent="0.3">
      <c r="A95" s="323" t="s">
        <v>6</v>
      </c>
      <c r="B95" s="324"/>
      <c r="C95" s="324"/>
      <c r="D95" s="324"/>
      <c r="E95" s="324"/>
      <c r="F95" s="324"/>
      <c r="G95" s="2">
        <v>45994</v>
      </c>
      <c r="H95" s="323" t="s">
        <v>7</v>
      </c>
      <c r="I95" s="324"/>
      <c r="J95" s="324"/>
      <c r="K95" s="324"/>
      <c r="L95" s="324"/>
      <c r="M95" s="324"/>
      <c r="N95" s="324"/>
      <c r="O95" s="324"/>
      <c r="P95" s="324"/>
      <c r="Q95" s="324"/>
      <c r="R95" s="324"/>
    </row>
    <row r="96" spans="1:18" ht="24" customHeight="1" x14ac:dyDescent="0.3">
      <c r="A96" s="3" t="s">
        <v>8</v>
      </c>
      <c r="B96" s="3" t="s">
        <v>9</v>
      </c>
      <c r="C96" s="3" t="s">
        <v>10</v>
      </c>
      <c r="D96" s="3" t="s">
        <v>11</v>
      </c>
      <c r="E96" s="3" t="s">
        <v>12</v>
      </c>
      <c r="F96" s="4" t="s">
        <v>13</v>
      </c>
      <c r="G96" s="5" t="s">
        <v>14</v>
      </c>
      <c r="H96" s="3" t="s">
        <v>15</v>
      </c>
      <c r="I96" s="3" t="s">
        <v>16</v>
      </c>
      <c r="J96" s="3" t="s">
        <v>17</v>
      </c>
      <c r="K96" s="3" t="s">
        <v>18</v>
      </c>
      <c r="L96" s="3" t="s">
        <v>19</v>
      </c>
      <c r="M96" s="3" t="s">
        <v>20</v>
      </c>
      <c r="N96" s="3" t="s">
        <v>21</v>
      </c>
      <c r="O96" s="3" t="s">
        <v>22</v>
      </c>
      <c r="P96" s="3" t="s">
        <v>23</v>
      </c>
      <c r="Q96" s="3" t="s">
        <v>24</v>
      </c>
      <c r="R96" s="3" t="s">
        <v>25</v>
      </c>
    </row>
    <row r="97" spans="1:18" ht="15" customHeight="1" x14ac:dyDescent="0.3">
      <c r="A97" s="75" t="s">
        <v>44</v>
      </c>
      <c r="B97" s="75" t="s">
        <v>809</v>
      </c>
      <c r="C97" s="75">
        <v>0.65625</v>
      </c>
      <c r="D97" s="75" t="s">
        <v>46</v>
      </c>
      <c r="E97" s="75" t="s">
        <v>29</v>
      </c>
      <c r="F97" s="75" t="s">
        <v>416</v>
      </c>
      <c r="G97" s="335"/>
      <c r="H97" s="76" t="s">
        <v>810</v>
      </c>
      <c r="I97" s="77">
        <v>0.89290000000000003</v>
      </c>
      <c r="J97" s="78">
        <v>150</v>
      </c>
      <c r="K97" s="79" t="s">
        <v>175</v>
      </c>
      <c r="L97" s="78">
        <v>13</v>
      </c>
      <c r="M97" s="78">
        <v>1</v>
      </c>
      <c r="N97" s="78">
        <v>3</v>
      </c>
      <c r="O97" s="79" t="s">
        <v>263</v>
      </c>
      <c r="P97" s="79">
        <v>0.65625</v>
      </c>
      <c r="Q97" s="78">
        <v>168</v>
      </c>
      <c r="R97" s="80" t="s">
        <v>858</v>
      </c>
    </row>
    <row r="98" spans="1:18" ht="15" customHeight="1" x14ac:dyDescent="0.3">
      <c r="A98" s="189" t="s">
        <v>44</v>
      </c>
      <c r="B98" s="189" t="s">
        <v>817</v>
      </c>
      <c r="C98" s="189">
        <v>0.40972222222222232</v>
      </c>
      <c r="D98" s="189" t="s">
        <v>46</v>
      </c>
      <c r="E98" s="189" t="s">
        <v>54</v>
      </c>
      <c r="F98" s="189" t="s">
        <v>426</v>
      </c>
      <c r="G98" s="328"/>
      <c r="H98" s="45" t="s">
        <v>819</v>
      </c>
      <c r="I98" s="46">
        <v>0.9405</v>
      </c>
      <c r="J98" s="47">
        <v>158</v>
      </c>
      <c r="K98" s="48" t="s">
        <v>50</v>
      </c>
      <c r="L98" s="47">
        <v>15</v>
      </c>
      <c r="M98" s="47">
        <v>0</v>
      </c>
      <c r="N98" s="47">
        <v>3</v>
      </c>
      <c r="O98" s="48" t="s">
        <v>266</v>
      </c>
      <c r="P98" s="48">
        <v>0.40972222222222232</v>
      </c>
      <c r="Q98" s="47">
        <v>168</v>
      </c>
      <c r="R98" s="49" t="s">
        <v>859</v>
      </c>
    </row>
    <row r="99" spans="1:18" ht="15" customHeight="1" x14ac:dyDescent="0.3">
      <c r="A99" s="87" t="s">
        <v>44</v>
      </c>
      <c r="B99" s="87" t="s">
        <v>843</v>
      </c>
      <c r="C99" s="87">
        <v>0.71875</v>
      </c>
      <c r="D99" s="87" t="s">
        <v>46</v>
      </c>
      <c r="E99" s="87" t="s">
        <v>71</v>
      </c>
      <c r="F99" s="87" t="s">
        <v>562</v>
      </c>
      <c r="G99" s="328"/>
      <c r="H99" s="76" t="s">
        <v>822</v>
      </c>
      <c r="I99" s="77">
        <v>0.89290000000000003</v>
      </c>
      <c r="J99" s="78">
        <v>150</v>
      </c>
      <c r="K99" s="79" t="s">
        <v>175</v>
      </c>
      <c r="L99" s="78">
        <v>17</v>
      </c>
      <c r="M99" s="78">
        <v>2</v>
      </c>
      <c r="N99" s="78">
        <v>3</v>
      </c>
      <c r="O99" s="79" t="s">
        <v>265</v>
      </c>
      <c r="P99" s="79">
        <v>0.71875</v>
      </c>
      <c r="Q99" s="78">
        <v>168</v>
      </c>
      <c r="R99" s="80" t="s">
        <v>860</v>
      </c>
    </row>
    <row r="100" spans="1:18" ht="15" customHeight="1" x14ac:dyDescent="0.3">
      <c r="A100" s="11" t="s">
        <v>78</v>
      </c>
      <c r="B100" s="11" t="s">
        <v>815</v>
      </c>
      <c r="C100" s="11">
        <v>0.71180555555555547</v>
      </c>
      <c r="D100" s="11" t="s">
        <v>829</v>
      </c>
      <c r="E100" s="11" t="s">
        <v>314</v>
      </c>
      <c r="F100" s="11" t="s">
        <v>628</v>
      </c>
      <c r="G100" s="32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9"/>
    </row>
    <row r="101" spans="1:18" ht="15" customHeight="1" x14ac:dyDescent="0.3">
      <c r="A101" s="10" t="s">
        <v>78</v>
      </c>
      <c r="B101" s="10" t="s">
        <v>815</v>
      </c>
      <c r="C101" s="10">
        <v>0.71180555555555547</v>
      </c>
      <c r="D101" s="10" t="s">
        <v>80</v>
      </c>
      <c r="E101" s="10" t="s">
        <v>161</v>
      </c>
      <c r="F101" s="10" t="s">
        <v>861</v>
      </c>
      <c r="G101" s="32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9"/>
    </row>
    <row r="102" spans="1:18" ht="15" customHeight="1" x14ac:dyDescent="0.3">
      <c r="A102" s="10" t="s">
        <v>78</v>
      </c>
      <c r="B102" s="10" t="s">
        <v>815</v>
      </c>
      <c r="C102" s="10">
        <v>0.71180555555555547</v>
      </c>
      <c r="D102" s="10" t="s">
        <v>83</v>
      </c>
      <c r="E102" s="10" t="s">
        <v>161</v>
      </c>
      <c r="F102" s="10" t="s">
        <v>862</v>
      </c>
      <c r="G102" s="32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9"/>
    </row>
    <row r="103" spans="1:18" ht="15" customHeight="1" x14ac:dyDescent="0.3">
      <c r="A103" s="11" t="s">
        <v>456</v>
      </c>
      <c r="B103" s="11" t="s">
        <v>801</v>
      </c>
      <c r="C103" s="11">
        <v>0.3298611111111111</v>
      </c>
      <c r="D103" s="11" t="s">
        <v>796</v>
      </c>
      <c r="E103" s="11" t="s">
        <v>123</v>
      </c>
      <c r="F103" s="11" t="s">
        <v>863</v>
      </c>
      <c r="G103" s="32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9"/>
    </row>
    <row r="104" spans="1:18" ht="15" customHeight="1" x14ac:dyDescent="0.3">
      <c r="A104" s="10" t="s">
        <v>456</v>
      </c>
      <c r="B104" s="10" t="s">
        <v>801</v>
      </c>
      <c r="C104" s="10">
        <v>0.3298611111111111</v>
      </c>
      <c r="D104" s="10" t="s">
        <v>798</v>
      </c>
      <c r="E104" s="10" t="s">
        <v>124</v>
      </c>
      <c r="F104" s="10" t="s">
        <v>864</v>
      </c>
      <c r="G104" s="32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9"/>
    </row>
    <row r="105" spans="1:18" ht="15" customHeight="1" x14ac:dyDescent="0.3">
      <c r="A105" s="10" t="s">
        <v>456</v>
      </c>
      <c r="B105" s="10" t="s">
        <v>801</v>
      </c>
      <c r="C105" s="10">
        <v>0.3298611111111111</v>
      </c>
      <c r="D105" s="10" t="s">
        <v>34</v>
      </c>
      <c r="E105" s="10" t="s">
        <v>124</v>
      </c>
      <c r="F105" s="10" t="s">
        <v>865</v>
      </c>
      <c r="G105" s="32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9"/>
    </row>
    <row r="106" spans="1:18" ht="15" customHeight="1" x14ac:dyDescent="0.3">
      <c r="A106" s="50" t="s">
        <v>66</v>
      </c>
      <c r="B106" s="50" t="s">
        <v>807</v>
      </c>
      <c r="C106" s="50">
        <v>0.63888888888888895</v>
      </c>
      <c r="D106" s="50" t="s">
        <v>68</v>
      </c>
      <c r="E106" s="50" t="s">
        <v>47</v>
      </c>
      <c r="F106" s="50" t="s">
        <v>866</v>
      </c>
      <c r="G106" s="328"/>
      <c r="H106" s="28"/>
      <c r="I106" s="29"/>
      <c r="J106" s="29"/>
      <c r="K106" s="29"/>
      <c r="L106" s="29"/>
      <c r="M106" s="29"/>
      <c r="N106" s="29"/>
      <c r="O106" s="29"/>
      <c r="P106" s="29"/>
      <c r="Q106" s="29"/>
      <c r="R106" s="30"/>
    </row>
    <row r="107" spans="1:18" ht="17.399999999999999" customHeight="1" x14ac:dyDescent="0.3">
      <c r="A107" s="360"/>
      <c r="B107" s="361"/>
      <c r="C107" s="361"/>
      <c r="D107" s="361"/>
      <c r="E107" s="361"/>
      <c r="F107" s="361"/>
      <c r="G107" s="361"/>
      <c r="H107" s="361"/>
      <c r="I107" s="361"/>
      <c r="J107" s="361"/>
      <c r="K107" s="361"/>
      <c r="L107" s="361"/>
      <c r="M107" s="361"/>
      <c r="N107" s="361"/>
      <c r="O107" s="361"/>
      <c r="P107" s="361"/>
      <c r="Q107" s="361"/>
      <c r="R107" s="362"/>
    </row>
    <row r="108" spans="1:18" ht="22.05" customHeight="1" x14ac:dyDescent="0.3">
      <c r="A108" s="323" t="s">
        <v>6</v>
      </c>
      <c r="B108" s="324"/>
      <c r="C108" s="324"/>
      <c r="D108" s="324"/>
      <c r="E108" s="324"/>
      <c r="F108" s="324"/>
      <c r="G108" s="2">
        <v>45995</v>
      </c>
      <c r="H108" s="323" t="s">
        <v>7</v>
      </c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</row>
    <row r="109" spans="1:18" ht="24" customHeight="1" x14ac:dyDescent="0.3">
      <c r="A109" s="3" t="s">
        <v>8</v>
      </c>
      <c r="B109" s="3" t="s">
        <v>9</v>
      </c>
      <c r="C109" s="3" t="s">
        <v>10</v>
      </c>
      <c r="D109" s="3" t="s">
        <v>11</v>
      </c>
      <c r="E109" s="3" t="s">
        <v>12</v>
      </c>
      <c r="F109" s="4" t="s">
        <v>13</v>
      </c>
      <c r="G109" s="5" t="s">
        <v>14</v>
      </c>
      <c r="H109" s="3" t="s">
        <v>15</v>
      </c>
      <c r="I109" s="3" t="s">
        <v>16</v>
      </c>
      <c r="J109" s="3" t="s">
        <v>17</v>
      </c>
      <c r="K109" s="3" t="s">
        <v>18</v>
      </c>
      <c r="L109" s="3" t="s">
        <v>19</v>
      </c>
      <c r="M109" s="3" t="s">
        <v>20</v>
      </c>
      <c r="N109" s="3" t="s">
        <v>21</v>
      </c>
      <c r="O109" s="3" t="s">
        <v>22</v>
      </c>
      <c r="P109" s="3" t="s">
        <v>23</v>
      </c>
      <c r="Q109" s="3" t="s">
        <v>24</v>
      </c>
      <c r="R109" s="3" t="s">
        <v>25</v>
      </c>
    </row>
    <row r="110" spans="1:18" ht="15" customHeight="1" x14ac:dyDescent="0.3">
      <c r="A110" s="12" t="s">
        <v>44</v>
      </c>
      <c r="B110" s="12" t="s">
        <v>809</v>
      </c>
      <c r="C110" s="12">
        <v>0.27430555555555552</v>
      </c>
      <c r="D110" s="12" t="s">
        <v>46</v>
      </c>
      <c r="E110" s="12" t="s">
        <v>81</v>
      </c>
      <c r="F110" s="12" t="s">
        <v>426</v>
      </c>
      <c r="G110" s="335"/>
      <c r="H110" s="13" t="s">
        <v>810</v>
      </c>
      <c r="I110" s="25">
        <v>0.9345</v>
      </c>
      <c r="J110" s="15">
        <v>157</v>
      </c>
      <c r="K110" s="16" t="s">
        <v>50</v>
      </c>
      <c r="L110" s="15">
        <v>5</v>
      </c>
      <c r="M110" s="15">
        <v>0</v>
      </c>
      <c r="N110" s="15">
        <v>1</v>
      </c>
      <c r="O110" s="16" t="s">
        <v>245</v>
      </c>
      <c r="P110" s="16">
        <v>0.27430555555555552</v>
      </c>
      <c r="Q110" s="15">
        <v>168</v>
      </c>
      <c r="R110" s="17" t="s">
        <v>867</v>
      </c>
    </row>
    <row r="111" spans="1:18" ht="15" customHeight="1" x14ac:dyDescent="0.3">
      <c r="A111" s="11" t="s">
        <v>78</v>
      </c>
      <c r="B111" s="11" t="s">
        <v>812</v>
      </c>
      <c r="C111" s="11">
        <v>0.34027777777777768</v>
      </c>
      <c r="D111" s="11" t="s">
        <v>829</v>
      </c>
      <c r="E111" s="11" t="s">
        <v>121</v>
      </c>
      <c r="F111" s="11" t="s">
        <v>628</v>
      </c>
      <c r="G111" s="32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9"/>
    </row>
    <row r="112" spans="1:18" ht="15" customHeight="1" x14ac:dyDescent="0.3">
      <c r="A112" s="10" t="s">
        <v>78</v>
      </c>
      <c r="B112" s="10" t="s">
        <v>812</v>
      </c>
      <c r="C112" s="10">
        <v>0.34027777777777768</v>
      </c>
      <c r="D112" s="10" t="s">
        <v>80</v>
      </c>
      <c r="E112" s="10" t="s">
        <v>122</v>
      </c>
      <c r="F112" s="10" t="s">
        <v>861</v>
      </c>
      <c r="G112" s="32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9"/>
    </row>
    <row r="113" spans="1:18" ht="15" customHeight="1" x14ac:dyDescent="0.3">
      <c r="A113" s="10" t="s">
        <v>78</v>
      </c>
      <c r="B113" s="10" t="s">
        <v>812</v>
      </c>
      <c r="C113" s="10">
        <v>0.34027777777777768</v>
      </c>
      <c r="D113" s="10" t="s">
        <v>83</v>
      </c>
      <c r="E113" s="10" t="s">
        <v>122</v>
      </c>
      <c r="F113" s="10" t="s">
        <v>862</v>
      </c>
      <c r="G113" s="32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9"/>
    </row>
    <row r="114" spans="1:18" ht="15" customHeight="1" x14ac:dyDescent="0.3">
      <c r="A114" s="26" t="s">
        <v>78</v>
      </c>
      <c r="B114" s="26" t="s">
        <v>815</v>
      </c>
      <c r="C114" s="26">
        <v>0.71180555555555547</v>
      </c>
      <c r="D114" s="26" t="s">
        <v>829</v>
      </c>
      <c r="E114" s="26" t="s">
        <v>71</v>
      </c>
      <c r="F114" s="26" t="s">
        <v>868</v>
      </c>
      <c r="G114" s="32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9"/>
    </row>
    <row r="115" spans="1:18" ht="15" customHeight="1" x14ac:dyDescent="0.3">
      <c r="A115" s="10" t="s">
        <v>78</v>
      </c>
      <c r="B115" s="10" t="s">
        <v>815</v>
      </c>
      <c r="C115" s="10">
        <v>0.71180555555555547</v>
      </c>
      <c r="D115" s="10" t="s">
        <v>80</v>
      </c>
      <c r="E115" s="10" t="s">
        <v>95</v>
      </c>
      <c r="F115" s="10" t="s">
        <v>869</v>
      </c>
      <c r="G115" s="32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9"/>
    </row>
    <row r="116" spans="1:18" ht="15" customHeight="1" x14ac:dyDescent="0.3">
      <c r="A116" s="27" t="s">
        <v>78</v>
      </c>
      <c r="B116" s="27" t="s">
        <v>815</v>
      </c>
      <c r="C116" s="27">
        <v>0.71180555555555547</v>
      </c>
      <c r="D116" s="27" t="s">
        <v>83</v>
      </c>
      <c r="E116" s="27" t="s">
        <v>95</v>
      </c>
      <c r="F116" s="27" t="s">
        <v>870</v>
      </c>
      <c r="G116" s="328"/>
      <c r="H116" s="28"/>
      <c r="I116" s="29"/>
      <c r="J116" s="29"/>
      <c r="K116" s="29"/>
      <c r="L116" s="29"/>
      <c r="M116" s="29"/>
      <c r="N116" s="29"/>
      <c r="O116" s="29"/>
      <c r="P116" s="29"/>
      <c r="Q116" s="29"/>
      <c r="R116" s="30"/>
    </row>
    <row r="117" spans="1:18" ht="17.399999999999999" customHeight="1" x14ac:dyDescent="0.3">
      <c r="A117" s="360"/>
      <c r="B117" s="361"/>
      <c r="C117" s="361"/>
      <c r="D117" s="361"/>
      <c r="E117" s="361"/>
      <c r="F117" s="361"/>
      <c r="G117" s="361"/>
      <c r="H117" s="361"/>
      <c r="I117" s="361"/>
      <c r="J117" s="361"/>
      <c r="K117" s="361"/>
      <c r="L117" s="361"/>
      <c r="M117" s="361"/>
      <c r="N117" s="361"/>
      <c r="O117" s="361"/>
      <c r="P117" s="361"/>
      <c r="Q117" s="361"/>
      <c r="R117" s="362"/>
    </row>
    <row r="118" spans="1:18" ht="22.05" customHeight="1" x14ac:dyDescent="0.3">
      <c r="A118" s="323" t="s">
        <v>6</v>
      </c>
      <c r="B118" s="324"/>
      <c r="C118" s="324"/>
      <c r="D118" s="324"/>
      <c r="E118" s="324"/>
      <c r="F118" s="324"/>
      <c r="G118" s="2">
        <v>45996</v>
      </c>
      <c r="H118" s="323" t="s">
        <v>7</v>
      </c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</row>
    <row r="119" spans="1:18" ht="24" customHeight="1" x14ac:dyDescent="0.3">
      <c r="A119" s="3" t="s">
        <v>8</v>
      </c>
      <c r="B119" s="3" t="s">
        <v>9</v>
      </c>
      <c r="C119" s="3" t="s">
        <v>10</v>
      </c>
      <c r="D119" s="3" t="s">
        <v>11</v>
      </c>
      <c r="E119" s="3" t="s">
        <v>12</v>
      </c>
      <c r="F119" s="4" t="s">
        <v>13</v>
      </c>
      <c r="G119" s="5" t="s">
        <v>14</v>
      </c>
      <c r="H119" s="3" t="s">
        <v>15</v>
      </c>
      <c r="I119" s="3" t="s">
        <v>16</v>
      </c>
      <c r="J119" s="3" t="s">
        <v>17</v>
      </c>
      <c r="K119" s="3" t="s">
        <v>18</v>
      </c>
      <c r="L119" s="3" t="s">
        <v>19</v>
      </c>
      <c r="M119" s="3" t="s">
        <v>20</v>
      </c>
      <c r="N119" s="3" t="s">
        <v>21</v>
      </c>
      <c r="O119" s="3" t="s">
        <v>22</v>
      </c>
      <c r="P119" s="3" t="s">
        <v>23</v>
      </c>
      <c r="Q119" s="3" t="s">
        <v>24</v>
      </c>
      <c r="R119" s="3" t="s">
        <v>25</v>
      </c>
    </row>
    <row r="120" spans="1:18" ht="49.95" customHeight="1" x14ac:dyDescent="0.3">
      <c r="A120" s="75" t="s">
        <v>44</v>
      </c>
      <c r="B120" s="75" t="s">
        <v>809</v>
      </c>
      <c r="C120" s="75">
        <v>0.41666666666666669</v>
      </c>
      <c r="D120" s="75" t="s">
        <v>46</v>
      </c>
      <c r="E120" s="75" t="s">
        <v>47</v>
      </c>
      <c r="F120" s="75" t="s">
        <v>562</v>
      </c>
      <c r="G120" s="335"/>
      <c r="H120" s="76" t="s">
        <v>810</v>
      </c>
      <c r="I120" s="187">
        <v>0.77980000000000005</v>
      </c>
      <c r="J120" s="78">
        <v>131</v>
      </c>
      <c r="K120" s="79" t="s">
        <v>175</v>
      </c>
      <c r="L120" s="78">
        <v>12</v>
      </c>
      <c r="M120" s="78">
        <v>1</v>
      </c>
      <c r="N120" s="78">
        <v>1</v>
      </c>
      <c r="O120" s="79" t="s">
        <v>265</v>
      </c>
      <c r="P120" s="79">
        <v>0.41666666666666669</v>
      </c>
      <c r="Q120" s="78">
        <v>168</v>
      </c>
      <c r="R120" s="80" t="s">
        <v>871</v>
      </c>
    </row>
    <row r="121" spans="1:18" ht="49.95" customHeight="1" x14ac:dyDescent="0.3">
      <c r="A121" s="11" t="s">
        <v>78</v>
      </c>
      <c r="B121" s="11" t="s">
        <v>815</v>
      </c>
      <c r="C121" s="11">
        <v>0.71180555555555547</v>
      </c>
      <c r="D121" s="11" t="s">
        <v>829</v>
      </c>
      <c r="E121" s="11" t="s">
        <v>47</v>
      </c>
      <c r="F121" s="11" t="s">
        <v>830</v>
      </c>
      <c r="G121" s="32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9"/>
    </row>
    <row r="122" spans="1:18" ht="49.95" customHeight="1" x14ac:dyDescent="0.3">
      <c r="A122" s="10" t="s">
        <v>78</v>
      </c>
      <c r="B122" s="10" t="s">
        <v>815</v>
      </c>
      <c r="C122" s="10">
        <v>0.71180555555555547</v>
      </c>
      <c r="D122" s="10" t="s">
        <v>80</v>
      </c>
      <c r="E122" s="10" t="s">
        <v>95</v>
      </c>
      <c r="F122" s="10" t="s">
        <v>831</v>
      </c>
      <c r="G122" s="328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9"/>
    </row>
    <row r="123" spans="1:18" ht="49.95" customHeight="1" x14ac:dyDescent="0.3">
      <c r="A123" s="27" t="s">
        <v>78</v>
      </c>
      <c r="B123" s="27" t="s">
        <v>815</v>
      </c>
      <c r="C123" s="27">
        <v>0.71180555555555547</v>
      </c>
      <c r="D123" s="27" t="s">
        <v>83</v>
      </c>
      <c r="E123" s="27" t="s">
        <v>95</v>
      </c>
      <c r="F123" s="27" t="s">
        <v>832</v>
      </c>
      <c r="G123" s="328"/>
      <c r="H123" s="28"/>
      <c r="I123" s="29"/>
      <c r="J123" s="29"/>
      <c r="K123" s="29"/>
      <c r="L123" s="29"/>
      <c r="M123" s="29"/>
      <c r="N123" s="29"/>
      <c r="O123" s="29"/>
      <c r="P123" s="29"/>
      <c r="Q123" s="29"/>
      <c r="R123" s="30"/>
    </row>
    <row r="124" spans="1:18" ht="17.399999999999999" customHeight="1" x14ac:dyDescent="0.3">
      <c r="A124" s="360"/>
      <c r="B124" s="361"/>
      <c r="C124" s="361"/>
      <c r="D124" s="361"/>
      <c r="E124" s="361"/>
      <c r="F124" s="361"/>
      <c r="G124" s="361"/>
      <c r="H124" s="361"/>
      <c r="I124" s="361"/>
      <c r="J124" s="361"/>
      <c r="K124" s="361"/>
      <c r="L124" s="361"/>
      <c r="M124" s="361"/>
      <c r="N124" s="361"/>
      <c r="O124" s="361"/>
      <c r="P124" s="361"/>
      <c r="Q124" s="361"/>
      <c r="R124" s="362"/>
    </row>
    <row r="125" spans="1:18" ht="22.05" customHeight="1" x14ac:dyDescent="0.3">
      <c r="A125" s="323" t="s">
        <v>6</v>
      </c>
      <c r="B125" s="324"/>
      <c r="C125" s="324"/>
      <c r="D125" s="324"/>
      <c r="E125" s="324"/>
      <c r="F125" s="324"/>
      <c r="G125" s="2">
        <v>45997</v>
      </c>
      <c r="H125" s="323" t="s">
        <v>7</v>
      </c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</row>
    <row r="126" spans="1:18" ht="24" customHeight="1" x14ac:dyDescent="0.3">
      <c r="A126" s="3" t="s">
        <v>8</v>
      </c>
      <c r="B126" s="3" t="s">
        <v>9</v>
      </c>
      <c r="C126" s="3" t="s">
        <v>10</v>
      </c>
      <c r="D126" s="3" t="s">
        <v>11</v>
      </c>
      <c r="E126" s="3" t="s">
        <v>12</v>
      </c>
      <c r="F126" s="4" t="s">
        <v>13</v>
      </c>
      <c r="G126" s="5" t="s">
        <v>14</v>
      </c>
      <c r="H126" s="3" t="s">
        <v>15</v>
      </c>
      <c r="I126" s="3" t="s">
        <v>16</v>
      </c>
      <c r="J126" s="3" t="s">
        <v>17</v>
      </c>
      <c r="K126" s="3" t="s">
        <v>18</v>
      </c>
      <c r="L126" s="3" t="s">
        <v>19</v>
      </c>
      <c r="M126" s="3" t="s">
        <v>20</v>
      </c>
      <c r="N126" s="3" t="s">
        <v>21</v>
      </c>
      <c r="O126" s="3" t="s">
        <v>22</v>
      </c>
      <c r="P126" s="3" t="s">
        <v>23</v>
      </c>
      <c r="Q126" s="3" t="s">
        <v>24</v>
      </c>
      <c r="R126" s="3" t="s">
        <v>25</v>
      </c>
    </row>
    <row r="127" spans="1:18" ht="15" customHeight="1" x14ac:dyDescent="0.3">
      <c r="A127" s="6" t="s">
        <v>456</v>
      </c>
      <c r="B127" s="6" t="s">
        <v>872</v>
      </c>
      <c r="C127" s="6">
        <v>0.19444444444444439</v>
      </c>
      <c r="D127" s="6" t="s">
        <v>796</v>
      </c>
      <c r="E127" s="6" t="s">
        <v>123</v>
      </c>
      <c r="F127" s="6" t="s">
        <v>873</v>
      </c>
      <c r="G127" s="335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9"/>
    </row>
    <row r="128" spans="1:18" ht="15" customHeight="1" x14ac:dyDescent="0.3">
      <c r="A128" s="10" t="s">
        <v>456</v>
      </c>
      <c r="B128" s="10" t="s">
        <v>872</v>
      </c>
      <c r="C128" s="10">
        <v>0.19444444444444439</v>
      </c>
      <c r="D128" s="10" t="s">
        <v>798</v>
      </c>
      <c r="E128" s="10" t="s">
        <v>124</v>
      </c>
      <c r="F128" s="10" t="s">
        <v>874</v>
      </c>
      <c r="G128" s="32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9"/>
    </row>
    <row r="129" spans="1:18" ht="15" customHeight="1" x14ac:dyDescent="0.3">
      <c r="A129" s="10" t="s">
        <v>456</v>
      </c>
      <c r="B129" s="10" t="s">
        <v>872</v>
      </c>
      <c r="C129" s="10">
        <v>0.19444444444444439</v>
      </c>
      <c r="D129" s="10" t="s">
        <v>34</v>
      </c>
      <c r="E129" s="10" t="s">
        <v>124</v>
      </c>
      <c r="F129" s="10" t="s">
        <v>499</v>
      </c>
      <c r="G129" s="32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9"/>
    </row>
    <row r="130" spans="1:18" ht="15" customHeight="1" x14ac:dyDescent="0.3">
      <c r="A130" s="26" t="s">
        <v>456</v>
      </c>
      <c r="B130" s="26" t="s">
        <v>804</v>
      </c>
      <c r="C130" s="26">
        <v>0.52777777777777779</v>
      </c>
      <c r="D130" s="26" t="s">
        <v>796</v>
      </c>
      <c r="E130" s="26" t="s">
        <v>439</v>
      </c>
      <c r="F130" s="26" t="s">
        <v>516</v>
      </c>
      <c r="G130" s="32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9"/>
    </row>
    <row r="131" spans="1:18" ht="15" customHeight="1" x14ac:dyDescent="0.3">
      <c r="A131" s="10" t="s">
        <v>456</v>
      </c>
      <c r="B131" s="10" t="s">
        <v>804</v>
      </c>
      <c r="C131" s="10">
        <v>0.52777777777777779</v>
      </c>
      <c r="D131" s="10" t="s">
        <v>798</v>
      </c>
      <c r="E131" s="10" t="s">
        <v>124</v>
      </c>
      <c r="F131" s="10" t="s">
        <v>875</v>
      </c>
      <c r="G131" s="32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9"/>
    </row>
    <row r="132" spans="1:18" ht="15" customHeight="1" x14ac:dyDescent="0.3">
      <c r="A132" s="10" t="s">
        <v>456</v>
      </c>
      <c r="B132" s="10" t="s">
        <v>804</v>
      </c>
      <c r="C132" s="10">
        <v>0.52777777777777779</v>
      </c>
      <c r="D132" s="10" t="s">
        <v>34</v>
      </c>
      <c r="E132" s="10" t="s">
        <v>124</v>
      </c>
      <c r="F132" s="10" t="s">
        <v>876</v>
      </c>
      <c r="G132" s="32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9"/>
    </row>
    <row r="133" spans="1:18" ht="15" customHeight="1" x14ac:dyDescent="0.3">
      <c r="A133" s="11" t="s">
        <v>26</v>
      </c>
      <c r="B133" s="11" t="s">
        <v>794</v>
      </c>
      <c r="C133" s="11">
        <v>0.25694444444444448</v>
      </c>
      <c r="D133" s="11" t="s">
        <v>795</v>
      </c>
      <c r="E133" s="11" t="s">
        <v>314</v>
      </c>
      <c r="F133" s="11" t="s">
        <v>531</v>
      </c>
      <c r="G133" s="32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9"/>
    </row>
    <row r="134" spans="1:18" ht="15" customHeight="1" x14ac:dyDescent="0.3">
      <c r="A134" s="10" t="s">
        <v>26</v>
      </c>
      <c r="B134" s="10" t="s">
        <v>794</v>
      </c>
      <c r="C134" s="10">
        <v>0.25694444444444448</v>
      </c>
      <c r="D134" s="10" t="s">
        <v>796</v>
      </c>
      <c r="E134" s="10" t="s">
        <v>161</v>
      </c>
      <c r="F134" s="10" t="s">
        <v>836</v>
      </c>
      <c r="G134" s="32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9"/>
    </row>
    <row r="135" spans="1:18" ht="15" customHeight="1" x14ac:dyDescent="0.3">
      <c r="A135" s="10" t="s">
        <v>26</v>
      </c>
      <c r="B135" s="10" t="s">
        <v>794</v>
      </c>
      <c r="C135" s="10">
        <v>0.25694444444444448</v>
      </c>
      <c r="D135" s="10" t="s">
        <v>798</v>
      </c>
      <c r="E135" s="10" t="s">
        <v>161</v>
      </c>
      <c r="F135" s="10" t="s">
        <v>837</v>
      </c>
      <c r="G135" s="32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9"/>
    </row>
    <row r="136" spans="1:18" ht="15" customHeight="1" x14ac:dyDescent="0.3">
      <c r="A136" s="10" t="s">
        <v>26</v>
      </c>
      <c r="B136" s="10" t="s">
        <v>794</v>
      </c>
      <c r="C136" s="10">
        <v>0.25694444444444448</v>
      </c>
      <c r="D136" s="10" t="s">
        <v>800</v>
      </c>
      <c r="E136" s="10" t="s">
        <v>161</v>
      </c>
      <c r="F136" s="10" t="s">
        <v>450</v>
      </c>
      <c r="G136" s="32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9"/>
    </row>
    <row r="137" spans="1:18" ht="15" customHeight="1" x14ac:dyDescent="0.3">
      <c r="A137" s="139" t="s">
        <v>44</v>
      </c>
      <c r="B137" s="139" t="s">
        <v>843</v>
      </c>
      <c r="C137" s="139">
        <v>0.45833333333333331</v>
      </c>
      <c r="D137" s="139" t="s">
        <v>46</v>
      </c>
      <c r="E137" s="139" t="s">
        <v>132</v>
      </c>
      <c r="F137" s="139" t="s">
        <v>562</v>
      </c>
      <c r="G137" s="328"/>
      <c r="H137" s="194" t="s">
        <v>822</v>
      </c>
      <c r="I137" s="207">
        <v>0.99399999999999999</v>
      </c>
      <c r="J137" s="196">
        <v>167</v>
      </c>
      <c r="K137" s="197" t="s">
        <v>311</v>
      </c>
      <c r="L137" s="196">
        <v>8</v>
      </c>
      <c r="M137" s="196">
        <v>0</v>
      </c>
      <c r="N137" s="196">
        <v>0</v>
      </c>
      <c r="O137" s="197" t="s">
        <v>279</v>
      </c>
      <c r="P137" s="197">
        <v>0.45833333333333331</v>
      </c>
      <c r="Q137" s="196">
        <v>168</v>
      </c>
      <c r="R137" s="198" t="s">
        <v>877</v>
      </c>
    </row>
    <row r="138" spans="1:18" ht="15" customHeight="1" x14ac:dyDescent="0.3">
      <c r="A138" s="57" t="s">
        <v>44</v>
      </c>
      <c r="B138" s="57" t="s">
        <v>810</v>
      </c>
      <c r="C138" s="57">
        <v>0.79166666666666663</v>
      </c>
      <c r="D138" s="57" t="s">
        <v>61</v>
      </c>
      <c r="E138" s="57"/>
      <c r="F138" s="57" t="s">
        <v>62</v>
      </c>
      <c r="G138" s="328"/>
      <c r="H138" s="58" t="s">
        <v>810</v>
      </c>
      <c r="I138" s="59">
        <v>1</v>
      </c>
      <c r="J138" s="60">
        <v>168</v>
      </c>
      <c r="K138" s="61" t="s">
        <v>378</v>
      </c>
      <c r="L138" s="60">
        <v>6</v>
      </c>
      <c r="M138" s="60">
        <v>0</v>
      </c>
      <c r="N138" s="60">
        <v>0</v>
      </c>
      <c r="O138" s="61" t="s">
        <v>64</v>
      </c>
      <c r="P138" s="61">
        <v>0.79166666666666663</v>
      </c>
      <c r="Q138" s="60">
        <v>168</v>
      </c>
      <c r="R138" s="62" t="s">
        <v>878</v>
      </c>
    </row>
    <row r="139" spans="1:18" ht="15" customHeight="1" x14ac:dyDescent="0.3">
      <c r="A139" s="11" t="s">
        <v>78</v>
      </c>
      <c r="B139" s="11" t="s">
        <v>812</v>
      </c>
      <c r="C139" s="11">
        <v>0.34027777777777768</v>
      </c>
      <c r="D139" s="11" t="s">
        <v>829</v>
      </c>
      <c r="E139" s="11" t="s">
        <v>47</v>
      </c>
      <c r="F139" s="11" t="s">
        <v>830</v>
      </c>
      <c r="G139" s="32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9"/>
    </row>
    <row r="140" spans="1:18" ht="15" customHeight="1" x14ac:dyDescent="0.3">
      <c r="A140" s="10" t="s">
        <v>78</v>
      </c>
      <c r="B140" s="10" t="s">
        <v>812</v>
      </c>
      <c r="C140" s="10">
        <v>0.34027777777777768</v>
      </c>
      <c r="D140" s="10" t="s">
        <v>80</v>
      </c>
      <c r="E140" s="10" t="s">
        <v>95</v>
      </c>
      <c r="F140" s="10" t="s">
        <v>831</v>
      </c>
      <c r="G140" s="32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9"/>
    </row>
    <row r="141" spans="1:18" ht="15" customHeight="1" x14ac:dyDescent="0.3">
      <c r="A141" s="10" t="s">
        <v>78</v>
      </c>
      <c r="B141" s="10" t="s">
        <v>812</v>
      </c>
      <c r="C141" s="10">
        <v>0.34027777777777768</v>
      </c>
      <c r="D141" s="10" t="s">
        <v>83</v>
      </c>
      <c r="E141" s="10" t="s">
        <v>95</v>
      </c>
      <c r="F141" s="10" t="s">
        <v>832</v>
      </c>
      <c r="G141" s="32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9"/>
    </row>
    <row r="142" spans="1:18" ht="15" customHeight="1" x14ac:dyDescent="0.3">
      <c r="A142" s="26" t="s">
        <v>78</v>
      </c>
      <c r="B142" s="26" t="s">
        <v>815</v>
      </c>
      <c r="C142" s="26">
        <v>0.71180555555555547</v>
      </c>
      <c r="D142" s="26" t="s">
        <v>80</v>
      </c>
      <c r="E142" s="26" t="s">
        <v>71</v>
      </c>
      <c r="F142" s="26" t="s">
        <v>813</v>
      </c>
      <c r="G142" s="32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9"/>
    </row>
    <row r="143" spans="1:18" ht="15" customHeight="1" x14ac:dyDescent="0.3">
      <c r="A143" s="10" t="s">
        <v>78</v>
      </c>
      <c r="B143" s="10" t="s">
        <v>815</v>
      </c>
      <c r="C143" s="10">
        <v>0.71180555555555547</v>
      </c>
      <c r="D143" s="10" t="s">
        <v>83</v>
      </c>
      <c r="E143" s="10" t="s">
        <v>95</v>
      </c>
      <c r="F143" s="10" t="s">
        <v>814</v>
      </c>
      <c r="G143" s="32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9"/>
    </row>
    <row r="144" spans="1:18" ht="15" customHeight="1" x14ac:dyDescent="0.3">
      <c r="A144" s="50" t="s">
        <v>66</v>
      </c>
      <c r="B144" s="50" t="s">
        <v>807</v>
      </c>
      <c r="C144" s="50">
        <v>0.63888888888888895</v>
      </c>
      <c r="D144" s="50" t="s">
        <v>68</v>
      </c>
      <c r="E144" s="50" t="s">
        <v>47</v>
      </c>
      <c r="F144" s="50" t="s">
        <v>879</v>
      </c>
      <c r="G144" s="328"/>
      <c r="H144" s="28"/>
      <c r="I144" s="29"/>
      <c r="J144" s="29"/>
      <c r="K144" s="29"/>
      <c r="L144" s="29"/>
      <c r="M144" s="29"/>
      <c r="N144" s="29"/>
      <c r="O144" s="29"/>
      <c r="P144" s="29"/>
      <c r="Q144" s="29"/>
      <c r="R144" s="30"/>
    </row>
    <row r="145" spans="1:18" ht="17.399999999999999" customHeight="1" x14ac:dyDescent="0.3">
      <c r="A145" s="360"/>
      <c r="B145" s="361"/>
      <c r="C145" s="361"/>
      <c r="D145" s="361"/>
      <c r="E145" s="361"/>
      <c r="F145" s="361"/>
      <c r="G145" s="361"/>
      <c r="H145" s="361"/>
      <c r="I145" s="361"/>
      <c r="J145" s="361"/>
      <c r="K145" s="361"/>
      <c r="L145" s="361"/>
      <c r="M145" s="361"/>
      <c r="N145" s="361"/>
      <c r="O145" s="361"/>
      <c r="P145" s="361"/>
      <c r="Q145" s="361"/>
      <c r="R145" s="362"/>
    </row>
    <row r="146" spans="1:18" ht="22.05" customHeight="1" x14ac:dyDescent="0.3">
      <c r="A146" s="323" t="s">
        <v>6</v>
      </c>
      <c r="B146" s="324"/>
      <c r="C146" s="324"/>
      <c r="D146" s="324"/>
      <c r="E146" s="324"/>
      <c r="F146" s="324"/>
      <c r="G146" s="2">
        <v>45998</v>
      </c>
      <c r="H146" s="323" t="s">
        <v>7</v>
      </c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</row>
    <row r="147" spans="1:18" ht="24" customHeight="1" x14ac:dyDescent="0.3">
      <c r="A147" s="3" t="s">
        <v>8</v>
      </c>
      <c r="B147" s="3" t="s">
        <v>9</v>
      </c>
      <c r="C147" s="3" t="s">
        <v>10</v>
      </c>
      <c r="D147" s="3" t="s">
        <v>11</v>
      </c>
      <c r="E147" s="3" t="s">
        <v>12</v>
      </c>
      <c r="F147" s="4" t="s">
        <v>13</v>
      </c>
      <c r="G147" s="5" t="s">
        <v>14</v>
      </c>
      <c r="H147" s="3" t="s">
        <v>15</v>
      </c>
      <c r="I147" s="3" t="s">
        <v>16</v>
      </c>
      <c r="J147" s="3" t="s">
        <v>17</v>
      </c>
      <c r="K147" s="3" t="s">
        <v>18</v>
      </c>
      <c r="L147" s="3" t="s">
        <v>19</v>
      </c>
      <c r="M147" s="3" t="s">
        <v>20</v>
      </c>
      <c r="N147" s="3" t="s">
        <v>21</v>
      </c>
      <c r="O147" s="3" t="s">
        <v>22</v>
      </c>
      <c r="P147" s="3" t="s">
        <v>23</v>
      </c>
      <c r="Q147" s="3" t="s">
        <v>24</v>
      </c>
      <c r="R147" s="3" t="s">
        <v>25</v>
      </c>
    </row>
    <row r="148" spans="1:18" ht="49.95" customHeight="1" x14ac:dyDescent="0.3">
      <c r="A148" s="6" t="s">
        <v>78</v>
      </c>
      <c r="B148" s="6" t="s">
        <v>815</v>
      </c>
      <c r="C148" s="6">
        <v>0.71180555555555547</v>
      </c>
      <c r="D148" s="6" t="s">
        <v>80</v>
      </c>
      <c r="E148" s="6" t="s">
        <v>132</v>
      </c>
      <c r="F148" s="6" t="s">
        <v>813</v>
      </c>
      <c r="G148" s="335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9"/>
    </row>
    <row r="149" spans="1:18" ht="49.95" customHeight="1" x14ac:dyDescent="0.3">
      <c r="A149" s="10" t="s">
        <v>78</v>
      </c>
      <c r="B149" s="10" t="s">
        <v>815</v>
      </c>
      <c r="C149" s="10">
        <v>0.71180555555555547</v>
      </c>
      <c r="D149" s="10" t="s">
        <v>83</v>
      </c>
      <c r="E149" s="10" t="s">
        <v>115</v>
      </c>
      <c r="F149" s="10" t="s">
        <v>814</v>
      </c>
      <c r="G149" s="32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9"/>
    </row>
    <row r="150" spans="1:18" ht="49.95" customHeight="1" x14ac:dyDescent="0.3">
      <c r="A150" s="139" t="s">
        <v>44</v>
      </c>
      <c r="B150" s="139" t="s">
        <v>822</v>
      </c>
      <c r="C150" s="139">
        <v>0.48958333333333331</v>
      </c>
      <c r="D150" s="139" t="s">
        <v>61</v>
      </c>
      <c r="E150" s="139"/>
      <c r="F150" s="139" t="s">
        <v>62</v>
      </c>
      <c r="G150" s="328"/>
      <c r="H150" s="194" t="s">
        <v>822</v>
      </c>
      <c r="I150" s="207">
        <v>1.0298</v>
      </c>
      <c r="J150" s="196">
        <v>173</v>
      </c>
      <c r="K150" s="197" t="s">
        <v>880</v>
      </c>
      <c r="L150" s="196">
        <v>0</v>
      </c>
      <c r="M150" s="196">
        <v>0</v>
      </c>
      <c r="N150" s="196">
        <v>0</v>
      </c>
      <c r="O150" s="197" t="s">
        <v>64</v>
      </c>
      <c r="P150" s="197">
        <v>0.48958333333333331</v>
      </c>
      <c r="Q150" s="196">
        <v>168</v>
      </c>
      <c r="R150" s="198" t="s">
        <v>881</v>
      </c>
    </row>
    <row r="151" spans="1:18" ht="49.95" customHeight="1" x14ac:dyDescent="0.3">
      <c r="A151" s="210" t="s">
        <v>44</v>
      </c>
      <c r="B151" s="210" t="s">
        <v>810</v>
      </c>
      <c r="C151" s="210">
        <v>0.6875</v>
      </c>
      <c r="D151" s="210" t="s">
        <v>61</v>
      </c>
      <c r="E151" s="210"/>
      <c r="F151" s="210" t="s">
        <v>62</v>
      </c>
      <c r="G151" s="328"/>
      <c r="H151" s="120" t="s">
        <v>810</v>
      </c>
      <c r="I151" s="121">
        <v>1</v>
      </c>
      <c r="J151" s="122">
        <v>168</v>
      </c>
      <c r="K151" s="123" t="s">
        <v>63</v>
      </c>
      <c r="L151" s="122">
        <v>5</v>
      </c>
      <c r="M151" s="122">
        <v>0</v>
      </c>
      <c r="N151" s="122">
        <v>0</v>
      </c>
      <c r="O151" s="123" t="s">
        <v>64</v>
      </c>
      <c r="P151" s="123">
        <v>0.6875</v>
      </c>
      <c r="Q151" s="122">
        <v>168</v>
      </c>
      <c r="R151" s="124" t="s">
        <v>882</v>
      </c>
    </row>
    <row r="152" spans="1:18" ht="17.399999999999999" customHeight="1" x14ac:dyDescent="0.3">
      <c r="A152" s="360"/>
      <c r="B152" s="361"/>
      <c r="C152" s="361"/>
      <c r="D152" s="361"/>
      <c r="E152" s="361"/>
      <c r="F152" s="361"/>
      <c r="G152" s="361"/>
      <c r="H152" s="361"/>
      <c r="I152" s="361"/>
      <c r="J152" s="361"/>
      <c r="K152" s="361"/>
      <c r="L152" s="361"/>
      <c r="M152" s="361"/>
      <c r="N152" s="361"/>
      <c r="O152" s="361"/>
      <c r="P152" s="361"/>
      <c r="Q152" s="361"/>
      <c r="R152" s="362"/>
    </row>
    <row r="153" spans="1:18" ht="22.05" customHeight="1" x14ac:dyDescent="0.3">
      <c r="A153" s="323" t="s">
        <v>6</v>
      </c>
      <c r="B153" s="324"/>
      <c r="C153" s="324"/>
      <c r="D153" s="324"/>
      <c r="E153" s="324"/>
      <c r="F153" s="324"/>
      <c r="G153" s="2">
        <v>45999</v>
      </c>
      <c r="H153" s="323" t="s">
        <v>7</v>
      </c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</row>
    <row r="154" spans="1:18" ht="24" customHeight="1" x14ac:dyDescent="0.3">
      <c r="A154" s="3" t="s">
        <v>8</v>
      </c>
      <c r="B154" s="3" t="s">
        <v>9</v>
      </c>
      <c r="C154" s="3" t="s">
        <v>10</v>
      </c>
      <c r="D154" s="3" t="s">
        <v>11</v>
      </c>
      <c r="E154" s="3" t="s">
        <v>12</v>
      </c>
      <c r="F154" s="4" t="s">
        <v>13</v>
      </c>
      <c r="G154" s="5" t="s">
        <v>14</v>
      </c>
      <c r="H154" s="3" t="s">
        <v>15</v>
      </c>
      <c r="I154" s="3" t="s">
        <v>16</v>
      </c>
      <c r="J154" s="3" t="s">
        <v>17</v>
      </c>
      <c r="K154" s="3" t="s">
        <v>18</v>
      </c>
      <c r="L154" s="3" t="s">
        <v>19</v>
      </c>
      <c r="M154" s="3" t="s">
        <v>20</v>
      </c>
      <c r="N154" s="3" t="s">
        <v>21</v>
      </c>
      <c r="O154" s="3" t="s">
        <v>22</v>
      </c>
      <c r="P154" s="3" t="s">
        <v>23</v>
      </c>
      <c r="Q154" s="3" t="s">
        <v>24</v>
      </c>
      <c r="R154" s="3" t="s">
        <v>25</v>
      </c>
    </row>
    <row r="155" spans="1:18" ht="15" customHeight="1" x14ac:dyDescent="0.3">
      <c r="A155" s="6" t="s">
        <v>456</v>
      </c>
      <c r="B155" s="6" t="s">
        <v>883</v>
      </c>
      <c r="C155" s="6">
        <v>0.2951388888888889</v>
      </c>
      <c r="D155" s="6" t="s">
        <v>796</v>
      </c>
      <c r="E155" s="6" t="s">
        <v>123</v>
      </c>
      <c r="F155" s="6" t="s">
        <v>884</v>
      </c>
      <c r="G155" s="335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9"/>
    </row>
    <row r="156" spans="1:18" ht="15" customHeight="1" x14ac:dyDescent="0.3">
      <c r="A156" s="10" t="s">
        <v>456</v>
      </c>
      <c r="B156" s="10" t="s">
        <v>883</v>
      </c>
      <c r="C156" s="10">
        <v>0.2951388888888889</v>
      </c>
      <c r="D156" s="10" t="s">
        <v>798</v>
      </c>
      <c r="E156" s="10" t="s">
        <v>124</v>
      </c>
      <c r="F156" s="10" t="s">
        <v>885</v>
      </c>
      <c r="G156" s="32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9"/>
    </row>
    <row r="157" spans="1:18" ht="15" customHeight="1" x14ac:dyDescent="0.3">
      <c r="A157" s="10" t="s">
        <v>456</v>
      </c>
      <c r="B157" s="10" t="s">
        <v>883</v>
      </c>
      <c r="C157" s="10">
        <v>0.2951388888888889</v>
      </c>
      <c r="D157" s="10" t="s">
        <v>34</v>
      </c>
      <c r="E157" s="10" t="s">
        <v>124</v>
      </c>
      <c r="F157" s="10" t="s">
        <v>886</v>
      </c>
      <c r="G157" s="32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9"/>
    </row>
    <row r="158" spans="1:18" ht="15" customHeight="1" x14ac:dyDescent="0.3">
      <c r="A158" s="149" t="s">
        <v>44</v>
      </c>
      <c r="B158" s="149" t="s">
        <v>843</v>
      </c>
      <c r="C158" s="149">
        <v>0.33680555555555558</v>
      </c>
      <c r="D158" s="149" t="s">
        <v>46</v>
      </c>
      <c r="E158" s="149" t="s">
        <v>129</v>
      </c>
      <c r="F158" s="149" t="s">
        <v>426</v>
      </c>
      <c r="G158" s="328"/>
      <c r="H158" s="19" t="s">
        <v>822</v>
      </c>
      <c r="I158" s="20">
        <v>0.88690000000000002</v>
      </c>
      <c r="J158" s="21">
        <v>149</v>
      </c>
      <c r="K158" s="22" t="s">
        <v>50</v>
      </c>
      <c r="L158" s="21">
        <v>6</v>
      </c>
      <c r="M158" s="21">
        <v>0</v>
      </c>
      <c r="N158" s="21">
        <v>3</v>
      </c>
      <c r="O158" s="22" t="s">
        <v>543</v>
      </c>
      <c r="P158" s="22">
        <v>0.33680555555555558</v>
      </c>
      <c r="Q158" s="21">
        <v>168</v>
      </c>
      <c r="R158" s="23" t="s">
        <v>887</v>
      </c>
    </row>
    <row r="159" spans="1:18" ht="15" customHeight="1" x14ac:dyDescent="0.3">
      <c r="A159" s="81" t="s">
        <v>44</v>
      </c>
      <c r="B159" s="81" t="s">
        <v>810</v>
      </c>
      <c r="C159" s="81">
        <v>0.64583333333333337</v>
      </c>
      <c r="D159" s="81" t="s">
        <v>61</v>
      </c>
      <c r="E159" s="81"/>
      <c r="F159" s="81" t="s">
        <v>62</v>
      </c>
      <c r="G159" s="328"/>
      <c r="H159" s="82" t="s">
        <v>810</v>
      </c>
      <c r="I159" s="83">
        <v>1</v>
      </c>
      <c r="J159" s="84">
        <v>168</v>
      </c>
      <c r="K159" s="85" t="s">
        <v>50</v>
      </c>
      <c r="L159" s="84">
        <v>10</v>
      </c>
      <c r="M159" s="84">
        <v>0</v>
      </c>
      <c r="N159" s="84">
        <v>3</v>
      </c>
      <c r="O159" s="85" t="s">
        <v>64</v>
      </c>
      <c r="P159" s="85">
        <v>0.64583333333333337</v>
      </c>
      <c r="Q159" s="84">
        <v>168</v>
      </c>
      <c r="R159" s="86" t="s">
        <v>888</v>
      </c>
    </row>
    <row r="160" spans="1:18" ht="15" customHeight="1" x14ac:dyDescent="0.3">
      <c r="A160" s="11" t="s">
        <v>66</v>
      </c>
      <c r="B160" s="11" t="s">
        <v>807</v>
      </c>
      <c r="C160" s="11">
        <v>0.60416666666666663</v>
      </c>
      <c r="D160" s="11" t="s">
        <v>68</v>
      </c>
      <c r="E160" s="11" t="s">
        <v>47</v>
      </c>
      <c r="F160" s="11" t="s">
        <v>30</v>
      </c>
      <c r="G160" s="32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9"/>
    </row>
    <row r="161" spans="1:18" ht="15" customHeight="1" x14ac:dyDescent="0.3">
      <c r="A161" s="11" t="s">
        <v>78</v>
      </c>
      <c r="B161" s="11" t="s">
        <v>815</v>
      </c>
      <c r="C161" s="11">
        <v>0.71180555555555547</v>
      </c>
      <c r="D161" s="11" t="s">
        <v>80</v>
      </c>
      <c r="E161" s="11" t="s">
        <v>129</v>
      </c>
      <c r="F161" s="11" t="s">
        <v>813</v>
      </c>
      <c r="G161" s="32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9"/>
    </row>
    <row r="162" spans="1:18" ht="15" customHeight="1" x14ac:dyDescent="0.3">
      <c r="A162" s="27" t="s">
        <v>78</v>
      </c>
      <c r="B162" s="27" t="s">
        <v>815</v>
      </c>
      <c r="C162" s="27">
        <v>0.71180555555555547</v>
      </c>
      <c r="D162" s="27" t="s">
        <v>83</v>
      </c>
      <c r="E162" s="27" t="s">
        <v>92</v>
      </c>
      <c r="F162" s="27" t="s">
        <v>814</v>
      </c>
      <c r="G162" s="328"/>
      <c r="H162" s="28"/>
      <c r="I162" s="29"/>
      <c r="J162" s="29"/>
      <c r="K162" s="29"/>
      <c r="L162" s="29"/>
      <c r="M162" s="29"/>
      <c r="N162" s="29"/>
      <c r="O162" s="29"/>
      <c r="P162" s="29"/>
      <c r="Q162" s="29"/>
      <c r="R162" s="30"/>
    </row>
    <row r="163" spans="1:18" ht="17.399999999999999" customHeight="1" x14ac:dyDescent="0.3">
      <c r="A163" s="360"/>
      <c r="B163" s="361"/>
      <c r="C163" s="361"/>
      <c r="D163" s="361"/>
      <c r="E163" s="361"/>
      <c r="F163" s="361"/>
      <c r="G163" s="361"/>
      <c r="H163" s="361"/>
      <c r="I163" s="361"/>
      <c r="J163" s="361"/>
      <c r="K163" s="361"/>
      <c r="L163" s="361"/>
      <c r="M163" s="361"/>
      <c r="N163" s="361"/>
      <c r="O163" s="361"/>
      <c r="P163" s="361"/>
      <c r="Q163" s="361"/>
      <c r="R163" s="362"/>
    </row>
    <row r="164" spans="1:18" ht="22.05" customHeight="1" x14ac:dyDescent="0.3">
      <c r="A164" s="323" t="s">
        <v>6</v>
      </c>
      <c r="B164" s="324"/>
      <c r="C164" s="324"/>
      <c r="D164" s="324"/>
      <c r="E164" s="324"/>
      <c r="F164" s="324"/>
      <c r="G164" s="2">
        <v>46000</v>
      </c>
      <c r="H164" s="323" t="s">
        <v>7</v>
      </c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</row>
    <row r="165" spans="1:18" ht="24" customHeight="1" x14ac:dyDescent="0.3">
      <c r="A165" s="3" t="s">
        <v>8</v>
      </c>
      <c r="B165" s="3" t="s">
        <v>9</v>
      </c>
      <c r="C165" s="3" t="s">
        <v>10</v>
      </c>
      <c r="D165" s="3" t="s">
        <v>11</v>
      </c>
      <c r="E165" s="3" t="s">
        <v>12</v>
      </c>
      <c r="F165" s="4" t="s">
        <v>13</v>
      </c>
      <c r="G165" s="5" t="s">
        <v>14</v>
      </c>
      <c r="H165" s="3" t="s">
        <v>15</v>
      </c>
      <c r="I165" s="3" t="s">
        <v>16</v>
      </c>
      <c r="J165" s="3" t="s">
        <v>17</v>
      </c>
      <c r="K165" s="3" t="s">
        <v>18</v>
      </c>
      <c r="L165" s="3" t="s">
        <v>19</v>
      </c>
      <c r="M165" s="3" t="s">
        <v>20</v>
      </c>
      <c r="N165" s="3" t="s">
        <v>21</v>
      </c>
      <c r="O165" s="3" t="s">
        <v>22</v>
      </c>
      <c r="P165" s="3" t="s">
        <v>23</v>
      </c>
      <c r="Q165" s="3" t="s">
        <v>24</v>
      </c>
      <c r="R165" s="3" t="s">
        <v>25</v>
      </c>
    </row>
    <row r="166" spans="1:18" ht="15" customHeight="1" x14ac:dyDescent="0.3">
      <c r="A166" s="6" t="s">
        <v>78</v>
      </c>
      <c r="B166" s="6" t="s">
        <v>812</v>
      </c>
      <c r="C166" s="6">
        <v>0.34027777777777768</v>
      </c>
      <c r="D166" s="6" t="s">
        <v>829</v>
      </c>
      <c r="E166" s="6" t="s">
        <v>132</v>
      </c>
      <c r="F166" s="6" t="s">
        <v>426</v>
      </c>
      <c r="G166" s="335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9"/>
    </row>
    <row r="167" spans="1:18" ht="15" customHeight="1" x14ac:dyDescent="0.3">
      <c r="A167" s="10" t="s">
        <v>78</v>
      </c>
      <c r="B167" s="10" t="s">
        <v>812</v>
      </c>
      <c r="C167" s="10">
        <v>0.34027777777777768</v>
      </c>
      <c r="D167" s="10" t="s">
        <v>80</v>
      </c>
      <c r="E167" s="10" t="s">
        <v>115</v>
      </c>
      <c r="F167" s="10" t="s">
        <v>414</v>
      </c>
      <c r="G167" s="32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9"/>
    </row>
    <row r="168" spans="1:18" ht="15" customHeight="1" x14ac:dyDescent="0.3">
      <c r="A168" s="10" t="s">
        <v>78</v>
      </c>
      <c r="B168" s="10" t="s">
        <v>812</v>
      </c>
      <c r="C168" s="10">
        <v>0.34027777777777768</v>
      </c>
      <c r="D168" s="10" t="s">
        <v>83</v>
      </c>
      <c r="E168" s="10" t="s">
        <v>115</v>
      </c>
      <c r="F168" s="10" t="s">
        <v>854</v>
      </c>
      <c r="G168" s="32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9"/>
    </row>
    <row r="169" spans="1:18" ht="15" customHeight="1" x14ac:dyDescent="0.3">
      <c r="A169" s="26" t="s">
        <v>78</v>
      </c>
      <c r="B169" s="26" t="s">
        <v>815</v>
      </c>
      <c r="C169" s="26">
        <v>0.71180555555555547</v>
      </c>
      <c r="D169" s="26" t="s">
        <v>80</v>
      </c>
      <c r="E169" s="26" t="s">
        <v>71</v>
      </c>
      <c r="F169" s="26" t="s">
        <v>813</v>
      </c>
      <c r="G169" s="32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9"/>
    </row>
    <row r="170" spans="1:18" ht="15" customHeight="1" x14ac:dyDescent="0.3">
      <c r="A170" s="10" t="s">
        <v>78</v>
      </c>
      <c r="B170" s="10" t="s">
        <v>815</v>
      </c>
      <c r="C170" s="10">
        <v>0.71180555555555547</v>
      </c>
      <c r="D170" s="10" t="s">
        <v>83</v>
      </c>
      <c r="E170" s="10" t="s">
        <v>95</v>
      </c>
      <c r="F170" s="10" t="s">
        <v>814</v>
      </c>
      <c r="G170" s="32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9"/>
    </row>
    <row r="171" spans="1:18" ht="15" customHeight="1" x14ac:dyDescent="0.3">
      <c r="A171" s="133" t="s">
        <v>44</v>
      </c>
      <c r="B171" s="133" t="s">
        <v>810</v>
      </c>
      <c r="C171" s="133">
        <v>0.95138888888888884</v>
      </c>
      <c r="D171" s="133" t="s">
        <v>61</v>
      </c>
      <c r="E171" s="133"/>
      <c r="F171" s="133" t="s">
        <v>62</v>
      </c>
      <c r="G171" s="328"/>
      <c r="H171" s="134" t="s">
        <v>810</v>
      </c>
      <c r="I171" s="135">
        <v>1.0238</v>
      </c>
      <c r="J171" s="136">
        <v>172</v>
      </c>
      <c r="K171" s="137" t="s">
        <v>63</v>
      </c>
      <c r="L171" s="136">
        <v>42</v>
      </c>
      <c r="M171" s="136">
        <v>0</v>
      </c>
      <c r="N171" s="136">
        <v>0</v>
      </c>
      <c r="O171" s="137" t="s">
        <v>64</v>
      </c>
      <c r="P171" s="137">
        <v>0.95138888888888884</v>
      </c>
      <c r="Q171" s="136">
        <v>168</v>
      </c>
      <c r="R171" s="138" t="s">
        <v>889</v>
      </c>
    </row>
    <row r="172" spans="1:18" ht="17.399999999999999" customHeight="1" x14ac:dyDescent="0.3">
      <c r="A172" s="360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2"/>
    </row>
    <row r="173" spans="1:18" ht="22.05" customHeight="1" x14ac:dyDescent="0.3">
      <c r="A173" s="323" t="s">
        <v>6</v>
      </c>
      <c r="B173" s="324"/>
      <c r="C173" s="324"/>
      <c r="D173" s="324"/>
      <c r="E173" s="324"/>
      <c r="F173" s="324"/>
      <c r="G173" s="2">
        <v>46001</v>
      </c>
      <c r="H173" s="323" t="s">
        <v>7</v>
      </c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</row>
    <row r="174" spans="1:18" ht="24" customHeight="1" x14ac:dyDescent="0.3">
      <c r="A174" s="3" t="s">
        <v>8</v>
      </c>
      <c r="B174" s="3" t="s">
        <v>9</v>
      </c>
      <c r="C174" s="3" t="s">
        <v>10</v>
      </c>
      <c r="D174" s="3" t="s">
        <v>11</v>
      </c>
      <c r="E174" s="3" t="s">
        <v>12</v>
      </c>
      <c r="F174" s="4" t="s">
        <v>13</v>
      </c>
      <c r="G174" s="5" t="s">
        <v>14</v>
      </c>
      <c r="H174" s="3" t="s">
        <v>15</v>
      </c>
      <c r="I174" s="3" t="s">
        <v>16</v>
      </c>
      <c r="J174" s="3" t="s">
        <v>17</v>
      </c>
      <c r="K174" s="3" t="s">
        <v>18</v>
      </c>
      <c r="L174" s="3" t="s">
        <v>19</v>
      </c>
      <c r="M174" s="3" t="s">
        <v>20</v>
      </c>
      <c r="N174" s="3" t="s">
        <v>21</v>
      </c>
      <c r="O174" s="3" t="s">
        <v>22</v>
      </c>
      <c r="P174" s="3" t="s">
        <v>23</v>
      </c>
      <c r="Q174" s="3" t="s">
        <v>24</v>
      </c>
      <c r="R174" s="3" t="s">
        <v>25</v>
      </c>
    </row>
    <row r="175" spans="1:18" ht="15" customHeight="1" x14ac:dyDescent="0.3">
      <c r="A175" s="51" t="s">
        <v>44</v>
      </c>
      <c r="B175" s="51" t="s">
        <v>817</v>
      </c>
      <c r="C175" s="51">
        <v>0.40972222222222232</v>
      </c>
      <c r="D175" s="51" t="s">
        <v>46</v>
      </c>
      <c r="E175" s="51" t="s">
        <v>29</v>
      </c>
      <c r="F175" s="51" t="s">
        <v>562</v>
      </c>
      <c r="G175" s="335"/>
      <c r="H175" s="52" t="s">
        <v>819</v>
      </c>
      <c r="I175" s="209">
        <v>0.97619999999999996</v>
      </c>
      <c r="J175" s="54">
        <v>164</v>
      </c>
      <c r="K175" s="55" t="s">
        <v>433</v>
      </c>
      <c r="L175" s="54">
        <v>11</v>
      </c>
      <c r="M175" s="54">
        <v>0</v>
      </c>
      <c r="N175" s="54">
        <v>0</v>
      </c>
      <c r="O175" s="55" t="s">
        <v>261</v>
      </c>
      <c r="P175" s="55">
        <v>0.40972222222222232</v>
      </c>
      <c r="Q175" s="54">
        <v>168</v>
      </c>
      <c r="R175" s="56" t="s">
        <v>890</v>
      </c>
    </row>
    <row r="176" spans="1:18" ht="15" customHeight="1" x14ac:dyDescent="0.3">
      <c r="A176" s="189" t="s">
        <v>44</v>
      </c>
      <c r="B176" s="189" t="s">
        <v>843</v>
      </c>
      <c r="C176" s="189">
        <v>0.71875</v>
      </c>
      <c r="D176" s="189" t="s">
        <v>46</v>
      </c>
      <c r="E176" s="189" t="s">
        <v>74</v>
      </c>
      <c r="F176" s="189" t="s">
        <v>562</v>
      </c>
      <c r="G176" s="328"/>
      <c r="H176" s="45" t="s">
        <v>822</v>
      </c>
      <c r="I176" s="46">
        <v>0.9345</v>
      </c>
      <c r="J176" s="47">
        <v>157</v>
      </c>
      <c r="K176" s="48" t="s">
        <v>175</v>
      </c>
      <c r="L176" s="47">
        <v>13</v>
      </c>
      <c r="M176" s="47">
        <v>1</v>
      </c>
      <c r="N176" s="47">
        <v>4</v>
      </c>
      <c r="O176" s="48" t="s">
        <v>387</v>
      </c>
      <c r="P176" s="48">
        <v>0.71875</v>
      </c>
      <c r="Q176" s="47">
        <v>168</v>
      </c>
      <c r="R176" s="49" t="s">
        <v>891</v>
      </c>
    </row>
    <row r="177" spans="1:18" ht="15" customHeight="1" x14ac:dyDescent="0.3">
      <c r="A177" s="81" t="s">
        <v>44</v>
      </c>
      <c r="B177" s="81" t="s">
        <v>810</v>
      </c>
      <c r="C177" s="81">
        <v>0.65625</v>
      </c>
      <c r="D177" s="81" t="s">
        <v>61</v>
      </c>
      <c r="E177" s="81"/>
      <c r="F177" s="81" t="s">
        <v>62</v>
      </c>
      <c r="G177" s="328"/>
      <c r="H177" s="82" t="s">
        <v>810</v>
      </c>
      <c r="I177" s="83">
        <v>1</v>
      </c>
      <c r="J177" s="84">
        <v>168</v>
      </c>
      <c r="K177" s="85" t="s">
        <v>140</v>
      </c>
      <c r="L177" s="84">
        <v>1</v>
      </c>
      <c r="M177" s="84">
        <v>0</v>
      </c>
      <c r="N177" s="84">
        <v>0</v>
      </c>
      <c r="O177" s="85" t="s">
        <v>64</v>
      </c>
      <c r="P177" s="85">
        <v>0.65625</v>
      </c>
      <c r="Q177" s="84">
        <v>168</v>
      </c>
      <c r="R177" s="86" t="s">
        <v>892</v>
      </c>
    </row>
    <row r="178" spans="1:18" ht="15" customHeight="1" x14ac:dyDescent="0.3">
      <c r="A178" s="11" t="s">
        <v>66</v>
      </c>
      <c r="B178" s="11" t="s">
        <v>807</v>
      </c>
      <c r="C178" s="11">
        <v>0.63888888888888895</v>
      </c>
      <c r="D178" s="11" t="s">
        <v>68</v>
      </c>
      <c r="E178" s="11" t="s">
        <v>47</v>
      </c>
      <c r="F178" s="11" t="s">
        <v>866</v>
      </c>
      <c r="G178" s="32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9"/>
    </row>
    <row r="179" spans="1:18" ht="15" customHeight="1" x14ac:dyDescent="0.3">
      <c r="A179" s="11" t="s">
        <v>78</v>
      </c>
      <c r="B179" s="11" t="s">
        <v>815</v>
      </c>
      <c r="C179" s="11">
        <v>0.71180555555555547</v>
      </c>
      <c r="D179" s="11" t="s">
        <v>829</v>
      </c>
      <c r="E179" s="11" t="s">
        <v>47</v>
      </c>
      <c r="F179" s="11" t="s">
        <v>868</v>
      </c>
      <c r="G179" s="32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9"/>
    </row>
    <row r="180" spans="1:18" ht="15" customHeight="1" x14ac:dyDescent="0.3">
      <c r="A180" s="10" t="s">
        <v>78</v>
      </c>
      <c r="B180" s="10" t="s">
        <v>815</v>
      </c>
      <c r="C180" s="10">
        <v>0.71180555555555547</v>
      </c>
      <c r="D180" s="10" t="s">
        <v>80</v>
      </c>
      <c r="E180" s="10" t="s">
        <v>95</v>
      </c>
      <c r="F180" s="10" t="s">
        <v>869</v>
      </c>
      <c r="G180" s="32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9"/>
    </row>
    <row r="181" spans="1:18" ht="15" customHeight="1" x14ac:dyDescent="0.3">
      <c r="A181" s="27" t="s">
        <v>78</v>
      </c>
      <c r="B181" s="27" t="s">
        <v>815</v>
      </c>
      <c r="C181" s="27">
        <v>0.71180555555555547</v>
      </c>
      <c r="D181" s="27" t="s">
        <v>83</v>
      </c>
      <c r="E181" s="27" t="s">
        <v>95</v>
      </c>
      <c r="F181" s="27" t="s">
        <v>870</v>
      </c>
      <c r="G181" s="328"/>
      <c r="H181" s="28"/>
      <c r="I181" s="29"/>
      <c r="J181" s="29"/>
      <c r="K181" s="29"/>
      <c r="L181" s="29"/>
      <c r="M181" s="29"/>
      <c r="N181" s="29"/>
      <c r="O181" s="29"/>
      <c r="P181" s="29"/>
      <c r="Q181" s="29"/>
      <c r="R181" s="30"/>
    </row>
  </sheetData>
  <mergeCells count="70">
    <mergeCell ref="G175:G181"/>
    <mergeCell ref="A146:F146"/>
    <mergeCell ref="H95:R95"/>
    <mergeCell ref="G25:G30"/>
    <mergeCell ref="A94:R94"/>
    <mergeCell ref="G69:G75"/>
    <mergeCell ref="A153:F153"/>
    <mergeCell ref="N1:R1"/>
    <mergeCell ref="A125:F125"/>
    <mergeCell ref="H108:R108"/>
    <mergeCell ref="G97:G106"/>
    <mergeCell ref="A152:R152"/>
    <mergeCell ref="G148:G151"/>
    <mergeCell ref="A67:F67"/>
    <mergeCell ref="H45:R45"/>
    <mergeCell ref="K2:R2"/>
    <mergeCell ref="A44:R44"/>
    <mergeCell ref="A117:R117"/>
    <mergeCell ref="H32:R32"/>
    <mergeCell ref="A31:R31"/>
    <mergeCell ref="A77:F77"/>
    <mergeCell ref="A51:F51"/>
    <mergeCell ref="G34:G43"/>
    <mergeCell ref="H173:R173"/>
    <mergeCell ref="G2:J2"/>
    <mergeCell ref="H51:R51"/>
    <mergeCell ref="A4:F4"/>
    <mergeCell ref="G53:G65"/>
    <mergeCell ref="G110:G116"/>
    <mergeCell ref="H164:R164"/>
    <mergeCell ref="H85:R85"/>
    <mergeCell ref="A22:R22"/>
    <mergeCell ref="H153:R153"/>
    <mergeCell ref="A173:F173"/>
    <mergeCell ref="H77:R77"/>
    <mergeCell ref="A45:F45"/>
    <mergeCell ref="A107:R107"/>
    <mergeCell ref="G6:G21"/>
    <mergeCell ref="H1:L1"/>
    <mergeCell ref="A1:E1"/>
    <mergeCell ref="A66:R66"/>
    <mergeCell ref="G120:G123"/>
    <mergeCell ref="H4:R4"/>
    <mergeCell ref="A50:R50"/>
    <mergeCell ref="A95:F95"/>
    <mergeCell ref="G79:G83"/>
    <mergeCell ref="A2:F2"/>
    <mergeCell ref="A3:R3"/>
    <mergeCell ref="H118:R118"/>
    <mergeCell ref="A85:F85"/>
    <mergeCell ref="A23:F23"/>
    <mergeCell ref="A32:F32"/>
    <mergeCell ref="G47:G49"/>
    <mergeCell ref="A76:R76"/>
    <mergeCell ref="H23:R23"/>
    <mergeCell ref="A124:R124"/>
    <mergeCell ref="G87:G93"/>
    <mergeCell ref="A108:F108"/>
    <mergeCell ref="A172:R172"/>
    <mergeCell ref="G127:G144"/>
    <mergeCell ref="A118:F118"/>
    <mergeCell ref="H125:R125"/>
    <mergeCell ref="A164:F164"/>
    <mergeCell ref="H67:R67"/>
    <mergeCell ref="A84:R84"/>
    <mergeCell ref="G155:G162"/>
    <mergeCell ref="A145:R145"/>
    <mergeCell ref="H146:R146"/>
    <mergeCell ref="A163:R163"/>
    <mergeCell ref="G166:G17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0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109375" style="343" bestFit="1" customWidth="1"/>
    <col min="6" max="6" width="4.21875" style="343" bestFit="1" customWidth="1"/>
    <col min="7" max="7" width="10" style="343" bestFit="1" customWidth="1"/>
    <col min="8" max="10" width="8.5546875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5" width="3.88671875" style="343" bestFit="1" customWidth="1"/>
    <col min="26" max="26" width="4.109375" style="343" bestFit="1" customWidth="1"/>
    <col min="27" max="27" width="5" style="343" bestFit="1" customWidth="1"/>
    <col min="28" max="29" width="4.21875" style="343" bestFit="1" customWidth="1"/>
    <col min="30" max="31" width="4.5546875" style="343" bestFit="1" customWidth="1"/>
    <col min="32" max="32" width="3.88671875" style="343" bestFit="1" customWidth="1"/>
    <col min="33" max="33" width="4.21875" style="343" bestFit="1" customWidth="1"/>
    <col min="34" max="34" width="3.88671875" style="343" bestFit="1" customWidth="1"/>
    <col min="35" max="35" width="5.21875" style="343" bestFit="1" customWidth="1"/>
    <col min="36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810</v>
      </c>
      <c r="D2" s="347" t="s">
        <v>893</v>
      </c>
      <c r="E2" s="346" t="s">
        <v>793</v>
      </c>
      <c r="F2" s="346" t="s">
        <v>214</v>
      </c>
      <c r="G2" s="348">
        <v>0.98880000000000001</v>
      </c>
      <c r="H2" s="349">
        <v>179</v>
      </c>
      <c r="I2" s="349">
        <v>177</v>
      </c>
      <c r="J2" s="349">
        <v>159</v>
      </c>
      <c r="K2" s="346" t="s">
        <v>215</v>
      </c>
      <c r="L2" s="350" t="s">
        <v>63</v>
      </c>
      <c r="M2" s="349">
        <v>0</v>
      </c>
      <c r="N2" s="349">
        <v>0</v>
      </c>
      <c r="O2" s="349">
        <v>5</v>
      </c>
      <c r="P2" s="346" t="s">
        <v>231</v>
      </c>
      <c r="Q2" s="342"/>
      <c r="R2" s="342"/>
      <c r="S2" s="342"/>
      <c r="T2" s="342"/>
      <c r="U2" s="349" t="s">
        <v>894</v>
      </c>
      <c r="V2" s="342"/>
      <c r="W2" s="342"/>
      <c r="X2" s="349" t="s">
        <v>221</v>
      </c>
      <c r="Y2" s="342"/>
      <c r="Z2" s="349" t="s">
        <v>244</v>
      </c>
      <c r="AA2" s="342"/>
      <c r="AB2" s="342"/>
      <c r="AC2" s="349" t="s">
        <v>895</v>
      </c>
      <c r="AD2" s="342"/>
      <c r="AE2" s="342"/>
      <c r="AF2" s="342"/>
      <c r="AG2" s="342"/>
      <c r="AH2" s="342"/>
      <c r="AI2" s="349" t="s">
        <v>785</v>
      </c>
      <c r="AJ2" s="342"/>
    </row>
    <row r="3" spans="1:36" x14ac:dyDescent="0.3">
      <c r="A3" s="344" t="s">
        <v>331</v>
      </c>
      <c r="B3" s="345">
        <v>45987</v>
      </c>
      <c r="C3" s="346" t="s">
        <v>819</v>
      </c>
      <c r="D3" s="347" t="s">
        <v>896</v>
      </c>
      <c r="E3" s="346" t="s">
        <v>793</v>
      </c>
      <c r="F3" s="346" t="s">
        <v>214</v>
      </c>
      <c r="G3" s="348">
        <v>0.97209999999999996</v>
      </c>
      <c r="H3" s="349">
        <v>179</v>
      </c>
      <c r="I3" s="349">
        <v>174</v>
      </c>
      <c r="J3" s="349">
        <v>159</v>
      </c>
      <c r="K3" s="346" t="s">
        <v>215</v>
      </c>
      <c r="L3" s="350" t="s">
        <v>63</v>
      </c>
      <c r="M3" s="349">
        <v>0</v>
      </c>
      <c r="N3" s="349">
        <v>0</v>
      </c>
      <c r="O3" s="349">
        <v>11</v>
      </c>
      <c r="P3" s="346" t="s">
        <v>232</v>
      </c>
      <c r="Q3" s="342"/>
      <c r="R3" s="342"/>
      <c r="S3" s="342"/>
      <c r="T3" s="342"/>
      <c r="U3" s="342"/>
      <c r="V3" s="342"/>
      <c r="W3" s="342"/>
      <c r="X3" s="349" t="s">
        <v>221</v>
      </c>
      <c r="Y3" s="349" t="s">
        <v>897</v>
      </c>
      <c r="Z3" s="349" t="s">
        <v>345</v>
      </c>
      <c r="AA3" s="342"/>
      <c r="AB3" s="342"/>
      <c r="AC3" s="349" t="s">
        <v>563</v>
      </c>
      <c r="AD3" s="342"/>
      <c r="AE3" s="342"/>
      <c r="AF3" s="342"/>
      <c r="AG3" s="342"/>
      <c r="AH3" s="342"/>
      <c r="AI3" s="349" t="s">
        <v>785</v>
      </c>
      <c r="AJ3" s="342"/>
    </row>
    <row r="4" spans="1:36" x14ac:dyDescent="0.3">
      <c r="A4" s="344" t="s">
        <v>331</v>
      </c>
      <c r="B4" s="345">
        <v>45987</v>
      </c>
      <c r="C4" s="346" t="s">
        <v>810</v>
      </c>
      <c r="D4" s="347" t="s">
        <v>898</v>
      </c>
      <c r="E4" s="346" t="s">
        <v>793</v>
      </c>
      <c r="F4" s="346" t="s">
        <v>214</v>
      </c>
      <c r="G4" s="348">
        <v>1</v>
      </c>
      <c r="H4" s="349">
        <v>179</v>
      </c>
      <c r="I4" s="349">
        <v>179</v>
      </c>
      <c r="J4" s="349">
        <v>126</v>
      </c>
      <c r="K4" s="346" t="s">
        <v>215</v>
      </c>
      <c r="L4" s="350" t="s">
        <v>433</v>
      </c>
      <c r="M4" s="349">
        <v>0</v>
      </c>
      <c r="N4" s="349">
        <v>0</v>
      </c>
      <c r="O4" s="349">
        <v>16</v>
      </c>
      <c r="P4" s="346" t="s">
        <v>64</v>
      </c>
      <c r="Q4" s="342"/>
      <c r="R4" s="342"/>
      <c r="S4" s="342"/>
      <c r="T4" s="342"/>
      <c r="U4" s="342"/>
      <c r="V4" s="342"/>
      <c r="W4" s="342"/>
      <c r="X4" s="342"/>
      <c r="Y4" s="349" t="s">
        <v>319</v>
      </c>
      <c r="Z4" s="349" t="s">
        <v>273</v>
      </c>
      <c r="AA4" s="349" t="s">
        <v>224</v>
      </c>
      <c r="AB4" s="342"/>
      <c r="AC4" s="349" t="s">
        <v>334</v>
      </c>
      <c r="AD4" s="349" t="s">
        <v>266</v>
      </c>
      <c r="AE4" s="349" t="s">
        <v>228</v>
      </c>
      <c r="AF4" s="349" t="s">
        <v>353</v>
      </c>
      <c r="AG4" s="342"/>
      <c r="AH4" s="342"/>
      <c r="AI4" s="349" t="s">
        <v>899</v>
      </c>
      <c r="AJ4" s="342"/>
    </row>
    <row r="5" spans="1:36" x14ac:dyDescent="0.3">
      <c r="A5" s="344" t="s">
        <v>331</v>
      </c>
      <c r="B5" s="345">
        <v>45987</v>
      </c>
      <c r="C5" s="346" t="s">
        <v>822</v>
      </c>
      <c r="D5" s="347" t="s">
        <v>900</v>
      </c>
      <c r="E5" s="346" t="s">
        <v>793</v>
      </c>
      <c r="F5" s="346" t="s">
        <v>214</v>
      </c>
      <c r="G5" s="348">
        <v>1</v>
      </c>
      <c r="H5" s="349">
        <v>179</v>
      </c>
      <c r="I5" s="349">
        <v>179</v>
      </c>
      <c r="J5" s="349">
        <v>129</v>
      </c>
      <c r="K5" s="346" t="s">
        <v>215</v>
      </c>
      <c r="L5" s="350" t="s">
        <v>175</v>
      </c>
      <c r="M5" s="349">
        <v>1</v>
      </c>
      <c r="N5" s="349">
        <v>2</v>
      </c>
      <c r="O5" s="349">
        <v>15</v>
      </c>
      <c r="P5" s="346" t="s">
        <v>64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352</v>
      </c>
      <c r="AA5" s="349" t="s">
        <v>901</v>
      </c>
      <c r="AB5" s="342"/>
      <c r="AC5" s="349" t="s">
        <v>334</v>
      </c>
      <c r="AD5" s="349" t="s">
        <v>245</v>
      </c>
      <c r="AE5" s="349" t="s">
        <v>346</v>
      </c>
      <c r="AF5" s="349" t="s">
        <v>335</v>
      </c>
      <c r="AG5" s="342"/>
      <c r="AH5" s="342"/>
      <c r="AI5" s="349" t="s">
        <v>902</v>
      </c>
      <c r="AJ5" s="342"/>
    </row>
    <row r="6" spans="1:36" x14ac:dyDescent="0.3">
      <c r="A6" s="344" t="s">
        <v>240</v>
      </c>
      <c r="B6" s="345">
        <v>45988</v>
      </c>
      <c r="C6" s="346" t="s">
        <v>810</v>
      </c>
      <c r="D6" s="347" t="s">
        <v>791</v>
      </c>
      <c r="E6" s="346" t="s">
        <v>793</v>
      </c>
      <c r="F6" s="346" t="s">
        <v>214</v>
      </c>
      <c r="G6" s="348">
        <v>0.97770000000000001</v>
      </c>
      <c r="H6" s="349">
        <v>179</v>
      </c>
      <c r="I6" s="349">
        <v>175</v>
      </c>
      <c r="J6" s="349">
        <v>171</v>
      </c>
      <c r="K6" s="346" t="s">
        <v>215</v>
      </c>
      <c r="L6" s="350" t="s">
        <v>50</v>
      </c>
      <c r="M6" s="349">
        <v>0</v>
      </c>
      <c r="N6" s="349">
        <v>2</v>
      </c>
      <c r="O6" s="349">
        <v>2</v>
      </c>
      <c r="P6" s="346" t="s">
        <v>256</v>
      </c>
      <c r="Q6" s="342"/>
      <c r="R6" s="342"/>
      <c r="S6" s="342"/>
      <c r="T6" s="342"/>
      <c r="U6" s="342"/>
      <c r="V6" s="342"/>
      <c r="W6" s="342"/>
      <c r="X6" s="349" t="s">
        <v>243</v>
      </c>
      <c r="Y6" s="342"/>
      <c r="Z6" s="349" t="s">
        <v>244</v>
      </c>
      <c r="AA6" s="342"/>
      <c r="AB6" s="342"/>
      <c r="AC6" s="349" t="s">
        <v>279</v>
      </c>
      <c r="AD6" s="342"/>
      <c r="AE6" s="342"/>
      <c r="AF6" s="342"/>
      <c r="AG6" s="342"/>
      <c r="AH6" s="342"/>
      <c r="AI6" s="349" t="s">
        <v>903</v>
      </c>
      <c r="AJ6" s="342"/>
    </row>
    <row r="7" spans="1:36" x14ac:dyDescent="0.3">
      <c r="A7" s="344" t="s">
        <v>724</v>
      </c>
      <c r="B7" s="345">
        <v>45989</v>
      </c>
      <c r="C7" s="346" t="s">
        <v>810</v>
      </c>
      <c r="D7" s="347" t="s">
        <v>904</v>
      </c>
      <c r="E7" s="346" t="s">
        <v>793</v>
      </c>
      <c r="F7" s="346" t="s">
        <v>214</v>
      </c>
      <c r="G7" s="348">
        <v>0.48809999999999998</v>
      </c>
      <c r="H7" s="349">
        <v>168</v>
      </c>
      <c r="I7" s="349">
        <v>82</v>
      </c>
      <c r="J7" s="349">
        <v>0</v>
      </c>
      <c r="K7" s="346" t="s">
        <v>215</v>
      </c>
      <c r="L7" s="350" t="s">
        <v>175</v>
      </c>
      <c r="M7" s="349">
        <v>4</v>
      </c>
      <c r="N7" s="349">
        <v>13</v>
      </c>
      <c r="O7" s="349">
        <v>53</v>
      </c>
      <c r="P7" s="346" t="s">
        <v>738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273</v>
      </c>
      <c r="AA7" s="349" t="s">
        <v>905</v>
      </c>
      <c r="AB7" s="349" t="s">
        <v>906</v>
      </c>
      <c r="AC7" s="349" t="s">
        <v>907</v>
      </c>
      <c r="AD7" s="349" t="s">
        <v>687</v>
      </c>
      <c r="AE7" s="342"/>
      <c r="AF7" s="342"/>
      <c r="AG7" s="342"/>
      <c r="AH7" s="342"/>
      <c r="AI7" s="342"/>
      <c r="AJ7" s="342"/>
    </row>
    <row r="8" spans="1:36" x14ac:dyDescent="0.3">
      <c r="A8" s="344" t="s">
        <v>248</v>
      </c>
      <c r="B8" s="345">
        <v>45990</v>
      </c>
      <c r="C8" s="346" t="s">
        <v>822</v>
      </c>
      <c r="D8" s="347" t="s">
        <v>729</v>
      </c>
      <c r="E8" s="346" t="s">
        <v>793</v>
      </c>
      <c r="F8" s="346" t="s">
        <v>214</v>
      </c>
      <c r="G8" s="348">
        <v>0.97619999999999996</v>
      </c>
      <c r="H8" s="349">
        <v>168</v>
      </c>
      <c r="I8" s="349">
        <v>164</v>
      </c>
      <c r="J8" s="349">
        <v>138</v>
      </c>
      <c r="K8" s="346" t="s">
        <v>215</v>
      </c>
      <c r="L8" s="350" t="s">
        <v>433</v>
      </c>
      <c r="M8" s="349">
        <v>0</v>
      </c>
      <c r="N8" s="349">
        <v>0</v>
      </c>
      <c r="O8" s="349">
        <v>2</v>
      </c>
      <c r="P8" s="346" t="s">
        <v>319</v>
      </c>
      <c r="Q8" s="342"/>
      <c r="R8" s="342"/>
      <c r="S8" s="342"/>
      <c r="T8" s="342"/>
      <c r="U8" s="342"/>
      <c r="V8" s="342"/>
      <c r="W8" s="342"/>
      <c r="X8" s="342"/>
      <c r="Y8" s="349" t="s">
        <v>319</v>
      </c>
      <c r="Z8" s="349" t="s">
        <v>345</v>
      </c>
      <c r="AA8" s="342"/>
      <c r="AB8" s="349" t="s">
        <v>908</v>
      </c>
      <c r="AC8" s="349" t="s">
        <v>909</v>
      </c>
      <c r="AD8" s="342"/>
      <c r="AE8" s="342"/>
      <c r="AF8" s="342"/>
      <c r="AG8" s="342"/>
      <c r="AH8" s="342"/>
      <c r="AI8" s="349" t="s">
        <v>910</v>
      </c>
      <c r="AJ8" s="342"/>
    </row>
    <row r="9" spans="1:36" x14ac:dyDescent="0.3">
      <c r="A9" s="344" t="s">
        <v>248</v>
      </c>
      <c r="B9" s="345">
        <v>45990</v>
      </c>
      <c r="C9" s="346" t="s">
        <v>810</v>
      </c>
      <c r="D9" s="347" t="s">
        <v>911</v>
      </c>
      <c r="E9" s="346" t="s">
        <v>793</v>
      </c>
      <c r="F9" s="346" t="s">
        <v>214</v>
      </c>
      <c r="G9" s="348">
        <v>0.95240000000000002</v>
      </c>
      <c r="H9" s="349">
        <v>168</v>
      </c>
      <c r="I9" s="349">
        <v>160</v>
      </c>
      <c r="J9" s="349">
        <v>119</v>
      </c>
      <c r="K9" s="346" t="s">
        <v>215</v>
      </c>
      <c r="L9" s="350" t="s">
        <v>378</v>
      </c>
      <c r="M9" s="349">
        <v>0</v>
      </c>
      <c r="N9" s="349">
        <v>0</v>
      </c>
      <c r="O9" s="349">
        <v>1</v>
      </c>
      <c r="P9" s="346" t="s">
        <v>841</v>
      </c>
      <c r="Q9" s="342"/>
      <c r="R9" s="342"/>
      <c r="S9" s="342"/>
      <c r="T9" s="342"/>
      <c r="U9" s="342"/>
      <c r="V9" s="342"/>
      <c r="W9" s="342"/>
      <c r="X9" s="342"/>
      <c r="Y9" s="349" t="s">
        <v>173</v>
      </c>
      <c r="Z9" s="349" t="s">
        <v>234</v>
      </c>
      <c r="AA9" s="342"/>
      <c r="AB9" s="342"/>
      <c r="AC9" s="349" t="s">
        <v>334</v>
      </c>
      <c r="AD9" s="349" t="s">
        <v>282</v>
      </c>
      <c r="AE9" s="349" t="s">
        <v>286</v>
      </c>
      <c r="AF9" s="349" t="s">
        <v>347</v>
      </c>
      <c r="AG9" s="342"/>
      <c r="AH9" s="342"/>
      <c r="AI9" s="349" t="s">
        <v>912</v>
      </c>
      <c r="AJ9" s="342"/>
    </row>
    <row r="10" spans="1:36" x14ac:dyDescent="0.3">
      <c r="A10" s="344" t="s">
        <v>254</v>
      </c>
      <c r="B10" s="345">
        <v>45991</v>
      </c>
      <c r="C10" s="346" t="s">
        <v>822</v>
      </c>
      <c r="D10" s="347" t="s">
        <v>913</v>
      </c>
      <c r="E10" s="346" t="s">
        <v>793</v>
      </c>
      <c r="F10" s="346" t="s">
        <v>214</v>
      </c>
      <c r="G10" s="348">
        <v>0.98809999999999998</v>
      </c>
      <c r="H10" s="349">
        <v>168</v>
      </c>
      <c r="I10" s="349">
        <v>166</v>
      </c>
      <c r="J10" s="349">
        <v>137</v>
      </c>
      <c r="K10" s="346" t="s">
        <v>215</v>
      </c>
      <c r="L10" s="350" t="s">
        <v>130</v>
      </c>
      <c r="M10" s="349">
        <v>0</v>
      </c>
      <c r="N10" s="349">
        <v>0</v>
      </c>
      <c r="O10" s="349">
        <v>0</v>
      </c>
      <c r="P10" s="346" t="s">
        <v>173</v>
      </c>
      <c r="Q10" s="342"/>
      <c r="R10" s="342"/>
      <c r="S10" s="342"/>
      <c r="T10" s="342"/>
      <c r="U10" s="342"/>
      <c r="V10" s="342"/>
      <c r="W10" s="342"/>
      <c r="X10" s="342"/>
      <c r="Y10" s="342"/>
      <c r="Z10" s="349" t="s">
        <v>244</v>
      </c>
      <c r="AA10" s="342"/>
      <c r="AB10" s="342"/>
      <c r="AC10" s="349" t="s">
        <v>261</v>
      </c>
      <c r="AD10" s="349" t="s">
        <v>282</v>
      </c>
      <c r="AE10" s="349" t="s">
        <v>267</v>
      </c>
      <c r="AF10" s="349" t="s">
        <v>347</v>
      </c>
      <c r="AG10" s="342"/>
      <c r="AH10" s="342"/>
      <c r="AI10" s="349" t="s">
        <v>280</v>
      </c>
      <c r="AJ10" s="349" t="s">
        <v>247</v>
      </c>
    </row>
    <row r="11" spans="1:36" x14ac:dyDescent="0.3">
      <c r="A11" s="344" t="s">
        <v>254</v>
      </c>
      <c r="B11" s="345">
        <v>45991</v>
      </c>
      <c r="C11" s="346" t="s">
        <v>810</v>
      </c>
      <c r="D11" s="347" t="s">
        <v>914</v>
      </c>
      <c r="E11" s="346" t="s">
        <v>793</v>
      </c>
      <c r="F11" s="346" t="s">
        <v>214</v>
      </c>
      <c r="G11" s="348">
        <v>0.97019999999999995</v>
      </c>
      <c r="H11" s="349">
        <v>168</v>
      </c>
      <c r="I11" s="349">
        <v>163</v>
      </c>
      <c r="J11" s="349">
        <v>138</v>
      </c>
      <c r="K11" s="346" t="s">
        <v>215</v>
      </c>
      <c r="L11" s="350" t="s">
        <v>175</v>
      </c>
      <c r="M11" s="349">
        <v>2</v>
      </c>
      <c r="N11" s="349">
        <v>0</v>
      </c>
      <c r="O11" s="349">
        <v>4</v>
      </c>
      <c r="P11" s="346" t="s">
        <v>846</v>
      </c>
      <c r="Q11" s="342"/>
      <c r="R11" s="342"/>
      <c r="S11" s="342"/>
      <c r="T11" s="342"/>
      <c r="U11" s="342"/>
      <c r="V11" s="342"/>
      <c r="W11" s="342"/>
      <c r="X11" s="342"/>
      <c r="Y11" s="349" t="s">
        <v>682</v>
      </c>
      <c r="Z11" s="349" t="s">
        <v>345</v>
      </c>
      <c r="AA11" s="349" t="s">
        <v>695</v>
      </c>
      <c r="AB11" s="349" t="s">
        <v>915</v>
      </c>
      <c r="AC11" s="349" t="s">
        <v>226</v>
      </c>
      <c r="AD11" s="342"/>
      <c r="AE11" s="342"/>
      <c r="AF11" s="342"/>
      <c r="AG11" s="342"/>
      <c r="AH11" s="342"/>
      <c r="AI11" s="349" t="s">
        <v>789</v>
      </c>
      <c r="AJ11" s="349" t="s">
        <v>275</v>
      </c>
    </row>
    <row r="12" spans="1:36" x14ac:dyDescent="0.3">
      <c r="A12" s="344" t="s">
        <v>391</v>
      </c>
      <c r="B12" s="345">
        <v>45992</v>
      </c>
      <c r="C12" s="346" t="s">
        <v>822</v>
      </c>
      <c r="D12" s="347" t="s">
        <v>916</v>
      </c>
      <c r="E12" s="346" t="s">
        <v>793</v>
      </c>
      <c r="F12" s="346" t="s">
        <v>214</v>
      </c>
      <c r="G12" s="348">
        <v>0.93300000000000005</v>
      </c>
      <c r="H12" s="349">
        <v>179</v>
      </c>
      <c r="I12" s="349">
        <v>167</v>
      </c>
      <c r="J12" s="349">
        <v>135</v>
      </c>
      <c r="K12" s="346" t="s">
        <v>215</v>
      </c>
      <c r="L12" s="350" t="s">
        <v>311</v>
      </c>
      <c r="M12" s="349">
        <v>0</v>
      </c>
      <c r="N12" s="349">
        <v>0</v>
      </c>
      <c r="O12" s="349">
        <v>11</v>
      </c>
      <c r="P12" s="346" t="s">
        <v>851</v>
      </c>
      <c r="Q12" s="342"/>
      <c r="R12" s="342"/>
      <c r="S12" s="342"/>
      <c r="T12" s="342"/>
      <c r="U12" s="342"/>
      <c r="V12" s="342"/>
      <c r="W12" s="342"/>
      <c r="X12" s="342"/>
      <c r="Y12" s="342"/>
      <c r="Z12" s="349" t="s">
        <v>273</v>
      </c>
      <c r="AA12" s="342"/>
      <c r="AB12" s="342"/>
      <c r="AC12" s="349" t="s">
        <v>917</v>
      </c>
      <c r="AD12" s="349" t="s">
        <v>736</v>
      </c>
      <c r="AE12" s="349" t="s">
        <v>228</v>
      </c>
      <c r="AF12" s="342"/>
      <c r="AG12" s="342"/>
      <c r="AH12" s="342"/>
      <c r="AI12" s="349" t="s">
        <v>278</v>
      </c>
      <c r="AJ12" s="342"/>
    </row>
    <row r="13" spans="1:36" x14ac:dyDescent="0.3">
      <c r="A13" s="344" t="s">
        <v>391</v>
      </c>
      <c r="B13" s="345">
        <v>45992</v>
      </c>
      <c r="C13" s="346" t="s">
        <v>810</v>
      </c>
      <c r="D13" s="347" t="s">
        <v>336</v>
      </c>
      <c r="E13" s="346" t="s">
        <v>793</v>
      </c>
      <c r="F13" s="346" t="s">
        <v>214</v>
      </c>
      <c r="G13" s="348">
        <v>1</v>
      </c>
      <c r="H13" s="349">
        <v>168</v>
      </c>
      <c r="I13" s="349">
        <v>168</v>
      </c>
      <c r="J13" s="349">
        <v>123</v>
      </c>
      <c r="K13" s="346" t="s">
        <v>215</v>
      </c>
      <c r="L13" s="350" t="s">
        <v>63</v>
      </c>
      <c r="M13" s="349">
        <v>0</v>
      </c>
      <c r="N13" s="349">
        <v>0</v>
      </c>
      <c r="O13" s="349">
        <v>1</v>
      </c>
      <c r="P13" s="346" t="s">
        <v>64</v>
      </c>
      <c r="Q13" s="342"/>
      <c r="R13" s="342"/>
      <c r="S13" s="342"/>
      <c r="T13" s="342"/>
      <c r="U13" s="342"/>
      <c r="V13" s="342"/>
      <c r="W13" s="342"/>
      <c r="X13" s="342"/>
      <c r="Y13" s="349" t="s">
        <v>257</v>
      </c>
      <c r="Z13" s="349" t="s">
        <v>683</v>
      </c>
      <c r="AA13" s="342"/>
      <c r="AB13" s="342"/>
      <c r="AC13" s="349" t="s">
        <v>563</v>
      </c>
      <c r="AD13" s="349" t="s">
        <v>736</v>
      </c>
      <c r="AE13" s="349" t="s">
        <v>267</v>
      </c>
      <c r="AF13" s="349" t="s">
        <v>730</v>
      </c>
      <c r="AG13" s="342"/>
      <c r="AH13" s="342"/>
      <c r="AI13" s="349" t="s">
        <v>239</v>
      </c>
      <c r="AJ13" s="342"/>
    </row>
    <row r="14" spans="1:36" x14ac:dyDescent="0.3">
      <c r="A14" s="344" t="s">
        <v>212</v>
      </c>
      <c r="B14" s="345">
        <v>45993</v>
      </c>
      <c r="C14" s="346" t="s">
        <v>810</v>
      </c>
      <c r="D14" s="347" t="s">
        <v>893</v>
      </c>
      <c r="E14" s="346" t="s">
        <v>793</v>
      </c>
      <c r="F14" s="346" t="s">
        <v>214</v>
      </c>
      <c r="G14" s="348">
        <v>0.95240000000000002</v>
      </c>
      <c r="H14" s="349">
        <v>168</v>
      </c>
      <c r="I14" s="349">
        <v>160</v>
      </c>
      <c r="J14" s="349">
        <v>124</v>
      </c>
      <c r="K14" s="346" t="s">
        <v>215</v>
      </c>
      <c r="L14" s="350" t="s">
        <v>175</v>
      </c>
      <c r="M14" s="349">
        <v>1</v>
      </c>
      <c r="N14" s="349">
        <v>2</v>
      </c>
      <c r="O14" s="349">
        <v>8</v>
      </c>
      <c r="P14" s="346" t="s">
        <v>260</v>
      </c>
      <c r="Q14" s="342"/>
      <c r="R14" s="342"/>
      <c r="S14" s="342"/>
      <c r="T14" s="342"/>
      <c r="U14" s="342"/>
      <c r="V14" s="342"/>
      <c r="W14" s="342"/>
      <c r="X14" s="342"/>
      <c r="Y14" s="342"/>
      <c r="Z14" s="349" t="s">
        <v>244</v>
      </c>
      <c r="AA14" s="342"/>
      <c r="AB14" s="349" t="s">
        <v>908</v>
      </c>
      <c r="AC14" s="349" t="s">
        <v>226</v>
      </c>
      <c r="AD14" s="349" t="s">
        <v>266</v>
      </c>
      <c r="AE14" s="349" t="s">
        <v>267</v>
      </c>
      <c r="AF14" s="349" t="s">
        <v>347</v>
      </c>
      <c r="AG14" s="342"/>
      <c r="AH14" s="342"/>
      <c r="AI14" s="349" t="s">
        <v>918</v>
      </c>
      <c r="AJ14" s="342"/>
    </row>
    <row r="15" spans="1:36" x14ac:dyDescent="0.3">
      <c r="A15" s="344" t="s">
        <v>331</v>
      </c>
      <c r="B15" s="345">
        <v>45994</v>
      </c>
      <c r="C15" s="346" t="s">
        <v>819</v>
      </c>
      <c r="D15" s="347" t="s">
        <v>896</v>
      </c>
      <c r="E15" s="346" t="s">
        <v>793</v>
      </c>
      <c r="F15" s="346" t="s">
        <v>214</v>
      </c>
      <c r="G15" s="348">
        <v>0.9405</v>
      </c>
      <c r="H15" s="349">
        <v>168</v>
      </c>
      <c r="I15" s="349">
        <v>158</v>
      </c>
      <c r="J15" s="349">
        <v>135</v>
      </c>
      <c r="K15" s="346" t="s">
        <v>215</v>
      </c>
      <c r="L15" s="350" t="s">
        <v>50</v>
      </c>
      <c r="M15" s="349">
        <v>0</v>
      </c>
      <c r="N15" s="349">
        <v>3</v>
      </c>
      <c r="O15" s="349">
        <v>15</v>
      </c>
      <c r="P15" s="346" t="s">
        <v>266</v>
      </c>
      <c r="Q15" s="342"/>
      <c r="R15" s="342"/>
      <c r="S15" s="342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  <c r="AD15" s="342"/>
      <c r="AE15" s="349" t="s">
        <v>919</v>
      </c>
      <c r="AF15" s="342"/>
      <c r="AG15" s="349" t="s">
        <v>920</v>
      </c>
      <c r="AH15" s="342"/>
      <c r="AI15" s="349" t="s">
        <v>355</v>
      </c>
      <c r="AJ15" s="342"/>
    </row>
    <row r="16" spans="1:36" x14ac:dyDescent="0.3">
      <c r="A16" s="344" t="s">
        <v>331</v>
      </c>
      <c r="B16" s="345">
        <v>45994</v>
      </c>
      <c r="C16" s="346" t="s">
        <v>810</v>
      </c>
      <c r="D16" s="347" t="s">
        <v>898</v>
      </c>
      <c r="E16" s="346" t="s">
        <v>793</v>
      </c>
      <c r="F16" s="346" t="s">
        <v>214</v>
      </c>
      <c r="G16" s="348">
        <v>0.89290000000000003</v>
      </c>
      <c r="H16" s="349">
        <v>168</v>
      </c>
      <c r="I16" s="349">
        <v>150</v>
      </c>
      <c r="J16" s="349">
        <v>128</v>
      </c>
      <c r="K16" s="346" t="s">
        <v>215</v>
      </c>
      <c r="L16" s="350" t="s">
        <v>175</v>
      </c>
      <c r="M16" s="349">
        <v>1</v>
      </c>
      <c r="N16" s="349">
        <v>3</v>
      </c>
      <c r="O16" s="349">
        <v>13</v>
      </c>
      <c r="P16" s="346" t="s">
        <v>263</v>
      </c>
      <c r="Q16" s="342"/>
      <c r="R16" s="342"/>
      <c r="S16" s="342"/>
      <c r="T16" s="342"/>
      <c r="U16" s="342"/>
      <c r="V16" s="342"/>
      <c r="W16" s="342"/>
      <c r="X16" s="342"/>
      <c r="Y16" s="342"/>
      <c r="Z16" s="349" t="s">
        <v>244</v>
      </c>
      <c r="AA16" s="342"/>
      <c r="AB16" s="342"/>
      <c r="AC16" s="342"/>
      <c r="AD16" s="342"/>
      <c r="AE16" s="349" t="s">
        <v>684</v>
      </c>
      <c r="AF16" s="342"/>
      <c r="AG16" s="342"/>
      <c r="AH16" s="342"/>
      <c r="AI16" s="349" t="s">
        <v>246</v>
      </c>
      <c r="AJ16" s="342"/>
    </row>
    <row r="17" spans="1:36" x14ac:dyDescent="0.3">
      <c r="A17" s="344" t="s">
        <v>331</v>
      </c>
      <c r="B17" s="345">
        <v>45994</v>
      </c>
      <c r="C17" s="346" t="s">
        <v>822</v>
      </c>
      <c r="D17" s="347" t="s">
        <v>900</v>
      </c>
      <c r="E17" s="346" t="s">
        <v>793</v>
      </c>
      <c r="F17" s="346" t="s">
        <v>214</v>
      </c>
      <c r="G17" s="348">
        <v>0.89290000000000003</v>
      </c>
      <c r="H17" s="349">
        <v>168</v>
      </c>
      <c r="I17" s="349">
        <v>150</v>
      </c>
      <c r="J17" s="349">
        <v>109</v>
      </c>
      <c r="K17" s="346" t="s">
        <v>215</v>
      </c>
      <c r="L17" s="350" t="s">
        <v>175</v>
      </c>
      <c r="M17" s="349">
        <v>2</v>
      </c>
      <c r="N17" s="349">
        <v>3</v>
      </c>
      <c r="O17" s="349">
        <v>17</v>
      </c>
      <c r="P17" s="346" t="s">
        <v>265</v>
      </c>
      <c r="Q17" s="342"/>
      <c r="R17" s="342"/>
      <c r="S17" s="342"/>
      <c r="T17" s="342"/>
      <c r="U17" s="342"/>
      <c r="V17" s="342"/>
      <c r="W17" s="342"/>
      <c r="X17" s="342"/>
      <c r="Y17" s="342"/>
      <c r="Z17" s="349" t="s">
        <v>258</v>
      </c>
      <c r="AA17" s="342"/>
      <c r="AB17" s="342"/>
      <c r="AC17" s="342"/>
      <c r="AD17" s="349" t="s">
        <v>921</v>
      </c>
      <c r="AE17" s="349" t="s">
        <v>744</v>
      </c>
      <c r="AF17" s="349" t="s">
        <v>922</v>
      </c>
      <c r="AG17" s="342"/>
      <c r="AH17" s="342"/>
      <c r="AI17" s="349" t="s">
        <v>923</v>
      </c>
      <c r="AJ17" s="342"/>
    </row>
    <row r="18" spans="1:36" x14ac:dyDescent="0.3">
      <c r="A18" s="344" t="s">
        <v>240</v>
      </c>
      <c r="B18" s="345">
        <v>45995</v>
      </c>
      <c r="C18" s="346" t="s">
        <v>810</v>
      </c>
      <c r="D18" s="347" t="s">
        <v>791</v>
      </c>
      <c r="E18" s="346" t="s">
        <v>793</v>
      </c>
      <c r="F18" s="346" t="s">
        <v>214</v>
      </c>
      <c r="G18" s="348">
        <v>0.9345</v>
      </c>
      <c r="H18" s="349">
        <v>168</v>
      </c>
      <c r="I18" s="349">
        <v>157</v>
      </c>
      <c r="J18" s="349">
        <v>135</v>
      </c>
      <c r="K18" s="346" t="s">
        <v>215</v>
      </c>
      <c r="L18" s="350" t="s">
        <v>50</v>
      </c>
      <c r="M18" s="349">
        <v>0</v>
      </c>
      <c r="N18" s="349">
        <v>1</v>
      </c>
      <c r="O18" s="349">
        <v>5</v>
      </c>
      <c r="P18" s="346" t="s">
        <v>245</v>
      </c>
      <c r="Q18" s="342"/>
      <c r="R18" s="342"/>
      <c r="S18" s="342"/>
      <c r="T18" s="342"/>
      <c r="U18" s="342"/>
      <c r="V18" s="342"/>
      <c r="W18" s="342"/>
      <c r="X18" s="342"/>
      <c r="Y18" s="342"/>
      <c r="Z18" s="349" t="s">
        <v>774</v>
      </c>
      <c r="AA18" s="342"/>
      <c r="AB18" s="342"/>
      <c r="AC18" s="342"/>
      <c r="AD18" s="349" t="s">
        <v>236</v>
      </c>
      <c r="AE18" s="349" t="s">
        <v>228</v>
      </c>
      <c r="AF18" s="342"/>
      <c r="AG18" s="349" t="s">
        <v>782</v>
      </c>
      <c r="AH18" s="342"/>
      <c r="AI18" s="349" t="s">
        <v>269</v>
      </c>
      <c r="AJ18" s="342"/>
    </row>
    <row r="19" spans="1:36" x14ac:dyDescent="0.3">
      <c r="A19" s="344" t="s">
        <v>724</v>
      </c>
      <c r="B19" s="345">
        <v>45996</v>
      </c>
      <c r="C19" s="346" t="s">
        <v>810</v>
      </c>
      <c r="D19" s="347" t="s">
        <v>904</v>
      </c>
      <c r="E19" s="346" t="s">
        <v>793</v>
      </c>
      <c r="F19" s="346" t="s">
        <v>214</v>
      </c>
      <c r="G19" s="348">
        <v>0.77980000000000005</v>
      </c>
      <c r="H19" s="349">
        <v>168</v>
      </c>
      <c r="I19" s="349">
        <v>131</v>
      </c>
      <c r="J19" s="349">
        <v>95</v>
      </c>
      <c r="K19" s="346" t="s">
        <v>215</v>
      </c>
      <c r="L19" s="350" t="s">
        <v>175</v>
      </c>
      <c r="M19" s="349">
        <v>1</v>
      </c>
      <c r="N19" s="349">
        <v>1</v>
      </c>
      <c r="O19" s="349">
        <v>12</v>
      </c>
      <c r="P19" s="346" t="s">
        <v>265</v>
      </c>
      <c r="Q19" s="342"/>
      <c r="R19" s="342"/>
      <c r="S19" s="342"/>
      <c r="T19" s="342"/>
      <c r="U19" s="342"/>
      <c r="V19" s="342"/>
      <c r="W19" s="342"/>
      <c r="X19" s="342"/>
      <c r="Y19" s="342"/>
      <c r="Z19" s="349" t="s">
        <v>333</v>
      </c>
      <c r="AA19" s="342"/>
      <c r="AB19" s="349" t="s">
        <v>924</v>
      </c>
      <c r="AC19" s="349" t="s">
        <v>895</v>
      </c>
      <c r="AD19" s="349" t="s">
        <v>736</v>
      </c>
      <c r="AE19" s="349" t="s">
        <v>228</v>
      </c>
      <c r="AF19" s="342"/>
      <c r="AG19" s="342"/>
      <c r="AH19" s="342"/>
      <c r="AI19" s="349" t="s">
        <v>746</v>
      </c>
      <c r="AJ19" s="342"/>
    </row>
    <row r="20" spans="1:36" x14ac:dyDescent="0.3">
      <c r="A20" s="344" t="s">
        <v>248</v>
      </c>
      <c r="B20" s="345">
        <v>45997</v>
      </c>
      <c r="C20" s="346" t="s">
        <v>822</v>
      </c>
      <c r="D20" s="347" t="s">
        <v>729</v>
      </c>
      <c r="E20" s="346" t="s">
        <v>793</v>
      </c>
      <c r="F20" s="346" t="s">
        <v>214</v>
      </c>
      <c r="G20" s="348">
        <v>0.99399999999999999</v>
      </c>
      <c r="H20" s="349">
        <v>168</v>
      </c>
      <c r="I20" s="349">
        <v>167</v>
      </c>
      <c r="J20" s="349">
        <v>142</v>
      </c>
      <c r="K20" s="346" t="s">
        <v>215</v>
      </c>
      <c r="L20" s="350" t="s">
        <v>311</v>
      </c>
      <c r="M20" s="349">
        <v>0</v>
      </c>
      <c r="N20" s="349">
        <v>0</v>
      </c>
      <c r="O20" s="349">
        <v>8</v>
      </c>
      <c r="P20" s="346" t="s">
        <v>279</v>
      </c>
      <c r="Q20" s="342"/>
      <c r="R20" s="342"/>
      <c r="S20" s="342"/>
      <c r="T20" s="342"/>
      <c r="U20" s="342"/>
      <c r="V20" s="342"/>
      <c r="W20" s="342"/>
      <c r="X20" s="342"/>
      <c r="Y20" s="342"/>
      <c r="Z20" s="349" t="s">
        <v>345</v>
      </c>
      <c r="AA20" s="342"/>
      <c r="AB20" s="342"/>
      <c r="AC20" s="349" t="s">
        <v>279</v>
      </c>
      <c r="AD20" s="349" t="s">
        <v>736</v>
      </c>
      <c r="AE20" s="349" t="s">
        <v>228</v>
      </c>
      <c r="AF20" s="342"/>
      <c r="AG20" s="342"/>
      <c r="AH20" s="342"/>
      <c r="AI20" s="349" t="s">
        <v>925</v>
      </c>
      <c r="AJ20" s="342"/>
    </row>
    <row r="21" spans="1:36" x14ac:dyDescent="0.3">
      <c r="A21" s="344" t="s">
        <v>248</v>
      </c>
      <c r="B21" s="345">
        <v>45997</v>
      </c>
      <c r="C21" s="346" t="s">
        <v>810</v>
      </c>
      <c r="D21" s="347" t="s">
        <v>911</v>
      </c>
      <c r="E21" s="346" t="s">
        <v>793</v>
      </c>
      <c r="F21" s="346" t="s">
        <v>214</v>
      </c>
      <c r="G21" s="348">
        <v>1</v>
      </c>
      <c r="H21" s="349">
        <v>168</v>
      </c>
      <c r="I21" s="349">
        <v>168</v>
      </c>
      <c r="J21" s="349">
        <v>135</v>
      </c>
      <c r="K21" s="346" t="s">
        <v>215</v>
      </c>
      <c r="L21" s="350" t="s">
        <v>378</v>
      </c>
      <c r="M21" s="349">
        <v>0</v>
      </c>
      <c r="N21" s="349">
        <v>0</v>
      </c>
      <c r="O21" s="349">
        <v>6</v>
      </c>
      <c r="P21" s="346" t="s">
        <v>64</v>
      </c>
      <c r="Q21" s="342"/>
      <c r="R21" s="342"/>
      <c r="S21" s="342"/>
      <c r="T21" s="342"/>
      <c r="U21" s="342"/>
      <c r="V21" s="342"/>
      <c r="W21" s="342"/>
      <c r="X21" s="349" t="s">
        <v>216</v>
      </c>
      <c r="Y21" s="342"/>
      <c r="Z21" s="349" t="s">
        <v>333</v>
      </c>
      <c r="AA21" s="342"/>
      <c r="AB21" s="342"/>
      <c r="AC21" s="349" t="s">
        <v>387</v>
      </c>
      <c r="AD21" s="349" t="s">
        <v>736</v>
      </c>
      <c r="AE21" s="349" t="s">
        <v>228</v>
      </c>
      <c r="AF21" s="342"/>
      <c r="AG21" s="342"/>
      <c r="AH21" s="342"/>
      <c r="AI21" s="349" t="s">
        <v>278</v>
      </c>
      <c r="AJ21" s="349" t="s">
        <v>253</v>
      </c>
    </row>
    <row r="22" spans="1:36" x14ac:dyDescent="0.3">
      <c r="A22" s="344" t="s">
        <v>254</v>
      </c>
      <c r="B22" s="345">
        <v>45998</v>
      </c>
      <c r="C22" s="346" t="s">
        <v>822</v>
      </c>
      <c r="D22" s="347" t="s">
        <v>913</v>
      </c>
      <c r="E22" s="346" t="s">
        <v>793</v>
      </c>
      <c r="F22" s="346" t="s">
        <v>214</v>
      </c>
      <c r="G22" s="348">
        <v>1.0298</v>
      </c>
      <c r="H22" s="349">
        <v>168</v>
      </c>
      <c r="I22" s="349">
        <v>173</v>
      </c>
      <c r="J22" s="349">
        <v>161</v>
      </c>
      <c r="K22" s="346" t="s">
        <v>215</v>
      </c>
      <c r="L22" s="350" t="s">
        <v>880</v>
      </c>
      <c r="M22" s="349">
        <v>0</v>
      </c>
      <c r="N22" s="349">
        <v>0</v>
      </c>
      <c r="O22" s="349">
        <v>0</v>
      </c>
      <c r="P22" s="346" t="s">
        <v>64</v>
      </c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9" t="s">
        <v>394</v>
      </c>
      <c r="AF22" s="349" t="s">
        <v>353</v>
      </c>
      <c r="AG22" s="342"/>
      <c r="AH22" s="342"/>
      <c r="AI22" s="349" t="s">
        <v>348</v>
      </c>
      <c r="AJ22" s="342"/>
    </row>
    <row r="23" spans="1:36" x14ac:dyDescent="0.3">
      <c r="A23" s="344" t="s">
        <v>254</v>
      </c>
      <c r="B23" s="345">
        <v>45998</v>
      </c>
      <c r="C23" s="346" t="s">
        <v>810</v>
      </c>
      <c r="D23" s="347" t="s">
        <v>914</v>
      </c>
      <c r="E23" s="346" t="s">
        <v>793</v>
      </c>
      <c r="F23" s="346" t="s">
        <v>214</v>
      </c>
      <c r="G23" s="348">
        <v>1</v>
      </c>
      <c r="H23" s="349">
        <v>168</v>
      </c>
      <c r="I23" s="349">
        <v>168</v>
      </c>
      <c r="J23" s="349">
        <v>158</v>
      </c>
      <c r="K23" s="346" t="s">
        <v>215</v>
      </c>
      <c r="L23" s="350" t="s">
        <v>63</v>
      </c>
      <c r="M23" s="349">
        <v>0</v>
      </c>
      <c r="N23" s="349">
        <v>0</v>
      </c>
      <c r="O23" s="349">
        <v>5</v>
      </c>
      <c r="P23" s="346" t="s">
        <v>64</v>
      </c>
      <c r="Q23" s="342"/>
      <c r="R23" s="342"/>
      <c r="S23" s="342"/>
      <c r="T23" s="342"/>
      <c r="U23" s="342"/>
      <c r="V23" s="342"/>
      <c r="W23" s="342"/>
      <c r="X23" s="342"/>
      <c r="Y23" s="349" t="s">
        <v>682</v>
      </c>
      <c r="Z23" s="342"/>
      <c r="AA23" s="342"/>
      <c r="AB23" s="342"/>
      <c r="AC23" s="342"/>
      <c r="AD23" s="342"/>
      <c r="AE23" s="349" t="s">
        <v>237</v>
      </c>
      <c r="AF23" s="342"/>
      <c r="AG23" s="342"/>
      <c r="AH23" s="342"/>
      <c r="AI23" s="349" t="s">
        <v>926</v>
      </c>
      <c r="AJ23" s="342"/>
    </row>
    <row r="24" spans="1:36" x14ac:dyDescent="0.3">
      <c r="A24" s="344" t="s">
        <v>391</v>
      </c>
      <c r="B24" s="345">
        <v>45999</v>
      </c>
      <c r="C24" s="346" t="s">
        <v>822</v>
      </c>
      <c r="D24" s="347" t="s">
        <v>916</v>
      </c>
      <c r="E24" s="346" t="s">
        <v>793</v>
      </c>
      <c r="F24" s="346" t="s">
        <v>214</v>
      </c>
      <c r="G24" s="348">
        <v>0.88690000000000002</v>
      </c>
      <c r="H24" s="349">
        <v>168</v>
      </c>
      <c r="I24" s="349">
        <v>149</v>
      </c>
      <c r="J24" s="349">
        <v>134</v>
      </c>
      <c r="K24" s="346" t="s">
        <v>215</v>
      </c>
      <c r="L24" s="350" t="s">
        <v>50</v>
      </c>
      <c r="M24" s="349">
        <v>0</v>
      </c>
      <c r="N24" s="349">
        <v>3</v>
      </c>
      <c r="O24" s="349">
        <v>6</v>
      </c>
      <c r="P24" s="346" t="s">
        <v>543</v>
      </c>
      <c r="Q24" s="342"/>
      <c r="R24" s="342"/>
      <c r="S24" s="342"/>
      <c r="T24" s="342"/>
      <c r="U24" s="342"/>
      <c r="V24" s="342"/>
      <c r="W24" s="342"/>
      <c r="X24" s="342"/>
      <c r="Y24" s="342"/>
      <c r="Z24" s="342"/>
      <c r="AA24" s="342"/>
      <c r="AB24" s="342"/>
      <c r="AC24" s="342"/>
      <c r="AD24" s="349" t="s">
        <v>543</v>
      </c>
      <c r="AE24" s="349" t="s">
        <v>286</v>
      </c>
      <c r="AF24" s="349" t="s">
        <v>335</v>
      </c>
      <c r="AG24" s="342"/>
      <c r="AH24" s="342"/>
      <c r="AI24" s="349" t="s">
        <v>355</v>
      </c>
      <c r="AJ24" s="342"/>
    </row>
    <row r="25" spans="1:36" x14ac:dyDescent="0.3">
      <c r="A25" s="344" t="s">
        <v>391</v>
      </c>
      <c r="B25" s="345">
        <v>45999</v>
      </c>
      <c r="C25" s="346" t="s">
        <v>810</v>
      </c>
      <c r="D25" s="347" t="s">
        <v>336</v>
      </c>
      <c r="E25" s="346" t="s">
        <v>793</v>
      </c>
      <c r="F25" s="346" t="s">
        <v>214</v>
      </c>
      <c r="G25" s="348">
        <v>1</v>
      </c>
      <c r="H25" s="349">
        <v>168</v>
      </c>
      <c r="I25" s="349">
        <v>168</v>
      </c>
      <c r="J25" s="349">
        <v>131</v>
      </c>
      <c r="K25" s="346" t="s">
        <v>215</v>
      </c>
      <c r="L25" s="350" t="s">
        <v>50</v>
      </c>
      <c r="M25" s="349">
        <v>0</v>
      </c>
      <c r="N25" s="349">
        <v>3</v>
      </c>
      <c r="O25" s="349">
        <v>10</v>
      </c>
      <c r="P25" s="346" t="s">
        <v>64</v>
      </c>
      <c r="Q25" s="342"/>
      <c r="R25" s="342"/>
      <c r="S25" s="342"/>
      <c r="T25" s="342"/>
      <c r="U25" s="342"/>
      <c r="V25" s="342"/>
      <c r="W25" s="342"/>
      <c r="X25" s="342"/>
      <c r="Y25" s="342"/>
      <c r="Z25" s="349" t="s">
        <v>333</v>
      </c>
      <c r="AA25" s="342"/>
      <c r="AB25" s="342"/>
      <c r="AC25" s="349" t="s">
        <v>261</v>
      </c>
      <c r="AD25" s="349" t="s">
        <v>227</v>
      </c>
      <c r="AE25" s="349" t="s">
        <v>228</v>
      </c>
      <c r="AF25" s="349" t="s">
        <v>922</v>
      </c>
      <c r="AG25" s="342"/>
      <c r="AH25" s="342"/>
      <c r="AI25" s="349" t="s">
        <v>927</v>
      </c>
      <c r="AJ25" s="342"/>
    </row>
    <row r="26" spans="1:36" x14ac:dyDescent="0.3">
      <c r="A26" s="344" t="s">
        <v>212</v>
      </c>
      <c r="B26" s="345">
        <v>46000</v>
      </c>
      <c r="C26" s="346" t="s">
        <v>810</v>
      </c>
      <c r="D26" s="347" t="s">
        <v>928</v>
      </c>
      <c r="E26" s="346" t="s">
        <v>793</v>
      </c>
      <c r="F26" s="346" t="s">
        <v>214</v>
      </c>
      <c r="G26" s="348">
        <v>1.0238</v>
      </c>
      <c r="H26" s="349">
        <v>168</v>
      </c>
      <c r="I26" s="349">
        <v>172</v>
      </c>
      <c r="J26" s="349">
        <v>166</v>
      </c>
      <c r="K26" s="346" t="s">
        <v>215</v>
      </c>
      <c r="L26" s="350" t="s">
        <v>63</v>
      </c>
      <c r="M26" s="349">
        <v>0</v>
      </c>
      <c r="N26" s="349">
        <v>0</v>
      </c>
      <c r="O26" s="349">
        <v>42</v>
      </c>
      <c r="P26" s="346" t="s">
        <v>64</v>
      </c>
      <c r="Q26" s="342"/>
      <c r="R26" s="342"/>
      <c r="S26" s="342"/>
      <c r="T26" s="342"/>
      <c r="U26" s="342"/>
      <c r="V26" s="342"/>
      <c r="W26" s="342"/>
      <c r="X26" s="342"/>
      <c r="Y26" s="342"/>
      <c r="Z26" s="349" t="s">
        <v>244</v>
      </c>
      <c r="AA26" s="342"/>
      <c r="AB26" s="342"/>
      <c r="AC26" s="342"/>
      <c r="AD26" s="342"/>
      <c r="AE26" s="349" t="s">
        <v>526</v>
      </c>
      <c r="AF26" s="342"/>
      <c r="AG26" s="349" t="s">
        <v>762</v>
      </c>
      <c r="AH26" s="342"/>
      <c r="AI26" s="349" t="s">
        <v>929</v>
      </c>
      <c r="AJ26" s="342"/>
    </row>
    <row r="27" spans="1:36" x14ac:dyDescent="0.3">
      <c r="A27" s="344" t="s">
        <v>331</v>
      </c>
      <c r="B27" s="345">
        <v>46001</v>
      </c>
      <c r="C27" s="346" t="s">
        <v>819</v>
      </c>
      <c r="D27" s="347" t="s">
        <v>896</v>
      </c>
      <c r="E27" s="346" t="s">
        <v>793</v>
      </c>
      <c r="F27" s="346" t="s">
        <v>214</v>
      </c>
      <c r="G27" s="348">
        <v>0.97619999999999996</v>
      </c>
      <c r="H27" s="349">
        <v>168</v>
      </c>
      <c r="I27" s="349">
        <v>164</v>
      </c>
      <c r="J27" s="349">
        <v>135</v>
      </c>
      <c r="K27" s="346" t="s">
        <v>215</v>
      </c>
      <c r="L27" s="350" t="s">
        <v>433</v>
      </c>
      <c r="M27" s="349">
        <v>0</v>
      </c>
      <c r="N27" s="349">
        <v>0</v>
      </c>
      <c r="O27" s="349">
        <v>11</v>
      </c>
      <c r="P27" s="346" t="s">
        <v>261</v>
      </c>
      <c r="Q27" s="342"/>
      <c r="R27" s="342"/>
      <c r="S27" s="342"/>
      <c r="T27" s="342"/>
      <c r="U27" s="342"/>
      <c r="V27" s="342"/>
      <c r="W27" s="342"/>
      <c r="X27" s="342"/>
      <c r="Y27" s="342"/>
      <c r="Z27" s="349" t="s">
        <v>345</v>
      </c>
      <c r="AA27" s="342"/>
      <c r="AB27" s="342"/>
      <c r="AC27" s="349" t="s">
        <v>563</v>
      </c>
      <c r="AD27" s="349" t="s">
        <v>266</v>
      </c>
      <c r="AE27" s="349" t="s">
        <v>267</v>
      </c>
      <c r="AF27" s="349" t="s">
        <v>347</v>
      </c>
      <c r="AG27" s="342"/>
      <c r="AH27" s="342"/>
      <c r="AI27" s="349" t="s">
        <v>278</v>
      </c>
      <c r="AJ27" s="342"/>
    </row>
    <row r="28" spans="1:36" x14ac:dyDescent="0.3">
      <c r="A28" s="344" t="s">
        <v>331</v>
      </c>
      <c r="B28" s="345">
        <v>46001</v>
      </c>
      <c r="C28" s="346" t="s">
        <v>810</v>
      </c>
      <c r="D28" s="347" t="s">
        <v>898</v>
      </c>
      <c r="E28" s="346" t="s">
        <v>793</v>
      </c>
      <c r="F28" s="346" t="s">
        <v>214</v>
      </c>
      <c r="G28" s="348">
        <v>1</v>
      </c>
      <c r="H28" s="349">
        <v>168</v>
      </c>
      <c r="I28" s="349">
        <v>168</v>
      </c>
      <c r="J28" s="349">
        <v>157</v>
      </c>
      <c r="K28" s="346" t="s">
        <v>215</v>
      </c>
      <c r="L28" s="350" t="s">
        <v>140</v>
      </c>
      <c r="M28" s="349">
        <v>0</v>
      </c>
      <c r="N28" s="349">
        <v>0</v>
      </c>
      <c r="O28" s="349">
        <v>1</v>
      </c>
      <c r="P28" s="346" t="s">
        <v>64</v>
      </c>
      <c r="Q28" s="342"/>
      <c r="R28" s="342"/>
      <c r="S28" s="342"/>
      <c r="T28" s="342"/>
      <c r="U28" s="342"/>
      <c r="V28" s="342"/>
      <c r="W28" s="342"/>
      <c r="X28" s="342"/>
      <c r="Y28" s="342"/>
      <c r="Z28" s="349" t="s">
        <v>244</v>
      </c>
      <c r="AA28" s="342"/>
      <c r="AB28" s="342"/>
      <c r="AC28" s="342"/>
      <c r="AD28" s="342"/>
      <c r="AE28" s="349" t="s">
        <v>526</v>
      </c>
      <c r="AF28" s="349" t="s">
        <v>356</v>
      </c>
      <c r="AG28" s="342"/>
      <c r="AH28" s="342"/>
      <c r="AI28" s="349" t="s">
        <v>755</v>
      </c>
      <c r="AJ28" s="342"/>
    </row>
    <row r="29" spans="1:36" x14ac:dyDescent="0.3">
      <c r="A29" s="344" t="s">
        <v>331</v>
      </c>
      <c r="B29" s="345">
        <v>46001</v>
      </c>
      <c r="C29" s="346" t="s">
        <v>822</v>
      </c>
      <c r="D29" s="347" t="s">
        <v>900</v>
      </c>
      <c r="E29" s="346" t="s">
        <v>793</v>
      </c>
      <c r="F29" s="346" t="s">
        <v>214</v>
      </c>
      <c r="G29" s="348">
        <v>0.9345</v>
      </c>
      <c r="H29" s="349">
        <v>168</v>
      </c>
      <c r="I29" s="349">
        <v>157</v>
      </c>
      <c r="J29" s="349">
        <v>125</v>
      </c>
      <c r="K29" s="346" t="s">
        <v>215</v>
      </c>
      <c r="L29" s="350" t="s">
        <v>175</v>
      </c>
      <c r="M29" s="349">
        <v>1</v>
      </c>
      <c r="N29" s="349">
        <v>4</v>
      </c>
      <c r="O29" s="349">
        <v>13</v>
      </c>
      <c r="P29" s="346" t="s">
        <v>387</v>
      </c>
      <c r="Q29" s="342"/>
      <c r="R29" s="342"/>
      <c r="S29" s="342"/>
      <c r="T29" s="342"/>
      <c r="U29" s="342"/>
      <c r="V29" s="342"/>
      <c r="W29" s="342"/>
      <c r="X29" s="342"/>
      <c r="Y29" s="342"/>
      <c r="Z29" s="349" t="s">
        <v>345</v>
      </c>
      <c r="AA29" s="342"/>
      <c r="AB29" s="342"/>
      <c r="AC29" s="349" t="s">
        <v>334</v>
      </c>
      <c r="AD29" s="349" t="s">
        <v>227</v>
      </c>
      <c r="AE29" s="349" t="s">
        <v>286</v>
      </c>
      <c r="AF29" s="349" t="s">
        <v>335</v>
      </c>
      <c r="AG29" s="342"/>
      <c r="AH29" s="342"/>
      <c r="AI29" s="349" t="s">
        <v>929</v>
      </c>
      <c r="AJ29" s="342"/>
    </row>
    <row r="30" spans="1:36" ht="21" x14ac:dyDescent="0.3">
      <c r="A30" s="351" t="s">
        <v>1574</v>
      </c>
      <c r="B30" s="352"/>
      <c r="C30" s="351">
        <f>SUBTOTAL(103,JED_HBE_LF_LEGACY[Flt])</f>
        <v>28</v>
      </c>
      <c r="D30" s="351"/>
      <c r="E30" s="351">
        <f>SUBTOTAL(103,JED_HBE_LF_LEGACY[Brd-Off])</f>
        <v>28</v>
      </c>
      <c r="F30" s="351"/>
      <c r="G30" s="353">
        <f>SUBTOTAL(101,JED_HBE_LF_LEGACY[LF%])</f>
        <v>0.94588571428571455</v>
      </c>
      <c r="H30" s="354">
        <f>SUBTOTAL(109,JED_HBE_LF_LEGACY[CAP])</f>
        <v>4770</v>
      </c>
      <c r="I30" s="354">
        <f>SUBTOTAL(109,JED_HBE_LF_LEGACY[BKG(Y)])</f>
        <v>4514</v>
      </c>
      <c r="J30" s="354">
        <f>SUBTOTAL(109,JED_HBE_LF_LEGACY[GRP(Y)])</f>
        <v>3704</v>
      </c>
      <c r="K30" s="351"/>
      <c r="L30" s="352"/>
      <c r="M30" s="354">
        <f>SUBTOTAL(109,JED_HBE_LF_LEGACY[TO-DAY])</f>
        <v>13</v>
      </c>
      <c r="N30" s="354">
        <f>SUBTOTAL(109,JED_HBE_LF_LEGACY[Y-DAY])</f>
        <v>40</v>
      </c>
      <c r="O30" s="354">
        <f>SUBTOTAL(109,JED_HBE_LF_LEGACY[WEEKLY])</f>
        <v>293</v>
      </c>
      <c r="P30" s="355"/>
      <c r="Q30" s="354">
        <f>SUBTOTAL(109,JED_HBE_LF_LEGACY[Y])</f>
        <v>0</v>
      </c>
      <c r="R30" s="354">
        <f>SUBTOTAL(109,JED_HBE_LF_LEGACY[B])</f>
        <v>0</v>
      </c>
      <c r="S30" s="354">
        <f>SUBTOTAL(109,JED_HBE_LF_LEGACY[M])</f>
        <v>0</v>
      </c>
      <c r="T30" s="354">
        <f>SUBTOTAL(109,JED_HBE_LF_LEGACY[H])</f>
        <v>0</v>
      </c>
      <c r="U30" s="354">
        <f>SUBTOTAL(109,JED_HBE_LF_LEGACY[Q])</f>
        <v>0</v>
      </c>
      <c r="V30" s="354">
        <f>SUBTOTAL(109,JED_HBE_LF_LEGACY[K])</f>
        <v>0</v>
      </c>
      <c r="W30" s="354">
        <f>SUBTOTAL(109,JED_HBE_LF_LEGACY[V])</f>
        <v>0</v>
      </c>
      <c r="X30" s="354">
        <f>SUBTOTAL(109,JED_HBE_LF_LEGACY[L])</f>
        <v>0</v>
      </c>
      <c r="Y30" s="354">
        <f>SUBTOTAL(109,JED_HBE_LF_LEGACY[G])</f>
        <v>0</v>
      </c>
      <c r="Z30" s="354">
        <f>SUBTOTAL(109,JED_HBE_LF_LEGACY[S])</f>
        <v>0</v>
      </c>
      <c r="AA30" s="354">
        <f>SUBTOTAL(109,JED_HBE_LF_LEGACY[W])</f>
        <v>0</v>
      </c>
      <c r="AB30" s="354">
        <f>SUBTOTAL(109,JED_HBE_LF_LEGACY[T])</f>
        <v>0</v>
      </c>
      <c r="AC30" s="354">
        <f>SUBTOTAL(109,JED_HBE_LF_LEGACY[X])</f>
        <v>0</v>
      </c>
      <c r="AD30" s="354">
        <f>SUBTOTAL(109,JED_HBE_LF_LEGACY[U])</f>
        <v>0</v>
      </c>
      <c r="AE30" s="354">
        <f>SUBTOTAL(109,JED_HBE_LF_LEGACY[O])</f>
        <v>0</v>
      </c>
      <c r="AF30" s="354">
        <f>SUBTOTAL(109,JED_HBE_LF_LEGACY[I])</f>
        <v>0</v>
      </c>
      <c r="AG30" s="354">
        <f>SUBTOTAL(109,JED_HBE_LF_LEGACY[E])</f>
        <v>0</v>
      </c>
      <c r="AH30" s="354">
        <f>SUBTOTAL(109,JED_HBE_LF_LEGACY[A])</f>
        <v>0</v>
      </c>
      <c r="AI30" s="354">
        <f>SUBTOTAL(109,JED_HBE_LF_LEGACY[P])</f>
        <v>0</v>
      </c>
      <c r="AJ30" s="354">
        <f>SUBTOTAL(103,JED_HBE_LF_LEGACY[N])</f>
        <v>3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3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2.441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26</v>
      </c>
      <c r="C2" s="95" t="s">
        <v>794</v>
      </c>
      <c r="D2" s="94" t="s">
        <v>793</v>
      </c>
      <c r="E2" s="94" t="s">
        <v>930</v>
      </c>
      <c r="F2" s="94" t="s">
        <v>795</v>
      </c>
      <c r="G2" s="96">
        <v>3</v>
      </c>
      <c r="H2" s="97">
        <v>519</v>
      </c>
      <c r="I2" s="88"/>
    </row>
    <row r="3" spans="1:9" ht="19.8" customHeight="1" x14ac:dyDescent="0.3">
      <c r="A3" s="93" t="s">
        <v>292</v>
      </c>
      <c r="B3" s="94" t="s">
        <v>456</v>
      </c>
      <c r="C3" s="95" t="s">
        <v>801</v>
      </c>
      <c r="D3" s="94" t="s">
        <v>793</v>
      </c>
      <c r="E3" s="94" t="s">
        <v>931</v>
      </c>
      <c r="F3" s="94" t="s">
        <v>796</v>
      </c>
      <c r="G3" s="96">
        <v>9</v>
      </c>
      <c r="H3" s="97">
        <v>519</v>
      </c>
      <c r="I3" s="88"/>
    </row>
    <row r="4" spans="1:9" ht="19.8" customHeight="1" x14ac:dyDescent="0.3">
      <c r="A4" s="93" t="s">
        <v>292</v>
      </c>
      <c r="B4" s="94" t="s">
        <v>456</v>
      </c>
      <c r="C4" s="95" t="s">
        <v>801</v>
      </c>
      <c r="D4" s="94" t="s">
        <v>793</v>
      </c>
      <c r="E4" s="94" t="s">
        <v>931</v>
      </c>
      <c r="F4" s="94" t="s">
        <v>798</v>
      </c>
      <c r="G4" s="96">
        <v>9</v>
      </c>
      <c r="H4" s="97">
        <v>573</v>
      </c>
      <c r="I4" s="88"/>
    </row>
    <row r="5" spans="1:9" ht="19.8" customHeight="1" x14ac:dyDescent="0.3">
      <c r="A5" s="93" t="s">
        <v>292</v>
      </c>
      <c r="B5" s="94" t="s">
        <v>26</v>
      </c>
      <c r="C5" s="95" t="s">
        <v>794</v>
      </c>
      <c r="D5" s="94" t="s">
        <v>793</v>
      </c>
      <c r="E5" s="94" t="s">
        <v>930</v>
      </c>
      <c r="F5" s="94" t="s">
        <v>796</v>
      </c>
      <c r="G5" s="96">
        <v>3</v>
      </c>
      <c r="H5" s="97">
        <v>578</v>
      </c>
      <c r="I5" s="88"/>
    </row>
    <row r="6" spans="1:9" ht="19.8" customHeight="1" x14ac:dyDescent="0.3">
      <c r="A6" s="93" t="s">
        <v>292</v>
      </c>
      <c r="B6" s="94" t="s">
        <v>26</v>
      </c>
      <c r="C6" s="95" t="s">
        <v>794</v>
      </c>
      <c r="D6" s="94" t="s">
        <v>793</v>
      </c>
      <c r="E6" s="94" t="s">
        <v>930</v>
      </c>
      <c r="F6" s="94" t="s">
        <v>798</v>
      </c>
      <c r="G6" s="96">
        <v>3</v>
      </c>
      <c r="H6" s="97">
        <v>602</v>
      </c>
      <c r="I6" s="88"/>
    </row>
    <row r="7" spans="1:9" ht="19.8" customHeight="1" x14ac:dyDescent="0.3">
      <c r="A7" s="93" t="s">
        <v>292</v>
      </c>
      <c r="B7" s="94" t="s">
        <v>456</v>
      </c>
      <c r="C7" s="95" t="s">
        <v>801</v>
      </c>
      <c r="D7" s="94" t="s">
        <v>793</v>
      </c>
      <c r="E7" s="94" t="s">
        <v>931</v>
      </c>
      <c r="F7" s="94" t="s">
        <v>34</v>
      </c>
      <c r="G7" s="96">
        <v>9</v>
      </c>
      <c r="H7" s="97">
        <v>642</v>
      </c>
      <c r="I7" s="88"/>
    </row>
    <row r="8" spans="1:9" ht="19.8" customHeight="1" x14ac:dyDescent="0.3">
      <c r="A8" s="93" t="s">
        <v>292</v>
      </c>
      <c r="B8" s="94" t="s">
        <v>456</v>
      </c>
      <c r="C8" s="95" t="s">
        <v>804</v>
      </c>
      <c r="D8" s="94" t="s">
        <v>793</v>
      </c>
      <c r="E8" s="94" t="s">
        <v>932</v>
      </c>
      <c r="F8" s="94" t="s">
        <v>796</v>
      </c>
      <c r="G8" s="96">
        <v>9</v>
      </c>
      <c r="H8" s="97">
        <v>667</v>
      </c>
      <c r="I8" s="88"/>
    </row>
    <row r="9" spans="1:9" ht="19.8" customHeight="1" x14ac:dyDescent="0.3">
      <c r="A9" s="93" t="s">
        <v>292</v>
      </c>
      <c r="B9" s="94" t="s">
        <v>456</v>
      </c>
      <c r="C9" s="95" t="s">
        <v>804</v>
      </c>
      <c r="D9" s="94" t="s">
        <v>793</v>
      </c>
      <c r="E9" s="94" t="s">
        <v>932</v>
      </c>
      <c r="F9" s="94" t="s">
        <v>798</v>
      </c>
      <c r="G9" s="96">
        <v>9</v>
      </c>
      <c r="H9" s="97">
        <v>733</v>
      </c>
      <c r="I9" s="88"/>
    </row>
    <row r="10" spans="1:9" ht="19.8" customHeight="1" x14ac:dyDescent="0.3">
      <c r="A10" s="93" t="s">
        <v>292</v>
      </c>
      <c r="B10" s="94" t="s">
        <v>26</v>
      </c>
      <c r="C10" s="95" t="s">
        <v>794</v>
      </c>
      <c r="D10" s="94" t="s">
        <v>793</v>
      </c>
      <c r="E10" s="94" t="s">
        <v>930</v>
      </c>
      <c r="F10" s="94" t="s">
        <v>800</v>
      </c>
      <c r="G10" s="96">
        <v>3</v>
      </c>
      <c r="H10" s="97">
        <v>769</v>
      </c>
      <c r="I10" s="88"/>
    </row>
    <row r="11" spans="1:9" ht="19.8" customHeight="1" x14ac:dyDescent="0.3">
      <c r="A11" s="93" t="s">
        <v>292</v>
      </c>
      <c r="B11" s="94" t="s">
        <v>456</v>
      </c>
      <c r="C11" s="95" t="s">
        <v>804</v>
      </c>
      <c r="D11" s="94" t="s">
        <v>793</v>
      </c>
      <c r="E11" s="94" t="s">
        <v>932</v>
      </c>
      <c r="F11" s="94" t="s">
        <v>34</v>
      </c>
      <c r="G11" s="96">
        <v>9</v>
      </c>
      <c r="H11" s="97">
        <v>795</v>
      </c>
      <c r="I11" s="88"/>
    </row>
    <row r="12" spans="1:9" ht="19.8" customHeight="1" x14ac:dyDescent="0.3">
      <c r="A12" s="93" t="s">
        <v>292</v>
      </c>
      <c r="B12" s="94" t="s">
        <v>66</v>
      </c>
      <c r="C12" s="95" t="s">
        <v>807</v>
      </c>
      <c r="D12" s="94" t="s">
        <v>793</v>
      </c>
      <c r="E12" s="94" t="s">
        <v>933</v>
      </c>
      <c r="F12" s="94" t="s">
        <v>68</v>
      </c>
      <c r="G12" s="96">
        <v>9</v>
      </c>
      <c r="H12" s="107" t="s">
        <v>808</v>
      </c>
      <c r="I12" s="88"/>
    </row>
    <row r="13" spans="1:9" ht="19.8" customHeight="1" x14ac:dyDescent="0.3">
      <c r="A13" s="98" t="s">
        <v>292</v>
      </c>
      <c r="B13" s="99" t="s">
        <v>44</v>
      </c>
      <c r="C13" s="100" t="s">
        <v>809</v>
      </c>
      <c r="D13" s="99" t="s">
        <v>793</v>
      </c>
      <c r="E13" s="99" t="s">
        <v>893</v>
      </c>
      <c r="F13" s="99" t="s">
        <v>46</v>
      </c>
      <c r="G13" s="101">
        <v>3</v>
      </c>
      <c r="H13" s="119" t="s">
        <v>603</v>
      </c>
      <c r="I13" s="88"/>
    </row>
    <row r="14" spans="1:9" ht="19.8" customHeight="1" x14ac:dyDescent="0.3">
      <c r="A14" s="103">
        <v>45986</v>
      </c>
      <c r="B14" s="94" t="s">
        <v>78</v>
      </c>
      <c r="C14" s="95" t="s">
        <v>812</v>
      </c>
      <c r="D14" s="94" t="s">
        <v>793</v>
      </c>
      <c r="E14" s="104">
        <v>1.3402777777777779</v>
      </c>
      <c r="F14" s="94" t="s">
        <v>80</v>
      </c>
      <c r="G14" s="96">
        <v>9</v>
      </c>
      <c r="H14" s="107" t="s">
        <v>813</v>
      </c>
      <c r="I14" s="88"/>
    </row>
    <row r="15" spans="1:9" ht="19.8" customHeight="1" x14ac:dyDescent="0.3">
      <c r="A15" s="103">
        <v>45986</v>
      </c>
      <c r="B15" s="94" t="s">
        <v>78</v>
      </c>
      <c r="C15" s="95" t="s">
        <v>815</v>
      </c>
      <c r="D15" s="94" t="s">
        <v>793</v>
      </c>
      <c r="E15" s="104">
        <v>1.711805555555556</v>
      </c>
      <c r="F15" s="94" t="s">
        <v>80</v>
      </c>
      <c r="G15" s="96">
        <v>9</v>
      </c>
      <c r="H15" s="107" t="s">
        <v>813</v>
      </c>
      <c r="I15" s="88"/>
    </row>
    <row r="16" spans="1:9" ht="19.8" customHeight="1" x14ac:dyDescent="0.3">
      <c r="A16" s="103">
        <v>45986</v>
      </c>
      <c r="B16" s="94" t="s">
        <v>78</v>
      </c>
      <c r="C16" s="95" t="s">
        <v>812</v>
      </c>
      <c r="D16" s="94" t="s">
        <v>793</v>
      </c>
      <c r="E16" s="104">
        <v>1.3402777777777779</v>
      </c>
      <c r="F16" s="94" t="s">
        <v>83</v>
      </c>
      <c r="G16" s="96">
        <v>9</v>
      </c>
      <c r="H16" s="107" t="s">
        <v>814</v>
      </c>
      <c r="I16" s="88"/>
    </row>
    <row r="17" spans="1:9" ht="19.8" customHeight="1" x14ac:dyDescent="0.3">
      <c r="A17" s="113">
        <v>45986</v>
      </c>
      <c r="B17" s="114" t="s">
        <v>78</v>
      </c>
      <c r="C17" s="115" t="s">
        <v>815</v>
      </c>
      <c r="D17" s="114" t="s">
        <v>793</v>
      </c>
      <c r="E17" s="116">
        <v>1.711805555555556</v>
      </c>
      <c r="F17" s="114" t="s">
        <v>83</v>
      </c>
      <c r="G17" s="117">
        <v>9</v>
      </c>
      <c r="H17" s="118" t="s">
        <v>814</v>
      </c>
      <c r="I17" s="88"/>
    </row>
    <row r="18" spans="1:9" ht="19.8" customHeight="1" x14ac:dyDescent="0.3">
      <c r="A18" s="103">
        <v>45987</v>
      </c>
      <c r="B18" s="94" t="s">
        <v>66</v>
      </c>
      <c r="C18" s="95" t="s">
        <v>807</v>
      </c>
      <c r="D18" s="94" t="s">
        <v>793</v>
      </c>
      <c r="E18" s="104">
        <v>1.604166666666667</v>
      </c>
      <c r="F18" s="94" t="s">
        <v>68</v>
      </c>
      <c r="G18" s="96">
        <v>9</v>
      </c>
      <c r="H18" s="107" t="s">
        <v>816</v>
      </c>
      <c r="I18" s="88"/>
    </row>
    <row r="19" spans="1:9" ht="19.8" customHeight="1" x14ac:dyDescent="0.3">
      <c r="A19" s="105">
        <v>45987</v>
      </c>
      <c r="B19" s="99" t="s">
        <v>44</v>
      </c>
      <c r="C19" s="100" t="s">
        <v>817</v>
      </c>
      <c r="D19" s="99" t="s">
        <v>793</v>
      </c>
      <c r="E19" s="106">
        <v>1.4097222222222221</v>
      </c>
      <c r="F19" s="99" t="s">
        <v>46</v>
      </c>
      <c r="G19" s="101">
        <v>5</v>
      </c>
      <c r="H19" s="119" t="s">
        <v>818</v>
      </c>
      <c r="I19" s="88"/>
    </row>
    <row r="20" spans="1:9" ht="19.8" customHeight="1" x14ac:dyDescent="0.3">
      <c r="A20" s="103">
        <v>45987</v>
      </c>
      <c r="B20" s="94" t="s">
        <v>78</v>
      </c>
      <c r="C20" s="95" t="s">
        <v>815</v>
      </c>
      <c r="D20" s="94" t="s">
        <v>793</v>
      </c>
      <c r="E20" s="104">
        <v>1.711805555555556</v>
      </c>
      <c r="F20" s="94" t="s">
        <v>80</v>
      </c>
      <c r="G20" s="96">
        <v>2</v>
      </c>
      <c r="H20" s="107" t="s">
        <v>813</v>
      </c>
      <c r="I20" s="88"/>
    </row>
    <row r="21" spans="1:9" ht="19.8" customHeight="1" x14ac:dyDescent="0.3">
      <c r="A21" s="103">
        <v>45987</v>
      </c>
      <c r="B21" s="94" t="s">
        <v>78</v>
      </c>
      <c r="C21" s="95" t="s">
        <v>815</v>
      </c>
      <c r="D21" s="94" t="s">
        <v>793</v>
      </c>
      <c r="E21" s="104">
        <v>1.711805555555556</v>
      </c>
      <c r="F21" s="94" t="s">
        <v>83</v>
      </c>
      <c r="G21" s="96">
        <v>2</v>
      </c>
      <c r="H21" s="107" t="s">
        <v>814</v>
      </c>
      <c r="I21" s="88"/>
    </row>
    <row r="22" spans="1:9" ht="19.8" customHeight="1" x14ac:dyDescent="0.3">
      <c r="A22" s="105">
        <v>45987</v>
      </c>
      <c r="B22" s="99" t="s">
        <v>44</v>
      </c>
      <c r="C22" s="100" t="s">
        <v>810</v>
      </c>
      <c r="D22" s="99" t="s">
        <v>793</v>
      </c>
      <c r="E22" s="106">
        <v>1.65625</v>
      </c>
      <c r="F22" s="99" t="s">
        <v>61</v>
      </c>
      <c r="G22" s="99"/>
      <c r="H22" s="119" t="s">
        <v>62</v>
      </c>
      <c r="I22" s="88"/>
    </row>
    <row r="23" spans="1:9" ht="19.8" customHeight="1" x14ac:dyDescent="0.3">
      <c r="A23" s="108">
        <v>45987</v>
      </c>
      <c r="B23" s="109" t="s">
        <v>44</v>
      </c>
      <c r="C23" s="110" t="s">
        <v>822</v>
      </c>
      <c r="D23" s="109" t="s">
        <v>793</v>
      </c>
      <c r="E23" s="111">
        <v>1.71875</v>
      </c>
      <c r="F23" s="109" t="s">
        <v>61</v>
      </c>
      <c r="G23" s="109"/>
      <c r="H23" s="112" t="s">
        <v>62</v>
      </c>
      <c r="I23" s="88"/>
    </row>
    <row r="24" spans="1:9" ht="19.8" customHeight="1" x14ac:dyDescent="0.3">
      <c r="A24" s="103">
        <v>45988</v>
      </c>
      <c r="B24" s="94" t="s">
        <v>456</v>
      </c>
      <c r="C24" s="95" t="s">
        <v>804</v>
      </c>
      <c r="D24" s="94" t="s">
        <v>793</v>
      </c>
      <c r="E24" s="104">
        <v>1.5277777777777779</v>
      </c>
      <c r="F24" s="94" t="s">
        <v>796</v>
      </c>
      <c r="G24" s="96">
        <v>9</v>
      </c>
      <c r="H24" s="97">
        <v>459</v>
      </c>
      <c r="I24" s="88"/>
    </row>
    <row r="25" spans="1:9" ht="19.8" customHeight="1" x14ac:dyDescent="0.3">
      <c r="A25" s="103">
        <v>45988</v>
      </c>
      <c r="B25" s="94" t="s">
        <v>456</v>
      </c>
      <c r="C25" s="95" t="s">
        <v>804</v>
      </c>
      <c r="D25" s="94" t="s">
        <v>793</v>
      </c>
      <c r="E25" s="104">
        <v>1.5277777777777779</v>
      </c>
      <c r="F25" s="94" t="s">
        <v>798</v>
      </c>
      <c r="G25" s="96">
        <v>9</v>
      </c>
      <c r="H25" s="97">
        <v>513</v>
      </c>
      <c r="I25" s="88"/>
    </row>
    <row r="26" spans="1:9" ht="19.8" customHeight="1" x14ac:dyDescent="0.3">
      <c r="A26" s="103">
        <v>45988</v>
      </c>
      <c r="B26" s="94" t="s">
        <v>456</v>
      </c>
      <c r="C26" s="95" t="s">
        <v>826</v>
      </c>
      <c r="D26" s="94" t="s">
        <v>793</v>
      </c>
      <c r="E26" s="104">
        <v>1.7986111111111109</v>
      </c>
      <c r="F26" s="94" t="s">
        <v>796</v>
      </c>
      <c r="G26" s="96">
        <v>9</v>
      </c>
      <c r="H26" s="97">
        <v>515</v>
      </c>
      <c r="I26" s="88"/>
    </row>
    <row r="27" spans="1:9" ht="19.8" customHeight="1" x14ac:dyDescent="0.3">
      <c r="A27" s="103">
        <v>45988</v>
      </c>
      <c r="B27" s="94" t="s">
        <v>78</v>
      </c>
      <c r="C27" s="95" t="s">
        <v>812</v>
      </c>
      <c r="D27" s="94" t="s">
        <v>793</v>
      </c>
      <c r="E27" s="104">
        <v>1.3402777777777779</v>
      </c>
      <c r="F27" s="94" t="s">
        <v>829</v>
      </c>
      <c r="G27" s="96">
        <v>9</v>
      </c>
      <c r="H27" s="97">
        <v>560</v>
      </c>
      <c r="I27" s="88"/>
    </row>
    <row r="28" spans="1:9" ht="19.8" customHeight="1" x14ac:dyDescent="0.3">
      <c r="A28" s="103">
        <v>45988</v>
      </c>
      <c r="B28" s="94" t="s">
        <v>456</v>
      </c>
      <c r="C28" s="95" t="s">
        <v>826</v>
      </c>
      <c r="D28" s="94" t="s">
        <v>793</v>
      </c>
      <c r="E28" s="104">
        <v>1.7986111111111109</v>
      </c>
      <c r="F28" s="94" t="s">
        <v>798</v>
      </c>
      <c r="G28" s="96">
        <v>9</v>
      </c>
      <c r="H28" s="97">
        <v>569</v>
      </c>
      <c r="I28" s="88"/>
    </row>
    <row r="29" spans="1:9" ht="19.8" customHeight="1" x14ac:dyDescent="0.3">
      <c r="A29" s="103">
        <v>45988</v>
      </c>
      <c r="B29" s="94" t="s">
        <v>456</v>
      </c>
      <c r="C29" s="95" t="s">
        <v>804</v>
      </c>
      <c r="D29" s="94" t="s">
        <v>793</v>
      </c>
      <c r="E29" s="104">
        <v>1.5277777777777779</v>
      </c>
      <c r="F29" s="94" t="s">
        <v>34</v>
      </c>
      <c r="G29" s="96">
        <v>9</v>
      </c>
      <c r="H29" s="97">
        <v>582</v>
      </c>
      <c r="I29" s="88"/>
    </row>
    <row r="30" spans="1:9" ht="19.8" customHeight="1" x14ac:dyDescent="0.3">
      <c r="A30" s="103">
        <v>45988</v>
      </c>
      <c r="B30" s="94" t="s">
        <v>456</v>
      </c>
      <c r="C30" s="95" t="s">
        <v>826</v>
      </c>
      <c r="D30" s="94" t="s">
        <v>793</v>
      </c>
      <c r="E30" s="104">
        <v>1.7986111111111109</v>
      </c>
      <c r="F30" s="94" t="s">
        <v>34</v>
      </c>
      <c r="G30" s="96">
        <v>9</v>
      </c>
      <c r="H30" s="97">
        <v>638</v>
      </c>
      <c r="I30" s="88"/>
    </row>
    <row r="31" spans="1:9" ht="19.8" customHeight="1" x14ac:dyDescent="0.3">
      <c r="A31" s="103">
        <v>45988</v>
      </c>
      <c r="B31" s="94" t="s">
        <v>78</v>
      </c>
      <c r="C31" s="95" t="s">
        <v>812</v>
      </c>
      <c r="D31" s="94" t="s">
        <v>793</v>
      </c>
      <c r="E31" s="104">
        <v>1.3402777777777779</v>
      </c>
      <c r="F31" s="94" t="s">
        <v>80</v>
      </c>
      <c r="G31" s="96">
        <v>9</v>
      </c>
      <c r="H31" s="97">
        <v>704</v>
      </c>
      <c r="I31" s="88"/>
    </row>
    <row r="32" spans="1:9" ht="19.8" customHeight="1" x14ac:dyDescent="0.3">
      <c r="A32" s="103">
        <v>45988</v>
      </c>
      <c r="B32" s="94" t="s">
        <v>78</v>
      </c>
      <c r="C32" s="95" t="s">
        <v>812</v>
      </c>
      <c r="D32" s="94" t="s">
        <v>793</v>
      </c>
      <c r="E32" s="104">
        <v>1.3402777777777779</v>
      </c>
      <c r="F32" s="94" t="s">
        <v>83</v>
      </c>
      <c r="G32" s="96">
        <v>9</v>
      </c>
      <c r="H32" s="97">
        <v>776</v>
      </c>
      <c r="I32" s="88"/>
    </row>
    <row r="33" spans="1:9" ht="19.8" customHeight="1" x14ac:dyDescent="0.3">
      <c r="A33" s="108">
        <v>45988</v>
      </c>
      <c r="B33" s="109" t="s">
        <v>44</v>
      </c>
      <c r="C33" s="110" t="s">
        <v>809</v>
      </c>
      <c r="D33" s="109" t="s">
        <v>793</v>
      </c>
      <c r="E33" s="111">
        <v>1.274305555555556</v>
      </c>
      <c r="F33" s="109" t="s">
        <v>46</v>
      </c>
      <c r="G33" s="141">
        <v>4</v>
      </c>
      <c r="H33" s="143">
        <v>856</v>
      </c>
      <c r="I33" s="88"/>
    </row>
    <row r="34" spans="1:9" ht="19.8" customHeight="1" x14ac:dyDescent="0.3">
      <c r="A34" s="105">
        <v>45989</v>
      </c>
      <c r="B34" s="99" t="s">
        <v>44</v>
      </c>
      <c r="C34" s="100" t="s">
        <v>809</v>
      </c>
      <c r="D34" s="99" t="s">
        <v>793</v>
      </c>
      <c r="E34" s="106">
        <v>1.416666666666667</v>
      </c>
      <c r="F34" s="99" t="s">
        <v>46</v>
      </c>
      <c r="G34" s="101">
        <v>3</v>
      </c>
      <c r="H34" s="102">
        <v>646</v>
      </c>
      <c r="I34" s="88"/>
    </row>
    <row r="35" spans="1:9" ht="19.8" customHeight="1" x14ac:dyDescent="0.3">
      <c r="A35" s="103">
        <v>45989</v>
      </c>
      <c r="B35" s="94" t="s">
        <v>78</v>
      </c>
      <c r="C35" s="95" t="s">
        <v>815</v>
      </c>
      <c r="D35" s="94" t="s">
        <v>793</v>
      </c>
      <c r="E35" s="104">
        <v>1.711805555555556</v>
      </c>
      <c r="F35" s="94" t="s">
        <v>80</v>
      </c>
      <c r="G35" s="96">
        <v>4</v>
      </c>
      <c r="H35" s="107" t="s">
        <v>813</v>
      </c>
      <c r="I35" s="88"/>
    </row>
    <row r="36" spans="1:9" ht="19.8" customHeight="1" x14ac:dyDescent="0.3">
      <c r="A36" s="113">
        <v>45989</v>
      </c>
      <c r="B36" s="114" t="s">
        <v>78</v>
      </c>
      <c r="C36" s="115" t="s">
        <v>815</v>
      </c>
      <c r="D36" s="114" t="s">
        <v>793</v>
      </c>
      <c r="E36" s="116">
        <v>1.711805555555556</v>
      </c>
      <c r="F36" s="114" t="s">
        <v>83</v>
      </c>
      <c r="G36" s="117">
        <v>4</v>
      </c>
      <c r="H36" s="118" t="s">
        <v>814</v>
      </c>
      <c r="I36" s="88"/>
    </row>
    <row r="37" spans="1:9" ht="19.8" customHeight="1" x14ac:dyDescent="0.3">
      <c r="A37" s="103">
        <v>45990</v>
      </c>
      <c r="B37" s="94" t="s">
        <v>26</v>
      </c>
      <c r="C37" s="95" t="s">
        <v>794</v>
      </c>
      <c r="D37" s="94" t="s">
        <v>793</v>
      </c>
      <c r="E37" s="104">
        <v>1.256944444444444</v>
      </c>
      <c r="F37" s="94" t="s">
        <v>795</v>
      </c>
      <c r="G37" s="96">
        <v>5</v>
      </c>
      <c r="H37" s="97">
        <v>469</v>
      </c>
      <c r="I37" s="88"/>
    </row>
    <row r="38" spans="1:9" ht="19.8" customHeight="1" x14ac:dyDescent="0.3">
      <c r="A38" s="103">
        <v>45990</v>
      </c>
      <c r="B38" s="94" t="s">
        <v>26</v>
      </c>
      <c r="C38" s="95" t="s">
        <v>794</v>
      </c>
      <c r="D38" s="94" t="s">
        <v>793</v>
      </c>
      <c r="E38" s="104">
        <v>1.256944444444444</v>
      </c>
      <c r="F38" s="94" t="s">
        <v>796</v>
      </c>
      <c r="G38" s="96">
        <v>5</v>
      </c>
      <c r="H38" s="97">
        <v>528</v>
      </c>
      <c r="I38" s="88"/>
    </row>
    <row r="39" spans="1:9" ht="19.8" customHeight="1" x14ac:dyDescent="0.3">
      <c r="A39" s="103">
        <v>45990</v>
      </c>
      <c r="B39" s="94" t="s">
        <v>26</v>
      </c>
      <c r="C39" s="95" t="s">
        <v>794</v>
      </c>
      <c r="D39" s="94" t="s">
        <v>793</v>
      </c>
      <c r="E39" s="104">
        <v>1.256944444444444</v>
      </c>
      <c r="F39" s="94" t="s">
        <v>798</v>
      </c>
      <c r="G39" s="96">
        <v>5</v>
      </c>
      <c r="H39" s="97">
        <v>552</v>
      </c>
      <c r="I39" s="88"/>
    </row>
    <row r="40" spans="1:9" ht="19.8" customHeight="1" x14ac:dyDescent="0.3">
      <c r="A40" s="103">
        <v>45990</v>
      </c>
      <c r="B40" s="94" t="s">
        <v>456</v>
      </c>
      <c r="C40" s="95" t="s">
        <v>804</v>
      </c>
      <c r="D40" s="94" t="s">
        <v>793</v>
      </c>
      <c r="E40" s="104">
        <v>1.5277777777777779</v>
      </c>
      <c r="F40" s="94" t="s">
        <v>796</v>
      </c>
      <c r="G40" s="96">
        <v>9</v>
      </c>
      <c r="H40" s="97">
        <v>575</v>
      </c>
      <c r="I40" s="88"/>
    </row>
    <row r="41" spans="1:9" ht="19.8" customHeight="1" x14ac:dyDescent="0.3">
      <c r="A41" s="103">
        <v>45990</v>
      </c>
      <c r="B41" s="94" t="s">
        <v>456</v>
      </c>
      <c r="C41" s="95" t="s">
        <v>804</v>
      </c>
      <c r="D41" s="94" t="s">
        <v>793</v>
      </c>
      <c r="E41" s="104">
        <v>1.5277777777777779</v>
      </c>
      <c r="F41" s="94" t="s">
        <v>798</v>
      </c>
      <c r="G41" s="96">
        <v>9</v>
      </c>
      <c r="H41" s="97">
        <v>641</v>
      </c>
      <c r="I41" s="88"/>
    </row>
    <row r="42" spans="1:9" ht="19.8" customHeight="1" x14ac:dyDescent="0.3">
      <c r="A42" s="103">
        <v>45990</v>
      </c>
      <c r="B42" s="94" t="s">
        <v>456</v>
      </c>
      <c r="C42" s="95" t="s">
        <v>804</v>
      </c>
      <c r="D42" s="94" t="s">
        <v>793</v>
      </c>
      <c r="E42" s="104">
        <v>1.5277777777777779</v>
      </c>
      <c r="F42" s="94" t="s">
        <v>34</v>
      </c>
      <c r="G42" s="96">
        <v>9</v>
      </c>
      <c r="H42" s="97">
        <v>698</v>
      </c>
      <c r="I42" s="88"/>
    </row>
    <row r="43" spans="1:9" ht="19.8" customHeight="1" x14ac:dyDescent="0.3">
      <c r="A43" s="103">
        <v>45990</v>
      </c>
      <c r="B43" s="94" t="s">
        <v>26</v>
      </c>
      <c r="C43" s="95" t="s">
        <v>794</v>
      </c>
      <c r="D43" s="94" t="s">
        <v>793</v>
      </c>
      <c r="E43" s="104">
        <v>1.256944444444444</v>
      </c>
      <c r="F43" s="94" t="s">
        <v>800</v>
      </c>
      <c r="G43" s="96">
        <v>5</v>
      </c>
      <c r="H43" s="97">
        <v>719</v>
      </c>
      <c r="I43" s="88"/>
    </row>
    <row r="44" spans="1:9" ht="19.8" customHeight="1" x14ac:dyDescent="0.3">
      <c r="A44" s="105">
        <v>45990</v>
      </c>
      <c r="B44" s="99" t="s">
        <v>44</v>
      </c>
      <c r="C44" s="100" t="s">
        <v>809</v>
      </c>
      <c r="D44" s="99" t="s">
        <v>793</v>
      </c>
      <c r="E44" s="106">
        <v>1.791666666666667</v>
      </c>
      <c r="F44" s="99" t="s">
        <v>46</v>
      </c>
      <c r="G44" s="101">
        <v>8</v>
      </c>
      <c r="H44" s="102">
        <v>781</v>
      </c>
      <c r="I44" s="88"/>
    </row>
    <row r="45" spans="1:9" ht="19.8" customHeight="1" x14ac:dyDescent="0.3">
      <c r="A45" s="105">
        <v>45990</v>
      </c>
      <c r="B45" s="99" t="s">
        <v>44</v>
      </c>
      <c r="C45" s="100" t="s">
        <v>843</v>
      </c>
      <c r="D45" s="99" t="s">
        <v>793</v>
      </c>
      <c r="E45" s="106">
        <v>1.458333333333333</v>
      </c>
      <c r="F45" s="99" t="s">
        <v>46</v>
      </c>
      <c r="G45" s="101">
        <v>4</v>
      </c>
      <c r="H45" s="102">
        <v>781</v>
      </c>
      <c r="I45" s="88"/>
    </row>
    <row r="46" spans="1:9" ht="19.8" customHeight="1" x14ac:dyDescent="0.3">
      <c r="A46" s="103">
        <v>45990</v>
      </c>
      <c r="B46" s="94" t="s">
        <v>78</v>
      </c>
      <c r="C46" s="95" t="s">
        <v>812</v>
      </c>
      <c r="D46" s="94" t="s">
        <v>793</v>
      </c>
      <c r="E46" s="104">
        <v>1.3402777777777779</v>
      </c>
      <c r="F46" s="94" t="s">
        <v>80</v>
      </c>
      <c r="G46" s="96">
        <v>9</v>
      </c>
      <c r="H46" s="107" t="s">
        <v>813</v>
      </c>
      <c r="I46" s="88"/>
    </row>
    <row r="47" spans="1:9" ht="19.8" customHeight="1" x14ac:dyDescent="0.3">
      <c r="A47" s="103">
        <v>45990</v>
      </c>
      <c r="B47" s="94" t="s">
        <v>78</v>
      </c>
      <c r="C47" s="95" t="s">
        <v>815</v>
      </c>
      <c r="D47" s="94" t="s">
        <v>793</v>
      </c>
      <c r="E47" s="104">
        <v>1.711805555555556</v>
      </c>
      <c r="F47" s="94" t="s">
        <v>80</v>
      </c>
      <c r="G47" s="96">
        <v>9</v>
      </c>
      <c r="H47" s="107" t="s">
        <v>813</v>
      </c>
      <c r="I47" s="88"/>
    </row>
    <row r="48" spans="1:9" ht="19.8" customHeight="1" x14ac:dyDescent="0.3">
      <c r="A48" s="103">
        <v>45990</v>
      </c>
      <c r="B48" s="94" t="s">
        <v>78</v>
      </c>
      <c r="C48" s="95" t="s">
        <v>812</v>
      </c>
      <c r="D48" s="94" t="s">
        <v>793</v>
      </c>
      <c r="E48" s="104">
        <v>1.3402777777777779</v>
      </c>
      <c r="F48" s="94" t="s">
        <v>83</v>
      </c>
      <c r="G48" s="96">
        <v>9</v>
      </c>
      <c r="H48" s="107" t="s">
        <v>814</v>
      </c>
      <c r="I48" s="88"/>
    </row>
    <row r="49" spans="1:9" ht="19.8" customHeight="1" x14ac:dyDescent="0.3">
      <c r="A49" s="113">
        <v>45990</v>
      </c>
      <c r="B49" s="114" t="s">
        <v>78</v>
      </c>
      <c r="C49" s="115" t="s">
        <v>815</v>
      </c>
      <c r="D49" s="114" t="s">
        <v>793</v>
      </c>
      <c r="E49" s="116">
        <v>1.711805555555556</v>
      </c>
      <c r="F49" s="114" t="s">
        <v>83</v>
      </c>
      <c r="G49" s="117">
        <v>9</v>
      </c>
      <c r="H49" s="118" t="s">
        <v>814</v>
      </c>
      <c r="I49" s="88"/>
    </row>
    <row r="50" spans="1:9" ht="19.8" customHeight="1" x14ac:dyDescent="0.3">
      <c r="A50" s="103">
        <v>45991</v>
      </c>
      <c r="B50" s="94" t="s">
        <v>456</v>
      </c>
      <c r="C50" s="95" t="s">
        <v>804</v>
      </c>
      <c r="D50" s="94" t="s">
        <v>793</v>
      </c>
      <c r="E50" s="104">
        <v>1.5277777777777779</v>
      </c>
      <c r="F50" s="94" t="s">
        <v>796</v>
      </c>
      <c r="G50" s="96">
        <v>9</v>
      </c>
      <c r="H50" s="97">
        <v>616</v>
      </c>
      <c r="I50" s="88"/>
    </row>
    <row r="51" spans="1:9" ht="19.8" customHeight="1" x14ac:dyDescent="0.3">
      <c r="A51" s="105">
        <v>45991</v>
      </c>
      <c r="B51" s="99" t="s">
        <v>44</v>
      </c>
      <c r="C51" s="100" t="s">
        <v>809</v>
      </c>
      <c r="D51" s="99" t="s">
        <v>793</v>
      </c>
      <c r="E51" s="106">
        <v>1.6875</v>
      </c>
      <c r="F51" s="99" t="s">
        <v>46</v>
      </c>
      <c r="G51" s="101">
        <v>5</v>
      </c>
      <c r="H51" s="102">
        <v>646</v>
      </c>
      <c r="I51" s="88"/>
    </row>
    <row r="52" spans="1:9" ht="19.8" customHeight="1" x14ac:dyDescent="0.3">
      <c r="A52" s="103">
        <v>45991</v>
      </c>
      <c r="B52" s="94" t="s">
        <v>456</v>
      </c>
      <c r="C52" s="95" t="s">
        <v>804</v>
      </c>
      <c r="D52" s="94" t="s">
        <v>793</v>
      </c>
      <c r="E52" s="104">
        <v>1.5277777777777779</v>
      </c>
      <c r="F52" s="94" t="s">
        <v>798</v>
      </c>
      <c r="G52" s="96">
        <v>9</v>
      </c>
      <c r="H52" s="97">
        <v>682</v>
      </c>
      <c r="I52" s="88"/>
    </row>
    <row r="53" spans="1:9" ht="19.8" customHeight="1" x14ac:dyDescent="0.3">
      <c r="A53" s="103">
        <v>45991</v>
      </c>
      <c r="B53" s="94" t="s">
        <v>456</v>
      </c>
      <c r="C53" s="95" t="s">
        <v>804</v>
      </c>
      <c r="D53" s="94" t="s">
        <v>793</v>
      </c>
      <c r="E53" s="104">
        <v>1.5277777777777779</v>
      </c>
      <c r="F53" s="94" t="s">
        <v>34</v>
      </c>
      <c r="G53" s="96">
        <v>9</v>
      </c>
      <c r="H53" s="97">
        <v>739</v>
      </c>
      <c r="I53" s="88"/>
    </row>
    <row r="54" spans="1:9" ht="19.8" customHeight="1" x14ac:dyDescent="0.3">
      <c r="A54" s="105">
        <v>45991</v>
      </c>
      <c r="B54" s="99" t="s">
        <v>44</v>
      </c>
      <c r="C54" s="100" t="s">
        <v>843</v>
      </c>
      <c r="D54" s="99" t="s">
        <v>793</v>
      </c>
      <c r="E54" s="106">
        <v>1.489583333333333</v>
      </c>
      <c r="F54" s="99" t="s">
        <v>46</v>
      </c>
      <c r="G54" s="101">
        <v>2</v>
      </c>
      <c r="H54" s="102">
        <v>781</v>
      </c>
      <c r="I54" s="88"/>
    </row>
    <row r="55" spans="1:9" ht="19.8" customHeight="1" x14ac:dyDescent="0.3">
      <c r="A55" s="103">
        <v>45991</v>
      </c>
      <c r="B55" s="94" t="s">
        <v>78</v>
      </c>
      <c r="C55" s="95" t="s">
        <v>815</v>
      </c>
      <c r="D55" s="94" t="s">
        <v>793</v>
      </c>
      <c r="E55" s="104">
        <v>1.711805555555556</v>
      </c>
      <c r="F55" s="94" t="s">
        <v>80</v>
      </c>
      <c r="G55" s="96">
        <v>4</v>
      </c>
      <c r="H55" s="107" t="s">
        <v>849</v>
      </c>
      <c r="I55" s="88"/>
    </row>
    <row r="56" spans="1:9" ht="19.8" customHeight="1" x14ac:dyDescent="0.3">
      <c r="A56" s="113">
        <v>45991</v>
      </c>
      <c r="B56" s="114" t="s">
        <v>78</v>
      </c>
      <c r="C56" s="115" t="s">
        <v>815</v>
      </c>
      <c r="D56" s="114" t="s">
        <v>793</v>
      </c>
      <c r="E56" s="116">
        <v>1.711805555555556</v>
      </c>
      <c r="F56" s="114" t="s">
        <v>83</v>
      </c>
      <c r="G56" s="117">
        <v>4</v>
      </c>
      <c r="H56" s="118" t="s">
        <v>850</v>
      </c>
      <c r="I56" s="88"/>
    </row>
    <row r="57" spans="1:9" ht="19.8" customHeight="1" x14ac:dyDescent="0.3">
      <c r="A57" s="105">
        <v>45992</v>
      </c>
      <c r="B57" s="99" t="s">
        <v>44</v>
      </c>
      <c r="C57" s="100" t="s">
        <v>843</v>
      </c>
      <c r="D57" s="99" t="s">
        <v>793</v>
      </c>
      <c r="E57" s="106">
        <v>1.336805555555556</v>
      </c>
      <c r="F57" s="99" t="s">
        <v>46</v>
      </c>
      <c r="G57" s="101">
        <v>9</v>
      </c>
      <c r="H57" s="102">
        <v>856</v>
      </c>
      <c r="I57" s="88"/>
    </row>
    <row r="58" spans="1:9" ht="19.8" customHeight="1" x14ac:dyDescent="0.3">
      <c r="A58" s="103">
        <v>45992</v>
      </c>
      <c r="B58" s="94" t="s">
        <v>66</v>
      </c>
      <c r="C58" s="95" t="s">
        <v>807</v>
      </c>
      <c r="D58" s="94" t="s">
        <v>793</v>
      </c>
      <c r="E58" s="104">
        <v>1.604166666666667</v>
      </c>
      <c r="F58" s="94" t="s">
        <v>68</v>
      </c>
      <c r="G58" s="96">
        <v>9</v>
      </c>
      <c r="H58" s="107" t="s">
        <v>816</v>
      </c>
      <c r="I58" s="88"/>
    </row>
    <row r="59" spans="1:9" ht="19.8" customHeight="1" x14ac:dyDescent="0.3">
      <c r="A59" s="103">
        <v>45992</v>
      </c>
      <c r="B59" s="94" t="s">
        <v>78</v>
      </c>
      <c r="C59" s="95" t="s">
        <v>815</v>
      </c>
      <c r="D59" s="94" t="s">
        <v>793</v>
      </c>
      <c r="E59" s="104">
        <v>1.711805555555556</v>
      </c>
      <c r="F59" s="94" t="s">
        <v>80</v>
      </c>
      <c r="G59" s="96">
        <v>9</v>
      </c>
      <c r="H59" s="107" t="s">
        <v>813</v>
      </c>
      <c r="I59" s="88"/>
    </row>
    <row r="60" spans="1:9" ht="19.8" customHeight="1" x14ac:dyDescent="0.3">
      <c r="A60" s="103">
        <v>45992</v>
      </c>
      <c r="B60" s="94" t="s">
        <v>78</v>
      </c>
      <c r="C60" s="95" t="s">
        <v>815</v>
      </c>
      <c r="D60" s="94" t="s">
        <v>793</v>
      </c>
      <c r="E60" s="104">
        <v>1.711805555555556</v>
      </c>
      <c r="F60" s="94" t="s">
        <v>83</v>
      </c>
      <c r="G60" s="96">
        <v>9</v>
      </c>
      <c r="H60" s="107" t="s">
        <v>814</v>
      </c>
      <c r="I60" s="88"/>
    </row>
    <row r="61" spans="1:9" ht="19.8" customHeight="1" x14ac:dyDescent="0.3">
      <c r="A61" s="108">
        <v>45992</v>
      </c>
      <c r="B61" s="109" t="s">
        <v>44</v>
      </c>
      <c r="C61" s="110" t="s">
        <v>810</v>
      </c>
      <c r="D61" s="109" t="s">
        <v>793</v>
      </c>
      <c r="E61" s="111">
        <v>1.645833333333333</v>
      </c>
      <c r="F61" s="109" t="s">
        <v>61</v>
      </c>
      <c r="G61" s="109"/>
      <c r="H61" s="112" t="s">
        <v>62</v>
      </c>
      <c r="I61" s="88"/>
    </row>
    <row r="62" spans="1:9" ht="19.8" customHeight="1" x14ac:dyDescent="0.3">
      <c r="A62" s="103">
        <v>45993</v>
      </c>
      <c r="B62" s="94" t="s">
        <v>78</v>
      </c>
      <c r="C62" s="95" t="s">
        <v>812</v>
      </c>
      <c r="D62" s="94" t="s">
        <v>793</v>
      </c>
      <c r="E62" s="104">
        <v>1.3402777777777779</v>
      </c>
      <c r="F62" s="94" t="s">
        <v>829</v>
      </c>
      <c r="G62" s="96">
        <v>1</v>
      </c>
      <c r="H62" s="97">
        <v>471</v>
      </c>
      <c r="I62" s="88"/>
    </row>
    <row r="63" spans="1:9" ht="19.8" customHeight="1" x14ac:dyDescent="0.3">
      <c r="A63" s="105">
        <v>45993</v>
      </c>
      <c r="B63" s="99" t="s">
        <v>44</v>
      </c>
      <c r="C63" s="100" t="s">
        <v>809</v>
      </c>
      <c r="D63" s="99" t="s">
        <v>793</v>
      </c>
      <c r="E63" s="106">
        <v>1.708333333333333</v>
      </c>
      <c r="F63" s="99" t="s">
        <v>46</v>
      </c>
      <c r="G63" s="101">
        <v>4</v>
      </c>
      <c r="H63" s="102">
        <v>586</v>
      </c>
      <c r="I63" s="88"/>
    </row>
    <row r="64" spans="1:9" ht="19.8" customHeight="1" x14ac:dyDescent="0.3">
      <c r="A64" s="103">
        <v>45993</v>
      </c>
      <c r="B64" s="94" t="s">
        <v>78</v>
      </c>
      <c r="C64" s="95" t="s">
        <v>812</v>
      </c>
      <c r="D64" s="94" t="s">
        <v>793</v>
      </c>
      <c r="E64" s="104">
        <v>1.3402777777777779</v>
      </c>
      <c r="F64" s="94" t="s">
        <v>80</v>
      </c>
      <c r="G64" s="96">
        <v>1</v>
      </c>
      <c r="H64" s="97">
        <v>599</v>
      </c>
      <c r="I64" s="88"/>
    </row>
    <row r="65" spans="1:9" ht="19.8" customHeight="1" x14ac:dyDescent="0.3">
      <c r="A65" s="103">
        <v>45993</v>
      </c>
      <c r="B65" s="94" t="s">
        <v>78</v>
      </c>
      <c r="C65" s="95" t="s">
        <v>812</v>
      </c>
      <c r="D65" s="94" t="s">
        <v>793</v>
      </c>
      <c r="E65" s="104">
        <v>1.3402777777777779</v>
      </c>
      <c r="F65" s="94" t="s">
        <v>83</v>
      </c>
      <c r="G65" s="96">
        <v>1</v>
      </c>
      <c r="H65" s="97">
        <v>621</v>
      </c>
      <c r="I65" s="88"/>
    </row>
    <row r="66" spans="1:9" ht="19.8" customHeight="1" x14ac:dyDescent="0.3">
      <c r="A66" s="103">
        <v>45993</v>
      </c>
      <c r="B66" s="94" t="s">
        <v>66</v>
      </c>
      <c r="C66" s="95" t="s">
        <v>807</v>
      </c>
      <c r="D66" s="94" t="s">
        <v>793</v>
      </c>
      <c r="E66" s="104">
        <v>1.604166666666667</v>
      </c>
      <c r="F66" s="94" t="s">
        <v>68</v>
      </c>
      <c r="G66" s="96">
        <v>9</v>
      </c>
      <c r="H66" s="97">
        <v>906</v>
      </c>
      <c r="I66" s="88"/>
    </row>
    <row r="67" spans="1:9" ht="19.8" customHeight="1" x14ac:dyDescent="0.3">
      <c r="A67" s="103">
        <v>45993</v>
      </c>
      <c r="B67" s="94" t="s">
        <v>78</v>
      </c>
      <c r="C67" s="95" t="s">
        <v>815</v>
      </c>
      <c r="D67" s="94" t="s">
        <v>793</v>
      </c>
      <c r="E67" s="104">
        <v>1.711805555555556</v>
      </c>
      <c r="F67" s="94" t="s">
        <v>80</v>
      </c>
      <c r="G67" s="96">
        <v>9</v>
      </c>
      <c r="H67" s="107" t="s">
        <v>813</v>
      </c>
      <c r="I67" s="88"/>
    </row>
    <row r="68" spans="1:9" ht="19.8" customHeight="1" x14ac:dyDescent="0.3">
      <c r="A68" s="113">
        <v>45993</v>
      </c>
      <c r="B68" s="114" t="s">
        <v>78</v>
      </c>
      <c r="C68" s="115" t="s">
        <v>815</v>
      </c>
      <c r="D68" s="114" t="s">
        <v>793</v>
      </c>
      <c r="E68" s="116">
        <v>1.711805555555556</v>
      </c>
      <c r="F68" s="114" t="s">
        <v>83</v>
      </c>
      <c r="G68" s="117">
        <v>9</v>
      </c>
      <c r="H68" s="118" t="s">
        <v>814</v>
      </c>
      <c r="I68" s="88"/>
    </row>
    <row r="69" spans="1:9" ht="19.8" customHeight="1" x14ac:dyDescent="0.3">
      <c r="A69" s="105">
        <v>45994</v>
      </c>
      <c r="B69" s="99" t="s">
        <v>44</v>
      </c>
      <c r="C69" s="100" t="s">
        <v>809</v>
      </c>
      <c r="D69" s="99" t="s">
        <v>793</v>
      </c>
      <c r="E69" s="106">
        <v>1.65625</v>
      </c>
      <c r="F69" s="99" t="s">
        <v>46</v>
      </c>
      <c r="G69" s="101">
        <v>4</v>
      </c>
      <c r="H69" s="102">
        <v>436</v>
      </c>
      <c r="I69" s="88"/>
    </row>
    <row r="70" spans="1:9" ht="19.8" customHeight="1" x14ac:dyDescent="0.3">
      <c r="A70" s="105">
        <v>45994</v>
      </c>
      <c r="B70" s="99" t="s">
        <v>44</v>
      </c>
      <c r="C70" s="100" t="s">
        <v>817</v>
      </c>
      <c r="D70" s="99" t="s">
        <v>793</v>
      </c>
      <c r="E70" s="106">
        <v>1.4097222222222221</v>
      </c>
      <c r="F70" s="99" t="s">
        <v>46</v>
      </c>
      <c r="G70" s="101">
        <v>8</v>
      </c>
      <c r="H70" s="102">
        <v>471</v>
      </c>
      <c r="I70" s="88"/>
    </row>
    <row r="71" spans="1:9" ht="19.8" customHeight="1" x14ac:dyDescent="0.3">
      <c r="A71" s="103">
        <v>45994</v>
      </c>
      <c r="B71" s="94" t="s">
        <v>78</v>
      </c>
      <c r="C71" s="95" t="s">
        <v>815</v>
      </c>
      <c r="D71" s="94" t="s">
        <v>793</v>
      </c>
      <c r="E71" s="104">
        <v>1.711805555555556</v>
      </c>
      <c r="F71" s="94" t="s">
        <v>829</v>
      </c>
      <c r="G71" s="96">
        <v>8</v>
      </c>
      <c r="H71" s="97">
        <v>497</v>
      </c>
      <c r="I71" s="88"/>
    </row>
    <row r="72" spans="1:9" ht="19.8" customHeight="1" x14ac:dyDescent="0.3">
      <c r="A72" s="105">
        <v>45994</v>
      </c>
      <c r="B72" s="99" t="s">
        <v>44</v>
      </c>
      <c r="C72" s="100" t="s">
        <v>843</v>
      </c>
      <c r="D72" s="99" t="s">
        <v>793</v>
      </c>
      <c r="E72" s="106">
        <v>1.71875</v>
      </c>
      <c r="F72" s="99" t="s">
        <v>46</v>
      </c>
      <c r="G72" s="101">
        <v>9</v>
      </c>
      <c r="H72" s="102">
        <v>526</v>
      </c>
      <c r="I72" s="88"/>
    </row>
    <row r="73" spans="1:9" ht="19.8" customHeight="1" x14ac:dyDescent="0.3">
      <c r="A73" s="103">
        <v>45994</v>
      </c>
      <c r="B73" s="94" t="s">
        <v>456</v>
      </c>
      <c r="C73" s="95" t="s">
        <v>801</v>
      </c>
      <c r="D73" s="94" t="s">
        <v>793</v>
      </c>
      <c r="E73" s="104">
        <v>1.3298611111111109</v>
      </c>
      <c r="F73" s="94" t="s">
        <v>796</v>
      </c>
      <c r="G73" s="96">
        <v>9</v>
      </c>
      <c r="H73" s="97">
        <v>545</v>
      </c>
      <c r="I73" s="88"/>
    </row>
    <row r="74" spans="1:9" ht="19.8" customHeight="1" x14ac:dyDescent="0.3">
      <c r="A74" s="103">
        <v>45994</v>
      </c>
      <c r="B74" s="94" t="s">
        <v>456</v>
      </c>
      <c r="C74" s="95" t="s">
        <v>801</v>
      </c>
      <c r="D74" s="94" t="s">
        <v>793</v>
      </c>
      <c r="E74" s="104">
        <v>1.3298611111111109</v>
      </c>
      <c r="F74" s="94" t="s">
        <v>798</v>
      </c>
      <c r="G74" s="96">
        <v>9</v>
      </c>
      <c r="H74" s="97">
        <v>611</v>
      </c>
      <c r="I74" s="88"/>
    </row>
    <row r="75" spans="1:9" ht="19.8" customHeight="1" x14ac:dyDescent="0.3">
      <c r="A75" s="103">
        <v>45994</v>
      </c>
      <c r="B75" s="94" t="s">
        <v>66</v>
      </c>
      <c r="C75" s="95" t="s">
        <v>807</v>
      </c>
      <c r="D75" s="94" t="s">
        <v>793</v>
      </c>
      <c r="E75" s="104">
        <v>1.6388888888888891</v>
      </c>
      <c r="F75" s="94" t="s">
        <v>68</v>
      </c>
      <c r="G75" s="96">
        <v>9</v>
      </c>
      <c r="H75" s="97">
        <v>617</v>
      </c>
      <c r="I75" s="88"/>
    </row>
    <row r="76" spans="1:9" ht="19.8" customHeight="1" x14ac:dyDescent="0.3">
      <c r="A76" s="103">
        <v>45994</v>
      </c>
      <c r="B76" s="94" t="s">
        <v>78</v>
      </c>
      <c r="C76" s="95" t="s">
        <v>815</v>
      </c>
      <c r="D76" s="94" t="s">
        <v>793</v>
      </c>
      <c r="E76" s="104">
        <v>1.711805555555556</v>
      </c>
      <c r="F76" s="94" t="s">
        <v>80</v>
      </c>
      <c r="G76" s="96">
        <v>8</v>
      </c>
      <c r="H76" s="97">
        <v>630</v>
      </c>
      <c r="I76" s="88"/>
    </row>
    <row r="77" spans="1:9" ht="19.8" customHeight="1" x14ac:dyDescent="0.3">
      <c r="A77" s="103">
        <v>45994</v>
      </c>
      <c r="B77" s="94" t="s">
        <v>456</v>
      </c>
      <c r="C77" s="95" t="s">
        <v>801</v>
      </c>
      <c r="D77" s="94" t="s">
        <v>793</v>
      </c>
      <c r="E77" s="104">
        <v>1.3298611111111109</v>
      </c>
      <c r="F77" s="94" t="s">
        <v>34</v>
      </c>
      <c r="G77" s="96">
        <v>9</v>
      </c>
      <c r="H77" s="97">
        <v>668</v>
      </c>
      <c r="I77" s="88"/>
    </row>
    <row r="78" spans="1:9" ht="19.8" customHeight="1" x14ac:dyDescent="0.3">
      <c r="A78" s="113">
        <v>45994</v>
      </c>
      <c r="B78" s="114" t="s">
        <v>78</v>
      </c>
      <c r="C78" s="115" t="s">
        <v>815</v>
      </c>
      <c r="D78" s="114" t="s">
        <v>793</v>
      </c>
      <c r="E78" s="116">
        <v>1.711805555555556</v>
      </c>
      <c r="F78" s="114" t="s">
        <v>83</v>
      </c>
      <c r="G78" s="117">
        <v>8</v>
      </c>
      <c r="H78" s="142">
        <v>752</v>
      </c>
      <c r="I78" s="88"/>
    </row>
    <row r="79" spans="1:9" ht="19.8" customHeight="1" x14ac:dyDescent="0.3">
      <c r="A79" s="105">
        <v>45995</v>
      </c>
      <c r="B79" s="99" t="s">
        <v>44</v>
      </c>
      <c r="C79" s="100" t="s">
        <v>809</v>
      </c>
      <c r="D79" s="99" t="s">
        <v>793</v>
      </c>
      <c r="E79" s="106">
        <v>1.274305555555556</v>
      </c>
      <c r="F79" s="99" t="s">
        <v>46</v>
      </c>
      <c r="G79" s="101">
        <v>6</v>
      </c>
      <c r="H79" s="102">
        <v>471</v>
      </c>
      <c r="I79" s="88"/>
    </row>
    <row r="80" spans="1:9" ht="19.8" customHeight="1" x14ac:dyDescent="0.3">
      <c r="A80" s="103">
        <v>45995</v>
      </c>
      <c r="B80" s="94" t="s">
        <v>78</v>
      </c>
      <c r="C80" s="95" t="s">
        <v>812</v>
      </c>
      <c r="D80" s="94" t="s">
        <v>793</v>
      </c>
      <c r="E80" s="104">
        <v>1.3402777777777779</v>
      </c>
      <c r="F80" s="94" t="s">
        <v>829</v>
      </c>
      <c r="G80" s="96">
        <v>5</v>
      </c>
      <c r="H80" s="97">
        <v>497</v>
      </c>
      <c r="I80" s="88"/>
    </row>
    <row r="81" spans="1:9" ht="19.8" customHeight="1" x14ac:dyDescent="0.3">
      <c r="A81" s="103">
        <v>45995</v>
      </c>
      <c r="B81" s="94" t="s">
        <v>78</v>
      </c>
      <c r="C81" s="95" t="s">
        <v>812</v>
      </c>
      <c r="D81" s="94" t="s">
        <v>793</v>
      </c>
      <c r="E81" s="104">
        <v>1.3402777777777779</v>
      </c>
      <c r="F81" s="94" t="s">
        <v>80</v>
      </c>
      <c r="G81" s="96">
        <v>5</v>
      </c>
      <c r="H81" s="97">
        <v>630</v>
      </c>
      <c r="I81" s="88"/>
    </row>
    <row r="82" spans="1:9" ht="19.8" customHeight="1" x14ac:dyDescent="0.3">
      <c r="A82" s="103">
        <v>45995</v>
      </c>
      <c r="B82" s="94" t="s">
        <v>78</v>
      </c>
      <c r="C82" s="95" t="s">
        <v>812</v>
      </c>
      <c r="D82" s="94" t="s">
        <v>793</v>
      </c>
      <c r="E82" s="104">
        <v>1.3402777777777779</v>
      </c>
      <c r="F82" s="94" t="s">
        <v>83</v>
      </c>
      <c r="G82" s="96">
        <v>5</v>
      </c>
      <c r="H82" s="97">
        <v>752</v>
      </c>
      <c r="I82" s="88"/>
    </row>
    <row r="83" spans="1:9" ht="19.8" customHeight="1" x14ac:dyDescent="0.3">
      <c r="A83" s="103">
        <v>45995</v>
      </c>
      <c r="B83" s="94" t="s">
        <v>78</v>
      </c>
      <c r="C83" s="95" t="s">
        <v>815</v>
      </c>
      <c r="D83" s="94" t="s">
        <v>793</v>
      </c>
      <c r="E83" s="104">
        <v>1.711805555555556</v>
      </c>
      <c r="F83" s="94" t="s">
        <v>829</v>
      </c>
      <c r="G83" s="96">
        <v>9</v>
      </c>
      <c r="H83" s="97">
        <v>865</v>
      </c>
      <c r="I83" s="88"/>
    </row>
    <row r="84" spans="1:9" ht="19.8" customHeight="1" x14ac:dyDescent="0.3">
      <c r="A84" s="103">
        <v>45995</v>
      </c>
      <c r="B84" s="94" t="s">
        <v>78</v>
      </c>
      <c r="C84" s="95" t="s">
        <v>815</v>
      </c>
      <c r="D84" s="94" t="s">
        <v>793</v>
      </c>
      <c r="E84" s="104">
        <v>1.711805555555556</v>
      </c>
      <c r="F84" s="94" t="s">
        <v>80</v>
      </c>
      <c r="G84" s="96">
        <v>9</v>
      </c>
      <c r="H84" s="107" t="s">
        <v>869</v>
      </c>
      <c r="I84" s="88"/>
    </row>
    <row r="85" spans="1:9" ht="19.8" customHeight="1" x14ac:dyDescent="0.3">
      <c r="A85" s="113">
        <v>45995</v>
      </c>
      <c r="B85" s="114" t="s">
        <v>78</v>
      </c>
      <c r="C85" s="115" t="s">
        <v>815</v>
      </c>
      <c r="D85" s="114" t="s">
        <v>793</v>
      </c>
      <c r="E85" s="116">
        <v>1.711805555555556</v>
      </c>
      <c r="F85" s="114" t="s">
        <v>83</v>
      </c>
      <c r="G85" s="117">
        <v>9</v>
      </c>
      <c r="H85" s="118" t="s">
        <v>870</v>
      </c>
      <c r="I85" s="88"/>
    </row>
    <row r="86" spans="1:9" ht="19.8" customHeight="1" x14ac:dyDescent="0.3">
      <c r="A86" s="105">
        <v>45996</v>
      </c>
      <c r="B86" s="99" t="s">
        <v>44</v>
      </c>
      <c r="C86" s="100" t="s">
        <v>809</v>
      </c>
      <c r="D86" s="99" t="s">
        <v>793</v>
      </c>
      <c r="E86" s="106">
        <v>1.416666666666667</v>
      </c>
      <c r="F86" s="99" t="s">
        <v>46</v>
      </c>
      <c r="G86" s="101">
        <v>9</v>
      </c>
      <c r="H86" s="102">
        <v>526</v>
      </c>
      <c r="I86" s="88"/>
    </row>
    <row r="87" spans="1:9" ht="19.8" customHeight="1" x14ac:dyDescent="0.3">
      <c r="A87" s="103">
        <v>45996</v>
      </c>
      <c r="B87" s="94" t="s">
        <v>78</v>
      </c>
      <c r="C87" s="95" t="s">
        <v>815</v>
      </c>
      <c r="D87" s="94" t="s">
        <v>793</v>
      </c>
      <c r="E87" s="104">
        <v>1.711805555555556</v>
      </c>
      <c r="F87" s="94" t="s">
        <v>829</v>
      </c>
      <c r="G87" s="96">
        <v>9</v>
      </c>
      <c r="H87" s="97">
        <v>560</v>
      </c>
      <c r="I87" s="88"/>
    </row>
    <row r="88" spans="1:9" ht="19.8" customHeight="1" x14ac:dyDescent="0.3">
      <c r="A88" s="103">
        <v>45996</v>
      </c>
      <c r="B88" s="94" t="s">
        <v>78</v>
      </c>
      <c r="C88" s="95" t="s">
        <v>815</v>
      </c>
      <c r="D88" s="94" t="s">
        <v>793</v>
      </c>
      <c r="E88" s="104">
        <v>1.711805555555556</v>
      </c>
      <c r="F88" s="94" t="s">
        <v>80</v>
      </c>
      <c r="G88" s="96">
        <v>9</v>
      </c>
      <c r="H88" s="97">
        <v>704</v>
      </c>
      <c r="I88" s="88"/>
    </row>
    <row r="89" spans="1:9" ht="19.8" customHeight="1" x14ac:dyDescent="0.3">
      <c r="A89" s="113">
        <v>45996</v>
      </c>
      <c r="B89" s="114" t="s">
        <v>78</v>
      </c>
      <c r="C89" s="115" t="s">
        <v>815</v>
      </c>
      <c r="D89" s="114" t="s">
        <v>793</v>
      </c>
      <c r="E89" s="116">
        <v>1.711805555555556</v>
      </c>
      <c r="F89" s="114" t="s">
        <v>83</v>
      </c>
      <c r="G89" s="117">
        <v>9</v>
      </c>
      <c r="H89" s="142">
        <v>776</v>
      </c>
      <c r="I89" s="88"/>
    </row>
    <row r="90" spans="1:9" ht="19.8" customHeight="1" x14ac:dyDescent="0.3">
      <c r="A90" s="103">
        <v>45997</v>
      </c>
      <c r="B90" s="94" t="s">
        <v>456</v>
      </c>
      <c r="C90" s="95" t="s">
        <v>872</v>
      </c>
      <c r="D90" s="94" t="s">
        <v>793</v>
      </c>
      <c r="E90" s="104">
        <v>1.194444444444444</v>
      </c>
      <c r="F90" s="94" t="s">
        <v>796</v>
      </c>
      <c r="G90" s="96">
        <v>9</v>
      </c>
      <c r="H90" s="97">
        <v>446</v>
      </c>
      <c r="I90" s="88"/>
    </row>
    <row r="91" spans="1:9" ht="19.8" customHeight="1" x14ac:dyDescent="0.3">
      <c r="A91" s="103">
        <v>45997</v>
      </c>
      <c r="B91" s="94" t="s">
        <v>26</v>
      </c>
      <c r="C91" s="95" t="s">
        <v>794</v>
      </c>
      <c r="D91" s="94" t="s">
        <v>793</v>
      </c>
      <c r="E91" s="104">
        <v>1.256944444444444</v>
      </c>
      <c r="F91" s="94" t="s">
        <v>795</v>
      </c>
      <c r="G91" s="96">
        <v>8</v>
      </c>
      <c r="H91" s="97">
        <v>469</v>
      </c>
      <c r="I91" s="88"/>
    </row>
    <row r="92" spans="1:9" ht="19.8" customHeight="1" x14ac:dyDescent="0.3">
      <c r="A92" s="103">
        <v>45997</v>
      </c>
      <c r="B92" s="94" t="s">
        <v>456</v>
      </c>
      <c r="C92" s="95" t="s">
        <v>872</v>
      </c>
      <c r="D92" s="94" t="s">
        <v>793</v>
      </c>
      <c r="E92" s="104">
        <v>1.194444444444444</v>
      </c>
      <c r="F92" s="94" t="s">
        <v>798</v>
      </c>
      <c r="G92" s="96">
        <v>9</v>
      </c>
      <c r="H92" s="97">
        <v>491</v>
      </c>
      <c r="I92" s="88"/>
    </row>
    <row r="93" spans="1:9" ht="19.8" customHeight="1" x14ac:dyDescent="0.3">
      <c r="A93" s="105">
        <v>45997</v>
      </c>
      <c r="B93" s="99" t="s">
        <v>44</v>
      </c>
      <c r="C93" s="100" t="s">
        <v>843</v>
      </c>
      <c r="D93" s="99" t="s">
        <v>793</v>
      </c>
      <c r="E93" s="106">
        <v>1.458333333333333</v>
      </c>
      <c r="F93" s="99" t="s">
        <v>46</v>
      </c>
      <c r="G93" s="101">
        <v>1</v>
      </c>
      <c r="H93" s="102">
        <v>526</v>
      </c>
      <c r="I93" s="88"/>
    </row>
    <row r="94" spans="1:9" ht="19.8" customHeight="1" x14ac:dyDescent="0.3">
      <c r="A94" s="103">
        <v>45997</v>
      </c>
      <c r="B94" s="94" t="s">
        <v>26</v>
      </c>
      <c r="C94" s="95" t="s">
        <v>794</v>
      </c>
      <c r="D94" s="94" t="s">
        <v>793</v>
      </c>
      <c r="E94" s="104">
        <v>1.256944444444444</v>
      </c>
      <c r="F94" s="94" t="s">
        <v>796</v>
      </c>
      <c r="G94" s="96">
        <v>8</v>
      </c>
      <c r="H94" s="97">
        <v>528</v>
      </c>
      <c r="I94" s="88"/>
    </row>
    <row r="95" spans="1:9" ht="19.8" customHeight="1" x14ac:dyDescent="0.3">
      <c r="A95" s="103">
        <v>45997</v>
      </c>
      <c r="B95" s="94" t="s">
        <v>456</v>
      </c>
      <c r="C95" s="95" t="s">
        <v>804</v>
      </c>
      <c r="D95" s="94" t="s">
        <v>793</v>
      </c>
      <c r="E95" s="104">
        <v>1.5277777777777779</v>
      </c>
      <c r="F95" s="94" t="s">
        <v>796</v>
      </c>
      <c r="G95" s="96">
        <v>9</v>
      </c>
      <c r="H95" s="97">
        <v>539</v>
      </c>
      <c r="I95" s="88"/>
    </row>
    <row r="96" spans="1:9" ht="19.8" customHeight="1" x14ac:dyDescent="0.3">
      <c r="A96" s="103">
        <v>45997</v>
      </c>
      <c r="B96" s="94" t="s">
        <v>26</v>
      </c>
      <c r="C96" s="95" t="s">
        <v>794</v>
      </c>
      <c r="D96" s="94" t="s">
        <v>793</v>
      </c>
      <c r="E96" s="104">
        <v>1.256944444444444</v>
      </c>
      <c r="F96" s="94" t="s">
        <v>798</v>
      </c>
      <c r="G96" s="96">
        <v>8</v>
      </c>
      <c r="H96" s="97">
        <v>552</v>
      </c>
      <c r="I96" s="88"/>
    </row>
    <row r="97" spans="1:9" ht="19.8" customHeight="1" x14ac:dyDescent="0.3">
      <c r="A97" s="103">
        <v>45997</v>
      </c>
      <c r="B97" s="94" t="s">
        <v>78</v>
      </c>
      <c r="C97" s="95" t="s">
        <v>812</v>
      </c>
      <c r="D97" s="94" t="s">
        <v>793</v>
      </c>
      <c r="E97" s="104">
        <v>1.3402777777777779</v>
      </c>
      <c r="F97" s="94" t="s">
        <v>829</v>
      </c>
      <c r="G97" s="96">
        <v>9</v>
      </c>
      <c r="H97" s="97">
        <v>560</v>
      </c>
      <c r="I97" s="88"/>
    </row>
    <row r="98" spans="1:9" ht="19.8" customHeight="1" x14ac:dyDescent="0.3">
      <c r="A98" s="103">
        <v>45997</v>
      </c>
      <c r="B98" s="94" t="s">
        <v>456</v>
      </c>
      <c r="C98" s="95" t="s">
        <v>872</v>
      </c>
      <c r="D98" s="94" t="s">
        <v>793</v>
      </c>
      <c r="E98" s="104">
        <v>1.194444444444444</v>
      </c>
      <c r="F98" s="94" t="s">
        <v>34</v>
      </c>
      <c r="G98" s="96">
        <v>9</v>
      </c>
      <c r="H98" s="97">
        <v>569</v>
      </c>
      <c r="I98" s="88"/>
    </row>
    <row r="99" spans="1:9" ht="19.8" customHeight="1" x14ac:dyDescent="0.3">
      <c r="A99" s="103">
        <v>45997</v>
      </c>
      <c r="B99" s="94" t="s">
        <v>456</v>
      </c>
      <c r="C99" s="95" t="s">
        <v>804</v>
      </c>
      <c r="D99" s="94" t="s">
        <v>793</v>
      </c>
      <c r="E99" s="104">
        <v>1.5277777777777779</v>
      </c>
      <c r="F99" s="94" t="s">
        <v>798</v>
      </c>
      <c r="G99" s="96">
        <v>9</v>
      </c>
      <c r="H99" s="97">
        <v>605</v>
      </c>
      <c r="I99" s="88"/>
    </row>
    <row r="100" spans="1:9" ht="19.8" customHeight="1" x14ac:dyDescent="0.3">
      <c r="A100" s="103">
        <v>45997</v>
      </c>
      <c r="B100" s="94" t="s">
        <v>456</v>
      </c>
      <c r="C100" s="95" t="s">
        <v>804</v>
      </c>
      <c r="D100" s="94" t="s">
        <v>793</v>
      </c>
      <c r="E100" s="104">
        <v>1.5277777777777779</v>
      </c>
      <c r="F100" s="94" t="s">
        <v>34</v>
      </c>
      <c r="G100" s="96">
        <v>9</v>
      </c>
      <c r="H100" s="97">
        <v>663</v>
      </c>
      <c r="I100" s="88"/>
    </row>
    <row r="101" spans="1:9" ht="19.8" customHeight="1" x14ac:dyDescent="0.3">
      <c r="A101" s="103">
        <v>45997</v>
      </c>
      <c r="B101" s="94" t="s">
        <v>78</v>
      </c>
      <c r="C101" s="95" t="s">
        <v>812</v>
      </c>
      <c r="D101" s="94" t="s">
        <v>793</v>
      </c>
      <c r="E101" s="104">
        <v>1.3402777777777779</v>
      </c>
      <c r="F101" s="94" t="s">
        <v>80</v>
      </c>
      <c r="G101" s="96">
        <v>9</v>
      </c>
      <c r="H101" s="97">
        <v>704</v>
      </c>
      <c r="I101" s="88"/>
    </row>
    <row r="102" spans="1:9" ht="19.8" customHeight="1" x14ac:dyDescent="0.3">
      <c r="A102" s="103">
        <v>45997</v>
      </c>
      <c r="B102" s="94" t="s">
        <v>26</v>
      </c>
      <c r="C102" s="95" t="s">
        <v>794</v>
      </c>
      <c r="D102" s="94" t="s">
        <v>793</v>
      </c>
      <c r="E102" s="104">
        <v>1.256944444444444</v>
      </c>
      <c r="F102" s="94" t="s">
        <v>800</v>
      </c>
      <c r="G102" s="96">
        <v>8</v>
      </c>
      <c r="H102" s="97">
        <v>719</v>
      </c>
      <c r="I102" s="88"/>
    </row>
    <row r="103" spans="1:9" ht="19.8" customHeight="1" x14ac:dyDescent="0.3">
      <c r="A103" s="103">
        <v>45997</v>
      </c>
      <c r="B103" s="94" t="s">
        <v>78</v>
      </c>
      <c r="C103" s="95" t="s">
        <v>812</v>
      </c>
      <c r="D103" s="94" t="s">
        <v>793</v>
      </c>
      <c r="E103" s="104">
        <v>1.3402777777777779</v>
      </c>
      <c r="F103" s="94" t="s">
        <v>83</v>
      </c>
      <c r="G103" s="96">
        <v>9</v>
      </c>
      <c r="H103" s="97">
        <v>776</v>
      </c>
      <c r="I103" s="88"/>
    </row>
    <row r="104" spans="1:9" ht="19.8" customHeight="1" x14ac:dyDescent="0.3">
      <c r="A104" s="103">
        <v>45997</v>
      </c>
      <c r="B104" s="94" t="s">
        <v>66</v>
      </c>
      <c r="C104" s="95" t="s">
        <v>807</v>
      </c>
      <c r="D104" s="94" t="s">
        <v>793</v>
      </c>
      <c r="E104" s="104">
        <v>1.6388888888888891</v>
      </c>
      <c r="F104" s="94" t="s">
        <v>68</v>
      </c>
      <c r="G104" s="96">
        <v>9</v>
      </c>
      <c r="H104" s="107" t="s">
        <v>879</v>
      </c>
      <c r="I104" s="88"/>
    </row>
    <row r="105" spans="1:9" ht="19.8" customHeight="1" x14ac:dyDescent="0.3">
      <c r="A105" s="103">
        <v>45997</v>
      </c>
      <c r="B105" s="94" t="s">
        <v>78</v>
      </c>
      <c r="C105" s="95" t="s">
        <v>815</v>
      </c>
      <c r="D105" s="94" t="s">
        <v>793</v>
      </c>
      <c r="E105" s="104">
        <v>1.711805555555556</v>
      </c>
      <c r="F105" s="94" t="s">
        <v>80</v>
      </c>
      <c r="G105" s="96">
        <v>9</v>
      </c>
      <c r="H105" s="107" t="s">
        <v>813</v>
      </c>
      <c r="I105" s="88"/>
    </row>
    <row r="106" spans="1:9" ht="19.8" customHeight="1" x14ac:dyDescent="0.3">
      <c r="A106" s="103">
        <v>45997</v>
      </c>
      <c r="B106" s="94" t="s">
        <v>78</v>
      </c>
      <c r="C106" s="95" t="s">
        <v>815</v>
      </c>
      <c r="D106" s="94" t="s">
        <v>793</v>
      </c>
      <c r="E106" s="104">
        <v>1.711805555555556</v>
      </c>
      <c r="F106" s="94" t="s">
        <v>83</v>
      </c>
      <c r="G106" s="96">
        <v>9</v>
      </c>
      <c r="H106" s="107" t="s">
        <v>814</v>
      </c>
      <c r="I106" s="88"/>
    </row>
    <row r="107" spans="1:9" ht="19.8" customHeight="1" x14ac:dyDescent="0.3">
      <c r="A107" s="108">
        <v>45997</v>
      </c>
      <c r="B107" s="109" t="s">
        <v>44</v>
      </c>
      <c r="C107" s="110" t="s">
        <v>810</v>
      </c>
      <c r="D107" s="109" t="s">
        <v>793</v>
      </c>
      <c r="E107" s="111">
        <v>1.791666666666667</v>
      </c>
      <c r="F107" s="109" t="s">
        <v>61</v>
      </c>
      <c r="G107" s="109"/>
      <c r="H107" s="112" t="s">
        <v>62</v>
      </c>
      <c r="I107" s="88"/>
    </row>
    <row r="108" spans="1:9" ht="19.8" customHeight="1" x14ac:dyDescent="0.3">
      <c r="A108" s="103">
        <v>45998</v>
      </c>
      <c r="B108" s="94" t="s">
        <v>78</v>
      </c>
      <c r="C108" s="95" t="s">
        <v>815</v>
      </c>
      <c r="D108" s="94" t="s">
        <v>793</v>
      </c>
      <c r="E108" s="104">
        <v>1.711805555555556</v>
      </c>
      <c r="F108" s="94" t="s">
        <v>80</v>
      </c>
      <c r="G108" s="96">
        <v>1</v>
      </c>
      <c r="H108" s="107" t="s">
        <v>813</v>
      </c>
      <c r="I108" s="88"/>
    </row>
    <row r="109" spans="1:9" ht="19.8" customHeight="1" x14ac:dyDescent="0.3">
      <c r="A109" s="103">
        <v>45998</v>
      </c>
      <c r="B109" s="94" t="s">
        <v>78</v>
      </c>
      <c r="C109" s="95" t="s">
        <v>815</v>
      </c>
      <c r="D109" s="94" t="s">
        <v>793</v>
      </c>
      <c r="E109" s="104">
        <v>1.711805555555556</v>
      </c>
      <c r="F109" s="94" t="s">
        <v>83</v>
      </c>
      <c r="G109" s="96">
        <v>1</v>
      </c>
      <c r="H109" s="107" t="s">
        <v>814</v>
      </c>
      <c r="I109" s="88"/>
    </row>
    <row r="110" spans="1:9" ht="19.8" customHeight="1" x14ac:dyDescent="0.3">
      <c r="A110" s="105">
        <v>45998</v>
      </c>
      <c r="B110" s="99" t="s">
        <v>44</v>
      </c>
      <c r="C110" s="100" t="s">
        <v>822</v>
      </c>
      <c r="D110" s="99" t="s">
        <v>793</v>
      </c>
      <c r="E110" s="106">
        <v>1.489583333333333</v>
      </c>
      <c r="F110" s="99" t="s">
        <v>61</v>
      </c>
      <c r="G110" s="99"/>
      <c r="H110" s="119" t="s">
        <v>62</v>
      </c>
      <c r="I110" s="88"/>
    </row>
    <row r="111" spans="1:9" ht="19.8" customHeight="1" x14ac:dyDescent="0.3">
      <c r="A111" s="108">
        <v>45998</v>
      </c>
      <c r="B111" s="109" t="s">
        <v>44</v>
      </c>
      <c r="C111" s="110" t="s">
        <v>810</v>
      </c>
      <c r="D111" s="109" t="s">
        <v>793</v>
      </c>
      <c r="E111" s="111">
        <v>1.6875</v>
      </c>
      <c r="F111" s="109" t="s">
        <v>61</v>
      </c>
      <c r="G111" s="109"/>
      <c r="H111" s="112" t="s">
        <v>62</v>
      </c>
      <c r="I111" s="88"/>
    </row>
    <row r="112" spans="1:9" ht="19.8" customHeight="1" x14ac:dyDescent="0.3">
      <c r="A112" s="103">
        <v>45999</v>
      </c>
      <c r="B112" s="94" t="s">
        <v>456</v>
      </c>
      <c r="C112" s="95" t="s">
        <v>883</v>
      </c>
      <c r="D112" s="94" t="s">
        <v>793</v>
      </c>
      <c r="E112" s="104">
        <v>1.2951388888888891</v>
      </c>
      <c r="F112" s="94" t="s">
        <v>796</v>
      </c>
      <c r="G112" s="96">
        <v>9</v>
      </c>
      <c r="H112" s="97">
        <v>440</v>
      </c>
      <c r="I112" s="88"/>
    </row>
    <row r="113" spans="1:9" ht="19.8" customHeight="1" x14ac:dyDescent="0.3">
      <c r="A113" s="105">
        <v>45999</v>
      </c>
      <c r="B113" s="99" t="s">
        <v>44</v>
      </c>
      <c r="C113" s="100" t="s">
        <v>843</v>
      </c>
      <c r="D113" s="99" t="s">
        <v>793</v>
      </c>
      <c r="E113" s="106">
        <v>1.336805555555556</v>
      </c>
      <c r="F113" s="99" t="s">
        <v>46</v>
      </c>
      <c r="G113" s="101">
        <v>3</v>
      </c>
      <c r="H113" s="102">
        <v>471</v>
      </c>
      <c r="I113" s="88"/>
    </row>
    <row r="114" spans="1:9" ht="19.8" customHeight="1" x14ac:dyDescent="0.3">
      <c r="A114" s="103">
        <v>45999</v>
      </c>
      <c r="B114" s="94" t="s">
        <v>456</v>
      </c>
      <c r="C114" s="95" t="s">
        <v>883</v>
      </c>
      <c r="D114" s="94" t="s">
        <v>793</v>
      </c>
      <c r="E114" s="104">
        <v>1.2951388888888891</v>
      </c>
      <c r="F114" s="94" t="s">
        <v>798</v>
      </c>
      <c r="G114" s="96">
        <v>9</v>
      </c>
      <c r="H114" s="97">
        <v>485</v>
      </c>
      <c r="I114" s="88"/>
    </row>
    <row r="115" spans="1:9" ht="19.8" customHeight="1" x14ac:dyDescent="0.3">
      <c r="A115" s="103">
        <v>45999</v>
      </c>
      <c r="B115" s="94" t="s">
        <v>66</v>
      </c>
      <c r="C115" s="95" t="s">
        <v>807</v>
      </c>
      <c r="D115" s="94" t="s">
        <v>793</v>
      </c>
      <c r="E115" s="104">
        <v>1.604166666666667</v>
      </c>
      <c r="F115" s="94" t="s">
        <v>68</v>
      </c>
      <c r="G115" s="96">
        <v>9</v>
      </c>
      <c r="H115" s="97">
        <v>559</v>
      </c>
      <c r="I115" s="88"/>
    </row>
    <row r="116" spans="1:9" ht="19.8" customHeight="1" x14ac:dyDescent="0.3">
      <c r="A116" s="103">
        <v>45999</v>
      </c>
      <c r="B116" s="94" t="s">
        <v>456</v>
      </c>
      <c r="C116" s="95" t="s">
        <v>883</v>
      </c>
      <c r="D116" s="94" t="s">
        <v>793</v>
      </c>
      <c r="E116" s="104">
        <v>1.2951388888888891</v>
      </c>
      <c r="F116" s="94" t="s">
        <v>34</v>
      </c>
      <c r="G116" s="96">
        <v>9</v>
      </c>
      <c r="H116" s="97">
        <v>564</v>
      </c>
      <c r="I116" s="88"/>
    </row>
    <row r="117" spans="1:9" ht="19.8" customHeight="1" x14ac:dyDescent="0.3">
      <c r="A117" s="103">
        <v>45999</v>
      </c>
      <c r="B117" s="94" t="s">
        <v>78</v>
      </c>
      <c r="C117" s="95" t="s">
        <v>815</v>
      </c>
      <c r="D117" s="94" t="s">
        <v>793</v>
      </c>
      <c r="E117" s="104">
        <v>1.711805555555556</v>
      </c>
      <c r="F117" s="94" t="s">
        <v>80</v>
      </c>
      <c r="G117" s="96">
        <v>3</v>
      </c>
      <c r="H117" s="107" t="s">
        <v>813</v>
      </c>
      <c r="I117" s="88"/>
    </row>
    <row r="118" spans="1:9" ht="19.8" customHeight="1" x14ac:dyDescent="0.3">
      <c r="A118" s="103">
        <v>45999</v>
      </c>
      <c r="B118" s="94" t="s">
        <v>78</v>
      </c>
      <c r="C118" s="95" t="s">
        <v>815</v>
      </c>
      <c r="D118" s="94" t="s">
        <v>793</v>
      </c>
      <c r="E118" s="104">
        <v>1.711805555555556</v>
      </c>
      <c r="F118" s="94" t="s">
        <v>83</v>
      </c>
      <c r="G118" s="96">
        <v>3</v>
      </c>
      <c r="H118" s="107" t="s">
        <v>814</v>
      </c>
      <c r="I118" s="88"/>
    </row>
    <row r="119" spans="1:9" ht="19.8" customHeight="1" x14ac:dyDescent="0.3">
      <c r="A119" s="108">
        <v>45999</v>
      </c>
      <c r="B119" s="109" t="s">
        <v>44</v>
      </c>
      <c r="C119" s="110" t="s">
        <v>810</v>
      </c>
      <c r="D119" s="109" t="s">
        <v>793</v>
      </c>
      <c r="E119" s="111">
        <v>1.645833333333333</v>
      </c>
      <c r="F119" s="109" t="s">
        <v>61</v>
      </c>
      <c r="G119" s="109"/>
      <c r="H119" s="112" t="s">
        <v>62</v>
      </c>
      <c r="I119" s="88"/>
    </row>
    <row r="120" spans="1:9" ht="19.8" customHeight="1" x14ac:dyDescent="0.3">
      <c r="A120" s="103">
        <v>46000</v>
      </c>
      <c r="B120" s="94" t="s">
        <v>78</v>
      </c>
      <c r="C120" s="95" t="s">
        <v>812</v>
      </c>
      <c r="D120" s="94" t="s">
        <v>793</v>
      </c>
      <c r="E120" s="104">
        <v>1.3402777777777779</v>
      </c>
      <c r="F120" s="94" t="s">
        <v>829</v>
      </c>
      <c r="G120" s="96">
        <v>1</v>
      </c>
      <c r="H120" s="97">
        <v>471</v>
      </c>
      <c r="I120" s="88"/>
    </row>
    <row r="121" spans="1:9" ht="19.8" customHeight="1" x14ac:dyDescent="0.3">
      <c r="A121" s="103">
        <v>46000</v>
      </c>
      <c r="B121" s="94" t="s">
        <v>78</v>
      </c>
      <c r="C121" s="95" t="s">
        <v>812</v>
      </c>
      <c r="D121" s="94" t="s">
        <v>793</v>
      </c>
      <c r="E121" s="104">
        <v>1.3402777777777779</v>
      </c>
      <c r="F121" s="94" t="s">
        <v>80</v>
      </c>
      <c r="G121" s="96">
        <v>1</v>
      </c>
      <c r="H121" s="97">
        <v>599</v>
      </c>
      <c r="I121" s="88"/>
    </row>
    <row r="122" spans="1:9" ht="19.8" customHeight="1" x14ac:dyDescent="0.3">
      <c r="A122" s="103">
        <v>46000</v>
      </c>
      <c r="B122" s="94" t="s">
        <v>78</v>
      </c>
      <c r="C122" s="95" t="s">
        <v>812</v>
      </c>
      <c r="D122" s="94" t="s">
        <v>793</v>
      </c>
      <c r="E122" s="104">
        <v>1.3402777777777779</v>
      </c>
      <c r="F122" s="94" t="s">
        <v>83</v>
      </c>
      <c r="G122" s="96">
        <v>1</v>
      </c>
      <c r="H122" s="97">
        <v>621</v>
      </c>
      <c r="I122" s="88"/>
    </row>
    <row r="123" spans="1:9" ht="19.8" customHeight="1" x14ac:dyDescent="0.3">
      <c r="A123" s="103">
        <v>46000</v>
      </c>
      <c r="B123" s="94" t="s">
        <v>78</v>
      </c>
      <c r="C123" s="95" t="s">
        <v>815</v>
      </c>
      <c r="D123" s="94" t="s">
        <v>793</v>
      </c>
      <c r="E123" s="104">
        <v>1.711805555555556</v>
      </c>
      <c r="F123" s="94" t="s">
        <v>80</v>
      </c>
      <c r="G123" s="96">
        <v>9</v>
      </c>
      <c r="H123" s="107" t="s">
        <v>813</v>
      </c>
      <c r="I123" s="88"/>
    </row>
    <row r="124" spans="1:9" ht="19.8" customHeight="1" x14ac:dyDescent="0.3">
      <c r="A124" s="103">
        <v>46000</v>
      </c>
      <c r="B124" s="94" t="s">
        <v>78</v>
      </c>
      <c r="C124" s="95" t="s">
        <v>815</v>
      </c>
      <c r="D124" s="94" t="s">
        <v>793</v>
      </c>
      <c r="E124" s="104">
        <v>1.711805555555556</v>
      </c>
      <c r="F124" s="94" t="s">
        <v>83</v>
      </c>
      <c r="G124" s="96">
        <v>9</v>
      </c>
      <c r="H124" s="107" t="s">
        <v>814</v>
      </c>
      <c r="I124" s="88"/>
    </row>
    <row r="125" spans="1:9" ht="19.8" customHeight="1" x14ac:dyDescent="0.3">
      <c r="A125" s="108">
        <v>46000</v>
      </c>
      <c r="B125" s="109" t="s">
        <v>44</v>
      </c>
      <c r="C125" s="110" t="s">
        <v>810</v>
      </c>
      <c r="D125" s="109" t="s">
        <v>793</v>
      </c>
      <c r="E125" s="111">
        <v>1.9513888888888891</v>
      </c>
      <c r="F125" s="109" t="s">
        <v>61</v>
      </c>
      <c r="G125" s="109"/>
      <c r="H125" s="112" t="s">
        <v>62</v>
      </c>
      <c r="I125" s="88"/>
    </row>
    <row r="126" spans="1:9" ht="19.8" customHeight="1" x14ac:dyDescent="0.3">
      <c r="A126" s="105">
        <v>46001</v>
      </c>
      <c r="B126" s="99" t="s">
        <v>44</v>
      </c>
      <c r="C126" s="100" t="s">
        <v>817</v>
      </c>
      <c r="D126" s="99" t="s">
        <v>793</v>
      </c>
      <c r="E126" s="106">
        <v>1.4097222222222221</v>
      </c>
      <c r="F126" s="99" t="s">
        <v>46</v>
      </c>
      <c r="G126" s="101">
        <v>4</v>
      </c>
      <c r="H126" s="102">
        <v>526</v>
      </c>
      <c r="I126" s="88"/>
    </row>
    <row r="127" spans="1:9" ht="19.8" customHeight="1" x14ac:dyDescent="0.3">
      <c r="A127" s="105">
        <v>46001</v>
      </c>
      <c r="B127" s="99" t="s">
        <v>44</v>
      </c>
      <c r="C127" s="100" t="s">
        <v>843</v>
      </c>
      <c r="D127" s="99" t="s">
        <v>793</v>
      </c>
      <c r="E127" s="106">
        <v>1.71875</v>
      </c>
      <c r="F127" s="99" t="s">
        <v>46</v>
      </c>
      <c r="G127" s="101">
        <v>5</v>
      </c>
      <c r="H127" s="102">
        <v>526</v>
      </c>
      <c r="I127" s="88"/>
    </row>
    <row r="128" spans="1:9" ht="19.8" customHeight="1" x14ac:dyDescent="0.3">
      <c r="A128" s="103">
        <v>46001</v>
      </c>
      <c r="B128" s="94" t="s">
        <v>66</v>
      </c>
      <c r="C128" s="95" t="s">
        <v>807</v>
      </c>
      <c r="D128" s="94" t="s">
        <v>793</v>
      </c>
      <c r="E128" s="104">
        <v>1.6388888888888891</v>
      </c>
      <c r="F128" s="94" t="s">
        <v>68</v>
      </c>
      <c r="G128" s="96">
        <v>9</v>
      </c>
      <c r="H128" s="97">
        <v>617</v>
      </c>
      <c r="I128" s="88"/>
    </row>
    <row r="129" spans="1:9" ht="19.8" customHeight="1" x14ac:dyDescent="0.3">
      <c r="A129" s="103">
        <v>46001</v>
      </c>
      <c r="B129" s="94" t="s">
        <v>78</v>
      </c>
      <c r="C129" s="95" t="s">
        <v>815</v>
      </c>
      <c r="D129" s="94" t="s">
        <v>793</v>
      </c>
      <c r="E129" s="104">
        <v>1.711805555555556</v>
      </c>
      <c r="F129" s="94" t="s">
        <v>829</v>
      </c>
      <c r="G129" s="96">
        <v>9</v>
      </c>
      <c r="H129" s="97">
        <v>865</v>
      </c>
      <c r="I129" s="88"/>
    </row>
    <row r="130" spans="1:9" ht="19.8" customHeight="1" x14ac:dyDescent="0.3">
      <c r="A130" s="103">
        <v>46001</v>
      </c>
      <c r="B130" s="94" t="s">
        <v>78</v>
      </c>
      <c r="C130" s="95" t="s">
        <v>815</v>
      </c>
      <c r="D130" s="94" t="s">
        <v>793</v>
      </c>
      <c r="E130" s="104">
        <v>1.711805555555556</v>
      </c>
      <c r="F130" s="94" t="s">
        <v>80</v>
      </c>
      <c r="G130" s="96">
        <v>9</v>
      </c>
      <c r="H130" s="107" t="s">
        <v>869</v>
      </c>
      <c r="I130" s="88"/>
    </row>
    <row r="131" spans="1:9" ht="19.8" customHeight="1" x14ac:dyDescent="0.3">
      <c r="A131" s="103">
        <v>46001</v>
      </c>
      <c r="B131" s="94" t="s">
        <v>78</v>
      </c>
      <c r="C131" s="95" t="s">
        <v>815</v>
      </c>
      <c r="D131" s="94" t="s">
        <v>793</v>
      </c>
      <c r="E131" s="104">
        <v>1.711805555555556</v>
      </c>
      <c r="F131" s="94" t="s">
        <v>83</v>
      </c>
      <c r="G131" s="96">
        <v>9</v>
      </c>
      <c r="H131" s="107" t="s">
        <v>870</v>
      </c>
      <c r="I131" s="88"/>
    </row>
    <row r="132" spans="1:9" ht="19.8" customHeight="1" x14ac:dyDescent="0.3">
      <c r="A132" s="108">
        <v>46001</v>
      </c>
      <c r="B132" s="109" t="s">
        <v>44</v>
      </c>
      <c r="C132" s="110" t="s">
        <v>810</v>
      </c>
      <c r="D132" s="109" t="s">
        <v>793</v>
      </c>
      <c r="E132" s="111">
        <v>1.65625</v>
      </c>
      <c r="F132" s="109" t="s">
        <v>61</v>
      </c>
      <c r="G132" s="109"/>
      <c r="H132" s="112" t="s">
        <v>62</v>
      </c>
      <c r="I132" s="88"/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14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4.886718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8.8867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934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45982.8042910894</v>
      </c>
      <c r="H2" s="330"/>
      <c r="I2" s="330"/>
      <c r="J2" s="330"/>
      <c r="K2" s="334">
        <v>45982.804291089757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149" t="s">
        <v>44</v>
      </c>
      <c r="B6" s="149" t="s">
        <v>935</v>
      </c>
      <c r="C6" s="149">
        <v>0.32291666666666669</v>
      </c>
      <c r="D6" s="149" t="s">
        <v>61</v>
      </c>
      <c r="E6" s="149"/>
      <c r="F6" s="149" t="s">
        <v>936</v>
      </c>
      <c r="G6" s="335"/>
      <c r="H6" s="150" t="s">
        <v>935</v>
      </c>
      <c r="I6" s="211">
        <v>0.93300000000000005</v>
      </c>
      <c r="J6" s="152">
        <v>167</v>
      </c>
      <c r="K6" s="153" t="s">
        <v>157</v>
      </c>
      <c r="L6" s="152">
        <v>0</v>
      </c>
      <c r="M6" s="152">
        <v>0</v>
      </c>
      <c r="N6" s="152">
        <v>0</v>
      </c>
      <c r="O6" s="153" t="s">
        <v>257</v>
      </c>
      <c r="P6" s="153">
        <v>0.32291666666666669</v>
      </c>
      <c r="Q6" s="152">
        <v>179</v>
      </c>
      <c r="R6" s="154" t="s">
        <v>937</v>
      </c>
    </row>
    <row r="7" spans="1:18" ht="49.95" customHeight="1" x14ac:dyDescent="0.3">
      <c r="A7" s="212" t="s">
        <v>44</v>
      </c>
      <c r="B7" s="212" t="s">
        <v>938</v>
      </c>
      <c r="C7" s="212">
        <v>0.95138888888888884</v>
      </c>
      <c r="D7" s="212" t="s">
        <v>61</v>
      </c>
      <c r="E7" s="212"/>
      <c r="F7" s="212" t="s">
        <v>939</v>
      </c>
      <c r="G7" s="328"/>
      <c r="H7" s="213" t="s">
        <v>938</v>
      </c>
      <c r="I7" s="214">
        <v>0.97770000000000001</v>
      </c>
      <c r="J7" s="215">
        <v>175</v>
      </c>
      <c r="K7" s="216" t="s">
        <v>940</v>
      </c>
      <c r="L7" s="215">
        <v>0</v>
      </c>
      <c r="M7" s="215">
        <v>0</v>
      </c>
      <c r="N7" s="215">
        <v>0</v>
      </c>
      <c r="O7" s="216" t="s">
        <v>256</v>
      </c>
      <c r="P7" s="216">
        <v>0.95138888888888884</v>
      </c>
      <c r="Q7" s="215">
        <v>179</v>
      </c>
      <c r="R7" s="217" t="s">
        <v>941</v>
      </c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22.05" customHeight="1" x14ac:dyDescent="0.3">
      <c r="A9" s="323" t="s">
        <v>6</v>
      </c>
      <c r="B9" s="324"/>
      <c r="C9" s="324"/>
      <c r="D9" s="324"/>
      <c r="E9" s="324"/>
      <c r="F9" s="324"/>
      <c r="G9" s="2">
        <v>45987</v>
      </c>
      <c r="H9" s="323" t="s">
        <v>7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</row>
    <row r="10" spans="1:18" ht="24" customHeight="1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4" t="s">
        <v>13</v>
      </c>
      <c r="G10" s="5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</row>
    <row r="11" spans="1:18" ht="15" customHeight="1" x14ac:dyDescent="0.3">
      <c r="A11" s="6" t="s">
        <v>26</v>
      </c>
      <c r="B11" s="6" t="s">
        <v>942</v>
      </c>
      <c r="C11" s="6">
        <v>0.28472222222222221</v>
      </c>
      <c r="D11" s="6" t="s">
        <v>795</v>
      </c>
      <c r="E11" s="6" t="s">
        <v>180</v>
      </c>
      <c r="F11" s="6" t="s">
        <v>943</v>
      </c>
      <c r="G11" s="335"/>
      <c r="H11" s="218"/>
      <c r="I11" s="219"/>
      <c r="J11" s="219"/>
      <c r="K11" s="219"/>
      <c r="L11" s="219"/>
      <c r="M11" s="219"/>
      <c r="N11" s="219"/>
      <c r="O11" s="219"/>
      <c r="P11" s="219"/>
      <c r="Q11" s="219"/>
      <c r="R11" s="220"/>
    </row>
    <row r="12" spans="1:18" ht="15" customHeight="1" x14ac:dyDescent="0.3">
      <c r="A12" s="10" t="s">
        <v>26</v>
      </c>
      <c r="B12" s="10" t="s">
        <v>942</v>
      </c>
      <c r="C12" s="10">
        <v>0.28472222222222221</v>
      </c>
      <c r="D12" s="10" t="s">
        <v>796</v>
      </c>
      <c r="E12" s="10" t="s">
        <v>181</v>
      </c>
      <c r="F12" s="10" t="s">
        <v>944</v>
      </c>
      <c r="G12" s="328"/>
      <c r="H12" s="218"/>
      <c r="I12" s="219"/>
      <c r="J12" s="219"/>
      <c r="K12" s="219"/>
      <c r="L12" s="219"/>
      <c r="M12" s="219"/>
      <c r="N12" s="219"/>
      <c r="O12" s="219"/>
      <c r="P12" s="219"/>
      <c r="Q12" s="219"/>
      <c r="R12" s="220"/>
    </row>
    <row r="13" spans="1:18" ht="15" customHeight="1" x14ac:dyDescent="0.3">
      <c r="A13" s="10" t="s">
        <v>26</v>
      </c>
      <c r="B13" s="10" t="s">
        <v>942</v>
      </c>
      <c r="C13" s="10">
        <v>0.28472222222222221</v>
      </c>
      <c r="D13" s="10" t="s">
        <v>798</v>
      </c>
      <c r="E13" s="10" t="s">
        <v>181</v>
      </c>
      <c r="F13" s="10" t="s">
        <v>945</v>
      </c>
      <c r="G13" s="328"/>
      <c r="H13" s="218"/>
      <c r="I13" s="219"/>
      <c r="J13" s="219"/>
      <c r="K13" s="219"/>
      <c r="L13" s="219"/>
      <c r="M13" s="219"/>
      <c r="N13" s="219"/>
      <c r="O13" s="219"/>
      <c r="P13" s="219"/>
      <c r="Q13" s="219"/>
      <c r="R13" s="220"/>
    </row>
    <row r="14" spans="1:18" ht="15" customHeight="1" x14ac:dyDescent="0.3">
      <c r="A14" s="10" t="s">
        <v>26</v>
      </c>
      <c r="B14" s="10" t="s">
        <v>942</v>
      </c>
      <c r="C14" s="10">
        <v>0.28472222222222221</v>
      </c>
      <c r="D14" s="10" t="s">
        <v>800</v>
      </c>
      <c r="E14" s="10" t="s">
        <v>181</v>
      </c>
      <c r="F14" s="10" t="s">
        <v>437</v>
      </c>
      <c r="G14" s="328"/>
      <c r="H14" s="218"/>
      <c r="I14" s="219"/>
      <c r="J14" s="219"/>
      <c r="K14" s="219"/>
      <c r="L14" s="219"/>
      <c r="M14" s="219"/>
      <c r="N14" s="219"/>
      <c r="O14" s="219"/>
      <c r="P14" s="219"/>
      <c r="Q14" s="219"/>
      <c r="R14" s="220"/>
    </row>
    <row r="15" spans="1:18" ht="15" customHeight="1" x14ac:dyDescent="0.3">
      <c r="A15" s="51" t="s">
        <v>44</v>
      </c>
      <c r="B15" s="51" t="s">
        <v>946</v>
      </c>
      <c r="C15" s="51">
        <v>0.2673611111111111</v>
      </c>
      <c r="D15" s="51" t="s">
        <v>46</v>
      </c>
      <c r="E15" s="51" t="s">
        <v>47</v>
      </c>
      <c r="F15" s="51" t="s">
        <v>374</v>
      </c>
      <c r="G15" s="328"/>
      <c r="H15" s="221" t="s">
        <v>935</v>
      </c>
      <c r="I15" s="222">
        <v>0.65359999999999996</v>
      </c>
      <c r="J15" s="223">
        <v>117</v>
      </c>
      <c r="K15" s="224" t="s">
        <v>175</v>
      </c>
      <c r="L15" s="223">
        <v>16</v>
      </c>
      <c r="M15" s="223">
        <v>3</v>
      </c>
      <c r="N15" s="223">
        <v>4</v>
      </c>
      <c r="O15" s="224" t="s">
        <v>353</v>
      </c>
      <c r="P15" s="224">
        <v>0.2673611111111111</v>
      </c>
      <c r="Q15" s="223">
        <v>179</v>
      </c>
      <c r="R15" s="225" t="s">
        <v>947</v>
      </c>
    </row>
    <row r="16" spans="1:18" ht="15" customHeight="1" x14ac:dyDescent="0.3">
      <c r="A16" s="193" t="s">
        <v>44</v>
      </c>
      <c r="B16" s="193" t="s">
        <v>948</v>
      </c>
      <c r="C16" s="193">
        <v>0.33333333333333331</v>
      </c>
      <c r="D16" s="193" t="s">
        <v>46</v>
      </c>
      <c r="E16" s="193" t="s">
        <v>71</v>
      </c>
      <c r="F16" s="193" t="s">
        <v>374</v>
      </c>
      <c r="G16" s="328"/>
      <c r="H16" s="226" t="s">
        <v>949</v>
      </c>
      <c r="I16" s="227">
        <v>0.86899999999999999</v>
      </c>
      <c r="J16" s="228">
        <v>146</v>
      </c>
      <c r="K16" s="229" t="s">
        <v>175</v>
      </c>
      <c r="L16" s="228">
        <v>20</v>
      </c>
      <c r="M16" s="228">
        <v>4</v>
      </c>
      <c r="N16" s="228">
        <v>2</v>
      </c>
      <c r="O16" s="229" t="s">
        <v>353</v>
      </c>
      <c r="P16" s="229">
        <v>0.33333333333333331</v>
      </c>
      <c r="Q16" s="228">
        <v>168</v>
      </c>
      <c r="R16" s="230" t="s">
        <v>950</v>
      </c>
    </row>
    <row r="17" spans="1:18" ht="15" customHeight="1" x14ac:dyDescent="0.3">
      <c r="A17" s="50" t="s">
        <v>66</v>
      </c>
      <c r="B17" s="50" t="s">
        <v>951</v>
      </c>
      <c r="C17" s="50">
        <v>0.2673611111111111</v>
      </c>
      <c r="D17" s="50" t="s">
        <v>369</v>
      </c>
      <c r="E17" s="50" t="s">
        <v>29</v>
      </c>
      <c r="F17" s="50" t="s">
        <v>952</v>
      </c>
      <c r="G17" s="328"/>
      <c r="H17" s="231"/>
      <c r="I17" s="232"/>
      <c r="J17" s="232"/>
      <c r="K17" s="232"/>
      <c r="L17" s="232"/>
      <c r="M17" s="232"/>
      <c r="N17" s="232"/>
      <c r="O17" s="232"/>
      <c r="P17" s="232"/>
      <c r="Q17" s="232"/>
      <c r="R17" s="233"/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22.05" customHeight="1" x14ac:dyDescent="0.3">
      <c r="A19" s="323" t="s">
        <v>6</v>
      </c>
      <c r="B19" s="324"/>
      <c r="C19" s="324"/>
      <c r="D19" s="324"/>
      <c r="E19" s="324"/>
      <c r="F19" s="324"/>
      <c r="G19" s="2">
        <v>45988</v>
      </c>
      <c r="H19" s="323" t="s">
        <v>7</v>
      </c>
      <c r="I19" s="324"/>
      <c r="J19" s="324"/>
      <c r="K19" s="324"/>
      <c r="L19" s="324"/>
      <c r="M19" s="324"/>
      <c r="N19" s="324"/>
      <c r="O19" s="324"/>
      <c r="P19" s="324"/>
      <c r="Q19" s="324"/>
      <c r="R19" s="324"/>
    </row>
    <row r="20" spans="1:18" ht="24" customHeight="1" x14ac:dyDescent="0.3">
      <c r="A20" s="3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4" t="s">
        <v>13</v>
      </c>
      <c r="G20" s="5" t="s">
        <v>14</v>
      </c>
      <c r="H20" s="3" t="s">
        <v>15</v>
      </c>
      <c r="I20" s="3" t="s">
        <v>16</v>
      </c>
      <c r="J20" s="3" t="s">
        <v>17</v>
      </c>
      <c r="K20" s="3" t="s">
        <v>18</v>
      </c>
      <c r="L20" s="3" t="s">
        <v>19</v>
      </c>
      <c r="M20" s="3" t="s">
        <v>20</v>
      </c>
      <c r="N20" s="3" t="s">
        <v>21</v>
      </c>
      <c r="O20" s="3" t="s">
        <v>22</v>
      </c>
      <c r="P20" s="3" t="s">
        <v>23</v>
      </c>
      <c r="Q20" s="3" t="s">
        <v>24</v>
      </c>
      <c r="R20" s="3" t="s">
        <v>25</v>
      </c>
    </row>
    <row r="21" spans="1:18" ht="49.95" customHeight="1" x14ac:dyDescent="0.3">
      <c r="A21" s="75" t="s">
        <v>44</v>
      </c>
      <c r="B21" s="75" t="s">
        <v>953</v>
      </c>
      <c r="C21" s="75">
        <v>8.3333333333333329E-2</v>
      </c>
      <c r="D21" s="75" t="s">
        <v>46</v>
      </c>
      <c r="E21" s="75" t="s">
        <v>47</v>
      </c>
      <c r="F21" s="75" t="s">
        <v>374</v>
      </c>
      <c r="G21" s="335"/>
      <c r="H21" s="234" t="s">
        <v>954</v>
      </c>
      <c r="I21" s="235">
        <v>0.14879999999999999</v>
      </c>
      <c r="J21" s="236">
        <v>25</v>
      </c>
      <c r="K21" s="237" t="s">
        <v>50</v>
      </c>
      <c r="L21" s="236">
        <v>7</v>
      </c>
      <c r="M21" s="236">
        <v>0</v>
      </c>
      <c r="N21" s="236">
        <v>3</v>
      </c>
      <c r="O21" s="237" t="s">
        <v>353</v>
      </c>
      <c r="P21" s="237">
        <v>8.3333333333333329E-2</v>
      </c>
      <c r="Q21" s="236">
        <v>168</v>
      </c>
      <c r="R21" s="238" t="s">
        <v>955</v>
      </c>
    </row>
    <row r="22" spans="1:18" ht="49.95" customHeight="1" x14ac:dyDescent="0.3">
      <c r="A22" s="24" t="s">
        <v>44</v>
      </c>
      <c r="B22" s="24" t="s">
        <v>956</v>
      </c>
      <c r="C22" s="24">
        <v>0.70833333333333337</v>
      </c>
      <c r="D22" s="24" t="s">
        <v>46</v>
      </c>
      <c r="E22" s="24" t="s">
        <v>71</v>
      </c>
      <c r="F22" s="24" t="s">
        <v>374</v>
      </c>
      <c r="G22" s="328"/>
      <c r="H22" s="239" t="s">
        <v>938</v>
      </c>
      <c r="I22" s="240">
        <v>0.47489999999999999</v>
      </c>
      <c r="J22" s="241">
        <v>85</v>
      </c>
      <c r="K22" s="242" t="s">
        <v>175</v>
      </c>
      <c r="L22" s="241">
        <v>27</v>
      </c>
      <c r="M22" s="241">
        <v>4</v>
      </c>
      <c r="N22" s="241">
        <v>5</v>
      </c>
      <c r="O22" s="242" t="s">
        <v>353</v>
      </c>
      <c r="P22" s="242">
        <v>0.70833333333333337</v>
      </c>
      <c r="Q22" s="241">
        <v>179</v>
      </c>
      <c r="R22" s="243" t="s">
        <v>957</v>
      </c>
    </row>
    <row r="23" spans="1:18" ht="49.95" customHeight="1" x14ac:dyDescent="0.3">
      <c r="A23" s="189" t="s">
        <v>44</v>
      </c>
      <c r="B23" s="189" t="s">
        <v>946</v>
      </c>
      <c r="C23" s="189">
        <v>0.48958333333333331</v>
      </c>
      <c r="D23" s="189" t="s">
        <v>46</v>
      </c>
      <c r="E23" s="189" t="s">
        <v>71</v>
      </c>
      <c r="F23" s="189" t="s">
        <v>374</v>
      </c>
      <c r="G23" s="328"/>
      <c r="H23" s="244" t="s">
        <v>935</v>
      </c>
      <c r="I23" s="245">
        <v>0.6845</v>
      </c>
      <c r="J23" s="246">
        <v>115</v>
      </c>
      <c r="K23" s="247" t="s">
        <v>175</v>
      </c>
      <c r="L23" s="246">
        <v>12</v>
      </c>
      <c r="M23" s="246">
        <v>1</v>
      </c>
      <c r="N23" s="246">
        <v>0</v>
      </c>
      <c r="O23" s="247" t="s">
        <v>353</v>
      </c>
      <c r="P23" s="247">
        <v>0.48958333333333331</v>
      </c>
      <c r="Q23" s="246">
        <v>168</v>
      </c>
      <c r="R23" s="248" t="s">
        <v>958</v>
      </c>
    </row>
    <row r="24" spans="1:18" ht="49.95" customHeight="1" x14ac:dyDescent="0.3">
      <c r="A24" s="50" t="s">
        <v>66</v>
      </c>
      <c r="B24" s="50" t="s">
        <v>951</v>
      </c>
      <c r="C24" s="50">
        <v>0.48958333333333331</v>
      </c>
      <c r="D24" s="50" t="s">
        <v>369</v>
      </c>
      <c r="E24" s="50" t="s">
        <v>29</v>
      </c>
      <c r="F24" s="50" t="s">
        <v>952</v>
      </c>
      <c r="G24" s="328"/>
      <c r="H24" s="231"/>
      <c r="I24" s="232"/>
      <c r="J24" s="232"/>
      <c r="K24" s="232"/>
      <c r="L24" s="232"/>
      <c r="M24" s="232"/>
      <c r="N24" s="232"/>
      <c r="O24" s="232"/>
      <c r="P24" s="232"/>
      <c r="Q24" s="232"/>
      <c r="R24" s="233"/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  <row r="26" spans="1:18" ht="22.05" customHeight="1" x14ac:dyDescent="0.3">
      <c r="A26" s="323" t="s">
        <v>6</v>
      </c>
      <c r="B26" s="324"/>
      <c r="C26" s="324"/>
      <c r="D26" s="324"/>
      <c r="E26" s="324"/>
      <c r="F26" s="324"/>
      <c r="G26" s="2">
        <v>45989</v>
      </c>
      <c r="H26" s="323" t="s">
        <v>7</v>
      </c>
      <c r="I26" s="324"/>
      <c r="J26" s="324"/>
      <c r="K26" s="324"/>
      <c r="L26" s="324"/>
      <c r="M26" s="324"/>
      <c r="N26" s="324"/>
      <c r="O26" s="324"/>
      <c r="P26" s="324"/>
      <c r="Q26" s="324"/>
      <c r="R26" s="324"/>
    </row>
    <row r="27" spans="1:18" ht="24" customHeight="1" x14ac:dyDescent="0.3">
      <c r="A27" s="3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4" t="s">
        <v>13</v>
      </c>
      <c r="G27" s="5" t="s">
        <v>14</v>
      </c>
      <c r="H27" s="3" t="s">
        <v>15</v>
      </c>
      <c r="I27" s="3" t="s">
        <v>16</v>
      </c>
      <c r="J27" s="3" t="s">
        <v>17</v>
      </c>
      <c r="K27" s="3" t="s">
        <v>18</v>
      </c>
      <c r="L27" s="3" t="s">
        <v>19</v>
      </c>
      <c r="M27" s="3" t="s">
        <v>20</v>
      </c>
      <c r="N27" s="3" t="s">
        <v>21</v>
      </c>
      <c r="O27" s="3" t="s">
        <v>22</v>
      </c>
      <c r="P27" s="3" t="s">
        <v>23</v>
      </c>
      <c r="Q27" s="3" t="s">
        <v>24</v>
      </c>
      <c r="R27" s="3" t="s">
        <v>25</v>
      </c>
    </row>
    <row r="28" spans="1:18" ht="49.95" customHeight="1" x14ac:dyDescent="0.3">
      <c r="A28" s="127" t="s">
        <v>44</v>
      </c>
      <c r="B28" s="127" t="s">
        <v>948</v>
      </c>
      <c r="C28" s="127">
        <v>0.29166666666666669</v>
      </c>
      <c r="D28" s="127" t="s">
        <v>46</v>
      </c>
      <c r="E28" s="127" t="s">
        <v>47</v>
      </c>
      <c r="F28" s="127" t="s">
        <v>374</v>
      </c>
      <c r="G28" s="335"/>
      <c r="H28" s="249" t="s">
        <v>949</v>
      </c>
      <c r="I28" s="250">
        <v>0.49399999999999999</v>
      </c>
      <c r="J28" s="251">
        <v>83</v>
      </c>
      <c r="K28" s="252" t="s">
        <v>50</v>
      </c>
      <c r="L28" s="251">
        <v>49</v>
      </c>
      <c r="M28" s="251">
        <v>0</v>
      </c>
      <c r="N28" s="251">
        <v>12</v>
      </c>
      <c r="O28" s="252" t="s">
        <v>353</v>
      </c>
      <c r="P28" s="252">
        <v>0.29166666666666669</v>
      </c>
      <c r="Q28" s="251">
        <v>168</v>
      </c>
      <c r="R28" s="253" t="s">
        <v>959</v>
      </c>
    </row>
    <row r="29" spans="1:18" ht="17.399999999999999" customHeight="1" x14ac:dyDescent="0.3">
      <c r="A29" s="360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2"/>
    </row>
    <row r="30" spans="1:18" ht="22.05" customHeight="1" x14ac:dyDescent="0.3">
      <c r="A30" s="323" t="s">
        <v>6</v>
      </c>
      <c r="B30" s="324"/>
      <c r="C30" s="324"/>
      <c r="D30" s="324"/>
      <c r="E30" s="324"/>
      <c r="F30" s="324"/>
      <c r="G30" s="2">
        <v>45990</v>
      </c>
      <c r="H30" s="323" t="s">
        <v>7</v>
      </c>
      <c r="I30" s="324"/>
      <c r="J30" s="324"/>
      <c r="K30" s="324"/>
      <c r="L30" s="324"/>
      <c r="M30" s="324"/>
      <c r="N30" s="324"/>
      <c r="O30" s="324"/>
      <c r="P30" s="324"/>
      <c r="Q30" s="324"/>
      <c r="R30" s="324"/>
    </row>
    <row r="31" spans="1:18" ht="24" customHeight="1" x14ac:dyDescent="0.3">
      <c r="A31" s="3" t="s">
        <v>8</v>
      </c>
      <c r="B31" s="3" t="s">
        <v>9</v>
      </c>
      <c r="C31" s="3" t="s">
        <v>10</v>
      </c>
      <c r="D31" s="3" t="s">
        <v>11</v>
      </c>
      <c r="E31" s="3" t="s">
        <v>12</v>
      </c>
      <c r="F31" s="4" t="s">
        <v>13</v>
      </c>
      <c r="G31" s="5" t="s">
        <v>14</v>
      </c>
      <c r="H31" s="3" t="s">
        <v>15</v>
      </c>
      <c r="I31" s="3" t="s">
        <v>16</v>
      </c>
      <c r="J31" s="3" t="s">
        <v>17</v>
      </c>
      <c r="K31" s="3" t="s">
        <v>18</v>
      </c>
      <c r="L31" s="3" t="s">
        <v>19</v>
      </c>
      <c r="M31" s="3" t="s">
        <v>20</v>
      </c>
      <c r="N31" s="3" t="s">
        <v>21</v>
      </c>
      <c r="O31" s="3" t="s">
        <v>22</v>
      </c>
      <c r="P31" s="3" t="s">
        <v>23</v>
      </c>
      <c r="Q31" s="3" t="s">
        <v>24</v>
      </c>
      <c r="R31" s="3" t="s">
        <v>25</v>
      </c>
    </row>
    <row r="32" spans="1:18" ht="49.95" customHeight="1" x14ac:dyDescent="0.3">
      <c r="A32" s="12" t="s">
        <v>44</v>
      </c>
      <c r="B32" s="12" t="s">
        <v>948</v>
      </c>
      <c r="C32" s="12">
        <v>0.30208333333333331</v>
      </c>
      <c r="D32" s="12" t="s">
        <v>46</v>
      </c>
      <c r="E32" s="12" t="s">
        <v>47</v>
      </c>
      <c r="F32" s="12" t="s">
        <v>426</v>
      </c>
      <c r="G32" s="336"/>
      <c r="H32" s="239" t="s">
        <v>949</v>
      </c>
      <c r="I32" s="254">
        <v>0.71430000000000005</v>
      </c>
      <c r="J32" s="241">
        <v>120</v>
      </c>
      <c r="K32" s="242" t="s">
        <v>50</v>
      </c>
      <c r="L32" s="241">
        <v>3</v>
      </c>
      <c r="M32" s="241">
        <v>0</v>
      </c>
      <c r="N32" s="241">
        <v>2</v>
      </c>
      <c r="O32" s="242" t="s">
        <v>364</v>
      </c>
      <c r="P32" s="242">
        <v>0.30208333333333331</v>
      </c>
      <c r="Q32" s="241">
        <v>168</v>
      </c>
      <c r="R32" s="243" t="s">
        <v>960</v>
      </c>
    </row>
    <row r="33" spans="1:18" ht="49.95" customHeight="1" x14ac:dyDescent="0.3">
      <c r="A33" s="189" t="s">
        <v>44</v>
      </c>
      <c r="B33" s="189" t="s">
        <v>956</v>
      </c>
      <c r="C33" s="189">
        <v>0.6875</v>
      </c>
      <c r="D33" s="189" t="s">
        <v>46</v>
      </c>
      <c r="E33" s="189" t="s">
        <v>71</v>
      </c>
      <c r="F33" s="189" t="s">
        <v>562</v>
      </c>
      <c r="G33" s="328"/>
      <c r="H33" s="244" t="s">
        <v>938</v>
      </c>
      <c r="I33" s="255">
        <v>0.92859999999999998</v>
      </c>
      <c r="J33" s="246">
        <v>156</v>
      </c>
      <c r="K33" s="247" t="s">
        <v>50</v>
      </c>
      <c r="L33" s="246">
        <v>6</v>
      </c>
      <c r="M33" s="246">
        <v>0</v>
      </c>
      <c r="N33" s="246">
        <v>3</v>
      </c>
      <c r="O33" s="247" t="s">
        <v>265</v>
      </c>
      <c r="P33" s="247">
        <v>0.6875</v>
      </c>
      <c r="Q33" s="246">
        <v>168</v>
      </c>
      <c r="R33" s="248" t="s">
        <v>961</v>
      </c>
    </row>
    <row r="34" spans="1:18" ht="15.6" x14ac:dyDescent="0.3">
      <c r="A34" s="338" t="s">
        <v>962</v>
      </c>
      <c r="B34" s="339"/>
      <c r="C34" s="339"/>
      <c r="D34" s="339"/>
      <c r="E34" s="339"/>
      <c r="F34" s="339"/>
      <c r="G34" s="32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</row>
    <row r="35" spans="1:18" ht="49.95" customHeight="1" x14ac:dyDescent="0.3">
      <c r="A35" s="155" t="s">
        <v>44</v>
      </c>
      <c r="B35" s="155" t="s">
        <v>367</v>
      </c>
      <c r="C35" s="155" t="s">
        <v>368</v>
      </c>
      <c r="D35" s="155" t="s">
        <v>369</v>
      </c>
      <c r="E35" s="155" t="s">
        <v>370</v>
      </c>
      <c r="F35" s="155" t="s">
        <v>371</v>
      </c>
      <c r="G35" s="337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</row>
    <row r="36" spans="1:18" ht="17.399999999999999" customHeight="1" x14ac:dyDescent="0.3">
      <c r="A36" s="360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2"/>
    </row>
    <row r="37" spans="1:18" ht="22.05" customHeight="1" x14ac:dyDescent="0.3">
      <c r="A37" s="323" t="s">
        <v>6</v>
      </c>
      <c r="B37" s="324"/>
      <c r="C37" s="324"/>
      <c r="D37" s="324"/>
      <c r="E37" s="324"/>
      <c r="F37" s="324"/>
      <c r="G37" s="2">
        <v>45991</v>
      </c>
      <c r="H37" s="323" t="s">
        <v>7</v>
      </c>
      <c r="I37" s="324"/>
      <c r="J37" s="324"/>
      <c r="K37" s="324"/>
      <c r="L37" s="324"/>
      <c r="M37" s="324"/>
      <c r="N37" s="324"/>
      <c r="O37" s="324"/>
      <c r="P37" s="324"/>
      <c r="Q37" s="324"/>
      <c r="R37" s="324"/>
    </row>
    <row r="38" spans="1:18" ht="24" customHeight="1" x14ac:dyDescent="0.3">
      <c r="A38" s="3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4" t="s">
        <v>13</v>
      </c>
      <c r="G38" s="5" t="s">
        <v>14</v>
      </c>
      <c r="H38" s="3" t="s">
        <v>15</v>
      </c>
      <c r="I38" s="3" t="s">
        <v>16</v>
      </c>
      <c r="J38" s="3" t="s">
        <v>17</v>
      </c>
      <c r="K38" s="3" t="s">
        <v>18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  <c r="Q38" s="3" t="s">
        <v>24</v>
      </c>
      <c r="R38" s="3" t="s">
        <v>25</v>
      </c>
    </row>
    <row r="39" spans="1:18" ht="15" customHeight="1" x14ac:dyDescent="0.3">
      <c r="A39" s="6" t="s">
        <v>26</v>
      </c>
      <c r="B39" s="6" t="s">
        <v>942</v>
      </c>
      <c r="C39" s="6">
        <v>0.28472222222222221</v>
      </c>
      <c r="D39" s="6" t="s">
        <v>795</v>
      </c>
      <c r="E39" s="6" t="s">
        <v>129</v>
      </c>
      <c r="F39" s="6" t="s">
        <v>620</v>
      </c>
      <c r="G39" s="335"/>
      <c r="H39" s="218"/>
      <c r="I39" s="219"/>
      <c r="J39" s="219"/>
      <c r="K39" s="219"/>
      <c r="L39" s="219"/>
      <c r="M39" s="219"/>
      <c r="N39" s="219"/>
      <c r="O39" s="219"/>
      <c r="P39" s="219"/>
      <c r="Q39" s="219"/>
      <c r="R39" s="220"/>
    </row>
    <row r="40" spans="1:18" ht="15" customHeight="1" x14ac:dyDescent="0.3">
      <c r="A40" s="10" t="s">
        <v>26</v>
      </c>
      <c r="B40" s="10" t="s">
        <v>942</v>
      </c>
      <c r="C40" s="10">
        <v>0.28472222222222221</v>
      </c>
      <c r="D40" s="10" t="s">
        <v>796</v>
      </c>
      <c r="E40" s="10" t="s">
        <v>92</v>
      </c>
      <c r="F40" s="10" t="s">
        <v>963</v>
      </c>
      <c r="G40" s="328"/>
      <c r="H40" s="218"/>
      <c r="I40" s="219"/>
      <c r="J40" s="219"/>
      <c r="K40" s="219"/>
      <c r="L40" s="219"/>
      <c r="M40" s="219"/>
      <c r="N40" s="219"/>
      <c r="O40" s="219"/>
      <c r="P40" s="219"/>
      <c r="Q40" s="219"/>
      <c r="R40" s="220"/>
    </row>
    <row r="41" spans="1:18" ht="15" customHeight="1" x14ac:dyDescent="0.3">
      <c r="A41" s="10" t="s">
        <v>26</v>
      </c>
      <c r="B41" s="10" t="s">
        <v>942</v>
      </c>
      <c r="C41" s="10">
        <v>0.28472222222222221</v>
      </c>
      <c r="D41" s="10" t="s">
        <v>798</v>
      </c>
      <c r="E41" s="10" t="s">
        <v>92</v>
      </c>
      <c r="F41" s="10" t="s">
        <v>964</v>
      </c>
      <c r="G41" s="328"/>
      <c r="H41" s="218"/>
      <c r="I41" s="219"/>
      <c r="J41" s="219"/>
      <c r="K41" s="219"/>
      <c r="L41" s="219"/>
      <c r="M41" s="219"/>
      <c r="N41" s="219"/>
      <c r="O41" s="219"/>
      <c r="P41" s="219"/>
      <c r="Q41" s="219"/>
      <c r="R41" s="220"/>
    </row>
    <row r="42" spans="1:18" ht="15" customHeight="1" x14ac:dyDescent="0.3">
      <c r="A42" s="10" t="s">
        <v>26</v>
      </c>
      <c r="B42" s="10" t="s">
        <v>942</v>
      </c>
      <c r="C42" s="10">
        <v>0.28472222222222221</v>
      </c>
      <c r="D42" s="10" t="s">
        <v>800</v>
      </c>
      <c r="E42" s="10" t="s">
        <v>92</v>
      </c>
      <c r="F42" s="10" t="s">
        <v>554</v>
      </c>
      <c r="G42" s="328"/>
      <c r="H42" s="218"/>
      <c r="I42" s="219"/>
      <c r="J42" s="219"/>
      <c r="K42" s="219"/>
      <c r="L42" s="219"/>
      <c r="M42" s="219"/>
      <c r="N42" s="219"/>
      <c r="O42" s="219"/>
      <c r="P42" s="219"/>
      <c r="Q42" s="219"/>
      <c r="R42" s="220"/>
    </row>
    <row r="43" spans="1:18" ht="15" customHeight="1" x14ac:dyDescent="0.3">
      <c r="A43" s="51" t="s">
        <v>44</v>
      </c>
      <c r="B43" s="51" t="s">
        <v>949</v>
      </c>
      <c r="C43" s="51">
        <v>0.76736111111111116</v>
      </c>
      <c r="D43" s="51" t="s">
        <v>61</v>
      </c>
      <c r="E43" s="51"/>
      <c r="F43" s="51" t="s">
        <v>363</v>
      </c>
      <c r="G43" s="328"/>
      <c r="H43" s="221" t="s">
        <v>949</v>
      </c>
      <c r="I43" s="222">
        <v>0.72619999999999996</v>
      </c>
      <c r="J43" s="223">
        <v>122</v>
      </c>
      <c r="K43" s="224" t="s">
        <v>50</v>
      </c>
      <c r="L43" s="223">
        <v>18</v>
      </c>
      <c r="M43" s="223">
        <v>0</v>
      </c>
      <c r="N43" s="223">
        <v>5</v>
      </c>
      <c r="O43" s="224" t="s">
        <v>237</v>
      </c>
      <c r="P43" s="224">
        <v>0.76736111111111116</v>
      </c>
      <c r="Q43" s="223">
        <v>168</v>
      </c>
      <c r="R43" s="225" t="s">
        <v>965</v>
      </c>
    </row>
    <row r="44" spans="1:18" ht="15" customHeight="1" x14ac:dyDescent="0.3">
      <c r="A44" s="256" t="s">
        <v>44</v>
      </c>
      <c r="B44" s="256" t="s">
        <v>938</v>
      </c>
      <c r="C44" s="256">
        <v>0.85069444444444453</v>
      </c>
      <c r="D44" s="256" t="s">
        <v>61</v>
      </c>
      <c r="E44" s="256"/>
      <c r="F44" s="256" t="s">
        <v>363</v>
      </c>
      <c r="G44" s="328"/>
      <c r="H44" s="144" t="s">
        <v>938</v>
      </c>
      <c r="I44" s="145">
        <v>0.55359999999999998</v>
      </c>
      <c r="J44" s="146">
        <v>93</v>
      </c>
      <c r="K44" s="147" t="s">
        <v>175</v>
      </c>
      <c r="L44" s="146">
        <v>33</v>
      </c>
      <c r="M44" s="146">
        <v>9</v>
      </c>
      <c r="N44" s="146">
        <v>5</v>
      </c>
      <c r="O44" s="147" t="s">
        <v>966</v>
      </c>
      <c r="P44" s="147">
        <v>0.85069444444444453</v>
      </c>
      <c r="Q44" s="146">
        <v>168</v>
      </c>
      <c r="R44" s="148" t="s">
        <v>967</v>
      </c>
    </row>
    <row r="45" spans="1:18" ht="17.399999999999999" customHeight="1" x14ac:dyDescent="0.3">
      <c r="A45" s="360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2"/>
    </row>
    <row r="46" spans="1:18" ht="22.05" customHeight="1" x14ac:dyDescent="0.3">
      <c r="A46" s="323" t="s">
        <v>6</v>
      </c>
      <c r="B46" s="324"/>
      <c r="C46" s="324"/>
      <c r="D46" s="324"/>
      <c r="E46" s="324"/>
      <c r="F46" s="324"/>
      <c r="G46" s="2">
        <v>45992</v>
      </c>
      <c r="H46" s="323" t="s">
        <v>7</v>
      </c>
      <c r="I46" s="324"/>
      <c r="J46" s="324"/>
      <c r="K46" s="324"/>
      <c r="L46" s="324"/>
      <c r="M46" s="324"/>
      <c r="N46" s="324"/>
      <c r="O46" s="324"/>
      <c r="P46" s="324"/>
      <c r="Q46" s="324"/>
      <c r="R46" s="324"/>
    </row>
    <row r="47" spans="1:18" ht="24" customHeight="1" x14ac:dyDescent="0.3">
      <c r="A47" s="3" t="s">
        <v>8</v>
      </c>
      <c r="B47" s="3" t="s">
        <v>9</v>
      </c>
      <c r="C47" s="3" t="s">
        <v>10</v>
      </c>
      <c r="D47" s="3" t="s">
        <v>11</v>
      </c>
      <c r="E47" s="3" t="s">
        <v>12</v>
      </c>
      <c r="F47" s="4" t="s">
        <v>13</v>
      </c>
      <c r="G47" s="5" t="s">
        <v>14</v>
      </c>
      <c r="H47" s="3" t="s">
        <v>15</v>
      </c>
      <c r="I47" s="3" t="s">
        <v>16</v>
      </c>
      <c r="J47" s="3" t="s">
        <v>17</v>
      </c>
      <c r="K47" s="3" t="s">
        <v>18</v>
      </c>
      <c r="L47" s="3" t="s">
        <v>19</v>
      </c>
      <c r="M47" s="3" t="s">
        <v>20</v>
      </c>
      <c r="N47" s="3" t="s">
        <v>21</v>
      </c>
      <c r="O47" s="3" t="s">
        <v>22</v>
      </c>
      <c r="P47" s="3" t="s">
        <v>23</v>
      </c>
      <c r="Q47" s="3" t="s">
        <v>24</v>
      </c>
      <c r="R47" s="3" t="s">
        <v>25</v>
      </c>
    </row>
    <row r="48" spans="1:18" ht="49.95" customHeight="1" x14ac:dyDescent="0.3">
      <c r="A48" s="167" t="s">
        <v>44</v>
      </c>
      <c r="B48" s="167" t="s">
        <v>946</v>
      </c>
      <c r="C48" s="167">
        <v>0.96875</v>
      </c>
      <c r="D48" s="167" t="s">
        <v>46</v>
      </c>
      <c r="E48" s="167" t="s">
        <v>129</v>
      </c>
      <c r="F48" s="167" t="s">
        <v>374</v>
      </c>
      <c r="G48" s="335"/>
      <c r="H48" s="168" t="s">
        <v>935</v>
      </c>
      <c r="I48" s="169">
        <v>0.375</v>
      </c>
      <c r="J48" s="170">
        <v>63</v>
      </c>
      <c r="K48" s="171" t="s">
        <v>175</v>
      </c>
      <c r="L48" s="170">
        <v>10</v>
      </c>
      <c r="M48" s="170">
        <v>3</v>
      </c>
      <c r="N48" s="170">
        <v>3</v>
      </c>
      <c r="O48" s="171" t="s">
        <v>608</v>
      </c>
      <c r="P48" s="171">
        <v>0.96875</v>
      </c>
      <c r="Q48" s="170">
        <v>168</v>
      </c>
      <c r="R48" s="172" t="s">
        <v>968</v>
      </c>
    </row>
    <row r="49" spans="1:18" ht="49.95" customHeight="1" x14ac:dyDescent="0.3">
      <c r="A49" s="18" t="s">
        <v>44</v>
      </c>
      <c r="B49" s="18" t="s">
        <v>948</v>
      </c>
      <c r="C49" s="18">
        <v>0.50694444444444442</v>
      </c>
      <c r="D49" s="18" t="s">
        <v>46</v>
      </c>
      <c r="E49" s="18" t="s">
        <v>74</v>
      </c>
      <c r="F49" s="18" t="s">
        <v>855</v>
      </c>
      <c r="G49" s="328"/>
      <c r="H49" s="150" t="s">
        <v>949</v>
      </c>
      <c r="I49" s="257">
        <v>0.82140000000000002</v>
      </c>
      <c r="J49" s="152">
        <v>138</v>
      </c>
      <c r="K49" s="153" t="s">
        <v>50</v>
      </c>
      <c r="L49" s="152">
        <v>95</v>
      </c>
      <c r="M49" s="152">
        <v>0</v>
      </c>
      <c r="N49" s="152">
        <v>84</v>
      </c>
      <c r="O49" s="153" t="s">
        <v>969</v>
      </c>
      <c r="P49" s="153">
        <v>0.50694444444444442</v>
      </c>
      <c r="Q49" s="152">
        <v>168</v>
      </c>
      <c r="R49" s="154" t="s">
        <v>970</v>
      </c>
    </row>
    <row r="50" spans="1:18" ht="49.95" customHeight="1" x14ac:dyDescent="0.3">
      <c r="A50" s="50" t="s">
        <v>66</v>
      </c>
      <c r="B50" s="50" t="s">
        <v>951</v>
      </c>
      <c r="C50" s="50">
        <v>0.96875</v>
      </c>
      <c r="D50" s="50" t="s">
        <v>369</v>
      </c>
      <c r="E50" s="50" t="s">
        <v>29</v>
      </c>
      <c r="F50" s="50" t="s">
        <v>952</v>
      </c>
      <c r="G50" s="328"/>
      <c r="H50" s="231"/>
      <c r="I50" s="232"/>
      <c r="J50" s="232"/>
      <c r="K50" s="232"/>
      <c r="L50" s="232"/>
      <c r="M50" s="232"/>
      <c r="N50" s="232"/>
      <c r="O50" s="232"/>
      <c r="P50" s="232"/>
      <c r="Q50" s="232"/>
      <c r="R50" s="233"/>
    </row>
    <row r="51" spans="1:18" ht="17.399999999999999" customHeight="1" x14ac:dyDescent="0.3">
      <c r="A51" s="360"/>
      <c r="B51" s="361"/>
      <c r="C51" s="361"/>
      <c r="D51" s="361"/>
      <c r="E51" s="361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2"/>
    </row>
    <row r="52" spans="1:18" ht="22.05" customHeight="1" x14ac:dyDescent="0.3">
      <c r="A52" s="323" t="s">
        <v>6</v>
      </c>
      <c r="B52" s="324"/>
      <c r="C52" s="324"/>
      <c r="D52" s="324"/>
      <c r="E52" s="324"/>
      <c r="F52" s="324"/>
      <c r="G52" s="2">
        <v>45993</v>
      </c>
      <c r="H52" s="323" t="s">
        <v>7</v>
      </c>
      <c r="I52" s="324"/>
      <c r="J52" s="324"/>
      <c r="K52" s="324"/>
      <c r="L52" s="324"/>
      <c r="M52" s="324"/>
      <c r="N52" s="324"/>
      <c r="O52" s="324"/>
      <c r="P52" s="324"/>
      <c r="Q52" s="324"/>
      <c r="R52" s="324"/>
    </row>
    <row r="53" spans="1:18" ht="24" customHeight="1" x14ac:dyDescent="0.3">
      <c r="A53" s="3" t="s">
        <v>8</v>
      </c>
      <c r="B53" s="3" t="s">
        <v>9</v>
      </c>
      <c r="C53" s="3" t="s">
        <v>10</v>
      </c>
      <c r="D53" s="3" t="s">
        <v>11</v>
      </c>
      <c r="E53" s="3" t="s">
        <v>12</v>
      </c>
      <c r="F53" s="4" t="s">
        <v>13</v>
      </c>
      <c r="G53" s="5" t="s">
        <v>14</v>
      </c>
      <c r="H53" s="3" t="s">
        <v>15</v>
      </c>
      <c r="I53" s="3" t="s">
        <v>16</v>
      </c>
      <c r="J53" s="3" t="s">
        <v>17</v>
      </c>
      <c r="K53" s="3" t="s">
        <v>18</v>
      </c>
      <c r="L53" s="3" t="s">
        <v>19</v>
      </c>
      <c r="M53" s="3" t="s">
        <v>20</v>
      </c>
      <c r="N53" s="3" t="s">
        <v>21</v>
      </c>
      <c r="O53" s="3" t="s">
        <v>22</v>
      </c>
      <c r="P53" s="3" t="s">
        <v>23</v>
      </c>
      <c r="Q53" s="3" t="s">
        <v>24</v>
      </c>
      <c r="R53" s="3" t="s">
        <v>25</v>
      </c>
    </row>
    <row r="54" spans="1:18" ht="49.95" customHeight="1" x14ac:dyDescent="0.3">
      <c r="A54" s="139" t="s">
        <v>44</v>
      </c>
      <c r="B54" s="139" t="s">
        <v>956</v>
      </c>
      <c r="C54" s="139">
        <v>0.6875</v>
      </c>
      <c r="D54" s="139" t="s">
        <v>46</v>
      </c>
      <c r="E54" s="139" t="s">
        <v>47</v>
      </c>
      <c r="F54" s="139" t="s">
        <v>562</v>
      </c>
      <c r="G54" s="335"/>
      <c r="H54" s="226" t="s">
        <v>938</v>
      </c>
      <c r="I54" s="227">
        <v>0.88690000000000002</v>
      </c>
      <c r="J54" s="228">
        <v>149</v>
      </c>
      <c r="K54" s="229" t="s">
        <v>50</v>
      </c>
      <c r="L54" s="228">
        <v>5</v>
      </c>
      <c r="M54" s="228">
        <v>0</v>
      </c>
      <c r="N54" s="228">
        <v>2</v>
      </c>
      <c r="O54" s="229" t="s">
        <v>265</v>
      </c>
      <c r="P54" s="229">
        <v>0.6875</v>
      </c>
      <c r="Q54" s="228">
        <v>168</v>
      </c>
      <c r="R54" s="230" t="s">
        <v>971</v>
      </c>
    </row>
    <row r="55" spans="1:18" ht="49.95" customHeight="1" x14ac:dyDescent="0.3">
      <c r="A55" s="87" t="s">
        <v>44</v>
      </c>
      <c r="B55" s="87" t="s">
        <v>946</v>
      </c>
      <c r="C55" s="87">
        <v>0.32291666666666669</v>
      </c>
      <c r="D55" s="87" t="s">
        <v>46</v>
      </c>
      <c r="E55" s="87" t="s">
        <v>74</v>
      </c>
      <c r="F55" s="87" t="s">
        <v>634</v>
      </c>
      <c r="G55" s="328"/>
      <c r="H55" s="234" t="s">
        <v>935</v>
      </c>
      <c r="I55" s="258">
        <v>0.97209999999999996</v>
      </c>
      <c r="J55" s="236">
        <v>174</v>
      </c>
      <c r="K55" s="237" t="s">
        <v>972</v>
      </c>
      <c r="L55" s="236">
        <v>0</v>
      </c>
      <c r="M55" s="236">
        <v>0</v>
      </c>
      <c r="N55" s="236">
        <v>0</v>
      </c>
      <c r="O55" s="237" t="s">
        <v>897</v>
      </c>
      <c r="P55" s="237">
        <v>0.32291666666666669</v>
      </c>
      <c r="Q55" s="236">
        <v>179</v>
      </c>
      <c r="R55" s="238" t="s">
        <v>973</v>
      </c>
    </row>
    <row r="56" spans="1:18" ht="49.95" customHeight="1" x14ac:dyDescent="0.3">
      <c r="A56" s="50" t="s">
        <v>66</v>
      </c>
      <c r="B56" s="50" t="s">
        <v>951</v>
      </c>
      <c r="C56" s="50">
        <v>0.32291666666666669</v>
      </c>
      <c r="D56" s="50" t="s">
        <v>68</v>
      </c>
      <c r="E56" s="50" t="s">
        <v>29</v>
      </c>
      <c r="F56" s="50" t="s">
        <v>974</v>
      </c>
      <c r="G56" s="328"/>
      <c r="H56" s="231"/>
      <c r="I56" s="232"/>
      <c r="J56" s="232"/>
      <c r="K56" s="232"/>
      <c r="L56" s="232"/>
      <c r="M56" s="232"/>
      <c r="N56" s="232"/>
      <c r="O56" s="232"/>
      <c r="P56" s="232"/>
      <c r="Q56" s="232"/>
      <c r="R56" s="233"/>
    </row>
    <row r="57" spans="1:18" ht="17.399999999999999" customHeight="1" x14ac:dyDescent="0.3">
      <c r="A57" s="360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2"/>
    </row>
    <row r="58" spans="1:18" ht="22.05" customHeight="1" x14ac:dyDescent="0.3">
      <c r="A58" s="323" t="s">
        <v>6</v>
      </c>
      <c r="B58" s="324"/>
      <c r="C58" s="324"/>
      <c r="D58" s="324"/>
      <c r="E58" s="324"/>
      <c r="F58" s="324"/>
      <c r="G58" s="2">
        <v>45994</v>
      </c>
      <c r="H58" s="323" t="s">
        <v>7</v>
      </c>
      <c r="I58" s="324"/>
      <c r="J58" s="324"/>
      <c r="K58" s="324"/>
      <c r="L58" s="324"/>
      <c r="M58" s="324"/>
      <c r="N58" s="324"/>
      <c r="O58" s="324"/>
      <c r="P58" s="324"/>
      <c r="Q58" s="324"/>
      <c r="R58" s="324"/>
    </row>
    <row r="59" spans="1:18" ht="24" customHeight="1" x14ac:dyDescent="0.3">
      <c r="A59" s="3" t="s">
        <v>8</v>
      </c>
      <c r="B59" s="3" t="s">
        <v>9</v>
      </c>
      <c r="C59" s="3" t="s">
        <v>10</v>
      </c>
      <c r="D59" s="3" t="s">
        <v>11</v>
      </c>
      <c r="E59" s="3" t="s">
        <v>12</v>
      </c>
      <c r="F59" s="4" t="s">
        <v>13</v>
      </c>
      <c r="G59" s="5" t="s">
        <v>14</v>
      </c>
      <c r="H59" s="3" t="s">
        <v>15</v>
      </c>
      <c r="I59" s="3" t="s">
        <v>16</v>
      </c>
      <c r="J59" s="3" t="s">
        <v>17</v>
      </c>
      <c r="K59" s="3" t="s">
        <v>18</v>
      </c>
      <c r="L59" s="3" t="s">
        <v>19</v>
      </c>
      <c r="M59" s="3" t="s">
        <v>20</v>
      </c>
      <c r="N59" s="3" t="s">
        <v>21</v>
      </c>
      <c r="O59" s="3" t="s">
        <v>22</v>
      </c>
      <c r="P59" s="3" t="s">
        <v>23</v>
      </c>
      <c r="Q59" s="3" t="s">
        <v>24</v>
      </c>
      <c r="R59" s="3" t="s">
        <v>25</v>
      </c>
    </row>
    <row r="60" spans="1:18" ht="15" customHeight="1" x14ac:dyDescent="0.3">
      <c r="A60" s="6" t="s">
        <v>26</v>
      </c>
      <c r="B60" s="6" t="s">
        <v>942</v>
      </c>
      <c r="C60" s="6">
        <v>0.28472222222222221</v>
      </c>
      <c r="D60" s="6" t="s">
        <v>795</v>
      </c>
      <c r="E60" s="6" t="s">
        <v>29</v>
      </c>
      <c r="F60" s="6" t="s">
        <v>975</v>
      </c>
      <c r="G60" s="335"/>
      <c r="H60" s="218"/>
      <c r="I60" s="219"/>
      <c r="J60" s="219"/>
      <c r="K60" s="219"/>
      <c r="L60" s="219"/>
      <c r="M60" s="219"/>
      <c r="N60" s="219"/>
      <c r="O60" s="219"/>
      <c r="P60" s="219"/>
      <c r="Q60" s="219"/>
      <c r="R60" s="220"/>
    </row>
    <row r="61" spans="1:18" ht="15" customHeight="1" x14ac:dyDescent="0.3">
      <c r="A61" s="10" t="s">
        <v>26</v>
      </c>
      <c r="B61" s="10" t="s">
        <v>942</v>
      </c>
      <c r="C61" s="10">
        <v>0.28472222222222221</v>
      </c>
      <c r="D61" s="10" t="s">
        <v>796</v>
      </c>
      <c r="E61" s="10" t="s">
        <v>32</v>
      </c>
      <c r="F61" s="10" t="s">
        <v>976</v>
      </c>
      <c r="G61" s="328"/>
      <c r="H61" s="218"/>
      <c r="I61" s="219"/>
      <c r="J61" s="219"/>
      <c r="K61" s="219"/>
      <c r="L61" s="219"/>
      <c r="M61" s="219"/>
      <c r="N61" s="219"/>
      <c r="O61" s="219"/>
      <c r="P61" s="219"/>
      <c r="Q61" s="219"/>
      <c r="R61" s="220"/>
    </row>
    <row r="62" spans="1:18" ht="15" customHeight="1" x14ac:dyDescent="0.3">
      <c r="A62" s="10" t="s">
        <v>26</v>
      </c>
      <c r="B62" s="10" t="s">
        <v>942</v>
      </c>
      <c r="C62" s="10">
        <v>0.28472222222222221</v>
      </c>
      <c r="D62" s="10" t="s">
        <v>798</v>
      </c>
      <c r="E62" s="10" t="s">
        <v>32</v>
      </c>
      <c r="F62" s="10" t="s">
        <v>977</v>
      </c>
      <c r="G62" s="328"/>
      <c r="H62" s="218"/>
      <c r="I62" s="219"/>
      <c r="J62" s="219"/>
      <c r="K62" s="219"/>
      <c r="L62" s="219"/>
      <c r="M62" s="219"/>
      <c r="N62" s="219"/>
      <c r="O62" s="219"/>
      <c r="P62" s="219"/>
      <c r="Q62" s="219"/>
      <c r="R62" s="220"/>
    </row>
    <row r="63" spans="1:18" ht="15" customHeight="1" x14ac:dyDescent="0.3">
      <c r="A63" s="10" t="s">
        <v>26</v>
      </c>
      <c r="B63" s="10" t="s">
        <v>942</v>
      </c>
      <c r="C63" s="10">
        <v>0.28472222222222221</v>
      </c>
      <c r="D63" s="10" t="s">
        <v>800</v>
      </c>
      <c r="E63" s="10" t="s">
        <v>32</v>
      </c>
      <c r="F63" s="10" t="s">
        <v>449</v>
      </c>
      <c r="G63" s="328"/>
      <c r="H63" s="218"/>
      <c r="I63" s="219"/>
      <c r="J63" s="219"/>
      <c r="K63" s="219"/>
      <c r="L63" s="219"/>
      <c r="M63" s="219"/>
      <c r="N63" s="219"/>
      <c r="O63" s="219"/>
      <c r="P63" s="219"/>
      <c r="Q63" s="219"/>
      <c r="R63" s="220"/>
    </row>
    <row r="64" spans="1:18" ht="15" customHeight="1" x14ac:dyDescent="0.3">
      <c r="A64" s="44" t="s">
        <v>44</v>
      </c>
      <c r="B64" s="44" t="s">
        <v>935</v>
      </c>
      <c r="C64" s="44">
        <v>0.2673611111111111</v>
      </c>
      <c r="D64" s="44" t="s">
        <v>61</v>
      </c>
      <c r="E64" s="44"/>
      <c r="F64" s="44" t="s">
        <v>936</v>
      </c>
      <c r="G64" s="328"/>
      <c r="H64" s="244" t="s">
        <v>935</v>
      </c>
      <c r="I64" s="255">
        <v>0.88690000000000002</v>
      </c>
      <c r="J64" s="246">
        <v>149</v>
      </c>
      <c r="K64" s="247" t="s">
        <v>175</v>
      </c>
      <c r="L64" s="246">
        <v>14</v>
      </c>
      <c r="M64" s="246">
        <v>2</v>
      </c>
      <c r="N64" s="246">
        <v>2</v>
      </c>
      <c r="O64" s="247" t="s">
        <v>643</v>
      </c>
      <c r="P64" s="247">
        <v>0.2673611111111111</v>
      </c>
      <c r="Q64" s="246">
        <v>168</v>
      </c>
      <c r="R64" s="248" t="s">
        <v>978</v>
      </c>
    </row>
    <row r="65" spans="1:18" ht="15" customHeight="1" x14ac:dyDescent="0.3">
      <c r="A65" s="259" t="s">
        <v>44</v>
      </c>
      <c r="B65" s="259" t="s">
        <v>949</v>
      </c>
      <c r="C65" s="259">
        <v>0.33333333333333331</v>
      </c>
      <c r="D65" s="259" t="s">
        <v>61</v>
      </c>
      <c r="E65" s="259"/>
      <c r="F65" s="259" t="s">
        <v>936</v>
      </c>
      <c r="G65" s="328"/>
      <c r="H65" s="249" t="s">
        <v>949</v>
      </c>
      <c r="I65" s="260">
        <v>0.88100000000000001</v>
      </c>
      <c r="J65" s="251">
        <v>148</v>
      </c>
      <c r="K65" s="252" t="s">
        <v>311</v>
      </c>
      <c r="L65" s="251">
        <v>52</v>
      </c>
      <c r="M65" s="251">
        <v>0</v>
      </c>
      <c r="N65" s="251">
        <v>0</v>
      </c>
      <c r="O65" s="252" t="s">
        <v>258</v>
      </c>
      <c r="P65" s="252">
        <v>0.33333333333333331</v>
      </c>
      <c r="Q65" s="251">
        <v>168</v>
      </c>
      <c r="R65" s="253" t="s">
        <v>979</v>
      </c>
    </row>
    <row r="66" spans="1:18" ht="17.399999999999999" customHeight="1" x14ac:dyDescent="0.3">
      <c r="A66" s="360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1"/>
      <c r="P66" s="361"/>
      <c r="Q66" s="361"/>
      <c r="R66" s="362"/>
    </row>
    <row r="67" spans="1:18" ht="22.05" customHeight="1" x14ac:dyDescent="0.3">
      <c r="A67" s="323" t="s">
        <v>6</v>
      </c>
      <c r="B67" s="324"/>
      <c r="C67" s="324"/>
      <c r="D67" s="324"/>
      <c r="E67" s="324"/>
      <c r="F67" s="324"/>
      <c r="G67" s="2">
        <v>45995</v>
      </c>
      <c r="H67" s="323" t="s">
        <v>7</v>
      </c>
      <c r="I67" s="324"/>
      <c r="J67" s="324"/>
      <c r="K67" s="324"/>
      <c r="L67" s="324"/>
      <c r="M67" s="324"/>
      <c r="N67" s="324"/>
      <c r="O67" s="324"/>
      <c r="P67" s="324"/>
      <c r="Q67" s="324"/>
      <c r="R67" s="324"/>
    </row>
    <row r="68" spans="1:18" ht="24" customHeight="1" x14ac:dyDescent="0.3">
      <c r="A68" s="3" t="s">
        <v>8</v>
      </c>
      <c r="B68" s="3" t="s">
        <v>9</v>
      </c>
      <c r="C68" s="3" t="s">
        <v>10</v>
      </c>
      <c r="D68" s="3" t="s">
        <v>11</v>
      </c>
      <c r="E68" s="3" t="s">
        <v>12</v>
      </c>
      <c r="F68" s="4" t="s">
        <v>13</v>
      </c>
      <c r="G68" s="5" t="s">
        <v>14</v>
      </c>
      <c r="H68" s="3" t="s">
        <v>15</v>
      </c>
      <c r="I68" s="3" t="s">
        <v>16</v>
      </c>
      <c r="J68" s="3" t="s">
        <v>17</v>
      </c>
      <c r="K68" s="3" t="s">
        <v>18</v>
      </c>
      <c r="L68" s="3" t="s">
        <v>19</v>
      </c>
      <c r="M68" s="3" t="s">
        <v>20</v>
      </c>
      <c r="N68" s="3" t="s">
        <v>21</v>
      </c>
      <c r="O68" s="3" t="s">
        <v>22</v>
      </c>
      <c r="P68" s="3" t="s">
        <v>23</v>
      </c>
      <c r="Q68" s="3" t="s">
        <v>24</v>
      </c>
      <c r="R68" s="3" t="s">
        <v>25</v>
      </c>
    </row>
    <row r="69" spans="1:18" ht="49.95" customHeight="1" x14ac:dyDescent="0.3">
      <c r="A69" s="44" t="s">
        <v>44</v>
      </c>
      <c r="B69" s="44" t="s">
        <v>954</v>
      </c>
      <c r="C69" s="44">
        <v>8.3333333333333329E-2</v>
      </c>
      <c r="D69" s="44" t="s">
        <v>61</v>
      </c>
      <c r="E69" s="44"/>
      <c r="F69" s="44" t="s">
        <v>363</v>
      </c>
      <c r="G69" s="335"/>
      <c r="H69" s="244" t="s">
        <v>954</v>
      </c>
      <c r="I69" s="245">
        <v>0.6845</v>
      </c>
      <c r="J69" s="246">
        <v>115</v>
      </c>
      <c r="K69" s="247" t="s">
        <v>50</v>
      </c>
      <c r="L69" s="246">
        <v>20</v>
      </c>
      <c r="M69" s="246">
        <v>0</v>
      </c>
      <c r="N69" s="246">
        <v>3</v>
      </c>
      <c r="O69" s="247" t="s">
        <v>526</v>
      </c>
      <c r="P69" s="247">
        <v>8.3333333333333329E-2</v>
      </c>
      <c r="Q69" s="246">
        <v>168</v>
      </c>
      <c r="R69" s="248" t="s">
        <v>980</v>
      </c>
    </row>
    <row r="70" spans="1:18" ht="49.95" customHeight="1" x14ac:dyDescent="0.3">
      <c r="A70" s="193" t="s">
        <v>44</v>
      </c>
      <c r="B70" s="193" t="s">
        <v>935</v>
      </c>
      <c r="C70" s="193">
        <v>0.51736111111111105</v>
      </c>
      <c r="D70" s="193" t="s">
        <v>61</v>
      </c>
      <c r="E70" s="193"/>
      <c r="F70" s="193" t="s">
        <v>363</v>
      </c>
      <c r="G70" s="328"/>
      <c r="H70" s="226" t="s">
        <v>935</v>
      </c>
      <c r="I70" s="261">
        <v>0.35709999999999997</v>
      </c>
      <c r="J70" s="228">
        <v>60</v>
      </c>
      <c r="K70" s="229" t="s">
        <v>50</v>
      </c>
      <c r="L70" s="228">
        <v>7</v>
      </c>
      <c r="M70" s="228">
        <v>0</v>
      </c>
      <c r="N70" s="228">
        <v>1</v>
      </c>
      <c r="O70" s="229" t="s">
        <v>364</v>
      </c>
      <c r="P70" s="229">
        <v>0.51736111111111105</v>
      </c>
      <c r="Q70" s="228">
        <v>168</v>
      </c>
      <c r="R70" s="230" t="s">
        <v>981</v>
      </c>
    </row>
    <row r="71" spans="1:18" ht="49.95" customHeight="1" x14ac:dyDescent="0.3">
      <c r="A71" s="256" t="s">
        <v>44</v>
      </c>
      <c r="B71" s="256" t="s">
        <v>938</v>
      </c>
      <c r="C71" s="256">
        <v>0.70833333333333337</v>
      </c>
      <c r="D71" s="256" t="s">
        <v>61</v>
      </c>
      <c r="E71" s="256"/>
      <c r="F71" s="256" t="s">
        <v>363</v>
      </c>
      <c r="G71" s="328"/>
      <c r="H71" s="144" t="s">
        <v>938</v>
      </c>
      <c r="I71" s="145">
        <v>0.66669999999999996</v>
      </c>
      <c r="J71" s="146">
        <v>112</v>
      </c>
      <c r="K71" s="147" t="s">
        <v>175</v>
      </c>
      <c r="L71" s="146">
        <v>33</v>
      </c>
      <c r="M71" s="146">
        <v>2</v>
      </c>
      <c r="N71" s="146">
        <v>2</v>
      </c>
      <c r="O71" s="147" t="s">
        <v>646</v>
      </c>
      <c r="P71" s="147">
        <v>0.70833333333333337</v>
      </c>
      <c r="Q71" s="146">
        <v>168</v>
      </c>
      <c r="R71" s="148" t="s">
        <v>982</v>
      </c>
    </row>
    <row r="72" spans="1:18" ht="17.399999999999999" customHeight="1" x14ac:dyDescent="0.3">
      <c r="A72" s="360"/>
      <c r="B72" s="361"/>
      <c r="C72" s="361"/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61"/>
      <c r="P72" s="361"/>
      <c r="Q72" s="361"/>
      <c r="R72" s="362"/>
    </row>
    <row r="73" spans="1:18" ht="22.05" customHeight="1" x14ac:dyDescent="0.3">
      <c r="A73" s="323" t="s">
        <v>6</v>
      </c>
      <c r="B73" s="324"/>
      <c r="C73" s="324"/>
      <c r="D73" s="324"/>
      <c r="E73" s="324"/>
      <c r="F73" s="324"/>
      <c r="G73" s="2">
        <v>45996</v>
      </c>
      <c r="H73" s="323" t="s">
        <v>7</v>
      </c>
      <c r="I73" s="324"/>
      <c r="J73" s="324"/>
      <c r="K73" s="324"/>
      <c r="L73" s="324"/>
      <c r="M73" s="324"/>
      <c r="N73" s="324"/>
      <c r="O73" s="324"/>
      <c r="P73" s="324"/>
      <c r="Q73" s="324"/>
      <c r="R73" s="324"/>
    </row>
    <row r="74" spans="1:18" ht="24" customHeight="1" x14ac:dyDescent="0.3">
      <c r="A74" s="3" t="s">
        <v>8</v>
      </c>
      <c r="B74" s="3" t="s">
        <v>9</v>
      </c>
      <c r="C74" s="3" t="s">
        <v>10</v>
      </c>
      <c r="D74" s="3" t="s">
        <v>11</v>
      </c>
      <c r="E74" s="3" t="s">
        <v>12</v>
      </c>
      <c r="F74" s="4" t="s">
        <v>13</v>
      </c>
      <c r="G74" s="5" t="s">
        <v>14</v>
      </c>
      <c r="H74" s="3" t="s">
        <v>15</v>
      </c>
      <c r="I74" s="3" t="s">
        <v>16</v>
      </c>
      <c r="J74" s="3" t="s">
        <v>17</v>
      </c>
      <c r="K74" s="3" t="s">
        <v>18</v>
      </c>
      <c r="L74" s="3" t="s">
        <v>19</v>
      </c>
      <c r="M74" s="3" t="s">
        <v>20</v>
      </c>
      <c r="N74" s="3" t="s">
        <v>21</v>
      </c>
      <c r="O74" s="3" t="s">
        <v>22</v>
      </c>
      <c r="P74" s="3" t="s">
        <v>23</v>
      </c>
      <c r="Q74" s="3" t="s">
        <v>24</v>
      </c>
      <c r="R74" s="3" t="s">
        <v>25</v>
      </c>
    </row>
    <row r="75" spans="1:18" ht="49.95" customHeight="1" x14ac:dyDescent="0.3">
      <c r="A75" s="127" t="s">
        <v>44</v>
      </c>
      <c r="B75" s="127" t="s">
        <v>949</v>
      </c>
      <c r="C75" s="127">
        <v>0.29166666666666669</v>
      </c>
      <c r="D75" s="127" t="s">
        <v>61</v>
      </c>
      <c r="E75" s="127"/>
      <c r="F75" s="127" t="s">
        <v>983</v>
      </c>
      <c r="G75" s="335"/>
      <c r="H75" s="249" t="s">
        <v>949</v>
      </c>
      <c r="I75" s="250">
        <v>0.15479999999999999</v>
      </c>
      <c r="J75" s="251">
        <v>26</v>
      </c>
      <c r="K75" s="252" t="s">
        <v>175</v>
      </c>
      <c r="L75" s="251">
        <v>5</v>
      </c>
      <c r="M75" s="251">
        <v>1</v>
      </c>
      <c r="N75" s="251">
        <v>0</v>
      </c>
      <c r="O75" s="252" t="s">
        <v>329</v>
      </c>
      <c r="P75" s="252">
        <v>0.29166666666666669</v>
      </c>
      <c r="Q75" s="251">
        <v>168</v>
      </c>
      <c r="R75" s="253" t="s">
        <v>984</v>
      </c>
    </row>
    <row r="76" spans="1:18" ht="17.399999999999999" customHeight="1" x14ac:dyDescent="0.3">
      <c r="A76" s="360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2"/>
    </row>
    <row r="77" spans="1:18" ht="22.05" customHeight="1" x14ac:dyDescent="0.3">
      <c r="A77" s="323" t="s">
        <v>6</v>
      </c>
      <c r="B77" s="324"/>
      <c r="C77" s="324"/>
      <c r="D77" s="324"/>
      <c r="E77" s="324"/>
      <c r="F77" s="324"/>
      <c r="G77" s="2">
        <v>45997</v>
      </c>
      <c r="H77" s="323" t="s">
        <v>7</v>
      </c>
      <c r="I77" s="324"/>
      <c r="J77" s="324"/>
      <c r="K77" s="324"/>
      <c r="L77" s="324"/>
      <c r="M77" s="324"/>
      <c r="N77" s="324"/>
      <c r="O77" s="324"/>
      <c r="P77" s="324"/>
      <c r="Q77" s="324"/>
      <c r="R77" s="324"/>
    </row>
    <row r="78" spans="1:18" ht="24" customHeight="1" x14ac:dyDescent="0.3">
      <c r="A78" s="3" t="s">
        <v>8</v>
      </c>
      <c r="B78" s="3" t="s">
        <v>9</v>
      </c>
      <c r="C78" s="3" t="s">
        <v>10</v>
      </c>
      <c r="D78" s="3" t="s">
        <v>11</v>
      </c>
      <c r="E78" s="3" t="s">
        <v>12</v>
      </c>
      <c r="F78" s="4" t="s">
        <v>13</v>
      </c>
      <c r="G78" s="5" t="s">
        <v>14</v>
      </c>
      <c r="H78" s="3" t="s">
        <v>15</v>
      </c>
      <c r="I78" s="3" t="s">
        <v>16</v>
      </c>
      <c r="J78" s="3" t="s">
        <v>17</v>
      </c>
      <c r="K78" s="3" t="s">
        <v>18</v>
      </c>
      <c r="L78" s="3" t="s">
        <v>19</v>
      </c>
      <c r="M78" s="3" t="s">
        <v>20</v>
      </c>
      <c r="N78" s="3" t="s">
        <v>21</v>
      </c>
      <c r="O78" s="3" t="s">
        <v>22</v>
      </c>
      <c r="P78" s="3" t="s">
        <v>23</v>
      </c>
      <c r="Q78" s="3" t="s">
        <v>24</v>
      </c>
      <c r="R78" s="3" t="s">
        <v>25</v>
      </c>
    </row>
    <row r="79" spans="1:18" ht="49.95" customHeight="1" x14ac:dyDescent="0.3">
      <c r="A79" s="167" t="s">
        <v>44</v>
      </c>
      <c r="B79" s="167" t="s">
        <v>946</v>
      </c>
      <c r="C79" s="167">
        <v>0.46180555555555558</v>
      </c>
      <c r="D79" s="167" t="s">
        <v>46</v>
      </c>
      <c r="E79" s="167" t="s">
        <v>134</v>
      </c>
      <c r="F79" s="167" t="s">
        <v>426</v>
      </c>
      <c r="G79" s="336"/>
      <c r="H79" s="168" t="s">
        <v>935</v>
      </c>
      <c r="I79" s="262">
        <v>0.58330000000000004</v>
      </c>
      <c r="J79" s="170">
        <v>98</v>
      </c>
      <c r="K79" s="171" t="s">
        <v>50</v>
      </c>
      <c r="L79" s="170">
        <v>9</v>
      </c>
      <c r="M79" s="170">
        <v>0</v>
      </c>
      <c r="N79" s="170">
        <v>2</v>
      </c>
      <c r="O79" s="171" t="s">
        <v>282</v>
      </c>
      <c r="P79" s="171">
        <v>0.46180555555555558</v>
      </c>
      <c r="Q79" s="170">
        <v>168</v>
      </c>
      <c r="R79" s="172" t="s">
        <v>985</v>
      </c>
    </row>
    <row r="80" spans="1:18" ht="49.95" customHeight="1" x14ac:dyDescent="0.3">
      <c r="A80" s="189" t="s">
        <v>44</v>
      </c>
      <c r="B80" s="189" t="s">
        <v>948</v>
      </c>
      <c r="C80" s="189">
        <v>0.30208333333333331</v>
      </c>
      <c r="D80" s="189" t="s">
        <v>46</v>
      </c>
      <c r="E80" s="189" t="s">
        <v>71</v>
      </c>
      <c r="F80" s="189" t="s">
        <v>426</v>
      </c>
      <c r="G80" s="328"/>
      <c r="H80" s="244" t="s">
        <v>949</v>
      </c>
      <c r="I80" s="263">
        <v>0.48209999999999997</v>
      </c>
      <c r="J80" s="246">
        <v>81</v>
      </c>
      <c r="K80" s="247" t="s">
        <v>986</v>
      </c>
      <c r="L80" s="246">
        <v>0</v>
      </c>
      <c r="M80" s="246">
        <v>0</v>
      </c>
      <c r="N80" s="246">
        <v>0</v>
      </c>
      <c r="O80" s="247" t="s">
        <v>364</v>
      </c>
      <c r="P80" s="247">
        <v>0.30208333333333331</v>
      </c>
      <c r="Q80" s="246">
        <v>168</v>
      </c>
      <c r="R80" s="248" t="s">
        <v>987</v>
      </c>
    </row>
    <row r="81" spans="1:18" ht="49.95" customHeight="1" x14ac:dyDescent="0.3">
      <c r="A81" s="18" t="s">
        <v>44</v>
      </c>
      <c r="B81" s="18" t="s">
        <v>956</v>
      </c>
      <c r="C81" s="18">
        <v>0.6875</v>
      </c>
      <c r="D81" s="18" t="s">
        <v>46</v>
      </c>
      <c r="E81" s="18" t="s">
        <v>54</v>
      </c>
      <c r="F81" s="18" t="s">
        <v>562</v>
      </c>
      <c r="G81" s="328"/>
      <c r="H81" s="150" t="s">
        <v>938</v>
      </c>
      <c r="I81" s="211">
        <v>0.85709999999999997</v>
      </c>
      <c r="J81" s="152">
        <v>144</v>
      </c>
      <c r="K81" s="153" t="s">
        <v>50</v>
      </c>
      <c r="L81" s="152">
        <v>50</v>
      </c>
      <c r="M81" s="152">
        <v>0</v>
      </c>
      <c r="N81" s="152">
        <v>1</v>
      </c>
      <c r="O81" s="153" t="s">
        <v>329</v>
      </c>
      <c r="P81" s="153">
        <v>0.6875</v>
      </c>
      <c r="Q81" s="152">
        <v>168</v>
      </c>
      <c r="R81" s="154" t="s">
        <v>988</v>
      </c>
    </row>
    <row r="82" spans="1:18" ht="49.95" customHeight="1" x14ac:dyDescent="0.3">
      <c r="A82" s="11" t="s">
        <v>66</v>
      </c>
      <c r="B82" s="11" t="s">
        <v>951</v>
      </c>
      <c r="C82" s="11">
        <v>0.46180555555555558</v>
      </c>
      <c r="D82" s="11" t="s">
        <v>369</v>
      </c>
      <c r="E82" s="11" t="s">
        <v>29</v>
      </c>
      <c r="F82" s="11" t="s">
        <v>952</v>
      </c>
      <c r="G82" s="328"/>
      <c r="H82" s="218"/>
      <c r="I82" s="219"/>
      <c r="J82" s="219"/>
      <c r="K82" s="219"/>
      <c r="L82" s="219"/>
      <c r="M82" s="219"/>
      <c r="N82" s="219"/>
      <c r="O82" s="219"/>
      <c r="P82" s="219"/>
      <c r="Q82" s="219"/>
      <c r="R82" s="220"/>
    </row>
    <row r="83" spans="1:18" ht="15.6" x14ac:dyDescent="0.3">
      <c r="A83" s="338" t="s">
        <v>962</v>
      </c>
      <c r="B83" s="339"/>
      <c r="C83" s="339"/>
      <c r="D83" s="339"/>
      <c r="E83" s="339"/>
      <c r="F83" s="339"/>
      <c r="G83" s="32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</row>
    <row r="84" spans="1:18" ht="49.95" customHeight="1" x14ac:dyDescent="0.3">
      <c r="A84" s="155" t="s">
        <v>44</v>
      </c>
      <c r="B84" s="155" t="s">
        <v>367</v>
      </c>
      <c r="C84" s="155" t="s">
        <v>368</v>
      </c>
      <c r="D84" s="155" t="s">
        <v>369</v>
      </c>
      <c r="E84" s="155" t="s">
        <v>377</v>
      </c>
      <c r="F84" s="155" t="s">
        <v>371</v>
      </c>
      <c r="G84" s="337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</row>
    <row r="85" spans="1:18" ht="17.399999999999999" customHeight="1" x14ac:dyDescent="0.3">
      <c r="A85" s="360"/>
      <c r="B85" s="361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  <c r="O85" s="361"/>
      <c r="P85" s="361"/>
      <c r="Q85" s="361"/>
      <c r="R85" s="362"/>
    </row>
    <row r="86" spans="1:18" ht="22.05" customHeight="1" x14ac:dyDescent="0.3">
      <c r="A86" s="323" t="s">
        <v>6</v>
      </c>
      <c r="B86" s="324"/>
      <c r="C86" s="324"/>
      <c r="D86" s="324"/>
      <c r="E86" s="324"/>
      <c r="F86" s="324"/>
      <c r="G86" s="2">
        <v>45998</v>
      </c>
      <c r="H86" s="323" t="s">
        <v>7</v>
      </c>
      <c r="I86" s="324"/>
      <c r="J86" s="324"/>
      <c r="K86" s="324"/>
      <c r="L86" s="324"/>
      <c r="M86" s="324"/>
      <c r="N86" s="324"/>
      <c r="O86" s="324"/>
      <c r="P86" s="324"/>
      <c r="Q86" s="324"/>
      <c r="R86" s="324"/>
    </row>
    <row r="87" spans="1:18" ht="24" customHeight="1" x14ac:dyDescent="0.3">
      <c r="A87" s="3" t="s">
        <v>8</v>
      </c>
      <c r="B87" s="3" t="s">
        <v>9</v>
      </c>
      <c r="C87" s="3" t="s">
        <v>10</v>
      </c>
      <c r="D87" s="3" t="s">
        <v>11</v>
      </c>
      <c r="E87" s="3" t="s">
        <v>12</v>
      </c>
      <c r="F87" s="4" t="s">
        <v>13</v>
      </c>
      <c r="G87" s="5" t="s">
        <v>14</v>
      </c>
      <c r="H87" s="3" t="s">
        <v>15</v>
      </c>
      <c r="I87" s="3" t="s">
        <v>16</v>
      </c>
      <c r="J87" s="3" t="s">
        <v>17</v>
      </c>
      <c r="K87" s="3" t="s">
        <v>18</v>
      </c>
      <c r="L87" s="3" t="s">
        <v>19</v>
      </c>
      <c r="M87" s="3" t="s">
        <v>20</v>
      </c>
      <c r="N87" s="3" t="s">
        <v>21</v>
      </c>
      <c r="O87" s="3" t="s">
        <v>22</v>
      </c>
      <c r="P87" s="3" t="s">
        <v>23</v>
      </c>
      <c r="Q87" s="3" t="s">
        <v>24</v>
      </c>
      <c r="R87" s="3" t="s">
        <v>25</v>
      </c>
    </row>
    <row r="88" spans="1:18" ht="15" customHeight="1" x14ac:dyDescent="0.3">
      <c r="A88" s="6" t="s">
        <v>26</v>
      </c>
      <c r="B88" s="6" t="s">
        <v>942</v>
      </c>
      <c r="C88" s="6">
        <v>0.28472222222222221</v>
      </c>
      <c r="D88" s="6" t="s">
        <v>795</v>
      </c>
      <c r="E88" s="6" t="s">
        <v>132</v>
      </c>
      <c r="F88" s="6" t="s">
        <v>621</v>
      </c>
      <c r="G88" s="335"/>
      <c r="H88" s="218"/>
      <c r="I88" s="219"/>
      <c r="J88" s="219"/>
      <c r="K88" s="219"/>
      <c r="L88" s="219"/>
      <c r="M88" s="219"/>
      <c r="N88" s="219"/>
      <c r="O88" s="219"/>
      <c r="P88" s="219"/>
      <c r="Q88" s="219"/>
      <c r="R88" s="220"/>
    </row>
    <row r="89" spans="1:18" ht="15" customHeight="1" x14ac:dyDescent="0.3">
      <c r="A89" s="10" t="s">
        <v>26</v>
      </c>
      <c r="B89" s="10" t="s">
        <v>942</v>
      </c>
      <c r="C89" s="10">
        <v>0.28472222222222221</v>
      </c>
      <c r="D89" s="10" t="s">
        <v>796</v>
      </c>
      <c r="E89" s="10" t="s">
        <v>115</v>
      </c>
      <c r="F89" s="10" t="s">
        <v>989</v>
      </c>
      <c r="G89" s="328"/>
      <c r="H89" s="218"/>
      <c r="I89" s="219"/>
      <c r="J89" s="219"/>
      <c r="K89" s="219"/>
      <c r="L89" s="219"/>
      <c r="M89" s="219"/>
      <c r="N89" s="219"/>
      <c r="O89" s="219"/>
      <c r="P89" s="219"/>
      <c r="Q89" s="219"/>
      <c r="R89" s="220"/>
    </row>
    <row r="90" spans="1:18" ht="15" customHeight="1" x14ac:dyDescent="0.3">
      <c r="A90" s="10" t="s">
        <v>26</v>
      </c>
      <c r="B90" s="10" t="s">
        <v>942</v>
      </c>
      <c r="C90" s="10">
        <v>0.28472222222222221</v>
      </c>
      <c r="D90" s="10" t="s">
        <v>798</v>
      </c>
      <c r="E90" s="10" t="s">
        <v>115</v>
      </c>
      <c r="F90" s="10" t="s">
        <v>990</v>
      </c>
      <c r="G90" s="328"/>
      <c r="H90" s="218"/>
      <c r="I90" s="219"/>
      <c r="J90" s="219"/>
      <c r="K90" s="219"/>
      <c r="L90" s="219"/>
      <c r="M90" s="219"/>
      <c r="N90" s="219"/>
      <c r="O90" s="219"/>
      <c r="P90" s="219"/>
      <c r="Q90" s="219"/>
      <c r="R90" s="220"/>
    </row>
    <row r="91" spans="1:18" ht="15" customHeight="1" x14ac:dyDescent="0.3">
      <c r="A91" s="10" t="s">
        <v>26</v>
      </c>
      <c r="B91" s="10" t="s">
        <v>942</v>
      </c>
      <c r="C91" s="10">
        <v>0.28472222222222221</v>
      </c>
      <c r="D91" s="10" t="s">
        <v>800</v>
      </c>
      <c r="E91" s="10" t="s">
        <v>115</v>
      </c>
      <c r="F91" s="10" t="s">
        <v>441</v>
      </c>
      <c r="G91" s="328"/>
      <c r="H91" s="218"/>
      <c r="I91" s="219"/>
      <c r="J91" s="219"/>
      <c r="K91" s="219"/>
      <c r="L91" s="219"/>
      <c r="M91" s="219"/>
      <c r="N91" s="219"/>
      <c r="O91" s="219"/>
      <c r="P91" s="219"/>
      <c r="Q91" s="219"/>
      <c r="R91" s="220"/>
    </row>
    <row r="92" spans="1:18" ht="15" customHeight="1" x14ac:dyDescent="0.3">
      <c r="A92" s="149" t="s">
        <v>44</v>
      </c>
      <c r="B92" s="149" t="s">
        <v>956</v>
      </c>
      <c r="C92" s="149">
        <v>0.85069444444444453</v>
      </c>
      <c r="D92" s="149" t="s">
        <v>46</v>
      </c>
      <c r="E92" s="149" t="s">
        <v>129</v>
      </c>
      <c r="F92" s="149" t="s">
        <v>416</v>
      </c>
      <c r="G92" s="328"/>
      <c r="H92" s="150" t="s">
        <v>938</v>
      </c>
      <c r="I92" s="257">
        <v>0.57740000000000002</v>
      </c>
      <c r="J92" s="152">
        <v>97</v>
      </c>
      <c r="K92" s="153" t="s">
        <v>175</v>
      </c>
      <c r="L92" s="152">
        <v>6</v>
      </c>
      <c r="M92" s="152">
        <v>1</v>
      </c>
      <c r="N92" s="152">
        <v>2</v>
      </c>
      <c r="O92" s="153" t="s">
        <v>394</v>
      </c>
      <c r="P92" s="153">
        <v>0.85069444444444453</v>
      </c>
      <c r="Q92" s="152">
        <v>168</v>
      </c>
      <c r="R92" s="154" t="s">
        <v>991</v>
      </c>
    </row>
    <row r="93" spans="1:18" ht="15" customHeight="1" x14ac:dyDescent="0.3">
      <c r="A93" s="212" t="s">
        <v>44</v>
      </c>
      <c r="B93" s="212" t="s">
        <v>948</v>
      </c>
      <c r="C93" s="212">
        <v>0.76736111111111116</v>
      </c>
      <c r="D93" s="212" t="s">
        <v>46</v>
      </c>
      <c r="E93" s="212" t="s">
        <v>71</v>
      </c>
      <c r="F93" s="212" t="s">
        <v>562</v>
      </c>
      <c r="G93" s="328"/>
      <c r="H93" s="213" t="s">
        <v>949</v>
      </c>
      <c r="I93" s="264">
        <v>0.76790000000000003</v>
      </c>
      <c r="J93" s="215">
        <v>129</v>
      </c>
      <c r="K93" s="216" t="s">
        <v>50</v>
      </c>
      <c r="L93" s="215">
        <v>8</v>
      </c>
      <c r="M93" s="215">
        <v>0</v>
      </c>
      <c r="N93" s="215">
        <v>1</v>
      </c>
      <c r="O93" s="216" t="s">
        <v>265</v>
      </c>
      <c r="P93" s="216">
        <v>0.76736111111111116</v>
      </c>
      <c r="Q93" s="215">
        <v>168</v>
      </c>
      <c r="R93" s="217" t="s">
        <v>992</v>
      </c>
    </row>
    <row r="94" spans="1:18" ht="17.399999999999999" customHeight="1" x14ac:dyDescent="0.3">
      <c r="A94" s="360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1"/>
      <c r="P94" s="361"/>
      <c r="Q94" s="361"/>
      <c r="R94" s="362"/>
    </row>
    <row r="95" spans="1:18" ht="22.05" customHeight="1" x14ac:dyDescent="0.3">
      <c r="A95" s="323" t="s">
        <v>6</v>
      </c>
      <c r="B95" s="324"/>
      <c r="C95" s="324"/>
      <c r="D95" s="324"/>
      <c r="E95" s="324"/>
      <c r="F95" s="324"/>
      <c r="G95" s="2">
        <v>45999</v>
      </c>
      <c r="H95" s="323" t="s">
        <v>7</v>
      </c>
      <c r="I95" s="324"/>
      <c r="J95" s="324"/>
      <c r="K95" s="324"/>
      <c r="L95" s="324"/>
      <c r="M95" s="324"/>
      <c r="N95" s="324"/>
      <c r="O95" s="324"/>
      <c r="P95" s="324"/>
      <c r="Q95" s="324"/>
      <c r="R95" s="324"/>
    </row>
    <row r="96" spans="1:18" ht="24" customHeight="1" x14ac:dyDescent="0.3">
      <c r="A96" s="3" t="s">
        <v>8</v>
      </c>
      <c r="B96" s="3" t="s">
        <v>9</v>
      </c>
      <c r="C96" s="3" t="s">
        <v>10</v>
      </c>
      <c r="D96" s="3" t="s">
        <v>11</v>
      </c>
      <c r="E96" s="3" t="s">
        <v>12</v>
      </c>
      <c r="F96" s="4" t="s">
        <v>13</v>
      </c>
      <c r="G96" s="5" t="s">
        <v>14</v>
      </c>
      <c r="H96" s="3" t="s">
        <v>15</v>
      </c>
      <c r="I96" s="3" t="s">
        <v>16</v>
      </c>
      <c r="J96" s="3" t="s">
        <v>17</v>
      </c>
      <c r="K96" s="3" t="s">
        <v>18</v>
      </c>
      <c r="L96" s="3" t="s">
        <v>19</v>
      </c>
      <c r="M96" s="3" t="s">
        <v>20</v>
      </c>
      <c r="N96" s="3" t="s">
        <v>21</v>
      </c>
      <c r="O96" s="3" t="s">
        <v>22</v>
      </c>
      <c r="P96" s="3" t="s">
        <v>23</v>
      </c>
      <c r="Q96" s="3" t="s">
        <v>24</v>
      </c>
      <c r="R96" s="3" t="s">
        <v>25</v>
      </c>
    </row>
    <row r="97" spans="1:18" ht="49.95" customHeight="1" x14ac:dyDescent="0.3">
      <c r="A97" s="51" t="s">
        <v>44</v>
      </c>
      <c r="B97" s="51" t="s">
        <v>946</v>
      </c>
      <c r="C97" s="51">
        <v>0.74305555555555547</v>
      </c>
      <c r="D97" s="51" t="s">
        <v>46</v>
      </c>
      <c r="E97" s="51" t="s">
        <v>47</v>
      </c>
      <c r="F97" s="51" t="s">
        <v>416</v>
      </c>
      <c r="G97" s="335"/>
      <c r="H97" s="221" t="s">
        <v>935</v>
      </c>
      <c r="I97" s="222">
        <v>0.625</v>
      </c>
      <c r="J97" s="223">
        <v>105</v>
      </c>
      <c r="K97" s="224" t="s">
        <v>50</v>
      </c>
      <c r="L97" s="223">
        <v>11</v>
      </c>
      <c r="M97" s="223">
        <v>0</v>
      </c>
      <c r="N97" s="223">
        <v>3</v>
      </c>
      <c r="O97" s="224" t="s">
        <v>237</v>
      </c>
      <c r="P97" s="224">
        <v>0.74305555555555547</v>
      </c>
      <c r="Q97" s="223">
        <v>168</v>
      </c>
      <c r="R97" s="225" t="s">
        <v>993</v>
      </c>
    </row>
    <row r="98" spans="1:18" ht="49.95" customHeight="1" x14ac:dyDescent="0.3">
      <c r="A98" s="24" t="s">
        <v>44</v>
      </c>
      <c r="B98" s="24" t="s">
        <v>948</v>
      </c>
      <c r="C98" s="24">
        <v>0.25347222222222221</v>
      </c>
      <c r="D98" s="24" t="s">
        <v>46</v>
      </c>
      <c r="E98" s="24" t="s">
        <v>71</v>
      </c>
      <c r="F98" s="24" t="s">
        <v>416</v>
      </c>
      <c r="G98" s="328"/>
      <c r="H98" s="239" t="s">
        <v>949</v>
      </c>
      <c r="I98" s="240">
        <v>0.35120000000000001</v>
      </c>
      <c r="J98" s="241">
        <v>59</v>
      </c>
      <c r="K98" s="242" t="s">
        <v>50</v>
      </c>
      <c r="L98" s="241">
        <v>53</v>
      </c>
      <c r="M98" s="241">
        <v>0</v>
      </c>
      <c r="N98" s="241">
        <v>6</v>
      </c>
      <c r="O98" s="242" t="s">
        <v>237</v>
      </c>
      <c r="P98" s="242">
        <v>0.25347222222222221</v>
      </c>
      <c r="Q98" s="241">
        <v>168</v>
      </c>
      <c r="R98" s="243" t="s">
        <v>994</v>
      </c>
    </row>
    <row r="99" spans="1:18" ht="49.95" customHeight="1" x14ac:dyDescent="0.3">
      <c r="A99" s="87" t="s">
        <v>44</v>
      </c>
      <c r="B99" s="87" t="s">
        <v>953</v>
      </c>
      <c r="C99" s="87">
        <v>0.50694444444444442</v>
      </c>
      <c r="D99" s="87" t="s">
        <v>46</v>
      </c>
      <c r="E99" s="87" t="s">
        <v>71</v>
      </c>
      <c r="F99" s="87" t="s">
        <v>855</v>
      </c>
      <c r="G99" s="328"/>
      <c r="H99" s="234" t="s">
        <v>954</v>
      </c>
      <c r="I99" s="265">
        <v>0.72619999999999996</v>
      </c>
      <c r="J99" s="236">
        <v>122</v>
      </c>
      <c r="K99" s="237" t="s">
        <v>50</v>
      </c>
      <c r="L99" s="236">
        <v>21</v>
      </c>
      <c r="M99" s="236">
        <v>0</v>
      </c>
      <c r="N99" s="236">
        <v>21</v>
      </c>
      <c r="O99" s="237" t="s">
        <v>748</v>
      </c>
      <c r="P99" s="237">
        <v>0.50694444444444442</v>
      </c>
      <c r="Q99" s="236">
        <v>168</v>
      </c>
      <c r="R99" s="238" t="s">
        <v>995</v>
      </c>
    </row>
    <row r="100" spans="1:18" ht="49.95" customHeight="1" x14ac:dyDescent="0.3">
      <c r="A100" s="50" t="s">
        <v>66</v>
      </c>
      <c r="B100" s="50" t="s">
        <v>951</v>
      </c>
      <c r="C100" s="50">
        <v>0.74305555555555547</v>
      </c>
      <c r="D100" s="50" t="s">
        <v>369</v>
      </c>
      <c r="E100" s="50" t="s">
        <v>29</v>
      </c>
      <c r="F100" s="50" t="s">
        <v>952</v>
      </c>
      <c r="G100" s="328"/>
      <c r="H100" s="231"/>
      <c r="I100" s="232"/>
      <c r="J100" s="232"/>
      <c r="K100" s="232"/>
      <c r="L100" s="232"/>
      <c r="M100" s="232"/>
      <c r="N100" s="232"/>
      <c r="O100" s="232"/>
      <c r="P100" s="232"/>
      <c r="Q100" s="232"/>
      <c r="R100" s="233"/>
    </row>
    <row r="101" spans="1:18" ht="17.399999999999999" customHeight="1" x14ac:dyDescent="0.3">
      <c r="A101" s="360"/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61"/>
      <c r="Q101" s="361"/>
      <c r="R101" s="362"/>
    </row>
    <row r="102" spans="1:18" ht="22.05" customHeight="1" x14ac:dyDescent="0.3">
      <c r="A102" s="323" t="s">
        <v>6</v>
      </c>
      <c r="B102" s="324"/>
      <c r="C102" s="324"/>
      <c r="D102" s="324"/>
      <c r="E102" s="324"/>
      <c r="F102" s="324"/>
      <c r="G102" s="2">
        <v>46000</v>
      </c>
      <c r="H102" s="323" t="s">
        <v>7</v>
      </c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</row>
    <row r="103" spans="1:18" ht="24" customHeight="1" x14ac:dyDescent="0.3">
      <c r="A103" s="3" t="s">
        <v>8</v>
      </c>
      <c r="B103" s="3" t="s">
        <v>9</v>
      </c>
      <c r="C103" s="3" t="s">
        <v>10</v>
      </c>
      <c r="D103" s="3" t="s">
        <v>11</v>
      </c>
      <c r="E103" s="3" t="s">
        <v>12</v>
      </c>
      <c r="F103" s="4" t="s">
        <v>13</v>
      </c>
      <c r="G103" s="5" t="s">
        <v>14</v>
      </c>
      <c r="H103" s="3" t="s">
        <v>15</v>
      </c>
      <c r="I103" s="3" t="s">
        <v>16</v>
      </c>
      <c r="J103" s="3" t="s">
        <v>17</v>
      </c>
      <c r="K103" s="3" t="s">
        <v>18</v>
      </c>
      <c r="L103" s="3" t="s">
        <v>19</v>
      </c>
      <c r="M103" s="3" t="s">
        <v>20</v>
      </c>
      <c r="N103" s="3" t="s">
        <v>21</v>
      </c>
      <c r="O103" s="3" t="s">
        <v>22</v>
      </c>
      <c r="P103" s="3" t="s">
        <v>23</v>
      </c>
      <c r="Q103" s="3" t="s">
        <v>24</v>
      </c>
      <c r="R103" s="3" t="s">
        <v>25</v>
      </c>
    </row>
    <row r="104" spans="1:18" ht="49.95" customHeight="1" x14ac:dyDescent="0.3">
      <c r="A104" s="44" t="s">
        <v>44</v>
      </c>
      <c r="B104" s="44" t="s">
        <v>935</v>
      </c>
      <c r="C104" s="44">
        <v>0.32291666666666669</v>
      </c>
      <c r="D104" s="44" t="s">
        <v>61</v>
      </c>
      <c r="E104" s="44"/>
      <c r="F104" s="44" t="s">
        <v>363</v>
      </c>
      <c r="G104" s="335"/>
      <c r="H104" s="244" t="s">
        <v>935</v>
      </c>
      <c r="I104" s="263">
        <v>0.33329999999999999</v>
      </c>
      <c r="J104" s="246">
        <v>56</v>
      </c>
      <c r="K104" s="247" t="s">
        <v>175</v>
      </c>
      <c r="L104" s="246">
        <v>8</v>
      </c>
      <c r="M104" s="246">
        <v>2</v>
      </c>
      <c r="N104" s="246">
        <v>0</v>
      </c>
      <c r="O104" s="247" t="s">
        <v>335</v>
      </c>
      <c r="P104" s="247">
        <v>0.32291666666666669</v>
      </c>
      <c r="Q104" s="246">
        <v>168</v>
      </c>
      <c r="R104" s="248" t="s">
        <v>996</v>
      </c>
    </row>
    <row r="105" spans="1:18" ht="49.95" customHeight="1" x14ac:dyDescent="0.3">
      <c r="A105" s="212" t="s">
        <v>44</v>
      </c>
      <c r="B105" s="212" t="s">
        <v>938</v>
      </c>
      <c r="C105" s="212">
        <v>0.6875</v>
      </c>
      <c r="D105" s="212" t="s">
        <v>61</v>
      </c>
      <c r="E105" s="212"/>
      <c r="F105" s="212" t="s">
        <v>363</v>
      </c>
      <c r="G105" s="328"/>
      <c r="H105" s="213" t="s">
        <v>938</v>
      </c>
      <c r="I105" s="266">
        <v>0.35709999999999997</v>
      </c>
      <c r="J105" s="215">
        <v>60</v>
      </c>
      <c r="K105" s="216" t="s">
        <v>175</v>
      </c>
      <c r="L105" s="215">
        <v>9</v>
      </c>
      <c r="M105" s="215">
        <v>3</v>
      </c>
      <c r="N105" s="215">
        <v>2</v>
      </c>
      <c r="O105" s="216" t="s">
        <v>217</v>
      </c>
      <c r="P105" s="216">
        <v>0.6875</v>
      </c>
      <c r="Q105" s="215">
        <v>168</v>
      </c>
      <c r="R105" s="217" t="s">
        <v>997</v>
      </c>
    </row>
    <row r="106" spans="1:18" ht="17.399999999999999" customHeight="1" x14ac:dyDescent="0.3">
      <c r="A106" s="360"/>
      <c r="B106" s="361"/>
      <c r="C106" s="361"/>
      <c r="D106" s="361"/>
      <c r="E106" s="361"/>
      <c r="F106" s="361"/>
      <c r="G106" s="361"/>
      <c r="H106" s="361"/>
      <c r="I106" s="361"/>
      <c r="J106" s="361"/>
      <c r="K106" s="361"/>
      <c r="L106" s="361"/>
      <c r="M106" s="361"/>
      <c r="N106" s="361"/>
      <c r="O106" s="361"/>
      <c r="P106" s="361"/>
      <c r="Q106" s="361"/>
      <c r="R106" s="362"/>
    </row>
    <row r="107" spans="1:18" ht="22.05" customHeight="1" x14ac:dyDescent="0.3">
      <c r="A107" s="323" t="s">
        <v>6</v>
      </c>
      <c r="B107" s="324"/>
      <c r="C107" s="324"/>
      <c r="D107" s="324"/>
      <c r="E107" s="324"/>
      <c r="F107" s="324"/>
      <c r="G107" s="2">
        <v>46001</v>
      </c>
      <c r="H107" s="323" t="s">
        <v>7</v>
      </c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</row>
    <row r="108" spans="1:18" ht="24" customHeight="1" x14ac:dyDescent="0.3">
      <c r="A108" s="3" t="s">
        <v>8</v>
      </c>
      <c r="B108" s="3" t="s">
        <v>9</v>
      </c>
      <c r="C108" s="3" t="s">
        <v>10</v>
      </c>
      <c r="D108" s="3" t="s">
        <v>11</v>
      </c>
      <c r="E108" s="3" t="s">
        <v>12</v>
      </c>
      <c r="F108" s="4" t="s">
        <v>13</v>
      </c>
      <c r="G108" s="5" t="s">
        <v>14</v>
      </c>
      <c r="H108" s="3" t="s">
        <v>15</v>
      </c>
      <c r="I108" s="3" t="s">
        <v>16</v>
      </c>
      <c r="J108" s="3" t="s">
        <v>17</v>
      </c>
      <c r="K108" s="3" t="s">
        <v>18</v>
      </c>
      <c r="L108" s="3" t="s">
        <v>19</v>
      </c>
      <c r="M108" s="3" t="s">
        <v>20</v>
      </c>
      <c r="N108" s="3" t="s">
        <v>21</v>
      </c>
      <c r="O108" s="3" t="s">
        <v>22</v>
      </c>
      <c r="P108" s="3" t="s">
        <v>23</v>
      </c>
      <c r="Q108" s="3" t="s">
        <v>24</v>
      </c>
      <c r="R108" s="3" t="s">
        <v>25</v>
      </c>
    </row>
    <row r="109" spans="1:18" ht="15" customHeight="1" x14ac:dyDescent="0.3">
      <c r="A109" s="6" t="s">
        <v>26</v>
      </c>
      <c r="B109" s="6" t="s">
        <v>942</v>
      </c>
      <c r="C109" s="6">
        <v>0.28472222222222221</v>
      </c>
      <c r="D109" s="6" t="s">
        <v>795</v>
      </c>
      <c r="E109" s="6" t="s">
        <v>29</v>
      </c>
      <c r="F109" s="6" t="s">
        <v>624</v>
      </c>
      <c r="G109" s="335"/>
      <c r="H109" s="218"/>
      <c r="I109" s="219"/>
      <c r="J109" s="219"/>
      <c r="K109" s="219"/>
      <c r="L109" s="219"/>
      <c r="M109" s="219"/>
      <c r="N109" s="219"/>
      <c r="O109" s="219"/>
      <c r="P109" s="219"/>
      <c r="Q109" s="219"/>
      <c r="R109" s="220"/>
    </row>
    <row r="110" spans="1:18" ht="15" customHeight="1" x14ac:dyDescent="0.3">
      <c r="A110" s="10" t="s">
        <v>26</v>
      </c>
      <c r="B110" s="10" t="s">
        <v>942</v>
      </c>
      <c r="C110" s="10">
        <v>0.28472222222222221</v>
      </c>
      <c r="D110" s="10" t="s">
        <v>796</v>
      </c>
      <c r="E110" s="10" t="s">
        <v>32</v>
      </c>
      <c r="F110" s="10" t="s">
        <v>998</v>
      </c>
      <c r="G110" s="328"/>
      <c r="H110" s="218"/>
      <c r="I110" s="219"/>
      <c r="J110" s="219"/>
      <c r="K110" s="219"/>
      <c r="L110" s="219"/>
      <c r="M110" s="219"/>
      <c r="N110" s="219"/>
      <c r="O110" s="219"/>
      <c r="P110" s="219"/>
      <c r="Q110" s="219"/>
      <c r="R110" s="220"/>
    </row>
    <row r="111" spans="1:18" ht="15" customHeight="1" x14ac:dyDescent="0.3">
      <c r="A111" s="10" t="s">
        <v>26</v>
      </c>
      <c r="B111" s="10" t="s">
        <v>942</v>
      </c>
      <c r="C111" s="10">
        <v>0.28472222222222221</v>
      </c>
      <c r="D111" s="10" t="s">
        <v>798</v>
      </c>
      <c r="E111" s="10" t="s">
        <v>32</v>
      </c>
      <c r="F111" s="10" t="s">
        <v>999</v>
      </c>
      <c r="G111" s="328"/>
      <c r="H111" s="218"/>
      <c r="I111" s="219"/>
      <c r="J111" s="219"/>
      <c r="K111" s="219"/>
      <c r="L111" s="219"/>
      <c r="M111" s="219"/>
      <c r="N111" s="219"/>
      <c r="O111" s="219"/>
      <c r="P111" s="219"/>
      <c r="Q111" s="219"/>
      <c r="R111" s="220"/>
    </row>
    <row r="112" spans="1:18" ht="15" customHeight="1" x14ac:dyDescent="0.3">
      <c r="A112" s="10" t="s">
        <v>26</v>
      </c>
      <c r="B112" s="10" t="s">
        <v>942</v>
      </c>
      <c r="C112" s="10">
        <v>0.28472222222222221</v>
      </c>
      <c r="D112" s="10" t="s">
        <v>800</v>
      </c>
      <c r="E112" s="10" t="s">
        <v>32</v>
      </c>
      <c r="F112" s="10" t="s">
        <v>1000</v>
      </c>
      <c r="G112" s="328"/>
      <c r="H112" s="218"/>
      <c r="I112" s="219"/>
      <c r="J112" s="219"/>
      <c r="K112" s="219"/>
      <c r="L112" s="219"/>
      <c r="M112" s="219"/>
      <c r="N112" s="219"/>
      <c r="O112" s="219"/>
      <c r="P112" s="219"/>
      <c r="Q112" s="219"/>
      <c r="R112" s="220"/>
    </row>
    <row r="113" spans="1:18" ht="15" customHeight="1" x14ac:dyDescent="0.3">
      <c r="A113" s="139" t="s">
        <v>44</v>
      </c>
      <c r="B113" s="139" t="s">
        <v>935</v>
      </c>
      <c r="C113" s="139">
        <v>0.2673611111111111</v>
      </c>
      <c r="D113" s="139" t="s">
        <v>61</v>
      </c>
      <c r="E113" s="139"/>
      <c r="F113" s="139" t="s">
        <v>363</v>
      </c>
      <c r="G113" s="328"/>
      <c r="H113" s="226" t="s">
        <v>935</v>
      </c>
      <c r="I113" s="267">
        <v>0.65480000000000005</v>
      </c>
      <c r="J113" s="228">
        <v>110</v>
      </c>
      <c r="K113" s="229" t="s">
        <v>433</v>
      </c>
      <c r="L113" s="228">
        <v>1</v>
      </c>
      <c r="M113" s="228">
        <v>0</v>
      </c>
      <c r="N113" s="228">
        <v>0</v>
      </c>
      <c r="O113" s="229" t="s">
        <v>265</v>
      </c>
      <c r="P113" s="229">
        <v>0.2673611111111111</v>
      </c>
      <c r="Q113" s="228">
        <v>168</v>
      </c>
      <c r="R113" s="230" t="s">
        <v>1001</v>
      </c>
    </row>
    <row r="114" spans="1:18" ht="15" customHeight="1" x14ac:dyDescent="0.3">
      <c r="A114" s="212" t="s">
        <v>44</v>
      </c>
      <c r="B114" s="212" t="s">
        <v>949</v>
      </c>
      <c r="C114" s="212">
        <v>0.33333333333333331</v>
      </c>
      <c r="D114" s="212" t="s">
        <v>61</v>
      </c>
      <c r="E114" s="212"/>
      <c r="F114" s="212" t="s">
        <v>62</v>
      </c>
      <c r="G114" s="328"/>
      <c r="H114" s="213" t="s">
        <v>949</v>
      </c>
      <c r="I114" s="214">
        <v>1.0713999999999999</v>
      </c>
      <c r="J114" s="215">
        <v>180</v>
      </c>
      <c r="K114" s="216" t="s">
        <v>635</v>
      </c>
      <c r="L114" s="215">
        <v>0</v>
      </c>
      <c r="M114" s="215">
        <v>0</v>
      </c>
      <c r="N114" s="215">
        <v>0</v>
      </c>
      <c r="O114" s="216" t="s">
        <v>64</v>
      </c>
      <c r="P114" s="216">
        <v>0.33333333333333331</v>
      </c>
      <c r="Q114" s="215">
        <v>168</v>
      </c>
      <c r="R114" s="217" t="s">
        <v>1002</v>
      </c>
    </row>
  </sheetData>
  <mergeCells count="72">
    <mergeCell ref="G109:G114"/>
    <mergeCell ref="A45:R45"/>
    <mergeCell ref="A94:R94"/>
    <mergeCell ref="G21:G24"/>
    <mergeCell ref="H107:R107"/>
    <mergeCell ref="A107:F107"/>
    <mergeCell ref="G88:G93"/>
    <mergeCell ref="H77:R77"/>
    <mergeCell ref="A51:R51"/>
    <mergeCell ref="G60:G65"/>
    <mergeCell ref="H86:R86"/>
    <mergeCell ref="H95:R95"/>
    <mergeCell ref="A106:R106"/>
    <mergeCell ref="N1:R1"/>
    <mergeCell ref="H52:R52"/>
    <mergeCell ref="A52:F52"/>
    <mergeCell ref="A72:R72"/>
    <mergeCell ref="A29:R29"/>
    <mergeCell ref="G48:G50"/>
    <mergeCell ref="A19:F19"/>
    <mergeCell ref="A102:F102"/>
    <mergeCell ref="A9:F9"/>
    <mergeCell ref="A67:F67"/>
    <mergeCell ref="G104:G105"/>
    <mergeCell ref="A58:F58"/>
    <mergeCell ref="K2:R2"/>
    <mergeCell ref="A34:F34"/>
    <mergeCell ref="A83:F83"/>
    <mergeCell ref="A101:R101"/>
    <mergeCell ref="H102:R102"/>
    <mergeCell ref="A57:R57"/>
    <mergeCell ref="A85:R85"/>
    <mergeCell ref="H46:R46"/>
    <mergeCell ref="A76:R76"/>
    <mergeCell ref="H73:R73"/>
    <mergeCell ref="G97:G100"/>
    <mergeCell ref="G69:G71"/>
    <mergeCell ref="A77:F77"/>
    <mergeCell ref="A73:F73"/>
    <mergeCell ref="G79:G84"/>
    <mergeCell ref="A86:F86"/>
    <mergeCell ref="A18:R18"/>
    <mergeCell ref="H58:R58"/>
    <mergeCell ref="A95:F95"/>
    <mergeCell ref="A2:F2"/>
    <mergeCell ref="A3:R3"/>
    <mergeCell ref="H9:R9"/>
    <mergeCell ref="G39:G44"/>
    <mergeCell ref="G75"/>
    <mergeCell ref="G6:G7"/>
    <mergeCell ref="G2:J2"/>
    <mergeCell ref="A4:F4"/>
    <mergeCell ref="A8:R8"/>
    <mergeCell ref="G11:G17"/>
    <mergeCell ref="H19:R19"/>
    <mergeCell ref="A30:F30"/>
    <mergeCell ref="H67:R67"/>
    <mergeCell ref="H1:L1"/>
    <mergeCell ref="A1:E1"/>
    <mergeCell ref="A66:R66"/>
    <mergeCell ref="A26:F26"/>
    <mergeCell ref="H4:R4"/>
    <mergeCell ref="H37:R37"/>
    <mergeCell ref="G28"/>
    <mergeCell ref="G32:G35"/>
    <mergeCell ref="A36:R36"/>
    <mergeCell ref="H30:R30"/>
    <mergeCell ref="H26:R26"/>
    <mergeCell ref="G54:G56"/>
    <mergeCell ref="A46:F46"/>
    <mergeCell ref="A25:R25"/>
    <mergeCell ref="A37:F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6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7.77734375" style="343" bestFit="1" customWidth="1"/>
    <col min="6" max="6" width="4.21875" style="343" bestFit="1" customWidth="1"/>
    <col min="7" max="7" width="10" style="343" bestFit="1" customWidth="1"/>
    <col min="8" max="10" width="8.5546875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7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8" width="3.88671875" style="343" bestFit="1" customWidth="1"/>
    <col min="29" max="29" width="4.21875" style="343" bestFit="1" customWidth="1"/>
    <col min="30" max="31" width="4.5546875" style="343" bestFit="1" customWidth="1"/>
    <col min="32" max="32" width="3.88671875" style="343" bestFit="1" customWidth="1"/>
    <col min="33" max="33" width="4.21875" style="343" bestFit="1" customWidth="1"/>
    <col min="34" max="34" width="3.88671875" style="343" bestFit="1" customWidth="1"/>
    <col min="35" max="35" width="5.21875" style="343" bestFit="1" customWidth="1"/>
    <col min="36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935</v>
      </c>
      <c r="D2" s="347" t="s">
        <v>1003</v>
      </c>
      <c r="E2" s="346" t="s">
        <v>934</v>
      </c>
      <c r="F2" s="346" t="s">
        <v>214</v>
      </c>
      <c r="G2" s="348">
        <v>0.93300000000000005</v>
      </c>
      <c r="H2" s="349">
        <v>179</v>
      </c>
      <c r="I2" s="349">
        <v>167</v>
      </c>
      <c r="J2" s="349">
        <v>155</v>
      </c>
      <c r="K2" s="346" t="s">
        <v>215</v>
      </c>
      <c r="L2" s="350" t="s">
        <v>157</v>
      </c>
      <c r="M2" s="349">
        <v>0</v>
      </c>
      <c r="N2" s="349">
        <v>0</v>
      </c>
      <c r="O2" s="349">
        <v>0</v>
      </c>
      <c r="P2" s="346" t="s">
        <v>257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258</v>
      </c>
      <c r="AA2" s="342"/>
      <c r="AB2" s="342"/>
      <c r="AC2" s="342"/>
      <c r="AD2" s="349" t="s">
        <v>266</v>
      </c>
      <c r="AE2" s="342"/>
      <c r="AF2" s="342"/>
      <c r="AG2" s="342"/>
      <c r="AH2" s="342"/>
      <c r="AI2" s="349" t="s">
        <v>1004</v>
      </c>
      <c r="AJ2" s="342"/>
    </row>
    <row r="3" spans="1:36" x14ac:dyDescent="0.3">
      <c r="A3" s="344" t="s">
        <v>212</v>
      </c>
      <c r="B3" s="345">
        <v>45986</v>
      </c>
      <c r="C3" s="346" t="s">
        <v>938</v>
      </c>
      <c r="D3" s="347" t="s">
        <v>928</v>
      </c>
      <c r="E3" s="346" t="s">
        <v>934</v>
      </c>
      <c r="F3" s="346" t="s">
        <v>214</v>
      </c>
      <c r="G3" s="348">
        <v>0.97770000000000001</v>
      </c>
      <c r="H3" s="349">
        <v>179</v>
      </c>
      <c r="I3" s="349">
        <v>175</v>
      </c>
      <c r="J3" s="349">
        <v>167</v>
      </c>
      <c r="K3" s="346" t="s">
        <v>215</v>
      </c>
      <c r="L3" s="350" t="s">
        <v>940</v>
      </c>
      <c r="M3" s="349">
        <v>0</v>
      </c>
      <c r="N3" s="349">
        <v>0</v>
      </c>
      <c r="O3" s="349">
        <v>0</v>
      </c>
      <c r="P3" s="346" t="s">
        <v>256</v>
      </c>
      <c r="Q3" s="342"/>
      <c r="R3" s="342"/>
      <c r="S3" s="342"/>
      <c r="T3" s="342"/>
      <c r="U3" s="342"/>
      <c r="V3" s="342"/>
      <c r="W3" s="342"/>
      <c r="X3" s="349" t="s">
        <v>216</v>
      </c>
      <c r="Y3" s="342"/>
      <c r="Z3" s="349" t="s">
        <v>244</v>
      </c>
      <c r="AA3" s="342"/>
      <c r="AB3" s="342"/>
      <c r="AC3" s="349" t="s">
        <v>235</v>
      </c>
      <c r="AD3" s="342"/>
      <c r="AE3" s="342"/>
      <c r="AF3" s="349" t="s">
        <v>608</v>
      </c>
      <c r="AG3" s="342"/>
      <c r="AH3" s="342"/>
      <c r="AI3" s="349" t="s">
        <v>1005</v>
      </c>
      <c r="AJ3" s="342"/>
    </row>
    <row r="4" spans="1:36" x14ac:dyDescent="0.3">
      <c r="A4" s="344" t="s">
        <v>331</v>
      </c>
      <c r="B4" s="345">
        <v>45987</v>
      </c>
      <c r="C4" s="346" t="s">
        <v>935</v>
      </c>
      <c r="D4" s="347" t="s">
        <v>1006</v>
      </c>
      <c r="E4" s="346" t="s">
        <v>934</v>
      </c>
      <c r="F4" s="346" t="s">
        <v>214</v>
      </c>
      <c r="G4" s="348">
        <v>0.65359999999999996</v>
      </c>
      <c r="H4" s="349">
        <v>179</v>
      </c>
      <c r="I4" s="349">
        <v>117</v>
      </c>
      <c r="J4" s="349">
        <v>84</v>
      </c>
      <c r="K4" s="346" t="s">
        <v>215</v>
      </c>
      <c r="L4" s="350" t="s">
        <v>175</v>
      </c>
      <c r="M4" s="349">
        <v>3</v>
      </c>
      <c r="N4" s="349">
        <v>4</v>
      </c>
      <c r="O4" s="349">
        <v>16</v>
      </c>
      <c r="P4" s="346" t="s">
        <v>353</v>
      </c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49" t="s">
        <v>543</v>
      </c>
      <c r="AE4" s="349" t="s">
        <v>237</v>
      </c>
      <c r="AF4" s="349" t="s">
        <v>771</v>
      </c>
      <c r="AG4" s="349" t="s">
        <v>758</v>
      </c>
      <c r="AH4" s="342"/>
      <c r="AI4" s="349" t="s">
        <v>272</v>
      </c>
      <c r="AJ4" s="342"/>
    </row>
    <row r="5" spans="1:36" x14ac:dyDescent="0.3">
      <c r="A5" s="344" t="s">
        <v>331</v>
      </c>
      <c r="B5" s="345">
        <v>45987</v>
      </c>
      <c r="C5" s="346" t="s">
        <v>949</v>
      </c>
      <c r="D5" s="347" t="s">
        <v>717</v>
      </c>
      <c r="E5" s="346" t="s">
        <v>934</v>
      </c>
      <c r="F5" s="346" t="s">
        <v>214</v>
      </c>
      <c r="G5" s="348">
        <v>0.86899999999999999</v>
      </c>
      <c r="H5" s="349">
        <v>168</v>
      </c>
      <c r="I5" s="349">
        <v>146</v>
      </c>
      <c r="J5" s="349">
        <v>108</v>
      </c>
      <c r="K5" s="346" t="s">
        <v>215</v>
      </c>
      <c r="L5" s="350" t="s">
        <v>175</v>
      </c>
      <c r="M5" s="349">
        <v>4</v>
      </c>
      <c r="N5" s="349">
        <v>2</v>
      </c>
      <c r="O5" s="349">
        <v>20</v>
      </c>
      <c r="P5" s="346" t="s">
        <v>353</v>
      </c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9" t="s">
        <v>282</v>
      </c>
      <c r="AE5" s="349" t="s">
        <v>713</v>
      </c>
      <c r="AF5" s="349" t="s">
        <v>390</v>
      </c>
      <c r="AG5" s="349" t="s">
        <v>1007</v>
      </c>
      <c r="AH5" s="342"/>
      <c r="AI5" s="349" t="s">
        <v>1008</v>
      </c>
      <c r="AJ5" s="342"/>
    </row>
    <row r="6" spans="1:36" x14ac:dyDescent="0.3">
      <c r="A6" s="344" t="s">
        <v>240</v>
      </c>
      <c r="B6" s="345">
        <v>45988</v>
      </c>
      <c r="C6" s="346" t="s">
        <v>954</v>
      </c>
      <c r="D6" s="347" t="s">
        <v>751</v>
      </c>
      <c r="E6" s="346" t="s">
        <v>934</v>
      </c>
      <c r="F6" s="346" t="s">
        <v>214</v>
      </c>
      <c r="G6" s="348">
        <v>0.14879999999999999</v>
      </c>
      <c r="H6" s="349">
        <v>168</v>
      </c>
      <c r="I6" s="349">
        <v>25</v>
      </c>
      <c r="J6" s="349">
        <v>0</v>
      </c>
      <c r="K6" s="346" t="s">
        <v>215</v>
      </c>
      <c r="L6" s="350" t="s">
        <v>50</v>
      </c>
      <c r="M6" s="349">
        <v>0</v>
      </c>
      <c r="N6" s="349">
        <v>3</v>
      </c>
      <c r="O6" s="349">
        <v>7</v>
      </c>
      <c r="P6" s="346" t="s">
        <v>353</v>
      </c>
      <c r="Q6" s="342"/>
      <c r="R6" s="342"/>
      <c r="S6" s="342"/>
      <c r="T6" s="342"/>
      <c r="U6" s="342"/>
      <c r="V6" s="342"/>
      <c r="W6" s="342"/>
      <c r="X6" s="342"/>
      <c r="Y6" s="342"/>
      <c r="Z6" s="349" t="s">
        <v>244</v>
      </c>
      <c r="AA6" s="342"/>
      <c r="AB6" s="342"/>
      <c r="AC6" s="342"/>
      <c r="AD6" s="349" t="s">
        <v>245</v>
      </c>
      <c r="AE6" s="349" t="s">
        <v>646</v>
      </c>
      <c r="AF6" s="349" t="s">
        <v>1009</v>
      </c>
      <c r="AG6" s="342"/>
      <c r="AH6" s="342"/>
      <c r="AI6" s="342"/>
      <c r="AJ6" s="342"/>
    </row>
    <row r="7" spans="1:36" x14ac:dyDescent="0.3">
      <c r="A7" s="344" t="s">
        <v>240</v>
      </c>
      <c r="B7" s="345">
        <v>45988</v>
      </c>
      <c r="C7" s="346" t="s">
        <v>935</v>
      </c>
      <c r="D7" s="347" t="s">
        <v>913</v>
      </c>
      <c r="E7" s="346" t="s">
        <v>934</v>
      </c>
      <c r="F7" s="346" t="s">
        <v>214</v>
      </c>
      <c r="G7" s="348">
        <v>0.6845</v>
      </c>
      <c r="H7" s="349">
        <v>168</v>
      </c>
      <c r="I7" s="349">
        <v>115</v>
      </c>
      <c r="J7" s="349">
        <v>96</v>
      </c>
      <c r="K7" s="346" t="s">
        <v>215</v>
      </c>
      <c r="L7" s="350" t="s">
        <v>175</v>
      </c>
      <c r="M7" s="349">
        <v>1</v>
      </c>
      <c r="N7" s="349">
        <v>0</v>
      </c>
      <c r="O7" s="349">
        <v>12</v>
      </c>
      <c r="P7" s="346" t="s">
        <v>353</v>
      </c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9" t="s">
        <v>277</v>
      </c>
      <c r="AE7" s="349" t="s">
        <v>267</v>
      </c>
      <c r="AF7" s="349" t="s">
        <v>229</v>
      </c>
      <c r="AG7" s="349" t="s">
        <v>920</v>
      </c>
      <c r="AH7" s="342"/>
      <c r="AI7" s="349" t="s">
        <v>746</v>
      </c>
      <c r="AJ7" s="342"/>
    </row>
    <row r="8" spans="1:36" x14ac:dyDescent="0.3">
      <c r="A8" s="344" t="s">
        <v>240</v>
      </c>
      <c r="B8" s="345">
        <v>45988</v>
      </c>
      <c r="C8" s="346" t="s">
        <v>938</v>
      </c>
      <c r="D8" s="347" t="s">
        <v>893</v>
      </c>
      <c r="E8" s="346" t="s">
        <v>934</v>
      </c>
      <c r="F8" s="346" t="s">
        <v>214</v>
      </c>
      <c r="G8" s="348">
        <v>0.47489999999999999</v>
      </c>
      <c r="H8" s="349">
        <v>179</v>
      </c>
      <c r="I8" s="349">
        <v>85</v>
      </c>
      <c r="J8" s="349">
        <v>44</v>
      </c>
      <c r="K8" s="346" t="s">
        <v>215</v>
      </c>
      <c r="L8" s="350" t="s">
        <v>175</v>
      </c>
      <c r="M8" s="349">
        <v>4</v>
      </c>
      <c r="N8" s="349">
        <v>5</v>
      </c>
      <c r="O8" s="349">
        <v>27</v>
      </c>
      <c r="P8" s="346" t="s">
        <v>353</v>
      </c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9" t="s">
        <v>924</v>
      </c>
      <c r="AC8" s="349" t="s">
        <v>563</v>
      </c>
      <c r="AD8" s="349" t="s">
        <v>364</v>
      </c>
      <c r="AE8" s="349" t="s">
        <v>526</v>
      </c>
      <c r="AF8" s="349" t="s">
        <v>396</v>
      </c>
      <c r="AG8" s="342"/>
      <c r="AH8" s="342"/>
      <c r="AI8" s="349" t="s">
        <v>1010</v>
      </c>
      <c r="AJ8" s="342"/>
    </row>
    <row r="9" spans="1:36" x14ac:dyDescent="0.3">
      <c r="A9" s="344" t="s">
        <v>724</v>
      </c>
      <c r="B9" s="345">
        <v>45989</v>
      </c>
      <c r="C9" s="346" t="s">
        <v>949</v>
      </c>
      <c r="D9" s="347" t="s">
        <v>1011</v>
      </c>
      <c r="E9" s="346" t="s">
        <v>934</v>
      </c>
      <c r="F9" s="346" t="s">
        <v>214</v>
      </c>
      <c r="G9" s="348">
        <v>0.49399999999999999</v>
      </c>
      <c r="H9" s="349">
        <v>168</v>
      </c>
      <c r="I9" s="349">
        <v>83</v>
      </c>
      <c r="J9" s="349">
        <v>2</v>
      </c>
      <c r="K9" s="346" t="s">
        <v>215</v>
      </c>
      <c r="L9" s="350" t="s">
        <v>50</v>
      </c>
      <c r="M9" s="349">
        <v>0</v>
      </c>
      <c r="N9" s="349">
        <v>12</v>
      </c>
      <c r="O9" s="349">
        <v>49</v>
      </c>
      <c r="P9" s="346" t="s">
        <v>353</v>
      </c>
      <c r="Q9" s="342"/>
      <c r="R9" s="342"/>
      <c r="S9" s="342"/>
      <c r="T9" s="342"/>
      <c r="U9" s="342"/>
      <c r="V9" s="342"/>
      <c r="W9" s="342"/>
      <c r="X9" s="342"/>
      <c r="Y9" s="342"/>
      <c r="Z9" s="349" t="s">
        <v>345</v>
      </c>
      <c r="AA9" s="349" t="s">
        <v>705</v>
      </c>
      <c r="AB9" s="342"/>
      <c r="AC9" s="349" t="s">
        <v>917</v>
      </c>
      <c r="AD9" s="349" t="s">
        <v>736</v>
      </c>
      <c r="AE9" s="349" t="s">
        <v>740</v>
      </c>
      <c r="AF9" s="349" t="s">
        <v>1012</v>
      </c>
      <c r="AG9" s="342"/>
      <c r="AH9" s="342"/>
      <c r="AI9" s="349" t="s">
        <v>323</v>
      </c>
      <c r="AJ9" s="342"/>
    </row>
    <row r="10" spans="1:36" x14ac:dyDescent="0.3">
      <c r="A10" s="344" t="s">
        <v>248</v>
      </c>
      <c r="B10" s="345">
        <v>45990</v>
      </c>
      <c r="C10" s="346" t="s">
        <v>949</v>
      </c>
      <c r="D10" s="347" t="s">
        <v>1013</v>
      </c>
      <c r="E10" s="346" t="s">
        <v>934</v>
      </c>
      <c r="F10" s="346" t="s">
        <v>214</v>
      </c>
      <c r="G10" s="348">
        <v>0.71430000000000005</v>
      </c>
      <c r="H10" s="349">
        <v>168</v>
      </c>
      <c r="I10" s="349">
        <v>120</v>
      </c>
      <c r="J10" s="349">
        <v>95</v>
      </c>
      <c r="K10" s="346" t="s">
        <v>215</v>
      </c>
      <c r="L10" s="350" t="s">
        <v>50</v>
      </c>
      <c r="M10" s="349">
        <v>0</v>
      </c>
      <c r="N10" s="349">
        <v>2</v>
      </c>
      <c r="O10" s="349">
        <v>3</v>
      </c>
      <c r="P10" s="346" t="s">
        <v>364</v>
      </c>
      <c r="Q10" s="342"/>
      <c r="R10" s="342"/>
      <c r="S10" s="342"/>
      <c r="T10" s="342"/>
      <c r="U10" s="342"/>
      <c r="V10" s="342"/>
      <c r="W10" s="342"/>
      <c r="X10" s="342"/>
      <c r="Y10" s="342"/>
      <c r="Z10" s="349" t="s">
        <v>258</v>
      </c>
      <c r="AA10" s="349" t="s">
        <v>705</v>
      </c>
      <c r="AB10" s="342"/>
      <c r="AC10" s="349" t="s">
        <v>1014</v>
      </c>
      <c r="AD10" s="349" t="s">
        <v>643</v>
      </c>
      <c r="AE10" s="349" t="s">
        <v>646</v>
      </c>
      <c r="AF10" s="349" t="s">
        <v>217</v>
      </c>
      <c r="AG10" s="342"/>
      <c r="AH10" s="342"/>
      <c r="AI10" s="349" t="s">
        <v>746</v>
      </c>
      <c r="AJ10" s="342"/>
    </row>
    <row r="11" spans="1:36" x14ac:dyDescent="0.3">
      <c r="A11" s="344" t="s">
        <v>248</v>
      </c>
      <c r="B11" s="345">
        <v>45990</v>
      </c>
      <c r="C11" s="346" t="s">
        <v>938</v>
      </c>
      <c r="D11" s="347" t="s">
        <v>914</v>
      </c>
      <c r="E11" s="346" t="s">
        <v>934</v>
      </c>
      <c r="F11" s="346" t="s">
        <v>214</v>
      </c>
      <c r="G11" s="348">
        <v>0.92859999999999998</v>
      </c>
      <c r="H11" s="349">
        <v>168</v>
      </c>
      <c r="I11" s="349">
        <v>156</v>
      </c>
      <c r="J11" s="349">
        <v>135</v>
      </c>
      <c r="K11" s="346" t="s">
        <v>215</v>
      </c>
      <c r="L11" s="350" t="s">
        <v>50</v>
      </c>
      <c r="M11" s="349">
        <v>0</v>
      </c>
      <c r="N11" s="349">
        <v>3</v>
      </c>
      <c r="O11" s="349">
        <v>6</v>
      </c>
      <c r="P11" s="346" t="s">
        <v>265</v>
      </c>
      <c r="Q11" s="342"/>
      <c r="R11" s="342"/>
      <c r="S11" s="342"/>
      <c r="T11" s="342"/>
      <c r="U11" s="342"/>
      <c r="V11" s="342"/>
      <c r="W11" s="342"/>
      <c r="X11" s="342"/>
      <c r="Y11" s="342"/>
      <c r="Z11" s="349" t="s">
        <v>244</v>
      </c>
      <c r="AA11" s="349" t="s">
        <v>705</v>
      </c>
      <c r="AB11" s="349" t="s">
        <v>924</v>
      </c>
      <c r="AC11" s="349" t="s">
        <v>279</v>
      </c>
      <c r="AD11" s="349" t="s">
        <v>921</v>
      </c>
      <c r="AE11" s="342"/>
      <c r="AF11" s="349" t="s">
        <v>217</v>
      </c>
      <c r="AG11" s="342"/>
      <c r="AH11" s="342"/>
      <c r="AI11" s="349" t="s">
        <v>278</v>
      </c>
      <c r="AJ11" s="342"/>
    </row>
    <row r="12" spans="1:36" x14ac:dyDescent="0.3">
      <c r="A12" s="344" t="s">
        <v>254</v>
      </c>
      <c r="B12" s="345">
        <v>45991</v>
      </c>
      <c r="C12" s="346" t="s">
        <v>949</v>
      </c>
      <c r="D12" s="347" t="s">
        <v>1015</v>
      </c>
      <c r="E12" s="346" t="s">
        <v>934</v>
      </c>
      <c r="F12" s="346" t="s">
        <v>214</v>
      </c>
      <c r="G12" s="348">
        <v>0.72619999999999996</v>
      </c>
      <c r="H12" s="349">
        <v>168</v>
      </c>
      <c r="I12" s="349">
        <v>122</v>
      </c>
      <c r="J12" s="349">
        <v>75</v>
      </c>
      <c r="K12" s="346" t="s">
        <v>215</v>
      </c>
      <c r="L12" s="350" t="s">
        <v>50</v>
      </c>
      <c r="M12" s="349">
        <v>0</v>
      </c>
      <c r="N12" s="349">
        <v>5</v>
      </c>
      <c r="O12" s="349">
        <v>18</v>
      </c>
      <c r="P12" s="346" t="s">
        <v>237</v>
      </c>
      <c r="Q12" s="342"/>
      <c r="R12" s="342"/>
      <c r="S12" s="342"/>
      <c r="T12" s="342"/>
      <c r="U12" s="342"/>
      <c r="V12" s="342"/>
      <c r="W12" s="342"/>
      <c r="X12" s="342"/>
      <c r="Y12" s="342"/>
      <c r="Z12" s="349" t="s">
        <v>774</v>
      </c>
      <c r="AA12" s="342"/>
      <c r="AB12" s="342"/>
      <c r="AC12" s="349" t="s">
        <v>261</v>
      </c>
      <c r="AD12" s="349" t="s">
        <v>382</v>
      </c>
      <c r="AE12" s="349" t="s">
        <v>646</v>
      </c>
      <c r="AF12" s="349" t="s">
        <v>390</v>
      </c>
      <c r="AG12" s="342"/>
      <c r="AH12" s="342"/>
      <c r="AI12" s="349" t="s">
        <v>763</v>
      </c>
      <c r="AJ12" s="342"/>
    </row>
    <row r="13" spans="1:36" x14ac:dyDescent="0.3">
      <c r="A13" s="344" t="s">
        <v>254</v>
      </c>
      <c r="B13" s="345">
        <v>45991</v>
      </c>
      <c r="C13" s="346" t="s">
        <v>938</v>
      </c>
      <c r="D13" s="347" t="s">
        <v>1016</v>
      </c>
      <c r="E13" s="346" t="s">
        <v>934</v>
      </c>
      <c r="F13" s="346" t="s">
        <v>214</v>
      </c>
      <c r="G13" s="348">
        <v>0.55359999999999998</v>
      </c>
      <c r="H13" s="349">
        <v>168</v>
      </c>
      <c r="I13" s="349">
        <v>93</v>
      </c>
      <c r="J13" s="349">
        <v>45</v>
      </c>
      <c r="K13" s="346" t="s">
        <v>215</v>
      </c>
      <c r="L13" s="350" t="s">
        <v>175</v>
      </c>
      <c r="M13" s="349">
        <v>9</v>
      </c>
      <c r="N13" s="349">
        <v>5</v>
      </c>
      <c r="O13" s="349">
        <v>33</v>
      </c>
      <c r="P13" s="346" t="s">
        <v>966</v>
      </c>
      <c r="Q13" s="342"/>
      <c r="R13" s="342"/>
      <c r="S13" s="342"/>
      <c r="T13" s="342"/>
      <c r="U13" s="342"/>
      <c r="V13" s="342"/>
      <c r="W13" s="342"/>
      <c r="X13" s="342"/>
      <c r="Y13" s="342"/>
      <c r="Z13" s="349" t="s">
        <v>244</v>
      </c>
      <c r="AA13" s="349" t="s">
        <v>695</v>
      </c>
      <c r="AB13" s="342"/>
      <c r="AC13" s="349" t="s">
        <v>387</v>
      </c>
      <c r="AD13" s="349" t="s">
        <v>282</v>
      </c>
      <c r="AE13" s="342"/>
      <c r="AF13" s="349" t="s">
        <v>1017</v>
      </c>
      <c r="AG13" s="349" t="s">
        <v>782</v>
      </c>
      <c r="AH13" s="342"/>
      <c r="AI13" s="342"/>
      <c r="AJ13" s="342"/>
    </row>
    <row r="14" spans="1:36" x14ac:dyDescent="0.3">
      <c r="A14" s="344" t="s">
        <v>391</v>
      </c>
      <c r="B14" s="345">
        <v>45992</v>
      </c>
      <c r="C14" s="346" t="s">
        <v>949</v>
      </c>
      <c r="D14" s="347" t="s">
        <v>1018</v>
      </c>
      <c r="E14" s="346" t="s">
        <v>934</v>
      </c>
      <c r="F14" s="346" t="s">
        <v>214</v>
      </c>
      <c r="G14" s="348">
        <v>0.82140000000000002</v>
      </c>
      <c r="H14" s="349">
        <v>168</v>
      </c>
      <c r="I14" s="349">
        <v>138</v>
      </c>
      <c r="J14" s="349">
        <v>72</v>
      </c>
      <c r="K14" s="346" t="s">
        <v>215</v>
      </c>
      <c r="L14" s="350" t="s">
        <v>50</v>
      </c>
      <c r="M14" s="349">
        <v>0</v>
      </c>
      <c r="N14" s="349">
        <v>84</v>
      </c>
      <c r="O14" s="349">
        <v>95</v>
      </c>
      <c r="P14" s="346" t="s">
        <v>969</v>
      </c>
      <c r="Q14" s="342"/>
      <c r="R14" s="342"/>
      <c r="S14" s="342"/>
      <c r="T14" s="342"/>
      <c r="U14" s="342"/>
      <c r="V14" s="342"/>
      <c r="W14" s="342"/>
      <c r="X14" s="342"/>
      <c r="Y14" s="342"/>
      <c r="Z14" s="349" t="s">
        <v>244</v>
      </c>
      <c r="AA14" s="349" t="s">
        <v>259</v>
      </c>
      <c r="AB14" s="342"/>
      <c r="AC14" s="349" t="s">
        <v>334</v>
      </c>
      <c r="AD14" s="349" t="s">
        <v>1019</v>
      </c>
      <c r="AE14" s="349" t="s">
        <v>263</v>
      </c>
      <c r="AF14" s="349" t="s">
        <v>723</v>
      </c>
      <c r="AG14" s="342"/>
      <c r="AH14" s="342"/>
      <c r="AI14" s="349" t="s">
        <v>1020</v>
      </c>
      <c r="AJ14" s="342"/>
    </row>
    <row r="15" spans="1:36" x14ac:dyDescent="0.3">
      <c r="A15" s="344" t="s">
        <v>391</v>
      </c>
      <c r="B15" s="345">
        <v>45992</v>
      </c>
      <c r="C15" s="346" t="s">
        <v>935</v>
      </c>
      <c r="D15" s="347" t="s">
        <v>699</v>
      </c>
      <c r="E15" s="346" t="s">
        <v>934</v>
      </c>
      <c r="F15" s="346" t="s">
        <v>214</v>
      </c>
      <c r="G15" s="348">
        <v>0.375</v>
      </c>
      <c r="H15" s="349">
        <v>168</v>
      </c>
      <c r="I15" s="349">
        <v>63</v>
      </c>
      <c r="J15" s="349">
        <v>32</v>
      </c>
      <c r="K15" s="346" t="s">
        <v>215</v>
      </c>
      <c r="L15" s="350" t="s">
        <v>175</v>
      </c>
      <c r="M15" s="349">
        <v>3</v>
      </c>
      <c r="N15" s="349">
        <v>3</v>
      </c>
      <c r="O15" s="349">
        <v>10</v>
      </c>
      <c r="P15" s="346" t="s">
        <v>608</v>
      </c>
      <c r="Q15" s="342"/>
      <c r="R15" s="342"/>
      <c r="S15" s="342"/>
      <c r="T15" s="342"/>
      <c r="U15" s="342"/>
      <c r="V15" s="342"/>
      <c r="W15" s="342"/>
      <c r="X15" s="342"/>
      <c r="Y15" s="342"/>
      <c r="Z15" s="349" t="s">
        <v>333</v>
      </c>
      <c r="AA15" s="349" t="s">
        <v>705</v>
      </c>
      <c r="AB15" s="342"/>
      <c r="AC15" s="342"/>
      <c r="AD15" s="349" t="s">
        <v>364</v>
      </c>
      <c r="AE15" s="349" t="s">
        <v>346</v>
      </c>
      <c r="AF15" s="349" t="s">
        <v>778</v>
      </c>
      <c r="AG15" s="342"/>
      <c r="AH15" s="342"/>
      <c r="AI15" s="349" t="s">
        <v>1021</v>
      </c>
      <c r="AJ15" s="342"/>
    </row>
    <row r="16" spans="1:36" x14ac:dyDescent="0.3">
      <c r="A16" s="344" t="s">
        <v>212</v>
      </c>
      <c r="B16" s="345">
        <v>45993</v>
      </c>
      <c r="C16" s="346" t="s">
        <v>935</v>
      </c>
      <c r="D16" s="347" t="s">
        <v>1003</v>
      </c>
      <c r="E16" s="346" t="s">
        <v>934</v>
      </c>
      <c r="F16" s="346" t="s">
        <v>214</v>
      </c>
      <c r="G16" s="348">
        <v>0.97209999999999996</v>
      </c>
      <c r="H16" s="349">
        <v>179</v>
      </c>
      <c r="I16" s="349">
        <v>174</v>
      </c>
      <c r="J16" s="349">
        <v>172</v>
      </c>
      <c r="K16" s="346" t="s">
        <v>215</v>
      </c>
      <c r="L16" s="350" t="s">
        <v>972</v>
      </c>
      <c r="M16" s="349">
        <v>0</v>
      </c>
      <c r="N16" s="349">
        <v>0</v>
      </c>
      <c r="O16" s="349">
        <v>0</v>
      </c>
      <c r="P16" s="346" t="s">
        <v>897</v>
      </c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  <c r="AD16" s="349" t="s">
        <v>643</v>
      </c>
      <c r="AE16" s="342"/>
      <c r="AF16" s="342"/>
      <c r="AG16" s="342"/>
      <c r="AH16" s="342"/>
      <c r="AI16" s="349" t="s">
        <v>1022</v>
      </c>
      <c r="AJ16" s="342"/>
    </row>
    <row r="17" spans="1:36" x14ac:dyDescent="0.3">
      <c r="A17" s="344" t="s">
        <v>212</v>
      </c>
      <c r="B17" s="345">
        <v>45993</v>
      </c>
      <c r="C17" s="346" t="s">
        <v>938</v>
      </c>
      <c r="D17" s="347" t="s">
        <v>914</v>
      </c>
      <c r="E17" s="346" t="s">
        <v>934</v>
      </c>
      <c r="F17" s="346" t="s">
        <v>214</v>
      </c>
      <c r="G17" s="348">
        <v>0.88690000000000002</v>
      </c>
      <c r="H17" s="349">
        <v>168</v>
      </c>
      <c r="I17" s="349">
        <v>149</v>
      </c>
      <c r="J17" s="349">
        <v>132</v>
      </c>
      <c r="K17" s="346" t="s">
        <v>215</v>
      </c>
      <c r="L17" s="350" t="s">
        <v>50</v>
      </c>
      <c r="M17" s="349">
        <v>0</v>
      </c>
      <c r="N17" s="349">
        <v>2</v>
      </c>
      <c r="O17" s="349">
        <v>5</v>
      </c>
      <c r="P17" s="346" t="s">
        <v>265</v>
      </c>
      <c r="Q17" s="342"/>
      <c r="R17" s="342"/>
      <c r="S17" s="342"/>
      <c r="T17" s="342"/>
      <c r="U17" s="342"/>
      <c r="V17" s="342"/>
      <c r="W17" s="342"/>
      <c r="X17" s="342"/>
      <c r="Y17" s="342"/>
      <c r="Z17" s="349" t="s">
        <v>333</v>
      </c>
      <c r="AA17" s="342"/>
      <c r="AB17" s="342"/>
      <c r="AC17" s="349" t="s">
        <v>917</v>
      </c>
      <c r="AD17" s="349" t="s">
        <v>364</v>
      </c>
      <c r="AE17" s="342"/>
      <c r="AF17" s="342"/>
      <c r="AG17" s="342"/>
      <c r="AH17" s="342"/>
      <c r="AI17" s="349" t="s">
        <v>283</v>
      </c>
      <c r="AJ17" s="342"/>
    </row>
    <row r="18" spans="1:36" x14ac:dyDescent="0.3">
      <c r="A18" s="344" t="s">
        <v>331</v>
      </c>
      <c r="B18" s="345">
        <v>45994</v>
      </c>
      <c r="C18" s="346" t="s">
        <v>935</v>
      </c>
      <c r="D18" s="347" t="s">
        <v>1006</v>
      </c>
      <c r="E18" s="346" t="s">
        <v>934</v>
      </c>
      <c r="F18" s="346" t="s">
        <v>214</v>
      </c>
      <c r="G18" s="348">
        <v>0.88690000000000002</v>
      </c>
      <c r="H18" s="349">
        <v>168</v>
      </c>
      <c r="I18" s="349">
        <v>149</v>
      </c>
      <c r="J18" s="349">
        <v>134</v>
      </c>
      <c r="K18" s="346" t="s">
        <v>215</v>
      </c>
      <c r="L18" s="350" t="s">
        <v>175</v>
      </c>
      <c r="M18" s="349">
        <v>2</v>
      </c>
      <c r="N18" s="349">
        <v>2</v>
      </c>
      <c r="O18" s="349">
        <v>14</v>
      </c>
      <c r="P18" s="346" t="s">
        <v>643</v>
      </c>
      <c r="Q18" s="342"/>
      <c r="R18" s="342"/>
      <c r="S18" s="342"/>
      <c r="T18" s="342"/>
      <c r="U18" s="342"/>
      <c r="V18" s="342"/>
      <c r="W18" s="342"/>
      <c r="X18" s="342"/>
      <c r="Y18" s="342"/>
      <c r="Z18" s="349" t="s">
        <v>244</v>
      </c>
      <c r="AA18" s="349" t="s">
        <v>705</v>
      </c>
      <c r="AB18" s="342"/>
      <c r="AC18" s="342"/>
      <c r="AD18" s="349" t="s">
        <v>739</v>
      </c>
      <c r="AE18" s="342"/>
      <c r="AF18" s="342"/>
      <c r="AG18" s="349" t="s">
        <v>218</v>
      </c>
      <c r="AH18" s="342"/>
      <c r="AI18" s="349" t="s">
        <v>269</v>
      </c>
      <c r="AJ18" s="342"/>
    </row>
    <row r="19" spans="1:36" x14ac:dyDescent="0.3">
      <c r="A19" s="344" t="s">
        <v>331</v>
      </c>
      <c r="B19" s="345">
        <v>45994</v>
      </c>
      <c r="C19" s="346" t="s">
        <v>949</v>
      </c>
      <c r="D19" s="347" t="s">
        <v>717</v>
      </c>
      <c r="E19" s="346" t="s">
        <v>934</v>
      </c>
      <c r="F19" s="346" t="s">
        <v>214</v>
      </c>
      <c r="G19" s="348">
        <v>0.88100000000000001</v>
      </c>
      <c r="H19" s="349">
        <v>168</v>
      </c>
      <c r="I19" s="349">
        <v>148</v>
      </c>
      <c r="J19" s="349">
        <v>129</v>
      </c>
      <c r="K19" s="346" t="s">
        <v>215</v>
      </c>
      <c r="L19" s="350" t="s">
        <v>311</v>
      </c>
      <c r="M19" s="349">
        <v>0</v>
      </c>
      <c r="N19" s="349">
        <v>0</v>
      </c>
      <c r="O19" s="349">
        <v>52</v>
      </c>
      <c r="P19" s="346" t="s">
        <v>258</v>
      </c>
      <c r="Q19" s="342"/>
      <c r="R19" s="342"/>
      <c r="S19" s="342"/>
      <c r="T19" s="342"/>
      <c r="U19" s="342"/>
      <c r="V19" s="342"/>
      <c r="W19" s="342"/>
      <c r="X19" s="342"/>
      <c r="Y19" s="349" t="s">
        <v>682</v>
      </c>
      <c r="Z19" s="349" t="s">
        <v>273</v>
      </c>
      <c r="AA19" s="342"/>
      <c r="AB19" s="342"/>
      <c r="AC19" s="349" t="s">
        <v>563</v>
      </c>
      <c r="AD19" s="349" t="s">
        <v>543</v>
      </c>
      <c r="AE19" s="349" t="s">
        <v>646</v>
      </c>
      <c r="AF19" s="349" t="s">
        <v>217</v>
      </c>
      <c r="AG19" s="342"/>
      <c r="AH19" s="342"/>
      <c r="AI19" s="349" t="s">
        <v>927</v>
      </c>
      <c r="AJ19" s="342"/>
    </row>
    <row r="20" spans="1:36" x14ac:dyDescent="0.3">
      <c r="A20" s="344" t="s">
        <v>240</v>
      </c>
      <c r="B20" s="345">
        <v>45995</v>
      </c>
      <c r="C20" s="346" t="s">
        <v>954</v>
      </c>
      <c r="D20" s="347" t="s">
        <v>751</v>
      </c>
      <c r="E20" s="346" t="s">
        <v>934</v>
      </c>
      <c r="F20" s="346" t="s">
        <v>214</v>
      </c>
      <c r="G20" s="348">
        <v>0.6845</v>
      </c>
      <c r="H20" s="349">
        <v>168</v>
      </c>
      <c r="I20" s="349">
        <v>115</v>
      </c>
      <c r="J20" s="349">
        <v>97</v>
      </c>
      <c r="K20" s="346" t="s">
        <v>215</v>
      </c>
      <c r="L20" s="350" t="s">
        <v>50</v>
      </c>
      <c r="M20" s="349">
        <v>0</v>
      </c>
      <c r="N20" s="349">
        <v>3</v>
      </c>
      <c r="O20" s="349">
        <v>20</v>
      </c>
      <c r="P20" s="346" t="s">
        <v>526</v>
      </c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9" t="s">
        <v>543</v>
      </c>
      <c r="AE20" s="349" t="s">
        <v>228</v>
      </c>
      <c r="AF20" s="349" t="s">
        <v>356</v>
      </c>
      <c r="AG20" s="342"/>
      <c r="AH20" s="342"/>
      <c r="AI20" s="349" t="s">
        <v>1023</v>
      </c>
      <c r="AJ20" s="342"/>
    </row>
    <row r="21" spans="1:36" x14ac:dyDescent="0.3">
      <c r="A21" s="344" t="s">
        <v>240</v>
      </c>
      <c r="B21" s="345">
        <v>45995</v>
      </c>
      <c r="C21" s="346" t="s">
        <v>935</v>
      </c>
      <c r="D21" s="347" t="s">
        <v>702</v>
      </c>
      <c r="E21" s="346" t="s">
        <v>934</v>
      </c>
      <c r="F21" s="346" t="s">
        <v>214</v>
      </c>
      <c r="G21" s="348">
        <v>0.35709999999999997</v>
      </c>
      <c r="H21" s="349">
        <v>168</v>
      </c>
      <c r="I21" s="349">
        <v>60</v>
      </c>
      <c r="J21" s="349">
        <v>44</v>
      </c>
      <c r="K21" s="346" t="s">
        <v>215</v>
      </c>
      <c r="L21" s="350" t="s">
        <v>50</v>
      </c>
      <c r="M21" s="349">
        <v>0</v>
      </c>
      <c r="N21" s="349">
        <v>1</v>
      </c>
      <c r="O21" s="349">
        <v>7</v>
      </c>
      <c r="P21" s="346" t="s">
        <v>364</v>
      </c>
      <c r="Q21" s="342"/>
      <c r="R21" s="342"/>
      <c r="S21" s="342"/>
      <c r="T21" s="342"/>
      <c r="U21" s="342"/>
      <c r="V21" s="342"/>
      <c r="W21" s="342"/>
      <c r="X21" s="342"/>
      <c r="Y21" s="342"/>
      <c r="Z21" s="349" t="s">
        <v>244</v>
      </c>
      <c r="AA21" s="342"/>
      <c r="AB21" s="342"/>
      <c r="AC21" s="342"/>
      <c r="AD21" s="349" t="s">
        <v>739</v>
      </c>
      <c r="AE21" s="342"/>
      <c r="AF21" s="349" t="s">
        <v>966</v>
      </c>
      <c r="AG21" s="342"/>
      <c r="AH21" s="342"/>
      <c r="AI21" s="349" t="s">
        <v>1010</v>
      </c>
      <c r="AJ21" s="342"/>
    </row>
    <row r="22" spans="1:36" x14ac:dyDescent="0.3">
      <c r="A22" s="344" t="s">
        <v>240</v>
      </c>
      <c r="B22" s="345">
        <v>45995</v>
      </c>
      <c r="C22" s="346" t="s">
        <v>938</v>
      </c>
      <c r="D22" s="347" t="s">
        <v>893</v>
      </c>
      <c r="E22" s="346" t="s">
        <v>934</v>
      </c>
      <c r="F22" s="346" t="s">
        <v>214</v>
      </c>
      <c r="G22" s="348">
        <v>0.66669999999999996</v>
      </c>
      <c r="H22" s="349">
        <v>168</v>
      </c>
      <c r="I22" s="349">
        <v>112</v>
      </c>
      <c r="J22" s="349">
        <v>68</v>
      </c>
      <c r="K22" s="346" t="s">
        <v>215</v>
      </c>
      <c r="L22" s="350" t="s">
        <v>175</v>
      </c>
      <c r="M22" s="349">
        <v>2</v>
      </c>
      <c r="N22" s="349">
        <v>2</v>
      </c>
      <c r="O22" s="349">
        <v>33</v>
      </c>
      <c r="P22" s="346" t="s">
        <v>646</v>
      </c>
      <c r="Q22" s="342"/>
      <c r="R22" s="342"/>
      <c r="S22" s="342"/>
      <c r="T22" s="342"/>
      <c r="U22" s="342"/>
      <c r="V22" s="342"/>
      <c r="W22" s="342"/>
      <c r="X22" s="342"/>
      <c r="Y22" s="342"/>
      <c r="Z22" s="349" t="s">
        <v>333</v>
      </c>
      <c r="AA22" s="349" t="s">
        <v>705</v>
      </c>
      <c r="AB22" s="342"/>
      <c r="AC22" s="349" t="s">
        <v>279</v>
      </c>
      <c r="AD22" s="349" t="s">
        <v>364</v>
      </c>
      <c r="AE22" s="349" t="s">
        <v>776</v>
      </c>
      <c r="AF22" s="349" t="s">
        <v>612</v>
      </c>
      <c r="AG22" s="349" t="s">
        <v>782</v>
      </c>
      <c r="AH22" s="342"/>
      <c r="AI22" s="349" t="s">
        <v>1024</v>
      </c>
      <c r="AJ22" s="342"/>
    </row>
    <row r="23" spans="1:36" x14ac:dyDescent="0.3">
      <c r="A23" s="344" t="s">
        <v>724</v>
      </c>
      <c r="B23" s="345">
        <v>45996</v>
      </c>
      <c r="C23" s="346" t="s">
        <v>949</v>
      </c>
      <c r="D23" s="347" t="s">
        <v>1011</v>
      </c>
      <c r="E23" s="346" t="s">
        <v>934</v>
      </c>
      <c r="F23" s="346" t="s">
        <v>214</v>
      </c>
      <c r="G23" s="348">
        <v>0.15479999999999999</v>
      </c>
      <c r="H23" s="349">
        <v>168</v>
      </c>
      <c r="I23" s="349">
        <v>26</v>
      </c>
      <c r="J23" s="349">
        <v>0</v>
      </c>
      <c r="K23" s="346" t="s">
        <v>215</v>
      </c>
      <c r="L23" s="350" t="s">
        <v>175</v>
      </c>
      <c r="M23" s="349">
        <v>1</v>
      </c>
      <c r="N23" s="349">
        <v>0</v>
      </c>
      <c r="O23" s="349">
        <v>5</v>
      </c>
      <c r="P23" s="346" t="s">
        <v>329</v>
      </c>
      <c r="Q23" s="342"/>
      <c r="R23" s="342"/>
      <c r="S23" s="342"/>
      <c r="T23" s="342"/>
      <c r="U23" s="342"/>
      <c r="V23" s="342"/>
      <c r="W23" s="342"/>
      <c r="X23" s="342"/>
      <c r="Y23" s="349" t="s">
        <v>682</v>
      </c>
      <c r="Z23" s="349" t="s">
        <v>258</v>
      </c>
      <c r="AA23" s="349" t="s">
        <v>705</v>
      </c>
      <c r="AB23" s="342"/>
      <c r="AC23" s="349" t="s">
        <v>226</v>
      </c>
      <c r="AD23" s="349" t="s">
        <v>543</v>
      </c>
      <c r="AE23" s="349" t="s">
        <v>646</v>
      </c>
      <c r="AF23" s="349" t="s">
        <v>217</v>
      </c>
      <c r="AG23" s="342"/>
      <c r="AH23" s="342"/>
      <c r="AI23" s="349" t="s">
        <v>1025</v>
      </c>
      <c r="AJ23" s="342"/>
    </row>
    <row r="24" spans="1:36" x14ac:dyDescent="0.3">
      <c r="A24" s="344" t="s">
        <v>248</v>
      </c>
      <c r="B24" s="345">
        <v>45997</v>
      </c>
      <c r="C24" s="346" t="s">
        <v>949</v>
      </c>
      <c r="D24" s="347" t="s">
        <v>1013</v>
      </c>
      <c r="E24" s="346" t="s">
        <v>934</v>
      </c>
      <c r="F24" s="346" t="s">
        <v>214</v>
      </c>
      <c r="G24" s="348">
        <v>0.48209999999999997</v>
      </c>
      <c r="H24" s="349">
        <v>168</v>
      </c>
      <c r="I24" s="349">
        <v>81</v>
      </c>
      <c r="J24" s="349">
        <v>70</v>
      </c>
      <c r="K24" s="346" t="s">
        <v>215</v>
      </c>
      <c r="L24" s="350" t="s">
        <v>986</v>
      </c>
      <c r="M24" s="349">
        <v>0</v>
      </c>
      <c r="N24" s="349">
        <v>0</v>
      </c>
      <c r="O24" s="349">
        <v>0</v>
      </c>
      <c r="P24" s="346" t="s">
        <v>364</v>
      </c>
      <c r="Q24" s="342"/>
      <c r="R24" s="342"/>
      <c r="S24" s="342"/>
      <c r="T24" s="342"/>
      <c r="U24" s="342"/>
      <c r="V24" s="342"/>
      <c r="W24" s="342"/>
      <c r="X24" s="342"/>
      <c r="Y24" s="342"/>
      <c r="Z24" s="349" t="s">
        <v>333</v>
      </c>
      <c r="AA24" s="342"/>
      <c r="AB24" s="342"/>
      <c r="AC24" s="342"/>
      <c r="AD24" s="349" t="s">
        <v>543</v>
      </c>
      <c r="AE24" s="349" t="s">
        <v>646</v>
      </c>
      <c r="AF24" s="349" t="s">
        <v>217</v>
      </c>
      <c r="AG24" s="342"/>
      <c r="AH24" s="342"/>
      <c r="AI24" s="349" t="s">
        <v>1026</v>
      </c>
      <c r="AJ24" s="342"/>
    </row>
    <row r="25" spans="1:36" x14ac:dyDescent="0.3">
      <c r="A25" s="344" t="s">
        <v>248</v>
      </c>
      <c r="B25" s="345">
        <v>45997</v>
      </c>
      <c r="C25" s="346" t="s">
        <v>935</v>
      </c>
      <c r="D25" s="347" t="s">
        <v>1027</v>
      </c>
      <c r="E25" s="346" t="s">
        <v>934</v>
      </c>
      <c r="F25" s="346" t="s">
        <v>214</v>
      </c>
      <c r="G25" s="348">
        <v>0.58330000000000004</v>
      </c>
      <c r="H25" s="349">
        <v>168</v>
      </c>
      <c r="I25" s="349">
        <v>98</v>
      </c>
      <c r="J25" s="349">
        <v>84</v>
      </c>
      <c r="K25" s="346" t="s">
        <v>215</v>
      </c>
      <c r="L25" s="350" t="s">
        <v>50</v>
      </c>
      <c r="M25" s="349">
        <v>0</v>
      </c>
      <c r="N25" s="349">
        <v>2</v>
      </c>
      <c r="O25" s="349">
        <v>9</v>
      </c>
      <c r="P25" s="346" t="s">
        <v>282</v>
      </c>
      <c r="Q25" s="342"/>
      <c r="R25" s="342"/>
      <c r="S25" s="342"/>
      <c r="T25" s="342"/>
      <c r="U25" s="342"/>
      <c r="V25" s="342"/>
      <c r="W25" s="342"/>
      <c r="X25" s="342"/>
      <c r="Y25" s="342"/>
      <c r="Z25" s="349" t="s">
        <v>333</v>
      </c>
      <c r="AA25" s="342"/>
      <c r="AB25" s="342"/>
      <c r="AC25" s="342"/>
      <c r="AD25" s="349" t="s">
        <v>921</v>
      </c>
      <c r="AE25" s="342"/>
      <c r="AF25" s="342"/>
      <c r="AG25" s="342"/>
      <c r="AH25" s="342"/>
      <c r="AI25" s="349" t="s">
        <v>711</v>
      </c>
      <c r="AJ25" s="342"/>
    </row>
    <row r="26" spans="1:36" x14ac:dyDescent="0.3">
      <c r="A26" s="344" t="s">
        <v>248</v>
      </c>
      <c r="B26" s="345">
        <v>45997</v>
      </c>
      <c r="C26" s="346" t="s">
        <v>938</v>
      </c>
      <c r="D26" s="347" t="s">
        <v>914</v>
      </c>
      <c r="E26" s="346" t="s">
        <v>934</v>
      </c>
      <c r="F26" s="346" t="s">
        <v>214</v>
      </c>
      <c r="G26" s="348">
        <v>0.85709999999999997</v>
      </c>
      <c r="H26" s="349">
        <v>168</v>
      </c>
      <c r="I26" s="349">
        <v>144</v>
      </c>
      <c r="J26" s="349">
        <v>125</v>
      </c>
      <c r="K26" s="346" t="s">
        <v>215</v>
      </c>
      <c r="L26" s="350" t="s">
        <v>50</v>
      </c>
      <c r="M26" s="349">
        <v>0</v>
      </c>
      <c r="N26" s="349">
        <v>1</v>
      </c>
      <c r="O26" s="349">
        <v>50</v>
      </c>
      <c r="P26" s="346" t="s">
        <v>329</v>
      </c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49" t="s">
        <v>1019</v>
      </c>
      <c r="AE26" s="342"/>
      <c r="AF26" s="349" t="s">
        <v>375</v>
      </c>
      <c r="AG26" s="342"/>
      <c r="AH26" s="342"/>
      <c r="AI26" s="349" t="s">
        <v>929</v>
      </c>
      <c r="AJ26" s="342"/>
    </row>
    <row r="27" spans="1:36" x14ac:dyDescent="0.3">
      <c r="A27" s="344" t="s">
        <v>254</v>
      </c>
      <c r="B27" s="345">
        <v>45998</v>
      </c>
      <c r="C27" s="346" t="s">
        <v>949</v>
      </c>
      <c r="D27" s="347" t="s">
        <v>1015</v>
      </c>
      <c r="E27" s="346" t="s">
        <v>934</v>
      </c>
      <c r="F27" s="346" t="s">
        <v>214</v>
      </c>
      <c r="G27" s="348">
        <v>0.76790000000000003</v>
      </c>
      <c r="H27" s="349">
        <v>168</v>
      </c>
      <c r="I27" s="349">
        <v>129</v>
      </c>
      <c r="J27" s="349">
        <v>115</v>
      </c>
      <c r="K27" s="346" t="s">
        <v>215</v>
      </c>
      <c r="L27" s="350" t="s">
        <v>50</v>
      </c>
      <c r="M27" s="349">
        <v>0</v>
      </c>
      <c r="N27" s="349">
        <v>1</v>
      </c>
      <c r="O27" s="349">
        <v>8</v>
      </c>
      <c r="P27" s="346" t="s">
        <v>265</v>
      </c>
      <c r="Q27" s="342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  <c r="AC27" s="349" t="s">
        <v>387</v>
      </c>
      <c r="AD27" s="349" t="s">
        <v>543</v>
      </c>
      <c r="AE27" s="349" t="s">
        <v>646</v>
      </c>
      <c r="AF27" s="349" t="s">
        <v>217</v>
      </c>
      <c r="AG27" s="342"/>
      <c r="AH27" s="342"/>
      <c r="AI27" s="349" t="s">
        <v>1028</v>
      </c>
      <c r="AJ27" s="342"/>
    </row>
    <row r="28" spans="1:36" x14ac:dyDescent="0.3">
      <c r="A28" s="344" t="s">
        <v>254</v>
      </c>
      <c r="B28" s="345">
        <v>45998</v>
      </c>
      <c r="C28" s="346" t="s">
        <v>938</v>
      </c>
      <c r="D28" s="347" t="s">
        <v>1016</v>
      </c>
      <c r="E28" s="346" t="s">
        <v>934</v>
      </c>
      <c r="F28" s="346" t="s">
        <v>214</v>
      </c>
      <c r="G28" s="348">
        <v>0.57740000000000002</v>
      </c>
      <c r="H28" s="349">
        <v>168</v>
      </c>
      <c r="I28" s="349">
        <v>97</v>
      </c>
      <c r="J28" s="349">
        <v>90</v>
      </c>
      <c r="K28" s="346" t="s">
        <v>215</v>
      </c>
      <c r="L28" s="350" t="s">
        <v>175</v>
      </c>
      <c r="M28" s="349">
        <v>1</v>
      </c>
      <c r="N28" s="349">
        <v>2</v>
      </c>
      <c r="O28" s="349">
        <v>6</v>
      </c>
      <c r="P28" s="346" t="s">
        <v>394</v>
      </c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9" t="s">
        <v>262</v>
      </c>
      <c r="AE28" s="349" t="s">
        <v>394</v>
      </c>
      <c r="AF28" s="342"/>
      <c r="AG28" s="342"/>
      <c r="AH28" s="342"/>
      <c r="AI28" s="349" t="s">
        <v>269</v>
      </c>
      <c r="AJ28" s="342"/>
    </row>
    <row r="29" spans="1:36" x14ac:dyDescent="0.3">
      <c r="A29" s="344" t="s">
        <v>391</v>
      </c>
      <c r="B29" s="345">
        <v>45999</v>
      </c>
      <c r="C29" s="346" t="s">
        <v>949</v>
      </c>
      <c r="D29" s="347" t="s">
        <v>714</v>
      </c>
      <c r="E29" s="346" t="s">
        <v>934</v>
      </c>
      <c r="F29" s="346" t="s">
        <v>214</v>
      </c>
      <c r="G29" s="348">
        <v>0.35120000000000001</v>
      </c>
      <c r="H29" s="349">
        <v>168</v>
      </c>
      <c r="I29" s="349">
        <v>59</v>
      </c>
      <c r="J29" s="349">
        <v>50</v>
      </c>
      <c r="K29" s="346" t="s">
        <v>215</v>
      </c>
      <c r="L29" s="350" t="s">
        <v>50</v>
      </c>
      <c r="M29" s="349">
        <v>0</v>
      </c>
      <c r="N29" s="349">
        <v>6</v>
      </c>
      <c r="O29" s="349">
        <v>53</v>
      </c>
      <c r="P29" s="346" t="s">
        <v>237</v>
      </c>
      <c r="Q29" s="342"/>
      <c r="R29" s="342"/>
      <c r="S29" s="342"/>
      <c r="T29" s="342"/>
      <c r="U29" s="342"/>
      <c r="V29" s="342"/>
      <c r="W29" s="342"/>
      <c r="X29" s="342"/>
      <c r="Y29" s="342"/>
      <c r="Z29" s="349" t="s">
        <v>258</v>
      </c>
      <c r="AA29" s="342"/>
      <c r="AB29" s="342"/>
      <c r="AC29" s="342"/>
      <c r="AD29" s="342"/>
      <c r="AE29" s="349" t="s">
        <v>586</v>
      </c>
      <c r="AF29" s="349" t="s">
        <v>217</v>
      </c>
      <c r="AG29" s="342"/>
      <c r="AH29" s="342"/>
      <c r="AI29" s="349" t="s">
        <v>385</v>
      </c>
      <c r="AJ29" s="342"/>
    </row>
    <row r="30" spans="1:36" x14ac:dyDescent="0.3">
      <c r="A30" s="344" t="s">
        <v>391</v>
      </c>
      <c r="B30" s="345">
        <v>45999</v>
      </c>
      <c r="C30" s="346" t="s">
        <v>954</v>
      </c>
      <c r="D30" s="347" t="s">
        <v>1018</v>
      </c>
      <c r="E30" s="346" t="s">
        <v>934</v>
      </c>
      <c r="F30" s="346" t="s">
        <v>214</v>
      </c>
      <c r="G30" s="348">
        <v>0.72619999999999996</v>
      </c>
      <c r="H30" s="349">
        <v>168</v>
      </c>
      <c r="I30" s="349">
        <v>122</v>
      </c>
      <c r="J30" s="349">
        <v>100</v>
      </c>
      <c r="K30" s="346" t="s">
        <v>215</v>
      </c>
      <c r="L30" s="350" t="s">
        <v>50</v>
      </c>
      <c r="M30" s="349">
        <v>0</v>
      </c>
      <c r="N30" s="349">
        <v>21</v>
      </c>
      <c r="O30" s="349">
        <v>21</v>
      </c>
      <c r="P30" s="346" t="s">
        <v>748</v>
      </c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9" t="s">
        <v>277</v>
      </c>
      <c r="AE30" s="349" t="s">
        <v>286</v>
      </c>
      <c r="AF30" s="349" t="s">
        <v>612</v>
      </c>
      <c r="AG30" s="342"/>
      <c r="AH30" s="342"/>
      <c r="AI30" s="349" t="s">
        <v>1029</v>
      </c>
      <c r="AJ30" s="342"/>
    </row>
    <row r="31" spans="1:36" x14ac:dyDescent="0.3">
      <c r="A31" s="344" t="s">
        <v>391</v>
      </c>
      <c r="B31" s="345">
        <v>45999</v>
      </c>
      <c r="C31" s="346" t="s">
        <v>935</v>
      </c>
      <c r="D31" s="347" t="s">
        <v>1030</v>
      </c>
      <c r="E31" s="346" t="s">
        <v>934</v>
      </c>
      <c r="F31" s="346" t="s">
        <v>214</v>
      </c>
      <c r="G31" s="348">
        <v>0.625</v>
      </c>
      <c r="H31" s="349">
        <v>168</v>
      </c>
      <c r="I31" s="349">
        <v>105</v>
      </c>
      <c r="J31" s="349">
        <v>90</v>
      </c>
      <c r="K31" s="346" t="s">
        <v>215</v>
      </c>
      <c r="L31" s="350" t="s">
        <v>50</v>
      </c>
      <c r="M31" s="349">
        <v>0</v>
      </c>
      <c r="N31" s="349">
        <v>3</v>
      </c>
      <c r="O31" s="349">
        <v>11</v>
      </c>
      <c r="P31" s="346" t="s">
        <v>237</v>
      </c>
      <c r="Q31" s="342"/>
      <c r="R31" s="342"/>
      <c r="S31" s="342"/>
      <c r="T31" s="342"/>
      <c r="U31" s="342"/>
      <c r="V31" s="342"/>
      <c r="W31" s="342"/>
      <c r="X31" s="342"/>
      <c r="Y31" s="342"/>
      <c r="Z31" s="349" t="s">
        <v>244</v>
      </c>
      <c r="AA31" s="342"/>
      <c r="AB31" s="342"/>
      <c r="AC31" s="342"/>
      <c r="AD31" s="342"/>
      <c r="AE31" s="349" t="s">
        <v>394</v>
      </c>
      <c r="AF31" s="349" t="s">
        <v>922</v>
      </c>
      <c r="AG31" s="342"/>
      <c r="AH31" s="342"/>
      <c r="AI31" s="349" t="s">
        <v>269</v>
      </c>
      <c r="AJ31" s="342"/>
    </row>
    <row r="32" spans="1:36" x14ac:dyDescent="0.3">
      <c r="A32" s="344" t="s">
        <v>212</v>
      </c>
      <c r="B32" s="345">
        <v>46000</v>
      </c>
      <c r="C32" s="346" t="s">
        <v>935</v>
      </c>
      <c r="D32" s="347" t="s">
        <v>1003</v>
      </c>
      <c r="E32" s="346" t="s">
        <v>934</v>
      </c>
      <c r="F32" s="346" t="s">
        <v>214</v>
      </c>
      <c r="G32" s="348">
        <v>0.33329999999999999</v>
      </c>
      <c r="H32" s="349">
        <v>168</v>
      </c>
      <c r="I32" s="349">
        <v>56</v>
      </c>
      <c r="J32" s="349">
        <v>45</v>
      </c>
      <c r="K32" s="346" t="s">
        <v>215</v>
      </c>
      <c r="L32" s="350" t="s">
        <v>175</v>
      </c>
      <c r="M32" s="349">
        <v>2</v>
      </c>
      <c r="N32" s="349">
        <v>0</v>
      </c>
      <c r="O32" s="349">
        <v>8</v>
      </c>
      <c r="P32" s="346" t="s">
        <v>335</v>
      </c>
      <c r="Q32" s="342"/>
      <c r="R32" s="342"/>
      <c r="S32" s="342"/>
      <c r="T32" s="342"/>
      <c r="U32" s="342"/>
      <c r="V32" s="342"/>
      <c r="W32" s="342"/>
      <c r="X32" s="342"/>
      <c r="Y32" s="342"/>
      <c r="Z32" s="349" t="s">
        <v>244</v>
      </c>
      <c r="AA32" s="342"/>
      <c r="AB32" s="342"/>
      <c r="AC32" s="342"/>
      <c r="AD32" s="349" t="s">
        <v>245</v>
      </c>
      <c r="AE32" s="342"/>
      <c r="AF32" s="349" t="s">
        <v>217</v>
      </c>
      <c r="AG32" s="342"/>
      <c r="AH32" s="342"/>
      <c r="AI32" s="349" t="s">
        <v>710</v>
      </c>
      <c r="AJ32" s="342"/>
    </row>
    <row r="33" spans="1:36" x14ac:dyDescent="0.3">
      <c r="A33" s="344" t="s">
        <v>212</v>
      </c>
      <c r="B33" s="345">
        <v>46000</v>
      </c>
      <c r="C33" s="346" t="s">
        <v>938</v>
      </c>
      <c r="D33" s="347" t="s">
        <v>914</v>
      </c>
      <c r="E33" s="346" t="s">
        <v>934</v>
      </c>
      <c r="F33" s="346" t="s">
        <v>214</v>
      </c>
      <c r="G33" s="348">
        <v>0.35709999999999997</v>
      </c>
      <c r="H33" s="349">
        <v>168</v>
      </c>
      <c r="I33" s="349">
        <v>60</v>
      </c>
      <c r="J33" s="349">
        <v>51</v>
      </c>
      <c r="K33" s="346" t="s">
        <v>215</v>
      </c>
      <c r="L33" s="350" t="s">
        <v>175</v>
      </c>
      <c r="M33" s="349">
        <v>3</v>
      </c>
      <c r="N33" s="349">
        <v>2</v>
      </c>
      <c r="O33" s="349">
        <v>9</v>
      </c>
      <c r="P33" s="346" t="s">
        <v>217</v>
      </c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42"/>
      <c r="AB33" s="349" t="s">
        <v>908</v>
      </c>
      <c r="AC33" s="342"/>
      <c r="AD33" s="349" t="s">
        <v>643</v>
      </c>
      <c r="AE33" s="342"/>
      <c r="AF33" s="349" t="s">
        <v>335</v>
      </c>
      <c r="AG33" s="342"/>
      <c r="AH33" s="342"/>
      <c r="AI33" s="349" t="s">
        <v>1031</v>
      </c>
      <c r="AJ33" s="342"/>
    </row>
    <row r="34" spans="1:36" x14ac:dyDescent="0.3">
      <c r="A34" s="344" t="s">
        <v>331</v>
      </c>
      <c r="B34" s="345">
        <v>46001</v>
      </c>
      <c r="C34" s="346" t="s">
        <v>935</v>
      </c>
      <c r="D34" s="347" t="s">
        <v>1006</v>
      </c>
      <c r="E34" s="346" t="s">
        <v>934</v>
      </c>
      <c r="F34" s="346" t="s">
        <v>214</v>
      </c>
      <c r="G34" s="348">
        <v>0.65480000000000005</v>
      </c>
      <c r="H34" s="349">
        <v>168</v>
      </c>
      <c r="I34" s="349">
        <v>110</v>
      </c>
      <c r="J34" s="349">
        <v>91</v>
      </c>
      <c r="K34" s="346" t="s">
        <v>215</v>
      </c>
      <c r="L34" s="350" t="s">
        <v>433</v>
      </c>
      <c r="M34" s="349">
        <v>0</v>
      </c>
      <c r="N34" s="349">
        <v>0</v>
      </c>
      <c r="O34" s="349">
        <v>1</v>
      </c>
      <c r="P34" s="346" t="s">
        <v>265</v>
      </c>
      <c r="Q34" s="342"/>
      <c r="R34" s="342"/>
      <c r="S34" s="342"/>
      <c r="T34" s="342"/>
      <c r="U34" s="342"/>
      <c r="V34" s="342"/>
      <c r="W34" s="342"/>
      <c r="X34" s="342"/>
      <c r="Y34" s="342"/>
      <c r="Z34" s="349" t="s">
        <v>273</v>
      </c>
      <c r="AA34" s="342"/>
      <c r="AB34" s="342"/>
      <c r="AC34" s="349" t="s">
        <v>387</v>
      </c>
      <c r="AD34" s="349" t="s">
        <v>245</v>
      </c>
      <c r="AE34" s="342"/>
      <c r="AF34" s="349" t="s">
        <v>608</v>
      </c>
      <c r="AG34" s="342"/>
      <c r="AH34" s="342"/>
      <c r="AI34" s="349" t="s">
        <v>773</v>
      </c>
      <c r="AJ34" s="342"/>
    </row>
    <row r="35" spans="1:36" x14ac:dyDescent="0.3">
      <c r="A35" s="344" t="s">
        <v>331</v>
      </c>
      <c r="B35" s="345">
        <v>46001</v>
      </c>
      <c r="C35" s="346" t="s">
        <v>949</v>
      </c>
      <c r="D35" s="347" t="s">
        <v>717</v>
      </c>
      <c r="E35" s="346" t="s">
        <v>934</v>
      </c>
      <c r="F35" s="346" t="s">
        <v>214</v>
      </c>
      <c r="G35" s="348">
        <v>1.0713999999999999</v>
      </c>
      <c r="H35" s="349">
        <v>168</v>
      </c>
      <c r="I35" s="349">
        <v>180</v>
      </c>
      <c r="J35" s="349">
        <v>175</v>
      </c>
      <c r="K35" s="346" t="s">
        <v>215</v>
      </c>
      <c r="L35" s="350" t="s">
        <v>635</v>
      </c>
      <c r="M35" s="349">
        <v>0</v>
      </c>
      <c r="N35" s="349">
        <v>0</v>
      </c>
      <c r="O35" s="349">
        <v>0</v>
      </c>
      <c r="P35" s="346" t="s">
        <v>64</v>
      </c>
      <c r="Q35" s="342"/>
      <c r="R35" s="342"/>
      <c r="S35" s="342"/>
      <c r="T35" s="342"/>
      <c r="U35" s="342"/>
      <c r="V35" s="342"/>
      <c r="W35" s="342"/>
      <c r="X35" s="342"/>
      <c r="Y35" s="342"/>
      <c r="Z35" s="349" t="s">
        <v>244</v>
      </c>
      <c r="AA35" s="342"/>
      <c r="AB35" s="342"/>
      <c r="AC35" s="342"/>
      <c r="AD35" s="342"/>
      <c r="AE35" s="342"/>
      <c r="AF35" s="349" t="s">
        <v>217</v>
      </c>
      <c r="AG35" s="349" t="s">
        <v>782</v>
      </c>
      <c r="AH35" s="342"/>
      <c r="AI35" s="349" t="s">
        <v>354</v>
      </c>
      <c r="AJ35" s="342"/>
    </row>
    <row r="36" spans="1:36" ht="21" x14ac:dyDescent="0.3">
      <c r="A36" s="351" t="s">
        <v>1574</v>
      </c>
      <c r="B36" s="352"/>
      <c r="C36" s="351">
        <f>SUBTOTAL(103,JED_ATZ_LF_LEGACY[Flt])</f>
        <v>34</v>
      </c>
      <c r="D36" s="351"/>
      <c r="E36" s="351">
        <f>SUBTOTAL(103,JED_ATZ_LF_LEGACY[Brd-Off])</f>
        <v>34</v>
      </c>
      <c r="F36" s="351"/>
      <c r="G36" s="353">
        <f>SUBTOTAL(101,JED_ATZ_LF_LEGACY[LF%])</f>
        <v>0.65386470588235301</v>
      </c>
      <c r="H36" s="354">
        <f>SUBTOTAL(109,JED_ATZ_LF_LEGACY[CAP])</f>
        <v>5767</v>
      </c>
      <c r="I36" s="354">
        <f>SUBTOTAL(109,JED_ATZ_LF_LEGACY[BKG(Y)])</f>
        <v>3779</v>
      </c>
      <c r="J36" s="354">
        <f>SUBTOTAL(109,JED_ATZ_LF_LEGACY[GRP(Y)])</f>
        <v>2972</v>
      </c>
      <c r="K36" s="351"/>
      <c r="L36" s="352"/>
      <c r="M36" s="354">
        <f>SUBTOTAL(109,JED_ATZ_LF_LEGACY[TO-DAY])</f>
        <v>35</v>
      </c>
      <c r="N36" s="354">
        <f>SUBTOTAL(109,JED_ATZ_LF_LEGACY[Y-DAY])</f>
        <v>176</v>
      </c>
      <c r="O36" s="354">
        <f>SUBTOTAL(109,JED_ATZ_LF_LEGACY[WEEKLY])</f>
        <v>608</v>
      </c>
      <c r="P36" s="355"/>
      <c r="Q36" s="354">
        <f>SUBTOTAL(109,JED_ATZ_LF_LEGACY[Y])</f>
        <v>0</v>
      </c>
      <c r="R36" s="354">
        <f>SUBTOTAL(109,JED_ATZ_LF_LEGACY[B])</f>
        <v>0</v>
      </c>
      <c r="S36" s="354">
        <f>SUBTOTAL(109,JED_ATZ_LF_LEGACY[M])</f>
        <v>0</v>
      </c>
      <c r="T36" s="354">
        <f>SUBTOTAL(109,JED_ATZ_LF_LEGACY[H])</f>
        <v>0</v>
      </c>
      <c r="U36" s="354">
        <f>SUBTOTAL(109,JED_ATZ_LF_LEGACY[Q])</f>
        <v>0</v>
      </c>
      <c r="V36" s="354">
        <f>SUBTOTAL(109,JED_ATZ_LF_LEGACY[K])</f>
        <v>0</v>
      </c>
      <c r="W36" s="354">
        <f>SUBTOTAL(109,JED_ATZ_LF_LEGACY[V])</f>
        <v>0</v>
      </c>
      <c r="X36" s="354">
        <f>SUBTOTAL(109,JED_ATZ_LF_LEGACY[L])</f>
        <v>0</v>
      </c>
      <c r="Y36" s="354">
        <f>SUBTOTAL(109,JED_ATZ_LF_LEGACY[G])</f>
        <v>0</v>
      </c>
      <c r="Z36" s="354">
        <f>SUBTOTAL(109,JED_ATZ_LF_LEGACY[S])</f>
        <v>0</v>
      </c>
      <c r="AA36" s="354">
        <f>SUBTOTAL(109,JED_ATZ_LF_LEGACY[W])</f>
        <v>0</v>
      </c>
      <c r="AB36" s="354">
        <f>SUBTOTAL(109,JED_ATZ_LF_LEGACY[T])</f>
        <v>0</v>
      </c>
      <c r="AC36" s="354">
        <f>SUBTOTAL(109,JED_ATZ_LF_LEGACY[X])</f>
        <v>0</v>
      </c>
      <c r="AD36" s="354">
        <f>SUBTOTAL(109,JED_ATZ_LF_LEGACY[U])</f>
        <v>0</v>
      </c>
      <c r="AE36" s="354">
        <f>SUBTOTAL(109,JED_ATZ_LF_LEGACY[O])</f>
        <v>0</v>
      </c>
      <c r="AF36" s="354">
        <f>SUBTOTAL(109,JED_ATZ_LF_LEGACY[I])</f>
        <v>0</v>
      </c>
      <c r="AG36" s="354">
        <f>SUBTOTAL(109,JED_ATZ_LF_LEGACY[E])</f>
        <v>0</v>
      </c>
      <c r="AH36" s="354">
        <f>SUBTOTAL(109,JED_ATZ_LF_LEGACY[A])</f>
        <v>0</v>
      </c>
      <c r="AI36" s="354">
        <f>SUBTOTAL(109,JED_ATZ_LF_LEGACY[P])</f>
        <v>0</v>
      </c>
      <c r="AJ36" s="354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5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186.886718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8" t="s">
        <v>292</v>
      </c>
      <c r="B2" s="99" t="s">
        <v>44</v>
      </c>
      <c r="C2" s="100" t="s">
        <v>946</v>
      </c>
      <c r="D2" s="99" t="s">
        <v>934</v>
      </c>
      <c r="E2" s="99" t="s">
        <v>1003</v>
      </c>
      <c r="F2" s="99"/>
      <c r="G2" s="99"/>
      <c r="H2" s="119" t="s">
        <v>936</v>
      </c>
      <c r="I2" s="88"/>
    </row>
    <row r="3" spans="1:9" ht="19.8" customHeight="1" x14ac:dyDescent="0.3">
      <c r="A3" s="108">
        <v>45986</v>
      </c>
      <c r="B3" s="109" t="s">
        <v>44</v>
      </c>
      <c r="C3" s="110" t="s">
        <v>956</v>
      </c>
      <c r="D3" s="109" t="s">
        <v>934</v>
      </c>
      <c r="E3" s="111">
        <v>1.9513888888888891</v>
      </c>
      <c r="F3" s="109"/>
      <c r="G3" s="109"/>
      <c r="H3" s="112" t="s">
        <v>939</v>
      </c>
      <c r="I3" s="88"/>
    </row>
    <row r="4" spans="1:9" ht="19.8" customHeight="1" x14ac:dyDescent="0.3">
      <c r="A4" s="103">
        <v>45987</v>
      </c>
      <c r="B4" s="94" t="s">
        <v>26</v>
      </c>
      <c r="C4" s="95" t="s">
        <v>942</v>
      </c>
      <c r="D4" s="94" t="s">
        <v>934</v>
      </c>
      <c r="E4" s="104">
        <v>1.2847222222222221</v>
      </c>
      <c r="F4" s="94" t="s">
        <v>795</v>
      </c>
      <c r="G4" s="96">
        <v>11</v>
      </c>
      <c r="H4" s="97">
        <v>299</v>
      </c>
      <c r="I4" s="88"/>
    </row>
    <row r="5" spans="1:9" ht="19.8" customHeight="1" x14ac:dyDescent="0.3">
      <c r="A5" s="103">
        <v>45987</v>
      </c>
      <c r="B5" s="94" t="s">
        <v>26</v>
      </c>
      <c r="C5" s="95" t="s">
        <v>942</v>
      </c>
      <c r="D5" s="94" t="s">
        <v>934</v>
      </c>
      <c r="E5" s="104">
        <v>1.2847222222222221</v>
      </c>
      <c r="F5" s="94" t="s">
        <v>796</v>
      </c>
      <c r="G5" s="96">
        <v>11</v>
      </c>
      <c r="H5" s="97">
        <v>358</v>
      </c>
      <c r="I5" s="88"/>
    </row>
    <row r="6" spans="1:9" ht="19.8" customHeight="1" x14ac:dyDescent="0.3">
      <c r="A6" s="103">
        <v>45987</v>
      </c>
      <c r="B6" s="94" t="s">
        <v>26</v>
      </c>
      <c r="C6" s="95" t="s">
        <v>942</v>
      </c>
      <c r="D6" s="94" t="s">
        <v>934</v>
      </c>
      <c r="E6" s="104">
        <v>1.2847222222222221</v>
      </c>
      <c r="F6" s="94" t="s">
        <v>798</v>
      </c>
      <c r="G6" s="96">
        <v>11</v>
      </c>
      <c r="H6" s="97">
        <v>382</v>
      </c>
      <c r="I6" s="88"/>
    </row>
    <row r="7" spans="1:9" ht="19.8" customHeight="1" x14ac:dyDescent="0.3">
      <c r="A7" s="105">
        <v>45987</v>
      </c>
      <c r="B7" s="99" t="s">
        <v>44</v>
      </c>
      <c r="C7" s="100" t="s">
        <v>946</v>
      </c>
      <c r="D7" s="99" t="s">
        <v>934</v>
      </c>
      <c r="E7" s="106">
        <v>1.2673611111111109</v>
      </c>
      <c r="F7" s="99" t="s">
        <v>46</v>
      </c>
      <c r="G7" s="101">
        <v>9</v>
      </c>
      <c r="H7" s="102">
        <v>401</v>
      </c>
      <c r="I7" s="88"/>
    </row>
    <row r="8" spans="1:9" ht="19.8" customHeight="1" x14ac:dyDescent="0.3">
      <c r="A8" s="105">
        <v>45987</v>
      </c>
      <c r="B8" s="99" t="s">
        <v>44</v>
      </c>
      <c r="C8" s="100" t="s">
        <v>948</v>
      </c>
      <c r="D8" s="99" t="s">
        <v>934</v>
      </c>
      <c r="E8" s="106">
        <v>1.333333333333333</v>
      </c>
      <c r="F8" s="99" t="s">
        <v>46</v>
      </c>
      <c r="G8" s="101">
        <v>9</v>
      </c>
      <c r="H8" s="102">
        <v>401</v>
      </c>
      <c r="I8" s="88"/>
    </row>
    <row r="9" spans="1:9" ht="19.8" customHeight="1" x14ac:dyDescent="0.3">
      <c r="A9" s="103">
        <v>45987</v>
      </c>
      <c r="B9" s="94" t="s">
        <v>26</v>
      </c>
      <c r="C9" s="95" t="s">
        <v>942</v>
      </c>
      <c r="D9" s="94" t="s">
        <v>934</v>
      </c>
      <c r="E9" s="104">
        <v>1.2847222222222221</v>
      </c>
      <c r="F9" s="94" t="s">
        <v>800</v>
      </c>
      <c r="G9" s="96">
        <v>11</v>
      </c>
      <c r="H9" s="97">
        <v>549</v>
      </c>
      <c r="I9" s="88"/>
    </row>
    <row r="10" spans="1:9" ht="19.8" customHeight="1" x14ac:dyDescent="0.3">
      <c r="A10" s="113">
        <v>45987</v>
      </c>
      <c r="B10" s="114" t="s">
        <v>66</v>
      </c>
      <c r="C10" s="115" t="s">
        <v>951</v>
      </c>
      <c r="D10" s="114" t="s">
        <v>934</v>
      </c>
      <c r="E10" s="116">
        <v>1.2673611111111109</v>
      </c>
      <c r="F10" s="114" t="s">
        <v>369</v>
      </c>
      <c r="G10" s="117">
        <v>4</v>
      </c>
      <c r="H10" s="142">
        <v>640</v>
      </c>
      <c r="I10" s="88"/>
    </row>
    <row r="11" spans="1:9" ht="19.8" customHeight="1" x14ac:dyDescent="0.3">
      <c r="A11" s="105">
        <v>45988</v>
      </c>
      <c r="B11" s="99" t="s">
        <v>44</v>
      </c>
      <c r="C11" s="100" t="s">
        <v>953</v>
      </c>
      <c r="D11" s="99" t="s">
        <v>934</v>
      </c>
      <c r="E11" s="106">
        <v>1.083333333333333</v>
      </c>
      <c r="F11" s="99" t="s">
        <v>46</v>
      </c>
      <c r="G11" s="101">
        <v>9</v>
      </c>
      <c r="H11" s="102">
        <v>401</v>
      </c>
      <c r="I11" s="88"/>
    </row>
    <row r="12" spans="1:9" ht="19.8" customHeight="1" x14ac:dyDescent="0.3">
      <c r="A12" s="105">
        <v>45988</v>
      </c>
      <c r="B12" s="99" t="s">
        <v>44</v>
      </c>
      <c r="C12" s="100" t="s">
        <v>956</v>
      </c>
      <c r="D12" s="99" t="s">
        <v>934</v>
      </c>
      <c r="E12" s="106">
        <v>1.708333333333333</v>
      </c>
      <c r="F12" s="99" t="s">
        <v>46</v>
      </c>
      <c r="G12" s="101">
        <v>9</v>
      </c>
      <c r="H12" s="102">
        <v>401</v>
      </c>
      <c r="I12" s="88"/>
    </row>
    <row r="13" spans="1:9" ht="19.8" customHeight="1" x14ac:dyDescent="0.3">
      <c r="A13" s="105">
        <v>45988</v>
      </c>
      <c r="B13" s="99" t="s">
        <v>44</v>
      </c>
      <c r="C13" s="100" t="s">
        <v>946</v>
      </c>
      <c r="D13" s="99" t="s">
        <v>934</v>
      </c>
      <c r="E13" s="106">
        <v>1.489583333333333</v>
      </c>
      <c r="F13" s="99" t="s">
        <v>46</v>
      </c>
      <c r="G13" s="101">
        <v>9</v>
      </c>
      <c r="H13" s="102">
        <v>401</v>
      </c>
      <c r="I13" s="88"/>
    </row>
    <row r="14" spans="1:9" ht="19.8" customHeight="1" x14ac:dyDescent="0.3">
      <c r="A14" s="113">
        <v>45988</v>
      </c>
      <c r="B14" s="114" t="s">
        <v>66</v>
      </c>
      <c r="C14" s="115" t="s">
        <v>951</v>
      </c>
      <c r="D14" s="114" t="s">
        <v>934</v>
      </c>
      <c r="E14" s="116">
        <v>1.489583333333333</v>
      </c>
      <c r="F14" s="114" t="s">
        <v>369</v>
      </c>
      <c r="G14" s="117">
        <v>4</v>
      </c>
      <c r="H14" s="142">
        <v>640</v>
      </c>
      <c r="I14" s="88"/>
    </row>
    <row r="15" spans="1:9" ht="19.8" customHeight="1" x14ac:dyDescent="0.3">
      <c r="A15" s="108">
        <v>45989</v>
      </c>
      <c r="B15" s="109" t="s">
        <v>44</v>
      </c>
      <c r="C15" s="110" t="s">
        <v>948</v>
      </c>
      <c r="D15" s="109" t="s">
        <v>934</v>
      </c>
      <c r="E15" s="111">
        <v>1.291666666666667</v>
      </c>
      <c r="F15" s="109" t="s">
        <v>46</v>
      </c>
      <c r="G15" s="141">
        <v>9</v>
      </c>
      <c r="H15" s="143">
        <v>401</v>
      </c>
      <c r="I15" s="88"/>
    </row>
    <row r="16" spans="1:9" ht="19.8" customHeight="1" x14ac:dyDescent="0.3">
      <c r="A16" s="105">
        <v>45990</v>
      </c>
      <c r="B16" s="99" t="s">
        <v>44</v>
      </c>
      <c r="C16" s="100" t="s">
        <v>948</v>
      </c>
      <c r="D16" s="99" t="s">
        <v>934</v>
      </c>
      <c r="E16" s="106">
        <v>1.302083333333333</v>
      </c>
      <c r="F16" s="99" t="s">
        <v>46</v>
      </c>
      <c r="G16" s="101">
        <v>9</v>
      </c>
      <c r="H16" s="102">
        <v>471</v>
      </c>
      <c r="I16" s="88"/>
    </row>
    <row r="17" spans="1:9" ht="19.8" customHeight="1" x14ac:dyDescent="0.3">
      <c r="A17" s="105">
        <v>45990</v>
      </c>
      <c r="B17" s="99" t="s">
        <v>44</v>
      </c>
      <c r="C17" s="100" t="s">
        <v>956</v>
      </c>
      <c r="D17" s="99" t="s">
        <v>934</v>
      </c>
      <c r="E17" s="106">
        <v>1.6875</v>
      </c>
      <c r="F17" s="99" t="s">
        <v>46</v>
      </c>
      <c r="G17" s="101">
        <v>9</v>
      </c>
      <c r="H17" s="102">
        <v>526</v>
      </c>
      <c r="I17" s="88"/>
    </row>
    <row r="18" spans="1:9" ht="19.8" customHeight="1" x14ac:dyDescent="0.3">
      <c r="A18" s="183"/>
      <c r="B18" s="184"/>
      <c r="C18" s="184"/>
      <c r="D18" s="184"/>
      <c r="E18" s="184"/>
      <c r="F18" s="185" t="s">
        <v>1032</v>
      </c>
      <c r="G18" s="184"/>
      <c r="H18" s="186"/>
      <c r="I18" s="88"/>
    </row>
    <row r="19" spans="1:9" ht="19.8" customHeight="1" x14ac:dyDescent="0.3">
      <c r="A19" s="113">
        <v>45990</v>
      </c>
      <c r="B19" s="114" t="s">
        <v>44</v>
      </c>
      <c r="C19" s="115" t="s">
        <v>367</v>
      </c>
      <c r="D19" s="114" t="s">
        <v>403</v>
      </c>
      <c r="E19" s="116">
        <v>1.9375</v>
      </c>
      <c r="F19" s="114" t="s">
        <v>369</v>
      </c>
      <c r="G19" s="117">
        <v>2</v>
      </c>
      <c r="H19" s="118" t="s">
        <v>371</v>
      </c>
      <c r="I19" s="88"/>
    </row>
    <row r="20" spans="1:9" ht="19.8" customHeight="1" x14ac:dyDescent="0.3">
      <c r="A20" s="103">
        <v>45991</v>
      </c>
      <c r="B20" s="94" t="s">
        <v>26</v>
      </c>
      <c r="C20" s="95" t="s">
        <v>942</v>
      </c>
      <c r="D20" s="94" t="s">
        <v>934</v>
      </c>
      <c r="E20" s="104">
        <v>1.2847222222222221</v>
      </c>
      <c r="F20" s="94" t="s">
        <v>795</v>
      </c>
      <c r="G20" s="96">
        <v>3</v>
      </c>
      <c r="H20" s="97">
        <v>329</v>
      </c>
      <c r="I20" s="88"/>
    </row>
    <row r="21" spans="1:9" ht="19.8" customHeight="1" x14ac:dyDescent="0.3">
      <c r="A21" s="103">
        <v>45991</v>
      </c>
      <c r="B21" s="94" t="s">
        <v>26</v>
      </c>
      <c r="C21" s="95" t="s">
        <v>942</v>
      </c>
      <c r="D21" s="94" t="s">
        <v>934</v>
      </c>
      <c r="E21" s="104">
        <v>1.2847222222222221</v>
      </c>
      <c r="F21" s="94" t="s">
        <v>796</v>
      </c>
      <c r="G21" s="96">
        <v>3</v>
      </c>
      <c r="H21" s="97">
        <v>388</v>
      </c>
      <c r="I21" s="88"/>
    </row>
    <row r="22" spans="1:9" ht="19.8" customHeight="1" x14ac:dyDescent="0.3">
      <c r="A22" s="103">
        <v>45991</v>
      </c>
      <c r="B22" s="94" t="s">
        <v>26</v>
      </c>
      <c r="C22" s="95" t="s">
        <v>942</v>
      </c>
      <c r="D22" s="94" t="s">
        <v>934</v>
      </c>
      <c r="E22" s="104">
        <v>1.2847222222222221</v>
      </c>
      <c r="F22" s="94" t="s">
        <v>798</v>
      </c>
      <c r="G22" s="96">
        <v>3</v>
      </c>
      <c r="H22" s="97">
        <v>412</v>
      </c>
      <c r="I22" s="88"/>
    </row>
    <row r="23" spans="1:9" ht="19.8" customHeight="1" x14ac:dyDescent="0.3">
      <c r="A23" s="103">
        <v>45991</v>
      </c>
      <c r="B23" s="94" t="s">
        <v>26</v>
      </c>
      <c r="C23" s="95" t="s">
        <v>942</v>
      </c>
      <c r="D23" s="94" t="s">
        <v>934</v>
      </c>
      <c r="E23" s="104">
        <v>1.2847222222222221</v>
      </c>
      <c r="F23" s="94" t="s">
        <v>800</v>
      </c>
      <c r="G23" s="96">
        <v>3</v>
      </c>
      <c r="H23" s="97">
        <v>579</v>
      </c>
      <c r="I23" s="88"/>
    </row>
    <row r="24" spans="1:9" ht="19.8" customHeight="1" x14ac:dyDescent="0.3">
      <c r="A24" s="105">
        <v>45991</v>
      </c>
      <c r="B24" s="99" t="s">
        <v>44</v>
      </c>
      <c r="C24" s="100" t="s">
        <v>949</v>
      </c>
      <c r="D24" s="99" t="s">
        <v>934</v>
      </c>
      <c r="E24" s="106">
        <v>1.7673611111111109</v>
      </c>
      <c r="F24" s="99" t="s">
        <v>61</v>
      </c>
      <c r="G24" s="99"/>
      <c r="H24" s="119" t="s">
        <v>363</v>
      </c>
      <c r="I24" s="88"/>
    </row>
    <row r="25" spans="1:9" ht="19.8" customHeight="1" x14ac:dyDescent="0.3">
      <c r="A25" s="108">
        <v>45991</v>
      </c>
      <c r="B25" s="109" t="s">
        <v>44</v>
      </c>
      <c r="C25" s="110" t="s">
        <v>938</v>
      </c>
      <c r="D25" s="109" t="s">
        <v>934</v>
      </c>
      <c r="E25" s="111">
        <v>1.850694444444444</v>
      </c>
      <c r="F25" s="109" t="s">
        <v>61</v>
      </c>
      <c r="G25" s="109"/>
      <c r="H25" s="112" t="s">
        <v>363</v>
      </c>
      <c r="I25" s="88"/>
    </row>
    <row r="26" spans="1:9" ht="19.8" customHeight="1" x14ac:dyDescent="0.3">
      <c r="A26" s="105">
        <v>45992</v>
      </c>
      <c r="B26" s="99" t="s">
        <v>44</v>
      </c>
      <c r="C26" s="100" t="s">
        <v>946</v>
      </c>
      <c r="D26" s="99" t="s">
        <v>934</v>
      </c>
      <c r="E26" s="106">
        <v>1.96875</v>
      </c>
      <c r="F26" s="99" t="s">
        <v>46</v>
      </c>
      <c r="G26" s="101">
        <v>3</v>
      </c>
      <c r="H26" s="102">
        <v>401</v>
      </c>
      <c r="I26" s="88"/>
    </row>
    <row r="27" spans="1:9" ht="19.8" customHeight="1" x14ac:dyDescent="0.3">
      <c r="A27" s="105">
        <v>45992</v>
      </c>
      <c r="B27" s="99" t="s">
        <v>44</v>
      </c>
      <c r="C27" s="100" t="s">
        <v>948</v>
      </c>
      <c r="D27" s="99" t="s">
        <v>934</v>
      </c>
      <c r="E27" s="106">
        <v>1.506944444444444</v>
      </c>
      <c r="F27" s="99" t="s">
        <v>46</v>
      </c>
      <c r="G27" s="101">
        <v>5</v>
      </c>
      <c r="H27" s="102">
        <v>586</v>
      </c>
      <c r="I27" s="88"/>
    </row>
    <row r="28" spans="1:9" ht="19.8" customHeight="1" x14ac:dyDescent="0.3">
      <c r="A28" s="113">
        <v>45992</v>
      </c>
      <c r="B28" s="114" t="s">
        <v>66</v>
      </c>
      <c r="C28" s="115" t="s">
        <v>951</v>
      </c>
      <c r="D28" s="114" t="s">
        <v>934</v>
      </c>
      <c r="E28" s="116">
        <v>1.96875</v>
      </c>
      <c r="F28" s="114" t="s">
        <v>369</v>
      </c>
      <c r="G28" s="117">
        <v>4</v>
      </c>
      <c r="H28" s="142">
        <v>640</v>
      </c>
      <c r="I28" s="88"/>
    </row>
    <row r="29" spans="1:9" ht="19.8" customHeight="1" x14ac:dyDescent="0.3">
      <c r="A29" s="105">
        <v>45993</v>
      </c>
      <c r="B29" s="99" t="s">
        <v>44</v>
      </c>
      <c r="C29" s="100" t="s">
        <v>956</v>
      </c>
      <c r="D29" s="99" t="s">
        <v>934</v>
      </c>
      <c r="E29" s="106">
        <v>1.6875</v>
      </c>
      <c r="F29" s="99" t="s">
        <v>46</v>
      </c>
      <c r="G29" s="101">
        <v>9</v>
      </c>
      <c r="H29" s="102">
        <v>526</v>
      </c>
      <c r="I29" s="88"/>
    </row>
    <row r="30" spans="1:9" ht="19.8" customHeight="1" x14ac:dyDescent="0.3">
      <c r="A30" s="105">
        <v>45993</v>
      </c>
      <c r="B30" s="99" t="s">
        <v>44</v>
      </c>
      <c r="C30" s="100" t="s">
        <v>946</v>
      </c>
      <c r="D30" s="99" t="s">
        <v>934</v>
      </c>
      <c r="E30" s="106">
        <v>1.322916666666667</v>
      </c>
      <c r="F30" s="99" t="s">
        <v>46</v>
      </c>
      <c r="G30" s="101">
        <v>5</v>
      </c>
      <c r="H30" s="102">
        <v>781</v>
      </c>
      <c r="I30" s="88"/>
    </row>
    <row r="31" spans="1:9" ht="19.8" customHeight="1" x14ac:dyDescent="0.3">
      <c r="A31" s="113">
        <v>45993</v>
      </c>
      <c r="B31" s="114" t="s">
        <v>66</v>
      </c>
      <c r="C31" s="115" t="s">
        <v>951</v>
      </c>
      <c r="D31" s="114" t="s">
        <v>934</v>
      </c>
      <c r="E31" s="116">
        <v>1.322916666666667</v>
      </c>
      <c r="F31" s="114" t="s">
        <v>68</v>
      </c>
      <c r="G31" s="117">
        <v>4</v>
      </c>
      <c r="H31" s="142">
        <v>860</v>
      </c>
      <c r="I31" s="88"/>
    </row>
    <row r="32" spans="1:9" ht="19.8" customHeight="1" x14ac:dyDescent="0.3">
      <c r="A32" s="103">
        <v>45994</v>
      </c>
      <c r="B32" s="94" t="s">
        <v>26</v>
      </c>
      <c r="C32" s="95" t="s">
        <v>942</v>
      </c>
      <c r="D32" s="94" t="s">
        <v>934</v>
      </c>
      <c r="E32" s="104">
        <v>1.2847222222222221</v>
      </c>
      <c r="F32" s="94" t="s">
        <v>795</v>
      </c>
      <c r="G32" s="96">
        <v>4</v>
      </c>
      <c r="H32" s="97">
        <v>379</v>
      </c>
      <c r="I32" s="88"/>
    </row>
    <row r="33" spans="1:9" ht="19.8" customHeight="1" x14ac:dyDescent="0.3">
      <c r="A33" s="103">
        <v>45994</v>
      </c>
      <c r="B33" s="94" t="s">
        <v>26</v>
      </c>
      <c r="C33" s="95" t="s">
        <v>942</v>
      </c>
      <c r="D33" s="94" t="s">
        <v>934</v>
      </c>
      <c r="E33" s="104">
        <v>1.2847222222222221</v>
      </c>
      <c r="F33" s="94" t="s">
        <v>796</v>
      </c>
      <c r="G33" s="96">
        <v>4</v>
      </c>
      <c r="H33" s="97">
        <v>438</v>
      </c>
      <c r="I33" s="88"/>
    </row>
    <row r="34" spans="1:9" ht="19.8" customHeight="1" x14ac:dyDescent="0.3">
      <c r="A34" s="103">
        <v>45994</v>
      </c>
      <c r="B34" s="94" t="s">
        <v>26</v>
      </c>
      <c r="C34" s="95" t="s">
        <v>942</v>
      </c>
      <c r="D34" s="94" t="s">
        <v>934</v>
      </c>
      <c r="E34" s="104">
        <v>1.2847222222222221</v>
      </c>
      <c r="F34" s="94" t="s">
        <v>798</v>
      </c>
      <c r="G34" s="96">
        <v>4</v>
      </c>
      <c r="H34" s="97">
        <v>462</v>
      </c>
      <c r="I34" s="88"/>
    </row>
    <row r="35" spans="1:9" ht="19.8" customHeight="1" x14ac:dyDescent="0.3">
      <c r="A35" s="103">
        <v>45994</v>
      </c>
      <c r="B35" s="94" t="s">
        <v>26</v>
      </c>
      <c r="C35" s="95" t="s">
        <v>942</v>
      </c>
      <c r="D35" s="94" t="s">
        <v>934</v>
      </c>
      <c r="E35" s="104">
        <v>1.2847222222222221</v>
      </c>
      <c r="F35" s="94" t="s">
        <v>800</v>
      </c>
      <c r="G35" s="96">
        <v>4</v>
      </c>
      <c r="H35" s="97">
        <v>629</v>
      </c>
      <c r="I35" s="88"/>
    </row>
    <row r="36" spans="1:9" ht="19.8" customHeight="1" x14ac:dyDescent="0.3">
      <c r="A36" s="105">
        <v>45994</v>
      </c>
      <c r="B36" s="99" t="s">
        <v>44</v>
      </c>
      <c r="C36" s="100" t="s">
        <v>935</v>
      </c>
      <c r="D36" s="99" t="s">
        <v>934</v>
      </c>
      <c r="E36" s="106">
        <v>1.2673611111111109</v>
      </c>
      <c r="F36" s="99" t="s">
        <v>61</v>
      </c>
      <c r="G36" s="99"/>
      <c r="H36" s="119" t="s">
        <v>936</v>
      </c>
      <c r="I36" s="88"/>
    </row>
    <row r="37" spans="1:9" ht="19.8" customHeight="1" x14ac:dyDescent="0.3">
      <c r="A37" s="108">
        <v>45994</v>
      </c>
      <c r="B37" s="109" t="s">
        <v>44</v>
      </c>
      <c r="C37" s="110" t="s">
        <v>949</v>
      </c>
      <c r="D37" s="109" t="s">
        <v>934</v>
      </c>
      <c r="E37" s="111">
        <v>1.333333333333333</v>
      </c>
      <c r="F37" s="109" t="s">
        <v>61</v>
      </c>
      <c r="G37" s="109"/>
      <c r="H37" s="112" t="s">
        <v>936</v>
      </c>
      <c r="I37" s="88"/>
    </row>
    <row r="38" spans="1:9" ht="19.8" customHeight="1" x14ac:dyDescent="0.3">
      <c r="A38" s="105">
        <v>45995</v>
      </c>
      <c r="B38" s="99" t="s">
        <v>44</v>
      </c>
      <c r="C38" s="100" t="s">
        <v>953</v>
      </c>
      <c r="D38" s="99" t="s">
        <v>934</v>
      </c>
      <c r="E38" s="106">
        <v>1.083333333333333</v>
      </c>
      <c r="F38" s="99"/>
      <c r="G38" s="99"/>
      <c r="H38" s="119" t="s">
        <v>363</v>
      </c>
      <c r="I38" s="88"/>
    </row>
    <row r="39" spans="1:9" ht="19.8" customHeight="1" x14ac:dyDescent="0.3">
      <c r="A39" s="105">
        <v>45995</v>
      </c>
      <c r="B39" s="99" t="s">
        <v>44</v>
      </c>
      <c r="C39" s="100" t="s">
        <v>946</v>
      </c>
      <c r="D39" s="99" t="s">
        <v>934</v>
      </c>
      <c r="E39" s="106">
        <v>1.5173611111111109</v>
      </c>
      <c r="F39" s="99"/>
      <c r="G39" s="99"/>
      <c r="H39" s="119" t="s">
        <v>363</v>
      </c>
      <c r="I39" s="88"/>
    </row>
    <row r="40" spans="1:9" ht="19.8" customHeight="1" x14ac:dyDescent="0.3">
      <c r="A40" s="108">
        <v>45995</v>
      </c>
      <c r="B40" s="109" t="s">
        <v>44</v>
      </c>
      <c r="C40" s="110" t="s">
        <v>956</v>
      </c>
      <c r="D40" s="109" t="s">
        <v>934</v>
      </c>
      <c r="E40" s="111">
        <v>1.708333333333333</v>
      </c>
      <c r="F40" s="109"/>
      <c r="G40" s="109"/>
      <c r="H40" s="112" t="s">
        <v>363</v>
      </c>
      <c r="I40" s="88"/>
    </row>
    <row r="41" spans="1:9" ht="19.8" customHeight="1" x14ac:dyDescent="0.3">
      <c r="A41" s="108">
        <v>45996</v>
      </c>
      <c r="B41" s="109" t="s">
        <v>44</v>
      </c>
      <c r="C41" s="110" t="s">
        <v>948</v>
      </c>
      <c r="D41" s="109" t="s">
        <v>934</v>
      </c>
      <c r="E41" s="111">
        <v>1.291666666666667</v>
      </c>
      <c r="F41" s="109"/>
      <c r="G41" s="109"/>
      <c r="H41" s="112" t="s">
        <v>983</v>
      </c>
      <c r="I41" s="88"/>
    </row>
    <row r="42" spans="1:9" ht="19.8" customHeight="1" x14ac:dyDescent="0.3">
      <c r="A42" s="105">
        <v>45997</v>
      </c>
      <c r="B42" s="99" t="s">
        <v>44</v>
      </c>
      <c r="C42" s="100" t="s">
        <v>946</v>
      </c>
      <c r="D42" s="99" t="s">
        <v>934</v>
      </c>
      <c r="E42" s="106">
        <v>1.461805555555556</v>
      </c>
      <c r="F42" s="99" t="s">
        <v>46</v>
      </c>
      <c r="G42" s="101">
        <v>7</v>
      </c>
      <c r="H42" s="102">
        <v>471</v>
      </c>
      <c r="I42" s="88"/>
    </row>
    <row r="43" spans="1:9" ht="19.8" customHeight="1" x14ac:dyDescent="0.3">
      <c r="A43" s="105">
        <v>45997</v>
      </c>
      <c r="B43" s="99" t="s">
        <v>44</v>
      </c>
      <c r="C43" s="100" t="s">
        <v>948</v>
      </c>
      <c r="D43" s="99" t="s">
        <v>934</v>
      </c>
      <c r="E43" s="106">
        <v>1.302083333333333</v>
      </c>
      <c r="F43" s="99" t="s">
        <v>46</v>
      </c>
      <c r="G43" s="101">
        <v>9</v>
      </c>
      <c r="H43" s="102">
        <v>471</v>
      </c>
      <c r="I43" s="88"/>
    </row>
    <row r="44" spans="1:9" ht="19.8" customHeight="1" x14ac:dyDescent="0.3">
      <c r="A44" s="105">
        <v>45997</v>
      </c>
      <c r="B44" s="99" t="s">
        <v>44</v>
      </c>
      <c r="C44" s="100" t="s">
        <v>956</v>
      </c>
      <c r="D44" s="99" t="s">
        <v>934</v>
      </c>
      <c r="E44" s="106">
        <v>1.6875</v>
      </c>
      <c r="F44" s="99" t="s">
        <v>46</v>
      </c>
      <c r="G44" s="101">
        <v>8</v>
      </c>
      <c r="H44" s="102">
        <v>526</v>
      </c>
      <c r="I44" s="88"/>
    </row>
    <row r="45" spans="1:9" ht="19.8" customHeight="1" x14ac:dyDescent="0.3">
      <c r="A45" s="103">
        <v>45997</v>
      </c>
      <c r="B45" s="94" t="s">
        <v>66</v>
      </c>
      <c r="C45" s="95" t="s">
        <v>951</v>
      </c>
      <c r="D45" s="94" t="s">
        <v>934</v>
      </c>
      <c r="E45" s="104">
        <v>1.461805555555556</v>
      </c>
      <c r="F45" s="94" t="s">
        <v>369</v>
      </c>
      <c r="G45" s="96">
        <v>4</v>
      </c>
      <c r="H45" s="97">
        <v>640</v>
      </c>
      <c r="I45" s="88"/>
    </row>
    <row r="46" spans="1:9" ht="19.8" customHeight="1" x14ac:dyDescent="0.3">
      <c r="A46" s="183"/>
      <c r="B46" s="184"/>
      <c r="C46" s="184"/>
      <c r="D46" s="184"/>
      <c r="E46" s="184"/>
      <c r="F46" s="185" t="s">
        <v>1032</v>
      </c>
      <c r="G46" s="184"/>
      <c r="H46" s="186"/>
      <c r="I46" s="88"/>
    </row>
    <row r="47" spans="1:9" ht="19.8" customHeight="1" x14ac:dyDescent="0.3">
      <c r="A47" s="113">
        <v>45997</v>
      </c>
      <c r="B47" s="114" t="s">
        <v>44</v>
      </c>
      <c r="C47" s="115" t="s">
        <v>367</v>
      </c>
      <c r="D47" s="114" t="s">
        <v>403</v>
      </c>
      <c r="E47" s="116">
        <v>1.9375</v>
      </c>
      <c r="F47" s="114" t="s">
        <v>369</v>
      </c>
      <c r="G47" s="117">
        <v>9</v>
      </c>
      <c r="H47" s="118" t="s">
        <v>371</v>
      </c>
      <c r="I47" s="88"/>
    </row>
    <row r="48" spans="1:9" ht="19.8" customHeight="1" x14ac:dyDescent="0.3">
      <c r="A48" s="103">
        <v>45998</v>
      </c>
      <c r="B48" s="94" t="s">
        <v>26</v>
      </c>
      <c r="C48" s="95" t="s">
        <v>942</v>
      </c>
      <c r="D48" s="94" t="s">
        <v>934</v>
      </c>
      <c r="E48" s="104">
        <v>1.2847222222222221</v>
      </c>
      <c r="F48" s="94" t="s">
        <v>795</v>
      </c>
      <c r="G48" s="96">
        <v>1</v>
      </c>
      <c r="H48" s="97">
        <v>429</v>
      </c>
      <c r="I48" s="88"/>
    </row>
    <row r="49" spans="1:9" ht="19.8" customHeight="1" x14ac:dyDescent="0.3">
      <c r="A49" s="105">
        <v>45998</v>
      </c>
      <c r="B49" s="99" t="s">
        <v>44</v>
      </c>
      <c r="C49" s="100" t="s">
        <v>956</v>
      </c>
      <c r="D49" s="99" t="s">
        <v>934</v>
      </c>
      <c r="E49" s="106">
        <v>1.850694444444444</v>
      </c>
      <c r="F49" s="99" t="s">
        <v>46</v>
      </c>
      <c r="G49" s="101">
        <v>3</v>
      </c>
      <c r="H49" s="102">
        <v>436</v>
      </c>
      <c r="I49" s="88"/>
    </row>
    <row r="50" spans="1:9" ht="19.8" customHeight="1" x14ac:dyDescent="0.3">
      <c r="A50" s="103">
        <v>45998</v>
      </c>
      <c r="B50" s="94" t="s">
        <v>26</v>
      </c>
      <c r="C50" s="95" t="s">
        <v>942</v>
      </c>
      <c r="D50" s="94" t="s">
        <v>934</v>
      </c>
      <c r="E50" s="104">
        <v>1.2847222222222221</v>
      </c>
      <c r="F50" s="94" t="s">
        <v>796</v>
      </c>
      <c r="G50" s="96">
        <v>1</v>
      </c>
      <c r="H50" s="97">
        <v>488</v>
      </c>
      <c r="I50" s="88"/>
    </row>
    <row r="51" spans="1:9" ht="19.8" customHeight="1" x14ac:dyDescent="0.3">
      <c r="A51" s="103">
        <v>45998</v>
      </c>
      <c r="B51" s="94" t="s">
        <v>26</v>
      </c>
      <c r="C51" s="95" t="s">
        <v>942</v>
      </c>
      <c r="D51" s="94" t="s">
        <v>934</v>
      </c>
      <c r="E51" s="104">
        <v>1.2847222222222221</v>
      </c>
      <c r="F51" s="94" t="s">
        <v>798</v>
      </c>
      <c r="G51" s="96">
        <v>1</v>
      </c>
      <c r="H51" s="97">
        <v>512</v>
      </c>
      <c r="I51" s="88"/>
    </row>
    <row r="52" spans="1:9" ht="19.8" customHeight="1" x14ac:dyDescent="0.3">
      <c r="A52" s="105">
        <v>45998</v>
      </c>
      <c r="B52" s="99" t="s">
        <v>44</v>
      </c>
      <c r="C52" s="100" t="s">
        <v>948</v>
      </c>
      <c r="D52" s="99" t="s">
        <v>934</v>
      </c>
      <c r="E52" s="106">
        <v>1.7673611111111109</v>
      </c>
      <c r="F52" s="99" t="s">
        <v>46</v>
      </c>
      <c r="G52" s="101">
        <v>9</v>
      </c>
      <c r="H52" s="102">
        <v>526</v>
      </c>
      <c r="I52" s="88"/>
    </row>
    <row r="53" spans="1:9" ht="19.8" customHeight="1" x14ac:dyDescent="0.3">
      <c r="A53" s="113">
        <v>45998</v>
      </c>
      <c r="B53" s="114" t="s">
        <v>26</v>
      </c>
      <c r="C53" s="115" t="s">
        <v>942</v>
      </c>
      <c r="D53" s="114" t="s">
        <v>934</v>
      </c>
      <c r="E53" s="116">
        <v>1.2847222222222221</v>
      </c>
      <c r="F53" s="114" t="s">
        <v>800</v>
      </c>
      <c r="G53" s="117">
        <v>1</v>
      </c>
      <c r="H53" s="142">
        <v>679</v>
      </c>
      <c r="I53" s="88"/>
    </row>
    <row r="54" spans="1:9" ht="19.8" customHeight="1" x14ac:dyDescent="0.3">
      <c r="A54" s="105">
        <v>45999</v>
      </c>
      <c r="B54" s="99" t="s">
        <v>44</v>
      </c>
      <c r="C54" s="100" t="s">
        <v>946</v>
      </c>
      <c r="D54" s="99" t="s">
        <v>934</v>
      </c>
      <c r="E54" s="106">
        <v>1.743055555555556</v>
      </c>
      <c r="F54" s="99" t="s">
        <v>46</v>
      </c>
      <c r="G54" s="101">
        <v>9</v>
      </c>
      <c r="H54" s="102">
        <v>436</v>
      </c>
      <c r="I54" s="88"/>
    </row>
    <row r="55" spans="1:9" ht="19.8" customHeight="1" x14ac:dyDescent="0.3">
      <c r="A55" s="105">
        <v>45999</v>
      </c>
      <c r="B55" s="99" t="s">
        <v>44</v>
      </c>
      <c r="C55" s="100" t="s">
        <v>948</v>
      </c>
      <c r="D55" s="99" t="s">
        <v>934</v>
      </c>
      <c r="E55" s="106">
        <v>1.2534722222222221</v>
      </c>
      <c r="F55" s="99" t="s">
        <v>46</v>
      </c>
      <c r="G55" s="101">
        <v>9</v>
      </c>
      <c r="H55" s="102">
        <v>436</v>
      </c>
      <c r="I55" s="88"/>
    </row>
    <row r="56" spans="1:9" ht="19.8" customHeight="1" x14ac:dyDescent="0.3">
      <c r="A56" s="105">
        <v>45999</v>
      </c>
      <c r="B56" s="99" t="s">
        <v>44</v>
      </c>
      <c r="C56" s="100" t="s">
        <v>953</v>
      </c>
      <c r="D56" s="99" t="s">
        <v>934</v>
      </c>
      <c r="E56" s="106">
        <v>1.506944444444444</v>
      </c>
      <c r="F56" s="99" t="s">
        <v>46</v>
      </c>
      <c r="G56" s="101">
        <v>9</v>
      </c>
      <c r="H56" s="102">
        <v>586</v>
      </c>
      <c r="I56" s="88"/>
    </row>
    <row r="57" spans="1:9" ht="19.8" customHeight="1" x14ac:dyDescent="0.3">
      <c r="A57" s="113">
        <v>45999</v>
      </c>
      <c r="B57" s="114" t="s">
        <v>66</v>
      </c>
      <c r="C57" s="115" t="s">
        <v>951</v>
      </c>
      <c r="D57" s="114" t="s">
        <v>934</v>
      </c>
      <c r="E57" s="116">
        <v>1.743055555555556</v>
      </c>
      <c r="F57" s="114" t="s">
        <v>369</v>
      </c>
      <c r="G57" s="117">
        <v>4</v>
      </c>
      <c r="H57" s="142">
        <v>640</v>
      </c>
      <c r="I57" s="88"/>
    </row>
    <row r="58" spans="1:9" ht="19.8" customHeight="1" x14ac:dyDescent="0.3">
      <c r="A58" s="105">
        <v>46000</v>
      </c>
      <c r="B58" s="99" t="s">
        <v>44</v>
      </c>
      <c r="C58" s="100" t="s">
        <v>946</v>
      </c>
      <c r="D58" s="99" t="s">
        <v>934</v>
      </c>
      <c r="E58" s="106">
        <v>1.322916666666667</v>
      </c>
      <c r="F58" s="99"/>
      <c r="G58" s="99"/>
      <c r="H58" s="119" t="s">
        <v>363</v>
      </c>
      <c r="I58" s="88"/>
    </row>
    <row r="59" spans="1:9" ht="19.8" customHeight="1" x14ac:dyDescent="0.3">
      <c r="A59" s="108">
        <v>46000</v>
      </c>
      <c r="B59" s="109" t="s">
        <v>44</v>
      </c>
      <c r="C59" s="110" t="s">
        <v>956</v>
      </c>
      <c r="D59" s="109" t="s">
        <v>934</v>
      </c>
      <c r="E59" s="111">
        <v>1.6875</v>
      </c>
      <c r="F59" s="109"/>
      <c r="G59" s="109"/>
      <c r="H59" s="112" t="s">
        <v>363</v>
      </c>
      <c r="I59" s="88"/>
    </row>
    <row r="60" spans="1:9" ht="19.8" customHeight="1" x14ac:dyDescent="0.3">
      <c r="A60" s="103">
        <v>46001</v>
      </c>
      <c r="B60" s="94" t="s">
        <v>26</v>
      </c>
      <c r="C60" s="95" t="s">
        <v>942</v>
      </c>
      <c r="D60" s="94" t="s">
        <v>934</v>
      </c>
      <c r="E60" s="104">
        <v>1.2847222222222221</v>
      </c>
      <c r="F60" s="94" t="s">
        <v>795</v>
      </c>
      <c r="G60" s="96">
        <v>4</v>
      </c>
      <c r="H60" s="97">
        <v>479</v>
      </c>
      <c r="I60" s="88"/>
    </row>
    <row r="61" spans="1:9" ht="19.8" customHeight="1" x14ac:dyDescent="0.3">
      <c r="A61" s="103">
        <v>46001</v>
      </c>
      <c r="B61" s="94" t="s">
        <v>26</v>
      </c>
      <c r="C61" s="95" t="s">
        <v>942</v>
      </c>
      <c r="D61" s="94" t="s">
        <v>934</v>
      </c>
      <c r="E61" s="104">
        <v>1.2847222222222221</v>
      </c>
      <c r="F61" s="94" t="s">
        <v>796</v>
      </c>
      <c r="G61" s="96">
        <v>4</v>
      </c>
      <c r="H61" s="97">
        <v>538</v>
      </c>
      <c r="I61" s="88"/>
    </row>
    <row r="62" spans="1:9" ht="19.8" customHeight="1" x14ac:dyDescent="0.3">
      <c r="A62" s="103">
        <v>46001</v>
      </c>
      <c r="B62" s="94" t="s">
        <v>26</v>
      </c>
      <c r="C62" s="95" t="s">
        <v>942</v>
      </c>
      <c r="D62" s="94" t="s">
        <v>934</v>
      </c>
      <c r="E62" s="104">
        <v>1.2847222222222221</v>
      </c>
      <c r="F62" s="94" t="s">
        <v>798</v>
      </c>
      <c r="G62" s="96">
        <v>4</v>
      </c>
      <c r="H62" s="97">
        <v>562</v>
      </c>
      <c r="I62" s="88"/>
    </row>
    <row r="63" spans="1:9" ht="19.8" customHeight="1" x14ac:dyDescent="0.3">
      <c r="A63" s="103">
        <v>46001</v>
      </c>
      <c r="B63" s="94" t="s">
        <v>26</v>
      </c>
      <c r="C63" s="95" t="s">
        <v>942</v>
      </c>
      <c r="D63" s="94" t="s">
        <v>934</v>
      </c>
      <c r="E63" s="104">
        <v>1.2847222222222221</v>
      </c>
      <c r="F63" s="94" t="s">
        <v>800</v>
      </c>
      <c r="G63" s="96">
        <v>4</v>
      </c>
      <c r="H63" s="97">
        <v>729</v>
      </c>
      <c r="I63" s="88"/>
    </row>
    <row r="64" spans="1:9" ht="19.8" customHeight="1" x14ac:dyDescent="0.3">
      <c r="A64" s="105">
        <v>46001</v>
      </c>
      <c r="B64" s="99" t="s">
        <v>44</v>
      </c>
      <c r="C64" s="100" t="s">
        <v>935</v>
      </c>
      <c r="D64" s="99" t="s">
        <v>934</v>
      </c>
      <c r="E64" s="106">
        <v>1.2673611111111109</v>
      </c>
      <c r="F64" s="99" t="s">
        <v>61</v>
      </c>
      <c r="G64" s="99"/>
      <c r="H64" s="119" t="s">
        <v>363</v>
      </c>
      <c r="I64" s="88"/>
    </row>
    <row r="65" spans="1:9" ht="19.8" customHeight="1" x14ac:dyDescent="0.3">
      <c r="A65" s="108">
        <v>46001</v>
      </c>
      <c r="B65" s="109" t="s">
        <v>44</v>
      </c>
      <c r="C65" s="110" t="s">
        <v>949</v>
      </c>
      <c r="D65" s="109" t="s">
        <v>934</v>
      </c>
      <c r="E65" s="111">
        <v>1.333333333333333</v>
      </c>
      <c r="F65" s="109" t="s">
        <v>61</v>
      </c>
      <c r="G65" s="109"/>
      <c r="H65" s="112" t="s">
        <v>62</v>
      </c>
      <c r="I65" s="88"/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49"/>
  <sheetViews>
    <sheetView workbookViewId="0"/>
  </sheetViews>
  <sheetFormatPr defaultRowHeight="14.4" x14ac:dyDescent="0.3"/>
  <cols>
    <col min="1" max="1" width="17.886718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7.33203125" bestFit="1" customWidth="1"/>
    <col min="6" max="6" width="23.44140625" bestFit="1" customWidth="1"/>
    <col min="7" max="7" width="43.1093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1.1093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3.8867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1033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45982.804294773363</v>
      </c>
      <c r="H2" s="330"/>
      <c r="I2" s="330"/>
      <c r="J2" s="330"/>
      <c r="K2" s="334">
        <v>45982.804294774418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12" t="s">
        <v>44</v>
      </c>
      <c r="B6" s="12" t="s">
        <v>1034</v>
      </c>
      <c r="C6" s="12">
        <v>0.1145833333333333</v>
      </c>
      <c r="D6" s="12" t="s">
        <v>61</v>
      </c>
      <c r="E6" s="12"/>
      <c r="F6" s="12" t="s">
        <v>62</v>
      </c>
      <c r="G6" s="335"/>
      <c r="H6" s="239" t="s">
        <v>1034</v>
      </c>
      <c r="I6" s="268">
        <v>1.0713999999999999</v>
      </c>
      <c r="J6" s="241">
        <v>180</v>
      </c>
      <c r="K6" s="242" t="s">
        <v>311</v>
      </c>
      <c r="L6" s="241">
        <v>8</v>
      </c>
      <c r="M6" s="241">
        <v>0</v>
      </c>
      <c r="N6" s="241">
        <v>0</v>
      </c>
      <c r="O6" s="242" t="s">
        <v>64</v>
      </c>
      <c r="P6" s="242">
        <v>0.1145833333333333</v>
      </c>
      <c r="Q6" s="241">
        <v>168</v>
      </c>
      <c r="R6" s="243" t="s">
        <v>1035</v>
      </c>
    </row>
    <row r="7" spans="1:18" ht="49.95" customHeight="1" x14ac:dyDescent="0.3">
      <c r="A7" s="81" t="s">
        <v>44</v>
      </c>
      <c r="B7" s="81" t="s">
        <v>1036</v>
      </c>
      <c r="C7" s="81">
        <v>0.41666666666666669</v>
      </c>
      <c r="D7" s="81" t="s">
        <v>61</v>
      </c>
      <c r="E7" s="81"/>
      <c r="F7" s="81" t="s">
        <v>62</v>
      </c>
      <c r="G7" s="328"/>
      <c r="H7" s="269" t="s">
        <v>1036</v>
      </c>
      <c r="I7" s="270">
        <v>1.0713999999999999</v>
      </c>
      <c r="J7" s="271">
        <v>180</v>
      </c>
      <c r="K7" s="272" t="s">
        <v>311</v>
      </c>
      <c r="L7" s="271">
        <v>6</v>
      </c>
      <c r="M7" s="271">
        <v>0</v>
      </c>
      <c r="N7" s="271">
        <v>0</v>
      </c>
      <c r="O7" s="272" t="s">
        <v>64</v>
      </c>
      <c r="P7" s="272">
        <v>0.41666666666666669</v>
      </c>
      <c r="Q7" s="271">
        <v>168</v>
      </c>
      <c r="R7" s="273" t="s">
        <v>1037</v>
      </c>
    </row>
    <row r="8" spans="1:18" ht="49.95" customHeight="1" x14ac:dyDescent="0.3">
      <c r="A8" s="189" t="s">
        <v>44</v>
      </c>
      <c r="B8" s="189" t="s">
        <v>1038</v>
      </c>
      <c r="C8" s="189">
        <v>0.6875</v>
      </c>
      <c r="D8" s="189" t="s">
        <v>61</v>
      </c>
      <c r="E8" s="189"/>
      <c r="F8" s="189" t="s">
        <v>62</v>
      </c>
      <c r="G8" s="328"/>
      <c r="H8" s="244" t="s">
        <v>1038</v>
      </c>
      <c r="I8" s="255">
        <v>1.0713999999999999</v>
      </c>
      <c r="J8" s="246">
        <v>180</v>
      </c>
      <c r="K8" s="247" t="s">
        <v>635</v>
      </c>
      <c r="L8" s="246">
        <v>0</v>
      </c>
      <c r="M8" s="246">
        <v>0</v>
      </c>
      <c r="N8" s="246">
        <v>0</v>
      </c>
      <c r="O8" s="247" t="s">
        <v>64</v>
      </c>
      <c r="P8" s="247">
        <v>0.6875</v>
      </c>
      <c r="Q8" s="246">
        <v>168</v>
      </c>
      <c r="R8" s="248" t="s">
        <v>1039</v>
      </c>
    </row>
    <row r="9" spans="1:18" ht="49.95" customHeight="1" x14ac:dyDescent="0.3">
      <c r="A9" s="274" t="s">
        <v>44</v>
      </c>
      <c r="B9" s="274" t="s">
        <v>1040</v>
      </c>
      <c r="C9" s="274">
        <v>0.79166666666666663</v>
      </c>
      <c r="D9" s="274" t="s">
        <v>61</v>
      </c>
      <c r="E9" s="274"/>
      <c r="F9" s="274" t="s">
        <v>62</v>
      </c>
      <c r="G9" s="328"/>
      <c r="H9" s="162" t="s">
        <v>1040</v>
      </c>
      <c r="I9" s="275">
        <v>1.0713999999999999</v>
      </c>
      <c r="J9" s="164">
        <v>180</v>
      </c>
      <c r="K9" s="165" t="s">
        <v>157</v>
      </c>
      <c r="L9" s="164">
        <v>0</v>
      </c>
      <c r="M9" s="164">
        <v>0</v>
      </c>
      <c r="N9" s="164">
        <v>0</v>
      </c>
      <c r="O9" s="165" t="s">
        <v>64</v>
      </c>
      <c r="P9" s="165">
        <v>0.79166666666666663</v>
      </c>
      <c r="Q9" s="164">
        <v>168</v>
      </c>
      <c r="R9" s="166" t="s">
        <v>1037</v>
      </c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17.399999999999999" customHeight="1" x14ac:dyDescent="0.3">
      <c r="A11" s="360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2"/>
    </row>
    <row r="12" spans="1:18" ht="17.399999999999999" customHeight="1" x14ac:dyDescent="0.3">
      <c r="A12" s="360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2"/>
    </row>
    <row r="13" spans="1:18" ht="17.399999999999999" customHeight="1" x14ac:dyDescent="0.3">
      <c r="A13" s="360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2"/>
    </row>
    <row r="14" spans="1:18" ht="22.05" customHeight="1" x14ac:dyDescent="0.3">
      <c r="A14" s="323" t="s">
        <v>6</v>
      </c>
      <c r="B14" s="324"/>
      <c r="C14" s="324"/>
      <c r="D14" s="324"/>
      <c r="E14" s="324"/>
      <c r="F14" s="324"/>
      <c r="G14" s="2">
        <v>45990</v>
      </c>
      <c r="H14" s="323" t="s">
        <v>7</v>
      </c>
      <c r="I14" s="324"/>
      <c r="J14" s="324"/>
      <c r="K14" s="324"/>
      <c r="L14" s="324"/>
      <c r="M14" s="324"/>
      <c r="N14" s="324"/>
      <c r="O14" s="324"/>
      <c r="P14" s="324"/>
      <c r="Q14" s="324"/>
      <c r="R14" s="324"/>
    </row>
    <row r="15" spans="1:18" ht="24" customHeight="1" x14ac:dyDescent="0.3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4" t="s">
        <v>13</v>
      </c>
      <c r="G15" s="5" t="s">
        <v>14</v>
      </c>
      <c r="H15" s="3" t="s">
        <v>15</v>
      </c>
      <c r="I15" s="3" t="s">
        <v>16</v>
      </c>
      <c r="J15" s="3" t="s">
        <v>17</v>
      </c>
      <c r="K15" s="3" t="s">
        <v>18</v>
      </c>
      <c r="L15" s="3" t="s">
        <v>19</v>
      </c>
      <c r="M15" s="3" t="s">
        <v>20</v>
      </c>
      <c r="N15" s="3" t="s">
        <v>21</v>
      </c>
      <c r="O15" s="3" t="s">
        <v>22</v>
      </c>
      <c r="P15" s="3" t="s">
        <v>23</v>
      </c>
      <c r="Q15" s="3" t="s">
        <v>24</v>
      </c>
      <c r="R15" s="3" t="s">
        <v>25</v>
      </c>
    </row>
    <row r="16" spans="1:18" ht="49.95" customHeight="1" x14ac:dyDescent="0.3">
      <c r="A16" s="125" t="s">
        <v>404</v>
      </c>
      <c r="B16" s="125" t="s">
        <v>1041</v>
      </c>
      <c r="C16" s="125">
        <v>0.95486111111111116</v>
      </c>
      <c r="D16" s="125" t="s">
        <v>406</v>
      </c>
      <c r="E16" s="125" t="s">
        <v>102</v>
      </c>
      <c r="F16" s="125" t="s">
        <v>1042</v>
      </c>
      <c r="G16" s="335"/>
      <c r="H16" s="231"/>
      <c r="I16" s="232"/>
      <c r="J16" s="232"/>
      <c r="K16" s="232"/>
      <c r="L16" s="232"/>
      <c r="M16" s="232"/>
      <c r="N16" s="232"/>
      <c r="O16" s="232"/>
      <c r="P16" s="232"/>
      <c r="Q16" s="232"/>
      <c r="R16" s="233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22.05" customHeight="1" x14ac:dyDescent="0.3">
      <c r="A18" s="323" t="s">
        <v>6</v>
      </c>
      <c r="B18" s="324"/>
      <c r="C18" s="324"/>
      <c r="D18" s="324"/>
      <c r="E18" s="324"/>
      <c r="F18" s="324"/>
      <c r="G18" s="2">
        <v>45991</v>
      </c>
      <c r="H18" s="323" t="s">
        <v>7</v>
      </c>
      <c r="I18" s="324"/>
      <c r="J18" s="324"/>
      <c r="K18" s="324"/>
      <c r="L18" s="324"/>
      <c r="M18" s="324"/>
      <c r="N18" s="324"/>
      <c r="O18" s="324"/>
      <c r="P18" s="324"/>
      <c r="Q18" s="324"/>
      <c r="R18" s="324"/>
    </row>
    <row r="19" spans="1:18" ht="24" customHeight="1" x14ac:dyDescent="0.3">
      <c r="A19" s="3" t="s">
        <v>8</v>
      </c>
      <c r="B19" s="3" t="s">
        <v>9</v>
      </c>
      <c r="C19" s="3" t="s">
        <v>10</v>
      </c>
      <c r="D19" s="3" t="s">
        <v>11</v>
      </c>
      <c r="E19" s="3" t="s">
        <v>12</v>
      </c>
      <c r="F19" s="4" t="s">
        <v>13</v>
      </c>
      <c r="G19" s="5" t="s">
        <v>14</v>
      </c>
      <c r="H19" s="3" t="s">
        <v>15</v>
      </c>
      <c r="I19" s="3" t="s">
        <v>16</v>
      </c>
      <c r="J19" s="3" t="s">
        <v>17</v>
      </c>
      <c r="K19" s="3" t="s">
        <v>18</v>
      </c>
      <c r="L19" s="3" t="s">
        <v>19</v>
      </c>
      <c r="M19" s="3" t="s">
        <v>20</v>
      </c>
      <c r="N19" s="3" t="s">
        <v>21</v>
      </c>
      <c r="O19" s="3" t="s">
        <v>22</v>
      </c>
      <c r="P19" s="3" t="s">
        <v>23</v>
      </c>
      <c r="Q19" s="3" t="s">
        <v>24</v>
      </c>
      <c r="R19" s="3" t="s">
        <v>25</v>
      </c>
    </row>
    <row r="20" spans="1:18" ht="49.95" customHeight="1" x14ac:dyDescent="0.3">
      <c r="A20" s="125" t="s">
        <v>404</v>
      </c>
      <c r="B20" s="125" t="s">
        <v>1043</v>
      </c>
      <c r="C20" s="125">
        <v>0.1875</v>
      </c>
      <c r="D20" s="125" t="s">
        <v>406</v>
      </c>
      <c r="E20" s="125" t="s">
        <v>121</v>
      </c>
      <c r="F20" s="125" t="s">
        <v>465</v>
      </c>
      <c r="G20" s="335"/>
      <c r="H20" s="231"/>
      <c r="I20" s="232"/>
      <c r="J20" s="232"/>
      <c r="K20" s="232"/>
      <c r="L20" s="232"/>
      <c r="M20" s="232"/>
      <c r="N20" s="232"/>
      <c r="O20" s="232"/>
      <c r="P20" s="232"/>
      <c r="Q20" s="232"/>
      <c r="R20" s="233"/>
    </row>
    <row r="21" spans="1:18" ht="17.399999999999999" customHeight="1" x14ac:dyDescent="0.3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22.05" customHeight="1" x14ac:dyDescent="0.3">
      <c r="A23" s="323" t="s">
        <v>6</v>
      </c>
      <c r="B23" s="324"/>
      <c r="C23" s="324"/>
      <c r="D23" s="324"/>
      <c r="E23" s="324"/>
      <c r="F23" s="324"/>
      <c r="G23" s="2">
        <v>45993</v>
      </c>
      <c r="H23" s="323" t="s">
        <v>7</v>
      </c>
      <c r="I23" s="324"/>
      <c r="J23" s="324"/>
      <c r="K23" s="324"/>
      <c r="L23" s="324"/>
      <c r="M23" s="324"/>
      <c r="N23" s="324"/>
      <c r="O23" s="324"/>
      <c r="P23" s="324"/>
      <c r="Q23" s="324"/>
      <c r="R23" s="324"/>
    </row>
    <row r="24" spans="1:18" ht="24" customHeight="1" x14ac:dyDescent="0.3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4" t="s">
        <v>13</v>
      </c>
      <c r="G24" s="5" t="s">
        <v>14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M24" s="3" t="s">
        <v>20</v>
      </c>
      <c r="N24" s="3" t="s">
        <v>21</v>
      </c>
      <c r="O24" s="3" t="s">
        <v>22</v>
      </c>
      <c r="P24" s="3" t="s">
        <v>23</v>
      </c>
      <c r="Q24" s="3" t="s">
        <v>24</v>
      </c>
      <c r="R24" s="3" t="s">
        <v>25</v>
      </c>
    </row>
    <row r="25" spans="1:18" ht="49.95" customHeight="1" x14ac:dyDescent="0.3">
      <c r="A25" s="6" t="s">
        <v>404</v>
      </c>
      <c r="B25" s="6" t="s">
        <v>1043</v>
      </c>
      <c r="C25" s="6">
        <v>0.44444444444444442</v>
      </c>
      <c r="D25" s="6" t="s">
        <v>406</v>
      </c>
      <c r="E25" s="6" t="s">
        <v>129</v>
      </c>
      <c r="F25" s="6" t="s">
        <v>1042</v>
      </c>
      <c r="G25" s="335"/>
      <c r="H25" s="218"/>
      <c r="I25" s="219"/>
      <c r="J25" s="219"/>
      <c r="K25" s="219"/>
      <c r="L25" s="219"/>
      <c r="M25" s="219"/>
      <c r="N25" s="219"/>
      <c r="O25" s="219"/>
      <c r="P25" s="219"/>
      <c r="Q25" s="219"/>
      <c r="R25" s="220"/>
    </row>
    <row r="26" spans="1:18" ht="49.95" customHeight="1" x14ac:dyDescent="0.3">
      <c r="A26" s="12" t="s">
        <v>44</v>
      </c>
      <c r="B26" s="12" t="s">
        <v>1034</v>
      </c>
      <c r="C26" s="12">
        <v>0.1145833333333333</v>
      </c>
      <c r="D26" s="12" t="s">
        <v>61</v>
      </c>
      <c r="E26" s="12"/>
      <c r="F26" s="12" t="s">
        <v>62</v>
      </c>
      <c r="G26" s="328"/>
      <c r="H26" s="239" t="s">
        <v>1034</v>
      </c>
      <c r="I26" s="268">
        <v>1.0832999999999999</v>
      </c>
      <c r="J26" s="241">
        <v>182</v>
      </c>
      <c r="K26" s="242" t="s">
        <v>311</v>
      </c>
      <c r="L26" s="241">
        <v>182</v>
      </c>
      <c r="M26" s="241">
        <v>0</v>
      </c>
      <c r="N26" s="241">
        <v>0</v>
      </c>
      <c r="O26" s="242" t="s">
        <v>64</v>
      </c>
      <c r="P26" s="242">
        <v>0.1145833333333333</v>
      </c>
      <c r="Q26" s="241">
        <v>168</v>
      </c>
      <c r="R26" s="243" t="s">
        <v>1044</v>
      </c>
    </row>
    <row r="27" spans="1:18" ht="49.95" customHeight="1" x14ac:dyDescent="0.3">
      <c r="A27" s="18" t="s">
        <v>44</v>
      </c>
      <c r="B27" s="18" t="s">
        <v>1036</v>
      </c>
      <c r="C27" s="18">
        <v>0.41666666666666669</v>
      </c>
      <c r="D27" s="18" t="s">
        <v>61</v>
      </c>
      <c r="E27" s="18"/>
      <c r="F27" s="18" t="s">
        <v>62</v>
      </c>
      <c r="G27" s="328"/>
      <c r="H27" s="150" t="s">
        <v>1036</v>
      </c>
      <c r="I27" s="211">
        <v>1.0536000000000001</v>
      </c>
      <c r="J27" s="152">
        <v>177</v>
      </c>
      <c r="K27" s="153" t="s">
        <v>311</v>
      </c>
      <c r="L27" s="152">
        <v>177</v>
      </c>
      <c r="M27" s="152">
        <v>0</v>
      </c>
      <c r="N27" s="152">
        <v>0</v>
      </c>
      <c r="O27" s="153" t="s">
        <v>64</v>
      </c>
      <c r="P27" s="153">
        <v>0.41666666666666669</v>
      </c>
      <c r="Q27" s="152">
        <v>168</v>
      </c>
      <c r="R27" s="154" t="s">
        <v>1045</v>
      </c>
    </row>
    <row r="28" spans="1:18" ht="49.95" customHeight="1" x14ac:dyDescent="0.3">
      <c r="A28" s="276" t="s">
        <v>44</v>
      </c>
      <c r="B28" s="276" t="s">
        <v>1040</v>
      </c>
      <c r="C28" s="276">
        <v>0.79166666666666663</v>
      </c>
      <c r="D28" s="276" t="s">
        <v>61</v>
      </c>
      <c r="E28" s="276"/>
      <c r="F28" s="276" t="s">
        <v>62</v>
      </c>
      <c r="G28" s="328"/>
      <c r="H28" s="277" t="s">
        <v>1040</v>
      </c>
      <c r="I28" s="278">
        <v>0.79759999999999998</v>
      </c>
      <c r="J28" s="279">
        <v>134</v>
      </c>
      <c r="K28" s="280" t="s">
        <v>311</v>
      </c>
      <c r="L28" s="279">
        <v>122</v>
      </c>
      <c r="M28" s="279">
        <v>0</v>
      </c>
      <c r="N28" s="279">
        <v>0</v>
      </c>
      <c r="O28" s="280" t="s">
        <v>64</v>
      </c>
      <c r="P28" s="280">
        <v>0.79166666666666663</v>
      </c>
      <c r="Q28" s="279">
        <v>168</v>
      </c>
      <c r="R28" s="281" t="s">
        <v>1046</v>
      </c>
    </row>
    <row r="29" spans="1:18" ht="17.399999999999999" customHeight="1" x14ac:dyDescent="0.3">
      <c r="A29" s="360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2"/>
    </row>
    <row r="30" spans="1:18" ht="22.05" customHeight="1" x14ac:dyDescent="0.3">
      <c r="A30" s="323" t="s">
        <v>6</v>
      </c>
      <c r="B30" s="324"/>
      <c r="C30" s="324"/>
      <c r="D30" s="324"/>
      <c r="E30" s="324"/>
      <c r="F30" s="324"/>
      <c r="G30" s="2">
        <v>45994</v>
      </c>
      <c r="H30" s="323" t="s">
        <v>7</v>
      </c>
      <c r="I30" s="324"/>
      <c r="J30" s="324"/>
      <c r="K30" s="324"/>
      <c r="L30" s="324"/>
      <c r="M30" s="324"/>
      <c r="N30" s="324"/>
      <c r="O30" s="324"/>
      <c r="P30" s="324"/>
      <c r="Q30" s="324"/>
      <c r="R30" s="324"/>
    </row>
    <row r="31" spans="1:18" ht="24" customHeight="1" x14ac:dyDescent="0.3">
      <c r="A31" s="3" t="s">
        <v>8</v>
      </c>
      <c r="B31" s="3" t="s">
        <v>9</v>
      </c>
      <c r="C31" s="3" t="s">
        <v>10</v>
      </c>
      <c r="D31" s="3" t="s">
        <v>11</v>
      </c>
      <c r="E31" s="3" t="s">
        <v>12</v>
      </c>
      <c r="F31" s="4" t="s">
        <v>13</v>
      </c>
      <c r="G31" s="5" t="s">
        <v>14</v>
      </c>
      <c r="H31" s="3" t="s">
        <v>15</v>
      </c>
      <c r="I31" s="3" t="s">
        <v>16</v>
      </c>
      <c r="J31" s="3" t="s">
        <v>17</v>
      </c>
      <c r="K31" s="3" t="s">
        <v>18</v>
      </c>
      <c r="L31" s="3" t="s">
        <v>19</v>
      </c>
      <c r="M31" s="3" t="s">
        <v>20</v>
      </c>
      <c r="N31" s="3" t="s">
        <v>21</v>
      </c>
      <c r="O31" s="3" t="s">
        <v>22</v>
      </c>
      <c r="P31" s="3" t="s">
        <v>23</v>
      </c>
      <c r="Q31" s="3" t="s">
        <v>24</v>
      </c>
      <c r="R31" s="3" t="s">
        <v>25</v>
      </c>
    </row>
    <row r="32" spans="1:18" ht="49.95" customHeight="1" x14ac:dyDescent="0.3">
      <c r="A32" s="125" t="s">
        <v>404</v>
      </c>
      <c r="B32" s="125" t="s">
        <v>1043</v>
      </c>
      <c r="C32" s="125">
        <v>0.27083333333333331</v>
      </c>
      <c r="D32" s="125" t="s">
        <v>406</v>
      </c>
      <c r="E32" s="125" t="s">
        <v>314</v>
      </c>
      <c r="F32" s="125" t="s">
        <v>159</v>
      </c>
      <c r="G32" s="335"/>
      <c r="H32" s="231"/>
      <c r="I32" s="232"/>
      <c r="J32" s="232"/>
      <c r="K32" s="232"/>
      <c r="L32" s="232"/>
      <c r="M32" s="232"/>
      <c r="N32" s="232"/>
      <c r="O32" s="232"/>
      <c r="P32" s="232"/>
      <c r="Q32" s="232"/>
      <c r="R32" s="233"/>
    </row>
    <row r="33" spans="1:18" ht="17.399999999999999" customHeight="1" x14ac:dyDescent="0.3">
      <c r="A33" s="360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2"/>
    </row>
    <row r="34" spans="1:18" ht="17.399999999999999" customHeight="1" x14ac:dyDescent="0.3">
      <c r="A34" s="360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2"/>
    </row>
    <row r="35" spans="1:18" ht="17.399999999999999" customHeight="1" x14ac:dyDescent="0.3">
      <c r="A35" s="360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2"/>
    </row>
    <row r="36" spans="1:18" ht="17.399999999999999" customHeight="1" x14ac:dyDescent="0.3">
      <c r="A36" s="360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2"/>
    </row>
    <row r="37" spans="1:18" ht="22.05" customHeight="1" x14ac:dyDescent="0.3">
      <c r="A37" s="323" t="s">
        <v>6</v>
      </c>
      <c r="B37" s="324"/>
      <c r="C37" s="324"/>
      <c r="D37" s="324"/>
      <c r="E37" s="324"/>
      <c r="F37" s="324"/>
      <c r="G37" s="2">
        <v>45998</v>
      </c>
      <c r="H37" s="323" t="s">
        <v>7</v>
      </c>
      <c r="I37" s="324"/>
      <c r="J37" s="324"/>
      <c r="K37" s="324"/>
      <c r="L37" s="324"/>
      <c r="M37" s="324"/>
      <c r="N37" s="324"/>
      <c r="O37" s="324"/>
      <c r="P37" s="324"/>
      <c r="Q37" s="324"/>
      <c r="R37" s="324"/>
    </row>
    <row r="38" spans="1:18" ht="24" customHeight="1" x14ac:dyDescent="0.3">
      <c r="A38" s="3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4" t="s">
        <v>13</v>
      </c>
      <c r="G38" s="5" t="s">
        <v>14</v>
      </c>
      <c r="H38" s="3" t="s">
        <v>15</v>
      </c>
      <c r="I38" s="3" t="s">
        <v>16</v>
      </c>
      <c r="J38" s="3" t="s">
        <v>17</v>
      </c>
      <c r="K38" s="3" t="s">
        <v>18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  <c r="Q38" s="3" t="s">
        <v>24</v>
      </c>
      <c r="R38" s="3" t="s">
        <v>25</v>
      </c>
    </row>
    <row r="39" spans="1:18" ht="49.95" customHeight="1" x14ac:dyDescent="0.3">
      <c r="A39" s="125" t="s">
        <v>404</v>
      </c>
      <c r="B39" s="125" t="s">
        <v>1043</v>
      </c>
      <c r="C39" s="125">
        <v>0.1875</v>
      </c>
      <c r="D39" s="125" t="s">
        <v>406</v>
      </c>
      <c r="E39" s="125" t="s">
        <v>121</v>
      </c>
      <c r="F39" s="125" t="s">
        <v>159</v>
      </c>
      <c r="G39" s="335"/>
      <c r="H39" s="231"/>
      <c r="I39" s="232"/>
      <c r="J39" s="232"/>
      <c r="K39" s="232"/>
      <c r="L39" s="232"/>
      <c r="M39" s="232"/>
      <c r="N39" s="232"/>
      <c r="O39" s="232"/>
      <c r="P39" s="232"/>
      <c r="Q39" s="232"/>
      <c r="R39" s="233"/>
    </row>
    <row r="40" spans="1:18" ht="17.399999999999999" customHeight="1" x14ac:dyDescent="0.3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2"/>
    </row>
    <row r="41" spans="1:18" ht="17.399999999999999" customHeight="1" x14ac:dyDescent="0.3">
      <c r="A41" s="360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  <c r="Q41" s="361"/>
      <c r="R41" s="362"/>
    </row>
    <row r="42" spans="1:18" ht="22.05" customHeight="1" x14ac:dyDescent="0.3">
      <c r="A42" s="323" t="s">
        <v>6</v>
      </c>
      <c r="B42" s="324"/>
      <c r="C42" s="324"/>
      <c r="D42" s="324"/>
      <c r="E42" s="324"/>
      <c r="F42" s="324"/>
      <c r="G42" s="2">
        <v>46000</v>
      </c>
      <c r="H42" s="323" t="s">
        <v>7</v>
      </c>
      <c r="I42" s="324"/>
      <c r="J42" s="324"/>
      <c r="K42" s="324"/>
      <c r="L42" s="324"/>
      <c r="M42" s="324"/>
      <c r="N42" s="324"/>
      <c r="O42" s="324"/>
      <c r="P42" s="324"/>
      <c r="Q42" s="324"/>
      <c r="R42" s="324"/>
    </row>
    <row r="43" spans="1:18" ht="24" customHeight="1" x14ac:dyDescent="0.3">
      <c r="A43" s="3" t="s">
        <v>8</v>
      </c>
      <c r="B43" s="3" t="s">
        <v>9</v>
      </c>
      <c r="C43" s="3" t="s">
        <v>10</v>
      </c>
      <c r="D43" s="3" t="s">
        <v>11</v>
      </c>
      <c r="E43" s="3" t="s">
        <v>12</v>
      </c>
      <c r="F43" s="4" t="s">
        <v>13</v>
      </c>
      <c r="G43" s="5" t="s">
        <v>14</v>
      </c>
      <c r="H43" s="3" t="s">
        <v>15</v>
      </c>
      <c r="I43" s="3" t="s">
        <v>16</v>
      </c>
      <c r="J43" s="3" t="s">
        <v>17</v>
      </c>
      <c r="K43" s="3" t="s">
        <v>18</v>
      </c>
      <c r="L43" s="3" t="s">
        <v>19</v>
      </c>
      <c r="M43" s="3" t="s">
        <v>20</v>
      </c>
      <c r="N43" s="3" t="s">
        <v>21</v>
      </c>
      <c r="O43" s="3" t="s">
        <v>22</v>
      </c>
      <c r="P43" s="3" t="s">
        <v>23</v>
      </c>
      <c r="Q43" s="3" t="s">
        <v>24</v>
      </c>
      <c r="R43" s="3" t="s">
        <v>25</v>
      </c>
    </row>
    <row r="44" spans="1:18" ht="49.95" customHeight="1" x14ac:dyDescent="0.3">
      <c r="A44" s="6" t="s">
        <v>404</v>
      </c>
      <c r="B44" s="6" t="s">
        <v>1043</v>
      </c>
      <c r="C44" s="6">
        <v>0.44444444444444442</v>
      </c>
      <c r="D44" s="6" t="s">
        <v>406</v>
      </c>
      <c r="E44" s="6" t="s">
        <v>314</v>
      </c>
      <c r="F44" s="6" t="s">
        <v>494</v>
      </c>
      <c r="G44" s="335"/>
      <c r="H44" s="218"/>
      <c r="I44" s="219"/>
      <c r="J44" s="219"/>
      <c r="K44" s="219"/>
      <c r="L44" s="219"/>
      <c r="M44" s="219"/>
      <c r="N44" s="219"/>
      <c r="O44" s="219"/>
      <c r="P44" s="219"/>
      <c r="Q44" s="219"/>
      <c r="R44" s="220"/>
    </row>
    <row r="45" spans="1:18" ht="49.95" customHeight="1" x14ac:dyDescent="0.3">
      <c r="A45" s="167" t="s">
        <v>44</v>
      </c>
      <c r="B45" s="167" t="s">
        <v>1034</v>
      </c>
      <c r="C45" s="167">
        <v>0.1145833333333333</v>
      </c>
      <c r="D45" s="167" t="s">
        <v>61</v>
      </c>
      <c r="E45" s="167"/>
      <c r="F45" s="167" t="s">
        <v>62</v>
      </c>
      <c r="G45" s="328"/>
      <c r="H45" s="168" t="s">
        <v>1034</v>
      </c>
      <c r="I45" s="169">
        <v>0</v>
      </c>
      <c r="J45" s="170">
        <v>0</v>
      </c>
      <c r="K45" s="171" t="s">
        <v>1047</v>
      </c>
      <c r="L45" s="170">
        <v>0</v>
      </c>
      <c r="M45" s="170">
        <v>0</v>
      </c>
      <c r="N45" s="170">
        <v>0</v>
      </c>
      <c r="O45" s="171" t="s">
        <v>64</v>
      </c>
      <c r="P45" s="171">
        <v>0.1145833333333333</v>
      </c>
      <c r="Q45" s="170">
        <v>168</v>
      </c>
      <c r="R45" s="172" t="s">
        <v>1047</v>
      </c>
    </row>
    <row r="46" spans="1:18" ht="49.95" customHeight="1" x14ac:dyDescent="0.3">
      <c r="A46" s="193" t="s">
        <v>44</v>
      </c>
      <c r="B46" s="193" t="s">
        <v>1036</v>
      </c>
      <c r="C46" s="193">
        <v>0.41666666666666669</v>
      </c>
      <c r="D46" s="193" t="s">
        <v>61</v>
      </c>
      <c r="E46" s="193"/>
      <c r="F46" s="193" t="s">
        <v>62</v>
      </c>
      <c r="G46" s="328"/>
      <c r="H46" s="226" t="s">
        <v>1036</v>
      </c>
      <c r="I46" s="261">
        <v>0</v>
      </c>
      <c r="J46" s="228">
        <v>0</v>
      </c>
      <c r="K46" s="229" t="s">
        <v>1047</v>
      </c>
      <c r="L46" s="228">
        <v>0</v>
      </c>
      <c r="M46" s="228">
        <v>0</v>
      </c>
      <c r="N46" s="228">
        <v>0</v>
      </c>
      <c r="O46" s="229" t="s">
        <v>64</v>
      </c>
      <c r="P46" s="229">
        <v>0.41666666666666669</v>
      </c>
      <c r="Q46" s="228">
        <v>168</v>
      </c>
      <c r="R46" s="230" t="s">
        <v>1047</v>
      </c>
    </row>
    <row r="47" spans="1:18" ht="49.95" customHeight="1" x14ac:dyDescent="0.3">
      <c r="A47" s="57" t="s">
        <v>44</v>
      </c>
      <c r="B47" s="57" t="s">
        <v>1038</v>
      </c>
      <c r="C47" s="57">
        <v>0.70833333333333337</v>
      </c>
      <c r="D47" s="57" t="s">
        <v>61</v>
      </c>
      <c r="E47" s="57"/>
      <c r="F47" s="57" t="s">
        <v>62</v>
      </c>
      <c r="G47" s="328"/>
      <c r="H47" s="168" t="s">
        <v>1038</v>
      </c>
      <c r="I47" s="169">
        <v>0</v>
      </c>
      <c r="J47" s="170">
        <v>0</v>
      </c>
      <c r="K47" s="171" t="s">
        <v>1047</v>
      </c>
      <c r="L47" s="170">
        <v>0</v>
      </c>
      <c r="M47" s="170">
        <v>0</v>
      </c>
      <c r="N47" s="170">
        <v>0</v>
      </c>
      <c r="O47" s="171" t="s">
        <v>64</v>
      </c>
      <c r="P47" s="171">
        <v>0.70833333333333337</v>
      </c>
      <c r="Q47" s="170">
        <v>168</v>
      </c>
      <c r="R47" s="172" t="s">
        <v>1047</v>
      </c>
    </row>
    <row r="48" spans="1:18" ht="49.95" customHeight="1" x14ac:dyDescent="0.3">
      <c r="A48" s="282" t="s">
        <v>44</v>
      </c>
      <c r="B48" s="282" t="s">
        <v>1040</v>
      </c>
      <c r="C48" s="282">
        <v>0.79166666666666663</v>
      </c>
      <c r="D48" s="282" t="s">
        <v>61</v>
      </c>
      <c r="E48" s="282"/>
      <c r="F48" s="282" t="s">
        <v>62</v>
      </c>
      <c r="G48" s="328"/>
      <c r="H48" s="157" t="s">
        <v>1040</v>
      </c>
      <c r="I48" s="283">
        <v>0.27379999999999999</v>
      </c>
      <c r="J48" s="159">
        <v>46</v>
      </c>
      <c r="K48" s="160" t="s">
        <v>311</v>
      </c>
      <c r="L48" s="159">
        <v>48</v>
      </c>
      <c r="M48" s="159">
        <v>0</v>
      </c>
      <c r="N48" s="159">
        <v>0</v>
      </c>
      <c r="O48" s="160" t="s">
        <v>64</v>
      </c>
      <c r="P48" s="160">
        <v>0.79166666666666663</v>
      </c>
      <c r="Q48" s="159">
        <v>168</v>
      </c>
      <c r="R48" s="161" t="s">
        <v>1048</v>
      </c>
    </row>
    <row r="49" spans="1:18" ht="17.399999999999999" customHeight="1" x14ac:dyDescent="0.3">
      <c r="A49" s="360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2"/>
    </row>
  </sheetData>
  <mergeCells count="43">
    <mergeCell ref="A49:R49"/>
    <mergeCell ref="A36:R36"/>
    <mergeCell ref="H42:R42"/>
    <mergeCell ref="H18:R18"/>
    <mergeCell ref="H14:R14"/>
    <mergeCell ref="K2:R2"/>
    <mergeCell ref="A30:F30"/>
    <mergeCell ref="H37:R37"/>
    <mergeCell ref="G25:G28"/>
    <mergeCell ref="A34:R34"/>
    <mergeCell ref="A11:R11"/>
    <mergeCell ref="A42:F42"/>
    <mergeCell ref="G44:G48"/>
    <mergeCell ref="A14:F14"/>
    <mergeCell ref="A33:R33"/>
    <mergeCell ref="A23:F23"/>
    <mergeCell ref="A17:R17"/>
    <mergeCell ref="A22:R22"/>
    <mergeCell ref="A35:R35"/>
    <mergeCell ref="A29:R29"/>
    <mergeCell ref="G39"/>
    <mergeCell ref="A40:R40"/>
    <mergeCell ref="H1:L1"/>
    <mergeCell ref="A1:E1"/>
    <mergeCell ref="A18:F18"/>
    <mergeCell ref="G16"/>
    <mergeCell ref="G32"/>
    <mergeCell ref="H4:R4"/>
    <mergeCell ref="A12:R12"/>
    <mergeCell ref="A2:F2"/>
    <mergeCell ref="A3:R3"/>
    <mergeCell ref="A21:R21"/>
    <mergeCell ref="G2:J2"/>
    <mergeCell ref="A4:F4"/>
    <mergeCell ref="G6:G9"/>
    <mergeCell ref="N1:R1"/>
    <mergeCell ref="A10:R10"/>
    <mergeCell ref="A13:R13"/>
    <mergeCell ref="H23:R23"/>
    <mergeCell ref="H30:R30"/>
    <mergeCell ref="A41:R41"/>
    <mergeCell ref="G20"/>
    <mergeCell ref="A37:F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/>
  </sheetViews>
  <sheetFormatPr defaultRowHeight="15.6" outlineLevelCol="1" x14ac:dyDescent="0.3"/>
  <cols>
    <col min="1" max="1" width="8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7.77734375" style="343" bestFit="1" customWidth="1"/>
    <col min="6" max="6" width="4.21875" style="343" bestFit="1" customWidth="1"/>
    <col min="7" max="7" width="10" style="343" bestFit="1" customWidth="1"/>
    <col min="8" max="10" width="8.5546875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8" width="3.88671875" style="343" bestFit="1" customWidth="1"/>
    <col min="29" max="29" width="5.21875" style="343" bestFit="1" customWidth="1"/>
    <col min="30" max="30" width="5.5546875" style="343" bestFit="1" customWidth="1"/>
    <col min="31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1034</v>
      </c>
      <c r="D2" s="347" t="s">
        <v>712</v>
      </c>
      <c r="E2" s="346" t="s">
        <v>1033</v>
      </c>
      <c r="F2" s="346" t="s">
        <v>214</v>
      </c>
      <c r="G2" s="348">
        <v>1.0713999999999999</v>
      </c>
      <c r="H2" s="349">
        <v>168</v>
      </c>
      <c r="I2" s="349">
        <v>180</v>
      </c>
      <c r="J2" s="349">
        <v>180</v>
      </c>
      <c r="K2" s="346" t="s">
        <v>215</v>
      </c>
      <c r="L2" s="350" t="s">
        <v>311</v>
      </c>
      <c r="M2" s="349">
        <v>0</v>
      </c>
      <c r="N2" s="349">
        <v>0</v>
      </c>
      <c r="O2" s="349">
        <v>8</v>
      </c>
      <c r="P2" s="346" t="s">
        <v>64</v>
      </c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9" t="s">
        <v>1049</v>
      </c>
      <c r="AD2" s="349" t="s">
        <v>1050</v>
      </c>
      <c r="AE2" s="342"/>
      <c r="AF2" s="342"/>
      <c r="AG2" s="342"/>
      <c r="AH2" s="342"/>
      <c r="AI2" s="342"/>
      <c r="AJ2" s="342"/>
    </row>
    <row r="3" spans="1:36" x14ac:dyDescent="0.3">
      <c r="A3" s="344" t="s">
        <v>212</v>
      </c>
      <c r="B3" s="345">
        <v>45986</v>
      </c>
      <c r="C3" s="346" t="s">
        <v>1036</v>
      </c>
      <c r="D3" s="347" t="s">
        <v>904</v>
      </c>
      <c r="E3" s="346" t="s">
        <v>1033</v>
      </c>
      <c r="F3" s="346" t="s">
        <v>214</v>
      </c>
      <c r="G3" s="348">
        <v>1.0713999999999999</v>
      </c>
      <c r="H3" s="349">
        <v>168</v>
      </c>
      <c r="I3" s="349">
        <v>180</v>
      </c>
      <c r="J3" s="349">
        <v>180</v>
      </c>
      <c r="K3" s="346" t="s">
        <v>215</v>
      </c>
      <c r="L3" s="350" t="s">
        <v>311</v>
      </c>
      <c r="M3" s="349">
        <v>0</v>
      </c>
      <c r="N3" s="349">
        <v>0</v>
      </c>
      <c r="O3" s="349">
        <v>6</v>
      </c>
      <c r="P3" s="346" t="s">
        <v>64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9" t="s">
        <v>1051</v>
      </c>
      <c r="AD3" s="349" t="s">
        <v>1052</v>
      </c>
      <c r="AE3" s="342"/>
      <c r="AF3" s="342"/>
      <c r="AG3" s="342"/>
      <c r="AH3" s="342"/>
      <c r="AI3" s="342"/>
      <c r="AJ3" s="342"/>
    </row>
    <row r="4" spans="1:36" x14ac:dyDescent="0.3">
      <c r="A4" s="344" t="s">
        <v>212</v>
      </c>
      <c r="B4" s="345">
        <v>45986</v>
      </c>
      <c r="C4" s="346" t="s">
        <v>1038</v>
      </c>
      <c r="D4" s="347" t="s">
        <v>914</v>
      </c>
      <c r="E4" s="346" t="s">
        <v>1033</v>
      </c>
      <c r="F4" s="346" t="s">
        <v>214</v>
      </c>
      <c r="G4" s="348">
        <v>1.0713999999999999</v>
      </c>
      <c r="H4" s="349">
        <v>168</v>
      </c>
      <c r="I4" s="349">
        <v>180</v>
      </c>
      <c r="J4" s="349">
        <v>180</v>
      </c>
      <c r="K4" s="346" t="s">
        <v>215</v>
      </c>
      <c r="L4" s="350" t="s">
        <v>635</v>
      </c>
      <c r="M4" s="349">
        <v>0</v>
      </c>
      <c r="N4" s="349">
        <v>0</v>
      </c>
      <c r="O4" s="349">
        <v>0</v>
      </c>
      <c r="P4" s="346" t="s">
        <v>64</v>
      </c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9" t="s">
        <v>279</v>
      </c>
      <c r="AD4" s="349" t="s">
        <v>1053</v>
      </c>
      <c r="AE4" s="342"/>
      <c r="AF4" s="342"/>
      <c r="AG4" s="342"/>
      <c r="AH4" s="342"/>
      <c r="AI4" s="342"/>
      <c r="AJ4" s="342"/>
    </row>
    <row r="5" spans="1:36" x14ac:dyDescent="0.3">
      <c r="A5" s="344" t="s">
        <v>212</v>
      </c>
      <c r="B5" s="345">
        <v>45986</v>
      </c>
      <c r="C5" s="346" t="s">
        <v>1040</v>
      </c>
      <c r="D5" s="347" t="s">
        <v>911</v>
      </c>
      <c r="E5" s="346" t="s">
        <v>1033</v>
      </c>
      <c r="F5" s="346" t="s">
        <v>214</v>
      </c>
      <c r="G5" s="348">
        <v>1.0713999999999999</v>
      </c>
      <c r="H5" s="349">
        <v>168</v>
      </c>
      <c r="I5" s="349">
        <v>180</v>
      </c>
      <c r="J5" s="349">
        <v>180</v>
      </c>
      <c r="K5" s="346" t="s">
        <v>215</v>
      </c>
      <c r="L5" s="350" t="s">
        <v>157</v>
      </c>
      <c r="M5" s="349">
        <v>0</v>
      </c>
      <c r="N5" s="349">
        <v>0</v>
      </c>
      <c r="O5" s="349">
        <v>0</v>
      </c>
      <c r="P5" s="346" t="s">
        <v>64</v>
      </c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9" t="s">
        <v>1051</v>
      </c>
      <c r="AD5" s="349" t="s">
        <v>1052</v>
      </c>
      <c r="AE5" s="342"/>
      <c r="AF5" s="342"/>
      <c r="AG5" s="342"/>
      <c r="AH5" s="342"/>
      <c r="AI5" s="342"/>
      <c r="AJ5" s="342"/>
    </row>
    <row r="6" spans="1:36" x14ac:dyDescent="0.3">
      <c r="A6" s="344" t="s">
        <v>212</v>
      </c>
      <c r="B6" s="345">
        <v>45993</v>
      </c>
      <c r="C6" s="346" t="s">
        <v>1034</v>
      </c>
      <c r="D6" s="347" t="s">
        <v>712</v>
      </c>
      <c r="E6" s="346" t="s">
        <v>1033</v>
      </c>
      <c r="F6" s="346" t="s">
        <v>214</v>
      </c>
      <c r="G6" s="348">
        <v>1.0832999999999999</v>
      </c>
      <c r="H6" s="349">
        <v>168</v>
      </c>
      <c r="I6" s="349">
        <v>182</v>
      </c>
      <c r="J6" s="349">
        <v>182</v>
      </c>
      <c r="K6" s="346" t="s">
        <v>215</v>
      </c>
      <c r="L6" s="350" t="s">
        <v>311</v>
      </c>
      <c r="M6" s="349">
        <v>0</v>
      </c>
      <c r="N6" s="349">
        <v>0</v>
      </c>
      <c r="O6" s="349">
        <v>182</v>
      </c>
      <c r="P6" s="346" t="s">
        <v>64</v>
      </c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9" t="s">
        <v>1054</v>
      </c>
      <c r="AD6" s="349" t="s">
        <v>1055</v>
      </c>
      <c r="AE6" s="342"/>
      <c r="AF6" s="342"/>
      <c r="AG6" s="342"/>
      <c r="AH6" s="342"/>
      <c r="AI6" s="342"/>
      <c r="AJ6" s="342"/>
    </row>
    <row r="7" spans="1:36" x14ac:dyDescent="0.3">
      <c r="A7" s="344" t="s">
        <v>212</v>
      </c>
      <c r="B7" s="345">
        <v>45993</v>
      </c>
      <c r="C7" s="346" t="s">
        <v>1036</v>
      </c>
      <c r="D7" s="347" t="s">
        <v>904</v>
      </c>
      <c r="E7" s="346" t="s">
        <v>1033</v>
      </c>
      <c r="F7" s="346" t="s">
        <v>214</v>
      </c>
      <c r="G7" s="348">
        <v>1.0536000000000001</v>
      </c>
      <c r="H7" s="349">
        <v>168</v>
      </c>
      <c r="I7" s="349">
        <v>177</v>
      </c>
      <c r="J7" s="349">
        <v>177</v>
      </c>
      <c r="K7" s="346" t="s">
        <v>215</v>
      </c>
      <c r="L7" s="350" t="s">
        <v>311</v>
      </c>
      <c r="M7" s="349">
        <v>0</v>
      </c>
      <c r="N7" s="349">
        <v>0</v>
      </c>
      <c r="O7" s="349">
        <v>177</v>
      </c>
      <c r="P7" s="346" t="s">
        <v>64</v>
      </c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9" t="s">
        <v>1056</v>
      </c>
      <c r="AD7" s="349" t="s">
        <v>1057</v>
      </c>
      <c r="AE7" s="342"/>
      <c r="AF7" s="342"/>
      <c r="AG7" s="342"/>
      <c r="AH7" s="342"/>
      <c r="AI7" s="342"/>
      <c r="AJ7" s="342"/>
    </row>
    <row r="8" spans="1:36" x14ac:dyDescent="0.3">
      <c r="A8" s="344" t="s">
        <v>212</v>
      </c>
      <c r="B8" s="345">
        <v>45993</v>
      </c>
      <c r="C8" s="346" t="s">
        <v>1040</v>
      </c>
      <c r="D8" s="347" t="s">
        <v>911</v>
      </c>
      <c r="E8" s="346" t="s">
        <v>1033</v>
      </c>
      <c r="F8" s="346" t="s">
        <v>214</v>
      </c>
      <c r="G8" s="348">
        <v>0.79759999999999998</v>
      </c>
      <c r="H8" s="349">
        <v>168</v>
      </c>
      <c r="I8" s="349">
        <v>134</v>
      </c>
      <c r="J8" s="349">
        <v>134</v>
      </c>
      <c r="K8" s="346" t="s">
        <v>215</v>
      </c>
      <c r="L8" s="350" t="s">
        <v>311</v>
      </c>
      <c r="M8" s="349">
        <v>0</v>
      </c>
      <c r="N8" s="349">
        <v>0</v>
      </c>
      <c r="O8" s="349">
        <v>122</v>
      </c>
      <c r="P8" s="346" t="s">
        <v>64</v>
      </c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9" t="s">
        <v>1014</v>
      </c>
      <c r="AD8" s="349" t="s">
        <v>1058</v>
      </c>
      <c r="AE8" s="342"/>
      <c r="AF8" s="342"/>
      <c r="AG8" s="342"/>
      <c r="AH8" s="342"/>
      <c r="AI8" s="342"/>
      <c r="AJ8" s="342"/>
    </row>
    <row r="9" spans="1:36" x14ac:dyDescent="0.3">
      <c r="A9" s="344" t="s">
        <v>212</v>
      </c>
      <c r="B9" s="345">
        <v>46000</v>
      </c>
      <c r="C9" s="346" t="s">
        <v>1034</v>
      </c>
      <c r="D9" s="347" t="s">
        <v>712</v>
      </c>
      <c r="E9" s="346" t="s">
        <v>1033</v>
      </c>
      <c r="F9" s="346" t="s">
        <v>214</v>
      </c>
      <c r="G9" s="348">
        <v>0</v>
      </c>
      <c r="H9" s="349">
        <v>168</v>
      </c>
      <c r="I9" s="349">
        <v>0</v>
      </c>
      <c r="J9" s="349">
        <v>0</v>
      </c>
      <c r="K9" s="346" t="s">
        <v>215</v>
      </c>
      <c r="L9" s="350" t="s">
        <v>1047</v>
      </c>
      <c r="M9" s="349">
        <v>0</v>
      </c>
      <c r="N9" s="349">
        <v>0</v>
      </c>
      <c r="O9" s="349">
        <v>0</v>
      </c>
      <c r="P9" s="346" t="s">
        <v>64</v>
      </c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</row>
    <row r="10" spans="1:36" x14ac:dyDescent="0.3">
      <c r="A10" s="344" t="s">
        <v>212</v>
      </c>
      <c r="B10" s="345">
        <v>46000</v>
      </c>
      <c r="C10" s="346" t="s">
        <v>1036</v>
      </c>
      <c r="D10" s="347" t="s">
        <v>904</v>
      </c>
      <c r="E10" s="346" t="s">
        <v>1033</v>
      </c>
      <c r="F10" s="346" t="s">
        <v>214</v>
      </c>
      <c r="G10" s="348">
        <v>0</v>
      </c>
      <c r="H10" s="349">
        <v>168</v>
      </c>
      <c r="I10" s="349">
        <v>0</v>
      </c>
      <c r="J10" s="349">
        <v>0</v>
      </c>
      <c r="K10" s="346" t="s">
        <v>215</v>
      </c>
      <c r="L10" s="350" t="s">
        <v>1047</v>
      </c>
      <c r="M10" s="349">
        <v>0</v>
      </c>
      <c r="N10" s="349">
        <v>0</v>
      </c>
      <c r="O10" s="349">
        <v>0</v>
      </c>
      <c r="P10" s="346" t="s">
        <v>64</v>
      </c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</row>
    <row r="11" spans="1:36" x14ac:dyDescent="0.3">
      <c r="A11" s="344" t="s">
        <v>212</v>
      </c>
      <c r="B11" s="345">
        <v>46000</v>
      </c>
      <c r="C11" s="346" t="s">
        <v>1038</v>
      </c>
      <c r="D11" s="347" t="s">
        <v>893</v>
      </c>
      <c r="E11" s="346" t="s">
        <v>1033</v>
      </c>
      <c r="F11" s="346" t="s">
        <v>214</v>
      </c>
      <c r="G11" s="348">
        <v>0</v>
      </c>
      <c r="H11" s="349">
        <v>168</v>
      </c>
      <c r="I11" s="349">
        <v>0</v>
      </c>
      <c r="J11" s="349">
        <v>0</v>
      </c>
      <c r="K11" s="346" t="s">
        <v>215</v>
      </c>
      <c r="L11" s="350" t="s">
        <v>1047</v>
      </c>
      <c r="M11" s="349">
        <v>0</v>
      </c>
      <c r="N11" s="349">
        <v>0</v>
      </c>
      <c r="O11" s="349">
        <v>0</v>
      </c>
      <c r="P11" s="346" t="s">
        <v>64</v>
      </c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2"/>
      <c r="AJ11" s="342"/>
    </row>
    <row r="12" spans="1:36" x14ac:dyDescent="0.3">
      <c r="A12" s="344" t="s">
        <v>212</v>
      </c>
      <c r="B12" s="345">
        <v>46000</v>
      </c>
      <c r="C12" s="346" t="s">
        <v>1040</v>
      </c>
      <c r="D12" s="347" t="s">
        <v>911</v>
      </c>
      <c r="E12" s="346" t="s">
        <v>1033</v>
      </c>
      <c r="F12" s="346" t="s">
        <v>214</v>
      </c>
      <c r="G12" s="348">
        <v>0.27379999999999999</v>
      </c>
      <c r="H12" s="349">
        <v>168</v>
      </c>
      <c r="I12" s="349">
        <v>46</v>
      </c>
      <c r="J12" s="349">
        <v>46</v>
      </c>
      <c r="K12" s="346" t="s">
        <v>215</v>
      </c>
      <c r="L12" s="350" t="s">
        <v>311</v>
      </c>
      <c r="M12" s="349">
        <v>0</v>
      </c>
      <c r="N12" s="349">
        <v>0</v>
      </c>
      <c r="O12" s="349">
        <v>48</v>
      </c>
      <c r="P12" s="346" t="s">
        <v>64</v>
      </c>
      <c r="Q12" s="342"/>
      <c r="R12" s="342"/>
      <c r="S12" s="342"/>
      <c r="T12" s="342"/>
      <c r="U12" s="342"/>
      <c r="V12" s="342"/>
      <c r="W12" s="342"/>
      <c r="X12" s="342"/>
      <c r="Y12" s="342"/>
      <c r="Z12" s="342"/>
      <c r="AA12" s="342"/>
      <c r="AB12" s="342"/>
      <c r="AC12" s="349" t="s">
        <v>1048</v>
      </c>
      <c r="AD12" s="342"/>
      <c r="AE12" s="342"/>
      <c r="AF12" s="342"/>
      <c r="AG12" s="342"/>
      <c r="AH12" s="342"/>
      <c r="AI12" s="342"/>
      <c r="AJ12" s="342"/>
    </row>
    <row r="13" spans="1:36" ht="21" x14ac:dyDescent="0.3">
      <c r="A13" s="351" t="s">
        <v>1574</v>
      </c>
      <c r="B13" s="352"/>
      <c r="C13" s="351">
        <f>SUBTOTAL(103,JED_LXR_LF_LEGACY[Flt])</f>
        <v>11</v>
      </c>
      <c r="D13" s="351"/>
      <c r="E13" s="351">
        <f>SUBTOTAL(103,JED_LXR_LF_LEGACY[Brd-Off])</f>
        <v>11</v>
      </c>
      <c r="F13" s="351"/>
      <c r="G13" s="353">
        <f>SUBTOTAL(101,JED_LXR_LF_LEGACY[LF%])</f>
        <v>0.6812636363636364</v>
      </c>
      <c r="H13" s="354">
        <f>SUBTOTAL(109,JED_LXR_LF_LEGACY[CAP])</f>
        <v>1848</v>
      </c>
      <c r="I13" s="354">
        <f>SUBTOTAL(109,JED_LXR_LF_LEGACY[BKG(Y)])</f>
        <v>1259</v>
      </c>
      <c r="J13" s="354">
        <f>SUBTOTAL(109,JED_LXR_LF_LEGACY[GRP(Y)])</f>
        <v>1259</v>
      </c>
      <c r="K13" s="351"/>
      <c r="L13" s="352"/>
      <c r="M13" s="354">
        <f>SUBTOTAL(109,JED_LXR_LF_LEGACY[TO-DAY])</f>
        <v>0</v>
      </c>
      <c r="N13" s="354">
        <f>SUBTOTAL(109,JED_LXR_LF_LEGACY[Y-DAY])</f>
        <v>0</v>
      </c>
      <c r="O13" s="354">
        <f>SUBTOTAL(109,JED_LXR_LF_LEGACY[WEEKLY])</f>
        <v>543</v>
      </c>
      <c r="P13" s="355"/>
      <c r="Q13" s="354">
        <f>SUBTOTAL(109,JED_LXR_LF_LEGACY[Y])</f>
        <v>0</v>
      </c>
      <c r="R13" s="354">
        <f>SUBTOTAL(109,JED_LXR_LF_LEGACY[B])</f>
        <v>0</v>
      </c>
      <c r="S13" s="354">
        <f>SUBTOTAL(109,JED_LXR_LF_LEGACY[M])</f>
        <v>0</v>
      </c>
      <c r="T13" s="354">
        <f>SUBTOTAL(109,JED_LXR_LF_LEGACY[H])</f>
        <v>0</v>
      </c>
      <c r="U13" s="354">
        <f>SUBTOTAL(109,JED_LXR_LF_LEGACY[Q])</f>
        <v>0</v>
      </c>
      <c r="V13" s="354">
        <f>SUBTOTAL(109,JED_LXR_LF_LEGACY[K])</f>
        <v>0</v>
      </c>
      <c r="W13" s="354">
        <f>SUBTOTAL(109,JED_LXR_LF_LEGACY[V])</f>
        <v>0</v>
      </c>
      <c r="X13" s="354">
        <f>SUBTOTAL(109,JED_LXR_LF_LEGACY[L])</f>
        <v>0</v>
      </c>
      <c r="Y13" s="354">
        <f>SUBTOTAL(109,JED_LXR_LF_LEGACY[G])</f>
        <v>0</v>
      </c>
      <c r="Z13" s="354">
        <f>SUBTOTAL(109,JED_LXR_LF_LEGACY[S])</f>
        <v>0</v>
      </c>
      <c r="AA13" s="354">
        <f>SUBTOTAL(109,JED_LXR_LF_LEGACY[W])</f>
        <v>0</v>
      </c>
      <c r="AB13" s="354">
        <f>SUBTOTAL(109,JED_LXR_LF_LEGACY[T])</f>
        <v>0</v>
      </c>
      <c r="AC13" s="354">
        <f>SUBTOTAL(109,JED_LXR_LF_LEGACY[X])</f>
        <v>0</v>
      </c>
      <c r="AD13" s="354">
        <f>SUBTOTAL(109,JED_LXR_LF_LEGACY[U])</f>
        <v>0</v>
      </c>
      <c r="AE13" s="354">
        <f>SUBTOTAL(109,JED_LXR_LF_LEGACY[O])</f>
        <v>0</v>
      </c>
      <c r="AF13" s="354">
        <f>SUBTOTAL(109,JED_LXR_LF_LEGACY[I])</f>
        <v>0</v>
      </c>
      <c r="AG13" s="354">
        <f>SUBTOTAL(109,JED_LXR_LF_LEGACY[E])</f>
        <v>0</v>
      </c>
      <c r="AH13" s="354">
        <f>SUBTOTAL(109,JED_LXR_LF_LEGACY[A])</f>
        <v>0</v>
      </c>
      <c r="AI13" s="354">
        <f>SUBTOTAL(109,JED_LXR_LF_LEGACY[P])</f>
        <v>0</v>
      </c>
      <c r="AJ13" s="354">
        <f>SUBTOTAL(103,JED_LXR_LF_LEGACY[N])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8"/>
  <sheetViews>
    <sheetView workbookViewId="0"/>
  </sheetViews>
  <sheetFormatPr defaultRowHeight="14.4" x14ac:dyDescent="0.3"/>
  <cols>
    <col min="1" max="1" width="11.218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  <col min="9" max="9" width="165.66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8" t="s">
        <v>292</v>
      </c>
      <c r="B2" s="99" t="s">
        <v>44</v>
      </c>
      <c r="C2" s="100" t="s">
        <v>1059</v>
      </c>
      <c r="D2" s="99" t="s">
        <v>1033</v>
      </c>
      <c r="E2" s="99" t="s">
        <v>712</v>
      </c>
      <c r="F2" s="99"/>
      <c r="G2" s="99"/>
      <c r="H2" s="119" t="s">
        <v>62</v>
      </c>
      <c r="I2" s="88"/>
    </row>
    <row r="3" spans="1:9" ht="19.8" customHeight="1" x14ac:dyDescent="0.3">
      <c r="A3" s="105">
        <v>45986</v>
      </c>
      <c r="B3" s="99" t="s">
        <v>44</v>
      </c>
      <c r="C3" s="100" t="s">
        <v>1060</v>
      </c>
      <c r="D3" s="99" t="s">
        <v>1033</v>
      </c>
      <c r="E3" s="106">
        <v>1.416666666666667</v>
      </c>
      <c r="F3" s="99"/>
      <c r="G3" s="99"/>
      <c r="H3" s="119" t="s">
        <v>62</v>
      </c>
      <c r="I3" s="88"/>
    </row>
    <row r="4" spans="1:9" ht="19.8" customHeight="1" x14ac:dyDescent="0.3">
      <c r="A4" s="105">
        <v>45986</v>
      </c>
      <c r="B4" s="99" t="s">
        <v>44</v>
      </c>
      <c r="C4" s="100" t="s">
        <v>1061</v>
      </c>
      <c r="D4" s="99" t="s">
        <v>1033</v>
      </c>
      <c r="E4" s="106">
        <v>1.6875</v>
      </c>
      <c r="F4" s="99"/>
      <c r="G4" s="99"/>
      <c r="H4" s="119" t="s">
        <v>62</v>
      </c>
      <c r="I4" s="88"/>
    </row>
    <row r="5" spans="1:9" ht="19.8" customHeight="1" x14ac:dyDescent="0.3">
      <c r="A5" s="108">
        <v>45986</v>
      </c>
      <c r="B5" s="109" t="s">
        <v>44</v>
      </c>
      <c r="C5" s="110" t="s">
        <v>1062</v>
      </c>
      <c r="D5" s="109" t="s">
        <v>1033</v>
      </c>
      <c r="E5" s="111">
        <v>1.791666666666667</v>
      </c>
      <c r="F5" s="109"/>
      <c r="G5" s="109"/>
      <c r="H5" s="112" t="s">
        <v>62</v>
      </c>
      <c r="I5" s="88"/>
    </row>
    <row r="6" spans="1:9" ht="19.8" customHeight="1" x14ac:dyDescent="0.3">
      <c r="A6" s="113">
        <v>45990</v>
      </c>
      <c r="B6" s="114" t="s">
        <v>404</v>
      </c>
      <c r="C6" s="115" t="s">
        <v>1041</v>
      </c>
      <c r="D6" s="114" t="s">
        <v>1033</v>
      </c>
      <c r="E6" s="116">
        <v>1.9548611111111109</v>
      </c>
      <c r="F6" s="114" t="s">
        <v>406</v>
      </c>
      <c r="G6" s="117">
        <v>2</v>
      </c>
      <c r="H6" s="142">
        <v>835</v>
      </c>
      <c r="I6" s="88"/>
    </row>
    <row r="7" spans="1:9" ht="19.8" customHeight="1" x14ac:dyDescent="0.3">
      <c r="A7" s="113">
        <v>45991</v>
      </c>
      <c r="B7" s="114" t="s">
        <v>404</v>
      </c>
      <c r="C7" s="115" t="s">
        <v>1043</v>
      </c>
      <c r="D7" s="114" t="s">
        <v>1033</v>
      </c>
      <c r="E7" s="116">
        <v>1.1875</v>
      </c>
      <c r="F7" s="114" t="s">
        <v>406</v>
      </c>
      <c r="G7" s="117">
        <v>5</v>
      </c>
      <c r="H7" s="142">
        <v>935</v>
      </c>
      <c r="I7" s="88"/>
    </row>
    <row r="8" spans="1:9" ht="19.8" customHeight="1" x14ac:dyDescent="0.3">
      <c r="A8" s="103">
        <v>45993</v>
      </c>
      <c r="B8" s="94" t="s">
        <v>404</v>
      </c>
      <c r="C8" s="95" t="s">
        <v>1043</v>
      </c>
      <c r="D8" s="94" t="s">
        <v>1033</v>
      </c>
      <c r="E8" s="104">
        <v>1.444444444444444</v>
      </c>
      <c r="F8" s="94" t="s">
        <v>406</v>
      </c>
      <c r="G8" s="96">
        <v>3</v>
      </c>
      <c r="H8" s="97">
        <v>835</v>
      </c>
      <c r="I8" s="88"/>
    </row>
    <row r="9" spans="1:9" ht="19.8" customHeight="1" x14ac:dyDescent="0.3">
      <c r="A9" s="105">
        <v>45993</v>
      </c>
      <c r="B9" s="99" t="s">
        <v>44</v>
      </c>
      <c r="C9" s="100" t="s">
        <v>1034</v>
      </c>
      <c r="D9" s="99" t="s">
        <v>1033</v>
      </c>
      <c r="E9" s="106">
        <v>1.114583333333333</v>
      </c>
      <c r="F9" s="99" t="s">
        <v>61</v>
      </c>
      <c r="G9" s="99"/>
      <c r="H9" s="119" t="s">
        <v>62</v>
      </c>
      <c r="I9" s="88"/>
    </row>
    <row r="10" spans="1:9" ht="19.8" customHeight="1" x14ac:dyDescent="0.3">
      <c r="A10" s="105">
        <v>45993</v>
      </c>
      <c r="B10" s="99" t="s">
        <v>44</v>
      </c>
      <c r="C10" s="100" t="s">
        <v>1036</v>
      </c>
      <c r="D10" s="99" t="s">
        <v>1033</v>
      </c>
      <c r="E10" s="106">
        <v>1.416666666666667</v>
      </c>
      <c r="F10" s="99" t="s">
        <v>61</v>
      </c>
      <c r="G10" s="99"/>
      <c r="H10" s="119" t="s">
        <v>62</v>
      </c>
      <c r="I10" s="88"/>
    </row>
    <row r="11" spans="1:9" ht="19.8" customHeight="1" x14ac:dyDescent="0.3">
      <c r="A11" s="108">
        <v>45993</v>
      </c>
      <c r="B11" s="109" t="s">
        <v>44</v>
      </c>
      <c r="C11" s="110" t="s">
        <v>1040</v>
      </c>
      <c r="D11" s="109" t="s">
        <v>1033</v>
      </c>
      <c r="E11" s="111">
        <v>1.791666666666667</v>
      </c>
      <c r="F11" s="109" t="s">
        <v>61</v>
      </c>
      <c r="G11" s="109"/>
      <c r="H11" s="112" t="s">
        <v>62</v>
      </c>
      <c r="I11" s="88"/>
    </row>
    <row r="12" spans="1:9" ht="19.8" customHeight="1" x14ac:dyDescent="0.3">
      <c r="A12" s="113">
        <v>45994</v>
      </c>
      <c r="B12" s="114" t="s">
        <v>404</v>
      </c>
      <c r="C12" s="115" t="s">
        <v>1043</v>
      </c>
      <c r="D12" s="114" t="s">
        <v>1033</v>
      </c>
      <c r="E12" s="116">
        <v>1.270833333333333</v>
      </c>
      <c r="F12" s="114" t="s">
        <v>406</v>
      </c>
      <c r="G12" s="117">
        <v>8</v>
      </c>
      <c r="H12" s="142">
        <v>745</v>
      </c>
      <c r="I12" s="88"/>
    </row>
    <row r="13" spans="1:9" ht="19.8" customHeight="1" x14ac:dyDescent="0.3">
      <c r="A13" s="113">
        <v>45998</v>
      </c>
      <c r="B13" s="114" t="s">
        <v>404</v>
      </c>
      <c r="C13" s="115" t="s">
        <v>1043</v>
      </c>
      <c r="D13" s="114" t="s">
        <v>1033</v>
      </c>
      <c r="E13" s="116">
        <v>1.1875</v>
      </c>
      <c r="F13" s="114" t="s">
        <v>406</v>
      </c>
      <c r="G13" s="117">
        <v>5</v>
      </c>
      <c r="H13" s="142">
        <v>745</v>
      </c>
      <c r="I13" s="88"/>
    </row>
    <row r="14" spans="1:9" ht="19.8" customHeight="1" x14ac:dyDescent="0.3">
      <c r="A14" s="103">
        <v>46000</v>
      </c>
      <c r="B14" s="94" t="s">
        <v>404</v>
      </c>
      <c r="C14" s="95" t="s">
        <v>1043</v>
      </c>
      <c r="D14" s="94" t="s">
        <v>1033</v>
      </c>
      <c r="E14" s="104">
        <v>1.444444444444444</v>
      </c>
      <c r="F14" s="94" t="s">
        <v>406</v>
      </c>
      <c r="G14" s="96">
        <v>8</v>
      </c>
      <c r="H14" s="97">
        <v>695</v>
      </c>
      <c r="I14" s="88"/>
    </row>
    <row r="15" spans="1:9" ht="19.8" customHeight="1" x14ac:dyDescent="0.3">
      <c r="A15" s="105">
        <v>46000</v>
      </c>
      <c r="B15" s="99" t="s">
        <v>44</v>
      </c>
      <c r="C15" s="100" t="s">
        <v>1034</v>
      </c>
      <c r="D15" s="99" t="s">
        <v>1033</v>
      </c>
      <c r="E15" s="106">
        <v>1.114583333333333</v>
      </c>
      <c r="F15" s="99" t="s">
        <v>61</v>
      </c>
      <c r="G15" s="99"/>
      <c r="H15" s="119" t="s">
        <v>62</v>
      </c>
      <c r="I15" s="88"/>
    </row>
    <row r="16" spans="1:9" ht="19.8" customHeight="1" x14ac:dyDescent="0.3">
      <c r="A16" s="105">
        <v>46000</v>
      </c>
      <c r="B16" s="99" t="s">
        <v>44</v>
      </c>
      <c r="C16" s="100" t="s">
        <v>1036</v>
      </c>
      <c r="D16" s="99" t="s">
        <v>1033</v>
      </c>
      <c r="E16" s="106">
        <v>1.416666666666667</v>
      </c>
      <c r="F16" s="99" t="s">
        <v>61</v>
      </c>
      <c r="G16" s="99"/>
      <c r="H16" s="119" t="s">
        <v>62</v>
      </c>
      <c r="I16" s="88"/>
    </row>
    <row r="17" spans="1:9" ht="19.8" customHeight="1" x14ac:dyDescent="0.3">
      <c r="A17" s="105">
        <v>46000</v>
      </c>
      <c r="B17" s="99" t="s">
        <v>44</v>
      </c>
      <c r="C17" s="100" t="s">
        <v>1038</v>
      </c>
      <c r="D17" s="99" t="s">
        <v>1033</v>
      </c>
      <c r="E17" s="106">
        <v>1.708333333333333</v>
      </c>
      <c r="F17" s="99" t="s">
        <v>61</v>
      </c>
      <c r="G17" s="99"/>
      <c r="H17" s="119" t="s">
        <v>62</v>
      </c>
      <c r="I17" s="88"/>
    </row>
    <row r="18" spans="1:9" ht="19.8" customHeight="1" x14ac:dyDescent="0.3">
      <c r="A18" s="108">
        <v>46000</v>
      </c>
      <c r="B18" s="109" t="s">
        <v>44</v>
      </c>
      <c r="C18" s="110" t="s">
        <v>1040</v>
      </c>
      <c r="D18" s="109" t="s">
        <v>1033</v>
      </c>
      <c r="E18" s="111">
        <v>1.791666666666667</v>
      </c>
      <c r="F18" s="109" t="s">
        <v>61</v>
      </c>
      <c r="G18" s="109"/>
      <c r="H18" s="112" t="s">
        <v>62</v>
      </c>
      <c r="I18" s="88"/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5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22" bestFit="1" customWidth="1"/>
    <col min="5" max="5" width="16.44140625" bestFit="1" customWidth="1"/>
    <col min="6" max="6" width="23.44140625" bestFit="1" customWidth="1"/>
    <col min="7" max="7" width="38.88671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1.1093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2.8867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1063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45982.804296871131</v>
      </c>
      <c r="H2" s="330"/>
      <c r="I2" s="330"/>
      <c r="J2" s="330"/>
      <c r="K2" s="334">
        <v>45982.804296871851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17.399999999999999" customHeight="1" x14ac:dyDescent="0.3">
      <c r="A5" s="363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5"/>
    </row>
    <row r="6" spans="1:18" ht="17.399999999999999" customHeight="1" x14ac:dyDescent="0.3">
      <c r="A6" s="360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2"/>
    </row>
    <row r="7" spans="1:18" ht="17.399999999999999" customHeight="1" x14ac:dyDescent="0.3">
      <c r="A7" s="360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2"/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17.399999999999999" customHeigh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2"/>
    </row>
    <row r="10" spans="1:18" ht="22.05" customHeight="1" x14ac:dyDescent="0.3">
      <c r="A10" s="323" t="s">
        <v>6</v>
      </c>
      <c r="B10" s="324"/>
      <c r="C10" s="324"/>
      <c r="D10" s="324"/>
      <c r="E10" s="324"/>
      <c r="F10" s="324"/>
      <c r="G10" s="2">
        <v>45992</v>
      </c>
      <c r="H10" s="323" t="s">
        <v>7</v>
      </c>
      <c r="I10" s="324"/>
      <c r="J10" s="324"/>
      <c r="K10" s="324"/>
      <c r="L10" s="324"/>
      <c r="M10" s="324"/>
      <c r="N10" s="324"/>
      <c r="O10" s="324"/>
      <c r="P10" s="324"/>
      <c r="Q10" s="324"/>
      <c r="R10" s="324"/>
    </row>
    <row r="11" spans="1:18" ht="24" customHeight="1" x14ac:dyDescent="0.3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4" t="s">
        <v>13</v>
      </c>
      <c r="G11" s="5" t="s">
        <v>14</v>
      </c>
      <c r="H11" s="3" t="s">
        <v>15</v>
      </c>
      <c r="I11" s="3" t="s">
        <v>16</v>
      </c>
      <c r="J11" s="3" t="s">
        <v>17</v>
      </c>
      <c r="K11" s="3" t="s">
        <v>18</v>
      </c>
      <c r="L11" s="3" t="s">
        <v>19</v>
      </c>
      <c r="M11" s="3" t="s">
        <v>20</v>
      </c>
      <c r="N11" s="3" t="s">
        <v>21</v>
      </c>
      <c r="O11" s="3" t="s">
        <v>22</v>
      </c>
      <c r="P11" s="3" t="s">
        <v>23</v>
      </c>
      <c r="Q11" s="3" t="s">
        <v>24</v>
      </c>
      <c r="R11" s="3" t="s">
        <v>25</v>
      </c>
    </row>
    <row r="12" spans="1:18" ht="49.95" customHeight="1" x14ac:dyDescent="0.3">
      <c r="A12" s="127" t="s">
        <v>44</v>
      </c>
      <c r="B12" s="127" t="s">
        <v>1064</v>
      </c>
      <c r="C12" s="127">
        <v>0.25347222222222221</v>
      </c>
      <c r="D12" s="127" t="s">
        <v>61</v>
      </c>
      <c r="E12" s="127"/>
      <c r="F12" s="127" t="s">
        <v>62</v>
      </c>
      <c r="G12" s="335"/>
      <c r="H12" s="269" t="s">
        <v>1064</v>
      </c>
      <c r="I12" s="270">
        <v>1.0713999999999999</v>
      </c>
      <c r="J12" s="271">
        <v>180</v>
      </c>
      <c r="K12" s="272" t="s">
        <v>378</v>
      </c>
      <c r="L12" s="271">
        <v>180</v>
      </c>
      <c r="M12" s="271">
        <v>0</v>
      </c>
      <c r="N12" s="271">
        <v>0</v>
      </c>
      <c r="O12" s="272" t="s">
        <v>64</v>
      </c>
      <c r="P12" s="272">
        <v>0.25347222222222221</v>
      </c>
      <c r="Q12" s="271">
        <v>168</v>
      </c>
      <c r="R12" s="273" t="s">
        <v>1065</v>
      </c>
    </row>
    <row r="13" spans="1:18" ht="49.95" customHeight="1" x14ac:dyDescent="0.3">
      <c r="A13" s="274" t="s">
        <v>44</v>
      </c>
      <c r="B13" s="274" t="s">
        <v>1066</v>
      </c>
      <c r="C13" s="274">
        <v>0.70833333333333337</v>
      </c>
      <c r="D13" s="274" t="s">
        <v>61</v>
      </c>
      <c r="E13" s="274"/>
      <c r="F13" s="274" t="s">
        <v>62</v>
      </c>
      <c r="G13" s="328"/>
      <c r="H13" s="162" t="s">
        <v>1066</v>
      </c>
      <c r="I13" s="275">
        <v>1.0713999999999999</v>
      </c>
      <c r="J13" s="164">
        <v>180</v>
      </c>
      <c r="K13" s="165" t="s">
        <v>378</v>
      </c>
      <c r="L13" s="164">
        <v>180</v>
      </c>
      <c r="M13" s="164">
        <v>0</v>
      </c>
      <c r="N13" s="164">
        <v>0</v>
      </c>
      <c r="O13" s="165" t="s">
        <v>64</v>
      </c>
      <c r="P13" s="165">
        <v>0.70833333333333337</v>
      </c>
      <c r="Q13" s="164">
        <v>168</v>
      </c>
      <c r="R13" s="166" t="s">
        <v>1067</v>
      </c>
    </row>
    <row r="14" spans="1:18" ht="17.399999999999999" customHeight="1" x14ac:dyDescent="0.3">
      <c r="A14" s="360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2"/>
    </row>
    <row r="15" spans="1:18" ht="22.05" customHeight="1" x14ac:dyDescent="0.3">
      <c r="A15" s="323" t="s">
        <v>6</v>
      </c>
      <c r="B15" s="324"/>
      <c r="C15" s="324"/>
      <c r="D15" s="324"/>
      <c r="E15" s="324"/>
      <c r="F15" s="324"/>
      <c r="G15" s="2">
        <v>45993</v>
      </c>
      <c r="H15" s="323" t="s">
        <v>7</v>
      </c>
      <c r="I15" s="324"/>
      <c r="J15" s="324"/>
      <c r="K15" s="324"/>
      <c r="L15" s="324"/>
      <c r="M15" s="324"/>
      <c r="N15" s="324"/>
      <c r="O15" s="324"/>
      <c r="P15" s="324"/>
      <c r="Q15" s="324"/>
      <c r="R15" s="324"/>
    </row>
    <row r="16" spans="1:18" ht="24" customHeight="1" x14ac:dyDescent="0.3">
      <c r="A16" s="3" t="s">
        <v>8</v>
      </c>
      <c r="B16" s="3" t="s">
        <v>9</v>
      </c>
      <c r="C16" s="3" t="s">
        <v>10</v>
      </c>
      <c r="D16" s="3" t="s">
        <v>11</v>
      </c>
      <c r="E16" s="3" t="s">
        <v>12</v>
      </c>
      <c r="F16" s="4" t="s">
        <v>13</v>
      </c>
      <c r="G16" s="5" t="s">
        <v>14</v>
      </c>
      <c r="H16" s="3" t="s">
        <v>15</v>
      </c>
      <c r="I16" s="3" t="s">
        <v>16</v>
      </c>
      <c r="J16" s="3" t="s">
        <v>17</v>
      </c>
      <c r="K16" s="3" t="s">
        <v>18</v>
      </c>
      <c r="L16" s="3" t="s">
        <v>19</v>
      </c>
      <c r="M16" s="3" t="s">
        <v>20</v>
      </c>
      <c r="N16" s="3" t="s">
        <v>21</v>
      </c>
      <c r="O16" s="3" t="s">
        <v>22</v>
      </c>
      <c r="P16" s="3" t="s">
        <v>23</v>
      </c>
      <c r="Q16" s="3" t="s">
        <v>24</v>
      </c>
      <c r="R16" s="3" t="s">
        <v>25</v>
      </c>
    </row>
    <row r="17" spans="1:18" ht="49.95" customHeight="1" x14ac:dyDescent="0.3">
      <c r="A17" s="139" t="s">
        <v>44</v>
      </c>
      <c r="B17" s="139" t="s">
        <v>1068</v>
      </c>
      <c r="C17" s="139">
        <v>0.75347222222222221</v>
      </c>
      <c r="D17" s="139" t="s">
        <v>61</v>
      </c>
      <c r="E17" s="139"/>
      <c r="F17" s="139" t="s">
        <v>62</v>
      </c>
      <c r="G17" s="335"/>
      <c r="H17" s="162" t="s">
        <v>1068</v>
      </c>
      <c r="I17" s="275">
        <v>1.0713999999999999</v>
      </c>
      <c r="J17" s="164">
        <v>180</v>
      </c>
      <c r="K17" s="165" t="s">
        <v>311</v>
      </c>
      <c r="L17" s="164">
        <v>180</v>
      </c>
      <c r="M17" s="164">
        <v>0</v>
      </c>
      <c r="N17" s="164">
        <v>0</v>
      </c>
      <c r="O17" s="165" t="s">
        <v>64</v>
      </c>
      <c r="P17" s="165">
        <v>0.75347222222222221</v>
      </c>
      <c r="Q17" s="164">
        <v>168</v>
      </c>
      <c r="R17" s="166" t="s">
        <v>1069</v>
      </c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17.399999999999999" customHeight="1" x14ac:dyDescent="0.3">
      <c r="A20" s="360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2"/>
    </row>
    <row r="21" spans="1:18" ht="17.399999999999999" customHeight="1" x14ac:dyDescent="0.3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17.399999999999999" customHeight="1" x14ac:dyDescent="0.3">
      <c r="A23" s="360"/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2"/>
    </row>
    <row r="24" spans="1:18" ht="17.399999999999999" customHeight="1" x14ac:dyDescent="0.3">
      <c r="A24" s="360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2"/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</sheetData>
  <mergeCells count="28">
    <mergeCell ref="A24:R24"/>
    <mergeCell ref="G12:G13"/>
    <mergeCell ref="H15:R15"/>
    <mergeCell ref="A6:R6"/>
    <mergeCell ref="N1:R1"/>
    <mergeCell ref="A20:R20"/>
    <mergeCell ref="G17"/>
    <mergeCell ref="A10:F10"/>
    <mergeCell ref="A19:R19"/>
    <mergeCell ref="K2:R2"/>
    <mergeCell ref="A9:R9"/>
    <mergeCell ref="A15:F15"/>
    <mergeCell ref="A7:R7"/>
    <mergeCell ref="A25:R25"/>
    <mergeCell ref="H1:L1"/>
    <mergeCell ref="A1:E1"/>
    <mergeCell ref="H10:R10"/>
    <mergeCell ref="A18:R18"/>
    <mergeCell ref="A2:F2"/>
    <mergeCell ref="A3:R3"/>
    <mergeCell ref="A21:R21"/>
    <mergeCell ref="A14:R14"/>
    <mergeCell ref="G2:J2"/>
    <mergeCell ref="A5:R5"/>
    <mergeCell ref="A23:R23"/>
    <mergeCell ref="A8:R8"/>
    <mergeCell ref="A22:R22"/>
    <mergeCell ref="A4:R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5"/>
  <sheetViews>
    <sheetView workbookViewId="0"/>
  </sheetViews>
  <sheetFormatPr defaultRowHeight="15.6" outlineLevelCol="1" x14ac:dyDescent="0.3"/>
  <cols>
    <col min="1" max="1" width="8.6640625" style="343" bestFit="1" customWidth="1"/>
    <col min="2" max="2" width="9" style="343" bestFit="1" customWidth="1"/>
    <col min="3" max="3" width="6.77734375" style="343" bestFit="1" customWidth="1"/>
    <col min="4" max="4" width="5.5546875" style="343" bestFit="1" customWidth="1"/>
    <col min="5" max="5" width="8.5546875" style="343" bestFit="1" customWidth="1"/>
    <col min="6" max="6" width="4.21875" style="343" bestFit="1" customWidth="1"/>
    <col min="7" max="7" width="11.5546875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8" width="3.88671875" style="343" bestFit="1" customWidth="1"/>
    <col min="29" max="29" width="5.21875" style="343" bestFit="1" customWidth="1"/>
    <col min="30" max="30" width="5.5546875" style="343" bestFit="1" customWidth="1"/>
    <col min="31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391</v>
      </c>
      <c r="B2" s="345">
        <v>45992</v>
      </c>
      <c r="C2" s="346" t="s">
        <v>1064</v>
      </c>
      <c r="D2" s="347" t="s">
        <v>714</v>
      </c>
      <c r="E2" s="346" t="s">
        <v>1063</v>
      </c>
      <c r="F2" s="346" t="s">
        <v>214</v>
      </c>
      <c r="G2" s="348">
        <v>1.0713999999999999</v>
      </c>
      <c r="H2" s="349">
        <v>168</v>
      </c>
      <c r="I2" s="349">
        <v>180</v>
      </c>
      <c r="J2" s="349">
        <v>180</v>
      </c>
      <c r="K2" s="346" t="s">
        <v>215</v>
      </c>
      <c r="L2" s="350" t="s">
        <v>378</v>
      </c>
      <c r="M2" s="349">
        <v>0</v>
      </c>
      <c r="N2" s="349">
        <v>0</v>
      </c>
      <c r="O2" s="349">
        <v>180</v>
      </c>
      <c r="P2" s="346" t="s">
        <v>64</v>
      </c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9" t="s">
        <v>1065</v>
      </c>
      <c r="AE2" s="342"/>
      <c r="AF2" s="342"/>
      <c r="AG2" s="342"/>
      <c r="AH2" s="342"/>
      <c r="AI2" s="342"/>
      <c r="AJ2" s="342"/>
    </row>
    <row r="3" spans="1:36" x14ac:dyDescent="0.3">
      <c r="A3" s="344" t="s">
        <v>391</v>
      </c>
      <c r="B3" s="345">
        <v>45992</v>
      </c>
      <c r="C3" s="346" t="s">
        <v>1066</v>
      </c>
      <c r="D3" s="347" t="s">
        <v>893</v>
      </c>
      <c r="E3" s="346" t="s">
        <v>1063</v>
      </c>
      <c r="F3" s="346" t="s">
        <v>214</v>
      </c>
      <c r="G3" s="348">
        <v>1.0713999999999999</v>
      </c>
      <c r="H3" s="349">
        <v>168</v>
      </c>
      <c r="I3" s="349">
        <v>180</v>
      </c>
      <c r="J3" s="349">
        <v>180</v>
      </c>
      <c r="K3" s="346" t="s">
        <v>215</v>
      </c>
      <c r="L3" s="350" t="s">
        <v>378</v>
      </c>
      <c r="M3" s="349">
        <v>0</v>
      </c>
      <c r="N3" s="349">
        <v>0</v>
      </c>
      <c r="O3" s="349">
        <v>180</v>
      </c>
      <c r="P3" s="346" t="s">
        <v>64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9" t="s">
        <v>1053</v>
      </c>
      <c r="AE3" s="349" t="s">
        <v>586</v>
      </c>
      <c r="AF3" s="342"/>
      <c r="AG3" s="342"/>
      <c r="AH3" s="342"/>
      <c r="AI3" s="342"/>
      <c r="AJ3" s="342"/>
    </row>
    <row r="4" spans="1:36" x14ac:dyDescent="0.3">
      <c r="A4" s="344" t="s">
        <v>212</v>
      </c>
      <c r="B4" s="345">
        <v>45993</v>
      </c>
      <c r="C4" s="346" t="s">
        <v>1068</v>
      </c>
      <c r="D4" s="347" t="s">
        <v>1070</v>
      </c>
      <c r="E4" s="346" t="s">
        <v>1063</v>
      </c>
      <c r="F4" s="346" t="s">
        <v>214</v>
      </c>
      <c r="G4" s="348">
        <v>1.0713999999999999</v>
      </c>
      <c r="H4" s="349">
        <v>168</v>
      </c>
      <c r="I4" s="349">
        <v>180</v>
      </c>
      <c r="J4" s="349">
        <v>180</v>
      </c>
      <c r="K4" s="346" t="s">
        <v>215</v>
      </c>
      <c r="L4" s="350" t="s">
        <v>311</v>
      </c>
      <c r="M4" s="349">
        <v>0</v>
      </c>
      <c r="N4" s="349">
        <v>0</v>
      </c>
      <c r="O4" s="349">
        <v>180</v>
      </c>
      <c r="P4" s="346" t="s">
        <v>64</v>
      </c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9" t="s">
        <v>1069</v>
      </c>
      <c r="AD4" s="342"/>
      <c r="AE4" s="342"/>
      <c r="AF4" s="342"/>
      <c r="AG4" s="342"/>
      <c r="AH4" s="342"/>
      <c r="AI4" s="342"/>
      <c r="AJ4" s="342"/>
    </row>
    <row r="5" spans="1:36" ht="21" x14ac:dyDescent="0.3">
      <c r="A5" s="351" t="s">
        <v>1574</v>
      </c>
      <c r="B5" s="352"/>
      <c r="C5" s="351">
        <f>SUBTOTAL(103,JED_ASW_LF_LEGACY[Flt])</f>
        <v>3</v>
      </c>
      <c r="D5" s="351"/>
      <c r="E5" s="351">
        <f>SUBTOTAL(103,JED_ASW_LF_LEGACY[Brd-Off])</f>
        <v>3</v>
      </c>
      <c r="F5" s="351"/>
      <c r="G5" s="353">
        <f>SUBTOTAL(101,JED_ASW_LF_LEGACY[LF%])</f>
        <v>1.0713999999999999</v>
      </c>
      <c r="H5" s="354">
        <f>SUBTOTAL(109,JED_ASW_LF_LEGACY[CAP])</f>
        <v>504</v>
      </c>
      <c r="I5" s="354">
        <f>SUBTOTAL(109,JED_ASW_LF_LEGACY[BKG(Y)])</f>
        <v>540</v>
      </c>
      <c r="J5" s="354">
        <f>SUBTOTAL(109,JED_ASW_LF_LEGACY[GRP(Y)])</f>
        <v>540</v>
      </c>
      <c r="K5" s="351"/>
      <c r="L5" s="352"/>
      <c r="M5" s="354">
        <f>SUBTOTAL(109,JED_ASW_LF_LEGACY[TO-DAY])</f>
        <v>0</v>
      </c>
      <c r="N5" s="354">
        <f>SUBTOTAL(109,JED_ASW_LF_LEGACY[Y-DAY])</f>
        <v>0</v>
      </c>
      <c r="O5" s="354">
        <f>SUBTOTAL(109,JED_ASW_LF_LEGACY[WEEKLY])</f>
        <v>540</v>
      </c>
      <c r="P5" s="355"/>
      <c r="Q5" s="354">
        <f>SUBTOTAL(109,JED_ASW_LF_LEGACY[Y])</f>
        <v>0</v>
      </c>
      <c r="R5" s="354">
        <f>SUBTOTAL(109,JED_ASW_LF_LEGACY[B])</f>
        <v>0</v>
      </c>
      <c r="S5" s="354">
        <f>SUBTOTAL(109,JED_ASW_LF_LEGACY[M])</f>
        <v>0</v>
      </c>
      <c r="T5" s="354">
        <f>SUBTOTAL(109,JED_ASW_LF_LEGACY[H])</f>
        <v>0</v>
      </c>
      <c r="U5" s="354">
        <f>SUBTOTAL(109,JED_ASW_LF_LEGACY[Q])</f>
        <v>0</v>
      </c>
      <c r="V5" s="354">
        <f>SUBTOTAL(109,JED_ASW_LF_LEGACY[K])</f>
        <v>0</v>
      </c>
      <c r="W5" s="354">
        <f>SUBTOTAL(109,JED_ASW_LF_LEGACY[V])</f>
        <v>0</v>
      </c>
      <c r="X5" s="354">
        <f>SUBTOTAL(109,JED_ASW_LF_LEGACY[L])</f>
        <v>0</v>
      </c>
      <c r="Y5" s="354">
        <f>SUBTOTAL(109,JED_ASW_LF_LEGACY[G])</f>
        <v>0</v>
      </c>
      <c r="Z5" s="354">
        <f>SUBTOTAL(109,JED_ASW_LF_LEGACY[S])</f>
        <v>0</v>
      </c>
      <c r="AA5" s="354">
        <f>SUBTOTAL(109,JED_ASW_LF_LEGACY[W])</f>
        <v>0</v>
      </c>
      <c r="AB5" s="354">
        <f>SUBTOTAL(109,JED_ASW_LF_LEGACY[T])</f>
        <v>0</v>
      </c>
      <c r="AC5" s="354">
        <f>SUBTOTAL(109,JED_ASW_LF_LEGACY[X])</f>
        <v>0</v>
      </c>
      <c r="AD5" s="354">
        <f>SUBTOTAL(109,JED_ASW_LF_LEGACY[U])</f>
        <v>0</v>
      </c>
      <c r="AE5" s="354">
        <f>SUBTOTAL(109,JED_ASW_LF_LEGACY[O])</f>
        <v>0</v>
      </c>
      <c r="AF5" s="354">
        <f>SUBTOTAL(109,JED_ASW_LF_LEGACY[I])</f>
        <v>0</v>
      </c>
      <c r="AG5" s="354">
        <f>SUBTOTAL(109,JED_ASW_LF_LEGACY[E])</f>
        <v>0</v>
      </c>
      <c r="AH5" s="354">
        <f>SUBTOTAL(109,JED_ASW_LF_LEGACY[A])</f>
        <v>0</v>
      </c>
      <c r="AI5" s="354">
        <f>SUBTOTAL(109,JED_ASW_LF_LEGACY[P])</f>
        <v>0</v>
      </c>
      <c r="AJ5" s="354">
        <f>SUBTOTAL(103,JED_ASW_LF_LEGACY[N])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  <col min="9" max="9" width="164.886718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8" t="s">
        <v>1071</v>
      </c>
      <c r="B2" s="99" t="s">
        <v>44</v>
      </c>
      <c r="C2" s="100" t="s">
        <v>1072</v>
      </c>
      <c r="D2" s="99" t="s">
        <v>1063</v>
      </c>
      <c r="E2" s="99" t="s">
        <v>714</v>
      </c>
      <c r="F2" s="99"/>
      <c r="G2" s="99"/>
      <c r="H2" s="119" t="s">
        <v>62</v>
      </c>
      <c r="I2" s="88"/>
    </row>
    <row r="3" spans="1:9" ht="19.8" customHeight="1" x14ac:dyDescent="0.3">
      <c r="A3" s="108">
        <v>45992</v>
      </c>
      <c r="B3" s="109" t="s">
        <v>44</v>
      </c>
      <c r="C3" s="110" t="s">
        <v>1073</v>
      </c>
      <c r="D3" s="109" t="s">
        <v>1063</v>
      </c>
      <c r="E3" s="111">
        <v>1.708333333333333</v>
      </c>
      <c r="F3" s="109"/>
      <c r="G3" s="109"/>
      <c r="H3" s="112" t="s">
        <v>62</v>
      </c>
      <c r="I3" s="88"/>
    </row>
    <row r="4" spans="1:9" ht="19.8" customHeight="1" x14ac:dyDescent="0.3">
      <c r="A4" s="108">
        <v>45993</v>
      </c>
      <c r="B4" s="109" t="s">
        <v>44</v>
      </c>
      <c r="C4" s="110" t="s">
        <v>1074</v>
      </c>
      <c r="D4" s="109" t="s">
        <v>1063</v>
      </c>
      <c r="E4" s="111">
        <v>1.7534722222222221</v>
      </c>
      <c r="F4" s="109"/>
      <c r="G4" s="109"/>
      <c r="H4" s="112" t="s">
        <v>62</v>
      </c>
      <c r="I4" s="88"/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63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6.6640625" bestFit="1" customWidth="1"/>
    <col min="4" max="4" width="36.4414062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109375" bestFit="1" customWidth="1"/>
    <col min="17" max="17" width="12.21875" bestFit="1" customWidth="1"/>
    <col min="18" max="18" width="10.777343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1075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45982.804297706083</v>
      </c>
      <c r="H2" s="330"/>
      <c r="I2" s="330"/>
      <c r="J2" s="330"/>
      <c r="K2" s="334">
        <v>45982.804297706447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6" t="s">
        <v>78</v>
      </c>
      <c r="B6" s="6" t="s">
        <v>1076</v>
      </c>
      <c r="C6" s="6">
        <v>0.60069444444444442</v>
      </c>
      <c r="D6" s="6" t="s">
        <v>80</v>
      </c>
      <c r="E6" s="6" t="s">
        <v>132</v>
      </c>
      <c r="F6" s="6" t="s">
        <v>1077</v>
      </c>
      <c r="G6" s="335"/>
      <c r="H6" s="218"/>
      <c r="I6" s="219"/>
      <c r="J6" s="219"/>
      <c r="K6" s="219"/>
      <c r="L6" s="219"/>
      <c r="M6" s="219"/>
      <c r="N6" s="219"/>
      <c r="O6" s="219"/>
      <c r="P6" s="219"/>
      <c r="Q6" s="219"/>
      <c r="R6" s="220"/>
    </row>
    <row r="7" spans="1:18" ht="49.95" customHeight="1" x14ac:dyDescent="0.3">
      <c r="A7" s="27" t="s">
        <v>78</v>
      </c>
      <c r="B7" s="27" t="s">
        <v>1076</v>
      </c>
      <c r="C7" s="27">
        <v>0.60069444444444442</v>
      </c>
      <c r="D7" s="27" t="s">
        <v>83</v>
      </c>
      <c r="E7" s="27" t="s">
        <v>115</v>
      </c>
      <c r="F7" s="27" t="s">
        <v>1078</v>
      </c>
      <c r="G7" s="328"/>
      <c r="H7" s="231"/>
      <c r="I7" s="232"/>
      <c r="J7" s="232"/>
      <c r="K7" s="232"/>
      <c r="L7" s="232"/>
      <c r="M7" s="232"/>
      <c r="N7" s="232"/>
      <c r="O7" s="232"/>
      <c r="P7" s="232"/>
      <c r="Q7" s="232"/>
      <c r="R7" s="233"/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22.05" customHeight="1" x14ac:dyDescent="0.3">
      <c r="A9" s="323" t="s">
        <v>6</v>
      </c>
      <c r="B9" s="324"/>
      <c r="C9" s="324"/>
      <c r="D9" s="324"/>
      <c r="E9" s="324"/>
      <c r="F9" s="324"/>
      <c r="G9" s="2">
        <v>45987</v>
      </c>
      <c r="H9" s="323" t="s">
        <v>7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</row>
    <row r="10" spans="1:18" ht="24" customHeight="1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4" t="s">
        <v>13</v>
      </c>
      <c r="G10" s="5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</row>
    <row r="11" spans="1:18" ht="49.95" customHeight="1" x14ac:dyDescent="0.3">
      <c r="A11" s="6" t="s">
        <v>78</v>
      </c>
      <c r="B11" s="6" t="s">
        <v>1076</v>
      </c>
      <c r="C11" s="6">
        <v>0.60416666666666663</v>
      </c>
      <c r="D11" s="6" t="s">
        <v>80</v>
      </c>
      <c r="E11" s="6" t="s">
        <v>102</v>
      </c>
      <c r="F11" s="6" t="s">
        <v>1079</v>
      </c>
      <c r="G11" s="335"/>
      <c r="H11" s="218"/>
      <c r="I11" s="219"/>
      <c r="J11" s="219"/>
      <c r="K11" s="219"/>
      <c r="L11" s="219"/>
      <c r="M11" s="219"/>
      <c r="N11" s="219"/>
      <c r="O11" s="219"/>
      <c r="P11" s="219"/>
      <c r="Q11" s="219"/>
      <c r="R11" s="220"/>
    </row>
    <row r="12" spans="1:18" ht="49.95" customHeight="1" x14ac:dyDescent="0.3">
      <c r="A12" s="27" t="s">
        <v>78</v>
      </c>
      <c r="B12" s="27" t="s">
        <v>1076</v>
      </c>
      <c r="C12" s="27">
        <v>0.60416666666666663</v>
      </c>
      <c r="D12" s="27" t="s">
        <v>83</v>
      </c>
      <c r="E12" s="27" t="s">
        <v>104</v>
      </c>
      <c r="F12" s="27" t="s">
        <v>1080</v>
      </c>
      <c r="G12" s="328"/>
      <c r="H12" s="231"/>
      <c r="I12" s="232"/>
      <c r="J12" s="232"/>
      <c r="K12" s="232"/>
      <c r="L12" s="232"/>
      <c r="M12" s="232"/>
      <c r="N12" s="232"/>
      <c r="O12" s="232"/>
      <c r="P12" s="232"/>
      <c r="Q12" s="232"/>
      <c r="R12" s="233"/>
    </row>
    <row r="13" spans="1:18" ht="17.399999999999999" customHeight="1" x14ac:dyDescent="0.3">
      <c r="A13" s="360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2"/>
    </row>
    <row r="14" spans="1:18" ht="22.05" customHeight="1" x14ac:dyDescent="0.3">
      <c r="A14" s="323" t="s">
        <v>6</v>
      </c>
      <c r="B14" s="324"/>
      <c r="C14" s="324"/>
      <c r="D14" s="324"/>
      <c r="E14" s="324"/>
      <c r="F14" s="324"/>
      <c r="G14" s="2">
        <v>45988</v>
      </c>
      <c r="H14" s="323" t="s">
        <v>7</v>
      </c>
      <c r="I14" s="324"/>
      <c r="J14" s="324"/>
      <c r="K14" s="324"/>
      <c r="L14" s="324"/>
      <c r="M14" s="324"/>
      <c r="N14" s="324"/>
      <c r="O14" s="324"/>
      <c r="P14" s="324"/>
      <c r="Q14" s="324"/>
      <c r="R14" s="324"/>
    </row>
    <row r="15" spans="1:18" ht="24" customHeight="1" x14ac:dyDescent="0.3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4" t="s">
        <v>13</v>
      </c>
      <c r="G15" s="5" t="s">
        <v>14</v>
      </c>
      <c r="H15" s="3" t="s">
        <v>15</v>
      </c>
      <c r="I15" s="3" t="s">
        <v>16</v>
      </c>
      <c r="J15" s="3" t="s">
        <v>17</v>
      </c>
      <c r="K15" s="3" t="s">
        <v>18</v>
      </c>
      <c r="L15" s="3" t="s">
        <v>19</v>
      </c>
      <c r="M15" s="3" t="s">
        <v>20</v>
      </c>
      <c r="N15" s="3" t="s">
        <v>21</v>
      </c>
      <c r="O15" s="3" t="s">
        <v>22</v>
      </c>
      <c r="P15" s="3" t="s">
        <v>23</v>
      </c>
      <c r="Q15" s="3" t="s">
        <v>24</v>
      </c>
      <c r="R15" s="3" t="s">
        <v>25</v>
      </c>
    </row>
    <row r="16" spans="1:18" ht="49.95" customHeight="1" x14ac:dyDescent="0.3">
      <c r="A16" s="6" t="s">
        <v>78</v>
      </c>
      <c r="B16" s="6" t="s">
        <v>1076</v>
      </c>
      <c r="C16" s="6">
        <v>0.60416666666666663</v>
      </c>
      <c r="D16" s="6" t="s">
        <v>829</v>
      </c>
      <c r="E16" s="6" t="s">
        <v>132</v>
      </c>
      <c r="F16" s="6" t="s">
        <v>1081</v>
      </c>
      <c r="G16" s="335"/>
      <c r="H16" s="218"/>
      <c r="I16" s="219"/>
      <c r="J16" s="219"/>
      <c r="K16" s="219"/>
      <c r="L16" s="219"/>
      <c r="M16" s="219"/>
      <c r="N16" s="219"/>
      <c r="O16" s="219"/>
      <c r="P16" s="219"/>
      <c r="Q16" s="219"/>
      <c r="R16" s="220"/>
    </row>
    <row r="17" spans="1:18" ht="49.95" customHeight="1" x14ac:dyDescent="0.3">
      <c r="A17" s="10" t="s">
        <v>78</v>
      </c>
      <c r="B17" s="10" t="s">
        <v>1076</v>
      </c>
      <c r="C17" s="10">
        <v>0.60416666666666663</v>
      </c>
      <c r="D17" s="10" t="s">
        <v>80</v>
      </c>
      <c r="E17" s="10" t="s">
        <v>115</v>
      </c>
      <c r="F17" s="10" t="s">
        <v>1082</v>
      </c>
      <c r="G17" s="328"/>
      <c r="H17" s="218"/>
      <c r="I17" s="219"/>
      <c r="J17" s="219"/>
      <c r="K17" s="219"/>
      <c r="L17" s="219"/>
      <c r="M17" s="219"/>
      <c r="N17" s="219"/>
      <c r="O17" s="219"/>
      <c r="P17" s="219"/>
      <c r="Q17" s="219"/>
      <c r="R17" s="220"/>
    </row>
    <row r="18" spans="1:18" ht="49.95" customHeight="1" x14ac:dyDescent="0.3">
      <c r="A18" s="27" t="s">
        <v>78</v>
      </c>
      <c r="B18" s="27" t="s">
        <v>1076</v>
      </c>
      <c r="C18" s="27">
        <v>0.60416666666666663</v>
      </c>
      <c r="D18" s="27" t="s">
        <v>83</v>
      </c>
      <c r="E18" s="27" t="s">
        <v>115</v>
      </c>
      <c r="F18" s="27" t="s">
        <v>1083</v>
      </c>
      <c r="G18" s="328"/>
      <c r="H18" s="231"/>
      <c r="I18" s="232"/>
      <c r="J18" s="232"/>
      <c r="K18" s="232"/>
      <c r="L18" s="232"/>
      <c r="M18" s="232"/>
      <c r="N18" s="232"/>
      <c r="O18" s="232"/>
      <c r="P18" s="232"/>
      <c r="Q18" s="232"/>
      <c r="R18" s="233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17.399999999999999" customHeight="1" x14ac:dyDescent="0.3">
      <c r="A20" s="360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2"/>
    </row>
    <row r="21" spans="1:18" ht="22.05" customHeight="1" x14ac:dyDescent="0.3">
      <c r="A21" s="323" t="s">
        <v>6</v>
      </c>
      <c r="B21" s="324"/>
      <c r="C21" s="324"/>
      <c r="D21" s="324"/>
      <c r="E21" s="324"/>
      <c r="F21" s="324"/>
      <c r="G21" s="2">
        <v>45990</v>
      </c>
      <c r="H21" s="323" t="s">
        <v>7</v>
      </c>
      <c r="I21" s="324"/>
      <c r="J21" s="324"/>
      <c r="K21" s="324"/>
      <c r="L21" s="324"/>
      <c r="M21" s="324"/>
      <c r="N21" s="324"/>
      <c r="O21" s="324"/>
      <c r="P21" s="324"/>
      <c r="Q21" s="324"/>
      <c r="R21" s="324"/>
    </row>
    <row r="22" spans="1:18" ht="24" customHeight="1" x14ac:dyDescent="0.3">
      <c r="A22" s="3" t="s">
        <v>8</v>
      </c>
      <c r="B22" s="3" t="s">
        <v>9</v>
      </c>
      <c r="C22" s="3" t="s">
        <v>10</v>
      </c>
      <c r="D22" s="3" t="s">
        <v>11</v>
      </c>
      <c r="E22" s="3" t="s">
        <v>12</v>
      </c>
      <c r="F22" s="4" t="s">
        <v>13</v>
      </c>
      <c r="G22" s="5" t="s">
        <v>14</v>
      </c>
      <c r="H22" s="3" t="s">
        <v>15</v>
      </c>
      <c r="I22" s="3" t="s">
        <v>16</v>
      </c>
      <c r="J22" s="3" t="s">
        <v>17</v>
      </c>
      <c r="K22" s="3" t="s">
        <v>18</v>
      </c>
      <c r="L22" s="3" t="s">
        <v>19</v>
      </c>
      <c r="M22" s="3" t="s">
        <v>20</v>
      </c>
      <c r="N22" s="3" t="s">
        <v>21</v>
      </c>
      <c r="O22" s="3" t="s">
        <v>22</v>
      </c>
      <c r="P22" s="3" t="s">
        <v>23</v>
      </c>
      <c r="Q22" s="3" t="s">
        <v>24</v>
      </c>
      <c r="R22" s="3" t="s">
        <v>25</v>
      </c>
    </row>
    <row r="23" spans="1:18" ht="49.95" customHeight="1" x14ac:dyDescent="0.3">
      <c r="A23" s="6" t="s">
        <v>78</v>
      </c>
      <c r="B23" s="6" t="s">
        <v>1076</v>
      </c>
      <c r="C23" s="6">
        <v>0.60069444444444442</v>
      </c>
      <c r="D23" s="6" t="s">
        <v>829</v>
      </c>
      <c r="E23" s="6" t="s">
        <v>47</v>
      </c>
      <c r="F23" s="6" t="s">
        <v>1084</v>
      </c>
      <c r="G23" s="335"/>
      <c r="H23" s="218"/>
      <c r="I23" s="219"/>
      <c r="J23" s="219"/>
      <c r="K23" s="219"/>
      <c r="L23" s="219"/>
      <c r="M23" s="219"/>
      <c r="N23" s="219"/>
      <c r="O23" s="219"/>
      <c r="P23" s="219"/>
      <c r="Q23" s="219"/>
      <c r="R23" s="220"/>
    </row>
    <row r="24" spans="1:18" ht="49.95" customHeight="1" x14ac:dyDescent="0.3">
      <c r="A24" s="10" t="s">
        <v>78</v>
      </c>
      <c r="B24" s="10" t="s">
        <v>1076</v>
      </c>
      <c r="C24" s="10">
        <v>0.60069444444444442</v>
      </c>
      <c r="D24" s="10" t="s">
        <v>80</v>
      </c>
      <c r="E24" s="10" t="s">
        <v>95</v>
      </c>
      <c r="F24" s="10" t="s">
        <v>43</v>
      </c>
      <c r="G24" s="328"/>
      <c r="H24" s="218"/>
      <c r="I24" s="219"/>
      <c r="J24" s="219"/>
      <c r="K24" s="219"/>
      <c r="L24" s="219"/>
      <c r="M24" s="219"/>
      <c r="N24" s="219"/>
      <c r="O24" s="219"/>
      <c r="P24" s="219"/>
      <c r="Q24" s="219"/>
      <c r="R24" s="220"/>
    </row>
    <row r="25" spans="1:18" ht="49.95" customHeight="1" x14ac:dyDescent="0.3">
      <c r="A25" s="27" t="s">
        <v>78</v>
      </c>
      <c r="B25" s="27" t="s">
        <v>1076</v>
      </c>
      <c r="C25" s="27">
        <v>0.60069444444444442</v>
      </c>
      <c r="D25" s="27" t="s">
        <v>83</v>
      </c>
      <c r="E25" s="27" t="s">
        <v>95</v>
      </c>
      <c r="F25" s="27" t="s">
        <v>1085</v>
      </c>
      <c r="G25" s="328"/>
      <c r="H25" s="231"/>
      <c r="I25" s="232"/>
      <c r="J25" s="232"/>
      <c r="K25" s="232"/>
      <c r="L25" s="232"/>
      <c r="M25" s="232"/>
      <c r="N25" s="232"/>
      <c r="O25" s="232"/>
      <c r="P25" s="232"/>
      <c r="Q25" s="232"/>
      <c r="R25" s="233"/>
    </row>
    <row r="26" spans="1:18" ht="17.399999999999999" customHeight="1" x14ac:dyDescent="0.3">
      <c r="A26" s="360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2"/>
    </row>
    <row r="27" spans="1:18" ht="22.05" customHeight="1" x14ac:dyDescent="0.3">
      <c r="A27" s="323" t="s">
        <v>6</v>
      </c>
      <c r="B27" s="324"/>
      <c r="C27" s="324"/>
      <c r="D27" s="324"/>
      <c r="E27" s="324"/>
      <c r="F27" s="324"/>
      <c r="G27" s="2">
        <v>45991</v>
      </c>
      <c r="H27" s="323" t="s">
        <v>7</v>
      </c>
      <c r="I27" s="324"/>
      <c r="J27" s="324"/>
      <c r="K27" s="324"/>
      <c r="L27" s="324"/>
      <c r="M27" s="324"/>
      <c r="N27" s="324"/>
      <c r="O27" s="324"/>
      <c r="P27" s="324"/>
      <c r="Q27" s="324"/>
      <c r="R27" s="324"/>
    </row>
    <row r="28" spans="1:18" ht="24" customHeight="1" x14ac:dyDescent="0.3">
      <c r="A28" s="3" t="s">
        <v>8</v>
      </c>
      <c r="B28" s="3" t="s">
        <v>9</v>
      </c>
      <c r="C28" s="3" t="s">
        <v>10</v>
      </c>
      <c r="D28" s="3" t="s">
        <v>11</v>
      </c>
      <c r="E28" s="3" t="s">
        <v>12</v>
      </c>
      <c r="F28" s="4" t="s">
        <v>13</v>
      </c>
      <c r="G28" s="5" t="s">
        <v>14</v>
      </c>
      <c r="H28" s="3" t="s">
        <v>15</v>
      </c>
      <c r="I28" s="3" t="s">
        <v>16</v>
      </c>
      <c r="J28" s="3" t="s">
        <v>17</v>
      </c>
      <c r="K28" s="3" t="s">
        <v>18</v>
      </c>
      <c r="L28" s="3" t="s">
        <v>19</v>
      </c>
      <c r="M28" s="3" t="s">
        <v>20</v>
      </c>
      <c r="N28" s="3" t="s">
        <v>21</v>
      </c>
      <c r="O28" s="3" t="s">
        <v>22</v>
      </c>
      <c r="P28" s="3" t="s">
        <v>23</v>
      </c>
      <c r="Q28" s="3" t="s">
        <v>24</v>
      </c>
      <c r="R28" s="3" t="s">
        <v>25</v>
      </c>
    </row>
    <row r="29" spans="1:18" ht="49.95" customHeight="1" x14ac:dyDescent="0.3">
      <c r="A29" s="6" t="s">
        <v>78</v>
      </c>
      <c r="B29" s="6" t="s">
        <v>1076</v>
      </c>
      <c r="C29" s="6">
        <v>0.60069444444444442</v>
      </c>
      <c r="D29" s="6" t="s">
        <v>829</v>
      </c>
      <c r="E29" s="6" t="s">
        <v>47</v>
      </c>
      <c r="F29" s="6" t="s">
        <v>1081</v>
      </c>
      <c r="G29" s="335"/>
      <c r="H29" s="218"/>
      <c r="I29" s="219"/>
      <c r="J29" s="219"/>
      <c r="K29" s="219"/>
      <c r="L29" s="219"/>
      <c r="M29" s="219"/>
      <c r="N29" s="219"/>
      <c r="O29" s="219"/>
      <c r="P29" s="219"/>
      <c r="Q29" s="219"/>
      <c r="R29" s="220"/>
    </row>
    <row r="30" spans="1:18" ht="49.95" customHeight="1" x14ac:dyDescent="0.3">
      <c r="A30" s="10" t="s">
        <v>78</v>
      </c>
      <c r="B30" s="10" t="s">
        <v>1076</v>
      </c>
      <c r="C30" s="10">
        <v>0.60069444444444442</v>
      </c>
      <c r="D30" s="10" t="s">
        <v>80</v>
      </c>
      <c r="E30" s="10" t="s">
        <v>95</v>
      </c>
      <c r="F30" s="10" t="s">
        <v>1082</v>
      </c>
      <c r="G30" s="328"/>
      <c r="H30" s="218"/>
      <c r="I30" s="219"/>
      <c r="J30" s="219"/>
      <c r="K30" s="219"/>
      <c r="L30" s="219"/>
      <c r="M30" s="219"/>
      <c r="N30" s="219"/>
      <c r="O30" s="219"/>
      <c r="P30" s="219"/>
      <c r="Q30" s="219"/>
      <c r="R30" s="220"/>
    </row>
    <row r="31" spans="1:18" ht="49.95" customHeight="1" x14ac:dyDescent="0.3">
      <c r="A31" s="27" t="s">
        <v>78</v>
      </c>
      <c r="B31" s="27" t="s">
        <v>1076</v>
      </c>
      <c r="C31" s="27">
        <v>0.60069444444444442</v>
      </c>
      <c r="D31" s="27" t="s">
        <v>83</v>
      </c>
      <c r="E31" s="27" t="s">
        <v>95</v>
      </c>
      <c r="F31" s="27" t="s">
        <v>1083</v>
      </c>
      <c r="G31" s="328"/>
      <c r="H31" s="231"/>
      <c r="I31" s="232"/>
      <c r="J31" s="232"/>
      <c r="K31" s="232"/>
      <c r="L31" s="232"/>
      <c r="M31" s="232"/>
      <c r="N31" s="232"/>
      <c r="O31" s="232"/>
      <c r="P31" s="232"/>
      <c r="Q31" s="232"/>
      <c r="R31" s="233"/>
    </row>
    <row r="32" spans="1:18" ht="17.399999999999999" customHeight="1" x14ac:dyDescent="0.3">
      <c r="A32" s="360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2"/>
    </row>
    <row r="33" spans="1:18" ht="17.399999999999999" customHeight="1" x14ac:dyDescent="0.3">
      <c r="A33" s="360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2"/>
    </row>
    <row r="34" spans="1:18" ht="22.05" customHeight="1" x14ac:dyDescent="0.3">
      <c r="A34" s="323" t="s">
        <v>6</v>
      </c>
      <c r="B34" s="324"/>
      <c r="C34" s="324"/>
      <c r="D34" s="324"/>
      <c r="E34" s="324"/>
      <c r="F34" s="324"/>
      <c r="G34" s="2">
        <v>45993</v>
      </c>
      <c r="H34" s="323" t="s">
        <v>7</v>
      </c>
      <c r="I34" s="324"/>
      <c r="J34" s="324"/>
      <c r="K34" s="324"/>
      <c r="L34" s="324"/>
      <c r="M34" s="324"/>
      <c r="N34" s="324"/>
      <c r="O34" s="324"/>
      <c r="P34" s="324"/>
      <c r="Q34" s="324"/>
      <c r="R34" s="324"/>
    </row>
    <row r="35" spans="1:18" ht="24" customHeight="1" x14ac:dyDescent="0.3">
      <c r="A35" s="3" t="s">
        <v>8</v>
      </c>
      <c r="B35" s="3" t="s">
        <v>9</v>
      </c>
      <c r="C35" s="3" t="s">
        <v>10</v>
      </c>
      <c r="D35" s="3" t="s">
        <v>11</v>
      </c>
      <c r="E35" s="3" t="s">
        <v>12</v>
      </c>
      <c r="F35" s="4" t="s">
        <v>13</v>
      </c>
      <c r="G35" s="5" t="s">
        <v>14</v>
      </c>
      <c r="H35" s="3" t="s">
        <v>15</v>
      </c>
      <c r="I35" s="3" t="s">
        <v>16</v>
      </c>
      <c r="J35" s="3" t="s">
        <v>17</v>
      </c>
      <c r="K35" s="3" t="s">
        <v>18</v>
      </c>
      <c r="L35" s="3" t="s">
        <v>19</v>
      </c>
      <c r="M35" s="3" t="s">
        <v>20</v>
      </c>
      <c r="N35" s="3" t="s">
        <v>21</v>
      </c>
      <c r="O35" s="3" t="s">
        <v>22</v>
      </c>
      <c r="P35" s="3" t="s">
        <v>23</v>
      </c>
      <c r="Q35" s="3" t="s">
        <v>24</v>
      </c>
      <c r="R35" s="3" t="s">
        <v>25</v>
      </c>
    </row>
    <row r="36" spans="1:18" ht="49.95" customHeight="1" x14ac:dyDescent="0.3">
      <c r="A36" s="6" t="s">
        <v>78</v>
      </c>
      <c r="B36" s="6" t="s">
        <v>1076</v>
      </c>
      <c r="C36" s="6">
        <v>0.60069444444444442</v>
      </c>
      <c r="D36" s="6" t="s">
        <v>80</v>
      </c>
      <c r="E36" s="6" t="s">
        <v>132</v>
      </c>
      <c r="F36" s="6" t="s">
        <v>1086</v>
      </c>
      <c r="G36" s="335"/>
      <c r="H36" s="218"/>
      <c r="I36" s="219"/>
      <c r="J36" s="219"/>
      <c r="K36" s="219"/>
      <c r="L36" s="219"/>
      <c r="M36" s="219"/>
      <c r="N36" s="219"/>
      <c r="O36" s="219"/>
      <c r="P36" s="219"/>
      <c r="Q36" s="219"/>
      <c r="R36" s="220"/>
    </row>
    <row r="37" spans="1:18" ht="49.95" customHeight="1" x14ac:dyDescent="0.3">
      <c r="A37" s="27" t="s">
        <v>78</v>
      </c>
      <c r="B37" s="27" t="s">
        <v>1076</v>
      </c>
      <c r="C37" s="27">
        <v>0.60069444444444442</v>
      </c>
      <c r="D37" s="27" t="s">
        <v>83</v>
      </c>
      <c r="E37" s="27" t="s">
        <v>115</v>
      </c>
      <c r="F37" s="27" t="s">
        <v>1087</v>
      </c>
      <c r="G37" s="328"/>
      <c r="H37" s="231"/>
      <c r="I37" s="232"/>
      <c r="J37" s="232"/>
      <c r="K37" s="232"/>
      <c r="L37" s="232"/>
      <c r="M37" s="232"/>
      <c r="N37" s="232"/>
      <c r="O37" s="232"/>
      <c r="P37" s="232"/>
      <c r="Q37" s="232"/>
      <c r="R37" s="233"/>
    </row>
    <row r="38" spans="1:18" ht="17.399999999999999" customHeight="1" x14ac:dyDescent="0.3">
      <c r="A38" s="360"/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2"/>
    </row>
    <row r="39" spans="1:18" ht="17.399999999999999" customHeight="1" x14ac:dyDescent="0.3">
      <c r="A39" s="360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2"/>
    </row>
    <row r="40" spans="1:18" ht="22.05" customHeight="1" x14ac:dyDescent="0.3">
      <c r="A40" s="323" t="s">
        <v>6</v>
      </c>
      <c r="B40" s="324"/>
      <c r="C40" s="324"/>
      <c r="D40" s="324"/>
      <c r="E40" s="324"/>
      <c r="F40" s="324"/>
      <c r="G40" s="2">
        <v>45995</v>
      </c>
      <c r="H40" s="323" t="s">
        <v>7</v>
      </c>
      <c r="I40" s="324"/>
      <c r="J40" s="324"/>
      <c r="K40" s="324"/>
      <c r="L40" s="324"/>
      <c r="M40" s="324"/>
      <c r="N40" s="324"/>
      <c r="O40" s="324"/>
      <c r="P40" s="324"/>
      <c r="Q40" s="324"/>
      <c r="R40" s="324"/>
    </row>
    <row r="41" spans="1:18" ht="24" customHeight="1" x14ac:dyDescent="0.3">
      <c r="A41" s="3" t="s">
        <v>8</v>
      </c>
      <c r="B41" s="3" t="s">
        <v>9</v>
      </c>
      <c r="C41" s="3" t="s">
        <v>10</v>
      </c>
      <c r="D41" s="3" t="s">
        <v>11</v>
      </c>
      <c r="E41" s="3" t="s">
        <v>12</v>
      </c>
      <c r="F41" s="4" t="s">
        <v>13</v>
      </c>
      <c r="G41" s="5" t="s">
        <v>14</v>
      </c>
      <c r="H41" s="3" t="s">
        <v>15</v>
      </c>
      <c r="I41" s="3" t="s">
        <v>16</v>
      </c>
      <c r="J41" s="3" t="s">
        <v>17</v>
      </c>
      <c r="K41" s="3" t="s">
        <v>18</v>
      </c>
      <c r="L41" s="3" t="s">
        <v>19</v>
      </c>
      <c r="M41" s="3" t="s">
        <v>20</v>
      </c>
      <c r="N41" s="3" t="s">
        <v>21</v>
      </c>
      <c r="O41" s="3" t="s">
        <v>22</v>
      </c>
      <c r="P41" s="3" t="s">
        <v>23</v>
      </c>
      <c r="Q41" s="3" t="s">
        <v>24</v>
      </c>
      <c r="R41" s="3" t="s">
        <v>25</v>
      </c>
    </row>
    <row r="42" spans="1:18" ht="49.95" customHeight="1" x14ac:dyDescent="0.3">
      <c r="A42" s="6" t="s">
        <v>78</v>
      </c>
      <c r="B42" s="6" t="s">
        <v>1076</v>
      </c>
      <c r="C42" s="6">
        <v>0.60069444444444442</v>
      </c>
      <c r="D42" s="6" t="s">
        <v>80</v>
      </c>
      <c r="E42" s="6" t="s">
        <v>132</v>
      </c>
      <c r="F42" s="6" t="s">
        <v>1079</v>
      </c>
      <c r="G42" s="335"/>
      <c r="H42" s="218"/>
      <c r="I42" s="219"/>
      <c r="J42" s="219"/>
      <c r="K42" s="219"/>
      <c r="L42" s="219"/>
      <c r="M42" s="219"/>
      <c r="N42" s="219"/>
      <c r="O42" s="219"/>
      <c r="P42" s="219"/>
      <c r="Q42" s="219"/>
      <c r="R42" s="220"/>
    </row>
    <row r="43" spans="1:18" ht="49.95" customHeight="1" x14ac:dyDescent="0.3">
      <c r="A43" s="27" t="s">
        <v>78</v>
      </c>
      <c r="B43" s="27" t="s">
        <v>1076</v>
      </c>
      <c r="C43" s="27">
        <v>0.60069444444444442</v>
      </c>
      <c r="D43" s="27" t="s">
        <v>83</v>
      </c>
      <c r="E43" s="27" t="s">
        <v>115</v>
      </c>
      <c r="F43" s="27" t="s">
        <v>1080</v>
      </c>
      <c r="G43" s="328"/>
      <c r="H43" s="231"/>
      <c r="I43" s="232"/>
      <c r="J43" s="232"/>
      <c r="K43" s="232"/>
      <c r="L43" s="232"/>
      <c r="M43" s="232"/>
      <c r="N43" s="232"/>
      <c r="O43" s="232"/>
      <c r="P43" s="232"/>
      <c r="Q43" s="232"/>
      <c r="R43" s="233"/>
    </row>
    <row r="44" spans="1:18" ht="17.399999999999999" customHeight="1" x14ac:dyDescent="0.3">
      <c r="A44" s="360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2"/>
    </row>
    <row r="45" spans="1:18" ht="17.399999999999999" customHeight="1" x14ac:dyDescent="0.3">
      <c r="A45" s="360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2"/>
    </row>
    <row r="46" spans="1:18" ht="22.05" customHeight="1" x14ac:dyDescent="0.3">
      <c r="A46" s="323" t="s">
        <v>6</v>
      </c>
      <c r="B46" s="324"/>
      <c r="C46" s="324"/>
      <c r="D46" s="324"/>
      <c r="E46" s="324"/>
      <c r="F46" s="324"/>
      <c r="G46" s="2">
        <v>45997</v>
      </c>
      <c r="H46" s="323" t="s">
        <v>7</v>
      </c>
      <c r="I46" s="324"/>
      <c r="J46" s="324"/>
      <c r="K46" s="324"/>
      <c r="L46" s="324"/>
      <c r="M46" s="324"/>
      <c r="N46" s="324"/>
      <c r="O46" s="324"/>
      <c r="P46" s="324"/>
      <c r="Q46" s="324"/>
      <c r="R46" s="324"/>
    </row>
    <row r="47" spans="1:18" ht="24" customHeight="1" x14ac:dyDescent="0.3">
      <c r="A47" s="3" t="s">
        <v>8</v>
      </c>
      <c r="B47" s="3" t="s">
        <v>9</v>
      </c>
      <c r="C47" s="3" t="s">
        <v>10</v>
      </c>
      <c r="D47" s="3" t="s">
        <v>11</v>
      </c>
      <c r="E47" s="3" t="s">
        <v>12</v>
      </c>
      <c r="F47" s="4" t="s">
        <v>13</v>
      </c>
      <c r="G47" s="5" t="s">
        <v>14</v>
      </c>
      <c r="H47" s="3" t="s">
        <v>15</v>
      </c>
      <c r="I47" s="3" t="s">
        <v>16</v>
      </c>
      <c r="J47" s="3" t="s">
        <v>17</v>
      </c>
      <c r="K47" s="3" t="s">
        <v>18</v>
      </c>
      <c r="L47" s="3" t="s">
        <v>19</v>
      </c>
      <c r="M47" s="3" t="s">
        <v>20</v>
      </c>
      <c r="N47" s="3" t="s">
        <v>21</v>
      </c>
      <c r="O47" s="3" t="s">
        <v>22</v>
      </c>
      <c r="P47" s="3" t="s">
        <v>23</v>
      </c>
      <c r="Q47" s="3" t="s">
        <v>24</v>
      </c>
      <c r="R47" s="3" t="s">
        <v>25</v>
      </c>
    </row>
    <row r="48" spans="1:18" ht="49.95" customHeight="1" x14ac:dyDescent="0.3">
      <c r="A48" s="6" t="s">
        <v>78</v>
      </c>
      <c r="B48" s="6" t="s">
        <v>1076</v>
      </c>
      <c r="C48" s="6">
        <v>0.60416666666666663</v>
      </c>
      <c r="D48" s="6" t="s">
        <v>80</v>
      </c>
      <c r="E48" s="6" t="s">
        <v>47</v>
      </c>
      <c r="F48" s="6" t="s">
        <v>1079</v>
      </c>
      <c r="G48" s="335"/>
      <c r="H48" s="218"/>
      <c r="I48" s="219"/>
      <c r="J48" s="219"/>
      <c r="K48" s="219"/>
      <c r="L48" s="219"/>
      <c r="M48" s="219"/>
      <c r="N48" s="219"/>
      <c r="O48" s="219"/>
      <c r="P48" s="219"/>
      <c r="Q48" s="219"/>
      <c r="R48" s="220"/>
    </row>
    <row r="49" spans="1:18" ht="49.95" customHeight="1" x14ac:dyDescent="0.3">
      <c r="A49" s="27" t="s">
        <v>78</v>
      </c>
      <c r="B49" s="27" t="s">
        <v>1076</v>
      </c>
      <c r="C49" s="27">
        <v>0.60416666666666663</v>
      </c>
      <c r="D49" s="27" t="s">
        <v>83</v>
      </c>
      <c r="E49" s="27" t="s">
        <v>95</v>
      </c>
      <c r="F49" s="27" t="s">
        <v>1080</v>
      </c>
      <c r="G49" s="328"/>
      <c r="H49" s="231"/>
      <c r="I49" s="232"/>
      <c r="J49" s="232"/>
      <c r="K49" s="232"/>
      <c r="L49" s="232"/>
      <c r="M49" s="232"/>
      <c r="N49" s="232"/>
      <c r="O49" s="232"/>
      <c r="P49" s="232"/>
      <c r="Q49" s="232"/>
      <c r="R49" s="233"/>
    </row>
    <row r="50" spans="1:18" ht="17.399999999999999" customHeight="1" x14ac:dyDescent="0.3">
      <c r="A50" s="360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2"/>
    </row>
    <row r="51" spans="1:18" ht="22.05" customHeight="1" x14ac:dyDescent="0.3">
      <c r="A51" s="323" t="s">
        <v>6</v>
      </c>
      <c r="B51" s="324"/>
      <c r="C51" s="324"/>
      <c r="D51" s="324"/>
      <c r="E51" s="324"/>
      <c r="F51" s="324"/>
      <c r="G51" s="2">
        <v>45998</v>
      </c>
      <c r="H51" s="323" t="s">
        <v>7</v>
      </c>
      <c r="I51" s="324"/>
      <c r="J51" s="324"/>
      <c r="K51" s="324"/>
      <c r="L51" s="324"/>
      <c r="M51" s="324"/>
      <c r="N51" s="324"/>
      <c r="O51" s="324"/>
      <c r="P51" s="324"/>
      <c r="Q51" s="324"/>
      <c r="R51" s="324"/>
    </row>
    <row r="52" spans="1:18" ht="24" customHeight="1" x14ac:dyDescent="0.3">
      <c r="A52" s="3" t="s">
        <v>8</v>
      </c>
      <c r="B52" s="3" t="s">
        <v>9</v>
      </c>
      <c r="C52" s="3" t="s">
        <v>10</v>
      </c>
      <c r="D52" s="3" t="s">
        <v>11</v>
      </c>
      <c r="E52" s="3" t="s">
        <v>12</v>
      </c>
      <c r="F52" s="4" t="s">
        <v>13</v>
      </c>
      <c r="G52" s="5" t="s">
        <v>14</v>
      </c>
      <c r="H52" s="3" t="s">
        <v>15</v>
      </c>
      <c r="I52" s="3" t="s">
        <v>16</v>
      </c>
      <c r="J52" s="3" t="s">
        <v>17</v>
      </c>
      <c r="K52" s="3" t="s">
        <v>18</v>
      </c>
      <c r="L52" s="3" t="s">
        <v>19</v>
      </c>
      <c r="M52" s="3" t="s">
        <v>20</v>
      </c>
      <c r="N52" s="3" t="s">
        <v>21</v>
      </c>
      <c r="O52" s="3" t="s">
        <v>22</v>
      </c>
      <c r="P52" s="3" t="s">
        <v>23</v>
      </c>
      <c r="Q52" s="3" t="s">
        <v>24</v>
      </c>
      <c r="R52" s="3" t="s">
        <v>25</v>
      </c>
    </row>
    <row r="53" spans="1:18" ht="49.95" customHeight="1" x14ac:dyDescent="0.3">
      <c r="A53" s="6" t="s">
        <v>78</v>
      </c>
      <c r="B53" s="6" t="s">
        <v>1076</v>
      </c>
      <c r="C53" s="6">
        <v>0.60069444444444442</v>
      </c>
      <c r="D53" s="6" t="s">
        <v>829</v>
      </c>
      <c r="E53" s="6" t="s">
        <v>47</v>
      </c>
      <c r="F53" s="6" t="s">
        <v>1084</v>
      </c>
      <c r="G53" s="335"/>
      <c r="H53" s="218"/>
      <c r="I53" s="219"/>
      <c r="J53" s="219"/>
      <c r="K53" s="219"/>
      <c r="L53" s="219"/>
      <c r="M53" s="219"/>
      <c r="N53" s="219"/>
      <c r="O53" s="219"/>
      <c r="P53" s="219"/>
      <c r="Q53" s="219"/>
      <c r="R53" s="220"/>
    </row>
    <row r="54" spans="1:18" ht="49.95" customHeight="1" x14ac:dyDescent="0.3">
      <c r="A54" s="10" t="s">
        <v>78</v>
      </c>
      <c r="B54" s="10" t="s">
        <v>1076</v>
      </c>
      <c r="C54" s="10">
        <v>0.60069444444444442</v>
      </c>
      <c r="D54" s="10" t="s">
        <v>80</v>
      </c>
      <c r="E54" s="10" t="s">
        <v>95</v>
      </c>
      <c r="F54" s="10" t="s">
        <v>43</v>
      </c>
      <c r="G54" s="328"/>
      <c r="H54" s="218"/>
      <c r="I54" s="219"/>
      <c r="J54" s="219"/>
      <c r="K54" s="219"/>
      <c r="L54" s="219"/>
      <c r="M54" s="219"/>
      <c r="N54" s="219"/>
      <c r="O54" s="219"/>
      <c r="P54" s="219"/>
      <c r="Q54" s="219"/>
      <c r="R54" s="220"/>
    </row>
    <row r="55" spans="1:18" ht="49.95" customHeight="1" x14ac:dyDescent="0.3">
      <c r="A55" s="27" t="s">
        <v>78</v>
      </c>
      <c r="B55" s="27" t="s">
        <v>1076</v>
      </c>
      <c r="C55" s="27">
        <v>0.60069444444444442</v>
      </c>
      <c r="D55" s="27" t="s">
        <v>83</v>
      </c>
      <c r="E55" s="27" t="s">
        <v>95</v>
      </c>
      <c r="F55" s="27" t="s">
        <v>1085</v>
      </c>
      <c r="G55" s="328"/>
      <c r="H55" s="231"/>
      <c r="I55" s="232"/>
      <c r="J55" s="232"/>
      <c r="K55" s="232"/>
      <c r="L55" s="232"/>
      <c r="M55" s="232"/>
      <c r="N55" s="232"/>
      <c r="O55" s="232"/>
      <c r="P55" s="232"/>
      <c r="Q55" s="232"/>
      <c r="R55" s="233"/>
    </row>
    <row r="56" spans="1:18" ht="17.399999999999999" customHeight="1" x14ac:dyDescent="0.3">
      <c r="A56" s="360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1"/>
      <c r="P56" s="361"/>
      <c r="Q56" s="361"/>
      <c r="R56" s="362"/>
    </row>
    <row r="57" spans="1:18" ht="17.399999999999999" customHeight="1" x14ac:dyDescent="0.3">
      <c r="A57" s="360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2"/>
    </row>
    <row r="58" spans="1:18" ht="22.05" customHeight="1" x14ac:dyDescent="0.3">
      <c r="A58" s="323" t="s">
        <v>6</v>
      </c>
      <c r="B58" s="324"/>
      <c r="C58" s="324"/>
      <c r="D58" s="324"/>
      <c r="E58" s="324"/>
      <c r="F58" s="324"/>
      <c r="G58" s="2">
        <v>46000</v>
      </c>
      <c r="H58" s="323" t="s">
        <v>7</v>
      </c>
      <c r="I58" s="324"/>
      <c r="J58" s="324"/>
      <c r="K58" s="324"/>
      <c r="L58" s="324"/>
      <c r="M58" s="324"/>
      <c r="N58" s="324"/>
      <c r="O58" s="324"/>
      <c r="P58" s="324"/>
      <c r="Q58" s="324"/>
      <c r="R58" s="324"/>
    </row>
    <row r="59" spans="1:18" ht="24" customHeight="1" x14ac:dyDescent="0.3">
      <c r="A59" s="3" t="s">
        <v>8</v>
      </c>
      <c r="B59" s="3" t="s">
        <v>9</v>
      </c>
      <c r="C59" s="3" t="s">
        <v>10</v>
      </c>
      <c r="D59" s="3" t="s">
        <v>11</v>
      </c>
      <c r="E59" s="3" t="s">
        <v>12</v>
      </c>
      <c r="F59" s="4" t="s">
        <v>13</v>
      </c>
      <c r="G59" s="5" t="s">
        <v>14</v>
      </c>
      <c r="H59" s="3" t="s">
        <v>15</v>
      </c>
      <c r="I59" s="3" t="s">
        <v>16</v>
      </c>
      <c r="J59" s="3" t="s">
        <v>17</v>
      </c>
      <c r="K59" s="3" t="s">
        <v>18</v>
      </c>
      <c r="L59" s="3" t="s">
        <v>19</v>
      </c>
      <c r="M59" s="3" t="s">
        <v>20</v>
      </c>
      <c r="N59" s="3" t="s">
        <v>21</v>
      </c>
      <c r="O59" s="3" t="s">
        <v>22</v>
      </c>
      <c r="P59" s="3" t="s">
        <v>23</v>
      </c>
      <c r="Q59" s="3" t="s">
        <v>24</v>
      </c>
      <c r="R59" s="3" t="s">
        <v>25</v>
      </c>
    </row>
    <row r="60" spans="1:18" ht="49.95" customHeight="1" x14ac:dyDescent="0.3">
      <c r="A60" s="6" t="s">
        <v>78</v>
      </c>
      <c r="B60" s="6" t="s">
        <v>1076</v>
      </c>
      <c r="C60" s="6">
        <v>0.60069444444444442</v>
      </c>
      <c r="D60" s="6" t="s">
        <v>829</v>
      </c>
      <c r="E60" s="6" t="s">
        <v>47</v>
      </c>
      <c r="F60" s="6" t="s">
        <v>1081</v>
      </c>
      <c r="G60" s="335"/>
      <c r="H60" s="218"/>
      <c r="I60" s="219"/>
      <c r="J60" s="219"/>
      <c r="K60" s="219"/>
      <c r="L60" s="219"/>
      <c r="M60" s="219"/>
      <c r="N60" s="219"/>
      <c r="O60" s="219"/>
      <c r="P60" s="219"/>
      <c r="Q60" s="219"/>
      <c r="R60" s="220"/>
    </row>
    <row r="61" spans="1:18" ht="49.95" customHeight="1" x14ac:dyDescent="0.3">
      <c r="A61" s="10" t="s">
        <v>78</v>
      </c>
      <c r="B61" s="10" t="s">
        <v>1076</v>
      </c>
      <c r="C61" s="10">
        <v>0.60069444444444442</v>
      </c>
      <c r="D61" s="10" t="s">
        <v>80</v>
      </c>
      <c r="E61" s="10" t="s">
        <v>95</v>
      </c>
      <c r="F61" s="10" t="s">
        <v>1082</v>
      </c>
      <c r="G61" s="328"/>
      <c r="H61" s="218"/>
      <c r="I61" s="219"/>
      <c r="J61" s="219"/>
      <c r="K61" s="219"/>
      <c r="L61" s="219"/>
      <c r="M61" s="219"/>
      <c r="N61" s="219"/>
      <c r="O61" s="219"/>
      <c r="P61" s="219"/>
      <c r="Q61" s="219"/>
      <c r="R61" s="220"/>
    </row>
    <row r="62" spans="1:18" ht="49.95" customHeight="1" x14ac:dyDescent="0.3">
      <c r="A62" s="27" t="s">
        <v>78</v>
      </c>
      <c r="B62" s="27" t="s">
        <v>1076</v>
      </c>
      <c r="C62" s="27">
        <v>0.60069444444444442</v>
      </c>
      <c r="D62" s="27" t="s">
        <v>83</v>
      </c>
      <c r="E62" s="27" t="s">
        <v>95</v>
      </c>
      <c r="F62" s="27" t="s">
        <v>1083</v>
      </c>
      <c r="G62" s="328"/>
      <c r="H62" s="231"/>
      <c r="I62" s="232"/>
      <c r="J62" s="232"/>
      <c r="K62" s="232"/>
      <c r="L62" s="232"/>
      <c r="M62" s="232"/>
      <c r="N62" s="232"/>
      <c r="O62" s="232"/>
      <c r="P62" s="232"/>
      <c r="Q62" s="232"/>
      <c r="R62" s="233"/>
    </row>
    <row r="63" spans="1:18" ht="17.399999999999999" customHeight="1" x14ac:dyDescent="0.3">
      <c r="A63" s="360"/>
      <c r="B63" s="361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2"/>
    </row>
  </sheetData>
  <mergeCells count="52">
    <mergeCell ref="A63:R63"/>
    <mergeCell ref="A9:F9"/>
    <mergeCell ref="A13:R13"/>
    <mergeCell ref="A58:F58"/>
    <mergeCell ref="K2:R2"/>
    <mergeCell ref="A34:F34"/>
    <mergeCell ref="A40:F40"/>
    <mergeCell ref="A44:R44"/>
    <mergeCell ref="G23:G25"/>
    <mergeCell ref="H27:R27"/>
    <mergeCell ref="A39:R39"/>
    <mergeCell ref="A51:F51"/>
    <mergeCell ref="G53:G55"/>
    <mergeCell ref="A45:R45"/>
    <mergeCell ref="G11:G12"/>
    <mergeCell ref="H14:R14"/>
    <mergeCell ref="G60:G62"/>
    <mergeCell ref="G16:G18"/>
    <mergeCell ref="H46:R46"/>
    <mergeCell ref="H21:R21"/>
    <mergeCell ref="G6:G7"/>
    <mergeCell ref="A32:R32"/>
    <mergeCell ref="H51:R51"/>
    <mergeCell ref="A8:R8"/>
    <mergeCell ref="A20:R20"/>
    <mergeCell ref="A38:R38"/>
    <mergeCell ref="A19:R19"/>
    <mergeCell ref="H58:R58"/>
    <mergeCell ref="H34:R34"/>
    <mergeCell ref="A57:R57"/>
    <mergeCell ref="A14:F14"/>
    <mergeCell ref="A33:R33"/>
    <mergeCell ref="A50:R50"/>
    <mergeCell ref="A56:R56"/>
    <mergeCell ref="G36:G37"/>
    <mergeCell ref="A2:F2"/>
    <mergeCell ref="A3:R3"/>
    <mergeCell ref="H9:R9"/>
    <mergeCell ref="A26:R26"/>
    <mergeCell ref="H40:R40"/>
    <mergeCell ref="G2:J2"/>
    <mergeCell ref="A4:F4"/>
    <mergeCell ref="A46:F46"/>
    <mergeCell ref="G48:G49"/>
    <mergeCell ref="A27:F27"/>
    <mergeCell ref="G42:G43"/>
    <mergeCell ref="H1:L1"/>
    <mergeCell ref="A1:E1"/>
    <mergeCell ref="G29:G31"/>
    <mergeCell ref="A21:F21"/>
    <mergeCell ref="H4:R4"/>
    <mergeCell ref="N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/>
  </sheetViews>
  <sheetFormatPr defaultRowHeight="15.6" outlineLevelCol="1" x14ac:dyDescent="0.3"/>
  <cols>
    <col min="1" max="1" width="4.109375" style="343" bestFit="1" customWidth="1"/>
    <col min="2" max="2" width="5.33203125" style="343" bestFit="1" customWidth="1"/>
    <col min="3" max="3" width="3" style="343" bestFit="1" customWidth="1"/>
    <col min="4" max="4" width="4.21875" style="343" bestFit="1" customWidth="1"/>
    <col min="5" max="5" width="7.109375" style="343" bestFit="1" customWidth="1"/>
    <col min="6" max="6" width="4" style="343" bestFit="1" customWidth="1"/>
    <col min="7" max="8" width="4.21875" style="343" bestFit="1" customWidth="1"/>
    <col min="9" max="10" width="6.44140625" style="343" bestFit="1" customWidth="1"/>
    <col min="11" max="11" width="6.109375" style="343" bestFit="1" customWidth="1"/>
    <col min="12" max="12" width="8.77734375" style="343" bestFit="1" customWidth="1"/>
    <col min="13" max="13" width="7.33203125" style="343" bestFit="1" customWidth="1" outlineLevel="1"/>
    <col min="14" max="14" width="6" style="343" bestFit="1" customWidth="1" outlineLevel="1"/>
    <col min="15" max="15" width="7.6640625" style="343" bestFit="1" customWidth="1" outlineLevel="1"/>
    <col min="16" max="16" width="13.21875" style="343" bestFit="1" customWidth="1"/>
    <col min="17" max="17" width="2" style="343" bestFit="1" customWidth="1"/>
    <col min="18" max="18" width="2.109375" style="343" bestFit="1" customWidth="1"/>
    <col min="19" max="19" width="2.6640625" style="343" bestFit="1" customWidth="1"/>
    <col min="20" max="20" width="2.21875" style="343" bestFit="1" customWidth="1"/>
    <col min="21" max="21" width="2.33203125" style="343" bestFit="1" customWidth="1"/>
    <col min="22" max="22" width="2" style="343" bestFit="1" customWidth="1"/>
    <col min="23" max="23" width="2.109375" style="343" bestFit="1" customWidth="1"/>
    <col min="24" max="24" width="1.88671875" style="343" bestFit="1" customWidth="1"/>
    <col min="25" max="25" width="2.21875" style="343" bestFit="1" customWidth="1"/>
    <col min="26" max="26" width="1.88671875" style="343" bestFit="1" customWidth="1"/>
    <col min="27" max="27" width="2.77734375" style="343" bestFit="1" customWidth="1"/>
    <col min="28" max="29" width="2" style="343" bestFit="1" customWidth="1"/>
    <col min="30" max="31" width="2.33203125" style="343" bestFit="1" customWidth="1"/>
    <col min="32" max="32" width="1.5546875" style="343" bestFit="1" customWidth="1"/>
    <col min="33" max="33" width="2" style="343" bestFit="1" customWidth="1"/>
    <col min="34" max="34" width="2.109375" style="343" bestFit="1" customWidth="1"/>
    <col min="35" max="35" width="2" style="343" bestFit="1" customWidth="1"/>
    <col min="36" max="36" width="2.3320312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6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</row>
    <row r="2" spans="1:8" ht="19.8" customHeight="1" x14ac:dyDescent="0.3">
      <c r="A2" s="93" t="s">
        <v>292</v>
      </c>
      <c r="B2" s="94" t="s">
        <v>78</v>
      </c>
      <c r="C2" s="95" t="s">
        <v>1076</v>
      </c>
      <c r="D2" s="94" t="s">
        <v>1075</v>
      </c>
      <c r="E2" s="94" t="s">
        <v>1088</v>
      </c>
      <c r="F2" s="94" t="s">
        <v>80</v>
      </c>
      <c r="G2" s="96">
        <v>1</v>
      </c>
      <c r="H2" s="107" t="s">
        <v>1077</v>
      </c>
    </row>
    <row r="3" spans="1:8" ht="19.8" customHeight="1" x14ac:dyDescent="0.3">
      <c r="A3" s="284" t="s">
        <v>292</v>
      </c>
      <c r="B3" s="114" t="s">
        <v>78</v>
      </c>
      <c r="C3" s="115" t="s">
        <v>1076</v>
      </c>
      <c r="D3" s="114" t="s">
        <v>1075</v>
      </c>
      <c r="E3" s="114" t="s">
        <v>1088</v>
      </c>
      <c r="F3" s="114" t="s">
        <v>83</v>
      </c>
      <c r="G3" s="117">
        <v>1</v>
      </c>
      <c r="H3" s="118" t="s">
        <v>1078</v>
      </c>
    </row>
    <row r="4" spans="1:8" ht="19.8" customHeight="1" x14ac:dyDescent="0.3">
      <c r="A4" s="93" t="s">
        <v>401</v>
      </c>
      <c r="B4" s="94" t="s">
        <v>78</v>
      </c>
      <c r="C4" s="95" t="s">
        <v>1076</v>
      </c>
      <c r="D4" s="94" t="s">
        <v>1075</v>
      </c>
      <c r="E4" s="94" t="s">
        <v>933</v>
      </c>
      <c r="F4" s="94" t="s">
        <v>80</v>
      </c>
      <c r="G4" s="96">
        <v>2</v>
      </c>
      <c r="H4" s="107" t="s">
        <v>1079</v>
      </c>
    </row>
    <row r="5" spans="1:8" ht="19.8" customHeight="1" x14ac:dyDescent="0.3">
      <c r="A5" s="284" t="s">
        <v>401</v>
      </c>
      <c r="B5" s="114" t="s">
        <v>78</v>
      </c>
      <c r="C5" s="115" t="s">
        <v>1076</v>
      </c>
      <c r="D5" s="114" t="s">
        <v>1075</v>
      </c>
      <c r="E5" s="114" t="s">
        <v>933</v>
      </c>
      <c r="F5" s="114" t="s">
        <v>83</v>
      </c>
      <c r="G5" s="117">
        <v>2</v>
      </c>
      <c r="H5" s="118" t="s">
        <v>1080</v>
      </c>
    </row>
    <row r="6" spans="1:8" ht="19.8" customHeight="1" x14ac:dyDescent="0.3">
      <c r="A6" s="93" t="s">
        <v>1089</v>
      </c>
      <c r="B6" s="94" t="s">
        <v>78</v>
      </c>
      <c r="C6" s="95" t="s">
        <v>1076</v>
      </c>
      <c r="D6" s="94" t="s">
        <v>1075</v>
      </c>
      <c r="E6" s="94" t="s">
        <v>933</v>
      </c>
      <c r="F6" s="94" t="s">
        <v>829</v>
      </c>
      <c r="G6" s="96">
        <v>1</v>
      </c>
      <c r="H6" s="97">
        <v>647</v>
      </c>
    </row>
    <row r="7" spans="1:8" ht="19.8" customHeight="1" x14ac:dyDescent="0.3">
      <c r="A7" s="93" t="s">
        <v>1089</v>
      </c>
      <c r="B7" s="94" t="s">
        <v>78</v>
      </c>
      <c r="C7" s="95" t="s">
        <v>1076</v>
      </c>
      <c r="D7" s="94" t="s">
        <v>1075</v>
      </c>
      <c r="E7" s="94" t="s">
        <v>933</v>
      </c>
      <c r="F7" s="94" t="s">
        <v>80</v>
      </c>
      <c r="G7" s="96">
        <v>1</v>
      </c>
      <c r="H7" s="97">
        <v>925</v>
      </c>
    </row>
    <row r="8" spans="1:8" ht="19.8" customHeight="1" x14ac:dyDescent="0.3">
      <c r="A8" s="284" t="s">
        <v>1089</v>
      </c>
      <c r="B8" s="114" t="s">
        <v>78</v>
      </c>
      <c r="C8" s="115" t="s">
        <v>1076</v>
      </c>
      <c r="D8" s="114" t="s">
        <v>1075</v>
      </c>
      <c r="E8" s="114" t="s">
        <v>933</v>
      </c>
      <c r="F8" s="114" t="s">
        <v>83</v>
      </c>
      <c r="G8" s="117">
        <v>1</v>
      </c>
      <c r="H8" s="142">
        <v>997</v>
      </c>
    </row>
    <row r="9" spans="1:8" ht="19.8" customHeight="1" x14ac:dyDescent="0.3">
      <c r="A9" s="93" t="s">
        <v>1090</v>
      </c>
      <c r="B9" s="94" t="s">
        <v>78</v>
      </c>
      <c r="C9" s="95" t="s">
        <v>1076</v>
      </c>
      <c r="D9" s="94" t="s">
        <v>1075</v>
      </c>
      <c r="E9" s="94" t="s">
        <v>1088</v>
      </c>
      <c r="F9" s="94" t="s">
        <v>829</v>
      </c>
      <c r="G9" s="96">
        <v>9</v>
      </c>
      <c r="H9" s="97">
        <v>551</v>
      </c>
    </row>
    <row r="10" spans="1:8" ht="19.8" customHeight="1" x14ac:dyDescent="0.3">
      <c r="A10" s="93" t="s">
        <v>1090</v>
      </c>
      <c r="B10" s="94" t="s">
        <v>78</v>
      </c>
      <c r="C10" s="95" t="s">
        <v>1076</v>
      </c>
      <c r="D10" s="94" t="s">
        <v>1075</v>
      </c>
      <c r="E10" s="94" t="s">
        <v>1088</v>
      </c>
      <c r="F10" s="94" t="s">
        <v>80</v>
      </c>
      <c r="G10" s="96">
        <v>9</v>
      </c>
      <c r="H10" s="97">
        <v>829</v>
      </c>
    </row>
    <row r="11" spans="1:8" ht="19.8" customHeight="1" x14ac:dyDescent="0.3">
      <c r="A11" s="284" t="s">
        <v>1090</v>
      </c>
      <c r="B11" s="114" t="s">
        <v>78</v>
      </c>
      <c r="C11" s="115" t="s">
        <v>1076</v>
      </c>
      <c r="D11" s="114" t="s">
        <v>1075</v>
      </c>
      <c r="E11" s="114" t="s">
        <v>1088</v>
      </c>
      <c r="F11" s="114" t="s">
        <v>83</v>
      </c>
      <c r="G11" s="117">
        <v>9</v>
      </c>
      <c r="H11" s="142">
        <v>901</v>
      </c>
    </row>
    <row r="12" spans="1:8" ht="19.8" customHeight="1" x14ac:dyDescent="0.3">
      <c r="A12" s="93" t="s">
        <v>1091</v>
      </c>
      <c r="B12" s="94" t="s">
        <v>78</v>
      </c>
      <c r="C12" s="95" t="s">
        <v>1076</v>
      </c>
      <c r="D12" s="94" t="s">
        <v>1075</v>
      </c>
      <c r="E12" s="94" t="s">
        <v>1088</v>
      </c>
      <c r="F12" s="94" t="s">
        <v>829</v>
      </c>
      <c r="G12" s="96">
        <v>9</v>
      </c>
      <c r="H12" s="97">
        <v>647</v>
      </c>
    </row>
    <row r="13" spans="1:8" ht="19.8" customHeight="1" x14ac:dyDescent="0.3">
      <c r="A13" s="93" t="s">
        <v>1091</v>
      </c>
      <c r="B13" s="94" t="s">
        <v>78</v>
      </c>
      <c r="C13" s="95" t="s">
        <v>1076</v>
      </c>
      <c r="D13" s="94" t="s">
        <v>1075</v>
      </c>
      <c r="E13" s="94" t="s">
        <v>1088</v>
      </c>
      <c r="F13" s="94" t="s">
        <v>80</v>
      </c>
      <c r="G13" s="96">
        <v>9</v>
      </c>
      <c r="H13" s="97">
        <v>925</v>
      </c>
    </row>
    <row r="14" spans="1:8" ht="19.8" customHeight="1" x14ac:dyDescent="0.3">
      <c r="A14" s="284" t="s">
        <v>1091</v>
      </c>
      <c r="B14" s="114" t="s">
        <v>78</v>
      </c>
      <c r="C14" s="115" t="s">
        <v>1076</v>
      </c>
      <c r="D14" s="114" t="s">
        <v>1075</v>
      </c>
      <c r="E14" s="114" t="s">
        <v>1088</v>
      </c>
      <c r="F14" s="114" t="s">
        <v>83</v>
      </c>
      <c r="G14" s="117">
        <v>9</v>
      </c>
      <c r="H14" s="142">
        <v>997</v>
      </c>
    </row>
    <row r="15" spans="1:8" ht="19.8" customHeight="1" x14ac:dyDescent="0.3">
      <c r="A15" s="93" t="s">
        <v>1092</v>
      </c>
      <c r="B15" s="94" t="s">
        <v>78</v>
      </c>
      <c r="C15" s="95" t="s">
        <v>1076</v>
      </c>
      <c r="D15" s="94" t="s">
        <v>1075</v>
      </c>
      <c r="E15" s="94" t="s">
        <v>1088</v>
      </c>
      <c r="F15" s="94" t="s">
        <v>80</v>
      </c>
      <c r="G15" s="96">
        <v>1</v>
      </c>
      <c r="H15" s="107" t="s">
        <v>1086</v>
      </c>
    </row>
    <row r="16" spans="1:8" ht="19.8" customHeight="1" x14ac:dyDescent="0.3">
      <c r="A16" s="284" t="s">
        <v>1092</v>
      </c>
      <c r="B16" s="114" t="s">
        <v>78</v>
      </c>
      <c r="C16" s="115" t="s">
        <v>1076</v>
      </c>
      <c r="D16" s="114" t="s">
        <v>1075</v>
      </c>
      <c r="E16" s="114" t="s">
        <v>1088</v>
      </c>
      <c r="F16" s="114" t="s">
        <v>83</v>
      </c>
      <c r="G16" s="117">
        <v>1</v>
      </c>
      <c r="H16" s="118" t="s">
        <v>1087</v>
      </c>
    </row>
    <row r="17" spans="1:8" ht="19.8" customHeight="1" x14ac:dyDescent="0.3">
      <c r="A17" s="93" t="s">
        <v>1093</v>
      </c>
      <c r="B17" s="94" t="s">
        <v>78</v>
      </c>
      <c r="C17" s="95" t="s">
        <v>1076</v>
      </c>
      <c r="D17" s="94" t="s">
        <v>1075</v>
      </c>
      <c r="E17" s="94" t="s">
        <v>1088</v>
      </c>
      <c r="F17" s="94" t="s">
        <v>80</v>
      </c>
      <c r="G17" s="96">
        <v>1</v>
      </c>
      <c r="H17" s="107" t="s">
        <v>1079</v>
      </c>
    </row>
    <row r="18" spans="1:8" ht="19.8" customHeight="1" x14ac:dyDescent="0.3">
      <c r="A18" s="284" t="s">
        <v>1093</v>
      </c>
      <c r="B18" s="114" t="s">
        <v>78</v>
      </c>
      <c r="C18" s="115" t="s">
        <v>1076</v>
      </c>
      <c r="D18" s="114" t="s">
        <v>1075</v>
      </c>
      <c r="E18" s="114" t="s">
        <v>1088</v>
      </c>
      <c r="F18" s="114" t="s">
        <v>83</v>
      </c>
      <c r="G18" s="117">
        <v>1</v>
      </c>
      <c r="H18" s="118" t="s">
        <v>1080</v>
      </c>
    </row>
    <row r="19" spans="1:8" ht="19.8" customHeight="1" x14ac:dyDescent="0.3">
      <c r="A19" s="93" t="s">
        <v>1094</v>
      </c>
      <c r="B19" s="94" t="s">
        <v>78</v>
      </c>
      <c r="C19" s="95" t="s">
        <v>1076</v>
      </c>
      <c r="D19" s="94" t="s">
        <v>1075</v>
      </c>
      <c r="E19" s="94" t="s">
        <v>933</v>
      </c>
      <c r="F19" s="94" t="s">
        <v>80</v>
      </c>
      <c r="G19" s="96">
        <v>9</v>
      </c>
      <c r="H19" s="107" t="s">
        <v>1079</v>
      </c>
    </row>
    <row r="20" spans="1:8" ht="19.8" customHeight="1" x14ac:dyDescent="0.3">
      <c r="A20" s="284" t="s">
        <v>1094</v>
      </c>
      <c r="B20" s="114" t="s">
        <v>78</v>
      </c>
      <c r="C20" s="115" t="s">
        <v>1076</v>
      </c>
      <c r="D20" s="114" t="s">
        <v>1075</v>
      </c>
      <c r="E20" s="114" t="s">
        <v>933</v>
      </c>
      <c r="F20" s="114" t="s">
        <v>83</v>
      </c>
      <c r="G20" s="117">
        <v>9</v>
      </c>
      <c r="H20" s="118" t="s">
        <v>1080</v>
      </c>
    </row>
    <row r="21" spans="1:8" ht="19.8" customHeight="1" x14ac:dyDescent="0.3">
      <c r="A21" s="93" t="s">
        <v>1095</v>
      </c>
      <c r="B21" s="94" t="s">
        <v>78</v>
      </c>
      <c r="C21" s="95" t="s">
        <v>1076</v>
      </c>
      <c r="D21" s="94" t="s">
        <v>1075</v>
      </c>
      <c r="E21" s="94" t="s">
        <v>1088</v>
      </c>
      <c r="F21" s="94" t="s">
        <v>829</v>
      </c>
      <c r="G21" s="96">
        <v>9</v>
      </c>
      <c r="H21" s="97">
        <v>551</v>
      </c>
    </row>
    <row r="22" spans="1:8" ht="19.8" customHeight="1" x14ac:dyDescent="0.3">
      <c r="A22" s="93" t="s">
        <v>1095</v>
      </c>
      <c r="B22" s="94" t="s">
        <v>78</v>
      </c>
      <c r="C22" s="95" t="s">
        <v>1076</v>
      </c>
      <c r="D22" s="94" t="s">
        <v>1075</v>
      </c>
      <c r="E22" s="94" t="s">
        <v>1088</v>
      </c>
      <c r="F22" s="94" t="s">
        <v>80</v>
      </c>
      <c r="G22" s="96">
        <v>9</v>
      </c>
      <c r="H22" s="97">
        <v>829</v>
      </c>
    </row>
    <row r="23" spans="1:8" ht="19.8" customHeight="1" x14ac:dyDescent="0.3">
      <c r="A23" s="284" t="s">
        <v>1095</v>
      </c>
      <c r="B23" s="114" t="s">
        <v>78</v>
      </c>
      <c r="C23" s="115" t="s">
        <v>1076</v>
      </c>
      <c r="D23" s="114" t="s">
        <v>1075</v>
      </c>
      <c r="E23" s="114" t="s">
        <v>1088</v>
      </c>
      <c r="F23" s="114" t="s">
        <v>83</v>
      </c>
      <c r="G23" s="117">
        <v>9</v>
      </c>
      <c r="H23" s="142">
        <v>901</v>
      </c>
    </row>
    <row r="24" spans="1:8" ht="19.8" customHeight="1" x14ac:dyDescent="0.3">
      <c r="A24" s="93" t="s">
        <v>1096</v>
      </c>
      <c r="B24" s="94" t="s">
        <v>78</v>
      </c>
      <c r="C24" s="95" t="s">
        <v>1076</v>
      </c>
      <c r="D24" s="94" t="s">
        <v>1075</v>
      </c>
      <c r="E24" s="94" t="s">
        <v>1088</v>
      </c>
      <c r="F24" s="94" t="s">
        <v>829</v>
      </c>
      <c r="G24" s="96">
        <v>9</v>
      </c>
      <c r="H24" s="97">
        <v>647</v>
      </c>
    </row>
    <row r="25" spans="1:8" ht="19.8" customHeight="1" x14ac:dyDescent="0.3">
      <c r="A25" s="93" t="s">
        <v>1096</v>
      </c>
      <c r="B25" s="94" t="s">
        <v>78</v>
      </c>
      <c r="C25" s="95" t="s">
        <v>1076</v>
      </c>
      <c r="D25" s="94" t="s">
        <v>1075</v>
      </c>
      <c r="E25" s="94" t="s">
        <v>1088</v>
      </c>
      <c r="F25" s="94" t="s">
        <v>80</v>
      </c>
      <c r="G25" s="96">
        <v>9</v>
      </c>
      <c r="H25" s="97">
        <v>925</v>
      </c>
    </row>
    <row r="26" spans="1:8" ht="19.8" customHeight="1" x14ac:dyDescent="0.3">
      <c r="A26" s="284" t="s">
        <v>1096</v>
      </c>
      <c r="B26" s="114" t="s">
        <v>78</v>
      </c>
      <c r="C26" s="115" t="s">
        <v>1076</v>
      </c>
      <c r="D26" s="114" t="s">
        <v>1075</v>
      </c>
      <c r="E26" s="114" t="s">
        <v>1088</v>
      </c>
      <c r="F26" s="114" t="s">
        <v>83</v>
      </c>
      <c r="G26" s="117">
        <v>9</v>
      </c>
      <c r="H26" s="142">
        <v>997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8"/>
  <sheetViews>
    <sheetView workbookViewId="0"/>
  </sheetViews>
  <sheetFormatPr defaultRowHeight="14.4" x14ac:dyDescent="0.3"/>
  <cols>
    <col min="1" max="1" width="16.33203125" customWidth="1"/>
    <col min="2" max="2" width="11.44140625" customWidth="1"/>
    <col min="3" max="3" width="11.6640625" customWidth="1"/>
    <col min="4" max="5" width="14.44140625" customWidth="1"/>
    <col min="6" max="6" width="17.77734375" bestFit="1" customWidth="1"/>
    <col min="7" max="7" width="13.5546875" bestFit="1" customWidth="1"/>
    <col min="8" max="8" width="9" customWidth="1"/>
    <col min="9" max="10" width="7.44140625" customWidth="1"/>
    <col min="11" max="11" width="9" customWidth="1"/>
    <col min="12" max="12" width="8" customWidth="1"/>
    <col min="13" max="13" width="7.77734375" bestFit="1" customWidth="1"/>
    <col min="14" max="14" width="8" customWidth="1"/>
    <col min="15" max="15" width="11" customWidth="1"/>
    <col min="16" max="16" width="7.44140625" customWidth="1"/>
    <col min="17" max="17" width="9.44140625" customWidth="1"/>
    <col min="18" max="18" width="1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1097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45982.804299321571</v>
      </c>
      <c r="H2" s="330"/>
      <c r="I2" s="330"/>
      <c r="J2" s="330"/>
      <c r="K2" s="334">
        <v>45982.804299322022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17.399999999999999" customHeight="1" x14ac:dyDescent="0.3">
      <c r="A5" s="363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5"/>
    </row>
    <row r="6" spans="1:18" ht="17.399999999999999" customHeight="1" x14ac:dyDescent="0.3">
      <c r="A6" s="360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2"/>
    </row>
    <row r="7" spans="1:18" ht="17.399999999999999" customHeight="1" x14ac:dyDescent="0.3">
      <c r="A7" s="360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2"/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17.399999999999999" customHeigh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2"/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17.399999999999999" customHeight="1" x14ac:dyDescent="0.3">
      <c r="A11" s="360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2"/>
    </row>
    <row r="12" spans="1:18" ht="17.399999999999999" customHeight="1" x14ac:dyDescent="0.3">
      <c r="A12" s="360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2"/>
    </row>
    <row r="13" spans="1:18" ht="17.399999999999999" customHeight="1" x14ac:dyDescent="0.3">
      <c r="A13" s="360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2"/>
    </row>
    <row r="14" spans="1:18" ht="17.399999999999999" customHeight="1" x14ac:dyDescent="0.3">
      <c r="A14" s="360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2"/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</sheetData>
  <mergeCells count="22">
    <mergeCell ref="A18:R18"/>
    <mergeCell ref="A2:F2"/>
    <mergeCell ref="A3:R3"/>
    <mergeCell ref="A14:R14"/>
    <mergeCell ref="G2:J2"/>
    <mergeCell ref="A5:R5"/>
    <mergeCell ref="A17:R17"/>
    <mergeCell ref="A8:R8"/>
    <mergeCell ref="A4:R4"/>
    <mergeCell ref="A10:R10"/>
    <mergeCell ref="A13:R13"/>
    <mergeCell ref="K2:R2"/>
    <mergeCell ref="A9:R9"/>
    <mergeCell ref="A15:R15"/>
    <mergeCell ref="A11:R11"/>
    <mergeCell ref="A6:R6"/>
    <mergeCell ref="A7:R7"/>
    <mergeCell ref="A16:R16"/>
    <mergeCell ref="H1:L1"/>
    <mergeCell ref="A1:E1"/>
    <mergeCell ref="A12:R12"/>
    <mergeCell ref="N1: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/>
  </sheetViews>
  <sheetFormatPr defaultRowHeight="15.6" outlineLevelCol="1" x14ac:dyDescent="0.3"/>
  <cols>
    <col min="1" max="1" width="4.109375" style="343" bestFit="1" customWidth="1"/>
    <col min="2" max="2" width="5.33203125" style="343" bestFit="1" customWidth="1"/>
    <col min="3" max="3" width="3" style="343" bestFit="1" customWidth="1"/>
    <col min="4" max="4" width="4.21875" style="343" bestFit="1" customWidth="1"/>
    <col min="5" max="5" width="7.109375" style="343" bestFit="1" customWidth="1"/>
    <col min="6" max="6" width="4" style="343" bestFit="1" customWidth="1"/>
    <col min="7" max="8" width="4.21875" style="343" bestFit="1" customWidth="1"/>
    <col min="9" max="10" width="6.44140625" style="343" bestFit="1" customWidth="1"/>
    <col min="11" max="11" width="6.109375" style="343" bestFit="1" customWidth="1"/>
    <col min="12" max="12" width="8.77734375" style="343" bestFit="1" customWidth="1"/>
    <col min="13" max="13" width="7.33203125" style="343" bestFit="1" customWidth="1" outlineLevel="1"/>
    <col min="14" max="14" width="6" style="343" bestFit="1" customWidth="1" outlineLevel="1"/>
    <col min="15" max="15" width="7.6640625" style="343" bestFit="1" customWidth="1" outlineLevel="1"/>
    <col min="16" max="16" width="13.21875" style="343" bestFit="1" customWidth="1"/>
    <col min="17" max="17" width="2" style="343" bestFit="1" customWidth="1"/>
    <col min="18" max="18" width="2.109375" style="343" bestFit="1" customWidth="1"/>
    <col min="19" max="19" width="2.6640625" style="343" bestFit="1" customWidth="1"/>
    <col min="20" max="20" width="2.21875" style="343" bestFit="1" customWidth="1"/>
    <col min="21" max="21" width="2.33203125" style="343" bestFit="1" customWidth="1"/>
    <col min="22" max="22" width="2" style="343" bestFit="1" customWidth="1"/>
    <col min="23" max="23" width="2.109375" style="343" bestFit="1" customWidth="1"/>
    <col min="24" max="24" width="1.88671875" style="343" bestFit="1" customWidth="1"/>
    <col min="25" max="25" width="2.21875" style="343" bestFit="1" customWidth="1"/>
    <col min="26" max="26" width="1.88671875" style="343" bestFit="1" customWidth="1"/>
    <col min="27" max="27" width="2.77734375" style="343" bestFit="1" customWidth="1"/>
    <col min="28" max="29" width="2" style="343" bestFit="1" customWidth="1"/>
    <col min="30" max="31" width="2.33203125" style="343" bestFit="1" customWidth="1"/>
    <col min="32" max="32" width="1.5546875" style="343" bestFit="1" customWidth="1"/>
    <col min="33" max="33" width="2" style="343" bestFit="1" customWidth="1"/>
    <col min="34" max="34" width="2.109375" style="343" bestFit="1" customWidth="1"/>
    <col min="35" max="35" width="2" style="343" bestFit="1" customWidth="1"/>
    <col min="36" max="36" width="2.3320312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  <col min="9" max="9" width="0" hidden="1" customWidth="1"/>
  </cols>
  <sheetData>
    <row r="1" spans="1:8" ht="18" x14ac:dyDescent="0.3">
      <c r="A1" s="285" t="s">
        <v>290</v>
      </c>
      <c r="B1" s="285" t="s">
        <v>8</v>
      </c>
      <c r="C1" s="285" t="s">
        <v>9</v>
      </c>
      <c r="D1" s="285" t="s">
        <v>291</v>
      </c>
      <c r="E1" s="285" t="s">
        <v>10</v>
      </c>
      <c r="F1" s="285" t="s">
        <v>11</v>
      </c>
      <c r="G1" s="285" t="s">
        <v>12</v>
      </c>
      <c r="H1" s="285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39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2.1093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1098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45982.804299774158</v>
      </c>
      <c r="H2" s="330"/>
      <c r="I2" s="330"/>
      <c r="J2" s="330"/>
      <c r="K2" s="334">
        <v>45982.804299775278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15" customHeight="1" x14ac:dyDescent="0.3">
      <c r="A6" s="6" t="s">
        <v>26</v>
      </c>
      <c r="B6" s="6" t="s">
        <v>1099</v>
      </c>
      <c r="C6" s="6">
        <v>0.76041666666666663</v>
      </c>
      <c r="D6" s="6" t="s">
        <v>28</v>
      </c>
      <c r="E6" s="6" t="s">
        <v>1100</v>
      </c>
      <c r="F6" s="6" t="s">
        <v>1101</v>
      </c>
      <c r="G6" s="335"/>
      <c r="H6" s="218"/>
      <c r="I6" s="219"/>
      <c r="J6" s="219"/>
      <c r="K6" s="219"/>
      <c r="L6" s="219"/>
      <c r="M6" s="219"/>
      <c r="N6" s="219"/>
      <c r="O6" s="219"/>
      <c r="P6" s="219"/>
      <c r="Q6" s="219"/>
      <c r="R6" s="220"/>
    </row>
    <row r="7" spans="1:18" ht="15" customHeight="1" x14ac:dyDescent="0.3">
      <c r="A7" s="10" t="s">
        <v>26</v>
      </c>
      <c r="B7" s="10" t="s">
        <v>1099</v>
      </c>
      <c r="C7" s="10">
        <v>0.76041666666666663</v>
      </c>
      <c r="D7" s="10" t="s">
        <v>31</v>
      </c>
      <c r="E7" s="10" t="s">
        <v>1102</v>
      </c>
      <c r="F7" s="10" t="s">
        <v>530</v>
      </c>
      <c r="G7" s="328"/>
      <c r="H7" s="218"/>
      <c r="I7" s="219"/>
      <c r="J7" s="219"/>
      <c r="K7" s="219"/>
      <c r="L7" s="219"/>
      <c r="M7" s="219"/>
      <c r="N7" s="219"/>
      <c r="O7" s="219"/>
      <c r="P7" s="219"/>
      <c r="Q7" s="219"/>
      <c r="R7" s="220"/>
    </row>
    <row r="8" spans="1:18" ht="15" customHeight="1" x14ac:dyDescent="0.3">
      <c r="A8" s="10" t="s">
        <v>26</v>
      </c>
      <c r="B8" s="10" t="s">
        <v>1099</v>
      </c>
      <c r="C8" s="10">
        <v>0.76041666666666663</v>
      </c>
      <c r="D8" s="10" t="s">
        <v>34</v>
      </c>
      <c r="E8" s="10" t="s">
        <v>1102</v>
      </c>
      <c r="F8" s="10" t="s">
        <v>1103</v>
      </c>
      <c r="G8" s="328"/>
      <c r="H8" s="218"/>
      <c r="I8" s="219"/>
      <c r="J8" s="219"/>
      <c r="K8" s="219"/>
      <c r="L8" s="219"/>
      <c r="M8" s="219"/>
      <c r="N8" s="219"/>
      <c r="O8" s="219"/>
      <c r="P8" s="219"/>
      <c r="Q8" s="219"/>
      <c r="R8" s="220"/>
    </row>
    <row r="9" spans="1:18" ht="15" customHeight="1" x14ac:dyDescent="0.3">
      <c r="A9" s="26" t="s">
        <v>26</v>
      </c>
      <c r="B9" s="26" t="s">
        <v>1104</v>
      </c>
      <c r="C9" s="26">
        <v>0.5</v>
      </c>
      <c r="D9" s="26" t="s">
        <v>28</v>
      </c>
      <c r="E9" s="26" t="s">
        <v>1105</v>
      </c>
      <c r="F9" s="26" t="s">
        <v>1101</v>
      </c>
      <c r="G9" s="328"/>
      <c r="H9" s="218"/>
      <c r="I9" s="219"/>
      <c r="J9" s="219"/>
      <c r="K9" s="219"/>
      <c r="L9" s="219"/>
      <c r="M9" s="219"/>
      <c r="N9" s="219"/>
      <c r="O9" s="219"/>
      <c r="P9" s="219"/>
      <c r="Q9" s="219"/>
      <c r="R9" s="220"/>
    </row>
    <row r="10" spans="1:18" ht="15" customHeight="1" x14ac:dyDescent="0.3">
      <c r="A10" s="10" t="s">
        <v>26</v>
      </c>
      <c r="B10" s="10" t="s">
        <v>1104</v>
      </c>
      <c r="C10" s="10">
        <v>0.5</v>
      </c>
      <c r="D10" s="10" t="s">
        <v>31</v>
      </c>
      <c r="E10" s="10" t="s">
        <v>1106</v>
      </c>
      <c r="F10" s="10" t="s">
        <v>530</v>
      </c>
      <c r="G10" s="328"/>
      <c r="H10" s="218"/>
      <c r="I10" s="219"/>
      <c r="J10" s="219"/>
      <c r="K10" s="219"/>
      <c r="L10" s="219"/>
      <c r="M10" s="219"/>
      <c r="N10" s="219"/>
      <c r="O10" s="219"/>
      <c r="P10" s="219"/>
      <c r="Q10" s="219"/>
      <c r="R10" s="220"/>
    </row>
    <row r="11" spans="1:18" ht="15" customHeight="1" x14ac:dyDescent="0.3">
      <c r="A11" s="10" t="s">
        <v>26</v>
      </c>
      <c r="B11" s="10" t="s">
        <v>1104</v>
      </c>
      <c r="C11" s="10">
        <v>0.5</v>
      </c>
      <c r="D11" s="10" t="s">
        <v>34</v>
      </c>
      <c r="E11" s="10" t="s">
        <v>1106</v>
      </c>
      <c r="F11" s="10" t="s">
        <v>110</v>
      </c>
      <c r="G11" s="328"/>
      <c r="H11" s="218"/>
      <c r="I11" s="219"/>
      <c r="J11" s="219"/>
      <c r="K11" s="219"/>
      <c r="L11" s="219"/>
      <c r="M11" s="219"/>
      <c r="N11" s="219"/>
      <c r="O11" s="219"/>
      <c r="P11" s="219"/>
      <c r="Q11" s="219"/>
      <c r="R11" s="220"/>
    </row>
    <row r="12" spans="1:18" ht="15" customHeight="1" x14ac:dyDescent="0.3">
      <c r="A12" s="26" t="s">
        <v>26</v>
      </c>
      <c r="B12" s="26" t="s">
        <v>1107</v>
      </c>
      <c r="C12" s="26">
        <v>0.44791666666666669</v>
      </c>
      <c r="D12" s="26" t="s">
        <v>28</v>
      </c>
      <c r="E12" s="26" t="s">
        <v>1108</v>
      </c>
      <c r="F12" s="26" t="s">
        <v>1101</v>
      </c>
      <c r="G12" s="328"/>
      <c r="H12" s="218"/>
      <c r="I12" s="219"/>
      <c r="J12" s="219"/>
      <c r="K12" s="219"/>
      <c r="L12" s="219"/>
      <c r="M12" s="219"/>
      <c r="N12" s="219"/>
      <c r="O12" s="219"/>
      <c r="P12" s="219"/>
      <c r="Q12" s="219"/>
      <c r="R12" s="220"/>
    </row>
    <row r="13" spans="1:18" ht="15" customHeight="1" x14ac:dyDescent="0.3">
      <c r="A13" s="10" t="s">
        <v>26</v>
      </c>
      <c r="B13" s="10" t="s">
        <v>1107</v>
      </c>
      <c r="C13" s="10">
        <v>0.44791666666666669</v>
      </c>
      <c r="D13" s="10" t="s">
        <v>31</v>
      </c>
      <c r="E13" s="10" t="s">
        <v>1109</v>
      </c>
      <c r="F13" s="10" t="s">
        <v>530</v>
      </c>
      <c r="G13" s="328"/>
      <c r="H13" s="218"/>
      <c r="I13" s="219"/>
      <c r="J13" s="219"/>
      <c r="K13" s="219"/>
      <c r="L13" s="219"/>
      <c r="M13" s="219"/>
      <c r="N13" s="219"/>
      <c r="O13" s="219"/>
      <c r="P13" s="219"/>
      <c r="Q13" s="219"/>
      <c r="R13" s="220"/>
    </row>
    <row r="14" spans="1:18" ht="15" customHeight="1" x14ac:dyDescent="0.3">
      <c r="A14" s="10" t="s">
        <v>26</v>
      </c>
      <c r="B14" s="10" t="s">
        <v>1107</v>
      </c>
      <c r="C14" s="10">
        <v>0.44791666666666669</v>
      </c>
      <c r="D14" s="10" t="s">
        <v>34</v>
      </c>
      <c r="E14" s="10" t="s">
        <v>1109</v>
      </c>
      <c r="F14" s="10" t="s">
        <v>1103</v>
      </c>
      <c r="G14" s="328"/>
      <c r="H14" s="218"/>
      <c r="I14" s="219"/>
      <c r="J14" s="219"/>
      <c r="K14" s="219"/>
      <c r="L14" s="219"/>
      <c r="M14" s="219"/>
      <c r="N14" s="219"/>
      <c r="O14" s="219"/>
      <c r="P14" s="219"/>
      <c r="Q14" s="219"/>
      <c r="R14" s="220"/>
    </row>
    <row r="15" spans="1:18" ht="15" customHeight="1" x14ac:dyDescent="0.3">
      <c r="A15" s="26" t="s">
        <v>26</v>
      </c>
      <c r="B15" s="26" t="s">
        <v>1110</v>
      </c>
      <c r="C15" s="26">
        <v>0.81597222222222221</v>
      </c>
      <c r="D15" s="26" t="s">
        <v>28</v>
      </c>
      <c r="E15" s="26" t="s">
        <v>1111</v>
      </c>
      <c r="F15" s="26" t="s">
        <v>1101</v>
      </c>
      <c r="G15" s="328"/>
      <c r="H15" s="218"/>
      <c r="I15" s="219"/>
      <c r="J15" s="219"/>
      <c r="K15" s="219"/>
      <c r="L15" s="219"/>
      <c r="M15" s="219"/>
      <c r="N15" s="219"/>
      <c r="O15" s="219"/>
      <c r="P15" s="219"/>
      <c r="Q15" s="219"/>
      <c r="R15" s="220"/>
    </row>
    <row r="16" spans="1:18" ht="15" customHeight="1" x14ac:dyDescent="0.3">
      <c r="A16" s="10" t="s">
        <v>26</v>
      </c>
      <c r="B16" s="10" t="s">
        <v>1110</v>
      </c>
      <c r="C16" s="10">
        <v>0.81597222222222221</v>
      </c>
      <c r="D16" s="10" t="s">
        <v>31</v>
      </c>
      <c r="E16" s="10" t="s">
        <v>1112</v>
      </c>
      <c r="F16" s="10" t="s">
        <v>530</v>
      </c>
      <c r="G16" s="328"/>
      <c r="H16" s="218"/>
      <c r="I16" s="219"/>
      <c r="J16" s="219"/>
      <c r="K16" s="219"/>
      <c r="L16" s="219"/>
      <c r="M16" s="219"/>
      <c r="N16" s="219"/>
      <c r="O16" s="219"/>
      <c r="P16" s="219"/>
      <c r="Q16" s="219"/>
      <c r="R16" s="220"/>
    </row>
    <row r="17" spans="1:18" ht="15" customHeight="1" x14ac:dyDescent="0.3">
      <c r="A17" s="10" t="s">
        <v>26</v>
      </c>
      <c r="B17" s="10" t="s">
        <v>1110</v>
      </c>
      <c r="C17" s="10">
        <v>0.81597222222222221</v>
      </c>
      <c r="D17" s="10" t="s">
        <v>34</v>
      </c>
      <c r="E17" s="10" t="s">
        <v>1112</v>
      </c>
      <c r="F17" s="10" t="s">
        <v>110</v>
      </c>
      <c r="G17" s="328"/>
      <c r="H17" s="218"/>
      <c r="I17" s="219"/>
      <c r="J17" s="219"/>
      <c r="K17" s="219"/>
      <c r="L17" s="219"/>
      <c r="M17" s="219"/>
      <c r="N17" s="219"/>
      <c r="O17" s="219"/>
      <c r="P17" s="219"/>
      <c r="Q17" s="219"/>
      <c r="R17" s="220"/>
    </row>
    <row r="18" spans="1:18" ht="15" customHeight="1" x14ac:dyDescent="0.3">
      <c r="A18" s="11" t="s">
        <v>36</v>
      </c>
      <c r="B18" s="11" t="s">
        <v>1113</v>
      </c>
      <c r="C18" s="11">
        <v>0.82638888888888884</v>
      </c>
      <c r="D18" s="11" t="s">
        <v>38</v>
      </c>
      <c r="E18" s="11" t="s">
        <v>129</v>
      </c>
      <c r="F18" s="11" t="s">
        <v>620</v>
      </c>
      <c r="G18" s="328"/>
      <c r="H18" s="218"/>
      <c r="I18" s="219"/>
      <c r="J18" s="219"/>
      <c r="K18" s="219"/>
      <c r="L18" s="219"/>
      <c r="M18" s="219"/>
      <c r="N18" s="219"/>
      <c r="O18" s="219"/>
      <c r="P18" s="219"/>
      <c r="Q18" s="219"/>
      <c r="R18" s="220"/>
    </row>
    <row r="19" spans="1:18" ht="15" customHeight="1" x14ac:dyDescent="0.3">
      <c r="A19" s="10" t="s">
        <v>36</v>
      </c>
      <c r="B19" s="10" t="s">
        <v>1113</v>
      </c>
      <c r="C19" s="10">
        <v>0.82638888888888884</v>
      </c>
      <c r="D19" s="10" t="s">
        <v>40</v>
      </c>
      <c r="E19" s="10" t="s">
        <v>92</v>
      </c>
      <c r="F19" s="10" t="s">
        <v>621</v>
      </c>
      <c r="G19" s="328"/>
      <c r="H19" s="218"/>
      <c r="I19" s="219"/>
      <c r="J19" s="219"/>
      <c r="K19" s="219"/>
      <c r="L19" s="219"/>
      <c r="M19" s="219"/>
      <c r="N19" s="219"/>
      <c r="O19" s="219"/>
      <c r="P19" s="219"/>
      <c r="Q19" s="219"/>
      <c r="R19" s="220"/>
    </row>
    <row r="20" spans="1:18" ht="15" customHeight="1" x14ac:dyDescent="0.3">
      <c r="A20" s="10" t="s">
        <v>36</v>
      </c>
      <c r="B20" s="10" t="s">
        <v>1113</v>
      </c>
      <c r="C20" s="10">
        <v>0.82638888888888884</v>
      </c>
      <c r="D20" s="10" t="s">
        <v>42</v>
      </c>
      <c r="E20" s="10" t="s">
        <v>92</v>
      </c>
      <c r="F20" s="10" t="s">
        <v>622</v>
      </c>
      <c r="G20" s="328"/>
      <c r="H20" s="218"/>
      <c r="I20" s="219"/>
      <c r="J20" s="219"/>
      <c r="K20" s="219"/>
      <c r="L20" s="219"/>
      <c r="M20" s="219"/>
      <c r="N20" s="219"/>
      <c r="O20" s="219"/>
      <c r="P20" s="219"/>
      <c r="Q20" s="219"/>
      <c r="R20" s="220"/>
    </row>
    <row r="21" spans="1:18" ht="15" customHeight="1" x14ac:dyDescent="0.3">
      <c r="A21" s="26" t="s">
        <v>36</v>
      </c>
      <c r="B21" s="26" t="s">
        <v>1114</v>
      </c>
      <c r="C21" s="26">
        <v>0.375</v>
      </c>
      <c r="D21" s="26" t="s">
        <v>38</v>
      </c>
      <c r="E21" s="26" t="s">
        <v>439</v>
      </c>
      <c r="F21" s="26" t="s">
        <v>620</v>
      </c>
      <c r="G21" s="328"/>
      <c r="H21" s="218"/>
      <c r="I21" s="219"/>
      <c r="J21" s="219"/>
      <c r="K21" s="219"/>
      <c r="L21" s="219"/>
      <c r="M21" s="219"/>
      <c r="N21" s="219"/>
      <c r="O21" s="219"/>
      <c r="P21" s="219"/>
      <c r="Q21" s="219"/>
      <c r="R21" s="220"/>
    </row>
    <row r="22" spans="1:18" ht="15" customHeight="1" x14ac:dyDescent="0.3">
      <c r="A22" s="10" t="s">
        <v>36</v>
      </c>
      <c r="B22" s="10" t="s">
        <v>1114</v>
      </c>
      <c r="C22" s="10">
        <v>0.375</v>
      </c>
      <c r="D22" s="10" t="s">
        <v>40</v>
      </c>
      <c r="E22" s="10" t="s">
        <v>124</v>
      </c>
      <c r="F22" s="10" t="s">
        <v>621</v>
      </c>
      <c r="G22" s="328"/>
      <c r="H22" s="218"/>
      <c r="I22" s="219"/>
      <c r="J22" s="219"/>
      <c r="K22" s="219"/>
      <c r="L22" s="219"/>
      <c r="M22" s="219"/>
      <c r="N22" s="219"/>
      <c r="O22" s="219"/>
      <c r="P22" s="219"/>
      <c r="Q22" s="219"/>
      <c r="R22" s="220"/>
    </row>
    <row r="23" spans="1:18" ht="15" customHeight="1" x14ac:dyDescent="0.3">
      <c r="A23" s="10" t="s">
        <v>36</v>
      </c>
      <c r="B23" s="10" t="s">
        <v>1114</v>
      </c>
      <c r="C23" s="10">
        <v>0.375</v>
      </c>
      <c r="D23" s="10" t="s">
        <v>42</v>
      </c>
      <c r="E23" s="10" t="s">
        <v>124</v>
      </c>
      <c r="F23" s="10" t="s">
        <v>622</v>
      </c>
      <c r="G23" s="328"/>
      <c r="H23" s="218"/>
      <c r="I23" s="219"/>
      <c r="J23" s="219"/>
      <c r="K23" s="219"/>
      <c r="L23" s="219"/>
      <c r="M23" s="219"/>
      <c r="N23" s="219"/>
      <c r="O23" s="219"/>
      <c r="P23" s="219"/>
      <c r="Q23" s="219"/>
      <c r="R23" s="220"/>
    </row>
    <row r="24" spans="1:18" ht="15" customHeight="1" x14ac:dyDescent="0.3">
      <c r="A24" s="26" t="s">
        <v>36</v>
      </c>
      <c r="B24" s="26" t="s">
        <v>1115</v>
      </c>
      <c r="C24" s="26">
        <v>0.56597222222222221</v>
      </c>
      <c r="D24" s="26" t="s">
        <v>38</v>
      </c>
      <c r="E24" s="26" t="s">
        <v>439</v>
      </c>
      <c r="F24" s="26" t="s">
        <v>620</v>
      </c>
      <c r="G24" s="328"/>
      <c r="H24" s="218"/>
      <c r="I24" s="219"/>
      <c r="J24" s="219"/>
      <c r="K24" s="219"/>
      <c r="L24" s="219"/>
      <c r="M24" s="219"/>
      <c r="N24" s="219"/>
      <c r="O24" s="219"/>
      <c r="P24" s="219"/>
      <c r="Q24" s="219"/>
      <c r="R24" s="220"/>
    </row>
    <row r="25" spans="1:18" ht="15" customHeight="1" x14ac:dyDescent="0.3">
      <c r="A25" s="10" t="s">
        <v>36</v>
      </c>
      <c r="B25" s="10" t="s">
        <v>1115</v>
      </c>
      <c r="C25" s="10">
        <v>0.56597222222222221</v>
      </c>
      <c r="D25" s="10" t="s">
        <v>40</v>
      </c>
      <c r="E25" s="10" t="s">
        <v>124</v>
      </c>
      <c r="F25" s="10" t="s">
        <v>621</v>
      </c>
      <c r="G25" s="328"/>
      <c r="H25" s="218"/>
      <c r="I25" s="219"/>
      <c r="J25" s="219"/>
      <c r="K25" s="219"/>
      <c r="L25" s="219"/>
      <c r="M25" s="219"/>
      <c r="N25" s="219"/>
      <c r="O25" s="219"/>
      <c r="P25" s="219"/>
      <c r="Q25" s="219"/>
      <c r="R25" s="220"/>
    </row>
    <row r="26" spans="1:18" ht="15" customHeight="1" x14ac:dyDescent="0.3">
      <c r="A26" s="10" t="s">
        <v>36</v>
      </c>
      <c r="B26" s="10" t="s">
        <v>1115</v>
      </c>
      <c r="C26" s="10">
        <v>0.56597222222222221</v>
      </c>
      <c r="D26" s="10" t="s">
        <v>42</v>
      </c>
      <c r="E26" s="10" t="s">
        <v>124</v>
      </c>
      <c r="F26" s="10" t="s">
        <v>622</v>
      </c>
      <c r="G26" s="328"/>
      <c r="H26" s="218"/>
      <c r="I26" s="219"/>
      <c r="J26" s="219"/>
      <c r="K26" s="219"/>
      <c r="L26" s="219"/>
      <c r="M26" s="219"/>
      <c r="N26" s="219"/>
      <c r="O26" s="219"/>
      <c r="P26" s="219"/>
      <c r="Q26" s="219"/>
      <c r="R26" s="220"/>
    </row>
    <row r="27" spans="1:18" ht="15" customHeight="1" x14ac:dyDescent="0.3">
      <c r="A27" s="26" t="s">
        <v>36</v>
      </c>
      <c r="B27" s="26" t="s">
        <v>1116</v>
      </c>
      <c r="C27" s="26">
        <v>0.30555555555555552</v>
      </c>
      <c r="D27" s="26" t="s">
        <v>38</v>
      </c>
      <c r="E27" s="26" t="s">
        <v>439</v>
      </c>
      <c r="F27" s="26" t="s">
        <v>620</v>
      </c>
      <c r="G27" s="328"/>
      <c r="H27" s="218"/>
      <c r="I27" s="219"/>
      <c r="J27" s="219"/>
      <c r="K27" s="219"/>
      <c r="L27" s="219"/>
      <c r="M27" s="219"/>
      <c r="N27" s="219"/>
      <c r="O27" s="219"/>
      <c r="P27" s="219"/>
      <c r="Q27" s="219"/>
      <c r="R27" s="220"/>
    </row>
    <row r="28" spans="1:18" ht="15" customHeight="1" x14ac:dyDescent="0.3">
      <c r="A28" s="10" t="s">
        <v>36</v>
      </c>
      <c r="B28" s="10" t="s">
        <v>1116</v>
      </c>
      <c r="C28" s="10">
        <v>0.30555555555555552</v>
      </c>
      <c r="D28" s="10" t="s">
        <v>40</v>
      </c>
      <c r="E28" s="10" t="s">
        <v>124</v>
      </c>
      <c r="F28" s="10" t="s">
        <v>621</v>
      </c>
      <c r="G28" s="328"/>
      <c r="H28" s="218"/>
      <c r="I28" s="219"/>
      <c r="J28" s="219"/>
      <c r="K28" s="219"/>
      <c r="L28" s="219"/>
      <c r="M28" s="219"/>
      <c r="N28" s="219"/>
      <c r="O28" s="219"/>
      <c r="P28" s="219"/>
      <c r="Q28" s="219"/>
      <c r="R28" s="220"/>
    </row>
    <row r="29" spans="1:18" ht="15" customHeight="1" x14ac:dyDescent="0.3">
      <c r="A29" s="10" t="s">
        <v>36</v>
      </c>
      <c r="B29" s="10" t="s">
        <v>1116</v>
      </c>
      <c r="C29" s="10">
        <v>0.30555555555555552</v>
      </c>
      <c r="D29" s="10" t="s">
        <v>42</v>
      </c>
      <c r="E29" s="10" t="s">
        <v>124</v>
      </c>
      <c r="F29" s="10" t="s">
        <v>622</v>
      </c>
      <c r="G29" s="328"/>
      <c r="H29" s="218"/>
      <c r="I29" s="219"/>
      <c r="J29" s="219"/>
      <c r="K29" s="219"/>
      <c r="L29" s="219"/>
      <c r="M29" s="219"/>
      <c r="N29" s="219"/>
      <c r="O29" s="219"/>
      <c r="P29" s="219"/>
      <c r="Q29" s="219"/>
      <c r="R29" s="220"/>
    </row>
    <row r="30" spans="1:18" ht="15" customHeight="1" x14ac:dyDescent="0.3">
      <c r="A30" s="26" t="s">
        <v>36</v>
      </c>
      <c r="B30" s="26" t="s">
        <v>1117</v>
      </c>
      <c r="C30" s="26">
        <v>0.6875</v>
      </c>
      <c r="D30" s="26" t="s">
        <v>38</v>
      </c>
      <c r="E30" s="26" t="s">
        <v>152</v>
      </c>
      <c r="F30" s="26" t="s">
        <v>620</v>
      </c>
      <c r="G30" s="328"/>
      <c r="H30" s="218"/>
      <c r="I30" s="219"/>
      <c r="J30" s="219"/>
      <c r="K30" s="219"/>
      <c r="L30" s="219"/>
      <c r="M30" s="219"/>
      <c r="N30" s="219"/>
      <c r="O30" s="219"/>
      <c r="P30" s="219"/>
      <c r="Q30" s="219"/>
      <c r="R30" s="220"/>
    </row>
    <row r="31" spans="1:18" ht="15" customHeight="1" x14ac:dyDescent="0.3">
      <c r="A31" s="10" t="s">
        <v>36</v>
      </c>
      <c r="B31" s="10" t="s">
        <v>1117</v>
      </c>
      <c r="C31" s="10">
        <v>0.6875</v>
      </c>
      <c r="D31" s="10" t="s">
        <v>40</v>
      </c>
      <c r="E31" s="10" t="s">
        <v>84</v>
      </c>
      <c r="F31" s="10" t="s">
        <v>621</v>
      </c>
      <c r="G31" s="328"/>
      <c r="H31" s="218"/>
      <c r="I31" s="219"/>
      <c r="J31" s="219"/>
      <c r="K31" s="219"/>
      <c r="L31" s="219"/>
      <c r="M31" s="219"/>
      <c r="N31" s="219"/>
      <c r="O31" s="219"/>
      <c r="P31" s="219"/>
      <c r="Q31" s="219"/>
      <c r="R31" s="220"/>
    </row>
    <row r="32" spans="1:18" ht="15" customHeight="1" x14ac:dyDescent="0.3">
      <c r="A32" s="10" t="s">
        <v>36</v>
      </c>
      <c r="B32" s="10" t="s">
        <v>1117</v>
      </c>
      <c r="C32" s="10">
        <v>0.6875</v>
      </c>
      <c r="D32" s="10" t="s">
        <v>42</v>
      </c>
      <c r="E32" s="10" t="s">
        <v>84</v>
      </c>
      <c r="F32" s="10" t="s">
        <v>622</v>
      </c>
      <c r="G32" s="328"/>
      <c r="H32" s="218"/>
      <c r="I32" s="219"/>
      <c r="J32" s="219"/>
      <c r="K32" s="219"/>
      <c r="L32" s="219"/>
      <c r="M32" s="219"/>
      <c r="N32" s="219"/>
      <c r="O32" s="219"/>
      <c r="P32" s="219"/>
      <c r="Q32" s="219"/>
      <c r="R32" s="220"/>
    </row>
    <row r="33" spans="1:18" ht="15" customHeight="1" x14ac:dyDescent="0.3">
      <c r="A33" s="26" t="s">
        <v>36</v>
      </c>
      <c r="B33" s="26" t="s">
        <v>1118</v>
      </c>
      <c r="C33" s="26">
        <v>0.42708333333333331</v>
      </c>
      <c r="D33" s="26" t="s">
        <v>38</v>
      </c>
      <c r="E33" s="26" t="s">
        <v>439</v>
      </c>
      <c r="F33" s="26" t="s">
        <v>620</v>
      </c>
      <c r="G33" s="328"/>
      <c r="H33" s="218"/>
      <c r="I33" s="219"/>
      <c r="J33" s="219"/>
      <c r="K33" s="219"/>
      <c r="L33" s="219"/>
      <c r="M33" s="219"/>
      <c r="N33" s="219"/>
      <c r="O33" s="219"/>
      <c r="P33" s="219"/>
      <c r="Q33" s="219"/>
      <c r="R33" s="220"/>
    </row>
    <row r="34" spans="1:18" ht="15" customHeight="1" x14ac:dyDescent="0.3">
      <c r="A34" s="10" t="s">
        <v>36</v>
      </c>
      <c r="B34" s="10" t="s">
        <v>1118</v>
      </c>
      <c r="C34" s="10">
        <v>0.42708333333333331</v>
      </c>
      <c r="D34" s="10" t="s">
        <v>40</v>
      </c>
      <c r="E34" s="10" t="s">
        <v>124</v>
      </c>
      <c r="F34" s="10" t="s">
        <v>621</v>
      </c>
      <c r="G34" s="328"/>
      <c r="H34" s="218"/>
      <c r="I34" s="219"/>
      <c r="J34" s="219"/>
      <c r="K34" s="219"/>
      <c r="L34" s="219"/>
      <c r="M34" s="219"/>
      <c r="N34" s="219"/>
      <c r="O34" s="219"/>
      <c r="P34" s="219"/>
      <c r="Q34" s="219"/>
      <c r="R34" s="220"/>
    </row>
    <row r="35" spans="1:18" ht="15" customHeight="1" x14ac:dyDescent="0.3">
      <c r="A35" s="10" t="s">
        <v>36</v>
      </c>
      <c r="B35" s="10" t="s">
        <v>1118</v>
      </c>
      <c r="C35" s="10">
        <v>0.42708333333333331</v>
      </c>
      <c r="D35" s="10" t="s">
        <v>42</v>
      </c>
      <c r="E35" s="10" t="s">
        <v>124</v>
      </c>
      <c r="F35" s="10" t="s">
        <v>622</v>
      </c>
      <c r="G35" s="328"/>
      <c r="H35" s="218"/>
      <c r="I35" s="219"/>
      <c r="J35" s="219"/>
      <c r="K35" s="219"/>
      <c r="L35" s="219"/>
      <c r="M35" s="219"/>
      <c r="N35" s="219"/>
      <c r="O35" s="219"/>
      <c r="P35" s="219"/>
      <c r="Q35" s="219"/>
      <c r="R35" s="220"/>
    </row>
    <row r="36" spans="1:18" ht="15" customHeight="1" x14ac:dyDescent="0.3">
      <c r="A36" s="26" t="s">
        <v>36</v>
      </c>
      <c r="B36" s="26" t="s">
        <v>1119</v>
      </c>
      <c r="C36" s="26">
        <v>0.5</v>
      </c>
      <c r="D36" s="26" t="s">
        <v>38</v>
      </c>
      <c r="E36" s="26" t="s">
        <v>439</v>
      </c>
      <c r="F36" s="26" t="s">
        <v>583</v>
      </c>
      <c r="G36" s="328"/>
      <c r="H36" s="218"/>
      <c r="I36" s="219"/>
      <c r="J36" s="219"/>
      <c r="K36" s="219"/>
      <c r="L36" s="219"/>
      <c r="M36" s="219"/>
      <c r="N36" s="219"/>
      <c r="O36" s="219"/>
      <c r="P36" s="219"/>
      <c r="Q36" s="219"/>
      <c r="R36" s="220"/>
    </row>
    <row r="37" spans="1:18" ht="15" customHeight="1" x14ac:dyDescent="0.3">
      <c r="A37" s="10" t="s">
        <v>36</v>
      </c>
      <c r="B37" s="10" t="s">
        <v>1119</v>
      </c>
      <c r="C37" s="10">
        <v>0.5</v>
      </c>
      <c r="D37" s="10" t="s">
        <v>40</v>
      </c>
      <c r="E37" s="10" t="s">
        <v>124</v>
      </c>
      <c r="F37" s="10" t="s">
        <v>531</v>
      </c>
      <c r="G37" s="328"/>
      <c r="H37" s="218"/>
      <c r="I37" s="219"/>
      <c r="J37" s="219"/>
      <c r="K37" s="219"/>
      <c r="L37" s="219"/>
      <c r="M37" s="219"/>
      <c r="N37" s="219"/>
      <c r="O37" s="219"/>
      <c r="P37" s="219"/>
      <c r="Q37" s="219"/>
      <c r="R37" s="220"/>
    </row>
    <row r="38" spans="1:18" ht="15" customHeight="1" x14ac:dyDescent="0.3">
      <c r="A38" s="10" t="s">
        <v>36</v>
      </c>
      <c r="B38" s="10" t="s">
        <v>1119</v>
      </c>
      <c r="C38" s="10">
        <v>0.5</v>
      </c>
      <c r="D38" s="10" t="s">
        <v>42</v>
      </c>
      <c r="E38" s="10" t="s">
        <v>124</v>
      </c>
      <c r="F38" s="10" t="s">
        <v>30</v>
      </c>
      <c r="G38" s="328"/>
      <c r="H38" s="218"/>
      <c r="I38" s="219"/>
      <c r="J38" s="219"/>
      <c r="K38" s="219"/>
      <c r="L38" s="219"/>
      <c r="M38" s="219"/>
      <c r="N38" s="219"/>
      <c r="O38" s="219"/>
      <c r="P38" s="219"/>
      <c r="Q38" s="219"/>
      <c r="R38" s="220"/>
    </row>
    <row r="39" spans="1:18" ht="15" customHeight="1" x14ac:dyDescent="0.3">
      <c r="A39" s="11" t="s">
        <v>404</v>
      </c>
      <c r="B39" s="11" t="s">
        <v>1120</v>
      </c>
      <c r="C39" s="11">
        <v>0.27777777777777779</v>
      </c>
      <c r="D39" s="11" t="s">
        <v>46</v>
      </c>
      <c r="E39" s="11" t="s">
        <v>47</v>
      </c>
      <c r="F39" s="11" t="s">
        <v>657</v>
      </c>
      <c r="G39" s="328"/>
      <c r="H39" s="218"/>
      <c r="I39" s="219"/>
      <c r="J39" s="219"/>
      <c r="K39" s="219"/>
      <c r="L39" s="219"/>
      <c r="M39" s="219"/>
      <c r="N39" s="219"/>
      <c r="O39" s="219"/>
      <c r="P39" s="219"/>
      <c r="Q39" s="219"/>
      <c r="R39" s="220"/>
    </row>
    <row r="40" spans="1:18" ht="15" customHeight="1" x14ac:dyDescent="0.3">
      <c r="A40" s="139" t="s">
        <v>44</v>
      </c>
      <c r="B40" s="139" t="s">
        <v>1121</v>
      </c>
      <c r="C40" s="139">
        <v>0.91319444444444453</v>
      </c>
      <c r="D40" s="139" t="s">
        <v>46</v>
      </c>
      <c r="E40" s="139" t="s">
        <v>47</v>
      </c>
      <c r="F40" s="139" t="s">
        <v>623</v>
      </c>
      <c r="G40" s="328"/>
      <c r="H40" s="226" t="s">
        <v>1122</v>
      </c>
      <c r="I40" s="267">
        <v>0.625</v>
      </c>
      <c r="J40" s="228">
        <v>105</v>
      </c>
      <c r="K40" s="229" t="s">
        <v>175</v>
      </c>
      <c r="L40" s="228">
        <v>44</v>
      </c>
      <c r="M40" s="228">
        <v>4</v>
      </c>
      <c r="N40" s="228">
        <v>13</v>
      </c>
      <c r="O40" s="229" t="s">
        <v>237</v>
      </c>
      <c r="P40" s="229">
        <v>0.91319444444444453</v>
      </c>
      <c r="Q40" s="228">
        <v>168</v>
      </c>
      <c r="R40" s="230" t="s">
        <v>1123</v>
      </c>
    </row>
    <row r="41" spans="1:18" ht="15" customHeight="1" x14ac:dyDescent="0.3">
      <c r="A41" s="11" t="s">
        <v>456</v>
      </c>
      <c r="B41" s="11" t="s">
        <v>1124</v>
      </c>
      <c r="C41" s="11">
        <v>0.62152777777777779</v>
      </c>
      <c r="D41" s="11" t="s">
        <v>458</v>
      </c>
      <c r="E41" s="11" t="s">
        <v>123</v>
      </c>
      <c r="F41" s="11" t="s">
        <v>975</v>
      </c>
      <c r="G41" s="328"/>
      <c r="H41" s="218"/>
      <c r="I41" s="219"/>
      <c r="J41" s="219"/>
      <c r="K41" s="219"/>
      <c r="L41" s="219"/>
      <c r="M41" s="219"/>
      <c r="N41" s="219"/>
      <c r="O41" s="219"/>
      <c r="P41" s="219"/>
      <c r="Q41" s="219"/>
      <c r="R41" s="220"/>
    </row>
    <row r="42" spans="1:18" ht="15" customHeight="1" x14ac:dyDescent="0.3">
      <c r="A42" s="10" t="s">
        <v>456</v>
      </c>
      <c r="B42" s="10" t="s">
        <v>1124</v>
      </c>
      <c r="C42" s="10">
        <v>0.62152777777777779</v>
      </c>
      <c r="D42" s="10" t="s">
        <v>34</v>
      </c>
      <c r="E42" s="10" t="s">
        <v>124</v>
      </c>
      <c r="F42" s="10" t="s">
        <v>1125</v>
      </c>
      <c r="G42" s="328"/>
      <c r="H42" s="218"/>
      <c r="I42" s="219"/>
      <c r="J42" s="219"/>
      <c r="K42" s="219"/>
      <c r="L42" s="219"/>
      <c r="M42" s="219"/>
      <c r="N42" s="219"/>
      <c r="O42" s="219"/>
      <c r="P42" s="219"/>
      <c r="Q42" s="219"/>
      <c r="R42" s="220"/>
    </row>
    <row r="43" spans="1:18" ht="15" customHeight="1" x14ac:dyDescent="0.3">
      <c r="A43" s="11" t="s">
        <v>66</v>
      </c>
      <c r="B43" s="11" t="s">
        <v>1126</v>
      </c>
      <c r="C43" s="11">
        <v>0.16666666666666671</v>
      </c>
      <c r="D43" s="11" t="s">
        <v>68</v>
      </c>
      <c r="E43" s="11" t="s">
        <v>47</v>
      </c>
      <c r="F43" s="11" t="s">
        <v>1127</v>
      </c>
      <c r="G43" s="328"/>
      <c r="H43" s="218"/>
      <c r="I43" s="219"/>
      <c r="J43" s="219"/>
      <c r="K43" s="219"/>
      <c r="L43" s="219"/>
      <c r="M43" s="219"/>
      <c r="N43" s="219"/>
      <c r="O43" s="219"/>
      <c r="P43" s="219"/>
      <c r="Q43" s="219"/>
      <c r="R43" s="220"/>
    </row>
    <row r="44" spans="1:18" ht="15" customHeight="1" x14ac:dyDescent="0.3">
      <c r="A44" s="26" t="s">
        <v>66</v>
      </c>
      <c r="B44" s="26" t="s">
        <v>1128</v>
      </c>
      <c r="C44" s="26">
        <v>0.54166666666666663</v>
      </c>
      <c r="D44" s="26" t="s">
        <v>68</v>
      </c>
      <c r="E44" s="26" t="s">
        <v>71</v>
      </c>
      <c r="F44" s="26" t="s">
        <v>1129</v>
      </c>
      <c r="G44" s="328"/>
      <c r="H44" s="218"/>
      <c r="I44" s="219"/>
      <c r="J44" s="219"/>
      <c r="K44" s="219"/>
      <c r="L44" s="219"/>
      <c r="M44" s="219"/>
      <c r="N44" s="219"/>
      <c r="O44" s="219"/>
      <c r="P44" s="219"/>
      <c r="Q44" s="219"/>
      <c r="R44" s="220"/>
    </row>
    <row r="45" spans="1:18" ht="15" customHeight="1" x14ac:dyDescent="0.3">
      <c r="A45" s="26" t="s">
        <v>66</v>
      </c>
      <c r="B45" s="26" t="s">
        <v>1130</v>
      </c>
      <c r="C45" s="26">
        <v>0.91666666666666663</v>
      </c>
      <c r="D45" s="26" t="s">
        <v>68</v>
      </c>
      <c r="E45" s="26" t="s">
        <v>71</v>
      </c>
      <c r="F45" s="26" t="s">
        <v>650</v>
      </c>
      <c r="G45" s="328"/>
      <c r="H45" s="218"/>
      <c r="I45" s="219"/>
      <c r="J45" s="219"/>
      <c r="K45" s="219"/>
      <c r="L45" s="219"/>
      <c r="M45" s="219"/>
      <c r="N45" s="219"/>
      <c r="O45" s="219"/>
      <c r="P45" s="219"/>
      <c r="Q45" s="219"/>
      <c r="R45" s="220"/>
    </row>
    <row r="46" spans="1:18" ht="15" customHeight="1" x14ac:dyDescent="0.3">
      <c r="A46" s="11" t="s">
        <v>78</v>
      </c>
      <c r="B46" s="11" t="s">
        <v>1131</v>
      </c>
      <c r="C46" s="11">
        <v>0.55208333333333337</v>
      </c>
      <c r="D46" s="11" t="s">
        <v>80</v>
      </c>
      <c r="E46" s="11" t="s">
        <v>47</v>
      </c>
      <c r="F46" s="11" t="s">
        <v>1132</v>
      </c>
      <c r="G46" s="328"/>
      <c r="H46" s="218"/>
      <c r="I46" s="219"/>
      <c r="J46" s="219"/>
      <c r="K46" s="219"/>
      <c r="L46" s="219"/>
      <c r="M46" s="219"/>
      <c r="N46" s="219"/>
      <c r="O46" s="219"/>
      <c r="P46" s="219"/>
      <c r="Q46" s="219"/>
      <c r="R46" s="220"/>
    </row>
    <row r="47" spans="1:18" ht="15" customHeight="1" x14ac:dyDescent="0.3">
      <c r="A47" s="10" t="s">
        <v>78</v>
      </c>
      <c r="B47" s="10" t="s">
        <v>1131</v>
      </c>
      <c r="C47" s="10">
        <v>0.55208333333333337</v>
      </c>
      <c r="D47" s="10" t="s">
        <v>83</v>
      </c>
      <c r="E47" s="10" t="s">
        <v>95</v>
      </c>
      <c r="F47" s="10" t="s">
        <v>1133</v>
      </c>
      <c r="G47" s="328"/>
      <c r="H47" s="218"/>
      <c r="I47" s="219"/>
      <c r="J47" s="219"/>
      <c r="K47" s="219"/>
      <c r="L47" s="219"/>
      <c r="M47" s="219"/>
      <c r="N47" s="219"/>
      <c r="O47" s="219"/>
      <c r="P47" s="219"/>
      <c r="Q47" s="219"/>
      <c r="R47" s="220"/>
    </row>
    <row r="48" spans="1:18" ht="15" customHeight="1" x14ac:dyDescent="0.3">
      <c r="A48" s="26" t="s">
        <v>78</v>
      </c>
      <c r="B48" s="26" t="s">
        <v>1134</v>
      </c>
      <c r="C48" s="26">
        <v>0.68402777777777779</v>
      </c>
      <c r="D48" s="26" t="s">
        <v>80</v>
      </c>
      <c r="E48" s="26" t="s">
        <v>90</v>
      </c>
      <c r="F48" s="26" t="s">
        <v>1132</v>
      </c>
      <c r="G48" s="328"/>
      <c r="H48" s="218"/>
      <c r="I48" s="219"/>
      <c r="J48" s="219"/>
      <c r="K48" s="219"/>
      <c r="L48" s="219"/>
      <c r="M48" s="219"/>
      <c r="N48" s="219"/>
      <c r="O48" s="219"/>
      <c r="P48" s="219"/>
      <c r="Q48" s="219"/>
      <c r="R48" s="220"/>
    </row>
    <row r="49" spans="1:18" ht="15" customHeight="1" x14ac:dyDescent="0.3">
      <c r="A49" s="10" t="s">
        <v>78</v>
      </c>
      <c r="B49" s="10" t="s">
        <v>1134</v>
      </c>
      <c r="C49" s="10">
        <v>0.68402777777777779</v>
      </c>
      <c r="D49" s="10" t="s">
        <v>83</v>
      </c>
      <c r="E49" s="10" t="s">
        <v>92</v>
      </c>
      <c r="F49" s="10" t="s">
        <v>1133</v>
      </c>
      <c r="G49" s="328"/>
      <c r="H49" s="218"/>
      <c r="I49" s="219"/>
      <c r="J49" s="219"/>
      <c r="K49" s="219"/>
      <c r="L49" s="219"/>
      <c r="M49" s="219"/>
      <c r="N49" s="219"/>
      <c r="O49" s="219"/>
      <c r="P49" s="219"/>
      <c r="Q49" s="219"/>
      <c r="R49" s="220"/>
    </row>
    <row r="50" spans="1:18" ht="15" customHeight="1" x14ac:dyDescent="0.3">
      <c r="A50" s="26" t="s">
        <v>78</v>
      </c>
      <c r="B50" s="26" t="s">
        <v>1135</v>
      </c>
      <c r="C50" s="26">
        <v>0.2986111111111111</v>
      </c>
      <c r="D50" s="26" t="s">
        <v>80</v>
      </c>
      <c r="E50" s="26" t="s">
        <v>71</v>
      </c>
      <c r="F50" s="26" t="s">
        <v>1132</v>
      </c>
      <c r="G50" s="328"/>
      <c r="H50" s="218"/>
      <c r="I50" s="219"/>
      <c r="J50" s="219"/>
      <c r="K50" s="219"/>
      <c r="L50" s="219"/>
      <c r="M50" s="219"/>
      <c r="N50" s="219"/>
      <c r="O50" s="219"/>
      <c r="P50" s="219"/>
      <c r="Q50" s="219"/>
      <c r="R50" s="220"/>
    </row>
    <row r="51" spans="1:18" ht="15" customHeight="1" x14ac:dyDescent="0.3">
      <c r="A51" s="10" t="s">
        <v>78</v>
      </c>
      <c r="B51" s="10" t="s">
        <v>1135</v>
      </c>
      <c r="C51" s="10">
        <v>0.2986111111111111</v>
      </c>
      <c r="D51" s="10" t="s">
        <v>83</v>
      </c>
      <c r="E51" s="10" t="s">
        <v>95</v>
      </c>
      <c r="F51" s="10" t="s">
        <v>1133</v>
      </c>
      <c r="G51" s="328"/>
      <c r="H51" s="218"/>
      <c r="I51" s="219"/>
      <c r="J51" s="219"/>
      <c r="K51" s="219"/>
      <c r="L51" s="219"/>
      <c r="M51" s="219"/>
      <c r="N51" s="219"/>
      <c r="O51" s="219"/>
      <c r="P51" s="219"/>
      <c r="Q51" s="219"/>
      <c r="R51" s="220"/>
    </row>
    <row r="52" spans="1:18" ht="15" customHeight="1" x14ac:dyDescent="0.3">
      <c r="A52" s="26" t="s">
        <v>78</v>
      </c>
      <c r="B52" s="26" t="s">
        <v>1136</v>
      </c>
      <c r="C52" s="26">
        <v>0.4826388888888889</v>
      </c>
      <c r="D52" s="26" t="s">
        <v>80</v>
      </c>
      <c r="E52" s="26" t="s">
        <v>71</v>
      </c>
      <c r="F52" s="26" t="s">
        <v>1132</v>
      </c>
      <c r="G52" s="328"/>
      <c r="H52" s="218"/>
      <c r="I52" s="219"/>
      <c r="J52" s="219"/>
      <c r="K52" s="219"/>
      <c r="L52" s="219"/>
      <c r="M52" s="219"/>
      <c r="N52" s="219"/>
      <c r="O52" s="219"/>
      <c r="P52" s="219"/>
      <c r="Q52" s="219"/>
      <c r="R52" s="220"/>
    </row>
    <row r="53" spans="1:18" ht="15" customHeight="1" x14ac:dyDescent="0.3">
      <c r="A53" s="10" t="s">
        <v>78</v>
      </c>
      <c r="B53" s="10" t="s">
        <v>1136</v>
      </c>
      <c r="C53" s="10">
        <v>0.4826388888888889</v>
      </c>
      <c r="D53" s="10" t="s">
        <v>83</v>
      </c>
      <c r="E53" s="10" t="s">
        <v>95</v>
      </c>
      <c r="F53" s="10" t="s">
        <v>1133</v>
      </c>
      <c r="G53" s="328"/>
      <c r="H53" s="218"/>
      <c r="I53" s="219"/>
      <c r="J53" s="219"/>
      <c r="K53" s="219"/>
      <c r="L53" s="219"/>
      <c r="M53" s="219"/>
      <c r="N53" s="219"/>
      <c r="O53" s="219"/>
      <c r="P53" s="219"/>
      <c r="Q53" s="219"/>
      <c r="R53" s="220"/>
    </row>
    <row r="54" spans="1:18" ht="15" customHeight="1" x14ac:dyDescent="0.3">
      <c r="A54" s="26" t="s">
        <v>78</v>
      </c>
      <c r="B54" s="26" t="s">
        <v>1137</v>
      </c>
      <c r="C54" s="26">
        <v>0.83680555555555547</v>
      </c>
      <c r="D54" s="26" t="s">
        <v>80</v>
      </c>
      <c r="E54" s="26" t="s">
        <v>71</v>
      </c>
      <c r="F54" s="26" t="s">
        <v>1138</v>
      </c>
      <c r="G54" s="328"/>
      <c r="H54" s="218"/>
      <c r="I54" s="219"/>
      <c r="J54" s="219"/>
      <c r="K54" s="219"/>
      <c r="L54" s="219"/>
      <c r="M54" s="219"/>
      <c r="N54" s="219"/>
      <c r="O54" s="219"/>
      <c r="P54" s="219"/>
      <c r="Q54" s="219"/>
      <c r="R54" s="220"/>
    </row>
    <row r="55" spans="1:18" ht="15" customHeight="1" x14ac:dyDescent="0.3">
      <c r="A55" s="10" t="s">
        <v>78</v>
      </c>
      <c r="B55" s="10" t="s">
        <v>1137</v>
      </c>
      <c r="C55" s="10">
        <v>0.83680555555555547</v>
      </c>
      <c r="D55" s="10" t="s">
        <v>83</v>
      </c>
      <c r="E55" s="10" t="s">
        <v>95</v>
      </c>
      <c r="F55" s="10" t="s">
        <v>1139</v>
      </c>
      <c r="G55" s="328"/>
      <c r="H55" s="218"/>
      <c r="I55" s="219"/>
      <c r="J55" s="219"/>
      <c r="K55" s="219"/>
      <c r="L55" s="219"/>
      <c r="M55" s="219"/>
      <c r="N55" s="219"/>
      <c r="O55" s="219"/>
      <c r="P55" s="219"/>
      <c r="Q55" s="219"/>
      <c r="R55" s="220"/>
    </row>
    <row r="56" spans="1:18" ht="15" customHeight="1" x14ac:dyDescent="0.3">
      <c r="A56" s="26" t="s">
        <v>78</v>
      </c>
      <c r="B56" s="26" t="s">
        <v>1140</v>
      </c>
      <c r="C56" s="26">
        <v>0.5</v>
      </c>
      <c r="D56" s="26" t="s">
        <v>83</v>
      </c>
      <c r="E56" s="26" t="s">
        <v>87</v>
      </c>
      <c r="F56" s="26" t="s">
        <v>1141</v>
      </c>
      <c r="G56" s="328"/>
      <c r="H56" s="218"/>
      <c r="I56" s="219"/>
      <c r="J56" s="219"/>
      <c r="K56" s="219"/>
      <c r="L56" s="219"/>
      <c r="M56" s="219"/>
      <c r="N56" s="219"/>
      <c r="O56" s="219"/>
      <c r="P56" s="219"/>
      <c r="Q56" s="219"/>
      <c r="R56" s="220"/>
    </row>
    <row r="57" spans="1:18" ht="15" customHeight="1" x14ac:dyDescent="0.3">
      <c r="A57" s="26" t="s">
        <v>78</v>
      </c>
      <c r="B57" s="26" t="s">
        <v>1142</v>
      </c>
      <c r="C57" s="26">
        <v>0.76041666666666663</v>
      </c>
      <c r="D57" s="26" t="s">
        <v>83</v>
      </c>
      <c r="E57" s="26" t="s">
        <v>87</v>
      </c>
      <c r="F57" s="26" t="s">
        <v>1141</v>
      </c>
      <c r="G57" s="328"/>
      <c r="H57" s="218"/>
      <c r="I57" s="219"/>
      <c r="J57" s="219"/>
      <c r="K57" s="219"/>
      <c r="L57" s="219"/>
      <c r="M57" s="219"/>
      <c r="N57" s="219"/>
      <c r="O57" s="219"/>
      <c r="P57" s="219"/>
      <c r="Q57" s="219"/>
      <c r="R57" s="220"/>
    </row>
    <row r="58" spans="1:18" ht="15" customHeight="1" x14ac:dyDescent="0.3">
      <c r="A58" s="31" t="s">
        <v>78</v>
      </c>
      <c r="B58" s="31" t="s">
        <v>1143</v>
      </c>
      <c r="C58" s="31">
        <v>0.81597222222222221</v>
      </c>
      <c r="D58" s="31" t="s">
        <v>83</v>
      </c>
      <c r="E58" s="31" t="s">
        <v>87</v>
      </c>
      <c r="F58" s="31" t="s">
        <v>1141</v>
      </c>
      <c r="G58" s="328"/>
      <c r="H58" s="231"/>
      <c r="I58" s="232"/>
      <c r="J58" s="232"/>
      <c r="K58" s="232"/>
      <c r="L58" s="232"/>
      <c r="M58" s="232"/>
      <c r="N58" s="232"/>
      <c r="O58" s="232"/>
      <c r="P58" s="232"/>
      <c r="Q58" s="232"/>
      <c r="R58" s="233"/>
    </row>
    <row r="59" spans="1:18" ht="17.399999999999999" customHeight="1" x14ac:dyDescent="0.3">
      <c r="A59" s="360"/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2"/>
    </row>
    <row r="60" spans="1:18" ht="22.05" customHeight="1" x14ac:dyDescent="0.3">
      <c r="A60" s="323" t="s">
        <v>6</v>
      </c>
      <c r="B60" s="324"/>
      <c r="C60" s="324"/>
      <c r="D60" s="324"/>
      <c r="E60" s="324"/>
      <c r="F60" s="324"/>
      <c r="G60" s="2">
        <v>45987</v>
      </c>
      <c r="H60" s="323" t="s">
        <v>7</v>
      </c>
      <c r="I60" s="324"/>
      <c r="J60" s="324"/>
      <c r="K60" s="324"/>
      <c r="L60" s="324"/>
      <c r="M60" s="324"/>
      <c r="N60" s="324"/>
      <c r="O60" s="324"/>
      <c r="P60" s="324"/>
      <c r="Q60" s="324"/>
      <c r="R60" s="324"/>
    </row>
    <row r="61" spans="1:18" ht="24" customHeight="1" x14ac:dyDescent="0.3">
      <c r="A61" s="3" t="s">
        <v>8</v>
      </c>
      <c r="B61" s="3" t="s">
        <v>9</v>
      </c>
      <c r="C61" s="3" t="s">
        <v>10</v>
      </c>
      <c r="D61" s="3" t="s">
        <v>11</v>
      </c>
      <c r="E61" s="3" t="s">
        <v>12</v>
      </c>
      <c r="F61" s="4" t="s">
        <v>13</v>
      </c>
      <c r="G61" s="5" t="s">
        <v>14</v>
      </c>
      <c r="H61" s="3" t="s">
        <v>15</v>
      </c>
      <c r="I61" s="3" t="s">
        <v>16</v>
      </c>
      <c r="J61" s="3" t="s">
        <v>17</v>
      </c>
      <c r="K61" s="3" t="s">
        <v>18</v>
      </c>
      <c r="L61" s="3" t="s">
        <v>19</v>
      </c>
      <c r="M61" s="3" t="s">
        <v>20</v>
      </c>
      <c r="N61" s="3" t="s">
        <v>21</v>
      </c>
      <c r="O61" s="3" t="s">
        <v>22</v>
      </c>
      <c r="P61" s="3" t="s">
        <v>23</v>
      </c>
      <c r="Q61" s="3" t="s">
        <v>24</v>
      </c>
      <c r="R61" s="3" t="s">
        <v>25</v>
      </c>
    </row>
    <row r="62" spans="1:18" ht="15" customHeight="1" x14ac:dyDescent="0.3">
      <c r="A62" s="6" t="s">
        <v>26</v>
      </c>
      <c r="B62" s="6" t="s">
        <v>1099</v>
      </c>
      <c r="C62" s="6">
        <v>0.76041666666666663</v>
      </c>
      <c r="D62" s="6" t="s">
        <v>28</v>
      </c>
      <c r="E62" s="6" t="s">
        <v>1144</v>
      </c>
      <c r="F62" s="6" t="s">
        <v>1101</v>
      </c>
      <c r="G62" s="335"/>
      <c r="H62" s="218"/>
      <c r="I62" s="219"/>
      <c r="J62" s="219"/>
      <c r="K62" s="219"/>
      <c r="L62" s="219"/>
      <c r="M62" s="219"/>
      <c r="N62" s="219"/>
      <c r="O62" s="219"/>
      <c r="P62" s="219"/>
      <c r="Q62" s="219"/>
      <c r="R62" s="220"/>
    </row>
    <row r="63" spans="1:18" ht="15" customHeight="1" x14ac:dyDescent="0.3">
      <c r="A63" s="10" t="s">
        <v>26</v>
      </c>
      <c r="B63" s="10" t="s">
        <v>1099</v>
      </c>
      <c r="C63" s="10">
        <v>0.76041666666666663</v>
      </c>
      <c r="D63" s="10" t="s">
        <v>31</v>
      </c>
      <c r="E63" s="10" t="s">
        <v>1112</v>
      </c>
      <c r="F63" s="10" t="s">
        <v>530</v>
      </c>
      <c r="G63" s="328"/>
      <c r="H63" s="218"/>
      <c r="I63" s="219"/>
      <c r="J63" s="219"/>
      <c r="K63" s="219"/>
      <c r="L63" s="219"/>
      <c r="M63" s="219"/>
      <c r="N63" s="219"/>
      <c r="O63" s="219"/>
      <c r="P63" s="219"/>
      <c r="Q63" s="219"/>
      <c r="R63" s="220"/>
    </row>
    <row r="64" spans="1:18" ht="15" customHeight="1" x14ac:dyDescent="0.3">
      <c r="A64" s="10" t="s">
        <v>26</v>
      </c>
      <c r="B64" s="10" t="s">
        <v>1099</v>
      </c>
      <c r="C64" s="10">
        <v>0.76041666666666663</v>
      </c>
      <c r="D64" s="10" t="s">
        <v>34</v>
      </c>
      <c r="E64" s="10" t="s">
        <v>1112</v>
      </c>
      <c r="F64" s="10" t="s">
        <v>1103</v>
      </c>
      <c r="G64" s="328"/>
      <c r="H64" s="218"/>
      <c r="I64" s="219"/>
      <c r="J64" s="219"/>
      <c r="K64" s="219"/>
      <c r="L64" s="219"/>
      <c r="M64" s="219"/>
      <c r="N64" s="219"/>
      <c r="O64" s="219"/>
      <c r="P64" s="219"/>
      <c r="Q64" s="219"/>
      <c r="R64" s="220"/>
    </row>
    <row r="65" spans="1:18" ht="15" customHeight="1" x14ac:dyDescent="0.3">
      <c r="A65" s="26" t="s">
        <v>26</v>
      </c>
      <c r="B65" s="26" t="s">
        <v>1104</v>
      </c>
      <c r="C65" s="26">
        <v>0.5</v>
      </c>
      <c r="D65" s="26" t="s">
        <v>28</v>
      </c>
      <c r="E65" s="26" t="s">
        <v>1145</v>
      </c>
      <c r="F65" s="26" t="s">
        <v>1101</v>
      </c>
      <c r="G65" s="328"/>
      <c r="H65" s="218"/>
      <c r="I65" s="219"/>
      <c r="J65" s="219"/>
      <c r="K65" s="219"/>
      <c r="L65" s="219"/>
      <c r="M65" s="219"/>
      <c r="N65" s="219"/>
      <c r="O65" s="219"/>
      <c r="P65" s="219"/>
      <c r="Q65" s="219"/>
      <c r="R65" s="220"/>
    </row>
    <row r="66" spans="1:18" ht="15" customHeight="1" x14ac:dyDescent="0.3">
      <c r="A66" s="10" t="s">
        <v>26</v>
      </c>
      <c r="B66" s="10" t="s">
        <v>1104</v>
      </c>
      <c r="C66" s="10">
        <v>0.5</v>
      </c>
      <c r="D66" s="10" t="s">
        <v>31</v>
      </c>
      <c r="E66" s="10" t="s">
        <v>1146</v>
      </c>
      <c r="F66" s="10" t="s">
        <v>530</v>
      </c>
      <c r="G66" s="328"/>
      <c r="H66" s="218"/>
      <c r="I66" s="219"/>
      <c r="J66" s="219"/>
      <c r="K66" s="219"/>
      <c r="L66" s="219"/>
      <c r="M66" s="219"/>
      <c r="N66" s="219"/>
      <c r="O66" s="219"/>
      <c r="P66" s="219"/>
      <c r="Q66" s="219"/>
      <c r="R66" s="220"/>
    </row>
    <row r="67" spans="1:18" ht="15" customHeight="1" x14ac:dyDescent="0.3">
      <c r="A67" s="10" t="s">
        <v>26</v>
      </c>
      <c r="B67" s="10" t="s">
        <v>1104</v>
      </c>
      <c r="C67" s="10">
        <v>0.5</v>
      </c>
      <c r="D67" s="10" t="s">
        <v>34</v>
      </c>
      <c r="E67" s="10" t="s">
        <v>1146</v>
      </c>
      <c r="F67" s="10" t="s">
        <v>1103</v>
      </c>
      <c r="G67" s="328"/>
      <c r="H67" s="218"/>
      <c r="I67" s="219"/>
      <c r="J67" s="219"/>
      <c r="K67" s="219"/>
      <c r="L67" s="219"/>
      <c r="M67" s="219"/>
      <c r="N67" s="219"/>
      <c r="O67" s="219"/>
      <c r="P67" s="219"/>
      <c r="Q67" s="219"/>
      <c r="R67" s="220"/>
    </row>
    <row r="68" spans="1:18" ht="15" customHeight="1" x14ac:dyDescent="0.3">
      <c r="A68" s="26" t="s">
        <v>26</v>
      </c>
      <c r="B68" s="26" t="s">
        <v>1107</v>
      </c>
      <c r="C68" s="26">
        <v>0.44791666666666669</v>
      </c>
      <c r="D68" s="26" t="s">
        <v>28</v>
      </c>
      <c r="E68" s="26" t="s">
        <v>1147</v>
      </c>
      <c r="F68" s="26" t="s">
        <v>1101</v>
      </c>
      <c r="G68" s="328"/>
      <c r="H68" s="218"/>
      <c r="I68" s="219"/>
      <c r="J68" s="219"/>
      <c r="K68" s="219"/>
      <c r="L68" s="219"/>
      <c r="M68" s="219"/>
      <c r="N68" s="219"/>
      <c r="O68" s="219"/>
      <c r="P68" s="219"/>
      <c r="Q68" s="219"/>
      <c r="R68" s="220"/>
    </row>
    <row r="69" spans="1:18" ht="15" customHeight="1" x14ac:dyDescent="0.3">
      <c r="A69" s="10" t="s">
        <v>26</v>
      </c>
      <c r="B69" s="10" t="s">
        <v>1107</v>
      </c>
      <c r="C69" s="10">
        <v>0.44791666666666669</v>
      </c>
      <c r="D69" s="10" t="s">
        <v>31</v>
      </c>
      <c r="E69" s="10" t="s">
        <v>1148</v>
      </c>
      <c r="F69" s="10" t="s">
        <v>530</v>
      </c>
      <c r="G69" s="328"/>
      <c r="H69" s="218"/>
      <c r="I69" s="219"/>
      <c r="J69" s="219"/>
      <c r="K69" s="219"/>
      <c r="L69" s="219"/>
      <c r="M69" s="219"/>
      <c r="N69" s="219"/>
      <c r="O69" s="219"/>
      <c r="P69" s="219"/>
      <c r="Q69" s="219"/>
      <c r="R69" s="220"/>
    </row>
    <row r="70" spans="1:18" ht="15" customHeight="1" x14ac:dyDescent="0.3">
      <c r="A70" s="10" t="s">
        <v>26</v>
      </c>
      <c r="B70" s="10" t="s">
        <v>1107</v>
      </c>
      <c r="C70" s="10">
        <v>0.44791666666666669</v>
      </c>
      <c r="D70" s="10" t="s">
        <v>34</v>
      </c>
      <c r="E70" s="10" t="s">
        <v>1148</v>
      </c>
      <c r="F70" s="10" t="s">
        <v>1103</v>
      </c>
      <c r="G70" s="328"/>
      <c r="H70" s="218"/>
      <c r="I70" s="219"/>
      <c r="J70" s="219"/>
      <c r="K70" s="219"/>
      <c r="L70" s="219"/>
      <c r="M70" s="219"/>
      <c r="N70" s="219"/>
      <c r="O70" s="219"/>
      <c r="P70" s="219"/>
      <c r="Q70" s="219"/>
      <c r="R70" s="220"/>
    </row>
    <row r="71" spans="1:18" ht="15" customHeight="1" x14ac:dyDescent="0.3">
      <c r="A71" s="26" t="s">
        <v>26</v>
      </c>
      <c r="B71" s="26" t="s">
        <v>1110</v>
      </c>
      <c r="C71" s="26">
        <v>0.81597222222222221</v>
      </c>
      <c r="D71" s="26" t="s">
        <v>28</v>
      </c>
      <c r="E71" s="26" t="s">
        <v>90</v>
      </c>
      <c r="F71" s="26" t="s">
        <v>1101</v>
      </c>
      <c r="G71" s="328"/>
      <c r="H71" s="218"/>
      <c r="I71" s="219"/>
      <c r="J71" s="219"/>
      <c r="K71" s="219"/>
      <c r="L71" s="219"/>
      <c r="M71" s="219"/>
      <c r="N71" s="219"/>
      <c r="O71" s="219"/>
      <c r="P71" s="219"/>
      <c r="Q71" s="219"/>
      <c r="R71" s="220"/>
    </row>
    <row r="72" spans="1:18" ht="15" customHeight="1" x14ac:dyDescent="0.3">
      <c r="A72" s="10" t="s">
        <v>26</v>
      </c>
      <c r="B72" s="10" t="s">
        <v>1110</v>
      </c>
      <c r="C72" s="10">
        <v>0.81597222222222221</v>
      </c>
      <c r="D72" s="10" t="s">
        <v>31</v>
      </c>
      <c r="E72" s="10" t="s">
        <v>92</v>
      </c>
      <c r="F72" s="10" t="s">
        <v>530</v>
      </c>
      <c r="G72" s="328"/>
      <c r="H72" s="218"/>
      <c r="I72" s="219"/>
      <c r="J72" s="219"/>
      <c r="K72" s="219"/>
      <c r="L72" s="219"/>
      <c r="M72" s="219"/>
      <c r="N72" s="219"/>
      <c r="O72" s="219"/>
      <c r="P72" s="219"/>
      <c r="Q72" s="219"/>
      <c r="R72" s="220"/>
    </row>
    <row r="73" spans="1:18" ht="15" customHeight="1" x14ac:dyDescent="0.3">
      <c r="A73" s="10" t="s">
        <v>26</v>
      </c>
      <c r="B73" s="10" t="s">
        <v>1110</v>
      </c>
      <c r="C73" s="10">
        <v>0.81597222222222221</v>
      </c>
      <c r="D73" s="10" t="s">
        <v>34</v>
      </c>
      <c r="E73" s="10" t="s">
        <v>92</v>
      </c>
      <c r="F73" s="10" t="s">
        <v>1103</v>
      </c>
      <c r="G73" s="328"/>
      <c r="H73" s="218"/>
      <c r="I73" s="219"/>
      <c r="J73" s="219"/>
      <c r="K73" s="219"/>
      <c r="L73" s="219"/>
      <c r="M73" s="219"/>
      <c r="N73" s="219"/>
      <c r="O73" s="219"/>
      <c r="P73" s="219"/>
      <c r="Q73" s="219"/>
      <c r="R73" s="220"/>
    </row>
    <row r="74" spans="1:18" ht="15" customHeight="1" x14ac:dyDescent="0.3">
      <c r="A74" s="11" t="s">
        <v>36</v>
      </c>
      <c r="B74" s="11" t="s">
        <v>1114</v>
      </c>
      <c r="C74" s="11">
        <v>0.375</v>
      </c>
      <c r="D74" s="11" t="s">
        <v>38</v>
      </c>
      <c r="E74" s="11" t="s">
        <v>123</v>
      </c>
      <c r="F74" s="11" t="s">
        <v>664</v>
      </c>
      <c r="G74" s="328"/>
      <c r="H74" s="218"/>
      <c r="I74" s="219"/>
      <c r="J74" s="219"/>
      <c r="K74" s="219"/>
      <c r="L74" s="219"/>
      <c r="M74" s="219"/>
      <c r="N74" s="219"/>
      <c r="O74" s="219"/>
      <c r="P74" s="219"/>
      <c r="Q74" s="219"/>
      <c r="R74" s="220"/>
    </row>
    <row r="75" spans="1:18" ht="15" customHeight="1" x14ac:dyDescent="0.3">
      <c r="A75" s="10" t="s">
        <v>36</v>
      </c>
      <c r="B75" s="10" t="s">
        <v>1114</v>
      </c>
      <c r="C75" s="10">
        <v>0.375</v>
      </c>
      <c r="D75" s="10" t="s">
        <v>40</v>
      </c>
      <c r="E75" s="10" t="s">
        <v>124</v>
      </c>
      <c r="F75" s="10" t="s">
        <v>515</v>
      </c>
      <c r="G75" s="328"/>
      <c r="H75" s="218"/>
      <c r="I75" s="219"/>
      <c r="J75" s="219"/>
      <c r="K75" s="219"/>
      <c r="L75" s="219"/>
      <c r="M75" s="219"/>
      <c r="N75" s="219"/>
      <c r="O75" s="219"/>
      <c r="P75" s="219"/>
      <c r="Q75" s="219"/>
      <c r="R75" s="220"/>
    </row>
    <row r="76" spans="1:18" ht="15" customHeight="1" x14ac:dyDescent="0.3">
      <c r="A76" s="10" t="s">
        <v>36</v>
      </c>
      <c r="B76" s="10" t="s">
        <v>1114</v>
      </c>
      <c r="C76" s="10">
        <v>0.375</v>
      </c>
      <c r="D76" s="10" t="s">
        <v>42</v>
      </c>
      <c r="E76" s="10" t="s">
        <v>124</v>
      </c>
      <c r="F76" s="10" t="s">
        <v>624</v>
      </c>
      <c r="G76" s="328"/>
      <c r="H76" s="218"/>
      <c r="I76" s="219"/>
      <c r="J76" s="219"/>
      <c r="K76" s="219"/>
      <c r="L76" s="219"/>
      <c r="M76" s="219"/>
      <c r="N76" s="219"/>
      <c r="O76" s="219"/>
      <c r="P76" s="219"/>
      <c r="Q76" s="219"/>
      <c r="R76" s="220"/>
    </row>
    <row r="77" spans="1:18" ht="15" customHeight="1" x14ac:dyDescent="0.3">
      <c r="A77" s="26" t="s">
        <v>36</v>
      </c>
      <c r="B77" s="26" t="s">
        <v>1115</v>
      </c>
      <c r="C77" s="26">
        <v>0.56597222222222221</v>
      </c>
      <c r="D77" s="26" t="s">
        <v>38</v>
      </c>
      <c r="E77" s="26" t="s">
        <v>114</v>
      </c>
      <c r="F77" s="26" t="s">
        <v>664</v>
      </c>
      <c r="G77" s="328"/>
      <c r="H77" s="218"/>
      <c r="I77" s="219"/>
      <c r="J77" s="219"/>
      <c r="K77" s="219"/>
      <c r="L77" s="219"/>
      <c r="M77" s="219"/>
      <c r="N77" s="219"/>
      <c r="O77" s="219"/>
      <c r="P77" s="219"/>
      <c r="Q77" s="219"/>
      <c r="R77" s="220"/>
    </row>
    <row r="78" spans="1:18" ht="15" customHeight="1" x14ac:dyDescent="0.3">
      <c r="A78" s="10" t="s">
        <v>36</v>
      </c>
      <c r="B78" s="10" t="s">
        <v>1115</v>
      </c>
      <c r="C78" s="10">
        <v>0.56597222222222221</v>
      </c>
      <c r="D78" s="10" t="s">
        <v>40</v>
      </c>
      <c r="E78" s="10" t="s">
        <v>115</v>
      </c>
      <c r="F78" s="10" t="s">
        <v>515</v>
      </c>
      <c r="G78" s="328"/>
      <c r="H78" s="218"/>
      <c r="I78" s="219"/>
      <c r="J78" s="219"/>
      <c r="K78" s="219"/>
      <c r="L78" s="219"/>
      <c r="M78" s="219"/>
      <c r="N78" s="219"/>
      <c r="O78" s="219"/>
      <c r="P78" s="219"/>
      <c r="Q78" s="219"/>
      <c r="R78" s="220"/>
    </row>
    <row r="79" spans="1:18" ht="15" customHeight="1" x14ac:dyDescent="0.3">
      <c r="A79" s="10" t="s">
        <v>36</v>
      </c>
      <c r="B79" s="10" t="s">
        <v>1115</v>
      </c>
      <c r="C79" s="10">
        <v>0.56597222222222221</v>
      </c>
      <c r="D79" s="10" t="s">
        <v>42</v>
      </c>
      <c r="E79" s="10" t="s">
        <v>115</v>
      </c>
      <c r="F79" s="10" t="s">
        <v>624</v>
      </c>
      <c r="G79" s="328"/>
      <c r="H79" s="218"/>
      <c r="I79" s="219"/>
      <c r="J79" s="219"/>
      <c r="K79" s="219"/>
      <c r="L79" s="219"/>
      <c r="M79" s="219"/>
      <c r="N79" s="219"/>
      <c r="O79" s="219"/>
      <c r="P79" s="219"/>
      <c r="Q79" s="219"/>
      <c r="R79" s="220"/>
    </row>
    <row r="80" spans="1:18" ht="15" customHeight="1" x14ac:dyDescent="0.3">
      <c r="A80" s="26" t="s">
        <v>36</v>
      </c>
      <c r="B80" s="26" t="s">
        <v>1116</v>
      </c>
      <c r="C80" s="26">
        <v>0.30555555555555552</v>
      </c>
      <c r="D80" s="26" t="s">
        <v>38</v>
      </c>
      <c r="E80" s="26" t="s">
        <v>439</v>
      </c>
      <c r="F80" s="26" t="s">
        <v>664</v>
      </c>
      <c r="G80" s="328"/>
      <c r="H80" s="218"/>
      <c r="I80" s="219"/>
      <c r="J80" s="219"/>
      <c r="K80" s="219"/>
      <c r="L80" s="219"/>
      <c r="M80" s="219"/>
      <c r="N80" s="219"/>
      <c r="O80" s="219"/>
      <c r="P80" s="219"/>
      <c r="Q80" s="219"/>
      <c r="R80" s="220"/>
    </row>
    <row r="81" spans="1:18" ht="15" customHeight="1" x14ac:dyDescent="0.3">
      <c r="A81" s="10" t="s">
        <v>36</v>
      </c>
      <c r="B81" s="10" t="s">
        <v>1116</v>
      </c>
      <c r="C81" s="10">
        <v>0.30555555555555552</v>
      </c>
      <c r="D81" s="10" t="s">
        <v>40</v>
      </c>
      <c r="E81" s="10" t="s">
        <v>124</v>
      </c>
      <c r="F81" s="10" t="s">
        <v>515</v>
      </c>
      <c r="G81" s="328"/>
      <c r="H81" s="218"/>
      <c r="I81" s="219"/>
      <c r="J81" s="219"/>
      <c r="K81" s="219"/>
      <c r="L81" s="219"/>
      <c r="M81" s="219"/>
      <c r="N81" s="219"/>
      <c r="O81" s="219"/>
      <c r="P81" s="219"/>
      <c r="Q81" s="219"/>
      <c r="R81" s="220"/>
    </row>
    <row r="82" spans="1:18" ht="15" customHeight="1" x14ac:dyDescent="0.3">
      <c r="A82" s="10" t="s">
        <v>36</v>
      </c>
      <c r="B82" s="10" t="s">
        <v>1116</v>
      </c>
      <c r="C82" s="10">
        <v>0.30555555555555552</v>
      </c>
      <c r="D82" s="10" t="s">
        <v>42</v>
      </c>
      <c r="E82" s="10" t="s">
        <v>124</v>
      </c>
      <c r="F82" s="10" t="s">
        <v>624</v>
      </c>
      <c r="G82" s="328"/>
      <c r="H82" s="218"/>
      <c r="I82" s="219"/>
      <c r="J82" s="219"/>
      <c r="K82" s="219"/>
      <c r="L82" s="219"/>
      <c r="M82" s="219"/>
      <c r="N82" s="219"/>
      <c r="O82" s="219"/>
      <c r="P82" s="219"/>
      <c r="Q82" s="219"/>
      <c r="R82" s="220"/>
    </row>
    <row r="83" spans="1:18" ht="15" customHeight="1" x14ac:dyDescent="0.3">
      <c r="A83" s="26" t="s">
        <v>36</v>
      </c>
      <c r="B83" s="26" t="s">
        <v>1118</v>
      </c>
      <c r="C83" s="26">
        <v>0.42708333333333331</v>
      </c>
      <c r="D83" s="26" t="s">
        <v>38</v>
      </c>
      <c r="E83" s="26" t="s">
        <v>439</v>
      </c>
      <c r="F83" s="26" t="s">
        <v>664</v>
      </c>
      <c r="G83" s="328"/>
      <c r="H83" s="218"/>
      <c r="I83" s="219"/>
      <c r="J83" s="219"/>
      <c r="K83" s="219"/>
      <c r="L83" s="219"/>
      <c r="M83" s="219"/>
      <c r="N83" s="219"/>
      <c r="O83" s="219"/>
      <c r="P83" s="219"/>
      <c r="Q83" s="219"/>
      <c r="R83" s="220"/>
    </row>
    <row r="84" spans="1:18" ht="15" customHeight="1" x14ac:dyDescent="0.3">
      <c r="A84" s="10" t="s">
        <v>36</v>
      </c>
      <c r="B84" s="10" t="s">
        <v>1118</v>
      </c>
      <c r="C84" s="10">
        <v>0.42708333333333331</v>
      </c>
      <c r="D84" s="10" t="s">
        <v>40</v>
      </c>
      <c r="E84" s="10" t="s">
        <v>124</v>
      </c>
      <c r="F84" s="10" t="s">
        <v>515</v>
      </c>
      <c r="G84" s="328"/>
      <c r="H84" s="218"/>
      <c r="I84" s="219"/>
      <c r="J84" s="219"/>
      <c r="K84" s="219"/>
      <c r="L84" s="219"/>
      <c r="M84" s="219"/>
      <c r="N84" s="219"/>
      <c r="O84" s="219"/>
      <c r="P84" s="219"/>
      <c r="Q84" s="219"/>
      <c r="R84" s="220"/>
    </row>
    <row r="85" spans="1:18" ht="15" customHeight="1" x14ac:dyDescent="0.3">
      <c r="A85" s="10" t="s">
        <v>36</v>
      </c>
      <c r="B85" s="10" t="s">
        <v>1118</v>
      </c>
      <c r="C85" s="10">
        <v>0.42708333333333331</v>
      </c>
      <c r="D85" s="10" t="s">
        <v>42</v>
      </c>
      <c r="E85" s="10" t="s">
        <v>124</v>
      </c>
      <c r="F85" s="10" t="s">
        <v>624</v>
      </c>
      <c r="G85" s="328"/>
      <c r="H85" s="218"/>
      <c r="I85" s="219"/>
      <c r="J85" s="219"/>
      <c r="K85" s="219"/>
      <c r="L85" s="219"/>
      <c r="M85" s="219"/>
      <c r="N85" s="219"/>
      <c r="O85" s="219"/>
      <c r="P85" s="219"/>
      <c r="Q85" s="219"/>
      <c r="R85" s="220"/>
    </row>
    <row r="86" spans="1:18" ht="15" customHeight="1" x14ac:dyDescent="0.3">
      <c r="A86" s="26" t="s">
        <v>36</v>
      </c>
      <c r="B86" s="26" t="s">
        <v>1119</v>
      </c>
      <c r="C86" s="26">
        <v>0.5</v>
      </c>
      <c r="D86" s="26" t="s">
        <v>38</v>
      </c>
      <c r="E86" s="26" t="s">
        <v>439</v>
      </c>
      <c r="F86" s="26" t="s">
        <v>620</v>
      </c>
      <c r="G86" s="328"/>
      <c r="H86" s="218"/>
      <c r="I86" s="219"/>
      <c r="J86" s="219"/>
      <c r="K86" s="219"/>
      <c r="L86" s="219"/>
      <c r="M86" s="219"/>
      <c r="N86" s="219"/>
      <c r="O86" s="219"/>
      <c r="P86" s="219"/>
      <c r="Q86" s="219"/>
      <c r="R86" s="220"/>
    </row>
    <row r="87" spans="1:18" ht="15" customHeight="1" x14ac:dyDescent="0.3">
      <c r="A87" s="10" t="s">
        <v>36</v>
      </c>
      <c r="B87" s="10" t="s">
        <v>1119</v>
      </c>
      <c r="C87" s="10">
        <v>0.5</v>
      </c>
      <c r="D87" s="10" t="s">
        <v>40</v>
      </c>
      <c r="E87" s="10" t="s">
        <v>124</v>
      </c>
      <c r="F87" s="10" t="s">
        <v>621</v>
      </c>
      <c r="G87" s="328"/>
      <c r="H87" s="218"/>
      <c r="I87" s="219"/>
      <c r="J87" s="219"/>
      <c r="K87" s="219"/>
      <c r="L87" s="219"/>
      <c r="M87" s="219"/>
      <c r="N87" s="219"/>
      <c r="O87" s="219"/>
      <c r="P87" s="219"/>
      <c r="Q87" s="219"/>
      <c r="R87" s="220"/>
    </row>
    <row r="88" spans="1:18" ht="15" customHeight="1" x14ac:dyDescent="0.3">
      <c r="A88" s="10" t="s">
        <v>36</v>
      </c>
      <c r="B88" s="10" t="s">
        <v>1119</v>
      </c>
      <c r="C88" s="10">
        <v>0.5</v>
      </c>
      <c r="D88" s="10" t="s">
        <v>42</v>
      </c>
      <c r="E88" s="10" t="s">
        <v>124</v>
      </c>
      <c r="F88" s="10" t="s">
        <v>622</v>
      </c>
      <c r="G88" s="328"/>
      <c r="H88" s="218"/>
      <c r="I88" s="219"/>
      <c r="J88" s="219"/>
      <c r="K88" s="219"/>
      <c r="L88" s="219"/>
      <c r="M88" s="219"/>
      <c r="N88" s="219"/>
      <c r="O88" s="219"/>
      <c r="P88" s="219"/>
      <c r="Q88" s="219"/>
      <c r="R88" s="220"/>
    </row>
    <row r="89" spans="1:18" ht="15" customHeight="1" x14ac:dyDescent="0.3">
      <c r="A89" s="26" t="s">
        <v>36</v>
      </c>
      <c r="B89" s="26" t="s">
        <v>1117</v>
      </c>
      <c r="C89" s="26">
        <v>0.6875</v>
      </c>
      <c r="D89" s="26" t="s">
        <v>38</v>
      </c>
      <c r="E89" s="26" t="s">
        <v>439</v>
      </c>
      <c r="F89" s="26" t="s">
        <v>620</v>
      </c>
      <c r="G89" s="328"/>
      <c r="H89" s="218"/>
      <c r="I89" s="219"/>
      <c r="J89" s="219"/>
      <c r="K89" s="219"/>
      <c r="L89" s="219"/>
      <c r="M89" s="219"/>
      <c r="N89" s="219"/>
      <c r="O89" s="219"/>
      <c r="P89" s="219"/>
      <c r="Q89" s="219"/>
      <c r="R89" s="220"/>
    </row>
    <row r="90" spans="1:18" ht="15" customHeight="1" x14ac:dyDescent="0.3">
      <c r="A90" s="10" t="s">
        <v>36</v>
      </c>
      <c r="B90" s="10" t="s">
        <v>1117</v>
      </c>
      <c r="C90" s="10">
        <v>0.6875</v>
      </c>
      <c r="D90" s="10" t="s">
        <v>40</v>
      </c>
      <c r="E90" s="10" t="s">
        <v>124</v>
      </c>
      <c r="F90" s="10" t="s">
        <v>621</v>
      </c>
      <c r="G90" s="328"/>
      <c r="H90" s="218"/>
      <c r="I90" s="219"/>
      <c r="J90" s="219"/>
      <c r="K90" s="219"/>
      <c r="L90" s="219"/>
      <c r="M90" s="219"/>
      <c r="N90" s="219"/>
      <c r="O90" s="219"/>
      <c r="P90" s="219"/>
      <c r="Q90" s="219"/>
      <c r="R90" s="220"/>
    </row>
    <row r="91" spans="1:18" ht="15" customHeight="1" x14ac:dyDescent="0.3">
      <c r="A91" s="10" t="s">
        <v>36</v>
      </c>
      <c r="B91" s="10" t="s">
        <v>1117</v>
      </c>
      <c r="C91" s="10">
        <v>0.6875</v>
      </c>
      <c r="D91" s="10" t="s">
        <v>42</v>
      </c>
      <c r="E91" s="10" t="s">
        <v>124</v>
      </c>
      <c r="F91" s="10" t="s">
        <v>622</v>
      </c>
      <c r="G91" s="328"/>
      <c r="H91" s="218"/>
      <c r="I91" s="219"/>
      <c r="J91" s="219"/>
      <c r="K91" s="219"/>
      <c r="L91" s="219"/>
      <c r="M91" s="219"/>
      <c r="N91" s="219"/>
      <c r="O91" s="219"/>
      <c r="P91" s="219"/>
      <c r="Q91" s="219"/>
      <c r="R91" s="220"/>
    </row>
    <row r="92" spans="1:18" ht="15" customHeight="1" x14ac:dyDescent="0.3">
      <c r="A92" s="26" t="s">
        <v>36</v>
      </c>
      <c r="B92" s="26" t="s">
        <v>1113</v>
      </c>
      <c r="C92" s="26">
        <v>0.82638888888888884</v>
      </c>
      <c r="D92" s="26" t="s">
        <v>38</v>
      </c>
      <c r="E92" s="26" t="s">
        <v>439</v>
      </c>
      <c r="F92" s="26" t="s">
        <v>530</v>
      </c>
      <c r="G92" s="328"/>
      <c r="H92" s="218"/>
      <c r="I92" s="219"/>
      <c r="J92" s="219"/>
      <c r="K92" s="219"/>
      <c r="L92" s="219"/>
      <c r="M92" s="219"/>
      <c r="N92" s="219"/>
      <c r="O92" s="219"/>
      <c r="P92" s="219"/>
      <c r="Q92" s="219"/>
      <c r="R92" s="220"/>
    </row>
    <row r="93" spans="1:18" ht="15" customHeight="1" x14ac:dyDescent="0.3">
      <c r="A93" s="10" t="s">
        <v>36</v>
      </c>
      <c r="B93" s="10" t="s">
        <v>1113</v>
      </c>
      <c r="C93" s="10">
        <v>0.82638888888888884</v>
      </c>
      <c r="D93" s="10" t="s">
        <v>40</v>
      </c>
      <c r="E93" s="10" t="s">
        <v>124</v>
      </c>
      <c r="F93" s="10" t="s">
        <v>514</v>
      </c>
      <c r="G93" s="328"/>
      <c r="H93" s="218"/>
      <c r="I93" s="219"/>
      <c r="J93" s="219"/>
      <c r="K93" s="219"/>
      <c r="L93" s="219"/>
      <c r="M93" s="219"/>
      <c r="N93" s="219"/>
      <c r="O93" s="219"/>
      <c r="P93" s="219"/>
      <c r="Q93" s="219"/>
      <c r="R93" s="220"/>
    </row>
    <row r="94" spans="1:18" ht="15" customHeight="1" x14ac:dyDescent="0.3">
      <c r="A94" s="10" t="s">
        <v>36</v>
      </c>
      <c r="B94" s="10" t="s">
        <v>1113</v>
      </c>
      <c r="C94" s="10">
        <v>0.82638888888888884</v>
      </c>
      <c r="D94" s="10" t="s">
        <v>42</v>
      </c>
      <c r="E94" s="10" t="s">
        <v>124</v>
      </c>
      <c r="F94" s="10" t="s">
        <v>414</v>
      </c>
      <c r="G94" s="328"/>
      <c r="H94" s="218"/>
      <c r="I94" s="219"/>
      <c r="J94" s="219"/>
      <c r="K94" s="219"/>
      <c r="L94" s="219"/>
      <c r="M94" s="219"/>
      <c r="N94" s="219"/>
      <c r="O94" s="219"/>
      <c r="P94" s="219"/>
      <c r="Q94" s="219"/>
      <c r="R94" s="220"/>
    </row>
    <row r="95" spans="1:18" ht="15" customHeight="1" x14ac:dyDescent="0.3">
      <c r="A95" s="11" t="s">
        <v>404</v>
      </c>
      <c r="B95" s="11" t="s">
        <v>1120</v>
      </c>
      <c r="C95" s="11">
        <v>0.27777777777777779</v>
      </c>
      <c r="D95" s="11" t="s">
        <v>46</v>
      </c>
      <c r="E95" s="11" t="s">
        <v>47</v>
      </c>
      <c r="F95" s="11" t="s">
        <v>1149</v>
      </c>
      <c r="G95" s="328"/>
      <c r="H95" s="218"/>
      <c r="I95" s="219"/>
      <c r="J95" s="219"/>
      <c r="K95" s="219"/>
      <c r="L95" s="219"/>
      <c r="M95" s="219"/>
      <c r="N95" s="219"/>
      <c r="O95" s="219"/>
      <c r="P95" s="219"/>
      <c r="Q95" s="219"/>
      <c r="R95" s="220"/>
    </row>
    <row r="96" spans="1:18" ht="15" customHeight="1" x14ac:dyDescent="0.3">
      <c r="A96" s="11" t="s">
        <v>456</v>
      </c>
      <c r="B96" s="11" t="s">
        <v>1150</v>
      </c>
      <c r="C96" s="11">
        <v>0.2361111111111111</v>
      </c>
      <c r="D96" s="11" t="s">
        <v>458</v>
      </c>
      <c r="E96" s="11" t="s">
        <v>123</v>
      </c>
      <c r="F96" s="11" t="s">
        <v>1151</v>
      </c>
      <c r="G96" s="328"/>
      <c r="H96" s="218"/>
      <c r="I96" s="219"/>
      <c r="J96" s="219"/>
      <c r="K96" s="219"/>
      <c r="L96" s="219"/>
      <c r="M96" s="219"/>
      <c r="N96" s="219"/>
      <c r="O96" s="219"/>
      <c r="P96" s="219"/>
      <c r="Q96" s="219"/>
      <c r="R96" s="220"/>
    </row>
    <row r="97" spans="1:18" ht="15" customHeight="1" x14ac:dyDescent="0.3">
      <c r="A97" s="10" t="s">
        <v>456</v>
      </c>
      <c r="B97" s="10" t="s">
        <v>1150</v>
      </c>
      <c r="C97" s="10">
        <v>0.2361111111111111</v>
      </c>
      <c r="D97" s="10" t="s">
        <v>34</v>
      </c>
      <c r="E97" s="10" t="s">
        <v>124</v>
      </c>
      <c r="F97" s="10" t="s">
        <v>1152</v>
      </c>
      <c r="G97" s="328"/>
      <c r="H97" s="218"/>
      <c r="I97" s="219"/>
      <c r="J97" s="219"/>
      <c r="K97" s="219"/>
      <c r="L97" s="219"/>
      <c r="M97" s="219"/>
      <c r="N97" s="219"/>
      <c r="O97" s="219"/>
      <c r="P97" s="219"/>
      <c r="Q97" s="219"/>
      <c r="R97" s="220"/>
    </row>
    <row r="98" spans="1:18" ht="15" customHeight="1" x14ac:dyDescent="0.3">
      <c r="A98" s="139" t="s">
        <v>44</v>
      </c>
      <c r="B98" s="139" t="s">
        <v>1121</v>
      </c>
      <c r="C98" s="139">
        <v>0.92361111111111116</v>
      </c>
      <c r="D98" s="139" t="s">
        <v>46</v>
      </c>
      <c r="E98" s="139" t="s">
        <v>47</v>
      </c>
      <c r="F98" s="139" t="s">
        <v>623</v>
      </c>
      <c r="G98" s="328"/>
      <c r="H98" s="226" t="s">
        <v>1122</v>
      </c>
      <c r="I98" s="261">
        <v>0.44640000000000002</v>
      </c>
      <c r="J98" s="228">
        <v>75</v>
      </c>
      <c r="K98" s="229" t="s">
        <v>175</v>
      </c>
      <c r="L98" s="228">
        <v>53</v>
      </c>
      <c r="M98" s="228">
        <v>8</v>
      </c>
      <c r="N98" s="228">
        <v>15</v>
      </c>
      <c r="O98" s="229" t="s">
        <v>237</v>
      </c>
      <c r="P98" s="229">
        <v>0.92361111111111116</v>
      </c>
      <c r="Q98" s="228">
        <v>168</v>
      </c>
      <c r="R98" s="230" t="s">
        <v>1153</v>
      </c>
    </row>
    <row r="99" spans="1:18" ht="15" customHeight="1" x14ac:dyDescent="0.3">
      <c r="A99" s="18" t="s">
        <v>44</v>
      </c>
      <c r="B99" s="18" t="s">
        <v>1154</v>
      </c>
      <c r="C99" s="18">
        <v>0.61111111111111105</v>
      </c>
      <c r="D99" s="18" t="s">
        <v>46</v>
      </c>
      <c r="E99" s="18" t="s">
        <v>71</v>
      </c>
      <c r="F99" s="18" t="s">
        <v>623</v>
      </c>
      <c r="G99" s="328"/>
      <c r="H99" s="150" t="s">
        <v>1155</v>
      </c>
      <c r="I99" s="151">
        <v>0.53569999999999995</v>
      </c>
      <c r="J99" s="152">
        <v>90</v>
      </c>
      <c r="K99" s="153" t="s">
        <v>175</v>
      </c>
      <c r="L99" s="152">
        <v>39</v>
      </c>
      <c r="M99" s="152">
        <v>2</v>
      </c>
      <c r="N99" s="152">
        <v>14</v>
      </c>
      <c r="O99" s="153" t="s">
        <v>237</v>
      </c>
      <c r="P99" s="153">
        <v>0.61111111111111105</v>
      </c>
      <c r="Q99" s="152">
        <v>168</v>
      </c>
      <c r="R99" s="154" t="s">
        <v>1156</v>
      </c>
    </row>
    <row r="100" spans="1:18" ht="15" customHeight="1" x14ac:dyDescent="0.3">
      <c r="A100" s="11" t="s">
        <v>410</v>
      </c>
      <c r="B100" s="11" t="s">
        <v>1157</v>
      </c>
      <c r="C100" s="11">
        <v>0.80208333333333337</v>
      </c>
      <c r="D100" s="11" t="s">
        <v>46</v>
      </c>
      <c r="E100" s="11" t="s">
        <v>47</v>
      </c>
      <c r="F100" s="11" t="s">
        <v>1158</v>
      </c>
      <c r="G100" s="328"/>
      <c r="H100" s="218"/>
      <c r="I100" s="219"/>
      <c r="J100" s="219"/>
      <c r="K100" s="219"/>
      <c r="L100" s="219"/>
      <c r="M100" s="219"/>
      <c r="N100" s="219"/>
      <c r="O100" s="219"/>
      <c r="P100" s="219"/>
      <c r="Q100" s="219"/>
      <c r="R100" s="220"/>
    </row>
    <row r="101" spans="1:18" ht="15" customHeight="1" x14ac:dyDescent="0.3">
      <c r="A101" s="11" t="s">
        <v>66</v>
      </c>
      <c r="B101" s="11" t="s">
        <v>1126</v>
      </c>
      <c r="C101" s="11">
        <v>0.16666666666666671</v>
      </c>
      <c r="D101" s="11" t="s">
        <v>68</v>
      </c>
      <c r="E101" s="11" t="s">
        <v>47</v>
      </c>
      <c r="F101" s="11" t="s">
        <v>977</v>
      </c>
      <c r="G101" s="328"/>
      <c r="H101" s="218"/>
      <c r="I101" s="219"/>
      <c r="J101" s="219"/>
      <c r="K101" s="219"/>
      <c r="L101" s="219"/>
      <c r="M101" s="219"/>
      <c r="N101" s="219"/>
      <c r="O101" s="219"/>
      <c r="P101" s="219"/>
      <c r="Q101" s="219"/>
      <c r="R101" s="220"/>
    </row>
    <row r="102" spans="1:18" ht="15" customHeight="1" x14ac:dyDescent="0.3">
      <c r="A102" s="26" t="s">
        <v>66</v>
      </c>
      <c r="B102" s="26" t="s">
        <v>1130</v>
      </c>
      <c r="C102" s="26">
        <v>0.91666666666666663</v>
      </c>
      <c r="D102" s="26" t="s">
        <v>68</v>
      </c>
      <c r="E102" s="26" t="s">
        <v>71</v>
      </c>
      <c r="F102" s="26" t="s">
        <v>1159</v>
      </c>
      <c r="G102" s="328"/>
      <c r="H102" s="218"/>
      <c r="I102" s="219"/>
      <c r="J102" s="219"/>
      <c r="K102" s="219"/>
      <c r="L102" s="219"/>
      <c r="M102" s="219"/>
      <c r="N102" s="219"/>
      <c r="O102" s="219"/>
      <c r="P102" s="219"/>
      <c r="Q102" s="219"/>
      <c r="R102" s="220"/>
    </row>
    <row r="103" spans="1:18" ht="15" customHeight="1" x14ac:dyDescent="0.3">
      <c r="A103" s="26" t="s">
        <v>66</v>
      </c>
      <c r="B103" s="26" t="s">
        <v>1128</v>
      </c>
      <c r="C103" s="26">
        <v>0.53472222222222221</v>
      </c>
      <c r="D103" s="26" t="s">
        <v>68</v>
      </c>
      <c r="E103" s="26" t="s">
        <v>71</v>
      </c>
      <c r="F103" s="26" t="s">
        <v>1129</v>
      </c>
      <c r="G103" s="328"/>
      <c r="H103" s="218"/>
      <c r="I103" s="219"/>
      <c r="J103" s="219"/>
      <c r="K103" s="219"/>
      <c r="L103" s="219"/>
      <c r="M103" s="219"/>
      <c r="N103" s="219"/>
      <c r="O103" s="219"/>
      <c r="P103" s="219"/>
      <c r="Q103" s="219"/>
      <c r="R103" s="220"/>
    </row>
    <row r="104" spans="1:18" ht="15" customHeight="1" x14ac:dyDescent="0.3">
      <c r="A104" s="11" t="s">
        <v>78</v>
      </c>
      <c r="B104" s="11" t="s">
        <v>1135</v>
      </c>
      <c r="C104" s="11">
        <v>0.2986111111111111</v>
      </c>
      <c r="D104" s="11" t="s">
        <v>80</v>
      </c>
      <c r="E104" s="11" t="s">
        <v>47</v>
      </c>
      <c r="F104" s="11" t="s">
        <v>1132</v>
      </c>
      <c r="G104" s="328"/>
      <c r="H104" s="218"/>
      <c r="I104" s="219"/>
      <c r="J104" s="219"/>
      <c r="K104" s="219"/>
      <c r="L104" s="219"/>
      <c r="M104" s="219"/>
      <c r="N104" s="219"/>
      <c r="O104" s="219"/>
      <c r="P104" s="219"/>
      <c r="Q104" s="219"/>
      <c r="R104" s="220"/>
    </row>
    <row r="105" spans="1:18" ht="15" customHeight="1" x14ac:dyDescent="0.3">
      <c r="A105" s="10" t="s">
        <v>78</v>
      </c>
      <c r="B105" s="10" t="s">
        <v>1135</v>
      </c>
      <c r="C105" s="10">
        <v>0.2986111111111111</v>
      </c>
      <c r="D105" s="10" t="s">
        <v>83</v>
      </c>
      <c r="E105" s="10" t="s">
        <v>95</v>
      </c>
      <c r="F105" s="10" t="s">
        <v>1133</v>
      </c>
      <c r="G105" s="328"/>
      <c r="H105" s="218"/>
      <c r="I105" s="219"/>
      <c r="J105" s="219"/>
      <c r="K105" s="219"/>
      <c r="L105" s="219"/>
      <c r="M105" s="219"/>
      <c r="N105" s="219"/>
      <c r="O105" s="219"/>
      <c r="P105" s="219"/>
      <c r="Q105" s="219"/>
      <c r="R105" s="220"/>
    </row>
    <row r="106" spans="1:18" ht="15" customHeight="1" x14ac:dyDescent="0.3">
      <c r="A106" s="26" t="s">
        <v>78</v>
      </c>
      <c r="B106" s="26" t="s">
        <v>1134</v>
      </c>
      <c r="C106" s="26">
        <v>0.68402777777777779</v>
      </c>
      <c r="D106" s="26" t="s">
        <v>80</v>
      </c>
      <c r="E106" s="26" t="s">
        <v>97</v>
      </c>
      <c r="F106" s="26" t="s">
        <v>1160</v>
      </c>
      <c r="G106" s="328"/>
      <c r="H106" s="218"/>
      <c r="I106" s="219"/>
      <c r="J106" s="219"/>
      <c r="K106" s="219"/>
      <c r="L106" s="219"/>
      <c r="M106" s="219"/>
      <c r="N106" s="219"/>
      <c r="O106" s="219"/>
      <c r="P106" s="219"/>
      <c r="Q106" s="219"/>
      <c r="R106" s="220"/>
    </row>
    <row r="107" spans="1:18" ht="15" customHeight="1" x14ac:dyDescent="0.3">
      <c r="A107" s="10" t="s">
        <v>78</v>
      </c>
      <c r="B107" s="10" t="s">
        <v>1134</v>
      </c>
      <c r="C107" s="10">
        <v>0.68402777777777779</v>
      </c>
      <c r="D107" s="10" t="s">
        <v>83</v>
      </c>
      <c r="E107" s="10" t="s">
        <v>104</v>
      </c>
      <c r="F107" s="10" t="s">
        <v>1161</v>
      </c>
      <c r="G107" s="328"/>
      <c r="H107" s="218"/>
      <c r="I107" s="219"/>
      <c r="J107" s="219"/>
      <c r="K107" s="219"/>
      <c r="L107" s="219"/>
      <c r="M107" s="219"/>
      <c r="N107" s="219"/>
      <c r="O107" s="219"/>
      <c r="P107" s="219"/>
      <c r="Q107" s="219"/>
      <c r="R107" s="220"/>
    </row>
    <row r="108" spans="1:18" ht="15" customHeight="1" x14ac:dyDescent="0.3">
      <c r="A108" s="26" t="s">
        <v>78</v>
      </c>
      <c r="B108" s="26" t="s">
        <v>1136</v>
      </c>
      <c r="C108" s="26">
        <v>0.4826388888888889</v>
      </c>
      <c r="D108" s="26" t="s">
        <v>80</v>
      </c>
      <c r="E108" s="26" t="s">
        <v>71</v>
      </c>
      <c r="F108" s="26" t="s">
        <v>1160</v>
      </c>
      <c r="G108" s="328"/>
      <c r="H108" s="218"/>
      <c r="I108" s="219"/>
      <c r="J108" s="219"/>
      <c r="K108" s="219"/>
      <c r="L108" s="219"/>
      <c r="M108" s="219"/>
      <c r="N108" s="219"/>
      <c r="O108" s="219"/>
      <c r="P108" s="219"/>
      <c r="Q108" s="219"/>
      <c r="R108" s="220"/>
    </row>
    <row r="109" spans="1:18" ht="15" customHeight="1" x14ac:dyDescent="0.3">
      <c r="A109" s="10" t="s">
        <v>78</v>
      </c>
      <c r="B109" s="10" t="s">
        <v>1136</v>
      </c>
      <c r="C109" s="10">
        <v>0.4826388888888889</v>
      </c>
      <c r="D109" s="10" t="s">
        <v>83</v>
      </c>
      <c r="E109" s="10" t="s">
        <v>95</v>
      </c>
      <c r="F109" s="10" t="s">
        <v>1161</v>
      </c>
      <c r="G109" s="328"/>
      <c r="H109" s="218"/>
      <c r="I109" s="219"/>
      <c r="J109" s="219"/>
      <c r="K109" s="219"/>
      <c r="L109" s="219"/>
      <c r="M109" s="219"/>
      <c r="N109" s="219"/>
      <c r="O109" s="219"/>
      <c r="P109" s="219"/>
      <c r="Q109" s="219"/>
      <c r="R109" s="220"/>
    </row>
    <row r="110" spans="1:18" ht="15" customHeight="1" x14ac:dyDescent="0.3">
      <c r="A110" s="26" t="s">
        <v>78</v>
      </c>
      <c r="B110" s="26" t="s">
        <v>1137</v>
      </c>
      <c r="C110" s="26">
        <v>0.83680555555555547</v>
      </c>
      <c r="D110" s="26" t="s">
        <v>80</v>
      </c>
      <c r="E110" s="26" t="s">
        <v>71</v>
      </c>
      <c r="F110" s="26" t="s">
        <v>108</v>
      </c>
      <c r="G110" s="328"/>
      <c r="H110" s="218"/>
      <c r="I110" s="219"/>
      <c r="J110" s="219"/>
      <c r="K110" s="219"/>
      <c r="L110" s="219"/>
      <c r="M110" s="219"/>
      <c r="N110" s="219"/>
      <c r="O110" s="219"/>
      <c r="P110" s="219"/>
      <c r="Q110" s="219"/>
      <c r="R110" s="220"/>
    </row>
    <row r="111" spans="1:18" ht="15" customHeight="1" x14ac:dyDescent="0.3">
      <c r="A111" s="10" t="s">
        <v>78</v>
      </c>
      <c r="B111" s="10" t="s">
        <v>1137</v>
      </c>
      <c r="C111" s="10">
        <v>0.83680555555555547</v>
      </c>
      <c r="D111" s="10" t="s">
        <v>83</v>
      </c>
      <c r="E111" s="10" t="s">
        <v>95</v>
      </c>
      <c r="F111" s="10" t="s">
        <v>1103</v>
      </c>
      <c r="G111" s="328"/>
      <c r="H111" s="218"/>
      <c r="I111" s="219"/>
      <c r="J111" s="219"/>
      <c r="K111" s="219"/>
      <c r="L111" s="219"/>
      <c r="M111" s="219"/>
      <c r="N111" s="219"/>
      <c r="O111" s="219"/>
      <c r="P111" s="219"/>
      <c r="Q111" s="219"/>
      <c r="R111" s="220"/>
    </row>
    <row r="112" spans="1:18" ht="15" customHeight="1" x14ac:dyDescent="0.3">
      <c r="A112" s="26" t="s">
        <v>78</v>
      </c>
      <c r="B112" s="26" t="s">
        <v>1140</v>
      </c>
      <c r="C112" s="26">
        <v>0.5</v>
      </c>
      <c r="D112" s="26" t="s">
        <v>83</v>
      </c>
      <c r="E112" s="26" t="s">
        <v>87</v>
      </c>
      <c r="F112" s="26" t="s">
        <v>1141</v>
      </c>
      <c r="G112" s="328"/>
      <c r="H112" s="218"/>
      <c r="I112" s="219"/>
      <c r="J112" s="219"/>
      <c r="K112" s="219"/>
      <c r="L112" s="219"/>
      <c r="M112" s="219"/>
      <c r="N112" s="219"/>
      <c r="O112" s="219"/>
      <c r="P112" s="219"/>
      <c r="Q112" s="219"/>
      <c r="R112" s="220"/>
    </row>
    <row r="113" spans="1:18" ht="15" customHeight="1" x14ac:dyDescent="0.3">
      <c r="A113" s="26" t="s">
        <v>78</v>
      </c>
      <c r="B113" s="26" t="s">
        <v>1142</v>
      </c>
      <c r="C113" s="26">
        <v>0.76041666666666663</v>
      </c>
      <c r="D113" s="26" t="s">
        <v>83</v>
      </c>
      <c r="E113" s="26" t="s">
        <v>87</v>
      </c>
      <c r="F113" s="26" t="s">
        <v>1141</v>
      </c>
      <c r="G113" s="328"/>
      <c r="H113" s="218"/>
      <c r="I113" s="219"/>
      <c r="J113" s="219"/>
      <c r="K113" s="219"/>
      <c r="L113" s="219"/>
      <c r="M113" s="219"/>
      <c r="N113" s="219"/>
      <c r="O113" s="219"/>
      <c r="P113" s="219"/>
      <c r="Q113" s="219"/>
      <c r="R113" s="220"/>
    </row>
    <row r="114" spans="1:18" ht="15" customHeight="1" x14ac:dyDescent="0.3">
      <c r="A114" s="31" t="s">
        <v>78</v>
      </c>
      <c r="B114" s="31" t="s">
        <v>1143</v>
      </c>
      <c r="C114" s="31">
        <v>0.81597222222222221</v>
      </c>
      <c r="D114" s="31" t="s">
        <v>83</v>
      </c>
      <c r="E114" s="31" t="s">
        <v>87</v>
      </c>
      <c r="F114" s="31" t="s">
        <v>1141</v>
      </c>
      <c r="G114" s="328"/>
      <c r="H114" s="231"/>
      <c r="I114" s="232"/>
      <c r="J114" s="232"/>
      <c r="K114" s="232"/>
      <c r="L114" s="232"/>
      <c r="M114" s="232"/>
      <c r="N114" s="232"/>
      <c r="O114" s="232"/>
      <c r="P114" s="232"/>
      <c r="Q114" s="232"/>
      <c r="R114" s="233"/>
    </row>
    <row r="115" spans="1:18" ht="17.399999999999999" customHeight="1" x14ac:dyDescent="0.3">
      <c r="A115" s="360"/>
      <c r="B115" s="361"/>
      <c r="C115" s="361"/>
      <c r="D115" s="361"/>
      <c r="E115" s="361"/>
      <c r="F115" s="361"/>
      <c r="G115" s="361"/>
      <c r="H115" s="361"/>
      <c r="I115" s="361"/>
      <c r="J115" s="361"/>
      <c r="K115" s="361"/>
      <c r="L115" s="361"/>
      <c r="M115" s="361"/>
      <c r="N115" s="361"/>
      <c r="O115" s="361"/>
      <c r="P115" s="361"/>
      <c r="Q115" s="361"/>
      <c r="R115" s="362"/>
    </row>
    <row r="116" spans="1:18" ht="22.05" customHeight="1" x14ac:dyDescent="0.3">
      <c r="A116" s="323" t="s">
        <v>6</v>
      </c>
      <c r="B116" s="324"/>
      <c r="C116" s="324"/>
      <c r="D116" s="324"/>
      <c r="E116" s="324"/>
      <c r="F116" s="324"/>
      <c r="G116" s="2">
        <v>45988</v>
      </c>
      <c r="H116" s="323" t="s">
        <v>7</v>
      </c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</row>
    <row r="117" spans="1:18" ht="24" customHeight="1" x14ac:dyDescent="0.3">
      <c r="A117" s="3" t="s">
        <v>8</v>
      </c>
      <c r="B117" s="3" t="s">
        <v>9</v>
      </c>
      <c r="C117" s="3" t="s">
        <v>10</v>
      </c>
      <c r="D117" s="3" t="s">
        <v>11</v>
      </c>
      <c r="E117" s="3" t="s">
        <v>12</v>
      </c>
      <c r="F117" s="4" t="s">
        <v>13</v>
      </c>
      <c r="G117" s="5" t="s">
        <v>14</v>
      </c>
      <c r="H117" s="3" t="s">
        <v>15</v>
      </c>
      <c r="I117" s="3" t="s">
        <v>16</v>
      </c>
      <c r="J117" s="3" t="s">
        <v>17</v>
      </c>
      <c r="K117" s="3" t="s">
        <v>18</v>
      </c>
      <c r="L117" s="3" t="s">
        <v>19</v>
      </c>
      <c r="M117" s="3" t="s">
        <v>20</v>
      </c>
      <c r="N117" s="3" t="s">
        <v>21</v>
      </c>
      <c r="O117" s="3" t="s">
        <v>22</v>
      </c>
      <c r="P117" s="3" t="s">
        <v>23</v>
      </c>
      <c r="Q117" s="3" t="s">
        <v>24</v>
      </c>
      <c r="R117" s="3" t="s">
        <v>25</v>
      </c>
    </row>
    <row r="118" spans="1:18" ht="15" customHeight="1" x14ac:dyDescent="0.3">
      <c r="A118" s="6" t="s">
        <v>26</v>
      </c>
      <c r="B118" s="6" t="s">
        <v>1104</v>
      </c>
      <c r="C118" s="6">
        <v>0.5</v>
      </c>
      <c r="D118" s="6" t="s">
        <v>28</v>
      </c>
      <c r="E118" s="6" t="s">
        <v>180</v>
      </c>
      <c r="F118" s="6" t="s">
        <v>1101</v>
      </c>
      <c r="G118" s="335"/>
      <c r="H118" s="218"/>
      <c r="I118" s="219"/>
      <c r="J118" s="219"/>
      <c r="K118" s="219"/>
      <c r="L118" s="219"/>
      <c r="M118" s="219"/>
      <c r="N118" s="219"/>
      <c r="O118" s="219"/>
      <c r="P118" s="219"/>
      <c r="Q118" s="219"/>
      <c r="R118" s="220"/>
    </row>
    <row r="119" spans="1:18" ht="15" customHeight="1" x14ac:dyDescent="0.3">
      <c r="A119" s="10" t="s">
        <v>26</v>
      </c>
      <c r="B119" s="10" t="s">
        <v>1104</v>
      </c>
      <c r="C119" s="10">
        <v>0.5</v>
      </c>
      <c r="D119" s="10" t="s">
        <v>31</v>
      </c>
      <c r="E119" s="10" t="s">
        <v>181</v>
      </c>
      <c r="F119" s="10" t="s">
        <v>530</v>
      </c>
      <c r="G119" s="328"/>
      <c r="H119" s="218"/>
      <c r="I119" s="219"/>
      <c r="J119" s="219"/>
      <c r="K119" s="219"/>
      <c r="L119" s="219"/>
      <c r="M119" s="219"/>
      <c r="N119" s="219"/>
      <c r="O119" s="219"/>
      <c r="P119" s="219"/>
      <c r="Q119" s="219"/>
      <c r="R119" s="220"/>
    </row>
    <row r="120" spans="1:18" ht="15" customHeight="1" x14ac:dyDescent="0.3">
      <c r="A120" s="10" t="s">
        <v>26</v>
      </c>
      <c r="B120" s="10" t="s">
        <v>1104</v>
      </c>
      <c r="C120" s="10">
        <v>0.5</v>
      </c>
      <c r="D120" s="10" t="s">
        <v>34</v>
      </c>
      <c r="E120" s="10" t="s">
        <v>181</v>
      </c>
      <c r="F120" s="10" t="s">
        <v>1103</v>
      </c>
      <c r="G120" s="328"/>
      <c r="H120" s="218"/>
      <c r="I120" s="219"/>
      <c r="J120" s="219"/>
      <c r="K120" s="219"/>
      <c r="L120" s="219"/>
      <c r="M120" s="219"/>
      <c r="N120" s="219"/>
      <c r="O120" s="219"/>
      <c r="P120" s="219"/>
      <c r="Q120" s="219"/>
      <c r="R120" s="220"/>
    </row>
    <row r="121" spans="1:18" ht="15" customHeight="1" x14ac:dyDescent="0.3">
      <c r="A121" s="26" t="s">
        <v>26</v>
      </c>
      <c r="B121" s="26" t="s">
        <v>1107</v>
      </c>
      <c r="C121" s="26">
        <v>0.44791666666666669</v>
      </c>
      <c r="D121" s="26" t="s">
        <v>28</v>
      </c>
      <c r="E121" s="26" t="s">
        <v>152</v>
      </c>
      <c r="F121" s="26" t="s">
        <v>1101</v>
      </c>
      <c r="G121" s="328"/>
      <c r="H121" s="218"/>
      <c r="I121" s="219"/>
      <c r="J121" s="219"/>
      <c r="K121" s="219"/>
      <c r="L121" s="219"/>
      <c r="M121" s="219"/>
      <c r="N121" s="219"/>
      <c r="O121" s="219"/>
      <c r="P121" s="219"/>
      <c r="Q121" s="219"/>
      <c r="R121" s="220"/>
    </row>
    <row r="122" spans="1:18" ht="15" customHeight="1" x14ac:dyDescent="0.3">
      <c r="A122" s="10" t="s">
        <v>26</v>
      </c>
      <c r="B122" s="10" t="s">
        <v>1107</v>
      </c>
      <c r="C122" s="10">
        <v>0.44791666666666669</v>
      </c>
      <c r="D122" s="10" t="s">
        <v>31</v>
      </c>
      <c r="E122" s="10" t="s">
        <v>84</v>
      </c>
      <c r="F122" s="10" t="s">
        <v>530</v>
      </c>
      <c r="G122" s="328"/>
      <c r="H122" s="218"/>
      <c r="I122" s="219"/>
      <c r="J122" s="219"/>
      <c r="K122" s="219"/>
      <c r="L122" s="219"/>
      <c r="M122" s="219"/>
      <c r="N122" s="219"/>
      <c r="O122" s="219"/>
      <c r="P122" s="219"/>
      <c r="Q122" s="219"/>
      <c r="R122" s="220"/>
    </row>
    <row r="123" spans="1:18" ht="15" customHeight="1" x14ac:dyDescent="0.3">
      <c r="A123" s="10" t="s">
        <v>26</v>
      </c>
      <c r="B123" s="10" t="s">
        <v>1107</v>
      </c>
      <c r="C123" s="10">
        <v>0.44791666666666669</v>
      </c>
      <c r="D123" s="10" t="s">
        <v>34</v>
      </c>
      <c r="E123" s="10" t="s">
        <v>84</v>
      </c>
      <c r="F123" s="10" t="s">
        <v>1103</v>
      </c>
      <c r="G123" s="328"/>
      <c r="H123" s="218"/>
      <c r="I123" s="219"/>
      <c r="J123" s="219"/>
      <c r="K123" s="219"/>
      <c r="L123" s="219"/>
      <c r="M123" s="219"/>
      <c r="N123" s="219"/>
      <c r="O123" s="219"/>
      <c r="P123" s="219"/>
      <c r="Q123" s="219"/>
      <c r="R123" s="220"/>
    </row>
    <row r="124" spans="1:18" ht="15" customHeight="1" x14ac:dyDescent="0.3">
      <c r="A124" s="26" t="s">
        <v>26</v>
      </c>
      <c r="B124" s="26" t="s">
        <v>1110</v>
      </c>
      <c r="C124" s="26">
        <v>0.81597222222222221</v>
      </c>
      <c r="D124" s="26" t="s">
        <v>28</v>
      </c>
      <c r="E124" s="26" t="s">
        <v>54</v>
      </c>
      <c r="F124" s="26" t="s">
        <v>621</v>
      </c>
      <c r="G124" s="328"/>
      <c r="H124" s="218"/>
      <c r="I124" s="219"/>
      <c r="J124" s="219"/>
      <c r="K124" s="219"/>
      <c r="L124" s="219"/>
      <c r="M124" s="219"/>
      <c r="N124" s="219"/>
      <c r="O124" s="219"/>
      <c r="P124" s="219"/>
      <c r="Q124" s="219"/>
      <c r="R124" s="220"/>
    </row>
    <row r="125" spans="1:18" ht="15" customHeight="1" x14ac:dyDescent="0.3">
      <c r="A125" s="10" t="s">
        <v>26</v>
      </c>
      <c r="B125" s="10" t="s">
        <v>1110</v>
      </c>
      <c r="C125" s="10">
        <v>0.81597222222222221</v>
      </c>
      <c r="D125" s="10" t="s">
        <v>31</v>
      </c>
      <c r="E125" s="10" t="s">
        <v>161</v>
      </c>
      <c r="F125" s="10" t="s">
        <v>554</v>
      </c>
      <c r="G125" s="328"/>
      <c r="H125" s="218"/>
      <c r="I125" s="219"/>
      <c r="J125" s="219"/>
      <c r="K125" s="219"/>
      <c r="L125" s="219"/>
      <c r="M125" s="219"/>
      <c r="N125" s="219"/>
      <c r="O125" s="219"/>
      <c r="P125" s="219"/>
      <c r="Q125" s="219"/>
      <c r="R125" s="220"/>
    </row>
    <row r="126" spans="1:18" ht="15" customHeight="1" x14ac:dyDescent="0.3">
      <c r="A126" s="10" t="s">
        <v>26</v>
      </c>
      <c r="B126" s="10" t="s">
        <v>1110</v>
      </c>
      <c r="C126" s="10">
        <v>0.81597222222222221</v>
      </c>
      <c r="D126" s="10" t="s">
        <v>34</v>
      </c>
      <c r="E126" s="10" t="s">
        <v>161</v>
      </c>
      <c r="F126" s="10" t="s">
        <v>1103</v>
      </c>
      <c r="G126" s="328"/>
      <c r="H126" s="218"/>
      <c r="I126" s="219"/>
      <c r="J126" s="219"/>
      <c r="K126" s="219"/>
      <c r="L126" s="219"/>
      <c r="M126" s="219"/>
      <c r="N126" s="219"/>
      <c r="O126" s="219"/>
      <c r="P126" s="219"/>
      <c r="Q126" s="219"/>
      <c r="R126" s="220"/>
    </row>
    <row r="127" spans="1:18" ht="15" customHeight="1" x14ac:dyDescent="0.3">
      <c r="A127" s="26" t="s">
        <v>26</v>
      </c>
      <c r="B127" s="26" t="s">
        <v>1099</v>
      </c>
      <c r="C127" s="26">
        <v>0.76041666666666663</v>
      </c>
      <c r="D127" s="26" t="s">
        <v>28</v>
      </c>
      <c r="E127" s="26" t="s">
        <v>54</v>
      </c>
      <c r="F127" s="26" t="s">
        <v>531</v>
      </c>
      <c r="G127" s="328"/>
      <c r="H127" s="218"/>
      <c r="I127" s="219"/>
      <c r="J127" s="219"/>
      <c r="K127" s="219"/>
      <c r="L127" s="219"/>
      <c r="M127" s="219"/>
      <c r="N127" s="219"/>
      <c r="O127" s="219"/>
      <c r="P127" s="219"/>
      <c r="Q127" s="219"/>
      <c r="R127" s="220"/>
    </row>
    <row r="128" spans="1:18" ht="15" customHeight="1" x14ac:dyDescent="0.3">
      <c r="A128" s="10" t="s">
        <v>26</v>
      </c>
      <c r="B128" s="10" t="s">
        <v>1099</v>
      </c>
      <c r="C128" s="10">
        <v>0.76041666666666663</v>
      </c>
      <c r="D128" s="10" t="s">
        <v>31</v>
      </c>
      <c r="E128" s="10" t="s">
        <v>161</v>
      </c>
      <c r="F128" s="10" t="s">
        <v>103</v>
      </c>
      <c r="G128" s="328"/>
      <c r="H128" s="218"/>
      <c r="I128" s="219"/>
      <c r="J128" s="219"/>
      <c r="K128" s="219"/>
      <c r="L128" s="219"/>
      <c r="M128" s="219"/>
      <c r="N128" s="219"/>
      <c r="O128" s="219"/>
      <c r="P128" s="219"/>
      <c r="Q128" s="219"/>
      <c r="R128" s="220"/>
    </row>
    <row r="129" spans="1:18" ht="15" customHeight="1" x14ac:dyDescent="0.3">
      <c r="A129" s="10" t="s">
        <v>26</v>
      </c>
      <c r="B129" s="10" t="s">
        <v>1099</v>
      </c>
      <c r="C129" s="10">
        <v>0.76041666666666663</v>
      </c>
      <c r="D129" s="10" t="s">
        <v>34</v>
      </c>
      <c r="E129" s="10" t="s">
        <v>161</v>
      </c>
      <c r="F129" s="10" t="s">
        <v>110</v>
      </c>
      <c r="G129" s="328"/>
      <c r="H129" s="218"/>
      <c r="I129" s="219"/>
      <c r="J129" s="219"/>
      <c r="K129" s="219"/>
      <c r="L129" s="219"/>
      <c r="M129" s="219"/>
      <c r="N129" s="219"/>
      <c r="O129" s="219"/>
      <c r="P129" s="219"/>
      <c r="Q129" s="219"/>
      <c r="R129" s="220"/>
    </row>
    <row r="130" spans="1:18" ht="15" customHeight="1" x14ac:dyDescent="0.3">
      <c r="A130" s="11" t="s">
        <v>36</v>
      </c>
      <c r="B130" s="11" t="s">
        <v>1114</v>
      </c>
      <c r="C130" s="11">
        <v>0.375</v>
      </c>
      <c r="D130" s="11" t="s">
        <v>38</v>
      </c>
      <c r="E130" s="11" t="s">
        <v>123</v>
      </c>
      <c r="F130" s="11" t="s">
        <v>664</v>
      </c>
      <c r="G130" s="328"/>
      <c r="H130" s="218"/>
      <c r="I130" s="219"/>
      <c r="J130" s="219"/>
      <c r="K130" s="219"/>
      <c r="L130" s="219"/>
      <c r="M130" s="219"/>
      <c r="N130" s="219"/>
      <c r="O130" s="219"/>
      <c r="P130" s="219"/>
      <c r="Q130" s="219"/>
      <c r="R130" s="220"/>
    </row>
    <row r="131" spans="1:18" ht="15" customHeight="1" x14ac:dyDescent="0.3">
      <c r="A131" s="10" t="s">
        <v>36</v>
      </c>
      <c r="B131" s="10" t="s">
        <v>1114</v>
      </c>
      <c r="C131" s="10">
        <v>0.375</v>
      </c>
      <c r="D131" s="10" t="s">
        <v>40</v>
      </c>
      <c r="E131" s="10" t="s">
        <v>124</v>
      </c>
      <c r="F131" s="10" t="s">
        <v>515</v>
      </c>
      <c r="G131" s="328"/>
      <c r="H131" s="218"/>
      <c r="I131" s="219"/>
      <c r="J131" s="219"/>
      <c r="K131" s="219"/>
      <c r="L131" s="219"/>
      <c r="M131" s="219"/>
      <c r="N131" s="219"/>
      <c r="O131" s="219"/>
      <c r="P131" s="219"/>
      <c r="Q131" s="219"/>
      <c r="R131" s="220"/>
    </row>
    <row r="132" spans="1:18" ht="15" customHeight="1" x14ac:dyDescent="0.3">
      <c r="A132" s="10" t="s">
        <v>36</v>
      </c>
      <c r="B132" s="10" t="s">
        <v>1114</v>
      </c>
      <c r="C132" s="10">
        <v>0.375</v>
      </c>
      <c r="D132" s="10" t="s">
        <v>42</v>
      </c>
      <c r="E132" s="10" t="s">
        <v>124</v>
      </c>
      <c r="F132" s="10" t="s">
        <v>624</v>
      </c>
      <c r="G132" s="328"/>
      <c r="H132" s="218"/>
      <c r="I132" s="219"/>
      <c r="J132" s="219"/>
      <c r="K132" s="219"/>
      <c r="L132" s="219"/>
      <c r="M132" s="219"/>
      <c r="N132" s="219"/>
      <c r="O132" s="219"/>
      <c r="P132" s="219"/>
      <c r="Q132" s="219"/>
      <c r="R132" s="220"/>
    </row>
    <row r="133" spans="1:18" ht="15" customHeight="1" x14ac:dyDescent="0.3">
      <c r="A133" s="26" t="s">
        <v>36</v>
      </c>
      <c r="B133" s="26" t="s">
        <v>1116</v>
      </c>
      <c r="C133" s="26">
        <v>0.30555555555555552</v>
      </c>
      <c r="D133" s="26" t="s">
        <v>38</v>
      </c>
      <c r="E133" s="26" t="s">
        <v>439</v>
      </c>
      <c r="F133" s="26" t="s">
        <v>664</v>
      </c>
      <c r="G133" s="328"/>
      <c r="H133" s="218"/>
      <c r="I133" s="219"/>
      <c r="J133" s="219"/>
      <c r="K133" s="219"/>
      <c r="L133" s="219"/>
      <c r="M133" s="219"/>
      <c r="N133" s="219"/>
      <c r="O133" s="219"/>
      <c r="P133" s="219"/>
      <c r="Q133" s="219"/>
      <c r="R133" s="220"/>
    </row>
    <row r="134" spans="1:18" ht="15" customHeight="1" x14ac:dyDescent="0.3">
      <c r="A134" s="10" t="s">
        <v>36</v>
      </c>
      <c r="B134" s="10" t="s">
        <v>1116</v>
      </c>
      <c r="C134" s="10">
        <v>0.30555555555555552</v>
      </c>
      <c r="D134" s="10" t="s">
        <v>40</v>
      </c>
      <c r="E134" s="10" t="s">
        <v>124</v>
      </c>
      <c r="F134" s="10" t="s">
        <v>515</v>
      </c>
      <c r="G134" s="328"/>
      <c r="H134" s="218"/>
      <c r="I134" s="219"/>
      <c r="J134" s="219"/>
      <c r="K134" s="219"/>
      <c r="L134" s="219"/>
      <c r="M134" s="219"/>
      <c r="N134" s="219"/>
      <c r="O134" s="219"/>
      <c r="P134" s="219"/>
      <c r="Q134" s="219"/>
      <c r="R134" s="220"/>
    </row>
    <row r="135" spans="1:18" ht="15" customHeight="1" x14ac:dyDescent="0.3">
      <c r="A135" s="10" t="s">
        <v>36</v>
      </c>
      <c r="B135" s="10" t="s">
        <v>1116</v>
      </c>
      <c r="C135" s="10">
        <v>0.30555555555555552</v>
      </c>
      <c r="D135" s="10" t="s">
        <v>42</v>
      </c>
      <c r="E135" s="10" t="s">
        <v>124</v>
      </c>
      <c r="F135" s="10" t="s">
        <v>624</v>
      </c>
      <c r="G135" s="328"/>
      <c r="H135" s="218"/>
      <c r="I135" s="219"/>
      <c r="J135" s="219"/>
      <c r="K135" s="219"/>
      <c r="L135" s="219"/>
      <c r="M135" s="219"/>
      <c r="N135" s="219"/>
      <c r="O135" s="219"/>
      <c r="P135" s="219"/>
      <c r="Q135" s="219"/>
      <c r="R135" s="220"/>
    </row>
    <row r="136" spans="1:18" ht="15" customHeight="1" x14ac:dyDescent="0.3">
      <c r="A136" s="26" t="s">
        <v>36</v>
      </c>
      <c r="B136" s="26" t="s">
        <v>1118</v>
      </c>
      <c r="C136" s="26">
        <v>0.42708333333333331</v>
      </c>
      <c r="D136" s="26" t="s">
        <v>38</v>
      </c>
      <c r="E136" s="26" t="s">
        <v>54</v>
      </c>
      <c r="F136" s="26" t="s">
        <v>664</v>
      </c>
      <c r="G136" s="328"/>
      <c r="H136" s="218"/>
      <c r="I136" s="219"/>
      <c r="J136" s="219"/>
      <c r="K136" s="219"/>
      <c r="L136" s="219"/>
      <c r="M136" s="219"/>
      <c r="N136" s="219"/>
      <c r="O136" s="219"/>
      <c r="P136" s="219"/>
      <c r="Q136" s="219"/>
      <c r="R136" s="220"/>
    </row>
    <row r="137" spans="1:18" ht="15" customHeight="1" x14ac:dyDescent="0.3">
      <c r="A137" s="10" t="s">
        <v>36</v>
      </c>
      <c r="B137" s="10" t="s">
        <v>1118</v>
      </c>
      <c r="C137" s="10">
        <v>0.42708333333333331</v>
      </c>
      <c r="D137" s="10" t="s">
        <v>40</v>
      </c>
      <c r="E137" s="10" t="s">
        <v>161</v>
      </c>
      <c r="F137" s="10" t="s">
        <v>515</v>
      </c>
      <c r="G137" s="328"/>
      <c r="H137" s="218"/>
      <c r="I137" s="219"/>
      <c r="J137" s="219"/>
      <c r="K137" s="219"/>
      <c r="L137" s="219"/>
      <c r="M137" s="219"/>
      <c r="N137" s="219"/>
      <c r="O137" s="219"/>
      <c r="P137" s="219"/>
      <c r="Q137" s="219"/>
      <c r="R137" s="220"/>
    </row>
    <row r="138" spans="1:18" ht="15" customHeight="1" x14ac:dyDescent="0.3">
      <c r="A138" s="10" t="s">
        <v>36</v>
      </c>
      <c r="B138" s="10" t="s">
        <v>1118</v>
      </c>
      <c r="C138" s="10">
        <v>0.42708333333333331</v>
      </c>
      <c r="D138" s="10" t="s">
        <v>42</v>
      </c>
      <c r="E138" s="10" t="s">
        <v>161</v>
      </c>
      <c r="F138" s="10" t="s">
        <v>624</v>
      </c>
      <c r="G138" s="328"/>
      <c r="H138" s="218"/>
      <c r="I138" s="219"/>
      <c r="J138" s="219"/>
      <c r="K138" s="219"/>
      <c r="L138" s="219"/>
      <c r="M138" s="219"/>
      <c r="N138" s="219"/>
      <c r="O138" s="219"/>
      <c r="P138" s="219"/>
      <c r="Q138" s="219"/>
      <c r="R138" s="220"/>
    </row>
    <row r="139" spans="1:18" ht="15" customHeight="1" x14ac:dyDescent="0.3">
      <c r="A139" s="26" t="s">
        <v>36</v>
      </c>
      <c r="B139" s="26" t="s">
        <v>1119</v>
      </c>
      <c r="C139" s="26">
        <v>0.5</v>
      </c>
      <c r="D139" s="26" t="s">
        <v>38</v>
      </c>
      <c r="E139" s="26" t="s">
        <v>439</v>
      </c>
      <c r="F139" s="26" t="s">
        <v>620</v>
      </c>
      <c r="G139" s="328"/>
      <c r="H139" s="218"/>
      <c r="I139" s="219"/>
      <c r="J139" s="219"/>
      <c r="K139" s="219"/>
      <c r="L139" s="219"/>
      <c r="M139" s="219"/>
      <c r="N139" s="219"/>
      <c r="O139" s="219"/>
      <c r="P139" s="219"/>
      <c r="Q139" s="219"/>
      <c r="R139" s="220"/>
    </row>
    <row r="140" spans="1:18" ht="15" customHeight="1" x14ac:dyDescent="0.3">
      <c r="A140" s="10" t="s">
        <v>36</v>
      </c>
      <c r="B140" s="10" t="s">
        <v>1119</v>
      </c>
      <c r="C140" s="10">
        <v>0.5</v>
      </c>
      <c r="D140" s="10" t="s">
        <v>40</v>
      </c>
      <c r="E140" s="10" t="s">
        <v>124</v>
      </c>
      <c r="F140" s="10" t="s">
        <v>621</v>
      </c>
      <c r="G140" s="328"/>
      <c r="H140" s="218"/>
      <c r="I140" s="219"/>
      <c r="J140" s="219"/>
      <c r="K140" s="219"/>
      <c r="L140" s="219"/>
      <c r="M140" s="219"/>
      <c r="N140" s="219"/>
      <c r="O140" s="219"/>
      <c r="P140" s="219"/>
      <c r="Q140" s="219"/>
      <c r="R140" s="220"/>
    </row>
    <row r="141" spans="1:18" ht="15" customHeight="1" x14ac:dyDescent="0.3">
      <c r="A141" s="10" t="s">
        <v>36</v>
      </c>
      <c r="B141" s="10" t="s">
        <v>1119</v>
      </c>
      <c r="C141" s="10">
        <v>0.5</v>
      </c>
      <c r="D141" s="10" t="s">
        <v>42</v>
      </c>
      <c r="E141" s="10" t="s">
        <v>124</v>
      </c>
      <c r="F141" s="10" t="s">
        <v>622</v>
      </c>
      <c r="G141" s="328"/>
      <c r="H141" s="218"/>
      <c r="I141" s="219"/>
      <c r="J141" s="219"/>
      <c r="K141" s="219"/>
      <c r="L141" s="219"/>
      <c r="M141" s="219"/>
      <c r="N141" s="219"/>
      <c r="O141" s="219"/>
      <c r="P141" s="219"/>
      <c r="Q141" s="219"/>
      <c r="R141" s="220"/>
    </row>
    <row r="142" spans="1:18" ht="15" customHeight="1" x14ac:dyDescent="0.3">
      <c r="A142" s="26" t="s">
        <v>36</v>
      </c>
      <c r="B142" s="26" t="s">
        <v>1115</v>
      </c>
      <c r="C142" s="26">
        <v>0.56597222222222221</v>
      </c>
      <c r="D142" s="26" t="s">
        <v>38</v>
      </c>
      <c r="E142" s="26" t="s">
        <v>87</v>
      </c>
      <c r="F142" s="26" t="s">
        <v>620</v>
      </c>
      <c r="G142" s="328"/>
      <c r="H142" s="218"/>
      <c r="I142" s="219"/>
      <c r="J142" s="219"/>
      <c r="K142" s="219"/>
      <c r="L142" s="219"/>
      <c r="M142" s="219"/>
      <c r="N142" s="219"/>
      <c r="O142" s="219"/>
      <c r="P142" s="219"/>
      <c r="Q142" s="219"/>
      <c r="R142" s="220"/>
    </row>
    <row r="143" spans="1:18" ht="15" customHeight="1" x14ac:dyDescent="0.3">
      <c r="A143" s="10" t="s">
        <v>36</v>
      </c>
      <c r="B143" s="10" t="s">
        <v>1115</v>
      </c>
      <c r="C143" s="10">
        <v>0.56597222222222221</v>
      </c>
      <c r="D143" s="10" t="s">
        <v>40</v>
      </c>
      <c r="E143" s="10" t="s">
        <v>32</v>
      </c>
      <c r="F143" s="10" t="s">
        <v>621</v>
      </c>
      <c r="G143" s="328"/>
      <c r="H143" s="218"/>
      <c r="I143" s="219"/>
      <c r="J143" s="219"/>
      <c r="K143" s="219"/>
      <c r="L143" s="219"/>
      <c r="M143" s="219"/>
      <c r="N143" s="219"/>
      <c r="O143" s="219"/>
      <c r="P143" s="219"/>
      <c r="Q143" s="219"/>
      <c r="R143" s="220"/>
    </row>
    <row r="144" spans="1:18" ht="15" customHeight="1" x14ac:dyDescent="0.3">
      <c r="A144" s="10" t="s">
        <v>36</v>
      </c>
      <c r="B144" s="10" t="s">
        <v>1115</v>
      </c>
      <c r="C144" s="10">
        <v>0.56597222222222221</v>
      </c>
      <c r="D144" s="10" t="s">
        <v>42</v>
      </c>
      <c r="E144" s="10" t="s">
        <v>32</v>
      </c>
      <c r="F144" s="10" t="s">
        <v>622</v>
      </c>
      <c r="G144" s="328"/>
      <c r="H144" s="218"/>
      <c r="I144" s="219"/>
      <c r="J144" s="219"/>
      <c r="K144" s="219"/>
      <c r="L144" s="219"/>
      <c r="M144" s="219"/>
      <c r="N144" s="219"/>
      <c r="O144" s="219"/>
      <c r="P144" s="219"/>
      <c r="Q144" s="219"/>
      <c r="R144" s="220"/>
    </row>
    <row r="145" spans="1:18" ht="15" customHeight="1" x14ac:dyDescent="0.3">
      <c r="A145" s="26" t="s">
        <v>36</v>
      </c>
      <c r="B145" s="26" t="s">
        <v>1117</v>
      </c>
      <c r="C145" s="26">
        <v>0.6875</v>
      </c>
      <c r="D145" s="26" t="s">
        <v>38</v>
      </c>
      <c r="E145" s="26" t="s">
        <v>87</v>
      </c>
      <c r="F145" s="26" t="s">
        <v>440</v>
      </c>
      <c r="G145" s="328"/>
      <c r="H145" s="218"/>
      <c r="I145" s="219"/>
      <c r="J145" s="219"/>
      <c r="K145" s="219"/>
      <c r="L145" s="219"/>
      <c r="M145" s="219"/>
      <c r="N145" s="219"/>
      <c r="O145" s="219"/>
      <c r="P145" s="219"/>
      <c r="Q145" s="219"/>
      <c r="R145" s="220"/>
    </row>
    <row r="146" spans="1:18" ht="15" customHeight="1" x14ac:dyDescent="0.3">
      <c r="A146" s="10" t="s">
        <v>36</v>
      </c>
      <c r="B146" s="10" t="s">
        <v>1117</v>
      </c>
      <c r="C146" s="10">
        <v>0.6875</v>
      </c>
      <c r="D146" s="10" t="s">
        <v>40</v>
      </c>
      <c r="E146" s="10" t="s">
        <v>32</v>
      </c>
      <c r="F146" s="10" t="s">
        <v>166</v>
      </c>
      <c r="G146" s="328"/>
      <c r="H146" s="218"/>
      <c r="I146" s="219"/>
      <c r="J146" s="219"/>
      <c r="K146" s="219"/>
      <c r="L146" s="219"/>
      <c r="M146" s="219"/>
      <c r="N146" s="219"/>
      <c r="O146" s="219"/>
      <c r="P146" s="219"/>
      <c r="Q146" s="219"/>
      <c r="R146" s="220"/>
    </row>
    <row r="147" spans="1:18" ht="15" customHeight="1" x14ac:dyDescent="0.3">
      <c r="A147" s="10" t="s">
        <v>36</v>
      </c>
      <c r="B147" s="10" t="s">
        <v>1117</v>
      </c>
      <c r="C147" s="10">
        <v>0.6875</v>
      </c>
      <c r="D147" s="10" t="s">
        <v>42</v>
      </c>
      <c r="E147" s="10" t="s">
        <v>32</v>
      </c>
      <c r="F147" s="10" t="s">
        <v>441</v>
      </c>
      <c r="G147" s="328"/>
      <c r="H147" s="218"/>
      <c r="I147" s="219"/>
      <c r="J147" s="219"/>
      <c r="K147" s="219"/>
      <c r="L147" s="219"/>
      <c r="M147" s="219"/>
      <c r="N147" s="219"/>
      <c r="O147" s="219"/>
      <c r="P147" s="219"/>
      <c r="Q147" s="219"/>
      <c r="R147" s="220"/>
    </row>
    <row r="148" spans="1:18" ht="15" customHeight="1" x14ac:dyDescent="0.3">
      <c r="A148" s="26" t="s">
        <v>36</v>
      </c>
      <c r="B148" s="26" t="s">
        <v>1113</v>
      </c>
      <c r="C148" s="26">
        <v>0.82638888888888884</v>
      </c>
      <c r="D148" s="26" t="s">
        <v>38</v>
      </c>
      <c r="E148" s="26" t="s">
        <v>439</v>
      </c>
      <c r="F148" s="26" t="s">
        <v>166</v>
      </c>
      <c r="G148" s="328"/>
      <c r="H148" s="218"/>
      <c r="I148" s="219"/>
      <c r="J148" s="219"/>
      <c r="K148" s="219"/>
      <c r="L148" s="219"/>
      <c r="M148" s="219"/>
      <c r="N148" s="219"/>
      <c r="O148" s="219"/>
      <c r="P148" s="219"/>
      <c r="Q148" s="219"/>
      <c r="R148" s="220"/>
    </row>
    <row r="149" spans="1:18" ht="15" customHeight="1" x14ac:dyDescent="0.3">
      <c r="A149" s="10" t="s">
        <v>36</v>
      </c>
      <c r="B149" s="10" t="s">
        <v>1113</v>
      </c>
      <c r="C149" s="10">
        <v>0.82638888888888884</v>
      </c>
      <c r="D149" s="10" t="s">
        <v>40</v>
      </c>
      <c r="E149" s="10" t="s">
        <v>124</v>
      </c>
      <c r="F149" s="10" t="s">
        <v>167</v>
      </c>
      <c r="G149" s="328"/>
      <c r="H149" s="218"/>
      <c r="I149" s="219"/>
      <c r="J149" s="219"/>
      <c r="K149" s="219"/>
      <c r="L149" s="219"/>
      <c r="M149" s="219"/>
      <c r="N149" s="219"/>
      <c r="O149" s="219"/>
      <c r="P149" s="219"/>
      <c r="Q149" s="219"/>
      <c r="R149" s="220"/>
    </row>
    <row r="150" spans="1:18" ht="15" customHeight="1" x14ac:dyDescent="0.3">
      <c r="A150" s="10" t="s">
        <v>36</v>
      </c>
      <c r="B150" s="10" t="s">
        <v>1113</v>
      </c>
      <c r="C150" s="10">
        <v>0.82638888888888884</v>
      </c>
      <c r="D150" s="10" t="s">
        <v>42</v>
      </c>
      <c r="E150" s="10" t="s">
        <v>124</v>
      </c>
      <c r="F150" s="10" t="s">
        <v>168</v>
      </c>
      <c r="G150" s="328"/>
      <c r="H150" s="218"/>
      <c r="I150" s="219"/>
      <c r="J150" s="219"/>
      <c r="K150" s="219"/>
      <c r="L150" s="219"/>
      <c r="M150" s="219"/>
      <c r="N150" s="219"/>
      <c r="O150" s="219"/>
      <c r="P150" s="219"/>
      <c r="Q150" s="219"/>
      <c r="R150" s="220"/>
    </row>
    <row r="151" spans="1:18" ht="15" customHeight="1" x14ac:dyDescent="0.3">
      <c r="A151" s="11" t="s">
        <v>456</v>
      </c>
      <c r="B151" s="11" t="s">
        <v>1124</v>
      </c>
      <c r="C151" s="11">
        <v>0.62152777777777779</v>
      </c>
      <c r="D151" s="11" t="s">
        <v>458</v>
      </c>
      <c r="E151" s="11" t="s">
        <v>123</v>
      </c>
      <c r="F151" s="11" t="s">
        <v>1162</v>
      </c>
      <c r="G151" s="328"/>
      <c r="H151" s="218"/>
      <c r="I151" s="219"/>
      <c r="J151" s="219"/>
      <c r="K151" s="219"/>
      <c r="L151" s="219"/>
      <c r="M151" s="219"/>
      <c r="N151" s="219"/>
      <c r="O151" s="219"/>
      <c r="P151" s="219"/>
      <c r="Q151" s="219"/>
      <c r="R151" s="220"/>
    </row>
    <row r="152" spans="1:18" ht="15" customHeight="1" x14ac:dyDescent="0.3">
      <c r="A152" s="10" t="s">
        <v>456</v>
      </c>
      <c r="B152" s="10" t="s">
        <v>1124</v>
      </c>
      <c r="C152" s="10">
        <v>0.62152777777777779</v>
      </c>
      <c r="D152" s="10" t="s">
        <v>34</v>
      </c>
      <c r="E152" s="10" t="s">
        <v>124</v>
      </c>
      <c r="F152" s="10" t="s">
        <v>1163</v>
      </c>
      <c r="G152" s="328"/>
      <c r="H152" s="218"/>
      <c r="I152" s="219"/>
      <c r="J152" s="219"/>
      <c r="K152" s="219"/>
      <c r="L152" s="219"/>
      <c r="M152" s="219"/>
      <c r="N152" s="219"/>
      <c r="O152" s="219"/>
      <c r="P152" s="219"/>
      <c r="Q152" s="219"/>
      <c r="R152" s="220"/>
    </row>
    <row r="153" spans="1:18" ht="15" customHeight="1" x14ac:dyDescent="0.3">
      <c r="A153" s="139" t="s">
        <v>44</v>
      </c>
      <c r="B153" s="139" t="s">
        <v>1154</v>
      </c>
      <c r="C153" s="139">
        <v>0.61111111111111105</v>
      </c>
      <c r="D153" s="139" t="s">
        <v>46</v>
      </c>
      <c r="E153" s="139" t="s">
        <v>47</v>
      </c>
      <c r="F153" s="139" t="s">
        <v>1164</v>
      </c>
      <c r="G153" s="328"/>
      <c r="H153" s="226" t="s">
        <v>1155</v>
      </c>
      <c r="I153" s="261">
        <v>0.54759999999999998</v>
      </c>
      <c r="J153" s="228">
        <v>92</v>
      </c>
      <c r="K153" s="229" t="s">
        <v>175</v>
      </c>
      <c r="L153" s="228">
        <v>20</v>
      </c>
      <c r="M153" s="228">
        <v>2</v>
      </c>
      <c r="N153" s="228">
        <v>4</v>
      </c>
      <c r="O153" s="229" t="s">
        <v>364</v>
      </c>
      <c r="P153" s="229">
        <v>0.61111111111111105</v>
      </c>
      <c r="Q153" s="228">
        <v>168</v>
      </c>
      <c r="R153" s="230" t="s">
        <v>1165</v>
      </c>
    </row>
    <row r="154" spans="1:18" ht="15" customHeight="1" x14ac:dyDescent="0.3">
      <c r="A154" s="11" t="s">
        <v>404</v>
      </c>
      <c r="B154" s="11" t="s">
        <v>1166</v>
      </c>
      <c r="C154" s="11">
        <v>0.87847222222222221</v>
      </c>
      <c r="D154" s="11" t="s">
        <v>46</v>
      </c>
      <c r="E154" s="11" t="s">
        <v>47</v>
      </c>
      <c r="F154" s="11" t="s">
        <v>374</v>
      </c>
      <c r="G154" s="328"/>
      <c r="H154" s="218"/>
      <c r="I154" s="219"/>
      <c r="J154" s="219"/>
      <c r="K154" s="219"/>
      <c r="L154" s="219"/>
      <c r="M154" s="219"/>
      <c r="N154" s="219"/>
      <c r="O154" s="219"/>
      <c r="P154" s="219"/>
      <c r="Q154" s="219"/>
      <c r="R154" s="220"/>
    </row>
    <row r="155" spans="1:18" ht="15" customHeight="1" x14ac:dyDescent="0.3">
      <c r="A155" s="11" t="s">
        <v>410</v>
      </c>
      <c r="B155" s="11" t="s">
        <v>1167</v>
      </c>
      <c r="C155" s="11">
        <v>0.35416666666666669</v>
      </c>
      <c r="D155" s="11" t="s">
        <v>46</v>
      </c>
      <c r="E155" s="11" t="s">
        <v>47</v>
      </c>
      <c r="F155" s="11" t="s">
        <v>1168</v>
      </c>
      <c r="G155" s="328"/>
      <c r="H155" s="218"/>
      <c r="I155" s="219"/>
      <c r="J155" s="219"/>
      <c r="K155" s="219"/>
      <c r="L155" s="219"/>
      <c r="M155" s="219"/>
      <c r="N155" s="219"/>
      <c r="O155" s="219"/>
      <c r="P155" s="219"/>
      <c r="Q155" s="219"/>
      <c r="R155" s="220"/>
    </row>
    <row r="156" spans="1:18" ht="15" customHeight="1" x14ac:dyDescent="0.3">
      <c r="A156" s="26" t="s">
        <v>410</v>
      </c>
      <c r="B156" s="26" t="s">
        <v>1157</v>
      </c>
      <c r="C156" s="26">
        <v>0.85763888888888884</v>
      </c>
      <c r="D156" s="26" t="s">
        <v>46</v>
      </c>
      <c r="E156" s="26" t="s">
        <v>71</v>
      </c>
      <c r="F156" s="26" t="s">
        <v>1168</v>
      </c>
      <c r="G156" s="328"/>
      <c r="H156" s="218"/>
      <c r="I156" s="219"/>
      <c r="J156" s="219"/>
      <c r="K156" s="219"/>
      <c r="L156" s="219"/>
      <c r="M156" s="219"/>
      <c r="N156" s="219"/>
      <c r="O156" s="219"/>
      <c r="P156" s="219"/>
      <c r="Q156" s="219"/>
      <c r="R156" s="220"/>
    </row>
    <row r="157" spans="1:18" ht="15" customHeight="1" x14ac:dyDescent="0.3">
      <c r="A157" s="11" t="s">
        <v>66</v>
      </c>
      <c r="B157" s="11" t="s">
        <v>1126</v>
      </c>
      <c r="C157" s="11">
        <v>0.16666666666666671</v>
      </c>
      <c r="D157" s="11" t="s">
        <v>68</v>
      </c>
      <c r="E157" s="11" t="s">
        <v>47</v>
      </c>
      <c r="F157" s="11" t="s">
        <v>1169</v>
      </c>
      <c r="G157" s="328"/>
      <c r="H157" s="218"/>
      <c r="I157" s="219"/>
      <c r="J157" s="219"/>
      <c r="K157" s="219"/>
      <c r="L157" s="219"/>
      <c r="M157" s="219"/>
      <c r="N157" s="219"/>
      <c r="O157" s="219"/>
      <c r="P157" s="219"/>
      <c r="Q157" s="219"/>
      <c r="R157" s="220"/>
    </row>
    <row r="158" spans="1:18" ht="15" customHeight="1" x14ac:dyDescent="0.3">
      <c r="A158" s="26" t="s">
        <v>66</v>
      </c>
      <c r="B158" s="26" t="s">
        <v>1130</v>
      </c>
      <c r="C158" s="26">
        <v>0.91666666666666663</v>
      </c>
      <c r="D158" s="26" t="s">
        <v>68</v>
      </c>
      <c r="E158" s="26" t="s">
        <v>71</v>
      </c>
      <c r="F158" s="26" t="s">
        <v>1170</v>
      </c>
      <c r="G158" s="328"/>
      <c r="H158" s="218"/>
      <c r="I158" s="219"/>
      <c r="J158" s="219"/>
      <c r="K158" s="219"/>
      <c r="L158" s="219"/>
      <c r="M158" s="219"/>
      <c r="N158" s="219"/>
      <c r="O158" s="219"/>
      <c r="P158" s="219"/>
      <c r="Q158" s="219"/>
      <c r="R158" s="220"/>
    </row>
    <row r="159" spans="1:18" ht="15" customHeight="1" x14ac:dyDescent="0.3">
      <c r="A159" s="26" t="s">
        <v>66</v>
      </c>
      <c r="B159" s="26" t="s">
        <v>1128</v>
      </c>
      <c r="C159" s="26">
        <v>0.54166666666666663</v>
      </c>
      <c r="D159" s="26" t="s">
        <v>68</v>
      </c>
      <c r="E159" s="26" t="s">
        <v>71</v>
      </c>
      <c r="F159" s="26" t="s">
        <v>1171</v>
      </c>
      <c r="G159" s="328"/>
      <c r="H159" s="218"/>
      <c r="I159" s="219"/>
      <c r="J159" s="219"/>
      <c r="K159" s="219"/>
      <c r="L159" s="219"/>
      <c r="M159" s="219"/>
      <c r="N159" s="219"/>
      <c r="O159" s="219"/>
      <c r="P159" s="219"/>
      <c r="Q159" s="219"/>
      <c r="R159" s="220"/>
    </row>
    <row r="160" spans="1:18" ht="15" customHeight="1" x14ac:dyDescent="0.3">
      <c r="A160" s="11" t="s">
        <v>78</v>
      </c>
      <c r="B160" s="11" t="s">
        <v>1135</v>
      </c>
      <c r="C160" s="11">
        <v>0.2986111111111111</v>
      </c>
      <c r="D160" s="11" t="s">
        <v>80</v>
      </c>
      <c r="E160" s="11" t="s">
        <v>29</v>
      </c>
      <c r="F160" s="11" t="s">
        <v>797</v>
      </c>
      <c r="G160" s="328"/>
      <c r="H160" s="218"/>
      <c r="I160" s="219"/>
      <c r="J160" s="219"/>
      <c r="K160" s="219"/>
      <c r="L160" s="219"/>
      <c r="M160" s="219"/>
      <c r="N160" s="219"/>
      <c r="O160" s="219"/>
      <c r="P160" s="219"/>
      <c r="Q160" s="219"/>
      <c r="R160" s="220"/>
    </row>
    <row r="161" spans="1:18" ht="15" customHeight="1" x14ac:dyDescent="0.3">
      <c r="A161" s="10" t="s">
        <v>78</v>
      </c>
      <c r="B161" s="10" t="s">
        <v>1135</v>
      </c>
      <c r="C161" s="10">
        <v>0.2986111111111111</v>
      </c>
      <c r="D161" s="10" t="s">
        <v>83</v>
      </c>
      <c r="E161" s="10" t="s">
        <v>32</v>
      </c>
      <c r="F161" s="10" t="s">
        <v>1172</v>
      </c>
      <c r="G161" s="328"/>
      <c r="H161" s="218"/>
      <c r="I161" s="219"/>
      <c r="J161" s="219"/>
      <c r="K161" s="219"/>
      <c r="L161" s="219"/>
      <c r="M161" s="219"/>
      <c r="N161" s="219"/>
      <c r="O161" s="219"/>
      <c r="P161" s="219"/>
      <c r="Q161" s="219"/>
      <c r="R161" s="220"/>
    </row>
    <row r="162" spans="1:18" ht="15" customHeight="1" x14ac:dyDescent="0.3">
      <c r="A162" s="26" t="s">
        <v>78</v>
      </c>
      <c r="B162" s="26" t="s">
        <v>1136</v>
      </c>
      <c r="C162" s="26">
        <v>0.4826388888888889</v>
      </c>
      <c r="D162" s="26" t="s">
        <v>80</v>
      </c>
      <c r="E162" s="26" t="s">
        <v>71</v>
      </c>
      <c r="F162" s="26" t="s">
        <v>1173</v>
      </c>
      <c r="G162" s="328"/>
      <c r="H162" s="218"/>
      <c r="I162" s="219"/>
      <c r="J162" s="219"/>
      <c r="K162" s="219"/>
      <c r="L162" s="219"/>
      <c r="M162" s="219"/>
      <c r="N162" s="219"/>
      <c r="O162" s="219"/>
      <c r="P162" s="219"/>
      <c r="Q162" s="219"/>
      <c r="R162" s="220"/>
    </row>
    <row r="163" spans="1:18" ht="15" customHeight="1" x14ac:dyDescent="0.3">
      <c r="A163" s="10" t="s">
        <v>78</v>
      </c>
      <c r="B163" s="10" t="s">
        <v>1136</v>
      </c>
      <c r="C163" s="10">
        <v>0.4826388888888889</v>
      </c>
      <c r="D163" s="10" t="s">
        <v>83</v>
      </c>
      <c r="E163" s="10" t="s">
        <v>95</v>
      </c>
      <c r="F163" s="10" t="s">
        <v>1174</v>
      </c>
      <c r="G163" s="328"/>
      <c r="H163" s="218"/>
      <c r="I163" s="219"/>
      <c r="J163" s="219"/>
      <c r="K163" s="219"/>
      <c r="L163" s="219"/>
      <c r="M163" s="219"/>
      <c r="N163" s="219"/>
      <c r="O163" s="219"/>
      <c r="P163" s="219"/>
      <c r="Q163" s="219"/>
      <c r="R163" s="220"/>
    </row>
    <row r="164" spans="1:18" ht="15" customHeight="1" x14ac:dyDescent="0.3">
      <c r="A164" s="26" t="s">
        <v>78</v>
      </c>
      <c r="B164" s="26" t="s">
        <v>1134</v>
      </c>
      <c r="C164" s="26">
        <v>0.68402777777777779</v>
      </c>
      <c r="D164" s="26" t="s">
        <v>80</v>
      </c>
      <c r="E164" s="26" t="s">
        <v>71</v>
      </c>
      <c r="F164" s="26" t="s">
        <v>870</v>
      </c>
      <c r="G164" s="328"/>
      <c r="H164" s="218"/>
      <c r="I164" s="219"/>
      <c r="J164" s="219"/>
      <c r="K164" s="219"/>
      <c r="L164" s="219"/>
      <c r="M164" s="219"/>
      <c r="N164" s="219"/>
      <c r="O164" s="219"/>
      <c r="P164" s="219"/>
      <c r="Q164" s="219"/>
      <c r="R164" s="220"/>
    </row>
    <row r="165" spans="1:18" ht="15" customHeight="1" x14ac:dyDescent="0.3">
      <c r="A165" s="10" t="s">
        <v>78</v>
      </c>
      <c r="B165" s="10" t="s">
        <v>1134</v>
      </c>
      <c r="C165" s="10">
        <v>0.68402777777777779</v>
      </c>
      <c r="D165" s="10" t="s">
        <v>83</v>
      </c>
      <c r="E165" s="10" t="s">
        <v>95</v>
      </c>
      <c r="F165" s="10" t="s">
        <v>1175</v>
      </c>
      <c r="G165" s="328"/>
      <c r="H165" s="218"/>
      <c r="I165" s="219"/>
      <c r="J165" s="219"/>
      <c r="K165" s="219"/>
      <c r="L165" s="219"/>
      <c r="M165" s="219"/>
      <c r="N165" s="219"/>
      <c r="O165" s="219"/>
      <c r="P165" s="219"/>
      <c r="Q165" s="219"/>
      <c r="R165" s="220"/>
    </row>
    <row r="166" spans="1:18" ht="15" customHeight="1" x14ac:dyDescent="0.3">
      <c r="A166" s="26" t="s">
        <v>78</v>
      </c>
      <c r="B166" s="26" t="s">
        <v>1140</v>
      </c>
      <c r="C166" s="26">
        <v>0.5</v>
      </c>
      <c r="D166" s="26" t="s">
        <v>83</v>
      </c>
      <c r="E166" s="26" t="s">
        <v>87</v>
      </c>
      <c r="F166" s="26" t="s">
        <v>1141</v>
      </c>
      <c r="G166" s="328"/>
      <c r="H166" s="218"/>
      <c r="I166" s="219"/>
      <c r="J166" s="219"/>
      <c r="K166" s="219"/>
      <c r="L166" s="219"/>
      <c r="M166" s="219"/>
      <c r="N166" s="219"/>
      <c r="O166" s="219"/>
      <c r="P166" s="219"/>
      <c r="Q166" s="219"/>
      <c r="R166" s="220"/>
    </row>
    <row r="167" spans="1:18" ht="15" customHeight="1" x14ac:dyDescent="0.3">
      <c r="A167" s="26" t="s">
        <v>78</v>
      </c>
      <c r="B167" s="26" t="s">
        <v>1142</v>
      </c>
      <c r="C167" s="26">
        <v>0.76041666666666663</v>
      </c>
      <c r="D167" s="26" t="s">
        <v>83</v>
      </c>
      <c r="E167" s="26" t="s">
        <v>87</v>
      </c>
      <c r="F167" s="26" t="s">
        <v>1176</v>
      </c>
      <c r="G167" s="328"/>
      <c r="H167" s="218"/>
      <c r="I167" s="219"/>
      <c r="J167" s="219"/>
      <c r="K167" s="219"/>
      <c r="L167" s="219"/>
      <c r="M167" s="219"/>
      <c r="N167" s="219"/>
      <c r="O167" s="219"/>
      <c r="P167" s="219"/>
      <c r="Q167" s="219"/>
      <c r="R167" s="220"/>
    </row>
    <row r="168" spans="1:18" ht="15" customHeight="1" x14ac:dyDescent="0.3">
      <c r="A168" s="26" t="s">
        <v>78</v>
      </c>
      <c r="B168" s="26" t="s">
        <v>1143</v>
      </c>
      <c r="C168" s="26">
        <v>0.81597222222222221</v>
      </c>
      <c r="D168" s="26" t="s">
        <v>83</v>
      </c>
      <c r="E168" s="26" t="s">
        <v>87</v>
      </c>
      <c r="F168" s="26" t="s">
        <v>1176</v>
      </c>
      <c r="G168" s="328"/>
      <c r="H168" s="218"/>
      <c r="I168" s="219"/>
      <c r="J168" s="219"/>
      <c r="K168" s="219"/>
      <c r="L168" s="219"/>
      <c r="M168" s="219"/>
      <c r="N168" s="219"/>
      <c r="O168" s="219"/>
      <c r="P168" s="219"/>
      <c r="Q168" s="219"/>
      <c r="R168" s="220"/>
    </row>
    <row r="169" spans="1:18" ht="15" customHeight="1" x14ac:dyDescent="0.3">
      <c r="A169" s="26" t="s">
        <v>78</v>
      </c>
      <c r="B169" s="26" t="s">
        <v>1137</v>
      </c>
      <c r="C169" s="26">
        <v>0.83680555555555547</v>
      </c>
      <c r="D169" s="26" t="s">
        <v>80</v>
      </c>
      <c r="E169" s="26" t="s">
        <v>71</v>
      </c>
      <c r="F169" s="26" t="s">
        <v>1177</v>
      </c>
      <c r="G169" s="328"/>
      <c r="H169" s="218"/>
      <c r="I169" s="219"/>
      <c r="J169" s="219"/>
      <c r="K169" s="219"/>
      <c r="L169" s="219"/>
      <c r="M169" s="219"/>
      <c r="N169" s="219"/>
      <c r="O169" s="219"/>
      <c r="P169" s="219"/>
      <c r="Q169" s="219"/>
      <c r="R169" s="220"/>
    </row>
    <row r="170" spans="1:18" ht="15" customHeight="1" x14ac:dyDescent="0.3">
      <c r="A170" s="27" t="s">
        <v>78</v>
      </c>
      <c r="B170" s="27" t="s">
        <v>1137</v>
      </c>
      <c r="C170" s="27">
        <v>0.83680555555555547</v>
      </c>
      <c r="D170" s="27" t="s">
        <v>83</v>
      </c>
      <c r="E170" s="27" t="s">
        <v>95</v>
      </c>
      <c r="F170" s="27" t="s">
        <v>1178</v>
      </c>
      <c r="G170" s="328"/>
      <c r="H170" s="231"/>
      <c r="I170" s="232"/>
      <c r="J170" s="232"/>
      <c r="K170" s="232"/>
      <c r="L170" s="232"/>
      <c r="M170" s="232"/>
      <c r="N170" s="232"/>
      <c r="O170" s="232"/>
      <c r="P170" s="232"/>
      <c r="Q170" s="232"/>
      <c r="R170" s="233"/>
    </row>
    <row r="171" spans="1:18" ht="17.399999999999999" customHeight="1" x14ac:dyDescent="0.3">
      <c r="A171" s="360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1"/>
      <c r="P171" s="361"/>
      <c r="Q171" s="361"/>
      <c r="R171" s="362"/>
    </row>
    <row r="172" spans="1:18" ht="22.05" customHeight="1" x14ac:dyDescent="0.3">
      <c r="A172" s="323" t="s">
        <v>6</v>
      </c>
      <c r="B172" s="324"/>
      <c r="C172" s="324"/>
      <c r="D172" s="324"/>
      <c r="E172" s="324"/>
      <c r="F172" s="324"/>
      <c r="G172" s="2">
        <v>45989</v>
      </c>
      <c r="H172" s="323" t="s">
        <v>7</v>
      </c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</row>
    <row r="173" spans="1:18" ht="24" customHeight="1" x14ac:dyDescent="0.3">
      <c r="A173" s="3" t="s">
        <v>8</v>
      </c>
      <c r="B173" s="3" t="s">
        <v>9</v>
      </c>
      <c r="C173" s="3" t="s">
        <v>10</v>
      </c>
      <c r="D173" s="3" t="s">
        <v>11</v>
      </c>
      <c r="E173" s="3" t="s">
        <v>12</v>
      </c>
      <c r="F173" s="4" t="s">
        <v>13</v>
      </c>
      <c r="G173" s="5" t="s">
        <v>14</v>
      </c>
      <c r="H173" s="3" t="s">
        <v>15</v>
      </c>
      <c r="I173" s="3" t="s">
        <v>16</v>
      </c>
      <c r="J173" s="3" t="s">
        <v>17</v>
      </c>
      <c r="K173" s="3" t="s">
        <v>18</v>
      </c>
      <c r="L173" s="3" t="s">
        <v>19</v>
      </c>
      <c r="M173" s="3" t="s">
        <v>20</v>
      </c>
      <c r="N173" s="3" t="s">
        <v>21</v>
      </c>
      <c r="O173" s="3" t="s">
        <v>22</v>
      </c>
      <c r="P173" s="3" t="s">
        <v>23</v>
      </c>
      <c r="Q173" s="3" t="s">
        <v>24</v>
      </c>
      <c r="R173" s="3" t="s">
        <v>25</v>
      </c>
    </row>
    <row r="174" spans="1:18" ht="15" customHeight="1" x14ac:dyDescent="0.3">
      <c r="A174" s="6" t="s">
        <v>26</v>
      </c>
      <c r="B174" s="6" t="s">
        <v>1099</v>
      </c>
      <c r="C174" s="6">
        <v>0.76041666666666663</v>
      </c>
      <c r="D174" s="6" t="s">
        <v>28</v>
      </c>
      <c r="E174" s="6" t="s">
        <v>102</v>
      </c>
      <c r="F174" s="6" t="s">
        <v>1179</v>
      </c>
      <c r="G174" s="335"/>
      <c r="H174" s="218"/>
      <c r="I174" s="219"/>
      <c r="J174" s="219"/>
      <c r="K174" s="219"/>
      <c r="L174" s="219"/>
      <c r="M174" s="219"/>
      <c r="N174" s="219"/>
      <c r="O174" s="219"/>
      <c r="P174" s="219"/>
      <c r="Q174" s="219"/>
      <c r="R174" s="220"/>
    </row>
    <row r="175" spans="1:18" ht="15" customHeight="1" x14ac:dyDescent="0.3">
      <c r="A175" s="10" t="s">
        <v>26</v>
      </c>
      <c r="B175" s="10" t="s">
        <v>1099</v>
      </c>
      <c r="C175" s="10">
        <v>0.76041666666666663</v>
      </c>
      <c r="D175" s="10" t="s">
        <v>31</v>
      </c>
      <c r="E175" s="10" t="s">
        <v>104</v>
      </c>
      <c r="F175" s="10" t="s">
        <v>621</v>
      </c>
      <c r="G175" s="328"/>
      <c r="H175" s="218"/>
      <c r="I175" s="219"/>
      <c r="J175" s="219"/>
      <c r="K175" s="219"/>
      <c r="L175" s="219"/>
      <c r="M175" s="219"/>
      <c r="N175" s="219"/>
      <c r="O175" s="219"/>
      <c r="P175" s="219"/>
      <c r="Q175" s="219"/>
      <c r="R175" s="220"/>
    </row>
    <row r="176" spans="1:18" ht="15" customHeight="1" x14ac:dyDescent="0.3">
      <c r="A176" s="10" t="s">
        <v>26</v>
      </c>
      <c r="B176" s="10" t="s">
        <v>1099</v>
      </c>
      <c r="C176" s="10">
        <v>0.76041666666666663</v>
      </c>
      <c r="D176" s="10" t="s">
        <v>34</v>
      </c>
      <c r="E176" s="10" t="s">
        <v>104</v>
      </c>
      <c r="F176" s="10" t="s">
        <v>1103</v>
      </c>
      <c r="G176" s="328"/>
      <c r="H176" s="218"/>
      <c r="I176" s="219"/>
      <c r="J176" s="219"/>
      <c r="K176" s="219"/>
      <c r="L176" s="219"/>
      <c r="M176" s="219"/>
      <c r="N176" s="219"/>
      <c r="O176" s="219"/>
      <c r="P176" s="219"/>
      <c r="Q176" s="219"/>
      <c r="R176" s="220"/>
    </row>
    <row r="177" spans="1:18" ht="15" customHeight="1" x14ac:dyDescent="0.3">
      <c r="A177" s="26" t="s">
        <v>26</v>
      </c>
      <c r="B177" s="26" t="s">
        <v>1104</v>
      </c>
      <c r="C177" s="26">
        <v>0.5</v>
      </c>
      <c r="D177" s="26" t="s">
        <v>28</v>
      </c>
      <c r="E177" s="26" t="s">
        <v>113</v>
      </c>
      <c r="F177" s="26" t="s">
        <v>1180</v>
      </c>
      <c r="G177" s="328"/>
      <c r="H177" s="218"/>
      <c r="I177" s="219"/>
      <c r="J177" s="219"/>
      <c r="K177" s="219"/>
      <c r="L177" s="219"/>
      <c r="M177" s="219"/>
      <c r="N177" s="219"/>
      <c r="O177" s="219"/>
      <c r="P177" s="219"/>
      <c r="Q177" s="219"/>
      <c r="R177" s="220"/>
    </row>
    <row r="178" spans="1:18" ht="15" customHeight="1" x14ac:dyDescent="0.3">
      <c r="A178" s="10" t="s">
        <v>26</v>
      </c>
      <c r="B178" s="10" t="s">
        <v>1104</v>
      </c>
      <c r="C178" s="10">
        <v>0.5</v>
      </c>
      <c r="D178" s="10" t="s">
        <v>31</v>
      </c>
      <c r="E178" s="10" t="s">
        <v>136</v>
      </c>
      <c r="F178" s="10" t="s">
        <v>452</v>
      </c>
      <c r="G178" s="328"/>
      <c r="H178" s="218"/>
      <c r="I178" s="219"/>
      <c r="J178" s="219"/>
      <c r="K178" s="219"/>
      <c r="L178" s="219"/>
      <c r="M178" s="219"/>
      <c r="N178" s="219"/>
      <c r="O178" s="219"/>
      <c r="P178" s="219"/>
      <c r="Q178" s="219"/>
      <c r="R178" s="220"/>
    </row>
    <row r="179" spans="1:18" ht="15" customHeight="1" x14ac:dyDescent="0.3">
      <c r="A179" s="10" t="s">
        <v>26</v>
      </c>
      <c r="B179" s="10" t="s">
        <v>1104</v>
      </c>
      <c r="C179" s="10">
        <v>0.5</v>
      </c>
      <c r="D179" s="10" t="s">
        <v>34</v>
      </c>
      <c r="E179" s="10" t="s">
        <v>136</v>
      </c>
      <c r="F179" s="10" t="s">
        <v>1103</v>
      </c>
      <c r="G179" s="328"/>
      <c r="H179" s="218"/>
      <c r="I179" s="219"/>
      <c r="J179" s="219"/>
      <c r="K179" s="219"/>
      <c r="L179" s="219"/>
      <c r="M179" s="219"/>
      <c r="N179" s="219"/>
      <c r="O179" s="219"/>
      <c r="P179" s="219"/>
      <c r="Q179" s="219"/>
      <c r="R179" s="220"/>
    </row>
    <row r="180" spans="1:18" ht="15" customHeight="1" x14ac:dyDescent="0.3">
      <c r="A180" s="26" t="s">
        <v>26</v>
      </c>
      <c r="B180" s="26" t="s">
        <v>1107</v>
      </c>
      <c r="C180" s="26">
        <v>0.44791666666666669</v>
      </c>
      <c r="D180" s="26" t="s">
        <v>28</v>
      </c>
      <c r="E180" s="26" t="s">
        <v>439</v>
      </c>
      <c r="F180" s="26" t="s">
        <v>1180</v>
      </c>
      <c r="G180" s="328"/>
      <c r="H180" s="218"/>
      <c r="I180" s="219"/>
      <c r="J180" s="219"/>
      <c r="K180" s="219"/>
      <c r="L180" s="219"/>
      <c r="M180" s="219"/>
      <c r="N180" s="219"/>
      <c r="O180" s="219"/>
      <c r="P180" s="219"/>
      <c r="Q180" s="219"/>
      <c r="R180" s="220"/>
    </row>
    <row r="181" spans="1:18" ht="15" customHeight="1" x14ac:dyDescent="0.3">
      <c r="A181" s="10" t="s">
        <v>26</v>
      </c>
      <c r="B181" s="10" t="s">
        <v>1107</v>
      </c>
      <c r="C181" s="10">
        <v>0.44791666666666669</v>
      </c>
      <c r="D181" s="10" t="s">
        <v>31</v>
      </c>
      <c r="E181" s="10" t="s">
        <v>124</v>
      </c>
      <c r="F181" s="10" t="s">
        <v>452</v>
      </c>
      <c r="G181" s="328"/>
      <c r="H181" s="218"/>
      <c r="I181" s="219"/>
      <c r="J181" s="219"/>
      <c r="K181" s="219"/>
      <c r="L181" s="219"/>
      <c r="M181" s="219"/>
      <c r="N181" s="219"/>
      <c r="O181" s="219"/>
      <c r="P181" s="219"/>
      <c r="Q181" s="219"/>
      <c r="R181" s="220"/>
    </row>
    <row r="182" spans="1:18" ht="15" customHeight="1" x14ac:dyDescent="0.3">
      <c r="A182" s="10" t="s">
        <v>26</v>
      </c>
      <c r="B182" s="10" t="s">
        <v>1107</v>
      </c>
      <c r="C182" s="10">
        <v>0.44791666666666669</v>
      </c>
      <c r="D182" s="10" t="s">
        <v>34</v>
      </c>
      <c r="E182" s="10" t="s">
        <v>124</v>
      </c>
      <c r="F182" s="10" t="s">
        <v>1103</v>
      </c>
      <c r="G182" s="328"/>
      <c r="H182" s="218"/>
      <c r="I182" s="219"/>
      <c r="J182" s="219"/>
      <c r="K182" s="219"/>
      <c r="L182" s="219"/>
      <c r="M182" s="219"/>
      <c r="N182" s="219"/>
      <c r="O182" s="219"/>
      <c r="P182" s="219"/>
      <c r="Q182" s="219"/>
      <c r="R182" s="220"/>
    </row>
    <row r="183" spans="1:18" ht="15" customHeight="1" x14ac:dyDescent="0.3">
      <c r="A183" s="26" t="s">
        <v>26</v>
      </c>
      <c r="B183" s="26" t="s">
        <v>1110</v>
      </c>
      <c r="C183" s="26">
        <v>0.81597222222222221</v>
      </c>
      <c r="D183" s="26" t="s">
        <v>28</v>
      </c>
      <c r="E183" s="26" t="s">
        <v>566</v>
      </c>
      <c r="F183" s="26" t="s">
        <v>1180</v>
      </c>
      <c r="G183" s="328"/>
      <c r="H183" s="218"/>
      <c r="I183" s="219"/>
      <c r="J183" s="219"/>
      <c r="K183" s="219"/>
      <c r="L183" s="219"/>
      <c r="M183" s="219"/>
      <c r="N183" s="219"/>
      <c r="O183" s="219"/>
      <c r="P183" s="219"/>
      <c r="Q183" s="219"/>
      <c r="R183" s="220"/>
    </row>
    <row r="184" spans="1:18" ht="15" customHeight="1" x14ac:dyDescent="0.3">
      <c r="A184" s="10" t="s">
        <v>26</v>
      </c>
      <c r="B184" s="10" t="s">
        <v>1110</v>
      </c>
      <c r="C184" s="10">
        <v>0.81597222222222221</v>
      </c>
      <c r="D184" s="10" t="s">
        <v>31</v>
      </c>
      <c r="E184" s="10" t="s">
        <v>149</v>
      </c>
      <c r="F184" s="10" t="s">
        <v>452</v>
      </c>
      <c r="G184" s="328"/>
      <c r="H184" s="218"/>
      <c r="I184" s="219"/>
      <c r="J184" s="219"/>
      <c r="K184" s="219"/>
      <c r="L184" s="219"/>
      <c r="M184" s="219"/>
      <c r="N184" s="219"/>
      <c r="O184" s="219"/>
      <c r="P184" s="219"/>
      <c r="Q184" s="219"/>
      <c r="R184" s="220"/>
    </row>
    <row r="185" spans="1:18" ht="15" customHeight="1" x14ac:dyDescent="0.3">
      <c r="A185" s="10" t="s">
        <v>26</v>
      </c>
      <c r="B185" s="10" t="s">
        <v>1110</v>
      </c>
      <c r="C185" s="10">
        <v>0.81597222222222221</v>
      </c>
      <c r="D185" s="10" t="s">
        <v>34</v>
      </c>
      <c r="E185" s="10" t="s">
        <v>149</v>
      </c>
      <c r="F185" s="10" t="s">
        <v>1103</v>
      </c>
      <c r="G185" s="328"/>
      <c r="H185" s="218"/>
      <c r="I185" s="219"/>
      <c r="J185" s="219"/>
      <c r="K185" s="219"/>
      <c r="L185" s="219"/>
      <c r="M185" s="219"/>
      <c r="N185" s="219"/>
      <c r="O185" s="219"/>
      <c r="P185" s="219"/>
      <c r="Q185" s="219"/>
      <c r="R185" s="220"/>
    </row>
    <row r="186" spans="1:18" ht="15" customHeight="1" x14ac:dyDescent="0.3">
      <c r="A186" s="44" t="s">
        <v>44</v>
      </c>
      <c r="B186" s="44" t="s">
        <v>1121</v>
      </c>
      <c r="C186" s="44">
        <v>0.92361111111111116</v>
      </c>
      <c r="D186" s="44" t="s">
        <v>46</v>
      </c>
      <c r="E186" s="44" t="s">
        <v>47</v>
      </c>
      <c r="F186" s="44" t="s">
        <v>1181</v>
      </c>
      <c r="G186" s="328"/>
      <c r="H186" s="244" t="s">
        <v>1122</v>
      </c>
      <c r="I186" s="263">
        <v>0.38100000000000001</v>
      </c>
      <c r="J186" s="246">
        <v>64</v>
      </c>
      <c r="K186" s="247" t="s">
        <v>175</v>
      </c>
      <c r="L186" s="246">
        <v>38</v>
      </c>
      <c r="M186" s="246">
        <v>5</v>
      </c>
      <c r="N186" s="246">
        <v>16</v>
      </c>
      <c r="O186" s="247" t="s">
        <v>353</v>
      </c>
      <c r="P186" s="247">
        <v>0.92361111111111116</v>
      </c>
      <c r="Q186" s="246">
        <v>168</v>
      </c>
      <c r="R186" s="248" t="s">
        <v>1182</v>
      </c>
    </row>
    <row r="187" spans="1:18" ht="15" customHeight="1" x14ac:dyDescent="0.3">
      <c r="A187" s="24" t="s">
        <v>44</v>
      </c>
      <c r="B187" s="24" t="s">
        <v>1154</v>
      </c>
      <c r="C187" s="24">
        <v>0.60416666666666663</v>
      </c>
      <c r="D187" s="24" t="s">
        <v>46</v>
      </c>
      <c r="E187" s="24" t="s">
        <v>90</v>
      </c>
      <c r="F187" s="24" t="s">
        <v>623</v>
      </c>
      <c r="G187" s="328"/>
      <c r="H187" s="239" t="s">
        <v>1155</v>
      </c>
      <c r="I187" s="240">
        <v>0.48809999999999998</v>
      </c>
      <c r="J187" s="241">
        <v>82</v>
      </c>
      <c r="K187" s="242" t="s">
        <v>175</v>
      </c>
      <c r="L187" s="241">
        <v>37</v>
      </c>
      <c r="M187" s="241">
        <v>6</v>
      </c>
      <c r="N187" s="241">
        <v>6</v>
      </c>
      <c r="O187" s="242" t="s">
        <v>394</v>
      </c>
      <c r="P187" s="242">
        <v>0.60416666666666663</v>
      </c>
      <c r="Q187" s="241">
        <v>168</v>
      </c>
      <c r="R187" s="243" t="s">
        <v>1183</v>
      </c>
    </row>
    <row r="188" spans="1:18" ht="15" customHeight="1" x14ac:dyDescent="0.3">
      <c r="A188" s="11" t="s">
        <v>36</v>
      </c>
      <c r="B188" s="11" t="s">
        <v>1113</v>
      </c>
      <c r="C188" s="11">
        <v>0.82638888888888884</v>
      </c>
      <c r="D188" s="11" t="s">
        <v>38</v>
      </c>
      <c r="E188" s="11" t="s">
        <v>123</v>
      </c>
      <c r="F188" s="11" t="s">
        <v>620</v>
      </c>
      <c r="G188" s="328"/>
      <c r="H188" s="218"/>
      <c r="I188" s="219"/>
      <c r="J188" s="219"/>
      <c r="K188" s="219"/>
      <c r="L188" s="219"/>
      <c r="M188" s="219"/>
      <c r="N188" s="219"/>
      <c r="O188" s="219"/>
      <c r="P188" s="219"/>
      <c r="Q188" s="219"/>
      <c r="R188" s="220"/>
    </row>
    <row r="189" spans="1:18" ht="15" customHeight="1" x14ac:dyDescent="0.3">
      <c r="A189" s="10" t="s">
        <v>36</v>
      </c>
      <c r="B189" s="10" t="s">
        <v>1113</v>
      </c>
      <c r="C189" s="10">
        <v>0.82638888888888884</v>
      </c>
      <c r="D189" s="10" t="s">
        <v>40</v>
      </c>
      <c r="E189" s="10" t="s">
        <v>124</v>
      </c>
      <c r="F189" s="10" t="s">
        <v>621</v>
      </c>
      <c r="G189" s="328"/>
      <c r="H189" s="218"/>
      <c r="I189" s="219"/>
      <c r="J189" s="219"/>
      <c r="K189" s="219"/>
      <c r="L189" s="219"/>
      <c r="M189" s="219"/>
      <c r="N189" s="219"/>
      <c r="O189" s="219"/>
      <c r="P189" s="219"/>
      <c r="Q189" s="219"/>
      <c r="R189" s="220"/>
    </row>
    <row r="190" spans="1:18" ht="15" customHeight="1" x14ac:dyDescent="0.3">
      <c r="A190" s="10" t="s">
        <v>36</v>
      </c>
      <c r="B190" s="10" t="s">
        <v>1113</v>
      </c>
      <c r="C190" s="10">
        <v>0.82638888888888884</v>
      </c>
      <c r="D190" s="10" t="s">
        <v>42</v>
      </c>
      <c r="E190" s="10" t="s">
        <v>124</v>
      </c>
      <c r="F190" s="10" t="s">
        <v>622</v>
      </c>
      <c r="G190" s="328"/>
      <c r="H190" s="218"/>
      <c r="I190" s="219"/>
      <c r="J190" s="219"/>
      <c r="K190" s="219"/>
      <c r="L190" s="219"/>
      <c r="M190" s="219"/>
      <c r="N190" s="219"/>
      <c r="O190" s="219"/>
      <c r="P190" s="219"/>
      <c r="Q190" s="219"/>
      <c r="R190" s="220"/>
    </row>
    <row r="191" spans="1:18" ht="15" customHeight="1" x14ac:dyDescent="0.3">
      <c r="A191" s="26" t="s">
        <v>36</v>
      </c>
      <c r="B191" s="26" t="s">
        <v>1119</v>
      </c>
      <c r="C191" s="26">
        <v>0.5</v>
      </c>
      <c r="D191" s="26" t="s">
        <v>38</v>
      </c>
      <c r="E191" s="26" t="s">
        <v>54</v>
      </c>
      <c r="F191" s="26" t="s">
        <v>583</v>
      </c>
      <c r="G191" s="328"/>
      <c r="H191" s="218"/>
      <c r="I191" s="219"/>
      <c r="J191" s="219"/>
      <c r="K191" s="219"/>
      <c r="L191" s="219"/>
      <c r="M191" s="219"/>
      <c r="N191" s="219"/>
      <c r="O191" s="219"/>
      <c r="P191" s="219"/>
      <c r="Q191" s="219"/>
      <c r="R191" s="220"/>
    </row>
    <row r="192" spans="1:18" ht="15" customHeight="1" x14ac:dyDescent="0.3">
      <c r="A192" s="10" t="s">
        <v>36</v>
      </c>
      <c r="B192" s="10" t="s">
        <v>1119</v>
      </c>
      <c r="C192" s="10">
        <v>0.5</v>
      </c>
      <c r="D192" s="10" t="s">
        <v>40</v>
      </c>
      <c r="E192" s="10" t="s">
        <v>161</v>
      </c>
      <c r="F192" s="10" t="s">
        <v>531</v>
      </c>
      <c r="G192" s="328"/>
      <c r="H192" s="218"/>
      <c r="I192" s="219"/>
      <c r="J192" s="219"/>
      <c r="K192" s="219"/>
      <c r="L192" s="219"/>
      <c r="M192" s="219"/>
      <c r="N192" s="219"/>
      <c r="O192" s="219"/>
      <c r="P192" s="219"/>
      <c r="Q192" s="219"/>
      <c r="R192" s="220"/>
    </row>
    <row r="193" spans="1:18" ht="15" customHeight="1" x14ac:dyDescent="0.3">
      <c r="A193" s="10" t="s">
        <v>36</v>
      </c>
      <c r="B193" s="10" t="s">
        <v>1119</v>
      </c>
      <c r="C193" s="10">
        <v>0.5</v>
      </c>
      <c r="D193" s="10" t="s">
        <v>42</v>
      </c>
      <c r="E193" s="10" t="s">
        <v>161</v>
      </c>
      <c r="F193" s="10" t="s">
        <v>30</v>
      </c>
      <c r="G193" s="328"/>
      <c r="H193" s="218"/>
      <c r="I193" s="219"/>
      <c r="J193" s="219"/>
      <c r="K193" s="219"/>
      <c r="L193" s="219"/>
      <c r="M193" s="219"/>
      <c r="N193" s="219"/>
      <c r="O193" s="219"/>
      <c r="P193" s="219"/>
      <c r="Q193" s="219"/>
      <c r="R193" s="220"/>
    </row>
    <row r="194" spans="1:18" ht="15" customHeight="1" x14ac:dyDescent="0.3">
      <c r="A194" s="26" t="s">
        <v>36</v>
      </c>
      <c r="B194" s="26" t="s">
        <v>1115</v>
      </c>
      <c r="C194" s="26">
        <v>0.56597222222222221</v>
      </c>
      <c r="D194" s="26" t="s">
        <v>38</v>
      </c>
      <c r="E194" s="26" t="s">
        <v>54</v>
      </c>
      <c r="F194" s="26" t="s">
        <v>583</v>
      </c>
      <c r="G194" s="328"/>
      <c r="H194" s="218"/>
      <c r="I194" s="219"/>
      <c r="J194" s="219"/>
      <c r="K194" s="219"/>
      <c r="L194" s="219"/>
      <c r="M194" s="219"/>
      <c r="N194" s="219"/>
      <c r="O194" s="219"/>
      <c r="P194" s="219"/>
      <c r="Q194" s="219"/>
      <c r="R194" s="220"/>
    </row>
    <row r="195" spans="1:18" ht="15" customHeight="1" x14ac:dyDescent="0.3">
      <c r="A195" s="10" t="s">
        <v>36</v>
      </c>
      <c r="B195" s="10" t="s">
        <v>1115</v>
      </c>
      <c r="C195" s="10">
        <v>0.56597222222222221</v>
      </c>
      <c r="D195" s="10" t="s">
        <v>40</v>
      </c>
      <c r="E195" s="10" t="s">
        <v>161</v>
      </c>
      <c r="F195" s="10" t="s">
        <v>531</v>
      </c>
      <c r="G195" s="328"/>
      <c r="H195" s="218"/>
      <c r="I195" s="219"/>
      <c r="J195" s="219"/>
      <c r="K195" s="219"/>
      <c r="L195" s="219"/>
      <c r="M195" s="219"/>
      <c r="N195" s="219"/>
      <c r="O195" s="219"/>
      <c r="P195" s="219"/>
      <c r="Q195" s="219"/>
      <c r="R195" s="220"/>
    </row>
    <row r="196" spans="1:18" ht="15" customHeight="1" x14ac:dyDescent="0.3">
      <c r="A196" s="10" t="s">
        <v>36</v>
      </c>
      <c r="B196" s="10" t="s">
        <v>1115</v>
      </c>
      <c r="C196" s="10">
        <v>0.56597222222222221</v>
      </c>
      <c r="D196" s="10" t="s">
        <v>42</v>
      </c>
      <c r="E196" s="10" t="s">
        <v>161</v>
      </c>
      <c r="F196" s="10" t="s">
        <v>30</v>
      </c>
      <c r="G196" s="328"/>
      <c r="H196" s="218"/>
      <c r="I196" s="219"/>
      <c r="J196" s="219"/>
      <c r="K196" s="219"/>
      <c r="L196" s="219"/>
      <c r="M196" s="219"/>
      <c r="N196" s="219"/>
      <c r="O196" s="219"/>
      <c r="P196" s="219"/>
      <c r="Q196" s="219"/>
      <c r="R196" s="220"/>
    </row>
    <row r="197" spans="1:18" ht="15" customHeight="1" x14ac:dyDescent="0.3">
      <c r="A197" s="26" t="s">
        <v>36</v>
      </c>
      <c r="B197" s="26" t="s">
        <v>1116</v>
      </c>
      <c r="C197" s="26">
        <v>0.30555555555555552</v>
      </c>
      <c r="D197" s="26" t="s">
        <v>38</v>
      </c>
      <c r="E197" s="26" t="s">
        <v>87</v>
      </c>
      <c r="F197" s="26" t="s">
        <v>583</v>
      </c>
      <c r="G197" s="328"/>
      <c r="H197" s="218"/>
      <c r="I197" s="219"/>
      <c r="J197" s="219"/>
      <c r="K197" s="219"/>
      <c r="L197" s="219"/>
      <c r="M197" s="219"/>
      <c r="N197" s="219"/>
      <c r="O197" s="219"/>
      <c r="P197" s="219"/>
      <c r="Q197" s="219"/>
      <c r="R197" s="220"/>
    </row>
    <row r="198" spans="1:18" ht="15" customHeight="1" x14ac:dyDescent="0.3">
      <c r="A198" s="10" t="s">
        <v>36</v>
      </c>
      <c r="B198" s="10" t="s">
        <v>1116</v>
      </c>
      <c r="C198" s="10">
        <v>0.30555555555555552</v>
      </c>
      <c r="D198" s="10" t="s">
        <v>40</v>
      </c>
      <c r="E198" s="10" t="s">
        <v>32</v>
      </c>
      <c r="F198" s="10" t="s">
        <v>531</v>
      </c>
      <c r="G198" s="328"/>
      <c r="H198" s="218"/>
      <c r="I198" s="219"/>
      <c r="J198" s="219"/>
      <c r="K198" s="219"/>
      <c r="L198" s="219"/>
      <c r="M198" s="219"/>
      <c r="N198" s="219"/>
      <c r="O198" s="219"/>
      <c r="P198" s="219"/>
      <c r="Q198" s="219"/>
      <c r="R198" s="220"/>
    </row>
    <row r="199" spans="1:18" ht="15" customHeight="1" x14ac:dyDescent="0.3">
      <c r="A199" s="10" t="s">
        <v>36</v>
      </c>
      <c r="B199" s="10" t="s">
        <v>1116</v>
      </c>
      <c r="C199" s="10">
        <v>0.30555555555555552</v>
      </c>
      <c r="D199" s="10" t="s">
        <v>42</v>
      </c>
      <c r="E199" s="10" t="s">
        <v>32</v>
      </c>
      <c r="F199" s="10" t="s">
        <v>30</v>
      </c>
      <c r="G199" s="328"/>
      <c r="H199" s="218"/>
      <c r="I199" s="219"/>
      <c r="J199" s="219"/>
      <c r="K199" s="219"/>
      <c r="L199" s="219"/>
      <c r="M199" s="219"/>
      <c r="N199" s="219"/>
      <c r="O199" s="219"/>
      <c r="P199" s="219"/>
      <c r="Q199" s="219"/>
      <c r="R199" s="220"/>
    </row>
    <row r="200" spans="1:18" ht="15" customHeight="1" x14ac:dyDescent="0.3">
      <c r="A200" s="26" t="s">
        <v>36</v>
      </c>
      <c r="B200" s="26" t="s">
        <v>1117</v>
      </c>
      <c r="C200" s="26">
        <v>0.6875</v>
      </c>
      <c r="D200" s="26" t="s">
        <v>38</v>
      </c>
      <c r="E200" s="26" t="s">
        <v>439</v>
      </c>
      <c r="F200" s="26" t="s">
        <v>583</v>
      </c>
      <c r="G200" s="328"/>
      <c r="H200" s="218"/>
      <c r="I200" s="219"/>
      <c r="J200" s="219"/>
      <c r="K200" s="219"/>
      <c r="L200" s="219"/>
      <c r="M200" s="219"/>
      <c r="N200" s="219"/>
      <c r="O200" s="219"/>
      <c r="P200" s="219"/>
      <c r="Q200" s="219"/>
      <c r="R200" s="220"/>
    </row>
    <row r="201" spans="1:18" ht="15" customHeight="1" x14ac:dyDescent="0.3">
      <c r="A201" s="10" t="s">
        <v>36</v>
      </c>
      <c r="B201" s="10" t="s">
        <v>1117</v>
      </c>
      <c r="C201" s="10">
        <v>0.6875</v>
      </c>
      <c r="D201" s="10" t="s">
        <v>40</v>
      </c>
      <c r="E201" s="10" t="s">
        <v>124</v>
      </c>
      <c r="F201" s="10" t="s">
        <v>531</v>
      </c>
      <c r="G201" s="328"/>
      <c r="H201" s="218"/>
      <c r="I201" s="219"/>
      <c r="J201" s="219"/>
      <c r="K201" s="219"/>
      <c r="L201" s="219"/>
      <c r="M201" s="219"/>
      <c r="N201" s="219"/>
      <c r="O201" s="219"/>
      <c r="P201" s="219"/>
      <c r="Q201" s="219"/>
      <c r="R201" s="220"/>
    </row>
    <row r="202" spans="1:18" ht="15" customHeight="1" x14ac:dyDescent="0.3">
      <c r="A202" s="10" t="s">
        <v>36</v>
      </c>
      <c r="B202" s="10" t="s">
        <v>1117</v>
      </c>
      <c r="C202" s="10">
        <v>0.6875</v>
      </c>
      <c r="D202" s="10" t="s">
        <v>42</v>
      </c>
      <c r="E202" s="10" t="s">
        <v>124</v>
      </c>
      <c r="F202" s="10" t="s">
        <v>30</v>
      </c>
      <c r="G202" s="328"/>
      <c r="H202" s="218"/>
      <c r="I202" s="219"/>
      <c r="J202" s="219"/>
      <c r="K202" s="219"/>
      <c r="L202" s="219"/>
      <c r="M202" s="219"/>
      <c r="N202" s="219"/>
      <c r="O202" s="219"/>
      <c r="P202" s="219"/>
      <c r="Q202" s="219"/>
      <c r="R202" s="220"/>
    </row>
    <row r="203" spans="1:18" ht="15" customHeight="1" x14ac:dyDescent="0.3">
      <c r="A203" s="26" t="s">
        <v>36</v>
      </c>
      <c r="B203" s="26" t="s">
        <v>1114</v>
      </c>
      <c r="C203" s="26">
        <v>0.375</v>
      </c>
      <c r="D203" s="26" t="s">
        <v>38</v>
      </c>
      <c r="E203" s="26" t="s">
        <v>54</v>
      </c>
      <c r="F203" s="26" t="s">
        <v>530</v>
      </c>
      <c r="G203" s="328"/>
      <c r="H203" s="218"/>
      <c r="I203" s="219"/>
      <c r="J203" s="219"/>
      <c r="K203" s="219"/>
      <c r="L203" s="219"/>
      <c r="M203" s="219"/>
      <c r="N203" s="219"/>
      <c r="O203" s="219"/>
      <c r="P203" s="219"/>
      <c r="Q203" s="219"/>
      <c r="R203" s="220"/>
    </row>
    <row r="204" spans="1:18" ht="15" customHeight="1" x14ac:dyDescent="0.3">
      <c r="A204" s="10" t="s">
        <v>36</v>
      </c>
      <c r="B204" s="10" t="s">
        <v>1114</v>
      </c>
      <c r="C204" s="10">
        <v>0.375</v>
      </c>
      <c r="D204" s="10" t="s">
        <v>40</v>
      </c>
      <c r="E204" s="10" t="s">
        <v>161</v>
      </c>
      <c r="F204" s="10" t="s">
        <v>514</v>
      </c>
      <c r="G204" s="328"/>
      <c r="H204" s="218"/>
      <c r="I204" s="219"/>
      <c r="J204" s="219"/>
      <c r="K204" s="219"/>
      <c r="L204" s="219"/>
      <c r="M204" s="219"/>
      <c r="N204" s="219"/>
      <c r="O204" s="219"/>
      <c r="P204" s="219"/>
      <c r="Q204" s="219"/>
      <c r="R204" s="220"/>
    </row>
    <row r="205" spans="1:18" ht="15" customHeight="1" x14ac:dyDescent="0.3">
      <c r="A205" s="10" t="s">
        <v>36</v>
      </c>
      <c r="B205" s="10" t="s">
        <v>1114</v>
      </c>
      <c r="C205" s="10">
        <v>0.375</v>
      </c>
      <c r="D205" s="10" t="s">
        <v>42</v>
      </c>
      <c r="E205" s="10" t="s">
        <v>161</v>
      </c>
      <c r="F205" s="10" t="s">
        <v>414</v>
      </c>
      <c r="G205" s="328"/>
      <c r="H205" s="218"/>
      <c r="I205" s="219"/>
      <c r="J205" s="219"/>
      <c r="K205" s="219"/>
      <c r="L205" s="219"/>
      <c r="M205" s="219"/>
      <c r="N205" s="219"/>
      <c r="O205" s="219"/>
      <c r="P205" s="219"/>
      <c r="Q205" s="219"/>
      <c r="R205" s="220"/>
    </row>
    <row r="206" spans="1:18" ht="15" customHeight="1" x14ac:dyDescent="0.3">
      <c r="A206" s="26" t="s">
        <v>36</v>
      </c>
      <c r="B206" s="26" t="s">
        <v>1118</v>
      </c>
      <c r="C206" s="26">
        <v>0.42708333333333331</v>
      </c>
      <c r="D206" s="26" t="s">
        <v>38</v>
      </c>
      <c r="E206" s="26" t="s">
        <v>439</v>
      </c>
      <c r="F206" s="26" t="s">
        <v>530</v>
      </c>
      <c r="G206" s="328"/>
      <c r="H206" s="218"/>
      <c r="I206" s="219"/>
      <c r="J206" s="219"/>
      <c r="K206" s="219"/>
      <c r="L206" s="219"/>
      <c r="M206" s="219"/>
      <c r="N206" s="219"/>
      <c r="O206" s="219"/>
      <c r="P206" s="219"/>
      <c r="Q206" s="219"/>
      <c r="R206" s="220"/>
    </row>
    <row r="207" spans="1:18" ht="15" customHeight="1" x14ac:dyDescent="0.3">
      <c r="A207" s="10" t="s">
        <v>36</v>
      </c>
      <c r="B207" s="10" t="s">
        <v>1118</v>
      </c>
      <c r="C207" s="10">
        <v>0.42708333333333331</v>
      </c>
      <c r="D207" s="10" t="s">
        <v>40</v>
      </c>
      <c r="E207" s="10" t="s">
        <v>124</v>
      </c>
      <c r="F207" s="10" t="s">
        <v>514</v>
      </c>
      <c r="G207" s="328"/>
      <c r="H207" s="218"/>
      <c r="I207" s="219"/>
      <c r="J207" s="219"/>
      <c r="K207" s="219"/>
      <c r="L207" s="219"/>
      <c r="M207" s="219"/>
      <c r="N207" s="219"/>
      <c r="O207" s="219"/>
      <c r="P207" s="219"/>
      <c r="Q207" s="219"/>
      <c r="R207" s="220"/>
    </row>
    <row r="208" spans="1:18" ht="15" customHeight="1" x14ac:dyDescent="0.3">
      <c r="A208" s="10" t="s">
        <v>36</v>
      </c>
      <c r="B208" s="10" t="s">
        <v>1118</v>
      </c>
      <c r="C208" s="10">
        <v>0.42708333333333331</v>
      </c>
      <c r="D208" s="10" t="s">
        <v>42</v>
      </c>
      <c r="E208" s="10" t="s">
        <v>124</v>
      </c>
      <c r="F208" s="10" t="s">
        <v>414</v>
      </c>
      <c r="G208" s="328"/>
      <c r="H208" s="218"/>
      <c r="I208" s="219"/>
      <c r="J208" s="219"/>
      <c r="K208" s="219"/>
      <c r="L208" s="219"/>
      <c r="M208" s="219"/>
      <c r="N208" s="219"/>
      <c r="O208" s="219"/>
      <c r="P208" s="219"/>
      <c r="Q208" s="219"/>
      <c r="R208" s="220"/>
    </row>
    <row r="209" spans="1:18" ht="15" customHeight="1" x14ac:dyDescent="0.3">
      <c r="A209" s="11" t="s">
        <v>404</v>
      </c>
      <c r="B209" s="11" t="s">
        <v>1120</v>
      </c>
      <c r="C209" s="11">
        <v>0.27777777777777779</v>
      </c>
      <c r="D209" s="11" t="s">
        <v>46</v>
      </c>
      <c r="E209" s="11" t="s">
        <v>47</v>
      </c>
      <c r="F209" s="11" t="s">
        <v>657</v>
      </c>
      <c r="G209" s="328"/>
      <c r="H209" s="218"/>
      <c r="I209" s="219"/>
      <c r="J209" s="219"/>
      <c r="K209" s="219"/>
      <c r="L209" s="219"/>
      <c r="M209" s="219"/>
      <c r="N209" s="219"/>
      <c r="O209" s="219"/>
      <c r="P209" s="219"/>
      <c r="Q209" s="219"/>
      <c r="R209" s="220"/>
    </row>
    <row r="210" spans="1:18" ht="15" customHeight="1" x14ac:dyDescent="0.3">
      <c r="A210" s="11" t="s">
        <v>410</v>
      </c>
      <c r="B210" s="11" t="s">
        <v>1167</v>
      </c>
      <c r="C210" s="11">
        <v>0.39583333333333331</v>
      </c>
      <c r="D210" s="11" t="s">
        <v>46</v>
      </c>
      <c r="E210" s="11" t="s">
        <v>47</v>
      </c>
      <c r="F210" s="11" t="s">
        <v>1168</v>
      </c>
      <c r="G210" s="328"/>
      <c r="H210" s="218"/>
      <c r="I210" s="219"/>
      <c r="J210" s="219"/>
      <c r="K210" s="219"/>
      <c r="L210" s="219"/>
      <c r="M210" s="219"/>
      <c r="N210" s="219"/>
      <c r="O210" s="219"/>
      <c r="P210" s="219"/>
      <c r="Q210" s="219"/>
      <c r="R210" s="220"/>
    </row>
    <row r="211" spans="1:18" ht="15" customHeight="1" x14ac:dyDescent="0.3">
      <c r="A211" s="11" t="s">
        <v>66</v>
      </c>
      <c r="B211" s="11" t="s">
        <v>1130</v>
      </c>
      <c r="C211" s="11">
        <v>0.91666666666666663</v>
      </c>
      <c r="D211" s="11" t="s">
        <v>68</v>
      </c>
      <c r="E211" s="11" t="s">
        <v>47</v>
      </c>
      <c r="F211" s="11" t="s">
        <v>1159</v>
      </c>
      <c r="G211" s="328"/>
      <c r="H211" s="218"/>
      <c r="I211" s="219"/>
      <c r="J211" s="219"/>
      <c r="K211" s="219"/>
      <c r="L211" s="219"/>
      <c r="M211" s="219"/>
      <c r="N211" s="219"/>
      <c r="O211" s="219"/>
      <c r="P211" s="219"/>
      <c r="Q211" s="219"/>
      <c r="R211" s="220"/>
    </row>
    <row r="212" spans="1:18" ht="15" customHeight="1" x14ac:dyDescent="0.3">
      <c r="A212" s="26" t="s">
        <v>66</v>
      </c>
      <c r="B212" s="26" t="s">
        <v>1128</v>
      </c>
      <c r="C212" s="26">
        <v>0.54166666666666663</v>
      </c>
      <c r="D212" s="26" t="s">
        <v>68</v>
      </c>
      <c r="E212" s="26" t="s">
        <v>71</v>
      </c>
      <c r="F212" s="26" t="s">
        <v>1184</v>
      </c>
      <c r="G212" s="328"/>
      <c r="H212" s="218"/>
      <c r="I212" s="219"/>
      <c r="J212" s="219"/>
      <c r="K212" s="219"/>
      <c r="L212" s="219"/>
      <c r="M212" s="219"/>
      <c r="N212" s="219"/>
      <c r="O212" s="219"/>
      <c r="P212" s="219"/>
      <c r="Q212" s="219"/>
      <c r="R212" s="220"/>
    </row>
    <row r="213" spans="1:18" ht="15" customHeight="1" x14ac:dyDescent="0.3">
      <c r="A213" s="26" t="s">
        <v>66</v>
      </c>
      <c r="B213" s="26" t="s">
        <v>1126</v>
      </c>
      <c r="C213" s="26">
        <v>0.16666666666666671</v>
      </c>
      <c r="D213" s="26" t="s">
        <v>68</v>
      </c>
      <c r="E213" s="26" t="s">
        <v>71</v>
      </c>
      <c r="F213" s="26" t="s">
        <v>1171</v>
      </c>
      <c r="G213" s="328"/>
      <c r="H213" s="218"/>
      <c r="I213" s="219"/>
      <c r="J213" s="219"/>
      <c r="K213" s="219"/>
      <c r="L213" s="219"/>
      <c r="M213" s="219"/>
      <c r="N213" s="219"/>
      <c r="O213" s="219"/>
      <c r="P213" s="219"/>
      <c r="Q213" s="219"/>
      <c r="R213" s="220"/>
    </row>
    <row r="214" spans="1:18" ht="15" customHeight="1" x14ac:dyDescent="0.3">
      <c r="A214" s="11" t="s">
        <v>78</v>
      </c>
      <c r="B214" s="11" t="s">
        <v>1135</v>
      </c>
      <c r="C214" s="11">
        <v>0.2986111111111111</v>
      </c>
      <c r="D214" s="11" t="s">
        <v>80</v>
      </c>
      <c r="E214" s="11" t="s">
        <v>132</v>
      </c>
      <c r="F214" s="11" t="s">
        <v>1132</v>
      </c>
      <c r="G214" s="328"/>
      <c r="H214" s="218"/>
      <c r="I214" s="219"/>
      <c r="J214" s="219"/>
      <c r="K214" s="219"/>
      <c r="L214" s="219"/>
      <c r="M214" s="219"/>
      <c r="N214" s="219"/>
      <c r="O214" s="219"/>
      <c r="P214" s="219"/>
      <c r="Q214" s="219"/>
      <c r="R214" s="220"/>
    </row>
    <row r="215" spans="1:18" ht="15" customHeight="1" x14ac:dyDescent="0.3">
      <c r="A215" s="10" t="s">
        <v>78</v>
      </c>
      <c r="B215" s="10" t="s">
        <v>1135</v>
      </c>
      <c r="C215" s="10">
        <v>0.2986111111111111</v>
      </c>
      <c r="D215" s="10" t="s">
        <v>83</v>
      </c>
      <c r="E215" s="10" t="s">
        <v>115</v>
      </c>
      <c r="F215" s="10" t="s">
        <v>1133</v>
      </c>
      <c r="G215" s="328"/>
      <c r="H215" s="218"/>
      <c r="I215" s="219"/>
      <c r="J215" s="219"/>
      <c r="K215" s="219"/>
      <c r="L215" s="219"/>
      <c r="M215" s="219"/>
      <c r="N215" s="219"/>
      <c r="O215" s="219"/>
      <c r="P215" s="219"/>
      <c r="Q215" s="219"/>
      <c r="R215" s="220"/>
    </row>
    <row r="216" spans="1:18" ht="15" customHeight="1" x14ac:dyDescent="0.3">
      <c r="A216" s="26" t="s">
        <v>78</v>
      </c>
      <c r="B216" s="26" t="s">
        <v>1136</v>
      </c>
      <c r="C216" s="26">
        <v>0.4826388888888889</v>
      </c>
      <c r="D216" s="26" t="s">
        <v>80</v>
      </c>
      <c r="E216" s="26" t="s">
        <v>114</v>
      </c>
      <c r="F216" s="26" t="s">
        <v>1132</v>
      </c>
      <c r="G216" s="328"/>
      <c r="H216" s="218"/>
      <c r="I216" s="219"/>
      <c r="J216" s="219"/>
      <c r="K216" s="219"/>
      <c r="L216" s="219"/>
      <c r="M216" s="219"/>
      <c r="N216" s="219"/>
      <c r="O216" s="219"/>
      <c r="P216" s="219"/>
      <c r="Q216" s="219"/>
      <c r="R216" s="220"/>
    </row>
    <row r="217" spans="1:18" ht="15" customHeight="1" x14ac:dyDescent="0.3">
      <c r="A217" s="10" t="s">
        <v>78</v>
      </c>
      <c r="B217" s="10" t="s">
        <v>1136</v>
      </c>
      <c r="C217" s="10">
        <v>0.4826388888888889</v>
      </c>
      <c r="D217" s="10" t="s">
        <v>83</v>
      </c>
      <c r="E217" s="10" t="s">
        <v>115</v>
      </c>
      <c r="F217" s="10" t="s">
        <v>1133</v>
      </c>
      <c r="G217" s="328"/>
      <c r="H217" s="218"/>
      <c r="I217" s="219"/>
      <c r="J217" s="219"/>
      <c r="K217" s="219"/>
      <c r="L217" s="219"/>
      <c r="M217" s="219"/>
      <c r="N217" s="219"/>
      <c r="O217" s="219"/>
      <c r="P217" s="219"/>
      <c r="Q217" s="219"/>
      <c r="R217" s="220"/>
    </row>
    <row r="218" spans="1:18" ht="15" customHeight="1" x14ac:dyDescent="0.3">
      <c r="A218" s="26" t="s">
        <v>78</v>
      </c>
      <c r="B218" s="26" t="s">
        <v>1137</v>
      </c>
      <c r="C218" s="26">
        <v>0.83680555555555547</v>
      </c>
      <c r="D218" s="26" t="s">
        <v>80</v>
      </c>
      <c r="E218" s="26" t="s">
        <v>71</v>
      </c>
      <c r="F218" s="26" t="s">
        <v>1138</v>
      </c>
      <c r="G218" s="328"/>
      <c r="H218" s="218"/>
      <c r="I218" s="219"/>
      <c r="J218" s="219"/>
      <c r="K218" s="219"/>
      <c r="L218" s="219"/>
      <c r="M218" s="219"/>
      <c r="N218" s="219"/>
      <c r="O218" s="219"/>
      <c r="P218" s="219"/>
      <c r="Q218" s="219"/>
      <c r="R218" s="220"/>
    </row>
    <row r="219" spans="1:18" ht="15" customHeight="1" x14ac:dyDescent="0.3">
      <c r="A219" s="10" t="s">
        <v>78</v>
      </c>
      <c r="B219" s="10" t="s">
        <v>1137</v>
      </c>
      <c r="C219" s="10">
        <v>0.83680555555555547</v>
      </c>
      <c r="D219" s="10" t="s">
        <v>83</v>
      </c>
      <c r="E219" s="10" t="s">
        <v>95</v>
      </c>
      <c r="F219" s="10" t="s">
        <v>1139</v>
      </c>
      <c r="G219" s="328"/>
      <c r="H219" s="218"/>
      <c r="I219" s="219"/>
      <c r="J219" s="219"/>
      <c r="K219" s="219"/>
      <c r="L219" s="219"/>
      <c r="M219" s="219"/>
      <c r="N219" s="219"/>
      <c r="O219" s="219"/>
      <c r="P219" s="219"/>
      <c r="Q219" s="219"/>
      <c r="R219" s="220"/>
    </row>
    <row r="220" spans="1:18" ht="15" customHeight="1" x14ac:dyDescent="0.3">
      <c r="A220" s="26" t="s">
        <v>78</v>
      </c>
      <c r="B220" s="26" t="s">
        <v>1134</v>
      </c>
      <c r="C220" s="26">
        <v>0.68402777777777779</v>
      </c>
      <c r="D220" s="26" t="s">
        <v>80</v>
      </c>
      <c r="E220" s="26" t="s">
        <v>71</v>
      </c>
      <c r="F220" s="26" t="s">
        <v>1138</v>
      </c>
      <c r="G220" s="328"/>
      <c r="H220" s="218"/>
      <c r="I220" s="219"/>
      <c r="J220" s="219"/>
      <c r="K220" s="219"/>
      <c r="L220" s="219"/>
      <c r="M220" s="219"/>
      <c r="N220" s="219"/>
      <c r="O220" s="219"/>
      <c r="P220" s="219"/>
      <c r="Q220" s="219"/>
      <c r="R220" s="220"/>
    </row>
    <row r="221" spans="1:18" ht="15" customHeight="1" x14ac:dyDescent="0.3">
      <c r="A221" s="10" t="s">
        <v>78</v>
      </c>
      <c r="B221" s="10" t="s">
        <v>1134</v>
      </c>
      <c r="C221" s="10">
        <v>0.68402777777777779</v>
      </c>
      <c r="D221" s="10" t="s">
        <v>83</v>
      </c>
      <c r="E221" s="10" t="s">
        <v>95</v>
      </c>
      <c r="F221" s="10" t="s">
        <v>1139</v>
      </c>
      <c r="G221" s="328"/>
      <c r="H221" s="218"/>
      <c r="I221" s="219"/>
      <c r="J221" s="219"/>
      <c r="K221" s="219"/>
      <c r="L221" s="219"/>
      <c r="M221" s="219"/>
      <c r="N221" s="219"/>
      <c r="O221" s="219"/>
      <c r="P221" s="219"/>
      <c r="Q221" s="219"/>
      <c r="R221" s="220"/>
    </row>
    <row r="222" spans="1:18" ht="15" customHeight="1" x14ac:dyDescent="0.3">
      <c r="A222" s="26" t="s">
        <v>78</v>
      </c>
      <c r="B222" s="26" t="s">
        <v>1140</v>
      </c>
      <c r="C222" s="26">
        <v>0.5</v>
      </c>
      <c r="D222" s="26" t="s">
        <v>83</v>
      </c>
      <c r="E222" s="26" t="s">
        <v>87</v>
      </c>
      <c r="F222" s="26" t="s">
        <v>1141</v>
      </c>
      <c r="G222" s="328"/>
      <c r="H222" s="218"/>
      <c r="I222" s="219"/>
      <c r="J222" s="219"/>
      <c r="K222" s="219"/>
      <c r="L222" s="219"/>
      <c r="M222" s="219"/>
      <c r="N222" s="219"/>
      <c r="O222" s="219"/>
      <c r="P222" s="219"/>
      <c r="Q222" s="219"/>
      <c r="R222" s="220"/>
    </row>
    <row r="223" spans="1:18" ht="15" customHeight="1" x14ac:dyDescent="0.3">
      <c r="A223" s="26" t="s">
        <v>78</v>
      </c>
      <c r="B223" s="26" t="s">
        <v>1142</v>
      </c>
      <c r="C223" s="26">
        <v>0.76041666666666663</v>
      </c>
      <c r="D223" s="26" t="s">
        <v>83</v>
      </c>
      <c r="E223" s="26" t="s">
        <v>87</v>
      </c>
      <c r="F223" s="26" t="s">
        <v>1141</v>
      </c>
      <c r="G223" s="328"/>
      <c r="H223" s="218"/>
      <c r="I223" s="219"/>
      <c r="J223" s="219"/>
      <c r="K223" s="219"/>
      <c r="L223" s="219"/>
      <c r="M223" s="219"/>
      <c r="N223" s="219"/>
      <c r="O223" s="219"/>
      <c r="P223" s="219"/>
      <c r="Q223" s="219"/>
      <c r="R223" s="220"/>
    </row>
    <row r="224" spans="1:18" ht="15" customHeight="1" x14ac:dyDescent="0.3">
      <c r="A224" s="31" t="s">
        <v>78</v>
      </c>
      <c r="B224" s="31" t="s">
        <v>1143</v>
      </c>
      <c r="C224" s="31">
        <v>0.81597222222222221</v>
      </c>
      <c r="D224" s="31" t="s">
        <v>83</v>
      </c>
      <c r="E224" s="31" t="s">
        <v>87</v>
      </c>
      <c r="F224" s="31" t="s">
        <v>1141</v>
      </c>
      <c r="G224" s="328"/>
      <c r="H224" s="231"/>
      <c r="I224" s="232"/>
      <c r="J224" s="232"/>
      <c r="K224" s="232"/>
      <c r="L224" s="232"/>
      <c r="M224" s="232"/>
      <c r="N224" s="232"/>
      <c r="O224" s="232"/>
      <c r="P224" s="232"/>
      <c r="Q224" s="232"/>
      <c r="R224" s="233"/>
    </row>
    <row r="225" spans="1:18" ht="17.399999999999999" customHeight="1" x14ac:dyDescent="0.3">
      <c r="A225" s="360"/>
      <c r="B225" s="361"/>
      <c r="C225" s="361"/>
      <c r="D225" s="361"/>
      <c r="E225" s="361"/>
      <c r="F225" s="361"/>
      <c r="G225" s="361"/>
      <c r="H225" s="361"/>
      <c r="I225" s="361"/>
      <c r="J225" s="361"/>
      <c r="K225" s="361"/>
      <c r="L225" s="361"/>
      <c r="M225" s="361"/>
      <c r="N225" s="361"/>
      <c r="O225" s="361"/>
      <c r="P225" s="361"/>
      <c r="Q225" s="361"/>
      <c r="R225" s="362"/>
    </row>
    <row r="226" spans="1:18" ht="22.05" customHeight="1" x14ac:dyDescent="0.3">
      <c r="A226" s="323" t="s">
        <v>6</v>
      </c>
      <c r="B226" s="324"/>
      <c r="C226" s="324"/>
      <c r="D226" s="324"/>
      <c r="E226" s="324"/>
      <c r="F226" s="324"/>
      <c r="G226" s="2">
        <v>45990</v>
      </c>
      <c r="H226" s="323" t="s">
        <v>7</v>
      </c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</row>
    <row r="227" spans="1:18" ht="24" customHeight="1" x14ac:dyDescent="0.3">
      <c r="A227" s="3" t="s">
        <v>8</v>
      </c>
      <c r="B227" s="3" t="s">
        <v>9</v>
      </c>
      <c r="C227" s="3" t="s">
        <v>10</v>
      </c>
      <c r="D227" s="3" t="s">
        <v>11</v>
      </c>
      <c r="E227" s="3" t="s">
        <v>12</v>
      </c>
      <c r="F227" s="4" t="s">
        <v>13</v>
      </c>
      <c r="G227" s="5" t="s">
        <v>14</v>
      </c>
      <c r="H227" s="3" t="s">
        <v>15</v>
      </c>
      <c r="I227" s="3" t="s">
        <v>16</v>
      </c>
      <c r="J227" s="3" t="s">
        <v>17</v>
      </c>
      <c r="K227" s="3" t="s">
        <v>18</v>
      </c>
      <c r="L227" s="3" t="s">
        <v>19</v>
      </c>
      <c r="M227" s="3" t="s">
        <v>20</v>
      </c>
      <c r="N227" s="3" t="s">
        <v>21</v>
      </c>
      <c r="O227" s="3" t="s">
        <v>22</v>
      </c>
      <c r="P227" s="3" t="s">
        <v>23</v>
      </c>
      <c r="Q227" s="3" t="s">
        <v>24</v>
      </c>
      <c r="R227" s="3" t="s">
        <v>25</v>
      </c>
    </row>
    <row r="228" spans="1:18" ht="15" customHeight="1" x14ac:dyDescent="0.3">
      <c r="A228" s="6" t="s">
        <v>404</v>
      </c>
      <c r="B228" s="6" t="s">
        <v>1120</v>
      </c>
      <c r="C228" s="6">
        <v>0.27430555555555552</v>
      </c>
      <c r="D228" s="6" t="s">
        <v>46</v>
      </c>
      <c r="E228" s="6" t="s">
        <v>47</v>
      </c>
      <c r="F228" s="6" t="s">
        <v>1149</v>
      </c>
      <c r="G228" s="335"/>
      <c r="H228" s="218"/>
      <c r="I228" s="219"/>
      <c r="J228" s="219"/>
      <c r="K228" s="219"/>
      <c r="L228" s="219"/>
      <c r="M228" s="219"/>
      <c r="N228" s="219"/>
      <c r="O228" s="219"/>
      <c r="P228" s="219"/>
      <c r="Q228" s="219"/>
      <c r="R228" s="220"/>
    </row>
    <row r="229" spans="1:18" ht="15" customHeight="1" x14ac:dyDescent="0.3">
      <c r="A229" s="26" t="s">
        <v>404</v>
      </c>
      <c r="B229" s="26" t="s">
        <v>1166</v>
      </c>
      <c r="C229" s="26">
        <v>0.87152777777777779</v>
      </c>
      <c r="D229" s="26" t="s">
        <v>46</v>
      </c>
      <c r="E229" s="26" t="s">
        <v>71</v>
      </c>
      <c r="F229" s="26" t="s">
        <v>657</v>
      </c>
      <c r="G229" s="328"/>
      <c r="H229" s="218"/>
      <c r="I229" s="219"/>
      <c r="J229" s="219"/>
      <c r="K229" s="219"/>
      <c r="L229" s="219"/>
      <c r="M229" s="219"/>
      <c r="N229" s="219"/>
      <c r="O229" s="219"/>
      <c r="P229" s="219"/>
      <c r="Q229" s="219"/>
      <c r="R229" s="220"/>
    </row>
    <row r="230" spans="1:18" ht="15" customHeight="1" x14ac:dyDescent="0.3">
      <c r="A230" s="11" t="s">
        <v>36</v>
      </c>
      <c r="B230" s="11" t="s">
        <v>1113</v>
      </c>
      <c r="C230" s="11">
        <v>0.82638888888888884</v>
      </c>
      <c r="D230" s="11" t="s">
        <v>38</v>
      </c>
      <c r="E230" s="11" t="s">
        <v>314</v>
      </c>
      <c r="F230" s="11" t="s">
        <v>620</v>
      </c>
      <c r="G230" s="328"/>
      <c r="H230" s="218"/>
      <c r="I230" s="219"/>
      <c r="J230" s="219"/>
      <c r="K230" s="219"/>
      <c r="L230" s="219"/>
      <c r="M230" s="219"/>
      <c r="N230" s="219"/>
      <c r="O230" s="219"/>
      <c r="P230" s="219"/>
      <c r="Q230" s="219"/>
      <c r="R230" s="220"/>
    </row>
    <row r="231" spans="1:18" ht="15" customHeight="1" x14ac:dyDescent="0.3">
      <c r="A231" s="10" t="s">
        <v>36</v>
      </c>
      <c r="B231" s="10" t="s">
        <v>1113</v>
      </c>
      <c r="C231" s="10">
        <v>0.82638888888888884</v>
      </c>
      <c r="D231" s="10" t="s">
        <v>40</v>
      </c>
      <c r="E231" s="10" t="s">
        <v>161</v>
      </c>
      <c r="F231" s="10" t="s">
        <v>621</v>
      </c>
      <c r="G231" s="328"/>
      <c r="H231" s="218"/>
      <c r="I231" s="219"/>
      <c r="J231" s="219"/>
      <c r="K231" s="219"/>
      <c r="L231" s="219"/>
      <c r="M231" s="219"/>
      <c r="N231" s="219"/>
      <c r="O231" s="219"/>
      <c r="P231" s="219"/>
      <c r="Q231" s="219"/>
      <c r="R231" s="220"/>
    </row>
    <row r="232" spans="1:18" ht="15" customHeight="1" x14ac:dyDescent="0.3">
      <c r="A232" s="10" t="s">
        <v>36</v>
      </c>
      <c r="B232" s="10" t="s">
        <v>1113</v>
      </c>
      <c r="C232" s="10">
        <v>0.82638888888888884</v>
      </c>
      <c r="D232" s="10" t="s">
        <v>42</v>
      </c>
      <c r="E232" s="10" t="s">
        <v>161</v>
      </c>
      <c r="F232" s="10" t="s">
        <v>622</v>
      </c>
      <c r="G232" s="328"/>
      <c r="H232" s="218"/>
      <c r="I232" s="219"/>
      <c r="J232" s="219"/>
      <c r="K232" s="219"/>
      <c r="L232" s="219"/>
      <c r="M232" s="219"/>
      <c r="N232" s="219"/>
      <c r="O232" s="219"/>
      <c r="P232" s="219"/>
      <c r="Q232" s="219"/>
      <c r="R232" s="220"/>
    </row>
    <row r="233" spans="1:18" ht="15" customHeight="1" x14ac:dyDescent="0.3">
      <c r="A233" s="26" t="s">
        <v>36</v>
      </c>
      <c r="B233" s="26" t="s">
        <v>1119</v>
      </c>
      <c r="C233" s="26">
        <v>0.5</v>
      </c>
      <c r="D233" s="26" t="s">
        <v>38</v>
      </c>
      <c r="E233" s="26" t="s">
        <v>439</v>
      </c>
      <c r="F233" s="26" t="s">
        <v>620</v>
      </c>
      <c r="G233" s="328"/>
      <c r="H233" s="218"/>
      <c r="I233" s="219"/>
      <c r="J233" s="219"/>
      <c r="K233" s="219"/>
      <c r="L233" s="219"/>
      <c r="M233" s="219"/>
      <c r="N233" s="219"/>
      <c r="O233" s="219"/>
      <c r="P233" s="219"/>
      <c r="Q233" s="219"/>
      <c r="R233" s="220"/>
    </row>
    <row r="234" spans="1:18" ht="15" customHeight="1" x14ac:dyDescent="0.3">
      <c r="A234" s="10" t="s">
        <v>36</v>
      </c>
      <c r="B234" s="10" t="s">
        <v>1119</v>
      </c>
      <c r="C234" s="10">
        <v>0.5</v>
      </c>
      <c r="D234" s="10" t="s">
        <v>40</v>
      </c>
      <c r="E234" s="10" t="s">
        <v>124</v>
      </c>
      <c r="F234" s="10" t="s">
        <v>621</v>
      </c>
      <c r="G234" s="328"/>
      <c r="H234" s="218"/>
      <c r="I234" s="219"/>
      <c r="J234" s="219"/>
      <c r="K234" s="219"/>
      <c r="L234" s="219"/>
      <c r="M234" s="219"/>
      <c r="N234" s="219"/>
      <c r="O234" s="219"/>
      <c r="P234" s="219"/>
      <c r="Q234" s="219"/>
      <c r="R234" s="220"/>
    </row>
    <row r="235" spans="1:18" ht="15" customHeight="1" x14ac:dyDescent="0.3">
      <c r="A235" s="10" t="s">
        <v>36</v>
      </c>
      <c r="B235" s="10" t="s">
        <v>1119</v>
      </c>
      <c r="C235" s="10">
        <v>0.5</v>
      </c>
      <c r="D235" s="10" t="s">
        <v>42</v>
      </c>
      <c r="E235" s="10" t="s">
        <v>124</v>
      </c>
      <c r="F235" s="10" t="s">
        <v>622</v>
      </c>
      <c r="G235" s="328"/>
      <c r="H235" s="218"/>
      <c r="I235" s="219"/>
      <c r="J235" s="219"/>
      <c r="K235" s="219"/>
      <c r="L235" s="219"/>
      <c r="M235" s="219"/>
      <c r="N235" s="219"/>
      <c r="O235" s="219"/>
      <c r="P235" s="219"/>
      <c r="Q235" s="219"/>
      <c r="R235" s="220"/>
    </row>
    <row r="236" spans="1:18" ht="15" customHeight="1" x14ac:dyDescent="0.3">
      <c r="A236" s="26" t="s">
        <v>36</v>
      </c>
      <c r="B236" s="26" t="s">
        <v>1114</v>
      </c>
      <c r="C236" s="26">
        <v>0.375</v>
      </c>
      <c r="D236" s="26" t="s">
        <v>38</v>
      </c>
      <c r="E236" s="26" t="s">
        <v>439</v>
      </c>
      <c r="F236" s="26" t="s">
        <v>620</v>
      </c>
      <c r="G236" s="328"/>
      <c r="H236" s="218"/>
      <c r="I236" s="219"/>
      <c r="J236" s="219"/>
      <c r="K236" s="219"/>
      <c r="L236" s="219"/>
      <c r="M236" s="219"/>
      <c r="N236" s="219"/>
      <c r="O236" s="219"/>
      <c r="P236" s="219"/>
      <c r="Q236" s="219"/>
      <c r="R236" s="220"/>
    </row>
    <row r="237" spans="1:18" ht="15" customHeight="1" x14ac:dyDescent="0.3">
      <c r="A237" s="10" t="s">
        <v>36</v>
      </c>
      <c r="B237" s="10" t="s">
        <v>1114</v>
      </c>
      <c r="C237" s="10">
        <v>0.375</v>
      </c>
      <c r="D237" s="10" t="s">
        <v>40</v>
      </c>
      <c r="E237" s="10" t="s">
        <v>124</v>
      </c>
      <c r="F237" s="10" t="s">
        <v>621</v>
      </c>
      <c r="G237" s="328"/>
      <c r="H237" s="218"/>
      <c r="I237" s="219"/>
      <c r="J237" s="219"/>
      <c r="K237" s="219"/>
      <c r="L237" s="219"/>
      <c r="M237" s="219"/>
      <c r="N237" s="219"/>
      <c r="O237" s="219"/>
      <c r="P237" s="219"/>
      <c r="Q237" s="219"/>
      <c r="R237" s="220"/>
    </row>
    <row r="238" spans="1:18" ht="15" customHeight="1" x14ac:dyDescent="0.3">
      <c r="A238" s="10" t="s">
        <v>36</v>
      </c>
      <c r="B238" s="10" t="s">
        <v>1114</v>
      </c>
      <c r="C238" s="10">
        <v>0.375</v>
      </c>
      <c r="D238" s="10" t="s">
        <v>42</v>
      </c>
      <c r="E238" s="10" t="s">
        <v>124</v>
      </c>
      <c r="F238" s="10" t="s">
        <v>622</v>
      </c>
      <c r="G238" s="328"/>
      <c r="H238" s="218"/>
      <c r="I238" s="219"/>
      <c r="J238" s="219"/>
      <c r="K238" s="219"/>
      <c r="L238" s="219"/>
      <c r="M238" s="219"/>
      <c r="N238" s="219"/>
      <c r="O238" s="219"/>
      <c r="P238" s="219"/>
      <c r="Q238" s="219"/>
      <c r="R238" s="220"/>
    </row>
    <row r="239" spans="1:18" ht="15" customHeight="1" x14ac:dyDescent="0.3">
      <c r="A239" s="26" t="s">
        <v>36</v>
      </c>
      <c r="B239" s="26" t="s">
        <v>1115</v>
      </c>
      <c r="C239" s="26">
        <v>0.56597222222222221</v>
      </c>
      <c r="D239" s="26" t="s">
        <v>38</v>
      </c>
      <c r="E239" s="26" t="s">
        <v>439</v>
      </c>
      <c r="F239" s="26" t="s">
        <v>620</v>
      </c>
      <c r="G239" s="328"/>
      <c r="H239" s="218"/>
      <c r="I239" s="219"/>
      <c r="J239" s="219"/>
      <c r="K239" s="219"/>
      <c r="L239" s="219"/>
      <c r="M239" s="219"/>
      <c r="N239" s="219"/>
      <c r="O239" s="219"/>
      <c r="P239" s="219"/>
      <c r="Q239" s="219"/>
      <c r="R239" s="220"/>
    </row>
    <row r="240" spans="1:18" ht="15" customHeight="1" x14ac:dyDescent="0.3">
      <c r="A240" s="10" t="s">
        <v>36</v>
      </c>
      <c r="B240" s="10" t="s">
        <v>1115</v>
      </c>
      <c r="C240" s="10">
        <v>0.56597222222222221</v>
      </c>
      <c r="D240" s="10" t="s">
        <v>40</v>
      </c>
      <c r="E240" s="10" t="s">
        <v>124</v>
      </c>
      <c r="F240" s="10" t="s">
        <v>621</v>
      </c>
      <c r="G240" s="328"/>
      <c r="H240" s="218"/>
      <c r="I240" s="219"/>
      <c r="J240" s="219"/>
      <c r="K240" s="219"/>
      <c r="L240" s="219"/>
      <c r="M240" s="219"/>
      <c r="N240" s="219"/>
      <c r="O240" s="219"/>
      <c r="P240" s="219"/>
      <c r="Q240" s="219"/>
      <c r="R240" s="220"/>
    </row>
    <row r="241" spans="1:18" ht="15" customHeight="1" x14ac:dyDescent="0.3">
      <c r="A241" s="10" t="s">
        <v>36</v>
      </c>
      <c r="B241" s="10" t="s">
        <v>1115</v>
      </c>
      <c r="C241" s="10">
        <v>0.56597222222222221</v>
      </c>
      <c r="D241" s="10" t="s">
        <v>42</v>
      </c>
      <c r="E241" s="10" t="s">
        <v>124</v>
      </c>
      <c r="F241" s="10" t="s">
        <v>622</v>
      </c>
      <c r="G241" s="328"/>
      <c r="H241" s="218"/>
      <c r="I241" s="219"/>
      <c r="J241" s="219"/>
      <c r="K241" s="219"/>
      <c r="L241" s="219"/>
      <c r="M241" s="219"/>
      <c r="N241" s="219"/>
      <c r="O241" s="219"/>
      <c r="P241" s="219"/>
      <c r="Q241" s="219"/>
      <c r="R241" s="220"/>
    </row>
    <row r="242" spans="1:18" ht="15" customHeight="1" x14ac:dyDescent="0.3">
      <c r="A242" s="26" t="s">
        <v>36</v>
      </c>
      <c r="B242" s="26" t="s">
        <v>1116</v>
      </c>
      <c r="C242" s="26">
        <v>0.30555555555555552</v>
      </c>
      <c r="D242" s="26" t="s">
        <v>38</v>
      </c>
      <c r="E242" s="26" t="s">
        <v>439</v>
      </c>
      <c r="F242" s="26" t="s">
        <v>620</v>
      </c>
      <c r="G242" s="328"/>
      <c r="H242" s="218"/>
      <c r="I242" s="219"/>
      <c r="J242" s="219"/>
      <c r="K242" s="219"/>
      <c r="L242" s="219"/>
      <c r="M242" s="219"/>
      <c r="N242" s="219"/>
      <c r="O242" s="219"/>
      <c r="P242" s="219"/>
      <c r="Q242" s="219"/>
      <c r="R242" s="220"/>
    </row>
    <row r="243" spans="1:18" ht="15" customHeight="1" x14ac:dyDescent="0.3">
      <c r="A243" s="10" t="s">
        <v>36</v>
      </c>
      <c r="B243" s="10" t="s">
        <v>1116</v>
      </c>
      <c r="C243" s="10">
        <v>0.30555555555555552</v>
      </c>
      <c r="D243" s="10" t="s">
        <v>40</v>
      </c>
      <c r="E243" s="10" t="s">
        <v>124</v>
      </c>
      <c r="F243" s="10" t="s">
        <v>621</v>
      </c>
      <c r="G243" s="328"/>
      <c r="H243" s="218"/>
      <c r="I243" s="219"/>
      <c r="J243" s="219"/>
      <c r="K243" s="219"/>
      <c r="L243" s="219"/>
      <c r="M243" s="219"/>
      <c r="N243" s="219"/>
      <c r="O243" s="219"/>
      <c r="P243" s="219"/>
      <c r="Q243" s="219"/>
      <c r="R243" s="220"/>
    </row>
    <row r="244" spans="1:18" ht="15" customHeight="1" x14ac:dyDescent="0.3">
      <c r="A244" s="10" t="s">
        <v>36</v>
      </c>
      <c r="B244" s="10" t="s">
        <v>1116</v>
      </c>
      <c r="C244" s="10">
        <v>0.30555555555555552</v>
      </c>
      <c r="D244" s="10" t="s">
        <v>42</v>
      </c>
      <c r="E244" s="10" t="s">
        <v>124</v>
      </c>
      <c r="F244" s="10" t="s">
        <v>622</v>
      </c>
      <c r="G244" s="328"/>
      <c r="H244" s="218"/>
      <c r="I244" s="219"/>
      <c r="J244" s="219"/>
      <c r="K244" s="219"/>
      <c r="L244" s="219"/>
      <c r="M244" s="219"/>
      <c r="N244" s="219"/>
      <c r="O244" s="219"/>
      <c r="P244" s="219"/>
      <c r="Q244" s="219"/>
      <c r="R244" s="220"/>
    </row>
    <row r="245" spans="1:18" ht="15" customHeight="1" x14ac:dyDescent="0.3">
      <c r="A245" s="26" t="s">
        <v>36</v>
      </c>
      <c r="B245" s="26" t="s">
        <v>1117</v>
      </c>
      <c r="C245" s="26">
        <v>0.6875</v>
      </c>
      <c r="D245" s="26" t="s">
        <v>38</v>
      </c>
      <c r="E245" s="26" t="s">
        <v>54</v>
      </c>
      <c r="F245" s="26" t="s">
        <v>620</v>
      </c>
      <c r="G245" s="328"/>
      <c r="H245" s="218"/>
      <c r="I245" s="219"/>
      <c r="J245" s="219"/>
      <c r="K245" s="219"/>
      <c r="L245" s="219"/>
      <c r="M245" s="219"/>
      <c r="N245" s="219"/>
      <c r="O245" s="219"/>
      <c r="P245" s="219"/>
      <c r="Q245" s="219"/>
      <c r="R245" s="220"/>
    </row>
    <row r="246" spans="1:18" ht="15" customHeight="1" x14ac:dyDescent="0.3">
      <c r="A246" s="10" t="s">
        <v>36</v>
      </c>
      <c r="B246" s="10" t="s">
        <v>1117</v>
      </c>
      <c r="C246" s="10">
        <v>0.6875</v>
      </c>
      <c r="D246" s="10" t="s">
        <v>40</v>
      </c>
      <c r="E246" s="10" t="s">
        <v>161</v>
      </c>
      <c r="F246" s="10" t="s">
        <v>621</v>
      </c>
      <c r="G246" s="328"/>
      <c r="H246" s="218"/>
      <c r="I246" s="219"/>
      <c r="J246" s="219"/>
      <c r="K246" s="219"/>
      <c r="L246" s="219"/>
      <c r="M246" s="219"/>
      <c r="N246" s="219"/>
      <c r="O246" s="219"/>
      <c r="P246" s="219"/>
      <c r="Q246" s="219"/>
      <c r="R246" s="220"/>
    </row>
    <row r="247" spans="1:18" ht="15" customHeight="1" x14ac:dyDescent="0.3">
      <c r="A247" s="10" t="s">
        <v>36</v>
      </c>
      <c r="B247" s="10" t="s">
        <v>1117</v>
      </c>
      <c r="C247" s="10">
        <v>0.6875</v>
      </c>
      <c r="D247" s="10" t="s">
        <v>42</v>
      </c>
      <c r="E247" s="10" t="s">
        <v>161</v>
      </c>
      <c r="F247" s="10" t="s">
        <v>622</v>
      </c>
      <c r="G247" s="328"/>
      <c r="H247" s="218"/>
      <c r="I247" s="219"/>
      <c r="J247" s="219"/>
      <c r="K247" s="219"/>
      <c r="L247" s="219"/>
      <c r="M247" s="219"/>
      <c r="N247" s="219"/>
      <c r="O247" s="219"/>
      <c r="P247" s="219"/>
      <c r="Q247" s="219"/>
      <c r="R247" s="220"/>
    </row>
    <row r="248" spans="1:18" ht="15" customHeight="1" x14ac:dyDescent="0.3">
      <c r="A248" s="26" t="s">
        <v>36</v>
      </c>
      <c r="B248" s="26" t="s">
        <v>1118</v>
      </c>
      <c r="C248" s="26">
        <v>0.42708333333333331</v>
      </c>
      <c r="D248" s="26" t="s">
        <v>38</v>
      </c>
      <c r="E248" s="26" t="s">
        <v>54</v>
      </c>
      <c r="F248" s="26" t="s">
        <v>620</v>
      </c>
      <c r="G248" s="328"/>
      <c r="H248" s="218"/>
      <c r="I248" s="219"/>
      <c r="J248" s="219"/>
      <c r="K248" s="219"/>
      <c r="L248" s="219"/>
      <c r="M248" s="219"/>
      <c r="N248" s="219"/>
      <c r="O248" s="219"/>
      <c r="P248" s="219"/>
      <c r="Q248" s="219"/>
      <c r="R248" s="220"/>
    </row>
    <row r="249" spans="1:18" ht="15" customHeight="1" x14ac:dyDescent="0.3">
      <c r="A249" s="10" t="s">
        <v>36</v>
      </c>
      <c r="B249" s="10" t="s">
        <v>1118</v>
      </c>
      <c r="C249" s="10">
        <v>0.42708333333333331</v>
      </c>
      <c r="D249" s="10" t="s">
        <v>40</v>
      </c>
      <c r="E249" s="10" t="s">
        <v>161</v>
      </c>
      <c r="F249" s="10" t="s">
        <v>621</v>
      </c>
      <c r="G249" s="328"/>
      <c r="H249" s="218"/>
      <c r="I249" s="219"/>
      <c r="J249" s="219"/>
      <c r="K249" s="219"/>
      <c r="L249" s="219"/>
      <c r="M249" s="219"/>
      <c r="N249" s="219"/>
      <c r="O249" s="219"/>
      <c r="P249" s="219"/>
      <c r="Q249" s="219"/>
      <c r="R249" s="220"/>
    </row>
    <row r="250" spans="1:18" ht="15" customHeight="1" x14ac:dyDescent="0.3">
      <c r="A250" s="10" t="s">
        <v>36</v>
      </c>
      <c r="B250" s="10" t="s">
        <v>1118</v>
      </c>
      <c r="C250" s="10">
        <v>0.42708333333333331</v>
      </c>
      <c r="D250" s="10" t="s">
        <v>42</v>
      </c>
      <c r="E250" s="10" t="s">
        <v>161</v>
      </c>
      <c r="F250" s="10" t="s">
        <v>622</v>
      </c>
      <c r="G250" s="328"/>
      <c r="H250" s="218"/>
      <c r="I250" s="219"/>
      <c r="J250" s="219"/>
      <c r="K250" s="219"/>
      <c r="L250" s="219"/>
      <c r="M250" s="219"/>
      <c r="N250" s="219"/>
      <c r="O250" s="219"/>
      <c r="P250" s="219"/>
      <c r="Q250" s="219"/>
      <c r="R250" s="220"/>
    </row>
    <row r="251" spans="1:18" ht="15" customHeight="1" x14ac:dyDescent="0.3">
      <c r="A251" s="11" t="s">
        <v>66</v>
      </c>
      <c r="B251" s="11" t="s">
        <v>1126</v>
      </c>
      <c r="C251" s="11">
        <v>0.16666666666666671</v>
      </c>
      <c r="D251" s="11" t="s">
        <v>829</v>
      </c>
      <c r="E251" s="11" t="s">
        <v>47</v>
      </c>
      <c r="F251" s="11" t="s">
        <v>657</v>
      </c>
      <c r="G251" s="328"/>
      <c r="H251" s="218"/>
      <c r="I251" s="219"/>
      <c r="J251" s="219"/>
      <c r="K251" s="219"/>
      <c r="L251" s="219"/>
      <c r="M251" s="219"/>
      <c r="N251" s="219"/>
      <c r="O251" s="219"/>
      <c r="P251" s="219"/>
      <c r="Q251" s="219"/>
      <c r="R251" s="220"/>
    </row>
    <row r="252" spans="1:18" ht="15" customHeight="1" x14ac:dyDescent="0.3">
      <c r="A252" s="26" t="s">
        <v>66</v>
      </c>
      <c r="B252" s="26" t="s">
        <v>1130</v>
      </c>
      <c r="C252" s="26">
        <v>0.91666666666666663</v>
      </c>
      <c r="D252" s="26" t="s">
        <v>829</v>
      </c>
      <c r="E252" s="26" t="s">
        <v>71</v>
      </c>
      <c r="F252" s="26" t="s">
        <v>1185</v>
      </c>
      <c r="G252" s="328"/>
      <c r="H252" s="218"/>
      <c r="I252" s="219"/>
      <c r="J252" s="219"/>
      <c r="K252" s="219"/>
      <c r="L252" s="219"/>
      <c r="M252" s="219"/>
      <c r="N252" s="219"/>
      <c r="O252" s="219"/>
      <c r="P252" s="219"/>
      <c r="Q252" s="219"/>
      <c r="R252" s="220"/>
    </row>
    <row r="253" spans="1:18" ht="15" customHeight="1" x14ac:dyDescent="0.3">
      <c r="A253" s="26" t="s">
        <v>66</v>
      </c>
      <c r="B253" s="26" t="s">
        <v>1128</v>
      </c>
      <c r="C253" s="26">
        <v>0.54166666666666663</v>
      </c>
      <c r="D253" s="26" t="s">
        <v>68</v>
      </c>
      <c r="E253" s="26" t="s">
        <v>71</v>
      </c>
      <c r="F253" s="26" t="s">
        <v>1186</v>
      </c>
      <c r="G253" s="328"/>
      <c r="H253" s="218"/>
      <c r="I253" s="219"/>
      <c r="J253" s="219"/>
      <c r="K253" s="219"/>
      <c r="L253" s="219"/>
      <c r="M253" s="219"/>
      <c r="N253" s="219"/>
      <c r="O253" s="219"/>
      <c r="P253" s="219"/>
      <c r="Q253" s="219"/>
      <c r="R253" s="220"/>
    </row>
    <row r="254" spans="1:18" ht="15" customHeight="1" x14ac:dyDescent="0.3">
      <c r="A254" s="44" t="s">
        <v>44</v>
      </c>
      <c r="B254" s="44" t="s">
        <v>1154</v>
      </c>
      <c r="C254" s="44">
        <v>0.61111111111111105</v>
      </c>
      <c r="D254" s="44" t="s">
        <v>46</v>
      </c>
      <c r="E254" s="44" t="s">
        <v>29</v>
      </c>
      <c r="F254" s="44" t="s">
        <v>623</v>
      </c>
      <c r="G254" s="328"/>
      <c r="H254" s="244" t="s">
        <v>1155</v>
      </c>
      <c r="I254" s="263">
        <v>0.49399999999999999</v>
      </c>
      <c r="J254" s="246">
        <v>83</v>
      </c>
      <c r="K254" s="247" t="s">
        <v>175</v>
      </c>
      <c r="L254" s="246">
        <v>32</v>
      </c>
      <c r="M254" s="246">
        <v>6</v>
      </c>
      <c r="N254" s="246">
        <v>3</v>
      </c>
      <c r="O254" s="247" t="s">
        <v>263</v>
      </c>
      <c r="P254" s="247">
        <v>0.61111111111111105</v>
      </c>
      <c r="Q254" s="246">
        <v>168</v>
      </c>
      <c r="R254" s="248" t="s">
        <v>1187</v>
      </c>
    </row>
    <row r="255" spans="1:18" ht="15" customHeight="1" x14ac:dyDescent="0.3">
      <c r="A255" s="11" t="s">
        <v>410</v>
      </c>
      <c r="B255" s="11" t="s">
        <v>1188</v>
      </c>
      <c r="C255" s="11">
        <v>0.72222222222222221</v>
      </c>
      <c r="D255" s="11" t="s">
        <v>46</v>
      </c>
      <c r="E255" s="11" t="s">
        <v>129</v>
      </c>
      <c r="F255" s="11" t="s">
        <v>1158</v>
      </c>
      <c r="G255" s="328"/>
      <c r="H255" s="218"/>
      <c r="I255" s="219"/>
      <c r="J255" s="219"/>
      <c r="K255" s="219"/>
      <c r="L255" s="219"/>
      <c r="M255" s="219"/>
      <c r="N255" s="219"/>
      <c r="O255" s="219"/>
      <c r="P255" s="219"/>
      <c r="Q255" s="219"/>
      <c r="R255" s="220"/>
    </row>
    <row r="256" spans="1:18" ht="15" customHeight="1" x14ac:dyDescent="0.3">
      <c r="A256" s="26" t="s">
        <v>410</v>
      </c>
      <c r="B256" s="26" t="s">
        <v>1189</v>
      </c>
      <c r="C256" s="26">
        <v>0.20833333333333329</v>
      </c>
      <c r="D256" s="26" t="s">
        <v>46</v>
      </c>
      <c r="E256" s="26" t="s">
        <v>71</v>
      </c>
      <c r="F256" s="26" t="s">
        <v>1158</v>
      </c>
      <c r="G256" s="328"/>
      <c r="H256" s="218"/>
      <c r="I256" s="219"/>
      <c r="J256" s="219"/>
      <c r="K256" s="219"/>
      <c r="L256" s="219"/>
      <c r="M256" s="219"/>
      <c r="N256" s="219"/>
      <c r="O256" s="219"/>
      <c r="P256" s="219"/>
      <c r="Q256" s="219"/>
      <c r="R256" s="220"/>
    </row>
    <row r="257" spans="1:18" ht="15" customHeight="1" x14ac:dyDescent="0.3">
      <c r="A257" s="26" t="s">
        <v>410</v>
      </c>
      <c r="B257" s="26" t="s">
        <v>1167</v>
      </c>
      <c r="C257" s="26">
        <v>0.35416666666666669</v>
      </c>
      <c r="D257" s="26" t="s">
        <v>46</v>
      </c>
      <c r="E257" s="26" t="s">
        <v>71</v>
      </c>
      <c r="F257" s="26" t="s">
        <v>1158</v>
      </c>
      <c r="G257" s="328"/>
      <c r="H257" s="218"/>
      <c r="I257" s="219"/>
      <c r="J257" s="219"/>
      <c r="K257" s="219"/>
      <c r="L257" s="219"/>
      <c r="M257" s="219"/>
      <c r="N257" s="219"/>
      <c r="O257" s="219"/>
      <c r="P257" s="219"/>
      <c r="Q257" s="219"/>
      <c r="R257" s="220"/>
    </row>
    <row r="258" spans="1:18" ht="15" customHeight="1" x14ac:dyDescent="0.3">
      <c r="A258" s="11" t="s">
        <v>78</v>
      </c>
      <c r="B258" s="11" t="s">
        <v>1135</v>
      </c>
      <c r="C258" s="11">
        <v>0.2986111111111111</v>
      </c>
      <c r="D258" s="11" t="s">
        <v>80</v>
      </c>
      <c r="E258" s="11" t="s">
        <v>47</v>
      </c>
      <c r="F258" s="11" t="s">
        <v>1132</v>
      </c>
      <c r="G258" s="328"/>
      <c r="H258" s="218"/>
      <c r="I258" s="219"/>
      <c r="J258" s="219"/>
      <c r="K258" s="219"/>
      <c r="L258" s="219"/>
      <c r="M258" s="219"/>
      <c r="N258" s="219"/>
      <c r="O258" s="219"/>
      <c r="P258" s="219"/>
      <c r="Q258" s="219"/>
      <c r="R258" s="220"/>
    </row>
    <row r="259" spans="1:18" ht="15" customHeight="1" x14ac:dyDescent="0.3">
      <c r="A259" s="10" t="s">
        <v>78</v>
      </c>
      <c r="B259" s="10" t="s">
        <v>1135</v>
      </c>
      <c r="C259" s="10">
        <v>0.2986111111111111</v>
      </c>
      <c r="D259" s="10" t="s">
        <v>83</v>
      </c>
      <c r="E259" s="10" t="s">
        <v>95</v>
      </c>
      <c r="F259" s="10" t="s">
        <v>1133</v>
      </c>
      <c r="G259" s="328"/>
      <c r="H259" s="218"/>
      <c r="I259" s="219"/>
      <c r="J259" s="219"/>
      <c r="K259" s="219"/>
      <c r="L259" s="219"/>
      <c r="M259" s="219"/>
      <c r="N259" s="219"/>
      <c r="O259" s="219"/>
      <c r="P259" s="219"/>
      <c r="Q259" s="219"/>
      <c r="R259" s="220"/>
    </row>
    <row r="260" spans="1:18" ht="15" customHeight="1" x14ac:dyDescent="0.3">
      <c r="A260" s="26" t="s">
        <v>78</v>
      </c>
      <c r="B260" s="26" t="s">
        <v>1136</v>
      </c>
      <c r="C260" s="26">
        <v>0.4826388888888889</v>
      </c>
      <c r="D260" s="26" t="s">
        <v>80</v>
      </c>
      <c r="E260" s="26" t="s">
        <v>71</v>
      </c>
      <c r="F260" s="26" t="s">
        <v>1132</v>
      </c>
      <c r="G260" s="328"/>
      <c r="H260" s="218"/>
      <c r="I260" s="219"/>
      <c r="J260" s="219"/>
      <c r="K260" s="219"/>
      <c r="L260" s="219"/>
      <c r="M260" s="219"/>
      <c r="N260" s="219"/>
      <c r="O260" s="219"/>
      <c r="P260" s="219"/>
      <c r="Q260" s="219"/>
      <c r="R260" s="220"/>
    </row>
    <row r="261" spans="1:18" ht="15" customHeight="1" x14ac:dyDescent="0.3">
      <c r="A261" s="10" t="s">
        <v>78</v>
      </c>
      <c r="B261" s="10" t="s">
        <v>1136</v>
      </c>
      <c r="C261" s="10">
        <v>0.4826388888888889</v>
      </c>
      <c r="D261" s="10" t="s">
        <v>83</v>
      </c>
      <c r="E261" s="10" t="s">
        <v>95</v>
      </c>
      <c r="F261" s="10" t="s">
        <v>1133</v>
      </c>
      <c r="G261" s="328"/>
      <c r="H261" s="218"/>
      <c r="I261" s="219"/>
      <c r="J261" s="219"/>
      <c r="K261" s="219"/>
      <c r="L261" s="219"/>
      <c r="M261" s="219"/>
      <c r="N261" s="219"/>
      <c r="O261" s="219"/>
      <c r="P261" s="219"/>
      <c r="Q261" s="219"/>
      <c r="R261" s="220"/>
    </row>
    <row r="262" spans="1:18" ht="15" customHeight="1" x14ac:dyDescent="0.3">
      <c r="A262" s="26" t="s">
        <v>78</v>
      </c>
      <c r="B262" s="26" t="s">
        <v>1137</v>
      </c>
      <c r="C262" s="26">
        <v>0.83680555555555547</v>
      </c>
      <c r="D262" s="26" t="s">
        <v>80</v>
      </c>
      <c r="E262" s="26" t="s">
        <v>71</v>
      </c>
      <c r="F262" s="26" t="s">
        <v>1138</v>
      </c>
      <c r="G262" s="328"/>
      <c r="H262" s="218"/>
      <c r="I262" s="219"/>
      <c r="J262" s="219"/>
      <c r="K262" s="219"/>
      <c r="L262" s="219"/>
      <c r="M262" s="219"/>
      <c r="N262" s="219"/>
      <c r="O262" s="219"/>
      <c r="P262" s="219"/>
      <c r="Q262" s="219"/>
      <c r="R262" s="220"/>
    </row>
    <row r="263" spans="1:18" ht="15" customHeight="1" x14ac:dyDescent="0.3">
      <c r="A263" s="10" t="s">
        <v>78</v>
      </c>
      <c r="B263" s="10" t="s">
        <v>1137</v>
      </c>
      <c r="C263" s="10">
        <v>0.83680555555555547</v>
      </c>
      <c r="D263" s="10" t="s">
        <v>83</v>
      </c>
      <c r="E263" s="10" t="s">
        <v>95</v>
      </c>
      <c r="F263" s="10" t="s">
        <v>1139</v>
      </c>
      <c r="G263" s="328"/>
      <c r="H263" s="218"/>
      <c r="I263" s="219"/>
      <c r="J263" s="219"/>
      <c r="K263" s="219"/>
      <c r="L263" s="219"/>
      <c r="M263" s="219"/>
      <c r="N263" s="219"/>
      <c r="O263" s="219"/>
      <c r="P263" s="219"/>
      <c r="Q263" s="219"/>
      <c r="R263" s="220"/>
    </row>
    <row r="264" spans="1:18" ht="15" customHeight="1" x14ac:dyDescent="0.3">
      <c r="A264" s="26" t="s">
        <v>78</v>
      </c>
      <c r="B264" s="26" t="s">
        <v>1134</v>
      </c>
      <c r="C264" s="26">
        <v>0.68402777777777779</v>
      </c>
      <c r="D264" s="26" t="s">
        <v>80</v>
      </c>
      <c r="E264" s="26" t="s">
        <v>71</v>
      </c>
      <c r="F264" s="26" t="s">
        <v>1138</v>
      </c>
      <c r="G264" s="328"/>
      <c r="H264" s="218"/>
      <c r="I264" s="219"/>
      <c r="J264" s="219"/>
      <c r="K264" s="219"/>
      <c r="L264" s="219"/>
      <c r="M264" s="219"/>
      <c r="N264" s="219"/>
      <c r="O264" s="219"/>
      <c r="P264" s="219"/>
      <c r="Q264" s="219"/>
      <c r="R264" s="220"/>
    </row>
    <row r="265" spans="1:18" ht="15" customHeight="1" x14ac:dyDescent="0.3">
      <c r="A265" s="10" t="s">
        <v>78</v>
      </c>
      <c r="B265" s="10" t="s">
        <v>1134</v>
      </c>
      <c r="C265" s="10">
        <v>0.68402777777777779</v>
      </c>
      <c r="D265" s="10" t="s">
        <v>83</v>
      </c>
      <c r="E265" s="10" t="s">
        <v>95</v>
      </c>
      <c r="F265" s="10" t="s">
        <v>1139</v>
      </c>
      <c r="G265" s="328"/>
      <c r="H265" s="218"/>
      <c r="I265" s="219"/>
      <c r="J265" s="219"/>
      <c r="K265" s="219"/>
      <c r="L265" s="219"/>
      <c r="M265" s="219"/>
      <c r="N265" s="219"/>
      <c r="O265" s="219"/>
      <c r="P265" s="219"/>
      <c r="Q265" s="219"/>
      <c r="R265" s="220"/>
    </row>
    <row r="266" spans="1:18" ht="15" customHeight="1" x14ac:dyDescent="0.3">
      <c r="A266" s="26" t="s">
        <v>78</v>
      </c>
      <c r="B266" s="26" t="s">
        <v>1140</v>
      </c>
      <c r="C266" s="26">
        <v>0.5</v>
      </c>
      <c r="D266" s="26" t="s">
        <v>83</v>
      </c>
      <c r="E266" s="26" t="s">
        <v>87</v>
      </c>
      <c r="F266" s="26" t="s">
        <v>1141</v>
      </c>
      <c r="G266" s="328"/>
      <c r="H266" s="218"/>
      <c r="I266" s="219"/>
      <c r="J266" s="219"/>
      <c r="K266" s="219"/>
      <c r="L266" s="219"/>
      <c r="M266" s="219"/>
      <c r="N266" s="219"/>
      <c r="O266" s="219"/>
      <c r="P266" s="219"/>
      <c r="Q266" s="219"/>
      <c r="R266" s="220"/>
    </row>
    <row r="267" spans="1:18" ht="15" customHeight="1" x14ac:dyDescent="0.3">
      <c r="A267" s="26" t="s">
        <v>78</v>
      </c>
      <c r="B267" s="26" t="s">
        <v>1142</v>
      </c>
      <c r="C267" s="26">
        <v>0.76041666666666663</v>
      </c>
      <c r="D267" s="26" t="s">
        <v>83</v>
      </c>
      <c r="E267" s="26" t="s">
        <v>87</v>
      </c>
      <c r="F267" s="26" t="s">
        <v>1141</v>
      </c>
      <c r="G267" s="328"/>
      <c r="H267" s="218"/>
      <c r="I267" s="219"/>
      <c r="J267" s="219"/>
      <c r="K267" s="219"/>
      <c r="L267" s="219"/>
      <c r="M267" s="219"/>
      <c r="N267" s="219"/>
      <c r="O267" s="219"/>
      <c r="P267" s="219"/>
      <c r="Q267" s="219"/>
      <c r="R267" s="220"/>
    </row>
    <row r="268" spans="1:18" ht="15" customHeight="1" x14ac:dyDescent="0.3">
      <c r="A268" s="31" t="s">
        <v>78</v>
      </c>
      <c r="B268" s="31" t="s">
        <v>1143</v>
      </c>
      <c r="C268" s="31">
        <v>0.81597222222222221</v>
      </c>
      <c r="D268" s="31" t="s">
        <v>83</v>
      </c>
      <c r="E268" s="31" t="s">
        <v>87</v>
      </c>
      <c r="F268" s="31" t="s">
        <v>1141</v>
      </c>
      <c r="G268" s="328"/>
      <c r="H268" s="231"/>
      <c r="I268" s="232"/>
      <c r="J268" s="232"/>
      <c r="K268" s="232"/>
      <c r="L268" s="232"/>
      <c r="M268" s="232"/>
      <c r="N268" s="232"/>
      <c r="O268" s="232"/>
      <c r="P268" s="232"/>
      <c r="Q268" s="232"/>
      <c r="R268" s="233"/>
    </row>
    <row r="269" spans="1:18" ht="17.399999999999999" customHeight="1" x14ac:dyDescent="0.3">
      <c r="A269" s="360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2"/>
    </row>
    <row r="270" spans="1:18" ht="22.05" customHeight="1" x14ac:dyDescent="0.3">
      <c r="A270" s="323" t="s">
        <v>6</v>
      </c>
      <c r="B270" s="324"/>
      <c r="C270" s="324"/>
      <c r="D270" s="324"/>
      <c r="E270" s="324"/>
      <c r="F270" s="324"/>
      <c r="G270" s="2">
        <v>45991</v>
      </c>
      <c r="H270" s="323" t="s">
        <v>7</v>
      </c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</row>
    <row r="271" spans="1:18" ht="24" customHeight="1" x14ac:dyDescent="0.3">
      <c r="A271" s="3" t="s">
        <v>8</v>
      </c>
      <c r="B271" s="3" t="s">
        <v>9</v>
      </c>
      <c r="C271" s="3" t="s">
        <v>10</v>
      </c>
      <c r="D271" s="3" t="s">
        <v>11</v>
      </c>
      <c r="E271" s="3" t="s">
        <v>12</v>
      </c>
      <c r="F271" s="4" t="s">
        <v>13</v>
      </c>
      <c r="G271" s="5" t="s">
        <v>14</v>
      </c>
      <c r="H271" s="3" t="s">
        <v>15</v>
      </c>
      <c r="I271" s="3" t="s">
        <v>16</v>
      </c>
      <c r="J271" s="3" t="s">
        <v>17</v>
      </c>
      <c r="K271" s="3" t="s">
        <v>18</v>
      </c>
      <c r="L271" s="3" t="s">
        <v>19</v>
      </c>
      <c r="M271" s="3" t="s">
        <v>20</v>
      </c>
      <c r="N271" s="3" t="s">
        <v>21</v>
      </c>
      <c r="O271" s="3" t="s">
        <v>22</v>
      </c>
      <c r="P271" s="3" t="s">
        <v>23</v>
      </c>
      <c r="Q271" s="3" t="s">
        <v>24</v>
      </c>
      <c r="R271" s="3" t="s">
        <v>25</v>
      </c>
    </row>
    <row r="272" spans="1:18" ht="15" customHeight="1" x14ac:dyDescent="0.3">
      <c r="A272" s="6" t="s">
        <v>26</v>
      </c>
      <c r="B272" s="6" t="s">
        <v>1099</v>
      </c>
      <c r="C272" s="6">
        <v>0.76041666666666663</v>
      </c>
      <c r="D272" s="6" t="s">
        <v>28</v>
      </c>
      <c r="E272" s="6" t="s">
        <v>1190</v>
      </c>
      <c r="F272" s="6" t="s">
        <v>1101</v>
      </c>
      <c r="G272" s="335"/>
      <c r="H272" s="218"/>
      <c r="I272" s="219"/>
      <c r="J272" s="219"/>
      <c r="K272" s="219"/>
      <c r="L272" s="219"/>
      <c r="M272" s="219"/>
      <c r="N272" s="219"/>
      <c r="O272" s="219"/>
      <c r="P272" s="219"/>
      <c r="Q272" s="219"/>
      <c r="R272" s="220"/>
    </row>
    <row r="273" spans="1:18" ht="15" customHeight="1" x14ac:dyDescent="0.3">
      <c r="A273" s="10" t="s">
        <v>26</v>
      </c>
      <c r="B273" s="10" t="s">
        <v>1099</v>
      </c>
      <c r="C273" s="10">
        <v>0.76041666666666663</v>
      </c>
      <c r="D273" s="10" t="s">
        <v>31</v>
      </c>
      <c r="E273" s="10" t="s">
        <v>1109</v>
      </c>
      <c r="F273" s="10" t="s">
        <v>530</v>
      </c>
      <c r="G273" s="328"/>
      <c r="H273" s="218"/>
      <c r="I273" s="219"/>
      <c r="J273" s="219"/>
      <c r="K273" s="219"/>
      <c r="L273" s="219"/>
      <c r="M273" s="219"/>
      <c r="N273" s="219"/>
      <c r="O273" s="219"/>
      <c r="P273" s="219"/>
      <c r="Q273" s="219"/>
      <c r="R273" s="220"/>
    </row>
    <row r="274" spans="1:18" ht="15" customHeight="1" x14ac:dyDescent="0.3">
      <c r="A274" s="10" t="s">
        <v>26</v>
      </c>
      <c r="B274" s="10" t="s">
        <v>1099</v>
      </c>
      <c r="C274" s="10">
        <v>0.76041666666666663</v>
      </c>
      <c r="D274" s="10" t="s">
        <v>34</v>
      </c>
      <c r="E274" s="10" t="s">
        <v>1109</v>
      </c>
      <c r="F274" s="10" t="s">
        <v>1103</v>
      </c>
      <c r="G274" s="328"/>
      <c r="H274" s="218"/>
      <c r="I274" s="219"/>
      <c r="J274" s="219"/>
      <c r="K274" s="219"/>
      <c r="L274" s="219"/>
      <c r="M274" s="219"/>
      <c r="N274" s="219"/>
      <c r="O274" s="219"/>
      <c r="P274" s="219"/>
      <c r="Q274" s="219"/>
      <c r="R274" s="220"/>
    </row>
    <row r="275" spans="1:18" ht="15" customHeight="1" x14ac:dyDescent="0.3">
      <c r="A275" s="26" t="s">
        <v>26</v>
      </c>
      <c r="B275" s="26" t="s">
        <v>1104</v>
      </c>
      <c r="C275" s="26">
        <v>0.5</v>
      </c>
      <c r="D275" s="26" t="s">
        <v>28</v>
      </c>
      <c r="E275" s="26" t="s">
        <v>599</v>
      </c>
      <c r="F275" s="26" t="s">
        <v>1101</v>
      </c>
      <c r="G275" s="328"/>
      <c r="H275" s="218"/>
      <c r="I275" s="219"/>
      <c r="J275" s="219"/>
      <c r="K275" s="219"/>
      <c r="L275" s="219"/>
      <c r="M275" s="219"/>
      <c r="N275" s="219"/>
      <c r="O275" s="219"/>
      <c r="P275" s="219"/>
      <c r="Q275" s="219"/>
      <c r="R275" s="220"/>
    </row>
    <row r="276" spans="1:18" ht="15" customHeight="1" x14ac:dyDescent="0.3">
      <c r="A276" s="10" t="s">
        <v>26</v>
      </c>
      <c r="B276" s="10" t="s">
        <v>1104</v>
      </c>
      <c r="C276" s="10">
        <v>0.5</v>
      </c>
      <c r="D276" s="10" t="s">
        <v>31</v>
      </c>
      <c r="E276" s="10" t="s">
        <v>600</v>
      </c>
      <c r="F276" s="10" t="s">
        <v>530</v>
      </c>
      <c r="G276" s="328"/>
      <c r="H276" s="218"/>
      <c r="I276" s="219"/>
      <c r="J276" s="219"/>
      <c r="K276" s="219"/>
      <c r="L276" s="219"/>
      <c r="M276" s="219"/>
      <c r="N276" s="219"/>
      <c r="O276" s="219"/>
      <c r="P276" s="219"/>
      <c r="Q276" s="219"/>
      <c r="R276" s="220"/>
    </row>
    <row r="277" spans="1:18" ht="15" customHeight="1" x14ac:dyDescent="0.3">
      <c r="A277" s="10" t="s">
        <v>26</v>
      </c>
      <c r="B277" s="10" t="s">
        <v>1104</v>
      </c>
      <c r="C277" s="10">
        <v>0.5</v>
      </c>
      <c r="D277" s="10" t="s">
        <v>34</v>
      </c>
      <c r="E277" s="10" t="s">
        <v>600</v>
      </c>
      <c r="F277" s="10" t="s">
        <v>1103</v>
      </c>
      <c r="G277" s="328"/>
      <c r="H277" s="218"/>
      <c r="I277" s="219"/>
      <c r="J277" s="219"/>
      <c r="K277" s="219"/>
      <c r="L277" s="219"/>
      <c r="M277" s="219"/>
      <c r="N277" s="219"/>
      <c r="O277" s="219"/>
      <c r="P277" s="219"/>
      <c r="Q277" s="219"/>
      <c r="R277" s="220"/>
    </row>
    <row r="278" spans="1:18" ht="15" customHeight="1" x14ac:dyDescent="0.3">
      <c r="A278" s="26" t="s">
        <v>26</v>
      </c>
      <c r="B278" s="26" t="s">
        <v>1107</v>
      </c>
      <c r="C278" s="26">
        <v>0.44791666666666669</v>
      </c>
      <c r="D278" s="26" t="s">
        <v>28</v>
      </c>
      <c r="E278" s="26" t="s">
        <v>1191</v>
      </c>
      <c r="F278" s="26" t="s">
        <v>1101</v>
      </c>
      <c r="G278" s="328"/>
      <c r="H278" s="218"/>
      <c r="I278" s="219"/>
      <c r="J278" s="219"/>
      <c r="K278" s="219"/>
      <c r="L278" s="219"/>
      <c r="M278" s="219"/>
      <c r="N278" s="219"/>
      <c r="O278" s="219"/>
      <c r="P278" s="219"/>
      <c r="Q278" s="219"/>
      <c r="R278" s="220"/>
    </row>
    <row r="279" spans="1:18" ht="15" customHeight="1" x14ac:dyDescent="0.3">
      <c r="A279" s="10" t="s">
        <v>26</v>
      </c>
      <c r="B279" s="10" t="s">
        <v>1107</v>
      </c>
      <c r="C279" s="10">
        <v>0.44791666666666669</v>
      </c>
      <c r="D279" s="10" t="s">
        <v>31</v>
      </c>
      <c r="E279" s="10" t="s">
        <v>640</v>
      </c>
      <c r="F279" s="10" t="s">
        <v>530</v>
      </c>
      <c r="G279" s="328"/>
      <c r="H279" s="218"/>
      <c r="I279" s="219"/>
      <c r="J279" s="219"/>
      <c r="K279" s="219"/>
      <c r="L279" s="219"/>
      <c r="M279" s="219"/>
      <c r="N279" s="219"/>
      <c r="O279" s="219"/>
      <c r="P279" s="219"/>
      <c r="Q279" s="219"/>
      <c r="R279" s="220"/>
    </row>
    <row r="280" spans="1:18" ht="15" customHeight="1" x14ac:dyDescent="0.3">
      <c r="A280" s="10" t="s">
        <v>26</v>
      </c>
      <c r="B280" s="10" t="s">
        <v>1107</v>
      </c>
      <c r="C280" s="10">
        <v>0.44791666666666669</v>
      </c>
      <c r="D280" s="10" t="s">
        <v>34</v>
      </c>
      <c r="E280" s="10" t="s">
        <v>640</v>
      </c>
      <c r="F280" s="10" t="s">
        <v>1103</v>
      </c>
      <c r="G280" s="328"/>
      <c r="H280" s="218"/>
      <c r="I280" s="219"/>
      <c r="J280" s="219"/>
      <c r="K280" s="219"/>
      <c r="L280" s="219"/>
      <c r="M280" s="219"/>
      <c r="N280" s="219"/>
      <c r="O280" s="219"/>
      <c r="P280" s="219"/>
      <c r="Q280" s="219"/>
      <c r="R280" s="220"/>
    </row>
    <row r="281" spans="1:18" ht="15" customHeight="1" x14ac:dyDescent="0.3">
      <c r="A281" s="26" t="s">
        <v>26</v>
      </c>
      <c r="B281" s="26" t="s">
        <v>1110</v>
      </c>
      <c r="C281" s="26">
        <v>0.81597222222222221</v>
      </c>
      <c r="D281" s="26" t="s">
        <v>28</v>
      </c>
      <c r="E281" s="26" t="s">
        <v>113</v>
      </c>
      <c r="F281" s="26" t="s">
        <v>1101</v>
      </c>
      <c r="G281" s="328"/>
      <c r="H281" s="218"/>
      <c r="I281" s="219"/>
      <c r="J281" s="219"/>
      <c r="K281" s="219"/>
      <c r="L281" s="219"/>
      <c r="M281" s="219"/>
      <c r="N281" s="219"/>
      <c r="O281" s="219"/>
      <c r="P281" s="219"/>
      <c r="Q281" s="219"/>
      <c r="R281" s="220"/>
    </row>
    <row r="282" spans="1:18" ht="15" customHeight="1" x14ac:dyDescent="0.3">
      <c r="A282" s="10" t="s">
        <v>26</v>
      </c>
      <c r="B282" s="10" t="s">
        <v>1110</v>
      </c>
      <c r="C282" s="10">
        <v>0.81597222222222221</v>
      </c>
      <c r="D282" s="10" t="s">
        <v>31</v>
      </c>
      <c r="E282" s="10" t="s">
        <v>136</v>
      </c>
      <c r="F282" s="10" t="s">
        <v>530</v>
      </c>
      <c r="G282" s="328"/>
      <c r="H282" s="218"/>
      <c r="I282" s="219"/>
      <c r="J282" s="219"/>
      <c r="K282" s="219"/>
      <c r="L282" s="219"/>
      <c r="M282" s="219"/>
      <c r="N282" s="219"/>
      <c r="O282" s="219"/>
      <c r="P282" s="219"/>
      <c r="Q282" s="219"/>
      <c r="R282" s="220"/>
    </row>
    <row r="283" spans="1:18" ht="15" customHeight="1" x14ac:dyDescent="0.3">
      <c r="A283" s="10" t="s">
        <v>26</v>
      </c>
      <c r="B283" s="10" t="s">
        <v>1110</v>
      </c>
      <c r="C283" s="10">
        <v>0.81597222222222221</v>
      </c>
      <c r="D283" s="10" t="s">
        <v>34</v>
      </c>
      <c r="E283" s="10" t="s">
        <v>136</v>
      </c>
      <c r="F283" s="10" t="s">
        <v>1103</v>
      </c>
      <c r="G283" s="328"/>
      <c r="H283" s="218"/>
      <c r="I283" s="219"/>
      <c r="J283" s="219"/>
      <c r="K283" s="219"/>
      <c r="L283" s="219"/>
      <c r="M283" s="219"/>
      <c r="N283" s="219"/>
      <c r="O283" s="219"/>
      <c r="P283" s="219"/>
      <c r="Q283" s="219"/>
      <c r="R283" s="220"/>
    </row>
    <row r="284" spans="1:18" ht="15" customHeight="1" x14ac:dyDescent="0.3">
      <c r="A284" s="11" t="s">
        <v>36</v>
      </c>
      <c r="B284" s="11" t="s">
        <v>1114</v>
      </c>
      <c r="C284" s="11">
        <v>0.375</v>
      </c>
      <c r="D284" s="11" t="s">
        <v>38</v>
      </c>
      <c r="E284" s="11" t="s">
        <v>314</v>
      </c>
      <c r="F284" s="11" t="s">
        <v>664</v>
      </c>
      <c r="G284" s="328"/>
      <c r="H284" s="218"/>
      <c r="I284" s="219"/>
      <c r="J284" s="219"/>
      <c r="K284" s="219"/>
      <c r="L284" s="219"/>
      <c r="M284" s="219"/>
      <c r="N284" s="219"/>
      <c r="O284" s="219"/>
      <c r="P284" s="219"/>
      <c r="Q284" s="219"/>
      <c r="R284" s="220"/>
    </row>
    <row r="285" spans="1:18" ht="15" customHeight="1" x14ac:dyDescent="0.3">
      <c r="A285" s="10" t="s">
        <v>36</v>
      </c>
      <c r="B285" s="10" t="s">
        <v>1114</v>
      </c>
      <c r="C285" s="10">
        <v>0.375</v>
      </c>
      <c r="D285" s="10" t="s">
        <v>40</v>
      </c>
      <c r="E285" s="10" t="s">
        <v>161</v>
      </c>
      <c r="F285" s="10" t="s">
        <v>515</v>
      </c>
      <c r="G285" s="328"/>
      <c r="H285" s="218"/>
      <c r="I285" s="219"/>
      <c r="J285" s="219"/>
      <c r="K285" s="219"/>
      <c r="L285" s="219"/>
      <c r="M285" s="219"/>
      <c r="N285" s="219"/>
      <c r="O285" s="219"/>
      <c r="P285" s="219"/>
      <c r="Q285" s="219"/>
      <c r="R285" s="220"/>
    </row>
    <row r="286" spans="1:18" ht="15" customHeight="1" x14ac:dyDescent="0.3">
      <c r="A286" s="10" t="s">
        <v>36</v>
      </c>
      <c r="B286" s="10" t="s">
        <v>1114</v>
      </c>
      <c r="C286" s="10">
        <v>0.375</v>
      </c>
      <c r="D286" s="10" t="s">
        <v>42</v>
      </c>
      <c r="E286" s="10" t="s">
        <v>161</v>
      </c>
      <c r="F286" s="10" t="s">
        <v>624</v>
      </c>
      <c r="G286" s="328"/>
      <c r="H286" s="218"/>
      <c r="I286" s="219"/>
      <c r="J286" s="219"/>
      <c r="K286" s="219"/>
      <c r="L286" s="219"/>
      <c r="M286" s="219"/>
      <c r="N286" s="219"/>
      <c r="O286" s="219"/>
      <c r="P286" s="219"/>
      <c r="Q286" s="219"/>
      <c r="R286" s="220"/>
    </row>
    <row r="287" spans="1:18" ht="15" customHeight="1" x14ac:dyDescent="0.3">
      <c r="A287" s="26" t="s">
        <v>36</v>
      </c>
      <c r="B287" s="26" t="s">
        <v>1115</v>
      </c>
      <c r="C287" s="26">
        <v>0.56597222222222221</v>
      </c>
      <c r="D287" s="26" t="s">
        <v>38</v>
      </c>
      <c r="E287" s="26" t="s">
        <v>114</v>
      </c>
      <c r="F287" s="26" t="s">
        <v>664</v>
      </c>
      <c r="G287" s="328"/>
      <c r="H287" s="218"/>
      <c r="I287" s="219"/>
      <c r="J287" s="219"/>
      <c r="K287" s="219"/>
      <c r="L287" s="219"/>
      <c r="M287" s="219"/>
      <c r="N287" s="219"/>
      <c r="O287" s="219"/>
      <c r="P287" s="219"/>
      <c r="Q287" s="219"/>
      <c r="R287" s="220"/>
    </row>
    <row r="288" spans="1:18" ht="15" customHeight="1" x14ac:dyDescent="0.3">
      <c r="A288" s="10" t="s">
        <v>36</v>
      </c>
      <c r="B288" s="10" t="s">
        <v>1115</v>
      </c>
      <c r="C288" s="10">
        <v>0.56597222222222221</v>
      </c>
      <c r="D288" s="10" t="s">
        <v>40</v>
      </c>
      <c r="E288" s="10" t="s">
        <v>115</v>
      </c>
      <c r="F288" s="10" t="s">
        <v>515</v>
      </c>
      <c r="G288" s="328"/>
      <c r="H288" s="218"/>
      <c r="I288" s="219"/>
      <c r="J288" s="219"/>
      <c r="K288" s="219"/>
      <c r="L288" s="219"/>
      <c r="M288" s="219"/>
      <c r="N288" s="219"/>
      <c r="O288" s="219"/>
      <c r="P288" s="219"/>
      <c r="Q288" s="219"/>
      <c r="R288" s="220"/>
    </row>
    <row r="289" spans="1:18" ht="15" customHeight="1" x14ac:dyDescent="0.3">
      <c r="A289" s="10" t="s">
        <v>36</v>
      </c>
      <c r="B289" s="10" t="s">
        <v>1115</v>
      </c>
      <c r="C289" s="10">
        <v>0.56597222222222221</v>
      </c>
      <c r="D289" s="10" t="s">
        <v>42</v>
      </c>
      <c r="E289" s="10" t="s">
        <v>115</v>
      </c>
      <c r="F289" s="10" t="s">
        <v>624</v>
      </c>
      <c r="G289" s="328"/>
      <c r="H289" s="218"/>
      <c r="I289" s="219"/>
      <c r="J289" s="219"/>
      <c r="K289" s="219"/>
      <c r="L289" s="219"/>
      <c r="M289" s="219"/>
      <c r="N289" s="219"/>
      <c r="O289" s="219"/>
      <c r="P289" s="219"/>
      <c r="Q289" s="219"/>
      <c r="R289" s="220"/>
    </row>
    <row r="290" spans="1:18" ht="15" customHeight="1" x14ac:dyDescent="0.3">
      <c r="A290" s="26" t="s">
        <v>36</v>
      </c>
      <c r="B290" s="26" t="s">
        <v>1116</v>
      </c>
      <c r="C290" s="26">
        <v>0.30555555555555552</v>
      </c>
      <c r="D290" s="26" t="s">
        <v>38</v>
      </c>
      <c r="E290" s="26" t="s">
        <v>439</v>
      </c>
      <c r="F290" s="26" t="s">
        <v>664</v>
      </c>
      <c r="G290" s="328"/>
      <c r="H290" s="218"/>
      <c r="I290" s="219"/>
      <c r="J290" s="219"/>
      <c r="K290" s="219"/>
      <c r="L290" s="219"/>
      <c r="M290" s="219"/>
      <c r="N290" s="219"/>
      <c r="O290" s="219"/>
      <c r="P290" s="219"/>
      <c r="Q290" s="219"/>
      <c r="R290" s="220"/>
    </row>
    <row r="291" spans="1:18" ht="15" customHeight="1" x14ac:dyDescent="0.3">
      <c r="A291" s="10" t="s">
        <v>36</v>
      </c>
      <c r="B291" s="10" t="s">
        <v>1116</v>
      </c>
      <c r="C291" s="10">
        <v>0.30555555555555552</v>
      </c>
      <c r="D291" s="10" t="s">
        <v>40</v>
      </c>
      <c r="E291" s="10" t="s">
        <v>124</v>
      </c>
      <c r="F291" s="10" t="s">
        <v>515</v>
      </c>
      <c r="G291" s="328"/>
      <c r="H291" s="218"/>
      <c r="I291" s="219"/>
      <c r="J291" s="219"/>
      <c r="K291" s="219"/>
      <c r="L291" s="219"/>
      <c r="M291" s="219"/>
      <c r="N291" s="219"/>
      <c r="O291" s="219"/>
      <c r="P291" s="219"/>
      <c r="Q291" s="219"/>
      <c r="R291" s="220"/>
    </row>
    <row r="292" spans="1:18" ht="15" customHeight="1" x14ac:dyDescent="0.3">
      <c r="A292" s="10" t="s">
        <v>36</v>
      </c>
      <c r="B292" s="10" t="s">
        <v>1116</v>
      </c>
      <c r="C292" s="10">
        <v>0.30555555555555552</v>
      </c>
      <c r="D292" s="10" t="s">
        <v>42</v>
      </c>
      <c r="E292" s="10" t="s">
        <v>124</v>
      </c>
      <c r="F292" s="10" t="s">
        <v>624</v>
      </c>
      <c r="G292" s="328"/>
      <c r="H292" s="218"/>
      <c r="I292" s="219"/>
      <c r="J292" s="219"/>
      <c r="K292" s="219"/>
      <c r="L292" s="219"/>
      <c r="M292" s="219"/>
      <c r="N292" s="219"/>
      <c r="O292" s="219"/>
      <c r="P292" s="219"/>
      <c r="Q292" s="219"/>
      <c r="R292" s="220"/>
    </row>
    <row r="293" spans="1:18" ht="15" customHeight="1" x14ac:dyDescent="0.3">
      <c r="A293" s="26" t="s">
        <v>36</v>
      </c>
      <c r="B293" s="26" t="s">
        <v>1118</v>
      </c>
      <c r="C293" s="26">
        <v>0.42708333333333331</v>
      </c>
      <c r="D293" s="26" t="s">
        <v>38</v>
      </c>
      <c r="E293" s="26" t="s">
        <v>439</v>
      </c>
      <c r="F293" s="26" t="s">
        <v>664</v>
      </c>
      <c r="G293" s="328"/>
      <c r="H293" s="218"/>
      <c r="I293" s="219"/>
      <c r="J293" s="219"/>
      <c r="K293" s="219"/>
      <c r="L293" s="219"/>
      <c r="M293" s="219"/>
      <c r="N293" s="219"/>
      <c r="O293" s="219"/>
      <c r="P293" s="219"/>
      <c r="Q293" s="219"/>
      <c r="R293" s="220"/>
    </row>
    <row r="294" spans="1:18" ht="15" customHeight="1" x14ac:dyDescent="0.3">
      <c r="A294" s="10" t="s">
        <v>36</v>
      </c>
      <c r="B294" s="10" t="s">
        <v>1118</v>
      </c>
      <c r="C294" s="10">
        <v>0.42708333333333331</v>
      </c>
      <c r="D294" s="10" t="s">
        <v>40</v>
      </c>
      <c r="E294" s="10" t="s">
        <v>124</v>
      </c>
      <c r="F294" s="10" t="s">
        <v>515</v>
      </c>
      <c r="G294" s="328"/>
      <c r="H294" s="218"/>
      <c r="I294" s="219"/>
      <c r="J294" s="219"/>
      <c r="K294" s="219"/>
      <c r="L294" s="219"/>
      <c r="M294" s="219"/>
      <c r="N294" s="219"/>
      <c r="O294" s="219"/>
      <c r="P294" s="219"/>
      <c r="Q294" s="219"/>
      <c r="R294" s="220"/>
    </row>
    <row r="295" spans="1:18" ht="15" customHeight="1" x14ac:dyDescent="0.3">
      <c r="A295" s="10" t="s">
        <v>36</v>
      </c>
      <c r="B295" s="10" t="s">
        <v>1118</v>
      </c>
      <c r="C295" s="10">
        <v>0.42708333333333331</v>
      </c>
      <c r="D295" s="10" t="s">
        <v>42</v>
      </c>
      <c r="E295" s="10" t="s">
        <v>124</v>
      </c>
      <c r="F295" s="10" t="s">
        <v>624</v>
      </c>
      <c r="G295" s="328"/>
      <c r="H295" s="218"/>
      <c r="I295" s="219"/>
      <c r="J295" s="219"/>
      <c r="K295" s="219"/>
      <c r="L295" s="219"/>
      <c r="M295" s="219"/>
      <c r="N295" s="219"/>
      <c r="O295" s="219"/>
      <c r="P295" s="219"/>
      <c r="Q295" s="219"/>
      <c r="R295" s="220"/>
    </row>
    <row r="296" spans="1:18" ht="15" customHeight="1" x14ac:dyDescent="0.3">
      <c r="A296" s="26" t="s">
        <v>36</v>
      </c>
      <c r="B296" s="26" t="s">
        <v>1113</v>
      </c>
      <c r="C296" s="26">
        <v>0.82638888888888884</v>
      </c>
      <c r="D296" s="26" t="s">
        <v>38</v>
      </c>
      <c r="E296" s="26" t="s">
        <v>113</v>
      </c>
      <c r="F296" s="26" t="s">
        <v>620</v>
      </c>
      <c r="G296" s="328"/>
      <c r="H296" s="218"/>
      <c r="I296" s="219"/>
      <c r="J296" s="219"/>
      <c r="K296" s="219"/>
      <c r="L296" s="219"/>
      <c r="M296" s="219"/>
      <c r="N296" s="219"/>
      <c r="O296" s="219"/>
      <c r="P296" s="219"/>
      <c r="Q296" s="219"/>
      <c r="R296" s="220"/>
    </row>
    <row r="297" spans="1:18" ht="15" customHeight="1" x14ac:dyDescent="0.3">
      <c r="A297" s="10" t="s">
        <v>36</v>
      </c>
      <c r="B297" s="10" t="s">
        <v>1113</v>
      </c>
      <c r="C297" s="10">
        <v>0.82638888888888884</v>
      </c>
      <c r="D297" s="10" t="s">
        <v>40</v>
      </c>
      <c r="E297" s="10" t="s">
        <v>136</v>
      </c>
      <c r="F297" s="10" t="s">
        <v>621</v>
      </c>
      <c r="G297" s="328"/>
      <c r="H297" s="218"/>
      <c r="I297" s="219"/>
      <c r="J297" s="219"/>
      <c r="K297" s="219"/>
      <c r="L297" s="219"/>
      <c r="M297" s="219"/>
      <c r="N297" s="219"/>
      <c r="O297" s="219"/>
      <c r="P297" s="219"/>
      <c r="Q297" s="219"/>
      <c r="R297" s="220"/>
    </row>
    <row r="298" spans="1:18" ht="15" customHeight="1" x14ac:dyDescent="0.3">
      <c r="A298" s="10" t="s">
        <v>36</v>
      </c>
      <c r="B298" s="10" t="s">
        <v>1113</v>
      </c>
      <c r="C298" s="10">
        <v>0.82638888888888884</v>
      </c>
      <c r="D298" s="10" t="s">
        <v>42</v>
      </c>
      <c r="E298" s="10" t="s">
        <v>136</v>
      </c>
      <c r="F298" s="10" t="s">
        <v>622</v>
      </c>
      <c r="G298" s="328"/>
      <c r="H298" s="218"/>
      <c r="I298" s="219"/>
      <c r="J298" s="219"/>
      <c r="K298" s="219"/>
      <c r="L298" s="219"/>
      <c r="M298" s="219"/>
      <c r="N298" s="219"/>
      <c r="O298" s="219"/>
      <c r="P298" s="219"/>
      <c r="Q298" s="219"/>
      <c r="R298" s="220"/>
    </row>
    <row r="299" spans="1:18" ht="15" customHeight="1" x14ac:dyDescent="0.3">
      <c r="A299" s="26" t="s">
        <v>36</v>
      </c>
      <c r="B299" s="26" t="s">
        <v>1119</v>
      </c>
      <c r="C299" s="26">
        <v>0.5</v>
      </c>
      <c r="D299" s="26" t="s">
        <v>38</v>
      </c>
      <c r="E299" s="26" t="s">
        <v>54</v>
      </c>
      <c r="F299" s="26" t="s">
        <v>620</v>
      </c>
      <c r="G299" s="328"/>
      <c r="H299" s="218"/>
      <c r="I299" s="219"/>
      <c r="J299" s="219"/>
      <c r="K299" s="219"/>
      <c r="L299" s="219"/>
      <c r="M299" s="219"/>
      <c r="N299" s="219"/>
      <c r="O299" s="219"/>
      <c r="P299" s="219"/>
      <c r="Q299" s="219"/>
      <c r="R299" s="220"/>
    </row>
    <row r="300" spans="1:18" ht="15" customHeight="1" x14ac:dyDescent="0.3">
      <c r="A300" s="10" t="s">
        <v>36</v>
      </c>
      <c r="B300" s="10" t="s">
        <v>1119</v>
      </c>
      <c r="C300" s="10">
        <v>0.5</v>
      </c>
      <c r="D300" s="10" t="s">
        <v>40</v>
      </c>
      <c r="E300" s="10" t="s">
        <v>161</v>
      </c>
      <c r="F300" s="10" t="s">
        <v>621</v>
      </c>
      <c r="G300" s="328"/>
      <c r="H300" s="218"/>
      <c r="I300" s="219"/>
      <c r="J300" s="219"/>
      <c r="K300" s="219"/>
      <c r="L300" s="219"/>
      <c r="M300" s="219"/>
      <c r="N300" s="219"/>
      <c r="O300" s="219"/>
      <c r="P300" s="219"/>
      <c r="Q300" s="219"/>
      <c r="R300" s="220"/>
    </row>
    <row r="301" spans="1:18" ht="15" customHeight="1" x14ac:dyDescent="0.3">
      <c r="A301" s="10" t="s">
        <v>36</v>
      </c>
      <c r="B301" s="10" t="s">
        <v>1119</v>
      </c>
      <c r="C301" s="10">
        <v>0.5</v>
      </c>
      <c r="D301" s="10" t="s">
        <v>42</v>
      </c>
      <c r="E301" s="10" t="s">
        <v>161</v>
      </c>
      <c r="F301" s="10" t="s">
        <v>622</v>
      </c>
      <c r="G301" s="328"/>
      <c r="H301" s="218"/>
      <c r="I301" s="219"/>
      <c r="J301" s="219"/>
      <c r="K301" s="219"/>
      <c r="L301" s="219"/>
      <c r="M301" s="219"/>
      <c r="N301" s="219"/>
      <c r="O301" s="219"/>
      <c r="P301" s="219"/>
      <c r="Q301" s="219"/>
      <c r="R301" s="220"/>
    </row>
    <row r="302" spans="1:18" ht="15" customHeight="1" x14ac:dyDescent="0.3">
      <c r="A302" s="26" t="s">
        <v>36</v>
      </c>
      <c r="B302" s="26" t="s">
        <v>1117</v>
      </c>
      <c r="C302" s="26">
        <v>0.6875</v>
      </c>
      <c r="D302" s="26" t="s">
        <v>38</v>
      </c>
      <c r="E302" s="26" t="s">
        <v>439</v>
      </c>
      <c r="F302" s="26" t="s">
        <v>620</v>
      </c>
      <c r="G302" s="328"/>
      <c r="H302" s="218"/>
      <c r="I302" s="219"/>
      <c r="J302" s="219"/>
      <c r="K302" s="219"/>
      <c r="L302" s="219"/>
      <c r="M302" s="219"/>
      <c r="N302" s="219"/>
      <c r="O302" s="219"/>
      <c r="P302" s="219"/>
      <c r="Q302" s="219"/>
      <c r="R302" s="220"/>
    </row>
    <row r="303" spans="1:18" ht="15" customHeight="1" x14ac:dyDescent="0.3">
      <c r="A303" s="10" t="s">
        <v>36</v>
      </c>
      <c r="B303" s="10" t="s">
        <v>1117</v>
      </c>
      <c r="C303" s="10">
        <v>0.6875</v>
      </c>
      <c r="D303" s="10" t="s">
        <v>40</v>
      </c>
      <c r="E303" s="10" t="s">
        <v>124</v>
      </c>
      <c r="F303" s="10" t="s">
        <v>621</v>
      </c>
      <c r="G303" s="328"/>
      <c r="H303" s="218"/>
      <c r="I303" s="219"/>
      <c r="J303" s="219"/>
      <c r="K303" s="219"/>
      <c r="L303" s="219"/>
      <c r="M303" s="219"/>
      <c r="N303" s="219"/>
      <c r="O303" s="219"/>
      <c r="P303" s="219"/>
      <c r="Q303" s="219"/>
      <c r="R303" s="220"/>
    </row>
    <row r="304" spans="1:18" ht="15" customHeight="1" x14ac:dyDescent="0.3">
      <c r="A304" s="10" t="s">
        <v>36</v>
      </c>
      <c r="B304" s="10" t="s">
        <v>1117</v>
      </c>
      <c r="C304" s="10">
        <v>0.6875</v>
      </c>
      <c r="D304" s="10" t="s">
        <v>42</v>
      </c>
      <c r="E304" s="10" t="s">
        <v>124</v>
      </c>
      <c r="F304" s="10" t="s">
        <v>622</v>
      </c>
      <c r="G304" s="328"/>
      <c r="H304" s="218"/>
      <c r="I304" s="219"/>
      <c r="J304" s="219"/>
      <c r="K304" s="219"/>
      <c r="L304" s="219"/>
      <c r="M304" s="219"/>
      <c r="N304" s="219"/>
      <c r="O304" s="219"/>
      <c r="P304" s="219"/>
      <c r="Q304" s="219"/>
      <c r="R304" s="220"/>
    </row>
    <row r="305" spans="1:18" ht="15" customHeight="1" x14ac:dyDescent="0.3">
      <c r="A305" s="11" t="s">
        <v>404</v>
      </c>
      <c r="B305" s="11" t="s">
        <v>1192</v>
      </c>
      <c r="C305" s="11">
        <v>0.58680555555555558</v>
      </c>
      <c r="D305" s="11" t="s">
        <v>46</v>
      </c>
      <c r="E305" s="11" t="s">
        <v>47</v>
      </c>
      <c r="F305" s="11" t="s">
        <v>657</v>
      </c>
      <c r="G305" s="328"/>
      <c r="H305" s="218"/>
      <c r="I305" s="219"/>
      <c r="J305" s="219"/>
      <c r="K305" s="219"/>
      <c r="L305" s="219"/>
      <c r="M305" s="219"/>
      <c r="N305" s="219"/>
      <c r="O305" s="219"/>
      <c r="P305" s="219"/>
      <c r="Q305" s="219"/>
      <c r="R305" s="220"/>
    </row>
    <row r="306" spans="1:18" ht="15" customHeight="1" x14ac:dyDescent="0.3">
      <c r="A306" s="11" t="s">
        <v>410</v>
      </c>
      <c r="B306" s="11" t="s">
        <v>1193</v>
      </c>
      <c r="C306" s="11">
        <v>0.31597222222222221</v>
      </c>
      <c r="D306" s="11" t="s">
        <v>46</v>
      </c>
      <c r="E306" s="11" t="s">
        <v>134</v>
      </c>
      <c r="F306" s="11" t="s">
        <v>1158</v>
      </c>
      <c r="G306" s="328"/>
      <c r="H306" s="218"/>
      <c r="I306" s="219"/>
      <c r="J306" s="219"/>
      <c r="K306" s="219"/>
      <c r="L306" s="219"/>
      <c r="M306" s="219"/>
      <c r="N306" s="219"/>
      <c r="O306" s="219"/>
      <c r="P306" s="219"/>
      <c r="Q306" s="219"/>
      <c r="R306" s="220"/>
    </row>
    <row r="307" spans="1:18" ht="15" customHeight="1" x14ac:dyDescent="0.3">
      <c r="A307" s="26" t="s">
        <v>410</v>
      </c>
      <c r="B307" s="26" t="s">
        <v>1167</v>
      </c>
      <c r="C307" s="26">
        <v>0.3576388888888889</v>
      </c>
      <c r="D307" s="26" t="s">
        <v>46</v>
      </c>
      <c r="E307" s="26" t="s">
        <v>71</v>
      </c>
      <c r="F307" s="26" t="s">
        <v>1158</v>
      </c>
      <c r="G307" s="328"/>
      <c r="H307" s="218"/>
      <c r="I307" s="219"/>
      <c r="J307" s="219"/>
      <c r="K307" s="219"/>
      <c r="L307" s="219"/>
      <c r="M307" s="219"/>
      <c r="N307" s="219"/>
      <c r="O307" s="219"/>
      <c r="P307" s="219"/>
      <c r="Q307" s="219"/>
      <c r="R307" s="220"/>
    </row>
    <row r="308" spans="1:18" ht="15" customHeight="1" x14ac:dyDescent="0.3">
      <c r="A308" s="12" t="s">
        <v>44</v>
      </c>
      <c r="B308" s="12" t="s">
        <v>1154</v>
      </c>
      <c r="C308" s="12">
        <v>0.625</v>
      </c>
      <c r="D308" s="12" t="s">
        <v>46</v>
      </c>
      <c r="E308" s="12" t="s">
        <v>47</v>
      </c>
      <c r="F308" s="12" t="s">
        <v>1164</v>
      </c>
      <c r="G308" s="328"/>
      <c r="H308" s="239" t="s">
        <v>1155</v>
      </c>
      <c r="I308" s="240">
        <v>0.4405</v>
      </c>
      <c r="J308" s="241">
        <v>74</v>
      </c>
      <c r="K308" s="242" t="s">
        <v>50</v>
      </c>
      <c r="L308" s="241">
        <v>24</v>
      </c>
      <c r="M308" s="241">
        <v>0</v>
      </c>
      <c r="N308" s="241">
        <v>7</v>
      </c>
      <c r="O308" s="242" t="s">
        <v>364</v>
      </c>
      <c r="P308" s="242">
        <v>0.625</v>
      </c>
      <c r="Q308" s="241">
        <v>168</v>
      </c>
      <c r="R308" s="243" t="s">
        <v>1194</v>
      </c>
    </row>
    <row r="309" spans="1:18" ht="15" customHeight="1" x14ac:dyDescent="0.3">
      <c r="A309" s="11" t="s">
        <v>66</v>
      </c>
      <c r="B309" s="11" t="s">
        <v>1128</v>
      </c>
      <c r="C309" s="11">
        <v>0.52083333333333337</v>
      </c>
      <c r="D309" s="11" t="s">
        <v>68</v>
      </c>
      <c r="E309" s="11" t="s">
        <v>47</v>
      </c>
      <c r="F309" s="11" t="s">
        <v>977</v>
      </c>
      <c r="G309" s="328"/>
      <c r="H309" s="218"/>
      <c r="I309" s="219"/>
      <c r="J309" s="219"/>
      <c r="K309" s="219"/>
      <c r="L309" s="219"/>
      <c r="M309" s="219"/>
      <c r="N309" s="219"/>
      <c r="O309" s="219"/>
      <c r="P309" s="219"/>
      <c r="Q309" s="219"/>
      <c r="R309" s="220"/>
    </row>
    <row r="310" spans="1:18" ht="15" customHeight="1" x14ac:dyDescent="0.3">
      <c r="A310" s="26" t="s">
        <v>66</v>
      </c>
      <c r="B310" s="26" t="s">
        <v>1130</v>
      </c>
      <c r="C310" s="26">
        <v>0.91666666666666663</v>
      </c>
      <c r="D310" s="26" t="s">
        <v>68</v>
      </c>
      <c r="E310" s="26" t="s">
        <v>71</v>
      </c>
      <c r="F310" s="26" t="s">
        <v>1169</v>
      </c>
      <c r="G310" s="328"/>
      <c r="H310" s="218"/>
      <c r="I310" s="219"/>
      <c r="J310" s="219"/>
      <c r="K310" s="219"/>
      <c r="L310" s="219"/>
      <c r="M310" s="219"/>
      <c r="N310" s="219"/>
      <c r="O310" s="219"/>
      <c r="P310" s="219"/>
      <c r="Q310" s="219"/>
      <c r="R310" s="220"/>
    </row>
    <row r="311" spans="1:18" ht="15" customHeight="1" x14ac:dyDescent="0.3">
      <c r="A311" s="26" t="s">
        <v>66</v>
      </c>
      <c r="B311" s="26" t="s">
        <v>1126</v>
      </c>
      <c r="C311" s="26">
        <v>0.1701388888888889</v>
      </c>
      <c r="D311" s="26" t="s">
        <v>68</v>
      </c>
      <c r="E311" s="26" t="s">
        <v>71</v>
      </c>
      <c r="F311" s="26" t="s">
        <v>1127</v>
      </c>
      <c r="G311" s="328"/>
      <c r="H311" s="218"/>
      <c r="I311" s="219"/>
      <c r="J311" s="219"/>
      <c r="K311" s="219"/>
      <c r="L311" s="219"/>
      <c r="M311" s="219"/>
      <c r="N311" s="219"/>
      <c r="O311" s="219"/>
      <c r="P311" s="219"/>
      <c r="Q311" s="219"/>
      <c r="R311" s="220"/>
    </row>
    <row r="312" spans="1:18" ht="15" customHeight="1" x14ac:dyDescent="0.3">
      <c r="A312" s="11" t="s">
        <v>78</v>
      </c>
      <c r="B312" s="11" t="s">
        <v>1131</v>
      </c>
      <c r="C312" s="11">
        <v>0.55208333333333337</v>
      </c>
      <c r="D312" s="11" t="s">
        <v>80</v>
      </c>
      <c r="E312" s="11" t="s">
        <v>47</v>
      </c>
      <c r="F312" s="11" t="s">
        <v>1195</v>
      </c>
      <c r="G312" s="328"/>
      <c r="H312" s="218"/>
      <c r="I312" s="219"/>
      <c r="J312" s="219"/>
      <c r="K312" s="219"/>
      <c r="L312" s="219"/>
      <c r="M312" s="219"/>
      <c r="N312" s="219"/>
      <c r="O312" s="219"/>
      <c r="P312" s="219"/>
      <c r="Q312" s="219"/>
      <c r="R312" s="220"/>
    </row>
    <row r="313" spans="1:18" ht="15" customHeight="1" x14ac:dyDescent="0.3">
      <c r="A313" s="10" t="s">
        <v>78</v>
      </c>
      <c r="B313" s="10" t="s">
        <v>1131</v>
      </c>
      <c r="C313" s="10">
        <v>0.55208333333333337</v>
      </c>
      <c r="D313" s="10" t="s">
        <v>83</v>
      </c>
      <c r="E313" s="10" t="s">
        <v>95</v>
      </c>
      <c r="F313" s="10" t="s">
        <v>863</v>
      </c>
      <c r="G313" s="328"/>
      <c r="H313" s="218"/>
      <c r="I313" s="219"/>
      <c r="J313" s="219"/>
      <c r="K313" s="219"/>
      <c r="L313" s="219"/>
      <c r="M313" s="219"/>
      <c r="N313" s="219"/>
      <c r="O313" s="219"/>
      <c r="P313" s="219"/>
      <c r="Q313" s="219"/>
      <c r="R313" s="220"/>
    </row>
    <row r="314" spans="1:18" ht="15" customHeight="1" x14ac:dyDescent="0.3">
      <c r="A314" s="26" t="s">
        <v>78</v>
      </c>
      <c r="B314" s="26" t="s">
        <v>1135</v>
      </c>
      <c r="C314" s="26">
        <v>0.2986111111111111</v>
      </c>
      <c r="D314" s="26" t="s">
        <v>80</v>
      </c>
      <c r="E314" s="26" t="s">
        <v>71</v>
      </c>
      <c r="F314" s="26" t="s">
        <v>1195</v>
      </c>
      <c r="G314" s="328"/>
      <c r="H314" s="218"/>
      <c r="I314" s="219"/>
      <c r="J314" s="219"/>
      <c r="K314" s="219"/>
      <c r="L314" s="219"/>
      <c r="M314" s="219"/>
      <c r="N314" s="219"/>
      <c r="O314" s="219"/>
      <c r="P314" s="219"/>
      <c r="Q314" s="219"/>
      <c r="R314" s="220"/>
    </row>
    <row r="315" spans="1:18" ht="15" customHeight="1" x14ac:dyDescent="0.3">
      <c r="A315" s="10" t="s">
        <v>78</v>
      </c>
      <c r="B315" s="10" t="s">
        <v>1135</v>
      </c>
      <c r="C315" s="10">
        <v>0.2986111111111111</v>
      </c>
      <c r="D315" s="10" t="s">
        <v>83</v>
      </c>
      <c r="E315" s="10" t="s">
        <v>95</v>
      </c>
      <c r="F315" s="10" t="s">
        <v>863</v>
      </c>
      <c r="G315" s="328"/>
      <c r="H315" s="218"/>
      <c r="I315" s="219"/>
      <c r="J315" s="219"/>
      <c r="K315" s="219"/>
      <c r="L315" s="219"/>
      <c r="M315" s="219"/>
      <c r="N315" s="219"/>
      <c r="O315" s="219"/>
      <c r="P315" s="219"/>
      <c r="Q315" s="219"/>
      <c r="R315" s="220"/>
    </row>
    <row r="316" spans="1:18" ht="15" customHeight="1" x14ac:dyDescent="0.3">
      <c r="A316" s="26" t="s">
        <v>78</v>
      </c>
      <c r="B316" s="26" t="s">
        <v>1136</v>
      </c>
      <c r="C316" s="26">
        <v>0.4826388888888889</v>
      </c>
      <c r="D316" s="26" t="s">
        <v>80</v>
      </c>
      <c r="E316" s="26" t="s">
        <v>71</v>
      </c>
      <c r="F316" s="26" t="s">
        <v>1195</v>
      </c>
      <c r="G316" s="328"/>
      <c r="H316" s="218"/>
      <c r="I316" s="219"/>
      <c r="J316" s="219"/>
      <c r="K316" s="219"/>
      <c r="L316" s="219"/>
      <c r="M316" s="219"/>
      <c r="N316" s="219"/>
      <c r="O316" s="219"/>
      <c r="P316" s="219"/>
      <c r="Q316" s="219"/>
      <c r="R316" s="220"/>
    </row>
    <row r="317" spans="1:18" ht="15" customHeight="1" x14ac:dyDescent="0.3">
      <c r="A317" s="10" t="s">
        <v>78</v>
      </c>
      <c r="B317" s="10" t="s">
        <v>1136</v>
      </c>
      <c r="C317" s="10">
        <v>0.4826388888888889</v>
      </c>
      <c r="D317" s="10" t="s">
        <v>83</v>
      </c>
      <c r="E317" s="10" t="s">
        <v>95</v>
      </c>
      <c r="F317" s="10" t="s">
        <v>863</v>
      </c>
      <c r="G317" s="328"/>
      <c r="H317" s="218"/>
      <c r="I317" s="219"/>
      <c r="J317" s="219"/>
      <c r="K317" s="219"/>
      <c r="L317" s="219"/>
      <c r="M317" s="219"/>
      <c r="N317" s="219"/>
      <c r="O317" s="219"/>
      <c r="P317" s="219"/>
      <c r="Q317" s="219"/>
      <c r="R317" s="220"/>
    </row>
    <row r="318" spans="1:18" ht="15" customHeight="1" x14ac:dyDescent="0.3">
      <c r="A318" s="26" t="s">
        <v>78</v>
      </c>
      <c r="B318" s="26" t="s">
        <v>1134</v>
      </c>
      <c r="C318" s="26">
        <v>0.68402777777777779</v>
      </c>
      <c r="D318" s="26" t="s">
        <v>80</v>
      </c>
      <c r="E318" s="26" t="s">
        <v>71</v>
      </c>
      <c r="F318" s="26" t="s">
        <v>1132</v>
      </c>
      <c r="G318" s="328"/>
      <c r="H318" s="218"/>
      <c r="I318" s="219"/>
      <c r="J318" s="219"/>
      <c r="K318" s="219"/>
      <c r="L318" s="219"/>
      <c r="M318" s="219"/>
      <c r="N318" s="219"/>
      <c r="O318" s="219"/>
      <c r="P318" s="219"/>
      <c r="Q318" s="219"/>
      <c r="R318" s="220"/>
    </row>
    <row r="319" spans="1:18" ht="15" customHeight="1" x14ac:dyDescent="0.3">
      <c r="A319" s="10" t="s">
        <v>78</v>
      </c>
      <c r="B319" s="10" t="s">
        <v>1134</v>
      </c>
      <c r="C319" s="10">
        <v>0.68402777777777779</v>
      </c>
      <c r="D319" s="10" t="s">
        <v>83</v>
      </c>
      <c r="E319" s="10" t="s">
        <v>95</v>
      </c>
      <c r="F319" s="10" t="s">
        <v>1133</v>
      </c>
      <c r="G319" s="328"/>
      <c r="H319" s="218"/>
      <c r="I319" s="219"/>
      <c r="J319" s="219"/>
      <c r="K319" s="219"/>
      <c r="L319" s="219"/>
      <c r="M319" s="219"/>
      <c r="N319" s="219"/>
      <c r="O319" s="219"/>
      <c r="P319" s="219"/>
      <c r="Q319" s="219"/>
      <c r="R319" s="220"/>
    </row>
    <row r="320" spans="1:18" ht="15" customHeight="1" x14ac:dyDescent="0.3">
      <c r="A320" s="26" t="s">
        <v>78</v>
      </c>
      <c r="B320" s="26" t="s">
        <v>1137</v>
      </c>
      <c r="C320" s="26">
        <v>0.83680555555555547</v>
      </c>
      <c r="D320" s="26" t="s">
        <v>80</v>
      </c>
      <c r="E320" s="26" t="s">
        <v>71</v>
      </c>
      <c r="F320" s="26" t="s">
        <v>1138</v>
      </c>
      <c r="G320" s="328"/>
      <c r="H320" s="218"/>
      <c r="I320" s="219"/>
      <c r="J320" s="219"/>
      <c r="K320" s="219"/>
      <c r="L320" s="219"/>
      <c r="M320" s="219"/>
      <c r="N320" s="219"/>
      <c r="O320" s="219"/>
      <c r="P320" s="219"/>
      <c r="Q320" s="219"/>
      <c r="R320" s="220"/>
    </row>
    <row r="321" spans="1:18" ht="15" customHeight="1" x14ac:dyDescent="0.3">
      <c r="A321" s="10" t="s">
        <v>78</v>
      </c>
      <c r="B321" s="10" t="s">
        <v>1137</v>
      </c>
      <c r="C321" s="10">
        <v>0.83680555555555547</v>
      </c>
      <c r="D321" s="10" t="s">
        <v>83</v>
      </c>
      <c r="E321" s="10" t="s">
        <v>95</v>
      </c>
      <c r="F321" s="10" t="s">
        <v>1139</v>
      </c>
      <c r="G321" s="328"/>
      <c r="H321" s="218"/>
      <c r="I321" s="219"/>
      <c r="J321" s="219"/>
      <c r="K321" s="219"/>
      <c r="L321" s="219"/>
      <c r="M321" s="219"/>
      <c r="N321" s="219"/>
      <c r="O321" s="219"/>
      <c r="P321" s="219"/>
      <c r="Q321" s="219"/>
      <c r="R321" s="220"/>
    </row>
    <row r="322" spans="1:18" ht="15" customHeight="1" x14ac:dyDescent="0.3">
      <c r="A322" s="26" t="s">
        <v>78</v>
      </c>
      <c r="B322" s="26" t="s">
        <v>1140</v>
      </c>
      <c r="C322" s="26">
        <v>0.5</v>
      </c>
      <c r="D322" s="26" t="s">
        <v>83</v>
      </c>
      <c r="E322" s="26" t="s">
        <v>87</v>
      </c>
      <c r="F322" s="26" t="s">
        <v>1141</v>
      </c>
      <c r="G322" s="328"/>
      <c r="H322" s="218"/>
      <c r="I322" s="219"/>
      <c r="J322" s="219"/>
      <c r="K322" s="219"/>
      <c r="L322" s="219"/>
      <c r="M322" s="219"/>
      <c r="N322" s="219"/>
      <c r="O322" s="219"/>
      <c r="P322" s="219"/>
      <c r="Q322" s="219"/>
      <c r="R322" s="220"/>
    </row>
    <row r="323" spans="1:18" ht="15" customHeight="1" x14ac:dyDescent="0.3">
      <c r="A323" s="26" t="s">
        <v>78</v>
      </c>
      <c r="B323" s="26" t="s">
        <v>1142</v>
      </c>
      <c r="C323" s="26">
        <v>0.76041666666666663</v>
      </c>
      <c r="D323" s="26" t="s">
        <v>83</v>
      </c>
      <c r="E323" s="26" t="s">
        <v>87</v>
      </c>
      <c r="F323" s="26" t="s">
        <v>1141</v>
      </c>
      <c r="G323" s="328"/>
      <c r="H323" s="218"/>
      <c r="I323" s="219"/>
      <c r="J323" s="219"/>
      <c r="K323" s="219"/>
      <c r="L323" s="219"/>
      <c r="M323" s="219"/>
      <c r="N323" s="219"/>
      <c r="O323" s="219"/>
      <c r="P323" s="219"/>
      <c r="Q323" s="219"/>
      <c r="R323" s="220"/>
    </row>
    <row r="324" spans="1:18" ht="15" customHeight="1" x14ac:dyDescent="0.3">
      <c r="A324" s="31" t="s">
        <v>78</v>
      </c>
      <c r="B324" s="31" t="s">
        <v>1143</v>
      </c>
      <c r="C324" s="31">
        <v>0.81597222222222221</v>
      </c>
      <c r="D324" s="31" t="s">
        <v>83</v>
      </c>
      <c r="E324" s="31" t="s">
        <v>87</v>
      </c>
      <c r="F324" s="31" t="s">
        <v>1141</v>
      </c>
      <c r="G324" s="328"/>
      <c r="H324" s="231"/>
      <c r="I324" s="232"/>
      <c r="J324" s="232"/>
      <c r="K324" s="232"/>
      <c r="L324" s="232"/>
      <c r="M324" s="232"/>
      <c r="N324" s="232"/>
      <c r="O324" s="232"/>
      <c r="P324" s="232"/>
      <c r="Q324" s="232"/>
      <c r="R324" s="233"/>
    </row>
    <row r="325" spans="1:18" ht="17.399999999999999" customHeight="1" x14ac:dyDescent="0.3">
      <c r="A325" s="360"/>
      <c r="B325" s="361"/>
      <c r="C325" s="361"/>
      <c r="D325" s="361"/>
      <c r="E325" s="361"/>
      <c r="F325" s="361"/>
      <c r="G325" s="361"/>
      <c r="H325" s="361"/>
      <c r="I325" s="361"/>
      <c r="J325" s="361"/>
      <c r="K325" s="361"/>
      <c r="L325" s="361"/>
      <c r="M325" s="361"/>
      <c r="N325" s="361"/>
      <c r="O325" s="361"/>
      <c r="P325" s="361"/>
      <c r="Q325" s="361"/>
      <c r="R325" s="362"/>
    </row>
    <row r="326" spans="1:18" ht="22.05" customHeight="1" x14ac:dyDescent="0.3">
      <c r="A326" s="323" t="s">
        <v>6</v>
      </c>
      <c r="B326" s="324"/>
      <c r="C326" s="324"/>
      <c r="D326" s="324"/>
      <c r="E326" s="324"/>
      <c r="F326" s="324"/>
      <c r="G326" s="2">
        <v>45992</v>
      </c>
      <c r="H326" s="323" t="s">
        <v>7</v>
      </c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</row>
    <row r="327" spans="1:18" ht="24" customHeight="1" x14ac:dyDescent="0.3">
      <c r="A327" s="3" t="s">
        <v>8</v>
      </c>
      <c r="B327" s="3" t="s">
        <v>9</v>
      </c>
      <c r="C327" s="3" t="s">
        <v>10</v>
      </c>
      <c r="D327" s="3" t="s">
        <v>11</v>
      </c>
      <c r="E327" s="3" t="s">
        <v>12</v>
      </c>
      <c r="F327" s="4" t="s">
        <v>13</v>
      </c>
      <c r="G327" s="5" t="s">
        <v>14</v>
      </c>
      <c r="H327" s="3" t="s">
        <v>15</v>
      </c>
      <c r="I327" s="3" t="s">
        <v>16</v>
      </c>
      <c r="J327" s="3" t="s">
        <v>17</v>
      </c>
      <c r="K327" s="3" t="s">
        <v>18</v>
      </c>
      <c r="L327" s="3" t="s">
        <v>19</v>
      </c>
      <c r="M327" s="3" t="s">
        <v>20</v>
      </c>
      <c r="N327" s="3" t="s">
        <v>21</v>
      </c>
      <c r="O327" s="3" t="s">
        <v>22</v>
      </c>
      <c r="P327" s="3" t="s">
        <v>23</v>
      </c>
      <c r="Q327" s="3" t="s">
        <v>24</v>
      </c>
      <c r="R327" s="3" t="s">
        <v>25</v>
      </c>
    </row>
    <row r="328" spans="1:18" ht="15" customHeight="1" x14ac:dyDescent="0.3">
      <c r="A328" s="6" t="s">
        <v>66</v>
      </c>
      <c r="B328" s="6" t="s">
        <v>1130</v>
      </c>
      <c r="C328" s="6">
        <v>0.91666666666666663</v>
      </c>
      <c r="D328" s="6" t="s">
        <v>829</v>
      </c>
      <c r="E328" s="6" t="s">
        <v>47</v>
      </c>
      <c r="F328" s="6" t="s">
        <v>657</v>
      </c>
      <c r="G328" s="335"/>
      <c r="H328" s="218"/>
      <c r="I328" s="219"/>
      <c r="J328" s="219"/>
      <c r="K328" s="219"/>
      <c r="L328" s="219"/>
      <c r="M328" s="219"/>
      <c r="N328" s="219"/>
      <c r="O328" s="219"/>
      <c r="P328" s="219"/>
      <c r="Q328" s="219"/>
      <c r="R328" s="220"/>
    </row>
    <row r="329" spans="1:18" ht="15" customHeight="1" x14ac:dyDescent="0.3">
      <c r="A329" s="26" t="s">
        <v>66</v>
      </c>
      <c r="B329" s="26" t="s">
        <v>1126</v>
      </c>
      <c r="C329" s="26">
        <v>0.16666666666666671</v>
      </c>
      <c r="D329" s="26" t="s">
        <v>829</v>
      </c>
      <c r="E329" s="26" t="s">
        <v>71</v>
      </c>
      <c r="F329" s="26" t="s">
        <v>657</v>
      </c>
      <c r="G329" s="328"/>
      <c r="H329" s="218"/>
      <c r="I329" s="219"/>
      <c r="J329" s="219"/>
      <c r="K329" s="219"/>
      <c r="L329" s="219"/>
      <c r="M329" s="219"/>
      <c r="N329" s="219"/>
      <c r="O329" s="219"/>
      <c r="P329" s="219"/>
      <c r="Q329" s="219"/>
      <c r="R329" s="220"/>
    </row>
    <row r="330" spans="1:18" ht="15" customHeight="1" x14ac:dyDescent="0.3">
      <c r="A330" s="26" t="s">
        <v>66</v>
      </c>
      <c r="B330" s="26" t="s">
        <v>1128</v>
      </c>
      <c r="C330" s="26">
        <v>0.54166666666666663</v>
      </c>
      <c r="D330" s="26" t="s">
        <v>829</v>
      </c>
      <c r="E330" s="26" t="s">
        <v>71</v>
      </c>
      <c r="F330" s="26" t="s">
        <v>657</v>
      </c>
      <c r="G330" s="328"/>
      <c r="H330" s="218"/>
      <c r="I330" s="219"/>
      <c r="J330" s="219"/>
      <c r="K330" s="219"/>
      <c r="L330" s="219"/>
      <c r="M330" s="219"/>
      <c r="N330" s="219"/>
      <c r="O330" s="219"/>
      <c r="P330" s="219"/>
      <c r="Q330" s="219"/>
      <c r="R330" s="220"/>
    </row>
    <row r="331" spans="1:18" ht="15" customHeight="1" x14ac:dyDescent="0.3">
      <c r="A331" s="11" t="s">
        <v>410</v>
      </c>
      <c r="B331" s="11" t="s">
        <v>1157</v>
      </c>
      <c r="C331" s="11">
        <v>0.73611111111111116</v>
      </c>
      <c r="D331" s="11" t="s">
        <v>46</v>
      </c>
      <c r="E331" s="11" t="s">
        <v>29</v>
      </c>
      <c r="F331" s="11" t="s">
        <v>1158</v>
      </c>
      <c r="G331" s="328"/>
      <c r="H331" s="218"/>
      <c r="I331" s="219"/>
      <c r="J331" s="219"/>
      <c r="K331" s="219"/>
      <c r="L331" s="219"/>
      <c r="M331" s="219"/>
      <c r="N331" s="219"/>
      <c r="O331" s="219"/>
      <c r="P331" s="219"/>
      <c r="Q331" s="219"/>
      <c r="R331" s="220"/>
    </row>
    <row r="332" spans="1:18" ht="15" customHeight="1" x14ac:dyDescent="0.3">
      <c r="A332" s="139" t="s">
        <v>44</v>
      </c>
      <c r="B332" s="139" t="s">
        <v>1121</v>
      </c>
      <c r="C332" s="139">
        <v>0.92361111111111116</v>
      </c>
      <c r="D332" s="139" t="s">
        <v>46</v>
      </c>
      <c r="E332" s="139" t="s">
        <v>47</v>
      </c>
      <c r="F332" s="139" t="s">
        <v>1196</v>
      </c>
      <c r="G332" s="328"/>
      <c r="H332" s="226" t="s">
        <v>1122</v>
      </c>
      <c r="I332" s="261">
        <v>2.98E-2</v>
      </c>
      <c r="J332" s="228">
        <v>5</v>
      </c>
      <c r="K332" s="229" t="s">
        <v>175</v>
      </c>
      <c r="L332" s="228">
        <v>3</v>
      </c>
      <c r="M332" s="228">
        <v>2</v>
      </c>
      <c r="N332" s="228">
        <v>0</v>
      </c>
      <c r="O332" s="229" t="s">
        <v>353</v>
      </c>
      <c r="P332" s="229">
        <v>0.92361111111111116</v>
      </c>
      <c r="Q332" s="228">
        <v>168</v>
      </c>
      <c r="R332" s="230" t="s">
        <v>1197</v>
      </c>
    </row>
    <row r="333" spans="1:18" ht="15" customHeight="1" x14ac:dyDescent="0.3">
      <c r="A333" s="11" t="s">
        <v>78</v>
      </c>
      <c r="B333" s="11" t="s">
        <v>1137</v>
      </c>
      <c r="C333" s="11">
        <v>0.83680555555555547</v>
      </c>
      <c r="D333" s="11" t="s">
        <v>80</v>
      </c>
      <c r="E333" s="11" t="s">
        <v>47</v>
      </c>
      <c r="F333" s="11" t="s">
        <v>1195</v>
      </c>
      <c r="G333" s="328"/>
      <c r="H333" s="218"/>
      <c r="I333" s="219"/>
      <c r="J333" s="219"/>
      <c r="K333" s="219"/>
      <c r="L333" s="219"/>
      <c r="M333" s="219"/>
      <c r="N333" s="219"/>
      <c r="O333" s="219"/>
      <c r="P333" s="219"/>
      <c r="Q333" s="219"/>
      <c r="R333" s="220"/>
    </row>
    <row r="334" spans="1:18" ht="15" customHeight="1" x14ac:dyDescent="0.3">
      <c r="A334" s="10" t="s">
        <v>78</v>
      </c>
      <c r="B334" s="10" t="s">
        <v>1137</v>
      </c>
      <c r="C334" s="10">
        <v>0.83680555555555547</v>
      </c>
      <c r="D334" s="10" t="s">
        <v>83</v>
      </c>
      <c r="E334" s="10" t="s">
        <v>95</v>
      </c>
      <c r="F334" s="10" t="s">
        <v>863</v>
      </c>
      <c r="G334" s="328"/>
      <c r="H334" s="218"/>
      <c r="I334" s="219"/>
      <c r="J334" s="219"/>
      <c r="K334" s="219"/>
      <c r="L334" s="219"/>
      <c r="M334" s="219"/>
      <c r="N334" s="219"/>
      <c r="O334" s="219"/>
      <c r="P334" s="219"/>
      <c r="Q334" s="219"/>
      <c r="R334" s="220"/>
    </row>
    <row r="335" spans="1:18" ht="15" customHeight="1" x14ac:dyDescent="0.3">
      <c r="A335" s="26" t="s">
        <v>78</v>
      </c>
      <c r="B335" s="26" t="s">
        <v>1134</v>
      </c>
      <c r="C335" s="26">
        <v>0.68402777777777779</v>
      </c>
      <c r="D335" s="26" t="s">
        <v>80</v>
      </c>
      <c r="E335" s="26" t="s">
        <v>71</v>
      </c>
      <c r="F335" s="26" t="s">
        <v>1195</v>
      </c>
      <c r="G335" s="328"/>
      <c r="H335" s="218"/>
      <c r="I335" s="219"/>
      <c r="J335" s="219"/>
      <c r="K335" s="219"/>
      <c r="L335" s="219"/>
      <c r="M335" s="219"/>
      <c r="N335" s="219"/>
      <c r="O335" s="219"/>
      <c r="P335" s="219"/>
      <c r="Q335" s="219"/>
      <c r="R335" s="220"/>
    </row>
    <row r="336" spans="1:18" ht="15" customHeight="1" x14ac:dyDescent="0.3">
      <c r="A336" s="10" t="s">
        <v>78</v>
      </c>
      <c r="B336" s="10" t="s">
        <v>1134</v>
      </c>
      <c r="C336" s="10">
        <v>0.68402777777777779</v>
      </c>
      <c r="D336" s="10" t="s">
        <v>83</v>
      </c>
      <c r="E336" s="10" t="s">
        <v>95</v>
      </c>
      <c r="F336" s="10" t="s">
        <v>863</v>
      </c>
      <c r="G336" s="328"/>
      <c r="H336" s="218"/>
      <c r="I336" s="219"/>
      <c r="J336" s="219"/>
      <c r="K336" s="219"/>
      <c r="L336" s="219"/>
      <c r="M336" s="219"/>
      <c r="N336" s="219"/>
      <c r="O336" s="219"/>
      <c r="P336" s="219"/>
      <c r="Q336" s="219"/>
      <c r="R336" s="220"/>
    </row>
    <row r="337" spans="1:18" ht="15" customHeight="1" x14ac:dyDescent="0.3">
      <c r="A337" s="26" t="s">
        <v>78</v>
      </c>
      <c r="B337" s="26" t="s">
        <v>1135</v>
      </c>
      <c r="C337" s="26">
        <v>0.2986111111111111</v>
      </c>
      <c r="D337" s="26" t="s">
        <v>80</v>
      </c>
      <c r="E337" s="26" t="s">
        <v>71</v>
      </c>
      <c r="F337" s="26" t="s">
        <v>1195</v>
      </c>
      <c r="G337" s="328"/>
      <c r="H337" s="218"/>
      <c r="I337" s="219"/>
      <c r="J337" s="219"/>
      <c r="K337" s="219"/>
      <c r="L337" s="219"/>
      <c r="M337" s="219"/>
      <c r="N337" s="219"/>
      <c r="O337" s="219"/>
      <c r="P337" s="219"/>
      <c r="Q337" s="219"/>
      <c r="R337" s="220"/>
    </row>
    <row r="338" spans="1:18" ht="15" customHeight="1" x14ac:dyDescent="0.3">
      <c r="A338" s="10" t="s">
        <v>78</v>
      </c>
      <c r="B338" s="10" t="s">
        <v>1135</v>
      </c>
      <c r="C338" s="10">
        <v>0.2986111111111111</v>
      </c>
      <c r="D338" s="10" t="s">
        <v>83</v>
      </c>
      <c r="E338" s="10" t="s">
        <v>95</v>
      </c>
      <c r="F338" s="10" t="s">
        <v>863</v>
      </c>
      <c r="G338" s="328"/>
      <c r="H338" s="218"/>
      <c r="I338" s="219"/>
      <c r="J338" s="219"/>
      <c r="K338" s="219"/>
      <c r="L338" s="219"/>
      <c r="M338" s="219"/>
      <c r="N338" s="219"/>
      <c r="O338" s="219"/>
      <c r="P338" s="219"/>
      <c r="Q338" s="219"/>
      <c r="R338" s="220"/>
    </row>
    <row r="339" spans="1:18" ht="15" customHeight="1" x14ac:dyDescent="0.3">
      <c r="A339" s="26" t="s">
        <v>78</v>
      </c>
      <c r="B339" s="26" t="s">
        <v>1198</v>
      </c>
      <c r="C339" s="26">
        <v>4.8611111111111112E-2</v>
      </c>
      <c r="D339" s="26" t="s">
        <v>80</v>
      </c>
      <c r="E339" s="26" t="s">
        <v>71</v>
      </c>
      <c r="F339" s="26" t="s">
        <v>1195</v>
      </c>
      <c r="G339" s="328"/>
      <c r="H339" s="218"/>
      <c r="I339" s="219"/>
      <c r="J339" s="219"/>
      <c r="K339" s="219"/>
      <c r="L339" s="219"/>
      <c r="M339" s="219"/>
      <c r="N339" s="219"/>
      <c r="O339" s="219"/>
      <c r="P339" s="219"/>
      <c r="Q339" s="219"/>
      <c r="R339" s="220"/>
    </row>
    <row r="340" spans="1:18" ht="15" customHeight="1" x14ac:dyDescent="0.3">
      <c r="A340" s="10" t="s">
        <v>78</v>
      </c>
      <c r="B340" s="10" t="s">
        <v>1198</v>
      </c>
      <c r="C340" s="10">
        <v>4.8611111111111112E-2</v>
      </c>
      <c r="D340" s="10" t="s">
        <v>83</v>
      </c>
      <c r="E340" s="10" t="s">
        <v>95</v>
      </c>
      <c r="F340" s="10" t="s">
        <v>863</v>
      </c>
      <c r="G340" s="328"/>
      <c r="H340" s="218"/>
      <c r="I340" s="219"/>
      <c r="J340" s="219"/>
      <c r="K340" s="219"/>
      <c r="L340" s="219"/>
      <c r="M340" s="219"/>
      <c r="N340" s="219"/>
      <c r="O340" s="219"/>
      <c r="P340" s="219"/>
      <c r="Q340" s="219"/>
      <c r="R340" s="220"/>
    </row>
    <row r="341" spans="1:18" ht="15" customHeight="1" x14ac:dyDescent="0.3">
      <c r="A341" s="26" t="s">
        <v>78</v>
      </c>
      <c r="B341" s="26" t="s">
        <v>1136</v>
      </c>
      <c r="C341" s="26">
        <v>0.4826388888888889</v>
      </c>
      <c r="D341" s="26" t="s">
        <v>80</v>
      </c>
      <c r="E341" s="26" t="s">
        <v>71</v>
      </c>
      <c r="F341" s="26" t="s">
        <v>1195</v>
      </c>
      <c r="G341" s="328"/>
      <c r="H341" s="218"/>
      <c r="I341" s="219"/>
      <c r="J341" s="219"/>
      <c r="K341" s="219"/>
      <c r="L341" s="219"/>
      <c r="M341" s="219"/>
      <c r="N341" s="219"/>
      <c r="O341" s="219"/>
      <c r="P341" s="219"/>
      <c r="Q341" s="219"/>
      <c r="R341" s="220"/>
    </row>
    <row r="342" spans="1:18" ht="15" customHeight="1" x14ac:dyDescent="0.3">
      <c r="A342" s="10" t="s">
        <v>78</v>
      </c>
      <c r="B342" s="10" t="s">
        <v>1136</v>
      </c>
      <c r="C342" s="10">
        <v>0.4826388888888889</v>
      </c>
      <c r="D342" s="10" t="s">
        <v>83</v>
      </c>
      <c r="E342" s="10" t="s">
        <v>95</v>
      </c>
      <c r="F342" s="10" t="s">
        <v>863</v>
      </c>
      <c r="G342" s="328"/>
      <c r="H342" s="218"/>
      <c r="I342" s="219"/>
      <c r="J342" s="219"/>
      <c r="K342" s="219"/>
      <c r="L342" s="219"/>
      <c r="M342" s="219"/>
      <c r="N342" s="219"/>
      <c r="O342" s="219"/>
      <c r="P342" s="219"/>
      <c r="Q342" s="219"/>
      <c r="R342" s="220"/>
    </row>
    <row r="343" spans="1:18" ht="15" customHeight="1" x14ac:dyDescent="0.3">
      <c r="A343" s="26" t="s">
        <v>78</v>
      </c>
      <c r="B343" s="26" t="s">
        <v>1140</v>
      </c>
      <c r="C343" s="26">
        <v>0.5</v>
      </c>
      <c r="D343" s="26" t="s">
        <v>83</v>
      </c>
      <c r="E343" s="26" t="s">
        <v>87</v>
      </c>
      <c r="F343" s="26" t="s">
        <v>1141</v>
      </c>
      <c r="G343" s="328"/>
      <c r="H343" s="218"/>
      <c r="I343" s="219"/>
      <c r="J343" s="219"/>
      <c r="K343" s="219"/>
      <c r="L343" s="219"/>
      <c r="M343" s="219"/>
      <c r="N343" s="219"/>
      <c r="O343" s="219"/>
      <c r="P343" s="219"/>
      <c r="Q343" s="219"/>
      <c r="R343" s="220"/>
    </row>
    <row r="344" spans="1:18" ht="15" customHeight="1" x14ac:dyDescent="0.3">
      <c r="A344" s="26" t="s">
        <v>78</v>
      </c>
      <c r="B344" s="26" t="s">
        <v>1142</v>
      </c>
      <c r="C344" s="26">
        <v>0.76041666666666663</v>
      </c>
      <c r="D344" s="26" t="s">
        <v>83</v>
      </c>
      <c r="E344" s="26" t="s">
        <v>87</v>
      </c>
      <c r="F344" s="26" t="s">
        <v>1141</v>
      </c>
      <c r="G344" s="328"/>
      <c r="H344" s="218"/>
      <c r="I344" s="219"/>
      <c r="J344" s="219"/>
      <c r="K344" s="219"/>
      <c r="L344" s="219"/>
      <c r="M344" s="219"/>
      <c r="N344" s="219"/>
      <c r="O344" s="219"/>
      <c r="P344" s="219"/>
      <c r="Q344" s="219"/>
      <c r="R344" s="220"/>
    </row>
    <row r="345" spans="1:18" ht="15" customHeight="1" x14ac:dyDescent="0.3">
      <c r="A345" s="31" t="s">
        <v>78</v>
      </c>
      <c r="B345" s="31" t="s">
        <v>1143</v>
      </c>
      <c r="C345" s="31">
        <v>0.81597222222222221</v>
      </c>
      <c r="D345" s="31" t="s">
        <v>83</v>
      </c>
      <c r="E345" s="31" t="s">
        <v>87</v>
      </c>
      <c r="F345" s="31" t="s">
        <v>1141</v>
      </c>
      <c r="G345" s="328"/>
      <c r="H345" s="231"/>
      <c r="I345" s="232"/>
      <c r="J345" s="232"/>
      <c r="K345" s="232"/>
      <c r="L345" s="232"/>
      <c r="M345" s="232"/>
      <c r="N345" s="232"/>
      <c r="O345" s="232"/>
      <c r="P345" s="232"/>
      <c r="Q345" s="232"/>
      <c r="R345" s="233"/>
    </row>
    <row r="346" spans="1:18" ht="17.399999999999999" customHeight="1" x14ac:dyDescent="0.3">
      <c r="A346" s="360"/>
      <c r="B346" s="361"/>
      <c r="C346" s="361"/>
      <c r="D346" s="361"/>
      <c r="E346" s="361"/>
      <c r="F346" s="361"/>
      <c r="G346" s="361"/>
      <c r="H346" s="361"/>
      <c r="I346" s="361"/>
      <c r="J346" s="361"/>
      <c r="K346" s="361"/>
      <c r="L346" s="361"/>
      <c r="M346" s="361"/>
      <c r="N346" s="361"/>
      <c r="O346" s="361"/>
      <c r="P346" s="361"/>
      <c r="Q346" s="361"/>
      <c r="R346" s="362"/>
    </row>
    <row r="347" spans="1:18" ht="22.05" customHeight="1" x14ac:dyDescent="0.3">
      <c r="A347" s="323" t="s">
        <v>6</v>
      </c>
      <c r="B347" s="324"/>
      <c r="C347" s="324"/>
      <c r="D347" s="324"/>
      <c r="E347" s="324"/>
      <c r="F347" s="324"/>
      <c r="G347" s="2">
        <v>45993</v>
      </c>
      <c r="H347" s="323" t="s">
        <v>7</v>
      </c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</row>
    <row r="348" spans="1:18" ht="24" customHeight="1" x14ac:dyDescent="0.3">
      <c r="A348" s="3" t="s">
        <v>8</v>
      </c>
      <c r="B348" s="3" t="s">
        <v>9</v>
      </c>
      <c r="C348" s="3" t="s">
        <v>10</v>
      </c>
      <c r="D348" s="3" t="s">
        <v>11</v>
      </c>
      <c r="E348" s="3" t="s">
        <v>12</v>
      </c>
      <c r="F348" s="4" t="s">
        <v>13</v>
      </c>
      <c r="G348" s="5" t="s">
        <v>14</v>
      </c>
      <c r="H348" s="3" t="s">
        <v>15</v>
      </c>
      <c r="I348" s="3" t="s">
        <v>16</v>
      </c>
      <c r="J348" s="3" t="s">
        <v>17</v>
      </c>
      <c r="K348" s="3" t="s">
        <v>18</v>
      </c>
      <c r="L348" s="3" t="s">
        <v>19</v>
      </c>
      <c r="M348" s="3" t="s">
        <v>20</v>
      </c>
      <c r="N348" s="3" t="s">
        <v>21</v>
      </c>
      <c r="O348" s="3" t="s">
        <v>22</v>
      </c>
      <c r="P348" s="3" t="s">
        <v>23</v>
      </c>
      <c r="Q348" s="3" t="s">
        <v>24</v>
      </c>
      <c r="R348" s="3" t="s">
        <v>25</v>
      </c>
    </row>
    <row r="349" spans="1:18" ht="15" customHeight="1" x14ac:dyDescent="0.3">
      <c r="A349" s="6" t="s">
        <v>66</v>
      </c>
      <c r="B349" s="6" t="s">
        <v>1126</v>
      </c>
      <c r="C349" s="6">
        <v>0.16666666666666671</v>
      </c>
      <c r="D349" s="6" t="s">
        <v>829</v>
      </c>
      <c r="E349" s="6" t="s">
        <v>47</v>
      </c>
      <c r="F349" s="6" t="s">
        <v>657</v>
      </c>
      <c r="G349" s="335"/>
      <c r="H349" s="218"/>
      <c r="I349" s="219"/>
      <c r="J349" s="219"/>
      <c r="K349" s="219"/>
      <c r="L349" s="219"/>
      <c r="M349" s="219"/>
      <c r="N349" s="219"/>
      <c r="O349" s="219"/>
      <c r="P349" s="219"/>
      <c r="Q349" s="219"/>
      <c r="R349" s="220"/>
    </row>
    <row r="350" spans="1:18" ht="15" customHeight="1" x14ac:dyDescent="0.3">
      <c r="A350" s="26" t="s">
        <v>66</v>
      </c>
      <c r="B350" s="26" t="s">
        <v>1128</v>
      </c>
      <c r="C350" s="26">
        <v>0.54166666666666663</v>
      </c>
      <c r="D350" s="26" t="s">
        <v>829</v>
      </c>
      <c r="E350" s="26" t="s">
        <v>71</v>
      </c>
      <c r="F350" s="26" t="s">
        <v>657</v>
      </c>
      <c r="G350" s="328"/>
      <c r="H350" s="218"/>
      <c r="I350" s="219"/>
      <c r="J350" s="219"/>
      <c r="K350" s="219"/>
      <c r="L350" s="219"/>
      <c r="M350" s="219"/>
      <c r="N350" s="219"/>
      <c r="O350" s="219"/>
      <c r="P350" s="219"/>
      <c r="Q350" s="219"/>
      <c r="R350" s="220"/>
    </row>
    <row r="351" spans="1:18" ht="15" customHeight="1" x14ac:dyDescent="0.3">
      <c r="A351" s="26" t="s">
        <v>66</v>
      </c>
      <c r="B351" s="26" t="s">
        <v>1130</v>
      </c>
      <c r="C351" s="26">
        <v>0.91666666666666663</v>
      </c>
      <c r="D351" s="26" t="s">
        <v>829</v>
      </c>
      <c r="E351" s="26" t="s">
        <v>71</v>
      </c>
      <c r="F351" s="26" t="s">
        <v>1185</v>
      </c>
      <c r="G351" s="328"/>
      <c r="H351" s="218"/>
      <c r="I351" s="219"/>
      <c r="J351" s="219"/>
      <c r="K351" s="219"/>
      <c r="L351" s="219"/>
      <c r="M351" s="219"/>
      <c r="N351" s="219"/>
      <c r="O351" s="219"/>
      <c r="P351" s="219"/>
      <c r="Q351" s="219"/>
      <c r="R351" s="220"/>
    </row>
    <row r="352" spans="1:18" ht="15" customHeight="1" x14ac:dyDescent="0.3">
      <c r="A352" s="11" t="s">
        <v>404</v>
      </c>
      <c r="B352" s="11" t="s">
        <v>1120</v>
      </c>
      <c r="C352" s="11">
        <v>0.27777777777777779</v>
      </c>
      <c r="D352" s="11" t="s">
        <v>46</v>
      </c>
      <c r="E352" s="11" t="s">
        <v>47</v>
      </c>
      <c r="F352" s="11" t="s">
        <v>657</v>
      </c>
      <c r="G352" s="328"/>
      <c r="H352" s="218"/>
      <c r="I352" s="219"/>
      <c r="J352" s="219"/>
      <c r="K352" s="219"/>
      <c r="L352" s="219"/>
      <c r="M352" s="219"/>
      <c r="N352" s="219"/>
      <c r="O352" s="219"/>
      <c r="P352" s="219"/>
      <c r="Q352" s="219"/>
      <c r="R352" s="220"/>
    </row>
    <row r="353" spans="1:18" ht="15" customHeight="1" x14ac:dyDescent="0.3">
      <c r="A353" s="11" t="s">
        <v>410</v>
      </c>
      <c r="B353" s="11" t="s">
        <v>1167</v>
      </c>
      <c r="C353" s="11">
        <v>0.35416666666666669</v>
      </c>
      <c r="D353" s="11" t="s">
        <v>46</v>
      </c>
      <c r="E353" s="11" t="s">
        <v>47</v>
      </c>
      <c r="F353" s="11" t="s">
        <v>1158</v>
      </c>
      <c r="G353" s="328"/>
      <c r="H353" s="218"/>
      <c r="I353" s="219"/>
      <c r="J353" s="219"/>
      <c r="K353" s="219"/>
      <c r="L353" s="219"/>
      <c r="M353" s="219"/>
      <c r="N353" s="219"/>
      <c r="O353" s="219"/>
      <c r="P353" s="219"/>
      <c r="Q353" s="219"/>
      <c r="R353" s="220"/>
    </row>
    <row r="354" spans="1:18" ht="15" customHeight="1" x14ac:dyDescent="0.3">
      <c r="A354" s="167" t="s">
        <v>44</v>
      </c>
      <c r="B354" s="167" t="s">
        <v>1121</v>
      </c>
      <c r="C354" s="167">
        <v>0.91319444444444453</v>
      </c>
      <c r="D354" s="167" t="s">
        <v>46</v>
      </c>
      <c r="E354" s="167" t="s">
        <v>47</v>
      </c>
      <c r="F354" s="167" t="s">
        <v>1196</v>
      </c>
      <c r="G354" s="328"/>
      <c r="H354" s="168" t="s">
        <v>1122</v>
      </c>
      <c r="I354" s="169">
        <v>7.7399999999999997E-2</v>
      </c>
      <c r="J354" s="170">
        <v>13</v>
      </c>
      <c r="K354" s="171" t="s">
        <v>175</v>
      </c>
      <c r="L354" s="170">
        <v>5</v>
      </c>
      <c r="M354" s="170">
        <v>1</v>
      </c>
      <c r="N354" s="170">
        <v>0</v>
      </c>
      <c r="O354" s="171" t="s">
        <v>353</v>
      </c>
      <c r="P354" s="171">
        <v>0.91319444444444453</v>
      </c>
      <c r="Q354" s="170">
        <v>168</v>
      </c>
      <c r="R354" s="172" t="s">
        <v>1199</v>
      </c>
    </row>
    <row r="355" spans="1:18" ht="15" customHeight="1" x14ac:dyDescent="0.3">
      <c r="A355" s="11" t="s">
        <v>78</v>
      </c>
      <c r="B355" s="11" t="s">
        <v>1131</v>
      </c>
      <c r="C355" s="11">
        <v>0.55208333333333337</v>
      </c>
      <c r="D355" s="11" t="s">
        <v>80</v>
      </c>
      <c r="E355" s="11" t="s">
        <v>47</v>
      </c>
      <c r="F355" s="11" t="s">
        <v>1195</v>
      </c>
      <c r="G355" s="328"/>
      <c r="H355" s="218"/>
      <c r="I355" s="219"/>
      <c r="J355" s="219"/>
      <c r="K355" s="219"/>
      <c r="L355" s="219"/>
      <c r="M355" s="219"/>
      <c r="N355" s="219"/>
      <c r="O355" s="219"/>
      <c r="P355" s="219"/>
      <c r="Q355" s="219"/>
      <c r="R355" s="220"/>
    </row>
    <row r="356" spans="1:18" ht="15" customHeight="1" x14ac:dyDescent="0.3">
      <c r="A356" s="10" t="s">
        <v>78</v>
      </c>
      <c r="B356" s="10" t="s">
        <v>1131</v>
      </c>
      <c r="C356" s="10">
        <v>0.55208333333333337</v>
      </c>
      <c r="D356" s="10" t="s">
        <v>83</v>
      </c>
      <c r="E356" s="10" t="s">
        <v>95</v>
      </c>
      <c r="F356" s="10" t="s">
        <v>863</v>
      </c>
      <c r="G356" s="328"/>
      <c r="H356" s="218"/>
      <c r="I356" s="219"/>
      <c r="J356" s="219"/>
      <c r="K356" s="219"/>
      <c r="L356" s="219"/>
      <c r="M356" s="219"/>
      <c r="N356" s="219"/>
      <c r="O356" s="219"/>
      <c r="P356" s="219"/>
      <c r="Q356" s="219"/>
      <c r="R356" s="220"/>
    </row>
    <row r="357" spans="1:18" ht="15" customHeight="1" x14ac:dyDescent="0.3">
      <c r="A357" s="26" t="s">
        <v>78</v>
      </c>
      <c r="B357" s="26" t="s">
        <v>1134</v>
      </c>
      <c r="C357" s="26">
        <v>0.68402777777777779</v>
      </c>
      <c r="D357" s="26" t="s">
        <v>80</v>
      </c>
      <c r="E357" s="26" t="s">
        <v>54</v>
      </c>
      <c r="F357" s="26" t="s">
        <v>1195</v>
      </c>
      <c r="G357" s="328"/>
      <c r="H357" s="218"/>
      <c r="I357" s="219"/>
      <c r="J357" s="219"/>
      <c r="K357" s="219"/>
      <c r="L357" s="219"/>
      <c r="M357" s="219"/>
      <c r="N357" s="219"/>
      <c r="O357" s="219"/>
      <c r="P357" s="219"/>
      <c r="Q357" s="219"/>
      <c r="R357" s="220"/>
    </row>
    <row r="358" spans="1:18" ht="15" customHeight="1" x14ac:dyDescent="0.3">
      <c r="A358" s="10" t="s">
        <v>78</v>
      </c>
      <c r="B358" s="10" t="s">
        <v>1134</v>
      </c>
      <c r="C358" s="10">
        <v>0.68402777777777779</v>
      </c>
      <c r="D358" s="10" t="s">
        <v>83</v>
      </c>
      <c r="E358" s="10" t="s">
        <v>161</v>
      </c>
      <c r="F358" s="10" t="s">
        <v>863</v>
      </c>
      <c r="G358" s="328"/>
      <c r="H358" s="218"/>
      <c r="I358" s="219"/>
      <c r="J358" s="219"/>
      <c r="K358" s="219"/>
      <c r="L358" s="219"/>
      <c r="M358" s="219"/>
      <c r="N358" s="219"/>
      <c r="O358" s="219"/>
      <c r="P358" s="219"/>
      <c r="Q358" s="219"/>
      <c r="R358" s="220"/>
    </row>
    <row r="359" spans="1:18" ht="15" customHeight="1" x14ac:dyDescent="0.3">
      <c r="A359" s="26" t="s">
        <v>78</v>
      </c>
      <c r="B359" s="26" t="s">
        <v>1135</v>
      </c>
      <c r="C359" s="26">
        <v>0.2986111111111111</v>
      </c>
      <c r="D359" s="26" t="s">
        <v>80</v>
      </c>
      <c r="E359" s="26" t="s">
        <v>71</v>
      </c>
      <c r="F359" s="26" t="s">
        <v>1195</v>
      </c>
      <c r="G359" s="328"/>
      <c r="H359" s="218"/>
      <c r="I359" s="219"/>
      <c r="J359" s="219"/>
      <c r="K359" s="219"/>
      <c r="L359" s="219"/>
      <c r="M359" s="219"/>
      <c r="N359" s="219"/>
      <c r="O359" s="219"/>
      <c r="P359" s="219"/>
      <c r="Q359" s="219"/>
      <c r="R359" s="220"/>
    </row>
    <row r="360" spans="1:18" ht="15" customHeight="1" x14ac:dyDescent="0.3">
      <c r="A360" s="10" t="s">
        <v>78</v>
      </c>
      <c r="B360" s="10" t="s">
        <v>1135</v>
      </c>
      <c r="C360" s="10">
        <v>0.2986111111111111</v>
      </c>
      <c r="D360" s="10" t="s">
        <v>83</v>
      </c>
      <c r="E360" s="10" t="s">
        <v>95</v>
      </c>
      <c r="F360" s="10" t="s">
        <v>863</v>
      </c>
      <c r="G360" s="328"/>
      <c r="H360" s="218"/>
      <c r="I360" s="219"/>
      <c r="J360" s="219"/>
      <c r="K360" s="219"/>
      <c r="L360" s="219"/>
      <c r="M360" s="219"/>
      <c r="N360" s="219"/>
      <c r="O360" s="219"/>
      <c r="P360" s="219"/>
      <c r="Q360" s="219"/>
      <c r="R360" s="220"/>
    </row>
    <row r="361" spans="1:18" ht="15" customHeight="1" x14ac:dyDescent="0.3">
      <c r="A361" s="26" t="s">
        <v>78</v>
      </c>
      <c r="B361" s="26" t="s">
        <v>1136</v>
      </c>
      <c r="C361" s="26">
        <v>0.4826388888888889</v>
      </c>
      <c r="D361" s="26" t="s">
        <v>80</v>
      </c>
      <c r="E361" s="26" t="s">
        <v>71</v>
      </c>
      <c r="F361" s="26" t="s">
        <v>1195</v>
      </c>
      <c r="G361" s="328"/>
      <c r="H361" s="218"/>
      <c r="I361" s="219"/>
      <c r="J361" s="219"/>
      <c r="K361" s="219"/>
      <c r="L361" s="219"/>
      <c r="M361" s="219"/>
      <c r="N361" s="219"/>
      <c r="O361" s="219"/>
      <c r="P361" s="219"/>
      <c r="Q361" s="219"/>
      <c r="R361" s="220"/>
    </row>
    <row r="362" spans="1:18" ht="15" customHeight="1" x14ac:dyDescent="0.3">
      <c r="A362" s="10" t="s">
        <v>78</v>
      </c>
      <c r="B362" s="10" t="s">
        <v>1136</v>
      </c>
      <c r="C362" s="10">
        <v>0.4826388888888889</v>
      </c>
      <c r="D362" s="10" t="s">
        <v>83</v>
      </c>
      <c r="E362" s="10" t="s">
        <v>95</v>
      </c>
      <c r="F362" s="10" t="s">
        <v>863</v>
      </c>
      <c r="G362" s="328"/>
      <c r="H362" s="218"/>
      <c r="I362" s="219"/>
      <c r="J362" s="219"/>
      <c r="K362" s="219"/>
      <c r="L362" s="219"/>
      <c r="M362" s="219"/>
      <c r="N362" s="219"/>
      <c r="O362" s="219"/>
      <c r="P362" s="219"/>
      <c r="Q362" s="219"/>
      <c r="R362" s="220"/>
    </row>
    <row r="363" spans="1:18" ht="15" customHeight="1" x14ac:dyDescent="0.3">
      <c r="A363" s="26" t="s">
        <v>78</v>
      </c>
      <c r="B363" s="26" t="s">
        <v>1137</v>
      </c>
      <c r="C363" s="26">
        <v>0.83680555555555547</v>
      </c>
      <c r="D363" s="26" t="s">
        <v>80</v>
      </c>
      <c r="E363" s="26" t="s">
        <v>71</v>
      </c>
      <c r="F363" s="26" t="s">
        <v>1132</v>
      </c>
      <c r="G363" s="328"/>
      <c r="H363" s="218"/>
      <c r="I363" s="219"/>
      <c r="J363" s="219"/>
      <c r="K363" s="219"/>
      <c r="L363" s="219"/>
      <c r="M363" s="219"/>
      <c r="N363" s="219"/>
      <c r="O363" s="219"/>
      <c r="P363" s="219"/>
      <c r="Q363" s="219"/>
      <c r="R363" s="220"/>
    </row>
    <row r="364" spans="1:18" ht="15" customHeight="1" x14ac:dyDescent="0.3">
      <c r="A364" s="10" t="s">
        <v>78</v>
      </c>
      <c r="B364" s="10" t="s">
        <v>1137</v>
      </c>
      <c r="C364" s="10">
        <v>0.83680555555555547</v>
      </c>
      <c r="D364" s="10" t="s">
        <v>83</v>
      </c>
      <c r="E364" s="10" t="s">
        <v>95</v>
      </c>
      <c r="F364" s="10" t="s">
        <v>1133</v>
      </c>
      <c r="G364" s="328"/>
      <c r="H364" s="218"/>
      <c r="I364" s="219"/>
      <c r="J364" s="219"/>
      <c r="K364" s="219"/>
      <c r="L364" s="219"/>
      <c r="M364" s="219"/>
      <c r="N364" s="219"/>
      <c r="O364" s="219"/>
      <c r="P364" s="219"/>
      <c r="Q364" s="219"/>
      <c r="R364" s="220"/>
    </row>
    <row r="365" spans="1:18" ht="15" customHeight="1" x14ac:dyDescent="0.3">
      <c r="A365" s="26" t="s">
        <v>78</v>
      </c>
      <c r="B365" s="26" t="s">
        <v>1140</v>
      </c>
      <c r="C365" s="26">
        <v>0.5</v>
      </c>
      <c r="D365" s="26" t="s">
        <v>83</v>
      </c>
      <c r="E365" s="26" t="s">
        <v>87</v>
      </c>
      <c r="F365" s="26" t="s">
        <v>1141</v>
      </c>
      <c r="G365" s="328"/>
      <c r="H365" s="218"/>
      <c r="I365" s="219"/>
      <c r="J365" s="219"/>
      <c r="K365" s="219"/>
      <c r="L365" s="219"/>
      <c r="M365" s="219"/>
      <c r="N365" s="219"/>
      <c r="O365" s="219"/>
      <c r="P365" s="219"/>
      <c r="Q365" s="219"/>
      <c r="R365" s="220"/>
    </row>
    <row r="366" spans="1:18" ht="15" customHeight="1" x14ac:dyDescent="0.3">
      <c r="A366" s="26" t="s">
        <v>78</v>
      </c>
      <c r="B366" s="26" t="s">
        <v>1142</v>
      </c>
      <c r="C366" s="26">
        <v>0.76041666666666663</v>
      </c>
      <c r="D366" s="26" t="s">
        <v>83</v>
      </c>
      <c r="E366" s="26" t="s">
        <v>87</v>
      </c>
      <c r="F366" s="26" t="s">
        <v>1141</v>
      </c>
      <c r="G366" s="328"/>
      <c r="H366" s="218"/>
      <c r="I366" s="219"/>
      <c r="J366" s="219"/>
      <c r="K366" s="219"/>
      <c r="L366" s="219"/>
      <c r="M366" s="219"/>
      <c r="N366" s="219"/>
      <c r="O366" s="219"/>
      <c r="P366" s="219"/>
      <c r="Q366" s="219"/>
      <c r="R366" s="220"/>
    </row>
    <row r="367" spans="1:18" ht="15" customHeight="1" x14ac:dyDescent="0.3">
      <c r="A367" s="31" t="s">
        <v>78</v>
      </c>
      <c r="B367" s="31" t="s">
        <v>1143</v>
      </c>
      <c r="C367" s="31">
        <v>0.81597222222222221</v>
      </c>
      <c r="D367" s="31" t="s">
        <v>83</v>
      </c>
      <c r="E367" s="31" t="s">
        <v>87</v>
      </c>
      <c r="F367" s="31" t="s">
        <v>1141</v>
      </c>
      <c r="G367" s="328"/>
      <c r="H367" s="231"/>
      <c r="I367" s="232"/>
      <c r="J367" s="232"/>
      <c r="K367" s="232"/>
      <c r="L367" s="232"/>
      <c r="M367" s="232"/>
      <c r="N367" s="232"/>
      <c r="O367" s="232"/>
      <c r="P367" s="232"/>
      <c r="Q367" s="232"/>
      <c r="R367" s="233"/>
    </row>
    <row r="368" spans="1:18" ht="17.399999999999999" customHeight="1" x14ac:dyDescent="0.3">
      <c r="A368" s="360"/>
      <c r="B368" s="361"/>
      <c r="C368" s="361"/>
      <c r="D368" s="361"/>
      <c r="E368" s="361"/>
      <c r="F368" s="361"/>
      <c r="G368" s="361"/>
      <c r="H368" s="361"/>
      <c r="I368" s="361"/>
      <c r="J368" s="361"/>
      <c r="K368" s="361"/>
      <c r="L368" s="361"/>
      <c r="M368" s="361"/>
      <c r="N368" s="361"/>
      <c r="O368" s="361"/>
      <c r="P368" s="361"/>
      <c r="Q368" s="361"/>
      <c r="R368" s="362"/>
    </row>
    <row r="369" spans="1:18" ht="22.05" customHeight="1" x14ac:dyDescent="0.3">
      <c r="A369" s="323" t="s">
        <v>6</v>
      </c>
      <c r="B369" s="324"/>
      <c r="C369" s="324"/>
      <c r="D369" s="324"/>
      <c r="E369" s="324"/>
      <c r="F369" s="324"/>
      <c r="G369" s="2">
        <v>45994</v>
      </c>
      <c r="H369" s="323" t="s">
        <v>7</v>
      </c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</row>
    <row r="370" spans="1:18" ht="24" customHeight="1" x14ac:dyDescent="0.3">
      <c r="A370" s="3" t="s">
        <v>8</v>
      </c>
      <c r="B370" s="3" t="s">
        <v>9</v>
      </c>
      <c r="C370" s="3" t="s">
        <v>10</v>
      </c>
      <c r="D370" s="3" t="s">
        <v>11</v>
      </c>
      <c r="E370" s="3" t="s">
        <v>12</v>
      </c>
      <c r="F370" s="4" t="s">
        <v>13</v>
      </c>
      <c r="G370" s="5" t="s">
        <v>14</v>
      </c>
      <c r="H370" s="3" t="s">
        <v>15</v>
      </c>
      <c r="I370" s="3" t="s">
        <v>16</v>
      </c>
      <c r="J370" s="3" t="s">
        <v>17</v>
      </c>
      <c r="K370" s="3" t="s">
        <v>18</v>
      </c>
      <c r="L370" s="3" t="s">
        <v>19</v>
      </c>
      <c r="M370" s="3" t="s">
        <v>20</v>
      </c>
      <c r="N370" s="3" t="s">
        <v>21</v>
      </c>
      <c r="O370" s="3" t="s">
        <v>22</v>
      </c>
      <c r="P370" s="3" t="s">
        <v>23</v>
      </c>
      <c r="Q370" s="3" t="s">
        <v>24</v>
      </c>
      <c r="R370" s="3" t="s">
        <v>25</v>
      </c>
    </row>
    <row r="371" spans="1:18" ht="15" customHeight="1" x14ac:dyDescent="0.3">
      <c r="A371" s="6" t="s">
        <v>36</v>
      </c>
      <c r="B371" s="6" t="s">
        <v>1114</v>
      </c>
      <c r="C371" s="6">
        <v>0.375</v>
      </c>
      <c r="D371" s="6" t="s">
        <v>38</v>
      </c>
      <c r="E371" s="6" t="s">
        <v>102</v>
      </c>
      <c r="F371" s="6" t="s">
        <v>620</v>
      </c>
      <c r="G371" s="335"/>
      <c r="H371" s="218"/>
      <c r="I371" s="219"/>
      <c r="J371" s="219"/>
      <c r="K371" s="219"/>
      <c r="L371" s="219"/>
      <c r="M371" s="219"/>
      <c r="N371" s="219"/>
      <c r="O371" s="219"/>
      <c r="P371" s="219"/>
      <c r="Q371" s="219"/>
      <c r="R371" s="220"/>
    </row>
    <row r="372" spans="1:18" ht="15" customHeight="1" x14ac:dyDescent="0.3">
      <c r="A372" s="10" t="s">
        <v>36</v>
      </c>
      <c r="B372" s="10" t="s">
        <v>1114</v>
      </c>
      <c r="C372" s="10">
        <v>0.375</v>
      </c>
      <c r="D372" s="10" t="s">
        <v>40</v>
      </c>
      <c r="E372" s="10" t="s">
        <v>104</v>
      </c>
      <c r="F372" s="10" t="s">
        <v>621</v>
      </c>
      <c r="G372" s="328"/>
      <c r="H372" s="218"/>
      <c r="I372" s="219"/>
      <c r="J372" s="219"/>
      <c r="K372" s="219"/>
      <c r="L372" s="219"/>
      <c r="M372" s="219"/>
      <c r="N372" s="219"/>
      <c r="O372" s="219"/>
      <c r="P372" s="219"/>
      <c r="Q372" s="219"/>
      <c r="R372" s="220"/>
    </row>
    <row r="373" spans="1:18" ht="15" customHeight="1" x14ac:dyDescent="0.3">
      <c r="A373" s="10" t="s">
        <v>36</v>
      </c>
      <c r="B373" s="10" t="s">
        <v>1114</v>
      </c>
      <c r="C373" s="10">
        <v>0.375</v>
      </c>
      <c r="D373" s="10" t="s">
        <v>42</v>
      </c>
      <c r="E373" s="10" t="s">
        <v>104</v>
      </c>
      <c r="F373" s="10" t="s">
        <v>622</v>
      </c>
      <c r="G373" s="328"/>
      <c r="H373" s="218"/>
      <c r="I373" s="219"/>
      <c r="J373" s="219"/>
      <c r="K373" s="219"/>
      <c r="L373" s="219"/>
      <c r="M373" s="219"/>
      <c r="N373" s="219"/>
      <c r="O373" s="219"/>
      <c r="P373" s="219"/>
      <c r="Q373" s="219"/>
      <c r="R373" s="220"/>
    </row>
    <row r="374" spans="1:18" ht="15" customHeight="1" x14ac:dyDescent="0.3">
      <c r="A374" s="26" t="s">
        <v>36</v>
      </c>
      <c r="B374" s="26" t="s">
        <v>1116</v>
      </c>
      <c r="C374" s="26">
        <v>0.30555555555555552</v>
      </c>
      <c r="D374" s="26" t="s">
        <v>38</v>
      </c>
      <c r="E374" s="26" t="s">
        <v>90</v>
      </c>
      <c r="F374" s="26" t="s">
        <v>620</v>
      </c>
      <c r="G374" s="328"/>
      <c r="H374" s="218"/>
      <c r="I374" s="219"/>
      <c r="J374" s="219"/>
      <c r="K374" s="219"/>
      <c r="L374" s="219"/>
      <c r="M374" s="219"/>
      <c r="N374" s="219"/>
      <c r="O374" s="219"/>
      <c r="P374" s="219"/>
      <c r="Q374" s="219"/>
      <c r="R374" s="220"/>
    </row>
    <row r="375" spans="1:18" ht="15" customHeight="1" x14ac:dyDescent="0.3">
      <c r="A375" s="10" t="s">
        <v>36</v>
      </c>
      <c r="B375" s="10" t="s">
        <v>1116</v>
      </c>
      <c r="C375" s="10">
        <v>0.30555555555555552</v>
      </c>
      <c r="D375" s="10" t="s">
        <v>40</v>
      </c>
      <c r="E375" s="10" t="s">
        <v>92</v>
      </c>
      <c r="F375" s="10" t="s">
        <v>621</v>
      </c>
      <c r="G375" s="328"/>
      <c r="H375" s="218"/>
      <c r="I375" s="219"/>
      <c r="J375" s="219"/>
      <c r="K375" s="219"/>
      <c r="L375" s="219"/>
      <c r="M375" s="219"/>
      <c r="N375" s="219"/>
      <c r="O375" s="219"/>
      <c r="P375" s="219"/>
      <c r="Q375" s="219"/>
      <c r="R375" s="220"/>
    </row>
    <row r="376" spans="1:18" ht="15" customHeight="1" x14ac:dyDescent="0.3">
      <c r="A376" s="10" t="s">
        <v>36</v>
      </c>
      <c r="B376" s="10" t="s">
        <v>1116</v>
      </c>
      <c r="C376" s="10">
        <v>0.30555555555555552</v>
      </c>
      <c r="D376" s="10" t="s">
        <v>42</v>
      </c>
      <c r="E376" s="10" t="s">
        <v>92</v>
      </c>
      <c r="F376" s="10" t="s">
        <v>622</v>
      </c>
      <c r="G376" s="328"/>
      <c r="H376" s="218"/>
      <c r="I376" s="219"/>
      <c r="J376" s="219"/>
      <c r="K376" s="219"/>
      <c r="L376" s="219"/>
      <c r="M376" s="219"/>
      <c r="N376" s="219"/>
      <c r="O376" s="219"/>
      <c r="P376" s="219"/>
      <c r="Q376" s="219"/>
      <c r="R376" s="220"/>
    </row>
    <row r="377" spans="1:18" ht="15" customHeight="1" x14ac:dyDescent="0.3">
      <c r="A377" s="26" t="s">
        <v>36</v>
      </c>
      <c r="B377" s="26" t="s">
        <v>1115</v>
      </c>
      <c r="C377" s="26">
        <v>0.56597222222222221</v>
      </c>
      <c r="D377" s="26" t="s">
        <v>38</v>
      </c>
      <c r="E377" s="26" t="s">
        <v>114</v>
      </c>
      <c r="F377" s="26" t="s">
        <v>583</v>
      </c>
      <c r="G377" s="328"/>
      <c r="H377" s="218"/>
      <c r="I377" s="219"/>
      <c r="J377" s="219"/>
      <c r="K377" s="219"/>
      <c r="L377" s="219"/>
      <c r="M377" s="219"/>
      <c r="N377" s="219"/>
      <c r="O377" s="219"/>
      <c r="P377" s="219"/>
      <c r="Q377" s="219"/>
      <c r="R377" s="220"/>
    </row>
    <row r="378" spans="1:18" ht="15" customHeight="1" x14ac:dyDescent="0.3">
      <c r="A378" s="10" t="s">
        <v>36</v>
      </c>
      <c r="B378" s="10" t="s">
        <v>1115</v>
      </c>
      <c r="C378" s="10">
        <v>0.56597222222222221</v>
      </c>
      <c r="D378" s="10" t="s">
        <v>40</v>
      </c>
      <c r="E378" s="10" t="s">
        <v>115</v>
      </c>
      <c r="F378" s="10" t="s">
        <v>531</v>
      </c>
      <c r="G378" s="328"/>
      <c r="H378" s="218"/>
      <c r="I378" s="219"/>
      <c r="J378" s="219"/>
      <c r="K378" s="219"/>
      <c r="L378" s="219"/>
      <c r="M378" s="219"/>
      <c r="N378" s="219"/>
      <c r="O378" s="219"/>
      <c r="P378" s="219"/>
      <c r="Q378" s="219"/>
      <c r="R378" s="220"/>
    </row>
    <row r="379" spans="1:18" ht="15" customHeight="1" x14ac:dyDescent="0.3">
      <c r="A379" s="10" t="s">
        <v>36</v>
      </c>
      <c r="B379" s="10" t="s">
        <v>1115</v>
      </c>
      <c r="C379" s="10">
        <v>0.56597222222222221</v>
      </c>
      <c r="D379" s="10" t="s">
        <v>42</v>
      </c>
      <c r="E379" s="10" t="s">
        <v>115</v>
      </c>
      <c r="F379" s="10" t="s">
        <v>30</v>
      </c>
      <c r="G379" s="328"/>
      <c r="H379" s="218"/>
      <c r="I379" s="219"/>
      <c r="J379" s="219"/>
      <c r="K379" s="219"/>
      <c r="L379" s="219"/>
      <c r="M379" s="219"/>
      <c r="N379" s="219"/>
      <c r="O379" s="219"/>
      <c r="P379" s="219"/>
      <c r="Q379" s="219"/>
      <c r="R379" s="220"/>
    </row>
    <row r="380" spans="1:18" ht="15" customHeight="1" x14ac:dyDescent="0.3">
      <c r="A380" s="26" t="s">
        <v>36</v>
      </c>
      <c r="B380" s="26" t="s">
        <v>1117</v>
      </c>
      <c r="C380" s="26">
        <v>0.6875</v>
      </c>
      <c r="D380" s="26" t="s">
        <v>38</v>
      </c>
      <c r="E380" s="26" t="s">
        <v>54</v>
      </c>
      <c r="F380" s="26" t="s">
        <v>583</v>
      </c>
      <c r="G380" s="328"/>
      <c r="H380" s="218"/>
      <c r="I380" s="219"/>
      <c r="J380" s="219"/>
      <c r="K380" s="219"/>
      <c r="L380" s="219"/>
      <c r="M380" s="219"/>
      <c r="N380" s="219"/>
      <c r="O380" s="219"/>
      <c r="P380" s="219"/>
      <c r="Q380" s="219"/>
      <c r="R380" s="220"/>
    </row>
    <row r="381" spans="1:18" ht="15" customHeight="1" x14ac:dyDescent="0.3">
      <c r="A381" s="10" t="s">
        <v>36</v>
      </c>
      <c r="B381" s="10" t="s">
        <v>1117</v>
      </c>
      <c r="C381" s="10">
        <v>0.6875</v>
      </c>
      <c r="D381" s="10" t="s">
        <v>40</v>
      </c>
      <c r="E381" s="10" t="s">
        <v>161</v>
      </c>
      <c r="F381" s="10" t="s">
        <v>531</v>
      </c>
      <c r="G381" s="328"/>
      <c r="H381" s="218"/>
      <c r="I381" s="219"/>
      <c r="J381" s="219"/>
      <c r="K381" s="219"/>
      <c r="L381" s="219"/>
      <c r="M381" s="219"/>
      <c r="N381" s="219"/>
      <c r="O381" s="219"/>
      <c r="P381" s="219"/>
      <c r="Q381" s="219"/>
      <c r="R381" s="220"/>
    </row>
    <row r="382" spans="1:18" ht="15" customHeight="1" x14ac:dyDescent="0.3">
      <c r="A382" s="10" t="s">
        <v>36</v>
      </c>
      <c r="B382" s="10" t="s">
        <v>1117</v>
      </c>
      <c r="C382" s="10">
        <v>0.6875</v>
      </c>
      <c r="D382" s="10" t="s">
        <v>42</v>
      </c>
      <c r="E382" s="10" t="s">
        <v>161</v>
      </c>
      <c r="F382" s="10" t="s">
        <v>30</v>
      </c>
      <c r="G382" s="328"/>
      <c r="H382" s="218"/>
      <c r="I382" s="219"/>
      <c r="J382" s="219"/>
      <c r="K382" s="219"/>
      <c r="L382" s="219"/>
      <c r="M382" s="219"/>
      <c r="N382" s="219"/>
      <c r="O382" s="219"/>
      <c r="P382" s="219"/>
      <c r="Q382" s="219"/>
      <c r="R382" s="220"/>
    </row>
    <row r="383" spans="1:18" ht="15" customHeight="1" x14ac:dyDescent="0.3">
      <c r="A383" s="26" t="s">
        <v>36</v>
      </c>
      <c r="B383" s="26" t="s">
        <v>1118</v>
      </c>
      <c r="C383" s="26">
        <v>0.42708333333333331</v>
      </c>
      <c r="D383" s="26" t="s">
        <v>38</v>
      </c>
      <c r="E383" s="26" t="s">
        <v>97</v>
      </c>
      <c r="F383" s="26" t="s">
        <v>583</v>
      </c>
      <c r="G383" s="328"/>
      <c r="H383" s="218"/>
      <c r="I383" s="219"/>
      <c r="J383" s="219"/>
      <c r="K383" s="219"/>
      <c r="L383" s="219"/>
      <c r="M383" s="219"/>
      <c r="N383" s="219"/>
      <c r="O383" s="219"/>
      <c r="P383" s="219"/>
      <c r="Q383" s="219"/>
      <c r="R383" s="220"/>
    </row>
    <row r="384" spans="1:18" ht="15" customHeight="1" x14ac:dyDescent="0.3">
      <c r="A384" s="10" t="s">
        <v>36</v>
      </c>
      <c r="B384" s="10" t="s">
        <v>1118</v>
      </c>
      <c r="C384" s="10">
        <v>0.42708333333333331</v>
      </c>
      <c r="D384" s="10" t="s">
        <v>40</v>
      </c>
      <c r="E384" s="10" t="s">
        <v>104</v>
      </c>
      <c r="F384" s="10" t="s">
        <v>531</v>
      </c>
      <c r="G384" s="328"/>
      <c r="H384" s="218"/>
      <c r="I384" s="219"/>
      <c r="J384" s="219"/>
      <c r="K384" s="219"/>
      <c r="L384" s="219"/>
      <c r="M384" s="219"/>
      <c r="N384" s="219"/>
      <c r="O384" s="219"/>
      <c r="P384" s="219"/>
      <c r="Q384" s="219"/>
      <c r="R384" s="220"/>
    </row>
    <row r="385" spans="1:18" ht="15" customHeight="1" x14ac:dyDescent="0.3">
      <c r="A385" s="10" t="s">
        <v>36</v>
      </c>
      <c r="B385" s="10" t="s">
        <v>1118</v>
      </c>
      <c r="C385" s="10">
        <v>0.42708333333333331</v>
      </c>
      <c r="D385" s="10" t="s">
        <v>42</v>
      </c>
      <c r="E385" s="10" t="s">
        <v>104</v>
      </c>
      <c r="F385" s="10" t="s">
        <v>30</v>
      </c>
      <c r="G385" s="328"/>
      <c r="H385" s="218"/>
      <c r="I385" s="219"/>
      <c r="J385" s="219"/>
      <c r="K385" s="219"/>
      <c r="L385" s="219"/>
      <c r="M385" s="219"/>
      <c r="N385" s="219"/>
      <c r="O385" s="219"/>
      <c r="P385" s="219"/>
      <c r="Q385" s="219"/>
      <c r="R385" s="220"/>
    </row>
    <row r="386" spans="1:18" ht="15" customHeight="1" x14ac:dyDescent="0.3">
      <c r="A386" s="26" t="s">
        <v>36</v>
      </c>
      <c r="B386" s="26" t="s">
        <v>1113</v>
      </c>
      <c r="C386" s="26">
        <v>0.82638888888888884</v>
      </c>
      <c r="D386" s="26" t="s">
        <v>38</v>
      </c>
      <c r="E386" s="26" t="s">
        <v>439</v>
      </c>
      <c r="F386" s="26" t="s">
        <v>530</v>
      </c>
      <c r="G386" s="328"/>
      <c r="H386" s="218"/>
      <c r="I386" s="219"/>
      <c r="J386" s="219"/>
      <c r="K386" s="219"/>
      <c r="L386" s="219"/>
      <c r="M386" s="219"/>
      <c r="N386" s="219"/>
      <c r="O386" s="219"/>
      <c r="P386" s="219"/>
      <c r="Q386" s="219"/>
      <c r="R386" s="220"/>
    </row>
    <row r="387" spans="1:18" ht="15" customHeight="1" x14ac:dyDescent="0.3">
      <c r="A387" s="10" t="s">
        <v>36</v>
      </c>
      <c r="B387" s="10" t="s">
        <v>1113</v>
      </c>
      <c r="C387" s="10">
        <v>0.82638888888888884</v>
      </c>
      <c r="D387" s="10" t="s">
        <v>40</v>
      </c>
      <c r="E387" s="10" t="s">
        <v>124</v>
      </c>
      <c r="F387" s="10" t="s">
        <v>514</v>
      </c>
      <c r="G387" s="328"/>
      <c r="H387" s="218"/>
      <c r="I387" s="219"/>
      <c r="J387" s="219"/>
      <c r="K387" s="219"/>
      <c r="L387" s="219"/>
      <c r="M387" s="219"/>
      <c r="N387" s="219"/>
      <c r="O387" s="219"/>
      <c r="P387" s="219"/>
      <c r="Q387" s="219"/>
      <c r="R387" s="220"/>
    </row>
    <row r="388" spans="1:18" ht="15" customHeight="1" x14ac:dyDescent="0.3">
      <c r="A388" s="10" t="s">
        <v>36</v>
      </c>
      <c r="B388" s="10" t="s">
        <v>1113</v>
      </c>
      <c r="C388" s="10">
        <v>0.82638888888888884</v>
      </c>
      <c r="D388" s="10" t="s">
        <v>42</v>
      </c>
      <c r="E388" s="10" t="s">
        <v>124</v>
      </c>
      <c r="F388" s="10" t="s">
        <v>414</v>
      </c>
      <c r="G388" s="328"/>
      <c r="H388" s="218"/>
      <c r="I388" s="219"/>
      <c r="J388" s="219"/>
      <c r="K388" s="219"/>
      <c r="L388" s="219"/>
      <c r="M388" s="219"/>
      <c r="N388" s="219"/>
      <c r="O388" s="219"/>
      <c r="P388" s="219"/>
      <c r="Q388" s="219"/>
      <c r="R388" s="220"/>
    </row>
    <row r="389" spans="1:18" ht="15" customHeight="1" x14ac:dyDescent="0.3">
      <c r="A389" s="26" t="s">
        <v>36</v>
      </c>
      <c r="B389" s="26" t="s">
        <v>1119</v>
      </c>
      <c r="C389" s="26">
        <v>0.5</v>
      </c>
      <c r="D389" s="26" t="s">
        <v>38</v>
      </c>
      <c r="E389" s="26" t="s">
        <v>87</v>
      </c>
      <c r="F389" s="26" t="s">
        <v>436</v>
      </c>
      <c r="G389" s="328"/>
      <c r="H389" s="218"/>
      <c r="I389" s="219"/>
      <c r="J389" s="219"/>
      <c r="K389" s="219"/>
      <c r="L389" s="219"/>
      <c r="M389" s="219"/>
      <c r="N389" s="219"/>
      <c r="O389" s="219"/>
      <c r="P389" s="219"/>
      <c r="Q389" s="219"/>
      <c r="R389" s="220"/>
    </row>
    <row r="390" spans="1:18" ht="15" customHeight="1" x14ac:dyDescent="0.3">
      <c r="A390" s="10" t="s">
        <v>36</v>
      </c>
      <c r="B390" s="10" t="s">
        <v>1119</v>
      </c>
      <c r="C390" s="10">
        <v>0.5</v>
      </c>
      <c r="D390" s="10" t="s">
        <v>40</v>
      </c>
      <c r="E390" s="10" t="s">
        <v>32</v>
      </c>
      <c r="F390" s="10" t="s">
        <v>437</v>
      </c>
      <c r="G390" s="328"/>
      <c r="H390" s="218"/>
      <c r="I390" s="219"/>
      <c r="J390" s="219"/>
      <c r="K390" s="219"/>
      <c r="L390" s="219"/>
      <c r="M390" s="219"/>
      <c r="N390" s="219"/>
      <c r="O390" s="219"/>
      <c r="P390" s="219"/>
      <c r="Q390" s="219"/>
      <c r="R390" s="220"/>
    </row>
    <row r="391" spans="1:18" ht="15" customHeight="1" x14ac:dyDescent="0.3">
      <c r="A391" s="10" t="s">
        <v>36</v>
      </c>
      <c r="B391" s="10" t="s">
        <v>1119</v>
      </c>
      <c r="C391" s="10">
        <v>0.5</v>
      </c>
      <c r="D391" s="10" t="s">
        <v>42</v>
      </c>
      <c r="E391" s="10" t="s">
        <v>32</v>
      </c>
      <c r="F391" s="10" t="s">
        <v>39</v>
      </c>
      <c r="G391" s="328"/>
      <c r="H391" s="218"/>
      <c r="I391" s="219"/>
      <c r="J391" s="219"/>
      <c r="K391" s="219"/>
      <c r="L391" s="219"/>
      <c r="M391" s="219"/>
      <c r="N391" s="219"/>
      <c r="O391" s="219"/>
      <c r="P391" s="219"/>
      <c r="Q391" s="219"/>
      <c r="R391" s="220"/>
    </row>
    <row r="392" spans="1:18" ht="15" customHeight="1" x14ac:dyDescent="0.3">
      <c r="A392" s="11" t="s">
        <v>66</v>
      </c>
      <c r="B392" s="11" t="s">
        <v>1128</v>
      </c>
      <c r="C392" s="11">
        <v>0.54166666666666663</v>
      </c>
      <c r="D392" s="11" t="s">
        <v>829</v>
      </c>
      <c r="E392" s="11" t="s">
        <v>47</v>
      </c>
      <c r="F392" s="11" t="s">
        <v>657</v>
      </c>
      <c r="G392" s="328"/>
      <c r="H392" s="218"/>
      <c r="I392" s="219"/>
      <c r="J392" s="219"/>
      <c r="K392" s="219"/>
      <c r="L392" s="219"/>
      <c r="M392" s="219"/>
      <c r="N392" s="219"/>
      <c r="O392" s="219"/>
      <c r="P392" s="219"/>
      <c r="Q392" s="219"/>
      <c r="R392" s="220"/>
    </row>
    <row r="393" spans="1:18" ht="15" customHeight="1" x14ac:dyDescent="0.3">
      <c r="A393" s="26" t="s">
        <v>66</v>
      </c>
      <c r="B393" s="26" t="s">
        <v>1126</v>
      </c>
      <c r="C393" s="26">
        <v>0.16666666666666671</v>
      </c>
      <c r="D393" s="26" t="s">
        <v>68</v>
      </c>
      <c r="E393" s="26" t="s">
        <v>71</v>
      </c>
      <c r="F393" s="26" t="s">
        <v>1159</v>
      </c>
      <c r="G393" s="328"/>
      <c r="H393" s="218"/>
      <c r="I393" s="219"/>
      <c r="J393" s="219"/>
      <c r="K393" s="219"/>
      <c r="L393" s="219"/>
      <c r="M393" s="219"/>
      <c r="N393" s="219"/>
      <c r="O393" s="219"/>
      <c r="P393" s="219"/>
      <c r="Q393" s="219"/>
      <c r="R393" s="220"/>
    </row>
    <row r="394" spans="1:18" ht="15" customHeight="1" x14ac:dyDescent="0.3">
      <c r="A394" s="26" t="s">
        <v>66</v>
      </c>
      <c r="B394" s="26" t="s">
        <v>1130</v>
      </c>
      <c r="C394" s="26">
        <v>0.91666666666666663</v>
      </c>
      <c r="D394" s="26" t="s">
        <v>68</v>
      </c>
      <c r="E394" s="26" t="s">
        <v>71</v>
      </c>
      <c r="F394" s="26" t="s">
        <v>1200</v>
      </c>
      <c r="G394" s="328"/>
      <c r="H394" s="218"/>
      <c r="I394" s="219"/>
      <c r="J394" s="219"/>
      <c r="K394" s="219"/>
      <c r="L394" s="219"/>
      <c r="M394" s="219"/>
      <c r="N394" s="219"/>
      <c r="O394" s="219"/>
      <c r="P394" s="219"/>
      <c r="Q394" s="219"/>
      <c r="R394" s="220"/>
    </row>
    <row r="395" spans="1:18" ht="15" customHeight="1" x14ac:dyDescent="0.3">
      <c r="A395" s="167" t="s">
        <v>44</v>
      </c>
      <c r="B395" s="167" t="s">
        <v>1121</v>
      </c>
      <c r="C395" s="167">
        <v>0.92361111111111116</v>
      </c>
      <c r="D395" s="167" t="s">
        <v>46</v>
      </c>
      <c r="E395" s="167" t="s">
        <v>47</v>
      </c>
      <c r="F395" s="167" t="s">
        <v>1196</v>
      </c>
      <c r="G395" s="328"/>
      <c r="H395" s="168" t="s">
        <v>1122</v>
      </c>
      <c r="I395" s="169">
        <v>2.98E-2</v>
      </c>
      <c r="J395" s="170">
        <v>5</v>
      </c>
      <c r="K395" s="171" t="s">
        <v>1201</v>
      </c>
      <c r="L395" s="170">
        <v>0</v>
      </c>
      <c r="M395" s="170">
        <v>0</v>
      </c>
      <c r="N395" s="170">
        <v>0</v>
      </c>
      <c r="O395" s="171" t="s">
        <v>353</v>
      </c>
      <c r="P395" s="171">
        <v>0.92361111111111116</v>
      </c>
      <c r="Q395" s="170">
        <v>168</v>
      </c>
      <c r="R395" s="172" t="s">
        <v>1202</v>
      </c>
    </row>
    <row r="396" spans="1:18" ht="15" customHeight="1" x14ac:dyDescent="0.3">
      <c r="A396" s="18" t="s">
        <v>44</v>
      </c>
      <c r="B396" s="18" t="s">
        <v>1154</v>
      </c>
      <c r="C396" s="18">
        <v>0.61111111111111105</v>
      </c>
      <c r="D396" s="18" t="s">
        <v>46</v>
      </c>
      <c r="E396" s="18" t="s">
        <v>114</v>
      </c>
      <c r="F396" s="18" t="s">
        <v>1196</v>
      </c>
      <c r="G396" s="328"/>
      <c r="H396" s="150" t="s">
        <v>1155</v>
      </c>
      <c r="I396" s="151">
        <v>0.125</v>
      </c>
      <c r="J396" s="152">
        <v>21</v>
      </c>
      <c r="K396" s="153" t="s">
        <v>50</v>
      </c>
      <c r="L396" s="152">
        <v>11</v>
      </c>
      <c r="M396" s="152">
        <v>0</v>
      </c>
      <c r="N396" s="152">
        <v>1</v>
      </c>
      <c r="O396" s="153" t="s">
        <v>375</v>
      </c>
      <c r="P396" s="153">
        <v>0.61111111111111105</v>
      </c>
      <c r="Q396" s="152">
        <v>168</v>
      </c>
      <c r="R396" s="154" t="s">
        <v>1203</v>
      </c>
    </row>
    <row r="397" spans="1:18" ht="15" customHeight="1" x14ac:dyDescent="0.3">
      <c r="A397" s="11" t="s">
        <v>410</v>
      </c>
      <c r="B397" s="11" t="s">
        <v>1157</v>
      </c>
      <c r="C397" s="11">
        <v>0.80208333333333337</v>
      </c>
      <c r="D397" s="11" t="s">
        <v>46</v>
      </c>
      <c r="E397" s="11" t="s">
        <v>47</v>
      </c>
      <c r="F397" s="11" t="s">
        <v>1168</v>
      </c>
      <c r="G397" s="328"/>
      <c r="H397" s="218"/>
      <c r="I397" s="219"/>
      <c r="J397" s="219"/>
      <c r="K397" s="219"/>
      <c r="L397" s="219"/>
      <c r="M397" s="219"/>
      <c r="N397" s="219"/>
      <c r="O397" s="219"/>
      <c r="P397" s="219"/>
      <c r="Q397" s="219"/>
      <c r="R397" s="220"/>
    </row>
    <row r="398" spans="1:18" ht="15" customHeight="1" x14ac:dyDescent="0.3">
      <c r="A398" s="11" t="s">
        <v>78</v>
      </c>
      <c r="B398" s="11" t="s">
        <v>1135</v>
      </c>
      <c r="C398" s="11">
        <v>0.2986111111111111</v>
      </c>
      <c r="D398" s="11" t="s">
        <v>80</v>
      </c>
      <c r="E398" s="11" t="s">
        <v>47</v>
      </c>
      <c r="F398" s="11" t="s">
        <v>1195</v>
      </c>
      <c r="G398" s="328"/>
      <c r="H398" s="218"/>
      <c r="I398" s="219"/>
      <c r="J398" s="219"/>
      <c r="K398" s="219"/>
      <c r="L398" s="219"/>
      <c r="M398" s="219"/>
      <c r="N398" s="219"/>
      <c r="O398" s="219"/>
      <c r="P398" s="219"/>
      <c r="Q398" s="219"/>
      <c r="R398" s="220"/>
    </row>
    <row r="399" spans="1:18" ht="15" customHeight="1" x14ac:dyDescent="0.3">
      <c r="A399" s="10" t="s">
        <v>78</v>
      </c>
      <c r="B399" s="10" t="s">
        <v>1135</v>
      </c>
      <c r="C399" s="10">
        <v>0.2986111111111111</v>
      </c>
      <c r="D399" s="10" t="s">
        <v>83</v>
      </c>
      <c r="E399" s="10" t="s">
        <v>95</v>
      </c>
      <c r="F399" s="10" t="s">
        <v>863</v>
      </c>
      <c r="G399" s="328"/>
      <c r="H399" s="218"/>
      <c r="I399" s="219"/>
      <c r="J399" s="219"/>
      <c r="K399" s="219"/>
      <c r="L399" s="219"/>
      <c r="M399" s="219"/>
      <c r="N399" s="219"/>
      <c r="O399" s="219"/>
      <c r="P399" s="219"/>
      <c r="Q399" s="219"/>
      <c r="R399" s="220"/>
    </row>
    <row r="400" spans="1:18" ht="15" customHeight="1" x14ac:dyDescent="0.3">
      <c r="A400" s="26" t="s">
        <v>78</v>
      </c>
      <c r="B400" s="26" t="s">
        <v>1136</v>
      </c>
      <c r="C400" s="26">
        <v>0.4826388888888889</v>
      </c>
      <c r="D400" s="26" t="s">
        <v>80</v>
      </c>
      <c r="E400" s="26" t="s">
        <v>71</v>
      </c>
      <c r="F400" s="26" t="s">
        <v>573</v>
      </c>
      <c r="G400" s="328"/>
      <c r="H400" s="218"/>
      <c r="I400" s="219"/>
      <c r="J400" s="219"/>
      <c r="K400" s="219"/>
      <c r="L400" s="219"/>
      <c r="M400" s="219"/>
      <c r="N400" s="219"/>
      <c r="O400" s="219"/>
      <c r="P400" s="219"/>
      <c r="Q400" s="219"/>
      <c r="R400" s="220"/>
    </row>
    <row r="401" spans="1:18" ht="15" customHeight="1" x14ac:dyDescent="0.3">
      <c r="A401" s="10" t="s">
        <v>78</v>
      </c>
      <c r="B401" s="10" t="s">
        <v>1136</v>
      </c>
      <c r="C401" s="10">
        <v>0.4826388888888889</v>
      </c>
      <c r="D401" s="10" t="s">
        <v>83</v>
      </c>
      <c r="E401" s="10" t="s">
        <v>95</v>
      </c>
      <c r="F401" s="10" t="s">
        <v>1204</v>
      </c>
      <c r="G401" s="328"/>
      <c r="H401" s="218"/>
      <c r="I401" s="219"/>
      <c r="J401" s="219"/>
      <c r="K401" s="219"/>
      <c r="L401" s="219"/>
      <c r="M401" s="219"/>
      <c r="N401" s="219"/>
      <c r="O401" s="219"/>
      <c r="P401" s="219"/>
      <c r="Q401" s="219"/>
      <c r="R401" s="220"/>
    </row>
    <row r="402" spans="1:18" ht="15" customHeight="1" x14ac:dyDescent="0.3">
      <c r="A402" s="26" t="s">
        <v>78</v>
      </c>
      <c r="B402" s="26" t="s">
        <v>1134</v>
      </c>
      <c r="C402" s="26">
        <v>0.68402777777777779</v>
      </c>
      <c r="D402" s="26" t="s">
        <v>80</v>
      </c>
      <c r="E402" s="26" t="s">
        <v>71</v>
      </c>
      <c r="F402" s="26" t="s">
        <v>1160</v>
      </c>
      <c r="G402" s="328"/>
      <c r="H402" s="218"/>
      <c r="I402" s="219"/>
      <c r="J402" s="219"/>
      <c r="K402" s="219"/>
      <c r="L402" s="219"/>
      <c r="M402" s="219"/>
      <c r="N402" s="219"/>
      <c r="O402" s="219"/>
      <c r="P402" s="219"/>
      <c r="Q402" s="219"/>
      <c r="R402" s="220"/>
    </row>
    <row r="403" spans="1:18" ht="15" customHeight="1" x14ac:dyDescent="0.3">
      <c r="A403" s="10" t="s">
        <v>78</v>
      </c>
      <c r="B403" s="10" t="s">
        <v>1134</v>
      </c>
      <c r="C403" s="10">
        <v>0.68402777777777779</v>
      </c>
      <c r="D403" s="10" t="s">
        <v>83</v>
      </c>
      <c r="E403" s="10" t="s">
        <v>95</v>
      </c>
      <c r="F403" s="10" t="s">
        <v>1161</v>
      </c>
      <c r="G403" s="328"/>
      <c r="H403" s="218"/>
      <c r="I403" s="219"/>
      <c r="J403" s="219"/>
      <c r="K403" s="219"/>
      <c r="L403" s="219"/>
      <c r="M403" s="219"/>
      <c r="N403" s="219"/>
      <c r="O403" s="219"/>
      <c r="P403" s="219"/>
      <c r="Q403" s="219"/>
      <c r="R403" s="220"/>
    </row>
    <row r="404" spans="1:18" ht="15" customHeight="1" x14ac:dyDescent="0.3">
      <c r="A404" s="26" t="s">
        <v>78</v>
      </c>
      <c r="B404" s="26" t="s">
        <v>1137</v>
      </c>
      <c r="C404" s="26">
        <v>0.83680555555555547</v>
      </c>
      <c r="D404" s="26" t="s">
        <v>80</v>
      </c>
      <c r="E404" s="26" t="s">
        <v>71</v>
      </c>
      <c r="F404" s="26" t="s">
        <v>108</v>
      </c>
      <c r="G404" s="328"/>
      <c r="H404" s="218"/>
      <c r="I404" s="219"/>
      <c r="J404" s="219"/>
      <c r="K404" s="219"/>
      <c r="L404" s="219"/>
      <c r="M404" s="219"/>
      <c r="N404" s="219"/>
      <c r="O404" s="219"/>
      <c r="P404" s="219"/>
      <c r="Q404" s="219"/>
      <c r="R404" s="220"/>
    </row>
    <row r="405" spans="1:18" ht="15" customHeight="1" x14ac:dyDescent="0.3">
      <c r="A405" s="10" t="s">
        <v>78</v>
      </c>
      <c r="B405" s="10" t="s">
        <v>1137</v>
      </c>
      <c r="C405" s="10">
        <v>0.83680555555555547</v>
      </c>
      <c r="D405" s="10" t="s">
        <v>83</v>
      </c>
      <c r="E405" s="10" t="s">
        <v>95</v>
      </c>
      <c r="F405" s="10" t="s">
        <v>1103</v>
      </c>
      <c r="G405" s="328"/>
      <c r="H405" s="218"/>
      <c r="I405" s="219"/>
      <c r="J405" s="219"/>
      <c r="K405" s="219"/>
      <c r="L405" s="219"/>
      <c r="M405" s="219"/>
      <c r="N405" s="219"/>
      <c r="O405" s="219"/>
      <c r="P405" s="219"/>
      <c r="Q405" s="219"/>
      <c r="R405" s="220"/>
    </row>
    <row r="406" spans="1:18" ht="15" customHeight="1" x14ac:dyDescent="0.3">
      <c r="A406" s="26" t="s">
        <v>78</v>
      </c>
      <c r="B406" s="26" t="s">
        <v>1140</v>
      </c>
      <c r="C406" s="26">
        <v>0.5</v>
      </c>
      <c r="D406" s="26" t="s">
        <v>83</v>
      </c>
      <c r="E406" s="26" t="s">
        <v>87</v>
      </c>
      <c r="F406" s="26" t="s">
        <v>1141</v>
      </c>
      <c r="G406" s="328"/>
      <c r="H406" s="218"/>
      <c r="I406" s="219"/>
      <c r="J406" s="219"/>
      <c r="K406" s="219"/>
      <c r="L406" s="219"/>
      <c r="M406" s="219"/>
      <c r="N406" s="219"/>
      <c r="O406" s="219"/>
      <c r="P406" s="219"/>
      <c r="Q406" s="219"/>
      <c r="R406" s="220"/>
    </row>
    <row r="407" spans="1:18" ht="15" customHeight="1" x14ac:dyDescent="0.3">
      <c r="A407" s="26" t="s">
        <v>78</v>
      </c>
      <c r="B407" s="26" t="s">
        <v>1142</v>
      </c>
      <c r="C407" s="26">
        <v>0.76041666666666663</v>
      </c>
      <c r="D407" s="26" t="s">
        <v>83</v>
      </c>
      <c r="E407" s="26" t="s">
        <v>87</v>
      </c>
      <c r="F407" s="26" t="s">
        <v>1205</v>
      </c>
      <c r="G407" s="328"/>
      <c r="H407" s="218"/>
      <c r="I407" s="219"/>
      <c r="J407" s="219"/>
      <c r="K407" s="219"/>
      <c r="L407" s="219"/>
      <c r="M407" s="219"/>
      <c r="N407" s="219"/>
      <c r="O407" s="219"/>
      <c r="P407" s="219"/>
      <c r="Q407" s="219"/>
      <c r="R407" s="220"/>
    </row>
    <row r="408" spans="1:18" ht="15" customHeight="1" x14ac:dyDescent="0.3">
      <c r="A408" s="31" t="s">
        <v>78</v>
      </c>
      <c r="B408" s="31" t="s">
        <v>1143</v>
      </c>
      <c r="C408" s="31">
        <v>0.81597222222222221</v>
      </c>
      <c r="D408" s="31" t="s">
        <v>83</v>
      </c>
      <c r="E408" s="31" t="s">
        <v>87</v>
      </c>
      <c r="F408" s="31" t="s">
        <v>1206</v>
      </c>
      <c r="G408" s="328"/>
      <c r="H408" s="231"/>
      <c r="I408" s="232"/>
      <c r="J408" s="232"/>
      <c r="K408" s="232"/>
      <c r="L408" s="232"/>
      <c r="M408" s="232"/>
      <c r="N408" s="232"/>
      <c r="O408" s="232"/>
      <c r="P408" s="232"/>
      <c r="Q408" s="232"/>
      <c r="R408" s="233"/>
    </row>
    <row r="409" spans="1:18" ht="17.399999999999999" customHeight="1" x14ac:dyDescent="0.3">
      <c r="A409" s="360"/>
      <c r="B409" s="361"/>
      <c r="C409" s="361"/>
      <c r="D409" s="361"/>
      <c r="E409" s="361"/>
      <c r="F409" s="361"/>
      <c r="G409" s="361"/>
      <c r="H409" s="361"/>
      <c r="I409" s="361"/>
      <c r="J409" s="361"/>
      <c r="K409" s="361"/>
      <c r="L409" s="361"/>
      <c r="M409" s="361"/>
      <c r="N409" s="361"/>
      <c r="O409" s="361"/>
      <c r="P409" s="361"/>
      <c r="Q409" s="361"/>
      <c r="R409" s="362"/>
    </row>
    <row r="410" spans="1:18" ht="22.05" customHeight="1" x14ac:dyDescent="0.3">
      <c r="A410" s="323" t="s">
        <v>6</v>
      </c>
      <c r="B410" s="324"/>
      <c r="C410" s="324"/>
      <c r="D410" s="324"/>
      <c r="E410" s="324"/>
      <c r="F410" s="324"/>
      <c r="G410" s="2">
        <v>45995</v>
      </c>
      <c r="H410" s="323" t="s">
        <v>7</v>
      </c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</row>
    <row r="411" spans="1:18" ht="24" customHeight="1" x14ac:dyDescent="0.3">
      <c r="A411" s="3" t="s">
        <v>8</v>
      </c>
      <c r="B411" s="3" t="s">
        <v>9</v>
      </c>
      <c r="C411" s="3" t="s">
        <v>10</v>
      </c>
      <c r="D411" s="3" t="s">
        <v>11</v>
      </c>
      <c r="E411" s="3" t="s">
        <v>12</v>
      </c>
      <c r="F411" s="4" t="s">
        <v>13</v>
      </c>
      <c r="G411" s="5" t="s">
        <v>14</v>
      </c>
      <c r="H411" s="3" t="s">
        <v>15</v>
      </c>
      <c r="I411" s="3" t="s">
        <v>16</v>
      </c>
      <c r="J411" s="3" t="s">
        <v>17</v>
      </c>
      <c r="K411" s="3" t="s">
        <v>18</v>
      </c>
      <c r="L411" s="3" t="s">
        <v>19</v>
      </c>
      <c r="M411" s="3" t="s">
        <v>20</v>
      </c>
      <c r="N411" s="3" t="s">
        <v>21</v>
      </c>
      <c r="O411" s="3" t="s">
        <v>22</v>
      </c>
      <c r="P411" s="3" t="s">
        <v>23</v>
      </c>
      <c r="Q411" s="3" t="s">
        <v>24</v>
      </c>
      <c r="R411" s="3" t="s">
        <v>25</v>
      </c>
    </row>
    <row r="412" spans="1:18" ht="15" customHeight="1" x14ac:dyDescent="0.3">
      <c r="A412" s="6" t="s">
        <v>66</v>
      </c>
      <c r="B412" s="6" t="s">
        <v>1126</v>
      </c>
      <c r="C412" s="6">
        <v>0.16666666666666671</v>
      </c>
      <c r="D412" s="6" t="s">
        <v>829</v>
      </c>
      <c r="E412" s="6" t="s">
        <v>314</v>
      </c>
      <c r="F412" s="6" t="s">
        <v>657</v>
      </c>
      <c r="G412" s="335"/>
      <c r="H412" s="218"/>
      <c r="I412" s="219"/>
      <c r="J412" s="219"/>
      <c r="K412" s="219"/>
      <c r="L412" s="219"/>
      <c r="M412" s="219"/>
      <c r="N412" s="219"/>
      <c r="O412" s="219"/>
      <c r="P412" s="219"/>
      <c r="Q412" s="219"/>
      <c r="R412" s="220"/>
    </row>
    <row r="413" spans="1:18" ht="15" customHeight="1" x14ac:dyDescent="0.3">
      <c r="A413" s="26" t="s">
        <v>66</v>
      </c>
      <c r="B413" s="26" t="s">
        <v>1128</v>
      </c>
      <c r="C413" s="26">
        <v>0.52083333333333337</v>
      </c>
      <c r="D413" s="26" t="s">
        <v>68</v>
      </c>
      <c r="E413" s="26" t="s">
        <v>71</v>
      </c>
      <c r="F413" s="26" t="s">
        <v>1207</v>
      </c>
      <c r="G413" s="328"/>
      <c r="H413" s="218"/>
      <c r="I413" s="219"/>
      <c r="J413" s="219"/>
      <c r="K413" s="219"/>
      <c r="L413" s="219"/>
      <c r="M413" s="219"/>
      <c r="N413" s="219"/>
      <c r="O413" s="219"/>
      <c r="P413" s="219"/>
      <c r="Q413" s="219"/>
      <c r="R413" s="220"/>
    </row>
    <row r="414" spans="1:18" ht="15" customHeight="1" x14ac:dyDescent="0.3">
      <c r="A414" s="26" t="s">
        <v>66</v>
      </c>
      <c r="B414" s="26" t="s">
        <v>1130</v>
      </c>
      <c r="C414" s="26">
        <v>0.91666666666666663</v>
      </c>
      <c r="D414" s="26" t="s">
        <v>68</v>
      </c>
      <c r="E414" s="26" t="s">
        <v>71</v>
      </c>
      <c r="F414" s="26" t="s">
        <v>1208</v>
      </c>
      <c r="G414" s="328"/>
      <c r="H414" s="218"/>
      <c r="I414" s="219"/>
      <c r="J414" s="219"/>
      <c r="K414" s="219"/>
      <c r="L414" s="219"/>
      <c r="M414" s="219"/>
      <c r="N414" s="219"/>
      <c r="O414" s="219"/>
      <c r="P414" s="219"/>
      <c r="Q414" s="219"/>
      <c r="R414" s="220"/>
    </row>
    <row r="415" spans="1:18" ht="15" customHeight="1" x14ac:dyDescent="0.3">
      <c r="A415" s="167" t="s">
        <v>44</v>
      </c>
      <c r="B415" s="167" t="s">
        <v>1154</v>
      </c>
      <c r="C415" s="167">
        <v>0.61111111111111105</v>
      </c>
      <c r="D415" s="167" t="s">
        <v>46</v>
      </c>
      <c r="E415" s="167" t="s">
        <v>132</v>
      </c>
      <c r="F415" s="167" t="s">
        <v>1209</v>
      </c>
      <c r="G415" s="328"/>
      <c r="H415" s="168" t="s">
        <v>1155</v>
      </c>
      <c r="I415" s="169">
        <v>0.1429</v>
      </c>
      <c r="J415" s="170">
        <v>24</v>
      </c>
      <c r="K415" s="171" t="s">
        <v>50</v>
      </c>
      <c r="L415" s="170">
        <v>14</v>
      </c>
      <c r="M415" s="170">
        <v>0</v>
      </c>
      <c r="N415" s="170">
        <v>5</v>
      </c>
      <c r="O415" s="171" t="s">
        <v>586</v>
      </c>
      <c r="P415" s="171">
        <v>0.61111111111111105</v>
      </c>
      <c r="Q415" s="170">
        <v>168</v>
      </c>
      <c r="R415" s="172" t="s">
        <v>1210</v>
      </c>
    </row>
    <row r="416" spans="1:18" ht="15" customHeight="1" x14ac:dyDescent="0.3">
      <c r="A416" s="11" t="s">
        <v>404</v>
      </c>
      <c r="B416" s="11" t="s">
        <v>1166</v>
      </c>
      <c r="C416" s="11">
        <v>0.87847222222222221</v>
      </c>
      <c r="D416" s="11" t="s">
        <v>46</v>
      </c>
      <c r="E416" s="11" t="s">
        <v>81</v>
      </c>
      <c r="F416" s="11" t="s">
        <v>514</v>
      </c>
      <c r="G416" s="328"/>
      <c r="H416" s="218"/>
      <c r="I416" s="219"/>
      <c r="J416" s="219"/>
      <c r="K416" s="219"/>
      <c r="L416" s="219"/>
      <c r="M416" s="219"/>
      <c r="N416" s="219"/>
      <c r="O416" s="219"/>
      <c r="P416" s="219"/>
      <c r="Q416" s="219"/>
      <c r="R416" s="220"/>
    </row>
    <row r="417" spans="1:18" ht="15" customHeight="1" x14ac:dyDescent="0.3">
      <c r="A417" s="11" t="s">
        <v>410</v>
      </c>
      <c r="B417" s="11" t="s">
        <v>1157</v>
      </c>
      <c r="C417" s="11">
        <v>0.80208333333333337</v>
      </c>
      <c r="D417" s="11" t="s">
        <v>46</v>
      </c>
      <c r="E417" s="11" t="s">
        <v>47</v>
      </c>
      <c r="F417" s="11" t="s">
        <v>1211</v>
      </c>
      <c r="G417" s="328"/>
      <c r="H417" s="218"/>
      <c r="I417" s="219"/>
      <c r="J417" s="219"/>
      <c r="K417" s="219"/>
      <c r="L417" s="219"/>
      <c r="M417" s="219"/>
      <c r="N417" s="219"/>
      <c r="O417" s="219"/>
      <c r="P417" s="219"/>
      <c r="Q417" s="219"/>
      <c r="R417" s="220"/>
    </row>
    <row r="418" spans="1:18" ht="15" customHeight="1" x14ac:dyDescent="0.3">
      <c r="A418" s="11" t="s">
        <v>78</v>
      </c>
      <c r="B418" s="11" t="s">
        <v>1135</v>
      </c>
      <c r="C418" s="11">
        <v>0.2986111111111111</v>
      </c>
      <c r="D418" s="11" t="s">
        <v>80</v>
      </c>
      <c r="E418" s="11" t="s">
        <v>132</v>
      </c>
      <c r="F418" s="11" t="s">
        <v>797</v>
      </c>
      <c r="G418" s="328"/>
      <c r="H418" s="218"/>
      <c r="I418" s="219"/>
      <c r="J418" s="219"/>
      <c r="K418" s="219"/>
      <c r="L418" s="219"/>
      <c r="M418" s="219"/>
      <c r="N418" s="219"/>
      <c r="O418" s="219"/>
      <c r="P418" s="219"/>
      <c r="Q418" s="219"/>
      <c r="R418" s="220"/>
    </row>
    <row r="419" spans="1:18" ht="15" customHeight="1" x14ac:dyDescent="0.3">
      <c r="A419" s="10" t="s">
        <v>78</v>
      </c>
      <c r="B419" s="10" t="s">
        <v>1135</v>
      </c>
      <c r="C419" s="10">
        <v>0.2986111111111111</v>
      </c>
      <c r="D419" s="10" t="s">
        <v>83</v>
      </c>
      <c r="E419" s="10" t="s">
        <v>115</v>
      </c>
      <c r="F419" s="10" t="s">
        <v>1172</v>
      </c>
      <c r="G419" s="328"/>
      <c r="H419" s="218"/>
      <c r="I419" s="219"/>
      <c r="J419" s="219"/>
      <c r="K419" s="219"/>
      <c r="L419" s="219"/>
      <c r="M419" s="219"/>
      <c r="N419" s="219"/>
      <c r="O419" s="219"/>
      <c r="P419" s="219"/>
      <c r="Q419" s="219"/>
      <c r="R419" s="220"/>
    </row>
    <row r="420" spans="1:18" ht="15" customHeight="1" x14ac:dyDescent="0.3">
      <c r="A420" s="26" t="s">
        <v>78</v>
      </c>
      <c r="B420" s="26" t="s">
        <v>1136</v>
      </c>
      <c r="C420" s="26">
        <v>0.4826388888888889</v>
      </c>
      <c r="D420" s="26" t="s">
        <v>80</v>
      </c>
      <c r="E420" s="26" t="s">
        <v>71</v>
      </c>
      <c r="F420" s="26" t="s">
        <v>1212</v>
      </c>
      <c r="G420" s="328"/>
      <c r="H420" s="218"/>
      <c r="I420" s="219"/>
      <c r="J420" s="219"/>
      <c r="K420" s="219"/>
      <c r="L420" s="219"/>
      <c r="M420" s="219"/>
      <c r="N420" s="219"/>
      <c r="O420" s="219"/>
      <c r="P420" s="219"/>
      <c r="Q420" s="219"/>
      <c r="R420" s="220"/>
    </row>
    <row r="421" spans="1:18" ht="15" customHeight="1" x14ac:dyDescent="0.3">
      <c r="A421" s="10" t="s">
        <v>78</v>
      </c>
      <c r="B421" s="10" t="s">
        <v>1136</v>
      </c>
      <c r="C421" s="10">
        <v>0.4826388888888889</v>
      </c>
      <c r="D421" s="10" t="s">
        <v>83</v>
      </c>
      <c r="E421" s="10" t="s">
        <v>95</v>
      </c>
      <c r="F421" s="10" t="s">
        <v>1213</v>
      </c>
      <c r="G421" s="328"/>
      <c r="H421" s="218"/>
      <c r="I421" s="219"/>
      <c r="J421" s="219"/>
      <c r="K421" s="219"/>
      <c r="L421" s="219"/>
      <c r="M421" s="219"/>
      <c r="N421" s="219"/>
      <c r="O421" s="219"/>
      <c r="P421" s="219"/>
      <c r="Q421" s="219"/>
      <c r="R421" s="220"/>
    </row>
    <row r="422" spans="1:18" ht="15" customHeight="1" x14ac:dyDescent="0.3">
      <c r="A422" s="26" t="s">
        <v>78</v>
      </c>
      <c r="B422" s="26" t="s">
        <v>1137</v>
      </c>
      <c r="C422" s="26">
        <v>0.83680555555555547</v>
      </c>
      <c r="D422" s="26" t="s">
        <v>80</v>
      </c>
      <c r="E422" s="26" t="s">
        <v>71</v>
      </c>
      <c r="F422" s="26" t="s">
        <v>870</v>
      </c>
      <c r="G422" s="328"/>
      <c r="H422" s="218"/>
      <c r="I422" s="219"/>
      <c r="J422" s="219"/>
      <c r="K422" s="219"/>
      <c r="L422" s="219"/>
      <c r="M422" s="219"/>
      <c r="N422" s="219"/>
      <c r="O422" s="219"/>
      <c r="P422" s="219"/>
      <c r="Q422" s="219"/>
      <c r="R422" s="220"/>
    </row>
    <row r="423" spans="1:18" ht="15" customHeight="1" x14ac:dyDescent="0.3">
      <c r="A423" s="10" t="s">
        <v>78</v>
      </c>
      <c r="B423" s="10" t="s">
        <v>1137</v>
      </c>
      <c r="C423" s="10">
        <v>0.83680555555555547</v>
      </c>
      <c r="D423" s="10" t="s">
        <v>83</v>
      </c>
      <c r="E423" s="10" t="s">
        <v>95</v>
      </c>
      <c r="F423" s="10" t="s">
        <v>1175</v>
      </c>
      <c r="G423" s="328"/>
      <c r="H423" s="218"/>
      <c r="I423" s="219"/>
      <c r="J423" s="219"/>
      <c r="K423" s="219"/>
      <c r="L423" s="219"/>
      <c r="M423" s="219"/>
      <c r="N423" s="219"/>
      <c r="O423" s="219"/>
      <c r="P423" s="219"/>
      <c r="Q423" s="219"/>
      <c r="R423" s="220"/>
    </row>
    <row r="424" spans="1:18" ht="15" customHeight="1" x14ac:dyDescent="0.3">
      <c r="A424" s="26" t="s">
        <v>78</v>
      </c>
      <c r="B424" s="26" t="s">
        <v>1134</v>
      </c>
      <c r="C424" s="26">
        <v>0.68402777777777779</v>
      </c>
      <c r="D424" s="26" t="s">
        <v>80</v>
      </c>
      <c r="E424" s="26" t="s">
        <v>71</v>
      </c>
      <c r="F424" s="26" t="s">
        <v>870</v>
      </c>
      <c r="G424" s="328"/>
      <c r="H424" s="218"/>
      <c r="I424" s="219"/>
      <c r="J424" s="219"/>
      <c r="K424" s="219"/>
      <c r="L424" s="219"/>
      <c r="M424" s="219"/>
      <c r="N424" s="219"/>
      <c r="O424" s="219"/>
      <c r="P424" s="219"/>
      <c r="Q424" s="219"/>
      <c r="R424" s="220"/>
    </row>
    <row r="425" spans="1:18" ht="15" customHeight="1" x14ac:dyDescent="0.3">
      <c r="A425" s="10" t="s">
        <v>78</v>
      </c>
      <c r="B425" s="10" t="s">
        <v>1134</v>
      </c>
      <c r="C425" s="10">
        <v>0.68402777777777779</v>
      </c>
      <c r="D425" s="10" t="s">
        <v>83</v>
      </c>
      <c r="E425" s="10" t="s">
        <v>95</v>
      </c>
      <c r="F425" s="10" t="s">
        <v>1175</v>
      </c>
      <c r="G425" s="328"/>
      <c r="H425" s="218"/>
      <c r="I425" s="219"/>
      <c r="J425" s="219"/>
      <c r="K425" s="219"/>
      <c r="L425" s="219"/>
      <c r="M425" s="219"/>
      <c r="N425" s="219"/>
      <c r="O425" s="219"/>
      <c r="P425" s="219"/>
      <c r="Q425" s="219"/>
      <c r="R425" s="220"/>
    </row>
    <row r="426" spans="1:18" ht="15" customHeight="1" x14ac:dyDescent="0.3">
      <c r="A426" s="26" t="s">
        <v>78</v>
      </c>
      <c r="B426" s="26" t="s">
        <v>1140</v>
      </c>
      <c r="C426" s="26">
        <v>0.5</v>
      </c>
      <c r="D426" s="26" t="s">
        <v>83</v>
      </c>
      <c r="E426" s="26" t="s">
        <v>87</v>
      </c>
      <c r="F426" s="26" t="s">
        <v>1214</v>
      </c>
      <c r="G426" s="328"/>
      <c r="H426" s="218"/>
      <c r="I426" s="219"/>
      <c r="J426" s="219"/>
      <c r="K426" s="219"/>
      <c r="L426" s="219"/>
      <c r="M426" s="219"/>
      <c r="N426" s="219"/>
      <c r="O426" s="219"/>
      <c r="P426" s="219"/>
      <c r="Q426" s="219"/>
      <c r="R426" s="220"/>
    </row>
    <row r="427" spans="1:18" ht="15" customHeight="1" x14ac:dyDescent="0.3">
      <c r="A427" s="31" t="s">
        <v>78</v>
      </c>
      <c r="B427" s="31" t="s">
        <v>1143</v>
      </c>
      <c r="C427" s="31">
        <v>0.81597222222222221</v>
      </c>
      <c r="D427" s="31" t="s">
        <v>83</v>
      </c>
      <c r="E427" s="31" t="s">
        <v>87</v>
      </c>
      <c r="F427" s="31" t="s">
        <v>1215</v>
      </c>
      <c r="G427" s="328"/>
      <c r="H427" s="231"/>
      <c r="I427" s="232"/>
      <c r="J427" s="232"/>
      <c r="K427" s="232"/>
      <c r="L427" s="232"/>
      <c r="M427" s="232"/>
      <c r="N427" s="232"/>
      <c r="O427" s="232"/>
      <c r="P427" s="232"/>
      <c r="Q427" s="232"/>
      <c r="R427" s="233"/>
    </row>
    <row r="428" spans="1:18" ht="17.399999999999999" customHeight="1" x14ac:dyDescent="0.3">
      <c r="A428" s="360"/>
      <c r="B428" s="361"/>
      <c r="C428" s="361"/>
      <c r="D428" s="361"/>
      <c r="E428" s="361"/>
      <c r="F428" s="361"/>
      <c r="G428" s="361"/>
      <c r="H428" s="361"/>
      <c r="I428" s="361"/>
      <c r="J428" s="361"/>
      <c r="K428" s="361"/>
      <c r="L428" s="361"/>
      <c r="M428" s="361"/>
      <c r="N428" s="361"/>
      <c r="O428" s="361"/>
      <c r="P428" s="361"/>
      <c r="Q428" s="361"/>
      <c r="R428" s="362"/>
    </row>
    <row r="429" spans="1:18" ht="22.05" customHeight="1" x14ac:dyDescent="0.3">
      <c r="A429" s="323" t="s">
        <v>6</v>
      </c>
      <c r="B429" s="324"/>
      <c r="C429" s="324"/>
      <c r="D429" s="324"/>
      <c r="E429" s="324"/>
      <c r="F429" s="324"/>
      <c r="G429" s="2">
        <v>45996</v>
      </c>
      <c r="H429" s="323" t="s">
        <v>7</v>
      </c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</row>
    <row r="430" spans="1:18" ht="24" customHeight="1" x14ac:dyDescent="0.3">
      <c r="A430" s="3" t="s">
        <v>8</v>
      </c>
      <c r="B430" s="3" t="s">
        <v>9</v>
      </c>
      <c r="C430" s="3" t="s">
        <v>10</v>
      </c>
      <c r="D430" s="3" t="s">
        <v>11</v>
      </c>
      <c r="E430" s="3" t="s">
        <v>12</v>
      </c>
      <c r="F430" s="4" t="s">
        <v>13</v>
      </c>
      <c r="G430" s="5" t="s">
        <v>14</v>
      </c>
      <c r="H430" s="3" t="s">
        <v>15</v>
      </c>
      <c r="I430" s="3" t="s">
        <v>16</v>
      </c>
      <c r="J430" s="3" t="s">
        <v>17</v>
      </c>
      <c r="K430" s="3" t="s">
        <v>18</v>
      </c>
      <c r="L430" s="3" t="s">
        <v>19</v>
      </c>
      <c r="M430" s="3" t="s">
        <v>20</v>
      </c>
      <c r="N430" s="3" t="s">
        <v>21</v>
      </c>
      <c r="O430" s="3" t="s">
        <v>22</v>
      </c>
      <c r="P430" s="3" t="s">
        <v>23</v>
      </c>
      <c r="Q430" s="3" t="s">
        <v>24</v>
      </c>
      <c r="R430" s="3" t="s">
        <v>25</v>
      </c>
    </row>
    <row r="431" spans="1:18" ht="15" customHeight="1" x14ac:dyDescent="0.3">
      <c r="A431" s="6" t="s">
        <v>26</v>
      </c>
      <c r="B431" s="6" t="s">
        <v>1099</v>
      </c>
      <c r="C431" s="6">
        <v>0.76041666666666663</v>
      </c>
      <c r="D431" s="6" t="s">
        <v>28</v>
      </c>
      <c r="E431" s="6" t="s">
        <v>180</v>
      </c>
      <c r="F431" s="6" t="s">
        <v>1216</v>
      </c>
      <c r="G431" s="335"/>
      <c r="H431" s="218"/>
      <c r="I431" s="219"/>
      <c r="J431" s="219"/>
      <c r="K431" s="219"/>
      <c r="L431" s="219"/>
      <c r="M431" s="219"/>
      <c r="N431" s="219"/>
      <c r="O431" s="219"/>
      <c r="P431" s="219"/>
      <c r="Q431" s="219"/>
      <c r="R431" s="220"/>
    </row>
    <row r="432" spans="1:18" ht="15" customHeight="1" x14ac:dyDescent="0.3">
      <c r="A432" s="10" t="s">
        <v>26</v>
      </c>
      <c r="B432" s="10" t="s">
        <v>1099</v>
      </c>
      <c r="C432" s="10">
        <v>0.76041666666666663</v>
      </c>
      <c r="D432" s="10" t="s">
        <v>31</v>
      </c>
      <c r="E432" s="10" t="s">
        <v>181</v>
      </c>
      <c r="F432" s="10" t="s">
        <v>440</v>
      </c>
      <c r="G432" s="328"/>
      <c r="H432" s="218"/>
      <c r="I432" s="219"/>
      <c r="J432" s="219"/>
      <c r="K432" s="219"/>
      <c r="L432" s="219"/>
      <c r="M432" s="219"/>
      <c r="N432" s="219"/>
      <c r="O432" s="219"/>
      <c r="P432" s="219"/>
      <c r="Q432" s="219"/>
      <c r="R432" s="220"/>
    </row>
    <row r="433" spans="1:18" ht="15" customHeight="1" x14ac:dyDescent="0.3">
      <c r="A433" s="10" t="s">
        <v>26</v>
      </c>
      <c r="B433" s="10" t="s">
        <v>1099</v>
      </c>
      <c r="C433" s="10">
        <v>0.76041666666666663</v>
      </c>
      <c r="D433" s="10" t="s">
        <v>34</v>
      </c>
      <c r="E433" s="10" t="s">
        <v>181</v>
      </c>
      <c r="F433" s="10" t="s">
        <v>1103</v>
      </c>
      <c r="G433" s="328"/>
      <c r="H433" s="218"/>
      <c r="I433" s="219"/>
      <c r="J433" s="219"/>
      <c r="K433" s="219"/>
      <c r="L433" s="219"/>
      <c r="M433" s="219"/>
      <c r="N433" s="219"/>
      <c r="O433" s="219"/>
      <c r="P433" s="219"/>
      <c r="Q433" s="219"/>
      <c r="R433" s="220"/>
    </row>
    <row r="434" spans="1:18" ht="15" customHeight="1" x14ac:dyDescent="0.3">
      <c r="A434" s="26" t="s">
        <v>26</v>
      </c>
      <c r="B434" s="26" t="s">
        <v>1104</v>
      </c>
      <c r="C434" s="26">
        <v>0.5</v>
      </c>
      <c r="D434" s="26" t="s">
        <v>28</v>
      </c>
      <c r="E434" s="26" t="s">
        <v>54</v>
      </c>
      <c r="F434" s="26" t="s">
        <v>1216</v>
      </c>
      <c r="G434" s="328"/>
      <c r="H434" s="218"/>
      <c r="I434" s="219"/>
      <c r="J434" s="219"/>
      <c r="K434" s="219"/>
      <c r="L434" s="219"/>
      <c r="M434" s="219"/>
      <c r="N434" s="219"/>
      <c r="O434" s="219"/>
      <c r="P434" s="219"/>
      <c r="Q434" s="219"/>
      <c r="R434" s="220"/>
    </row>
    <row r="435" spans="1:18" ht="15" customHeight="1" x14ac:dyDescent="0.3">
      <c r="A435" s="10" t="s">
        <v>26</v>
      </c>
      <c r="B435" s="10" t="s">
        <v>1104</v>
      </c>
      <c r="C435" s="10">
        <v>0.5</v>
      </c>
      <c r="D435" s="10" t="s">
        <v>31</v>
      </c>
      <c r="E435" s="10" t="s">
        <v>161</v>
      </c>
      <c r="F435" s="10" t="s">
        <v>440</v>
      </c>
      <c r="G435" s="328"/>
      <c r="H435" s="218"/>
      <c r="I435" s="219"/>
      <c r="J435" s="219"/>
      <c r="K435" s="219"/>
      <c r="L435" s="219"/>
      <c r="M435" s="219"/>
      <c r="N435" s="219"/>
      <c r="O435" s="219"/>
      <c r="P435" s="219"/>
      <c r="Q435" s="219"/>
      <c r="R435" s="220"/>
    </row>
    <row r="436" spans="1:18" ht="15" customHeight="1" x14ac:dyDescent="0.3">
      <c r="A436" s="10" t="s">
        <v>26</v>
      </c>
      <c r="B436" s="10" t="s">
        <v>1104</v>
      </c>
      <c r="C436" s="10">
        <v>0.5</v>
      </c>
      <c r="D436" s="10" t="s">
        <v>34</v>
      </c>
      <c r="E436" s="10" t="s">
        <v>161</v>
      </c>
      <c r="F436" s="10" t="s">
        <v>1103</v>
      </c>
      <c r="G436" s="328"/>
      <c r="H436" s="218"/>
      <c r="I436" s="219"/>
      <c r="J436" s="219"/>
      <c r="K436" s="219"/>
      <c r="L436" s="219"/>
      <c r="M436" s="219"/>
      <c r="N436" s="219"/>
      <c r="O436" s="219"/>
      <c r="P436" s="219"/>
      <c r="Q436" s="219"/>
      <c r="R436" s="220"/>
    </row>
    <row r="437" spans="1:18" ht="15" customHeight="1" x14ac:dyDescent="0.3">
      <c r="A437" s="26" t="s">
        <v>26</v>
      </c>
      <c r="B437" s="26" t="s">
        <v>1110</v>
      </c>
      <c r="C437" s="26">
        <v>0.81597222222222221</v>
      </c>
      <c r="D437" s="26" t="s">
        <v>28</v>
      </c>
      <c r="E437" s="26" t="s">
        <v>641</v>
      </c>
      <c r="F437" s="26" t="s">
        <v>1216</v>
      </c>
      <c r="G437" s="328"/>
      <c r="H437" s="218"/>
      <c r="I437" s="219"/>
      <c r="J437" s="219"/>
      <c r="K437" s="219"/>
      <c r="L437" s="219"/>
      <c r="M437" s="219"/>
      <c r="N437" s="219"/>
      <c r="O437" s="219"/>
      <c r="P437" s="219"/>
      <c r="Q437" s="219"/>
      <c r="R437" s="220"/>
    </row>
    <row r="438" spans="1:18" ht="15" customHeight="1" x14ac:dyDescent="0.3">
      <c r="A438" s="10" t="s">
        <v>26</v>
      </c>
      <c r="B438" s="10" t="s">
        <v>1110</v>
      </c>
      <c r="C438" s="10">
        <v>0.81597222222222221</v>
      </c>
      <c r="D438" s="10" t="s">
        <v>31</v>
      </c>
      <c r="E438" s="10" t="s">
        <v>181</v>
      </c>
      <c r="F438" s="10" t="s">
        <v>440</v>
      </c>
      <c r="G438" s="328"/>
      <c r="H438" s="218"/>
      <c r="I438" s="219"/>
      <c r="J438" s="219"/>
      <c r="K438" s="219"/>
      <c r="L438" s="219"/>
      <c r="M438" s="219"/>
      <c r="N438" s="219"/>
      <c r="O438" s="219"/>
      <c r="P438" s="219"/>
      <c r="Q438" s="219"/>
      <c r="R438" s="220"/>
    </row>
    <row r="439" spans="1:18" ht="15" customHeight="1" x14ac:dyDescent="0.3">
      <c r="A439" s="10" t="s">
        <v>26</v>
      </c>
      <c r="B439" s="10" t="s">
        <v>1110</v>
      </c>
      <c r="C439" s="10">
        <v>0.81597222222222221</v>
      </c>
      <c r="D439" s="10" t="s">
        <v>34</v>
      </c>
      <c r="E439" s="10" t="s">
        <v>181</v>
      </c>
      <c r="F439" s="10" t="s">
        <v>1103</v>
      </c>
      <c r="G439" s="328"/>
      <c r="H439" s="218"/>
      <c r="I439" s="219"/>
      <c r="J439" s="219"/>
      <c r="K439" s="219"/>
      <c r="L439" s="219"/>
      <c r="M439" s="219"/>
      <c r="N439" s="219"/>
      <c r="O439" s="219"/>
      <c r="P439" s="219"/>
      <c r="Q439" s="219"/>
      <c r="R439" s="220"/>
    </row>
    <row r="440" spans="1:18" ht="15" customHeight="1" x14ac:dyDescent="0.3">
      <c r="A440" s="26" t="s">
        <v>26</v>
      </c>
      <c r="B440" s="26" t="s">
        <v>1107</v>
      </c>
      <c r="C440" s="26">
        <v>0.44791666666666669</v>
      </c>
      <c r="D440" s="26" t="s">
        <v>28</v>
      </c>
      <c r="E440" s="26" t="s">
        <v>113</v>
      </c>
      <c r="F440" s="26" t="s">
        <v>583</v>
      </c>
      <c r="G440" s="328"/>
      <c r="H440" s="218"/>
      <c r="I440" s="219"/>
      <c r="J440" s="219"/>
      <c r="K440" s="219"/>
      <c r="L440" s="219"/>
      <c r="M440" s="219"/>
      <c r="N440" s="219"/>
      <c r="O440" s="219"/>
      <c r="P440" s="219"/>
      <c r="Q440" s="219"/>
      <c r="R440" s="220"/>
    </row>
    <row r="441" spans="1:18" ht="15" customHeight="1" x14ac:dyDescent="0.3">
      <c r="A441" s="10" t="s">
        <v>26</v>
      </c>
      <c r="B441" s="10" t="s">
        <v>1107</v>
      </c>
      <c r="C441" s="10">
        <v>0.44791666666666669</v>
      </c>
      <c r="D441" s="10" t="s">
        <v>31</v>
      </c>
      <c r="E441" s="10" t="s">
        <v>136</v>
      </c>
      <c r="F441" s="10" t="s">
        <v>622</v>
      </c>
      <c r="G441" s="328"/>
      <c r="H441" s="218"/>
      <c r="I441" s="219"/>
      <c r="J441" s="219"/>
      <c r="K441" s="219"/>
      <c r="L441" s="219"/>
      <c r="M441" s="219"/>
      <c r="N441" s="219"/>
      <c r="O441" s="219"/>
      <c r="P441" s="219"/>
      <c r="Q441" s="219"/>
      <c r="R441" s="220"/>
    </row>
    <row r="442" spans="1:18" ht="15" customHeight="1" x14ac:dyDescent="0.3">
      <c r="A442" s="10" t="s">
        <v>26</v>
      </c>
      <c r="B442" s="10" t="s">
        <v>1107</v>
      </c>
      <c r="C442" s="10">
        <v>0.44791666666666669</v>
      </c>
      <c r="D442" s="10" t="s">
        <v>34</v>
      </c>
      <c r="E442" s="10" t="s">
        <v>136</v>
      </c>
      <c r="F442" s="10" t="s">
        <v>1103</v>
      </c>
      <c r="G442" s="328"/>
      <c r="H442" s="218"/>
      <c r="I442" s="219"/>
      <c r="J442" s="219"/>
      <c r="K442" s="219"/>
      <c r="L442" s="219"/>
      <c r="M442" s="219"/>
      <c r="N442" s="219"/>
      <c r="O442" s="219"/>
      <c r="P442" s="219"/>
      <c r="Q442" s="219"/>
      <c r="R442" s="220"/>
    </row>
    <row r="443" spans="1:18" ht="15" customHeight="1" x14ac:dyDescent="0.3">
      <c r="A443" s="11" t="s">
        <v>66</v>
      </c>
      <c r="B443" s="11" t="s">
        <v>1130</v>
      </c>
      <c r="C443" s="11">
        <v>0.91666666666666663</v>
      </c>
      <c r="D443" s="11" t="s">
        <v>829</v>
      </c>
      <c r="E443" s="11" t="s">
        <v>47</v>
      </c>
      <c r="F443" s="11" t="s">
        <v>1185</v>
      </c>
      <c r="G443" s="328"/>
      <c r="H443" s="218"/>
      <c r="I443" s="219"/>
      <c r="J443" s="219"/>
      <c r="K443" s="219"/>
      <c r="L443" s="219"/>
      <c r="M443" s="219"/>
      <c r="N443" s="219"/>
      <c r="O443" s="219"/>
      <c r="P443" s="219"/>
      <c r="Q443" s="219"/>
      <c r="R443" s="220"/>
    </row>
    <row r="444" spans="1:18" ht="15" customHeight="1" x14ac:dyDescent="0.3">
      <c r="A444" s="26" t="s">
        <v>66</v>
      </c>
      <c r="B444" s="26" t="s">
        <v>1128</v>
      </c>
      <c r="C444" s="26">
        <v>0.54166666666666663</v>
      </c>
      <c r="D444" s="26" t="s">
        <v>68</v>
      </c>
      <c r="E444" s="26" t="s">
        <v>71</v>
      </c>
      <c r="F444" s="26" t="s">
        <v>1159</v>
      </c>
      <c r="G444" s="328"/>
      <c r="H444" s="218"/>
      <c r="I444" s="219"/>
      <c r="J444" s="219"/>
      <c r="K444" s="219"/>
      <c r="L444" s="219"/>
      <c r="M444" s="219"/>
      <c r="N444" s="219"/>
      <c r="O444" s="219"/>
      <c r="P444" s="219"/>
      <c r="Q444" s="219"/>
      <c r="R444" s="220"/>
    </row>
    <row r="445" spans="1:18" ht="15" customHeight="1" x14ac:dyDescent="0.3">
      <c r="A445" s="26" t="s">
        <v>66</v>
      </c>
      <c r="B445" s="26" t="s">
        <v>1126</v>
      </c>
      <c r="C445" s="26">
        <v>0.16666666666666671</v>
      </c>
      <c r="D445" s="26" t="s">
        <v>68</v>
      </c>
      <c r="E445" s="26" t="s">
        <v>71</v>
      </c>
      <c r="F445" s="26" t="s">
        <v>1207</v>
      </c>
      <c r="G445" s="328"/>
      <c r="H445" s="218"/>
      <c r="I445" s="219"/>
      <c r="J445" s="219"/>
      <c r="K445" s="219"/>
      <c r="L445" s="219"/>
      <c r="M445" s="219"/>
      <c r="N445" s="219"/>
      <c r="O445" s="219"/>
      <c r="P445" s="219"/>
      <c r="Q445" s="219"/>
      <c r="R445" s="220"/>
    </row>
    <row r="446" spans="1:18" ht="15" customHeight="1" x14ac:dyDescent="0.3">
      <c r="A446" s="11" t="s">
        <v>36</v>
      </c>
      <c r="B446" s="11" t="s">
        <v>1119</v>
      </c>
      <c r="C446" s="11">
        <v>0.5</v>
      </c>
      <c r="D446" s="11" t="s">
        <v>38</v>
      </c>
      <c r="E446" s="11" t="s">
        <v>123</v>
      </c>
      <c r="F446" s="11" t="s">
        <v>583</v>
      </c>
      <c r="G446" s="328"/>
      <c r="H446" s="218"/>
      <c r="I446" s="219"/>
      <c r="J446" s="219"/>
      <c r="K446" s="219"/>
      <c r="L446" s="219"/>
      <c r="M446" s="219"/>
      <c r="N446" s="219"/>
      <c r="O446" s="219"/>
      <c r="P446" s="219"/>
      <c r="Q446" s="219"/>
      <c r="R446" s="220"/>
    </row>
    <row r="447" spans="1:18" ht="15" customHeight="1" x14ac:dyDescent="0.3">
      <c r="A447" s="10" t="s">
        <v>36</v>
      </c>
      <c r="B447" s="10" t="s">
        <v>1119</v>
      </c>
      <c r="C447" s="10">
        <v>0.5</v>
      </c>
      <c r="D447" s="10" t="s">
        <v>40</v>
      </c>
      <c r="E447" s="10" t="s">
        <v>124</v>
      </c>
      <c r="F447" s="10" t="s">
        <v>531</v>
      </c>
      <c r="G447" s="328"/>
      <c r="H447" s="218"/>
      <c r="I447" s="219"/>
      <c r="J447" s="219"/>
      <c r="K447" s="219"/>
      <c r="L447" s="219"/>
      <c r="M447" s="219"/>
      <c r="N447" s="219"/>
      <c r="O447" s="219"/>
      <c r="P447" s="219"/>
      <c r="Q447" s="219"/>
      <c r="R447" s="220"/>
    </row>
    <row r="448" spans="1:18" ht="15" customHeight="1" x14ac:dyDescent="0.3">
      <c r="A448" s="10" t="s">
        <v>36</v>
      </c>
      <c r="B448" s="10" t="s">
        <v>1119</v>
      </c>
      <c r="C448" s="10">
        <v>0.5</v>
      </c>
      <c r="D448" s="10" t="s">
        <v>42</v>
      </c>
      <c r="E448" s="10" t="s">
        <v>124</v>
      </c>
      <c r="F448" s="10" t="s">
        <v>30</v>
      </c>
      <c r="G448" s="328"/>
      <c r="H448" s="218"/>
      <c r="I448" s="219"/>
      <c r="J448" s="219"/>
      <c r="K448" s="219"/>
      <c r="L448" s="219"/>
      <c r="M448" s="219"/>
      <c r="N448" s="219"/>
      <c r="O448" s="219"/>
      <c r="P448" s="219"/>
      <c r="Q448" s="219"/>
      <c r="R448" s="220"/>
    </row>
    <row r="449" spans="1:18" ht="15" customHeight="1" x14ac:dyDescent="0.3">
      <c r="A449" s="26" t="s">
        <v>36</v>
      </c>
      <c r="B449" s="26" t="s">
        <v>1114</v>
      </c>
      <c r="C449" s="26">
        <v>0.375</v>
      </c>
      <c r="D449" s="26" t="s">
        <v>38</v>
      </c>
      <c r="E449" s="26" t="s">
        <v>439</v>
      </c>
      <c r="F449" s="26" t="s">
        <v>583</v>
      </c>
      <c r="G449" s="328"/>
      <c r="H449" s="218"/>
      <c r="I449" s="219"/>
      <c r="J449" s="219"/>
      <c r="K449" s="219"/>
      <c r="L449" s="219"/>
      <c r="M449" s="219"/>
      <c r="N449" s="219"/>
      <c r="O449" s="219"/>
      <c r="P449" s="219"/>
      <c r="Q449" s="219"/>
      <c r="R449" s="220"/>
    </row>
    <row r="450" spans="1:18" ht="15" customHeight="1" x14ac:dyDescent="0.3">
      <c r="A450" s="10" t="s">
        <v>36</v>
      </c>
      <c r="B450" s="10" t="s">
        <v>1114</v>
      </c>
      <c r="C450" s="10">
        <v>0.375</v>
      </c>
      <c r="D450" s="10" t="s">
        <v>40</v>
      </c>
      <c r="E450" s="10" t="s">
        <v>124</v>
      </c>
      <c r="F450" s="10" t="s">
        <v>531</v>
      </c>
      <c r="G450" s="328"/>
      <c r="H450" s="218"/>
      <c r="I450" s="219"/>
      <c r="J450" s="219"/>
      <c r="K450" s="219"/>
      <c r="L450" s="219"/>
      <c r="M450" s="219"/>
      <c r="N450" s="219"/>
      <c r="O450" s="219"/>
      <c r="P450" s="219"/>
      <c r="Q450" s="219"/>
      <c r="R450" s="220"/>
    </row>
    <row r="451" spans="1:18" ht="15" customHeight="1" x14ac:dyDescent="0.3">
      <c r="A451" s="10" t="s">
        <v>36</v>
      </c>
      <c r="B451" s="10" t="s">
        <v>1114</v>
      </c>
      <c r="C451" s="10">
        <v>0.375</v>
      </c>
      <c r="D451" s="10" t="s">
        <v>42</v>
      </c>
      <c r="E451" s="10" t="s">
        <v>124</v>
      </c>
      <c r="F451" s="10" t="s">
        <v>30</v>
      </c>
      <c r="G451" s="328"/>
      <c r="H451" s="218"/>
      <c r="I451" s="219"/>
      <c r="J451" s="219"/>
      <c r="K451" s="219"/>
      <c r="L451" s="219"/>
      <c r="M451" s="219"/>
      <c r="N451" s="219"/>
      <c r="O451" s="219"/>
      <c r="P451" s="219"/>
      <c r="Q451" s="219"/>
      <c r="R451" s="220"/>
    </row>
    <row r="452" spans="1:18" ht="15" customHeight="1" x14ac:dyDescent="0.3">
      <c r="A452" s="26" t="s">
        <v>36</v>
      </c>
      <c r="B452" s="26" t="s">
        <v>1115</v>
      </c>
      <c r="C452" s="26">
        <v>0.56597222222222221</v>
      </c>
      <c r="D452" s="26" t="s">
        <v>38</v>
      </c>
      <c r="E452" s="26" t="s">
        <v>90</v>
      </c>
      <c r="F452" s="26" t="s">
        <v>583</v>
      </c>
      <c r="G452" s="328"/>
      <c r="H452" s="218"/>
      <c r="I452" s="219"/>
      <c r="J452" s="219"/>
      <c r="K452" s="219"/>
      <c r="L452" s="219"/>
      <c r="M452" s="219"/>
      <c r="N452" s="219"/>
      <c r="O452" s="219"/>
      <c r="P452" s="219"/>
      <c r="Q452" s="219"/>
      <c r="R452" s="220"/>
    </row>
    <row r="453" spans="1:18" ht="15" customHeight="1" x14ac:dyDescent="0.3">
      <c r="A453" s="10" t="s">
        <v>36</v>
      </c>
      <c r="B453" s="10" t="s">
        <v>1115</v>
      </c>
      <c r="C453" s="10">
        <v>0.56597222222222221</v>
      </c>
      <c r="D453" s="10" t="s">
        <v>40</v>
      </c>
      <c r="E453" s="10" t="s">
        <v>92</v>
      </c>
      <c r="F453" s="10" t="s">
        <v>531</v>
      </c>
      <c r="G453" s="328"/>
      <c r="H453" s="218"/>
      <c r="I453" s="219"/>
      <c r="J453" s="219"/>
      <c r="K453" s="219"/>
      <c r="L453" s="219"/>
      <c r="M453" s="219"/>
      <c r="N453" s="219"/>
      <c r="O453" s="219"/>
      <c r="P453" s="219"/>
      <c r="Q453" s="219"/>
      <c r="R453" s="220"/>
    </row>
    <row r="454" spans="1:18" ht="15" customHeight="1" x14ac:dyDescent="0.3">
      <c r="A454" s="10" t="s">
        <v>36</v>
      </c>
      <c r="B454" s="10" t="s">
        <v>1115</v>
      </c>
      <c r="C454" s="10">
        <v>0.56597222222222221</v>
      </c>
      <c r="D454" s="10" t="s">
        <v>42</v>
      </c>
      <c r="E454" s="10" t="s">
        <v>92</v>
      </c>
      <c r="F454" s="10" t="s">
        <v>30</v>
      </c>
      <c r="G454" s="328"/>
      <c r="H454" s="218"/>
      <c r="I454" s="219"/>
      <c r="J454" s="219"/>
      <c r="K454" s="219"/>
      <c r="L454" s="219"/>
      <c r="M454" s="219"/>
      <c r="N454" s="219"/>
      <c r="O454" s="219"/>
      <c r="P454" s="219"/>
      <c r="Q454" s="219"/>
      <c r="R454" s="220"/>
    </row>
    <row r="455" spans="1:18" ht="15" customHeight="1" x14ac:dyDescent="0.3">
      <c r="A455" s="26" t="s">
        <v>36</v>
      </c>
      <c r="B455" s="26" t="s">
        <v>1118</v>
      </c>
      <c r="C455" s="26">
        <v>0.42708333333333331</v>
      </c>
      <c r="D455" s="26" t="s">
        <v>38</v>
      </c>
      <c r="E455" s="26" t="s">
        <v>439</v>
      </c>
      <c r="F455" s="26" t="s">
        <v>583</v>
      </c>
      <c r="G455" s="328"/>
      <c r="H455" s="218"/>
      <c r="I455" s="219"/>
      <c r="J455" s="219"/>
      <c r="K455" s="219"/>
      <c r="L455" s="219"/>
      <c r="M455" s="219"/>
      <c r="N455" s="219"/>
      <c r="O455" s="219"/>
      <c r="P455" s="219"/>
      <c r="Q455" s="219"/>
      <c r="R455" s="220"/>
    </row>
    <row r="456" spans="1:18" ht="15" customHeight="1" x14ac:dyDescent="0.3">
      <c r="A456" s="10" t="s">
        <v>36</v>
      </c>
      <c r="B456" s="10" t="s">
        <v>1118</v>
      </c>
      <c r="C456" s="10">
        <v>0.42708333333333331</v>
      </c>
      <c r="D456" s="10" t="s">
        <v>40</v>
      </c>
      <c r="E456" s="10" t="s">
        <v>124</v>
      </c>
      <c r="F456" s="10" t="s">
        <v>531</v>
      </c>
      <c r="G456" s="328"/>
      <c r="H456" s="218"/>
      <c r="I456" s="219"/>
      <c r="J456" s="219"/>
      <c r="K456" s="219"/>
      <c r="L456" s="219"/>
      <c r="M456" s="219"/>
      <c r="N456" s="219"/>
      <c r="O456" s="219"/>
      <c r="P456" s="219"/>
      <c r="Q456" s="219"/>
      <c r="R456" s="220"/>
    </row>
    <row r="457" spans="1:18" ht="15" customHeight="1" x14ac:dyDescent="0.3">
      <c r="A457" s="10" t="s">
        <v>36</v>
      </c>
      <c r="B457" s="10" t="s">
        <v>1118</v>
      </c>
      <c r="C457" s="10">
        <v>0.42708333333333331</v>
      </c>
      <c r="D457" s="10" t="s">
        <v>42</v>
      </c>
      <c r="E457" s="10" t="s">
        <v>124</v>
      </c>
      <c r="F457" s="10" t="s">
        <v>30</v>
      </c>
      <c r="G457" s="328"/>
      <c r="H457" s="218"/>
      <c r="I457" s="219"/>
      <c r="J457" s="219"/>
      <c r="K457" s="219"/>
      <c r="L457" s="219"/>
      <c r="M457" s="219"/>
      <c r="N457" s="219"/>
      <c r="O457" s="219"/>
      <c r="P457" s="219"/>
      <c r="Q457" s="219"/>
      <c r="R457" s="220"/>
    </row>
    <row r="458" spans="1:18" ht="15" customHeight="1" x14ac:dyDescent="0.3">
      <c r="A458" s="26" t="s">
        <v>36</v>
      </c>
      <c r="B458" s="26" t="s">
        <v>1113</v>
      </c>
      <c r="C458" s="26">
        <v>0.82638888888888884</v>
      </c>
      <c r="D458" s="26" t="s">
        <v>38</v>
      </c>
      <c r="E458" s="26" t="s">
        <v>113</v>
      </c>
      <c r="F458" s="26" t="s">
        <v>530</v>
      </c>
      <c r="G458" s="328"/>
      <c r="H458" s="218"/>
      <c r="I458" s="219"/>
      <c r="J458" s="219"/>
      <c r="K458" s="219"/>
      <c r="L458" s="219"/>
      <c r="M458" s="219"/>
      <c r="N458" s="219"/>
      <c r="O458" s="219"/>
      <c r="P458" s="219"/>
      <c r="Q458" s="219"/>
      <c r="R458" s="220"/>
    </row>
    <row r="459" spans="1:18" ht="15" customHeight="1" x14ac:dyDescent="0.3">
      <c r="A459" s="10" t="s">
        <v>36</v>
      </c>
      <c r="B459" s="10" t="s">
        <v>1113</v>
      </c>
      <c r="C459" s="10">
        <v>0.82638888888888884</v>
      </c>
      <c r="D459" s="10" t="s">
        <v>40</v>
      </c>
      <c r="E459" s="10" t="s">
        <v>136</v>
      </c>
      <c r="F459" s="10" t="s">
        <v>514</v>
      </c>
      <c r="G459" s="328"/>
      <c r="H459" s="218"/>
      <c r="I459" s="219"/>
      <c r="J459" s="219"/>
      <c r="K459" s="219"/>
      <c r="L459" s="219"/>
      <c r="M459" s="219"/>
      <c r="N459" s="219"/>
      <c r="O459" s="219"/>
      <c r="P459" s="219"/>
      <c r="Q459" s="219"/>
      <c r="R459" s="220"/>
    </row>
    <row r="460" spans="1:18" ht="15" customHeight="1" x14ac:dyDescent="0.3">
      <c r="A460" s="10" t="s">
        <v>36</v>
      </c>
      <c r="B460" s="10" t="s">
        <v>1113</v>
      </c>
      <c r="C460" s="10">
        <v>0.82638888888888884</v>
      </c>
      <c r="D460" s="10" t="s">
        <v>42</v>
      </c>
      <c r="E460" s="10" t="s">
        <v>136</v>
      </c>
      <c r="F460" s="10" t="s">
        <v>414</v>
      </c>
      <c r="G460" s="328"/>
      <c r="H460" s="218"/>
      <c r="I460" s="219"/>
      <c r="J460" s="219"/>
      <c r="K460" s="219"/>
      <c r="L460" s="219"/>
      <c r="M460" s="219"/>
      <c r="N460" s="219"/>
      <c r="O460" s="219"/>
      <c r="P460" s="219"/>
      <c r="Q460" s="219"/>
      <c r="R460" s="220"/>
    </row>
    <row r="461" spans="1:18" ht="15" customHeight="1" x14ac:dyDescent="0.3">
      <c r="A461" s="26" t="s">
        <v>36</v>
      </c>
      <c r="B461" s="26" t="s">
        <v>1116</v>
      </c>
      <c r="C461" s="26">
        <v>0.30555555555555552</v>
      </c>
      <c r="D461" s="26" t="s">
        <v>38</v>
      </c>
      <c r="E461" s="26" t="s">
        <v>90</v>
      </c>
      <c r="F461" s="26" t="s">
        <v>530</v>
      </c>
      <c r="G461" s="328"/>
      <c r="H461" s="218"/>
      <c r="I461" s="219"/>
      <c r="J461" s="219"/>
      <c r="K461" s="219"/>
      <c r="L461" s="219"/>
      <c r="M461" s="219"/>
      <c r="N461" s="219"/>
      <c r="O461" s="219"/>
      <c r="P461" s="219"/>
      <c r="Q461" s="219"/>
      <c r="R461" s="220"/>
    </row>
    <row r="462" spans="1:18" ht="15" customHeight="1" x14ac:dyDescent="0.3">
      <c r="A462" s="10" t="s">
        <v>36</v>
      </c>
      <c r="B462" s="10" t="s">
        <v>1116</v>
      </c>
      <c r="C462" s="10">
        <v>0.30555555555555552</v>
      </c>
      <c r="D462" s="10" t="s">
        <v>40</v>
      </c>
      <c r="E462" s="10" t="s">
        <v>92</v>
      </c>
      <c r="F462" s="10" t="s">
        <v>514</v>
      </c>
      <c r="G462" s="328"/>
      <c r="H462" s="218"/>
      <c r="I462" s="219"/>
      <c r="J462" s="219"/>
      <c r="K462" s="219"/>
      <c r="L462" s="219"/>
      <c r="M462" s="219"/>
      <c r="N462" s="219"/>
      <c r="O462" s="219"/>
      <c r="P462" s="219"/>
      <c r="Q462" s="219"/>
      <c r="R462" s="220"/>
    </row>
    <row r="463" spans="1:18" ht="15" customHeight="1" x14ac:dyDescent="0.3">
      <c r="A463" s="10" t="s">
        <v>36</v>
      </c>
      <c r="B463" s="10" t="s">
        <v>1116</v>
      </c>
      <c r="C463" s="10">
        <v>0.30555555555555552</v>
      </c>
      <c r="D463" s="10" t="s">
        <v>42</v>
      </c>
      <c r="E463" s="10" t="s">
        <v>92</v>
      </c>
      <c r="F463" s="10" t="s">
        <v>414</v>
      </c>
      <c r="G463" s="328"/>
      <c r="H463" s="218"/>
      <c r="I463" s="219"/>
      <c r="J463" s="219"/>
      <c r="K463" s="219"/>
      <c r="L463" s="219"/>
      <c r="M463" s="219"/>
      <c r="N463" s="219"/>
      <c r="O463" s="219"/>
      <c r="P463" s="219"/>
      <c r="Q463" s="219"/>
      <c r="R463" s="220"/>
    </row>
    <row r="464" spans="1:18" ht="15" customHeight="1" x14ac:dyDescent="0.3">
      <c r="A464" s="26" t="s">
        <v>36</v>
      </c>
      <c r="B464" s="26" t="s">
        <v>1117</v>
      </c>
      <c r="C464" s="26">
        <v>0.6875</v>
      </c>
      <c r="D464" s="26" t="s">
        <v>38</v>
      </c>
      <c r="E464" s="26" t="s">
        <v>87</v>
      </c>
      <c r="F464" s="26" t="s">
        <v>530</v>
      </c>
      <c r="G464" s="328"/>
      <c r="H464" s="218"/>
      <c r="I464" s="219"/>
      <c r="J464" s="219"/>
      <c r="K464" s="219"/>
      <c r="L464" s="219"/>
      <c r="M464" s="219"/>
      <c r="N464" s="219"/>
      <c r="O464" s="219"/>
      <c r="P464" s="219"/>
      <c r="Q464" s="219"/>
      <c r="R464" s="220"/>
    </row>
    <row r="465" spans="1:18" ht="15" customHeight="1" x14ac:dyDescent="0.3">
      <c r="A465" s="10" t="s">
        <v>36</v>
      </c>
      <c r="B465" s="10" t="s">
        <v>1117</v>
      </c>
      <c r="C465" s="10">
        <v>0.6875</v>
      </c>
      <c r="D465" s="10" t="s">
        <v>40</v>
      </c>
      <c r="E465" s="10" t="s">
        <v>32</v>
      </c>
      <c r="F465" s="10" t="s">
        <v>514</v>
      </c>
      <c r="G465" s="328"/>
      <c r="H465" s="218"/>
      <c r="I465" s="219"/>
      <c r="J465" s="219"/>
      <c r="K465" s="219"/>
      <c r="L465" s="219"/>
      <c r="M465" s="219"/>
      <c r="N465" s="219"/>
      <c r="O465" s="219"/>
      <c r="P465" s="219"/>
      <c r="Q465" s="219"/>
      <c r="R465" s="220"/>
    </row>
    <row r="466" spans="1:18" ht="15" customHeight="1" x14ac:dyDescent="0.3">
      <c r="A466" s="10" t="s">
        <v>36</v>
      </c>
      <c r="B466" s="10" t="s">
        <v>1117</v>
      </c>
      <c r="C466" s="10">
        <v>0.6875</v>
      </c>
      <c r="D466" s="10" t="s">
        <v>42</v>
      </c>
      <c r="E466" s="10" t="s">
        <v>32</v>
      </c>
      <c r="F466" s="10" t="s">
        <v>414</v>
      </c>
      <c r="G466" s="328"/>
      <c r="H466" s="218"/>
      <c r="I466" s="219"/>
      <c r="J466" s="219"/>
      <c r="K466" s="219"/>
      <c r="L466" s="219"/>
      <c r="M466" s="219"/>
      <c r="N466" s="219"/>
      <c r="O466" s="219"/>
      <c r="P466" s="219"/>
      <c r="Q466" s="219"/>
      <c r="R466" s="220"/>
    </row>
    <row r="467" spans="1:18" ht="15" customHeight="1" x14ac:dyDescent="0.3">
      <c r="A467" s="11" t="s">
        <v>456</v>
      </c>
      <c r="B467" s="11" t="s">
        <v>1124</v>
      </c>
      <c r="C467" s="11">
        <v>0.37152777777777768</v>
      </c>
      <c r="D467" s="11" t="s">
        <v>458</v>
      </c>
      <c r="E467" s="11" t="s">
        <v>123</v>
      </c>
      <c r="F467" s="11" t="s">
        <v>1217</v>
      </c>
      <c r="G467" s="328"/>
      <c r="H467" s="218"/>
      <c r="I467" s="219"/>
      <c r="J467" s="219"/>
      <c r="K467" s="219"/>
      <c r="L467" s="219"/>
      <c r="M467" s="219"/>
      <c r="N467" s="219"/>
      <c r="O467" s="219"/>
      <c r="P467" s="219"/>
      <c r="Q467" s="219"/>
      <c r="R467" s="220"/>
    </row>
    <row r="468" spans="1:18" ht="15" customHeight="1" x14ac:dyDescent="0.3">
      <c r="A468" s="10" t="s">
        <v>456</v>
      </c>
      <c r="B468" s="10" t="s">
        <v>1124</v>
      </c>
      <c r="C468" s="10">
        <v>0.37152777777777768</v>
      </c>
      <c r="D468" s="10" t="s">
        <v>34</v>
      </c>
      <c r="E468" s="10" t="s">
        <v>124</v>
      </c>
      <c r="F468" s="10" t="s">
        <v>1218</v>
      </c>
      <c r="G468" s="328"/>
      <c r="H468" s="218"/>
      <c r="I468" s="219"/>
      <c r="J468" s="219"/>
      <c r="K468" s="219"/>
      <c r="L468" s="219"/>
      <c r="M468" s="219"/>
      <c r="N468" s="219"/>
      <c r="O468" s="219"/>
      <c r="P468" s="219"/>
      <c r="Q468" s="219"/>
      <c r="R468" s="220"/>
    </row>
    <row r="469" spans="1:18" ht="15" customHeight="1" x14ac:dyDescent="0.3">
      <c r="A469" s="11" t="s">
        <v>410</v>
      </c>
      <c r="B469" s="11" t="s">
        <v>1167</v>
      </c>
      <c r="C469" s="11">
        <v>0.39583333333333331</v>
      </c>
      <c r="D469" s="11" t="s">
        <v>46</v>
      </c>
      <c r="E469" s="11" t="s">
        <v>47</v>
      </c>
      <c r="F469" s="11" t="s">
        <v>1168</v>
      </c>
      <c r="G469" s="328"/>
      <c r="H469" s="218"/>
      <c r="I469" s="219"/>
      <c r="J469" s="219"/>
      <c r="K469" s="219"/>
      <c r="L469" s="219"/>
      <c r="M469" s="219"/>
      <c r="N469" s="219"/>
      <c r="O469" s="219"/>
      <c r="P469" s="219"/>
      <c r="Q469" s="219"/>
      <c r="R469" s="220"/>
    </row>
    <row r="470" spans="1:18" ht="15" customHeight="1" x14ac:dyDescent="0.3">
      <c r="A470" s="149" t="s">
        <v>44</v>
      </c>
      <c r="B470" s="149" t="s">
        <v>1121</v>
      </c>
      <c r="C470" s="149">
        <v>0.92361111111111116</v>
      </c>
      <c r="D470" s="149" t="s">
        <v>46</v>
      </c>
      <c r="E470" s="149" t="s">
        <v>129</v>
      </c>
      <c r="F470" s="149" t="s">
        <v>1209</v>
      </c>
      <c r="G470" s="328"/>
      <c r="H470" s="150" t="s">
        <v>1122</v>
      </c>
      <c r="I470" s="151">
        <v>0.1845</v>
      </c>
      <c r="J470" s="152">
        <v>31</v>
      </c>
      <c r="K470" s="153" t="s">
        <v>50</v>
      </c>
      <c r="L470" s="152">
        <v>25</v>
      </c>
      <c r="M470" s="152">
        <v>0</v>
      </c>
      <c r="N470" s="152">
        <v>3</v>
      </c>
      <c r="O470" s="153" t="s">
        <v>394</v>
      </c>
      <c r="P470" s="153">
        <v>0.92361111111111116</v>
      </c>
      <c r="Q470" s="152">
        <v>168</v>
      </c>
      <c r="R470" s="154" t="s">
        <v>1219</v>
      </c>
    </row>
    <row r="471" spans="1:18" ht="15" customHeight="1" x14ac:dyDescent="0.3">
      <c r="A471" s="87" t="s">
        <v>44</v>
      </c>
      <c r="B471" s="87" t="s">
        <v>1154</v>
      </c>
      <c r="C471" s="87">
        <v>0.60416666666666663</v>
      </c>
      <c r="D471" s="87" t="s">
        <v>46</v>
      </c>
      <c r="E471" s="87" t="s">
        <v>71</v>
      </c>
      <c r="F471" s="87" t="s">
        <v>1209</v>
      </c>
      <c r="G471" s="328"/>
      <c r="H471" s="234" t="s">
        <v>1155</v>
      </c>
      <c r="I471" s="235">
        <v>0.13689999999999999</v>
      </c>
      <c r="J471" s="236">
        <v>23</v>
      </c>
      <c r="K471" s="237" t="s">
        <v>175</v>
      </c>
      <c r="L471" s="236">
        <v>13</v>
      </c>
      <c r="M471" s="236">
        <v>2</v>
      </c>
      <c r="N471" s="236">
        <v>0</v>
      </c>
      <c r="O471" s="237" t="s">
        <v>237</v>
      </c>
      <c r="P471" s="237">
        <v>0.60416666666666663</v>
      </c>
      <c r="Q471" s="236">
        <v>168</v>
      </c>
      <c r="R471" s="238" t="s">
        <v>1220</v>
      </c>
    </row>
    <row r="472" spans="1:18" ht="15" customHeight="1" x14ac:dyDescent="0.3">
      <c r="A472" s="11" t="s">
        <v>78</v>
      </c>
      <c r="B472" s="11" t="s">
        <v>1137</v>
      </c>
      <c r="C472" s="11">
        <v>0.83680555555555547</v>
      </c>
      <c r="D472" s="11" t="s">
        <v>80</v>
      </c>
      <c r="E472" s="11" t="s">
        <v>47</v>
      </c>
      <c r="F472" s="11" t="s">
        <v>1132</v>
      </c>
      <c r="G472" s="328"/>
      <c r="H472" s="218"/>
      <c r="I472" s="219"/>
      <c r="J472" s="219"/>
      <c r="K472" s="219"/>
      <c r="L472" s="219"/>
      <c r="M472" s="219"/>
      <c r="N472" s="219"/>
      <c r="O472" s="219"/>
      <c r="P472" s="219"/>
      <c r="Q472" s="219"/>
      <c r="R472" s="220"/>
    </row>
    <row r="473" spans="1:18" ht="15" customHeight="1" x14ac:dyDescent="0.3">
      <c r="A473" s="10" t="s">
        <v>78</v>
      </c>
      <c r="B473" s="10" t="s">
        <v>1137</v>
      </c>
      <c r="C473" s="10">
        <v>0.83680555555555547</v>
      </c>
      <c r="D473" s="10" t="s">
        <v>83</v>
      </c>
      <c r="E473" s="10" t="s">
        <v>95</v>
      </c>
      <c r="F473" s="10" t="s">
        <v>1133</v>
      </c>
      <c r="G473" s="328"/>
      <c r="H473" s="218"/>
      <c r="I473" s="219"/>
      <c r="J473" s="219"/>
      <c r="K473" s="219"/>
      <c r="L473" s="219"/>
      <c r="M473" s="219"/>
      <c r="N473" s="219"/>
      <c r="O473" s="219"/>
      <c r="P473" s="219"/>
      <c r="Q473" s="219"/>
      <c r="R473" s="220"/>
    </row>
    <row r="474" spans="1:18" ht="15" customHeight="1" x14ac:dyDescent="0.3">
      <c r="A474" s="26" t="s">
        <v>78</v>
      </c>
      <c r="B474" s="26" t="s">
        <v>1134</v>
      </c>
      <c r="C474" s="26">
        <v>0.68402777777777779</v>
      </c>
      <c r="D474" s="26" t="s">
        <v>80</v>
      </c>
      <c r="E474" s="26" t="s">
        <v>97</v>
      </c>
      <c r="F474" s="26" t="s">
        <v>1132</v>
      </c>
      <c r="G474" s="328"/>
      <c r="H474" s="218"/>
      <c r="I474" s="219"/>
      <c r="J474" s="219"/>
      <c r="K474" s="219"/>
      <c r="L474" s="219"/>
      <c r="M474" s="219"/>
      <c r="N474" s="219"/>
      <c r="O474" s="219"/>
      <c r="P474" s="219"/>
      <c r="Q474" s="219"/>
      <c r="R474" s="220"/>
    </row>
    <row r="475" spans="1:18" ht="15" customHeight="1" x14ac:dyDescent="0.3">
      <c r="A475" s="10" t="s">
        <v>78</v>
      </c>
      <c r="B475" s="10" t="s">
        <v>1134</v>
      </c>
      <c r="C475" s="10">
        <v>0.68402777777777779</v>
      </c>
      <c r="D475" s="10" t="s">
        <v>83</v>
      </c>
      <c r="E475" s="10" t="s">
        <v>104</v>
      </c>
      <c r="F475" s="10" t="s">
        <v>1133</v>
      </c>
      <c r="G475" s="328"/>
      <c r="H475" s="218"/>
      <c r="I475" s="219"/>
      <c r="J475" s="219"/>
      <c r="K475" s="219"/>
      <c r="L475" s="219"/>
      <c r="M475" s="219"/>
      <c r="N475" s="219"/>
      <c r="O475" s="219"/>
      <c r="P475" s="219"/>
      <c r="Q475" s="219"/>
      <c r="R475" s="220"/>
    </row>
    <row r="476" spans="1:18" ht="15" customHeight="1" x14ac:dyDescent="0.3">
      <c r="A476" s="26" t="s">
        <v>78</v>
      </c>
      <c r="B476" s="26" t="s">
        <v>1135</v>
      </c>
      <c r="C476" s="26">
        <v>0.2986111111111111</v>
      </c>
      <c r="D476" s="26" t="s">
        <v>80</v>
      </c>
      <c r="E476" s="26" t="s">
        <v>71</v>
      </c>
      <c r="F476" s="26" t="s">
        <v>1132</v>
      </c>
      <c r="G476" s="328"/>
      <c r="H476" s="218"/>
      <c r="I476" s="219"/>
      <c r="J476" s="219"/>
      <c r="K476" s="219"/>
      <c r="L476" s="219"/>
      <c r="M476" s="219"/>
      <c r="N476" s="219"/>
      <c r="O476" s="219"/>
      <c r="P476" s="219"/>
      <c r="Q476" s="219"/>
      <c r="R476" s="220"/>
    </row>
    <row r="477" spans="1:18" ht="15" customHeight="1" x14ac:dyDescent="0.3">
      <c r="A477" s="10" t="s">
        <v>78</v>
      </c>
      <c r="B477" s="10" t="s">
        <v>1135</v>
      </c>
      <c r="C477" s="10">
        <v>0.2986111111111111</v>
      </c>
      <c r="D477" s="10" t="s">
        <v>83</v>
      </c>
      <c r="E477" s="10" t="s">
        <v>95</v>
      </c>
      <c r="F477" s="10" t="s">
        <v>1133</v>
      </c>
      <c r="G477" s="328"/>
      <c r="H477" s="218"/>
      <c r="I477" s="219"/>
      <c r="J477" s="219"/>
      <c r="K477" s="219"/>
      <c r="L477" s="219"/>
      <c r="M477" s="219"/>
      <c r="N477" s="219"/>
      <c r="O477" s="219"/>
      <c r="P477" s="219"/>
      <c r="Q477" s="219"/>
      <c r="R477" s="220"/>
    </row>
    <row r="478" spans="1:18" ht="15" customHeight="1" x14ac:dyDescent="0.3">
      <c r="A478" s="26" t="s">
        <v>78</v>
      </c>
      <c r="B478" s="26" t="s">
        <v>1136</v>
      </c>
      <c r="C478" s="26">
        <v>0.4826388888888889</v>
      </c>
      <c r="D478" s="26" t="s">
        <v>80</v>
      </c>
      <c r="E478" s="26" t="s">
        <v>71</v>
      </c>
      <c r="F478" s="26" t="s">
        <v>1132</v>
      </c>
      <c r="G478" s="328"/>
      <c r="H478" s="218"/>
      <c r="I478" s="219"/>
      <c r="J478" s="219"/>
      <c r="K478" s="219"/>
      <c r="L478" s="219"/>
      <c r="M478" s="219"/>
      <c r="N478" s="219"/>
      <c r="O478" s="219"/>
      <c r="P478" s="219"/>
      <c r="Q478" s="219"/>
      <c r="R478" s="220"/>
    </row>
    <row r="479" spans="1:18" ht="15" customHeight="1" x14ac:dyDescent="0.3">
      <c r="A479" s="10" t="s">
        <v>78</v>
      </c>
      <c r="B479" s="10" t="s">
        <v>1136</v>
      </c>
      <c r="C479" s="10">
        <v>0.4826388888888889</v>
      </c>
      <c r="D479" s="10" t="s">
        <v>83</v>
      </c>
      <c r="E479" s="10" t="s">
        <v>95</v>
      </c>
      <c r="F479" s="10" t="s">
        <v>1133</v>
      </c>
      <c r="G479" s="328"/>
      <c r="H479" s="218"/>
      <c r="I479" s="219"/>
      <c r="J479" s="219"/>
      <c r="K479" s="219"/>
      <c r="L479" s="219"/>
      <c r="M479" s="219"/>
      <c r="N479" s="219"/>
      <c r="O479" s="219"/>
      <c r="P479" s="219"/>
      <c r="Q479" s="219"/>
      <c r="R479" s="220"/>
    </row>
    <row r="480" spans="1:18" ht="15" customHeight="1" x14ac:dyDescent="0.3">
      <c r="A480" s="26" t="s">
        <v>78</v>
      </c>
      <c r="B480" s="26" t="s">
        <v>1140</v>
      </c>
      <c r="C480" s="26">
        <v>0.5</v>
      </c>
      <c r="D480" s="26" t="s">
        <v>83</v>
      </c>
      <c r="E480" s="26" t="s">
        <v>87</v>
      </c>
      <c r="F480" s="26" t="s">
        <v>1205</v>
      </c>
      <c r="G480" s="328"/>
      <c r="H480" s="218"/>
      <c r="I480" s="219"/>
      <c r="J480" s="219"/>
      <c r="K480" s="219"/>
      <c r="L480" s="219"/>
      <c r="M480" s="219"/>
      <c r="N480" s="219"/>
      <c r="O480" s="219"/>
      <c r="P480" s="219"/>
      <c r="Q480" s="219"/>
      <c r="R480" s="220"/>
    </row>
    <row r="481" spans="1:18" ht="15" customHeight="1" x14ac:dyDescent="0.3">
      <c r="A481" s="26" t="s">
        <v>78</v>
      </c>
      <c r="B481" s="26" t="s">
        <v>1142</v>
      </c>
      <c r="C481" s="26">
        <v>0.76041666666666663</v>
      </c>
      <c r="D481" s="26" t="s">
        <v>83</v>
      </c>
      <c r="E481" s="26" t="s">
        <v>87</v>
      </c>
      <c r="F481" s="26" t="s">
        <v>1205</v>
      </c>
      <c r="G481" s="328"/>
      <c r="H481" s="218"/>
      <c r="I481" s="219"/>
      <c r="J481" s="219"/>
      <c r="K481" s="219"/>
      <c r="L481" s="219"/>
      <c r="M481" s="219"/>
      <c r="N481" s="219"/>
      <c r="O481" s="219"/>
      <c r="P481" s="219"/>
      <c r="Q481" s="219"/>
      <c r="R481" s="220"/>
    </row>
    <row r="482" spans="1:18" ht="15" customHeight="1" x14ac:dyDescent="0.3">
      <c r="A482" s="31" t="s">
        <v>78</v>
      </c>
      <c r="B482" s="31" t="s">
        <v>1143</v>
      </c>
      <c r="C482" s="31">
        <v>0.81597222222222221</v>
      </c>
      <c r="D482" s="31" t="s">
        <v>83</v>
      </c>
      <c r="E482" s="31" t="s">
        <v>87</v>
      </c>
      <c r="F482" s="31" t="s">
        <v>1205</v>
      </c>
      <c r="G482" s="328"/>
      <c r="H482" s="231"/>
      <c r="I482" s="232"/>
      <c r="J482" s="232"/>
      <c r="K482" s="232"/>
      <c r="L482" s="232"/>
      <c r="M482" s="232"/>
      <c r="N482" s="232"/>
      <c r="O482" s="232"/>
      <c r="P482" s="232"/>
      <c r="Q482" s="232"/>
      <c r="R482" s="233"/>
    </row>
    <row r="483" spans="1:18" ht="17.399999999999999" customHeight="1" x14ac:dyDescent="0.3">
      <c r="A483" s="360"/>
      <c r="B483" s="361"/>
      <c r="C483" s="361"/>
      <c r="D483" s="361"/>
      <c r="E483" s="361"/>
      <c r="F483" s="361"/>
      <c r="G483" s="361"/>
      <c r="H483" s="361"/>
      <c r="I483" s="361"/>
      <c r="J483" s="361"/>
      <c r="K483" s="361"/>
      <c r="L483" s="361"/>
      <c r="M483" s="361"/>
      <c r="N483" s="361"/>
      <c r="O483" s="361"/>
      <c r="P483" s="361"/>
      <c r="Q483" s="361"/>
      <c r="R483" s="362"/>
    </row>
    <row r="484" spans="1:18" ht="22.05" customHeight="1" x14ac:dyDescent="0.3">
      <c r="A484" s="323" t="s">
        <v>6</v>
      </c>
      <c r="B484" s="324"/>
      <c r="C484" s="324"/>
      <c r="D484" s="324"/>
      <c r="E484" s="324"/>
      <c r="F484" s="324"/>
      <c r="G484" s="2">
        <v>45997</v>
      </c>
      <c r="H484" s="323" t="s">
        <v>7</v>
      </c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</row>
    <row r="485" spans="1:18" ht="24" customHeight="1" x14ac:dyDescent="0.3">
      <c r="A485" s="3" t="s">
        <v>8</v>
      </c>
      <c r="B485" s="3" t="s">
        <v>9</v>
      </c>
      <c r="C485" s="3" t="s">
        <v>10</v>
      </c>
      <c r="D485" s="3" t="s">
        <v>11</v>
      </c>
      <c r="E485" s="3" t="s">
        <v>12</v>
      </c>
      <c r="F485" s="4" t="s">
        <v>13</v>
      </c>
      <c r="G485" s="5" t="s">
        <v>14</v>
      </c>
      <c r="H485" s="3" t="s">
        <v>15</v>
      </c>
      <c r="I485" s="3" t="s">
        <v>16</v>
      </c>
      <c r="J485" s="3" t="s">
        <v>17</v>
      </c>
      <c r="K485" s="3" t="s">
        <v>18</v>
      </c>
      <c r="L485" s="3" t="s">
        <v>19</v>
      </c>
      <c r="M485" s="3" t="s">
        <v>20</v>
      </c>
      <c r="N485" s="3" t="s">
        <v>21</v>
      </c>
      <c r="O485" s="3" t="s">
        <v>22</v>
      </c>
      <c r="P485" s="3" t="s">
        <v>23</v>
      </c>
      <c r="Q485" s="3" t="s">
        <v>24</v>
      </c>
      <c r="R485" s="3" t="s">
        <v>25</v>
      </c>
    </row>
    <row r="486" spans="1:18" ht="15" customHeight="1" x14ac:dyDescent="0.3">
      <c r="A486" s="6" t="s">
        <v>26</v>
      </c>
      <c r="B486" s="6" t="s">
        <v>1099</v>
      </c>
      <c r="C486" s="6">
        <v>0.76041666666666663</v>
      </c>
      <c r="D486" s="6" t="s">
        <v>28</v>
      </c>
      <c r="E486" s="6" t="s">
        <v>180</v>
      </c>
      <c r="F486" s="6" t="s">
        <v>1179</v>
      </c>
      <c r="G486" s="335"/>
      <c r="H486" s="218"/>
      <c r="I486" s="219"/>
      <c r="J486" s="219"/>
      <c r="K486" s="219"/>
      <c r="L486" s="219"/>
      <c r="M486" s="219"/>
      <c r="N486" s="219"/>
      <c r="O486" s="219"/>
      <c r="P486" s="219"/>
      <c r="Q486" s="219"/>
      <c r="R486" s="220"/>
    </row>
    <row r="487" spans="1:18" ht="15" customHeight="1" x14ac:dyDescent="0.3">
      <c r="A487" s="10" t="s">
        <v>26</v>
      </c>
      <c r="B487" s="10" t="s">
        <v>1099</v>
      </c>
      <c r="C487" s="10">
        <v>0.76041666666666663</v>
      </c>
      <c r="D487" s="10" t="s">
        <v>31</v>
      </c>
      <c r="E487" s="10" t="s">
        <v>181</v>
      </c>
      <c r="F487" s="10" t="s">
        <v>621</v>
      </c>
      <c r="G487" s="328"/>
      <c r="H487" s="218"/>
      <c r="I487" s="219"/>
      <c r="J487" s="219"/>
      <c r="K487" s="219"/>
      <c r="L487" s="219"/>
      <c r="M487" s="219"/>
      <c r="N487" s="219"/>
      <c r="O487" s="219"/>
      <c r="P487" s="219"/>
      <c r="Q487" s="219"/>
      <c r="R487" s="220"/>
    </row>
    <row r="488" spans="1:18" ht="15" customHeight="1" x14ac:dyDescent="0.3">
      <c r="A488" s="10" t="s">
        <v>26</v>
      </c>
      <c r="B488" s="10" t="s">
        <v>1099</v>
      </c>
      <c r="C488" s="10">
        <v>0.76041666666666663</v>
      </c>
      <c r="D488" s="10" t="s">
        <v>34</v>
      </c>
      <c r="E488" s="10" t="s">
        <v>181</v>
      </c>
      <c r="F488" s="10" t="s">
        <v>1103</v>
      </c>
      <c r="G488" s="328"/>
      <c r="H488" s="218"/>
      <c r="I488" s="219"/>
      <c r="J488" s="219"/>
      <c r="K488" s="219"/>
      <c r="L488" s="219"/>
      <c r="M488" s="219"/>
      <c r="N488" s="219"/>
      <c r="O488" s="219"/>
      <c r="P488" s="219"/>
      <c r="Q488" s="219"/>
      <c r="R488" s="220"/>
    </row>
    <row r="489" spans="1:18" ht="15" customHeight="1" x14ac:dyDescent="0.3">
      <c r="A489" s="26" t="s">
        <v>26</v>
      </c>
      <c r="B489" s="26" t="s">
        <v>1104</v>
      </c>
      <c r="C489" s="26">
        <v>0.5</v>
      </c>
      <c r="D489" s="26" t="s">
        <v>28</v>
      </c>
      <c r="E489" s="26" t="s">
        <v>74</v>
      </c>
      <c r="F489" s="26" t="s">
        <v>1179</v>
      </c>
      <c r="G489" s="328"/>
      <c r="H489" s="218"/>
      <c r="I489" s="219"/>
      <c r="J489" s="219"/>
      <c r="K489" s="219"/>
      <c r="L489" s="219"/>
      <c r="M489" s="219"/>
      <c r="N489" s="219"/>
      <c r="O489" s="219"/>
      <c r="P489" s="219"/>
      <c r="Q489" s="219"/>
      <c r="R489" s="220"/>
    </row>
    <row r="490" spans="1:18" ht="15" customHeight="1" x14ac:dyDescent="0.3">
      <c r="A490" s="10" t="s">
        <v>26</v>
      </c>
      <c r="B490" s="10" t="s">
        <v>1104</v>
      </c>
      <c r="C490" s="10">
        <v>0.5</v>
      </c>
      <c r="D490" s="10" t="s">
        <v>31</v>
      </c>
      <c r="E490" s="10" t="s">
        <v>122</v>
      </c>
      <c r="F490" s="10" t="s">
        <v>621</v>
      </c>
      <c r="G490" s="328"/>
      <c r="H490" s="218"/>
      <c r="I490" s="219"/>
      <c r="J490" s="219"/>
      <c r="K490" s="219"/>
      <c r="L490" s="219"/>
      <c r="M490" s="219"/>
      <c r="N490" s="219"/>
      <c r="O490" s="219"/>
      <c r="P490" s="219"/>
      <c r="Q490" s="219"/>
      <c r="R490" s="220"/>
    </row>
    <row r="491" spans="1:18" ht="15" customHeight="1" x14ac:dyDescent="0.3">
      <c r="A491" s="10" t="s">
        <v>26</v>
      </c>
      <c r="B491" s="10" t="s">
        <v>1104</v>
      </c>
      <c r="C491" s="10">
        <v>0.5</v>
      </c>
      <c r="D491" s="10" t="s">
        <v>34</v>
      </c>
      <c r="E491" s="10" t="s">
        <v>122</v>
      </c>
      <c r="F491" s="10" t="s">
        <v>1103</v>
      </c>
      <c r="G491" s="328"/>
      <c r="H491" s="218"/>
      <c r="I491" s="219"/>
      <c r="J491" s="219"/>
      <c r="K491" s="219"/>
      <c r="L491" s="219"/>
      <c r="M491" s="219"/>
      <c r="N491" s="219"/>
      <c r="O491" s="219"/>
      <c r="P491" s="219"/>
      <c r="Q491" s="219"/>
      <c r="R491" s="220"/>
    </row>
    <row r="492" spans="1:18" ht="15" customHeight="1" x14ac:dyDescent="0.3">
      <c r="A492" s="26" t="s">
        <v>26</v>
      </c>
      <c r="B492" s="26" t="s">
        <v>1107</v>
      </c>
      <c r="C492" s="26">
        <v>0.44791666666666669</v>
      </c>
      <c r="D492" s="26" t="s">
        <v>28</v>
      </c>
      <c r="E492" s="26" t="s">
        <v>54</v>
      </c>
      <c r="F492" s="26" t="s">
        <v>1179</v>
      </c>
      <c r="G492" s="328"/>
      <c r="H492" s="218"/>
      <c r="I492" s="219"/>
      <c r="J492" s="219"/>
      <c r="K492" s="219"/>
      <c r="L492" s="219"/>
      <c r="M492" s="219"/>
      <c r="N492" s="219"/>
      <c r="O492" s="219"/>
      <c r="P492" s="219"/>
      <c r="Q492" s="219"/>
      <c r="R492" s="220"/>
    </row>
    <row r="493" spans="1:18" ht="15" customHeight="1" x14ac:dyDescent="0.3">
      <c r="A493" s="10" t="s">
        <v>26</v>
      </c>
      <c r="B493" s="10" t="s">
        <v>1107</v>
      </c>
      <c r="C493" s="10">
        <v>0.44791666666666669</v>
      </c>
      <c r="D493" s="10" t="s">
        <v>31</v>
      </c>
      <c r="E493" s="10" t="s">
        <v>161</v>
      </c>
      <c r="F493" s="10" t="s">
        <v>621</v>
      </c>
      <c r="G493" s="328"/>
      <c r="H493" s="218"/>
      <c r="I493" s="219"/>
      <c r="J493" s="219"/>
      <c r="K493" s="219"/>
      <c r="L493" s="219"/>
      <c r="M493" s="219"/>
      <c r="N493" s="219"/>
      <c r="O493" s="219"/>
      <c r="P493" s="219"/>
      <c r="Q493" s="219"/>
      <c r="R493" s="220"/>
    </row>
    <row r="494" spans="1:18" ht="15" customHeight="1" x14ac:dyDescent="0.3">
      <c r="A494" s="10" t="s">
        <v>26</v>
      </c>
      <c r="B494" s="10" t="s">
        <v>1107</v>
      </c>
      <c r="C494" s="10">
        <v>0.44791666666666669</v>
      </c>
      <c r="D494" s="10" t="s">
        <v>34</v>
      </c>
      <c r="E494" s="10" t="s">
        <v>161</v>
      </c>
      <c r="F494" s="10" t="s">
        <v>1103</v>
      </c>
      <c r="G494" s="328"/>
      <c r="H494" s="218"/>
      <c r="I494" s="219"/>
      <c r="J494" s="219"/>
      <c r="K494" s="219"/>
      <c r="L494" s="219"/>
      <c r="M494" s="219"/>
      <c r="N494" s="219"/>
      <c r="O494" s="219"/>
      <c r="P494" s="219"/>
      <c r="Q494" s="219"/>
      <c r="R494" s="220"/>
    </row>
    <row r="495" spans="1:18" ht="15" customHeight="1" x14ac:dyDescent="0.3">
      <c r="A495" s="26" t="s">
        <v>26</v>
      </c>
      <c r="B495" s="26" t="s">
        <v>1110</v>
      </c>
      <c r="C495" s="26">
        <v>0.81597222222222221</v>
      </c>
      <c r="D495" s="26" t="s">
        <v>28</v>
      </c>
      <c r="E495" s="26" t="s">
        <v>90</v>
      </c>
      <c r="F495" s="26" t="s">
        <v>1179</v>
      </c>
      <c r="G495" s="328"/>
      <c r="H495" s="218"/>
      <c r="I495" s="219"/>
      <c r="J495" s="219"/>
      <c r="K495" s="219"/>
      <c r="L495" s="219"/>
      <c r="M495" s="219"/>
      <c r="N495" s="219"/>
      <c r="O495" s="219"/>
      <c r="P495" s="219"/>
      <c r="Q495" s="219"/>
      <c r="R495" s="220"/>
    </row>
    <row r="496" spans="1:18" ht="15" customHeight="1" x14ac:dyDescent="0.3">
      <c r="A496" s="10" t="s">
        <v>26</v>
      </c>
      <c r="B496" s="10" t="s">
        <v>1110</v>
      </c>
      <c r="C496" s="10">
        <v>0.81597222222222221</v>
      </c>
      <c r="D496" s="10" t="s">
        <v>31</v>
      </c>
      <c r="E496" s="10" t="s">
        <v>92</v>
      </c>
      <c r="F496" s="10" t="s">
        <v>621</v>
      </c>
      <c r="G496" s="328"/>
      <c r="H496" s="218"/>
      <c r="I496" s="219"/>
      <c r="J496" s="219"/>
      <c r="K496" s="219"/>
      <c r="L496" s="219"/>
      <c r="M496" s="219"/>
      <c r="N496" s="219"/>
      <c r="O496" s="219"/>
      <c r="P496" s="219"/>
      <c r="Q496" s="219"/>
      <c r="R496" s="220"/>
    </row>
    <row r="497" spans="1:18" ht="15" customHeight="1" x14ac:dyDescent="0.3">
      <c r="A497" s="10" t="s">
        <v>26</v>
      </c>
      <c r="B497" s="10" t="s">
        <v>1110</v>
      </c>
      <c r="C497" s="10">
        <v>0.81597222222222221</v>
      </c>
      <c r="D497" s="10" t="s">
        <v>34</v>
      </c>
      <c r="E497" s="10" t="s">
        <v>92</v>
      </c>
      <c r="F497" s="10" t="s">
        <v>1103</v>
      </c>
      <c r="G497" s="328"/>
      <c r="H497" s="218"/>
      <c r="I497" s="219"/>
      <c r="J497" s="219"/>
      <c r="K497" s="219"/>
      <c r="L497" s="219"/>
      <c r="M497" s="219"/>
      <c r="N497" s="219"/>
      <c r="O497" s="219"/>
      <c r="P497" s="219"/>
      <c r="Q497" s="219"/>
      <c r="R497" s="220"/>
    </row>
    <row r="498" spans="1:18" ht="15" customHeight="1" x14ac:dyDescent="0.3">
      <c r="A498" s="11" t="s">
        <v>36</v>
      </c>
      <c r="B498" s="11" t="s">
        <v>1113</v>
      </c>
      <c r="C498" s="11">
        <v>0.82638888888888884</v>
      </c>
      <c r="D498" s="11" t="s">
        <v>38</v>
      </c>
      <c r="E498" s="11" t="s">
        <v>102</v>
      </c>
      <c r="F498" s="11" t="s">
        <v>664</v>
      </c>
      <c r="G498" s="328"/>
      <c r="H498" s="218"/>
      <c r="I498" s="219"/>
      <c r="J498" s="219"/>
      <c r="K498" s="219"/>
      <c r="L498" s="219"/>
      <c r="M498" s="219"/>
      <c r="N498" s="219"/>
      <c r="O498" s="219"/>
      <c r="P498" s="219"/>
      <c r="Q498" s="219"/>
      <c r="R498" s="220"/>
    </row>
    <row r="499" spans="1:18" ht="15" customHeight="1" x14ac:dyDescent="0.3">
      <c r="A499" s="10" t="s">
        <v>36</v>
      </c>
      <c r="B499" s="10" t="s">
        <v>1113</v>
      </c>
      <c r="C499" s="10">
        <v>0.82638888888888884</v>
      </c>
      <c r="D499" s="10" t="s">
        <v>40</v>
      </c>
      <c r="E499" s="10" t="s">
        <v>104</v>
      </c>
      <c r="F499" s="10" t="s">
        <v>515</v>
      </c>
      <c r="G499" s="328"/>
      <c r="H499" s="218"/>
      <c r="I499" s="219"/>
      <c r="J499" s="219"/>
      <c r="K499" s="219"/>
      <c r="L499" s="219"/>
      <c r="M499" s="219"/>
      <c r="N499" s="219"/>
      <c r="O499" s="219"/>
      <c r="P499" s="219"/>
      <c r="Q499" s="219"/>
      <c r="R499" s="220"/>
    </row>
    <row r="500" spans="1:18" ht="15" customHeight="1" x14ac:dyDescent="0.3">
      <c r="A500" s="10" t="s">
        <v>36</v>
      </c>
      <c r="B500" s="10" t="s">
        <v>1113</v>
      </c>
      <c r="C500" s="10">
        <v>0.82638888888888884</v>
      </c>
      <c r="D500" s="10" t="s">
        <v>42</v>
      </c>
      <c r="E500" s="10" t="s">
        <v>104</v>
      </c>
      <c r="F500" s="10" t="s">
        <v>624</v>
      </c>
      <c r="G500" s="328"/>
      <c r="H500" s="218"/>
      <c r="I500" s="219"/>
      <c r="J500" s="219"/>
      <c r="K500" s="219"/>
      <c r="L500" s="219"/>
      <c r="M500" s="219"/>
      <c r="N500" s="219"/>
      <c r="O500" s="219"/>
      <c r="P500" s="219"/>
      <c r="Q500" s="219"/>
      <c r="R500" s="220"/>
    </row>
    <row r="501" spans="1:18" ht="15" customHeight="1" x14ac:dyDescent="0.3">
      <c r="A501" s="26" t="s">
        <v>36</v>
      </c>
      <c r="B501" s="26" t="s">
        <v>1114</v>
      </c>
      <c r="C501" s="26">
        <v>0.375</v>
      </c>
      <c r="D501" s="26" t="s">
        <v>38</v>
      </c>
      <c r="E501" s="26" t="s">
        <v>114</v>
      </c>
      <c r="F501" s="26" t="s">
        <v>664</v>
      </c>
      <c r="G501" s="328"/>
      <c r="H501" s="218"/>
      <c r="I501" s="219"/>
      <c r="J501" s="219"/>
      <c r="K501" s="219"/>
      <c r="L501" s="219"/>
      <c r="M501" s="219"/>
      <c r="N501" s="219"/>
      <c r="O501" s="219"/>
      <c r="P501" s="219"/>
      <c r="Q501" s="219"/>
      <c r="R501" s="220"/>
    </row>
    <row r="502" spans="1:18" ht="15" customHeight="1" x14ac:dyDescent="0.3">
      <c r="A502" s="10" t="s">
        <v>36</v>
      </c>
      <c r="B502" s="10" t="s">
        <v>1114</v>
      </c>
      <c r="C502" s="10">
        <v>0.375</v>
      </c>
      <c r="D502" s="10" t="s">
        <v>40</v>
      </c>
      <c r="E502" s="10" t="s">
        <v>115</v>
      </c>
      <c r="F502" s="10" t="s">
        <v>515</v>
      </c>
      <c r="G502" s="328"/>
      <c r="H502" s="218"/>
      <c r="I502" s="219"/>
      <c r="J502" s="219"/>
      <c r="K502" s="219"/>
      <c r="L502" s="219"/>
      <c r="M502" s="219"/>
      <c r="N502" s="219"/>
      <c r="O502" s="219"/>
      <c r="P502" s="219"/>
      <c r="Q502" s="219"/>
      <c r="R502" s="220"/>
    </row>
    <row r="503" spans="1:18" ht="15" customHeight="1" x14ac:dyDescent="0.3">
      <c r="A503" s="10" t="s">
        <v>36</v>
      </c>
      <c r="B503" s="10" t="s">
        <v>1114</v>
      </c>
      <c r="C503" s="10">
        <v>0.375</v>
      </c>
      <c r="D503" s="10" t="s">
        <v>42</v>
      </c>
      <c r="E503" s="10" t="s">
        <v>115</v>
      </c>
      <c r="F503" s="10" t="s">
        <v>624</v>
      </c>
      <c r="G503" s="328"/>
      <c r="H503" s="218"/>
      <c r="I503" s="219"/>
      <c r="J503" s="219"/>
      <c r="K503" s="219"/>
      <c r="L503" s="219"/>
      <c r="M503" s="219"/>
      <c r="N503" s="219"/>
      <c r="O503" s="219"/>
      <c r="P503" s="219"/>
      <c r="Q503" s="219"/>
      <c r="R503" s="220"/>
    </row>
    <row r="504" spans="1:18" ht="15" customHeight="1" x14ac:dyDescent="0.3">
      <c r="A504" s="26" t="s">
        <v>36</v>
      </c>
      <c r="B504" s="26" t="s">
        <v>1115</v>
      </c>
      <c r="C504" s="26">
        <v>0.56597222222222221</v>
      </c>
      <c r="D504" s="26" t="s">
        <v>38</v>
      </c>
      <c r="E504" s="26" t="s">
        <v>97</v>
      </c>
      <c r="F504" s="26" t="s">
        <v>664</v>
      </c>
      <c r="G504" s="328"/>
      <c r="H504" s="218"/>
      <c r="I504" s="219"/>
      <c r="J504" s="219"/>
      <c r="K504" s="219"/>
      <c r="L504" s="219"/>
      <c r="M504" s="219"/>
      <c r="N504" s="219"/>
      <c r="O504" s="219"/>
      <c r="P504" s="219"/>
      <c r="Q504" s="219"/>
      <c r="R504" s="220"/>
    </row>
    <row r="505" spans="1:18" ht="15" customHeight="1" x14ac:dyDescent="0.3">
      <c r="A505" s="10" t="s">
        <v>36</v>
      </c>
      <c r="B505" s="10" t="s">
        <v>1115</v>
      </c>
      <c r="C505" s="10">
        <v>0.56597222222222221</v>
      </c>
      <c r="D505" s="10" t="s">
        <v>40</v>
      </c>
      <c r="E505" s="10" t="s">
        <v>104</v>
      </c>
      <c r="F505" s="10" t="s">
        <v>515</v>
      </c>
      <c r="G505" s="328"/>
      <c r="H505" s="218"/>
      <c r="I505" s="219"/>
      <c r="J505" s="219"/>
      <c r="K505" s="219"/>
      <c r="L505" s="219"/>
      <c r="M505" s="219"/>
      <c r="N505" s="219"/>
      <c r="O505" s="219"/>
      <c r="P505" s="219"/>
      <c r="Q505" s="219"/>
      <c r="R505" s="220"/>
    </row>
    <row r="506" spans="1:18" ht="15" customHeight="1" x14ac:dyDescent="0.3">
      <c r="A506" s="10" t="s">
        <v>36</v>
      </c>
      <c r="B506" s="10" t="s">
        <v>1115</v>
      </c>
      <c r="C506" s="10">
        <v>0.56597222222222221</v>
      </c>
      <c r="D506" s="10" t="s">
        <v>42</v>
      </c>
      <c r="E506" s="10" t="s">
        <v>104</v>
      </c>
      <c r="F506" s="10" t="s">
        <v>624</v>
      </c>
      <c r="G506" s="328"/>
      <c r="H506" s="218"/>
      <c r="I506" s="219"/>
      <c r="J506" s="219"/>
      <c r="K506" s="219"/>
      <c r="L506" s="219"/>
      <c r="M506" s="219"/>
      <c r="N506" s="219"/>
      <c r="O506" s="219"/>
      <c r="P506" s="219"/>
      <c r="Q506" s="219"/>
      <c r="R506" s="220"/>
    </row>
    <row r="507" spans="1:18" ht="15" customHeight="1" x14ac:dyDescent="0.3">
      <c r="A507" s="26" t="s">
        <v>36</v>
      </c>
      <c r="B507" s="26" t="s">
        <v>1118</v>
      </c>
      <c r="C507" s="26">
        <v>0.42708333333333331</v>
      </c>
      <c r="D507" s="26" t="s">
        <v>38</v>
      </c>
      <c r="E507" s="26" t="s">
        <v>439</v>
      </c>
      <c r="F507" s="26" t="s">
        <v>664</v>
      </c>
      <c r="G507" s="328"/>
      <c r="H507" s="218"/>
      <c r="I507" s="219"/>
      <c r="J507" s="219"/>
      <c r="K507" s="219"/>
      <c r="L507" s="219"/>
      <c r="M507" s="219"/>
      <c r="N507" s="219"/>
      <c r="O507" s="219"/>
      <c r="P507" s="219"/>
      <c r="Q507" s="219"/>
      <c r="R507" s="220"/>
    </row>
    <row r="508" spans="1:18" ht="15" customHeight="1" x14ac:dyDescent="0.3">
      <c r="A508" s="10" t="s">
        <v>36</v>
      </c>
      <c r="B508" s="10" t="s">
        <v>1118</v>
      </c>
      <c r="C508" s="10">
        <v>0.42708333333333331</v>
      </c>
      <c r="D508" s="10" t="s">
        <v>40</v>
      </c>
      <c r="E508" s="10" t="s">
        <v>124</v>
      </c>
      <c r="F508" s="10" t="s">
        <v>515</v>
      </c>
      <c r="G508" s="328"/>
      <c r="H508" s="218"/>
      <c r="I508" s="219"/>
      <c r="J508" s="219"/>
      <c r="K508" s="219"/>
      <c r="L508" s="219"/>
      <c r="M508" s="219"/>
      <c r="N508" s="219"/>
      <c r="O508" s="219"/>
      <c r="P508" s="219"/>
      <c r="Q508" s="219"/>
      <c r="R508" s="220"/>
    </row>
    <row r="509" spans="1:18" ht="15" customHeight="1" x14ac:dyDescent="0.3">
      <c r="A509" s="10" t="s">
        <v>36</v>
      </c>
      <c r="B509" s="10" t="s">
        <v>1118</v>
      </c>
      <c r="C509" s="10">
        <v>0.42708333333333331</v>
      </c>
      <c r="D509" s="10" t="s">
        <v>42</v>
      </c>
      <c r="E509" s="10" t="s">
        <v>124</v>
      </c>
      <c r="F509" s="10" t="s">
        <v>624</v>
      </c>
      <c r="G509" s="328"/>
      <c r="H509" s="218"/>
      <c r="I509" s="219"/>
      <c r="J509" s="219"/>
      <c r="K509" s="219"/>
      <c r="L509" s="219"/>
      <c r="M509" s="219"/>
      <c r="N509" s="219"/>
      <c r="O509" s="219"/>
      <c r="P509" s="219"/>
      <c r="Q509" s="219"/>
      <c r="R509" s="220"/>
    </row>
    <row r="510" spans="1:18" ht="15" customHeight="1" x14ac:dyDescent="0.3">
      <c r="A510" s="26" t="s">
        <v>36</v>
      </c>
      <c r="B510" s="26" t="s">
        <v>1119</v>
      </c>
      <c r="C510" s="26">
        <v>0.5</v>
      </c>
      <c r="D510" s="26" t="s">
        <v>38</v>
      </c>
      <c r="E510" s="26" t="s">
        <v>439</v>
      </c>
      <c r="F510" s="26" t="s">
        <v>620</v>
      </c>
      <c r="G510" s="328"/>
      <c r="H510" s="218"/>
      <c r="I510" s="219"/>
      <c r="J510" s="219"/>
      <c r="K510" s="219"/>
      <c r="L510" s="219"/>
      <c r="M510" s="219"/>
      <c r="N510" s="219"/>
      <c r="O510" s="219"/>
      <c r="P510" s="219"/>
      <c r="Q510" s="219"/>
      <c r="R510" s="220"/>
    </row>
    <row r="511" spans="1:18" ht="15" customHeight="1" x14ac:dyDescent="0.3">
      <c r="A511" s="10" t="s">
        <v>36</v>
      </c>
      <c r="B511" s="10" t="s">
        <v>1119</v>
      </c>
      <c r="C511" s="10">
        <v>0.5</v>
      </c>
      <c r="D511" s="10" t="s">
        <v>40</v>
      </c>
      <c r="E511" s="10" t="s">
        <v>124</v>
      </c>
      <c r="F511" s="10" t="s">
        <v>621</v>
      </c>
      <c r="G511" s="328"/>
      <c r="H511" s="218"/>
      <c r="I511" s="219"/>
      <c r="J511" s="219"/>
      <c r="K511" s="219"/>
      <c r="L511" s="219"/>
      <c r="M511" s="219"/>
      <c r="N511" s="219"/>
      <c r="O511" s="219"/>
      <c r="P511" s="219"/>
      <c r="Q511" s="219"/>
      <c r="R511" s="220"/>
    </row>
    <row r="512" spans="1:18" ht="15" customHeight="1" x14ac:dyDescent="0.3">
      <c r="A512" s="10" t="s">
        <v>36</v>
      </c>
      <c r="B512" s="10" t="s">
        <v>1119</v>
      </c>
      <c r="C512" s="10">
        <v>0.5</v>
      </c>
      <c r="D512" s="10" t="s">
        <v>42</v>
      </c>
      <c r="E512" s="10" t="s">
        <v>124</v>
      </c>
      <c r="F512" s="10" t="s">
        <v>622</v>
      </c>
      <c r="G512" s="328"/>
      <c r="H512" s="218"/>
      <c r="I512" s="219"/>
      <c r="J512" s="219"/>
      <c r="K512" s="219"/>
      <c r="L512" s="219"/>
      <c r="M512" s="219"/>
      <c r="N512" s="219"/>
      <c r="O512" s="219"/>
      <c r="P512" s="219"/>
      <c r="Q512" s="219"/>
      <c r="R512" s="220"/>
    </row>
    <row r="513" spans="1:18" ht="15" customHeight="1" x14ac:dyDescent="0.3">
      <c r="A513" s="26" t="s">
        <v>36</v>
      </c>
      <c r="B513" s="26" t="s">
        <v>1116</v>
      </c>
      <c r="C513" s="26">
        <v>0.30555555555555552</v>
      </c>
      <c r="D513" s="26" t="s">
        <v>38</v>
      </c>
      <c r="E513" s="26" t="s">
        <v>439</v>
      </c>
      <c r="F513" s="26" t="s">
        <v>620</v>
      </c>
      <c r="G513" s="328"/>
      <c r="H513" s="218"/>
      <c r="I513" s="219"/>
      <c r="J513" s="219"/>
      <c r="K513" s="219"/>
      <c r="L513" s="219"/>
      <c r="M513" s="219"/>
      <c r="N513" s="219"/>
      <c r="O513" s="219"/>
      <c r="P513" s="219"/>
      <c r="Q513" s="219"/>
      <c r="R513" s="220"/>
    </row>
    <row r="514" spans="1:18" ht="15" customHeight="1" x14ac:dyDescent="0.3">
      <c r="A514" s="10" t="s">
        <v>36</v>
      </c>
      <c r="B514" s="10" t="s">
        <v>1116</v>
      </c>
      <c r="C514" s="10">
        <v>0.30555555555555552</v>
      </c>
      <c r="D514" s="10" t="s">
        <v>40</v>
      </c>
      <c r="E514" s="10" t="s">
        <v>124</v>
      </c>
      <c r="F514" s="10" t="s">
        <v>621</v>
      </c>
      <c r="G514" s="328"/>
      <c r="H514" s="218"/>
      <c r="I514" s="219"/>
      <c r="J514" s="219"/>
      <c r="K514" s="219"/>
      <c r="L514" s="219"/>
      <c r="M514" s="219"/>
      <c r="N514" s="219"/>
      <c r="O514" s="219"/>
      <c r="P514" s="219"/>
      <c r="Q514" s="219"/>
      <c r="R514" s="220"/>
    </row>
    <row r="515" spans="1:18" ht="15" customHeight="1" x14ac:dyDescent="0.3">
      <c r="A515" s="10" t="s">
        <v>36</v>
      </c>
      <c r="B515" s="10" t="s">
        <v>1116</v>
      </c>
      <c r="C515" s="10">
        <v>0.30555555555555552</v>
      </c>
      <c r="D515" s="10" t="s">
        <v>42</v>
      </c>
      <c r="E515" s="10" t="s">
        <v>124</v>
      </c>
      <c r="F515" s="10" t="s">
        <v>622</v>
      </c>
      <c r="G515" s="328"/>
      <c r="H515" s="218"/>
      <c r="I515" s="219"/>
      <c r="J515" s="219"/>
      <c r="K515" s="219"/>
      <c r="L515" s="219"/>
      <c r="M515" s="219"/>
      <c r="N515" s="219"/>
      <c r="O515" s="219"/>
      <c r="P515" s="219"/>
      <c r="Q515" s="219"/>
      <c r="R515" s="220"/>
    </row>
    <row r="516" spans="1:18" ht="15" customHeight="1" x14ac:dyDescent="0.3">
      <c r="A516" s="26" t="s">
        <v>36</v>
      </c>
      <c r="B516" s="26" t="s">
        <v>1117</v>
      </c>
      <c r="C516" s="26">
        <v>0.6875</v>
      </c>
      <c r="D516" s="26" t="s">
        <v>38</v>
      </c>
      <c r="E516" s="26" t="s">
        <v>439</v>
      </c>
      <c r="F516" s="26" t="s">
        <v>620</v>
      </c>
      <c r="G516" s="328"/>
      <c r="H516" s="218"/>
      <c r="I516" s="219"/>
      <c r="J516" s="219"/>
      <c r="K516" s="219"/>
      <c r="L516" s="219"/>
      <c r="M516" s="219"/>
      <c r="N516" s="219"/>
      <c r="O516" s="219"/>
      <c r="P516" s="219"/>
      <c r="Q516" s="219"/>
      <c r="R516" s="220"/>
    </row>
    <row r="517" spans="1:18" ht="15" customHeight="1" x14ac:dyDescent="0.3">
      <c r="A517" s="10" t="s">
        <v>36</v>
      </c>
      <c r="B517" s="10" t="s">
        <v>1117</v>
      </c>
      <c r="C517" s="10">
        <v>0.6875</v>
      </c>
      <c r="D517" s="10" t="s">
        <v>40</v>
      </c>
      <c r="E517" s="10" t="s">
        <v>124</v>
      </c>
      <c r="F517" s="10" t="s">
        <v>621</v>
      </c>
      <c r="G517" s="328"/>
      <c r="H517" s="218"/>
      <c r="I517" s="219"/>
      <c r="J517" s="219"/>
      <c r="K517" s="219"/>
      <c r="L517" s="219"/>
      <c r="M517" s="219"/>
      <c r="N517" s="219"/>
      <c r="O517" s="219"/>
      <c r="P517" s="219"/>
      <c r="Q517" s="219"/>
      <c r="R517" s="220"/>
    </row>
    <row r="518" spans="1:18" ht="15" customHeight="1" x14ac:dyDescent="0.3">
      <c r="A518" s="10" t="s">
        <v>36</v>
      </c>
      <c r="B518" s="10" t="s">
        <v>1117</v>
      </c>
      <c r="C518" s="10">
        <v>0.6875</v>
      </c>
      <c r="D518" s="10" t="s">
        <v>42</v>
      </c>
      <c r="E518" s="10" t="s">
        <v>124</v>
      </c>
      <c r="F518" s="10" t="s">
        <v>622</v>
      </c>
      <c r="G518" s="328"/>
      <c r="H518" s="218"/>
      <c r="I518" s="219"/>
      <c r="J518" s="219"/>
      <c r="K518" s="219"/>
      <c r="L518" s="219"/>
      <c r="M518" s="219"/>
      <c r="N518" s="219"/>
      <c r="O518" s="219"/>
      <c r="P518" s="219"/>
      <c r="Q518" s="219"/>
      <c r="R518" s="220"/>
    </row>
    <row r="519" spans="1:18" ht="15" customHeight="1" x14ac:dyDescent="0.3">
      <c r="A519" s="11" t="s">
        <v>66</v>
      </c>
      <c r="B519" s="11" t="s">
        <v>1126</v>
      </c>
      <c r="C519" s="11">
        <v>0.16666666666666671</v>
      </c>
      <c r="D519" s="11" t="s">
        <v>829</v>
      </c>
      <c r="E519" s="11" t="s">
        <v>47</v>
      </c>
      <c r="F519" s="11" t="s">
        <v>657</v>
      </c>
      <c r="G519" s="328"/>
      <c r="H519" s="218"/>
      <c r="I519" s="219"/>
      <c r="J519" s="219"/>
      <c r="K519" s="219"/>
      <c r="L519" s="219"/>
      <c r="M519" s="219"/>
      <c r="N519" s="219"/>
      <c r="O519" s="219"/>
      <c r="P519" s="219"/>
      <c r="Q519" s="219"/>
      <c r="R519" s="220"/>
    </row>
    <row r="520" spans="1:18" ht="15" customHeight="1" x14ac:dyDescent="0.3">
      <c r="A520" s="26" t="s">
        <v>66</v>
      </c>
      <c r="B520" s="26" t="s">
        <v>1130</v>
      </c>
      <c r="C520" s="26">
        <v>0.91666666666666663</v>
      </c>
      <c r="D520" s="26" t="s">
        <v>829</v>
      </c>
      <c r="E520" s="26" t="s">
        <v>71</v>
      </c>
      <c r="F520" s="26" t="s">
        <v>1185</v>
      </c>
      <c r="G520" s="328"/>
      <c r="H520" s="218"/>
      <c r="I520" s="219"/>
      <c r="J520" s="219"/>
      <c r="K520" s="219"/>
      <c r="L520" s="219"/>
      <c r="M520" s="219"/>
      <c r="N520" s="219"/>
      <c r="O520" s="219"/>
      <c r="P520" s="219"/>
      <c r="Q520" s="219"/>
      <c r="R520" s="220"/>
    </row>
    <row r="521" spans="1:18" ht="15" customHeight="1" x14ac:dyDescent="0.3">
      <c r="A521" s="26" t="s">
        <v>66</v>
      </c>
      <c r="B521" s="26" t="s">
        <v>1128</v>
      </c>
      <c r="C521" s="26">
        <v>0.54166666666666663</v>
      </c>
      <c r="D521" s="26" t="s">
        <v>829</v>
      </c>
      <c r="E521" s="26" t="s">
        <v>71</v>
      </c>
      <c r="F521" s="26" t="s">
        <v>1185</v>
      </c>
      <c r="G521" s="328"/>
      <c r="H521" s="218"/>
      <c r="I521" s="219"/>
      <c r="J521" s="219"/>
      <c r="K521" s="219"/>
      <c r="L521" s="219"/>
      <c r="M521" s="219"/>
      <c r="N521" s="219"/>
      <c r="O521" s="219"/>
      <c r="P521" s="219"/>
      <c r="Q521" s="219"/>
      <c r="R521" s="220"/>
    </row>
    <row r="522" spans="1:18" ht="15" customHeight="1" x14ac:dyDescent="0.3">
      <c r="A522" s="11" t="s">
        <v>456</v>
      </c>
      <c r="B522" s="11" t="s">
        <v>1124</v>
      </c>
      <c r="C522" s="11">
        <v>0.62152777777777779</v>
      </c>
      <c r="D522" s="11" t="s">
        <v>458</v>
      </c>
      <c r="E522" s="11" t="s">
        <v>123</v>
      </c>
      <c r="F522" s="11" t="s">
        <v>1221</v>
      </c>
      <c r="G522" s="328"/>
      <c r="H522" s="218"/>
      <c r="I522" s="219"/>
      <c r="J522" s="219"/>
      <c r="K522" s="219"/>
      <c r="L522" s="219"/>
      <c r="M522" s="219"/>
      <c r="N522" s="219"/>
      <c r="O522" s="219"/>
      <c r="P522" s="219"/>
      <c r="Q522" s="219"/>
      <c r="R522" s="220"/>
    </row>
    <row r="523" spans="1:18" ht="15" customHeight="1" x14ac:dyDescent="0.3">
      <c r="A523" s="10" t="s">
        <v>456</v>
      </c>
      <c r="B523" s="10" t="s">
        <v>1124</v>
      </c>
      <c r="C523" s="10">
        <v>0.62152777777777779</v>
      </c>
      <c r="D523" s="10" t="s">
        <v>34</v>
      </c>
      <c r="E523" s="10" t="s">
        <v>124</v>
      </c>
      <c r="F523" s="10" t="s">
        <v>1222</v>
      </c>
      <c r="G523" s="328"/>
      <c r="H523" s="218"/>
      <c r="I523" s="219"/>
      <c r="J523" s="219"/>
      <c r="K523" s="219"/>
      <c r="L523" s="219"/>
      <c r="M523" s="219"/>
      <c r="N523" s="219"/>
      <c r="O523" s="219"/>
      <c r="P523" s="219"/>
      <c r="Q523" s="219"/>
      <c r="R523" s="220"/>
    </row>
    <row r="524" spans="1:18" ht="15" customHeight="1" x14ac:dyDescent="0.3">
      <c r="A524" s="139" t="s">
        <v>44</v>
      </c>
      <c r="B524" s="139" t="s">
        <v>1154</v>
      </c>
      <c r="C524" s="139">
        <v>0.61111111111111105</v>
      </c>
      <c r="D524" s="139" t="s">
        <v>46</v>
      </c>
      <c r="E524" s="139" t="s">
        <v>47</v>
      </c>
      <c r="F524" s="139" t="s">
        <v>1196</v>
      </c>
      <c r="G524" s="328"/>
      <c r="H524" s="226" t="s">
        <v>1155</v>
      </c>
      <c r="I524" s="261">
        <v>5.9499999999999997E-2</v>
      </c>
      <c r="J524" s="228">
        <v>10</v>
      </c>
      <c r="K524" s="229" t="s">
        <v>311</v>
      </c>
      <c r="L524" s="228">
        <v>2</v>
      </c>
      <c r="M524" s="228">
        <v>0</v>
      </c>
      <c r="N524" s="228">
        <v>0</v>
      </c>
      <c r="O524" s="229" t="s">
        <v>353</v>
      </c>
      <c r="P524" s="229">
        <v>0.61111111111111105</v>
      </c>
      <c r="Q524" s="228">
        <v>168</v>
      </c>
      <c r="R524" s="230" t="s">
        <v>1223</v>
      </c>
    </row>
    <row r="525" spans="1:18" ht="15" customHeight="1" x14ac:dyDescent="0.3">
      <c r="A525" s="11" t="s">
        <v>410</v>
      </c>
      <c r="B525" s="11" t="s">
        <v>1167</v>
      </c>
      <c r="C525" s="11">
        <v>0.35416666666666669</v>
      </c>
      <c r="D525" s="11" t="s">
        <v>46</v>
      </c>
      <c r="E525" s="11" t="s">
        <v>47</v>
      </c>
      <c r="F525" s="11" t="s">
        <v>1168</v>
      </c>
      <c r="G525" s="328"/>
      <c r="H525" s="218"/>
      <c r="I525" s="219"/>
      <c r="J525" s="219"/>
      <c r="K525" s="219"/>
      <c r="L525" s="219"/>
      <c r="M525" s="219"/>
      <c r="N525" s="219"/>
      <c r="O525" s="219"/>
      <c r="P525" s="219"/>
      <c r="Q525" s="219"/>
      <c r="R525" s="220"/>
    </row>
    <row r="526" spans="1:18" ht="15" customHeight="1" x14ac:dyDescent="0.3">
      <c r="A526" s="11" t="s">
        <v>404</v>
      </c>
      <c r="B526" s="11" t="s">
        <v>1120</v>
      </c>
      <c r="C526" s="11">
        <v>0.27430555555555552</v>
      </c>
      <c r="D526" s="11" t="s">
        <v>46</v>
      </c>
      <c r="E526" s="11" t="s">
        <v>47</v>
      </c>
      <c r="F526" s="11" t="s">
        <v>1224</v>
      </c>
      <c r="G526" s="328"/>
      <c r="H526" s="218"/>
      <c r="I526" s="219"/>
      <c r="J526" s="219"/>
      <c r="K526" s="219"/>
      <c r="L526" s="219"/>
      <c r="M526" s="219"/>
      <c r="N526" s="219"/>
      <c r="O526" s="219"/>
      <c r="P526" s="219"/>
      <c r="Q526" s="219"/>
      <c r="R526" s="220"/>
    </row>
    <row r="527" spans="1:18" ht="15" customHeight="1" x14ac:dyDescent="0.3">
      <c r="A527" s="11" t="s">
        <v>78</v>
      </c>
      <c r="B527" s="11" t="s">
        <v>1137</v>
      </c>
      <c r="C527" s="11">
        <v>0.83680555555555547</v>
      </c>
      <c r="D527" s="11" t="s">
        <v>80</v>
      </c>
      <c r="E527" s="11" t="s">
        <v>47</v>
      </c>
      <c r="F527" s="11" t="s">
        <v>1195</v>
      </c>
      <c r="G527" s="328"/>
      <c r="H527" s="218"/>
      <c r="I527" s="219"/>
      <c r="J527" s="219"/>
      <c r="K527" s="219"/>
      <c r="L527" s="219"/>
      <c r="M527" s="219"/>
      <c r="N527" s="219"/>
      <c r="O527" s="219"/>
      <c r="P527" s="219"/>
      <c r="Q527" s="219"/>
      <c r="R527" s="220"/>
    </row>
    <row r="528" spans="1:18" ht="15" customHeight="1" x14ac:dyDescent="0.3">
      <c r="A528" s="10" t="s">
        <v>78</v>
      </c>
      <c r="B528" s="10" t="s">
        <v>1137</v>
      </c>
      <c r="C528" s="10">
        <v>0.83680555555555547</v>
      </c>
      <c r="D528" s="10" t="s">
        <v>83</v>
      </c>
      <c r="E528" s="10" t="s">
        <v>95</v>
      </c>
      <c r="F528" s="10" t="s">
        <v>863</v>
      </c>
      <c r="G528" s="328"/>
      <c r="H528" s="218"/>
      <c r="I528" s="219"/>
      <c r="J528" s="219"/>
      <c r="K528" s="219"/>
      <c r="L528" s="219"/>
      <c r="M528" s="219"/>
      <c r="N528" s="219"/>
      <c r="O528" s="219"/>
      <c r="P528" s="219"/>
      <c r="Q528" s="219"/>
      <c r="R528" s="220"/>
    </row>
    <row r="529" spans="1:18" ht="15" customHeight="1" x14ac:dyDescent="0.3">
      <c r="A529" s="26" t="s">
        <v>78</v>
      </c>
      <c r="B529" s="26" t="s">
        <v>1135</v>
      </c>
      <c r="C529" s="26">
        <v>0.2986111111111111</v>
      </c>
      <c r="D529" s="26" t="s">
        <v>80</v>
      </c>
      <c r="E529" s="26" t="s">
        <v>71</v>
      </c>
      <c r="F529" s="26" t="s">
        <v>1195</v>
      </c>
      <c r="G529" s="328"/>
      <c r="H529" s="218"/>
      <c r="I529" s="219"/>
      <c r="J529" s="219"/>
      <c r="K529" s="219"/>
      <c r="L529" s="219"/>
      <c r="M529" s="219"/>
      <c r="N529" s="219"/>
      <c r="O529" s="219"/>
      <c r="P529" s="219"/>
      <c r="Q529" s="219"/>
      <c r="R529" s="220"/>
    </row>
    <row r="530" spans="1:18" ht="15" customHeight="1" x14ac:dyDescent="0.3">
      <c r="A530" s="10" t="s">
        <v>78</v>
      </c>
      <c r="B530" s="10" t="s">
        <v>1135</v>
      </c>
      <c r="C530" s="10">
        <v>0.2986111111111111</v>
      </c>
      <c r="D530" s="10" t="s">
        <v>83</v>
      </c>
      <c r="E530" s="10" t="s">
        <v>95</v>
      </c>
      <c r="F530" s="10" t="s">
        <v>863</v>
      </c>
      <c r="G530" s="328"/>
      <c r="H530" s="218"/>
      <c r="I530" s="219"/>
      <c r="J530" s="219"/>
      <c r="K530" s="219"/>
      <c r="L530" s="219"/>
      <c r="M530" s="219"/>
      <c r="N530" s="219"/>
      <c r="O530" s="219"/>
      <c r="P530" s="219"/>
      <c r="Q530" s="219"/>
      <c r="R530" s="220"/>
    </row>
    <row r="531" spans="1:18" ht="15" customHeight="1" x14ac:dyDescent="0.3">
      <c r="A531" s="26" t="s">
        <v>78</v>
      </c>
      <c r="B531" s="26" t="s">
        <v>1134</v>
      </c>
      <c r="C531" s="26">
        <v>0.68402777777777779</v>
      </c>
      <c r="D531" s="26" t="s">
        <v>80</v>
      </c>
      <c r="E531" s="26" t="s">
        <v>71</v>
      </c>
      <c r="F531" s="26" t="s">
        <v>1132</v>
      </c>
      <c r="G531" s="328"/>
      <c r="H531" s="218"/>
      <c r="I531" s="219"/>
      <c r="J531" s="219"/>
      <c r="K531" s="219"/>
      <c r="L531" s="219"/>
      <c r="M531" s="219"/>
      <c r="N531" s="219"/>
      <c r="O531" s="219"/>
      <c r="P531" s="219"/>
      <c r="Q531" s="219"/>
      <c r="R531" s="220"/>
    </row>
    <row r="532" spans="1:18" ht="15" customHeight="1" x14ac:dyDescent="0.3">
      <c r="A532" s="10" t="s">
        <v>78</v>
      </c>
      <c r="B532" s="10" t="s">
        <v>1134</v>
      </c>
      <c r="C532" s="10">
        <v>0.68402777777777779</v>
      </c>
      <c r="D532" s="10" t="s">
        <v>83</v>
      </c>
      <c r="E532" s="10" t="s">
        <v>95</v>
      </c>
      <c r="F532" s="10" t="s">
        <v>1133</v>
      </c>
      <c r="G532" s="328"/>
      <c r="H532" s="218"/>
      <c r="I532" s="219"/>
      <c r="J532" s="219"/>
      <c r="K532" s="219"/>
      <c r="L532" s="219"/>
      <c r="M532" s="219"/>
      <c r="N532" s="219"/>
      <c r="O532" s="219"/>
      <c r="P532" s="219"/>
      <c r="Q532" s="219"/>
      <c r="R532" s="220"/>
    </row>
    <row r="533" spans="1:18" ht="15" customHeight="1" x14ac:dyDescent="0.3">
      <c r="A533" s="26" t="s">
        <v>78</v>
      </c>
      <c r="B533" s="26" t="s">
        <v>1136</v>
      </c>
      <c r="C533" s="26">
        <v>0.4826388888888889</v>
      </c>
      <c r="D533" s="26" t="s">
        <v>80</v>
      </c>
      <c r="E533" s="26" t="s">
        <v>71</v>
      </c>
      <c r="F533" s="26" t="s">
        <v>1132</v>
      </c>
      <c r="G533" s="328"/>
      <c r="H533" s="218"/>
      <c r="I533" s="219"/>
      <c r="J533" s="219"/>
      <c r="K533" s="219"/>
      <c r="L533" s="219"/>
      <c r="M533" s="219"/>
      <c r="N533" s="219"/>
      <c r="O533" s="219"/>
      <c r="P533" s="219"/>
      <c r="Q533" s="219"/>
      <c r="R533" s="220"/>
    </row>
    <row r="534" spans="1:18" ht="15" customHeight="1" x14ac:dyDescent="0.3">
      <c r="A534" s="10" t="s">
        <v>78</v>
      </c>
      <c r="B534" s="10" t="s">
        <v>1136</v>
      </c>
      <c r="C534" s="10">
        <v>0.4826388888888889</v>
      </c>
      <c r="D534" s="10" t="s">
        <v>83</v>
      </c>
      <c r="E534" s="10" t="s">
        <v>95</v>
      </c>
      <c r="F534" s="10" t="s">
        <v>1133</v>
      </c>
      <c r="G534" s="328"/>
      <c r="H534" s="218"/>
      <c r="I534" s="219"/>
      <c r="J534" s="219"/>
      <c r="K534" s="219"/>
      <c r="L534" s="219"/>
      <c r="M534" s="219"/>
      <c r="N534" s="219"/>
      <c r="O534" s="219"/>
      <c r="P534" s="219"/>
      <c r="Q534" s="219"/>
      <c r="R534" s="220"/>
    </row>
    <row r="535" spans="1:18" ht="15" customHeight="1" x14ac:dyDescent="0.3">
      <c r="A535" s="26" t="s">
        <v>78</v>
      </c>
      <c r="B535" s="26" t="s">
        <v>1140</v>
      </c>
      <c r="C535" s="26">
        <v>0.5</v>
      </c>
      <c r="D535" s="26" t="s">
        <v>83</v>
      </c>
      <c r="E535" s="26" t="s">
        <v>87</v>
      </c>
      <c r="F535" s="26" t="s">
        <v>1141</v>
      </c>
      <c r="G535" s="328"/>
      <c r="H535" s="218"/>
      <c r="I535" s="219"/>
      <c r="J535" s="219"/>
      <c r="K535" s="219"/>
      <c r="L535" s="219"/>
      <c r="M535" s="219"/>
      <c r="N535" s="219"/>
      <c r="O535" s="219"/>
      <c r="P535" s="219"/>
      <c r="Q535" s="219"/>
      <c r="R535" s="220"/>
    </row>
    <row r="536" spans="1:18" ht="15" customHeight="1" x14ac:dyDescent="0.3">
      <c r="A536" s="26" t="s">
        <v>78</v>
      </c>
      <c r="B536" s="26" t="s">
        <v>1142</v>
      </c>
      <c r="C536" s="26">
        <v>0.76041666666666663</v>
      </c>
      <c r="D536" s="26" t="s">
        <v>83</v>
      </c>
      <c r="E536" s="26" t="s">
        <v>87</v>
      </c>
      <c r="F536" s="26" t="s">
        <v>1141</v>
      </c>
      <c r="G536" s="328"/>
      <c r="H536" s="218"/>
      <c r="I536" s="219"/>
      <c r="J536" s="219"/>
      <c r="K536" s="219"/>
      <c r="L536" s="219"/>
      <c r="M536" s="219"/>
      <c r="N536" s="219"/>
      <c r="O536" s="219"/>
      <c r="P536" s="219"/>
      <c r="Q536" s="219"/>
      <c r="R536" s="220"/>
    </row>
    <row r="537" spans="1:18" ht="15" customHeight="1" x14ac:dyDescent="0.3">
      <c r="A537" s="31" t="s">
        <v>78</v>
      </c>
      <c r="B537" s="31" t="s">
        <v>1143</v>
      </c>
      <c r="C537" s="31">
        <v>0.81597222222222221</v>
      </c>
      <c r="D537" s="31" t="s">
        <v>83</v>
      </c>
      <c r="E537" s="31" t="s">
        <v>87</v>
      </c>
      <c r="F537" s="31" t="s">
        <v>1141</v>
      </c>
      <c r="G537" s="328"/>
      <c r="H537" s="231"/>
      <c r="I537" s="232"/>
      <c r="J537" s="232"/>
      <c r="K537" s="232"/>
      <c r="L537" s="232"/>
      <c r="M537" s="232"/>
      <c r="N537" s="232"/>
      <c r="O537" s="232"/>
      <c r="P537" s="232"/>
      <c r="Q537" s="232"/>
      <c r="R537" s="233"/>
    </row>
    <row r="538" spans="1:18" ht="17.399999999999999" customHeight="1" x14ac:dyDescent="0.3">
      <c r="A538" s="360"/>
      <c r="B538" s="361"/>
      <c r="C538" s="361"/>
      <c r="D538" s="361"/>
      <c r="E538" s="361"/>
      <c r="F538" s="361"/>
      <c r="G538" s="361"/>
      <c r="H538" s="361"/>
      <c r="I538" s="361"/>
      <c r="J538" s="361"/>
      <c r="K538" s="361"/>
      <c r="L538" s="361"/>
      <c r="M538" s="361"/>
      <c r="N538" s="361"/>
      <c r="O538" s="361"/>
      <c r="P538" s="361"/>
      <c r="Q538" s="361"/>
      <c r="R538" s="362"/>
    </row>
    <row r="539" spans="1:18" ht="22.05" customHeight="1" x14ac:dyDescent="0.3">
      <c r="A539" s="323" t="s">
        <v>6</v>
      </c>
      <c r="B539" s="324"/>
      <c r="C539" s="324"/>
      <c r="D539" s="324"/>
      <c r="E539" s="324"/>
      <c r="F539" s="324"/>
      <c r="G539" s="2">
        <v>45998</v>
      </c>
      <c r="H539" s="323" t="s">
        <v>7</v>
      </c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</row>
    <row r="540" spans="1:18" ht="24" customHeight="1" x14ac:dyDescent="0.3">
      <c r="A540" s="3" t="s">
        <v>8</v>
      </c>
      <c r="B540" s="3" t="s">
        <v>9</v>
      </c>
      <c r="C540" s="3" t="s">
        <v>10</v>
      </c>
      <c r="D540" s="3" t="s">
        <v>11</v>
      </c>
      <c r="E540" s="3" t="s">
        <v>12</v>
      </c>
      <c r="F540" s="4" t="s">
        <v>13</v>
      </c>
      <c r="G540" s="5" t="s">
        <v>14</v>
      </c>
      <c r="H540" s="3" t="s">
        <v>15</v>
      </c>
      <c r="I540" s="3" t="s">
        <v>16</v>
      </c>
      <c r="J540" s="3" t="s">
        <v>17</v>
      </c>
      <c r="K540" s="3" t="s">
        <v>18</v>
      </c>
      <c r="L540" s="3" t="s">
        <v>19</v>
      </c>
      <c r="M540" s="3" t="s">
        <v>20</v>
      </c>
      <c r="N540" s="3" t="s">
        <v>21</v>
      </c>
      <c r="O540" s="3" t="s">
        <v>22</v>
      </c>
      <c r="P540" s="3" t="s">
        <v>23</v>
      </c>
      <c r="Q540" s="3" t="s">
        <v>24</v>
      </c>
      <c r="R540" s="3" t="s">
        <v>25</v>
      </c>
    </row>
    <row r="541" spans="1:18" ht="15" customHeight="1" x14ac:dyDescent="0.3">
      <c r="A541" s="6" t="s">
        <v>26</v>
      </c>
      <c r="B541" s="6" t="s">
        <v>1099</v>
      </c>
      <c r="C541" s="6">
        <v>0.76041666666666663</v>
      </c>
      <c r="D541" s="6" t="s">
        <v>28</v>
      </c>
      <c r="E541" s="6" t="s">
        <v>1225</v>
      </c>
      <c r="F541" s="6" t="s">
        <v>1179</v>
      </c>
      <c r="G541" s="335"/>
      <c r="H541" s="218"/>
      <c r="I541" s="219"/>
      <c r="J541" s="219"/>
      <c r="K541" s="219"/>
      <c r="L541" s="219"/>
      <c r="M541" s="219"/>
      <c r="N541" s="219"/>
      <c r="O541" s="219"/>
      <c r="P541" s="219"/>
      <c r="Q541" s="219"/>
      <c r="R541" s="220"/>
    </row>
    <row r="542" spans="1:18" ht="15" customHeight="1" x14ac:dyDescent="0.3">
      <c r="A542" s="10" t="s">
        <v>26</v>
      </c>
      <c r="B542" s="10" t="s">
        <v>1099</v>
      </c>
      <c r="C542" s="10">
        <v>0.76041666666666663</v>
      </c>
      <c r="D542" s="10" t="s">
        <v>31</v>
      </c>
      <c r="E542" s="10" t="s">
        <v>598</v>
      </c>
      <c r="F542" s="10" t="s">
        <v>621</v>
      </c>
      <c r="G542" s="328"/>
      <c r="H542" s="218"/>
      <c r="I542" s="219"/>
      <c r="J542" s="219"/>
      <c r="K542" s="219"/>
      <c r="L542" s="219"/>
      <c r="M542" s="219"/>
      <c r="N542" s="219"/>
      <c r="O542" s="219"/>
      <c r="P542" s="219"/>
      <c r="Q542" s="219"/>
      <c r="R542" s="220"/>
    </row>
    <row r="543" spans="1:18" ht="15" customHeight="1" x14ac:dyDescent="0.3">
      <c r="A543" s="10" t="s">
        <v>26</v>
      </c>
      <c r="B543" s="10" t="s">
        <v>1099</v>
      </c>
      <c r="C543" s="10">
        <v>0.76041666666666663</v>
      </c>
      <c r="D543" s="10" t="s">
        <v>34</v>
      </c>
      <c r="E543" s="10" t="s">
        <v>598</v>
      </c>
      <c r="F543" s="10" t="s">
        <v>1103</v>
      </c>
      <c r="G543" s="328"/>
      <c r="H543" s="218"/>
      <c r="I543" s="219"/>
      <c r="J543" s="219"/>
      <c r="K543" s="219"/>
      <c r="L543" s="219"/>
      <c r="M543" s="219"/>
      <c r="N543" s="219"/>
      <c r="O543" s="219"/>
      <c r="P543" s="219"/>
      <c r="Q543" s="219"/>
      <c r="R543" s="220"/>
    </row>
    <row r="544" spans="1:18" ht="15" customHeight="1" x14ac:dyDescent="0.3">
      <c r="A544" s="26" t="s">
        <v>26</v>
      </c>
      <c r="B544" s="26" t="s">
        <v>1104</v>
      </c>
      <c r="C544" s="26">
        <v>0.5</v>
      </c>
      <c r="D544" s="26" t="s">
        <v>28</v>
      </c>
      <c r="E544" s="26" t="s">
        <v>671</v>
      </c>
      <c r="F544" s="26" t="s">
        <v>1179</v>
      </c>
      <c r="G544" s="328"/>
      <c r="H544" s="218"/>
      <c r="I544" s="219"/>
      <c r="J544" s="219"/>
      <c r="K544" s="219"/>
      <c r="L544" s="219"/>
      <c r="M544" s="219"/>
      <c r="N544" s="219"/>
      <c r="O544" s="219"/>
      <c r="P544" s="219"/>
      <c r="Q544" s="219"/>
      <c r="R544" s="220"/>
    </row>
    <row r="545" spans="1:18" ht="15" customHeight="1" x14ac:dyDescent="0.3">
      <c r="A545" s="10" t="s">
        <v>26</v>
      </c>
      <c r="B545" s="10" t="s">
        <v>1104</v>
      </c>
      <c r="C545" s="10">
        <v>0.5</v>
      </c>
      <c r="D545" s="10" t="s">
        <v>31</v>
      </c>
      <c r="E545" s="10" t="s">
        <v>172</v>
      </c>
      <c r="F545" s="10" t="s">
        <v>621</v>
      </c>
      <c r="G545" s="328"/>
      <c r="H545" s="218"/>
      <c r="I545" s="219"/>
      <c r="J545" s="219"/>
      <c r="K545" s="219"/>
      <c r="L545" s="219"/>
      <c r="M545" s="219"/>
      <c r="N545" s="219"/>
      <c r="O545" s="219"/>
      <c r="P545" s="219"/>
      <c r="Q545" s="219"/>
      <c r="R545" s="220"/>
    </row>
    <row r="546" spans="1:18" ht="15" customHeight="1" x14ac:dyDescent="0.3">
      <c r="A546" s="10" t="s">
        <v>26</v>
      </c>
      <c r="B546" s="10" t="s">
        <v>1104</v>
      </c>
      <c r="C546" s="10">
        <v>0.5</v>
      </c>
      <c r="D546" s="10" t="s">
        <v>34</v>
      </c>
      <c r="E546" s="10" t="s">
        <v>172</v>
      </c>
      <c r="F546" s="10" t="s">
        <v>1103</v>
      </c>
      <c r="G546" s="328"/>
      <c r="H546" s="218"/>
      <c r="I546" s="219"/>
      <c r="J546" s="219"/>
      <c r="K546" s="219"/>
      <c r="L546" s="219"/>
      <c r="M546" s="219"/>
      <c r="N546" s="219"/>
      <c r="O546" s="219"/>
      <c r="P546" s="219"/>
      <c r="Q546" s="219"/>
      <c r="R546" s="220"/>
    </row>
    <row r="547" spans="1:18" ht="15" customHeight="1" x14ac:dyDescent="0.3">
      <c r="A547" s="26" t="s">
        <v>26</v>
      </c>
      <c r="B547" s="26" t="s">
        <v>1107</v>
      </c>
      <c r="C547" s="26">
        <v>0.44791666666666669</v>
      </c>
      <c r="D547" s="26" t="s">
        <v>28</v>
      </c>
      <c r="E547" s="26" t="s">
        <v>152</v>
      </c>
      <c r="F547" s="26" t="s">
        <v>1179</v>
      </c>
      <c r="G547" s="328"/>
      <c r="H547" s="218"/>
      <c r="I547" s="219"/>
      <c r="J547" s="219"/>
      <c r="K547" s="219"/>
      <c r="L547" s="219"/>
      <c r="M547" s="219"/>
      <c r="N547" s="219"/>
      <c r="O547" s="219"/>
      <c r="P547" s="219"/>
      <c r="Q547" s="219"/>
      <c r="R547" s="220"/>
    </row>
    <row r="548" spans="1:18" ht="15" customHeight="1" x14ac:dyDescent="0.3">
      <c r="A548" s="10" t="s">
        <v>26</v>
      </c>
      <c r="B548" s="10" t="s">
        <v>1107</v>
      </c>
      <c r="C548" s="10">
        <v>0.44791666666666669</v>
      </c>
      <c r="D548" s="10" t="s">
        <v>31</v>
      </c>
      <c r="E548" s="10" t="s">
        <v>84</v>
      </c>
      <c r="F548" s="10" t="s">
        <v>621</v>
      </c>
      <c r="G548" s="328"/>
      <c r="H548" s="218"/>
      <c r="I548" s="219"/>
      <c r="J548" s="219"/>
      <c r="K548" s="219"/>
      <c r="L548" s="219"/>
      <c r="M548" s="219"/>
      <c r="N548" s="219"/>
      <c r="O548" s="219"/>
      <c r="P548" s="219"/>
      <c r="Q548" s="219"/>
      <c r="R548" s="220"/>
    </row>
    <row r="549" spans="1:18" ht="15" customHeight="1" x14ac:dyDescent="0.3">
      <c r="A549" s="10" t="s">
        <v>26</v>
      </c>
      <c r="B549" s="10" t="s">
        <v>1107</v>
      </c>
      <c r="C549" s="10">
        <v>0.44791666666666669</v>
      </c>
      <c r="D549" s="10" t="s">
        <v>34</v>
      </c>
      <c r="E549" s="10" t="s">
        <v>84</v>
      </c>
      <c r="F549" s="10" t="s">
        <v>1103</v>
      </c>
      <c r="G549" s="328"/>
      <c r="H549" s="218"/>
      <c r="I549" s="219"/>
      <c r="J549" s="219"/>
      <c r="K549" s="219"/>
      <c r="L549" s="219"/>
      <c r="M549" s="219"/>
      <c r="N549" s="219"/>
      <c r="O549" s="219"/>
      <c r="P549" s="219"/>
      <c r="Q549" s="219"/>
      <c r="R549" s="220"/>
    </row>
    <row r="550" spans="1:18" ht="15" customHeight="1" x14ac:dyDescent="0.3">
      <c r="A550" s="26" t="s">
        <v>26</v>
      </c>
      <c r="B550" s="26" t="s">
        <v>1110</v>
      </c>
      <c r="C550" s="26">
        <v>0.81597222222222221</v>
      </c>
      <c r="D550" s="26" t="s">
        <v>28</v>
      </c>
      <c r="E550" s="26" t="s">
        <v>671</v>
      </c>
      <c r="F550" s="26" t="s">
        <v>1179</v>
      </c>
      <c r="G550" s="328"/>
      <c r="H550" s="218"/>
      <c r="I550" s="219"/>
      <c r="J550" s="219"/>
      <c r="K550" s="219"/>
      <c r="L550" s="219"/>
      <c r="M550" s="219"/>
      <c r="N550" s="219"/>
      <c r="O550" s="219"/>
      <c r="P550" s="219"/>
      <c r="Q550" s="219"/>
      <c r="R550" s="220"/>
    </row>
    <row r="551" spans="1:18" ht="15" customHeight="1" x14ac:dyDescent="0.3">
      <c r="A551" s="10" t="s">
        <v>26</v>
      </c>
      <c r="B551" s="10" t="s">
        <v>1110</v>
      </c>
      <c r="C551" s="10">
        <v>0.81597222222222221</v>
      </c>
      <c r="D551" s="10" t="s">
        <v>31</v>
      </c>
      <c r="E551" s="10" t="s">
        <v>172</v>
      </c>
      <c r="F551" s="10" t="s">
        <v>621</v>
      </c>
      <c r="G551" s="328"/>
      <c r="H551" s="218"/>
      <c r="I551" s="219"/>
      <c r="J551" s="219"/>
      <c r="K551" s="219"/>
      <c r="L551" s="219"/>
      <c r="M551" s="219"/>
      <c r="N551" s="219"/>
      <c r="O551" s="219"/>
      <c r="P551" s="219"/>
      <c r="Q551" s="219"/>
      <c r="R551" s="220"/>
    </row>
    <row r="552" spans="1:18" ht="15" customHeight="1" x14ac:dyDescent="0.3">
      <c r="A552" s="10" t="s">
        <v>26</v>
      </c>
      <c r="B552" s="10" t="s">
        <v>1110</v>
      </c>
      <c r="C552" s="10">
        <v>0.81597222222222221</v>
      </c>
      <c r="D552" s="10" t="s">
        <v>34</v>
      </c>
      <c r="E552" s="10" t="s">
        <v>172</v>
      </c>
      <c r="F552" s="10" t="s">
        <v>1103</v>
      </c>
      <c r="G552" s="328"/>
      <c r="H552" s="218"/>
      <c r="I552" s="219"/>
      <c r="J552" s="219"/>
      <c r="K552" s="219"/>
      <c r="L552" s="219"/>
      <c r="M552" s="219"/>
      <c r="N552" s="219"/>
      <c r="O552" s="219"/>
      <c r="P552" s="219"/>
      <c r="Q552" s="219"/>
      <c r="R552" s="220"/>
    </row>
    <row r="553" spans="1:18" ht="15" customHeight="1" x14ac:dyDescent="0.3">
      <c r="A553" s="11" t="s">
        <v>36</v>
      </c>
      <c r="B553" s="11" t="s">
        <v>1113</v>
      </c>
      <c r="C553" s="11">
        <v>0.82638888888888884</v>
      </c>
      <c r="D553" s="11" t="s">
        <v>38</v>
      </c>
      <c r="E553" s="11" t="s">
        <v>129</v>
      </c>
      <c r="F553" s="11" t="s">
        <v>664</v>
      </c>
      <c r="G553" s="328"/>
      <c r="H553" s="218"/>
      <c r="I553" s="219"/>
      <c r="J553" s="219"/>
      <c r="K553" s="219"/>
      <c r="L553" s="219"/>
      <c r="M553" s="219"/>
      <c r="N553" s="219"/>
      <c r="O553" s="219"/>
      <c r="P553" s="219"/>
      <c r="Q553" s="219"/>
      <c r="R553" s="220"/>
    </row>
    <row r="554" spans="1:18" ht="15" customHeight="1" x14ac:dyDescent="0.3">
      <c r="A554" s="10" t="s">
        <v>36</v>
      </c>
      <c r="B554" s="10" t="s">
        <v>1113</v>
      </c>
      <c r="C554" s="10">
        <v>0.82638888888888884</v>
      </c>
      <c r="D554" s="10" t="s">
        <v>40</v>
      </c>
      <c r="E554" s="10" t="s">
        <v>92</v>
      </c>
      <c r="F554" s="10" t="s">
        <v>515</v>
      </c>
      <c r="G554" s="328"/>
      <c r="H554" s="218"/>
      <c r="I554" s="219"/>
      <c r="J554" s="219"/>
      <c r="K554" s="219"/>
      <c r="L554" s="219"/>
      <c r="M554" s="219"/>
      <c r="N554" s="219"/>
      <c r="O554" s="219"/>
      <c r="P554" s="219"/>
      <c r="Q554" s="219"/>
      <c r="R554" s="220"/>
    </row>
    <row r="555" spans="1:18" ht="15" customHeight="1" x14ac:dyDescent="0.3">
      <c r="A555" s="10" t="s">
        <v>36</v>
      </c>
      <c r="B555" s="10" t="s">
        <v>1113</v>
      </c>
      <c r="C555" s="10">
        <v>0.82638888888888884</v>
      </c>
      <c r="D555" s="10" t="s">
        <v>42</v>
      </c>
      <c r="E555" s="10" t="s">
        <v>92</v>
      </c>
      <c r="F555" s="10" t="s">
        <v>624</v>
      </c>
      <c r="G555" s="328"/>
      <c r="H555" s="218"/>
      <c r="I555" s="219"/>
      <c r="J555" s="219"/>
      <c r="K555" s="219"/>
      <c r="L555" s="219"/>
      <c r="M555" s="219"/>
      <c r="N555" s="219"/>
      <c r="O555" s="219"/>
      <c r="P555" s="219"/>
      <c r="Q555" s="219"/>
      <c r="R555" s="220"/>
    </row>
    <row r="556" spans="1:18" ht="15" customHeight="1" x14ac:dyDescent="0.3">
      <c r="A556" s="26" t="s">
        <v>36</v>
      </c>
      <c r="B556" s="26" t="s">
        <v>1114</v>
      </c>
      <c r="C556" s="26">
        <v>0.375</v>
      </c>
      <c r="D556" s="26" t="s">
        <v>38</v>
      </c>
      <c r="E556" s="26" t="s">
        <v>113</v>
      </c>
      <c r="F556" s="26" t="s">
        <v>664</v>
      </c>
      <c r="G556" s="328"/>
      <c r="H556" s="218"/>
      <c r="I556" s="219"/>
      <c r="J556" s="219"/>
      <c r="K556" s="219"/>
      <c r="L556" s="219"/>
      <c r="M556" s="219"/>
      <c r="N556" s="219"/>
      <c r="O556" s="219"/>
      <c r="P556" s="219"/>
      <c r="Q556" s="219"/>
      <c r="R556" s="220"/>
    </row>
    <row r="557" spans="1:18" ht="15" customHeight="1" x14ac:dyDescent="0.3">
      <c r="A557" s="10" t="s">
        <v>36</v>
      </c>
      <c r="B557" s="10" t="s">
        <v>1114</v>
      </c>
      <c r="C557" s="10">
        <v>0.375</v>
      </c>
      <c r="D557" s="10" t="s">
        <v>40</v>
      </c>
      <c r="E557" s="10" t="s">
        <v>136</v>
      </c>
      <c r="F557" s="10" t="s">
        <v>515</v>
      </c>
      <c r="G557" s="328"/>
      <c r="H557" s="218"/>
      <c r="I557" s="219"/>
      <c r="J557" s="219"/>
      <c r="K557" s="219"/>
      <c r="L557" s="219"/>
      <c r="M557" s="219"/>
      <c r="N557" s="219"/>
      <c r="O557" s="219"/>
      <c r="P557" s="219"/>
      <c r="Q557" s="219"/>
      <c r="R557" s="220"/>
    </row>
    <row r="558" spans="1:18" ht="15" customHeight="1" x14ac:dyDescent="0.3">
      <c r="A558" s="10" t="s">
        <v>36</v>
      </c>
      <c r="B558" s="10" t="s">
        <v>1114</v>
      </c>
      <c r="C558" s="10">
        <v>0.375</v>
      </c>
      <c r="D558" s="10" t="s">
        <v>42</v>
      </c>
      <c r="E558" s="10" t="s">
        <v>136</v>
      </c>
      <c r="F558" s="10" t="s">
        <v>624</v>
      </c>
      <c r="G558" s="328"/>
      <c r="H558" s="218"/>
      <c r="I558" s="219"/>
      <c r="J558" s="219"/>
      <c r="K558" s="219"/>
      <c r="L558" s="219"/>
      <c r="M558" s="219"/>
      <c r="N558" s="219"/>
      <c r="O558" s="219"/>
      <c r="P558" s="219"/>
      <c r="Q558" s="219"/>
      <c r="R558" s="220"/>
    </row>
    <row r="559" spans="1:18" ht="15" customHeight="1" x14ac:dyDescent="0.3">
      <c r="A559" s="26" t="s">
        <v>36</v>
      </c>
      <c r="B559" s="26" t="s">
        <v>1115</v>
      </c>
      <c r="C559" s="26">
        <v>0.56597222222222221</v>
      </c>
      <c r="D559" s="26" t="s">
        <v>38</v>
      </c>
      <c r="E559" s="26" t="s">
        <v>439</v>
      </c>
      <c r="F559" s="26" t="s">
        <v>664</v>
      </c>
      <c r="G559" s="328"/>
      <c r="H559" s="218"/>
      <c r="I559" s="219"/>
      <c r="J559" s="219"/>
      <c r="K559" s="219"/>
      <c r="L559" s="219"/>
      <c r="M559" s="219"/>
      <c r="N559" s="219"/>
      <c r="O559" s="219"/>
      <c r="P559" s="219"/>
      <c r="Q559" s="219"/>
      <c r="R559" s="220"/>
    </row>
    <row r="560" spans="1:18" ht="15" customHeight="1" x14ac:dyDescent="0.3">
      <c r="A560" s="10" t="s">
        <v>36</v>
      </c>
      <c r="B560" s="10" t="s">
        <v>1115</v>
      </c>
      <c r="C560" s="10">
        <v>0.56597222222222221</v>
      </c>
      <c r="D560" s="10" t="s">
        <v>40</v>
      </c>
      <c r="E560" s="10" t="s">
        <v>124</v>
      </c>
      <c r="F560" s="10" t="s">
        <v>515</v>
      </c>
      <c r="G560" s="328"/>
      <c r="H560" s="218"/>
      <c r="I560" s="219"/>
      <c r="J560" s="219"/>
      <c r="K560" s="219"/>
      <c r="L560" s="219"/>
      <c r="M560" s="219"/>
      <c r="N560" s="219"/>
      <c r="O560" s="219"/>
      <c r="P560" s="219"/>
      <c r="Q560" s="219"/>
      <c r="R560" s="220"/>
    </row>
    <row r="561" spans="1:18" ht="15" customHeight="1" x14ac:dyDescent="0.3">
      <c r="A561" s="10" t="s">
        <v>36</v>
      </c>
      <c r="B561" s="10" t="s">
        <v>1115</v>
      </c>
      <c r="C561" s="10">
        <v>0.56597222222222221</v>
      </c>
      <c r="D561" s="10" t="s">
        <v>42</v>
      </c>
      <c r="E561" s="10" t="s">
        <v>124</v>
      </c>
      <c r="F561" s="10" t="s">
        <v>624</v>
      </c>
      <c r="G561" s="328"/>
      <c r="H561" s="218"/>
      <c r="I561" s="219"/>
      <c r="J561" s="219"/>
      <c r="K561" s="219"/>
      <c r="L561" s="219"/>
      <c r="M561" s="219"/>
      <c r="N561" s="219"/>
      <c r="O561" s="219"/>
      <c r="P561" s="219"/>
      <c r="Q561" s="219"/>
      <c r="R561" s="220"/>
    </row>
    <row r="562" spans="1:18" ht="15" customHeight="1" x14ac:dyDescent="0.3">
      <c r="A562" s="26" t="s">
        <v>36</v>
      </c>
      <c r="B562" s="26" t="s">
        <v>1118</v>
      </c>
      <c r="C562" s="26">
        <v>0.42708333333333331</v>
      </c>
      <c r="D562" s="26" t="s">
        <v>38</v>
      </c>
      <c r="E562" s="26" t="s">
        <v>87</v>
      </c>
      <c r="F562" s="26" t="s">
        <v>664</v>
      </c>
      <c r="G562" s="328"/>
      <c r="H562" s="218"/>
      <c r="I562" s="219"/>
      <c r="J562" s="219"/>
      <c r="K562" s="219"/>
      <c r="L562" s="219"/>
      <c r="M562" s="219"/>
      <c r="N562" s="219"/>
      <c r="O562" s="219"/>
      <c r="P562" s="219"/>
      <c r="Q562" s="219"/>
      <c r="R562" s="220"/>
    </row>
    <row r="563" spans="1:18" ht="15" customHeight="1" x14ac:dyDescent="0.3">
      <c r="A563" s="10" t="s">
        <v>36</v>
      </c>
      <c r="B563" s="10" t="s">
        <v>1118</v>
      </c>
      <c r="C563" s="10">
        <v>0.42708333333333331</v>
      </c>
      <c r="D563" s="10" t="s">
        <v>40</v>
      </c>
      <c r="E563" s="10" t="s">
        <v>32</v>
      </c>
      <c r="F563" s="10" t="s">
        <v>515</v>
      </c>
      <c r="G563" s="328"/>
      <c r="H563" s="218"/>
      <c r="I563" s="219"/>
      <c r="J563" s="219"/>
      <c r="K563" s="219"/>
      <c r="L563" s="219"/>
      <c r="M563" s="219"/>
      <c r="N563" s="219"/>
      <c r="O563" s="219"/>
      <c r="P563" s="219"/>
      <c r="Q563" s="219"/>
      <c r="R563" s="220"/>
    </row>
    <row r="564" spans="1:18" ht="15" customHeight="1" x14ac:dyDescent="0.3">
      <c r="A564" s="10" t="s">
        <v>36</v>
      </c>
      <c r="B564" s="10" t="s">
        <v>1118</v>
      </c>
      <c r="C564" s="10">
        <v>0.42708333333333331</v>
      </c>
      <c r="D564" s="10" t="s">
        <v>42</v>
      </c>
      <c r="E564" s="10" t="s">
        <v>32</v>
      </c>
      <c r="F564" s="10" t="s">
        <v>624</v>
      </c>
      <c r="G564" s="328"/>
      <c r="H564" s="218"/>
      <c r="I564" s="219"/>
      <c r="J564" s="219"/>
      <c r="K564" s="219"/>
      <c r="L564" s="219"/>
      <c r="M564" s="219"/>
      <c r="N564" s="219"/>
      <c r="O564" s="219"/>
      <c r="P564" s="219"/>
      <c r="Q564" s="219"/>
      <c r="R564" s="220"/>
    </row>
    <row r="565" spans="1:18" ht="15" customHeight="1" x14ac:dyDescent="0.3">
      <c r="A565" s="26" t="s">
        <v>36</v>
      </c>
      <c r="B565" s="26" t="s">
        <v>1119</v>
      </c>
      <c r="C565" s="26">
        <v>0.5</v>
      </c>
      <c r="D565" s="26" t="s">
        <v>38</v>
      </c>
      <c r="E565" s="26" t="s">
        <v>54</v>
      </c>
      <c r="F565" s="26" t="s">
        <v>620</v>
      </c>
      <c r="G565" s="328"/>
      <c r="H565" s="218"/>
      <c r="I565" s="219"/>
      <c r="J565" s="219"/>
      <c r="K565" s="219"/>
      <c r="L565" s="219"/>
      <c r="M565" s="219"/>
      <c r="N565" s="219"/>
      <c r="O565" s="219"/>
      <c r="P565" s="219"/>
      <c r="Q565" s="219"/>
      <c r="R565" s="220"/>
    </row>
    <row r="566" spans="1:18" ht="15" customHeight="1" x14ac:dyDescent="0.3">
      <c r="A566" s="10" t="s">
        <v>36</v>
      </c>
      <c r="B566" s="10" t="s">
        <v>1119</v>
      </c>
      <c r="C566" s="10">
        <v>0.5</v>
      </c>
      <c r="D566" s="10" t="s">
        <v>40</v>
      </c>
      <c r="E566" s="10" t="s">
        <v>161</v>
      </c>
      <c r="F566" s="10" t="s">
        <v>621</v>
      </c>
      <c r="G566" s="328"/>
      <c r="H566" s="218"/>
      <c r="I566" s="219"/>
      <c r="J566" s="219"/>
      <c r="K566" s="219"/>
      <c r="L566" s="219"/>
      <c r="M566" s="219"/>
      <c r="N566" s="219"/>
      <c r="O566" s="219"/>
      <c r="P566" s="219"/>
      <c r="Q566" s="219"/>
      <c r="R566" s="220"/>
    </row>
    <row r="567" spans="1:18" ht="15" customHeight="1" x14ac:dyDescent="0.3">
      <c r="A567" s="10" t="s">
        <v>36</v>
      </c>
      <c r="B567" s="10" t="s">
        <v>1119</v>
      </c>
      <c r="C567" s="10">
        <v>0.5</v>
      </c>
      <c r="D567" s="10" t="s">
        <v>42</v>
      </c>
      <c r="E567" s="10" t="s">
        <v>161</v>
      </c>
      <c r="F567" s="10" t="s">
        <v>622</v>
      </c>
      <c r="G567" s="328"/>
      <c r="H567" s="218"/>
      <c r="I567" s="219"/>
      <c r="J567" s="219"/>
      <c r="K567" s="219"/>
      <c r="L567" s="219"/>
      <c r="M567" s="219"/>
      <c r="N567" s="219"/>
      <c r="O567" s="219"/>
      <c r="P567" s="219"/>
      <c r="Q567" s="219"/>
      <c r="R567" s="220"/>
    </row>
    <row r="568" spans="1:18" ht="15" customHeight="1" x14ac:dyDescent="0.3">
      <c r="A568" s="26" t="s">
        <v>36</v>
      </c>
      <c r="B568" s="26" t="s">
        <v>1116</v>
      </c>
      <c r="C568" s="26">
        <v>0.30555555555555552</v>
      </c>
      <c r="D568" s="26" t="s">
        <v>38</v>
      </c>
      <c r="E568" s="26" t="s">
        <v>113</v>
      </c>
      <c r="F568" s="26" t="s">
        <v>620</v>
      </c>
      <c r="G568" s="328"/>
      <c r="H568" s="218"/>
      <c r="I568" s="219"/>
      <c r="J568" s="219"/>
      <c r="K568" s="219"/>
      <c r="L568" s="219"/>
      <c r="M568" s="219"/>
      <c r="N568" s="219"/>
      <c r="O568" s="219"/>
      <c r="P568" s="219"/>
      <c r="Q568" s="219"/>
      <c r="R568" s="220"/>
    </row>
    <row r="569" spans="1:18" ht="15" customHeight="1" x14ac:dyDescent="0.3">
      <c r="A569" s="10" t="s">
        <v>36</v>
      </c>
      <c r="B569" s="10" t="s">
        <v>1116</v>
      </c>
      <c r="C569" s="10">
        <v>0.30555555555555552</v>
      </c>
      <c r="D569" s="10" t="s">
        <v>40</v>
      </c>
      <c r="E569" s="10" t="s">
        <v>136</v>
      </c>
      <c r="F569" s="10" t="s">
        <v>621</v>
      </c>
      <c r="G569" s="328"/>
      <c r="H569" s="218"/>
      <c r="I569" s="219"/>
      <c r="J569" s="219"/>
      <c r="K569" s="219"/>
      <c r="L569" s="219"/>
      <c r="M569" s="219"/>
      <c r="N569" s="219"/>
      <c r="O569" s="219"/>
      <c r="P569" s="219"/>
      <c r="Q569" s="219"/>
      <c r="R569" s="220"/>
    </row>
    <row r="570" spans="1:18" ht="15" customHeight="1" x14ac:dyDescent="0.3">
      <c r="A570" s="10" t="s">
        <v>36</v>
      </c>
      <c r="B570" s="10" t="s">
        <v>1116</v>
      </c>
      <c r="C570" s="10">
        <v>0.30555555555555552</v>
      </c>
      <c r="D570" s="10" t="s">
        <v>42</v>
      </c>
      <c r="E570" s="10" t="s">
        <v>136</v>
      </c>
      <c r="F570" s="10" t="s">
        <v>622</v>
      </c>
      <c r="G570" s="328"/>
      <c r="H570" s="218"/>
      <c r="I570" s="219"/>
      <c r="J570" s="219"/>
      <c r="K570" s="219"/>
      <c r="L570" s="219"/>
      <c r="M570" s="219"/>
      <c r="N570" s="219"/>
      <c r="O570" s="219"/>
      <c r="P570" s="219"/>
      <c r="Q570" s="219"/>
      <c r="R570" s="220"/>
    </row>
    <row r="571" spans="1:18" ht="15" customHeight="1" x14ac:dyDescent="0.3">
      <c r="A571" s="26" t="s">
        <v>36</v>
      </c>
      <c r="B571" s="26" t="s">
        <v>1117</v>
      </c>
      <c r="C571" s="26">
        <v>0.6875</v>
      </c>
      <c r="D571" s="26" t="s">
        <v>38</v>
      </c>
      <c r="E571" s="26" t="s">
        <v>152</v>
      </c>
      <c r="F571" s="26" t="s">
        <v>620</v>
      </c>
      <c r="G571" s="328"/>
      <c r="H571" s="218"/>
      <c r="I571" s="219"/>
      <c r="J571" s="219"/>
      <c r="K571" s="219"/>
      <c r="L571" s="219"/>
      <c r="M571" s="219"/>
      <c r="N571" s="219"/>
      <c r="O571" s="219"/>
      <c r="P571" s="219"/>
      <c r="Q571" s="219"/>
      <c r="R571" s="220"/>
    </row>
    <row r="572" spans="1:18" ht="15" customHeight="1" x14ac:dyDescent="0.3">
      <c r="A572" s="10" t="s">
        <v>36</v>
      </c>
      <c r="B572" s="10" t="s">
        <v>1117</v>
      </c>
      <c r="C572" s="10">
        <v>0.6875</v>
      </c>
      <c r="D572" s="10" t="s">
        <v>40</v>
      </c>
      <c r="E572" s="10" t="s">
        <v>84</v>
      </c>
      <c r="F572" s="10" t="s">
        <v>621</v>
      </c>
      <c r="G572" s="328"/>
      <c r="H572" s="218"/>
      <c r="I572" s="219"/>
      <c r="J572" s="219"/>
      <c r="K572" s="219"/>
      <c r="L572" s="219"/>
      <c r="M572" s="219"/>
      <c r="N572" s="219"/>
      <c r="O572" s="219"/>
      <c r="P572" s="219"/>
      <c r="Q572" s="219"/>
      <c r="R572" s="220"/>
    </row>
    <row r="573" spans="1:18" ht="15" customHeight="1" x14ac:dyDescent="0.3">
      <c r="A573" s="10" t="s">
        <v>36</v>
      </c>
      <c r="B573" s="10" t="s">
        <v>1117</v>
      </c>
      <c r="C573" s="10">
        <v>0.6875</v>
      </c>
      <c r="D573" s="10" t="s">
        <v>42</v>
      </c>
      <c r="E573" s="10" t="s">
        <v>84</v>
      </c>
      <c r="F573" s="10" t="s">
        <v>622</v>
      </c>
      <c r="G573" s="328"/>
      <c r="H573" s="218"/>
      <c r="I573" s="219"/>
      <c r="J573" s="219"/>
      <c r="K573" s="219"/>
      <c r="L573" s="219"/>
      <c r="M573" s="219"/>
      <c r="N573" s="219"/>
      <c r="O573" s="219"/>
      <c r="P573" s="219"/>
      <c r="Q573" s="219"/>
      <c r="R573" s="220"/>
    </row>
    <row r="574" spans="1:18" ht="15" customHeight="1" x14ac:dyDescent="0.3">
      <c r="A574" s="11" t="s">
        <v>456</v>
      </c>
      <c r="B574" s="11" t="s">
        <v>1150</v>
      </c>
      <c r="C574" s="11">
        <v>0.2361111111111111</v>
      </c>
      <c r="D574" s="11" t="s">
        <v>458</v>
      </c>
      <c r="E574" s="11" t="s">
        <v>123</v>
      </c>
      <c r="F574" s="11" t="s">
        <v>620</v>
      </c>
      <c r="G574" s="328"/>
      <c r="H574" s="218"/>
      <c r="I574" s="219"/>
      <c r="J574" s="219"/>
      <c r="K574" s="219"/>
      <c r="L574" s="219"/>
      <c r="M574" s="219"/>
      <c r="N574" s="219"/>
      <c r="O574" s="219"/>
      <c r="P574" s="219"/>
      <c r="Q574" s="219"/>
      <c r="R574" s="220"/>
    </row>
    <row r="575" spans="1:18" ht="15" customHeight="1" x14ac:dyDescent="0.3">
      <c r="A575" s="10" t="s">
        <v>456</v>
      </c>
      <c r="B575" s="10" t="s">
        <v>1150</v>
      </c>
      <c r="C575" s="10">
        <v>0.2361111111111111</v>
      </c>
      <c r="D575" s="10" t="s">
        <v>34</v>
      </c>
      <c r="E575" s="10" t="s">
        <v>124</v>
      </c>
      <c r="F575" s="10" t="s">
        <v>1226</v>
      </c>
      <c r="G575" s="328"/>
      <c r="H575" s="218"/>
      <c r="I575" s="219"/>
      <c r="J575" s="219"/>
      <c r="K575" s="219"/>
      <c r="L575" s="219"/>
      <c r="M575" s="219"/>
      <c r="N575" s="219"/>
      <c r="O575" s="219"/>
      <c r="P575" s="219"/>
      <c r="Q575" s="219"/>
      <c r="R575" s="220"/>
    </row>
    <row r="576" spans="1:18" ht="15" customHeight="1" x14ac:dyDescent="0.3">
      <c r="A576" s="26" t="s">
        <v>456</v>
      </c>
      <c r="B576" s="26" t="s">
        <v>1124</v>
      </c>
      <c r="C576" s="26">
        <v>0.55902777777777779</v>
      </c>
      <c r="D576" s="26" t="s">
        <v>458</v>
      </c>
      <c r="E576" s="26" t="s">
        <v>439</v>
      </c>
      <c r="F576" s="26" t="s">
        <v>620</v>
      </c>
      <c r="G576" s="328"/>
      <c r="H576" s="218"/>
      <c r="I576" s="219"/>
      <c r="J576" s="219"/>
      <c r="K576" s="219"/>
      <c r="L576" s="219"/>
      <c r="M576" s="219"/>
      <c r="N576" s="219"/>
      <c r="O576" s="219"/>
      <c r="P576" s="219"/>
      <c r="Q576" s="219"/>
      <c r="R576" s="220"/>
    </row>
    <row r="577" spans="1:18" ht="15" customHeight="1" x14ac:dyDescent="0.3">
      <c r="A577" s="10" t="s">
        <v>456</v>
      </c>
      <c r="B577" s="10" t="s">
        <v>1124</v>
      </c>
      <c r="C577" s="10">
        <v>0.55902777777777779</v>
      </c>
      <c r="D577" s="10" t="s">
        <v>34</v>
      </c>
      <c r="E577" s="10" t="s">
        <v>124</v>
      </c>
      <c r="F577" s="10" t="s">
        <v>1226</v>
      </c>
      <c r="G577" s="328"/>
      <c r="H577" s="218"/>
      <c r="I577" s="219"/>
      <c r="J577" s="219"/>
      <c r="K577" s="219"/>
      <c r="L577" s="219"/>
      <c r="M577" s="219"/>
      <c r="N577" s="219"/>
      <c r="O577" s="219"/>
      <c r="P577" s="219"/>
      <c r="Q577" s="219"/>
      <c r="R577" s="220"/>
    </row>
    <row r="578" spans="1:18" ht="15" customHeight="1" x14ac:dyDescent="0.3">
      <c r="A578" s="11" t="s">
        <v>66</v>
      </c>
      <c r="B578" s="11" t="s">
        <v>1126</v>
      </c>
      <c r="C578" s="11">
        <v>0.16666666666666671</v>
      </c>
      <c r="D578" s="11" t="s">
        <v>829</v>
      </c>
      <c r="E578" s="11" t="s">
        <v>47</v>
      </c>
      <c r="F578" s="11" t="s">
        <v>657</v>
      </c>
      <c r="G578" s="328"/>
      <c r="H578" s="218"/>
      <c r="I578" s="219"/>
      <c r="J578" s="219"/>
      <c r="K578" s="219"/>
      <c r="L578" s="219"/>
      <c r="M578" s="219"/>
      <c r="N578" s="219"/>
      <c r="O578" s="219"/>
      <c r="P578" s="219"/>
      <c r="Q578" s="219"/>
      <c r="R578" s="220"/>
    </row>
    <row r="579" spans="1:18" ht="15" customHeight="1" x14ac:dyDescent="0.3">
      <c r="A579" s="26" t="s">
        <v>66</v>
      </c>
      <c r="B579" s="26" t="s">
        <v>1128</v>
      </c>
      <c r="C579" s="26">
        <v>0.54166666666666663</v>
      </c>
      <c r="D579" s="26" t="s">
        <v>829</v>
      </c>
      <c r="E579" s="26" t="s">
        <v>71</v>
      </c>
      <c r="F579" s="26" t="s">
        <v>657</v>
      </c>
      <c r="G579" s="328"/>
      <c r="H579" s="218"/>
      <c r="I579" s="219"/>
      <c r="J579" s="219"/>
      <c r="K579" s="219"/>
      <c r="L579" s="219"/>
      <c r="M579" s="219"/>
      <c r="N579" s="219"/>
      <c r="O579" s="219"/>
      <c r="P579" s="219"/>
      <c r="Q579" s="219"/>
      <c r="R579" s="220"/>
    </row>
    <row r="580" spans="1:18" ht="15" customHeight="1" x14ac:dyDescent="0.3">
      <c r="A580" s="26" t="s">
        <v>66</v>
      </c>
      <c r="B580" s="26" t="s">
        <v>1130</v>
      </c>
      <c r="C580" s="26">
        <v>0.91666666666666663</v>
      </c>
      <c r="D580" s="26" t="s">
        <v>829</v>
      </c>
      <c r="E580" s="26" t="s">
        <v>71</v>
      </c>
      <c r="F580" s="26" t="s">
        <v>1185</v>
      </c>
      <c r="G580" s="328"/>
      <c r="H580" s="218"/>
      <c r="I580" s="219"/>
      <c r="J580" s="219"/>
      <c r="K580" s="219"/>
      <c r="L580" s="219"/>
      <c r="M580" s="219"/>
      <c r="N580" s="219"/>
      <c r="O580" s="219"/>
      <c r="P580" s="219"/>
      <c r="Q580" s="219"/>
      <c r="R580" s="220"/>
    </row>
    <row r="581" spans="1:18" ht="15" customHeight="1" x14ac:dyDescent="0.3">
      <c r="A581" s="11" t="s">
        <v>410</v>
      </c>
      <c r="B581" s="11" t="s">
        <v>1167</v>
      </c>
      <c r="C581" s="11">
        <v>0.3576388888888889</v>
      </c>
      <c r="D581" s="11" t="s">
        <v>46</v>
      </c>
      <c r="E581" s="11" t="s">
        <v>29</v>
      </c>
      <c r="F581" s="11" t="s">
        <v>1158</v>
      </c>
      <c r="G581" s="328"/>
      <c r="H581" s="218"/>
      <c r="I581" s="219"/>
      <c r="J581" s="219"/>
      <c r="K581" s="219"/>
      <c r="L581" s="219"/>
      <c r="M581" s="219"/>
      <c r="N581" s="219"/>
      <c r="O581" s="219"/>
      <c r="P581" s="219"/>
      <c r="Q581" s="219"/>
      <c r="R581" s="220"/>
    </row>
    <row r="582" spans="1:18" ht="15" customHeight="1" x14ac:dyDescent="0.3">
      <c r="A582" s="11" t="s">
        <v>78</v>
      </c>
      <c r="B582" s="11" t="s">
        <v>1131</v>
      </c>
      <c r="C582" s="11">
        <v>0.55208333333333337</v>
      </c>
      <c r="D582" s="11" t="s">
        <v>80</v>
      </c>
      <c r="E582" s="11" t="s">
        <v>47</v>
      </c>
      <c r="F582" s="11" t="s">
        <v>1227</v>
      </c>
      <c r="G582" s="328"/>
      <c r="H582" s="218"/>
      <c r="I582" s="219"/>
      <c r="J582" s="219"/>
      <c r="K582" s="219"/>
      <c r="L582" s="219"/>
      <c r="M582" s="219"/>
      <c r="N582" s="219"/>
      <c r="O582" s="219"/>
      <c r="P582" s="219"/>
      <c r="Q582" s="219"/>
      <c r="R582" s="220"/>
    </row>
    <row r="583" spans="1:18" ht="15" customHeight="1" x14ac:dyDescent="0.3">
      <c r="A583" s="10" t="s">
        <v>78</v>
      </c>
      <c r="B583" s="10" t="s">
        <v>1131</v>
      </c>
      <c r="C583" s="10">
        <v>0.55208333333333337</v>
      </c>
      <c r="D583" s="10" t="s">
        <v>83</v>
      </c>
      <c r="E583" s="10" t="s">
        <v>95</v>
      </c>
      <c r="F583" s="10" t="s">
        <v>884</v>
      </c>
      <c r="G583" s="328"/>
      <c r="H583" s="218"/>
      <c r="I583" s="219"/>
      <c r="J583" s="219"/>
      <c r="K583" s="219"/>
      <c r="L583" s="219"/>
      <c r="M583" s="219"/>
      <c r="N583" s="219"/>
      <c r="O583" s="219"/>
      <c r="P583" s="219"/>
      <c r="Q583" s="219"/>
      <c r="R583" s="220"/>
    </row>
    <row r="584" spans="1:18" ht="15" customHeight="1" x14ac:dyDescent="0.3">
      <c r="A584" s="26" t="s">
        <v>78</v>
      </c>
      <c r="B584" s="26" t="s">
        <v>1135</v>
      </c>
      <c r="C584" s="26">
        <v>0.2986111111111111</v>
      </c>
      <c r="D584" s="26" t="s">
        <v>80</v>
      </c>
      <c r="E584" s="26" t="s">
        <v>71</v>
      </c>
      <c r="F584" s="26" t="s">
        <v>1227</v>
      </c>
      <c r="G584" s="328"/>
      <c r="H584" s="218"/>
      <c r="I584" s="219"/>
      <c r="J584" s="219"/>
      <c r="K584" s="219"/>
      <c r="L584" s="219"/>
      <c r="M584" s="219"/>
      <c r="N584" s="219"/>
      <c r="O584" s="219"/>
      <c r="P584" s="219"/>
      <c r="Q584" s="219"/>
      <c r="R584" s="220"/>
    </row>
    <row r="585" spans="1:18" ht="15" customHeight="1" x14ac:dyDescent="0.3">
      <c r="A585" s="10" t="s">
        <v>78</v>
      </c>
      <c r="B585" s="10" t="s">
        <v>1135</v>
      </c>
      <c r="C585" s="10">
        <v>0.2986111111111111</v>
      </c>
      <c r="D585" s="10" t="s">
        <v>83</v>
      </c>
      <c r="E585" s="10" t="s">
        <v>95</v>
      </c>
      <c r="F585" s="10" t="s">
        <v>884</v>
      </c>
      <c r="G585" s="328"/>
      <c r="H585" s="218"/>
      <c r="I585" s="219"/>
      <c r="J585" s="219"/>
      <c r="K585" s="219"/>
      <c r="L585" s="219"/>
      <c r="M585" s="219"/>
      <c r="N585" s="219"/>
      <c r="O585" s="219"/>
      <c r="P585" s="219"/>
      <c r="Q585" s="219"/>
      <c r="R585" s="220"/>
    </row>
    <row r="586" spans="1:18" ht="15" customHeight="1" x14ac:dyDescent="0.3">
      <c r="A586" s="26" t="s">
        <v>78</v>
      </c>
      <c r="B586" s="26" t="s">
        <v>1136</v>
      </c>
      <c r="C586" s="26">
        <v>0.4826388888888889</v>
      </c>
      <c r="D586" s="26" t="s">
        <v>80</v>
      </c>
      <c r="E586" s="26" t="s">
        <v>71</v>
      </c>
      <c r="F586" s="26" t="s">
        <v>1227</v>
      </c>
      <c r="G586" s="328"/>
      <c r="H586" s="218"/>
      <c r="I586" s="219"/>
      <c r="J586" s="219"/>
      <c r="K586" s="219"/>
      <c r="L586" s="219"/>
      <c r="M586" s="219"/>
      <c r="N586" s="219"/>
      <c r="O586" s="219"/>
      <c r="P586" s="219"/>
      <c r="Q586" s="219"/>
      <c r="R586" s="220"/>
    </row>
    <row r="587" spans="1:18" ht="15" customHeight="1" x14ac:dyDescent="0.3">
      <c r="A587" s="10" t="s">
        <v>78</v>
      </c>
      <c r="B587" s="10" t="s">
        <v>1136</v>
      </c>
      <c r="C587" s="10">
        <v>0.4826388888888889</v>
      </c>
      <c r="D587" s="10" t="s">
        <v>83</v>
      </c>
      <c r="E587" s="10" t="s">
        <v>95</v>
      </c>
      <c r="F587" s="10" t="s">
        <v>884</v>
      </c>
      <c r="G587" s="328"/>
      <c r="H587" s="218"/>
      <c r="I587" s="219"/>
      <c r="J587" s="219"/>
      <c r="K587" s="219"/>
      <c r="L587" s="219"/>
      <c r="M587" s="219"/>
      <c r="N587" s="219"/>
      <c r="O587" s="219"/>
      <c r="P587" s="219"/>
      <c r="Q587" s="219"/>
      <c r="R587" s="220"/>
    </row>
    <row r="588" spans="1:18" ht="15" customHeight="1" x14ac:dyDescent="0.3">
      <c r="A588" s="26" t="s">
        <v>78</v>
      </c>
      <c r="B588" s="26" t="s">
        <v>1137</v>
      </c>
      <c r="C588" s="26">
        <v>0.83680555555555547</v>
      </c>
      <c r="D588" s="26" t="s">
        <v>80</v>
      </c>
      <c r="E588" s="26" t="s">
        <v>71</v>
      </c>
      <c r="F588" s="26" t="s">
        <v>1195</v>
      </c>
      <c r="G588" s="328"/>
      <c r="H588" s="218"/>
      <c r="I588" s="219"/>
      <c r="J588" s="219"/>
      <c r="K588" s="219"/>
      <c r="L588" s="219"/>
      <c r="M588" s="219"/>
      <c r="N588" s="219"/>
      <c r="O588" s="219"/>
      <c r="P588" s="219"/>
      <c r="Q588" s="219"/>
      <c r="R588" s="220"/>
    </row>
    <row r="589" spans="1:18" ht="15" customHeight="1" x14ac:dyDescent="0.3">
      <c r="A589" s="10" t="s">
        <v>78</v>
      </c>
      <c r="B589" s="10" t="s">
        <v>1137</v>
      </c>
      <c r="C589" s="10">
        <v>0.83680555555555547</v>
      </c>
      <c r="D589" s="10" t="s">
        <v>83</v>
      </c>
      <c r="E589" s="10" t="s">
        <v>95</v>
      </c>
      <c r="F589" s="10" t="s">
        <v>863</v>
      </c>
      <c r="G589" s="328"/>
      <c r="H589" s="218"/>
      <c r="I589" s="219"/>
      <c r="J589" s="219"/>
      <c r="K589" s="219"/>
      <c r="L589" s="219"/>
      <c r="M589" s="219"/>
      <c r="N589" s="219"/>
      <c r="O589" s="219"/>
      <c r="P589" s="219"/>
      <c r="Q589" s="219"/>
      <c r="R589" s="220"/>
    </row>
    <row r="590" spans="1:18" ht="15" customHeight="1" x14ac:dyDescent="0.3">
      <c r="A590" s="26" t="s">
        <v>78</v>
      </c>
      <c r="B590" s="26" t="s">
        <v>1134</v>
      </c>
      <c r="C590" s="26">
        <v>0.68402777777777779</v>
      </c>
      <c r="D590" s="26" t="s">
        <v>80</v>
      </c>
      <c r="E590" s="26" t="s">
        <v>71</v>
      </c>
      <c r="F590" s="26" t="s">
        <v>1195</v>
      </c>
      <c r="G590" s="328"/>
      <c r="H590" s="218"/>
      <c r="I590" s="219"/>
      <c r="J590" s="219"/>
      <c r="K590" s="219"/>
      <c r="L590" s="219"/>
      <c r="M590" s="219"/>
      <c r="N590" s="219"/>
      <c r="O590" s="219"/>
      <c r="P590" s="219"/>
      <c r="Q590" s="219"/>
      <c r="R590" s="220"/>
    </row>
    <row r="591" spans="1:18" ht="15" customHeight="1" x14ac:dyDescent="0.3">
      <c r="A591" s="10" t="s">
        <v>78</v>
      </c>
      <c r="B591" s="10" t="s">
        <v>1134</v>
      </c>
      <c r="C591" s="10">
        <v>0.68402777777777779</v>
      </c>
      <c r="D591" s="10" t="s">
        <v>83</v>
      </c>
      <c r="E591" s="10" t="s">
        <v>95</v>
      </c>
      <c r="F591" s="10" t="s">
        <v>863</v>
      </c>
      <c r="G591" s="328"/>
      <c r="H591" s="218"/>
      <c r="I591" s="219"/>
      <c r="J591" s="219"/>
      <c r="K591" s="219"/>
      <c r="L591" s="219"/>
      <c r="M591" s="219"/>
      <c r="N591" s="219"/>
      <c r="O591" s="219"/>
      <c r="P591" s="219"/>
      <c r="Q591" s="219"/>
      <c r="R591" s="220"/>
    </row>
    <row r="592" spans="1:18" ht="15" customHeight="1" x14ac:dyDescent="0.3">
      <c r="A592" s="26" t="s">
        <v>78</v>
      </c>
      <c r="B592" s="26" t="s">
        <v>1140</v>
      </c>
      <c r="C592" s="26">
        <v>0.5</v>
      </c>
      <c r="D592" s="26" t="s">
        <v>83</v>
      </c>
      <c r="E592" s="26" t="s">
        <v>87</v>
      </c>
      <c r="F592" s="26" t="s">
        <v>1141</v>
      </c>
      <c r="G592" s="328"/>
      <c r="H592" s="218"/>
      <c r="I592" s="219"/>
      <c r="J592" s="219"/>
      <c r="K592" s="219"/>
      <c r="L592" s="219"/>
      <c r="M592" s="219"/>
      <c r="N592" s="219"/>
      <c r="O592" s="219"/>
      <c r="P592" s="219"/>
      <c r="Q592" s="219"/>
      <c r="R592" s="220"/>
    </row>
    <row r="593" spans="1:18" ht="15" customHeight="1" x14ac:dyDescent="0.3">
      <c r="A593" s="26" t="s">
        <v>78</v>
      </c>
      <c r="B593" s="26" t="s">
        <v>1142</v>
      </c>
      <c r="C593" s="26">
        <v>0.76041666666666663</v>
      </c>
      <c r="D593" s="26" t="s">
        <v>83</v>
      </c>
      <c r="E593" s="26" t="s">
        <v>87</v>
      </c>
      <c r="F593" s="26" t="s">
        <v>1141</v>
      </c>
      <c r="G593" s="328"/>
      <c r="H593" s="218"/>
      <c r="I593" s="219"/>
      <c r="J593" s="219"/>
      <c r="K593" s="219"/>
      <c r="L593" s="219"/>
      <c r="M593" s="219"/>
      <c r="N593" s="219"/>
      <c r="O593" s="219"/>
      <c r="P593" s="219"/>
      <c r="Q593" s="219"/>
      <c r="R593" s="220"/>
    </row>
    <row r="594" spans="1:18" ht="15" customHeight="1" x14ac:dyDescent="0.3">
      <c r="A594" s="26" t="s">
        <v>78</v>
      </c>
      <c r="B594" s="26" t="s">
        <v>1143</v>
      </c>
      <c r="C594" s="26">
        <v>0.81597222222222221</v>
      </c>
      <c r="D594" s="26" t="s">
        <v>83</v>
      </c>
      <c r="E594" s="26" t="s">
        <v>87</v>
      </c>
      <c r="F594" s="26" t="s">
        <v>1141</v>
      </c>
      <c r="G594" s="328"/>
      <c r="H594" s="218"/>
      <c r="I594" s="219"/>
      <c r="J594" s="219"/>
      <c r="K594" s="219"/>
      <c r="L594" s="219"/>
      <c r="M594" s="219"/>
      <c r="N594" s="219"/>
      <c r="O594" s="219"/>
      <c r="P594" s="219"/>
      <c r="Q594" s="219"/>
      <c r="R594" s="220"/>
    </row>
    <row r="595" spans="1:18" ht="15" customHeight="1" x14ac:dyDescent="0.3">
      <c r="A595" s="63" t="s">
        <v>44</v>
      </c>
      <c r="B595" s="63" t="s">
        <v>1154</v>
      </c>
      <c r="C595" s="63">
        <v>0.625</v>
      </c>
      <c r="D595" s="63" t="s">
        <v>46</v>
      </c>
      <c r="E595" s="63" t="s">
        <v>47</v>
      </c>
      <c r="F595" s="63" t="s">
        <v>1196</v>
      </c>
      <c r="G595" s="328"/>
      <c r="H595" s="173" t="s">
        <v>1155</v>
      </c>
      <c r="I595" s="174">
        <v>4.1700000000000001E-2</v>
      </c>
      <c r="J595" s="175">
        <v>7</v>
      </c>
      <c r="K595" s="176" t="s">
        <v>63</v>
      </c>
      <c r="L595" s="175">
        <v>4</v>
      </c>
      <c r="M595" s="175">
        <v>0</v>
      </c>
      <c r="N595" s="175">
        <v>0</v>
      </c>
      <c r="O595" s="176" t="s">
        <v>353</v>
      </c>
      <c r="P595" s="176">
        <v>0.625</v>
      </c>
      <c r="Q595" s="175">
        <v>168</v>
      </c>
      <c r="R595" s="177" t="s">
        <v>1228</v>
      </c>
    </row>
    <row r="596" spans="1:18" ht="17.399999999999999" customHeight="1" x14ac:dyDescent="0.3">
      <c r="A596" s="360"/>
      <c r="B596" s="361"/>
      <c r="C596" s="361"/>
      <c r="D596" s="361"/>
      <c r="E596" s="361"/>
      <c r="F596" s="361"/>
      <c r="G596" s="361"/>
      <c r="H596" s="361"/>
      <c r="I596" s="361"/>
      <c r="J596" s="361"/>
      <c r="K596" s="361"/>
      <c r="L596" s="361"/>
      <c r="M596" s="361"/>
      <c r="N596" s="361"/>
      <c r="O596" s="361"/>
      <c r="P596" s="361"/>
      <c r="Q596" s="361"/>
      <c r="R596" s="362"/>
    </row>
    <row r="597" spans="1:18" ht="22.05" customHeight="1" x14ac:dyDescent="0.3">
      <c r="A597" s="323" t="s">
        <v>6</v>
      </c>
      <c r="B597" s="324"/>
      <c r="C597" s="324"/>
      <c r="D597" s="324"/>
      <c r="E597" s="324"/>
      <c r="F597" s="324"/>
      <c r="G597" s="2">
        <v>45999</v>
      </c>
      <c r="H597" s="323" t="s">
        <v>7</v>
      </c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</row>
    <row r="598" spans="1:18" ht="24" customHeight="1" x14ac:dyDescent="0.3">
      <c r="A598" s="3" t="s">
        <v>8</v>
      </c>
      <c r="B598" s="3" t="s">
        <v>9</v>
      </c>
      <c r="C598" s="3" t="s">
        <v>10</v>
      </c>
      <c r="D598" s="3" t="s">
        <v>11</v>
      </c>
      <c r="E598" s="3" t="s">
        <v>12</v>
      </c>
      <c r="F598" s="4" t="s">
        <v>13</v>
      </c>
      <c r="G598" s="5" t="s">
        <v>14</v>
      </c>
      <c r="H598" s="3" t="s">
        <v>15</v>
      </c>
      <c r="I598" s="3" t="s">
        <v>16</v>
      </c>
      <c r="J598" s="3" t="s">
        <v>17</v>
      </c>
      <c r="K598" s="3" t="s">
        <v>18</v>
      </c>
      <c r="L598" s="3" t="s">
        <v>19</v>
      </c>
      <c r="M598" s="3" t="s">
        <v>20</v>
      </c>
      <c r="N598" s="3" t="s">
        <v>21</v>
      </c>
      <c r="O598" s="3" t="s">
        <v>22</v>
      </c>
      <c r="P598" s="3" t="s">
        <v>23</v>
      </c>
      <c r="Q598" s="3" t="s">
        <v>24</v>
      </c>
      <c r="R598" s="3" t="s">
        <v>25</v>
      </c>
    </row>
    <row r="599" spans="1:18" ht="15" customHeight="1" x14ac:dyDescent="0.3">
      <c r="A599" s="6" t="s">
        <v>36</v>
      </c>
      <c r="B599" s="6" t="s">
        <v>1113</v>
      </c>
      <c r="C599" s="6">
        <v>0.82638888888888884</v>
      </c>
      <c r="D599" s="6" t="s">
        <v>38</v>
      </c>
      <c r="E599" s="6" t="s">
        <v>29</v>
      </c>
      <c r="F599" s="6" t="s">
        <v>664</v>
      </c>
      <c r="G599" s="335"/>
      <c r="H599" s="218"/>
      <c r="I599" s="219"/>
      <c r="J599" s="219"/>
      <c r="K599" s="219"/>
      <c r="L599" s="219"/>
      <c r="M599" s="219"/>
      <c r="N599" s="219"/>
      <c r="O599" s="219"/>
      <c r="P599" s="219"/>
      <c r="Q599" s="219"/>
      <c r="R599" s="220"/>
    </row>
    <row r="600" spans="1:18" ht="15" customHeight="1" x14ac:dyDescent="0.3">
      <c r="A600" s="10" t="s">
        <v>36</v>
      </c>
      <c r="B600" s="10" t="s">
        <v>1113</v>
      </c>
      <c r="C600" s="10">
        <v>0.82638888888888884</v>
      </c>
      <c r="D600" s="10" t="s">
        <v>40</v>
      </c>
      <c r="E600" s="10" t="s">
        <v>32</v>
      </c>
      <c r="F600" s="10" t="s">
        <v>515</v>
      </c>
      <c r="G600" s="328"/>
      <c r="H600" s="218"/>
      <c r="I600" s="219"/>
      <c r="J600" s="219"/>
      <c r="K600" s="219"/>
      <c r="L600" s="219"/>
      <c r="M600" s="219"/>
      <c r="N600" s="219"/>
      <c r="O600" s="219"/>
      <c r="P600" s="219"/>
      <c r="Q600" s="219"/>
      <c r="R600" s="220"/>
    </row>
    <row r="601" spans="1:18" ht="15" customHeight="1" x14ac:dyDescent="0.3">
      <c r="A601" s="10" t="s">
        <v>36</v>
      </c>
      <c r="B601" s="10" t="s">
        <v>1113</v>
      </c>
      <c r="C601" s="10">
        <v>0.82638888888888884</v>
      </c>
      <c r="D601" s="10" t="s">
        <v>42</v>
      </c>
      <c r="E601" s="10" t="s">
        <v>32</v>
      </c>
      <c r="F601" s="10" t="s">
        <v>624</v>
      </c>
      <c r="G601" s="328"/>
      <c r="H601" s="218"/>
      <c r="I601" s="219"/>
      <c r="J601" s="219"/>
      <c r="K601" s="219"/>
      <c r="L601" s="219"/>
      <c r="M601" s="219"/>
      <c r="N601" s="219"/>
      <c r="O601" s="219"/>
      <c r="P601" s="219"/>
      <c r="Q601" s="219"/>
      <c r="R601" s="220"/>
    </row>
    <row r="602" spans="1:18" ht="15" customHeight="1" x14ac:dyDescent="0.3">
      <c r="A602" s="26" t="s">
        <v>36</v>
      </c>
      <c r="B602" s="26" t="s">
        <v>1119</v>
      </c>
      <c r="C602" s="26">
        <v>0.5</v>
      </c>
      <c r="D602" s="26" t="s">
        <v>38</v>
      </c>
      <c r="E602" s="26" t="s">
        <v>74</v>
      </c>
      <c r="F602" s="26" t="s">
        <v>664</v>
      </c>
      <c r="G602" s="328"/>
      <c r="H602" s="218"/>
      <c r="I602" s="219"/>
      <c r="J602" s="219"/>
      <c r="K602" s="219"/>
      <c r="L602" s="219"/>
      <c r="M602" s="219"/>
      <c r="N602" s="219"/>
      <c r="O602" s="219"/>
      <c r="P602" s="219"/>
      <c r="Q602" s="219"/>
      <c r="R602" s="220"/>
    </row>
    <row r="603" spans="1:18" ht="15" customHeight="1" x14ac:dyDescent="0.3">
      <c r="A603" s="10" t="s">
        <v>36</v>
      </c>
      <c r="B603" s="10" t="s">
        <v>1119</v>
      </c>
      <c r="C603" s="10">
        <v>0.5</v>
      </c>
      <c r="D603" s="10" t="s">
        <v>40</v>
      </c>
      <c r="E603" s="10" t="s">
        <v>122</v>
      </c>
      <c r="F603" s="10" t="s">
        <v>515</v>
      </c>
      <c r="G603" s="328"/>
      <c r="H603" s="218"/>
      <c r="I603" s="219"/>
      <c r="J603" s="219"/>
      <c r="K603" s="219"/>
      <c r="L603" s="219"/>
      <c r="M603" s="219"/>
      <c r="N603" s="219"/>
      <c r="O603" s="219"/>
      <c r="P603" s="219"/>
      <c r="Q603" s="219"/>
      <c r="R603" s="220"/>
    </row>
    <row r="604" spans="1:18" ht="15" customHeight="1" x14ac:dyDescent="0.3">
      <c r="A604" s="10" t="s">
        <v>36</v>
      </c>
      <c r="B604" s="10" t="s">
        <v>1119</v>
      </c>
      <c r="C604" s="10">
        <v>0.5</v>
      </c>
      <c r="D604" s="10" t="s">
        <v>42</v>
      </c>
      <c r="E604" s="10" t="s">
        <v>122</v>
      </c>
      <c r="F604" s="10" t="s">
        <v>624</v>
      </c>
      <c r="G604" s="328"/>
      <c r="H604" s="218"/>
      <c r="I604" s="219"/>
      <c r="J604" s="219"/>
      <c r="K604" s="219"/>
      <c r="L604" s="219"/>
      <c r="M604" s="219"/>
      <c r="N604" s="219"/>
      <c r="O604" s="219"/>
      <c r="P604" s="219"/>
      <c r="Q604" s="219"/>
      <c r="R604" s="220"/>
    </row>
    <row r="605" spans="1:18" ht="15" customHeight="1" x14ac:dyDescent="0.3">
      <c r="A605" s="26" t="s">
        <v>36</v>
      </c>
      <c r="B605" s="26" t="s">
        <v>1116</v>
      </c>
      <c r="C605" s="26">
        <v>0.30555555555555552</v>
      </c>
      <c r="D605" s="26" t="s">
        <v>38</v>
      </c>
      <c r="E605" s="26" t="s">
        <v>439</v>
      </c>
      <c r="F605" s="26" t="s">
        <v>664</v>
      </c>
      <c r="G605" s="328"/>
      <c r="H605" s="218"/>
      <c r="I605" s="219"/>
      <c r="J605" s="219"/>
      <c r="K605" s="219"/>
      <c r="L605" s="219"/>
      <c r="M605" s="219"/>
      <c r="N605" s="219"/>
      <c r="O605" s="219"/>
      <c r="P605" s="219"/>
      <c r="Q605" s="219"/>
      <c r="R605" s="220"/>
    </row>
    <row r="606" spans="1:18" ht="15" customHeight="1" x14ac:dyDescent="0.3">
      <c r="A606" s="10" t="s">
        <v>36</v>
      </c>
      <c r="B606" s="10" t="s">
        <v>1116</v>
      </c>
      <c r="C606" s="10">
        <v>0.30555555555555552</v>
      </c>
      <c r="D606" s="10" t="s">
        <v>40</v>
      </c>
      <c r="E606" s="10" t="s">
        <v>124</v>
      </c>
      <c r="F606" s="10" t="s">
        <v>515</v>
      </c>
      <c r="G606" s="328"/>
      <c r="H606" s="218"/>
      <c r="I606" s="219"/>
      <c r="J606" s="219"/>
      <c r="K606" s="219"/>
      <c r="L606" s="219"/>
      <c r="M606" s="219"/>
      <c r="N606" s="219"/>
      <c r="O606" s="219"/>
      <c r="P606" s="219"/>
      <c r="Q606" s="219"/>
      <c r="R606" s="220"/>
    </row>
    <row r="607" spans="1:18" ht="15" customHeight="1" x14ac:dyDescent="0.3">
      <c r="A607" s="10" t="s">
        <v>36</v>
      </c>
      <c r="B607" s="10" t="s">
        <v>1116</v>
      </c>
      <c r="C607" s="10">
        <v>0.30555555555555552</v>
      </c>
      <c r="D607" s="10" t="s">
        <v>42</v>
      </c>
      <c r="E607" s="10" t="s">
        <v>124</v>
      </c>
      <c r="F607" s="10" t="s">
        <v>624</v>
      </c>
      <c r="G607" s="328"/>
      <c r="H607" s="218"/>
      <c r="I607" s="219"/>
      <c r="J607" s="219"/>
      <c r="K607" s="219"/>
      <c r="L607" s="219"/>
      <c r="M607" s="219"/>
      <c r="N607" s="219"/>
      <c r="O607" s="219"/>
      <c r="P607" s="219"/>
      <c r="Q607" s="219"/>
      <c r="R607" s="220"/>
    </row>
    <row r="608" spans="1:18" ht="15" customHeight="1" x14ac:dyDescent="0.3">
      <c r="A608" s="26" t="s">
        <v>36</v>
      </c>
      <c r="B608" s="26" t="s">
        <v>1117</v>
      </c>
      <c r="C608" s="26">
        <v>0.6875</v>
      </c>
      <c r="D608" s="26" t="s">
        <v>38</v>
      </c>
      <c r="E608" s="26" t="s">
        <v>114</v>
      </c>
      <c r="F608" s="26" t="s">
        <v>664</v>
      </c>
      <c r="G608" s="328"/>
      <c r="H608" s="218"/>
      <c r="I608" s="219"/>
      <c r="J608" s="219"/>
      <c r="K608" s="219"/>
      <c r="L608" s="219"/>
      <c r="M608" s="219"/>
      <c r="N608" s="219"/>
      <c r="O608" s="219"/>
      <c r="P608" s="219"/>
      <c r="Q608" s="219"/>
      <c r="R608" s="220"/>
    </row>
    <row r="609" spans="1:18" ht="15" customHeight="1" x14ac:dyDescent="0.3">
      <c r="A609" s="10" t="s">
        <v>36</v>
      </c>
      <c r="B609" s="10" t="s">
        <v>1117</v>
      </c>
      <c r="C609" s="10">
        <v>0.6875</v>
      </c>
      <c r="D609" s="10" t="s">
        <v>40</v>
      </c>
      <c r="E609" s="10" t="s">
        <v>115</v>
      </c>
      <c r="F609" s="10" t="s">
        <v>515</v>
      </c>
      <c r="G609" s="328"/>
      <c r="H609" s="218"/>
      <c r="I609" s="219"/>
      <c r="J609" s="219"/>
      <c r="K609" s="219"/>
      <c r="L609" s="219"/>
      <c r="M609" s="219"/>
      <c r="N609" s="219"/>
      <c r="O609" s="219"/>
      <c r="P609" s="219"/>
      <c r="Q609" s="219"/>
      <c r="R609" s="220"/>
    </row>
    <row r="610" spans="1:18" ht="15" customHeight="1" x14ac:dyDescent="0.3">
      <c r="A610" s="10" t="s">
        <v>36</v>
      </c>
      <c r="B610" s="10" t="s">
        <v>1117</v>
      </c>
      <c r="C610" s="10">
        <v>0.6875</v>
      </c>
      <c r="D610" s="10" t="s">
        <v>42</v>
      </c>
      <c r="E610" s="10" t="s">
        <v>115</v>
      </c>
      <c r="F610" s="10" t="s">
        <v>624</v>
      </c>
      <c r="G610" s="328"/>
      <c r="H610" s="218"/>
      <c r="I610" s="219"/>
      <c r="J610" s="219"/>
      <c r="K610" s="219"/>
      <c r="L610" s="219"/>
      <c r="M610" s="219"/>
      <c r="N610" s="219"/>
      <c r="O610" s="219"/>
      <c r="P610" s="219"/>
      <c r="Q610" s="219"/>
      <c r="R610" s="220"/>
    </row>
    <row r="611" spans="1:18" ht="15" customHeight="1" x14ac:dyDescent="0.3">
      <c r="A611" s="26" t="s">
        <v>36</v>
      </c>
      <c r="B611" s="26" t="s">
        <v>1114</v>
      </c>
      <c r="C611" s="26">
        <v>0.375</v>
      </c>
      <c r="D611" s="26" t="s">
        <v>38</v>
      </c>
      <c r="E611" s="26" t="s">
        <v>97</v>
      </c>
      <c r="F611" s="26" t="s">
        <v>620</v>
      </c>
      <c r="G611" s="328"/>
      <c r="H611" s="218"/>
      <c r="I611" s="219"/>
      <c r="J611" s="219"/>
      <c r="K611" s="219"/>
      <c r="L611" s="219"/>
      <c r="M611" s="219"/>
      <c r="N611" s="219"/>
      <c r="O611" s="219"/>
      <c r="P611" s="219"/>
      <c r="Q611" s="219"/>
      <c r="R611" s="220"/>
    </row>
    <row r="612" spans="1:18" ht="15" customHeight="1" x14ac:dyDescent="0.3">
      <c r="A612" s="10" t="s">
        <v>36</v>
      </c>
      <c r="B612" s="10" t="s">
        <v>1114</v>
      </c>
      <c r="C612" s="10">
        <v>0.375</v>
      </c>
      <c r="D612" s="10" t="s">
        <v>40</v>
      </c>
      <c r="E612" s="10" t="s">
        <v>104</v>
      </c>
      <c r="F612" s="10" t="s">
        <v>621</v>
      </c>
      <c r="G612" s="328"/>
      <c r="H612" s="218"/>
      <c r="I612" s="219"/>
      <c r="J612" s="219"/>
      <c r="K612" s="219"/>
      <c r="L612" s="219"/>
      <c r="M612" s="219"/>
      <c r="N612" s="219"/>
      <c r="O612" s="219"/>
      <c r="P612" s="219"/>
      <c r="Q612" s="219"/>
      <c r="R612" s="220"/>
    </row>
    <row r="613" spans="1:18" ht="15" customHeight="1" x14ac:dyDescent="0.3">
      <c r="A613" s="10" t="s">
        <v>36</v>
      </c>
      <c r="B613" s="10" t="s">
        <v>1114</v>
      </c>
      <c r="C613" s="10">
        <v>0.375</v>
      </c>
      <c r="D613" s="10" t="s">
        <v>42</v>
      </c>
      <c r="E613" s="10" t="s">
        <v>104</v>
      </c>
      <c r="F613" s="10" t="s">
        <v>622</v>
      </c>
      <c r="G613" s="328"/>
      <c r="H613" s="218"/>
      <c r="I613" s="219"/>
      <c r="J613" s="219"/>
      <c r="K613" s="219"/>
      <c r="L613" s="219"/>
      <c r="M613" s="219"/>
      <c r="N613" s="219"/>
      <c r="O613" s="219"/>
      <c r="P613" s="219"/>
      <c r="Q613" s="219"/>
      <c r="R613" s="220"/>
    </row>
    <row r="614" spans="1:18" ht="15" customHeight="1" x14ac:dyDescent="0.3">
      <c r="A614" s="26" t="s">
        <v>36</v>
      </c>
      <c r="B614" s="26" t="s">
        <v>1115</v>
      </c>
      <c r="C614" s="26">
        <v>0.56597222222222221</v>
      </c>
      <c r="D614" s="26" t="s">
        <v>38</v>
      </c>
      <c r="E614" s="26" t="s">
        <v>439</v>
      </c>
      <c r="F614" s="26" t="s">
        <v>620</v>
      </c>
      <c r="G614" s="328"/>
      <c r="H614" s="218"/>
      <c r="I614" s="219"/>
      <c r="J614" s="219"/>
      <c r="K614" s="219"/>
      <c r="L614" s="219"/>
      <c r="M614" s="219"/>
      <c r="N614" s="219"/>
      <c r="O614" s="219"/>
      <c r="P614" s="219"/>
      <c r="Q614" s="219"/>
      <c r="R614" s="220"/>
    </row>
    <row r="615" spans="1:18" ht="15" customHeight="1" x14ac:dyDescent="0.3">
      <c r="A615" s="10" t="s">
        <v>36</v>
      </c>
      <c r="B615" s="10" t="s">
        <v>1115</v>
      </c>
      <c r="C615" s="10">
        <v>0.56597222222222221</v>
      </c>
      <c r="D615" s="10" t="s">
        <v>40</v>
      </c>
      <c r="E615" s="10" t="s">
        <v>124</v>
      </c>
      <c r="F615" s="10" t="s">
        <v>621</v>
      </c>
      <c r="G615" s="328"/>
      <c r="H615" s="218"/>
      <c r="I615" s="219"/>
      <c r="J615" s="219"/>
      <c r="K615" s="219"/>
      <c r="L615" s="219"/>
      <c r="M615" s="219"/>
      <c r="N615" s="219"/>
      <c r="O615" s="219"/>
      <c r="P615" s="219"/>
      <c r="Q615" s="219"/>
      <c r="R615" s="220"/>
    </row>
    <row r="616" spans="1:18" ht="15" customHeight="1" x14ac:dyDescent="0.3">
      <c r="A616" s="10" t="s">
        <v>36</v>
      </c>
      <c r="B616" s="10" t="s">
        <v>1115</v>
      </c>
      <c r="C616" s="10">
        <v>0.56597222222222221</v>
      </c>
      <c r="D616" s="10" t="s">
        <v>42</v>
      </c>
      <c r="E616" s="10" t="s">
        <v>124</v>
      </c>
      <c r="F616" s="10" t="s">
        <v>622</v>
      </c>
      <c r="G616" s="328"/>
      <c r="H616" s="218"/>
      <c r="I616" s="219"/>
      <c r="J616" s="219"/>
      <c r="K616" s="219"/>
      <c r="L616" s="219"/>
      <c r="M616" s="219"/>
      <c r="N616" s="219"/>
      <c r="O616" s="219"/>
      <c r="P616" s="219"/>
      <c r="Q616" s="219"/>
      <c r="R616" s="220"/>
    </row>
    <row r="617" spans="1:18" ht="15" customHeight="1" x14ac:dyDescent="0.3">
      <c r="A617" s="26" t="s">
        <v>36</v>
      </c>
      <c r="B617" s="26" t="s">
        <v>1118</v>
      </c>
      <c r="C617" s="26">
        <v>0.42708333333333331</v>
      </c>
      <c r="D617" s="26" t="s">
        <v>38</v>
      </c>
      <c r="E617" s="26" t="s">
        <v>74</v>
      </c>
      <c r="F617" s="26" t="s">
        <v>620</v>
      </c>
      <c r="G617" s="328"/>
      <c r="H617" s="218"/>
      <c r="I617" s="219"/>
      <c r="J617" s="219"/>
      <c r="K617" s="219"/>
      <c r="L617" s="219"/>
      <c r="M617" s="219"/>
      <c r="N617" s="219"/>
      <c r="O617" s="219"/>
      <c r="P617" s="219"/>
      <c r="Q617" s="219"/>
      <c r="R617" s="220"/>
    </row>
    <row r="618" spans="1:18" ht="15" customHeight="1" x14ac:dyDescent="0.3">
      <c r="A618" s="10" t="s">
        <v>36</v>
      </c>
      <c r="B618" s="10" t="s">
        <v>1118</v>
      </c>
      <c r="C618" s="10">
        <v>0.42708333333333331</v>
      </c>
      <c r="D618" s="10" t="s">
        <v>40</v>
      </c>
      <c r="E618" s="10" t="s">
        <v>122</v>
      </c>
      <c r="F618" s="10" t="s">
        <v>621</v>
      </c>
      <c r="G618" s="328"/>
      <c r="H618" s="218"/>
      <c r="I618" s="219"/>
      <c r="J618" s="219"/>
      <c r="K618" s="219"/>
      <c r="L618" s="219"/>
      <c r="M618" s="219"/>
      <c r="N618" s="219"/>
      <c r="O618" s="219"/>
      <c r="P618" s="219"/>
      <c r="Q618" s="219"/>
      <c r="R618" s="220"/>
    </row>
    <row r="619" spans="1:18" ht="15" customHeight="1" x14ac:dyDescent="0.3">
      <c r="A619" s="10" t="s">
        <v>36</v>
      </c>
      <c r="B619" s="10" t="s">
        <v>1118</v>
      </c>
      <c r="C619" s="10">
        <v>0.42708333333333331</v>
      </c>
      <c r="D619" s="10" t="s">
        <v>42</v>
      </c>
      <c r="E619" s="10" t="s">
        <v>122</v>
      </c>
      <c r="F619" s="10" t="s">
        <v>622</v>
      </c>
      <c r="G619" s="328"/>
      <c r="H619" s="218"/>
      <c r="I619" s="219"/>
      <c r="J619" s="219"/>
      <c r="K619" s="219"/>
      <c r="L619" s="219"/>
      <c r="M619" s="219"/>
      <c r="N619" s="219"/>
      <c r="O619" s="219"/>
      <c r="P619" s="219"/>
      <c r="Q619" s="219"/>
      <c r="R619" s="220"/>
    </row>
    <row r="620" spans="1:18" ht="15" customHeight="1" x14ac:dyDescent="0.3">
      <c r="A620" s="11" t="s">
        <v>66</v>
      </c>
      <c r="B620" s="11" t="s">
        <v>1126</v>
      </c>
      <c r="C620" s="11">
        <v>0.16666666666666671</v>
      </c>
      <c r="D620" s="11" t="s">
        <v>829</v>
      </c>
      <c r="E620" s="11" t="s">
        <v>47</v>
      </c>
      <c r="F620" s="11" t="s">
        <v>657</v>
      </c>
      <c r="G620" s="328"/>
      <c r="H620" s="218"/>
      <c r="I620" s="219"/>
      <c r="J620" s="219"/>
      <c r="K620" s="219"/>
      <c r="L620" s="219"/>
      <c r="M620" s="219"/>
      <c r="N620" s="219"/>
      <c r="O620" s="219"/>
      <c r="P620" s="219"/>
      <c r="Q620" s="219"/>
      <c r="R620" s="220"/>
    </row>
    <row r="621" spans="1:18" ht="15" customHeight="1" x14ac:dyDescent="0.3">
      <c r="A621" s="26" t="s">
        <v>66</v>
      </c>
      <c r="B621" s="26" t="s">
        <v>1130</v>
      </c>
      <c r="C621" s="26">
        <v>0.91666666666666663</v>
      </c>
      <c r="D621" s="26" t="s">
        <v>829</v>
      </c>
      <c r="E621" s="26" t="s">
        <v>71</v>
      </c>
      <c r="F621" s="26" t="s">
        <v>1185</v>
      </c>
      <c r="G621" s="328"/>
      <c r="H621" s="218"/>
      <c r="I621" s="219"/>
      <c r="J621" s="219"/>
      <c r="K621" s="219"/>
      <c r="L621" s="219"/>
      <c r="M621" s="219"/>
      <c r="N621" s="219"/>
      <c r="O621" s="219"/>
      <c r="P621" s="219"/>
      <c r="Q621" s="219"/>
      <c r="R621" s="220"/>
    </row>
    <row r="622" spans="1:18" ht="15" customHeight="1" x14ac:dyDescent="0.3">
      <c r="A622" s="26" t="s">
        <v>66</v>
      </c>
      <c r="B622" s="26" t="s">
        <v>1128</v>
      </c>
      <c r="C622" s="26">
        <v>0.54166666666666663</v>
      </c>
      <c r="D622" s="26" t="s">
        <v>829</v>
      </c>
      <c r="E622" s="26" t="s">
        <v>71</v>
      </c>
      <c r="F622" s="26" t="s">
        <v>1185</v>
      </c>
      <c r="G622" s="328"/>
      <c r="H622" s="218"/>
      <c r="I622" s="219"/>
      <c r="J622" s="219"/>
      <c r="K622" s="219"/>
      <c r="L622" s="219"/>
      <c r="M622" s="219"/>
      <c r="N622" s="219"/>
      <c r="O622" s="219"/>
      <c r="P622" s="219"/>
      <c r="Q622" s="219"/>
      <c r="R622" s="220"/>
    </row>
    <row r="623" spans="1:18" ht="15" customHeight="1" x14ac:dyDescent="0.3">
      <c r="A623" s="11" t="s">
        <v>410</v>
      </c>
      <c r="B623" s="11" t="s">
        <v>1157</v>
      </c>
      <c r="C623" s="11">
        <v>0.73611111111111116</v>
      </c>
      <c r="D623" s="11" t="s">
        <v>46</v>
      </c>
      <c r="E623" s="11" t="s">
        <v>314</v>
      </c>
      <c r="F623" s="11" t="s">
        <v>1158</v>
      </c>
      <c r="G623" s="328"/>
      <c r="H623" s="218"/>
      <c r="I623" s="219"/>
      <c r="J623" s="219"/>
      <c r="K623" s="219"/>
      <c r="L623" s="219"/>
      <c r="M623" s="219"/>
      <c r="N623" s="219"/>
      <c r="O623" s="219"/>
      <c r="P623" s="219"/>
      <c r="Q623" s="219"/>
      <c r="R623" s="220"/>
    </row>
    <row r="624" spans="1:18" ht="15" customHeight="1" x14ac:dyDescent="0.3">
      <c r="A624" s="11" t="s">
        <v>78</v>
      </c>
      <c r="B624" s="11" t="s">
        <v>1135</v>
      </c>
      <c r="C624" s="11">
        <v>0.2986111111111111</v>
      </c>
      <c r="D624" s="11" t="s">
        <v>80</v>
      </c>
      <c r="E624" s="11" t="s">
        <v>47</v>
      </c>
      <c r="F624" s="11" t="s">
        <v>1227</v>
      </c>
      <c r="G624" s="328"/>
      <c r="H624" s="218"/>
      <c r="I624" s="219"/>
      <c r="J624" s="219"/>
      <c r="K624" s="219"/>
      <c r="L624" s="219"/>
      <c r="M624" s="219"/>
      <c r="N624" s="219"/>
      <c r="O624" s="219"/>
      <c r="P624" s="219"/>
      <c r="Q624" s="219"/>
      <c r="R624" s="220"/>
    </row>
    <row r="625" spans="1:18" ht="15" customHeight="1" x14ac:dyDescent="0.3">
      <c r="A625" s="10" t="s">
        <v>78</v>
      </c>
      <c r="B625" s="10" t="s">
        <v>1135</v>
      </c>
      <c r="C625" s="10">
        <v>0.2986111111111111</v>
      </c>
      <c r="D625" s="10" t="s">
        <v>83</v>
      </c>
      <c r="E625" s="10" t="s">
        <v>95</v>
      </c>
      <c r="F625" s="10" t="s">
        <v>884</v>
      </c>
      <c r="G625" s="328"/>
      <c r="H625" s="218"/>
      <c r="I625" s="219"/>
      <c r="J625" s="219"/>
      <c r="K625" s="219"/>
      <c r="L625" s="219"/>
      <c r="M625" s="219"/>
      <c r="N625" s="219"/>
      <c r="O625" s="219"/>
      <c r="P625" s="219"/>
      <c r="Q625" s="219"/>
      <c r="R625" s="220"/>
    </row>
    <row r="626" spans="1:18" ht="15" customHeight="1" x14ac:dyDescent="0.3">
      <c r="A626" s="26" t="s">
        <v>78</v>
      </c>
      <c r="B626" s="26" t="s">
        <v>1198</v>
      </c>
      <c r="C626" s="26">
        <v>4.8611111111111112E-2</v>
      </c>
      <c r="D626" s="26" t="s">
        <v>80</v>
      </c>
      <c r="E626" s="26" t="s">
        <v>71</v>
      </c>
      <c r="F626" s="26" t="s">
        <v>1227</v>
      </c>
      <c r="G626" s="328"/>
      <c r="H626" s="218"/>
      <c r="I626" s="219"/>
      <c r="J626" s="219"/>
      <c r="K626" s="219"/>
      <c r="L626" s="219"/>
      <c r="M626" s="219"/>
      <c r="N626" s="219"/>
      <c r="O626" s="219"/>
      <c r="P626" s="219"/>
      <c r="Q626" s="219"/>
      <c r="R626" s="220"/>
    </row>
    <row r="627" spans="1:18" ht="15" customHeight="1" x14ac:dyDescent="0.3">
      <c r="A627" s="10" t="s">
        <v>78</v>
      </c>
      <c r="B627" s="10" t="s">
        <v>1198</v>
      </c>
      <c r="C627" s="10">
        <v>4.8611111111111112E-2</v>
      </c>
      <c r="D627" s="10" t="s">
        <v>83</v>
      </c>
      <c r="E627" s="10" t="s">
        <v>95</v>
      </c>
      <c r="F627" s="10" t="s">
        <v>884</v>
      </c>
      <c r="G627" s="328"/>
      <c r="H627" s="218"/>
      <c r="I627" s="219"/>
      <c r="J627" s="219"/>
      <c r="K627" s="219"/>
      <c r="L627" s="219"/>
      <c r="M627" s="219"/>
      <c r="N627" s="219"/>
      <c r="O627" s="219"/>
      <c r="P627" s="219"/>
      <c r="Q627" s="219"/>
      <c r="R627" s="220"/>
    </row>
    <row r="628" spans="1:18" ht="15" customHeight="1" x14ac:dyDescent="0.3">
      <c r="A628" s="26" t="s">
        <v>78</v>
      </c>
      <c r="B628" s="26" t="s">
        <v>1137</v>
      </c>
      <c r="C628" s="26">
        <v>0.83680555555555547</v>
      </c>
      <c r="D628" s="26" t="s">
        <v>80</v>
      </c>
      <c r="E628" s="26" t="s">
        <v>71</v>
      </c>
      <c r="F628" s="26" t="s">
        <v>1195</v>
      </c>
      <c r="G628" s="328"/>
      <c r="H628" s="218"/>
      <c r="I628" s="219"/>
      <c r="J628" s="219"/>
      <c r="K628" s="219"/>
      <c r="L628" s="219"/>
      <c r="M628" s="219"/>
      <c r="N628" s="219"/>
      <c r="O628" s="219"/>
      <c r="P628" s="219"/>
      <c r="Q628" s="219"/>
      <c r="R628" s="220"/>
    </row>
    <row r="629" spans="1:18" ht="15" customHeight="1" x14ac:dyDescent="0.3">
      <c r="A629" s="10" t="s">
        <v>78</v>
      </c>
      <c r="B629" s="10" t="s">
        <v>1137</v>
      </c>
      <c r="C629" s="10">
        <v>0.83680555555555547</v>
      </c>
      <c r="D629" s="10" t="s">
        <v>83</v>
      </c>
      <c r="E629" s="10" t="s">
        <v>95</v>
      </c>
      <c r="F629" s="10" t="s">
        <v>863</v>
      </c>
      <c r="G629" s="328"/>
      <c r="H629" s="218"/>
      <c r="I629" s="219"/>
      <c r="J629" s="219"/>
      <c r="K629" s="219"/>
      <c r="L629" s="219"/>
      <c r="M629" s="219"/>
      <c r="N629" s="219"/>
      <c r="O629" s="219"/>
      <c r="P629" s="219"/>
      <c r="Q629" s="219"/>
      <c r="R629" s="220"/>
    </row>
    <row r="630" spans="1:18" ht="15" customHeight="1" x14ac:dyDescent="0.3">
      <c r="A630" s="26" t="s">
        <v>78</v>
      </c>
      <c r="B630" s="26" t="s">
        <v>1134</v>
      </c>
      <c r="C630" s="26">
        <v>0.68402777777777779</v>
      </c>
      <c r="D630" s="26" t="s">
        <v>80</v>
      </c>
      <c r="E630" s="26" t="s">
        <v>71</v>
      </c>
      <c r="F630" s="26" t="s">
        <v>1195</v>
      </c>
      <c r="G630" s="328"/>
      <c r="H630" s="218"/>
      <c r="I630" s="219"/>
      <c r="J630" s="219"/>
      <c r="K630" s="219"/>
      <c r="L630" s="219"/>
      <c r="M630" s="219"/>
      <c r="N630" s="219"/>
      <c r="O630" s="219"/>
      <c r="P630" s="219"/>
      <c r="Q630" s="219"/>
      <c r="R630" s="220"/>
    </row>
    <row r="631" spans="1:18" ht="15" customHeight="1" x14ac:dyDescent="0.3">
      <c r="A631" s="10" t="s">
        <v>78</v>
      </c>
      <c r="B631" s="10" t="s">
        <v>1134</v>
      </c>
      <c r="C631" s="10">
        <v>0.68402777777777779</v>
      </c>
      <c r="D631" s="10" t="s">
        <v>83</v>
      </c>
      <c r="E631" s="10" t="s">
        <v>95</v>
      </c>
      <c r="F631" s="10" t="s">
        <v>863</v>
      </c>
      <c r="G631" s="328"/>
      <c r="H631" s="218"/>
      <c r="I631" s="219"/>
      <c r="J631" s="219"/>
      <c r="K631" s="219"/>
      <c r="L631" s="219"/>
      <c r="M631" s="219"/>
      <c r="N631" s="219"/>
      <c r="O631" s="219"/>
      <c r="P631" s="219"/>
      <c r="Q631" s="219"/>
      <c r="R631" s="220"/>
    </row>
    <row r="632" spans="1:18" ht="15" customHeight="1" x14ac:dyDescent="0.3">
      <c r="A632" s="26" t="s">
        <v>78</v>
      </c>
      <c r="B632" s="26" t="s">
        <v>1136</v>
      </c>
      <c r="C632" s="26">
        <v>0.4826388888888889</v>
      </c>
      <c r="D632" s="26" t="s">
        <v>80</v>
      </c>
      <c r="E632" s="26" t="s">
        <v>97</v>
      </c>
      <c r="F632" s="26" t="s">
        <v>1195</v>
      </c>
      <c r="G632" s="328"/>
      <c r="H632" s="218"/>
      <c r="I632" s="219"/>
      <c r="J632" s="219"/>
      <c r="K632" s="219"/>
      <c r="L632" s="219"/>
      <c r="M632" s="219"/>
      <c r="N632" s="219"/>
      <c r="O632" s="219"/>
      <c r="P632" s="219"/>
      <c r="Q632" s="219"/>
      <c r="R632" s="220"/>
    </row>
    <row r="633" spans="1:18" ht="15" customHeight="1" x14ac:dyDescent="0.3">
      <c r="A633" s="10" t="s">
        <v>78</v>
      </c>
      <c r="B633" s="10" t="s">
        <v>1136</v>
      </c>
      <c r="C633" s="10">
        <v>0.4826388888888889</v>
      </c>
      <c r="D633" s="10" t="s">
        <v>83</v>
      </c>
      <c r="E633" s="10" t="s">
        <v>104</v>
      </c>
      <c r="F633" s="10" t="s">
        <v>863</v>
      </c>
      <c r="G633" s="328"/>
      <c r="H633" s="218"/>
      <c r="I633" s="219"/>
      <c r="J633" s="219"/>
      <c r="K633" s="219"/>
      <c r="L633" s="219"/>
      <c r="M633" s="219"/>
      <c r="N633" s="219"/>
      <c r="O633" s="219"/>
      <c r="P633" s="219"/>
      <c r="Q633" s="219"/>
      <c r="R633" s="220"/>
    </row>
    <row r="634" spans="1:18" ht="15" customHeight="1" x14ac:dyDescent="0.3">
      <c r="A634" s="26" t="s">
        <v>78</v>
      </c>
      <c r="B634" s="26" t="s">
        <v>1140</v>
      </c>
      <c r="C634" s="26">
        <v>0.5</v>
      </c>
      <c r="D634" s="26" t="s">
        <v>83</v>
      </c>
      <c r="E634" s="26" t="s">
        <v>87</v>
      </c>
      <c r="F634" s="26" t="s">
        <v>1141</v>
      </c>
      <c r="G634" s="328"/>
      <c r="H634" s="218"/>
      <c r="I634" s="219"/>
      <c r="J634" s="219"/>
      <c r="K634" s="219"/>
      <c r="L634" s="219"/>
      <c r="M634" s="219"/>
      <c r="N634" s="219"/>
      <c r="O634" s="219"/>
      <c r="P634" s="219"/>
      <c r="Q634" s="219"/>
      <c r="R634" s="220"/>
    </row>
    <row r="635" spans="1:18" ht="15" customHeight="1" x14ac:dyDescent="0.3">
      <c r="A635" s="26" t="s">
        <v>78</v>
      </c>
      <c r="B635" s="26" t="s">
        <v>1142</v>
      </c>
      <c r="C635" s="26">
        <v>0.76041666666666663</v>
      </c>
      <c r="D635" s="26" t="s">
        <v>83</v>
      </c>
      <c r="E635" s="26" t="s">
        <v>87</v>
      </c>
      <c r="F635" s="26" t="s">
        <v>1141</v>
      </c>
      <c r="G635" s="328"/>
      <c r="H635" s="218"/>
      <c r="I635" s="219"/>
      <c r="J635" s="219"/>
      <c r="K635" s="219"/>
      <c r="L635" s="219"/>
      <c r="M635" s="219"/>
      <c r="N635" s="219"/>
      <c r="O635" s="219"/>
      <c r="P635" s="219"/>
      <c r="Q635" s="219"/>
      <c r="R635" s="220"/>
    </row>
    <row r="636" spans="1:18" ht="15" customHeight="1" x14ac:dyDescent="0.3">
      <c r="A636" s="26" t="s">
        <v>78</v>
      </c>
      <c r="B636" s="26" t="s">
        <v>1143</v>
      </c>
      <c r="C636" s="26">
        <v>0.81597222222222221</v>
      </c>
      <c r="D636" s="26" t="s">
        <v>83</v>
      </c>
      <c r="E636" s="26" t="s">
        <v>87</v>
      </c>
      <c r="F636" s="26" t="s">
        <v>1205</v>
      </c>
      <c r="G636" s="328"/>
      <c r="H636" s="218"/>
      <c r="I636" s="219"/>
      <c r="J636" s="219"/>
      <c r="K636" s="219"/>
      <c r="L636" s="219"/>
      <c r="M636" s="219"/>
      <c r="N636" s="219"/>
      <c r="O636" s="219"/>
      <c r="P636" s="219"/>
      <c r="Q636" s="219"/>
      <c r="R636" s="220"/>
    </row>
    <row r="637" spans="1:18" ht="15" customHeight="1" x14ac:dyDescent="0.3">
      <c r="A637" s="32" t="s">
        <v>44</v>
      </c>
      <c r="B637" s="32" t="s">
        <v>1121</v>
      </c>
      <c r="C637" s="32">
        <v>0.92361111111111116</v>
      </c>
      <c r="D637" s="32" t="s">
        <v>46</v>
      </c>
      <c r="E637" s="32" t="s">
        <v>47</v>
      </c>
      <c r="F637" s="32" t="s">
        <v>1196</v>
      </c>
      <c r="G637" s="328"/>
      <c r="H637" s="157" t="s">
        <v>1122</v>
      </c>
      <c r="I637" s="283">
        <v>8.9300000000000004E-2</v>
      </c>
      <c r="J637" s="159">
        <v>15</v>
      </c>
      <c r="K637" s="160" t="s">
        <v>63</v>
      </c>
      <c r="L637" s="159">
        <v>2</v>
      </c>
      <c r="M637" s="159">
        <v>0</v>
      </c>
      <c r="N637" s="159">
        <v>0</v>
      </c>
      <c r="O637" s="160" t="s">
        <v>353</v>
      </c>
      <c r="P637" s="160">
        <v>0.92361111111111116</v>
      </c>
      <c r="Q637" s="159">
        <v>168</v>
      </c>
      <c r="R637" s="161" t="s">
        <v>1229</v>
      </c>
    </row>
    <row r="638" spans="1:18" ht="17.399999999999999" customHeight="1" x14ac:dyDescent="0.3">
      <c r="A638" s="360"/>
      <c r="B638" s="361"/>
      <c r="C638" s="361"/>
      <c r="D638" s="361"/>
      <c r="E638" s="361"/>
      <c r="F638" s="361"/>
      <c r="G638" s="361"/>
      <c r="H638" s="361"/>
      <c r="I638" s="361"/>
      <c r="J638" s="361"/>
      <c r="K638" s="361"/>
      <c r="L638" s="361"/>
      <c r="M638" s="361"/>
      <c r="N638" s="361"/>
      <c r="O638" s="361"/>
      <c r="P638" s="361"/>
      <c r="Q638" s="361"/>
      <c r="R638" s="362"/>
    </row>
    <row r="639" spans="1:18" ht="22.05" customHeight="1" x14ac:dyDescent="0.3">
      <c r="A639" s="323" t="s">
        <v>6</v>
      </c>
      <c r="B639" s="324"/>
      <c r="C639" s="324"/>
      <c r="D639" s="324"/>
      <c r="E639" s="324"/>
      <c r="F639" s="324"/>
      <c r="G639" s="2">
        <v>46000</v>
      </c>
      <c r="H639" s="323" t="s">
        <v>7</v>
      </c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</row>
    <row r="640" spans="1:18" ht="24" customHeight="1" x14ac:dyDescent="0.3">
      <c r="A640" s="3" t="s">
        <v>8</v>
      </c>
      <c r="B640" s="3" t="s">
        <v>9</v>
      </c>
      <c r="C640" s="3" t="s">
        <v>10</v>
      </c>
      <c r="D640" s="3" t="s">
        <v>11</v>
      </c>
      <c r="E640" s="3" t="s">
        <v>12</v>
      </c>
      <c r="F640" s="4" t="s">
        <v>13</v>
      </c>
      <c r="G640" s="5" t="s">
        <v>14</v>
      </c>
      <c r="H640" s="3" t="s">
        <v>15</v>
      </c>
      <c r="I640" s="3" t="s">
        <v>16</v>
      </c>
      <c r="J640" s="3" t="s">
        <v>17</v>
      </c>
      <c r="K640" s="3" t="s">
        <v>18</v>
      </c>
      <c r="L640" s="3" t="s">
        <v>19</v>
      </c>
      <c r="M640" s="3" t="s">
        <v>20</v>
      </c>
      <c r="N640" s="3" t="s">
        <v>21</v>
      </c>
      <c r="O640" s="3" t="s">
        <v>22</v>
      </c>
      <c r="P640" s="3" t="s">
        <v>23</v>
      </c>
      <c r="Q640" s="3" t="s">
        <v>24</v>
      </c>
      <c r="R640" s="3" t="s">
        <v>25</v>
      </c>
    </row>
    <row r="641" spans="1:18" ht="15" customHeight="1" x14ac:dyDescent="0.3">
      <c r="A641" s="6" t="s">
        <v>456</v>
      </c>
      <c r="B641" s="6" t="s">
        <v>1150</v>
      </c>
      <c r="C641" s="6">
        <v>0.2361111111111111</v>
      </c>
      <c r="D641" s="6" t="s">
        <v>458</v>
      </c>
      <c r="E641" s="6" t="s">
        <v>123</v>
      </c>
      <c r="F641" s="6" t="s">
        <v>1230</v>
      </c>
      <c r="G641" s="335"/>
      <c r="H641" s="218"/>
      <c r="I641" s="219"/>
      <c r="J641" s="219"/>
      <c r="K641" s="219"/>
      <c r="L641" s="219"/>
      <c r="M641" s="219"/>
      <c r="N641" s="219"/>
      <c r="O641" s="219"/>
      <c r="P641" s="219"/>
      <c r="Q641" s="219"/>
      <c r="R641" s="220"/>
    </row>
    <row r="642" spans="1:18" ht="15" customHeight="1" x14ac:dyDescent="0.3">
      <c r="A642" s="10" t="s">
        <v>456</v>
      </c>
      <c r="B642" s="10" t="s">
        <v>1150</v>
      </c>
      <c r="C642" s="10">
        <v>0.2361111111111111</v>
      </c>
      <c r="D642" s="10" t="s">
        <v>34</v>
      </c>
      <c r="E642" s="10" t="s">
        <v>124</v>
      </c>
      <c r="F642" s="10" t="s">
        <v>572</v>
      </c>
      <c r="G642" s="328"/>
      <c r="H642" s="218"/>
      <c r="I642" s="219"/>
      <c r="J642" s="219"/>
      <c r="K642" s="219"/>
      <c r="L642" s="219"/>
      <c r="M642" s="219"/>
      <c r="N642" s="219"/>
      <c r="O642" s="219"/>
      <c r="P642" s="219"/>
      <c r="Q642" s="219"/>
      <c r="R642" s="220"/>
    </row>
    <row r="643" spans="1:18" ht="15" customHeight="1" x14ac:dyDescent="0.3">
      <c r="A643" s="26" t="s">
        <v>456</v>
      </c>
      <c r="B643" s="26" t="s">
        <v>1124</v>
      </c>
      <c r="C643" s="26">
        <v>0.62152777777777779</v>
      </c>
      <c r="D643" s="26" t="s">
        <v>458</v>
      </c>
      <c r="E643" s="26" t="s">
        <v>439</v>
      </c>
      <c r="F643" s="26" t="s">
        <v>1230</v>
      </c>
      <c r="G643" s="328"/>
      <c r="H643" s="218"/>
      <c r="I643" s="219"/>
      <c r="J643" s="219"/>
      <c r="K643" s="219"/>
      <c r="L643" s="219"/>
      <c r="M643" s="219"/>
      <c r="N643" s="219"/>
      <c r="O643" s="219"/>
      <c r="P643" s="219"/>
      <c r="Q643" s="219"/>
      <c r="R643" s="220"/>
    </row>
    <row r="644" spans="1:18" ht="15" customHeight="1" x14ac:dyDescent="0.3">
      <c r="A644" s="10" t="s">
        <v>456</v>
      </c>
      <c r="B644" s="10" t="s">
        <v>1124</v>
      </c>
      <c r="C644" s="10">
        <v>0.62152777777777779</v>
      </c>
      <c r="D644" s="10" t="s">
        <v>34</v>
      </c>
      <c r="E644" s="10" t="s">
        <v>124</v>
      </c>
      <c r="F644" s="10" t="s">
        <v>572</v>
      </c>
      <c r="G644" s="328"/>
      <c r="H644" s="218"/>
      <c r="I644" s="219"/>
      <c r="J644" s="219"/>
      <c r="K644" s="219"/>
      <c r="L644" s="219"/>
      <c r="M644" s="219"/>
      <c r="N644" s="219"/>
      <c r="O644" s="219"/>
      <c r="P644" s="219"/>
      <c r="Q644" s="219"/>
      <c r="R644" s="220"/>
    </row>
    <row r="645" spans="1:18" ht="15" customHeight="1" x14ac:dyDescent="0.3">
      <c r="A645" s="11" t="s">
        <v>36</v>
      </c>
      <c r="B645" s="11" t="s">
        <v>1119</v>
      </c>
      <c r="C645" s="11">
        <v>0.5</v>
      </c>
      <c r="D645" s="11" t="s">
        <v>38</v>
      </c>
      <c r="E645" s="11" t="s">
        <v>123</v>
      </c>
      <c r="F645" s="11" t="s">
        <v>620</v>
      </c>
      <c r="G645" s="328"/>
      <c r="H645" s="218"/>
      <c r="I645" s="219"/>
      <c r="J645" s="219"/>
      <c r="K645" s="219"/>
      <c r="L645" s="219"/>
      <c r="M645" s="219"/>
      <c r="N645" s="219"/>
      <c r="O645" s="219"/>
      <c r="P645" s="219"/>
      <c r="Q645" s="219"/>
      <c r="R645" s="220"/>
    </row>
    <row r="646" spans="1:18" ht="15" customHeight="1" x14ac:dyDescent="0.3">
      <c r="A646" s="10" t="s">
        <v>36</v>
      </c>
      <c r="B646" s="10" t="s">
        <v>1119</v>
      </c>
      <c r="C646" s="10">
        <v>0.5</v>
      </c>
      <c r="D646" s="10" t="s">
        <v>40</v>
      </c>
      <c r="E646" s="10" t="s">
        <v>124</v>
      </c>
      <c r="F646" s="10" t="s">
        <v>621</v>
      </c>
      <c r="G646" s="328"/>
      <c r="H646" s="218"/>
      <c r="I646" s="219"/>
      <c r="J646" s="219"/>
      <c r="K646" s="219"/>
      <c r="L646" s="219"/>
      <c r="M646" s="219"/>
      <c r="N646" s="219"/>
      <c r="O646" s="219"/>
      <c r="P646" s="219"/>
      <c r="Q646" s="219"/>
      <c r="R646" s="220"/>
    </row>
    <row r="647" spans="1:18" ht="15" customHeight="1" x14ac:dyDescent="0.3">
      <c r="A647" s="10" t="s">
        <v>36</v>
      </c>
      <c r="B647" s="10" t="s">
        <v>1119</v>
      </c>
      <c r="C647" s="10">
        <v>0.5</v>
      </c>
      <c r="D647" s="10" t="s">
        <v>42</v>
      </c>
      <c r="E647" s="10" t="s">
        <v>124</v>
      </c>
      <c r="F647" s="10" t="s">
        <v>622</v>
      </c>
      <c r="G647" s="328"/>
      <c r="H647" s="218"/>
      <c r="I647" s="219"/>
      <c r="J647" s="219"/>
      <c r="K647" s="219"/>
      <c r="L647" s="219"/>
      <c r="M647" s="219"/>
      <c r="N647" s="219"/>
      <c r="O647" s="219"/>
      <c r="P647" s="219"/>
      <c r="Q647" s="219"/>
      <c r="R647" s="220"/>
    </row>
    <row r="648" spans="1:18" ht="15" customHeight="1" x14ac:dyDescent="0.3">
      <c r="A648" s="26" t="s">
        <v>36</v>
      </c>
      <c r="B648" s="26" t="s">
        <v>1114</v>
      </c>
      <c r="C648" s="26">
        <v>0.375</v>
      </c>
      <c r="D648" s="26" t="s">
        <v>38</v>
      </c>
      <c r="E648" s="26" t="s">
        <v>54</v>
      </c>
      <c r="F648" s="26" t="s">
        <v>620</v>
      </c>
      <c r="G648" s="328"/>
      <c r="H648" s="218"/>
      <c r="I648" s="219"/>
      <c r="J648" s="219"/>
      <c r="K648" s="219"/>
      <c r="L648" s="219"/>
      <c r="M648" s="219"/>
      <c r="N648" s="219"/>
      <c r="O648" s="219"/>
      <c r="P648" s="219"/>
      <c r="Q648" s="219"/>
      <c r="R648" s="220"/>
    </row>
    <row r="649" spans="1:18" ht="15" customHeight="1" x14ac:dyDescent="0.3">
      <c r="A649" s="10" t="s">
        <v>36</v>
      </c>
      <c r="B649" s="10" t="s">
        <v>1114</v>
      </c>
      <c r="C649" s="10">
        <v>0.375</v>
      </c>
      <c r="D649" s="10" t="s">
        <v>40</v>
      </c>
      <c r="E649" s="10" t="s">
        <v>161</v>
      </c>
      <c r="F649" s="10" t="s">
        <v>621</v>
      </c>
      <c r="G649" s="328"/>
      <c r="H649" s="218"/>
      <c r="I649" s="219"/>
      <c r="J649" s="219"/>
      <c r="K649" s="219"/>
      <c r="L649" s="219"/>
      <c r="M649" s="219"/>
      <c r="N649" s="219"/>
      <c r="O649" s="219"/>
      <c r="P649" s="219"/>
      <c r="Q649" s="219"/>
      <c r="R649" s="220"/>
    </row>
    <row r="650" spans="1:18" ht="15" customHeight="1" x14ac:dyDescent="0.3">
      <c r="A650" s="10" t="s">
        <v>36</v>
      </c>
      <c r="B650" s="10" t="s">
        <v>1114</v>
      </c>
      <c r="C650" s="10">
        <v>0.375</v>
      </c>
      <c r="D650" s="10" t="s">
        <v>42</v>
      </c>
      <c r="E650" s="10" t="s">
        <v>161</v>
      </c>
      <c r="F650" s="10" t="s">
        <v>622</v>
      </c>
      <c r="G650" s="328"/>
      <c r="H650" s="218"/>
      <c r="I650" s="219"/>
      <c r="J650" s="219"/>
      <c r="K650" s="219"/>
      <c r="L650" s="219"/>
      <c r="M650" s="219"/>
      <c r="N650" s="219"/>
      <c r="O650" s="219"/>
      <c r="P650" s="219"/>
      <c r="Q650" s="219"/>
      <c r="R650" s="220"/>
    </row>
    <row r="651" spans="1:18" ht="15" customHeight="1" x14ac:dyDescent="0.3">
      <c r="A651" s="26" t="s">
        <v>36</v>
      </c>
      <c r="B651" s="26" t="s">
        <v>1115</v>
      </c>
      <c r="C651" s="26">
        <v>0.56597222222222221</v>
      </c>
      <c r="D651" s="26" t="s">
        <v>38</v>
      </c>
      <c r="E651" s="26" t="s">
        <v>74</v>
      </c>
      <c r="F651" s="26" t="s">
        <v>620</v>
      </c>
      <c r="G651" s="328"/>
      <c r="H651" s="218"/>
      <c r="I651" s="219"/>
      <c r="J651" s="219"/>
      <c r="K651" s="219"/>
      <c r="L651" s="219"/>
      <c r="M651" s="219"/>
      <c r="N651" s="219"/>
      <c r="O651" s="219"/>
      <c r="P651" s="219"/>
      <c r="Q651" s="219"/>
      <c r="R651" s="220"/>
    </row>
    <row r="652" spans="1:18" ht="15" customHeight="1" x14ac:dyDescent="0.3">
      <c r="A652" s="10" t="s">
        <v>36</v>
      </c>
      <c r="B652" s="10" t="s">
        <v>1115</v>
      </c>
      <c r="C652" s="10">
        <v>0.56597222222222221</v>
      </c>
      <c r="D652" s="10" t="s">
        <v>40</v>
      </c>
      <c r="E652" s="10" t="s">
        <v>122</v>
      </c>
      <c r="F652" s="10" t="s">
        <v>621</v>
      </c>
      <c r="G652" s="328"/>
      <c r="H652" s="218"/>
      <c r="I652" s="219"/>
      <c r="J652" s="219"/>
      <c r="K652" s="219"/>
      <c r="L652" s="219"/>
      <c r="M652" s="219"/>
      <c r="N652" s="219"/>
      <c r="O652" s="219"/>
      <c r="P652" s="219"/>
      <c r="Q652" s="219"/>
      <c r="R652" s="220"/>
    </row>
    <row r="653" spans="1:18" ht="15" customHeight="1" x14ac:dyDescent="0.3">
      <c r="A653" s="10" t="s">
        <v>36</v>
      </c>
      <c r="B653" s="10" t="s">
        <v>1115</v>
      </c>
      <c r="C653" s="10">
        <v>0.56597222222222221</v>
      </c>
      <c r="D653" s="10" t="s">
        <v>42</v>
      </c>
      <c r="E653" s="10" t="s">
        <v>122</v>
      </c>
      <c r="F653" s="10" t="s">
        <v>622</v>
      </c>
      <c r="G653" s="328"/>
      <c r="H653" s="218"/>
      <c r="I653" s="219"/>
      <c r="J653" s="219"/>
      <c r="K653" s="219"/>
      <c r="L653" s="219"/>
      <c r="M653" s="219"/>
      <c r="N653" s="219"/>
      <c r="O653" s="219"/>
      <c r="P653" s="219"/>
      <c r="Q653" s="219"/>
      <c r="R653" s="220"/>
    </row>
    <row r="654" spans="1:18" ht="15" customHeight="1" x14ac:dyDescent="0.3">
      <c r="A654" s="26" t="s">
        <v>36</v>
      </c>
      <c r="B654" s="26" t="s">
        <v>1116</v>
      </c>
      <c r="C654" s="26">
        <v>0.30555555555555552</v>
      </c>
      <c r="D654" s="26" t="s">
        <v>38</v>
      </c>
      <c r="E654" s="26" t="s">
        <v>90</v>
      </c>
      <c r="F654" s="26" t="s">
        <v>620</v>
      </c>
      <c r="G654" s="328"/>
      <c r="H654" s="218"/>
      <c r="I654" s="219"/>
      <c r="J654" s="219"/>
      <c r="K654" s="219"/>
      <c r="L654" s="219"/>
      <c r="M654" s="219"/>
      <c r="N654" s="219"/>
      <c r="O654" s="219"/>
      <c r="P654" s="219"/>
      <c r="Q654" s="219"/>
      <c r="R654" s="220"/>
    </row>
    <row r="655" spans="1:18" ht="15" customHeight="1" x14ac:dyDescent="0.3">
      <c r="A655" s="10" t="s">
        <v>36</v>
      </c>
      <c r="B655" s="10" t="s">
        <v>1116</v>
      </c>
      <c r="C655" s="10">
        <v>0.30555555555555552</v>
      </c>
      <c r="D655" s="10" t="s">
        <v>40</v>
      </c>
      <c r="E655" s="10" t="s">
        <v>92</v>
      </c>
      <c r="F655" s="10" t="s">
        <v>621</v>
      </c>
      <c r="G655" s="328"/>
      <c r="H655" s="218"/>
      <c r="I655" s="219"/>
      <c r="J655" s="219"/>
      <c r="K655" s="219"/>
      <c r="L655" s="219"/>
      <c r="M655" s="219"/>
      <c r="N655" s="219"/>
      <c r="O655" s="219"/>
      <c r="P655" s="219"/>
      <c r="Q655" s="219"/>
      <c r="R655" s="220"/>
    </row>
    <row r="656" spans="1:18" ht="15" customHeight="1" x14ac:dyDescent="0.3">
      <c r="A656" s="10" t="s">
        <v>36</v>
      </c>
      <c r="B656" s="10" t="s">
        <v>1116</v>
      </c>
      <c r="C656" s="10">
        <v>0.30555555555555552</v>
      </c>
      <c r="D656" s="10" t="s">
        <v>42</v>
      </c>
      <c r="E656" s="10" t="s">
        <v>92</v>
      </c>
      <c r="F656" s="10" t="s">
        <v>622</v>
      </c>
      <c r="G656" s="328"/>
      <c r="H656" s="218"/>
      <c r="I656" s="219"/>
      <c r="J656" s="219"/>
      <c r="K656" s="219"/>
      <c r="L656" s="219"/>
      <c r="M656" s="219"/>
      <c r="N656" s="219"/>
      <c r="O656" s="219"/>
      <c r="P656" s="219"/>
      <c r="Q656" s="219"/>
      <c r="R656" s="220"/>
    </row>
    <row r="657" spans="1:18" ht="15" customHeight="1" x14ac:dyDescent="0.3">
      <c r="A657" s="26" t="s">
        <v>36</v>
      </c>
      <c r="B657" s="26" t="s">
        <v>1118</v>
      </c>
      <c r="C657" s="26">
        <v>0.42708333333333331</v>
      </c>
      <c r="D657" s="26" t="s">
        <v>38</v>
      </c>
      <c r="E657" s="26" t="s">
        <v>54</v>
      </c>
      <c r="F657" s="26" t="s">
        <v>620</v>
      </c>
      <c r="G657" s="328"/>
      <c r="H657" s="218"/>
      <c r="I657" s="219"/>
      <c r="J657" s="219"/>
      <c r="K657" s="219"/>
      <c r="L657" s="219"/>
      <c r="M657" s="219"/>
      <c r="N657" s="219"/>
      <c r="O657" s="219"/>
      <c r="P657" s="219"/>
      <c r="Q657" s="219"/>
      <c r="R657" s="220"/>
    </row>
    <row r="658" spans="1:18" ht="15" customHeight="1" x14ac:dyDescent="0.3">
      <c r="A658" s="10" t="s">
        <v>36</v>
      </c>
      <c r="B658" s="10" t="s">
        <v>1118</v>
      </c>
      <c r="C658" s="10">
        <v>0.42708333333333331</v>
      </c>
      <c r="D658" s="10" t="s">
        <v>40</v>
      </c>
      <c r="E658" s="10" t="s">
        <v>161</v>
      </c>
      <c r="F658" s="10" t="s">
        <v>621</v>
      </c>
      <c r="G658" s="328"/>
      <c r="H658" s="218"/>
      <c r="I658" s="219"/>
      <c r="J658" s="219"/>
      <c r="K658" s="219"/>
      <c r="L658" s="219"/>
      <c r="M658" s="219"/>
      <c r="N658" s="219"/>
      <c r="O658" s="219"/>
      <c r="P658" s="219"/>
      <c r="Q658" s="219"/>
      <c r="R658" s="220"/>
    </row>
    <row r="659" spans="1:18" ht="15" customHeight="1" x14ac:dyDescent="0.3">
      <c r="A659" s="10" t="s">
        <v>36</v>
      </c>
      <c r="B659" s="10" t="s">
        <v>1118</v>
      </c>
      <c r="C659" s="10">
        <v>0.42708333333333331</v>
      </c>
      <c r="D659" s="10" t="s">
        <v>42</v>
      </c>
      <c r="E659" s="10" t="s">
        <v>161</v>
      </c>
      <c r="F659" s="10" t="s">
        <v>622</v>
      </c>
      <c r="G659" s="328"/>
      <c r="H659" s="218"/>
      <c r="I659" s="219"/>
      <c r="J659" s="219"/>
      <c r="K659" s="219"/>
      <c r="L659" s="219"/>
      <c r="M659" s="219"/>
      <c r="N659" s="219"/>
      <c r="O659" s="219"/>
      <c r="P659" s="219"/>
      <c r="Q659" s="219"/>
      <c r="R659" s="220"/>
    </row>
    <row r="660" spans="1:18" ht="15" customHeight="1" x14ac:dyDescent="0.3">
      <c r="A660" s="26" t="s">
        <v>36</v>
      </c>
      <c r="B660" s="26" t="s">
        <v>1113</v>
      </c>
      <c r="C660" s="26">
        <v>0.82638888888888884</v>
      </c>
      <c r="D660" s="26" t="s">
        <v>38</v>
      </c>
      <c r="E660" s="26" t="s">
        <v>152</v>
      </c>
      <c r="F660" s="26" t="s">
        <v>583</v>
      </c>
      <c r="G660" s="328"/>
      <c r="H660" s="218"/>
      <c r="I660" s="219"/>
      <c r="J660" s="219"/>
      <c r="K660" s="219"/>
      <c r="L660" s="219"/>
      <c r="M660" s="219"/>
      <c r="N660" s="219"/>
      <c r="O660" s="219"/>
      <c r="P660" s="219"/>
      <c r="Q660" s="219"/>
      <c r="R660" s="220"/>
    </row>
    <row r="661" spans="1:18" ht="15" customHeight="1" x14ac:dyDescent="0.3">
      <c r="A661" s="10" t="s">
        <v>36</v>
      </c>
      <c r="B661" s="10" t="s">
        <v>1113</v>
      </c>
      <c r="C661" s="10">
        <v>0.82638888888888884</v>
      </c>
      <c r="D661" s="10" t="s">
        <v>40</v>
      </c>
      <c r="E661" s="10" t="s">
        <v>84</v>
      </c>
      <c r="F661" s="10" t="s">
        <v>531</v>
      </c>
      <c r="G661" s="328"/>
      <c r="H661" s="218"/>
      <c r="I661" s="219"/>
      <c r="J661" s="219"/>
      <c r="K661" s="219"/>
      <c r="L661" s="219"/>
      <c r="M661" s="219"/>
      <c r="N661" s="219"/>
      <c r="O661" s="219"/>
      <c r="P661" s="219"/>
      <c r="Q661" s="219"/>
      <c r="R661" s="220"/>
    </row>
    <row r="662" spans="1:18" ht="15" customHeight="1" x14ac:dyDescent="0.3">
      <c r="A662" s="10" t="s">
        <v>36</v>
      </c>
      <c r="B662" s="10" t="s">
        <v>1113</v>
      </c>
      <c r="C662" s="10">
        <v>0.82638888888888884</v>
      </c>
      <c r="D662" s="10" t="s">
        <v>42</v>
      </c>
      <c r="E662" s="10" t="s">
        <v>84</v>
      </c>
      <c r="F662" s="10" t="s">
        <v>30</v>
      </c>
      <c r="G662" s="328"/>
      <c r="H662" s="218"/>
      <c r="I662" s="219"/>
      <c r="J662" s="219"/>
      <c r="K662" s="219"/>
      <c r="L662" s="219"/>
      <c r="M662" s="219"/>
      <c r="N662" s="219"/>
      <c r="O662" s="219"/>
      <c r="P662" s="219"/>
      <c r="Q662" s="219"/>
      <c r="R662" s="220"/>
    </row>
    <row r="663" spans="1:18" ht="15" customHeight="1" x14ac:dyDescent="0.3">
      <c r="A663" s="26" t="s">
        <v>36</v>
      </c>
      <c r="B663" s="26" t="s">
        <v>1117</v>
      </c>
      <c r="C663" s="26">
        <v>0.6875</v>
      </c>
      <c r="D663" s="26" t="s">
        <v>38</v>
      </c>
      <c r="E663" s="26" t="s">
        <v>152</v>
      </c>
      <c r="F663" s="26" t="s">
        <v>583</v>
      </c>
      <c r="G663" s="328"/>
      <c r="H663" s="218"/>
      <c r="I663" s="219"/>
      <c r="J663" s="219"/>
      <c r="K663" s="219"/>
      <c r="L663" s="219"/>
      <c r="M663" s="219"/>
      <c r="N663" s="219"/>
      <c r="O663" s="219"/>
      <c r="P663" s="219"/>
      <c r="Q663" s="219"/>
      <c r="R663" s="220"/>
    </row>
    <row r="664" spans="1:18" ht="15" customHeight="1" x14ac:dyDescent="0.3">
      <c r="A664" s="10" t="s">
        <v>36</v>
      </c>
      <c r="B664" s="10" t="s">
        <v>1117</v>
      </c>
      <c r="C664" s="10">
        <v>0.6875</v>
      </c>
      <c r="D664" s="10" t="s">
        <v>40</v>
      </c>
      <c r="E664" s="10" t="s">
        <v>84</v>
      </c>
      <c r="F664" s="10" t="s">
        <v>531</v>
      </c>
      <c r="G664" s="328"/>
      <c r="H664" s="218"/>
      <c r="I664" s="219"/>
      <c r="J664" s="219"/>
      <c r="K664" s="219"/>
      <c r="L664" s="219"/>
      <c r="M664" s="219"/>
      <c r="N664" s="219"/>
      <c r="O664" s="219"/>
      <c r="P664" s="219"/>
      <c r="Q664" s="219"/>
      <c r="R664" s="220"/>
    </row>
    <row r="665" spans="1:18" ht="15" customHeight="1" x14ac:dyDescent="0.3">
      <c r="A665" s="10" t="s">
        <v>36</v>
      </c>
      <c r="B665" s="10" t="s">
        <v>1117</v>
      </c>
      <c r="C665" s="10">
        <v>0.6875</v>
      </c>
      <c r="D665" s="10" t="s">
        <v>42</v>
      </c>
      <c r="E665" s="10" t="s">
        <v>84</v>
      </c>
      <c r="F665" s="10" t="s">
        <v>30</v>
      </c>
      <c r="G665" s="328"/>
      <c r="H665" s="218"/>
      <c r="I665" s="219"/>
      <c r="J665" s="219"/>
      <c r="K665" s="219"/>
      <c r="L665" s="219"/>
      <c r="M665" s="219"/>
      <c r="N665" s="219"/>
      <c r="O665" s="219"/>
      <c r="P665" s="219"/>
      <c r="Q665" s="219"/>
      <c r="R665" s="220"/>
    </row>
    <row r="666" spans="1:18" ht="15" customHeight="1" x14ac:dyDescent="0.3">
      <c r="A666" s="11" t="s">
        <v>66</v>
      </c>
      <c r="B666" s="11" t="s">
        <v>1126</v>
      </c>
      <c r="C666" s="11">
        <v>0.16666666666666671</v>
      </c>
      <c r="D666" s="11" t="s">
        <v>829</v>
      </c>
      <c r="E666" s="11" t="s">
        <v>47</v>
      </c>
      <c r="F666" s="11" t="s">
        <v>657</v>
      </c>
      <c r="G666" s="328"/>
      <c r="H666" s="218"/>
      <c r="I666" s="219"/>
      <c r="J666" s="219"/>
      <c r="K666" s="219"/>
      <c r="L666" s="219"/>
      <c r="M666" s="219"/>
      <c r="N666" s="219"/>
      <c r="O666" s="219"/>
      <c r="P666" s="219"/>
      <c r="Q666" s="219"/>
      <c r="R666" s="220"/>
    </row>
    <row r="667" spans="1:18" ht="15" customHeight="1" x14ac:dyDescent="0.3">
      <c r="A667" s="26" t="s">
        <v>66</v>
      </c>
      <c r="B667" s="26" t="s">
        <v>1128</v>
      </c>
      <c r="C667" s="26">
        <v>0.54166666666666663</v>
      </c>
      <c r="D667" s="26" t="s">
        <v>829</v>
      </c>
      <c r="E667" s="26" t="s">
        <v>71</v>
      </c>
      <c r="F667" s="26" t="s">
        <v>657</v>
      </c>
      <c r="G667" s="328"/>
      <c r="H667" s="218"/>
      <c r="I667" s="219"/>
      <c r="J667" s="219"/>
      <c r="K667" s="219"/>
      <c r="L667" s="219"/>
      <c r="M667" s="219"/>
      <c r="N667" s="219"/>
      <c r="O667" s="219"/>
      <c r="P667" s="219"/>
      <c r="Q667" s="219"/>
      <c r="R667" s="220"/>
    </row>
    <row r="668" spans="1:18" ht="15" customHeight="1" x14ac:dyDescent="0.3">
      <c r="A668" s="26" t="s">
        <v>66</v>
      </c>
      <c r="B668" s="26" t="s">
        <v>1130</v>
      </c>
      <c r="C668" s="26">
        <v>0.91666666666666663</v>
      </c>
      <c r="D668" s="26" t="s">
        <v>829</v>
      </c>
      <c r="E668" s="26" t="s">
        <v>90</v>
      </c>
      <c r="F668" s="26" t="s">
        <v>1185</v>
      </c>
      <c r="G668" s="328"/>
      <c r="H668" s="218"/>
      <c r="I668" s="219"/>
      <c r="J668" s="219"/>
      <c r="K668" s="219"/>
      <c r="L668" s="219"/>
      <c r="M668" s="219"/>
      <c r="N668" s="219"/>
      <c r="O668" s="219"/>
      <c r="P668" s="219"/>
      <c r="Q668" s="219"/>
      <c r="R668" s="220"/>
    </row>
    <row r="669" spans="1:18" ht="15" customHeight="1" x14ac:dyDescent="0.3">
      <c r="A669" s="11" t="s">
        <v>404</v>
      </c>
      <c r="B669" s="11" t="s">
        <v>1120</v>
      </c>
      <c r="C669" s="11">
        <v>0.27777777777777779</v>
      </c>
      <c r="D669" s="11" t="s">
        <v>46</v>
      </c>
      <c r="E669" s="11" t="s">
        <v>47</v>
      </c>
      <c r="F669" s="11" t="s">
        <v>657</v>
      </c>
      <c r="G669" s="328"/>
      <c r="H669" s="218"/>
      <c r="I669" s="219"/>
      <c r="J669" s="219"/>
      <c r="K669" s="219"/>
      <c r="L669" s="219"/>
      <c r="M669" s="219"/>
      <c r="N669" s="219"/>
      <c r="O669" s="219"/>
      <c r="P669" s="219"/>
      <c r="Q669" s="219"/>
      <c r="R669" s="220"/>
    </row>
    <row r="670" spans="1:18" ht="15" customHeight="1" x14ac:dyDescent="0.3">
      <c r="A670" s="11" t="s">
        <v>410</v>
      </c>
      <c r="B670" s="11" t="s">
        <v>1167</v>
      </c>
      <c r="C670" s="11">
        <v>0.35416666666666669</v>
      </c>
      <c r="D670" s="11" t="s">
        <v>46</v>
      </c>
      <c r="E670" s="11" t="s">
        <v>314</v>
      </c>
      <c r="F670" s="11" t="s">
        <v>1158</v>
      </c>
      <c r="G670" s="328"/>
      <c r="H670" s="218"/>
      <c r="I670" s="219"/>
      <c r="J670" s="219"/>
      <c r="K670" s="219"/>
      <c r="L670" s="219"/>
      <c r="M670" s="219"/>
      <c r="N670" s="219"/>
      <c r="O670" s="219"/>
      <c r="P670" s="219"/>
      <c r="Q670" s="219"/>
      <c r="R670" s="220"/>
    </row>
    <row r="671" spans="1:18" ht="15" customHeight="1" x14ac:dyDescent="0.3">
      <c r="A671" s="149" t="s">
        <v>44</v>
      </c>
      <c r="B671" s="149" t="s">
        <v>1121</v>
      </c>
      <c r="C671" s="149">
        <v>0.91319444444444453</v>
      </c>
      <c r="D671" s="149" t="s">
        <v>46</v>
      </c>
      <c r="E671" s="149" t="s">
        <v>47</v>
      </c>
      <c r="F671" s="149" t="s">
        <v>1196</v>
      </c>
      <c r="G671" s="328"/>
      <c r="H671" s="150" t="s">
        <v>1122</v>
      </c>
      <c r="I671" s="151">
        <v>7.1400000000000005E-2</v>
      </c>
      <c r="J671" s="152">
        <v>12</v>
      </c>
      <c r="K671" s="153" t="s">
        <v>63</v>
      </c>
      <c r="L671" s="152">
        <v>4</v>
      </c>
      <c r="M671" s="152">
        <v>0</v>
      </c>
      <c r="N671" s="152">
        <v>0</v>
      </c>
      <c r="O671" s="153" t="s">
        <v>353</v>
      </c>
      <c r="P671" s="153">
        <v>0.91319444444444453</v>
      </c>
      <c r="Q671" s="152">
        <v>168</v>
      </c>
      <c r="R671" s="154" t="s">
        <v>1231</v>
      </c>
    </row>
    <row r="672" spans="1:18" ht="15" customHeight="1" x14ac:dyDescent="0.3">
      <c r="A672" s="11" t="s">
        <v>78</v>
      </c>
      <c r="B672" s="11" t="s">
        <v>1131</v>
      </c>
      <c r="C672" s="11">
        <v>0.55208333333333337</v>
      </c>
      <c r="D672" s="11" t="s">
        <v>80</v>
      </c>
      <c r="E672" s="11" t="s">
        <v>47</v>
      </c>
      <c r="F672" s="11" t="s">
        <v>1195</v>
      </c>
      <c r="G672" s="328"/>
      <c r="H672" s="218"/>
      <c r="I672" s="219"/>
      <c r="J672" s="219"/>
      <c r="K672" s="219"/>
      <c r="L672" s="219"/>
      <c r="M672" s="219"/>
      <c r="N672" s="219"/>
      <c r="O672" s="219"/>
      <c r="P672" s="219"/>
      <c r="Q672" s="219"/>
      <c r="R672" s="220"/>
    </row>
    <row r="673" spans="1:18" ht="15" customHeight="1" x14ac:dyDescent="0.3">
      <c r="A673" s="10" t="s">
        <v>78</v>
      </c>
      <c r="B673" s="10" t="s">
        <v>1131</v>
      </c>
      <c r="C673" s="10">
        <v>0.55208333333333337</v>
      </c>
      <c r="D673" s="10" t="s">
        <v>83</v>
      </c>
      <c r="E673" s="10" t="s">
        <v>95</v>
      </c>
      <c r="F673" s="10" t="s">
        <v>863</v>
      </c>
      <c r="G673" s="328"/>
      <c r="H673" s="218"/>
      <c r="I673" s="219"/>
      <c r="J673" s="219"/>
      <c r="K673" s="219"/>
      <c r="L673" s="219"/>
      <c r="M673" s="219"/>
      <c r="N673" s="219"/>
      <c r="O673" s="219"/>
      <c r="P673" s="219"/>
      <c r="Q673" s="219"/>
      <c r="R673" s="220"/>
    </row>
    <row r="674" spans="1:18" ht="15" customHeight="1" x14ac:dyDescent="0.3">
      <c r="A674" s="26" t="s">
        <v>78</v>
      </c>
      <c r="B674" s="26" t="s">
        <v>1135</v>
      </c>
      <c r="C674" s="26">
        <v>0.2986111111111111</v>
      </c>
      <c r="D674" s="26" t="s">
        <v>80</v>
      </c>
      <c r="E674" s="26" t="s">
        <v>71</v>
      </c>
      <c r="F674" s="26" t="s">
        <v>1195</v>
      </c>
      <c r="G674" s="328"/>
      <c r="H674" s="218"/>
      <c r="I674" s="219"/>
      <c r="J674" s="219"/>
      <c r="K674" s="219"/>
      <c r="L674" s="219"/>
      <c r="M674" s="219"/>
      <c r="N674" s="219"/>
      <c r="O674" s="219"/>
      <c r="P674" s="219"/>
      <c r="Q674" s="219"/>
      <c r="R674" s="220"/>
    </row>
    <row r="675" spans="1:18" ht="15" customHeight="1" x14ac:dyDescent="0.3">
      <c r="A675" s="10" t="s">
        <v>78</v>
      </c>
      <c r="B675" s="10" t="s">
        <v>1135</v>
      </c>
      <c r="C675" s="10">
        <v>0.2986111111111111</v>
      </c>
      <c r="D675" s="10" t="s">
        <v>83</v>
      </c>
      <c r="E675" s="10" t="s">
        <v>95</v>
      </c>
      <c r="F675" s="10" t="s">
        <v>863</v>
      </c>
      <c r="G675" s="328"/>
      <c r="H675" s="218"/>
      <c r="I675" s="219"/>
      <c r="J675" s="219"/>
      <c r="K675" s="219"/>
      <c r="L675" s="219"/>
      <c r="M675" s="219"/>
      <c r="N675" s="219"/>
      <c r="O675" s="219"/>
      <c r="P675" s="219"/>
      <c r="Q675" s="219"/>
      <c r="R675" s="220"/>
    </row>
    <row r="676" spans="1:18" ht="15" customHeight="1" x14ac:dyDescent="0.3">
      <c r="A676" s="26" t="s">
        <v>78</v>
      </c>
      <c r="B676" s="26" t="s">
        <v>1136</v>
      </c>
      <c r="C676" s="26">
        <v>0.4826388888888889</v>
      </c>
      <c r="D676" s="26" t="s">
        <v>80</v>
      </c>
      <c r="E676" s="26" t="s">
        <v>71</v>
      </c>
      <c r="F676" s="26" t="s">
        <v>1195</v>
      </c>
      <c r="G676" s="328"/>
      <c r="H676" s="218"/>
      <c r="I676" s="219"/>
      <c r="J676" s="219"/>
      <c r="K676" s="219"/>
      <c r="L676" s="219"/>
      <c r="M676" s="219"/>
      <c r="N676" s="219"/>
      <c r="O676" s="219"/>
      <c r="P676" s="219"/>
      <c r="Q676" s="219"/>
      <c r="R676" s="220"/>
    </row>
    <row r="677" spans="1:18" ht="15" customHeight="1" x14ac:dyDescent="0.3">
      <c r="A677" s="10" t="s">
        <v>78</v>
      </c>
      <c r="B677" s="10" t="s">
        <v>1136</v>
      </c>
      <c r="C677" s="10">
        <v>0.4826388888888889</v>
      </c>
      <c r="D677" s="10" t="s">
        <v>83</v>
      </c>
      <c r="E677" s="10" t="s">
        <v>95</v>
      </c>
      <c r="F677" s="10" t="s">
        <v>863</v>
      </c>
      <c r="G677" s="328"/>
      <c r="H677" s="218"/>
      <c r="I677" s="219"/>
      <c r="J677" s="219"/>
      <c r="K677" s="219"/>
      <c r="L677" s="219"/>
      <c r="M677" s="219"/>
      <c r="N677" s="219"/>
      <c r="O677" s="219"/>
      <c r="P677" s="219"/>
      <c r="Q677" s="219"/>
      <c r="R677" s="220"/>
    </row>
    <row r="678" spans="1:18" ht="15" customHeight="1" x14ac:dyDescent="0.3">
      <c r="A678" s="26" t="s">
        <v>78</v>
      </c>
      <c r="B678" s="26" t="s">
        <v>1137</v>
      </c>
      <c r="C678" s="26">
        <v>0.83680555555555547</v>
      </c>
      <c r="D678" s="26" t="s">
        <v>80</v>
      </c>
      <c r="E678" s="26" t="s">
        <v>71</v>
      </c>
      <c r="F678" s="26" t="s">
        <v>1132</v>
      </c>
      <c r="G678" s="328"/>
      <c r="H678" s="218"/>
      <c r="I678" s="219"/>
      <c r="J678" s="219"/>
      <c r="K678" s="219"/>
      <c r="L678" s="219"/>
      <c r="M678" s="219"/>
      <c r="N678" s="219"/>
      <c r="O678" s="219"/>
      <c r="P678" s="219"/>
      <c r="Q678" s="219"/>
      <c r="R678" s="220"/>
    </row>
    <row r="679" spans="1:18" ht="15" customHeight="1" x14ac:dyDescent="0.3">
      <c r="A679" s="10" t="s">
        <v>78</v>
      </c>
      <c r="B679" s="10" t="s">
        <v>1137</v>
      </c>
      <c r="C679" s="10">
        <v>0.83680555555555547</v>
      </c>
      <c r="D679" s="10" t="s">
        <v>83</v>
      </c>
      <c r="E679" s="10" t="s">
        <v>95</v>
      </c>
      <c r="F679" s="10" t="s">
        <v>1133</v>
      </c>
      <c r="G679" s="328"/>
      <c r="H679" s="218"/>
      <c r="I679" s="219"/>
      <c r="J679" s="219"/>
      <c r="K679" s="219"/>
      <c r="L679" s="219"/>
      <c r="M679" s="219"/>
      <c r="N679" s="219"/>
      <c r="O679" s="219"/>
      <c r="P679" s="219"/>
      <c r="Q679" s="219"/>
      <c r="R679" s="220"/>
    </row>
    <row r="680" spans="1:18" ht="15" customHeight="1" x14ac:dyDescent="0.3">
      <c r="A680" s="26" t="s">
        <v>78</v>
      </c>
      <c r="B680" s="26" t="s">
        <v>1134</v>
      </c>
      <c r="C680" s="26">
        <v>0.68402777777777779</v>
      </c>
      <c r="D680" s="26" t="s">
        <v>80</v>
      </c>
      <c r="E680" s="26" t="s">
        <v>71</v>
      </c>
      <c r="F680" s="26" t="s">
        <v>1132</v>
      </c>
      <c r="G680" s="328"/>
      <c r="H680" s="218"/>
      <c r="I680" s="219"/>
      <c r="J680" s="219"/>
      <c r="K680" s="219"/>
      <c r="L680" s="219"/>
      <c r="M680" s="219"/>
      <c r="N680" s="219"/>
      <c r="O680" s="219"/>
      <c r="P680" s="219"/>
      <c r="Q680" s="219"/>
      <c r="R680" s="220"/>
    </row>
    <row r="681" spans="1:18" ht="15" customHeight="1" x14ac:dyDescent="0.3">
      <c r="A681" s="10" t="s">
        <v>78</v>
      </c>
      <c r="B681" s="10" t="s">
        <v>1134</v>
      </c>
      <c r="C681" s="10">
        <v>0.68402777777777779</v>
      </c>
      <c r="D681" s="10" t="s">
        <v>83</v>
      </c>
      <c r="E681" s="10" t="s">
        <v>95</v>
      </c>
      <c r="F681" s="10" t="s">
        <v>1133</v>
      </c>
      <c r="G681" s="328"/>
      <c r="H681" s="218"/>
      <c r="I681" s="219"/>
      <c r="J681" s="219"/>
      <c r="K681" s="219"/>
      <c r="L681" s="219"/>
      <c r="M681" s="219"/>
      <c r="N681" s="219"/>
      <c r="O681" s="219"/>
      <c r="P681" s="219"/>
      <c r="Q681" s="219"/>
      <c r="R681" s="220"/>
    </row>
    <row r="682" spans="1:18" ht="15" customHeight="1" x14ac:dyDescent="0.3">
      <c r="A682" s="26" t="s">
        <v>78</v>
      </c>
      <c r="B682" s="26" t="s">
        <v>1140</v>
      </c>
      <c r="C682" s="26">
        <v>0.5</v>
      </c>
      <c r="D682" s="26" t="s">
        <v>83</v>
      </c>
      <c r="E682" s="26" t="s">
        <v>87</v>
      </c>
      <c r="F682" s="26" t="s">
        <v>1141</v>
      </c>
      <c r="G682" s="328"/>
      <c r="H682" s="218"/>
      <c r="I682" s="219"/>
      <c r="J682" s="219"/>
      <c r="K682" s="219"/>
      <c r="L682" s="219"/>
      <c r="M682" s="219"/>
      <c r="N682" s="219"/>
      <c r="O682" s="219"/>
      <c r="P682" s="219"/>
      <c r="Q682" s="219"/>
      <c r="R682" s="220"/>
    </row>
    <row r="683" spans="1:18" ht="15" customHeight="1" x14ac:dyDescent="0.3">
      <c r="A683" s="26" t="s">
        <v>78</v>
      </c>
      <c r="B683" s="26" t="s">
        <v>1142</v>
      </c>
      <c r="C683" s="26">
        <v>0.76041666666666663</v>
      </c>
      <c r="D683" s="26" t="s">
        <v>83</v>
      </c>
      <c r="E683" s="26" t="s">
        <v>87</v>
      </c>
      <c r="F683" s="26" t="s">
        <v>1214</v>
      </c>
      <c r="G683" s="328"/>
      <c r="H683" s="218"/>
      <c r="I683" s="219"/>
      <c r="J683" s="219"/>
      <c r="K683" s="219"/>
      <c r="L683" s="219"/>
      <c r="M683" s="219"/>
      <c r="N683" s="219"/>
      <c r="O683" s="219"/>
      <c r="P683" s="219"/>
      <c r="Q683" s="219"/>
      <c r="R683" s="220"/>
    </row>
    <row r="684" spans="1:18" ht="15" customHeight="1" x14ac:dyDescent="0.3">
      <c r="A684" s="31" t="s">
        <v>78</v>
      </c>
      <c r="B684" s="31" t="s">
        <v>1143</v>
      </c>
      <c r="C684" s="31">
        <v>0.81597222222222221</v>
      </c>
      <c r="D684" s="31" t="s">
        <v>83</v>
      </c>
      <c r="E684" s="31" t="s">
        <v>87</v>
      </c>
      <c r="F684" s="31" t="s">
        <v>1214</v>
      </c>
      <c r="G684" s="328"/>
      <c r="H684" s="231"/>
      <c r="I684" s="232"/>
      <c r="J684" s="232"/>
      <c r="K684" s="232"/>
      <c r="L684" s="232"/>
      <c r="M684" s="232"/>
      <c r="N684" s="232"/>
      <c r="O684" s="232"/>
      <c r="P684" s="232"/>
      <c r="Q684" s="232"/>
      <c r="R684" s="233"/>
    </row>
    <row r="685" spans="1:18" ht="17.399999999999999" customHeight="1" x14ac:dyDescent="0.3">
      <c r="A685" s="360"/>
      <c r="B685" s="361"/>
      <c r="C685" s="361"/>
      <c r="D685" s="361"/>
      <c r="E685" s="361"/>
      <c r="F685" s="361"/>
      <c r="G685" s="361"/>
      <c r="H685" s="361"/>
      <c r="I685" s="361"/>
      <c r="J685" s="361"/>
      <c r="K685" s="361"/>
      <c r="L685" s="361"/>
      <c r="M685" s="361"/>
      <c r="N685" s="361"/>
      <c r="O685" s="361"/>
      <c r="P685" s="361"/>
      <c r="Q685" s="361"/>
      <c r="R685" s="362"/>
    </row>
    <row r="686" spans="1:18" ht="22.05" customHeight="1" x14ac:dyDescent="0.3">
      <c r="A686" s="323" t="s">
        <v>6</v>
      </c>
      <c r="B686" s="324"/>
      <c r="C686" s="324"/>
      <c r="D686" s="324"/>
      <c r="E686" s="324"/>
      <c r="F686" s="324"/>
      <c r="G686" s="2">
        <v>46001</v>
      </c>
      <c r="H686" s="323" t="s">
        <v>7</v>
      </c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</row>
    <row r="687" spans="1:18" ht="24" customHeight="1" x14ac:dyDescent="0.3">
      <c r="A687" s="3" t="s">
        <v>8</v>
      </c>
      <c r="B687" s="3" t="s">
        <v>9</v>
      </c>
      <c r="C687" s="3" t="s">
        <v>10</v>
      </c>
      <c r="D687" s="3" t="s">
        <v>11</v>
      </c>
      <c r="E687" s="3" t="s">
        <v>12</v>
      </c>
      <c r="F687" s="4" t="s">
        <v>13</v>
      </c>
      <c r="G687" s="5" t="s">
        <v>14</v>
      </c>
      <c r="H687" s="3" t="s">
        <v>15</v>
      </c>
      <c r="I687" s="3" t="s">
        <v>16</v>
      </c>
      <c r="J687" s="3" t="s">
        <v>17</v>
      </c>
      <c r="K687" s="3" t="s">
        <v>18</v>
      </c>
      <c r="L687" s="3" t="s">
        <v>19</v>
      </c>
      <c r="M687" s="3" t="s">
        <v>20</v>
      </c>
      <c r="N687" s="3" t="s">
        <v>21</v>
      </c>
      <c r="O687" s="3" t="s">
        <v>22</v>
      </c>
      <c r="P687" s="3" t="s">
        <v>23</v>
      </c>
      <c r="Q687" s="3" t="s">
        <v>24</v>
      </c>
      <c r="R687" s="3" t="s">
        <v>25</v>
      </c>
    </row>
    <row r="688" spans="1:18" ht="15" customHeight="1" x14ac:dyDescent="0.3">
      <c r="A688" s="6" t="s">
        <v>36</v>
      </c>
      <c r="B688" s="6" t="s">
        <v>1119</v>
      </c>
      <c r="C688" s="6">
        <v>0.5</v>
      </c>
      <c r="D688" s="6" t="s">
        <v>38</v>
      </c>
      <c r="E688" s="6" t="s">
        <v>123</v>
      </c>
      <c r="F688" s="6" t="s">
        <v>620</v>
      </c>
      <c r="G688" s="335"/>
      <c r="H688" s="218"/>
      <c r="I688" s="219"/>
      <c r="J688" s="219"/>
      <c r="K688" s="219"/>
      <c r="L688" s="219"/>
      <c r="M688" s="219"/>
      <c r="N688" s="219"/>
      <c r="O688" s="219"/>
      <c r="P688" s="219"/>
      <c r="Q688" s="219"/>
      <c r="R688" s="220"/>
    </row>
    <row r="689" spans="1:18" ht="15" customHeight="1" x14ac:dyDescent="0.3">
      <c r="A689" s="10" t="s">
        <v>36</v>
      </c>
      <c r="B689" s="10" t="s">
        <v>1119</v>
      </c>
      <c r="C689" s="10">
        <v>0.5</v>
      </c>
      <c r="D689" s="10" t="s">
        <v>40</v>
      </c>
      <c r="E689" s="10" t="s">
        <v>124</v>
      </c>
      <c r="F689" s="10" t="s">
        <v>621</v>
      </c>
      <c r="G689" s="328"/>
      <c r="H689" s="218"/>
      <c r="I689" s="219"/>
      <c r="J689" s="219"/>
      <c r="K689" s="219"/>
      <c r="L689" s="219"/>
      <c r="M689" s="219"/>
      <c r="N689" s="219"/>
      <c r="O689" s="219"/>
      <c r="P689" s="219"/>
      <c r="Q689" s="219"/>
      <c r="R689" s="220"/>
    </row>
    <row r="690" spans="1:18" ht="15" customHeight="1" x14ac:dyDescent="0.3">
      <c r="A690" s="10" t="s">
        <v>36</v>
      </c>
      <c r="B690" s="10" t="s">
        <v>1119</v>
      </c>
      <c r="C690" s="10">
        <v>0.5</v>
      </c>
      <c r="D690" s="10" t="s">
        <v>42</v>
      </c>
      <c r="E690" s="10" t="s">
        <v>124</v>
      </c>
      <c r="F690" s="10" t="s">
        <v>622</v>
      </c>
      <c r="G690" s="328"/>
      <c r="H690" s="218"/>
      <c r="I690" s="219"/>
      <c r="J690" s="219"/>
      <c r="K690" s="219"/>
      <c r="L690" s="219"/>
      <c r="M690" s="219"/>
      <c r="N690" s="219"/>
      <c r="O690" s="219"/>
      <c r="P690" s="219"/>
      <c r="Q690" s="219"/>
      <c r="R690" s="220"/>
    </row>
    <row r="691" spans="1:18" ht="15" customHeight="1" x14ac:dyDescent="0.3">
      <c r="A691" s="26" t="s">
        <v>36</v>
      </c>
      <c r="B691" s="26" t="s">
        <v>1114</v>
      </c>
      <c r="C691" s="26">
        <v>0.375</v>
      </c>
      <c r="D691" s="26" t="s">
        <v>38</v>
      </c>
      <c r="E691" s="26" t="s">
        <v>152</v>
      </c>
      <c r="F691" s="26" t="s">
        <v>620</v>
      </c>
      <c r="G691" s="328"/>
      <c r="H691" s="218"/>
      <c r="I691" s="219"/>
      <c r="J691" s="219"/>
      <c r="K691" s="219"/>
      <c r="L691" s="219"/>
      <c r="M691" s="219"/>
      <c r="N691" s="219"/>
      <c r="O691" s="219"/>
      <c r="P691" s="219"/>
      <c r="Q691" s="219"/>
      <c r="R691" s="220"/>
    </row>
    <row r="692" spans="1:18" ht="15" customHeight="1" x14ac:dyDescent="0.3">
      <c r="A692" s="10" t="s">
        <v>36</v>
      </c>
      <c r="B692" s="10" t="s">
        <v>1114</v>
      </c>
      <c r="C692" s="10">
        <v>0.375</v>
      </c>
      <c r="D692" s="10" t="s">
        <v>40</v>
      </c>
      <c r="E692" s="10" t="s">
        <v>84</v>
      </c>
      <c r="F692" s="10" t="s">
        <v>621</v>
      </c>
      <c r="G692" s="328"/>
      <c r="H692" s="218"/>
      <c r="I692" s="219"/>
      <c r="J692" s="219"/>
      <c r="K692" s="219"/>
      <c r="L692" s="219"/>
      <c r="M692" s="219"/>
      <c r="N692" s="219"/>
      <c r="O692" s="219"/>
      <c r="P692" s="219"/>
      <c r="Q692" s="219"/>
      <c r="R692" s="220"/>
    </row>
    <row r="693" spans="1:18" ht="15" customHeight="1" x14ac:dyDescent="0.3">
      <c r="A693" s="10" t="s">
        <v>36</v>
      </c>
      <c r="B693" s="10" t="s">
        <v>1114</v>
      </c>
      <c r="C693" s="10">
        <v>0.375</v>
      </c>
      <c r="D693" s="10" t="s">
        <v>42</v>
      </c>
      <c r="E693" s="10" t="s">
        <v>84</v>
      </c>
      <c r="F693" s="10" t="s">
        <v>622</v>
      </c>
      <c r="G693" s="328"/>
      <c r="H693" s="218"/>
      <c r="I693" s="219"/>
      <c r="J693" s="219"/>
      <c r="K693" s="219"/>
      <c r="L693" s="219"/>
      <c r="M693" s="219"/>
      <c r="N693" s="219"/>
      <c r="O693" s="219"/>
      <c r="P693" s="219"/>
      <c r="Q693" s="219"/>
      <c r="R693" s="220"/>
    </row>
    <row r="694" spans="1:18" ht="15" customHeight="1" x14ac:dyDescent="0.3">
      <c r="A694" s="26" t="s">
        <v>36</v>
      </c>
      <c r="B694" s="26" t="s">
        <v>1118</v>
      </c>
      <c r="C694" s="26">
        <v>0.42708333333333331</v>
      </c>
      <c r="D694" s="26" t="s">
        <v>38</v>
      </c>
      <c r="E694" s="26" t="s">
        <v>87</v>
      </c>
      <c r="F694" s="26" t="s">
        <v>620</v>
      </c>
      <c r="G694" s="328"/>
      <c r="H694" s="218"/>
      <c r="I694" s="219"/>
      <c r="J694" s="219"/>
      <c r="K694" s="219"/>
      <c r="L694" s="219"/>
      <c r="M694" s="219"/>
      <c r="N694" s="219"/>
      <c r="O694" s="219"/>
      <c r="P694" s="219"/>
      <c r="Q694" s="219"/>
      <c r="R694" s="220"/>
    </row>
    <row r="695" spans="1:18" ht="15" customHeight="1" x14ac:dyDescent="0.3">
      <c r="A695" s="10" t="s">
        <v>36</v>
      </c>
      <c r="B695" s="10" t="s">
        <v>1118</v>
      </c>
      <c r="C695" s="10">
        <v>0.42708333333333331</v>
      </c>
      <c r="D695" s="10" t="s">
        <v>40</v>
      </c>
      <c r="E695" s="10" t="s">
        <v>32</v>
      </c>
      <c r="F695" s="10" t="s">
        <v>621</v>
      </c>
      <c r="G695" s="328"/>
      <c r="H695" s="218"/>
      <c r="I695" s="219"/>
      <c r="J695" s="219"/>
      <c r="K695" s="219"/>
      <c r="L695" s="219"/>
      <c r="M695" s="219"/>
      <c r="N695" s="219"/>
      <c r="O695" s="219"/>
      <c r="P695" s="219"/>
      <c r="Q695" s="219"/>
      <c r="R695" s="220"/>
    </row>
    <row r="696" spans="1:18" ht="15" customHeight="1" x14ac:dyDescent="0.3">
      <c r="A696" s="10" t="s">
        <v>36</v>
      </c>
      <c r="B696" s="10" t="s">
        <v>1118</v>
      </c>
      <c r="C696" s="10">
        <v>0.42708333333333331</v>
      </c>
      <c r="D696" s="10" t="s">
        <v>42</v>
      </c>
      <c r="E696" s="10" t="s">
        <v>32</v>
      </c>
      <c r="F696" s="10" t="s">
        <v>622</v>
      </c>
      <c r="G696" s="328"/>
      <c r="H696" s="218"/>
      <c r="I696" s="219"/>
      <c r="J696" s="219"/>
      <c r="K696" s="219"/>
      <c r="L696" s="219"/>
      <c r="M696" s="219"/>
      <c r="N696" s="219"/>
      <c r="O696" s="219"/>
      <c r="P696" s="219"/>
      <c r="Q696" s="219"/>
      <c r="R696" s="220"/>
    </row>
    <row r="697" spans="1:18" ht="15" customHeight="1" x14ac:dyDescent="0.3">
      <c r="A697" s="26" t="s">
        <v>36</v>
      </c>
      <c r="B697" s="26" t="s">
        <v>1115</v>
      </c>
      <c r="C697" s="26">
        <v>0.56597222222222221</v>
      </c>
      <c r="D697" s="26" t="s">
        <v>38</v>
      </c>
      <c r="E697" s="26" t="s">
        <v>54</v>
      </c>
      <c r="F697" s="26" t="s">
        <v>515</v>
      </c>
      <c r="G697" s="328"/>
      <c r="H697" s="218"/>
      <c r="I697" s="219"/>
      <c r="J697" s="219"/>
      <c r="K697" s="219"/>
      <c r="L697" s="219"/>
      <c r="M697" s="219"/>
      <c r="N697" s="219"/>
      <c r="O697" s="219"/>
      <c r="P697" s="219"/>
      <c r="Q697" s="219"/>
      <c r="R697" s="220"/>
    </row>
    <row r="698" spans="1:18" ht="15" customHeight="1" x14ac:dyDescent="0.3">
      <c r="A698" s="10" t="s">
        <v>36</v>
      </c>
      <c r="B698" s="10" t="s">
        <v>1115</v>
      </c>
      <c r="C698" s="10">
        <v>0.56597222222222221</v>
      </c>
      <c r="D698" s="10" t="s">
        <v>40</v>
      </c>
      <c r="E698" s="10" t="s">
        <v>161</v>
      </c>
      <c r="F698" s="10" t="s">
        <v>440</v>
      </c>
      <c r="G698" s="328"/>
      <c r="H698" s="218"/>
      <c r="I698" s="219"/>
      <c r="J698" s="219"/>
      <c r="K698" s="219"/>
      <c r="L698" s="219"/>
      <c r="M698" s="219"/>
      <c r="N698" s="219"/>
      <c r="O698" s="219"/>
      <c r="P698" s="219"/>
      <c r="Q698" s="219"/>
      <c r="R698" s="220"/>
    </row>
    <row r="699" spans="1:18" ht="15" customHeight="1" x14ac:dyDescent="0.3">
      <c r="A699" s="10" t="s">
        <v>36</v>
      </c>
      <c r="B699" s="10" t="s">
        <v>1115</v>
      </c>
      <c r="C699" s="10">
        <v>0.56597222222222221</v>
      </c>
      <c r="D699" s="10" t="s">
        <v>42</v>
      </c>
      <c r="E699" s="10" t="s">
        <v>161</v>
      </c>
      <c r="F699" s="10" t="s">
        <v>554</v>
      </c>
      <c r="G699" s="328"/>
      <c r="H699" s="218"/>
      <c r="I699" s="219"/>
      <c r="J699" s="219"/>
      <c r="K699" s="219"/>
      <c r="L699" s="219"/>
      <c r="M699" s="219"/>
      <c r="N699" s="219"/>
      <c r="O699" s="219"/>
      <c r="P699" s="219"/>
      <c r="Q699" s="219"/>
      <c r="R699" s="220"/>
    </row>
    <row r="700" spans="1:18" ht="15" customHeight="1" x14ac:dyDescent="0.3">
      <c r="A700" s="26" t="s">
        <v>36</v>
      </c>
      <c r="B700" s="26" t="s">
        <v>1116</v>
      </c>
      <c r="C700" s="26">
        <v>0.30555555555555552</v>
      </c>
      <c r="D700" s="26" t="s">
        <v>38</v>
      </c>
      <c r="E700" s="26" t="s">
        <v>87</v>
      </c>
      <c r="F700" s="26" t="s">
        <v>515</v>
      </c>
      <c r="G700" s="328"/>
      <c r="H700" s="218"/>
      <c r="I700" s="219"/>
      <c r="J700" s="219"/>
      <c r="K700" s="219"/>
      <c r="L700" s="219"/>
      <c r="M700" s="219"/>
      <c r="N700" s="219"/>
      <c r="O700" s="219"/>
      <c r="P700" s="219"/>
      <c r="Q700" s="219"/>
      <c r="R700" s="220"/>
    </row>
    <row r="701" spans="1:18" ht="15" customHeight="1" x14ac:dyDescent="0.3">
      <c r="A701" s="10" t="s">
        <v>36</v>
      </c>
      <c r="B701" s="10" t="s">
        <v>1116</v>
      </c>
      <c r="C701" s="10">
        <v>0.30555555555555552</v>
      </c>
      <c r="D701" s="10" t="s">
        <v>40</v>
      </c>
      <c r="E701" s="10" t="s">
        <v>32</v>
      </c>
      <c r="F701" s="10" t="s">
        <v>440</v>
      </c>
      <c r="G701" s="328"/>
      <c r="H701" s="218"/>
      <c r="I701" s="219"/>
      <c r="J701" s="219"/>
      <c r="K701" s="219"/>
      <c r="L701" s="219"/>
      <c r="M701" s="219"/>
      <c r="N701" s="219"/>
      <c r="O701" s="219"/>
      <c r="P701" s="219"/>
      <c r="Q701" s="219"/>
      <c r="R701" s="220"/>
    </row>
    <row r="702" spans="1:18" ht="15" customHeight="1" x14ac:dyDescent="0.3">
      <c r="A702" s="10" t="s">
        <v>36</v>
      </c>
      <c r="B702" s="10" t="s">
        <v>1116</v>
      </c>
      <c r="C702" s="10">
        <v>0.30555555555555552</v>
      </c>
      <c r="D702" s="10" t="s">
        <v>42</v>
      </c>
      <c r="E702" s="10" t="s">
        <v>32</v>
      </c>
      <c r="F702" s="10" t="s">
        <v>554</v>
      </c>
      <c r="G702" s="328"/>
      <c r="H702" s="218"/>
      <c r="I702" s="219"/>
      <c r="J702" s="219"/>
      <c r="K702" s="219"/>
      <c r="L702" s="219"/>
      <c r="M702" s="219"/>
      <c r="N702" s="219"/>
      <c r="O702" s="219"/>
      <c r="P702" s="219"/>
      <c r="Q702" s="219"/>
      <c r="R702" s="220"/>
    </row>
    <row r="703" spans="1:18" ht="15" customHeight="1" x14ac:dyDescent="0.3">
      <c r="A703" s="26" t="s">
        <v>36</v>
      </c>
      <c r="B703" s="26" t="s">
        <v>1113</v>
      </c>
      <c r="C703" s="26">
        <v>0.82638888888888884</v>
      </c>
      <c r="D703" s="26" t="s">
        <v>38</v>
      </c>
      <c r="E703" s="26" t="s">
        <v>114</v>
      </c>
      <c r="F703" s="26" t="s">
        <v>531</v>
      </c>
      <c r="G703" s="328"/>
      <c r="H703" s="218"/>
      <c r="I703" s="219"/>
      <c r="J703" s="219"/>
      <c r="K703" s="219"/>
      <c r="L703" s="219"/>
      <c r="M703" s="219"/>
      <c r="N703" s="219"/>
      <c r="O703" s="219"/>
      <c r="P703" s="219"/>
      <c r="Q703" s="219"/>
      <c r="R703" s="220"/>
    </row>
    <row r="704" spans="1:18" ht="15" customHeight="1" x14ac:dyDescent="0.3">
      <c r="A704" s="10" t="s">
        <v>36</v>
      </c>
      <c r="B704" s="10" t="s">
        <v>1113</v>
      </c>
      <c r="C704" s="10">
        <v>0.82638888888888884</v>
      </c>
      <c r="D704" s="10" t="s">
        <v>40</v>
      </c>
      <c r="E704" s="10" t="s">
        <v>115</v>
      </c>
      <c r="F704" s="10" t="s">
        <v>499</v>
      </c>
      <c r="G704" s="328"/>
      <c r="H704" s="218"/>
      <c r="I704" s="219"/>
      <c r="J704" s="219"/>
      <c r="K704" s="219"/>
      <c r="L704" s="219"/>
      <c r="M704" s="219"/>
      <c r="N704" s="219"/>
      <c r="O704" s="219"/>
      <c r="P704" s="219"/>
      <c r="Q704" s="219"/>
      <c r="R704" s="220"/>
    </row>
    <row r="705" spans="1:18" ht="15" customHeight="1" x14ac:dyDescent="0.3">
      <c r="A705" s="10" t="s">
        <v>36</v>
      </c>
      <c r="B705" s="10" t="s">
        <v>1113</v>
      </c>
      <c r="C705" s="10">
        <v>0.82638888888888884</v>
      </c>
      <c r="D705" s="10" t="s">
        <v>42</v>
      </c>
      <c r="E705" s="10" t="s">
        <v>115</v>
      </c>
      <c r="F705" s="10" t="s">
        <v>1232</v>
      </c>
      <c r="G705" s="328"/>
      <c r="H705" s="218"/>
      <c r="I705" s="219"/>
      <c r="J705" s="219"/>
      <c r="K705" s="219"/>
      <c r="L705" s="219"/>
      <c r="M705" s="219"/>
      <c r="N705" s="219"/>
      <c r="O705" s="219"/>
      <c r="P705" s="219"/>
      <c r="Q705" s="219"/>
      <c r="R705" s="220"/>
    </row>
    <row r="706" spans="1:18" ht="15" customHeight="1" x14ac:dyDescent="0.3">
      <c r="A706" s="26" t="s">
        <v>36</v>
      </c>
      <c r="B706" s="26" t="s">
        <v>1117</v>
      </c>
      <c r="C706" s="26">
        <v>0.6875</v>
      </c>
      <c r="D706" s="26" t="s">
        <v>38</v>
      </c>
      <c r="E706" s="26" t="s">
        <v>152</v>
      </c>
      <c r="F706" s="26" t="s">
        <v>531</v>
      </c>
      <c r="G706" s="328"/>
      <c r="H706" s="218"/>
      <c r="I706" s="219"/>
      <c r="J706" s="219"/>
      <c r="K706" s="219"/>
      <c r="L706" s="219"/>
      <c r="M706" s="219"/>
      <c r="N706" s="219"/>
      <c r="O706" s="219"/>
      <c r="P706" s="219"/>
      <c r="Q706" s="219"/>
      <c r="R706" s="220"/>
    </row>
    <row r="707" spans="1:18" ht="15" customHeight="1" x14ac:dyDescent="0.3">
      <c r="A707" s="10" t="s">
        <v>36</v>
      </c>
      <c r="B707" s="10" t="s">
        <v>1117</v>
      </c>
      <c r="C707" s="10">
        <v>0.6875</v>
      </c>
      <c r="D707" s="10" t="s">
        <v>40</v>
      </c>
      <c r="E707" s="10" t="s">
        <v>84</v>
      </c>
      <c r="F707" s="10" t="s">
        <v>499</v>
      </c>
      <c r="G707" s="328"/>
      <c r="H707" s="218"/>
      <c r="I707" s="219"/>
      <c r="J707" s="219"/>
      <c r="K707" s="219"/>
      <c r="L707" s="219"/>
      <c r="M707" s="219"/>
      <c r="N707" s="219"/>
      <c r="O707" s="219"/>
      <c r="P707" s="219"/>
      <c r="Q707" s="219"/>
      <c r="R707" s="220"/>
    </row>
    <row r="708" spans="1:18" ht="15" customHeight="1" x14ac:dyDescent="0.3">
      <c r="A708" s="10" t="s">
        <v>36</v>
      </c>
      <c r="B708" s="10" t="s">
        <v>1117</v>
      </c>
      <c r="C708" s="10">
        <v>0.6875</v>
      </c>
      <c r="D708" s="10" t="s">
        <v>42</v>
      </c>
      <c r="E708" s="10" t="s">
        <v>84</v>
      </c>
      <c r="F708" s="10" t="s">
        <v>1232</v>
      </c>
      <c r="G708" s="328"/>
      <c r="H708" s="218"/>
      <c r="I708" s="219"/>
      <c r="J708" s="219"/>
      <c r="K708" s="219"/>
      <c r="L708" s="219"/>
      <c r="M708" s="219"/>
      <c r="N708" s="219"/>
      <c r="O708" s="219"/>
      <c r="P708" s="219"/>
      <c r="Q708" s="219"/>
      <c r="R708" s="220"/>
    </row>
    <row r="709" spans="1:18" ht="15" customHeight="1" x14ac:dyDescent="0.3">
      <c r="A709" s="11" t="s">
        <v>26</v>
      </c>
      <c r="B709" s="11" t="s">
        <v>1107</v>
      </c>
      <c r="C709" s="11">
        <v>0.44791666666666669</v>
      </c>
      <c r="D709" s="11" t="s">
        <v>28</v>
      </c>
      <c r="E709" s="11" t="s">
        <v>1233</v>
      </c>
      <c r="F709" s="11" t="s">
        <v>1216</v>
      </c>
      <c r="G709" s="328"/>
      <c r="H709" s="218"/>
      <c r="I709" s="219"/>
      <c r="J709" s="219"/>
      <c r="K709" s="219"/>
      <c r="L709" s="219"/>
      <c r="M709" s="219"/>
      <c r="N709" s="219"/>
      <c r="O709" s="219"/>
      <c r="P709" s="219"/>
      <c r="Q709" s="219"/>
      <c r="R709" s="220"/>
    </row>
    <row r="710" spans="1:18" ht="15" customHeight="1" x14ac:dyDescent="0.3">
      <c r="A710" s="10" t="s">
        <v>26</v>
      </c>
      <c r="B710" s="10" t="s">
        <v>1107</v>
      </c>
      <c r="C710" s="10">
        <v>0.44791666666666669</v>
      </c>
      <c r="D710" s="10" t="s">
        <v>31</v>
      </c>
      <c r="E710" s="10" t="s">
        <v>600</v>
      </c>
      <c r="F710" s="10" t="s">
        <v>440</v>
      </c>
      <c r="G710" s="328"/>
      <c r="H710" s="218"/>
      <c r="I710" s="219"/>
      <c r="J710" s="219"/>
      <c r="K710" s="219"/>
      <c r="L710" s="219"/>
      <c r="M710" s="219"/>
      <c r="N710" s="219"/>
      <c r="O710" s="219"/>
      <c r="P710" s="219"/>
      <c r="Q710" s="219"/>
      <c r="R710" s="220"/>
    </row>
    <row r="711" spans="1:18" ht="15" customHeight="1" x14ac:dyDescent="0.3">
      <c r="A711" s="10" t="s">
        <v>26</v>
      </c>
      <c r="B711" s="10" t="s">
        <v>1107</v>
      </c>
      <c r="C711" s="10">
        <v>0.44791666666666669</v>
      </c>
      <c r="D711" s="10" t="s">
        <v>34</v>
      </c>
      <c r="E711" s="10" t="s">
        <v>600</v>
      </c>
      <c r="F711" s="10" t="s">
        <v>1103</v>
      </c>
      <c r="G711" s="328"/>
      <c r="H711" s="218"/>
      <c r="I711" s="219"/>
      <c r="J711" s="219"/>
      <c r="K711" s="219"/>
      <c r="L711" s="219"/>
      <c r="M711" s="219"/>
      <c r="N711" s="219"/>
      <c r="O711" s="219"/>
      <c r="P711" s="219"/>
      <c r="Q711" s="219"/>
      <c r="R711" s="220"/>
    </row>
    <row r="712" spans="1:18" ht="15" customHeight="1" x14ac:dyDescent="0.3">
      <c r="A712" s="26" t="s">
        <v>26</v>
      </c>
      <c r="B712" s="26" t="s">
        <v>1104</v>
      </c>
      <c r="C712" s="26">
        <v>0.5</v>
      </c>
      <c r="D712" s="26" t="s">
        <v>28</v>
      </c>
      <c r="E712" s="26" t="s">
        <v>114</v>
      </c>
      <c r="F712" s="26" t="s">
        <v>583</v>
      </c>
      <c r="G712" s="328"/>
      <c r="H712" s="218"/>
      <c r="I712" s="219"/>
      <c r="J712" s="219"/>
      <c r="K712" s="219"/>
      <c r="L712" s="219"/>
      <c r="M712" s="219"/>
      <c r="N712" s="219"/>
      <c r="O712" s="219"/>
      <c r="P712" s="219"/>
      <c r="Q712" s="219"/>
      <c r="R712" s="220"/>
    </row>
    <row r="713" spans="1:18" ht="15" customHeight="1" x14ac:dyDescent="0.3">
      <c r="A713" s="10" t="s">
        <v>26</v>
      </c>
      <c r="B713" s="10" t="s">
        <v>1104</v>
      </c>
      <c r="C713" s="10">
        <v>0.5</v>
      </c>
      <c r="D713" s="10" t="s">
        <v>31</v>
      </c>
      <c r="E713" s="10" t="s">
        <v>115</v>
      </c>
      <c r="F713" s="10" t="s">
        <v>622</v>
      </c>
      <c r="G713" s="328"/>
      <c r="H713" s="218"/>
      <c r="I713" s="219"/>
      <c r="J713" s="219"/>
      <c r="K713" s="219"/>
      <c r="L713" s="219"/>
      <c r="M713" s="219"/>
      <c r="N713" s="219"/>
      <c r="O713" s="219"/>
      <c r="P713" s="219"/>
      <c r="Q713" s="219"/>
      <c r="R713" s="220"/>
    </row>
    <row r="714" spans="1:18" ht="15" customHeight="1" x14ac:dyDescent="0.3">
      <c r="A714" s="10" t="s">
        <v>26</v>
      </c>
      <c r="B714" s="10" t="s">
        <v>1104</v>
      </c>
      <c r="C714" s="10">
        <v>0.5</v>
      </c>
      <c r="D714" s="10" t="s">
        <v>34</v>
      </c>
      <c r="E714" s="10" t="s">
        <v>115</v>
      </c>
      <c r="F714" s="10" t="s">
        <v>1103</v>
      </c>
      <c r="G714" s="328"/>
      <c r="H714" s="218"/>
      <c r="I714" s="219"/>
      <c r="J714" s="219"/>
      <c r="K714" s="219"/>
      <c r="L714" s="219"/>
      <c r="M714" s="219"/>
      <c r="N714" s="219"/>
      <c r="O714" s="219"/>
      <c r="P714" s="219"/>
      <c r="Q714" s="219"/>
      <c r="R714" s="220"/>
    </row>
    <row r="715" spans="1:18" ht="15" customHeight="1" x14ac:dyDescent="0.3">
      <c r="A715" s="26" t="s">
        <v>26</v>
      </c>
      <c r="B715" s="26" t="s">
        <v>1099</v>
      </c>
      <c r="C715" s="26">
        <v>0.76041666666666663</v>
      </c>
      <c r="D715" s="26" t="s">
        <v>28</v>
      </c>
      <c r="E715" s="26" t="s">
        <v>1111</v>
      </c>
      <c r="F715" s="26" t="s">
        <v>531</v>
      </c>
      <c r="G715" s="328"/>
      <c r="H715" s="218"/>
      <c r="I715" s="219"/>
      <c r="J715" s="219"/>
      <c r="K715" s="219"/>
      <c r="L715" s="219"/>
      <c r="M715" s="219"/>
      <c r="N715" s="219"/>
      <c r="O715" s="219"/>
      <c r="P715" s="219"/>
      <c r="Q715" s="219"/>
      <c r="R715" s="220"/>
    </row>
    <row r="716" spans="1:18" ht="15" customHeight="1" x14ac:dyDescent="0.3">
      <c r="A716" s="10" t="s">
        <v>26</v>
      </c>
      <c r="B716" s="10" t="s">
        <v>1099</v>
      </c>
      <c r="C716" s="10">
        <v>0.76041666666666663</v>
      </c>
      <c r="D716" s="10" t="s">
        <v>31</v>
      </c>
      <c r="E716" s="10" t="s">
        <v>1112</v>
      </c>
      <c r="F716" s="10" t="s">
        <v>103</v>
      </c>
      <c r="G716" s="328"/>
      <c r="H716" s="218"/>
      <c r="I716" s="219"/>
      <c r="J716" s="219"/>
      <c r="K716" s="219"/>
      <c r="L716" s="219"/>
      <c r="M716" s="219"/>
      <c r="N716" s="219"/>
      <c r="O716" s="219"/>
      <c r="P716" s="219"/>
      <c r="Q716" s="219"/>
      <c r="R716" s="220"/>
    </row>
    <row r="717" spans="1:18" ht="15" customHeight="1" x14ac:dyDescent="0.3">
      <c r="A717" s="10" t="s">
        <v>26</v>
      </c>
      <c r="B717" s="10" t="s">
        <v>1099</v>
      </c>
      <c r="C717" s="10">
        <v>0.76041666666666663</v>
      </c>
      <c r="D717" s="10" t="s">
        <v>34</v>
      </c>
      <c r="E717" s="10" t="s">
        <v>1112</v>
      </c>
      <c r="F717" s="10" t="s">
        <v>1103</v>
      </c>
      <c r="G717" s="328"/>
      <c r="H717" s="218"/>
      <c r="I717" s="219"/>
      <c r="J717" s="219"/>
      <c r="K717" s="219"/>
      <c r="L717" s="219"/>
      <c r="M717" s="219"/>
      <c r="N717" s="219"/>
      <c r="O717" s="219"/>
      <c r="P717" s="219"/>
      <c r="Q717" s="219"/>
      <c r="R717" s="220"/>
    </row>
    <row r="718" spans="1:18" ht="15" customHeight="1" x14ac:dyDescent="0.3">
      <c r="A718" s="26" t="s">
        <v>26</v>
      </c>
      <c r="B718" s="26" t="s">
        <v>1110</v>
      </c>
      <c r="C718" s="26">
        <v>0.81597222222222221</v>
      </c>
      <c r="D718" s="26" t="s">
        <v>28</v>
      </c>
      <c r="E718" s="26" t="s">
        <v>597</v>
      </c>
      <c r="F718" s="26" t="s">
        <v>531</v>
      </c>
      <c r="G718" s="328"/>
      <c r="H718" s="218"/>
      <c r="I718" s="219"/>
      <c r="J718" s="219"/>
      <c r="K718" s="219"/>
      <c r="L718" s="219"/>
      <c r="M718" s="219"/>
      <c r="N718" s="219"/>
      <c r="O718" s="219"/>
      <c r="P718" s="219"/>
      <c r="Q718" s="219"/>
      <c r="R718" s="220"/>
    </row>
    <row r="719" spans="1:18" ht="15" customHeight="1" x14ac:dyDescent="0.3">
      <c r="A719" s="10" t="s">
        <v>26</v>
      </c>
      <c r="B719" s="10" t="s">
        <v>1110</v>
      </c>
      <c r="C719" s="10">
        <v>0.81597222222222221</v>
      </c>
      <c r="D719" s="10" t="s">
        <v>31</v>
      </c>
      <c r="E719" s="10" t="s">
        <v>598</v>
      </c>
      <c r="F719" s="10" t="s">
        <v>103</v>
      </c>
      <c r="G719" s="328"/>
      <c r="H719" s="218"/>
      <c r="I719" s="219"/>
      <c r="J719" s="219"/>
      <c r="K719" s="219"/>
      <c r="L719" s="219"/>
      <c r="M719" s="219"/>
      <c r="N719" s="219"/>
      <c r="O719" s="219"/>
      <c r="P719" s="219"/>
      <c r="Q719" s="219"/>
      <c r="R719" s="220"/>
    </row>
    <row r="720" spans="1:18" ht="15" customHeight="1" x14ac:dyDescent="0.3">
      <c r="A720" s="10" t="s">
        <v>26</v>
      </c>
      <c r="B720" s="10" t="s">
        <v>1110</v>
      </c>
      <c r="C720" s="10">
        <v>0.81597222222222221</v>
      </c>
      <c r="D720" s="10" t="s">
        <v>34</v>
      </c>
      <c r="E720" s="10" t="s">
        <v>598</v>
      </c>
      <c r="F720" s="10" t="s">
        <v>1103</v>
      </c>
      <c r="G720" s="328"/>
      <c r="H720" s="218"/>
      <c r="I720" s="219"/>
      <c r="J720" s="219"/>
      <c r="K720" s="219"/>
      <c r="L720" s="219"/>
      <c r="M720" s="219"/>
      <c r="N720" s="219"/>
      <c r="O720" s="219"/>
      <c r="P720" s="219"/>
      <c r="Q720" s="219"/>
      <c r="R720" s="220"/>
    </row>
    <row r="721" spans="1:18" ht="15" customHeight="1" x14ac:dyDescent="0.3">
      <c r="A721" s="11" t="s">
        <v>456</v>
      </c>
      <c r="B721" s="11" t="s">
        <v>1150</v>
      </c>
      <c r="C721" s="11">
        <v>0.2361111111111111</v>
      </c>
      <c r="D721" s="11" t="s">
        <v>458</v>
      </c>
      <c r="E721" s="11" t="s">
        <v>123</v>
      </c>
      <c r="F721" s="11" t="s">
        <v>1234</v>
      </c>
      <c r="G721" s="328"/>
      <c r="H721" s="218"/>
      <c r="I721" s="219"/>
      <c r="J721" s="219"/>
      <c r="K721" s="219"/>
      <c r="L721" s="219"/>
      <c r="M721" s="219"/>
      <c r="N721" s="219"/>
      <c r="O721" s="219"/>
      <c r="P721" s="219"/>
      <c r="Q721" s="219"/>
      <c r="R721" s="220"/>
    </row>
    <row r="722" spans="1:18" ht="15" customHeight="1" x14ac:dyDescent="0.3">
      <c r="A722" s="10" t="s">
        <v>456</v>
      </c>
      <c r="B722" s="10" t="s">
        <v>1150</v>
      </c>
      <c r="C722" s="10">
        <v>0.2361111111111111</v>
      </c>
      <c r="D722" s="10" t="s">
        <v>34</v>
      </c>
      <c r="E722" s="10" t="s">
        <v>124</v>
      </c>
      <c r="F722" s="10" t="s">
        <v>1235</v>
      </c>
      <c r="G722" s="328"/>
      <c r="H722" s="218"/>
      <c r="I722" s="219"/>
      <c r="J722" s="219"/>
      <c r="K722" s="219"/>
      <c r="L722" s="219"/>
      <c r="M722" s="219"/>
      <c r="N722" s="219"/>
      <c r="O722" s="219"/>
      <c r="P722" s="219"/>
      <c r="Q722" s="219"/>
      <c r="R722" s="220"/>
    </row>
    <row r="723" spans="1:18" ht="15" customHeight="1" x14ac:dyDescent="0.3">
      <c r="A723" s="11" t="s">
        <v>66</v>
      </c>
      <c r="B723" s="11" t="s">
        <v>1126</v>
      </c>
      <c r="C723" s="11">
        <v>0.16666666666666671</v>
      </c>
      <c r="D723" s="11" t="s">
        <v>829</v>
      </c>
      <c r="E723" s="11" t="s">
        <v>47</v>
      </c>
      <c r="F723" s="11" t="s">
        <v>657</v>
      </c>
      <c r="G723" s="328"/>
      <c r="H723" s="218"/>
      <c r="I723" s="219"/>
      <c r="J723" s="219"/>
      <c r="K723" s="219"/>
      <c r="L723" s="219"/>
      <c r="M723" s="219"/>
      <c r="N723" s="219"/>
      <c r="O723" s="219"/>
      <c r="P723" s="219"/>
      <c r="Q723" s="219"/>
      <c r="R723" s="220"/>
    </row>
    <row r="724" spans="1:18" ht="15" customHeight="1" x14ac:dyDescent="0.3">
      <c r="A724" s="26" t="s">
        <v>66</v>
      </c>
      <c r="B724" s="26" t="s">
        <v>1128</v>
      </c>
      <c r="C724" s="26">
        <v>0.54166666666666663</v>
      </c>
      <c r="D724" s="26" t="s">
        <v>829</v>
      </c>
      <c r="E724" s="26" t="s">
        <v>71</v>
      </c>
      <c r="F724" s="26" t="s">
        <v>657</v>
      </c>
      <c r="G724" s="328"/>
      <c r="H724" s="218"/>
      <c r="I724" s="219"/>
      <c r="J724" s="219"/>
      <c r="K724" s="219"/>
      <c r="L724" s="219"/>
      <c r="M724" s="219"/>
      <c r="N724" s="219"/>
      <c r="O724" s="219"/>
      <c r="P724" s="219"/>
      <c r="Q724" s="219"/>
      <c r="R724" s="220"/>
    </row>
    <row r="725" spans="1:18" ht="15" customHeight="1" x14ac:dyDescent="0.3">
      <c r="A725" s="26" t="s">
        <v>66</v>
      </c>
      <c r="B725" s="26" t="s">
        <v>1130</v>
      </c>
      <c r="C725" s="26">
        <v>0.91666666666666663</v>
      </c>
      <c r="D725" s="26" t="s">
        <v>68</v>
      </c>
      <c r="E725" s="26" t="s">
        <v>71</v>
      </c>
      <c r="F725" s="26" t="s">
        <v>1236</v>
      </c>
      <c r="G725" s="328"/>
      <c r="H725" s="218"/>
      <c r="I725" s="219"/>
      <c r="J725" s="219"/>
      <c r="K725" s="219"/>
      <c r="L725" s="219"/>
      <c r="M725" s="219"/>
      <c r="N725" s="219"/>
      <c r="O725" s="219"/>
      <c r="P725" s="219"/>
      <c r="Q725" s="219"/>
      <c r="R725" s="220"/>
    </row>
    <row r="726" spans="1:18" ht="15" customHeight="1" x14ac:dyDescent="0.3">
      <c r="A726" s="12" t="s">
        <v>44</v>
      </c>
      <c r="B726" s="12" t="s">
        <v>1121</v>
      </c>
      <c r="C726" s="12">
        <v>0.92361111111111116</v>
      </c>
      <c r="D726" s="12" t="s">
        <v>46</v>
      </c>
      <c r="E726" s="12" t="s">
        <v>134</v>
      </c>
      <c r="F726" s="12" t="s">
        <v>1196</v>
      </c>
      <c r="G726" s="328"/>
      <c r="H726" s="239" t="s">
        <v>1122</v>
      </c>
      <c r="I726" s="240">
        <v>9.5200000000000007E-2</v>
      </c>
      <c r="J726" s="241">
        <v>16</v>
      </c>
      <c r="K726" s="242" t="s">
        <v>50</v>
      </c>
      <c r="L726" s="241">
        <v>4</v>
      </c>
      <c r="M726" s="241">
        <v>0</v>
      </c>
      <c r="N726" s="241">
        <v>2</v>
      </c>
      <c r="O726" s="242" t="s">
        <v>547</v>
      </c>
      <c r="P726" s="242">
        <v>0.92361111111111116</v>
      </c>
      <c r="Q726" s="241">
        <v>168</v>
      </c>
      <c r="R726" s="243" t="s">
        <v>1237</v>
      </c>
    </row>
    <row r="727" spans="1:18" ht="15" customHeight="1" x14ac:dyDescent="0.3">
      <c r="A727" s="202" t="s">
        <v>44</v>
      </c>
      <c r="B727" s="202" t="s">
        <v>1154</v>
      </c>
      <c r="C727" s="202">
        <v>0.61111111111111105</v>
      </c>
      <c r="D727" s="202" t="s">
        <v>46</v>
      </c>
      <c r="E727" s="202" t="s">
        <v>71</v>
      </c>
      <c r="F727" s="202" t="s">
        <v>1196</v>
      </c>
      <c r="G727" s="328"/>
      <c r="H727" s="221" t="s">
        <v>1155</v>
      </c>
      <c r="I727" s="286">
        <v>0.13689999999999999</v>
      </c>
      <c r="J727" s="223">
        <v>23</v>
      </c>
      <c r="K727" s="224" t="s">
        <v>63</v>
      </c>
      <c r="L727" s="223">
        <v>8</v>
      </c>
      <c r="M727" s="223">
        <v>0</v>
      </c>
      <c r="N727" s="223">
        <v>0</v>
      </c>
      <c r="O727" s="224" t="s">
        <v>353</v>
      </c>
      <c r="P727" s="224">
        <v>0.61111111111111105</v>
      </c>
      <c r="Q727" s="223">
        <v>168</v>
      </c>
      <c r="R727" s="225" t="s">
        <v>1238</v>
      </c>
    </row>
    <row r="728" spans="1:18" ht="15" customHeight="1" x14ac:dyDescent="0.3">
      <c r="A728" s="11" t="s">
        <v>410</v>
      </c>
      <c r="B728" s="11" t="s">
        <v>1157</v>
      </c>
      <c r="C728" s="11">
        <v>0.80208333333333337</v>
      </c>
      <c r="D728" s="11" t="s">
        <v>46</v>
      </c>
      <c r="E728" s="11" t="s">
        <v>47</v>
      </c>
      <c r="F728" s="11" t="s">
        <v>1168</v>
      </c>
      <c r="G728" s="328"/>
      <c r="H728" s="218"/>
      <c r="I728" s="219"/>
      <c r="J728" s="219"/>
      <c r="K728" s="219"/>
      <c r="L728" s="219"/>
      <c r="M728" s="219"/>
      <c r="N728" s="219"/>
      <c r="O728" s="219"/>
      <c r="P728" s="219"/>
      <c r="Q728" s="219"/>
      <c r="R728" s="220"/>
    </row>
    <row r="729" spans="1:18" ht="15" customHeight="1" x14ac:dyDescent="0.3">
      <c r="A729" s="11" t="s">
        <v>78</v>
      </c>
      <c r="B729" s="11" t="s">
        <v>1135</v>
      </c>
      <c r="C729" s="11">
        <v>0.2986111111111111</v>
      </c>
      <c r="D729" s="11" t="s">
        <v>80</v>
      </c>
      <c r="E729" s="11" t="s">
        <v>47</v>
      </c>
      <c r="F729" s="11" t="s">
        <v>1138</v>
      </c>
      <c r="G729" s="328"/>
      <c r="H729" s="218"/>
      <c r="I729" s="219"/>
      <c r="J729" s="219"/>
      <c r="K729" s="219"/>
      <c r="L729" s="219"/>
      <c r="M729" s="219"/>
      <c r="N729" s="219"/>
      <c r="O729" s="219"/>
      <c r="P729" s="219"/>
      <c r="Q729" s="219"/>
      <c r="R729" s="220"/>
    </row>
    <row r="730" spans="1:18" ht="15" customHeight="1" x14ac:dyDescent="0.3">
      <c r="A730" s="10" t="s">
        <v>78</v>
      </c>
      <c r="B730" s="10" t="s">
        <v>1135</v>
      </c>
      <c r="C730" s="10">
        <v>0.2986111111111111</v>
      </c>
      <c r="D730" s="10" t="s">
        <v>83</v>
      </c>
      <c r="E730" s="10" t="s">
        <v>95</v>
      </c>
      <c r="F730" s="10" t="s">
        <v>1139</v>
      </c>
      <c r="G730" s="328"/>
      <c r="H730" s="218"/>
      <c r="I730" s="219"/>
      <c r="J730" s="219"/>
      <c r="K730" s="219"/>
      <c r="L730" s="219"/>
      <c r="M730" s="219"/>
      <c r="N730" s="219"/>
      <c r="O730" s="219"/>
      <c r="P730" s="219"/>
      <c r="Q730" s="219"/>
      <c r="R730" s="220"/>
    </row>
    <row r="731" spans="1:18" ht="15" customHeight="1" x14ac:dyDescent="0.3">
      <c r="A731" s="26" t="s">
        <v>78</v>
      </c>
      <c r="B731" s="26" t="s">
        <v>1137</v>
      </c>
      <c r="C731" s="26">
        <v>0.83680555555555547</v>
      </c>
      <c r="D731" s="26" t="s">
        <v>80</v>
      </c>
      <c r="E731" s="26" t="s">
        <v>71</v>
      </c>
      <c r="F731" s="26" t="s">
        <v>1239</v>
      </c>
      <c r="G731" s="328"/>
      <c r="H731" s="218"/>
      <c r="I731" s="219"/>
      <c r="J731" s="219"/>
      <c r="K731" s="219"/>
      <c r="L731" s="219"/>
      <c r="M731" s="219"/>
      <c r="N731" s="219"/>
      <c r="O731" s="219"/>
      <c r="P731" s="219"/>
      <c r="Q731" s="219"/>
      <c r="R731" s="220"/>
    </row>
    <row r="732" spans="1:18" ht="15" customHeight="1" x14ac:dyDescent="0.3">
      <c r="A732" s="10" t="s">
        <v>78</v>
      </c>
      <c r="B732" s="10" t="s">
        <v>1137</v>
      </c>
      <c r="C732" s="10">
        <v>0.83680555555555547</v>
      </c>
      <c r="D732" s="10" t="s">
        <v>83</v>
      </c>
      <c r="E732" s="10" t="s">
        <v>95</v>
      </c>
      <c r="F732" s="10" t="s">
        <v>1240</v>
      </c>
      <c r="G732" s="328"/>
      <c r="H732" s="218"/>
      <c r="I732" s="219"/>
      <c r="J732" s="219"/>
      <c r="K732" s="219"/>
      <c r="L732" s="219"/>
      <c r="M732" s="219"/>
      <c r="N732" s="219"/>
      <c r="O732" s="219"/>
      <c r="P732" s="219"/>
      <c r="Q732" s="219"/>
      <c r="R732" s="220"/>
    </row>
    <row r="733" spans="1:18" ht="15" customHeight="1" x14ac:dyDescent="0.3">
      <c r="A733" s="26" t="s">
        <v>78</v>
      </c>
      <c r="B733" s="26" t="s">
        <v>1136</v>
      </c>
      <c r="C733" s="26">
        <v>0.4826388888888889</v>
      </c>
      <c r="D733" s="26" t="s">
        <v>80</v>
      </c>
      <c r="E733" s="26" t="s">
        <v>71</v>
      </c>
      <c r="F733" s="26" t="s">
        <v>1239</v>
      </c>
      <c r="G733" s="328"/>
      <c r="H733" s="218"/>
      <c r="I733" s="219"/>
      <c r="J733" s="219"/>
      <c r="K733" s="219"/>
      <c r="L733" s="219"/>
      <c r="M733" s="219"/>
      <c r="N733" s="219"/>
      <c r="O733" s="219"/>
      <c r="P733" s="219"/>
      <c r="Q733" s="219"/>
      <c r="R733" s="220"/>
    </row>
    <row r="734" spans="1:18" ht="15" customHeight="1" x14ac:dyDescent="0.3">
      <c r="A734" s="10" t="s">
        <v>78</v>
      </c>
      <c r="B734" s="10" t="s">
        <v>1136</v>
      </c>
      <c r="C734" s="10">
        <v>0.4826388888888889</v>
      </c>
      <c r="D734" s="10" t="s">
        <v>83</v>
      </c>
      <c r="E734" s="10" t="s">
        <v>95</v>
      </c>
      <c r="F734" s="10" t="s">
        <v>1240</v>
      </c>
      <c r="G734" s="328"/>
      <c r="H734" s="218"/>
      <c r="I734" s="219"/>
      <c r="J734" s="219"/>
      <c r="K734" s="219"/>
      <c r="L734" s="219"/>
      <c r="M734" s="219"/>
      <c r="N734" s="219"/>
      <c r="O734" s="219"/>
      <c r="P734" s="219"/>
      <c r="Q734" s="219"/>
      <c r="R734" s="220"/>
    </row>
    <row r="735" spans="1:18" ht="15" customHeight="1" x14ac:dyDescent="0.3">
      <c r="A735" s="26" t="s">
        <v>78</v>
      </c>
      <c r="B735" s="26" t="s">
        <v>1140</v>
      </c>
      <c r="C735" s="26">
        <v>0.5</v>
      </c>
      <c r="D735" s="26" t="s">
        <v>83</v>
      </c>
      <c r="E735" s="26" t="s">
        <v>87</v>
      </c>
      <c r="F735" s="26" t="s">
        <v>1206</v>
      </c>
      <c r="G735" s="328"/>
      <c r="H735" s="218"/>
      <c r="I735" s="219"/>
      <c r="J735" s="219"/>
      <c r="K735" s="219"/>
      <c r="L735" s="219"/>
      <c r="M735" s="219"/>
      <c r="N735" s="219"/>
      <c r="O735" s="219"/>
      <c r="P735" s="219"/>
      <c r="Q735" s="219"/>
      <c r="R735" s="220"/>
    </row>
    <row r="736" spans="1:18" ht="15" customHeight="1" x14ac:dyDescent="0.3">
      <c r="A736" s="26" t="s">
        <v>78</v>
      </c>
      <c r="B736" s="26" t="s">
        <v>1134</v>
      </c>
      <c r="C736" s="26">
        <v>0.68402777777777779</v>
      </c>
      <c r="D736" s="26" t="s">
        <v>80</v>
      </c>
      <c r="E736" s="26" t="s">
        <v>71</v>
      </c>
      <c r="F736" s="26" t="s">
        <v>1241</v>
      </c>
      <c r="G736" s="328"/>
      <c r="H736" s="218"/>
      <c r="I736" s="219"/>
      <c r="J736" s="219"/>
      <c r="K736" s="219"/>
      <c r="L736" s="219"/>
      <c r="M736" s="219"/>
      <c r="N736" s="219"/>
      <c r="O736" s="219"/>
      <c r="P736" s="219"/>
      <c r="Q736" s="219"/>
      <c r="R736" s="220"/>
    </row>
    <row r="737" spans="1:18" ht="15" customHeight="1" x14ac:dyDescent="0.3">
      <c r="A737" s="10" t="s">
        <v>78</v>
      </c>
      <c r="B737" s="10" t="s">
        <v>1134</v>
      </c>
      <c r="C737" s="10">
        <v>0.68402777777777779</v>
      </c>
      <c r="D737" s="10" t="s">
        <v>83</v>
      </c>
      <c r="E737" s="10" t="s">
        <v>95</v>
      </c>
      <c r="F737" s="10" t="s">
        <v>1242</v>
      </c>
      <c r="G737" s="328"/>
      <c r="H737" s="218"/>
      <c r="I737" s="219"/>
      <c r="J737" s="219"/>
      <c r="K737" s="219"/>
      <c r="L737" s="219"/>
      <c r="M737" s="219"/>
      <c r="N737" s="219"/>
      <c r="O737" s="219"/>
      <c r="P737" s="219"/>
      <c r="Q737" s="219"/>
      <c r="R737" s="220"/>
    </row>
    <row r="738" spans="1:18" ht="15" customHeight="1" x14ac:dyDescent="0.3">
      <c r="A738" s="26" t="s">
        <v>78</v>
      </c>
      <c r="B738" s="26" t="s">
        <v>1142</v>
      </c>
      <c r="C738" s="26">
        <v>0.76041666666666663</v>
      </c>
      <c r="D738" s="26" t="s">
        <v>83</v>
      </c>
      <c r="E738" s="26" t="s">
        <v>87</v>
      </c>
      <c r="F738" s="26" t="s">
        <v>1243</v>
      </c>
      <c r="G738" s="328"/>
      <c r="H738" s="218"/>
      <c r="I738" s="219"/>
      <c r="J738" s="219"/>
      <c r="K738" s="219"/>
      <c r="L738" s="219"/>
      <c r="M738" s="219"/>
      <c r="N738" s="219"/>
      <c r="O738" s="219"/>
      <c r="P738" s="219"/>
      <c r="Q738" s="219"/>
      <c r="R738" s="220"/>
    </row>
    <row r="739" spans="1:18" ht="15" customHeight="1" x14ac:dyDescent="0.3">
      <c r="A739" s="31" t="s">
        <v>78</v>
      </c>
      <c r="B739" s="31" t="s">
        <v>1143</v>
      </c>
      <c r="C739" s="31">
        <v>0.81597222222222221</v>
      </c>
      <c r="D739" s="31" t="s">
        <v>83</v>
      </c>
      <c r="E739" s="31" t="s">
        <v>87</v>
      </c>
      <c r="F739" s="31" t="s">
        <v>1243</v>
      </c>
      <c r="G739" s="328"/>
      <c r="H739" s="231"/>
      <c r="I739" s="232"/>
      <c r="J739" s="232"/>
      <c r="K739" s="232"/>
      <c r="L739" s="232"/>
      <c r="M739" s="232"/>
      <c r="N739" s="232"/>
      <c r="O739" s="232"/>
      <c r="P739" s="232"/>
      <c r="Q739" s="232"/>
      <c r="R739" s="233"/>
    </row>
  </sheetData>
  <mergeCells count="70">
    <mergeCell ref="G688:G739"/>
    <mergeCell ref="G486:G537"/>
    <mergeCell ref="G349:G367"/>
    <mergeCell ref="A225:R225"/>
    <mergeCell ref="A638:R638"/>
    <mergeCell ref="A325:R325"/>
    <mergeCell ref="H347:R347"/>
    <mergeCell ref="A429:F429"/>
    <mergeCell ref="K2:R2"/>
    <mergeCell ref="G541:G595"/>
    <mergeCell ref="H410:R410"/>
    <mergeCell ref="A270:F270"/>
    <mergeCell ref="G371:G408"/>
    <mergeCell ref="H369:R369"/>
    <mergeCell ref="H326:R326"/>
    <mergeCell ref="A226:F226"/>
    <mergeCell ref="H484:R484"/>
    <mergeCell ref="A539:F539"/>
    <mergeCell ref="A59:R59"/>
    <mergeCell ref="A60:F60"/>
    <mergeCell ref="G272:G324"/>
    <mergeCell ref="G328:G345"/>
    <mergeCell ref="A368:R368"/>
    <mergeCell ref="G174:G224"/>
    <mergeCell ref="H686:R686"/>
    <mergeCell ref="A269:R269"/>
    <mergeCell ref="H639:R639"/>
    <mergeCell ref="H60:R60"/>
    <mergeCell ref="H226:R226"/>
    <mergeCell ref="A483:R483"/>
    <mergeCell ref="A597:F597"/>
    <mergeCell ref="G599:G637"/>
    <mergeCell ref="A171:R171"/>
    <mergeCell ref="A538:R538"/>
    <mergeCell ref="H539:R539"/>
    <mergeCell ref="A686:F686"/>
    <mergeCell ref="A115:R115"/>
    <mergeCell ref="H429:R429"/>
    <mergeCell ref="A347:F347"/>
    <mergeCell ref="H597:R597"/>
    <mergeCell ref="A685:R685"/>
    <mergeCell ref="A428:R428"/>
    <mergeCell ref="A116:F116"/>
    <mergeCell ref="G228:G268"/>
    <mergeCell ref="H270:R270"/>
    <mergeCell ref="A639:F639"/>
    <mergeCell ref="H116:R116"/>
    <mergeCell ref="H172:R172"/>
    <mergeCell ref="H1:L1"/>
    <mergeCell ref="A1:E1"/>
    <mergeCell ref="A369:F369"/>
    <mergeCell ref="A484:F484"/>
    <mergeCell ref="G62:G114"/>
    <mergeCell ref="G6:G58"/>
    <mergeCell ref="H4:R4"/>
    <mergeCell ref="G431:G482"/>
    <mergeCell ref="G118:G170"/>
    <mergeCell ref="A409:R409"/>
    <mergeCell ref="A2:F2"/>
    <mergeCell ref="A3:R3"/>
    <mergeCell ref="G412:G427"/>
    <mergeCell ref="G2:J2"/>
    <mergeCell ref="A4:F4"/>
    <mergeCell ref="N1:R1"/>
    <mergeCell ref="A172:F172"/>
    <mergeCell ref="A346:R346"/>
    <mergeCell ref="G641:G684"/>
    <mergeCell ref="A410:F410"/>
    <mergeCell ref="A326:F326"/>
    <mergeCell ref="A596:R59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23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33203125" style="343" bestFit="1" customWidth="1"/>
    <col min="6" max="6" width="4.21875" style="343" bestFit="1" customWidth="1"/>
    <col min="7" max="7" width="10" style="343" bestFit="1" customWidth="1"/>
    <col min="8" max="8" width="8.5546875" style="343" bestFit="1" customWidth="1"/>
    <col min="9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9" width="3.8867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1122</v>
      </c>
      <c r="D2" s="347" t="s">
        <v>1244</v>
      </c>
      <c r="E2" s="346" t="s">
        <v>1098</v>
      </c>
      <c r="F2" s="346" t="s">
        <v>214</v>
      </c>
      <c r="G2" s="348">
        <v>0.625</v>
      </c>
      <c r="H2" s="349">
        <v>168</v>
      </c>
      <c r="I2" s="349">
        <v>105</v>
      </c>
      <c r="J2" s="349">
        <v>0</v>
      </c>
      <c r="K2" s="346" t="s">
        <v>215</v>
      </c>
      <c r="L2" s="350" t="s">
        <v>175</v>
      </c>
      <c r="M2" s="349">
        <v>4</v>
      </c>
      <c r="N2" s="349">
        <v>13</v>
      </c>
      <c r="O2" s="349">
        <v>44</v>
      </c>
      <c r="P2" s="346" t="s">
        <v>237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244</v>
      </c>
      <c r="AA2" s="342"/>
      <c r="AB2" s="342"/>
      <c r="AC2" s="342"/>
      <c r="AD2" s="349" t="s">
        <v>543</v>
      </c>
      <c r="AE2" s="349" t="s">
        <v>684</v>
      </c>
      <c r="AF2" s="349" t="s">
        <v>1245</v>
      </c>
      <c r="AG2" s="342"/>
      <c r="AH2" s="342"/>
      <c r="AI2" s="342"/>
      <c r="AJ2" s="342"/>
    </row>
    <row r="3" spans="1:36" x14ac:dyDescent="0.3">
      <c r="A3" s="344" t="s">
        <v>331</v>
      </c>
      <c r="B3" s="345">
        <v>45987</v>
      </c>
      <c r="C3" s="346" t="s">
        <v>1155</v>
      </c>
      <c r="D3" s="347" t="s">
        <v>1246</v>
      </c>
      <c r="E3" s="346" t="s">
        <v>1098</v>
      </c>
      <c r="F3" s="346" t="s">
        <v>214</v>
      </c>
      <c r="G3" s="348">
        <v>0.53569999999999995</v>
      </c>
      <c r="H3" s="349">
        <v>168</v>
      </c>
      <c r="I3" s="349">
        <v>90</v>
      </c>
      <c r="J3" s="349">
        <v>0</v>
      </c>
      <c r="K3" s="346" t="s">
        <v>215</v>
      </c>
      <c r="L3" s="350" t="s">
        <v>175</v>
      </c>
      <c r="M3" s="349">
        <v>2</v>
      </c>
      <c r="N3" s="349">
        <v>14</v>
      </c>
      <c r="O3" s="349">
        <v>39</v>
      </c>
      <c r="P3" s="346" t="s">
        <v>237</v>
      </c>
      <c r="Q3" s="342"/>
      <c r="R3" s="342"/>
      <c r="S3" s="342"/>
      <c r="T3" s="342"/>
      <c r="U3" s="342"/>
      <c r="V3" s="349" t="s">
        <v>1247</v>
      </c>
      <c r="W3" s="342"/>
      <c r="X3" s="342"/>
      <c r="Y3" s="342"/>
      <c r="Z3" s="342"/>
      <c r="AA3" s="342"/>
      <c r="AB3" s="342"/>
      <c r="AC3" s="342"/>
      <c r="AD3" s="342"/>
      <c r="AE3" s="349" t="s">
        <v>732</v>
      </c>
      <c r="AF3" s="349" t="s">
        <v>1248</v>
      </c>
      <c r="AG3" s="342"/>
      <c r="AH3" s="342"/>
      <c r="AI3" s="342"/>
      <c r="AJ3" s="342"/>
    </row>
    <row r="4" spans="1:36" x14ac:dyDescent="0.3">
      <c r="A4" s="344" t="s">
        <v>331</v>
      </c>
      <c r="B4" s="345">
        <v>45987</v>
      </c>
      <c r="C4" s="346" t="s">
        <v>1122</v>
      </c>
      <c r="D4" s="347" t="s">
        <v>1249</v>
      </c>
      <c r="E4" s="346" t="s">
        <v>1098</v>
      </c>
      <c r="F4" s="346" t="s">
        <v>214</v>
      </c>
      <c r="G4" s="348">
        <v>0.44640000000000002</v>
      </c>
      <c r="H4" s="349">
        <v>168</v>
      </c>
      <c r="I4" s="349">
        <v>75</v>
      </c>
      <c r="J4" s="349">
        <v>0</v>
      </c>
      <c r="K4" s="346" t="s">
        <v>215</v>
      </c>
      <c r="L4" s="350" t="s">
        <v>175</v>
      </c>
      <c r="M4" s="349">
        <v>8</v>
      </c>
      <c r="N4" s="349">
        <v>15</v>
      </c>
      <c r="O4" s="349">
        <v>53</v>
      </c>
      <c r="P4" s="346" t="s">
        <v>237</v>
      </c>
      <c r="Q4" s="342"/>
      <c r="R4" s="342"/>
      <c r="S4" s="342"/>
      <c r="T4" s="342"/>
      <c r="U4" s="349" t="s">
        <v>231</v>
      </c>
      <c r="V4" s="349" t="s">
        <v>757</v>
      </c>
      <c r="W4" s="342"/>
      <c r="X4" s="342"/>
      <c r="Y4" s="342"/>
      <c r="Z4" s="349" t="s">
        <v>244</v>
      </c>
      <c r="AA4" s="349" t="s">
        <v>705</v>
      </c>
      <c r="AB4" s="342"/>
      <c r="AC4" s="342"/>
      <c r="AD4" s="342"/>
      <c r="AE4" s="342"/>
      <c r="AF4" s="349" t="s">
        <v>1250</v>
      </c>
      <c r="AG4" s="342"/>
      <c r="AH4" s="342"/>
      <c r="AI4" s="342"/>
      <c r="AJ4" s="342"/>
    </row>
    <row r="5" spans="1:36" x14ac:dyDescent="0.3">
      <c r="A5" s="344" t="s">
        <v>240</v>
      </c>
      <c r="B5" s="345">
        <v>45988</v>
      </c>
      <c r="C5" s="346" t="s">
        <v>1155</v>
      </c>
      <c r="D5" s="347" t="s">
        <v>1246</v>
      </c>
      <c r="E5" s="346" t="s">
        <v>1098</v>
      </c>
      <c r="F5" s="346" t="s">
        <v>214</v>
      </c>
      <c r="G5" s="348">
        <v>0.54759999999999998</v>
      </c>
      <c r="H5" s="349">
        <v>168</v>
      </c>
      <c r="I5" s="349">
        <v>92</v>
      </c>
      <c r="J5" s="349">
        <v>0</v>
      </c>
      <c r="K5" s="346" t="s">
        <v>215</v>
      </c>
      <c r="L5" s="350" t="s">
        <v>175</v>
      </c>
      <c r="M5" s="349">
        <v>2</v>
      </c>
      <c r="N5" s="349">
        <v>4</v>
      </c>
      <c r="O5" s="349">
        <v>20</v>
      </c>
      <c r="P5" s="346" t="s">
        <v>364</v>
      </c>
      <c r="Q5" s="342"/>
      <c r="R5" s="342"/>
      <c r="S5" s="342"/>
      <c r="T5" s="342"/>
      <c r="U5" s="342"/>
      <c r="V5" s="349" t="s">
        <v>1251</v>
      </c>
      <c r="W5" s="342"/>
      <c r="X5" s="342"/>
      <c r="Y5" s="342"/>
      <c r="Z5" s="349" t="s">
        <v>333</v>
      </c>
      <c r="AA5" s="349" t="s">
        <v>738</v>
      </c>
      <c r="AB5" s="342"/>
      <c r="AC5" s="349" t="s">
        <v>563</v>
      </c>
      <c r="AD5" s="349" t="s">
        <v>739</v>
      </c>
      <c r="AE5" s="349" t="s">
        <v>228</v>
      </c>
      <c r="AF5" s="349" t="s">
        <v>1252</v>
      </c>
      <c r="AG5" s="342"/>
      <c r="AH5" s="342"/>
      <c r="AI5" s="342"/>
      <c r="AJ5" s="342"/>
    </row>
    <row r="6" spans="1:36" x14ac:dyDescent="0.3">
      <c r="A6" s="344" t="s">
        <v>724</v>
      </c>
      <c r="B6" s="345">
        <v>45989</v>
      </c>
      <c r="C6" s="346" t="s">
        <v>1155</v>
      </c>
      <c r="D6" s="347" t="s">
        <v>933</v>
      </c>
      <c r="E6" s="346" t="s">
        <v>1098</v>
      </c>
      <c r="F6" s="346" t="s">
        <v>214</v>
      </c>
      <c r="G6" s="348">
        <v>0.48809999999999998</v>
      </c>
      <c r="H6" s="349">
        <v>168</v>
      </c>
      <c r="I6" s="349">
        <v>82</v>
      </c>
      <c r="J6" s="349">
        <v>0</v>
      </c>
      <c r="K6" s="346" t="s">
        <v>215</v>
      </c>
      <c r="L6" s="350" t="s">
        <v>175</v>
      </c>
      <c r="M6" s="349">
        <v>6</v>
      </c>
      <c r="N6" s="349">
        <v>6</v>
      </c>
      <c r="O6" s="349">
        <v>37</v>
      </c>
      <c r="P6" s="346" t="s">
        <v>394</v>
      </c>
      <c r="Q6" s="342"/>
      <c r="R6" s="342"/>
      <c r="S6" s="342"/>
      <c r="T6" s="342"/>
      <c r="U6" s="342"/>
      <c r="V6" s="349" t="s">
        <v>757</v>
      </c>
      <c r="W6" s="342"/>
      <c r="X6" s="342"/>
      <c r="Y6" s="342"/>
      <c r="Z6" s="349" t="s">
        <v>244</v>
      </c>
      <c r="AA6" s="342"/>
      <c r="AB6" s="342"/>
      <c r="AC6" s="342"/>
      <c r="AD6" s="349" t="s">
        <v>543</v>
      </c>
      <c r="AE6" s="349" t="s">
        <v>737</v>
      </c>
      <c r="AF6" s="349" t="s">
        <v>703</v>
      </c>
      <c r="AG6" s="342"/>
      <c r="AH6" s="342"/>
      <c r="AI6" s="342"/>
      <c r="AJ6" s="342"/>
    </row>
    <row r="7" spans="1:36" x14ac:dyDescent="0.3">
      <c r="A7" s="344" t="s">
        <v>724</v>
      </c>
      <c r="B7" s="345">
        <v>45989</v>
      </c>
      <c r="C7" s="346" t="s">
        <v>1122</v>
      </c>
      <c r="D7" s="347" t="s">
        <v>1249</v>
      </c>
      <c r="E7" s="346" t="s">
        <v>1098</v>
      </c>
      <c r="F7" s="346" t="s">
        <v>214</v>
      </c>
      <c r="G7" s="348">
        <v>0.38100000000000001</v>
      </c>
      <c r="H7" s="349">
        <v>168</v>
      </c>
      <c r="I7" s="349">
        <v>64</v>
      </c>
      <c r="J7" s="349">
        <v>0</v>
      </c>
      <c r="K7" s="346" t="s">
        <v>215</v>
      </c>
      <c r="L7" s="350" t="s">
        <v>175</v>
      </c>
      <c r="M7" s="349">
        <v>5</v>
      </c>
      <c r="N7" s="349">
        <v>16</v>
      </c>
      <c r="O7" s="349">
        <v>38</v>
      </c>
      <c r="P7" s="346" t="s">
        <v>353</v>
      </c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9" t="s">
        <v>259</v>
      </c>
      <c r="AB7" s="342"/>
      <c r="AC7" s="342"/>
      <c r="AD7" s="342"/>
      <c r="AE7" s="342"/>
      <c r="AF7" s="349" t="s">
        <v>1252</v>
      </c>
      <c r="AG7" s="342"/>
      <c r="AH7" s="342"/>
      <c r="AI7" s="342"/>
      <c r="AJ7" s="342"/>
    </row>
    <row r="8" spans="1:36" x14ac:dyDescent="0.3">
      <c r="A8" s="344" t="s">
        <v>248</v>
      </c>
      <c r="B8" s="345">
        <v>45990</v>
      </c>
      <c r="C8" s="346" t="s">
        <v>1155</v>
      </c>
      <c r="D8" s="347" t="s">
        <v>1246</v>
      </c>
      <c r="E8" s="346" t="s">
        <v>1098</v>
      </c>
      <c r="F8" s="346" t="s">
        <v>214</v>
      </c>
      <c r="G8" s="348">
        <v>0.49399999999999999</v>
      </c>
      <c r="H8" s="349">
        <v>168</v>
      </c>
      <c r="I8" s="349">
        <v>83</v>
      </c>
      <c r="J8" s="349">
        <v>0</v>
      </c>
      <c r="K8" s="346" t="s">
        <v>215</v>
      </c>
      <c r="L8" s="350" t="s">
        <v>175</v>
      </c>
      <c r="M8" s="349">
        <v>6</v>
      </c>
      <c r="N8" s="349">
        <v>3</v>
      </c>
      <c r="O8" s="349">
        <v>32</v>
      </c>
      <c r="P8" s="346" t="s">
        <v>263</v>
      </c>
      <c r="Q8" s="342"/>
      <c r="R8" s="342"/>
      <c r="S8" s="342"/>
      <c r="T8" s="342"/>
      <c r="U8" s="342"/>
      <c r="V8" s="349" t="s">
        <v>757</v>
      </c>
      <c r="W8" s="342"/>
      <c r="X8" s="342"/>
      <c r="Y8" s="342"/>
      <c r="Z8" s="349" t="s">
        <v>244</v>
      </c>
      <c r="AA8" s="349" t="s">
        <v>705</v>
      </c>
      <c r="AB8" s="342"/>
      <c r="AC8" s="342"/>
      <c r="AD8" s="349" t="s">
        <v>643</v>
      </c>
      <c r="AE8" s="349" t="s">
        <v>706</v>
      </c>
      <c r="AF8" s="349" t="s">
        <v>1252</v>
      </c>
      <c r="AG8" s="342"/>
      <c r="AH8" s="342"/>
      <c r="AI8" s="342"/>
      <c r="AJ8" s="342"/>
    </row>
    <row r="9" spans="1:36" x14ac:dyDescent="0.3">
      <c r="A9" s="344" t="s">
        <v>254</v>
      </c>
      <c r="B9" s="345">
        <v>45991</v>
      </c>
      <c r="C9" s="346" t="s">
        <v>1155</v>
      </c>
      <c r="D9" s="347" t="s">
        <v>1253</v>
      </c>
      <c r="E9" s="346" t="s">
        <v>1098</v>
      </c>
      <c r="F9" s="346" t="s">
        <v>214</v>
      </c>
      <c r="G9" s="348">
        <v>0.4405</v>
      </c>
      <c r="H9" s="349">
        <v>168</v>
      </c>
      <c r="I9" s="349">
        <v>74</v>
      </c>
      <c r="J9" s="349">
        <v>0</v>
      </c>
      <c r="K9" s="346" t="s">
        <v>215</v>
      </c>
      <c r="L9" s="350" t="s">
        <v>50</v>
      </c>
      <c r="M9" s="349">
        <v>0</v>
      </c>
      <c r="N9" s="349">
        <v>7</v>
      </c>
      <c r="O9" s="349">
        <v>24</v>
      </c>
      <c r="P9" s="346" t="s">
        <v>364</v>
      </c>
      <c r="Q9" s="342"/>
      <c r="R9" s="342"/>
      <c r="S9" s="342"/>
      <c r="T9" s="342"/>
      <c r="U9" s="342"/>
      <c r="V9" s="349" t="s">
        <v>757</v>
      </c>
      <c r="W9" s="342"/>
      <c r="X9" s="342"/>
      <c r="Y9" s="342"/>
      <c r="Z9" s="349" t="s">
        <v>244</v>
      </c>
      <c r="AA9" s="349" t="s">
        <v>705</v>
      </c>
      <c r="AB9" s="342"/>
      <c r="AC9" s="342"/>
      <c r="AD9" s="349" t="s">
        <v>277</v>
      </c>
      <c r="AE9" s="349" t="s">
        <v>740</v>
      </c>
      <c r="AF9" s="349" t="s">
        <v>703</v>
      </c>
      <c r="AG9" s="342"/>
      <c r="AH9" s="342"/>
      <c r="AI9" s="342"/>
      <c r="AJ9" s="342"/>
    </row>
    <row r="10" spans="1:36" x14ac:dyDescent="0.3">
      <c r="A10" s="344" t="s">
        <v>391</v>
      </c>
      <c r="B10" s="345">
        <v>45992</v>
      </c>
      <c r="C10" s="346" t="s">
        <v>1122</v>
      </c>
      <c r="D10" s="347" t="s">
        <v>1249</v>
      </c>
      <c r="E10" s="346" t="s">
        <v>1098</v>
      </c>
      <c r="F10" s="346" t="s">
        <v>214</v>
      </c>
      <c r="G10" s="348">
        <v>2.98E-2</v>
      </c>
      <c r="H10" s="349">
        <v>168</v>
      </c>
      <c r="I10" s="349">
        <v>5</v>
      </c>
      <c r="J10" s="349">
        <v>0</v>
      </c>
      <c r="K10" s="346" t="s">
        <v>215</v>
      </c>
      <c r="L10" s="350" t="s">
        <v>175</v>
      </c>
      <c r="M10" s="349">
        <v>2</v>
      </c>
      <c r="N10" s="349">
        <v>0</v>
      </c>
      <c r="O10" s="349">
        <v>3</v>
      </c>
      <c r="P10" s="346" t="s">
        <v>353</v>
      </c>
      <c r="Q10" s="342"/>
      <c r="R10" s="342"/>
      <c r="S10" s="342"/>
      <c r="T10" s="342"/>
      <c r="U10" s="342"/>
      <c r="V10" s="349" t="s">
        <v>757</v>
      </c>
      <c r="W10" s="342"/>
      <c r="X10" s="342"/>
      <c r="Y10" s="342"/>
      <c r="Z10" s="342"/>
      <c r="AA10" s="342"/>
      <c r="AB10" s="342"/>
      <c r="AC10" s="342"/>
      <c r="AD10" s="342"/>
      <c r="AE10" s="342"/>
      <c r="AF10" s="349" t="s">
        <v>217</v>
      </c>
      <c r="AG10" s="342"/>
      <c r="AH10" s="342"/>
      <c r="AI10" s="342"/>
      <c r="AJ10" s="342"/>
    </row>
    <row r="11" spans="1:36" x14ac:dyDescent="0.3">
      <c r="A11" s="344" t="s">
        <v>212</v>
      </c>
      <c r="B11" s="345">
        <v>45993</v>
      </c>
      <c r="C11" s="346" t="s">
        <v>1122</v>
      </c>
      <c r="D11" s="347" t="s">
        <v>1244</v>
      </c>
      <c r="E11" s="346" t="s">
        <v>1098</v>
      </c>
      <c r="F11" s="346" t="s">
        <v>214</v>
      </c>
      <c r="G11" s="348">
        <v>7.7399999999999997E-2</v>
      </c>
      <c r="H11" s="349">
        <v>168</v>
      </c>
      <c r="I11" s="349">
        <v>13</v>
      </c>
      <c r="J11" s="349">
        <v>0</v>
      </c>
      <c r="K11" s="346" t="s">
        <v>215</v>
      </c>
      <c r="L11" s="350" t="s">
        <v>175</v>
      </c>
      <c r="M11" s="349">
        <v>1</v>
      </c>
      <c r="N11" s="349">
        <v>0</v>
      </c>
      <c r="O11" s="349">
        <v>5</v>
      </c>
      <c r="P11" s="346" t="s">
        <v>353</v>
      </c>
      <c r="Q11" s="342"/>
      <c r="R11" s="342"/>
      <c r="S11" s="342"/>
      <c r="T11" s="342"/>
      <c r="U11" s="342"/>
      <c r="V11" s="342"/>
      <c r="W11" s="342"/>
      <c r="X11" s="342"/>
      <c r="Y11" s="342"/>
      <c r="Z11" s="349" t="s">
        <v>244</v>
      </c>
      <c r="AA11" s="342"/>
      <c r="AB11" s="342"/>
      <c r="AC11" s="342"/>
      <c r="AD11" s="342"/>
      <c r="AE11" s="342"/>
      <c r="AF11" s="349" t="s">
        <v>922</v>
      </c>
      <c r="AG11" s="342"/>
      <c r="AH11" s="342"/>
      <c r="AI11" s="342"/>
      <c r="AJ11" s="349" t="s">
        <v>247</v>
      </c>
    </row>
    <row r="12" spans="1:36" x14ac:dyDescent="0.3">
      <c r="A12" s="344" t="s">
        <v>331</v>
      </c>
      <c r="B12" s="345">
        <v>45994</v>
      </c>
      <c r="C12" s="346" t="s">
        <v>1155</v>
      </c>
      <c r="D12" s="347" t="s">
        <v>1246</v>
      </c>
      <c r="E12" s="346" t="s">
        <v>1098</v>
      </c>
      <c r="F12" s="346" t="s">
        <v>214</v>
      </c>
      <c r="G12" s="348">
        <v>0.125</v>
      </c>
      <c r="H12" s="349">
        <v>168</v>
      </c>
      <c r="I12" s="349">
        <v>21</v>
      </c>
      <c r="J12" s="349">
        <v>0</v>
      </c>
      <c r="K12" s="346" t="s">
        <v>215</v>
      </c>
      <c r="L12" s="350" t="s">
        <v>50</v>
      </c>
      <c r="M12" s="349">
        <v>0</v>
      </c>
      <c r="N12" s="349">
        <v>1</v>
      </c>
      <c r="O12" s="349">
        <v>11</v>
      </c>
      <c r="P12" s="346" t="s">
        <v>375</v>
      </c>
      <c r="Q12" s="342"/>
      <c r="R12" s="342"/>
      <c r="S12" s="342"/>
      <c r="T12" s="342"/>
      <c r="U12" s="342"/>
      <c r="V12" s="349" t="s">
        <v>757</v>
      </c>
      <c r="W12" s="342"/>
      <c r="X12" s="342"/>
      <c r="Y12" s="342"/>
      <c r="Z12" s="349" t="s">
        <v>244</v>
      </c>
      <c r="AA12" s="342"/>
      <c r="AB12" s="342"/>
      <c r="AC12" s="342"/>
      <c r="AD12" s="342"/>
      <c r="AE12" s="342"/>
      <c r="AF12" s="349" t="s">
        <v>287</v>
      </c>
      <c r="AG12" s="342"/>
      <c r="AH12" s="342"/>
      <c r="AI12" s="342"/>
      <c r="AJ12" s="342"/>
    </row>
    <row r="13" spans="1:36" x14ac:dyDescent="0.3">
      <c r="A13" s="344" t="s">
        <v>331</v>
      </c>
      <c r="B13" s="345">
        <v>45994</v>
      </c>
      <c r="C13" s="346" t="s">
        <v>1122</v>
      </c>
      <c r="D13" s="347" t="s">
        <v>1249</v>
      </c>
      <c r="E13" s="346" t="s">
        <v>1098</v>
      </c>
      <c r="F13" s="346" t="s">
        <v>214</v>
      </c>
      <c r="G13" s="348">
        <v>2.98E-2</v>
      </c>
      <c r="H13" s="349">
        <v>168</v>
      </c>
      <c r="I13" s="349">
        <v>5</v>
      </c>
      <c r="J13" s="349">
        <v>0</v>
      </c>
      <c r="K13" s="346" t="s">
        <v>215</v>
      </c>
      <c r="L13" s="350" t="s">
        <v>1201</v>
      </c>
      <c r="M13" s="349">
        <v>0</v>
      </c>
      <c r="N13" s="349">
        <v>0</v>
      </c>
      <c r="O13" s="349">
        <v>0</v>
      </c>
      <c r="P13" s="346" t="s">
        <v>353</v>
      </c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9" t="s">
        <v>646</v>
      </c>
      <c r="AF13" s="349" t="s">
        <v>608</v>
      </c>
      <c r="AG13" s="342"/>
      <c r="AH13" s="342"/>
      <c r="AI13" s="342"/>
      <c r="AJ13" s="342"/>
    </row>
    <row r="14" spans="1:36" x14ac:dyDescent="0.3">
      <c r="A14" s="344" t="s">
        <v>240</v>
      </c>
      <c r="B14" s="345">
        <v>45995</v>
      </c>
      <c r="C14" s="346" t="s">
        <v>1155</v>
      </c>
      <c r="D14" s="347" t="s">
        <v>1246</v>
      </c>
      <c r="E14" s="346" t="s">
        <v>1098</v>
      </c>
      <c r="F14" s="346" t="s">
        <v>214</v>
      </c>
      <c r="G14" s="348">
        <v>0.1429</v>
      </c>
      <c r="H14" s="349">
        <v>168</v>
      </c>
      <c r="I14" s="349">
        <v>24</v>
      </c>
      <c r="J14" s="349">
        <v>0</v>
      </c>
      <c r="K14" s="346" t="s">
        <v>215</v>
      </c>
      <c r="L14" s="350" t="s">
        <v>50</v>
      </c>
      <c r="M14" s="349">
        <v>0</v>
      </c>
      <c r="N14" s="349">
        <v>5</v>
      </c>
      <c r="O14" s="349">
        <v>14</v>
      </c>
      <c r="P14" s="346" t="s">
        <v>586</v>
      </c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9" t="s">
        <v>236</v>
      </c>
      <c r="AE14" s="349" t="s">
        <v>700</v>
      </c>
      <c r="AF14" s="342"/>
      <c r="AG14" s="342"/>
      <c r="AH14" s="342"/>
      <c r="AI14" s="342"/>
      <c r="AJ14" s="342"/>
    </row>
    <row r="15" spans="1:36" x14ac:dyDescent="0.3">
      <c r="A15" s="344" t="s">
        <v>724</v>
      </c>
      <c r="B15" s="345">
        <v>45996</v>
      </c>
      <c r="C15" s="346" t="s">
        <v>1155</v>
      </c>
      <c r="D15" s="347" t="s">
        <v>933</v>
      </c>
      <c r="E15" s="346" t="s">
        <v>1098</v>
      </c>
      <c r="F15" s="346" t="s">
        <v>214</v>
      </c>
      <c r="G15" s="348">
        <v>0.13689999999999999</v>
      </c>
      <c r="H15" s="349">
        <v>168</v>
      </c>
      <c r="I15" s="349">
        <v>23</v>
      </c>
      <c r="J15" s="349">
        <v>0</v>
      </c>
      <c r="K15" s="346" t="s">
        <v>215</v>
      </c>
      <c r="L15" s="350" t="s">
        <v>175</v>
      </c>
      <c r="M15" s="349">
        <v>2</v>
      </c>
      <c r="N15" s="349">
        <v>0</v>
      </c>
      <c r="O15" s="349">
        <v>13</v>
      </c>
      <c r="P15" s="346" t="s">
        <v>237</v>
      </c>
      <c r="Q15" s="342"/>
      <c r="R15" s="342"/>
      <c r="S15" s="342"/>
      <c r="T15" s="342"/>
      <c r="U15" s="342"/>
      <c r="V15" s="349" t="s">
        <v>757</v>
      </c>
      <c r="W15" s="342"/>
      <c r="X15" s="342"/>
      <c r="Y15" s="342"/>
      <c r="Z15" s="349" t="s">
        <v>244</v>
      </c>
      <c r="AA15" s="342"/>
      <c r="AB15" s="342"/>
      <c r="AC15" s="342"/>
      <c r="AD15" s="342"/>
      <c r="AE15" s="349" t="s">
        <v>263</v>
      </c>
      <c r="AF15" s="349" t="s">
        <v>238</v>
      </c>
      <c r="AG15" s="342"/>
      <c r="AH15" s="342"/>
      <c r="AI15" s="342"/>
      <c r="AJ15" s="342"/>
    </row>
    <row r="16" spans="1:36" x14ac:dyDescent="0.3">
      <c r="A16" s="344" t="s">
        <v>724</v>
      </c>
      <c r="B16" s="345">
        <v>45996</v>
      </c>
      <c r="C16" s="346" t="s">
        <v>1122</v>
      </c>
      <c r="D16" s="347" t="s">
        <v>1249</v>
      </c>
      <c r="E16" s="346" t="s">
        <v>1098</v>
      </c>
      <c r="F16" s="346" t="s">
        <v>214</v>
      </c>
      <c r="G16" s="348">
        <v>0.1845</v>
      </c>
      <c r="H16" s="349">
        <v>168</v>
      </c>
      <c r="I16" s="349">
        <v>31</v>
      </c>
      <c r="J16" s="349">
        <v>0</v>
      </c>
      <c r="K16" s="346" t="s">
        <v>215</v>
      </c>
      <c r="L16" s="350" t="s">
        <v>50</v>
      </c>
      <c r="M16" s="349">
        <v>0</v>
      </c>
      <c r="N16" s="349">
        <v>3</v>
      </c>
      <c r="O16" s="349">
        <v>25</v>
      </c>
      <c r="P16" s="346" t="s">
        <v>394</v>
      </c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  <c r="AD16" s="342"/>
      <c r="AE16" s="349" t="s">
        <v>744</v>
      </c>
      <c r="AF16" s="349" t="s">
        <v>238</v>
      </c>
      <c r="AG16" s="342"/>
      <c r="AH16" s="342"/>
      <c r="AI16" s="342"/>
      <c r="AJ16" s="342"/>
    </row>
    <row r="17" spans="1:36" x14ac:dyDescent="0.3">
      <c r="A17" s="344" t="s">
        <v>248</v>
      </c>
      <c r="B17" s="345">
        <v>45997</v>
      </c>
      <c r="C17" s="346" t="s">
        <v>1155</v>
      </c>
      <c r="D17" s="347" t="s">
        <v>1246</v>
      </c>
      <c r="E17" s="346" t="s">
        <v>1098</v>
      </c>
      <c r="F17" s="346" t="s">
        <v>214</v>
      </c>
      <c r="G17" s="348">
        <v>5.9499999999999997E-2</v>
      </c>
      <c r="H17" s="349">
        <v>168</v>
      </c>
      <c r="I17" s="349">
        <v>10</v>
      </c>
      <c r="J17" s="349">
        <v>0</v>
      </c>
      <c r="K17" s="346" t="s">
        <v>215</v>
      </c>
      <c r="L17" s="350" t="s">
        <v>311</v>
      </c>
      <c r="M17" s="349">
        <v>0</v>
      </c>
      <c r="N17" s="349">
        <v>0</v>
      </c>
      <c r="O17" s="349">
        <v>2</v>
      </c>
      <c r="P17" s="346" t="s">
        <v>353</v>
      </c>
      <c r="Q17" s="342"/>
      <c r="R17" s="342"/>
      <c r="S17" s="342"/>
      <c r="T17" s="342"/>
      <c r="U17" s="342"/>
      <c r="V17" s="349" t="s">
        <v>757</v>
      </c>
      <c r="W17" s="342"/>
      <c r="X17" s="342"/>
      <c r="Y17" s="342"/>
      <c r="Z17" s="342"/>
      <c r="AA17" s="342"/>
      <c r="AB17" s="342"/>
      <c r="AC17" s="342"/>
      <c r="AD17" s="342"/>
      <c r="AE17" s="342"/>
      <c r="AF17" s="349" t="s">
        <v>353</v>
      </c>
      <c r="AG17" s="342"/>
      <c r="AH17" s="342"/>
      <c r="AI17" s="342"/>
      <c r="AJ17" s="342"/>
    </row>
    <row r="18" spans="1:36" x14ac:dyDescent="0.3">
      <c r="A18" s="344" t="s">
        <v>254</v>
      </c>
      <c r="B18" s="345">
        <v>45998</v>
      </c>
      <c r="C18" s="346" t="s">
        <v>1155</v>
      </c>
      <c r="D18" s="347" t="s">
        <v>1253</v>
      </c>
      <c r="E18" s="346" t="s">
        <v>1098</v>
      </c>
      <c r="F18" s="346" t="s">
        <v>214</v>
      </c>
      <c r="G18" s="348">
        <v>4.1700000000000001E-2</v>
      </c>
      <c r="H18" s="349">
        <v>168</v>
      </c>
      <c r="I18" s="349">
        <v>7</v>
      </c>
      <c r="J18" s="349">
        <v>0</v>
      </c>
      <c r="K18" s="346" t="s">
        <v>215</v>
      </c>
      <c r="L18" s="350" t="s">
        <v>63</v>
      </c>
      <c r="M18" s="349">
        <v>0</v>
      </c>
      <c r="N18" s="349">
        <v>0</v>
      </c>
      <c r="O18" s="349">
        <v>4</v>
      </c>
      <c r="P18" s="346" t="s">
        <v>353</v>
      </c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9" t="s">
        <v>586</v>
      </c>
      <c r="AF18" s="349" t="s">
        <v>335</v>
      </c>
      <c r="AG18" s="342"/>
      <c r="AH18" s="342"/>
      <c r="AI18" s="342"/>
      <c r="AJ18" s="342"/>
    </row>
    <row r="19" spans="1:36" x14ac:dyDescent="0.3">
      <c r="A19" s="344" t="s">
        <v>391</v>
      </c>
      <c r="B19" s="345">
        <v>45999</v>
      </c>
      <c r="C19" s="346" t="s">
        <v>1122</v>
      </c>
      <c r="D19" s="347" t="s">
        <v>1249</v>
      </c>
      <c r="E19" s="346" t="s">
        <v>1098</v>
      </c>
      <c r="F19" s="346" t="s">
        <v>214</v>
      </c>
      <c r="G19" s="348">
        <v>8.9300000000000004E-2</v>
      </c>
      <c r="H19" s="349">
        <v>168</v>
      </c>
      <c r="I19" s="349">
        <v>15</v>
      </c>
      <c r="J19" s="349">
        <v>0</v>
      </c>
      <c r="K19" s="346" t="s">
        <v>215</v>
      </c>
      <c r="L19" s="350" t="s">
        <v>63</v>
      </c>
      <c r="M19" s="349">
        <v>0</v>
      </c>
      <c r="N19" s="349">
        <v>0</v>
      </c>
      <c r="O19" s="349">
        <v>2</v>
      </c>
      <c r="P19" s="346" t="s">
        <v>353</v>
      </c>
      <c r="Q19" s="342"/>
      <c r="R19" s="342"/>
      <c r="S19" s="342"/>
      <c r="T19" s="342"/>
      <c r="U19" s="342"/>
      <c r="V19" s="342"/>
      <c r="W19" s="342"/>
      <c r="X19" s="342"/>
      <c r="Y19" s="342"/>
      <c r="Z19" s="349" t="s">
        <v>244</v>
      </c>
      <c r="AA19" s="342"/>
      <c r="AB19" s="342"/>
      <c r="AC19" s="342"/>
      <c r="AD19" s="349" t="s">
        <v>262</v>
      </c>
      <c r="AE19" s="349" t="s">
        <v>586</v>
      </c>
      <c r="AF19" s="349" t="s">
        <v>353</v>
      </c>
      <c r="AG19" s="342"/>
      <c r="AH19" s="342"/>
      <c r="AI19" s="342"/>
      <c r="AJ19" s="342"/>
    </row>
    <row r="20" spans="1:36" x14ac:dyDescent="0.3">
      <c r="A20" s="344" t="s">
        <v>212</v>
      </c>
      <c r="B20" s="345">
        <v>46000</v>
      </c>
      <c r="C20" s="346" t="s">
        <v>1122</v>
      </c>
      <c r="D20" s="347" t="s">
        <v>1244</v>
      </c>
      <c r="E20" s="346" t="s">
        <v>1098</v>
      </c>
      <c r="F20" s="346" t="s">
        <v>214</v>
      </c>
      <c r="G20" s="348">
        <v>7.1400000000000005E-2</v>
      </c>
      <c r="H20" s="349">
        <v>168</v>
      </c>
      <c r="I20" s="349">
        <v>12</v>
      </c>
      <c r="J20" s="349">
        <v>0</v>
      </c>
      <c r="K20" s="346" t="s">
        <v>215</v>
      </c>
      <c r="L20" s="350" t="s">
        <v>63</v>
      </c>
      <c r="M20" s="349">
        <v>0</v>
      </c>
      <c r="N20" s="349">
        <v>0</v>
      </c>
      <c r="O20" s="349">
        <v>4</v>
      </c>
      <c r="P20" s="346" t="s">
        <v>353</v>
      </c>
      <c r="Q20" s="342"/>
      <c r="R20" s="342"/>
      <c r="S20" s="342"/>
      <c r="T20" s="342"/>
      <c r="U20" s="342"/>
      <c r="V20" s="342"/>
      <c r="W20" s="342"/>
      <c r="X20" s="342"/>
      <c r="Y20" s="342"/>
      <c r="Z20" s="349" t="s">
        <v>244</v>
      </c>
      <c r="AA20" s="342"/>
      <c r="AB20" s="342"/>
      <c r="AC20" s="342"/>
      <c r="AD20" s="349" t="s">
        <v>236</v>
      </c>
      <c r="AE20" s="349" t="s">
        <v>646</v>
      </c>
      <c r="AF20" s="349" t="s">
        <v>217</v>
      </c>
      <c r="AG20" s="342"/>
      <c r="AH20" s="342"/>
      <c r="AI20" s="342"/>
      <c r="AJ20" s="342"/>
    </row>
    <row r="21" spans="1:36" x14ac:dyDescent="0.3">
      <c r="A21" s="344" t="s">
        <v>331</v>
      </c>
      <c r="B21" s="345">
        <v>46001</v>
      </c>
      <c r="C21" s="346" t="s">
        <v>1155</v>
      </c>
      <c r="D21" s="347" t="s">
        <v>1246</v>
      </c>
      <c r="E21" s="346" t="s">
        <v>1098</v>
      </c>
      <c r="F21" s="346" t="s">
        <v>214</v>
      </c>
      <c r="G21" s="348">
        <v>0.13689999999999999</v>
      </c>
      <c r="H21" s="349">
        <v>168</v>
      </c>
      <c r="I21" s="349">
        <v>23</v>
      </c>
      <c r="J21" s="349">
        <v>0</v>
      </c>
      <c r="K21" s="346" t="s">
        <v>215</v>
      </c>
      <c r="L21" s="350" t="s">
        <v>63</v>
      </c>
      <c r="M21" s="349">
        <v>0</v>
      </c>
      <c r="N21" s="349">
        <v>0</v>
      </c>
      <c r="O21" s="349">
        <v>8</v>
      </c>
      <c r="P21" s="346" t="s">
        <v>353</v>
      </c>
      <c r="Q21" s="342"/>
      <c r="R21" s="342"/>
      <c r="S21" s="342"/>
      <c r="T21" s="342"/>
      <c r="U21" s="342"/>
      <c r="V21" s="349" t="s">
        <v>757</v>
      </c>
      <c r="W21" s="342"/>
      <c r="X21" s="342"/>
      <c r="Y21" s="342"/>
      <c r="Z21" s="342"/>
      <c r="AA21" s="342"/>
      <c r="AB21" s="342"/>
      <c r="AC21" s="349" t="s">
        <v>279</v>
      </c>
      <c r="AD21" s="349" t="s">
        <v>277</v>
      </c>
      <c r="AE21" s="349" t="s">
        <v>526</v>
      </c>
      <c r="AF21" s="349" t="s">
        <v>612</v>
      </c>
      <c r="AG21" s="342"/>
      <c r="AH21" s="342"/>
      <c r="AI21" s="342"/>
      <c r="AJ21" s="342"/>
    </row>
    <row r="22" spans="1:36" x14ac:dyDescent="0.3">
      <c r="A22" s="344" t="s">
        <v>331</v>
      </c>
      <c r="B22" s="345">
        <v>46001</v>
      </c>
      <c r="C22" s="346" t="s">
        <v>1122</v>
      </c>
      <c r="D22" s="347" t="s">
        <v>1249</v>
      </c>
      <c r="E22" s="346" t="s">
        <v>1098</v>
      </c>
      <c r="F22" s="346" t="s">
        <v>214</v>
      </c>
      <c r="G22" s="348">
        <v>9.5200000000000007E-2</v>
      </c>
      <c r="H22" s="349">
        <v>168</v>
      </c>
      <c r="I22" s="349">
        <v>16</v>
      </c>
      <c r="J22" s="349">
        <v>0</v>
      </c>
      <c r="K22" s="346" t="s">
        <v>215</v>
      </c>
      <c r="L22" s="350" t="s">
        <v>50</v>
      </c>
      <c r="M22" s="349">
        <v>0</v>
      </c>
      <c r="N22" s="349">
        <v>2</v>
      </c>
      <c r="O22" s="349">
        <v>4</v>
      </c>
      <c r="P22" s="346" t="s">
        <v>547</v>
      </c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9" t="s">
        <v>277</v>
      </c>
      <c r="AE22" s="349" t="s">
        <v>526</v>
      </c>
      <c r="AF22" s="349" t="s">
        <v>229</v>
      </c>
      <c r="AG22" s="342"/>
      <c r="AH22" s="342"/>
      <c r="AI22" s="342"/>
      <c r="AJ22" s="342"/>
    </row>
    <row r="23" spans="1:36" ht="21" x14ac:dyDescent="0.3">
      <c r="A23" s="351" t="s">
        <v>1574</v>
      </c>
      <c r="B23" s="352"/>
      <c r="C23" s="351">
        <f>SUBTOTAL(103,RUH_CAI_LF_LEGACY[Flt])</f>
        <v>21</v>
      </c>
      <c r="D23" s="351"/>
      <c r="E23" s="351">
        <f>SUBTOTAL(103,RUH_CAI_LF_LEGACY[Brd-Off])</f>
        <v>21</v>
      </c>
      <c r="F23" s="351"/>
      <c r="G23" s="353">
        <f>SUBTOTAL(101,RUH_CAI_LF_LEGACY[LF%])</f>
        <v>0.24659999999999993</v>
      </c>
      <c r="H23" s="354">
        <f>SUBTOTAL(109,RUH_CAI_LF_LEGACY[CAP])</f>
        <v>3528</v>
      </c>
      <c r="I23" s="354">
        <f>SUBTOTAL(109,RUH_CAI_LF_LEGACY[BKG(Y)])</f>
        <v>870</v>
      </c>
      <c r="J23" s="354">
        <f>SUBTOTAL(109,RUH_CAI_LF_LEGACY[GRP(Y)])</f>
        <v>0</v>
      </c>
      <c r="K23" s="351"/>
      <c r="L23" s="352"/>
      <c r="M23" s="354">
        <f>SUBTOTAL(109,RUH_CAI_LF_LEGACY[TO-DAY])</f>
        <v>38</v>
      </c>
      <c r="N23" s="354">
        <f>SUBTOTAL(109,RUH_CAI_LF_LEGACY[Y-DAY])</f>
        <v>89</v>
      </c>
      <c r="O23" s="354">
        <f>SUBTOTAL(109,RUH_CAI_LF_LEGACY[WEEKLY])</f>
        <v>382</v>
      </c>
      <c r="P23" s="355"/>
      <c r="Q23" s="354">
        <f>SUBTOTAL(109,RUH_CAI_LF_LEGACY[Y])</f>
        <v>0</v>
      </c>
      <c r="R23" s="354">
        <f>SUBTOTAL(109,RUH_CAI_LF_LEGACY[B])</f>
        <v>0</v>
      </c>
      <c r="S23" s="354">
        <f>SUBTOTAL(109,RUH_CAI_LF_LEGACY[M])</f>
        <v>0</v>
      </c>
      <c r="T23" s="354">
        <f>SUBTOTAL(109,RUH_CAI_LF_LEGACY[H])</f>
        <v>0</v>
      </c>
      <c r="U23" s="354">
        <f>SUBTOTAL(109,RUH_CAI_LF_LEGACY[Q])</f>
        <v>0</v>
      </c>
      <c r="V23" s="354">
        <f>SUBTOTAL(109,RUH_CAI_LF_LEGACY[K])</f>
        <v>0</v>
      </c>
      <c r="W23" s="354">
        <f>SUBTOTAL(109,RUH_CAI_LF_LEGACY[V])</f>
        <v>0</v>
      </c>
      <c r="X23" s="354">
        <f>SUBTOTAL(109,RUH_CAI_LF_LEGACY[L])</f>
        <v>0</v>
      </c>
      <c r="Y23" s="354">
        <f>SUBTOTAL(109,RUH_CAI_LF_LEGACY[G])</f>
        <v>0</v>
      </c>
      <c r="Z23" s="354">
        <f>SUBTOTAL(109,RUH_CAI_LF_LEGACY[S])</f>
        <v>0</v>
      </c>
      <c r="AA23" s="354">
        <f>SUBTOTAL(109,RUH_CAI_LF_LEGACY[W])</f>
        <v>0</v>
      </c>
      <c r="AB23" s="354">
        <f>SUBTOTAL(109,RUH_CAI_LF_LEGACY[T])</f>
        <v>0</v>
      </c>
      <c r="AC23" s="354">
        <f>SUBTOTAL(109,RUH_CAI_LF_LEGACY[X])</f>
        <v>0</v>
      </c>
      <c r="AD23" s="354">
        <f>SUBTOTAL(109,RUH_CAI_LF_LEGACY[U])</f>
        <v>0</v>
      </c>
      <c r="AE23" s="354">
        <f>SUBTOTAL(109,RUH_CAI_LF_LEGACY[O])</f>
        <v>0</v>
      </c>
      <c r="AF23" s="354">
        <f>SUBTOTAL(109,RUH_CAI_LF_LEGACY[I])</f>
        <v>0</v>
      </c>
      <c r="AG23" s="354">
        <f>SUBTOTAL(109,RUH_CAI_LF_LEGACY[E])</f>
        <v>0</v>
      </c>
      <c r="AH23" s="354">
        <f>SUBTOTAL(109,RUH_CAI_LF_LEGACY[A])</f>
        <v>0</v>
      </c>
      <c r="AI23" s="354">
        <f>SUBTOTAL(109,RUH_CAI_LF_LEGACY[P])</f>
        <v>0</v>
      </c>
      <c r="AJ23" s="354">
        <f>SUBTOTAL(103,RUH_CAI_LF_LEGACY[N])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9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0.441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26</v>
      </c>
      <c r="C2" s="95" t="s">
        <v>1099</v>
      </c>
      <c r="D2" s="94" t="s">
        <v>1098</v>
      </c>
      <c r="E2" s="94" t="s">
        <v>1254</v>
      </c>
      <c r="F2" s="94" t="s">
        <v>28</v>
      </c>
      <c r="G2" s="96">
        <v>28</v>
      </c>
      <c r="H2" s="97">
        <v>259</v>
      </c>
      <c r="I2" s="88"/>
    </row>
    <row r="3" spans="1:9" ht="19.8" customHeight="1" x14ac:dyDescent="0.3">
      <c r="A3" s="93" t="s">
        <v>292</v>
      </c>
      <c r="B3" s="94" t="s">
        <v>26</v>
      </c>
      <c r="C3" s="95" t="s">
        <v>1104</v>
      </c>
      <c r="D3" s="94" t="s">
        <v>1098</v>
      </c>
      <c r="E3" s="94" t="s">
        <v>1255</v>
      </c>
      <c r="F3" s="94" t="s">
        <v>28</v>
      </c>
      <c r="G3" s="96">
        <v>25</v>
      </c>
      <c r="H3" s="97">
        <v>259</v>
      </c>
      <c r="I3" s="88"/>
    </row>
    <row r="4" spans="1:9" ht="19.8" customHeight="1" x14ac:dyDescent="0.3">
      <c r="A4" s="93" t="s">
        <v>292</v>
      </c>
      <c r="B4" s="94" t="s">
        <v>26</v>
      </c>
      <c r="C4" s="95" t="s">
        <v>1107</v>
      </c>
      <c r="D4" s="94" t="s">
        <v>1098</v>
      </c>
      <c r="E4" s="94" t="s">
        <v>1256</v>
      </c>
      <c r="F4" s="94" t="s">
        <v>28</v>
      </c>
      <c r="G4" s="96">
        <v>18</v>
      </c>
      <c r="H4" s="97">
        <v>259</v>
      </c>
      <c r="I4" s="88"/>
    </row>
    <row r="5" spans="1:9" ht="19.8" customHeight="1" x14ac:dyDescent="0.3">
      <c r="A5" s="93" t="s">
        <v>292</v>
      </c>
      <c r="B5" s="94" t="s">
        <v>26</v>
      </c>
      <c r="C5" s="95" t="s">
        <v>1110</v>
      </c>
      <c r="D5" s="94" t="s">
        <v>1098</v>
      </c>
      <c r="E5" s="94" t="s">
        <v>1257</v>
      </c>
      <c r="F5" s="94" t="s">
        <v>28</v>
      </c>
      <c r="G5" s="96">
        <v>14</v>
      </c>
      <c r="H5" s="97">
        <v>259</v>
      </c>
      <c r="I5" s="88"/>
    </row>
    <row r="6" spans="1:9" ht="19.8" customHeight="1" x14ac:dyDescent="0.3">
      <c r="A6" s="93" t="s">
        <v>292</v>
      </c>
      <c r="B6" s="94" t="s">
        <v>36</v>
      </c>
      <c r="C6" s="95" t="s">
        <v>1113</v>
      </c>
      <c r="D6" s="94" t="s">
        <v>1098</v>
      </c>
      <c r="E6" s="94" t="s">
        <v>1258</v>
      </c>
      <c r="F6" s="94" t="s">
        <v>38</v>
      </c>
      <c r="G6" s="96">
        <v>3</v>
      </c>
      <c r="H6" s="97">
        <v>329</v>
      </c>
      <c r="I6" s="88"/>
    </row>
    <row r="7" spans="1:9" ht="19.8" customHeight="1" x14ac:dyDescent="0.3">
      <c r="A7" s="93" t="s">
        <v>292</v>
      </c>
      <c r="B7" s="94" t="s">
        <v>36</v>
      </c>
      <c r="C7" s="95" t="s">
        <v>1114</v>
      </c>
      <c r="D7" s="94" t="s">
        <v>1098</v>
      </c>
      <c r="E7" s="94" t="s">
        <v>1259</v>
      </c>
      <c r="F7" s="94" t="s">
        <v>38</v>
      </c>
      <c r="G7" s="96">
        <v>9</v>
      </c>
      <c r="H7" s="97">
        <v>329</v>
      </c>
      <c r="I7" s="88"/>
    </row>
    <row r="8" spans="1:9" ht="19.8" customHeight="1" x14ac:dyDescent="0.3">
      <c r="A8" s="93" t="s">
        <v>292</v>
      </c>
      <c r="B8" s="94" t="s">
        <v>36</v>
      </c>
      <c r="C8" s="95" t="s">
        <v>1115</v>
      </c>
      <c r="D8" s="94" t="s">
        <v>1098</v>
      </c>
      <c r="E8" s="94" t="s">
        <v>1260</v>
      </c>
      <c r="F8" s="94" t="s">
        <v>38</v>
      </c>
      <c r="G8" s="96">
        <v>9</v>
      </c>
      <c r="H8" s="97">
        <v>329</v>
      </c>
      <c r="I8" s="88"/>
    </row>
    <row r="9" spans="1:9" ht="19.8" customHeight="1" x14ac:dyDescent="0.3">
      <c r="A9" s="93" t="s">
        <v>292</v>
      </c>
      <c r="B9" s="94" t="s">
        <v>36</v>
      </c>
      <c r="C9" s="95" t="s">
        <v>1116</v>
      </c>
      <c r="D9" s="94" t="s">
        <v>1098</v>
      </c>
      <c r="E9" s="94" t="s">
        <v>1261</v>
      </c>
      <c r="F9" s="94" t="s">
        <v>38</v>
      </c>
      <c r="G9" s="96">
        <v>9</v>
      </c>
      <c r="H9" s="97">
        <v>329</v>
      </c>
      <c r="I9" s="88"/>
    </row>
    <row r="10" spans="1:9" ht="19.8" customHeight="1" x14ac:dyDescent="0.3">
      <c r="A10" s="93" t="s">
        <v>292</v>
      </c>
      <c r="B10" s="94" t="s">
        <v>36</v>
      </c>
      <c r="C10" s="95" t="s">
        <v>1117</v>
      </c>
      <c r="D10" s="94" t="s">
        <v>1098</v>
      </c>
      <c r="E10" s="94" t="s">
        <v>914</v>
      </c>
      <c r="F10" s="94" t="s">
        <v>38</v>
      </c>
      <c r="G10" s="96">
        <v>6</v>
      </c>
      <c r="H10" s="97">
        <v>329</v>
      </c>
      <c r="I10" s="88"/>
    </row>
    <row r="11" spans="1:9" ht="19.8" customHeight="1" x14ac:dyDescent="0.3">
      <c r="A11" s="93" t="s">
        <v>292</v>
      </c>
      <c r="B11" s="94" t="s">
        <v>36</v>
      </c>
      <c r="C11" s="95" t="s">
        <v>1118</v>
      </c>
      <c r="D11" s="94" t="s">
        <v>1098</v>
      </c>
      <c r="E11" s="94" t="s">
        <v>1262</v>
      </c>
      <c r="F11" s="94" t="s">
        <v>38</v>
      </c>
      <c r="G11" s="96">
        <v>9</v>
      </c>
      <c r="H11" s="97">
        <v>329</v>
      </c>
      <c r="I11" s="88"/>
    </row>
    <row r="12" spans="1:9" ht="19.8" customHeight="1" x14ac:dyDescent="0.3">
      <c r="A12" s="93" t="s">
        <v>292</v>
      </c>
      <c r="B12" s="94" t="s">
        <v>404</v>
      </c>
      <c r="C12" s="95" t="s">
        <v>1120</v>
      </c>
      <c r="D12" s="94" t="s">
        <v>1098</v>
      </c>
      <c r="E12" s="94" t="s">
        <v>220</v>
      </c>
      <c r="F12" s="94" t="s">
        <v>46</v>
      </c>
      <c r="G12" s="96">
        <v>9</v>
      </c>
      <c r="H12" s="97">
        <v>350</v>
      </c>
      <c r="I12" s="88"/>
    </row>
    <row r="13" spans="1:9" ht="19.8" customHeight="1" x14ac:dyDescent="0.3">
      <c r="A13" s="98" t="s">
        <v>292</v>
      </c>
      <c r="B13" s="99" t="s">
        <v>44</v>
      </c>
      <c r="C13" s="100" t="s">
        <v>1121</v>
      </c>
      <c r="D13" s="99" t="s">
        <v>1098</v>
      </c>
      <c r="E13" s="99" t="s">
        <v>1244</v>
      </c>
      <c r="F13" s="99" t="s">
        <v>46</v>
      </c>
      <c r="G13" s="101">
        <v>9</v>
      </c>
      <c r="H13" s="102">
        <v>355</v>
      </c>
      <c r="I13" s="88"/>
    </row>
    <row r="14" spans="1:9" ht="19.8" customHeight="1" x14ac:dyDescent="0.3">
      <c r="A14" s="103">
        <v>45986</v>
      </c>
      <c r="B14" s="94" t="s">
        <v>36</v>
      </c>
      <c r="C14" s="95" t="s">
        <v>1119</v>
      </c>
      <c r="D14" s="94" t="s">
        <v>1098</v>
      </c>
      <c r="E14" s="104">
        <v>1.5</v>
      </c>
      <c r="F14" s="94" t="s">
        <v>38</v>
      </c>
      <c r="G14" s="96">
        <v>9</v>
      </c>
      <c r="H14" s="97">
        <v>369</v>
      </c>
      <c r="I14" s="88"/>
    </row>
    <row r="15" spans="1:9" ht="19.8" customHeight="1" x14ac:dyDescent="0.3">
      <c r="A15" s="103">
        <v>45986</v>
      </c>
      <c r="B15" s="94" t="s">
        <v>456</v>
      </c>
      <c r="C15" s="95" t="s">
        <v>1124</v>
      </c>
      <c r="D15" s="94" t="s">
        <v>1098</v>
      </c>
      <c r="E15" s="104">
        <v>1.6215277777777779</v>
      </c>
      <c r="F15" s="94" t="s">
        <v>458</v>
      </c>
      <c r="G15" s="96">
        <v>9</v>
      </c>
      <c r="H15" s="97">
        <v>379</v>
      </c>
      <c r="I15" s="88"/>
    </row>
    <row r="16" spans="1:9" ht="19.8" customHeight="1" x14ac:dyDescent="0.3">
      <c r="A16" s="103">
        <v>45986</v>
      </c>
      <c r="B16" s="94" t="s">
        <v>26</v>
      </c>
      <c r="C16" s="95" t="s">
        <v>1099</v>
      </c>
      <c r="D16" s="94" t="s">
        <v>1098</v>
      </c>
      <c r="E16" s="104">
        <v>1.760416666666667</v>
      </c>
      <c r="F16" s="94" t="s">
        <v>31</v>
      </c>
      <c r="G16" s="96">
        <v>28</v>
      </c>
      <c r="H16" s="97">
        <v>409</v>
      </c>
      <c r="I16" s="88"/>
    </row>
    <row r="17" spans="1:9" ht="19.8" customHeight="1" x14ac:dyDescent="0.3">
      <c r="A17" s="103">
        <v>45986</v>
      </c>
      <c r="B17" s="94" t="s">
        <v>26</v>
      </c>
      <c r="C17" s="95" t="s">
        <v>1104</v>
      </c>
      <c r="D17" s="94" t="s">
        <v>1098</v>
      </c>
      <c r="E17" s="104">
        <v>1.5</v>
      </c>
      <c r="F17" s="94" t="s">
        <v>31</v>
      </c>
      <c r="G17" s="96">
        <v>25</v>
      </c>
      <c r="H17" s="97">
        <v>409</v>
      </c>
      <c r="I17" s="88"/>
    </row>
    <row r="18" spans="1:9" ht="19.8" customHeight="1" x14ac:dyDescent="0.3">
      <c r="A18" s="103">
        <v>45986</v>
      </c>
      <c r="B18" s="94" t="s">
        <v>26</v>
      </c>
      <c r="C18" s="95" t="s">
        <v>1107</v>
      </c>
      <c r="D18" s="94" t="s">
        <v>1098</v>
      </c>
      <c r="E18" s="104">
        <v>1.447916666666667</v>
      </c>
      <c r="F18" s="94" t="s">
        <v>31</v>
      </c>
      <c r="G18" s="96">
        <v>18</v>
      </c>
      <c r="H18" s="97">
        <v>409</v>
      </c>
      <c r="I18" s="88"/>
    </row>
    <row r="19" spans="1:9" ht="19.8" customHeight="1" x14ac:dyDescent="0.3">
      <c r="A19" s="103">
        <v>45986</v>
      </c>
      <c r="B19" s="94" t="s">
        <v>26</v>
      </c>
      <c r="C19" s="95" t="s">
        <v>1110</v>
      </c>
      <c r="D19" s="94" t="s">
        <v>1098</v>
      </c>
      <c r="E19" s="104">
        <v>1.8159722222222221</v>
      </c>
      <c r="F19" s="94" t="s">
        <v>31</v>
      </c>
      <c r="G19" s="96">
        <v>14</v>
      </c>
      <c r="H19" s="97">
        <v>409</v>
      </c>
      <c r="I19" s="88"/>
    </row>
    <row r="20" spans="1:9" ht="19.8" customHeight="1" x14ac:dyDescent="0.3">
      <c r="A20" s="103">
        <v>45986</v>
      </c>
      <c r="B20" s="94" t="s">
        <v>36</v>
      </c>
      <c r="C20" s="95" t="s">
        <v>1113</v>
      </c>
      <c r="D20" s="94" t="s">
        <v>1098</v>
      </c>
      <c r="E20" s="104">
        <v>1.8263888888888891</v>
      </c>
      <c r="F20" s="94" t="s">
        <v>40</v>
      </c>
      <c r="G20" s="96">
        <v>3</v>
      </c>
      <c r="H20" s="97">
        <v>429</v>
      </c>
      <c r="I20" s="88"/>
    </row>
    <row r="21" spans="1:9" ht="19.8" customHeight="1" x14ac:dyDescent="0.3">
      <c r="A21" s="103">
        <v>45986</v>
      </c>
      <c r="B21" s="94" t="s">
        <v>36</v>
      </c>
      <c r="C21" s="95" t="s">
        <v>1114</v>
      </c>
      <c r="D21" s="94" t="s">
        <v>1098</v>
      </c>
      <c r="E21" s="104">
        <v>1.375</v>
      </c>
      <c r="F21" s="94" t="s">
        <v>40</v>
      </c>
      <c r="G21" s="96">
        <v>9</v>
      </c>
      <c r="H21" s="97">
        <v>429</v>
      </c>
      <c r="I21" s="88"/>
    </row>
    <row r="22" spans="1:9" ht="19.8" customHeight="1" x14ac:dyDescent="0.3">
      <c r="A22" s="103">
        <v>45986</v>
      </c>
      <c r="B22" s="94" t="s">
        <v>36</v>
      </c>
      <c r="C22" s="95" t="s">
        <v>1115</v>
      </c>
      <c r="D22" s="94" t="s">
        <v>1098</v>
      </c>
      <c r="E22" s="104">
        <v>1.5659722222222221</v>
      </c>
      <c r="F22" s="94" t="s">
        <v>40</v>
      </c>
      <c r="G22" s="96">
        <v>9</v>
      </c>
      <c r="H22" s="97">
        <v>429</v>
      </c>
      <c r="I22" s="88"/>
    </row>
    <row r="23" spans="1:9" ht="19.8" customHeight="1" x14ac:dyDescent="0.3">
      <c r="A23" s="103">
        <v>45986</v>
      </c>
      <c r="B23" s="94" t="s">
        <v>36</v>
      </c>
      <c r="C23" s="95" t="s">
        <v>1116</v>
      </c>
      <c r="D23" s="94" t="s">
        <v>1098</v>
      </c>
      <c r="E23" s="104">
        <v>1.305555555555556</v>
      </c>
      <c r="F23" s="94" t="s">
        <v>40</v>
      </c>
      <c r="G23" s="96">
        <v>9</v>
      </c>
      <c r="H23" s="97">
        <v>429</v>
      </c>
      <c r="I23" s="88"/>
    </row>
    <row r="24" spans="1:9" ht="19.8" customHeight="1" x14ac:dyDescent="0.3">
      <c r="A24" s="103">
        <v>45986</v>
      </c>
      <c r="B24" s="94" t="s">
        <v>36</v>
      </c>
      <c r="C24" s="95" t="s">
        <v>1117</v>
      </c>
      <c r="D24" s="94" t="s">
        <v>1098</v>
      </c>
      <c r="E24" s="104">
        <v>1.6875</v>
      </c>
      <c r="F24" s="94" t="s">
        <v>40</v>
      </c>
      <c r="G24" s="96">
        <v>6</v>
      </c>
      <c r="H24" s="97">
        <v>429</v>
      </c>
      <c r="I24" s="88"/>
    </row>
    <row r="25" spans="1:9" ht="19.8" customHeight="1" x14ac:dyDescent="0.3">
      <c r="A25" s="103">
        <v>45986</v>
      </c>
      <c r="B25" s="94" t="s">
        <v>36</v>
      </c>
      <c r="C25" s="95" t="s">
        <v>1118</v>
      </c>
      <c r="D25" s="94" t="s">
        <v>1098</v>
      </c>
      <c r="E25" s="104">
        <v>1.427083333333333</v>
      </c>
      <c r="F25" s="94" t="s">
        <v>40</v>
      </c>
      <c r="G25" s="96">
        <v>9</v>
      </c>
      <c r="H25" s="97">
        <v>429</v>
      </c>
      <c r="I25" s="88"/>
    </row>
    <row r="26" spans="1:9" ht="19.8" customHeight="1" x14ac:dyDescent="0.3">
      <c r="A26" s="103">
        <v>45986</v>
      </c>
      <c r="B26" s="94" t="s">
        <v>36</v>
      </c>
      <c r="C26" s="95" t="s">
        <v>1119</v>
      </c>
      <c r="D26" s="94" t="s">
        <v>1098</v>
      </c>
      <c r="E26" s="104">
        <v>1.5</v>
      </c>
      <c r="F26" s="94" t="s">
        <v>40</v>
      </c>
      <c r="G26" s="96">
        <v>9</v>
      </c>
      <c r="H26" s="97">
        <v>469</v>
      </c>
      <c r="I26" s="88"/>
    </row>
    <row r="27" spans="1:9" ht="19.8" customHeight="1" x14ac:dyDescent="0.3">
      <c r="A27" s="103">
        <v>45986</v>
      </c>
      <c r="B27" s="94" t="s">
        <v>456</v>
      </c>
      <c r="C27" s="95" t="s">
        <v>1124</v>
      </c>
      <c r="D27" s="94" t="s">
        <v>1098</v>
      </c>
      <c r="E27" s="104">
        <v>1.6215277777777779</v>
      </c>
      <c r="F27" s="94" t="s">
        <v>34</v>
      </c>
      <c r="G27" s="96">
        <v>9</v>
      </c>
      <c r="H27" s="97">
        <v>503</v>
      </c>
      <c r="I27" s="88"/>
    </row>
    <row r="28" spans="1:9" ht="19.8" customHeight="1" x14ac:dyDescent="0.3">
      <c r="A28" s="103">
        <v>45986</v>
      </c>
      <c r="B28" s="94" t="s">
        <v>36</v>
      </c>
      <c r="C28" s="95" t="s">
        <v>1113</v>
      </c>
      <c r="D28" s="94" t="s">
        <v>1098</v>
      </c>
      <c r="E28" s="104">
        <v>1.8263888888888891</v>
      </c>
      <c r="F28" s="94" t="s">
        <v>42</v>
      </c>
      <c r="G28" s="96">
        <v>3</v>
      </c>
      <c r="H28" s="97">
        <v>519</v>
      </c>
      <c r="I28" s="88"/>
    </row>
    <row r="29" spans="1:9" ht="19.8" customHeight="1" x14ac:dyDescent="0.3">
      <c r="A29" s="103">
        <v>45986</v>
      </c>
      <c r="B29" s="94" t="s">
        <v>36</v>
      </c>
      <c r="C29" s="95" t="s">
        <v>1114</v>
      </c>
      <c r="D29" s="94" t="s">
        <v>1098</v>
      </c>
      <c r="E29" s="104">
        <v>1.375</v>
      </c>
      <c r="F29" s="94" t="s">
        <v>42</v>
      </c>
      <c r="G29" s="96">
        <v>9</v>
      </c>
      <c r="H29" s="97">
        <v>519</v>
      </c>
      <c r="I29" s="88"/>
    </row>
    <row r="30" spans="1:9" ht="19.8" customHeight="1" x14ac:dyDescent="0.3">
      <c r="A30" s="103">
        <v>45986</v>
      </c>
      <c r="B30" s="94" t="s">
        <v>36</v>
      </c>
      <c r="C30" s="95" t="s">
        <v>1115</v>
      </c>
      <c r="D30" s="94" t="s">
        <v>1098</v>
      </c>
      <c r="E30" s="104">
        <v>1.5659722222222221</v>
      </c>
      <c r="F30" s="94" t="s">
        <v>42</v>
      </c>
      <c r="G30" s="96">
        <v>9</v>
      </c>
      <c r="H30" s="97">
        <v>519</v>
      </c>
      <c r="I30" s="88"/>
    </row>
    <row r="31" spans="1:9" ht="19.8" customHeight="1" x14ac:dyDescent="0.3">
      <c r="A31" s="103">
        <v>45986</v>
      </c>
      <c r="B31" s="94" t="s">
        <v>36</v>
      </c>
      <c r="C31" s="95" t="s">
        <v>1116</v>
      </c>
      <c r="D31" s="94" t="s">
        <v>1098</v>
      </c>
      <c r="E31" s="104">
        <v>1.305555555555556</v>
      </c>
      <c r="F31" s="94" t="s">
        <v>42</v>
      </c>
      <c r="G31" s="96">
        <v>9</v>
      </c>
      <c r="H31" s="97">
        <v>519</v>
      </c>
      <c r="I31" s="88"/>
    </row>
    <row r="32" spans="1:9" ht="19.8" customHeight="1" x14ac:dyDescent="0.3">
      <c r="A32" s="103">
        <v>45986</v>
      </c>
      <c r="B32" s="94" t="s">
        <v>36</v>
      </c>
      <c r="C32" s="95" t="s">
        <v>1117</v>
      </c>
      <c r="D32" s="94" t="s">
        <v>1098</v>
      </c>
      <c r="E32" s="104">
        <v>1.6875</v>
      </c>
      <c r="F32" s="94" t="s">
        <v>42</v>
      </c>
      <c r="G32" s="96">
        <v>6</v>
      </c>
      <c r="H32" s="97">
        <v>519</v>
      </c>
      <c r="I32" s="88"/>
    </row>
    <row r="33" spans="1:9" ht="19.8" customHeight="1" x14ac:dyDescent="0.3">
      <c r="A33" s="103">
        <v>45986</v>
      </c>
      <c r="B33" s="94" t="s">
        <v>36</v>
      </c>
      <c r="C33" s="95" t="s">
        <v>1118</v>
      </c>
      <c r="D33" s="94" t="s">
        <v>1098</v>
      </c>
      <c r="E33" s="104">
        <v>1.427083333333333</v>
      </c>
      <c r="F33" s="94" t="s">
        <v>42</v>
      </c>
      <c r="G33" s="96">
        <v>9</v>
      </c>
      <c r="H33" s="97">
        <v>519</v>
      </c>
      <c r="I33" s="88"/>
    </row>
    <row r="34" spans="1:9" ht="19.8" customHeight="1" x14ac:dyDescent="0.3">
      <c r="A34" s="103">
        <v>45986</v>
      </c>
      <c r="B34" s="94" t="s">
        <v>66</v>
      </c>
      <c r="C34" s="95" t="s">
        <v>1126</v>
      </c>
      <c r="D34" s="94" t="s">
        <v>1098</v>
      </c>
      <c r="E34" s="104">
        <v>1.166666666666667</v>
      </c>
      <c r="F34" s="94" t="s">
        <v>68</v>
      </c>
      <c r="G34" s="96">
        <v>9</v>
      </c>
      <c r="H34" s="97">
        <v>527</v>
      </c>
      <c r="I34" s="88"/>
    </row>
    <row r="35" spans="1:9" ht="19.8" customHeight="1" x14ac:dyDescent="0.3">
      <c r="A35" s="103">
        <v>45986</v>
      </c>
      <c r="B35" s="94" t="s">
        <v>36</v>
      </c>
      <c r="C35" s="95" t="s">
        <v>1119</v>
      </c>
      <c r="D35" s="94" t="s">
        <v>1098</v>
      </c>
      <c r="E35" s="104">
        <v>1.5</v>
      </c>
      <c r="F35" s="94" t="s">
        <v>42</v>
      </c>
      <c r="G35" s="96">
        <v>9</v>
      </c>
      <c r="H35" s="97">
        <v>559</v>
      </c>
      <c r="I35" s="88"/>
    </row>
    <row r="36" spans="1:9" ht="19.8" customHeight="1" x14ac:dyDescent="0.3">
      <c r="A36" s="103">
        <v>45986</v>
      </c>
      <c r="B36" s="94" t="s">
        <v>78</v>
      </c>
      <c r="C36" s="95" t="s">
        <v>1131</v>
      </c>
      <c r="D36" s="94" t="s">
        <v>1098</v>
      </c>
      <c r="E36" s="104">
        <v>1.552083333333333</v>
      </c>
      <c r="F36" s="94" t="s">
        <v>80</v>
      </c>
      <c r="G36" s="96">
        <v>9</v>
      </c>
      <c r="H36" s="97">
        <v>661</v>
      </c>
      <c r="I36" s="88"/>
    </row>
    <row r="37" spans="1:9" ht="19.8" customHeight="1" x14ac:dyDescent="0.3">
      <c r="A37" s="103">
        <v>45986</v>
      </c>
      <c r="B37" s="94" t="s">
        <v>78</v>
      </c>
      <c r="C37" s="95" t="s">
        <v>1134</v>
      </c>
      <c r="D37" s="94" t="s">
        <v>1098</v>
      </c>
      <c r="E37" s="104">
        <v>1.6840277777777779</v>
      </c>
      <c r="F37" s="94" t="s">
        <v>80</v>
      </c>
      <c r="G37" s="96">
        <v>3</v>
      </c>
      <c r="H37" s="97">
        <v>661</v>
      </c>
      <c r="I37" s="88"/>
    </row>
    <row r="38" spans="1:9" ht="19.8" customHeight="1" x14ac:dyDescent="0.3">
      <c r="A38" s="103">
        <v>45986</v>
      </c>
      <c r="B38" s="94" t="s">
        <v>78</v>
      </c>
      <c r="C38" s="95" t="s">
        <v>1135</v>
      </c>
      <c r="D38" s="94" t="s">
        <v>1098</v>
      </c>
      <c r="E38" s="104">
        <v>1.2986111111111109</v>
      </c>
      <c r="F38" s="94" t="s">
        <v>80</v>
      </c>
      <c r="G38" s="96">
        <v>9</v>
      </c>
      <c r="H38" s="97">
        <v>661</v>
      </c>
      <c r="I38" s="88"/>
    </row>
    <row r="39" spans="1:9" ht="19.8" customHeight="1" x14ac:dyDescent="0.3">
      <c r="A39" s="103">
        <v>45986</v>
      </c>
      <c r="B39" s="94" t="s">
        <v>78</v>
      </c>
      <c r="C39" s="95" t="s">
        <v>1136</v>
      </c>
      <c r="D39" s="94" t="s">
        <v>1098</v>
      </c>
      <c r="E39" s="104">
        <v>1.4826388888888891</v>
      </c>
      <c r="F39" s="94" t="s">
        <v>80</v>
      </c>
      <c r="G39" s="96">
        <v>9</v>
      </c>
      <c r="H39" s="97">
        <v>661</v>
      </c>
      <c r="I39" s="88"/>
    </row>
    <row r="40" spans="1:9" ht="19.8" customHeight="1" x14ac:dyDescent="0.3">
      <c r="A40" s="103">
        <v>45986</v>
      </c>
      <c r="B40" s="94" t="s">
        <v>66</v>
      </c>
      <c r="C40" s="95" t="s">
        <v>1128</v>
      </c>
      <c r="D40" s="94" t="s">
        <v>1098</v>
      </c>
      <c r="E40" s="104">
        <v>1.541666666666667</v>
      </c>
      <c r="F40" s="94" t="s">
        <v>68</v>
      </c>
      <c r="G40" s="96">
        <v>9</v>
      </c>
      <c r="H40" s="97">
        <v>702</v>
      </c>
      <c r="I40" s="88"/>
    </row>
    <row r="41" spans="1:9" ht="19.8" customHeight="1" x14ac:dyDescent="0.3">
      <c r="A41" s="103">
        <v>45986</v>
      </c>
      <c r="B41" s="94" t="s">
        <v>66</v>
      </c>
      <c r="C41" s="95" t="s">
        <v>1130</v>
      </c>
      <c r="D41" s="94" t="s">
        <v>1098</v>
      </c>
      <c r="E41" s="104">
        <v>1.916666666666667</v>
      </c>
      <c r="F41" s="94" t="s">
        <v>68</v>
      </c>
      <c r="G41" s="96">
        <v>9</v>
      </c>
      <c r="H41" s="97">
        <v>706</v>
      </c>
      <c r="I41" s="88"/>
    </row>
    <row r="42" spans="1:9" ht="19.8" customHeight="1" x14ac:dyDescent="0.3">
      <c r="A42" s="103">
        <v>45986</v>
      </c>
      <c r="B42" s="94" t="s">
        <v>78</v>
      </c>
      <c r="C42" s="95" t="s">
        <v>1131</v>
      </c>
      <c r="D42" s="94" t="s">
        <v>1098</v>
      </c>
      <c r="E42" s="104">
        <v>1.552083333333333</v>
      </c>
      <c r="F42" s="94" t="s">
        <v>83</v>
      </c>
      <c r="G42" s="96">
        <v>9</v>
      </c>
      <c r="H42" s="97">
        <v>711</v>
      </c>
      <c r="I42" s="88"/>
    </row>
    <row r="43" spans="1:9" ht="19.8" customHeight="1" x14ac:dyDescent="0.3">
      <c r="A43" s="103">
        <v>45986</v>
      </c>
      <c r="B43" s="94" t="s">
        <v>78</v>
      </c>
      <c r="C43" s="95" t="s">
        <v>1134</v>
      </c>
      <c r="D43" s="94" t="s">
        <v>1098</v>
      </c>
      <c r="E43" s="104">
        <v>1.6840277777777779</v>
      </c>
      <c r="F43" s="94" t="s">
        <v>83</v>
      </c>
      <c r="G43" s="96">
        <v>3</v>
      </c>
      <c r="H43" s="97">
        <v>711</v>
      </c>
      <c r="I43" s="88"/>
    </row>
    <row r="44" spans="1:9" ht="19.8" customHeight="1" x14ac:dyDescent="0.3">
      <c r="A44" s="103">
        <v>45986</v>
      </c>
      <c r="B44" s="94" t="s">
        <v>78</v>
      </c>
      <c r="C44" s="95" t="s">
        <v>1135</v>
      </c>
      <c r="D44" s="94" t="s">
        <v>1098</v>
      </c>
      <c r="E44" s="104">
        <v>1.2986111111111109</v>
      </c>
      <c r="F44" s="94" t="s">
        <v>83</v>
      </c>
      <c r="G44" s="96">
        <v>9</v>
      </c>
      <c r="H44" s="97">
        <v>711</v>
      </c>
      <c r="I44" s="88"/>
    </row>
    <row r="45" spans="1:9" ht="19.8" customHeight="1" x14ac:dyDescent="0.3">
      <c r="A45" s="103">
        <v>45986</v>
      </c>
      <c r="B45" s="94" t="s">
        <v>78</v>
      </c>
      <c r="C45" s="95" t="s">
        <v>1136</v>
      </c>
      <c r="D45" s="94" t="s">
        <v>1098</v>
      </c>
      <c r="E45" s="104">
        <v>1.4826388888888891</v>
      </c>
      <c r="F45" s="94" t="s">
        <v>83</v>
      </c>
      <c r="G45" s="96">
        <v>9</v>
      </c>
      <c r="H45" s="97">
        <v>711</v>
      </c>
      <c r="I45" s="88"/>
    </row>
    <row r="46" spans="1:9" ht="19.8" customHeight="1" x14ac:dyDescent="0.3">
      <c r="A46" s="103">
        <v>45986</v>
      </c>
      <c r="B46" s="94" t="s">
        <v>78</v>
      </c>
      <c r="C46" s="95" t="s">
        <v>1137</v>
      </c>
      <c r="D46" s="94" t="s">
        <v>1098</v>
      </c>
      <c r="E46" s="104">
        <v>1.836805555555556</v>
      </c>
      <c r="F46" s="94" t="s">
        <v>80</v>
      </c>
      <c r="G46" s="96">
        <v>9</v>
      </c>
      <c r="H46" s="97">
        <v>774</v>
      </c>
      <c r="I46" s="88"/>
    </row>
    <row r="47" spans="1:9" ht="19.8" customHeight="1" x14ac:dyDescent="0.3">
      <c r="A47" s="103">
        <v>45986</v>
      </c>
      <c r="B47" s="94" t="s">
        <v>78</v>
      </c>
      <c r="C47" s="95" t="s">
        <v>1137</v>
      </c>
      <c r="D47" s="94" t="s">
        <v>1098</v>
      </c>
      <c r="E47" s="104">
        <v>1.836805555555556</v>
      </c>
      <c r="F47" s="94" t="s">
        <v>83</v>
      </c>
      <c r="G47" s="96">
        <v>9</v>
      </c>
      <c r="H47" s="97">
        <v>824</v>
      </c>
      <c r="I47" s="88"/>
    </row>
    <row r="48" spans="1:9" ht="19.8" customHeight="1" x14ac:dyDescent="0.3">
      <c r="A48" s="103">
        <v>45986</v>
      </c>
      <c r="B48" s="94" t="s">
        <v>26</v>
      </c>
      <c r="C48" s="95" t="s">
        <v>1099</v>
      </c>
      <c r="D48" s="94" t="s">
        <v>1098</v>
      </c>
      <c r="E48" s="104">
        <v>1.760416666666667</v>
      </c>
      <c r="F48" s="94" t="s">
        <v>34</v>
      </c>
      <c r="G48" s="96">
        <v>28</v>
      </c>
      <c r="H48" s="97">
        <v>899</v>
      </c>
      <c r="I48" s="88"/>
    </row>
    <row r="49" spans="1:9" ht="19.8" customHeight="1" x14ac:dyDescent="0.3">
      <c r="A49" s="103">
        <v>45986</v>
      </c>
      <c r="B49" s="94" t="s">
        <v>26</v>
      </c>
      <c r="C49" s="95" t="s">
        <v>1107</v>
      </c>
      <c r="D49" s="94" t="s">
        <v>1098</v>
      </c>
      <c r="E49" s="104">
        <v>1.447916666666667</v>
      </c>
      <c r="F49" s="94" t="s">
        <v>34</v>
      </c>
      <c r="G49" s="96">
        <v>18</v>
      </c>
      <c r="H49" s="97">
        <v>899</v>
      </c>
      <c r="I49" s="88"/>
    </row>
    <row r="50" spans="1:9" ht="19.8" customHeight="1" x14ac:dyDescent="0.3">
      <c r="A50" s="103">
        <v>45986</v>
      </c>
      <c r="B50" s="94" t="s">
        <v>78</v>
      </c>
      <c r="C50" s="95" t="s">
        <v>1140</v>
      </c>
      <c r="D50" s="94" t="s">
        <v>1098</v>
      </c>
      <c r="E50" s="104">
        <v>1.5</v>
      </c>
      <c r="F50" s="94" t="s">
        <v>83</v>
      </c>
      <c r="G50" s="96">
        <v>4</v>
      </c>
      <c r="H50" s="107" t="s">
        <v>1141</v>
      </c>
      <c r="I50" s="88"/>
    </row>
    <row r="51" spans="1:9" ht="19.8" customHeight="1" x14ac:dyDescent="0.3">
      <c r="A51" s="103">
        <v>45986</v>
      </c>
      <c r="B51" s="94" t="s">
        <v>78</v>
      </c>
      <c r="C51" s="95" t="s">
        <v>1142</v>
      </c>
      <c r="D51" s="94" t="s">
        <v>1098</v>
      </c>
      <c r="E51" s="104">
        <v>1.760416666666667</v>
      </c>
      <c r="F51" s="94" t="s">
        <v>83</v>
      </c>
      <c r="G51" s="96">
        <v>4</v>
      </c>
      <c r="H51" s="107" t="s">
        <v>1141</v>
      </c>
      <c r="I51" s="88"/>
    </row>
    <row r="52" spans="1:9" ht="19.8" customHeight="1" x14ac:dyDescent="0.3">
      <c r="A52" s="103">
        <v>45986</v>
      </c>
      <c r="B52" s="94" t="s">
        <v>78</v>
      </c>
      <c r="C52" s="95" t="s">
        <v>1143</v>
      </c>
      <c r="D52" s="94" t="s">
        <v>1098</v>
      </c>
      <c r="E52" s="104">
        <v>1.8159722222222221</v>
      </c>
      <c r="F52" s="94" t="s">
        <v>83</v>
      </c>
      <c r="G52" s="96">
        <v>4</v>
      </c>
      <c r="H52" s="107" t="s">
        <v>1141</v>
      </c>
      <c r="I52" s="88"/>
    </row>
    <row r="53" spans="1:9" ht="19.8" customHeight="1" x14ac:dyDescent="0.3">
      <c r="A53" s="103">
        <v>45986</v>
      </c>
      <c r="B53" s="94" t="s">
        <v>26</v>
      </c>
      <c r="C53" s="95" t="s">
        <v>1104</v>
      </c>
      <c r="D53" s="94" t="s">
        <v>1098</v>
      </c>
      <c r="E53" s="104">
        <v>1.5</v>
      </c>
      <c r="F53" s="94" t="s">
        <v>34</v>
      </c>
      <c r="G53" s="96">
        <v>25</v>
      </c>
      <c r="H53" s="107" t="s">
        <v>110</v>
      </c>
      <c r="I53" s="88"/>
    </row>
    <row r="54" spans="1:9" ht="19.8" customHeight="1" x14ac:dyDescent="0.3">
      <c r="A54" s="113">
        <v>45986</v>
      </c>
      <c r="B54" s="114" t="s">
        <v>26</v>
      </c>
      <c r="C54" s="115" t="s">
        <v>1110</v>
      </c>
      <c r="D54" s="114" t="s">
        <v>1098</v>
      </c>
      <c r="E54" s="116">
        <v>1.8159722222222221</v>
      </c>
      <c r="F54" s="114" t="s">
        <v>34</v>
      </c>
      <c r="G54" s="117">
        <v>14</v>
      </c>
      <c r="H54" s="118" t="s">
        <v>110</v>
      </c>
      <c r="I54" s="88"/>
    </row>
    <row r="55" spans="1:9" ht="19.8" customHeight="1" x14ac:dyDescent="0.3">
      <c r="A55" s="103">
        <v>45987</v>
      </c>
      <c r="B55" s="94" t="s">
        <v>26</v>
      </c>
      <c r="C55" s="95" t="s">
        <v>1099</v>
      </c>
      <c r="D55" s="94" t="s">
        <v>1098</v>
      </c>
      <c r="E55" s="104">
        <v>1.760416666666667</v>
      </c>
      <c r="F55" s="94" t="s">
        <v>28</v>
      </c>
      <c r="G55" s="96">
        <v>14</v>
      </c>
      <c r="H55" s="97">
        <v>259</v>
      </c>
      <c r="I55" s="88"/>
    </row>
    <row r="56" spans="1:9" ht="19.8" customHeight="1" x14ac:dyDescent="0.3">
      <c r="A56" s="103">
        <v>45987</v>
      </c>
      <c r="B56" s="94" t="s">
        <v>26</v>
      </c>
      <c r="C56" s="95" t="s">
        <v>1104</v>
      </c>
      <c r="D56" s="94" t="s">
        <v>1098</v>
      </c>
      <c r="E56" s="104">
        <v>1.5</v>
      </c>
      <c r="F56" s="94" t="s">
        <v>28</v>
      </c>
      <c r="G56" s="96">
        <v>55</v>
      </c>
      <c r="H56" s="97">
        <v>259</v>
      </c>
      <c r="I56" s="88"/>
    </row>
    <row r="57" spans="1:9" ht="19.8" customHeight="1" x14ac:dyDescent="0.3">
      <c r="A57" s="103">
        <v>45987</v>
      </c>
      <c r="B57" s="94" t="s">
        <v>26</v>
      </c>
      <c r="C57" s="95" t="s">
        <v>1107</v>
      </c>
      <c r="D57" s="94" t="s">
        <v>1098</v>
      </c>
      <c r="E57" s="104">
        <v>1.447916666666667</v>
      </c>
      <c r="F57" s="94" t="s">
        <v>28</v>
      </c>
      <c r="G57" s="96">
        <v>22</v>
      </c>
      <c r="H57" s="97">
        <v>259</v>
      </c>
      <c r="I57" s="88"/>
    </row>
    <row r="58" spans="1:9" ht="19.8" customHeight="1" x14ac:dyDescent="0.3">
      <c r="A58" s="103">
        <v>45987</v>
      </c>
      <c r="B58" s="94" t="s">
        <v>26</v>
      </c>
      <c r="C58" s="95" t="s">
        <v>1110</v>
      </c>
      <c r="D58" s="94" t="s">
        <v>1098</v>
      </c>
      <c r="E58" s="104">
        <v>1.8159722222222221</v>
      </c>
      <c r="F58" s="94" t="s">
        <v>28</v>
      </c>
      <c r="G58" s="96">
        <v>3</v>
      </c>
      <c r="H58" s="97">
        <v>259</v>
      </c>
      <c r="I58" s="88"/>
    </row>
    <row r="59" spans="1:9" ht="19.8" customHeight="1" x14ac:dyDescent="0.3">
      <c r="A59" s="103">
        <v>45987</v>
      </c>
      <c r="B59" s="94" t="s">
        <v>36</v>
      </c>
      <c r="C59" s="95" t="s">
        <v>1114</v>
      </c>
      <c r="D59" s="94" t="s">
        <v>1098</v>
      </c>
      <c r="E59" s="104">
        <v>1.375</v>
      </c>
      <c r="F59" s="94" t="s">
        <v>38</v>
      </c>
      <c r="G59" s="96">
        <v>9</v>
      </c>
      <c r="H59" s="97">
        <v>289</v>
      </c>
      <c r="I59" s="88"/>
    </row>
    <row r="60" spans="1:9" ht="19.8" customHeight="1" x14ac:dyDescent="0.3">
      <c r="A60" s="103">
        <v>45987</v>
      </c>
      <c r="B60" s="94" t="s">
        <v>36</v>
      </c>
      <c r="C60" s="95" t="s">
        <v>1115</v>
      </c>
      <c r="D60" s="94" t="s">
        <v>1098</v>
      </c>
      <c r="E60" s="104">
        <v>1.5659722222222221</v>
      </c>
      <c r="F60" s="94" t="s">
        <v>38</v>
      </c>
      <c r="G60" s="96">
        <v>1</v>
      </c>
      <c r="H60" s="97">
        <v>289</v>
      </c>
      <c r="I60" s="88"/>
    </row>
    <row r="61" spans="1:9" ht="19.8" customHeight="1" x14ac:dyDescent="0.3">
      <c r="A61" s="103">
        <v>45987</v>
      </c>
      <c r="B61" s="94" t="s">
        <v>36</v>
      </c>
      <c r="C61" s="95" t="s">
        <v>1116</v>
      </c>
      <c r="D61" s="94" t="s">
        <v>1098</v>
      </c>
      <c r="E61" s="104">
        <v>1.305555555555556</v>
      </c>
      <c r="F61" s="94" t="s">
        <v>38</v>
      </c>
      <c r="G61" s="96">
        <v>9</v>
      </c>
      <c r="H61" s="97">
        <v>289</v>
      </c>
      <c r="I61" s="88"/>
    </row>
    <row r="62" spans="1:9" ht="19.8" customHeight="1" x14ac:dyDescent="0.3">
      <c r="A62" s="103">
        <v>45987</v>
      </c>
      <c r="B62" s="94" t="s">
        <v>36</v>
      </c>
      <c r="C62" s="95" t="s">
        <v>1118</v>
      </c>
      <c r="D62" s="94" t="s">
        <v>1098</v>
      </c>
      <c r="E62" s="104">
        <v>1.427083333333333</v>
      </c>
      <c r="F62" s="94" t="s">
        <v>38</v>
      </c>
      <c r="G62" s="96">
        <v>9</v>
      </c>
      <c r="H62" s="97">
        <v>289</v>
      </c>
      <c r="I62" s="88"/>
    </row>
    <row r="63" spans="1:9" ht="19.8" customHeight="1" x14ac:dyDescent="0.3">
      <c r="A63" s="103">
        <v>45987</v>
      </c>
      <c r="B63" s="94" t="s">
        <v>404</v>
      </c>
      <c r="C63" s="95" t="s">
        <v>1120</v>
      </c>
      <c r="D63" s="94" t="s">
        <v>1098</v>
      </c>
      <c r="E63" s="104">
        <v>1.2777777777777779</v>
      </c>
      <c r="F63" s="94" t="s">
        <v>46</v>
      </c>
      <c r="G63" s="96">
        <v>9</v>
      </c>
      <c r="H63" s="97">
        <v>290</v>
      </c>
      <c r="I63" s="88"/>
    </row>
    <row r="64" spans="1:9" ht="19.8" customHeight="1" x14ac:dyDescent="0.3">
      <c r="A64" s="103">
        <v>45987</v>
      </c>
      <c r="B64" s="94" t="s">
        <v>456</v>
      </c>
      <c r="C64" s="95" t="s">
        <v>1150</v>
      </c>
      <c r="D64" s="94" t="s">
        <v>1098</v>
      </c>
      <c r="E64" s="104">
        <v>1.2361111111111109</v>
      </c>
      <c r="F64" s="94" t="s">
        <v>458</v>
      </c>
      <c r="G64" s="96">
        <v>9</v>
      </c>
      <c r="H64" s="97">
        <v>305</v>
      </c>
      <c r="I64" s="88"/>
    </row>
    <row r="65" spans="1:9" ht="19.8" customHeight="1" x14ac:dyDescent="0.3">
      <c r="A65" s="103">
        <v>45987</v>
      </c>
      <c r="B65" s="94" t="s">
        <v>36</v>
      </c>
      <c r="C65" s="95" t="s">
        <v>1119</v>
      </c>
      <c r="D65" s="94" t="s">
        <v>1098</v>
      </c>
      <c r="E65" s="104">
        <v>1.5</v>
      </c>
      <c r="F65" s="94" t="s">
        <v>38</v>
      </c>
      <c r="G65" s="96">
        <v>9</v>
      </c>
      <c r="H65" s="97">
        <v>329</v>
      </c>
      <c r="I65" s="88"/>
    </row>
    <row r="66" spans="1:9" ht="19.8" customHeight="1" x14ac:dyDescent="0.3">
      <c r="A66" s="103">
        <v>45987</v>
      </c>
      <c r="B66" s="94" t="s">
        <v>36</v>
      </c>
      <c r="C66" s="95" t="s">
        <v>1117</v>
      </c>
      <c r="D66" s="94" t="s">
        <v>1098</v>
      </c>
      <c r="E66" s="104">
        <v>1.6875</v>
      </c>
      <c r="F66" s="94" t="s">
        <v>38</v>
      </c>
      <c r="G66" s="96">
        <v>9</v>
      </c>
      <c r="H66" s="97">
        <v>329</v>
      </c>
      <c r="I66" s="88"/>
    </row>
    <row r="67" spans="1:9" ht="19.8" customHeight="1" x14ac:dyDescent="0.3">
      <c r="A67" s="105">
        <v>45987</v>
      </c>
      <c r="B67" s="99" t="s">
        <v>44</v>
      </c>
      <c r="C67" s="100" t="s">
        <v>1121</v>
      </c>
      <c r="D67" s="99" t="s">
        <v>1098</v>
      </c>
      <c r="E67" s="106">
        <v>1.9236111111111109</v>
      </c>
      <c r="F67" s="99" t="s">
        <v>46</v>
      </c>
      <c r="G67" s="101">
        <v>9</v>
      </c>
      <c r="H67" s="102">
        <v>355</v>
      </c>
      <c r="I67" s="88"/>
    </row>
    <row r="68" spans="1:9" ht="19.8" customHeight="1" x14ac:dyDescent="0.3">
      <c r="A68" s="105">
        <v>45987</v>
      </c>
      <c r="B68" s="99" t="s">
        <v>44</v>
      </c>
      <c r="C68" s="100" t="s">
        <v>1154</v>
      </c>
      <c r="D68" s="99" t="s">
        <v>1098</v>
      </c>
      <c r="E68" s="106">
        <v>1.6111111111111109</v>
      </c>
      <c r="F68" s="99" t="s">
        <v>46</v>
      </c>
      <c r="G68" s="101">
        <v>9</v>
      </c>
      <c r="H68" s="102">
        <v>355</v>
      </c>
      <c r="I68" s="88"/>
    </row>
    <row r="69" spans="1:9" ht="19.8" customHeight="1" x14ac:dyDescent="0.3">
      <c r="A69" s="103">
        <v>45987</v>
      </c>
      <c r="B69" s="94" t="s">
        <v>410</v>
      </c>
      <c r="C69" s="95" t="s">
        <v>1157</v>
      </c>
      <c r="D69" s="94" t="s">
        <v>1098</v>
      </c>
      <c r="E69" s="104">
        <v>1.802083333333333</v>
      </c>
      <c r="F69" s="94" t="s">
        <v>46</v>
      </c>
      <c r="G69" s="96">
        <v>9</v>
      </c>
      <c r="H69" s="97">
        <v>357</v>
      </c>
      <c r="I69" s="88"/>
    </row>
    <row r="70" spans="1:9" ht="19.8" customHeight="1" x14ac:dyDescent="0.3">
      <c r="A70" s="103">
        <v>45987</v>
      </c>
      <c r="B70" s="94" t="s">
        <v>36</v>
      </c>
      <c r="C70" s="95" t="s">
        <v>1114</v>
      </c>
      <c r="D70" s="94" t="s">
        <v>1098</v>
      </c>
      <c r="E70" s="104">
        <v>1.375</v>
      </c>
      <c r="F70" s="94" t="s">
        <v>40</v>
      </c>
      <c r="G70" s="96">
        <v>9</v>
      </c>
      <c r="H70" s="97">
        <v>389</v>
      </c>
      <c r="I70" s="88"/>
    </row>
    <row r="71" spans="1:9" ht="19.8" customHeight="1" x14ac:dyDescent="0.3">
      <c r="A71" s="103">
        <v>45987</v>
      </c>
      <c r="B71" s="94" t="s">
        <v>36</v>
      </c>
      <c r="C71" s="95" t="s">
        <v>1115</v>
      </c>
      <c r="D71" s="94" t="s">
        <v>1098</v>
      </c>
      <c r="E71" s="104">
        <v>1.5659722222222221</v>
      </c>
      <c r="F71" s="94" t="s">
        <v>40</v>
      </c>
      <c r="G71" s="96">
        <v>1</v>
      </c>
      <c r="H71" s="97">
        <v>389</v>
      </c>
      <c r="I71" s="88"/>
    </row>
    <row r="72" spans="1:9" ht="19.8" customHeight="1" x14ac:dyDescent="0.3">
      <c r="A72" s="103">
        <v>45987</v>
      </c>
      <c r="B72" s="94" t="s">
        <v>36</v>
      </c>
      <c r="C72" s="95" t="s">
        <v>1116</v>
      </c>
      <c r="D72" s="94" t="s">
        <v>1098</v>
      </c>
      <c r="E72" s="104">
        <v>1.305555555555556</v>
      </c>
      <c r="F72" s="94" t="s">
        <v>40</v>
      </c>
      <c r="G72" s="96">
        <v>9</v>
      </c>
      <c r="H72" s="97">
        <v>389</v>
      </c>
      <c r="I72" s="88"/>
    </row>
    <row r="73" spans="1:9" ht="19.8" customHeight="1" x14ac:dyDescent="0.3">
      <c r="A73" s="103">
        <v>45987</v>
      </c>
      <c r="B73" s="94" t="s">
        <v>36</v>
      </c>
      <c r="C73" s="95" t="s">
        <v>1118</v>
      </c>
      <c r="D73" s="94" t="s">
        <v>1098</v>
      </c>
      <c r="E73" s="104">
        <v>1.427083333333333</v>
      </c>
      <c r="F73" s="94" t="s">
        <v>40</v>
      </c>
      <c r="G73" s="96">
        <v>9</v>
      </c>
      <c r="H73" s="97">
        <v>389</v>
      </c>
      <c r="I73" s="88"/>
    </row>
    <row r="74" spans="1:9" ht="19.8" customHeight="1" x14ac:dyDescent="0.3">
      <c r="A74" s="103">
        <v>45987</v>
      </c>
      <c r="B74" s="94" t="s">
        <v>26</v>
      </c>
      <c r="C74" s="95" t="s">
        <v>1099</v>
      </c>
      <c r="D74" s="94" t="s">
        <v>1098</v>
      </c>
      <c r="E74" s="104">
        <v>1.760416666666667</v>
      </c>
      <c r="F74" s="94" t="s">
        <v>31</v>
      </c>
      <c r="G74" s="96">
        <v>14</v>
      </c>
      <c r="H74" s="97">
        <v>409</v>
      </c>
      <c r="I74" s="88"/>
    </row>
    <row r="75" spans="1:9" ht="19.8" customHeight="1" x14ac:dyDescent="0.3">
      <c r="A75" s="103">
        <v>45987</v>
      </c>
      <c r="B75" s="94" t="s">
        <v>26</v>
      </c>
      <c r="C75" s="95" t="s">
        <v>1104</v>
      </c>
      <c r="D75" s="94" t="s">
        <v>1098</v>
      </c>
      <c r="E75" s="104">
        <v>1.5</v>
      </c>
      <c r="F75" s="94" t="s">
        <v>31</v>
      </c>
      <c r="G75" s="96">
        <v>55</v>
      </c>
      <c r="H75" s="97">
        <v>409</v>
      </c>
      <c r="I75" s="88"/>
    </row>
    <row r="76" spans="1:9" ht="19.8" customHeight="1" x14ac:dyDescent="0.3">
      <c r="A76" s="103">
        <v>45987</v>
      </c>
      <c r="B76" s="94" t="s">
        <v>26</v>
      </c>
      <c r="C76" s="95" t="s">
        <v>1107</v>
      </c>
      <c r="D76" s="94" t="s">
        <v>1098</v>
      </c>
      <c r="E76" s="104">
        <v>1.447916666666667</v>
      </c>
      <c r="F76" s="94" t="s">
        <v>31</v>
      </c>
      <c r="G76" s="96">
        <v>22</v>
      </c>
      <c r="H76" s="97">
        <v>409</v>
      </c>
      <c r="I76" s="88"/>
    </row>
    <row r="77" spans="1:9" ht="19.8" customHeight="1" x14ac:dyDescent="0.3">
      <c r="A77" s="103">
        <v>45987</v>
      </c>
      <c r="B77" s="94" t="s">
        <v>26</v>
      </c>
      <c r="C77" s="95" t="s">
        <v>1110</v>
      </c>
      <c r="D77" s="94" t="s">
        <v>1098</v>
      </c>
      <c r="E77" s="104">
        <v>1.8159722222222221</v>
      </c>
      <c r="F77" s="94" t="s">
        <v>31</v>
      </c>
      <c r="G77" s="96">
        <v>3</v>
      </c>
      <c r="H77" s="97">
        <v>409</v>
      </c>
      <c r="I77" s="88"/>
    </row>
    <row r="78" spans="1:9" ht="19.8" customHeight="1" x14ac:dyDescent="0.3">
      <c r="A78" s="103">
        <v>45987</v>
      </c>
      <c r="B78" s="94" t="s">
        <v>36</v>
      </c>
      <c r="C78" s="95" t="s">
        <v>1113</v>
      </c>
      <c r="D78" s="94" t="s">
        <v>1098</v>
      </c>
      <c r="E78" s="104">
        <v>1.8263888888888891</v>
      </c>
      <c r="F78" s="94" t="s">
        <v>38</v>
      </c>
      <c r="G78" s="96">
        <v>9</v>
      </c>
      <c r="H78" s="97">
        <v>409</v>
      </c>
      <c r="I78" s="88"/>
    </row>
    <row r="79" spans="1:9" ht="19.8" customHeight="1" x14ac:dyDescent="0.3">
      <c r="A79" s="103">
        <v>45987</v>
      </c>
      <c r="B79" s="94" t="s">
        <v>456</v>
      </c>
      <c r="C79" s="95" t="s">
        <v>1150</v>
      </c>
      <c r="D79" s="94" t="s">
        <v>1098</v>
      </c>
      <c r="E79" s="104">
        <v>1.2361111111111109</v>
      </c>
      <c r="F79" s="94" t="s">
        <v>34</v>
      </c>
      <c r="G79" s="96">
        <v>9</v>
      </c>
      <c r="H79" s="97">
        <v>428</v>
      </c>
      <c r="I79" s="88"/>
    </row>
    <row r="80" spans="1:9" ht="19.8" customHeight="1" x14ac:dyDescent="0.3">
      <c r="A80" s="103">
        <v>45987</v>
      </c>
      <c r="B80" s="94" t="s">
        <v>36</v>
      </c>
      <c r="C80" s="95" t="s">
        <v>1119</v>
      </c>
      <c r="D80" s="94" t="s">
        <v>1098</v>
      </c>
      <c r="E80" s="104">
        <v>1.5</v>
      </c>
      <c r="F80" s="94" t="s">
        <v>40</v>
      </c>
      <c r="G80" s="96">
        <v>9</v>
      </c>
      <c r="H80" s="97">
        <v>429</v>
      </c>
      <c r="I80" s="88"/>
    </row>
    <row r="81" spans="1:9" ht="19.8" customHeight="1" x14ac:dyDescent="0.3">
      <c r="A81" s="103">
        <v>45987</v>
      </c>
      <c r="B81" s="94" t="s">
        <v>36</v>
      </c>
      <c r="C81" s="95" t="s">
        <v>1117</v>
      </c>
      <c r="D81" s="94" t="s">
        <v>1098</v>
      </c>
      <c r="E81" s="104">
        <v>1.6875</v>
      </c>
      <c r="F81" s="94" t="s">
        <v>40</v>
      </c>
      <c r="G81" s="96">
        <v>9</v>
      </c>
      <c r="H81" s="97">
        <v>429</v>
      </c>
      <c r="I81" s="88"/>
    </row>
    <row r="82" spans="1:9" ht="19.8" customHeight="1" x14ac:dyDescent="0.3">
      <c r="A82" s="103">
        <v>45987</v>
      </c>
      <c r="B82" s="94" t="s">
        <v>66</v>
      </c>
      <c r="C82" s="95" t="s">
        <v>1126</v>
      </c>
      <c r="D82" s="94" t="s">
        <v>1098</v>
      </c>
      <c r="E82" s="104">
        <v>1.166666666666667</v>
      </c>
      <c r="F82" s="94" t="s">
        <v>68</v>
      </c>
      <c r="G82" s="96">
        <v>9</v>
      </c>
      <c r="H82" s="97">
        <v>462</v>
      </c>
      <c r="I82" s="88"/>
    </row>
    <row r="83" spans="1:9" ht="19.8" customHeight="1" x14ac:dyDescent="0.3">
      <c r="A83" s="103">
        <v>45987</v>
      </c>
      <c r="B83" s="94" t="s">
        <v>36</v>
      </c>
      <c r="C83" s="95" t="s">
        <v>1114</v>
      </c>
      <c r="D83" s="94" t="s">
        <v>1098</v>
      </c>
      <c r="E83" s="104">
        <v>1.375</v>
      </c>
      <c r="F83" s="94" t="s">
        <v>42</v>
      </c>
      <c r="G83" s="96">
        <v>9</v>
      </c>
      <c r="H83" s="97">
        <v>479</v>
      </c>
      <c r="I83" s="88"/>
    </row>
    <row r="84" spans="1:9" ht="19.8" customHeight="1" x14ac:dyDescent="0.3">
      <c r="A84" s="103">
        <v>45987</v>
      </c>
      <c r="B84" s="94" t="s">
        <v>36</v>
      </c>
      <c r="C84" s="95" t="s">
        <v>1115</v>
      </c>
      <c r="D84" s="94" t="s">
        <v>1098</v>
      </c>
      <c r="E84" s="104">
        <v>1.5659722222222221</v>
      </c>
      <c r="F84" s="94" t="s">
        <v>42</v>
      </c>
      <c r="G84" s="96">
        <v>1</v>
      </c>
      <c r="H84" s="97">
        <v>479</v>
      </c>
      <c r="I84" s="88"/>
    </row>
    <row r="85" spans="1:9" ht="19.8" customHeight="1" x14ac:dyDescent="0.3">
      <c r="A85" s="103">
        <v>45987</v>
      </c>
      <c r="B85" s="94" t="s">
        <v>36</v>
      </c>
      <c r="C85" s="95" t="s">
        <v>1116</v>
      </c>
      <c r="D85" s="94" t="s">
        <v>1098</v>
      </c>
      <c r="E85" s="104">
        <v>1.305555555555556</v>
      </c>
      <c r="F85" s="94" t="s">
        <v>42</v>
      </c>
      <c r="G85" s="96">
        <v>9</v>
      </c>
      <c r="H85" s="97">
        <v>479</v>
      </c>
      <c r="I85" s="88"/>
    </row>
    <row r="86" spans="1:9" ht="19.8" customHeight="1" x14ac:dyDescent="0.3">
      <c r="A86" s="103">
        <v>45987</v>
      </c>
      <c r="B86" s="94" t="s">
        <v>36</v>
      </c>
      <c r="C86" s="95" t="s">
        <v>1118</v>
      </c>
      <c r="D86" s="94" t="s">
        <v>1098</v>
      </c>
      <c r="E86" s="104">
        <v>1.427083333333333</v>
      </c>
      <c r="F86" s="94" t="s">
        <v>42</v>
      </c>
      <c r="G86" s="96">
        <v>9</v>
      </c>
      <c r="H86" s="97">
        <v>479</v>
      </c>
      <c r="I86" s="88"/>
    </row>
    <row r="87" spans="1:9" ht="19.8" customHeight="1" x14ac:dyDescent="0.3">
      <c r="A87" s="103">
        <v>45987</v>
      </c>
      <c r="B87" s="94" t="s">
        <v>36</v>
      </c>
      <c r="C87" s="95" t="s">
        <v>1113</v>
      </c>
      <c r="D87" s="94" t="s">
        <v>1098</v>
      </c>
      <c r="E87" s="104">
        <v>1.8263888888888891</v>
      </c>
      <c r="F87" s="94" t="s">
        <v>40</v>
      </c>
      <c r="G87" s="96">
        <v>9</v>
      </c>
      <c r="H87" s="97">
        <v>509</v>
      </c>
      <c r="I87" s="88"/>
    </row>
    <row r="88" spans="1:9" ht="19.8" customHeight="1" x14ac:dyDescent="0.3">
      <c r="A88" s="103">
        <v>45987</v>
      </c>
      <c r="B88" s="94" t="s">
        <v>36</v>
      </c>
      <c r="C88" s="95" t="s">
        <v>1119</v>
      </c>
      <c r="D88" s="94" t="s">
        <v>1098</v>
      </c>
      <c r="E88" s="104">
        <v>1.5</v>
      </c>
      <c r="F88" s="94" t="s">
        <v>42</v>
      </c>
      <c r="G88" s="96">
        <v>9</v>
      </c>
      <c r="H88" s="97">
        <v>519</v>
      </c>
      <c r="I88" s="88"/>
    </row>
    <row r="89" spans="1:9" ht="19.8" customHeight="1" x14ac:dyDescent="0.3">
      <c r="A89" s="103">
        <v>45987</v>
      </c>
      <c r="B89" s="94" t="s">
        <v>36</v>
      </c>
      <c r="C89" s="95" t="s">
        <v>1117</v>
      </c>
      <c r="D89" s="94" t="s">
        <v>1098</v>
      </c>
      <c r="E89" s="104">
        <v>1.6875</v>
      </c>
      <c r="F89" s="94" t="s">
        <v>42</v>
      </c>
      <c r="G89" s="96">
        <v>9</v>
      </c>
      <c r="H89" s="97">
        <v>519</v>
      </c>
      <c r="I89" s="88"/>
    </row>
    <row r="90" spans="1:9" ht="19.8" customHeight="1" x14ac:dyDescent="0.3">
      <c r="A90" s="103">
        <v>45987</v>
      </c>
      <c r="B90" s="94" t="s">
        <v>66</v>
      </c>
      <c r="C90" s="95" t="s">
        <v>1130</v>
      </c>
      <c r="D90" s="94" t="s">
        <v>1098</v>
      </c>
      <c r="E90" s="104">
        <v>1.916666666666667</v>
      </c>
      <c r="F90" s="94" t="s">
        <v>68</v>
      </c>
      <c r="G90" s="96">
        <v>9</v>
      </c>
      <c r="H90" s="97">
        <v>597</v>
      </c>
      <c r="I90" s="88"/>
    </row>
    <row r="91" spans="1:9" ht="19.8" customHeight="1" x14ac:dyDescent="0.3">
      <c r="A91" s="103">
        <v>45987</v>
      </c>
      <c r="B91" s="94" t="s">
        <v>36</v>
      </c>
      <c r="C91" s="95" t="s">
        <v>1113</v>
      </c>
      <c r="D91" s="94" t="s">
        <v>1098</v>
      </c>
      <c r="E91" s="104">
        <v>1.8263888888888891</v>
      </c>
      <c r="F91" s="94" t="s">
        <v>42</v>
      </c>
      <c r="G91" s="96">
        <v>9</v>
      </c>
      <c r="H91" s="97">
        <v>599</v>
      </c>
      <c r="I91" s="88"/>
    </row>
    <row r="92" spans="1:9" ht="19.8" customHeight="1" x14ac:dyDescent="0.3">
      <c r="A92" s="103">
        <v>45987</v>
      </c>
      <c r="B92" s="94" t="s">
        <v>78</v>
      </c>
      <c r="C92" s="95" t="s">
        <v>1135</v>
      </c>
      <c r="D92" s="94" t="s">
        <v>1098</v>
      </c>
      <c r="E92" s="104">
        <v>1.2986111111111109</v>
      </c>
      <c r="F92" s="94" t="s">
        <v>80</v>
      </c>
      <c r="G92" s="96">
        <v>9</v>
      </c>
      <c r="H92" s="97">
        <v>661</v>
      </c>
      <c r="I92" s="88"/>
    </row>
    <row r="93" spans="1:9" ht="19.8" customHeight="1" x14ac:dyDescent="0.3">
      <c r="A93" s="103">
        <v>45987</v>
      </c>
      <c r="B93" s="94" t="s">
        <v>66</v>
      </c>
      <c r="C93" s="95" t="s">
        <v>1128</v>
      </c>
      <c r="D93" s="94" t="s">
        <v>1098</v>
      </c>
      <c r="E93" s="104">
        <v>1.5347222222222221</v>
      </c>
      <c r="F93" s="94" t="s">
        <v>68</v>
      </c>
      <c r="G93" s="96">
        <v>9</v>
      </c>
      <c r="H93" s="97">
        <v>702</v>
      </c>
      <c r="I93" s="88"/>
    </row>
    <row r="94" spans="1:9" ht="19.8" customHeight="1" x14ac:dyDescent="0.3">
      <c r="A94" s="103">
        <v>45987</v>
      </c>
      <c r="B94" s="94" t="s">
        <v>78</v>
      </c>
      <c r="C94" s="95" t="s">
        <v>1135</v>
      </c>
      <c r="D94" s="94" t="s">
        <v>1098</v>
      </c>
      <c r="E94" s="104">
        <v>1.2986111111111109</v>
      </c>
      <c r="F94" s="94" t="s">
        <v>83</v>
      </c>
      <c r="G94" s="96">
        <v>9</v>
      </c>
      <c r="H94" s="97">
        <v>711</v>
      </c>
      <c r="I94" s="88"/>
    </row>
    <row r="95" spans="1:9" ht="19.8" customHeight="1" x14ac:dyDescent="0.3">
      <c r="A95" s="103">
        <v>45987</v>
      </c>
      <c r="B95" s="94" t="s">
        <v>78</v>
      </c>
      <c r="C95" s="95" t="s">
        <v>1134</v>
      </c>
      <c r="D95" s="94" t="s">
        <v>1098</v>
      </c>
      <c r="E95" s="104">
        <v>1.6840277777777779</v>
      </c>
      <c r="F95" s="94" t="s">
        <v>80</v>
      </c>
      <c r="G95" s="96">
        <v>2</v>
      </c>
      <c r="H95" s="97">
        <v>736</v>
      </c>
      <c r="I95" s="88"/>
    </row>
    <row r="96" spans="1:9" ht="19.8" customHeight="1" x14ac:dyDescent="0.3">
      <c r="A96" s="103">
        <v>45987</v>
      </c>
      <c r="B96" s="94" t="s">
        <v>78</v>
      </c>
      <c r="C96" s="95" t="s">
        <v>1136</v>
      </c>
      <c r="D96" s="94" t="s">
        <v>1098</v>
      </c>
      <c r="E96" s="104">
        <v>1.4826388888888891</v>
      </c>
      <c r="F96" s="94" t="s">
        <v>80</v>
      </c>
      <c r="G96" s="96">
        <v>9</v>
      </c>
      <c r="H96" s="97">
        <v>736</v>
      </c>
      <c r="I96" s="88"/>
    </row>
    <row r="97" spans="1:9" ht="19.8" customHeight="1" x14ac:dyDescent="0.3">
      <c r="A97" s="103">
        <v>45987</v>
      </c>
      <c r="B97" s="94" t="s">
        <v>78</v>
      </c>
      <c r="C97" s="95" t="s">
        <v>1134</v>
      </c>
      <c r="D97" s="94" t="s">
        <v>1098</v>
      </c>
      <c r="E97" s="104">
        <v>1.6840277777777779</v>
      </c>
      <c r="F97" s="94" t="s">
        <v>83</v>
      </c>
      <c r="G97" s="96">
        <v>2</v>
      </c>
      <c r="H97" s="97">
        <v>786</v>
      </c>
      <c r="I97" s="88"/>
    </row>
    <row r="98" spans="1:9" ht="19.8" customHeight="1" x14ac:dyDescent="0.3">
      <c r="A98" s="103">
        <v>45987</v>
      </c>
      <c r="B98" s="94" t="s">
        <v>78</v>
      </c>
      <c r="C98" s="95" t="s">
        <v>1136</v>
      </c>
      <c r="D98" s="94" t="s">
        <v>1098</v>
      </c>
      <c r="E98" s="104">
        <v>1.4826388888888891</v>
      </c>
      <c r="F98" s="94" t="s">
        <v>83</v>
      </c>
      <c r="G98" s="96">
        <v>9</v>
      </c>
      <c r="H98" s="97">
        <v>786</v>
      </c>
      <c r="I98" s="88"/>
    </row>
    <row r="99" spans="1:9" ht="19.8" customHeight="1" x14ac:dyDescent="0.3">
      <c r="A99" s="103">
        <v>45987</v>
      </c>
      <c r="B99" s="94" t="s">
        <v>78</v>
      </c>
      <c r="C99" s="95" t="s">
        <v>1137</v>
      </c>
      <c r="D99" s="94" t="s">
        <v>1098</v>
      </c>
      <c r="E99" s="104">
        <v>1.836805555555556</v>
      </c>
      <c r="F99" s="94" t="s">
        <v>80</v>
      </c>
      <c r="G99" s="96">
        <v>9</v>
      </c>
      <c r="H99" s="97">
        <v>849</v>
      </c>
      <c r="I99" s="88"/>
    </row>
    <row r="100" spans="1:9" ht="19.8" customHeight="1" x14ac:dyDescent="0.3">
      <c r="A100" s="103">
        <v>45987</v>
      </c>
      <c r="B100" s="94" t="s">
        <v>26</v>
      </c>
      <c r="C100" s="95" t="s">
        <v>1099</v>
      </c>
      <c r="D100" s="94" t="s">
        <v>1098</v>
      </c>
      <c r="E100" s="104">
        <v>1.760416666666667</v>
      </c>
      <c r="F100" s="94" t="s">
        <v>34</v>
      </c>
      <c r="G100" s="96">
        <v>14</v>
      </c>
      <c r="H100" s="97">
        <v>899</v>
      </c>
      <c r="I100" s="88"/>
    </row>
    <row r="101" spans="1:9" ht="19.8" customHeight="1" x14ac:dyDescent="0.3">
      <c r="A101" s="103">
        <v>45987</v>
      </c>
      <c r="B101" s="94" t="s">
        <v>26</v>
      </c>
      <c r="C101" s="95" t="s">
        <v>1104</v>
      </c>
      <c r="D101" s="94" t="s">
        <v>1098</v>
      </c>
      <c r="E101" s="104">
        <v>1.5</v>
      </c>
      <c r="F101" s="94" t="s">
        <v>34</v>
      </c>
      <c r="G101" s="96">
        <v>55</v>
      </c>
      <c r="H101" s="97">
        <v>899</v>
      </c>
      <c r="I101" s="88"/>
    </row>
    <row r="102" spans="1:9" ht="19.8" customHeight="1" x14ac:dyDescent="0.3">
      <c r="A102" s="103">
        <v>45987</v>
      </c>
      <c r="B102" s="94" t="s">
        <v>26</v>
      </c>
      <c r="C102" s="95" t="s">
        <v>1107</v>
      </c>
      <c r="D102" s="94" t="s">
        <v>1098</v>
      </c>
      <c r="E102" s="104">
        <v>1.447916666666667</v>
      </c>
      <c r="F102" s="94" t="s">
        <v>34</v>
      </c>
      <c r="G102" s="96">
        <v>22</v>
      </c>
      <c r="H102" s="97">
        <v>899</v>
      </c>
      <c r="I102" s="88"/>
    </row>
    <row r="103" spans="1:9" ht="19.8" customHeight="1" x14ac:dyDescent="0.3">
      <c r="A103" s="103">
        <v>45987</v>
      </c>
      <c r="B103" s="94" t="s">
        <v>26</v>
      </c>
      <c r="C103" s="95" t="s">
        <v>1110</v>
      </c>
      <c r="D103" s="94" t="s">
        <v>1098</v>
      </c>
      <c r="E103" s="104">
        <v>1.8159722222222221</v>
      </c>
      <c r="F103" s="94" t="s">
        <v>34</v>
      </c>
      <c r="G103" s="96">
        <v>3</v>
      </c>
      <c r="H103" s="97">
        <v>899</v>
      </c>
      <c r="I103" s="88"/>
    </row>
    <row r="104" spans="1:9" ht="19.8" customHeight="1" x14ac:dyDescent="0.3">
      <c r="A104" s="103">
        <v>45987</v>
      </c>
      <c r="B104" s="94" t="s">
        <v>78</v>
      </c>
      <c r="C104" s="95" t="s">
        <v>1137</v>
      </c>
      <c r="D104" s="94" t="s">
        <v>1098</v>
      </c>
      <c r="E104" s="104">
        <v>1.836805555555556</v>
      </c>
      <c r="F104" s="94" t="s">
        <v>83</v>
      </c>
      <c r="G104" s="96">
        <v>9</v>
      </c>
      <c r="H104" s="97">
        <v>899</v>
      </c>
      <c r="I104" s="88"/>
    </row>
    <row r="105" spans="1:9" ht="19.8" customHeight="1" x14ac:dyDescent="0.3">
      <c r="A105" s="103">
        <v>45987</v>
      </c>
      <c r="B105" s="94" t="s">
        <v>78</v>
      </c>
      <c r="C105" s="95" t="s">
        <v>1140</v>
      </c>
      <c r="D105" s="94" t="s">
        <v>1098</v>
      </c>
      <c r="E105" s="104">
        <v>1.5</v>
      </c>
      <c r="F105" s="94" t="s">
        <v>83</v>
      </c>
      <c r="G105" s="96">
        <v>4</v>
      </c>
      <c r="H105" s="107" t="s">
        <v>1141</v>
      </c>
      <c r="I105" s="88"/>
    </row>
    <row r="106" spans="1:9" ht="19.8" customHeight="1" x14ac:dyDescent="0.3">
      <c r="A106" s="103">
        <v>45987</v>
      </c>
      <c r="B106" s="94" t="s">
        <v>78</v>
      </c>
      <c r="C106" s="95" t="s">
        <v>1142</v>
      </c>
      <c r="D106" s="94" t="s">
        <v>1098</v>
      </c>
      <c r="E106" s="104">
        <v>1.760416666666667</v>
      </c>
      <c r="F106" s="94" t="s">
        <v>83</v>
      </c>
      <c r="G106" s="96">
        <v>4</v>
      </c>
      <c r="H106" s="107" t="s">
        <v>1141</v>
      </c>
      <c r="I106" s="88"/>
    </row>
    <row r="107" spans="1:9" ht="19.8" customHeight="1" x14ac:dyDescent="0.3">
      <c r="A107" s="113">
        <v>45987</v>
      </c>
      <c r="B107" s="114" t="s">
        <v>78</v>
      </c>
      <c r="C107" s="115" t="s">
        <v>1143</v>
      </c>
      <c r="D107" s="114" t="s">
        <v>1098</v>
      </c>
      <c r="E107" s="116">
        <v>1.8159722222222221</v>
      </c>
      <c r="F107" s="114" t="s">
        <v>83</v>
      </c>
      <c r="G107" s="117">
        <v>4</v>
      </c>
      <c r="H107" s="118" t="s">
        <v>1141</v>
      </c>
      <c r="I107" s="88"/>
    </row>
    <row r="108" spans="1:9" ht="19.8" customHeight="1" x14ac:dyDescent="0.3">
      <c r="A108" s="103">
        <v>45988</v>
      </c>
      <c r="B108" s="94" t="s">
        <v>26</v>
      </c>
      <c r="C108" s="95" t="s">
        <v>1104</v>
      </c>
      <c r="D108" s="94" t="s">
        <v>1098</v>
      </c>
      <c r="E108" s="104">
        <v>1.5</v>
      </c>
      <c r="F108" s="94" t="s">
        <v>28</v>
      </c>
      <c r="G108" s="96">
        <v>11</v>
      </c>
      <c r="H108" s="97">
        <v>259</v>
      </c>
      <c r="I108" s="88"/>
    </row>
    <row r="109" spans="1:9" ht="19.8" customHeight="1" x14ac:dyDescent="0.3">
      <c r="A109" s="103">
        <v>45988</v>
      </c>
      <c r="B109" s="94" t="s">
        <v>26</v>
      </c>
      <c r="C109" s="95" t="s">
        <v>1107</v>
      </c>
      <c r="D109" s="94" t="s">
        <v>1098</v>
      </c>
      <c r="E109" s="104">
        <v>1.447916666666667</v>
      </c>
      <c r="F109" s="94" t="s">
        <v>28</v>
      </c>
      <c r="G109" s="96">
        <v>6</v>
      </c>
      <c r="H109" s="97">
        <v>259</v>
      </c>
      <c r="I109" s="88"/>
    </row>
    <row r="110" spans="1:9" ht="19.8" customHeight="1" x14ac:dyDescent="0.3">
      <c r="A110" s="103">
        <v>45988</v>
      </c>
      <c r="B110" s="94" t="s">
        <v>36</v>
      </c>
      <c r="C110" s="95" t="s">
        <v>1114</v>
      </c>
      <c r="D110" s="94" t="s">
        <v>1098</v>
      </c>
      <c r="E110" s="104">
        <v>1.375</v>
      </c>
      <c r="F110" s="94" t="s">
        <v>38</v>
      </c>
      <c r="G110" s="96">
        <v>9</v>
      </c>
      <c r="H110" s="97">
        <v>289</v>
      </c>
      <c r="I110" s="88"/>
    </row>
    <row r="111" spans="1:9" ht="19.8" customHeight="1" x14ac:dyDescent="0.3">
      <c r="A111" s="103">
        <v>45988</v>
      </c>
      <c r="B111" s="94" t="s">
        <v>36</v>
      </c>
      <c r="C111" s="95" t="s">
        <v>1116</v>
      </c>
      <c r="D111" s="94" t="s">
        <v>1098</v>
      </c>
      <c r="E111" s="104">
        <v>1.305555555555556</v>
      </c>
      <c r="F111" s="94" t="s">
        <v>38</v>
      </c>
      <c r="G111" s="96">
        <v>9</v>
      </c>
      <c r="H111" s="97">
        <v>289</v>
      </c>
      <c r="I111" s="88"/>
    </row>
    <row r="112" spans="1:9" ht="19.8" customHeight="1" x14ac:dyDescent="0.3">
      <c r="A112" s="103">
        <v>45988</v>
      </c>
      <c r="B112" s="94" t="s">
        <v>36</v>
      </c>
      <c r="C112" s="95" t="s">
        <v>1118</v>
      </c>
      <c r="D112" s="94" t="s">
        <v>1098</v>
      </c>
      <c r="E112" s="104">
        <v>1.427083333333333</v>
      </c>
      <c r="F112" s="94" t="s">
        <v>38</v>
      </c>
      <c r="G112" s="96">
        <v>8</v>
      </c>
      <c r="H112" s="97">
        <v>289</v>
      </c>
      <c r="I112" s="88"/>
    </row>
    <row r="113" spans="1:9" ht="19.8" customHeight="1" x14ac:dyDescent="0.3">
      <c r="A113" s="103">
        <v>45988</v>
      </c>
      <c r="B113" s="94" t="s">
        <v>36</v>
      </c>
      <c r="C113" s="95" t="s">
        <v>1119</v>
      </c>
      <c r="D113" s="94" t="s">
        <v>1098</v>
      </c>
      <c r="E113" s="104">
        <v>1.5</v>
      </c>
      <c r="F113" s="94" t="s">
        <v>38</v>
      </c>
      <c r="G113" s="96">
        <v>9</v>
      </c>
      <c r="H113" s="97">
        <v>329</v>
      </c>
      <c r="I113" s="88"/>
    </row>
    <row r="114" spans="1:9" ht="19.8" customHeight="1" x14ac:dyDescent="0.3">
      <c r="A114" s="103">
        <v>45988</v>
      </c>
      <c r="B114" s="94" t="s">
        <v>36</v>
      </c>
      <c r="C114" s="95" t="s">
        <v>1115</v>
      </c>
      <c r="D114" s="94" t="s">
        <v>1098</v>
      </c>
      <c r="E114" s="104">
        <v>1.5659722222222221</v>
      </c>
      <c r="F114" s="94" t="s">
        <v>38</v>
      </c>
      <c r="G114" s="96">
        <v>4</v>
      </c>
      <c r="H114" s="97">
        <v>329</v>
      </c>
      <c r="I114" s="88"/>
    </row>
    <row r="115" spans="1:9" ht="19.8" customHeight="1" x14ac:dyDescent="0.3">
      <c r="A115" s="103">
        <v>45988</v>
      </c>
      <c r="B115" s="94" t="s">
        <v>456</v>
      </c>
      <c r="C115" s="95" t="s">
        <v>1124</v>
      </c>
      <c r="D115" s="94" t="s">
        <v>1098</v>
      </c>
      <c r="E115" s="104">
        <v>1.6215277777777779</v>
      </c>
      <c r="F115" s="94" t="s">
        <v>458</v>
      </c>
      <c r="G115" s="96">
        <v>9</v>
      </c>
      <c r="H115" s="97">
        <v>361</v>
      </c>
      <c r="I115" s="88"/>
    </row>
    <row r="116" spans="1:9" ht="19.8" customHeight="1" x14ac:dyDescent="0.3">
      <c r="A116" s="103">
        <v>45988</v>
      </c>
      <c r="B116" s="94" t="s">
        <v>36</v>
      </c>
      <c r="C116" s="95" t="s">
        <v>1114</v>
      </c>
      <c r="D116" s="94" t="s">
        <v>1098</v>
      </c>
      <c r="E116" s="104">
        <v>1.375</v>
      </c>
      <c r="F116" s="94" t="s">
        <v>40</v>
      </c>
      <c r="G116" s="96">
        <v>9</v>
      </c>
      <c r="H116" s="97">
        <v>389</v>
      </c>
      <c r="I116" s="88"/>
    </row>
    <row r="117" spans="1:9" ht="19.8" customHeight="1" x14ac:dyDescent="0.3">
      <c r="A117" s="103">
        <v>45988</v>
      </c>
      <c r="B117" s="94" t="s">
        <v>36</v>
      </c>
      <c r="C117" s="95" t="s">
        <v>1116</v>
      </c>
      <c r="D117" s="94" t="s">
        <v>1098</v>
      </c>
      <c r="E117" s="104">
        <v>1.305555555555556</v>
      </c>
      <c r="F117" s="94" t="s">
        <v>40</v>
      </c>
      <c r="G117" s="96">
        <v>9</v>
      </c>
      <c r="H117" s="97">
        <v>389</v>
      </c>
      <c r="I117" s="88"/>
    </row>
    <row r="118" spans="1:9" ht="19.8" customHeight="1" x14ac:dyDescent="0.3">
      <c r="A118" s="103">
        <v>45988</v>
      </c>
      <c r="B118" s="94" t="s">
        <v>36</v>
      </c>
      <c r="C118" s="95" t="s">
        <v>1118</v>
      </c>
      <c r="D118" s="94" t="s">
        <v>1098</v>
      </c>
      <c r="E118" s="104">
        <v>1.427083333333333</v>
      </c>
      <c r="F118" s="94" t="s">
        <v>40</v>
      </c>
      <c r="G118" s="96">
        <v>8</v>
      </c>
      <c r="H118" s="97">
        <v>389</v>
      </c>
      <c r="I118" s="88"/>
    </row>
    <row r="119" spans="1:9" ht="19.8" customHeight="1" x14ac:dyDescent="0.3">
      <c r="A119" s="105">
        <v>45988</v>
      </c>
      <c r="B119" s="99" t="s">
        <v>44</v>
      </c>
      <c r="C119" s="100" t="s">
        <v>1154</v>
      </c>
      <c r="D119" s="99" t="s">
        <v>1098</v>
      </c>
      <c r="E119" s="106">
        <v>1.6111111111111109</v>
      </c>
      <c r="F119" s="99" t="s">
        <v>46</v>
      </c>
      <c r="G119" s="101">
        <v>9</v>
      </c>
      <c r="H119" s="102">
        <v>397</v>
      </c>
      <c r="I119" s="88"/>
    </row>
    <row r="120" spans="1:9" ht="19.8" customHeight="1" x14ac:dyDescent="0.3">
      <c r="A120" s="103">
        <v>45988</v>
      </c>
      <c r="B120" s="94" t="s">
        <v>404</v>
      </c>
      <c r="C120" s="95" t="s">
        <v>1166</v>
      </c>
      <c r="D120" s="94" t="s">
        <v>1098</v>
      </c>
      <c r="E120" s="104">
        <v>1.8784722222222221</v>
      </c>
      <c r="F120" s="94" t="s">
        <v>46</v>
      </c>
      <c r="G120" s="96">
        <v>9</v>
      </c>
      <c r="H120" s="97">
        <v>401</v>
      </c>
      <c r="I120" s="88"/>
    </row>
    <row r="121" spans="1:9" ht="19.8" customHeight="1" x14ac:dyDescent="0.3">
      <c r="A121" s="103">
        <v>45988</v>
      </c>
      <c r="B121" s="94" t="s">
        <v>26</v>
      </c>
      <c r="C121" s="95" t="s">
        <v>1104</v>
      </c>
      <c r="D121" s="94" t="s">
        <v>1098</v>
      </c>
      <c r="E121" s="104">
        <v>1.5</v>
      </c>
      <c r="F121" s="94" t="s">
        <v>31</v>
      </c>
      <c r="G121" s="96">
        <v>11</v>
      </c>
      <c r="H121" s="97">
        <v>409</v>
      </c>
      <c r="I121" s="88"/>
    </row>
    <row r="122" spans="1:9" ht="19.8" customHeight="1" x14ac:dyDescent="0.3">
      <c r="A122" s="103">
        <v>45988</v>
      </c>
      <c r="B122" s="94" t="s">
        <v>26</v>
      </c>
      <c r="C122" s="95" t="s">
        <v>1107</v>
      </c>
      <c r="D122" s="94" t="s">
        <v>1098</v>
      </c>
      <c r="E122" s="104">
        <v>1.447916666666667</v>
      </c>
      <c r="F122" s="94" t="s">
        <v>31</v>
      </c>
      <c r="G122" s="96">
        <v>6</v>
      </c>
      <c r="H122" s="97">
        <v>409</v>
      </c>
      <c r="I122" s="88"/>
    </row>
    <row r="123" spans="1:9" ht="19.8" customHeight="1" x14ac:dyDescent="0.3">
      <c r="A123" s="103">
        <v>45988</v>
      </c>
      <c r="B123" s="94" t="s">
        <v>410</v>
      </c>
      <c r="C123" s="95" t="s">
        <v>1167</v>
      </c>
      <c r="D123" s="94" t="s">
        <v>1098</v>
      </c>
      <c r="E123" s="104">
        <v>1.354166666666667</v>
      </c>
      <c r="F123" s="94" t="s">
        <v>46</v>
      </c>
      <c r="G123" s="96">
        <v>9</v>
      </c>
      <c r="H123" s="97">
        <v>416</v>
      </c>
      <c r="I123" s="88"/>
    </row>
    <row r="124" spans="1:9" ht="19.8" customHeight="1" x14ac:dyDescent="0.3">
      <c r="A124" s="103">
        <v>45988</v>
      </c>
      <c r="B124" s="94" t="s">
        <v>410</v>
      </c>
      <c r="C124" s="95" t="s">
        <v>1157</v>
      </c>
      <c r="D124" s="94" t="s">
        <v>1098</v>
      </c>
      <c r="E124" s="104">
        <v>1.8576388888888891</v>
      </c>
      <c r="F124" s="94" t="s">
        <v>46</v>
      </c>
      <c r="G124" s="96">
        <v>9</v>
      </c>
      <c r="H124" s="97">
        <v>416</v>
      </c>
      <c r="I124" s="88"/>
    </row>
    <row r="125" spans="1:9" ht="19.8" customHeight="1" x14ac:dyDescent="0.3">
      <c r="A125" s="103">
        <v>45988</v>
      </c>
      <c r="B125" s="94" t="s">
        <v>36</v>
      </c>
      <c r="C125" s="95" t="s">
        <v>1119</v>
      </c>
      <c r="D125" s="94" t="s">
        <v>1098</v>
      </c>
      <c r="E125" s="104">
        <v>1.5</v>
      </c>
      <c r="F125" s="94" t="s">
        <v>40</v>
      </c>
      <c r="G125" s="96">
        <v>9</v>
      </c>
      <c r="H125" s="97">
        <v>429</v>
      </c>
      <c r="I125" s="88"/>
    </row>
    <row r="126" spans="1:9" ht="19.8" customHeight="1" x14ac:dyDescent="0.3">
      <c r="A126" s="103">
        <v>45988</v>
      </c>
      <c r="B126" s="94" t="s">
        <v>36</v>
      </c>
      <c r="C126" s="95" t="s">
        <v>1115</v>
      </c>
      <c r="D126" s="94" t="s">
        <v>1098</v>
      </c>
      <c r="E126" s="104">
        <v>1.5659722222222221</v>
      </c>
      <c r="F126" s="94" t="s">
        <v>40</v>
      </c>
      <c r="G126" s="96">
        <v>4</v>
      </c>
      <c r="H126" s="97">
        <v>429</v>
      </c>
      <c r="I126" s="88"/>
    </row>
    <row r="127" spans="1:9" ht="19.8" customHeight="1" x14ac:dyDescent="0.3">
      <c r="A127" s="103">
        <v>45988</v>
      </c>
      <c r="B127" s="94" t="s">
        <v>26</v>
      </c>
      <c r="C127" s="95" t="s">
        <v>1110</v>
      </c>
      <c r="D127" s="94" t="s">
        <v>1098</v>
      </c>
      <c r="E127" s="104">
        <v>1.8159722222222221</v>
      </c>
      <c r="F127" s="94" t="s">
        <v>28</v>
      </c>
      <c r="G127" s="96">
        <v>8</v>
      </c>
      <c r="H127" s="97">
        <v>429</v>
      </c>
      <c r="I127" s="88"/>
    </row>
    <row r="128" spans="1:9" ht="19.8" customHeight="1" x14ac:dyDescent="0.3">
      <c r="A128" s="103">
        <v>45988</v>
      </c>
      <c r="B128" s="94" t="s">
        <v>66</v>
      </c>
      <c r="C128" s="95" t="s">
        <v>1126</v>
      </c>
      <c r="D128" s="94" t="s">
        <v>1098</v>
      </c>
      <c r="E128" s="104">
        <v>1.166666666666667</v>
      </c>
      <c r="F128" s="94" t="s">
        <v>68</v>
      </c>
      <c r="G128" s="96">
        <v>9</v>
      </c>
      <c r="H128" s="97">
        <v>466</v>
      </c>
      <c r="I128" s="88"/>
    </row>
    <row r="129" spans="1:9" ht="19.8" customHeight="1" x14ac:dyDescent="0.3">
      <c r="A129" s="103">
        <v>45988</v>
      </c>
      <c r="B129" s="94" t="s">
        <v>26</v>
      </c>
      <c r="C129" s="95" t="s">
        <v>1099</v>
      </c>
      <c r="D129" s="94" t="s">
        <v>1098</v>
      </c>
      <c r="E129" s="104">
        <v>1.760416666666667</v>
      </c>
      <c r="F129" s="94" t="s">
        <v>28</v>
      </c>
      <c r="G129" s="96">
        <v>8</v>
      </c>
      <c r="H129" s="97">
        <v>469</v>
      </c>
      <c r="I129" s="88"/>
    </row>
    <row r="130" spans="1:9" ht="19.8" customHeight="1" x14ac:dyDescent="0.3">
      <c r="A130" s="103">
        <v>45988</v>
      </c>
      <c r="B130" s="94" t="s">
        <v>36</v>
      </c>
      <c r="C130" s="95" t="s">
        <v>1114</v>
      </c>
      <c r="D130" s="94" t="s">
        <v>1098</v>
      </c>
      <c r="E130" s="104">
        <v>1.375</v>
      </c>
      <c r="F130" s="94" t="s">
        <v>42</v>
      </c>
      <c r="G130" s="96">
        <v>9</v>
      </c>
      <c r="H130" s="97">
        <v>479</v>
      </c>
      <c r="I130" s="88"/>
    </row>
    <row r="131" spans="1:9" ht="19.8" customHeight="1" x14ac:dyDescent="0.3">
      <c r="A131" s="103">
        <v>45988</v>
      </c>
      <c r="B131" s="94" t="s">
        <v>36</v>
      </c>
      <c r="C131" s="95" t="s">
        <v>1116</v>
      </c>
      <c r="D131" s="94" t="s">
        <v>1098</v>
      </c>
      <c r="E131" s="104">
        <v>1.305555555555556</v>
      </c>
      <c r="F131" s="94" t="s">
        <v>42</v>
      </c>
      <c r="G131" s="96">
        <v>9</v>
      </c>
      <c r="H131" s="97">
        <v>479</v>
      </c>
      <c r="I131" s="88"/>
    </row>
    <row r="132" spans="1:9" ht="19.8" customHeight="1" x14ac:dyDescent="0.3">
      <c r="A132" s="103">
        <v>45988</v>
      </c>
      <c r="B132" s="94" t="s">
        <v>36</v>
      </c>
      <c r="C132" s="95" t="s">
        <v>1118</v>
      </c>
      <c r="D132" s="94" t="s">
        <v>1098</v>
      </c>
      <c r="E132" s="104">
        <v>1.427083333333333</v>
      </c>
      <c r="F132" s="94" t="s">
        <v>42</v>
      </c>
      <c r="G132" s="96">
        <v>8</v>
      </c>
      <c r="H132" s="97">
        <v>479</v>
      </c>
      <c r="I132" s="88"/>
    </row>
    <row r="133" spans="1:9" ht="19.8" customHeight="1" x14ac:dyDescent="0.3">
      <c r="A133" s="103">
        <v>45988</v>
      </c>
      <c r="B133" s="94" t="s">
        <v>456</v>
      </c>
      <c r="C133" s="95" t="s">
        <v>1124</v>
      </c>
      <c r="D133" s="94" t="s">
        <v>1098</v>
      </c>
      <c r="E133" s="104">
        <v>1.6215277777777779</v>
      </c>
      <c r="F133" s="94" t="s">
        <v>34</v>
      </c>
      <c r="G133" s="96">
        <v>9</v>
      </c>
      <c r="H133" s="97">
        <v>484</v>
      </c>
      <c r="I133" s="88"/>
    </row>
    <row r="134" spans="1:9" ht="19.8" customHeight="1" x14ac:dyDescent="0.3">
      <c r="A134" s="103">
        <v>45988</v>
      </c>
      <c r="B134" s="94" t="s">
        <v>36</v>
      </c>
      <c r="C134" s="95" t="s">
        <v>1117</v>
      </c>
      <c r="D134" s="94" t="s">
        <v>1098</v>
      </c>
      <c r="E134" s="104">
        <v>1.6875</v>
      </c>
      <c r="F134" s="94" t="s">
        <v>38</v>
      </c>
      <c r="G134" s="96">
        <v>4</v>
      </c>
      <c r="H134" s="97">
        <v>489</v>
      </c>
      <c r="I134" s="88"/>
    </row>
    <row r="135" spans="1:9" ht="19.8" customHeight="1" x14ac:dyDescent="0.3">
      <c r="A135" s="103">
        <v>45988</v>
      </c>
      <c r="B135" s="94" t="s">
        <v>36</v>
      </c>
      <c r="C135" s="95" t="s">
        <v>1119</v>
      </c>
      <c r="D135" s="94" t="s">
        <v>1098</v>
      </c>
      <c r="E135" s="104">
        <v>1.5</v>
      </c>
      <c r="F135" s="94" t="s">
        <v>42</v>
      </c>
      <c r="G135" s="96">
        <v>9</v>
      </c>
      <c r="H135" s="97">
        <v>519</v>
      </c>
      <c r="I135" s="88"/>
    </row>
    <row r="136" spans="1:9" ht="19.8" customHeight="1" x14ac:dyDescent="0.3">
      <c r="A136" s="103">
        <v>45988</v>
      </c>
      <c r="B136" s="94" t="s">
        <v>36</v>
      </c>
      <c r="C136" s="95" t="s">
        <v>1115</v>
      </c>
      <c r="D136" s="94" t="s">
        <v>1098</v>
      </c>
      <c r="E136" s="104">
        <v>1.5659722222222221</v>
      </c>
      <c r="F136" s="94" t="s">
        <v>42</v>
      </c>
      <c r="G136" s="96">
        <v>4</v>
      </c>
      <c r="H136" s="97">
        <v>519</v>
      </c>
      <c r="I136" s="88"/>
    </row>
    <row r="137" spans="1:9" ht="19.8" customHeight="1" x14ac:dyDescent="0.3">
      <c r="A137" s="103">
        <v>45988</v>
      </c>
      <c r="B137" s="94" t="s">
        <v>78</v>
      </c>
      <c r="C137" s="95" t="s">
        <v>1135</v>
      </c>
      <c r="D137" s="94" t="s">
        <v>1098</v>
      </c>
      <c r="E137" s="104">
        <v>1.2986111111111109</v>
      </c>
      <c r="F137" s="94" t="s">
        <v>80</v>
      </c>
      <c r="G137" s="96">
        <v>4</v>
      </c>
      <c r="H137" s="97">
        <v>578</v>
      </c>
      <c r="I137" s="88"/>
    </row>
    <row r="138" spans="1:9" ht="19.8" customHeight="1" x14ac:dyDescent="0.3">
      <c r="A138" s="103">
        <v>45988</v>
      </c>
      <c r="B138" s="94" t="s">
        <v>26</v>
      </c>
      <c r="C138" s="95" t="s">
        <v>1110</v>
      </c>
      <c r="D138" s="94" t="s">
        <v>1098</v>
      </c>
      <c r="E138" s="104">
        <v>1.8159722222222221</v>
      </c>
      <c r="F138" s="94" t="s">
        <v>31</v>
      </c>
      <c r="G138" s="96">
        <v>8</v>
      </c>
      <c r="H138" s="97">
        <v>579</v>
      </c>
      <c r="I138" s="88"/>
    </row>
    <row r="139" spans="1:9" ht="19.8" customHeight="1" x14ac:dyDescent="0.3">
      <c r="A139" s="103">
        <v>45988</v>
      </c>
      <c r="B139" s="94" t="s">
        <v>36</v>
      </c>
      <c r="C139" s="95" t="s">
        <v>1113</v>
      </c>
      <c r="D139" s="94" t="s">
        <v>1098</v>
      </c>
      <c r="E139" s="104">
        <v>1.8263888888888891</v>
      </c>
      <c r="F139" s="94" t="s">
        <v>38</v>
      </c>
      <c r="G139" s="96">
        <v>9</v>
      </c>
      <c r="H139" s="97">
        <v>589</v>
      </c>
      <c r="I139" s="88"/>
    </row>
    <row r="140" spans="1:9" ht="19.8" customHeight="1" x14ac:dyDescent="0.3">
      <c r="A140" s="103">
        <v>45988</v>
      </c>
      <c r="B140" s="94" t="s">
        <v>36</v>
      </c>
      <c r="C140" s="95" t="s">
        <v>1117</v>
      </c>
      <c r="D140" s="94" t="s">
        <v>1098</v>
      </c>
      <c r="E140" s="104">
        <v>1.6875</v>
      </c>
      <c r="F140" s="94" t="s">
        <v>40</v>
      </c>
      <c r="G140" s="96">
        <v>4</v>
      </c>
      <c r="H140" s="97">
        <v>589</v>
      </c>
      <c r="I140" s="88"/>
    </row>
    <row r="141" spans="1:9" ht="19.8" customHeight="1" x14ac:dyDescent="0.3">
      <c r="A141" s="103">
        <v>45988</v>
      </c>
      <c r="B141" s="94" t="s">
        <v>26</v>
      </c>
      <c r="C141" s="95" t="s">
        <v>1099</v>
      </c>
      <c r="D141" s="94" t="s">
        <v>1098</v>
      </c>
      <c r="E141" s="104">
        <v>1.760416666666667</v>
      </c>
      <c r="F141" s="94" t="s">
        <v>31</v>
      </c>
      <c r="G141" s="96">
        <v>8</v>
      </c>
      <c r="H141" s="97">
        <v>619</v>
      </c>
      <c r="I141" s="88"/>
    </row>
    <row r="142" spans="1:9" ht="19.8" customHeight="1" x14ac:dyDescent="0.3">
      <c r="A142" s="103">
        <v>45988</v>
      </c>
      <c r="B142" s="94" t="s">
        <v>78</v>
      </c>
      <c r="C142" s="95" t="s">
        <v>1135</v>
      </c>
      <c r="D142" s="94" t="s">
        <v>1098</v>
      </c>
      <c r="E142" s="104">
        <v>1.2986111111111109</v>
      </c>
      <c r="F142" s="94" t="s">
        <v>83</v>
      </c>
      <c r="G142" s="96">
        <v>4</v>
      </c>
      <c r="H142" s="97">
        <v>628</v>
      </c>
      <c r="I142" s="88"/>
    </row>
    <row r="143" spans="1:9" ht="19.8" customHeight="1" x14ac:dyDescent="0.3">
      <c r="A143" s="103">
        <v>45988</v>
      </c>
      <c r="B143" s="94" t="s">
        <v>36</v>
      </c>
      <c r="C143" s="95" t="s">
        <v>1117</v>
      </c>
      <c r="D143" s="94" t="s">
        <v>1098</v>
      </c>
      <c r="E143" s="104">
        <v>1.6875</v>
      </c>
      <c r="F143" s="94" t="s">
        <v>42</v>
      </c>
      <c r="G143" s="96">
        <v>4</v>
      </c>
      <c r="H143" s="97">
        <v>679</v>
      </c>
      <c r="I143" s="88"/>
    </row>
    <row r="144" spans="1:9" ht="19.8" customHeight="1" x14ac:dyDescent="0.3">
      <c r="A144" s="103">
        <v>45988</v>
      </c>
      <c r="B144" s="94" t="s">
        <v>36</v>
      </c>
      <c r="C144" s="95" t="s">
        <v>1113</v>
      </c>
      <c r="D144" s="94" t="s">
        <v>1098</v>
      </c>
      <c r="E144" s="104">
        <v>1.8263888888888891</v>
      </c>
      <c r="F144" s="94" t="s">
        <v>40</v>
      </c>
      <c r="G144" s="96">
        <v>9</v>
      </c>
      <c r="H144" s="97">
        <v>689</v>
      </c>
      <c r="I144" s="88"/>
    </row>
    <row r="145" spans="1:9" ht="19.8" customHeight="1" x14ac:dyDescent="0.3">
      <c r="A145" s="103">
        <v>45988</v>
      </c>
      <c r="B145" s="94" t="s">
        <v>36</v>
      </c>
      <c r="C145" s="95" t="s">
        <v>1113</v>
      </c>
      <c r="D145" s="94" t="s">
        <v>1098</v>
      </c>
      <c r="E145" s="104">
        <v>1.8263888888888891</v>
      </c>
      <c r="F145" s="94" t="s">
        <v>42</v>
      </c>
      <c r="G145" s="96">
        <v>9</v>
      </c>
      <c r="H145" s="97">
        <v>779</v>
      </c>
      <c r="I145" s="88"/>
    </row>
    <row r="146" spans="1:9" ht="19.8" customHeight="1" x14ac:dyDescent="0.3">
      <c r="A146" s="103">
        <v>45988</v>
      </c>
      <c r="B146" s="94" t="s">
        <v>66</v>
      </c>
      <c r="C146" s="95" t="s">
        <v>1130</v>
      </c>
      <c r="D146" s="94" t="s">
        <v>1098</v>
      </c>
      <c r="E146" s="104">
        <v>1.916666666666667</v>
      </c>
      <c r="F146" s="94" t="s">
        <v>68</v>
      </c>
      <c r="G146" s="96">
        <v>9</v>
      </c>
      <c r="H146" s="97">
        <v>841</v>
      </c>
      <c r="I146" s="88"/>
    </row>
    <row r="147" spans="1:9" ht="19.8" customHeight="1" x14ac:dyDescent="0.3">
      <c r="A147" s="103">
        <v>45988</v>
      </c>
      <c r="B147" s="94" t="s">
        <v>26</v>
      </c>
      <c r="C147" s="95" t="s">
        <v>1104</v>
      </c>
      <c r="D147" s="94" t="s">
        <v>1098</v>
      </c>
      <c r="E147" s="104">
        <v>1.5</v>
      </c>
      <c r="F147" s="94" t="s">
        <v>34</v>
      </c>
      <c r="G147" s="96">
        <v>11</v>
      </c>
      <c r="H147" s="97">
        <v>899</v>
      </c>
      <c r="I147" s="88"/>
    </row>
    <row r="148" spans="1:9" ht="19.8" customHeight="1" x14ac:dyDescent="0.3">
      <c r="A148" s="103">
        <v>45988</v>
      </c>
      <c r="B148" s="94" t="s">
        <v>26</v>
      </c>
      <c r="C148" s="95" t="s">
        <v>1107</v>
      </c>
      <c r="D148" s="94" t="s">
        <v>1098</v>
      </c>
      <c r="E148" s="104">
        <v>1.447916666666667</v>
      </c>
      <c r="F148" s="94" t="s">
        <v>34</v>
      </c>
      <c r="G148" s="96">
        <v>6</v>
      </c>
      <c r="H148" s="97">
        <v>899</v>
      </c>
      <c r="I148" s="88"/>
    </row>
    <row r="149" spans="1:9" ht="19.8" customHeight="1" x14ac:dyDescent="0.3">
      <c r="A149" s="103">
        <v>45988</v>
      </c>
      <c r="B149" s="94" t="s">
        <v>26</v>
      </c>
      <c r="C149" s="95" t="s">
        <v>1110</v>
      </c>
      <c r="D149" s="94" t="s">
        <v>1098</v>
      </c>
      <c r="E149" s="104">
        <v>1.8159722222222221</v>
      </c>
      <c r="F149" s="94" t="s">
        <v>34</v>
      </c>
      <c r="G149" s="96">
        <v>8</v>
      </c>
      <c r="H149" s="97">
        <v>899</v>
      </c>
      <c r="I149" s="88"/>
    </row>
    <row r="150" spans="1:9" ht="19.8" customHeight="1" x14ac:dyDescent="0.3">
      <c r="A150" s="103">
        <v>45988</v>
      </c>
      <c r="B150" s="94" t="s">
        <v>78</v>
      </c>
      <c r="C150" s="95" t="s">
        <v>1136</v>
      </c>
      <c r="D150" s="94" t="s">
        <v>1098</v>
      </c>
      <c r="E150" s="104">
        <v>1.4826388888888891</v>
      </c>
      <c r="F150" s="94" t="s">
        <v>80</v>
      </c>
      <c r="G150" s="96">
        <v>9</v>
      </c>
      <c r="H150" s="97">
        <v>999</v>
      </c>
      <c r="I150" s="88"/>
    </row>
    <row r="151" spans="1:9" ht="19.8" customHeight="1" x14ac:dyDescent="0.3">
      <c r="A151" s="103">
        <v>45988</v>
      </c>
      <c r="B151" s="94" t="s">
        <v>66</v>
      </c>
      <c r="C151" s="95" t="s">
        <v>1128</v>
      </c>
      <c r="D151" s="94" t="s">
        <v>1098</v>
      </c>
      <c r="E151" s="104">
        <v>1.541666666666667</v>
      </c>
      <c r="F151" s="94" t="s">
        <v>68</v>
      </c>
      <c r="G151" s="96">
        <v>9</v>
      </c>
      <c r="H151" s="107" t="s">
        <v>1171</v>
      </c>
      <c r="I151" s="88"/>
    </row>
    <row r="152" spans="1:9" ht="19.8" customHeight="1" x14ac:dyDescent="0.3">
      <c r="A152" s="103">
        <v>45988</v>
      </c>
      <c r="B152" s="94" t="s">
        <v>78</v>
      </c>
      <c r="C152" s="95" t="s">
        <v>1136</v>
      </c>
      <c r="D152" s="94" t="s">
        <v>1098</v>
      </c>
      <c r="E152" s="104">
        <v>1.4826388888888891</v>
      </c>
      <c r="F152" s="94" t="s">
        <v>83</v>
      </c>
      <c r="G152" s="96">
        <v>9</v>
      </c>
      <c r="H152" s="107" t="s">
        <v>1174</v>
      </c>
      <c r="I152" s="88"/>
    </row>
    <row r="153" spans="1:9" ht="19.8" customHeight="1" x14ac:dyDescent="0.3">
      <c r="A153" s="103">
        <v>45988</v>
      </c>
      <c r="B153" s="94" t="s">
        <v>78</v>
      </c>
      <c r="C153" s="95" t="s">
        <v>1134</v>
      </c>
      <c r="D153" s="94" t="s">
        <v>1098</v>
      </c>
      <c r="E153" s="104">
        <v>1.6840277777777779</v>
      </c>
      <c r="F153" s="94" t="s">
        <v>80</v>
      </c>
      <c r="G153" s="96">
        <v>9</v>
      </c>
      <c r="H153" s="107" t="s">
        <v>870</v>
      </c>
      <c r="I153" s="88"/>
    </row>
    <row r="154" spans="1:9" ht="19.8" customHeight="1" x14ac:dyDescent="0.3">
      <c r="A154" s="103">
        <v>45988</v>
      </c>
      <c r="B154" s="94" t="s">
        <v>78</v>
      </c>
      <c r="C154" s="95" t="s">
        <v>1140</v>
      </c>
      <c r="D154" s="94" t="s">
        <v>1098</v>
      </c>
      <c r="E154" s="104">
        <v>1.5</v>
      </c>
      <c r="F154" s="94" t="s">
        <v>83</v>
      </c>
      <c r="G154" s="96">
        <v>4</v>
      </c>
      <c r="H154" s="107" t="s">
        <v>1141</v>
      </c>
      <c r="I154" s="88"/>
    </row>
    <row r="155" spans="1:9" ht="19.8" customHeight="1" x14ac:dyDescent="0.3">
      <c r="A155" s="103">
        <v>45988</v>
      </c>
      <c r="B155" s="94" t="s">
        <v>78</v>
      </c>
      <c r="C155" s="95" t="s">
        <v>1134</v>
      </c>
      <c r="D155" s="94" t="s">
        <v>1098</v>
      </c>
      <c r="E155" s="104">
        <v>1.6840277777777779</v>
      </c>
      <c r="F155" s="94" t="s">
        <v>83</v>
      </c>
      <c r="G155" s="96">
        <v>9</v>
      </c>
      <c r="H155" s="107" t="s">
        <v>1175</v>
      </c>
      <c r="I155" s="88"/>
    </row>
    <row r="156" spans="1:9" ht="19.8" customHeight="1" x14ac:dyDescent="0.3">
      <c r="A156" s="103">
        <v>45988</v>
      </c>
      <c r="B156" s="94" t="s">
        <v>26</v>
      </c>
      <c r="C156" s="95" t="s">
        <v>1099</v>
      </c>
      <c r="D156" s="94" t="s">
        <v>1098</v>
      </c>
      <c r="E156" s="104">
        <v>1.760416666666667</v>
      </c>
      <c r="F156" s="94" t="s">
        <v>34</v>
      </c>
      <c r="G156" s="96">
        <v>8</v>
      </c>
      <c r="H156" s="107" t="s">
        <v>110</v>
      </c>
      <c r="I156" s="88"/>
    </row>
    <row r="157" spans="1:9" ht="19.8" customHeight="1" x14ac:dyDescent="0.3">
      <c r="A157" s="103">
        <v>45988</v>
      </c>
      <c r="B157" s="94" t="s">
        <v>78</v>
      </c>
      <c r="C157" s="95" t="s">
        <v>1142</v>
      </c>
      <c r="D157" s="94" t="s">
        <v>1098</v>
      </c>
      <c r="E157" s="104">
        <v>1.760416666666667</v>
      </c>
      <c r="F157" s="94" t="s">
        <v>83</v>
      </c>
      <c r="G157" s="96">
        <v>4</v>
      </c>
      <c r="H157" s="107" t="s">
        <v>1176</v>
      </c>
      <c r="I157" s="88"/>
    </row>
    <row r="158" spans="1:9" ht="19.8" customHeight="1" x14ac:dyDescent="0.3">
      <c r="A158" s="103">
        <v>45988</v>
      </c>
      <c r="B158" s="94" t="s">
        <v>78</v>
      </c>
      <c r="C158" s="95" t="s">
        <v>1143</v>
      </c>
      <c r="D158" s="94" t="s">
        <v>1098</v>
      </c>
      <c r="E158" s="104">
        <v>1.8159722222222221</v>
      </c>
      <c r="F158" s="94" t="s">
        <v>83</v>
      </c>
      <c r="G158" s="96">
        <v>4</v>
      </c>
      <c r="H158" s="107" t="s">
        <v>1176</v>
      </c>
      <c r="I158" s="88"/>
    </row>
    <row r="159" spans="1:9" ht="19.8" customHeight="1" x14ac:dyDescent="0.3">
      <c r="A159" s="103">
        <v>45988</v>
      </c>
      <c r="B159" s="94" t="s">
        <v>78</v>
      </c>
      <c r="C159" s="95" t="s">
        <v>1137</v>
      </c>
      <c r="D159" s="94" t="s">
        <v>1098</v>
      </c>
      <c r="E159" s="104">
        <v>1.836805555555556</v>
      </c>
      <c r="F159" s="94" t="s">
        <v>80</v>
      </c>
      <c r="G159" s="96">
        <v>9</v>
      </c>
      <c r="H159" s="107" t="s">
        <v>1177</v>
      </c>
      <c r="I159" s="88"/>
    </row>
    <row r="160" spans="1:9" ht="19.8" customHeight="1" x14ac:dyDescent="0.3">
      <c r="A160" s="113">
        <v>45988</v>
      </c>
      <c r="B160" s="114" t="s">
        <v>78</v>
      </c>
      <c r="C160" s="115" t="s">
        <v>1137</v>
      </c>
      <c r="D160" s="114" t="s">
        <v>1098</v>
      </c>
      <c r="E160" s="116">
        <v>1.836805555555556</v>
      </c>
      <c r="F160" s="114" t="s">
        <v>83</v>
      </c>
      <c r="G160" s="117">
        <v>9</v>
      </c>
      <c r="H160" s="118" t="s">
        <v>1178</v>
      </c>
      <c r="I160" s="88"/>
    </row>
    <row r="161" spans="1:9" ht="19.8" customHeight="1" x14ac:dyDescent="0.3">
      <c r="A161" s="103">
        <v>45989</v>
      </c>
      <c r="B161" s="94" t="s">
        <v>26</v>
      </c>
      <c r="C161" s="95" t="s">
        <v>1099</v>
      </c>
      <c r="D161" s="94" t="s">
        <v>1098</v>
      </c>
      <c r="E161" s="104">
        <v>1.760416666666667</v>
      </c>
      <c r="F161" s="94" t="s">
        <v>28</v>
      </c>
      <c r="G161" s="96">
        <v>2</v>
      </c>
      <c r="H161" s="97">
        <v>279</v>
      </c>
      <c r="I161" s="88"/>
    </row>
    <row r="162" spans="1:9" ht="19.8" customHeight="1" x14ac:dyDescent="0.3">
      <c r="A162" s="103">
        <v>45989</v>
      </c>
      <c r="B162" s="94" t="s">
        <v>26</v>
      </c>
      <c r="C162" s="95" t="s">
        <v>1104</v>
      </c>
      <c r="D162" s="94" t="s">
        <v>1098</v>
      </c>
      <c r="E162" s="104">
        <v>1.5</v>
      </c>
      <c r="F162" s="94" t="s">
        <v>28</v>
      </c>
      <c r="G162" s="96">
        <v>7</v>
      </c>
      <c r="H162" s="97">
        <v>309</v>
      </c>
      <c r="I162" s="88"/>
    </row>
    <row r="163" spans="1:9" ht="19.8" customHeight="1" x14ac:dyDescent="0.3">
      <c r="A163" s="103">
        <v>45989</v>
      </c>
      <c r="B163" s="94" t="s">
        <v>26</v>
      </c>
      <c r="C163" s="95" t="s">
        <v>1107</v>
      </c>
      <c r="D163" s="94" t="s">
        <v>1098</v>
      </c>
      <c r="E163" s="104">
        <v>1.447916666666667</v>
      </c>
      <c r="F163" s="94" t="s">
        <v>28</v>
      </c>
      <c r="G163" s="96">
        <v>9</v>
      </c>
      <c r="H163" s="97">
        <v>309</v>
      </c>
      <c r="I163" s="88"/>
    </row>
    <row r="164" spans="1:9" ht="19.8" customHeight="1" x14ac:dyDescent="0.3">
      <c r="A164" s="103">
        <v>45989</v>
      </c>
      <c r="B164" s="94" t="s">
        <v>26</v>
      </c>
      <c r="C164" s="95" t="s">
        <v>1110</v>
      </c>
      <c r="D164" s="94" t="s">
        <v>1098</v>
      </c>
      <c r="E164" s="104">
        <v>1.8159722222222221</v>
      </c>
      <c r="F164" s="94" t="s">
        <v>28</v>
      </c>
      <c r="G164" s="96">
        <v>10</v>
      </c>
      <c r="H164" s="97">
        <v>309</v>
      </c>
      <c r="I164" s="88"/>
    </row>
    <row r="165" spans="1:9" ht="19.8" customHeight="1" x14ac:dyDescent="0.3">
      <c r="A165" s="105">
        <v>45989</v>
      </c>
      <c r="B165" s="99" t="s">
        <v>44</v>
      </c>
      <c r="C165" s="100" t="s">
        <v>1121</v>
      </c>
      <c r="D165" s="99" t="s">
        <v>1098</v>
      </c>
      <c r="E165" s="106">
        <v>1.9236111111111109</v>
      </c>
      <c r="F165" s="99" t="s">
        <v>46</v>
      </c>
      <c r="G165" s="101">
        <v>9</v>
      </c>
      <c r="H165" s="102">
        <v>319</v>
      </c>
      <c r="I165" s="88"/>
    </row>
    <row r="166" spans="1:9" ht="19.8" customHeight="1" x14ac:dyDescent="0.3">
      <c r="A166" s="103">
        <v>45989</v>
      </c>
      <c r="B166" s="94" t="s">
        <v>36</v>
      </c>
      <c r="C166" s="95" t="s">
        <v>1113</v>
      </c>
      <c r="D166" s="94" t="s">
        <v>1098</v>
      </c>
      <c r="E166" s="104">
        <v>1.8263888888888891</v>
      </c>
      <c r="F166" s="94" t="s">
        <v>38</v>
      </c>
      <c r="G166" s="96">
        <v>9</v>
      </c>
      <c r="H166" s="97">
        <v>329</v>
      </c>
      <c r="I166" s="88"/>
    </row>
    <row r="167" spans="1:9" ht="19.8" customHeight="1" x14ac:dyDescent="0.3">
      <c r="A167" s="103">
        <v>45989</v>
      </c>
      <c r="B167" s="94" t="s">
        <v>404</v>
      </c>
      <c r="C167" s="95" t="s">
        <v>1120</v>
      </c>
      <c r="D167" s="94" t="s">
        <v>1098</v>
      </c>
      <c r="E167" s="104">
        <v>1.2777777777777779</v>
      </c>
      <c r="F167" s="94" t="s">
        <v>46</v>
      </c>
      <c r="G167" s="96">
        <v>9</v>
      </c>
      <c r="H167" s="97">
        <v>350</v>
      </c>
      <c r="I167" s="88"/>
    </row>
    <row r="168" spans="1:9" ht="19.8" customHeight="1" x14ac:dyDescent="0.3">
      <c r="A168" s="105">
        <v>45989</v>
      </c>
      <c r="B168" s="99" t="s">
        <v>44</v>
      </c>
      <c r="C168" s="100" t="s">
        <v>1154</v>
      </c>
      <c r="D168" s="99" t="s">
        <v>1098</v>
      </c>
      <c r="E168" s="106">
        <v>1.604166666666667</v>
      </c>
      <c r="F168" s="99" t="s">
        <v>46</v>
      </c>
      <c r="G168" s="101">
        <v>3</v>
      </c>
      <c r="H168" s="102">
        <v>355</v>
      </c>
      <c r="I168" s="88"/>
    </row>
    <row r="169" spans="1:9" ht="19.8" customHeight="1" x14ac:dyDescent="0.3">
      <c r="A169" s="103">
        <v>45989</v>
      </c>
      <c r="B169" s="94" t="s">
        <v>36</v>
      </c>
      <c r="C169" s="95" t="s">
        <v>1119</v>
      </c>
      <c r="D169" s="94" t="s">
        <v>1098</v>
      </c>
      <c r="E169" s="104">
        <v>1.5</v>
      </c>
      <c r="F169" s="94" t="s">
        <v>38</v>
      </c>
      <c r="G169" s="96">
        <v>8</v>
      </c>
      <c r="H169" s="97">
        <v>369</v>
      </c>
      <c r="I169" s="88"/>
    </row>
    <row r="170" spans="1:9" ht="19.8" customHeight="1" x14ac:dyDescent="0.3">
      <c r="A170" s="103">
        <v>45989</v>
      </c>
      <c r="B170" s="94" t="s">
        <v>36</v>
      </c>
      <c r="C170" s="95" t="s">
        <v>1115</v>
      </c>
      <c r="D170" s="94" t="s">
        <v>1098</v>
      </c>
      <c r="E170" s="104">
        <v>1.5659722222222221</v>
      </c>
      <c r="F170" s="94" t="s">
        <v>38</v>
      </c>
      <c r="G170" s="96">
        <v>8</v>
      </c>
      <c r="H170" s="97">
        <v>369</v>
      </c>
      <c r="I170" s="88"/>
    </row>
    <row r="171" spans="1:9" ht="19.8" customHeight="1" x14ac:dyDescent="0.3">
      <c r="A171" s="103">
        <v>45989</v>
      </c>
      <c r="B171" s="94" t="s">
        <v>36</v>
      </c>
      <c r="C171" s="95" t="s">
        <v>1116</v>
      </c>
      <c r="D171" s="94" t="s">
        <v>1098</v>
      </c>
      <c r="E171" s="104">
        <v>1.305555555555556</v>
      </c>
      <c r="F171" s="94" t="s">
        <v>38</v>
      </c>
      <c r="G171" s="96">
        <v>4</v>
      </c>
      <c r="H171" s="97">
        <v>369</v>
      </c>
      <c r="I171" s="88"/>
    </row>
    <row r="172" spans="1:9" ht="19.8" customHeight="1" x14ac:dyDescent="0.3">
      <c r="A172" s="103">
        <v>45989</v>
      </c>
      <c r="B172" s="94" t="s">
        <v>36</v>
      </c>
      <c r="C172" s="95" t="s">
        <v>1117</v>
      </c>
      <c r="D172" s="94" t="s">
        <v>1098</v>
      </c>
      <c r="E172" s="104">
        <v>1.6875</v>
      </c>
      <c r="F172" s="94" t="s">
        <v>38</v>
      </c>
      <c r="G172" s="96">
        <v>9</v>
      </c>
      <c r="H172" s="97">
        <v>369</v>
      </c>
      <c r="I172" s="88"/>
    </row>
    <row r="173" spans="1:9" ht="19.8" customHeight="1" x14ac:dyDescent="0.3">
      <c r="A173" s="103">
        <v>45989</v>
      </c>
      <c r="B173" s="94" t="s">
        <v>36</v>
      </c>
      <c r="C173" s="95" t="s">
        <v>1114</v>
      </c>
      <c r="D173" s="94" t="s">
        <v>1098</v>
      </c>
      <c r="E173" s="104">
        <v>1.375</v>
      </c>
      <c r="F173" s="94" t="s">
        <v>38</v>
      </c>
      <c r="G173" s="96">
        <v>8</v>
      </c>
      <c r="H173" s="97">
        <v>409</v>
      </c>
      <c r="I173" s="88"/>
    </row>
    <row r="174" spans="1:9" ht="19.8" customHeight="1" x14ac:dyDescent="0.3">
      <c r="A174" s="103">
        <v>45989</v>
      </c>
      <c r="B174" s="94" t="s">
        <v>36</v>
      </c>
      <c r="C174" s="95" t="s">
        <v>1118</v>
      </c>
      <c r="D174" s="94" t="s">
        <v>1098</v>
      </c>
      <c r="E174" s="104">
        <v>1.427083333333333</v>
      </c>
      <c r="F174" s="94" t="s">
        <v>38</v>
      </c>
      <c r="G174" s="96">
        <v>9</v>
      </c>
      <c r="H174" s="97">
        <v>409</v>
      </c>
      <c r="I174" s="88"/>
    </row>
    <row r="175" spans="1:9" ht="19.8" customHeight="1" x14ac:dyDescent="0.3">
      <c r="A175" s="103">
        <v>45989</v>
      </c>
      <c r="B175" s="94" t="s">
        <v>410</v>
      </c>
      <c r="C175" s="95" t="s">
        <v>1167</v>
      </c>
      <c r="D175" s="94" t="s">
        <v>1098</v>
      </c>
      <c r="E175" s="104">
        <v>1.395833333333333</v>
      </c>
      <c r="F175" s="94" t="s">
        <v>46</v>
      </c>
      <c r="G175" s="96">
        <v>9</v>
      </c>
      <c r="H175" s="97">
        <v>416</v>
      </c>
      <c r="I175" s="88"/>
    </row>
    <row r="176" spans="1:9" ht="19.8" customHeight="1" x14ac:dyDescent="0.3">
      <c r="A176" s="103">
        <v>45989</v>
      </c>
      <c r="B176" s="94" t="s">
        <v>26</v>
      </c>
      <c r="C176" s="95" t="s">
        <v>1099</v>
      </c>
      <c r="D176" s="94" t="s">
        <v>1098</v>
      </c>
      <c r="E176" s="104">
        <v>1.760416666666667</v>
      </c>
      <c r="F176" s="94" t="s">
        <v>31</v>
      </c>
      <c r="G176" s="96">
        <v>2</v>
      </c>
      <c r="H176" s="97">
        <v>429</v>
      </c>
      <c r="I176" s="88"/>
    </row>
    <row r="177" spans="1:9" ht="19.8" customHeight="1" x14ac:dyDescent="0.3">
      <c r="A177" s="103">
        <v>45989</v>
      </c>
      <c r="B177" s="94" t="s">
        <v>36</v>
      </c>
      <c r="C177" s="95" t="s">
        <v>1113</v>
      </c>
      <c r="D177" s="94" t="s">
        <v>1098</v>
      </c>
      <c r="E177" s="104">
        <v>1.8263888888888891</v>
      </c>
      <c r="F177" s="94" t="s">
        <v>40</v>
      </c>
      <c r="G177" s="96">
        <v>9</v>
      </c>
      <c r="H177" s="97">
        <v>429</v>
      </c>
      <c r="I177" s="88"/>
    </row>
    <row r="178" spans="1:9" ht="19.8" customHeight="1" x14ac:dyDescent="0.3">
      <c r="A178" s="103">
        <v>45989</v>
      </c>
      <c r="B178" s="94" t="s">
        <v>26</v>
      </c>
      <c r="C178" s="95" t="s">
        <v>1104</v>
      </c>
      <c r="D178" s="94" t="s">
        <v>1098</v>
      </c>
      <c r="E178" s="104">
        <v>1.5</v>
      </c>
      <c r="F178" s="94" t="s">
        <v>31</v>
      </c>
      <c r="G178" s="96">
        <v>7</v>
      </c>
      <c r="H178" s="97">
        <v>459</v>
      </c>
      <c r="I178" s="88"/>
    </row>
    <row r="179" spans="1:9" ht="19.8" customHeight="1" x14ac:dyDescent="0.3">
      <c r="A179" s="103">
        <v>45989</v>
      </c>
      <c r="B179" s="94" t="s">
        <v>26</v>
      </c>
      <c r="C179" s="95" t="s">
        <v>1107</v>
      </c>
      <c r="D179" s="94" t="s">
        <v>1098</v>
      </c>
      <c r="E179" s="104">
        <v>1.447916666666667</v>
      </c>
      <c r="F179" s="94" t="s">
        <v>31</v>
      </c>
      <c r="G179" s="96">
        <v>9</v>
      </c>
      <c r="H179" s="97">
        <v>459</v>
      </c>
      <c r="I179" s="88"/>
    </row>
    <row r="180" spans="1:9" ht="19.8" customHeight="1" x14ac:dyDescent="0.3">
      <c r="A180" s="103">
        <v>45989</v>
      </c>
      <c r="B180" s="94" t="s">
        <v>26</v>
      </c>
      <c r="C180" s="95" t="s">
        <v>1110</v>
      </c>
      <c r="D180" s="94" t="s">
        <v>1098</v>
      </c>
      <c r="E180" s="104">
        <v>1.8159722222222221</v>
      </c>
      <c r="F180" s="94" t="s">
        <v>31</v>
      </c>
      <c r="G180" s="96">
        <v>10</v>
      </c>
      <c r="H180" s="97">
        <v>459</v>
      </c>
      <c r="I180" s="88"/>
    </row>
    <row r="181" spans="1:9" ht="19.8" customHeight="1" x14ac:dyDescent="0.3">
      <c r="A181" s="103">
        <v>45989</v>
      </c>
      <c r="B181" s="94" t="s">
        <v>36</v>
      </c>
      <c r="C181" s="95" t="s">
        <v>1119</v>
      </c>
      <c r="D181" s="94" t="s">
        <v>1098</v>
      </c>
      <c r="E181" s="104">
        <v>1.5</v>
      </c>
      <c r="F181" s="94" t="s">
        <v>40</v>
      </c>
      <c r="G181" s="96">
        <v>8</v>
      </c>
      <c r="H181" s="97">
        <v>469</v>
      </c>
      <c r="I181" s="88"/>
    </row>
    <row r="182" spans="1:9" ht="19.8" customHeight="1" x14ac:dyDescent="0.3">
      <c r="A182" s="103">
        <v>45989</v>
      </c>
      <c r="B182" s="94" t="s">
        <v>36</v>
      </c>
      <c r="C182" s="95" t="s">
        <v>1115</v>
      </c>
      <c r="D182" s="94" t="s">
        <v>1098</v>
      </c>
      <c r="E182" s="104">
        <v>1.5659722222222221</v>
      </c>
      <c r="F182" s="94" t="s">
        <v>40</v>
      </c>
      <c r="G182" s="96">
        <v>8</v>
      </c>
      <c r="H182" s="97">
        <v>469</v>
      </c>
      <c r="I182" s="88"/>
    </row>
    <row r="183" spans="1:9" ht="19.8" customHeight="1" x14ac:dyDescent="0.3">
      <c r="A183" s="103">
        <v>45989</v>
      </c>
      <c r="B183" s="94" t="s">
        <v>36</v>
      </c>
      <c r="C183" s="95" t="s">
        <v>1116</v>
      </c>
      <c r="D183" s="94" t="s">
        <v>1098</v>
      </c>
      <c r="E183" s="104">
        <v>1.305555555555556</v>
      </c>
      <c r="F183" s="94" t="s">
        <v>40</v>
      </c>
      <c r="G183" s="96">
        <v>4</v>
      </c>
      <c r="H183" s="97">
        <v>469</v>
      </c>
      <c r="I183" s="88"/>
    </row>
    <row r="184" spans="1:9" ht="19.8" customHeight="1" x14ac:dyDescent="0.3">
      <c r="A184" s="103">
        <v>45989</v>
      </c>
      <c r="B184" s="94" t="s">
        <v>36</v>
      </c>
      <c r="C184" s="95" t="s">
        <v>1117</v>
      </c>
      <c r="D184" s="94" t="s">
        <v>1098</v>
      </c>
      <c r="E184" s="104">
        <v>1.6875</v>
      </c>
      <c r="F184" s="94" t="s">
        <v>40</v>
      </c>
      <c r="G184" s="96">
        <v>9</v>
      </c>
      <c r="H184" s="97">
        <v>469</v>
      </c>
      <c r="I184" s="88"/>
    </row>
    <row r="185" spans="1:9" ht="19.8" customHeight="1" x14ac:dyDescent="0.3">
      <c r="A185" s="103">
        <v>45989</v>
      </c>
      <c r="B185" s="94" t="s">
        <v>36</v>
      </c>
      <c r="C185" s="95" t="s">
        <v>1114</v>
      </c>
      <c r="D185" s="94" t="s">
        <v>1098</v>
      </c>
      <c r="E185" s="104">
        <v>1.375</v>
      </c>
      <c r="F185" s="94" t="s">
        <v>40</v>
      </c>
      <c r="G185" s="96">
        <v>8</v>
      </c>
      <c r="H185" s="97">
        <v>509</v>
      </c>
      <c r="I185" s="88"/>
    </row>
    <row r="186" spans="1:9" ht="19.8" customHeight="1" x14ac:dyDescent="0.3">
      <c r="A186" s="103">
        <v>45989</v>
      </c>
      <c r="B186" s="94" t="s">
        <v>36</v>
      </c>
      <c r="C186" s="95" t="s">
        <v>1118</v>
      </c>
      <c r="D186" s="94" t="s">
        <v>1098</v>
      </c>
      <c r="E186" s="104">
        <v>1.427083333333333</v>
      </c>
      <c r="F186" s="94" t="s">
        <v>40</v>
      </c>
      <c r="G186" s="96">
        <v>9</v>
      </c>
      <c r="H186" s="97">
        <v>509</v>
      </c>
      <c r="I186" s="88"/>
    </row>
    <row r="187" spans="1:9" ht="19.8" customHeight="1" x14ac:dyDescent="0.3">
      <c r="A187" s="103">
        <v>45989</v>
      </c>
      <c r="B187" s="94" t="s">
        <v>36</v>
      </c>
      <c r="C187" s="95" t="s">
        <v>1113</v>
      </c>
      <c r="D187" s="94" t="s">
        <v>1098</v>
      </c>
      <c r="E187" s="104">
        <v>1.8263888888888891</v>
      </c>
      <c r="F187" s="94" t="s">
        <v>42</v>
      </c>
      <c r="G187" s="96">
        <v>9</v>
      </c>
      <c r="H187" s="97">
        <v>519</v>
      </c>
      <c r="I187" s="88"/>
    </row>
    <row r="188" spans="1:9" ht="19.8" customHeight="1" x14ac:dyDescent="0.3">
      <c r="A188" s="103">
        <v>45989</v>
      </c>
      <c r="B188" s="94" t="s">
        <v>36</v>
      </c>
      <c r="C188" s="95" t="s">
        <v>1119</v>
      </c>
      <c r="D188" s="94" t="s">
        <v>1098</v>
      </c>
      <c r="E188" s="104">
        <v>1.5</v>
      </c>
      <c r="F188" s="94" t="s">
        <v>42</v>
      </c>
      <c r="G188" s="96">
        <v>8</v>
      </c>
      <c r="H188" s="97">
        <v>559</v>
      </c>
      <c r="I188" s="88"/>
    </row>
    <row r="189" spans="1:9" ht="19.8" customHeight="1" x14ac:dyDescent="0.3">
      <c r="A189" s="103">
        <v>45989</v>
      </c>
      <c r="B189" s="94" t="s">
        <v>36</v>
      </c>
      <c r="C189" s="95" t="s">
        <v>1115</v>
      </c>
      <c r="D189" s="94" t="s">
        <v>1098</v>
      </c>
      <c r="E189" s="104">
        <v>1.5659722222222221</v>
      </c>
      <c r="F189" s="94" t="s">
        <v>42</v>
      </c>
      <c r="G189" s="96">
        <v>8</v>
      </c>
      <c r="H189" s="97">
        <v>559</v>
      </c>
      <c r="I189" s="88"/>
    </row>
    <row r="190" spans="1:9" ht="19.8" customHeight="1" x14ac:dyDescent="0.3">
      <c r="A190" s="103">
        <v>45989</v>
      </c>
      <c r="B190" s="94" t="s">
        <v>36</v>
      </c>
      <c r="C190" s="95" t="s">
        <v>1116</v>
      </c>
      <c r="D190" s="94" t="s">
        <v>1098</v>
      </c>
      <c r="E190" s="104">
        <v>1.305555555555556</v>
      </c>
      <c r="F190" s="94" t="s">
        <v>42</v>
      </c>
      <c r="G190" s="96">
        <v>4</v>
      </c>
      <c r="H190" s="97">
        <v>559</v>
      </c>
      <c r="I190" s="88"/>
    </row>
    <row r="191" spans="1:9" ht="19.8" customHeight="1" x14ac:dyDescent="0.3">
      <c r="A191" s="103">
        <v>45989</v>
      </c>
      <c r="B191" s="94" t="s">
        <v>36</v>
      </c>
      <c r="C191" s="95" t="s">
        <v>1117</v>
      </c>
      <c r="D191" s="94" t="s">
        <v>1098</v>
      </c>
      <c r="E191" s="104">
        <v>1.6875</v>
      </c>
      <c r="F191" s="94" t="s">
        <v>42</v>
      </c>
      <c r="G191" s="96">
        <v>9</v>
      </c>
      <c r="H191" s="97">
        <v>559</v>
      </c>
      <c r="I191" s="88"/>
    </row>
    <row r="192" spans="1:9" ht="19.8" customHeight="1" x14ac:dyDescent="0.3">
      <c r="A192" s="103">
        <v>45989</v>
      </c>
      <c r="B192" s="94" t="s">
        <v>66</v>
      </c>
      <c r="C192" s="95" t="s">
        <v>1130</v>
      </c>
      <c r="D192" s="94" t="s">
        <v>1098</v>
      </c>
      <c r="E192" s="104">
        <v>1.916666666666667</v>
      </c>
      <c r="F192" s="94" t="s">
        <v>68</v>
      </c>
      <c r="G192" s="96">
        <v>9</v>
      </c>
      <c r="H192" s="97">
        <v>597</v>
      </c>
      <c r="I192" s="88"/>
    </row>
    <row r="193" spans="1:9" ht="19.8" customHeight="1" x14ac:dyDescent="0.3">
      <c r="A193" s="103">
        <v>45989</v>
      </c>
      <c r="B193" s="94" t="s">
        <v>36</v>
      </c>
      <c r="C193" s="95" t="s">
        <v>1114</v>
      </c>
      <c r="D193" s="94" t="s">
        <v>1098</v>
      </c>
      <c r="E193" s="104">
        <v>1.375</v>
      </c>
      <c r="F193" s="94" t="s">
        <v>42</v>
      </c>
      <c r="G193" s="96">
        <v>8</v>
      </c>
      <c r="H193" s="97">
        <v>599</v>
      </c>
      <c r="I193" s="88"/>
    </row>
    <row r="194" spans="1:9" ht="19.8" customHeight="1" x14ac:dyDescent="0.3">
      <c r="A194" s="103">
        <v>45989</v>
      </c>
      <c r="B194" s="94" t="s">
        <v>36</v>
      </c>
      <c r="C194" s="95" t="s">
        <v>1118</v>
      </c>
      <c r="D194" s="94" t="s">
        <v>1098</v>
      </c>
      <c r="E194" s="104">
        <v>1.427083333333333</v>
      </c>
      <c r="F194" s="94" t="s">
        <v>42</v>
      </c>
      <c r="G194" s="96">
        <v>9</v>
      </c>
      <c r="H194" s="97">
        <v>599</v>
      </c>
      <c r="I194" s="88"/>
    </row>
    <row r="195" spans="1:9" ht="19.8" customHeight="1" x14ac:dyDescent="0.3">
      <c r="A195" s="103">
        <v>45989</v>
      </c>
      <c r="B195" s="94" t="s">
        <v>78</v>
      </c>
      <c r="C195" s="95" t="s">
        <v>1135</v>
      </c>
      <c r="D195" s="94" t="s">
        <v>1098</v>
      </c>
      <c r="E195" s="104">
        <v>1.2986111111111109</v>
      </c>
      <c r="F195" s="94" t="s">
        <v>80</v>
      </c>
      <c r="G195" s="96">
        <v>1</v>
      </c>
      <c r="H195" s="97">
        <v>661</v>
      </c>
      <c r="I195" s="88"/>
    </row>
    <row r="196" spans="1:9" ht="19.8" customHeight="1" x14ac:dyDescent="0.3">
      <c r="A196" s="103">
        <v>45989</v>
      </c>
      <c r="B196" s="94" t="s">
        <v>78</v>
      </c>
      <c r="C196" s="95" t="s">
        <v>1136</v>
      </c>
      <c r="D196" s="94" t="s">
        <v>1098</v>
      </c>
      <c r="E196" s="104">
        <v>1.4826388888888891</v>
      </c>
      <c r="F196" s="94" t="s">
        <v>80</v>
      </c>
      <c r="G196" s="96">
        <v>1</v>
      </c>
      <c r="H196" s="97">
        <v>661</v>
      </c>
      <c r="I196" s="88"/>
    </row>
    <row r="197" spans="1:9" ht="19.8" customHeight="1" x14ac:dyDescent="0.3">
      <c r="A197" s="103">
        <v>45989</v>
      </c>
      <c r="B197" s="94" t="s">
        <v>78</v>
      </c>
      <c r="C197" s="95" t="s">
        <v>1135</v>
      </c>
      <c r="D197" s="94" t="s">
        <v>1098</v>
      </c>
      <c r="E197" s="104">
        <v>1.2986111111111109</v>
      </c>
      <c r="F197" s="94" t="s">
        <v>83</v>
      </c>
      <c r="G197" s="96">
        <v>1</v>
      </c>
      <c r="H197" s="97">
        <v>711</v>
      </c>
      <c r="I197" s="88"/>
    </row>
    <row r="198" spans="1:9" ht="19.8" customHeight="1" x14ac:dyDescent="0.3">
      <c r="A198" s="103">
        <v>45989</v>
      </c>
      <c r="B198" s="94" t="s">
        <v>78</v>
      </c>
      <c r="C198" s="95" t="s">
        <v>1136</v>
      </c>
      <c r="D198" s="94" t="s">
        <v>1098</v>
      </c>
      <c r="E198" s="104">
        <v>1.4826388888888891</v>
      </c>
      <c r="F198" s="94" t="s">
        <v>83</v>
      </c>
      <c r="G198" s="96">
        <v>1</v>
      </c>
      <c r="H198" s="97">
        <v>711</v>
      </c>
      <c r="I198" s="88"/>
    </row>
    <row r="199" spans="1:9" ht="19.8" customHeight="1" x14ac:dyDescent="0.3">
      <c r="A199" s="103">
        <v>45989</v>
      </c>
      <c r="B199" s="94" t="s">
        <v>78</v>
      </c>
      <c r="C199" s="95" t="s">
        <v>1137</v>
      </c>
      <c r="D199" s="94" t="s">
        <v>1098</v>
      </c>
      <c r="E199" s="104">
        <v>1.836805555555556</v>
      </c>
      <c r="F199" s="94" t="s">
        <v>80</v>
      </c>
      <c r="G199" s="96">
        <v>9</v>
      </c>
      <c r="H199" s="97">
        <v>774</v>
      </c>
      <c r="I199" s="88"/>
    </row>
    <row r="200" spans="1:9" ht="19.8" customHeight="1" x14ac:dyDescent="0.3">
      <c r="A200" s="103">
        <v>45989</v>
      </c>
      <c r="B200" s="94" t="s">
        <v>78</v>
      </c>
      <c r="C200" s="95" t="s">
        <v>1134</v>
      </c>
      <c r="D200" s="94" t="s">
        <v>1098</v>
      </c>
      <c r="E200" s="104">
        <v>1.6840277777777779</v>
      </c>
      <c r="F200" s="94" t="s">
        <v>80</v>
      </c>
      <c r="G200" s="96">
        <v>9</v>
      </c>
      <c r="H200" s="97">
        <v>774</v>
      </c>
      <c r="I200" s="88"/>
    </row>
    <row r="201" spans="1:9" ht="19.8" customHeight="1" x14ac:dyDescent="0.3">
      <c r="A201" s="103">
        <v>45989</v>
      </c>
      <c r="B201" s="94" t="s">
        <v>78</v>
      </c>
      <c r="C201" s="95" t="s">
        <v>1137</v>
      </c>
      <c r="D201" s="94" t="s">
        <v>1098</v>
      </c>
      <c r="E201" s="104">
        <v>1.836805555555556</v>
      </c>
      <c r="F201" s="94" t="s">
        <v>83</v>
      </c>
      <c r="G201" s="96">
        <v>9</v>
      </c>
      <c r="H201" s="97">
        <v>824</v>
      </c>
      <c r="I201" s="88"/>
    </row>
    <row r="202" spans="1:9" ht="19.8" customHeight="1" x14ac:dyDescent="0.3">
      <c r="A202" s="103">
        <v>45989</v>
      </c>
      <c r="B202" s="94" t="s">
        <v>78</v>
      </c>
      <c r="C202" s="95" t="s">
        <v>1134</v>
      </c>
      <c r="D202" s="94" t="s">
        <v>1098</v>
      </c>
      <c r="E202" s="104">
        <v>1.6840277777777779</v>
      </c>
      <c r="F202" s="94" t="s">
        <v>83</v>
      </c>
      <c r="G202" s="96">
        <v>9</v>
      </c>
      <c r="H202" s="97">
        <v>824</v>
      </c>
      <c r="I202" s="88"/>
    </row>
    <row r="203" spans="1:9" ht="19.8" customHeight="1" x14ac:dyDescent="0.3">
      <c r="A203" s="103">
        <v>45989</v>
      </c>
      <c r="B203" s="94" t="s">
        <v>66</v>
      </c>
      <c r="C203" s="95" t="s">
        <v>1128</v>
      </c>
      <c r="D203" s="94" t="s">
        <v>1098</v>
      </c>
      <c r="E203" s="104">
        <v>1.541666666666667</v>
      </c>
      <c r="F203" s="94" t="s">
        <v>68</v>
      </c>
      <c r="G203" s="96">
        <v>9</v>
      </c>
      <c r="H203" s="97">
        <v>837</v>
      </c>
      <c r="I203" s="88"/>
    </row>
    <row r="204" spans="1:9" ht="19.8" customHeight="1" x14ac:dyDescent="0.3">
      <c r="A204" s="103">
        <v>45989</v>
      </c>
      <c r="B204" s="94" t="s">
        <v>26</v>
      </c>
      <c r="C204" s="95" t="s">
        <v>1099</v>
      </c>
      <c r="D204" s="94" t="s">
        <v>1098</v>
      </c>
      <c r="E204" s="104">
        <v>1.760416666666667</v>
      </c>
      <c r="F204" s="94" t="s">
        <v>34</v>
      </c>
      <c r="G204" s="96">
        <v>2</v>
      </c>
      <c r="H204" s="97">
        <v>899</v>
      </c>
      <c r="I204" s="88"/>
    </row>
    <row r="205" spans="1:9" ht="19.8" customHeight="1" x14ac:dyDescent="0.3">
      <c r="A205" s="103">
        <v>45989</v>
      </c>
      <c r="B205" s="94" t="s">
        <v>26</v>
      </c>
      <c r="C205" s="95" t="s">
        <v>1104</v>
      </c>
      <c r="D205" s="94" t="s">
        <v>1098</v>
      </c>
      <c r="E205" s="104">
        <v>1.5</v>
      </c>
      <c r="F205" s="94" t="s">
        <v>34</v>
      </c>
      <c r="G205" s="96">
        <v>7</v>
      </c>
      <c r="H205" s="97">
        <v>899</v>
      </c>
      <c r="I205" s="88"/>
    </row>
    <row r="206" spans="1:9" ht="19.8" customHeight="1" x14ac:dyDescent="0.3">
      <c r="A206" s="103">
        <v>45989</v>
      </c>
      <c r="B206" s="94" t="s">
        <v>26</v>
      </c>
      <c r="C206" s="95" t="s">
        <v>1107</v>
      </c>
      <c r="D206" s="94" t="s">
        <v>1098</v>
      </c>
      <c r="E206" s="104">
        <v>1.447916666666667</v>
      </c>
      <c r="F206" s="94" t="s">
        <v>34</v>
      </c>
      <c r="G206" s="96">
        <v>9</v>
      </c>
      <c r="H206" s="97">
        <v>899</v>
      </c>
      <c r="I206" s="88"/>
    </row>
    <row r="207" spans="1:9" ht="19.8" customHeight="1" x14ac:dyDescent="0.3">
      <c r="A207" s="103">
        <v>45989</v>
      </c>
      <c r="B207" s="94" t="s">
        <v>26</v>
      </c>
      <c r="C207" s="95" t="s">
        <v>1110</v>
      </c>
      <c r="D207" s="94" t="s">
        <v>1098</v>
      </c>
      <c r="E207" s="104">
        <v>1.8159722222222221</v>
      </c>
      <c r="F207" s="94" t="s">
        <v>34</v>
      </c>
      <c r="G207" s="96">
        <v>10</v>
      </c>
      <c r="H207" s="97">
        <v>899</v>
      </c>
      <c r="I207" s="88"/>
    </row>
    <row r="208" spans="1:9" ht="19.8" customHeight="1" x14ac:dyDescent="0.3">
      <c r="A208" s="103">
        <v>45989</v>
      </c>
      <c r="B208" s="94" t="s">
        <v>66</v>
      </c>
      <c r="C208" s="95" t="s">
        <v>1126</v>
      </c>
      <c r="D208" s="94" t="s">
        <v>1098</v>
      </c>
      <c r="E208" s="104">
        <v>1.166666666666667</v>
      </c>
      <c r="F208" s="94" t="s">
        <v>68</v>
      </c>
      <c r="G208" s="96">
        <v>9</v>
      </c>
      <c r="H208" s="107" t="s">
        <v>1171</v>
      </c>
      <c r="I208" s="88"/>
    </row>
    <row r="209" spans="1:9" ht="19.8" customHeight="1" x14ac:dyDescent="0.3">
      <c r="A209" s="103">
        <v>45989</v>
      </c>
      <c r="B209" s="94" t="s">
        <v>78</v>
      </c>
      <c r="C209" s="95" t="s">
        <v>1140</v>
      </c>
      <c r="D209" s="94" t="s">
        <v>1098</v>
      </c>
      <c r="E209" s="104">
        <v>1.5</v>
      </c>
      <c r="F209" s="94" t="s">
        <v>83</v>
      </c>
      <c r="G209" s="96">
        <v>4</v>
      </c>
      <c r="H209" s="107" t="s">
        <v>1141</v>
      </c>
      <c r="I209" s="88"/>
    </row>
    <row r="210" spans="1:9" ht="19.8" customHeight="1" x14ac:dyDescent="0.3">
      <c r="A210" s="103">
        <v>45989</v>
      </c>
      <c r="B210" s="94" t="s">
        <v>78</v>
      </c>
      <c r="C210" s="95" t="s">
        <v>1142</v>
      </c>
      <c r="D210" s="94" t="s">
        <v>1098</v>
      </c>
      <c r="E210" s="104">
        <v>1.760416666666667</v>
      </c>
      <c r="F210" s="94" t="s">
        <v>83</v>
      </c>
      <c r="G210" s="96">
        <v>4</v>
      </c>
      <c r="H210" s="107" t="s">
        <v>1141</v>
      </c>
      <c r="I210" s="88"/>
    </row>
    <row r="211" spans="1:9" ht="19.8" customHeight="1" x14ac:dyDescent="0.3">
      <c r="A211" s="113">
        <v>45989</v>
      </c>
      <c r="B211" s="114" t="s">
        <v>78</v>
      </c>
      <c r="C211" s="115" t="s">
        <v>1143</v>
      </c>
      <c r="D211" s="114" t="s">
        <v>1098</v>
      </c>
      <c r="E211" s="116">
        <v>1.8159722222222221</v>
      </c>
      <c r="F211" s="114" t="s">
        <v>83</v>
      </c>
      <c r="G211" s="117">
        <v>4</v>
      </c>
      <c r="H211" s="118" t="s">
        <v>1141</v>
      </c>
      <c r="I211" s="88"/>
    </row>
    <row r="212" spans="1:9" ht="19.8" customHeight="1" x14ac:dyDescent="0.3">
      <c r="A212" s="103">
        <v>45990</v>
      </c>
      <c r="B212" s="94" t="s">
        <v>404</v>
      </c>
      <c r="C212" s="95" t="s">
        <v>1120</v>
      </c>
      <c r="D212" s="94" t="s">
        <v>1098</v>
      </c>
      <c r="E212" s="104">
        <v>1.274305555555556</v>
      </c>
      <c r="F212" s="94" t="s">
        <v>46</v>
      </c>
      <c r="G212" s="96">
        <v>9</v>
      </c>
      <c r="H212" s="97">
        <v>290</v>
      </c>
      <c r="I212" s="88"/>
    </row>
    <row r="213" spans="1:9" ht="19.8" customHeight="1" x14ac:dyDescent="0.3">
      <c r="A213" s="103">
        <v>45990</v>
      </c>
      <c r="B213" s="94" t="s">
        <v>36</v>
      </c>
      <c r="C213" s="95" t="s">
        <v>1113</v>
      </c>
      <c r="D213" s="94" t="s">
        <v>1098</v>
      </c>
      <c r="E213" s="104">
        <v>1.8263888888888891</v>
      </c>
      <c r="F213" s="94" t="s">
        <v>38</v>
      </c>
      <c r="G213" s="96">
        <v>8</v>
      </c>
      <c r="H213" s="97">
        <v>329</v>
      </c>
      <c r="I213" s="88"/>
    </row>
    <row r="214" spans="1:9" ht="19.8" customHeight="1" x14ac:dyDescent="0.3">
      <c r="A214" s="103">
        <v>45990</v>
      </c>
      <c r="B214" s="94" t="s">
        <v>36</v>
      </c>
      <c r="C214" s="95" t="s">
        <v>1119</v>
      </c>
      <c r="D214" s="94" t="s">
        <v>1098</v>
      </c>
      <c r="E214" s="104">
        <v>1.5</v>
      </c>
      <c r="F214" s="94" t="s">
        <v>38</v>
      </c>
      <c r="G214" s="96">
        <v>9</v>
      </c>
      <c r="H214" s="97">
        <v>329</v>
      </c>
      <c r="I214" s="88"/>
    </row>
    <row r="215" spans="1:9" ht="19.8" customHeight="1" x14ac:dyDescent="0.3">
      <c r="A215" s="103">
        <v>45990</v>
      </c>
      <c r="B215" s="94" t="s">
        <v>36</v>
      </c>
      <c r="C215" s="95" t="s">
        <v>1114</v>
      </c>
      <c r="D215" s="94" t="s">
        <v>1098</v>
      </c>
      <c r="E215" s="104">
        <v>1.375</v>
      </c>
      <c r="F215" s="94" t="s">
        <v>38</v>
      </c>
      <c r="G215" s="96">
        <v>9</v>
      </c>
      <c r="H215" s="97">
        <v>329</v>
      </c>
      <c r="I215" s="88"/>
    </row>
    <row r="216" spans="1:9" ht="19.8" customHeight="1" x14ac:dyDescent="0.3">
      <c r="A216" s="103">
        <v>45990</v>
      </c>
      <c r="B216" s="94" t="s">
        <v>36</v>
      </c>
      <c r="C216" s="95" t="s">
        <v>1115</v>
      </c>
      <c r="D216" s="94" t="s">
        <v>1098</v>
      </c>
      <c r="E216" s="104">
        <v>1.5659722222222221</v>
      </c>
      <c r="F216" s="94" t="s">
        <v>38</v>
      </c>
      <c r="G216" s="96">
        <v>9</v>
      </c>
      <c r="H216" s="97">
        <v>329</v>
      </c>
      <c r="I216" s="88"/>
    </row>
    <row r="217" spans="1:9" ht="19.8" customHeight="1" x14ac:dyDescent="0.3">
      <c r="A217" s="103">
        <v>45990</v>
      </c>
      <c r="B217" s="94" t="s">
        <v>36</v>
      </c>
      <c r="C217" s="95" t="s">
        <v>1116</v>
      </c>
      <c r="D217" s="94" t="s">
        <v>1098</v>
      </c>
      <c r="E217" s="104">
        <v>1.305555555555556</v>
      </c>
      <c r="F217" s="94" t="s">
        <v>38</v>
      </c>
      <c r="G217" s="96">
        <v>9</v>
      </c>
      <c r="H217" s="97">
        <v>329</v>
      </c>
      <c r="I217" s="88"/>
    </row>
    <row r="218" spans="1:9" ht="19.8" customHeight="1" x14ac:dyDescent="0.3">
      <c r="A218" s="103">
        <v>45990</v>
      </c>
      <c r="B218" s="94" t="s">
        <v>36</v>
      </c>
      <c r="C218" s="95" t="s">
        <v>1117</v>
      </c>
      <c r="D218" s="94" t="s">
        <v>1098</v>
      </c>
      <c r="E218" s="104">
        <v>1.6875</v>
      </c>
      <c r="F218" s="94" t="s">
        <v>38</v>
      </c>
      <c r="G218" s="96">
        <v>8</v>
      </c>
      <c r="H218" s="97">
        <v>329</v>
      </c>
      <c r="I218" s="88"/>
    </row>
    <row r="219" spans="1:9" ht="19.8" customHeight="1" x14ac:dyDescent="0.3">
      <c r="A219" s="103">
        <v>45990</v>
      </c>
      <c r="B219" s="94" t="s">
        <v>36</v>
      </c>
      <c r="C219" s="95" t="s">
        <v>1118</v>
      </c>
      <c r="D219" s="94" t="s">
        <v>1098</v>
      </c>
      <c r="E219" s="104">
        <v>1.427083333333333</v>
      </c>
      <c r="F219" s="94" t="s">
        <v>38</v>
      </c>
      <c r="G219" s="96">
        <v>8</v>
      </c>
      <c r="H219" s="97">
        <v>329</v>
      </c>
      <c r="I219" s="88"/>
    </row>
    <row r="220" spans="1:9" ht="19.8" customHeight="1" x14ac:dyDescent="0.3">
      <c r="A220" s="103">
        <v>45990</v>
      </c>
      <c r="B220" s="94" t="s">
        <v>404</v>
      </c>
      <c r="C220" s="95" t="s">
        <v>1166</v>
      </c>
      <c r="D220" s="94" t="s">
        <v>1098</v>
      </c>
      <c r="E220" s="104">
        <v>1.8715277777777779</v>
      </c>
      <c r="F220" s="94" t="s">
        <v>46</v>
      </c>
      <c r="G220" s="96">
        <v>9</v>
      </c>
      <c r="H220" s="97">
        <v>350</v>
      </c>
      <c r="I220" s="88"/>
    </row>
    <row r="221" spans="1:9" ht="19.8" customHeight="1" x14ac:dyDescent="0.3">
      <c r="A221" s="103">
        <v>45990</v>
      </c>
      <c r="B221" s="94" t="s">
        <v>66</v>
      </c>
      <c r="C221" s="95" t="s">
        <v>1126</v>
      </c>
      <c r="D221" s="94" t="s">
        <v>1098</v>
      </c>
      <c r="E221" s="104">
        <v>1.166666666666667</v>
      </c>
      <c r="F221" s="94" t="s">
        <v>829</v>
      </c>
      <c r="G221" s="96">
        <v>9</v>
      </c>
      <c r="H221" s="97">
        <v>350</v>
      </c>
      <c r="I221" s="88"/>
    </row>
    <row r="222" spans="1:9" ht="19.8" customHeight="1" x14ac:dyDescent="0.3">
      <c r="A222" s="103">
        <v>45990</v>
      </c>
      <c r="B222" s="94" t="s">
        <v>66</v>
      </c>
      <c r="C222" s="95" t="s">
        <v>1130</v>
      </c>
      <c r="D222" s="94" t="s">
        <v>1098</v>
      </c>
      <c r="E222" s="104">
        <v>1.916666666666667</v>
      </c>
      <c r="F222" s="94" t="s">
        <v>829</v>
      </c>
      <c r="G222" s="96">
        <v>9</v>
      </c>
      <c r="H222" s="97">
        <v>354</v>
      </c>
      <c r="I222" s="88"/>
    </row>
    <row r="223" spans="1:9" ht="19.8" customHeight="1" x14ac:dyDescent="0.3">
      <c r="A223" s="105">
        <v>45990</v>
      </c>
      <c r="B223" s="99" t="s">
        <v>44</v>
      </c>
      <c r="C223" s="100" t="s">
        <v>1154</v>
      </c>
      <c r="D223" s="99" t="s">
        <v>1098</v>
      </c>
      <c r="E223" s="106">
        <v>1.6111111111111109</v>
      </c>
      <c r="F223" s="99" t="s">
        <v>46</v>
      </c>
      <c r="G223" s="101">
        <v>4</v>
      </c>
      <c r="H223" s="102">
        <v>355</v>
      </c>
      <c r="I223" s="88"/>
    </row>
    <row r="224" spans="1:9" ht="19.8" customHeight="1" x14ac:dyDescent="0.3">
      <c r="A224" s="103">
        <v>45990</v>
      </c>
      <c r="B224" s="94" t="s">
        <v>410</v>
      </c>
      <c r="C224" s="95" t="s">
        <v>1188</v>
      </c>
      <c r="D224" s="94" t="s">
        <v>1098</v>
      </c>
      <c r="E224" s="104">
        <v>1.7222222222222221</v>
      </c>
      <c r="F224" s="94" t="s">
        <v>46</v>
      </c>
      <c r="G224" s="96">
        <v>3</v>
      </c>
      <c r="H224" s="97">
        <v>357</v>
      </c>
      <c r="I224" s="88"/>
    </row>
    <row r="225" spans="1:9" ht="19.8" customHeight="1" x14ac:dyDescent="0.3">
      <c r="A225" s="103">
        <v>45990</v>
      </c>
      <c r="B225" s="94" t="s">
        <v>410</v>
      </c>
      <c r="C225" s="95" t="s">
        <v>1189</v>
      </c>
      <c r="D225" s="94" t="s">
        <v>1098</v>
      </c>
      <c r="E225" s="104">
        <v>1.208333333333333</v>
      </c>
      <c r="F225" s="94" t="s">
        <v>46</v>
      </c>
      <c r="G225" s="96">
        <v>9</v>
      </c>
      <c r="H225" s="97">
        <v>357</v>
      </c>
      <c r="I225" s="88"/>
    </row>
    <row r="226" spans="1:9" ht="19.8" customHeight="1" x14ac:dyDescent="0.3">
      <c r="A226" s="103">
        <v>45990</v>
      </c>
      <c r="B226" s="94" t="s">
        <v>410</v>
      </c>
      <c r="C226" s="95" t="s">
        <v>1167</v>
      </c>
      <c r="D226" s="94" t="s">
        <v>1098</v>
      </c>
      <c r="E226" s="104">
        <v>1.354166666666667</v>
      </c>
      <c r="F226" s="94" t="s">
        <v>46</v>
      </c>
      <c r="G226" s="96">
        <v>9</v>
      </c>
      <c r="H226" s="97">
        <v>357</v>
      </c>
      <c r="I226" s="88"/>
    </row>
    <row r="227" spans="1:9" ht="19.8" customHeight="1" x14ac:dyDescent="0.3">
      <c r="A227" s="103">
        <v>45990</v>
      </c>
      <c r="B227" s="94" t="s">
        <v>36</v>
      </c>
      <c r="C227" s="95" t="s">
        <v>1113</v>
      </c>
      <c r="D227" s="94" t="s">
        <v>1098</v>
      </c>
      <c r="E227" s="104">
        <v>1.8263888888888891</v>
      </c>
      <c r="F227" s="94" t="s">
        <v>40</v>
      </c>
      <c r="G227" s="96">
        <v>8</v>
      </c>
      <c r="H227" s="97">
        <v>429</v>
      </c>
      <c r="I227" s="88"/>
    </row>
    <row r="228" spans="1:9" ht="19.8" customHeight="1" x14ac:dyDescent="0.3">
      <c r="A228" s="103">
        <v>45990</v>
      </c>
      <c r="B228" s="94" t="s">
        <v>36</v>
      </c>
      <c r="C228" s="95" t="s">
        <v>1119</v>
      </c>
      <c r="D228" s="94" t="s">
        <v>1098</v>
      </c>
      <c r="E228" s="104">
        <v>1.5</v>
      </c>
      <c r="F228" s="94" t="s">
        <v>40</v>
      </c>
      <c r="G228" s="96">
        <v>9</v>
      </c>
      <c r="H228" s="97">
        <v>429</v>
      </c>
      <c r="I228" s="88"/>
    </row>
    <row r="229" spans="1:9" ht="19.8" customHeight="1" x14ac:dyDescent="0.3">
      <c r="A229" s="103">
        <v>45990</v>
      </c>
      <c r="B229" s="94" t="s">
        <v>36</v>
      </c>
      <c r="C229" s="95" t="s">
        <v>1114</v>
      </c>
      <c r="D229" s="94" t="s">
        <v>1098</v>
      </c>
      <c r="E229" s="104">
        <v>1.375</v>
      </c>
      <c r="F229" s="94" t="s">
        <v>40</v>
      </c>
      <c r="G229" s="96">
        <v>9</v>
      </c>
      <c r="H229" s="97">
        <v>429</v>
      </c>
      <c r="I229" s="88"/>
    </row>
    <row r="230" spans="1:9" ht="19.8" customHeight="1" x14ac:dyDescent="0.3">
      <c r="A230" s="103">
        <v>45990</v>
      </c>
      <c r="B230" s="94" t="s">
        <v>36</v>
      </c>
      <c r="C230" s="95" t="s">
        <v>1115</v>
      </c>
      <c r="D230" s="94" t="s">
        <v>1098</v>
      </c>
      <c r="E230" s="104">
        <v>1.5659722222222221</v>
      </c>
      <c r="F230" s="94" t="s">
        <v>40</v>
      </c>
      <c r="G230" s="96">
        <v>9</v>
      </c>
      <c r="H230" s="97">
        <v>429</v>
      </c>
      <c r="I230" s="88"/>
    </row>
    <row r="231" spans="1:9" ht="19.8" customHeight="1" x14ac:dyDescent="0.3">
      <c r="A231" s="103">
        <v>45990</v>
      </c>
      <c r="B231" s="94" t="s">
        <v>36</v>
      </c>
      <c r="C231" s="95" t="s">
        <v>1116</v>
      </c>
      <c r="D231" s="94" t="s">
        <v>1098</v>
      </c>
      <c r="E231" s="104">
        <v>1.305555555555556</v>
      </c>
      <c r="F231" s="94" t="s">
        <v>40</v>
      </c>
      <c r="G231" s="96">
        <v>9</v>
      </c>
      <c r="H231" s="97">
        <v>429</v>
      </c>
      <c r="I231" s="88"/>
    </row>
    <row r="232" spans="1:9" ht="19.8" customHeight="1" x14ac:dyDescent="0.3">
      <c r="A232" s="103">
        <v>45990</v>
      </c>
      <c r="B232" s="94" t="s">
        <v>36</v>
      </c>
      <c r="C232" s="95" t="s">
        <v>1117</v>
      </c>
      <c r="D232" s="94" t="s">
        <v>1098</v>
      </c>
      <c r="E232" s="104">
        <v>1.6875</v>
      </c>
      <c r="F232" s="94" t="s">
        <v>40</v>
      </c>
      <c r="G232" s="96">
        <v>8</v>
      </c>
      <c r="H232" s="97">
        <v>429</v>
      </c>
      <c r="I232" s="88"/>
    </row>
    <row r="233" spans="1:9" ht="19.8" customHeight="1" x14ac:dyDescent="0.3">
      <c r="A233" s="103">
        <v>45990</v>
      </c>
      <c r="B233" s="94" t="s">
        <v>36</v>
      </c>
      <c r="C233" s="95" t="s">
        <v>1118</v>
      </c>
      <c r="D233" s="94" t="s">
        <v>1098</v>
      </c>
      <c r="E233" s="104">
        <v>1.427083333333333</v>
      </c>
      <c r="F233" s="94" t="s">
        <v>40</v>
      </c>
      <c r="G233" s="96">
        <v>8</v>
      </c>
      <c r="H233" s="97">
        <v>429</v>
      </c>
      <c r="I233" s="88"/>
    </row>
    <row r="234" spans="1:9" ht="19.8" customHeight="1" x14ac:dyDescent="0.3">
      <c r="A234" s="103">
        <v>45990</v>
      </c>
      <c r="B234" s="94" t="s">
        <v>36</v>
      </c>
      <c r="C234" s="95" t="s">
        <v>1113</v>
      </c>
      <c r="D234" s="94" t="s">
        <v>1098</v>
      </c>
      <c r="E234" s="104">
        <v>1.8263888888888891</v>
      </c>
      <c r="F234" s="94" t="s">
        <v>42</v>
      </c>
      <c r="G234" s="96">
        <v>8</v>
      </c>
      <c r="H234" s="97">
        <v>519</v>
      </c>
      <c r="I234" s="88"/>
    </row>
    <row r="235" spans="1:9" ht="19.8" customHeight="1" x14ac:dyDescent="0.3">
      <c r="A235" s="103">
        <v>45990</v>
      </c>
      <c r="B235" s="94" t="s">
        <v>36</v>
      </c>
      <c r="C235" s="95" t="s">
        <v>1119</v>
      </c>
      <c r="D235" s="94" t="s">
        <v>1098</v>
      </c>
      <c r="E235" s="104">
        <v>1.5</v>
      </c>
      <c r="F235" s="94" t="s">
        <v>42</v>
      </c>
      <c r="G235" s="96">
        <v>9</v>
      </c>
      <c r="H235" s="97">
        <v>519</v>
      </c>
      <c r="I235" s="88"/>
    </row>
    <row r="236" spans="1:9" ht="19.8" customHeight="1" x14ac:dyDescent="0.3">
      <c r="A236" s="103">
        <v>45990</v>
      </c>
      <c r="B236" s="94" t="s">
        <v>36</v>
      </c>
      <c r="C236" s="95" t="s">
        <v>1114</v>
      </c>
      <c r="D236" s="94" t="s">
        <v>1098</v>
      </c>
      <c r="E236" s="104">
        <v>1.375</v>
      </c>
      <c r="F236" s="94" t="s">
        <v>42</v>
      </c>
      <c r="G236" s="96">
        <v>9</v>
      </c>
      <c r="H236" s="97">
        <v>519</v>
      </c>
      <c r="I236" s="88"/>
    </row>
    <row r="237" spans="1:9" ht="19.8" customHeight="1" x14ac:dyDescent="0.3">
      <c r="A237" s="103">
        <v>45990</v>
      </c>
      <c r="B237" s="94" t="s">
        <v>36</v>
      </c>
      <c r="C237" s="95" t="s">
        <v>1115</v>
      </c>
      <c r="D237" s="94" t="s">
        <v>1098</v>
      </c>
      <c r="E237" s="104">
        <v>1.5659722222222221</v>
      </c>
      <c r="F237" s="94" t="s">
        <v>42</v>
      </c>
      <c r="G237" s="96">
        <v>9</v>
      </c>
      <c r="H237" s="97">
        <v>519</v>
      </c>
      <c r="I237" s="88"/>
    </row>
    <row r="238" spans="1:9" ht="19.8" customHeight="1" x14ac:dyDescent="0.3">
      <c r="A238" s="103">
        <v>45990</v>
      </c>
      <c r="B238" s="94" t="s">
        <v>36</v>
      </c>
      <c r="C238" s="95" t="s">
        <v>1116</v>
      </c>
      <c r="D238" s="94" t="s">
        <v>1098</v>
      </c>
      <c r="E238" s="104">
        <v>1.305555555555556</v>
      </c>
      <c r="F238" s="94" t="s">
        <v>42</v>
      </c>
      <c r="G238" s="96">
        <v>9</v>
      </c>
      <c r="H238" s="97">
        <v>519</v>
      </c>
      <c r="I238" s="88"/>
    </row>
    <row r="239" spans="1:9" ht="19.8" customHeight="1" x14ac:dyDescent="0.3">
      <c r="A239" s="103">
        <v>45990</v>
      </c>
      <c r="B239" s="94" t="s">
        <v>36</v>
      </c>
      <c r="C239" s="95" t="s">
        <v>1117</v>
      </c>
      <c r="D239" s="94" t="s">
        <v>1098</v>
      </c>
      <c r="E239" s="104">
        <v>1.6875</v>
      </c>
      <c r="F239" s="94" t="s">
        <v>42</v>
      </c>
      <c r="G239" s="96">
        <v>8</v>
      </c>
      <c r="H239" s="97">
        <v>519</v>
      </c>
      <c r="I239" s="88"/>
    </row>
    <row r="240" spans="1:9" ht="19.8" customHeight="1" x14ac:dyDescent="0.3">
      <c r="A240" s="103">
        <v>45990</v>
      </c>
      <c r="B240" s="94" t="s">
        <v>36</v>
      </c>
      <c r="C240" s="95" t="s">
        <v>1118</v>
      </c>
      <c r="D240" s="94" t="s">
        <v>1098</v>
      </c>
      <c r="E240" s="104">
        <v>1.427083333333333</v>
      </c>
      <c r="F240" s="94" t="s">
        <v>42</v>
      </c>
      <c r="G240" s="96">
        <v>8</v>
      </c>
      <c r="H240" s="97">
        <v>519</v>
      </c>
      <c r="I240" s="88"/>
    </row>
    <row r="241" spans="1:9" ht="19.8" customHeight="1" x14ac:dyDescent="0.3">
      <c r="A241" s="103">
        <v>45990</v>
      </c>
      <c r="B241" s="94" t="s">
        <v>66</v>
      </c>
      <c r="C241" s="95" t="s">
        <v>1128</v>
      </c>
      <c r="D241" s="94" t="s">
        <v>1098</v>
      </c>
      <c r="E241" s="104">
        <v>1.541666666666667</v>
      </c>
      <c r="F241" s="94" t="s">
        <v>68</v>
      </c>
      <c r="G241" s="96">
        <v>9</v>
      </c>
      <c r="H241" s="97">
        <v>531</v>
      </c>
      <c r="I241" s="88"/>
    </row>
    <row r="242" spans="1:9" ht="19.8" customHeight="1" x14ac:dyDescent="0.3">
      <c r="A242" s="103">
        <v>45990</v>
      </c>
      <c r="B242" s="94" t="s">
        <v>78</v>
      </c>
      <c r="C242" s="95" t="s">
        <v>1135</v>
      </c>
      <c r="D242" s="94" t="s">
        <v>1098</v>
      </c>
      <c r="E242" s="104">
        <v>1.2986111111111109</v>
      </c>
      <c r="F242" s="94" t="s">
        <v>80</v>
      </c>
      <c r="G242" s="96">
        <v>9</v>
      </c>
      <c r="H242" s="97">
        <v>661</v>
      </c>
      <c r="I242" s="88"/>
    </row>
    <row r="243" spans="1:9" ht="19.8" customHeight="1" x14ac:dyDescent="0.3">
      <c r="A243" s="103">
        <v>45990</v>
      </c>
      <c r="B243" s="94" t="s">
        <v>78</v>
      </c>
      <c r="C243" s="95" t="s">
        <v>1136</v>
      </c>
      <c r="D243" s="94" t="s">
        <v>1098</v>
      </c>
      <c r="E243" s="104">
        <v>1.4826388888888891</v>
      </c>
      <c r="F243" s="94" t="s">
        <v>80</v>
      </c>
      <c r="G243" s="96">
        <v>9</v>
      </c>
      <c r="H243" s="97">
        <v>661</v>
      </c>
      <c r="I243" s="88"/>
    </row>
    <row r="244" spans="1:9" ht="19.8" customHeight="1" x14ac:dyDescent="0.3">
      <c r="A244" s="103">
        <v>45990</v>
      </c>
      <c r="B244" s="94" t="s">
        <v>78</v>
      </c>
      <c r="C244" s="95" t="s">
        <v>1135</v>
      </c>
      <c r="D244" s="94" t="s">
        <v>1098</v>
      </c>
      <c r="E244" s="104">
        <v>1.2986111111111109</v>
      </c>
      <c r="F244" s="94" t="s">
        <v>83</v>
      </c>
      <c r="G244" s="96">
        <v>9</v>
      </c>
      <c r="H244" s="97">
        <v>711</v>
      </c>
      <c r="I244" s="88"/>
    </row>
    <row r="245" spans="1:9" ht="19.8" customHeight="1" x14ac:dyDescent="0.3">
      <c r="A245" s="103">
        <v>45990</v>
      </c>
      <c r="B245" s="94" t="s">
        <v>78</v>
      </c>
      <c r="C245" s="95" t="s">
        <v>1136</v>
      </c>
      <c r="D245" s="94" t="s">
        <v>1098</v>
      </c>
      <c r="E245" s="104">
        <v>1.4826388888888891</v>
      </c>
      <c r="F245" s="94" t="s">
        <v>83</v>
      </c>
      <c r="G245" s="96">
        <v>9</v>
      </c>
      <c r="H245" s="97">
        <v>711</v>
      </c>
      <c r="I245" s="88"/>
    </row>
    <row r="246" spans="1:9" ht="19.8" customHeight="1" x14ac:dyDescent="0.3">
      <c r="A246" s="103">
        <v>45990</v>
      </c>
      <c r="B246" s="94" t="s">
        <v>78</v>
      </c>
      <c r="C246" s="95" t="s">
        <v>1137</v>
      </c>
      <c r="D246" s="94" t="s">
        <v>1098</v>
      </c>
      <c r="E246" s="104">
        <v>1.836805555555556</v>
      </c>
      <c r="F246" s="94" t="s">
        <v>80</v>
      </c>
      <c r="G246" s="96">
        <v>9</v>
      </c>
      <c r="H246" s="97">
        <v>774</v>
      </c>
      <c r="I246" s="88"/>
    </row>
    <row r="247" spans="1:9" ht="19.8" customHeight="1" x14ac:dyDescent="0.3">
      <c r="A247" s="103">
        <v>45990</v>
      </c>
      <c r="B247" s="94" t="s">
        <v>78</v>
      </c>
      <c r="C247" s="95" t="s">
        <v>1134</v>
      </c>
      <c r="D247" s="94" t="s">
        <v>1098</v>
      </c>
      <c r="E247" s="104">
        <v>1.6840277777777779</v>
      </c>
      <c r="F247" s="94" t="s">
        <v>80</v>
      </c>
      <c r="G247" s="96">
        <v>9</v>
      </c>
      <c r="H247" s="97">
        <v>774</v>
      </c>
      <c r="I247" s="88"/>
    </row>
    <row r="248" spans="1:9" ht="19.8" customHeight="1" x14ac:dyDescent="0.3">
      <c r="A248" s="103">
        <v>45990</v>
      </c>
      <c r="B248" s="94" t="s">
        <v>78</v>
      </c>
      <c r="C248" s="95" t="s">
        <v>1137</v>
      </c>
      <c r="D248" s="94" t="s">
        <v>1098</v>
      </c>
      <c r="E248" s="104">
        <v>1.836805555555556</v>
      </c>
      <c r="F248" s="94" t="s">
        <v>83</v>
      </c>
      <c r="G248" s="96">
        <v>9</v>
      </c>
      <c r="H248" s="97">
        <v>824</v>
      </c>
      <c r="I248" s="88"/>
    </row>
    <row r="249" spans="1:9" ht="19.8" customHeight="1" x14ac:dyDescent="0.3">
      <c r="A249" s="103">
        <v>45990</v>
      </c>
      <c r="B249" s="94" t="s">
        <v>78</v>
      </c>
      <c r="C249" s="95" t="s">
        <v>1134</v>
      </c>
      <c r="D249" s="94" t="s">
        <v>1098</v>
      </c>
      <c r="E249" s="104">
        <v>1.6840277777777779</v>
      </c>
      <c r="F249" s="94" t="s">
        <v>83</v>
      </c>
      <c r="G249" s="96">
        <v>9</v>
      </c>
      <c r="H249" s="97">
        <v>824</v>
      </c>
      <c r="I249" s="88"/>
    </row>
    <row r="250" spans="1:9" ht="19.8" customHeight="1" x14ac:dyDescent="0.3">
      <c r="A250" s="103">
        <v>45990</v>
      </c>
      <c r="B250" s="94" t="s">
        <v>78</v>
      </c>
      <c r="C250" s="95" t="s">
        <v>1140</v>
      </c>
      <c r="D250" s="94" t="s">
        <v>1098</v>
      </c>
      <c r="E250" s="104">
        <v>1.5</v>
      </c>
      <c r="F250" s="94" t="s">
        <v>83</v>
      </c>
      <c r="G250" s="96">
        <v>4</v>
      </c>
      <c r="H250" s="107" t="s">
        <v>1141</v>
      </c>
      <c r="I250" s="88"/>
    </row>
    <row r="251" spans="1:9" ht="19.8" customHeight="1" x14ac:dyDescent="0.3">
      <c r="A251" s="103">
        <v>45990</v>
      </c>
      <c r="B251" s="94" t="s">
        <v>78</v>
      </c>
      <c r="C251" s="95" t="s">
        <v>1142</v>
      </c>
      <c r="D251" s="94" t="s">
        <v>1098</v>
      </c>
      <c r="E251" s="104">
        <v>1.760416666666667</v>
      </c>
      <c r="F251" s="94" t="s">
        <v>83</v>
      </c>
      <c r="G251" s="96">
        <v>4</v>
      </c>
      <c r="H251" s="107" t="s">
        <v>1141</v>
      </c>
      <c r="I251" s="88"/>
    </row>
    <row r="252" spans="1:9" ht="19.8" customHeight="1" x14ac:dyDescent="0.3">
      <c r="A252" s="113">
        <v>45990</v>
      </c>
      <c r="B252" s="114" t="s">
        <v>78</v>
      </c>
      <c r="C252" s="115" t="s">
        <v>1143</v>
      </c>
      <c r="D252" s="114" t="s">
        <v>1098</v>
      </c>
      <c r="E252" s="116">
        <v>1.8159722222222221</v>
      </c>
      <c r="F252" s="114" t="s">
        <v>83</v>
      </c>
      <c r="G252" s="117">
        <v>4</v>
      </c>
      <c r="H252" s="118" t="s">
        <v>1141</v>
      </c>
      <c r="I252" s="88"/>
    </row>
    <row r="253" spans="1:9" ht="19.8" customHeight="1" x14ac:dyDescent="0.3">
      <c r="A253" s="103">
        <v>45991</v>
      </c>
      <c r="B253" s="94" t="s">
        <v>26</v>
      </c>
      <c r="C253" s="95" t="s">
        <v>1099</v>
      </c>
      <c r="D253" s="94" t="s">
        <v>1098</v>
      </c>
      <c r="E253" s="104">
        <v>1.760416666666667</v>
      </c>
      <c r="F253" s="94" t="s">
        <v>28</v>
      </c>
      <c r="G253" s="96">
        <v>18</v>
      </c>
      <c r="H253" s="97">
        <v>259</v>
      </c>
      <c r="I253" s="88"/>
    </row>
    <row r="254" spans="1:9" ht="19.8" customHeight="1" x14ac:dyDescent="0.3">
      <c r="A254" s="103">
        <v>45991</v>
      </c>
      <c r="B254" s="94" t="s">
        <v>26</v>
      </c>
      <c r="C254" s="95" t="s">
        <v>1104</v>
      </c>
      <c r="D254" s="94" t="s">
        <v>1098</v>
      </c>
      <c r="E254" s="104">
        <v>1.5</v>
      </c>
      <c r="F254" s="94" t="s">
        <v>28</v>
      </c>
      <c r="G254" s="96">
        <v>13</v>
      </c>
      <c r="H254" s="97">
        <v>259</v>
      </c>
      <c r="I254" s="88"/>
    </row>
    <row r="255" spans="1:9" ht="19.8" customHeight="1" x14ac:dyDescent="0.3">
      <c r="A255" s="103">
        <v>45991</v>
      </c>
      <c r="B255" s="94" t="s">
        <v>26</v>
      </c>
      <c r="C255" s="95" t="s">
        <v>1107</v>
      </c>
      <c r="D255" s="94" t="s">
        <v>1098</v>
      </c>
      <c r="E255" s="104">
        <v>1.447916666666667</v>
      </c>
      <c r="F255" s="94" t="s">
        <v>28</v>
      </c>
      <c r="G255" s="96">
        <v>15</v>
      </c>
      <c r="H255" s="97">
        <v>259</v>
      </c>
      <c r="I255" s="88"/>
    </row>
    <row r="256" spans="1:9" ht="19.8" customHeight="1" x14ac:dyDescent="0.3">
      <c r="A256" s="103">
        <v>45991</v>
      </c>
      <c r="B256" s="94" t="s">
        <v>26</v>
      </c>
      <c r="C256" s="95" t="s">
        <v>1110</v>
      </c>
      <c r="D256" s="94" t="s">
        <v>1098</v>
      </c>
      <c r="E256" s="104">
        <v>1.8159722222222221</v>
      </c>
      <c r="F256" s="94" t="s">
        <v>28</v>
      </c>
      <c r="G256" s="96">
        <v>7</v>
      </c>
      <c r="H256" s="97">
        <v>259</v>
      </c>
      <c r="I256" s="88"/>
    </row>
    <row r="257" spans="1:9" ht="19.8" customHeight="1" x14ac:dyDescent="0.3">
      <c r="A257" s="103">
        <v>45991</v>
      </c>
      <c r="B257" s="94" t="s">
        <v>36</v>
      </c>
      <c r="C257" s="95" t="s">
        <v>1114</v>
      </c>
      <c r="D257" s="94" t="s">
        <v>1098</v>
      </c>
      <c r="E257" s="104">
        <v>1.375</v>
      </c>
      <c r="F257" s="94" t="s">
        <v>38</v>
      </c>
      <c r="G257" s="96">
        <v>8</v>
      </c>
      <c r="H257" s="97">
        <v>289</v>
      </c>
      <c r="I257" s="88"/>
    </row>
    <row r="258" spans="1:9" ht="19.8" customHeight="1" x14ac:dyDescent="0.3">
      <c r="A258" s="103">
        <v>45991</v>
      </c>
      <c r="B258" s="94" t="s">
        <v>36</v>
      </c>
      <c r="C258" s="95" t="s">
        <v>1115</v>
      </c>
      <c r="D258" s="94" t="s">
        <v>1098</v>
      </c>
      <c r="E258" s="104">
        <v>1.5659722222222221</v>
      </c>
      <c r="F258" s="94" t="s">
        <v>38</v>
      </c>
      <c r="G258" s="96">
        <v>1</v>
      </c>
      <c r="H258" s="97">
        <v>289</v>
      </c>
      <c r="I258" s="88"/>
    </row>
    <row r="259" spans="1:9" ht="19.8" customHeight="1" x14ac:dyDescent="0.3">
      <c r="A259" s="103">
        <v>45991</v>
      </c>
      <c r="B259" s="94" t="s">
        <v>36</v>
      </c>
      <c r="C259" s="95" t="s">
        <v>1116</v>
      </c>
      <c r="D259" s="94" t="s">
        <v>1098</v>
      </c>
      <c r="E259" s="104">
        <v>1.305555555555556</v>
      </c>
      <c r="F259" s="94" t="s">
        <v>38</v>
      </c>
      <c r="G259" s="96">
        <v>9</v>
      </c>
      <c r="H259" s="97">
        <v>289</v>
      </c>
      <c r="I259" s="88"/>
    </row>
    <row r="260" spans="1:9" ht="19.8" customHeight="1" x14ac:dyDescent="0.3">
      <c r="A260" s="103">
        <v>45991</v>
      </c>
      <c r="B260" s="94" t="s">
        <v>36</v>
      </c>
      <c r="C260" s="95" t="s">
        <v>1118</v>
      </c>
      <c r="D260" s="94" t="s">
        <v>1098</v>
      </c>
      <c r="E260" s="104">
        <v>1.427083333333333</v>
      </c>
      <c r="F260" s="94" t="s">
        <v>38</v>
      </c>
      <c r="G260" s="96">
        <v>9</v>
      </c>
      <c r="H260" s="97">
        <v>289</v>
      </c>
      <c r="I260" s="88"/>
    </row>
    <row r="261" spans="1:9" ht="19.8" customHeight="1" x14ac:dyDescent="0.3">
      <c r="A261" s="103">
        <v>45991</v>
      </c>
      <c r="B261" s="94" t="s">
        <v>36</v>
      </c>
      <c r="C261" s="95" t="s">
        <v>1113</v>
      </c>
      <c r="D261" s="94" t="s">
        <v>1098</v>
      </c>
      <c r="E261" s="104">
        <v>1.8263888888888891</v>
      </c>
      <c r="F261" s="94" t="s">
        <v>38</v>
      </c>
      <c r="G261" s="96">
        <v>7</v>
      </c>
      <c r="H261" s="97">
        <v>329</v>
      </c>
      <c r="I261" s="88"/>
    </row>
    <row r="262" spans="1:9" ht="19.8" customHeight="1" x14ac:dyDescent="0.3">
      <c r="A262" s="103">
        <v>45991</v>
      </c>
      <c r="B262" s="94" t="s">
        <v>36</v>
      </c>
      <c r="C262" s="95" t="s">
        <v>1119</v>
      </c>
      <c r="D262" s="94" t="s">
        <v>1098</v>
      </c>
      <c r="E262" s="104">
        <v>1.5</v>
      </c>
      <c r="F262" s="94" t="s">
        <v>38</v>
      </c>
      <c r="G262" s="96">
        <v>8</v>
      </c>
      <c r="H262" s="97">
        <v>329</v>
      </c>
      <c r="I262" s="88"/>
    </row>
    <row r="263" spans="1:9" ht="19.8" customHeight="1" x14ac:dyDescent="0.3">
      <c r="A263" s="103">
        <v>45991</v>
      </c>
      <c r="B263" s="94" t="s">
        <v>36</v>
      </c>
      <c r="C263" s="95" t="s">
        <v>1117</v>
      </c>
      <c r="D263" s="94" t="s">
        <v>1098</v>
      </c>
      <c r="E263" s="104">
        <v>1.6875</v>
      </c>
      <c r="F263" s="94" t="s">
        <v>38</v>
      </c>
      <c r="G263" s="96">
        <v>9</v>
      </c>
      <c r="H263" s="97">
        <v>329</v>
      </c>
      <c r="I263" s="88"/>
    </row>
    <row r="264" spans="1:9" ht="19.8" customHeight="1" x14ac:dyDescent="0.3">
      <c r="A264" s="103">
        <v>45991</v>
      </c>
      <c r="B264" s="94" t="s">
        <v>404</v>
      </c>
      <c r="C264" s="95" t="s">
        <v>1192</v>
      </c>
      <c r="D264" s="94" t="s">
        <v>1098</v>
      </c>
      <c r="E264" s="104">
        <v>1.586805555555556</v>
      </c>
      <c r="F264" s="94" t="s">
        <v>46</v>
      </c>
      <c r="G264" s="96">
        <v>9</v>
      </c>
      <c r="H264" s="97">
        <v>350</v>
      </c>
      <c r="I264" s="88"/>
    </row>
    <row r="265" spans="1:9" ht="19.8" customHeight="1" x14ac:dyDescent="0.3">
      <c r="A265" s="103">
        <v>45991</v>
      </c>
      <c r="B265" s="94" t="s">
        <v>410</v>
      </c>
      <c r="C265" s="95" t="s">
        <v>1193</v>
      </c>
      <c r="D265" s="94" t="s">
        <v>1098</v>
      </c>
      <c r="E265" s="104">
        <v>1.3159722222222221</v>
      </c>
      <c r="F265" s="94" t="s">
        <v>46</v>
      </c>
      <c r="G265" s="96">
        <v>7</v>
      </c>
      <c r="H265" s="97">
        <v>357</v>
      </c>
      <c r="I265" s="88"/>
    </row>
    <row r="266" spans="1:9" ht="19.8" customHeight="1" x14ac:dyDescent="0.3">
      <c r="A266" s="103">
        <v>45991</v>
      </c>
      <c r="B266" s="94" t="s">
        <v>410</v>
      </c>
      <c r="C266" s="95" t="s">
        <v>1167</v>
      </c>
      <c r="D266" s="94" t="s">
        <v>1098</v>
      </c>
      <c r="E266" s="104">
        <v>1.3576388888888891</v>
      </c>
      <c r="F266" s="94" t="s">
        <v>46</v>
      </c>
      <c r="G266" s="96">
        <v>9</v>
      </c>
      <c r="H266" s="97">
        <v>357</v>
      </c>
      <c r="I266" s="88"/>
    </row>
    <row r="267" spans="1:9" ht="19.8" customHeight="1" x14ac:dyDescent="0.3">
      <c r="A267" s="103">
        <v>45991</v>
      </c>
      <c r="B267" s="94" t="s">
        <v>36</v>
      </c>
      <c r="C267" s="95" t="s">
        <v>1114</v>
      </c>
      <c r="D267" s="94" t="s">
        <v>1098</v>
      </c>
      <c r="E267" s="104">
        <v>1.375</v>
      </c>
      <c r="F267" s="94" t="s">
        <v>40</v>
      </c>
      <c r="G267" s="96">
        <v>8</v>
      </c>
      <c r="H267" s="97">
        <v>389</v>
      </c>
      <c r="I267" s="88"/>
    </row>
    <row r="268" spans="1:9" ht="19.8" customHeight="1" x14ac:dyDescent="0.3">
      <c r="A268" s="103">
        <v>45991</v>
      </c>
      <c r="B268" s="94" t="s">
        <v>36</v>
      </c>
      <c r="C268" s="95" t="s">
        <v>1115</v>
      </c>
      <c r="D268" s="94" t="s">
        <v>1098</v>
      </c>
      <c r="E268" s="104">
        <v>1.5659722222222221</v>
      </c>
      <c r="F268" s="94" t="s">
        <v>40</v>
      </c>
      <c r="G268" s="96">
        <v>1</v>
      </c>
      <c r="H268" s="97">
        <v>389</v>
      </c>
      <c r="I268" s="88"/>
    </row>
    <row r="269" spans="1:9" ht="19.8" customHeight="1" x14ac:dyDescent="0.3">
      <c r="A269" s="103">
        <v>45991</v>
      </c>
      <c r="B269" s="94" t="s">
        <v>36</v>
      </c>
      <c r="C269" s="95" t="s">
        <v>1116</v>
      </c>
      <c r="D269" s="94" t="s">
        <v>1098</v>
      </c>
      <c r="E269" s="104">
        <v>1.305555555555556</v>
      </c>
      <c r="F269" s="94" t="s">
        <v>40</v>
      </c>
      <c r="G269" s="96">
        <v>9</v>
      </c>
      <c r="H269" s="97">
        <v>389</v>
      </c>
      <c r="I269" s="88"/>
    </row>
    <row r="270" spans="1:9" ht="19.8" customHeight="1" x14ac:dyDescent="0.3">
      <c r="A270" s="103">
        <v>45991</v>
      </c>
      <c r="B270" s="94" t="s">
        <v>36</v>
      </c>
      <c r="C270" s="95" t="s">
        <v>1118</v>
      </c>
      <c r="D270" s="94" t="s">
        <v>1098</v>
      </c>
      <c r="E270" s="104">
        <v>1.427083333333333</v>
      </c>
      <c r="F270" s="94" t="s">
        <v>40</v>
      </c>
      <c r="G270" s="96">
        <v>9</v>
      </c>
      <c r="H270" s="97">
        <v>389</v>
      </c>
      <c r="I270" s="88"/>
    </row>
    <row r="271" spans="1:9" ht="19.8" customHeight="1" x14ac:dyDescent="0.3">
      <c r="A271" s="105">
        <v>45991</v>
      </c>
      <c r="B271" s="99" t="s">
        <v>44</v>
      </c>
      <c r="C271" s="100" t="s">
        <v>1154</v>
      </c>
      <c r="D271" s="99" t="s">
        <v>1098</v>
      </c>
      <c r="E271" s="106">
        <v>1.625</v>
      </c>
      <c r="F271" s="99" t="s">
        <v>46</v>
      </c>
      <c r="G271" s="101">
        <v>9</v>
      </c>
      <c r="H271" s="102">
        <v>397</v>
      </c>
      <c r="I271" s="88"/>
    </row>
    <row r="272" spans="1:9" ht="19.8" customHeight="1" x14ac:dyDescent="0.3">
      <c r="A272" s="103">
        <v>45991</v>
      </c>
      <c r="B272" s="94" t="s">
        <v>26</v>
      </c>
      <c r="C272" s="95" t="s">
        <v>1099</v>
      </c>
      <c r="D272" s="94" t="s">
        <v>1098</v>
      </c>
      <c r="E272" s="104">
        <v>1.760416666666667</v>
      </c>
      <c r="F272" s="94" t="s">
        <v>31</v>
      </c>
      <c r="G272" s="96">
        <v>18</v>
      </c>
      <c r="H272" s="97">
        <v>409</v>
      </c>
      <c r="I272" s="88"/>
    </row>
    <row r="273" spans="1:9" ht="19.8" customHeight="1" x14ac:dyDescent="0.3">
      <c r="A273" s="103">
        <v>45991</v>
      </c>
      <c r="B273" s="94" t="s">
        <v>26</v>
      </c>
      <c r="C273" s="95" t="s">
        <v>1104</v>
      </c>
      <c r="D273" s="94" t="s">
        <v>1098</v>
      </c>
      <c r="E273" s="104">
        <v>1.5</v>
      </c>
      <c r="F273" s="94" t="s">
        <v>31</v>
      </c>
      <c r="G273" s="96">
        <v>13</v>
      </c>
      <c r="H273" s="97">
        <v>409</v>
      </c>
      <c r="I273" s="88"/>
    </row>
    <row r="274" spans="1:9" ht="19.8" customHeight="1" x14ac:dyDescent="0.3">
      <c r="A274" s="103">
        <v>45991</v>
      </c>
      <c r="B274" s="94" t="s">
        <v>26</v>
      </c>
      <c r="C274" s="95" t="s">
        <v>1107</v>
      </c>
      <c r="D274" s="94" t="s">
        <v>1098</v>
      </c>
      <c r="E274" s="104">
        <v>1.447916666666667</v>
      </c>
      <c r="F274" s="94" t="s">
        <v>31</v>
      </c>
      <c r="G274" s="96">
        <v>15</v>
      </c>
      <c r="H274" s="97">
        <v>409</v>
      </c>
      <c r="I274" s="88"/>
    </row>
    <row r="275" spans="1:9" ht="19.8" customHeight="1" x14ac:dyDescent="0.3">
      <c r="A275" s="103">
        <v>45991</v>
      </c>
      <c r="B275" s="94" t="s">
        <v>26</v>
      </c>
      <c r="C275" s="95" t="s">
        <v>1110</v>
      </c>
      <c r="D275" s="94" t="s">
        <v>1098</v>
      </c>
      <c r="E275" s="104">
        <v>1.8159722222222221</v>
      </c>
      <c r="F275" s="94" t="s">
        <v>31</v>
      </c>
      <c r="G275" s="96">
        <v>7</v>
      </c>
      <c r="H275" s="97">
        <v>409</v>
      </c>
      <c r="I275" s="88"/>
    </row>
    <row r="276" spans="1:9" ht="19.8" customHeight="1" x14ac:dyDescent="0.3">
      <c r="A276" s="103">
        <v>45991</v>
      </c>
      <c r="B276" s="94" t="s">
        <v>36</v>
      </c>
      <c r="C276" s="95" t="s">
        <v>1113</v>
      </c>
      <c r="D276" s="94" t="s">
        <v>1098</v>
      </c>
      <c r="E276" s="104">
        <v>1.8263888888888891</v>
      </c>
      <c r="F276" s="94" t="s">
        <v>40</v>
      </c>
      <c r="G276" s="96">
        <v>7</v>
      </c>
      <c r="H276" s="97">
        <v>429</v>
      </c>
      <c r="I276" s="88"/>
    </row>
    <row r="277" spans="1:9" ht="19.8" customHeight="1" x14ac:dyDescent="0.3">
      <c r="A277" s="103">
        <v>45991</v>
      </c>
      <c r="B277" s="94" t="s">
        <v>36</v>
      </c>
      <c r="C277" s="95" t="s">
        <v>1119</v>
      </c>
      <c r="D277" s="94" t="s">
        <v>1098</v>
      </c>
      <c r="E277" s="104">
        <v>1.5</v>
      </c>
      <c r="F277" s="94" t="s">
        <v>40</v>
      </c>
      <c r="G277" s="96">
        <v>8</v>
      </c>
      <c r="H277" s="97">
        <v>429</v>
      </c>
      <c r="I277" s="88"/>
    </row>
    <row r="278" spans="1:9" ht="19.8" customHeight="1" x14ac:dyDescent="0.3">
      <c r="A278" s="103">
        <v>45991</v>
      </c>
      <c r="B278" s="94" t="s">
        <v>36</v>
      </c>
      <c r="C278" s="95" t="s">
        <v>1117</v>
      </c>
      <c r="D278" s="94" t="s">
        <v>1098</v>
      </c>
      <c r="E278" s="104">
        <v>1.6875</v>
      </c>
      <c r="F278" s="94" t="s">
        <v>40</v>
      </c>
      <c r="G278" s="96">
        <v>9</v>
      </c>
      <c r="H278" s="97">
        <v>429</v>
      </c>
      <c r="I278" s="88"/>
    </row>
    <row r="279" spans="1:9" ht="19.8" customHeight="1" x14ac:dyDescent="0.3">
      <c r="A279" s="103">
        <v>45991</v>
      </c>
      <c r="B279" s="94" t="s">
        <v>66</v>
      </c>
      <c r="C279" s="95" t="s">
        <v>1128</v>
      </c>
      <c r="D279" s="94" t="s">
        <v>1098</v>
      </c>
      <c r="E279" s="104">
        <v>1.520833333333333</v>
      </c>
      <c r="F279" s="94" t="s">
        <v>68</v>
      </c>
      <c r="G279" s="96">
        <v>9</v>
      </c>
      <c r="H279" s="97">
        <v>462</v>
      </c>
      <c r="I279" s="88"/>
    </row>
    <row r="280" spans="1:9" ht="19.8" customHeight="1" x14ac:dyDescent="0.3">
      <c r="A280" s="103">
        <v>45991</v>
      </c>
      <c r="B280" s="94" t="s">
        <v>66</v>
      </c>
      <c r="C280" s="95" t="s">
        <v>1130</v>
      </c>
      <c r="D280" s="94" t="s">
        <v>1098</v>
      </c>
      <c r="E280" s="104">
        <v>1.916666666666667</v>
      </c>
      <c r="F280" s="94" t="s">
        <v>68</v>
      </c>
      <c r="G280" s="96">
        <v>9</v>
      </c>
      <c r="H280" s="97">
        <v>466</v>
      </c>
      <c r="I280" s="88"/>
    </row>
    <row r="281" spans="1:9" ht="19.8" customHeight="1" x14ac:dyDescent="0.3">
      <c r="A281" s="103">
        <v>45991</v>
      </c>
      <c r="B281" s="94" t="s">
        <v>36</v>
      </c>
      <c r="C281" s="95" t="s">
        <v>1114</v>
      </c>
      <c r="D281" s="94" t="s">
        <v>1098</v>
      </c>
      <c r="E281" s="104">
        <v>1.375</v>
      </c>
      <c r="F281" s="94" t="s">
        <v>42</v>
      </c>
      <c r="G281" s="96">
        <v>8</v>
      </c>
      <c r="H281" s="97">
        <v>479</v>
      </c>
      <c r="I281" s="88"/>
    </row>
    <row r="282" spans="1:9" ht="19.8" customHeight="1" x14ac:dyDescent="0.3">
      <c r="A282" s="103">
        <v>45991</v>
      </c>
      <c r="B282" s="94" t="s">
        <v>36</v>
      </c>
      <c r="C282" s="95" t="s">
        <v>1115</v>
      </c>
      <c r="D282" s="94" t="s">
        <v>1098</v>
      </c>
      <c r="E282" s="104">
        <v>1.5659722222222221</v>
      </c>
      <c r="F282" s="94" t="s">
        <v>42</v>
      </c>
      <c r="G282" s="96">
        <v>1</v>
      </c>
      <c r="H282" s="97">
        <v>479</v>
      </c>
      <c r="I282" s="88"/>
    </row>
    <row r="283" spans="1:9" ht="19.8" customHeight="1" x14ac:dyDescent="0.3">
      <c r="A283" s="103">
        <v>45991</v>
      </c>
      <c r="B283" s="94" t="s">
        <v>36</v>
      </c>
      <c r="C283" s="95" t="s">
        <v>1116</v>
      </c>
      <c r="D283" s="94" t="s">
        <v>1098</v>
      </c>
      <c r="E283" s="104">
        <v>1.305555555555556</v>
      </c>
      <c r="F283" s="94" t="s">
        <v>42</v>
      </c>
      <c r="G283" s="96">
        <v>9</v>
      </c>
      <c r="H283" s="97">
        <v>479</v>
      </c>
      <c r="I283" s="88"/>
    </row>
    <row r="284" spans="1:9" ht="19.8" customHeight="1" x14ac:dyDescent="0.3">
      <c r="A284" s="103">
        <v>45991</v>
      </c>
      <c r="B284" s="94" t="s">
        <v>36</v>
      </c>
      <c r="C284" s="95" t="s">
        <v>1118</v>
      </c>
      <c r="D284" s="94" t="s">
        <v>1098</v>
      </c>
      <c r="E284" s="104">
        <v>1.427083333333333</v>
      </c>
      <c r="F284" s="94" t="s">
        <v>42</v>
      </c>
      <c r="G284" s="96">
        <v>9</v>
      </c>
      <c r="H284" s="97">
        <v>479</v>
      </c>
      <c r="I284" s="88"/>
    </row>
    <row r="285" spans="1:9" ht="19.8" customHeight="1" x14ac:dyDescent="0.3">
      <c r="A285" s="103">
        <v>45991</v>
      </c>
      <c r="B285" s="94" t="s">
        <v>78</v>
      </c>
      <c r="C285" s="95" t="s">
        <v>1131</v>
      </c>
      <c r="D285" s="94" t="s">
        <v>1098</v>
      </c>
      <c r="E285" s="104">
        <v>1.552083333333333</v>
      </c>
      <c r="F285" s="94" t="s">
        <v>80</v>
      </c>
      <c r="G285" s="96">
        <v>9</v>
      </c>
      <c r="H285" s="97">
        <v>495</v>
      </c>
      <c r="I285" s="88"/>
    </row>
    <row r="286" spans="1:9" ht="19.8" customHeight="1" x14ac:dyDescent="0.3">
      <c r="A286" s="103">
        <v>45991</v>
      </c>
      <c r="B286" s="94" t="s">
        <v>78</v>
      </c>
      <c r="C286" s="95" t="s">
        <v>1135</v>
      </c>
      <c r="D286" s="94" t="s">
        <v>1098</v>
      </c>
      <c r="E286" s="104">
        <v>1.2986111111111109</v>
      </c>
      <c r="F286" s="94" t="s">
        <v>80</v>
      </c>
      <c r="G286" s="96">
        <v>9</v>
      </c>
      <c r="H286" s="97">
        <v>495</v>
      </c>
      <c r="I286" s="88"/>
    </row>
    <row r="287" spans="1:9" ht="19.8" customHeight="1" x14ac:dyDescent="0.3">
      <c r="A287" s="103">
        <v>45991</v>
      </c>
      <c r="B287" s="94" t="s">
        <v>78</v>
      </c>
      <c r="C287" s="95" t="s">
        <v>1136</v>
      </c>
      <c r="D287" s="94" t="s">
        <v>1098</v>
      </c>
      <c r="E287" s="104">
        <v>1.4826388888888891</v>
      </c>
      <c r="F287" s="94" t="s">
        <v>80</v>
      </c>
      <c r="G287" s="96">
        <v>9</v>
      </c>
      <c r="H287" s="97">
        <v>495</v>
      </c>
      <c r="I287" s="88"/>
    </row>
    <row r="288" spans="1:9" ht="19.8" customHeight="1" x14ac:dyDescent="0.3">
      <c r="A288" s="103">
        <v>45991</v>
      </c>
      <c r="B288" s="94" t="s">
        <v>36</v>
      </c>
      <c r="C288" s="95" t="s">
        <v>1113</v>
      </c>
      <c r="D288" s="94" t="s">
        <v>1098</v>
      </c>
      <c r="E288" s="104">
        <v>1.8263888888888891</v>
      </c>
      <c r="F288" s="94" t="s">
        <v>42</v>
      </c>
      <c r="G288" s="96">
        <v>7</v>
      </c>
      <c r="H288" s="97">
        <v>519</v>
      </c>
      <c r="I288" s="88"/>
    </row>
    <row r="289" spans="1:9" ht="19.8" customHeight="1" x14ac:dyDescent="0.3">
      <c r="A289" s="103">
        <v>45991</v>
      </c>
      <c r="B289" s="94" t="s">
        <v>36</v>
      </c>
      <c r="C289" s="95" t="s">
        <v>1119</v>
      </c>
      <c r="D289" s="94" t="s">
        <v>1098</v>
      </c>
      <c r="E289" s="104">
        <v>1.5</v>
      </c>
      <c r="F289" s="94" t="s">
        <v>42</v>
      </c>
      <c r="G289" s="96">
        <v>8</v>
      </c>
      <c r="H289" s="97">
        <v>519</v>
      </c>
      <c r="I289" s="88"/>
    </row>
    <row r="290" spans="1:9" ht="19.8" customHeight="1" x14ac:dyDescent="0.3">
      <c r="A290" s="103">
        <v>45991</v>
      </c>
      <c r="B290" s="94" t="s">
        <v>36</v>
      </c>
      <c r="C290" s="95" t="s">
        <v>1117</v>
      </c>
      <c r="D290" s="94" t="s">
        <v>1098</v>
      </c>
      <c r="E290" s="104">
        <v>1.6875</v>
      </c>
      <c r="F290" s="94" t="s">
        <v>42</v>
      </c>
      <c r="G290" s="96">
        <v>9</v>
      </c>
      <c r="H290" s="97">
        <v>519</v>
      </c>
      <c r="I290" s="88"/>
    </row>
    <row r="291" spans="1:9" ht="19.8" customHeight="1" x14ac:dyDescent="0.3">
      <c r="A291" s="103">
        <v>45991</v>
      </c>
      <c r="B291" s="94" t="s">
        <v>66</v>
      </c>
      <c r="C291" s="95" t="s">
        <v>1126</v>
      </c>
      <c r="D291" s="94" t="s">
        <v>1098</v>
      </c>
      <c r="E291" s="104">
        <v>1.1701388888888891</v>
      </c>
      <c r="F291" s="94" t="s">
        <v>68</v>
      </c>
      <c r="G291" s="96">
        <v>9</v>
      </c>
      <c r="H291" s="97">
        <v>527</v>
      </c>
      <c r="I291" s="88"/>
    </row>
    <row r="292" spans="1:9" ht="19.8" customHeight="1" x14ac:dyDescent="0.3">
      <c r="A292" s="103">
        <v>45991</v>
      </c>
      <c r="B292" s="94" t="s">
        <v>78</v>
      </c>
      <c r="C292" s="95" t="s">
        <v>1131</v>
      </c>
      <c r="D292" s="94" t="s">
        <v>1098</v>
      </c>
      <c r="E292" s="104">
        <v>1.552083333333333</v>
      </c>
      <c r="F292" s="94" t="s">
        <v>83</v>
      </c>
      <c r="G292" s="96">
        <v>9</v>
      </c>
      <c r="H292" s="97">
        <v>545</v>
      </c>
      <c r="I292" s="88"/>
    </row>
    <row r="293" spans="1:9" ht="19.8" customHeight="1" x14ac:dyDescent="0.3">
      <c r="A293" s="103">
        <v>45991</v>
      </c>
      <c r="B293" s="94" t="s">
        <v>78</v>
      </c>
      <c r="C293" s="95" t="s">
        <v>1135</v>
      </c>
      <c r="D293" s="94" t="s">
        <v>1098</v>
      </c>
      <c r="E293" s="104">
        <v>1.2986111111111109</v>
      </c>
      <c r="F293" s="94" t="s">
        <v>83</v>
      </c>
      <c r="G293" s="96">
        <v>9</v>
      </c>
      <c r="H293" s="97">
        <v>545</v>
      </c>
      <c r="I293" s="88"/>
    </row>
    <row r="294" spans="1:9" ht="19.8" customHeight="1" x14ac:dyDescent="0.3">
      <c r="A294" s="103">
        <v>45991</v>
      </c>
      <c r="B294" s="94" t="s">
        <v>78</v>
      </c>
      <c r="C294" s="95" t="s">
        <v>1136</v>
      </c>
      <c r="D294" s="94" t="s">
        <v>1098</v>
      </c>
      <c r="E294" s="104">
        <v>1.4826388888888891</v>
      </c>
      <c r="F294" s="94" t="s">
        <v>83</v>
      </c>
      <c r="G294" s="96">
        <v>9</v>
      </c>
      <c r="H294" s="97">
        <v>545</v>
      </c>
      <c r="I294" s="88"/>
    </row>
    <row r="295" spans="1:9" ht="19.8" customHeight="1" x14ac:dyDescent="0.3">
      <c r="A295" s="103">
        <v>45991</v>
      </c>
      <c r="B295" s="94" t="s">
        <v>78</v>
      </c>
      <c r="C295" s="95" t="s">
        <v>1134</v>
      </c>
      <c r="D295" s="94" t="s">
        <v>1098</v>
      </c>
      <c r="E295" s="104">
        <v>1.6840277777777779</v>
      </c>
      <c r="F295" s="94" t="s">
        <v>80</v>
      </c>
      <c r="G295" s="96">
        <v>9</v>
      </c>
      <c r="H295" s="97">
        <v>661</v>
      </c>
      <c r="I295" s="88"/>
    </row>
    <row r="296" spans="1:9" ht="19.8" customHeight="1" x14ac:dyDescent="0.3">
      <c r="A296" s="103">
        <v>45991</v>
      </c>
      <c r="B296" s="94" t="s">
        <v>78</v>
      </c>
      <c r="C296" s="95" t="s">
        <v>1134</v>
      </c>
      <c r="D296" s="94" t="s">
        <v>1098</v>
      </c>
      <c r="E296" s="104">
        <v>1.6840277777777779</v>
      </c>
      <c r="F296" s="94" t="s">
        <v>83</v>
      </c>
      <c r="G296" s="96">
        <v>9</v>
      </c>
      <c r="H296" s="97">
        <v>711</v>
      </c>
      <c r="I296" s="88"/>
    </row>
    <row r="297" spans="1:9" ht="19.8" customHeight="1" x14ac:dyDescent="0.3">
      <c r="A297" s="103">
        <v>45991</v>
      </c>
      <c r="B297" s="94" t="s">
        <v>78</v>
      </c>
      <c r="C297" s="95" t="s">
        <v>1137</v>
      </c>
      <c r="D297" s="94" t="s">
        <v>1098</v>
      </c>
      <c r="E297" s="104">
        <v>1.836805555555556</v>
      </c>
      <c r="F297" s="94" t="s">
        <v>80</v>
      </c>
      <c r="G297" s="96">
        <v>9</v>
      </c>
      <c r="H297" s="97">
        <v>774</v>
      </c>
      <c r="I297" s="88"/>
    </row>
    <row r="298" spans="1:9" ht="19.8" customHeight="1" x14ac:dyDescent="0.3">
      <c r="A298" s="103">
        <v>45991</v>
      </c>
      <c r="B298" s="94" t="s">
        <v>78</v>
      </c>
      <c r="C298" s="95" t="s">
        <v>1137</v>
      </c>
      <c r="D298" s="94" t="s">
        <v>1098</v>
      </c>
      <c r="E298" s="104">
        <v>1.836805555555556</v>
      </c>
      <c r="F298" s="94" t="s">
        <v>83</v>
      </c>
      <c r="G298" s="96">
        <v>9</v>
      </c>
      <c r="H298" s="97">
        <v>824</v>
      </c>
      <c r="I298" s="88"/>
    </row>
    <row r="299" spans="1:9" ht="19.8" customHeight="1" x14ac:dyDescent="0.3">
      <c r="A299" s="103">
        <v>45991</v>
      </c>
      <c r="B299" s="94" t="s">
        <v>26</v>
      </c>
      <c r="C299" s="95" t="s">
        <v>1099</v>
      </c>
      <c r="D299" s="94" t="s">
        <v>1098</v>
      </c>
      <c r="E299" s="104">
        <v>1.760416666666667</v>
      </c>
      <c r="F299" s="94" t="s">
        <v>34</v>
      </c>
      <c r="G299" s="96">
        <v>18</v>
      </c>
      <c r="H299" s="97">
        <v>899</v>
      </c>
      <c r="I299" s="88"/>
    </row>
    <row r="300" spans="1:9" ht="19.8" customHeight="1" x14ac:dyDescent="0.3">
      <c r="A300" s="103">
        <v>45991</v>
      </c>
      <c r="B300" s="94" t="s">
        <v>26</v>
      </c>
      <c r="C300" s="95" t="s">
        <v>1104</v>
      </c>
      <c r="D300" s="94" t="s">
        <v>1098</v>
      </c>
      <c r="E300" s="104">
        <v>1.5</v>
      </c>
      <c r="F300" s="94" t="s">
        <v>34</v>
      </c>
      <c r="G300" s="96">
        <v>13</v>
      </c>
      <c r="H300" s="97">
        <v>899</v>
      </c>
      <c r="I300" s="88"/>
    </row>
    <row r="301" spans="1:9" ht="19.8" customHeight="1" x14ac:dyDescent="0.3">
      <c r="A301" s="103">
        <v>45991</v>
      </c>
      <c r="B301" s="94" t="s">
        <v>26</v>
      </c>
      <c r="C301" s="95" t="s">
        <v>1107</v>
      </c>
      <c r="D301" s="94" t="s">
        <v>1098</v>
      </c>
      <c r="E301" s="104">
        <v>1.447916666666667</v>
      </c>
      <c r="F301" s="94" t="s">
        <v>34</v>
      </c>
      <c r="G301" s="96">
        <v>15</v>
      </c>
      <c r="H301" s="97">
        <v>899</v>
      </c>
      <c r="I301" s="88"/>
    </row>
    <row r="302" spans="1:9" ht="19.8" customHeight="1" x14ac:dyDescent="0.3">
      <c r="A302" s="103">
        <v>45991</v>
      </c>
      <c r="B302" s="94" t="s">
        <v>26</v>
      </c>
      <c r="C302" s="95" t="s">
        <v>1110</v>
      </c>
      <c r="D302" s="94" t="s">
        <v>1098</v>
      </c>
      <c r="E302" s="104">
        <v>1.8159722222222221</v>
      </c>
      <c r="F302" s="94" t="s">
        <v>34</v>
      </c>
      <c r="G302" s="96">
        <v>7</v>
      </c>
      <c r="H302" s="97">
        <v>899</v>
      </c>
      <c r="I302" s="88"/>
    </row>
    <row r="303" spans="1:9" ht="19.8" customHeight="1" x14ac:dyDescent="0.3">
      <c r="A303" s="103">
        <v>45991</v>
      </c>
      <c r="B303" s="94" t="s">
        <v>78</v>
      </c>
      <c r="C303" s="95" t="s">
        <v>1140</v>
      </c>
      <c r="D303" s="94" t="s">
        <v>1098</v>
      </c>
      <c r="E303" s="104">
        <v>1.5</v>
      </c>
      <c r="F303" s="94" t="s">
        <v>83</v>
      </c>
      <c r="G303" s="96">
        <v>4</v>
      </c>
      <c r="H303" s="107" t="s">
        <v>1141</v>
      </c>
      <c r="I303" s="88"/>
    </row>
    <row r="304" spans="1:9" ht="19.8" customHeight="1" x14ac:dyDescent="0.3">
      <c r="A304" s="103">
        <v>45991</v>
      </c>
      <c r="B304" s="94" t="s">
        <v>78</v>
      </c>
      <c r="C304" s="95" t="s">
        <v>1142</v>
      </c>
      <c r="D304" s="94" t="s">
        <v>1098</v>
      </c>
      <c r="E304" s="104">
        <v>1.760416666666667</v>
      </c>
      <c r="F304" s="94" t="s">
        <v>83</v>
      </c>
      <c r="G304" s="96">
        <v>4</v>
      </c>
      <c r="H304" s="107" t="s">
        <v>1141</v>
      </c>
      <c r="I304" s="88"/>
    </row>
    <row r="305" spans="1:9" ht="19.8" customHeight="1" x14ac:dyDescent="0.3">
      <c r="A305" s="113">
        <v>45991</v>
      </c>
      <c r="B305" s="114" t="s">
        <v>78</v>
      </c>
      <c r="C305" s="115" t="s">
        <v>1143</v>
      </c>
      <c r="D305" s="114" t="s">
        <v>1098</v>
      </c>
      <c r="E305" s="116">
        <v>1.8159722222222221</v>
      </c>
      <c r="F305" s="114" t="s">
        <v>83</v>
      </c>
      <c r="G305" s="117">
        <v>4</v>
      </c>
      <c r="H305" s="118" t="s">
        <v>1141</v>
      </c>
      <c r="I305" s="88"/>
    </row>
    <row r="306" spans="1:9" ht="19.8" customHeight="1" x14ac:dyDescent="0.3">
      <c r="A306" s="103">
        <v>45992</v>
      </c>
      <c r="B306" s="94" t="s">
        <v>66</v>
      </c>
      <c r="C306" s="95" t="s">
        <v>1130</v>
      </c>
      <c r="D306" s="94" t="s">
        <v>1098</v>
      </c>
      <c r="E306" s="104">
        <v>1.916666666666667</v>
      </c>
      <c r="F306" s="94" t="s">
        <v>829</v>
      </c>
      <c r="G306" s="96">
        <v>9</v>
      </c>
      <c r="H306" s="97">
        <v>350</v>
      </c>
      <c r="I306" s="88"/>
    </row>
    <row r="307" spans="1:9" ht="19.8" customHeight="1" x14ac:dyDescent="0.3">
      <c r="A307" s="103">
        <v>45992</v>
      </c>
      <c r="B307" s="94" t="s">
        <v>66</v>
      </c>
      <c r="C307" s="95" t="s">
        <v>1126</v>
      </c>
      <c r="D307" s="94" t="s">
        <v>1098</v>
      </c>
      <c r="E307" s="104">
        <v>1.166666666666667</v>
      </c>
      <c r="F307" s="94" t="s">
        <v>829</v>
      </c>
      <c r="G307" s="96">
        <v>9</v>
      </c>
      <c r="H307" s="97">
        <v>350</v>
      </c>
      <c r="I307" s="88"/>
    </row>
    <row r="308" spans="1:9" ht="19.8" customHeight="1" x14ac:dyDescent="0.3">
      <c r="A308" s="103">
        <v>45992</v>
      </c>
      <c r="B308" s="94" t="s">
        <v>66</v>
      </c>
      <c r="C308" s="95" t="s">
        <v>1128</v>
      </c>
      <c r="D308" s="94" t="s">
        <v>1098</v>
      </c>
      <c r="E308" s="104">
        <v>1.541666666666667</v>
      </c>
      <c r="F308" s="94" t="s">
        <v>829</v>
      </c>
      <c r="G308" s="96">
        <v>9</v>
      </c>
      <c r="H308" s="97">
        <v>350</v>
      </c>
      <c r="I308" s="88"/>
    </row>
    <row r="309" spans="1:9" ht="19.8" customHeight="1" x14ac:dyDescent="0.3">
      <c r="A309" s="103">
        <v>45992</v>
      </c>
      <c r="B309" s="94" t="s">
        <v>410</v>
      </c>
      <c r="C309" s="95" t="s">
        <v>1157</v>
      </c>
      <c r="D309" s="94" t="s">
        <v>1098</v>
      </c>
      <c r="E309" s="104">
        <v>1.7361111111111109</v>
      </c>
      <c r="F309" s="94" t="s">
        <v>46</v>
      </c>
      <c r="G309" s="96">
        <v>4</v>
      </c>
      <c r="H309" s="97">
        <v>357</v>
      </c>
      <c r="I309" s="88"/>
    </row>
    <row r="310" spans="1:9" ht="19.8" customHeight="1" x14ac:dyDescent="0.3">
      <c r="A310" s="105">
        <v>45992</v>
      </c>
      <c r="B310" s="99" t="s">
        <v>44</v>
      </c>
      <c r="C310" s="100" t="s">
        <v>1121</v>
      </c>
      <c r="D310" s="99" t="s">
        <v>1098</v>
      </c>
      <c r="E310" s="106">
        <v>1.9236111111111109</v>
      </c>
      <c r="F310" s="99" t="s">
        <v>46</v>
      </c>
      <c r="G310" s="101">
        <v>9</v>
      </c>
      <c r="H310" s="102">
        <v>405</v>
      </c>
      <c r="I310" s="88"/>
    </row>
    <row r="311" spans="1:9" ht="19.8" customHeight="1" x14ac:dyDescent="0.3">
      <c r="A311" s="103">
        <v>45992</v>
      </c>
      <c r="B311" s="94" t="s">
        <v>78</v>
      </c>
      <c r="C311" s="95" t="s">
        <v>1137</v>
      </c>
      <c r="D311" s="94" t="s">
        <v>1098</v>
      </c>
      <c r="E311" s="104">
        <v>1.836805555555556</v>
      </c>
      <c r="F311" s="94" t="s">
        <v>80</v>
      </c>
      <c r="G311" s="96">
        <v>9</v>
      </c>
      <c r="H311" s="97">
        <v>495</v>
      </c>
      <c r="I311" s="88"/>
    </row>
    <row r="312" spans="1:9" ht="19.8" customHeight="1" x14ac:dyDescent="0.3">
      <c r="A312" s="103">
        <v>45992</v>
      </c>
      <c r="B312" s="94" t="s">
        <v>78</v>
      </c>
      <c r="C312" s="95" t="s">
        <v>1134</v>
      </c>
      <c r="D312" s="94" t="s">
        <v>1098</v>
      </c>
      <c r="E312" s="104">
        <v>1.6840277777777779</v>
      </c>
      <c r="F312" s="94" t="s">
        <v>80</v>
      </c>
      <c r="G312" s="96">
        <v>9</v>
      </c>
      <c r="H312" s="97">
        <v>495</v>
      </c>
      <c r="I312" s="88"/>
    </row>
    <row r="313" spans="1:9" ht="19.8" customHeight="1" x14ac:dyDescent="0.3">
      <c r="A313" s="103">
        <v>45992</v>
      </c>
      <c r="B313" s="94" t="s">
        <v>78</v>
      </c>
      <c r="C313" s="95" t="s">
        <v>1135</v>
      </c>
      <c r="D313" s="94" t="s">
        <v>1098</v>
      </c>
      <c r="E313" s="104">
        <v>1.2986111111111109</v>
      </c>
      <c r="F313" s="94" t="s">
        <v>80</v>
      </c>
      <c r="G313" s="96">
        <v>9</v>
      </c>
      <c r="H313" s="97">
        <v>495</v>
      </c>
      <c r="I313" s="88"/>
    </row>
    <row r="314" spans="1:9" ht="19.8" customHeight="1" x14ac:dyDescent="0.3">
      <c r="A314" s="103">
        <v>45992</v>
      </c>
      <c r="B314" s="94" t="s">
        <v>78</v>
      </c>
      <c r="C314" s="95" t="s">
        <v>1198</v>
      </c>
      <c r="D314" s="94" t="s">
        <v>1098</v>
      </c>
      <c r="E314" s="104">
        <v>1.0486111111111109</v>
      </c>
      <c r="F314" s="94" t="s">
        <v>80</v>
      </c>
      <c r="G314" s="96">
        <v>9</v>
      </c>
      <c r="H314" s="97">
        <v>495</v>
      </c>
      <c r="I314" s="88"/>
    </row>
    <row r="315" spans="1:9" ht="19.8" customHeight="1" x14ac:dyDescent="0.3">
      <c r="A315" s="103">
        <v>45992</v>
      </c>
      <c r="B315" s="94" t="s">
        <v>78</v>
      </c>
      <c r="C315" s="95" t="s">
        <v>1136</v>
      </c>
      <c r="D315" s="94" t="s">
        <v>1098</v>
      </c>
      <c r="E315" s="104">
        <v>1.4826388888888891</v>
      </c>
      <c r="F315" s="94" t="s">
        <v>80</v>
      </c>
      <c r="G315" s="96">
        <v>9</v>
      </c>
      <c r="H315" s="97">
        <v>495</v>
      </c>
      <c r="I315" s="88"/>
    </row>
    <row r="316" spans="1:9" ht="19.8" customHeight="1" x14ac:dyDescent="0.3">
      <c r="A316" s="103">
        <v>45992</v>
      </c>
      <c r="B316" s="94" t="s">
        <v>78</v>
      </c>
      <c r="C316" s="95" t="s">
        <v>1137</v>
      </c>
      <c r="D316" s="94" t="s">
        <v>1098</v>
      </c>
      <c r="E316" s="104">
        <v>1.836805555555556</v>
      </c>
      <c r="F316" s="94" t="s">
        <v>83</v>
      </c>
      <c r="G316" s="96">
        <v>9</v>
      </c>
      <c r="H316" s="97">
        <v>545</v>
      </c>
      <c r="I316" s="88"/>
    </row>
    <row r="317" spans="1:9" ht="19.8" customHeight="1" x14ac:dyDescent="0.3">
      <c r="A317" s="103">
        <v>45992</v>
      </c>
      <c r="B317" s="94" t="s">
        <v>78</v>
      </c>
      <c r="C317" s="95" t="s">
        <v>1134</v>
      </c>
      <c r="D317" s="94" t="s">
        <v>1098</v>
      </c>
      <c r="E317" s="104">
        <v>1.6840277777777779</v>
      </c>
      <c r="F317" s="94" t="s">
        <v>83</v>
      </c>
      <c r="G317" s="96">
        <v>9</v>
      </c>
      <c r="H317" s="97">
        <v>545</v>
      </c>
      <c r="I317" s="88"/>
    </row>
    <row r="318" spans="1:9" ht="19.8" customHeight="1" x14ac:dyDescent="0.3">
      <c r="A318" s="103">
        <v>45992</v>
      </c>
      <c r="B318" s="94" t="s">
        <v>78</v>
      </c>
      <c r="C318" s="95" t="s">
        <v>1135</v>
      </c>
      <c r="D318" s="94" t="s">
        <v>1098</v>
      </c>
      <c r="E318" s="104">
        <v>1.2986111111111109</v>
      </c>
      <c r="F318" s="94" t="s">
        <v>83</v>
      </c>
      <c r="G318" s="96">
        <v>9</v>
      </c>
      <c r="H318" s="97">
        <v>545</v>
      </c>
      <c r="I318" s="88"/>
    </row>
    <row r="319" spans="1:9" ht="19.8" customHeight="1" x14ac:dyDescent="0.3">
      <c r="A319" s="103">
        <v>45992</v>
      </c>
      <c r="B319" s="94" t="s">
        <v>78</v>
      </c>
      <c r="C319" s="95" t="s">
        <v>1198</v>
      </c>
      <c r="D319" s="94" t="s">
        <v>1098</v>
      </c>
      <c r="E319" s="104">
        <v>1.0486111111111109</v>
      </c>
      <c r="F319" s="94" t="s">
        <v>83</v>
      </c>
      <c r="G319" s="96">
        <v>9</v>
      </c>
      <c r="H319" s="97">
        <v>545</v>
      </c>
      <c r="I319" s="88"/>
    </row>
    <row r="320" spans="1:9" ht="19.8" customHeight="1" x14ac:dyDescent="0.3">
      <c r="A320" s="103">
        <v>45992</v>
      </c>
      <c r="B320" s="94" t="s">
        <v>78</v>
      </c>
      <c r="C320" s="95" t="s">
        <v>1136</v>
      </c>
      <c r="D320" s="94" t="s">
        <v>1098</v>
      </c>
      <c r="E320" s="104">
        <v>1.4826388888888891</v>
      </c>
      <c r="F320" s="94" t="s">
        <v>83</v>
      </c>
      <c r="G320" s="96">
        <v>9</v>
      </c>
      <c r="H320" s="97">
        <v>545</v>
      </c>
      <c r="I320" s="88"/>
    </row>
    <row r="321" spans="1:9" ht="19.8" customHeight="1" x14ac:dyDescent="0.3">
      <c r="A321" s="103">
        <v>45992</v>
      </c>
      <c r="B321" s="94" t="s">
        <v>78</v>
      </c>
      <c r="C321" s="95" t="s">
        <v>1140</v>
      </c>
      <c r="D321" s="94" t="s">
        <v>1098</v>
      </c>
      <c r="E321" s="104">
        <v>1.5</v>
      </c>
      <c r="F321" s="94" t="s">
        <v>83</v>
      </c>
      <c r="G321" s="96">
        <v>4</v>
      </c>
      <c r="H321" s="107" t="s">
        <v>1141</v>
      </c>
      <c r="I321" s="88"/>
    </row>
    <row r="322" spans="1:9" ht="19.8" customHeight="1" x14ac:dyDescent="0.3">
      <c r="A322" s="103">
        <v>45992</v>
      </c>
      <c r="B322" s="94" t="s">
        <v>78</v>
      </c>
      <c r="C322" s="95" t="s">
        <v>1142</v>
      </c>
      <c r="D322" s="94" t="s">
        <v>1098</v>
      </c>
      <c r="E322" s="104">
        <v>1.760416666666667</v>
      </c>
      <c r="F322" s="94" t="s">
        <v>83</v>
      </c>
      <c r="G322" s="96">
        <v>4</v>
      </c>
      <c r="H322" s="107" t="s">
        <v>1141</v>
      </c>
      <c r="I322" s="88"/>
    </row>
    <row r="323" spans="1:9" ht="19.8" customHeight="1" x14ac:dyDescent="0.3">
      <c r="A323" s="113">
        <v>45992</v>
      </c>
      <c r="B323" s="114" t="s">
        <v>78</v>
      </c>
      <c r="C323" s="115" t="s">
        <v>1143</v>
      </c>
      <c r="D323" s="114" t="s">
        <v>1098</v>
      </c>
      <c r="E323" s="116">
        <v>1.8159722222222221</v>
      </c>
      <c r="F323" s="114" t="s">
        <v>83</v>
      </c>
      <c r="G323" s="117">
        <v>4</v>
      </c>
      <c r="H323" s="118" t="s">
        <v>1141</v>
      </c>
      <c r="I323" s="88"/>
    </row>
    <row r="324" spans="1:9" ht="19.8" customHeight="1" x14ac:dyDescent="0.3">
      <c r="A324" s="103">
        <v>45993</v>
      </c>
      <c r="B324" s="94" t="s">
        <v>66</v>
      </c>
      <c r="C324" s="95" t="s">
        <v>1126</v>
      </c>
      <c r="D324" s="94" t="s">
        <v>1098</v>
      </c>
      <c r="E324" s="104">
        <v>1.166666666666667</v>
      </c>
      <c r="F324" s="94" t="s">
        <v>829</v>
      </c>
      <c r="G324" s="96">
        <v>9</v>
      </c>
      <c r="H324" s="97">
        <v>350</v>
      </c>
      <c r="I324" s="88"/>
    </row>
    <row r="325" spans="1:9" ht="19.8" customHeight="1" x14ac:dyDescent="0.3">
      <c r="A325" s="103">
        <v>45993</v>
      </c>
      <c r="B325" s="94" t="s">
        <v>66</v>
      </c>
      <c r="C325" s="95" t="s">
        <v>1128</v>
      </c>
      <c r="D325" s="94" t="s">
        <v>1098</v>
      </c>
      <c r="E325" s="104">
        <v>1.541666666666667</v>
      </c>
      <c r="F325" s="94" t="s">
        <v>829</v>
      </c>
      <c r="G325" s="96">
        <v>9</v>
      </c>
      <c r="H325" s="97">
        <v>350</v>
      </c>
      <c r="I325" s="88"/>
    </row>
    <row r="326" spans="1:9" ht="19.8" customHeight="1" x14ac:dyDescent="0.3">
      <c r="A326" s="103">
        <v>45993</v>
      </c>
      <c r="B326" s="94" t="s">
        <v>404</v>
      </c>
      <c r="C326" s="95" t="s">
        <v>1120</v>
      </c>
      <c r="D326" s="94" t="s">
        <v>1098</v>
      </c>
      <c r="E326" s="104">
        <v>1.2777777777777779</v>
      </c>
      <c r="F326" s="94" t="s">
        <v>46</v>
      </c>
      <c r="G326" s="96">
        <v>9</v>
      </c>
      <c r="H326" s="97">
        <v>350</v>
      </c>
      <c r="I326" s="88"/>
    </row>
    <row r="327" spans="1:9" ht="19.8" customHeight="1" x14ac:dyDescent="0.3">
      <c r="A327" s="103">
        <v>45993</v>
      </c>
      <c r="B327" s="94" t="s">
        <v>66</v>
      </c>
      <c r="C327" s="95" t="s">
        <v>1130</v>
      </c>
      <c r="D327" s="94" t="s">
        <v>1098</v>
      </c>
      <c r="E327" s="104">
        <v>1.916666666666667</v>
      </c>
      <c r="F327" s="94" t="s">
        <v>829</v>
      </c>
      <c r="G327" s="96">
        <v>9</v>
      </c>
      <c r="H327" s="97">
        <v>354</v>
      </c>
      <c r="I327" s="88"/>
    </row>
    <row r="328" spans="1:9" ht="19.8" customHeight="1" x14ac:dyDescent="0.3">
      <c r="A328" s="103">
        <v>45993</v>
      </c>
      <c r="B328" s="94" t="s">
        <v>410</v>
      </c>
      <c r="C328" s="95" t="s">
        <v>1167</v>
      </c>
      <c r="D328" s="94" t="s">
        <v>1098</v>
      </c>
      <c r="E328" s="104">
        <v>1.354166666666667</v>
      </c>
      <c r="F328" s="94" t="s">
        <v>46</v>
      </c>
      <c r="G328" s="96">
        <v>9</v>
      </c>
      <c r="H328" s="97">
        <v>357</v>
      </c>
      <c r="I328" s="88"/>
    </row>
    <row r="329" spans="1:9" ht="19.8" customHeight="1" x14ac:dyDescent="0.3">
      <c r="A329" s="105">
        <v>45993</v>
      </c>
      <c r="B329" s="99" t="s">
        <v>44</v>
      </c>
      <c r="C329" s="100" t="s">
        <v>1121</v>
      </c>
      <c r="D329" s="99" t="s">
        <v>1098</v>
      </c>
      <c r="E329" s="106">
        <v>1.913194444444444</v>
      </c>
      <c r="F329" s="99" t="s">
        <v>46</v>
      </c>
      <c r="G329" s="101">
        <v>9</v>
      </c>
      <c r="H329" s="102">
        <v>405</v>
      </c>
      <c r="I329" s="88"/>
    </row>
    <row r="330" spans="1:9" ht="19.8" customHeight="1" x14ac:dyDescent="0.3">
      <c r="A330" s="103">
        <v>45993</v>
      </c>
      <c r="B330" s="94" t="s">
        <v>78</v>
      </c>
      <c r="C330" s="95" t="s">
        <v>1131</v>
      </c>
      <c r="D330" s="94" t="s">
        <v>1098</v>
      </c>
      <c r="E330" s="104">
        <v>1.552083333333333</v>
      </c>
      <c r="F330" s="94" t="s">
        <v>80</v>
      </c>
      <c r="G330" s="96">
        <v>9</v>
      </c>
      <c r="H330" s="97">
        <v>495</v>
      </c>
      <c r="I330" s="88"/>
    </row>
    <row r="331" spans="1:9" ht="19.8" customHeight="1" x14ac:dyDescent="0.3">
      <c r="A331" s="103">
        <v>45993</v>
      </c>
      <c r="B331" s="94" t="s">
        <v>78</v>
      </c>
      <c r="C331" s="95" t="s">
        <v>1134</v>
      </c>
      <c r="D331" s="94" t="s">
        <v>1098</v>
      </c>
      <c r="E331" s="104">
        <v>1.6840277777777779</v>
      </c>
      <c r="F331" s="94" t="s">
        <v>80</v>
      </c>
      <c r="G331" s="96">
        <v>8</v>
      </c>
      <c r="H331" s="97">
        <v>495</v>
      </c>
      <c r="I331" s="88"/>
    </row>
    <row r="332" spans="1:9" ht="19.8" customHeight="1" x14ac:dyDescent="0.3">
      <c r="A332" s="103">
        <v>45993</v>
      </c>
      <c r="B332" s="94" t="s">
        <v>78</v>
      </c>
      <c r="C332" s="95" t="s">
        <v>1135</v>
      </c>
      <c r="D332" s="94" t="s">
        <v>1098</v>
      </c>
      <c r="E332" s="104">
        <v>1.2986111111111109</v>
      </c>
      <c r="F332" s="94" t="s">
        <v>80</v>
      </c>
      <c r="G332" s="96">
        <v>9</v>
      </c>
      <c r="H332" s="97">
        <v>495</v>
      </c>
      <c r="I332" s="88"/>
    </row>
    <row r="333" spans="1:9" ht="19.8" customHeight="1" x14ac:dyDescent="0.3">
      <c r="A333" s="103">
        <v>45993</v>
      </c>
      <c r="B333" s="94" t="s">
        <v>78</v>
      </c>
      <c r="C333" s="95" t="s">
        <v>1136</v>
      </c>
      <c r="D333" s="94" t="s">
        <v>1098</v>
      </c>
      <c r="E333" s="104">
        <v>1.4826388888888891</v>
      </c>
      <c r="F333" s="94" t="s">
        <v>80</v>
      </c>
      <c r="G333" s="96">
        <v>9</v>
      </c>
      <c r="H333" s="97">
        <v>495</v>
      </c>
      <c r="I333" s="88"/>
    </row>
    <row r="334" spans="1:9" ht="19.8" customHeight="1" x14ac:dyDescent="0.3">
      <c r="A334" s="103">
        <v>45993</v>
      </c>
      <c r="B334" s="94" t="s">
        <v>78</v>
      </c>
      <c r="C334" s="95" t="s">
        <v>1131</v>
      </c>
      <c r="D334" s="94" t="s">
        <v>1098</v>
      </c>
      <c r="E334" s="104">
        <v>1.552083333333333</v>
      </c>
      <c r="F334" s="94" t="s">
        <v>83</v>
      </c>
      <c r="G334" s="96">
        <v>9</v>
      </c>
      <c r="H334" s="97">
        <v>545</v>
      </c>
      <c r="I334" s="88"/>
    </row>
    <row r="335" spans="1:9" ht="19.8" customHeight="1" x14ac:dyDescent="0.3">
      <c r="A335" s="103">
        <v>45993</v>
      </c>
      <c r="B335" s="94" t="s">
        <v>78</v>
      </c>
      <c r="C335" s="95" t="s">
        <v>1134</v>
      </c>
      <c r="D335" s="94" t="s">
        <v>1098</v>
      </c>
      <c r="E335" s="104">
        <v>1.6840277777777779</v>
      </c>
      <c r="F335" s="94" t="s">
        <v>83</v>
      </c>
      <c r="G335" s="96">
        <v>8</v>
      </c>
      <c r="H335" s="97">
        <v>545</v>
      </c>
      <c r="I335" s="88"/>
    </row>
    <row r="336" spans="1:9" ht="19.8" customHeight="1" x14ac:dyDescent="0.3">
      <c r="A336" s="103">
        <v>45993</v>
      </c>
      <c r="B336" s="94" t="s">
        <v>78</v>
      </c>
      <c r="C336" s="95" t="s">
        <v>1135</v>
      </c>
      <c r="D336" s="94" t="s">
        <v>1098</v>
      </c>
      <c r="E336" s="104">
        <v>1.2986111111111109</v>
      </c>
      <c r="F336" s="94" t="s">
        <v>83</v>
      </c>
      <c r="G336" s="96">
        <v>9</v>
      </c>
      <c r="H336" s="97">
        <v>545</v>
      </c>
      <c r="I336" s="88"/>
    </row>
    <row r="337" spans="1:9" ht="19.8" customHeight="1" x14ac:dyDescent="0.3">
      <c r="A337" s="103">
        <v>45993</v>
      </c>
      <c r="B337" s="94" t="s">
        <v>78</v>
      </c>
      <c r="C337" s="95" t="s">
        <v>1136</v>
      </c>
      <c r="D337" s="94" t="s">
        <v>1098</v>
      </c>
      <c r="E337" s="104">
        <v>1.4826388888888891</v>
      </c>
      <c r="F337" s="94" t="s">
        <v>83</v>
      </c>
      <c r="G337" s="96">
        <v>9</v>
      </c>
      <c r="H337" s="97">
        <v>545</v>
      </c>
      <c r="I337" s="88"/>
    </row>
    <row r="338" spans="1:9" ht="19.8" customHeight="1" x14ac:dyDescent="0.3">
      <c r="A338" s="103">
        <v>45993</v>
      </c>
      <c r="B338" s="94" t="s">
        <v>78</v>
      </c>
      <c r="C338" s="95" t="s">
        <v>1137</v>
      </c>
      <c r="D338" s="94" t="s">
        <v>1098</v>
      </c>
      <c r="E338" s="104">
        <v>1.836805555555556</v>
      </c>
      <c r="F338" s="94" t="s">
        <v>80</v>
      </c>
      <c r="G338" s="96">
        <v>9</v>
      </c>
      <c r="H338" s="97">
        <v>661</v>
      </c>
      <c r="I338" s="88"/>
    </row>
    <row r="339" spans="1:9" ht="19.8" customHeight="1" x14ac:dyDescent="0.3">
      <c r="A339" s="103">
        <v>45993</v>
      </c>
      <c r="B339" s="94" t="s">
        <v>78</v>
      </c>
      <c r="C339" s="95" t="s">
        <v>1137</v>
      </c>
      <c r="D339" s="94" t="s">
        <v>1098</v>
      </c>
      <c r="E339" s="104">
        <v>1.836805555555556</v>
      </c>
      <c r="F339" s="94" t="s">
        <v>83</v>
      </c>
      <c r="G339" s="96">
        <v>9</v>
      </c>
      <c r="H339" s="97">
        <v>711</v>
      </c>
      <c r="I339" s="88"/>
    </row>
    <row r="340" spans="1:9" ht="19.8" customHeight="1" x14ac:dyDescent="0.3">
      <c r="A340" s="103">
        <v>45993</v>
      </c>
      <c r="B340" s="94" t="s">
        <v>78</v>
      </c>
      <c r="C340" s="95" t="s">
        <v>1140</v>
      </c>
      <c r="D340" s="94" t="s">
        <v>1098</v>
      </c>
      <c r="E340" s="104">
        <v>1.5</v>
      </c>
      <c r="F340" s="94" t="s">
        <v>83</v>
      </c>
      <c r="G340" s="96">
        <v>4</v>
      </c>
      <c r="H340" s="107" t="s">
        <v>1141</v>
      </c>
      <c r="I340" s="88"/>
    </row>
    <row r="341" spans="1:9" ht="19.8" customHeight="1" x14ac:dyDescent="0.3">
      <c r="A341" s="103">
        <v>45993</v>
      </c>
      <c r="B341" s="94" t="s">
        <v>78</v>
      </c>
      <c r="C341" s="95" t="s">
        <v>1142</v>
      </c>
      <c r="D341" s="94" t="s">
        <v>1098</v>
      </c>
      <c r="E341" s="104">
        <v>1.760416666666667</v>
      </c>
      <c r="F341" s="94" t="s">
        <v>83</v>
      </c>
      <c r="G341" s="96">
        <v>4</v>
      </c>
      <c r="H341" s="107" t="s">
        <v>1141</v>
      </c>
      <c r="I341" s="88"/>
    </row>
    <row r="342" spans="1:9" ht="19.8" customHeight="1" x14ac:dyDescent="0.3">
      <c r="A342" s="113">
        <v>45993</v>
      </c>
      <c r="B342" s="114" t="s">
        <v>78</v>
      </c>
      <c r="C342" s="115" t="s">
        <v>1143</v>
      </c>
      <c r="D342" s="114" t="s">
        <v>1098</v>
      </c>
      <c r="E342" s="116">
        <v>1.8159722222222221</v>
      </c>
      <c r="F342" s="114" t="s">
        <v>83</v>
      </c>
      <c r="G342" s="117">
        <v>4</v>
      </c>
      <c r="H342" s="118" t="s">
        <v>1141</v>
      </c>
      <c r="I342" s="88"/>
    </row>
    <row r="343" spans="1:9" ht="19.8" customHeight="1" x14ac:dyDescent="0.3">
      <c r="A343" s="103">
        <v>45994</v>
      </c>
      <c r="B343" s="94" t="s">
        <v>36</v>
      </c>
      <c r="C343" s="95" t="s">
        <v>1114</v>
      </c>
      <c r="D343" s="94" t="s">
        <v>1098</v>
      </c>
      <c r="E343" s="104">
        <v>1.375</v>
      </c>
      <c r="F343" s="94" t="s">
        <v>38</v>
      </c>
      <c r="G343" s="96">
        <v>2</v>
      </c>
      <c r="H343" s="97">
        <v>329</v>
      </c>
      <c r="I343" s="88"/>
    </row>
    <row r="344" spans="1:9" ht="19.8" customHeight="1" x14ac:dyDescent="0.3">
      <c r="A344" s="103">
        <v>45994</v>
      </c>
      <c r="B344" s="94" t="s">
        <v>36</v>
      </c>
      <c r="C344" s="95" t="s">
        <v>1116</v>
      </c>
      <c r="D344" s="94" t="s">
        <v>1098</v>
      </c>
      <c r="E344" s="104">
        <v>1.305555555555556</v>
      </c>
      <c r="F344" s="94" t="s">
        <v>38</v>
      </c>
      <c r="G344" s="96">
        <v>3</v>
      </c>
      <c r="H344" s="97">
        <v>329</v>
      </c>
      <c r="I344" s="88"/>
    </row>
    <row r="345" spans="1:9" ht="19.8" customHeight="1" x14ac:dyDescent="0.3">
      <c r="A345" s="103">
        <v>45994</v>
      </c>
      <c r="B345" s="94" t="s">
        <v>66</v>
      </c>
      <c r="C345" s="95" t="s">
        <v>1128</v>
      </c>
      <c r="D345" s="94" t="s">
        <v>1098</v>
      </c>
      <c r="E345" s="104">
        <v>1.541666666666667</v>
      </c>
      <c r="F345" s="94" t="s">
        <v>829</v>
      </c>
      <c r="G345" s="96">
        <v>9</v>
      </c>
      <c r="H345" s="97">
        <v>350</v>
      </c>
      <c r="I345" s="88"/>
    </row>
    <row r="346" spans="1:9" ht="19.8" customHeight="1" x14ac:dyDescent="0.3">
      <c r="A346" s="103">
        <v>45994</v>
      </c>
      <c r="B346" s="94" t="s">
        <v>36</v>
      </c>
      <c r="C346" s="95" t="s">
        <v>1115</v>
      </c>
      <c r="D346" s="94" t="s">
        <v>1098</v>
      </c>
      <c r="E346" s="104">
        <v>1.5659722222222221</v>
      </c>
      <c r="F346" s="94" t="s">
        <v>38</v>
      </c>
      <c r="G346" s="96">
        <v>1</v>
      </c>
      <c r="H346" s="97">
        <v>369</v>
      </c>
      <c r="I346" s="88"/>
    </row>
    <row r="347" spans="1:9" ht="19.8" customHeight="1" x14ac:dyDescent="0.3">
      <c r="A347" s="103">
        <v>45994</v>
      </c>
      <c r="B347" s="94" t="s">
        <v>36</v>
      </c>
      <c r="C347" s="95" t="s">
        <v>1117</v>
      </c>
      <c r="D347" s="94" t="s">
        <v>1098</v>
      </c>
      <c r="E347" s="104">
        <v>1.6875</v>
      </c>
      <c r="F347" s="94" t="s">
        <v>38</v>
      </c>
      <c r="G347" s="96">
        <v>8</v>
      </c>
      <c r="H347" s="97">
        <v>369</v>
      </c>
      <c r="I347" s="88"/>
    </row>
    <row r="348" spans="1:9" ht="19.8" customHeight="1" x14ac:dyDescent="0.3">
      <c r="A348" s="103">
        <v>45994</v>
      </c>
      <c r="B348" s="94" t="s">
        <v>36</v>
      </c>
      <c r="C348" s="95" t="s">
        <v>1118</v>
      </c>
      <c r="D348" s="94" t="s">
        <v>1098</v>
      </c>
      <c r="E348" s="104">
        <v>1.427083333333333</v>
      </c>
      <c r="F348" s="94" t="s">
        <v>38</v>
      </c>
      <c r="G348" s="96">
        <v>2</v>
      </c>
      <c r="H348" s="97">
        <v>369</v>
      </c>
      <c r="I348" s="88"/>
    </row>
    <row r="349" spans="1:9" ht="19.8" customHeight="1" x14ac:dyDescent="0.3">
      <c r="A349" s="105">
        <v>45994</v>
      </c>
      <c r="B349" s="99" t="s">
        <v>44</v>
      </c>
      <c r="C349" s="100" t="s">
        <v>1121</v>
      </c>
      <c r="D349" s="99" t="s">
        <v>1098</v>
      </c>
      <c r="E349" s="106">
        <v>1.9236111111111109</v>
      </c>
      <c r="F349" s="99" t="s">
        <v>46</v>
      </c>
      <c r="G349" s="101">
        <v>9</v>
      </c>
      <c r="H349" s="102">
        <v>405</v>
      </c>
      <c r="I349" s="88"/>
    </row>
    <row r="350" spans="1:9" ht="19.8" customHeight="1" x14ac:dyDescent="0.3">
      <c r="A350" s="105">
        <v>45994</v>
      </c>
      <c r="B350" s="99" t="s">
        <v>44</v>
      </c>
      <c r="C350" s="100" t="s">
        <v>1154</v>
      </c>
      <c r="D350" s="99" t="s">
        <v>1098</v>
      </c>
      <c r="E350" s="106">
        <v>1.6111111111111109</v>
      </c>
      <c r="F350" s="99" t="s">
        <v>46</v>
      </c>
      <c r="G350" s="101">
        <v>1</v>
      </c>
      <c r="H350" s="102">
        <v>405</v>
      </c>
      <c r="I350" s="88"/>
    </row>
    <row r="351" spans="1:9" ht="19.8" customHeight="1" x14ac:dyDescent="0.3">
      <c r="A351" s="103">
        <v>45994</v>
      </c>
      <c r="B351" s="94" t="s">
        <v>36</v>
      </c>
      <c r="C351" s="95" t="s">
        <v>1113</v>
      </c>
      <c r="D351" s="94" t="s">
        <v>1098</v>
      </c>
      <c r="E351" s="104">
        <v>1.8263888888888891</v>
      </c>
      <c r="F351" s="94" t="s">
        <v>38</v>
      </c>
      <c r="G351" s="96">
        <v>9</v>
      </c>
      <c r="H351" s="97">
        <v>409</v>
      </c>
      <c r="I351" s="88"/>
    </row>
    <row r="352" spans="1:9" ht="19.8" customHeight="1" x14ac:dyDescent="0.3">
      <c r="A352" s="103">
        <v>45994</v>
      </c>
      <c r="B352" s="94" t="s">
        <v>410</v>
      </c>
      <c r="C352" s="95" t="s">
        <v>1157</v>
      </c>
      <c r="D352" s="94" t="s">
        <v>1098</v>
      </c>
      <c r="E352" s="104">
        <v>1.802083333333333</v>
      </c>
      <c r="F352" s="94" t="s">
        <v>46</v>
      </c>
      <c r="G352" s="96">
        <v>9</v>
      </c>
      <c r="H352" s="97">
        <v>416</v>
      </c>
      <c r="I352" s="88"/>
    </row>
    <row r="353" spans="1:9" ht="19.8" customHeight="1" x14ac:dyDescent="0.3">
      <c r="A353" s="103">
        <v>45994</v>
      </c>
      <c r="B353" s="94" t="s">
        <v>36</v>
      </c>
      <c r="C353" s="95" t="s">
        <v>1114</v>
      </c>
      <c r="D353" s="94" t="s">
        <v>1098</v>
      </c>
      <c r="E353" s="104">
        <v>1.375</v>
      </c>
      <c r="F353" s="94" t="s">
        <v>40</v>
      </c>
      <c r="G353" s="96">
        <v>2</v>
      </c>
      <c r="H353" s="97">
        <v>429</v>
      </c>
      <c r="I353" s="88"/>
    </row>
    <row r="354" spans="1:9" ht="19.8" customHeight="1" x14ac:dyDescent="0.3">
      <c r="A354" s="103">
        <v>45994</v>
      </c>
      <c r="B354" s="94" t="s">
        <v>36</v>
      </c>
      <c r="C354" s="95" t="s">
        <v>1116</v>
      </c>
      <c r="D354" s="94" t="s">
        <v>1098</v>
      </c>
      <c r="E354" s="104">
        <v>1.305555555555556</v>
      </c>
      <c r="F354" s="94" t="s">
        <v>40</v>
      </c>
      <c r="G354" s="96">
        <v>3</v>
      </c>
      <c r="H354" s="97">
        <v>429</v>
      </c>
      <c r="I354" s="88"/>
    </row>
    <row r="355" spans="1:9" ht="19.8" customHeight="1" x14ac:dyDescent="0.3">
      <c r="A355" s="103">
        <v>45994</v>
      </c>
      <c r="B355" s="94" t="s">
        <v>36</v>
      </c>
      <c r="C355" s="95" t="s">
        <v>1119</v>
      </c>
      <c r="D355" s="94" t="s">
        <v>1098</v>
      </c>
      <c r="E355" s="104">
        <v>1.5</v>
      </c>
      <c r="F355" s="94" t="s">
        <v>38</v>
      </c>
      <c r="G355" s="96">
        <v>4</v>
      </c>
      <c r="H355" s="97">
        <v>449</v>
      </c>
      <c r="I355" s="88"/>
    </row>
    <row r="356" spans="1:9" ht="19.8" customHeight="1" x14ac:dyDescent="0.3">
      <c r="A356" s="103">
        <v>45994</v>
      </c>
      <c r="B356" s="94" t="s">
        <v>36</v>
      </c>
      <c r="C356" s="95" t="s">
        <v>1115</v>
      </c>
      <c r="D356" s="94" t="s">
        <v>1098</v>
      </c>
      <c r="E356" s="104">
        <v>1.5659722222222221</v>
      </c>
      <c r="F356" s="94" t="s">
        <v>40</v>
      </c>
      <c r="G356" s="96">
        <v>1</v>
      </c>
      <c r="H356" s="97">
        <v>469</v>
      </c>
      <c r="I356" s="88"/>
    </row>
    <row r="357" spans="1:9" ht="19.8" customHeight="1" x14ac:dyDescent="0.3">
      <c r="A357" s="103">
        <v>45994</v>
      </c>
      <c r="B357" s="94" t="s">
        <v>36</v>
      </c>
      <c r="C357" s="95" t="s">
        <v>1117</v>
      </c>
      <c r="D357" s="94" t="s">
        <v>1098</v>
      </c>
      <c r="E357" s="104">
        <v>1.6875</v>
      </c>
      <c r="F357" s="94" t="s">
        <v>40</v>
      </c>
      <c r="G357" s="96">
        <v>8</v>
      </c>
      <c r="H357" s="97">
        <v>469</v>
      </c>
      <c r="I357" s="88"/>
    </row>
    <row r="358" spans="1:9" ht="19.8" customHeight="1" x14ac:dyDescent="0.3">
      <c r="A358" s="103">
        <v>45994</v>
      </c>
      <c r="B358" s="94" t="s">
        <v>36</v>
      </c>
      <c r="C358" s="95" t="s">
        <v>1118</v>
      </c>
      <c r="D358" s="94" t="s">
        <v>1098</v>
      </c>
      <c r="E358" s="104">
        <v>1.427083333333333</v>
      </c>
      <c r="F358" s="94" t="s">
        <v>40</v>
      </c>
      <c r="G358" s="96">
        <v>2</v>
      </c>
      <c r="H358" s="97">
        <v>469</v>
      </c>
      <c r="I358" s="88"/>
    </row>
    <row r="359" spans="1:9" ht="19.8" customHeight="1" x14ac:dyDescent="0.3">
      <c r="A359" s="103">
        <v>45994</v>
      </c>
      <c r="B359" s="94" t="s">
        <v>78</v>
      </c>
      <c r="C359" s="95" t="s">
        <v>1135</v>
      </c>
      <c r="D359" s="94" t="s">
        <v>1098</v>
      </c>
      <c r="E359" s="104">
        <v>1.2986111111111109</v>
      </c>
      <c r="F359" s="94" t="s">
        <v>80</v>
      </c>
      <c r="G359" s="96">
        <v>9</v>
      </c>
      <c r="H359" s="97">
        <v>495</v>
      </c>
      <c r="I359" s="88"/>
    </row>
    <row r="360" spans="1:9" ht="19.8" customHeight="1" x14ac:dyDescent="0.3">
      <c r="A360" s="103">
        <v>45994</v>
      </c>
      <c r="B360" s="94" t="s">
        <v>36</v>
      </c>
      <c r="C360" s="95" t="s">
        <v>1113</v>
      </c>
      <c r="D360" s="94" t="s">
        <v>1098</v>
      </c>
      <c r="E360" s="104">
        <v>1.8263888888888891</v>
      </c>
      <c r="F360" s="94" t="s">
        <v>40</v>
      </c>
      <c r="G360" s="96">
        <v>9</v>
      </c>
      <c r="H360" s="97">
        <v>509</v>
      </c>
      <c r="I360" s="88"/>
    </row>
    <row r="361" spans="1:9" ht="19.8" customHeight="1" x14ac:dyDescent="0.3">
      <c r="A361" s="103">
        <v>45994</v>
      </c>
      <c r="B361" s="94" t="s">
        <v>36</v>
      </c>
      <c r="C361" s="95" t="s">
        <v>1114</v>
      </c>
      <c r="D361" s="94" t="s">
        <v>1098</v>
      </c>
      <c r="E361" s="104">
        <v>1.375</v>
      </c>
      <c r="F361" s="94" t="s">
        <v>42</v>
      </c>
      <c r="G361" s="96">
        <v>2</v>
      </c>
      <c r="H361" s="97">
        <v>519</v>
      </c>
      <c r="I361" s="88"/>
    </row>
    <row r="362" spans="1:9" ht="19.8" customHeight="1" x14ac:dyDescent="0.3">
      <c r="A362" s="103">
        <v>45994</v>
      </c>
      <c r="B362" s="94" t="s">
        <v>36</v>
      </c>
      <c r="C362" s="95" t="s">
        <v>1116</v>
      </c>
      <c r="D362" s="94" t="s">
        <v>1098</v>
      </c>
      <c r="E362" s="104">
        <v>1.305555555555556</v>
      </c>
      <c r="F362" s="94" t="s">
        <v>42</v>
      </c>
      <c r="G362" s="96">
        <v>3</v>
      </c>
      <c r="H362" s="97">
        <v>519</v>
      </c>
      <c r="I362" s="88"/>
    </row>
    <row r="363" spans="1:9" ht="19.8" customHeight="1" x14ac:dyDescent="0.3">
      <c r="A363" s="103">
        <v>45994</v>
      </c>
      <c r="B363" s="94" t="s">
        <v>78</v>
      </c>
      <c r="C363" s="95" t="s">
        <v>1135</v>
      </c>
      <c r="D363" s="94" t="s">
        <v>1098</v>
      </c>
      <c r="E363" s="104">
        <v>1.2986111111111109</v>
      </c>
      <c r="F363" s="94" t="s">
        <v>83</v>
      </c>
      <c r="G363" s="96">
        <v>9</v>
      </c>
      <c r="H363" s="97">
        <v>545</v>
      </c>
      <c r="I363" s="88"/>
    </row>
    <row r="364" spans="1:9" ht="19.8" customHeight="1" x14ac:dyDescent="0.3">
      <c r="A364" s="103">
        <v>45994</v>
      </c>
      <c r="B364" s="94" t="s">
        <v>36</v>
      </c>
      <c r="C364" s="95" t="s">
        <v>1119</v>
      </c>
      <c r="D364" s="94" t="s">
        <v>1098</v>
      </c>
      <c r="E364" s="104">
        <v>1.5</v>
      </c>
      <c r="F364" s="94" t="s">
        <v>40</v>
      </c>
      <c r="G364" s="96">
        <v>4</v>
      </c>
      <c r="H364" s="97">
        <v>549</v>
      </c>
      <c r="I364" s="88"/>
    </row>
    <row r="365" spans="1:9" ht="19.8" customHeight="1" x14ac:dyDescent="0.3">
      <c r="A365" s="103">
        <v>45994</v>
      </c>
      <c r="B365" s="94" t="s">
        <v>36</v>
      </c>
      <c r="C365" s="95" t="s">
        <v>1115</v>
      </c>
      <c r="D365" s="94" t="s">
        <v>1098</v>
      </c>
      <c r="E365" s="104">
        <v>1.5659722222222221</v>
      </c>
      <c r="F365" s="94" t="s">
        <v>42</v>
      </c>
      <c r="G365" s="96">
        <v>1</v>
      </c>
      <c r="H365" s="97">
        <v>559</v>
      </c>
      <c r="I365" s="88"/>
    </row>
    <row r="366" spans="1:9" ht="19.8" customHeight="1" x14ac:dyDescent="0.3">
      <c r="A366" s="103">
        <v>45994</v>
      </c>
      <c r="B366" s="94" t="s">
        <v>36</v>
      </c>
      <c r="C366" s="95" t="s">
        <v>1117</v>
      </c>
      <c r="D366" s="94" t="s">
        <v>1098</v>
      </c>
      <c r="E366" s="104">
        <v>1.6875</v>
      </c>
      <c r="F366" s="94" t="s">
        <v>42</v>
      </c>
      <c r="G366" s="96">
        <v>8</v>
      </c>
      <c r="H366" s="97">
        <v>559</v>
      </c>
      <c r="I366" s="88"/>
    </row>
    <row r="367" spans="1:9" ht="19.8" customHeight="1" x14ac:dyDescent="0.3">
      <c r="A367" s="103">
        <v>45994</v>
      </c>
      <c r="B367" s="94" t="s">
        <v>36</v>
      </c>
      <c r="C367" s="95" t="s">
        <v>1118</v>
      </c>
      <c r="D367" s="94" t="s">
        <v>1098</v>
      </c>
      <c r="E367" s="104">
        <v>1.427083333333333</v>
      </c>
      <c r="F367" s="94" t="s">
        <v>42</v>
      </c>
      <c r="G367" s="96">
        <v>2</v>
      </c>
      <c r="H367" s="97">
        <v>559</v>
      </c>
      <c r="I367" s="88"/>
    </row>
    <row r="368" spans="1:9" ht="19.8" customHeight="1" x14ac:dyDescent="0.3">
      <c r="A368" s="103">
        <v>45994</v>
      </c>
      <c r="B368" s="94" t="s">
        <v>78</v>
      </c>
      <c r="C368" s="95" t="s">
        <v>1136</v>
      </c>
      <c r="D368" s="94" t="s">
        <v>1098</v>
      </c>
      <c r="E368" s="104">
        <v>1.4826388888888891</v>
      </c>
      <c r="F368" s="94" t="s">
        <v>80</v>
      </c>
      <c r="G368" s="96">
        <v>9</v>
      </c>
      <c r="H368" s="97">
        <v>570</v>
      </c>
      <c r="I368" s="88"/>
    </row>
    <row r="369" spans="1:9" ht="19.8" customHeight="1" x14ac:dyDescent="0.3">
      <c r="A369" s="103">
        <v>45994</v>
      </c>
      <c r="B369" s="94" t="s">
        <v>66</v>
      </c>
      <c r="C369" s="95" t="s">
        <v>1126</v>
      </c>
      <c r="D369" s="94" t="s">
        <v>1098</v>
      </c>
      <c r="E369" s="104">
        <v>1.166666666666667</v>
      </c>
      <c r="F369" s="94" t="s">
        <v>68</v>
      </c>
      <c r="G369" s="96">
        <v>9</v>
      </c>
      <c r="H369" s="97">
        <v>597</v>
      </c>
      <c r="I369" s="88"/>
    </row>
    <row r="370" spans="1:9" ht="19.8" customHeight="1" x14ac:dyDescent="0.3">
      <c r="A370" s="103">
        <v>45994</v>
      </c>
      <c r="B370" s="94" t="s">
        <v>36</v>
      </c>
      <c r="C370" s="95" t="s">
        <v>1113</v>
      </c>
      <c r="D370" s="94" t="s">
        <v>1098</v>
      </c>
      <c r="E370" s="104">
        <v>1.8263888888888891</v>
      </c>
      <c r="F370" s="94" t="s">
        <v>42</v>
      </c>
      <c r="G370" s="96">
        <v>9</v>
      </c>
      <c r="H370" s="97">
        <v>599</v>
      </c>
      <c r="I370" s="88"/>
    </row>
    <row r="371" spans="1:9" ht="19.8" customHeight="1" x14ac:dyDescent="0.3">
      <c r="A371" s="103">
        <v>45994</v>
      </c>
      <c r="B371" s="94" t="s">
        <v>66</v>
      </c>
      <c r="C371" s="95" t="s">
        <v>1130</v>
      </c>
      <c r="D371" s="94" t="s">
        <v>1098</v>
      </c>
      <c r="E371" s="104">
        <v>1.916666666666667</v>
      </c>
      <c r="F371" s="94" t="s">
        <v>68</v>
      </c>
      <c r="G371" s="96">
        <v>9</v>
      </c>
      <c r="H371" s="97">
        <v>601</v>
      </c>
      <c r="I371" s="88"/>
    </row>
    <row r="372" spans="1:9" ht="19.8" customHeight="1" x14ac:dyDescent="0.3">
      <c r="A372" s="103">
        <v>45994</v>
      </c>
      <c r="B372" s="94" t="s">
        <v>78</v>
      </c>
      <c r="C372" s="95" t="s">
        <v>1136</v>
      </c>
      <c r="D372" s="94" t="s">
        <v>1098</v>
      </c>
      <c r="E372" s="104">
        <v>1.4826388888888891</v>
      </c>
      <c r="F372" s="94" t="s">
        <v>83</v>
      </c>
      <c r="G372" s="96">
        <v>9</v>
      </c>
      <c r="H372" s="97">
        <v>620</v>
      </c>
      <c r="I372" s="88"/>
    </row>
    <row r="373" spans="1:9" ht="19.8" customHeight="1" x14ac:dyDescent="0.3">
      <c r="A373" s="103">
        <v>45994</v>
      </c>
      <c r="B373" s="94" t="s">
        <v>36</v>
      </c>
      <c r="C373" s="95" t="s">
        <v>1119</v>
      </c>
      <c r="D373" s="94" t="s">
        <v>1098</v>
      </c>
      <c r="E373" s="104">
        <v>1.5</v>
      </c>
      <c r="F373" s="94" t="s">
        <v>42</v>
      </c>
      <c r="G373" s="96">
        <v>4</v>
      </c>
      <c r="H373" s="97">
        <v>639</v>
      </c>
      <c r="I373" s="88"/>
    </row>
    <row r="374" spans="1:9" ht="19.8" customHeight="1" x14ac:dyDescent="0.3">
      <c r="A374" s="103">
        <v>45994</v>
      </c>
      <c r="B374" s="94" t="s">
        <v>78</v>
      </c>
      <c r="C374" s="95" t="s">
        <v>1134</v>
      </c>
      <c r="D374" s="94" t="s">
        <v>1098</v>
      </c>
      <c r="E374" s="104">
        <v>1.6840277777777779</v>
      </c>
      <c r="F374" s="94" t="s">
        <v>80</v>
      </c>
      <c r="G374" s="96">
        <v>9</v>
      </c>
      <c r="H374" s="97">
        <v>736</v>
      </c>
      <c r="I374" s="88"/>
    </row>
    <row r="375" spans="1:9" ht="19.8" customHeight="1" x14ac:dyDescent="0.3">
      <c r="A375" s="103">
        <v>45994</v>
      </c>
      <c r="B375" s="94" t="s">
        <v>78</v>
      </c>
      <c r="C375" s="95" t="s">
        <v>1134</v>
      </c>
      <c r="D375" s="94" t="s">
        <v>1098</v>
      </c>
      <c r="E375" s="104">
        <v>1.6840277777777779</v>
      </c>
      <c r="F375" s="94" t="s">
        <v>83</v>
      </c>
      <c r="G375" s="96">
        <v>9</v>
      </c>
      <c r="H375" s="97">
        <v>786</v>
      </c>
      <c r="I375" s="88"/>
    </row>
    <row r="376" spans="1:9" ht="19.8" customHeight="1" x14ac:dyDescent="0.3">
      <c r="A376" s="103">
        <v>45994</v>
      </c>
      <c r="B376" s="94" t="s">
        <v>78</v>
      </c>
      <c r="C376" s="95" t="s">
        <v>1137</v>
      </c>
      <c r="D376" s="94" t="s">
        <v>1098</v>
      </c>
      <c r="E376" s="104">
        <v>1.836805555555556</v>
      </c>
      <c r="F376" s="94" t="s">
        <v>80</v>
      </c>
      <c r="G376" s="96">
        <v>9</v>
      </c>
      <c r="H376" s="97">
        <v>849</v>
      </c>
      <c r="I376" s="88"/>
    </row>
    <row r="377" spans="1:9" ht="19.8" customHeight="1" x14ac:dyDescent="0.3">
      <c r="A377" s="103">
        <v>45994</v>
      </c>
      <c r="B377" s="94" t="s">
        <v>78</v>
      </c>
      <c r="C377" s="95" t="s">
        <v>1137</v>
      </c>
      <c r="D377" s="94" t="s">
        <v>1098</v>
      </c>
      <c r="E377" s="104">
        <v>1.836805555555556</v>
      </c>
      <c r="F377" s="94" t="s">
        <v>83</v>
      </c>
      <c r="G377" s="96">
        <v>9</v>
      </c>
      <c r="H377" s="97">
        <v>899</v>
      </c>
      <c r="I377" s="88"/>
    </row>
    <row r="378" spans="1:9" ht="19.8" customHeight="1" x14ac:dyDescent="0.3">
      <c r="A378" s="103">
        <v>45994</v>
      </c>
      <c r="B378" s="94" t="s">
        <v>78</v>
      </c>
      <c r="C378" s="95" t="s">
        <v>1140</v>
      </c>
      <c r="D378" s="94" t="s">
        <v>1098</v>
      </c>
      <c r="E378" s="104">
        <v>1.5</v>
      </c>
      <c r="F378" s="94" t="s">
        <v>83</v>
      </c>
      <c r="G378" s="96">
        <v>4</v>
      </c>
      <c r="H378" s="107" t="s">
        <v>1141</v>
      </c>
      <c r="I378" s="88"/>
    </row>
    <row r="379" spans="1:9" ht="19.8" customHeight="1" x14ac:dyDescent="0.3">
      <c r="A379" s="103">
        <v>45994</v>
      </c>
      <c r="B379" s="94" t="s">
        <v>78</v>
      </c>
      <c r="C379" s="95" t="s">
        <v>1142</v>
      </c>
      <c r="D379" s="94" t="s">
        <v>1098</v>
      </c>
      <c r="E379" s="104">
        <v>1.760416666666667</v>
      </c>
      <c r="F379" s="94" t="s">
        <v>83</v>
      </c>
      <c r="G379" s="96">
        <v>4</v>
      </c>
      <c r="H379" s="107" t="s">
        <v>1205</v>
      </c>
      <c r="I379" s="88"/>
    </row>
    <row r="380" spans="1:9" ht="19.8" customHeight="1" x14ac:dyDescent="0.3">
      <c r="A380" s="113">
        <v>45994</v>
      </c>
      <c r="B380" s="114" t="s">
        <v>78</v>
      </c>
      <c r="C380" s="115" t="s">
        <v>1143</v>
      </c>
      <c r="D380" s="114" t="s">
        <v>1098</v>
      </c>
      <c r="E380" s="116">
        <v>1.8159722222222221</v>
      </c>
      <c r="F380" s="114" t="s">
        <v>83</v>
      </c>
      <c r="G380" s="117">
        <v>4</v>
      </c>
      <c r="H380" s="118" t="s">
        <v>1206</v>
      </c>
      <c r="I380" s="88"/>
    </row>
    <row r="381" spans="1:9" ht="19.8" customHeight="1" x14ac:dyDescent="0.3">
      <c r="A381" s="103">
        <v>45995</v>
      </c>
      <c r="B381" s="94" t="s">
        <v>66</v>
      </c>
      <c r="C381" s="95" t="s">
        <v>1126</v>
      </c>
      <c r="D381" s="94" t="s">
        <v>1098</v>
      </c>
      <c r="E381" s="104">
        <v>1.166666666666667</v>
      </c>
      <c r="F381" s="94" t="s">
        <v>829</v>
      </c>
      <c r="G381" s="96">
        <v>8</v>
      </c>
      <c r="H381" s="97">
        <v>350</v>
      </c>
      <c r="I381" s="88"/>
    </row>
    <row r="382" spans="1:9" ht="19.8" customHeight="1" x14ac:dyDescent="0.3">
      <c r="A382" s="105">
        <v>45995</v>
      </c>
      <c r="B382" s="99" t="s">
        <v>44</v>
      </c>
      <c r="C382" s="100" t="s">
        <v>1154</v>
      </c>
      <c r="D382" s="99" t="s">
        <v>1098</v>
      </c>
      <c r="E382" s="106">
        <v>1.6111111111111109</v>
      </c>
      <c r="F382" s="99" t="s">
        <v>46</v>
      </c>
      <c r="G382" s="101">
        <v>1</v>
      </c>
      <c r="H382" s="102">
        <v>494</v>
      </c>
      <c r="I382" s="88"/>
    </row>
    <row r="383" spans="1:9" ht="19.8" customHeight="1" x14ac:dyDescent="0.3">
      <c r="A383" s="103">
        <v>45995</v>
      </c>
      <c r="B383" s="94" t="s">
        <v>404</v>
      </c>
      <c r="C383" s="95" t="s">
        <v>1166</v>
      </c>
      <c r="D383" s="94" t="s">
        <v>1098</v>
      </c>
      <c r="E383" s="104">
        <v>1.8784722222222221</v>
      </c>
      <c r="F383" s="94" t="s">
        <v>46</v>
      </c>
      <c r="G383" s="96">
        <v>6</v>
      </c>
      <c r="H383" s="97">
        <v>509</v>
      </c>
      <c r="I383" s="88"/>
    </row>
    <row r="384" spans="1:9" ht="19.8" customHeight="1" x14ac:dyDescent="0.3">
      <c r="A384" s="103">
        <v>45995</v>
      </c>
      <c r="B384" s="94" t="s">
        <v>410</v>
      </c>
      <c r="C384" s="95" t="s">
        <v>1157</v>
      </c>
      <c r="D384" s="94" t="s">
        <v>1098</v>
      </c>
      <c r="E384" s="104">
        <v>1.802083333333333</v>
      </c>
      <c r="F384" s="94" t="s">
        <v>46</v>
      </c>
      <c r="G384" s="96">
        <v>9</v>
      </c>
      <c r="H384" s="97">
        <v>518</v>
      </c>
      <c r="I384" s="88"/>
    </row>
    <row r="385" spans="1:9" ht="19.8" customHeight="1" x14ac:dyDescent="0.3">
      <c r="A385" s="103">
        <v>45995</v>
      </c>
      <c r="B385" s="94" t="s">
        <v>78</v>
      </c>
      <c r="C385" s="95" t="s">
        <v>1135</v>
      </c>
      <c r="D385" s="94" t="s">
        <v>1098</v>
      </c>
      <c r="E385" s="104">
        <v>1.2986111111111109</v>
      </c>
      <c r="F385" s="94" t="s">
        <v>80</v>
      </c>
      <c r="G385" s="96">
        <v>1</v>
      </c>
      <c r="H385" s="97">
        <v>578</v>
      </c>
      <c r="I385" s="88"/>
    </row>
    <row r="386" spans="1:9" ht="19.8" customHeight="1" x14ac:dyDescent="0.3">
      <c r="A386" s="103">
        <v>45995</v>
      </c>
      <c r="B386" s="94" t="s">
        <v>78</v>
      </c>
      <c r="C386" s="95" t="s">
        <v>1135</v>
      </c>
      <c r="D386" s="94" t="s">
        <v>1098</v>
      </c>
      <c r="E386" s="104">
        <v>1.2986111111111109</v>
      </c>
      <c r="F386" s="94" t="s">
        <v>83</v>
      </c>
      <c r="G386" s="96">
        <v>1</v>
      </c>
      <c r="H386" s="97">
        <v>628</v>
      </c>
      <c r="I386" s="88"/>
    </row>
    <row r="387" spans="1:9" ht="19.8" customHeight="1" x14ac:dyDescent="0.3">
      <c r="A387" s="103">
        <v>45995</v>
      </c>
      <c r="B387" s="94" t="s">
        <v>78</v>
      </c>
      <c r="C387" s="95" t="s">
        <v>1136</v>
      </c>
      <c r="D387" s="94" t="s">
        <v>1098</v>
      </c>
      <c r="E387" s="104">
        <v>1.4826388888888891</v>
      </c>
      <c r="F387" s="94" t="s">
        <v>80</v>
      </c>
      <c r="G387" s="96">
        <v>9</v>
      </c>
      <c r="H387" s="97">
        <v>833</v>
      </c>
      <c r="I387" s="88"/>
    </row>
    <row r="388" spans="1:9" ht="19.8" customHeight="1" x14ac:dyDescent="0.3">
      <c r="A388" s="103">
        <v>45995</v>
      </c>
      <c r="B388" s="94" t="s">
        <v>78</v>
      </c>
      <c r="C388" s="95" t="s">
        <v>1136</v>
      </c>
      <c r="D388" s="94" t="s">
        <v>1098</v>
      </c>
      <c r="E388" s="104">
        <v>1.4826388888888891</v>
      </c>
      <c r="F388" s="94" t="s">
        <v>83</v>
      </c>
      <c r="G388" s="96">
        <v>9</v>
      </c>
      <c r="H388" s="97">
        <v>883</v>
      </c>
      <c r="I388" s="88"/>
    </row>
    <row r="389" spans="1:9" ht="19.8" customHeight="1" x14ac:dyDescent="0.3">
      <c r="A389" s="103">
        <v>45995</v>
      </c>
      <c r="B389" s="94" t="s">
        <v>78</v>
      </c>
      <c r="C389" s="95" t="s">
        <v>1137</v>
      </c>
      <c r="D389" s="94" t="s">
        <v>1098</v>
      </c>
      <c r="E389" s="104">
        <v>1.836805555555556</v>
      </c>
      <c r="F389" s="94" t="s">
        <v>80</v>
      </c>
      <c r="G389" s="96">
        <v>9</v>
      </c>
      <c r="H389" s="107" t="s">
        <v>870</v>
      </c>
      <c r="I389" s="88"/>
    </row>
    <row r="390" spans="1:9" ht="19.8" customHeight="1" x14ac:dyDescent="0.3">
      <c r="A390" s="103">
        <v>45995</v>
      </c>
      <c r="B390" s="94" t="s">
        <v>78</v>
      </c>
      <c r="C390" s="95" t="s">
        <v>1134</v>
      </c>
      <c r="D390" s="94" t="s">
        <v>1098</v>
      </c>
      <c r="E390" s="104">
        <v>1.6840277777777779</v>
      </c>
      <c r="F390" s="94" t="s">
        <v>80</v>
      </c>
      <c r="G390" s="96">
        <v>9</v>
      </c>
      <c r="H390" s="107" t="s">
        <v>870</v>
      </c>
      <c r="I390" s="88"/>
    </row>
    <row r="391" spans="1:9" ht="19.8" customHeight="1" x14ac:dyDescent="0.3">
      <c r="A391" s="103">
        <v>45995</v>
      </c>
      <c r="B391" s="94" t="s">
        <v>78</v>
      </c>
      <c r="C391" s="95" t="s">
        <v>1137</v>
      </c>
      <c r="D391" s="94" t="s">
        <v>1098</v>
      </c>
      <c r="E391" s="104">
        <v>1.836805555555556</v>
      </c>
      <c r="F391" s="94" t="s">
        <v>83</v>
      </c>
      <c r="G391" s="96">
        <v>9</v>
      </c>
      <c r="H391" s="107" t="s">
        <v>1175</v>
      </c>
      <c r="I391" s="88"/>
    </row>
    <row r="392" spans="1:9" ht="19.8" customHeight="1" x14ac:dyDescent="0.3">
      <c r="A392" s="103">
        <v>45995</v>
      </c>
      <c r="B392" s="94" t="s">
        <v>78</v>
      </c>
      <c r="C392" s="95" t="s">
        <v>1134</v>
      </c>
      <c r="D392" s="94" t="s">
        <v>1098</v>
      </c>
      <c r="E392" s="104">
        <v>1.6840277777777779</v>
      </c>
      <c r="F392" s="94" t="s">
        <v>83</v>
      </c>
      <c r="G392" s="96">
        <v>9</v>
      </c>
      <c r="H392" s="107" t="s">
        <v>1175</v>
      </c>
      <c r="I392" s="88"/>
    </row>
    <row r="393" spans="1:9" ht="19.8" customHeight="1" x14ac:dyDescent="0.3">
      <c r="A393" s="103">
        <v>45995</v>
      </c>
      <c r="B393" s="94" t="s">
        <v>78</v>
      </c>
      <c r="C393" s="95" t="s">
        <v>1140</v>
      </c>
      <c r="D393" s="94" t="s">
        <v>1098</v>
      </c>
      <c r="E393" s="104">
        <v>1.5</v>
      </c>
      <c r="F393" s="94" t="s">
        <v>83</v>
      </c>
      <c r="G393" s="96">
        <v>4</v>
      </c>
      <c r="H393" s="107" t="s">
        <v>1214</v>
      </c>
      <c r="I393" s="88"/>
    </row>
    <row r="394" spans="1:9" ht="19.8" customHeight="1" x14ac:dyDescent="0.3">
      <c r="A394" s="103">
        <v>45995</v>
      </c>
      <c r="B394" s="94" t="s">
        <v>66</v>
      </c>
      <c r="C394" s="95" t="s">
        <v>1128</v>
      </c>
      <c r="D394" s="94" t="s">
        <v>1098</v>
      </c>
      <c r="E394" s="104">
        <v>1.520833333333333</v>
      </c>
      <c r="F394" s="94" t="s">
        <v>68</v>
      </c>
      <c r="G394" s="96">
        <v>9</v>
      </c>
      <c r="H394" s="107" t="s">
        <v>1207</v>
      </c>
      <c r="I394" s="88"/>
    </row>
    <row r="395" spans="1:9" ht="19.8" customHeight="1" x14ac:dyDescent="0.3">
      <c r="A395" s="103">
        <v>45995</v>
      </c>
      <c r="B395" s="94" t="s">
        <v>66</v>
      </c>
      <c r="C395" s="95" t="s">
        <v>1130</v>
      </c>
      <c r="D395" s="94" t="s">
        <v>1098</v>
      </c>
      <c r="E395" s="104">
        <v>1.916666666666667</v>
      </c>
      <c r="F395" s="94" t="s">
        <v>68</v>
      </c>
      <c r="G395" s="96">
        <v>9</v>
      </c>
      <c r="H395" s="107" t="s">
        <v>1208</v>
      </c>
      <c r="I395" s="88"/>
    </row>
    <row r="396" spans="1:9" ht="19.8" customHeight="1" x14ac:dyDescent="0.3">
      <c r="A396" s="113">
        <v>45995</v>
      </c>
      <c r="B396" s="114" t="s">
        <v>78</v>
      </c>
      <c r="C396" s="115" t="s">
        <v>1143</v>
      </c>
      <c r="D396" s="114" t="s">
        <v>1098</v>
      </c>
      <c r="E396" s="116">
        <v>1.8159722222222221</v>
      </c>
      <c r="F396" s="114" t="s">
        <v>83</v>
      </c>
      <c r="G396" s="117">
        <v>4</v>
      </c>
      <c r="H396" s="118" t="s">
        <v>1215</v>
      </c>
      <c r="I396" s="88"/>
    </row>
    <row r="397" spans="1:9" ht="19.8" customHeight="1" x14ac:dyDescent="0.3">
      <c r="A397" s="103">
        <v>45996</v>
      </c>
      <c r="B397" s="94" t="s">
        <v>26</v>
      </c>
      <c r="C397" s="95" t="s">
        <v>1099</v>
      </c>
      <c r="D397" s="94" t="s">
        <v>1098</v>
      </c>
      <c r="E397" s="104">
        <v>1.760416666666667</v>
      </c>
      <c r="F397" s="94" t="s">
        <v>28</v>
      </c>
      <c r="G397" s="96">
        <v>11</v>
      </c>
      <c r="H397" s="97">
        <v>339</v>
      </c>
      <c r="I397" s="88"/>
    </row>
    <row r="398" spans="1:9" ht="19.8" customHeight="1" x14ac:dyDescent="0.3">
      <c r="A398" s="103">
        <v>45996</v>
      </c>
      <c r="B398" s="94" t="s">
        <v>26</v>
      </c>
      <c r="C398" s="95" t="s">
        <v>1104</v>
      </c>
      <c r="D398" s="94" t="s">
        <v>1098</v>
      </c>
      <c r="E398" s="104">
        <v>1.5</v>
      </c>
      <c r="F398" s="94" t="s">
        <v>28</v>
      </c>
      <c r="G398" s="96">
        <v>8</v>
      </c>
      <c r="H398" s="97">
        <v>339</v>
      </c>
      <c r="I398" s="88"/>
    </row>
    <row r="399" spans="1:9" ht="19.8" customHeight="1" x14ac:dyDescent="0.3">
      <c r="A399" s="103">
        <v>45996</v>
      </c>
      <c r="B399" s="94" t="s">
        <v>26</v>
      </c>
      <c r="C399" s="95" t="s">
        <v>1110</v>
      </c>
      <c r="D399" s="94" t="s">
        <v>1098</v>
      </c>
      <c r="E399" s="104">
        <v>1.8159722222222221</v>
      </c>
      <c r="F399" s="94" t="s">
        <v>28</v>
      </c>
      <c r="G399" s="96">
        <v>11</v>
      </c>
      <c r="H399" s="97">
        <v>339</v>
      </c>
      <c r="I399" s="88"/>
    </row>
    <row r="400" spans="1:9" ht="19.8" customHeight="1" x14ac:dyDescent="0.3">
      <c r="A400" s="103">
        <v>45996</v>
      </c>
      <c r="B400" s="94" t="s">
        <v>66</v>
      </c>
      <c r="C400" s="95" t="s">
        <v>1130</v>
      </c>
      <c r="D400" s="94" t="s">
        <v>1098</v>
      </c>
      <c r="E400" s="104">
        <v>1.916666666666667</v>
      </c>
      <c r="F400" s="94" t="s">
        <v>829</v>
      </c>
      <c r="G400" s="96">
        <v>9</v>
      </c>
      <c r="H400" s="97">
        <v>354</v>
      </c>
      <c r="I400" s="88"/>
    </row>
    <row r="401" spans="1:9" ht="19.8" customHeight="1" x14ac:dyDescent="0.3">
      <c r="A401" s="103">
        <v>45996</v>
      </c>
      <c r="B401" s="94" t="s">
        <v>26</v>
      </c>
      <c r="C401" s="95" t="s">
        <v>1107</v>
      </c>
      <c r="D401" s="94" t="s">
        <v>1098</v>
      </c>
      <c r="E401" s="104">
        <v>1.447916666666667</v>
      </c>
      <c r="F401" s="94" t="s">
        <v>28</v>
      </c>
      <c r="G401" s="96">
        <v>7</v>
      </c>
      <c r="H401" s="97">
        <v>369</v>
      </c>
      <c r="I401" s="88"/>
    </row>
    <row r="402" spans="1:9" ht="19.8" customHeight="1" x14ac:dyDescent="0.3">
      <c r="A402" s="103">
        <v>45996</v>
      </c>
      <c r="B402" s="94" t="s">
        <v>36</v>
      </c>
      <c r="C402" s="95" t="s">
        <v>1119</v>
      </c>
      <c r="D402" s="94" t="s">
        <v>1098</v>
      </c>
      <c r="E402" s="104">
        <v>1.5</v>
      </c>
      <c r="F402" s="94" t="s">
        <v>38</v>
      </c>
      <c r="G402" s="96">
        <v>9</v>
      </c>
      <c r="H402" s="97">
        <v>369</v>
      </c>
      <c r="I402" s="88"/>
    </row>
    <row r="403" spans="1:9" ht="19.8" customHeight="1" x14ac:dyDescent="0.3">
      <c r="A403" s="103">
        <v>45996</v>
      </c>
      <c r="B403" s="94" t="s">
        <v>36</v>
      </c>
      <c r="C403" s="95" t="s">
        <v>1114</v>
      </c>
      <c r="D403" s="94" t="s">
        <v>1098</v>
      </c>
      <c r="E403" s="104">
        <v>1.375</v>
      </c>
      <c r="F403" s="94" t="s">
        <v>38</v>
      </c>
      <c r="G403" s="96">
        <v>9</v>
      </c>
      <c r="H403" s="97">
        <v>369</v>
      </c>
      <c r="I403" s="88"/>
    </row>
    <row r="404" spans="1:9" ht="19.8" customHeight="1" x14ac:dyDescent="0.3">
      <c r="A404" s="103">
        <v>45996</v>
      </c>
      <c r="B404" s="94" t="s">
        <v>36</v>
      </c>
      <c r="C404" s="95" t="s">
        <v>1115</v>
      </c>
      <c r="D404" s="94" t="s">
        <v>1098</v>
      </c>
      <c r="E404" s="104">
        <v>1.5659722222222221</v>
      </c>
      <c r="F404" s="94" t="s">
        <v>38</v>
      </c>
      <c r="G404" s="96">
        <v>3</v>
      </c>
      <c r="H404" s="97">
        <v>369</v>
      </c>
      <c r="I404" s="88"/>
    </row>
    <row r="405" spans="1:9" ht="19.8" customHeight="1" x14ac:dyDescent="0.3">
      <c r="A405" s="103">
        <v>45996</v>
      </c>
      <c r="B405" s="94" t="s">
        <v>36</v>
      </c>
      <c r="C405" s="95" t="s">
        <v>1118</v>
      </c>
      <c r="D405" s="94" t="s">
        <v>1098</v>
      </c>
      <c r="E405" s="104">
        <v>1.427083333333333</v>
      </c>
      <c r="F405" s="94" t="s">
        <v>38</v>
      </c>
      <c r="G405" s="96">
        <v>9</v>
      </c>
      <c r="H405" s="97">
        <v>369</v>
      </c>
      <c r="I405" s="88"/>
    </row>
    <row r="406" spans="1:9" ht="19.8" customHeight="1" x14ac:dyDescent="0.3">
      <c r="A406" s="103">
        <v>45996</v>
      </c>
      <c r="B406" s="94" t="s">
        <v>456</v>
      </c>
      <c r="C406" s="95" t="s">
        <v>1124</v>
      </c>
      <c r="D406" s="94" t="s">
        <v>1098</v>
      </c>
      <c r="E406" s="104">
        <v>1.3715277777777779</v>
      </c>
      <c r="F406" s="94" t="s">
        <v>458</v>
      </c>
      <c r="G406" s="96">
        <v>9</v>
      </c>
      <c r="H406" s="97">
        <v>385</v>
      </c>
      <c r="I406" s="88"/>
    </row>
    <row r="407" spans="1:9" ht="19.8" customHeight="1" x14ac:dyDescent="0.3">
      <c r="A407" s="103">
        <v>45996</v>
      </c>
      <c r="B407" s="94" t="s">
        <v>36</v>
      </c>
      <c r="C407" s="95" t="s">
        <v>1113</v>
      </c>
      <c r="D407" s="94" t="s">
        <v>1098</v>
      </c>
      <c r="E407" s="104">
        <v>1.8263888888888891</v>
      </c>
      <c r="F407" s="94" t="s">
        <v>38</v>
      </c>
      <c r="G407" s="96">
        <v>7</v>
      </c>
      <c r="H407" s="97">
        <v>409</v>
      </c>
      <c r="I407" s="88"/>
    </row>
    <row r="408" spans="1:9" ht="19.8" customHeight="1" x14ac:dyDescent="0.3">
      <c r="A408" s="103">
        <v>45996</v>
      </c>
      <c r="B408" s="94" t="s">
        <v>36</v>
      </c>
      <c r="C408" s="95" t="s">
        <v>1116</v>
      </c>
      <c r="D408" s="94" t="s">
        <v>1098</v>
      </c>
      <c r="E408" s="104">
        <v>1.305555555555556</v>
      </c>
      <c r="F408" s="94" t="s">
        <v>38</v>
      </c>
      <c r="G408" s="96">
        <v>3</v>
      </c>
      <c r="H408" s="97">
        <v>409</v>
      </c>
      <c r="I408" s="88"/>
    </row>
    <row r="409" spans="1:9" ht="19.8" customHeight="1" x14ac:dyDescent="0.3">
      <c r="A409" s="103">
        <v>45996</v>
      </c>
      <c r="B409" s="94" t="s">
        <v>36</v>
      </c>
      <c r="C409" s="95" t="s">
        <v>1117</v>
      </c>
      <c r="D409" s="94" t="s">
        <v>1098</v>
      </c>
      <c r="E409" s="104">
        <v>1.6875</v>
      </c>
      <c r="F409" s="94" t="s">
        <v>38</v>
      </c>
      <c r="G409" s="96">
        <v>4</v>
      </c>
      <c r="H409" s="97">
        <v>409</v>
      </c>
      <c r="I409" s="88"/>
    </row>
    <row r="410" spans="1:9" ht="19.8" customHeight="1" x14ac:dyDescent="0.3">
      <c r="A410" s="103">
        <v>45996</v>
      </c>
      <c r="B410" s="94" t="s">
        <v>410</v>
      </c>
      <c r="C410" s="95" t="s">
        <v>1167</v>
      </c>
      <c r="D410" s="94" t="s">
        <v>1098</v>
      </c>
      <c r="E410" s="104">
        <v>1.395833333333333</v>
      </c>
      <c r="F410" s="94" t="s">
        <v>46</v>
      </c>
      <c r="G410" s="96">
        <v>9</v>
      </c>
      <c r="H410" s="97">
        <v>416</v>
      </c>
      <c r="I410" s="88"/>
    </row>
    <row r="411" spans="1:9" ht="19.8" customHeight="1" x14ac:dyDescent="0.3">
      <c r="A411" s="103">
        <v>45996</v>
      </c>
      <c r="B411" s="94" t="s">
        <v>36</v>
      </c>
      <c r="C411" s="95" t="s">
        <v>1119</v>
      </c>
      <c r="D411" s="94" t="s">
        <v>1098</v>
      </c>
      <c r="E411" s="104">
        <v>1.5</v>
      </c>
      <c r="F411" s="94" t="s">
        <v>40</v>
      </c>
      <c r="G411" s="96">
        <v>9</v>
      </c>
      <c r="H411" s="97">
        <v>469</v>
      </c>
      <c r="I411" s="88"/>
    </row>
    <row r="412" spans="1:9" ht="19.8" customHeight="1" x14ac:dyDescent="0.3">
      <c r="A412" s="103">
        <v>45996</v>
      </c>
      <c r="B412" s="94" t="s">
        <v>36</v>
      </c>
      <c r="C412" s="95" t="s">
        <v>1114</v>
      </c>
      <c r="D412" s="94" t="s">
        <v>1098</v>
      </c>
      <c r="E412" s="104">
        <v>1.375</v>
      </c>
      <c r="F412" s="94" t="s">
        <v>40</v>
      </c>
      <c r="G412" s="96">
        <v>9</v>
      </c>
      <c r="H412" s="97">
        <v>469</v>
      </c>
      <c r="I412" s="88"/>
    </row>
    <row r="413" spans="1:9" ht="19.8" customHeight="1" x14ac:dyDescent="0.3">
      <c r="A413" s="103">
        <v>45996</v>
      </c>
      <c r="B413" s="94" t="s">
        <v>36</v>
      </c>
      <c r="C413" s="95" t="s">
        <v>1115</v>
      </c>
      <c r="D413" s="94" t="s">
        <v>1098</v>
      </c>
      <c r="E413" s="104">
        <v>1.5659722222222221</v>
      </c>
      <c r="F413" s="94" t="s">
        <v>40</v>
      </c>
      <c r="G413" s="96">
        <v>3</v>
      </c>
      <c r="H413" s="97">
        <v>469</v>
      </c>
      <c r="I413" s="88"/>
    </row>
    <row r="414" spans="1:9" ht="19.8" customHeight="1" x14ac:dyDescent="0.3">
      <c r="A414" s="103">
        <v>45996</v>
      </c>
      <c r="B414" s="94" t="s">
        <v>36</v>
      </c>
      <c r="C414" s="95" t="s">
        <v>1118</v>
      </c>
      <c r="D414" s="94" t="s">
        <v>1098</v>
      </c>
      <c r="E414" s="104">
        <v>1.427083333333333</v>
      </c>
      <c r="F414" s="94" t="s">
        <v>40</v>
      </c>
      <c r="G414" s="96">
        <v>9</v>
      </c>
      <c r="H414" s="97">
        <v>469</v>
      </c>
      <c r="I414" s="88"/>
    </row>
    <row r="415" spans="1:9" ht="19.8" customHeight="1" x14ac:dyDescent="0.3">
      <c r="A415" s="103">
        <v>45996</v>
      </c>
      <c r="B415" s="94" t="s">
        <v>26</v>
      </c>
      <c r="C415" s="95" t="s">
        <v>1099</v>
      </c>
      <c r="D415" s="94" t="s">
        <v>1098</v>
      </c>
      <c r="E415" s="104">
        <v>1.760416666666667</v>
      </c>
      <c r="F415" s="94" t="s">
        <v>31</v>
      </c>
      <c r="G415" s="96">
        <v>11</v>
      </c>
      <c r="H415" s="97">
        <v>489</v>
      </c>
      <c r="I415" s="88"/>
    </row>
    <row r="416" spans="1:9" ht="19.8" customHeight="1" x14ac:dyDescent="0.3">
      <c r="A416" s="103">
        <v>45996</v>
      </c>
      <c r="B416" s="94" t="s">
        <v>26</v>
      </c>
      <c r="C416" s="95" t="s">
        <v>1104</v>
      </c>
      <c r="D416" s="94" t="s">
        <v>1098</v>
      </c>
      <c r="E416" s="104">
        <v>1.5</v>
      </c>
      <c r="F416" s="94" t="s">
        <v>31</v>
      </c>
      <c r="G416" s="96">
        <v>8</v>
      </c>
      <c r="H416" s="97">
        <v>489</v>
      </c>
      <c r="I416" s="88"/>
    </row>
    <row r="417" spans="1:9" ht="19.8" customHeight="1" x14ac:dyDescent="0.3">
      <c r="A417" s="103">
        <v>45996</v>
      </c>
      <c r="B417" s="94" t="s">
        <v>26</v>
      </c>
      <c r="C417" s="95" t="s">
        <v>1110</v>
      </c>
      <c r="D417" s="94" t="s">
        <v>1098</v>
      </c>
      <c r="E417" s="104">
        <v>1.8159722222222221</v>
      </c>
      <c r="F417" s="94" t="s">
        <v>31</v>
      </c>
      <c r="G417" s="96">
        <v>11</v>
      </c>
      <c r="H417" s="97">
        <v>489</v>
      </c>
      <c r="I417" s="88"/>
    </row>
    <row r="418" spans="1:9" ht="19.8" customHeight="1" x14ac:dyDescent="0.3">
      <c r="A418" s="105">
        <v>45996</v>
      </c>
      <c r="B418" s="99" t="s">
        <v>44</v>
      </c>
      <c r="C418" s="100" t="s">
        <v>1121</v>
      </c>
      <c r="D418" s="99" t="s">
        <v>1098</v>
      </c>
      <c r="E418" s="106">
        <v>1.9236111111111109</v>
      </c>
      <c r="F418" s="99" t="s">
        <v>46</v>
      </c>
      <c r="G418" s="101">
        <v>3</v>
      </c>
      <c r="H418" s="102">
        <v>494</v>
      </c>
      <c r="I418" s="88"/>
    </row>
    <row r="419" spans="1:9" ht="19.8" customHeight="1" x14ac:dyDescent="0.3">
      <c r="A419" s="105">
        <v>45996</v>
      </c>
      <c r="B419" s="99" t="s">
        <v>44</v>
      </c>
      <c r="C419" s="100" t="s">
        <v>1154</v>
      </c>
      <c r="D419" s="99" t="s">
        <v>1098</v>
      </c>
      <c r="E419" s="106">
        <v>1.604166666666667</v>
      </c>
      <c r="F419" s="99" t="s">
        <v>46</v>
      </c>
      <c r="G419" s="101">
        <v>9</v>
      </c>
      <c r="H419" s="102">
        <v>494</v>
      </c>
      <c r="I419" s="88"/>
    </row>
    <row r="420" spans="1:9" ht="19.8" customHeight="1" x14ac:dyDescent="0.3">
      <c r="A420" s="103">
        <v>45996</v>
      </c>
      <c r="B420" s="94" t="s">
        <v>456</v>
      </c>
      <c r="C420" s="95" t="s">
        <v>1124</v>
      </c>
      <c r="D420" s="94" t="s">
        <v>1098</v>
      </c>
      <c r="E420" s="104">
        <v>1.3715277777777779</v>
      </c>
      <c r="F420" s="94" t="s">
        <v>34</v>
      </c>
      <c r="G420" s="96">
        <v>9</v>
      </c>
      <c r="H420" s="97">
        <v>508</v>
      </c>
      <c r="I420" s="88"/>
    </row>
    <row r="421" spans="1:9" ht="19.8" customHeight="1" x14ac:dyDescent="0.3">
      <c r="A421" s="103">
        <v>45996</v>
      </c>
      <c r="B421" s="94" t="s">
        <v>36</v>
      </c>
      <c r="C421" s="95" t="s">
        <v>1113</v>
      </c>
      <c r="D421" s="94" t="s">
        <v>1098</v>
      </c>
      <c r="E421" s="104">
        <v>1.8263888888888891</v>
      </c>
      <c r="F421" s="94" t="s">
        <v>40</v>
      </c>
      <c r="G421" s="96">
        <v>7</v>
      </c>
      <c r="H421" s="97">
        <v>509</v>
      </c>
      <c r="I421" s="88"/>
    </row>
    <row r="422" spans="1:9" ht="19.8" customHeight="1" x14ac:dyDescent="0.3">
      <c r="A422" s="103">
        <v>45996</v>
      </c>
      <c r="B422" s="94" t="s">
        <v>36</v>
      </c>
      <c r="C422" s="95" t="s">
        <v>1116</v>
      </c>
      <c r="D422" s="94" t="s">
        <v>1098</v>
      </c>
      <c r="E422" s="104">
        <v>1.305555555555556</v>
      </c>
      <c r="F422" s="94" t="s">
        <v>40</v>
      </c>
      <c r="G422" s="96">
        <v>3</v>
      </c>
      <c r="H422" s="97">
        <v>509</v>
      </c>
      <c r="I422" s="88"/>
    </row>
    <row r="423" spans="1:9" ht="19.8" customHeight="1" x14ac:dyDescent="0.3">
      <c r="A423" s="103">
        <v>45996</v>
      </c>
      <c r="B423" s="94" t="s">
        <v>36</v>
      </c>
      <c r="C423" s="95" t="s">
        <v>1117</v>
      </c>
      <c r="D423" s="94" t="s">
        <v>1098</v>
      </c>
      <c r="E423" s="104">
        <v>1.6875</v>
      </c>
      <c r="F423" s="94" t="s">
        <v>40</v>
      </c>
      <c r="G423" s="96">
        <v>4</v>
      </c>
      <c r="H423" s="97">
        <v>509</v>
      </c>
      <c r="I423" s="88"/>
    </row>
    <row r="424" spans="1:9" ht="19.8" customHeight="1" x14ac:dyDescent="0.3">
      <c r="A424" s="103">
        <v>45996</v>
      </c>
      <c r="B424" s="94" t="s">
        <v>26</v>
      </c>
      <c r="C424" s="95" t="s">
        <v>1107</v>
      </c>
      <c r="D424" s="94" t="s">
        <v>1098</v>
      </c>
      <c r="E424" s="104">
        <v>1.447916666666667</v>
      </c>
      <c r="F424" s="94" t="s">
        <v>31</v>
      </c>
      <c r="G424" s="96">
        <v>7</v>
      </c>
      <c r="H424" s="97">
        <v>519</v>
      </c>
      <c r="I424" s="88"/>
    </row>
    <row r="425" spans="1:9" ht="19.8" customHeight="1" x14ac:dyDescent="0.3">
      <c r="A425" s="103">
        <v>45996</v>
      </c>
      <c r="B425" s="94" t="s">
        <v>36</v>
      </c>
      <c r="C425" s="95" t="s">
        <v>1119</v>
      </c>
      <c r="D425" s="94" t="s">
        <v>1098</v>
      </c>
      <c r="E425" s="104">
        <v>1.5</v>
      </c>
      <c r="F425" s="94" t="s">
        <v>42</v>
      </c>
      <c r="G425" s="96">
        <v>9</v>
      </c>
      <c r="H425" s="97">
        <v>559</v>
      </c>
      <c r="I425" s="88"/>
    </row>
    <row r="426" spans="1:9" ht="19.8" customHeight="1" x14ac:dyDescent="0.3">
      <c r="A426" s="103">
        <v>45996</v>
      </c>
      <c r="B426" s="94" t="s">
        <v>36</v>
      </c>
      <c r="C426" s="95" t="s">
        <v>1114</v>
      </c>
      <c r="D426" s="94" t="s">
        <v>1098</v>
      </c>
      <c r="E426" s="104">
        <v>1.375</v>
      </c>
      <c r="F426" s="94" t="s">
        <v>42</v>
      </c>
      <c r="G426" s="96">
        <v>9</v>
      </c>
      <c r="H426" s="97">
        <v>559</v>
      </c>
      <c r="I426" s="88"/>
    </row>
    <row r="427" spans="1:9" ht="19.8" customHeight="1" x14ac:dyDescent="0.3">
      <c r="A427" s="103">
        <v>45996</v>
      </c>
      <c r="B427" s="94" t="s">
        <v>36</v>
      </c>
      <c r="C427" s="95" t="s">
        <v>1115</v>
      </c>
      <c r="D427" s="94" t="s">
        <v>1098</v>
      </c>
      <c r="E427" s="104">
        <v>1.5659722222222221</v>
      </c>
      <c r="F427" s="94" t="s">
        <v>42</v>
      </c>
      <c r="G427" s="96">
        <v>3</v>
      </c>
      <c r="H427" s="97">
        <v>559</v>
      </c>
      <c r="I427" s="88"/>
    </row>
    <row r="428" spans="1:9" ht="19.8" customHeight="1" x14ac:dyDescent="0.3">
      <c r="A428" s="103">
        <v>45996</v>
      </c>
      <c r="B428" s="94" t="s">
        <v>36</v>
      </c>
      <c r="C428" s="95" t="s">
        <v>1118</v>
      </c>
      <c r="D428" s="94" t="s">
        <v>1098</v>
      </c>
      <c r="E428" s="104">
        <v>1.427083333333333</v>
      </c>
      <c r="F428" s="94" t="s">
        <v>42</v>
      </c>
      <c r="G428" s="96">
        <v>9</v>
      </c>
      <c r="H428" s="97">
        <v>559</v>
      </c>
      <c r="I428" s="88"/>
    </row>
    <row r="429" spans="1:9" ht="19.8" customHeight="1" x14ac:dyDescent="0.3">
      <c r="A429" s="103">
        <v>45996</v>
      </c>
      <c r="B429" s="94" t="s">
        <v>66</v>
      </c>
      <c r="C429" s="95" t="s">
        <v>1128</v>
      </c>
      <c r="D429" s="94" t="s">
        <v>1098</v>
      </c>
      <c r="E429" s="104">
        <v>1.541666666666667</v>
      </c>
      <c r="F429" s="94" t="s">
        <v>68</v>
      </c>
      <c r="G429" s="96">
        <v>9</v>
      </c>
      <c r="H429" s="97">
        <v>597</v>
      </c>
      <c r="I429" s="88"/>
    </row>
    <row r="430" spans="1:9" ht="19.8" customHeight="1" x14ac:dyDescent="0.3">
      <c r="A430" s="103">
        <v>45996</v>
      </c>
      <c r="B430" s="94" t="s">
        <v>36</v>
      </c>
      <c r="C430" s="95" t="s">
        <v>1113</v>
      </c>
      <c r="D430" s="94" t="s">
        <v>1098</v>
      </c>
      <c r="E430" s="104">
        <v>1.8263888888888891</v>
      </c>
      <c r="F430" s="94" t="s">
        <v>42</v>
      </c>
      <c r="G430" s="96">
        <v>7</v>
      </c>
      <c r="H430" s="97">
        <v>599</v>
      </c>
      <c r="I430" s="88"/>
    </row>
    <row r="431" spans="1:9" ht="19.8" customHeight="1" x14ac:dyDescent="0.3">
      <c r="A431" s="103">
        <v>45996</v>
      </c>
      <c r="B431" s="94" t="s">
        <v>36</v>
      </c>
      <c r="C431" s="95" t="s">
        <v>1116</v>
      </c>
      <c r="D431" s="94" t="s">
        <v>1098</v>
      </c>
      <c r="E431" s="104">
        <v>1.305555555555556</v>
      </c>
      <c r="F431" s="94" t="s">
        <v>42</v>
      </c>
      <c r="G431" s="96">
        <v>3</v>
      </c>
      <c r="H431" s="97">
        <v>599</v>
      </c>
      <c r="I431" s="88"/>
    </row>
    <row r="432" spans="1:9" ht="19.8" customHeight="1" x14ac:dyDescent="0.3">
      <c r="A432" s="103">
        <v>45996</v>
      </c>
      <c r="B432" s="94" t="s">
        <v>36</v>
      </c>
      <c r="C432" s="95" t="s">
        <v>1117</v>
      </c>
      <c r="D432" s="94" t="s">
        <v>1098</v>
      </c>
      <c r="E432" s="104">
        <v>1.6875</v>
      </c>
      <c r="F432" s="94" t="s">
        <v>42</v>
      </c>
      <c r="G432" s="96">
        <v>4</v>
      </c>
      <c r="H432" s="97">
        <v>599</v>
      </c>
      <c r="I432" s="88"/>
    </row>
    <row r="433" spans="1:9" ht="19.8" customHeight="1" x14ac:dyDescent="0.3">
      <c r="A433" s="103">
        <v>45996</v>
      </c>
      <c r="B433" s="94" t="s">
        <v>78</v>
      </c>
      <c r="C433" s="95" t="s">
        <v>1137</v>
      </c>
      <c r="D433" s="94" t="s">
        <v>1098</v>
      </c>
      <c r="E433" s="104">
        <v>1.836805555555556</v>
      </c>
      <c r="F433" s="94" t="s">
        <v>80</v>
      </c>
      <c r="G433" s="96">
        <v>9</v>
      </c>
      <c r="H433" s="97">
        <v>661</v>
      </c>
      <c r="I433" s="88"/>
    </row>
    <row r="434" spans="1:9" ht="19.8" customHeight="1" x14ac:dyDescent="0.3">
      <c r="A434" s="103">
        <v>45996</v>
      </c>
      <c r="B434" s="94" t="s">
        <v>78</v>
      </c>
      <c r="C434" s="95" t="s">
        <v>1134</v>
      </c>
      <c r="D434" s="94" t="s">
        <v>1098</v>
      </c>
      <c r="E434" s="104">
        <v>1.6840277777777779</v>
      </c>
      <c r="F434" s="94" t="s">
        <v>80</v>
      </c>
      <c r="G434" s="96">
        <v>2</v>
      </c>
      <c r="H434" s="97">
        <v>661</v>
      </c>
      <c r="I434" s="88"/>
    </row>
    <row r="435" spans="1:9" ht="19.8" customHeight="1" x14ac:dyDescent="0.3">
      <c r="A435" s="103">
        <v>45996</v>
      </c>
      <c r="B435" s="94" t="s">
        <v>78</v>
      </c>
      <c r="C435" s="95" t="s">
        <v>1135</v>
      </c>
      <c r="D435" s="94" t="s">
        <v>1098</v>
      </c>
      <c r="E435" s="104">
        <v>1.2986111111111109</v>
      </c>
      <c r="F435" s="94" t="s">
        <v>80</v>
      </c>
      <c r="G435" s="96">
        <v>9</v>
      </c>
      <c r="H435" s="97">
        <v>661</v>
      </c>
      <c r="I435" s="88"/>
    </row>
    <row r="436" spans="1:9" ht="19.8" customHeight="1" x14ac:dyDescent="0.3">
      <c r="A436" s="103">
        <v>45996</v>
      </c>
      <c r="B436" s="94" t="s">
        <v>78</v>
      </c>
      <c r="C436" s="95" t="s">
        <v>1136</v>
      </c>
      <c r="D436" s="94" t="s">
        <v>1098</v>
      </c>
      <c r="E436" s="104">
        <v>1.4826388888888891</v>
      </c>
      <c r="F436" s="94" t="s">
        <v>80</v>
      </c>
      <c r="G436" s="96">
        <v>9</v>
      </c>
      <c r="H436" s="97">
        <v>661</v>
      </c>
      <c r="I436" s="88"/>
    </row>
    <row r="437" spans="1:9" ht="19.8" customHeight="1" x14ac:dyDescent="0.3">
      <c r="A437" s="103">
        <v>45996</v>
      </c>
      <c r="B437" s="94" t="s">
        <v>78</v>
      </c>
      <c r="C437" s="95" t="s">
        <v>1137</v>
      </c>
      <c r="D437" s="94" t="s">
        <v>1098</v>
      </c>
      <c r="E437" s="104">
        <v>1.836805555555556</v>
      </c>
      <c r="F437" s="94" t="s">
        <v>83</v>
      </c>
      <c r="G437" s="96">
        <v>9</v>
      </c>
      <c r="H437" s="97">
        <v>711</v>
      </c>
      <c r="I437" s="88"/>
    </row>
    <row r="438" spans="1:9" ht="19.8" customHeight="1" x14ac:dyDescent="0.3">
      <c r="A438" s="103">
        <v>45996</v>
      </c>
      <c r="B438" s="94" t="s">
        <v>78</v>
      </c>
      <c r="C438" s="95" t="s">
        <v>1134</v>
      </c>
      <c r="D438" s="94" t="s">
        <v>1098</v>
      </c>
      <c r="E438" s="104">
        <v>1.6840277777777779</v>
      </c>
      <c r="F438" s="94" t="s">
        <v>83</v>
      </c>
      <c r="G438" s="96">
        <v>2</v>
      </c>
      <c r="H438" s="97">
        <v>711</v>
      </c>
      <c r="I438" s="88"/>
    </row>
    <row r="439" spans="1:9" ht="19.8" customHeight="1" x14ac:dyDescent="0.3">
      <c r="A439" s="103">
        <v>45996</v>
      </c>
      <c r="B439" s="94" t="s">
        <v>78</v>
      </c>
      <c r="C439" s="95" t="s">
        <v>1135</v>
      </c>
      <c r="D439" s="94" t="s">
        <v>1098</v>
      </c>
      <c r="E439" s="104">
        <v>1.2986111111111109</v>
      </c>
      <c r="F439" s="94" t="s">
        <v>83</v>
      </c>
      <c r="G439" s="96">
        <v>9</v>
      </c>
      <c r="H439" s="97">
        <v>711</v>
      </c>
      <c r="I439" s="88"/>
    </row>
    <row r="440" spans="1:9" ht="19.8" customHeight="1" x14ac:dyDescent="0.3">
      <c r="A440" s="103">
        <v>45996</v>
      </c>
      <c r="B440" s="94" t="s">
        <v>78</v>
      </c>
      <c r="C440" s="95" t="s">
        <v>1136</v>
      </c>
      <c r="D440" s="94" t="s">
        <v>1098</v>
      </c>
      <c r="E440" s="104">
        <v>1.4826388888888891</v>
      </c>
      <c r="F440" s="94" t="s">
        <v>83</v>
      </c>
      <c r="G440" s="96">
        <v>9</v>
      </c>
      <c r="H440" s="97">
        <v>711</v>
      </c>
      <c r="I440" s="88"/>
    </row>
    <row r="441" spans="1:9" ht="19.8" customHeight="1" x14ac:dyDescent="0.3">
      <c r="A441" s="103">
        <v>45996</v>
      </c>
      <c r="B441" s="94" t="s">
        <v>26</v>
      </c>
      <c r="C441" s="95" t="s">
        <v>1099</v>
      </c>
      <c r="D441" s="94" t="s">
        <v>1098</v>
      </c>
      <c r="E441" s="104">
        <v>1.760416666666667</v>
      </c>
      <c r="F441" s="94" t="s">
        <v>34</v>
      </c>
      <c r="G441" s="96">
        <v>11</v>
      </c>
      <c r="H441" s="97">
        <v>899</v>
      </c>
      <c r="I441" s="88"/>
    </row>
    <row r="442" spans="1:9" ht="19.8" customHeight="1" x14ac:dyDescent="0.3">
      <c r="A442" s="103">
        <v>45996</v>
      </c>
      <c r="B442" s="94" t="s">
        <v>26</v>
      </c>
      <c r="C442" s="95" t="s">
        <v>1104</v>
      </c>
      <c r="D442" s="94" t="s">
        <v>1098</v>
      </c>
      <c r="E442" s="104">
        <v>1.5</v>
      </c>
      <c r="F442" s="94" t="s">
        <v>34</v>
      </c>
      <c r="G442" s="96">
        <v>8</v>
      </c>
      <c r="H442" s="97">
        <v>899</v>
      </c>
      <c r="I442" s="88"/>
    </row>
    <row r="443" spans="1:9" ht="19.8" customHeight="1" x14ac:dyDescent="0.3">
      <c r="A443" s="103">
        <v>45996</v>
      </c>
      <c r="B443" s="94" t="s">
        <v>26</v>
      </c>
      <c r="C443" s="95" t="s">
        <v>1107</v>
      </c>
      <c r="D443" s="94" t="s">
        <v>1098</v>
      </c>
      <c r="E443" s="104">
        <v>1.447916666666667</v>
      </c>
      <c r="F443" s="94" t="s">
        <v>34</v>
      </c>
      <c r="G443" s="96">
        <v>7</v>
      </c>
      <c r="H443" s="97">
        <v>899</v>
      </c>
      <c r="I443" s="88"/>
    </row>
    <row r="444" spans="1:9" ht="19.8" customHeight="1" x14ac:dyDescent="0.3">
      <c r="A444" s="103">
        <v>45996</v>
      </c>
      <c r="B444" s="94" t="s">
        <v>26</v>
      </c>
      <c r="C444" s="95" t="s">
        <v>1110</v>
      </c>
      <c r="D444" s="94" t="s">
        <v>1098</v>
      </c>
      <c r="E444" s="104">
        <v>1.8159722222222221</v>
      </c>
      <c r="F444" s="94" t="s">
        <v>34</v>
      </c>
      <c r="G444" s="96">
        <v>11</v>
      </c>
      <c r="H444" s="97">
        <v>899</v>
      </c>
      <c r="I444" s="88"/>
    </row>
    <row r="445" spans="1:9" ht="19.8" customHeight="1" x14ac:dyDescent="0.3">
      <c r="A445" s="103">
        <v>45996</v>
      </c>
      <c r="B445" s="94" t="s">
        <v>78</v>
      </c>
      <c r="C445" s="95" t="s">
        <v>1140</v>
      </c>
      <c r="D445" s="94" t="s">
        <v>1098</v>
      </c>
      <c r="E445" s="104">
        <v>1.5</v>
      </c>
      <c r="F445" s="94" t="s">
        <v>83</v>
      </c>
      <c r="G445" s="96">
        <v>4</v>
      </c>
      <c r="H445" s="107" t="s">
        <v>1205</v>
      </c>
      <c r="I445" s="88"/>
    </row>
    <row r="446" spans="1:9" ht="19.8" customHeight="1" x14ac:dyDescent="0.3">
      <c r="A446" s="103">
        <v>45996</v>
      </c>
      <c r="B446" s="94" t="s">
        <v>78</v>
      </c>
      <c r="C446" s="95" t="s">
        <v>1142</v>
      </c>
      <c r="D446" s="94" t="s">
        <v>1098</v>
      </c>
      <c r="E446" s="104">
        <v>1.760416666666667</v>
      </c>
      <c r="F446" s="94" t="s">
        <v>83</v>
      </c>
      <c r="G446" s="96">
        <v>4</v>
      </c>
      <c r="H446" s="107" t="s">
        <v>1205</v>
      </c>
      <c r="I446" s="88"/>
    </row>
    <row r="447" spans="1:9" ht="19.8" customHeight="1" x14ac:dyDescent="0.3">
      <c r="A447" s="103">
        <v>45996</v>
      </c>
      <c r="B447" s="94" t="s">
        <v>78</v>
      </c>
      <c r="C447" s="95" t="s">
        <v>1143</v>
      </c>
      <c r="D447" s="94" t="s">
        <v>1098</v>
      </c>
      <c r="E447" s="104">
        <v>1.8159722222222221</v>
      </c>
      <c r="F447" s="94" t="s">
        <v>83</v>
      </c>
      <c r="G447" s="96">
        <v>4</v>
      </c>
      <c r="H447" s="107" t="s">
        <v>1205</v>
      </c>
      <c r="I447" s="88"/>
    </row>
    <row r="448" spans="1:9" ht="19.8" customHeight="1" x14ac:dyDescent="0.3">
      <c r="A448" s="113">
        <v>45996</v>
      </c>
      <c r="B448" s="114" t="s">
        <v>66</v>
      </c>
      <c r="C448" s="115" t="s">
        <v>1126</v>
      </c>
      <c r="D448" s="114" t="s">
        <v>1098</v>
      </c>
      <c r="E448" s="116">
        <v>1.166666666666667</v>
      </c>
      <c r="F448" s="114" t="s">
        <v>68</v>
      </c>
      <c r="G448" s="117">
        <v>9</v>
      </c>
      <c r="H448" s="118" t="s">
        <v>1207</v>
      </c>
      <c r="I448" s="88"/>
    </row>
    <row r="449" spans="1:9" ht="19.8" customHeight="1" x14ac:dyDescent="0.3">
      <c r="A449" s="103">
        <v>45997</v>
      </c>
      <c r="B449" s="94" t="s">
        <v>26</v>
      </c>
      <c r="C449" s="95" t="s">
        <v>1099</v>
      </c>
      <c r="D449" s="94" t="s">
        <v>1098</v>
      </c>
      <c r="E449" s="104">
        <v>1.760416666666667</v>
      </c>
      <c r="F449" s="94" t="s">
        <v>28</v>
      </c>
      <c r="G449" s="96">
        <v>11</v>
      </c>
      <c r="H449" s="97">
        <v>279</v>
      </c>
      <c r="I449" s="88"/>
    </row>
    <row r="450" spans="1:9" ht="19.8" customHeight="1" x14ac:dyDescent="0.3">
      <c r="A450" s="103">
        <v>45997</v>
      </c>
      <c r="B450" s="94" t="s">
        <v>26</v>
      </c>
      <c r="C450" s="95" t="s">
        <v>1104</v>
      </c>
      <c r="D450" s="94" t="s">
        <v>1098</v>
      </c>
      <c r="E450" s="104">
        <v>1.5</v>
      </c>
      <c r="F450" s="94" t="s">
        <v>28</v>
      </c>
      <c r="G450" s="96">
        <v>5</v>
      </c>
      <c r="H450" s="97">
        <v>279</v>
      </c>
      <c r="I450" s="88"/>
    </row>
    <row r="451" spans="1:9" ht="19.8" customHeight="1" x14ac:dyDescent="0.3">
      <c r="A451" s="103">
        <v>45997</v>
      </c>
      <c r="B451" s="94" t="s">
        <v>26</v>
      </c>
      <c r="C451" s="95" t="s">
        <v>1107</v>
      </c>
      <c r="D451" s="94" t="s">
        <v>1098</v>
      </c>
      <c r="E451" s="104">
        <v>1.447916666666667</v>
      </c>
      <c r="F451" s="94" t="s">
        <v>28</v>
      </c>
      <c r="G451" s="96">
        <v>8</v>
      </c>
      <c r="H451" s="97">
        <v>279</v>
      </c>
      <c r="I451" s="88"/>
    </row>
    <row r="452" spans="1:9" ht="19.8" customHeight="1" x14ac:dyDescent="0.3">
      <c r="A452" s="103">
        <v>45997</v>
      </c>
      <c r="B452" s="94" t="s">
        <v>26</v>
      </c>
      <c r="C452" s="95" t="s">
        <v>1110</v>
      </c>
      <c r="D452" s="94" t="s">
        <v>1098</v>
      </c>
      <c r="E452" s="104">
        <v>1.8159722222222221</v>
      </c>
      <c r="F452" s="94" t="s">
        <v>28</v>
      </c>
      <c r="G452" s="96">
        <v>3</v>
      </c>
      <c r="H452" s="97">
        <v>279</v>
      </c>
      <c r="I452" s="88"/>
    </row>
    <row r="453" spans="1:9" ht="19.8" customHeight="1" x14ac:dyDescent="0.3">
      <c r="A453" s="103">
        <v>45997</v>
      </c>
      <c r="B453" s="94" t="s">
        <v>36</v>
      </c>
      <c r="C453" s="95" t="s">
        <v>1113</v>
      </c>
      <c r="D453" s="94" t="s">
        <v>1098</v>
      </c>
      <c r="E453" s="104">
        <v>1.8263888888888891</v>
      </c>
      <c r="F453" s="94" t="s">
        <v>38</v>
      </c>
      <c r="G453" s="96">
        <v>2</v>
      </c>
      <c r="H453" s="97">
        <v>289</v>
      </c>
      <c r="I453" s="88"/>
    </row>
    <row r="454" spans="1:9" ht="19.8" customHeight="1" x14ac:dyDescent="0.3">
      <c r="A454" s="103">
        <v>45997</v>
      </c>
      <c r="B454" s="94" t="s">
        <v>36</v>
      </c>
      <c r="C454" s="95" t="s">
        <v>1114</v>
      </c>
      <c r="D454" s="94" t="s">
        <v>1098</v>
      </c>
      <c r="E454" s="104">
        <v>1.375</v>
      </c>
      <c r="F454" s="94" t="s">
        <v>38</v>
      </c>
      <c r="G454" s="96">
        <v>1</v>
      </c>
      <c r="H454" s="97">
        <v>289</v>
      </c>
      <c r="I454" s="88"/>
    </row>
    <row r="455" spans="1:9" ht="19.8" customHeight="1" x14ac:dyDescent="0.3">
      <c r="A455" s="103">
        <v>45997</v>
      </c>
      <c r="B455" s="94" t="s">
        <v>36</v>
      </c>
      <c r="C455" s="95" t="s">
        <v>1115</v>
      </c>
      <c r="D455" s="94" t="s">
        <v>1098</v>
      </c>
      <c r="E455" s="104">
        <v>1.5659722222222221</v>
      </c>
      <c r="F455" s="94" t="s">
        <v>38</v>
      </c>
      <c r="G455" s="96">
        <v>2</v>
      </c>
      <c r="H455" s="97">
        <v>289</v>
      </c>
      <c r="I455" s="88"/>
    </row>
    <row r="456" spans="1:9" ht="19.8" customHeight="1" x14ac:dyDescent="0.3">
      <c r="A456" s="103">
        <v>45997</v>
      </c>
      <c r="B456" s="94" t="s">
        <v>36</v>
      </c>
      <c r="C456" s="95" t="s">
        <v>1118</v>
      </c>
      <c r="D456" s="94" t="s">
        <v>1098</v>
      </c>
      <c r="E456" s="104">
        <v>1.427083333333333</v>
      </c>
      <c r="F456" s="94" t="s">
        <v>38</v>
      </c>
      <c r="G456" s="96">
        <v>9</v>
      </c>
      <c r="H456" s="97">
        <v>289</v>
      </c>
      <c r="I456" s="88"/>
    </row>
    <row r="457" spans="1:9" ht="19.8" customHeight="1" x14ac:dyDescent="0.3">
      <c r="A457" s="103">
        <v>45997</v>
      </c>
      <c r="B457" s="94" t="s">
        <v>36</v>
      </c>
      <c r="C457" s="95" t="s">
        <v>1119</v>
      </c>
      <c r="D457" s="94" t="s">
        <v>1098</v>
      </c>
      <c r="E457" s="104">
        <v>1.5</v>
      </c>
      <c r="F457" s="94" t="s">
        <v>38</v>
      </c>
      <c r="G457" s="96">
        <v>9</v>
      </c>
      <c r="H457" s="97">
        <v>329</v>
      </c>
      <c r="I457" s="88"/>
    </row>
    <row r="458" spans="1:9" ht="19.8" customHeight="1" x14ac:dyDescent="0.3">
      <c r="A458" s="103">
        <v>45997</v>
      </c>
      <c r="B458" s="94" t="s">
        <v>36</v>
      </c>
      <c r="C458" s="95" t="s">
        <v>1116</v>
      </c>
      <c r="D458" s="94" t="s">
        <v>1098</v>
      </c>
      <c r="E458" s="104">
        <v>1.305555555555556</v>
      </c>
      <c r="F458" s="94" t="s">
        <v>38</v>
      </c>
      <c r="G458" s="96">
        <v>9</v>
      </c>
      <c r="H458" s="97">
        <v>329</v>
      </c>
      <c r="I458" s="88"/>
    </row>
    <row r="459" spans="1:9" ht="19.8" customHeight="1" x14ac:dyDescent="0.3">
      <c r="A459" s="103">
        <v>45997</v>
      </c>
      <c r="B459" s="94" t="s">
        <v>36</v>
      </c>
      <c r="C459" s="95" t="s">
        <v>1117</v>
      </c>
      <c r="D459" s="94" t="s">
        <v>1098</v>
      </c>
      <c r="E459" s="104">
        <v>1.6875</v>
      </c>
      <c r="F459" s="94" t="s">
        <v>38</v>
      </c>
      <c r="G459" s="96">
        <v>9</v>
      </c>
      <c r="H459" s="97">
        <v>329</v>
      </c>
      <c r="I459" s="88"/>
    </row>
    <row r="460" spans="1:9" ht="19.8" customHeight="1" x14ac:dyDescent="0.3">
      <c r="A460" s="103">
        <v>45997</v>
      </c>
      <c r="B460" s="94" t="s">
        <v>66</v>
      </c>
      <c r="C460" s="95" t="s">
        <v>1126</v>
      </c>
      <c r="D460" s="94" t="s">
        <v>1098</v>
      </c>
      <c r="E460" s="104">
        <v>1.166666666666667</v>
      </c>
      <c r="F460" s="94" t="s">
        <v>829</v>
      </c>
      <c r="G460" s="96">
        <v>9</v>
      </c>
      <c r="H460" s="97">
        <v>350</v>
      </c>
      <c r="I460" s="88"/>
    </row>
    <row r="461" spans="1:9" ht="19.8" customHeight="1" x14ac:dyDescent="0.3">
      <c r="A461" s="103">
        <v>45997</v>
      </c>
      <c r="B461" s="94" t="s">
        <v>66</v>
      </c>
      <c r="C461" s="95" t="s">
        <v>1130</v>
      </c>
      <c r="D461" s="94" t="s">
        <v>1098</v>
      </c>
      <c r="E461" s="104">
        <v>1.916666666666667</v>
      </c>
      <c r="F461" s="94" t="s">
        <v>829</v>
      </c>
      <c r="G461" s="96">
        <v>9</v>
      </c>
      <c r="H461" s="97">
        <v>354</v>
      </c>
      <c r="I461" s="88"/>
    </row>
    <row r="462" spans="1:9" ht="19.8" customHeight="1" x14ac:dyDescent="0.3">
      <c r="A462" s="103">
        <v>45997</v>
      </c>
      <c r="B462" s="94" t="s">
        <v>66</v>
      </c>
      <c r="C462" s="95" t="s">
        <v>1128</v>
      </c>
      <c r="D462" s="94" t="s">
        <v>1098</v>
      </c>
      <c r="E462" s="104">
        <v>1.541666666666667</v>
      </c>
      <c r="F462" s="94" t="s">
        <v>829</v>
      </c>
      <c r="G462" s="96">
        <v>9</v>
      </c>
      <c r="H462" s="97">
        <v>354</v>
      </c>
      <c r="I462" s="88"/>
    </row>
    <row r="463" spans="1:9" ht="19.8" customHeight="1" x14ac:dyDescent="0.3">
      <c r="A463" s="103">
        <v>45997</v>
      </c>
      <c r="B463" s="94" t="s">
        <v>456</v>
      </c>
      <c r="C463" s="95" t="s">
        <v>1124</v>
      </c>
      <c r="D463" s="94" t="s">
        <v>1098</v>
      </c>
      <c r="E463" s="104">
        <v>1.6215277777777779</v>
      </c>
      <c r="F463" s="94" t="s">
        <v>458</v>
      </c>
      <c r="G463" s="96">
        <v>9</v>
      </c>
      <c r="H463" s="97">
        <v>366</v>
      </c>
      <c r="I463" s="88"/>
    </row>
    <row r="464" spans="1:9" ht="19.8" customHeight="1" x14ac:dyDescent="0.3">
      <c r="A464" s="103">
        <v>45997</v>
      </c>
      <c r="B464" s="94" t="s">
        <v>36</v>
      </c>
      <c r="C464" s="95" t="s">
        <v>1113</v>
      </c>
      <c r="D464" s="94" t="s">
        <v>1098</v>
      </c>
      <c r="E464" s="104">
        <v>1.8263888888888891</v>
      </c>
      <c r="F464" s="94" t="s">
        <v>40</v>
      </c>
      <c r="G464" s="96">
        <v>2</v>
      </c>
      <c r="H464" s="97">
        <v>389</v>
      </c>
      <c r="I464" s="88"/>
    </row>
    <row r="465" spans="1:9" ht="19.8" customHeight="1" x14ac:dyDescent="0.3">
      <c r="A465" s="103">
        <v>45997</v>
      </c>
      <c r="B465" s="94" t="s">
        <v>36</v>
      </c>
      <c r="C465" s="95" t="s">
        <v>1114</v>
      </c>
      <c r="D465" s="94" t="s">
        <v>1098</v>
      </c>
      <c r="E465" s="104">
        <v>1.375</v>
      </c>
      <c r="F465" s="94" t="s">
        <v>40</v>
      </c>
      <c r="G465" s="96">
        <v>1</v>
      </c>
      <c r="H465" s="97">
        <v>389</v>
      </c>
      <c r="I465" s="88"/>
    </row>
    <row r="466" spans="1:9" ht="19.8" customHeight="1" x14ac:dyDescent="0.3">
      <c r="A466" s="103">
        <v>45997</v>
      </c>
      <c r="B466" s="94" t="s">
        <v>36</v>
      </c>
      <c r="C466" s="95" t="s">
        <v>1115</v>
      </c>
      <c r="D466" s="94" t="s">
        <v>1098</v>
      </c>
      <c r="E466" s="104">
        <v>1.5659722222222221</v>
      </c>
      <c r="F466" s="94" t="s">
        <v>40</v>
      </c>
      <c r="G466" s="96">
        <v>2</v>
      </c>
      <c r="H466" s="97">
        <v>389</v>
      </c>
      <c r="I466" s="88"/>
    </row>
    <row r="467" spans="1:9" ht="19.8" customHeight="1" x14ac:dyDescent="0.3">
      <c r="A467" s="103">
        <v>45997</v>
      </c>
      <c r="B467" s="94" t="s">
        <v>36</v>
      </c>
      <c r="C467" s="95" t="s">
        <v>1118</v>
      </c>
      <c r="D467" s="94" t="s">
        <v>1098</v>
      </c>
      <c r="E467" s="104">
        <v>1.427083333333333</v>
      </c>
      <c r="F467" s="94" t="s">
        <v>40</v>
      </c>
      <c r="G467" s="96">
        <v>9</v>
      </c>
      <c r="H467" s="97">
        <v>389</v>
      </c>
      <c r="I467" s="88"/>
    </row>
    <row r="468" spans="1:9" ht="19.8" customHeight="1" x14ac:dyDescent="0.3">
      <c r="A468" s="105">
        <v>45997</v>
      </c>
      <c r="B468" s="99" t="s">
        <v>44</v>
      </c>
      <c r="C468" s="100" t="s">
        <v>1154</v>
      </c>
      <c r="D468" s="99" t="s">
        <v>1098</v>
      </c>
      <c r="E468" s="106">
        <v>1.6111111111111109</v>
      </c>
      <c r="F468" s="99" t="s">
        <v>46</v>
      </c>
      <c r="G468" s="101">
        <v>9</v>
      </c>
      <c r="H468" s="102">
        <v>405</v>
      </c>
      <c r="I468" s="88"/>
    </row>
    <row r="469" spans="1:9" ht="19.8" customHeight="1" x14ac:dyDescent="0.3">
      <c r="A469" s="103">
        <v>45997</v>
      </c>
      <c r="B469" s="94" t="s">
        <v>410</v>
      </c>
      <c r="C469" s="95" t="s">
        <v>1167</v>
      </c>
      <c r="D469" s="94" t="s">
        <v>1098</v>
      </c>
      <c r="E469" s="104">
        <v>1.354166666666667</v>
      </c>
      <c r="F469" s="94" t="s">
        <v>46</v>
      </c>
      <c r="G469" s="96">
        <v>9</v>
      </c>
      <c r="H469" s="97">
        <v>416</v>
      </c>
      <c r="I469" s="88"/>
    </row>
    <row r="470" spans="1:9" ht="19.8" customHeight="1" x14ac:dyDescent="0.3">
      <c r="A470" s="103">
        <v>45997</v>
      </c>
      <c r="B470" s="94" t="s">
        <v>26</v>
      </c>
      <c r="C470" s="95" t="s">
        <v>1099</v>
      </c>
      <c r="D470" s="94" t="s">
        <v>1098</v>
      </c>
      <c r="E470" s="104">
        <v>1.760416666666667</v>
      </c>
      <c r="F470" s="94" t="s">
        <v>31</v>
      </c>
      <c r="G470" s="96">
        <v>11</v>
      </c>
      <c r="H470" s="97">
        <v>429</v>
      </c>
      <c r="I470" s="88"/>
    </row>
    <row r="471" spans="1:9" ht="19.8" customHeight="1" x14ac:dyDescent="0.3">
      <c r="A471" s="103">
        <v>45997</v>
      </c>
      <c r="B471" s="94" t="s">
        <v>26</v>
      </c>
      <c r="C471" s="95" t="s">
        <v>1104</v>
      </c>
      <c r="D471" s="94" t="s">
        <v>1098</v>
      </c>
      <c r="E471" s="104">
        <v>1.5</v>
      </c>
      <c r="F471" s="94" t="s">
        <v>31</v>
      </c>
      <c r="G471" s="96">
        <v>5</v>
      </c>
      <c r="H471" s="97">
        <v>429</v>
      </c>
      <c r="I471" s="88"/>
    </row>
    <row r="472" spans="1:9" ht="19.8" customHeight="1" x14ac:dyDescent="0.3">
      <c r="A472" s="103">
        <v>45997</v>
      </c>
      <c r="B472" s="94" t="s">
        <v>26</v>
      </c>
      <c r="C472" s="95" t="s">
        <v>1107</v>
      </c>
      <c r="D472" s="94" t="s">
        <v>1098</v>
      </c>
      <c r="E472" s="104">
        <v>1.447916666666667</v>
      </c>
      <c r="F472" s="94" t="s">
        <v>31</v>
      </c>
      <c r="G472" s="96">
        <v>8</v>
      </c>
      <c r="H472" s="97">
        <v>429</v>
      </c>
      <c r="I472" s="88"/>
    </row>
    <row r="473" spans="1:9" ht="19.8" customHeight="1" x14ac:dyDescent="0.3">
      <c r="A473" s="103">
        <v>45997</v>
      </c>
      <c r="B473" s="94" t="s">
        <v>26</v>
      </c>
      <c r="C473" s="95" t="s">
        <v>1110</v>
      </c>
      <c r="D473" s="94" t="s">
        <v>1098</v>
      </c>
      <c r="E473" s="104">
        <v>1.8159722222222221</v>
      </c>
      <c r="F473" s="94" t="s">
        <v>31</v>
      </c>
      <c r="G473" s="96">
        <v>3</v>
      </c>
      <c r="H473" s="97">
        <v>429</v>
      </c>
      <c r="I473" s="88"/>
    </row>
    <row r="474" spans="1:9" ht="19.8" customHeight="1" x14ac:dyDescent="0.3">
      <c r="A474" s="103">
        <v>45997</v>
      </c>
      <c r="B474" s="94" t="s">
        <v>36</v>
      </c>
      <c r="C474" s="95" t="s">
        <v>1119</v>
      </c>
      <c r="D474" s="94" t="s">
        <v>1098</v>
      </c>
      <c r="E474" s="104">
        <v>1.5</v>
      </c>
      <c r="F474" s="94" t="s">
        <v>40</v>
      </c>
      <c r="G474" s="96">
        <v>9</v>
      </c>
      <c r="H474" s="97">
        <v>429</v>
      </c>
      <c r="I474" s="88"/>
    </row>
    <row r="475" spans="1:9" ht="19.8" customHeight="1" x14ac:dyDescent="0.3">
      <c r="A475" s="103">
        <v>45997</v>
      </c>
      <c r="B475" s="94" t="s">
        <v>36</v>
      </c>
      <c r="C475" s="95" t="s">
        <v>1116</v>
      </c>
      <c r="D475" s="94" t="s">
        <v>1098</v>
      </c>
      <c r="E475" s="104">
        <v>1.305555555555556</v>
      </c>
      <c r="F475" s="94" t="s">
        <v>40</v>
      </c>
      <c r="G475" s="96">
        <v>9</v>
      </c>
      <c r="H475" s="97">
        <v>429</v>
      </c>
      <c r="I475" s="88"/>
    </row>
    <row r="476" spans="1:9" ht="19.8" customHeight="1" x14ac:dyDescent="0.3">
      <c r="A476" s="103">
        <v>45997</v>
      </c>
      <c r="B476" s="94" t="s">
        <v>36</v>
      </c>
      <c r="C476" s="95" t="s">
        <v>1117</v>
      </c>
      <c r="D476" s="94" t="s">
        <v>1098</v>
      </c>
      <c r="E476" s="104">
        <v>1.6875</v>
      </c>
      <c r="F476" s="94" t="s">
        <v>40</v>
      </c>
      <c r="G476" s="96">
        <v>9</v>
      </c>
      <c r="H476" s="97">
        <v>429</v>
      </c>
      <c r="I476" s="88"/>
    </row>
    <row r="477" spans="1:9" ht="19.8" customHeight="1" x14ac:dyDescent="0.3">
      <c r="A477" s="103">
        <v>45997</v>
      </c>
      <c r="B477" s="94" t="s">
        <v>404</v>
      </c>
      <c r="C477" s="95" t="s">
        <v>1120</v>
      </c>
      <c r="D477" s="94" t="s">
        <v>1098</v>
      </c>
      <c r="E477" s="104">
        <v>1.274305555555556</v>
      </c>
      <c r="F477" s="94" t="s">
        <v>46</v>
      </c>
      <c r="G477" s="96">
        <v>9</v>
      </c>
      <c r="H477" s="97">
        <v>434</v>
      </c>
      <c r="I477" s="88"/>
    </row>
    <row r="478" spans="1:9" ht="19.8" customHeight="1" x14ac:dyDescent="0.3">
      <c r="A478" s="103">
        <v>45997</v>
      </c>
      <c r="B478" s="94" t="s">
        <v>36</v>
      </c>
      <c r="C478" s="95" t="s">
        <v>1113</v>
      </c>
      <c r="D478" s="94" t="s">
        <v>1098</v>
      </c>
      <c r="E478" s="104">
        <v>1.8263888888888891</v>
      </c>
      <c r="F478" s="94" t="s">
        <v>42</v>
      </c>
      <c r="G478" s="96">
        <v>2</v>
      </c>
      <c r="H478" s="97">
        <v>479</v>
      </c>
      <c r="I478" s="88"/>
    </row>
    <row r="479" spans="1:9" ht="19.8" customHeight="1" x14ac:dyDescent="0.3">
      <c r="A479" s="103">
        <v>45997</v>
      </c>
      <c r="B479" s="94" t="s">
        <v>36</v>
      </c>
      <c r="C479" s="95" t="s">
        <v>1114</v>
      </c>
      <c r="D479" s="94" t="s">
        <v>1098</v>
      </c>
      <c r="E479" s="104">
        <v>1.375</v>
      </c>
      <c r="F479" s="94" t="s">
        <v>42</v>
      </c>
      <c r="G479" s="96">
        <v>1</v>
      </c>
      <c r="H479" s="97">
        <v>479</v>
      </c>
      <c r="I479" s="88"/>
    </row>
    <row r="480" spans="1:9" ht="19.8" customHeight="1" x14ac:dyDescent="0.3">
      <c r="A480" s="103">
        <v>45997</v>
      </c>
      <c r="B480" s="94" t="s">
        <v>36</v>
      </c>
      <c r="C480" s="95" t="s">
        <v>1115</v>
      </c>
      <c r="D480" s="94" t="s">
        <v>1098</v>
      </c>
      <c r="E480" s="104">
        <v>1.5659722222222221</v>
      </c>
      <c r="F480" s="94" t="s">
        <v>42</v>
      </c>
      <c r="G480" s="96">
        <v>2</v>
      </c>
      <c r="H480" s="97">
        <v>479</v>
      </c>
      <c r="I480" s="88"/>
    </row>
    <row r="481" spans="1:9" ht="19.8" customHeight="1" x14ac:dyDescent="0.3">
      <c r="A481" s="103">
        <v>45997</v>
      </c>
      <c r="B481" s="94" t="s">
        <v>36</v>
      </c>
      <c r="C481" s="95" t="s">
        <v>1118</v>
      </c>
      <c r="D481" s="94" t="s">
        <v>1098</v>
      </c>
      <c r="E481" s="104">
        <v>1.427083333333333</v>
      </c>
      <c r="F481" s="94" t="s">
        <v>42</v>
      </c>
      <c r="G481" s="96">
        <v>9</v>
      </c>
      <c r="H481" s="97">
        <v>479</v>
      </c>
      <c r="I481" s="88"/>
    </row>
    <row r="482" spans="1:9" ht="19.8" customHeight="1" x14ac:dyDescent="0.3">
      <c r="A482" s="103">
        <v>45997</v>
      </c>
      <c r="B482" s="94" t="s">
        <v>456</v>
      </c>
      <c r="C482" s="95" t="s">
        <v>1124</v>
      </c>
      <c r="D482" s="94" t="s">
        <v>1098</v>
      </c>
      <c r="E482" s="104">
        <v>1.6215277777777779</v>
      </c>
      <c r="F482" s="94" t="s">
        <v>34</v>
      </c>
      <c r="G482" s="96">
        <v>9</v>
      </c>
      <c r="H482" s="97">
        <v>490</v>
      </c>
      <c r="I482" s="88"/>
    </row>
    <row r="483" spans="1:9" ht="19.8" customHeight="1" x14ac:dyDescent="0.3">
      <c r="A483" s="103">
        <v>45997</v>
      </c>
      <c r="B483" s="94" t="s">
        <v>78</v>
      </c>
      <c r="C483" s="95" t="s">
        <v>1137</v>
      </c>
      <c r="D483" s="94" t="s">
        <v>1098</v>
      </c>
      <c r="E483" s="104">
        <v>1.836805555555556</v>
      </c>
      <c r="F483" s="94" t="s">
        <v>80</v>
      </c>
      <c r="G483" s="96">
        <v>9</v>
      </c>
      <c r="H483" s="97">
        <v>495</v>
      </c>
      <c r="I483" s="88"/>
    </row>
    <row r="484" spans="1:9" ht="19.8" customHeight="1" x14ac:dyDescent="0.3">
      <c r="A484" s="103">
        <v>45997</v>
      </c>
      <c r="B484" s="94" t="s">
        <v>78</v>
      </c>
      <c r="C484" s="95" t="s">
        <v>1135</v>
      </c>
      <c r="D484" s="94" t="s">
        <v>1098</v>
      </c>
      <c r="E484" s="104">
        <v>1.2986111111111109</v>
      </c>
      <c r="F484" s="94" t="s">
        <v>80</v>
      </c>
      <c r="G484" s="96">
        <v>9</v>
      </c>
      <c r="H484" s="97">
        <v>495</v>
      </c>
      <c r="I484" s="88"/>
    </row>
    <row r="485" spans="1:9" ht="19.8" customHeight="1" x14ac:dyDescent="0.3">
      <c r="A485" s="103">
        <v>45997</v>
      </c>
      <c r="B485" s="94" t="s">
        <v>36</v>
      </c>
      <c r="C485" s="95" t="s">
        <v>1119</v>
      </c>
      <c r="D485" s="94" t="s">
        <v>1098</v>
      </c>
      <c r="E485" s="104">
        <v>1.5</v>
      </c>
      <c r="F485" s="94" t="s">
        <v>42</v>
      </c>
      <c r="G485" s="96">
        <v>9</v>
      </c>
      <c r="H485" s="97">
        <v>519</v>
      </c>
      <c r="I485" s="88"/>
    </row>
    <row r="486" spans="1:9" ht="19.8" customHeight="1" x14ac:dyDescent="0.3">
      <c r="A486" s="103">
        <v>45997</v>
      </c>
      <c r="B486" s="94" t="s">
        <v>36</v>
      </c>
      <c r="C486" s="95" t="s">
        <v>1116</v>
      </c>
      <c r="D486" s="94" t="s">
        <v>1098</v>
      </c>
      <c r="E486" s="104">
        <v>1.305555555555556</v>
      </c>
      <c r="F486" s="94" t="s">
        <v>42</v>
      </c>
      <c r="G486" s="96">
        <v>9</v>
      </c>
      <c r="H486" s="97">
        <v>519</v>
      </c>
      <c r="I486" s="88"/>
    </row>
    <row r="487" spans="1:9" ht="19.8" customHeight="1" x14ac:dyDescent="0.3">
      <c r="A487" s="103">
        <v>45997</v>
      </c>
      <c r="B487" s="94" t="s">
        <v>36</v>
      </c>
      <c r="C487" s="95" t="s">
        <v>1117</v>
      </c>
      <c r="D487" s="94" t="s">
        <v>1098</v>
      </c>
      <c r="E487" s="104">
        <v>1.6875</v>
      </c>
      <c r="F487" s="94" t="s">
        <v>42</v>
      </c>
      <c r="G487" s="96">
        <v>9</v>
      </c>
      <c r="H487" s="97">
        <v>519</v>
      </c>
      <c r="I487" s="88"/>
    </row>
    <row r="488" spans="1:9" ht="19.8" customHeight="1" x14ac:dyDescent="0.3">
      <c r="A488" s="103">
        <v>45997</v>
      </c>
      <c r="B488" s="94" t="s">
        <v>78</v>
      </c>
      <c r="C488" s="95" t="s">
        <v>1137</v>
      </c>
      <c r="D488" s="94" t="s">
        <v>1098</v>
      </c>
      <c r="E488" s="104">
        <v>1.836805555555556</v>
      </c>
      <c r="F488" s="94" t="s">
        <v>83</v>
      </c>
      <c r="G488" s="96">
        <v>9</v>
      </c>
      <c r="H488" s="97">
        <v>545</v>
      </c>
      <c r="I488" s="88"/>
    </row>
    <row r="489" spans="1:9" ht="19.8" customHeight="1" x14ac:dyDescent="0.3">
      <c r="A489" s="103">
        <v>45997</v>
      </c>
      <c r="B489" s="94" t="s">
        <v>78</v>
      </c>
      <c r="C489" s="95" t="s">
        <v>1135</v>
      </c>
      <c r="D489" s="94" t="s">
        <v>1098</v>
      </c>
      <c r="E489" s="104">
        <v>1.2986111111111109</v>
      </c>
      <c r="F489" s="94" t="s">
        <v>83</v>
      </c>
      <c r="G489" s="96">
        <v>9</v>
      </c>
      <c r="H489" s="97">
        <v>545</v>
      </c>
      <c r="I489" s="88"/>
    </row>
    <row r="490" spans="1:9" ht="19.8" customHeight="1" x14ac:dyDescent="0.3">
      <c r="A490" s="103">
        <v>45997</v>
      </c>
      <c r="B490" s="94" t="s">
        <v>78</v>
      </c>
      <c r="C490" s="95" t="s">
        <v>1134</v>
      </c>
      <c r="D490" s="94" t="s">
        <v>1098</v>
      </c>
      <c r="E490" s="104">
        <v>1.6840277777777779</v>
      </c>
      <c r="F490" s="94" t="s">
        <v>80</v>
      </c>
      <c r="G490" s="96">
        <v>9</v>
      </c>
      <c r="H490" s="97">
        <v>661</v>
      </c>
      <c r="I490" s="88"/>
    </row>
    <row r="491" spans="1:9" ht="19.8" customHeight="1" x14ac:dyDescent="0.3">
      <c r="A491" s="103">
        <v>45997</v>
      </c>
      <c r="B491" s="94" t="s">
        <v>78</v>
      </c>
      <c r="C491" s="95" t="s">
        <v>1136</v>
      </c>
      <c r="D491" s="94" t="s">
        <v>1098</v>
      </c>
      <c r="E491" s="104">
        <v>1.4826388888888891</v>
      </c>
      <c r="F491" s="94" t="s">
        <v>80</v>
      </c>
      <c r="G491" s="96">
        <v>9</v>
      </c>
      <c r="H491" s="97">
        <v>661</v>
      </c>
      <c r="I491" s="88"/>
    </row>
    <row r="492" spans="1:9" ht="19.8" customHeight="1" x14ac:dyDescent="0.3">
      <c r="A492" s="103">
        <v>45997</v>
      </c>
      <c r="B492" s="94" t="s">
        <v>78</v>
      </c>
      <c r="C492" s="95" t="s">
        <v>1134</v>
      </c>
      <c r="D492" s="94" t="s">
        <v>1098</v>
      </c>
      <c r="E492" s="104">
        <v>1.6840277777777779</v>
      </c>
      <c r="F492" s="94" t="s">
        <v>83</v>
      </c>
      <c r="G492" s="96">
        <v>9</v>
      </c>
      <c r="H492" s="97">
        <v>711</v>
      </c>
      <c r="I492" s="88"/>
    </row>
    <row r="493" spans="1:9" ht="19.8" customHeight="1" x14ac:dyDescent="0.3">
      <c r="A493" s="103">
        <v>45997</v>
      </c>
      <c r="B493" s="94" t="s">
        <v>78</v>
      </c>
      <c r="C493" s="95" t="s">
        <v>1136</v>
      </c>
      <c r="D493" s="94" t="s">
        <v>1098</v>
      </c>
      <c r="E493" s="104">
        <v>1.4826388888888891</v>
      </c>
      <c r="F493" s="94" t="s">
        <v>83</v>
      </c>
      <c r="G493" s="96">
        <v>9</v>
      </c>
      <c r="H493" s="97">
        <v>711</v>
      </c>
      <c r="I493" s="88"/>
    </row>
    <row r="494" spans="1:9" ht="19.8" customHeight="1" x14ac:dyDescent="0.3">
      <c r="A494" s="103">
        <v>45997</v>
      </c>
      <c r="B494" s="94" t="s">
        <v>26</v>
      </c>
      <c r="C494" s="95" t="s">
        <v>1099</v>
      </c>
      <c r="D494" s="94" t="s">
        <v>1098</v>
      </c>
      <c r="E494" s="104">
        <v>1.760416666666667</v>
      </c>
      <c r="F494" s="94" t="s">
        <v>34</v>
      </c>
      <c r="G494" s="96">
        <v>11</v>
      </c>
      <c r="H494" s="97">
        <v>899</v>
      </c>
      <c r="I494" s="88"/>
    </row>
    <row r="495" spans="1:9" ht="19.8" customHeight="1" x14ac:dyDescent="0.3">
      <c r="A495" s="103">
        <v>45997</v>
      </c>
      <c r="B495" s="94" t="s">
        <v>26</v>
      </c>
      <c r="C495" s="95" t="s">
        <v>1104</v>
      </c>
      <c r="D495" s="94" t="s">
        <v>1098</v>
      </c>
      <c r="E495" s="104">
        <v>1.5</v>
      </c>
      <c r="F495" s="94" t="s">
        <v>34</v>
      </c>
      <c r="G495" s="96">
        <v>5</v>
      </c>
      <c r="H495" s="97">
        <v>899</v>
      </c>
      <c r="I495" s="88"/>
    </row>
    <row r="496" spans="1:9" ht="19.8" customHeight="1" x14ac:dyDescent="0.3">
      <c r="A496" s="103">
        <v>45997</v>
      </c>
      <c r="B496" s="94" t="s">
        <v>26</v>
      </c>
      <c r="C496" s="95" t="s">
        <v>1107</v>
      </c>
      <c r="D496" s="94" t="s">
        <v>1098</v>
      </c>
      <c r="E496" s="104">
        <v>1.447916666666667</v>
      </c>
      <c r="F496" s="94" t="s">
        <v>34</v>
      </c>
      <c r="G496" s="96">
        <v>8</v>
      </c>
      <c r="H496" s="97">
        <v>899</v>
      </c>
      <c r="I496" s="88"/>
    </row>
    <row r="497" spans="1:9" ht="19.8" customHeight="1" x14ac:dyDescent="0.3">
      <c r="A497" s="103">
        <v>45997</v>
      </c>
      <c r="B497" s="94" t="s">
        <v>26</v>
      </c>
      <c r="C497" s="95" t="s">
        <v>1110</v>
      </c>
      <c r="D497" s="94" t="s">
        <v>1098</v>
      </c>
      <c r="E497" s="104">
        <v>1.8159722222222221</v>
      </c>
      <c r="F497" s="94" t="s">
        <v>34</v>
      </c>
      <c r="G497" s="96">
        <v>3</v>
      </c>
      <c r="H497" s="97">
        <v>899</v>
      </c>
      <c r="I497" s="88"/>
    </row>
    <row r="498" spans="1:9" ht="19.8" customHeight="1" x14ac:dyDescent="0.3">
      <c r="A498" s="103">
        <v>45997</v>
      </c>
      <c r="B498" s="94" t="s">
        <v>78</v>
      </c>
      <c r="C498" s="95" t="s">
        <v>1140</v>
      </c>
      <c r="D498" s="94" t="s">
        <v>1098</v>
      </c>
      <c r="E498" s="104">
        <v>1.5</v>
      </c>
      <c r="F498" s="94" t="s">
        <v>83</v>
      </c>
      <c r="G498" s="96">
        <v>4</v>
      </c>
      <c r="H498" s="107" t="s">
        <v>1141</v>
      </c>
      <c r="I498" s="88"/>
    </row>
    <row r="499" spans="1:9" ht="19.8" customHeight="1" x14ac:dyDescent="0.3">
      <c r="A499" s="103">
        <v>45997</v>
      </c>
      <c r="B499" s="94" t="s">
        <v>78</v>
      </c>
      <c r="C499" s="95" t="s">
        <v>1142</v>
      </c>
      <c r="D499" s="94" t="s">
        <v>1098</v>
      </c>
      <c r="E499" s="104">
        <v>1.760416666666667</v>
      </c>
      <c r="F499" s="94" t="s">
        <v>83</v>
      </c>
      <c r="G499" s="96">
        <v>4</v>
      </c>
      <c r="H499" s="107" t="s">
        <v>1141</v>
      </c>
      <c r="I499" s="88"/>
    </row>
    <row r="500" spans="1:9" ht="19.8" customHeight="1" x14ac:dyDescent="0.3">
      <c r="A500" s="113">
        <v>45997</v>
      </c>
      <c r="B500" s="114" t="s">
        <v>78</v>
      </c>
      <c r="C500" s="115" t="s">
        <v>1143</v>
      </c>
      <c r="D500" s="114" t="s">
        <v>1098</v>
      </c>
      <c r="E500" s="116">
        <v>1.8159722222222221</v>
      </c>
      <c r="F500" s="114" t="s">
        <v>83</v>
      </c>
      <c r="G500" s="117">
        <v>4</v>
      </c>
      <c r="H500" s="118" t="s">
        <v>1141</v>
      </c>
      <c r="I500" s="88"/>
    </row>
    <row r="501" spans="1:9" ht="19.8" customHeight="1" x14ac:dyDescent="0.3">
      <c r="A501" s="103">
        <v>45998</v>
      </c>
      <c r="B501" s="94" t="s">
        <v>26</v>
      </c>
      <c r="C501" s="95" t="s">
        <v>1099</v>
      </c>
      <c r="D501" s="94" t="s">
        <v>1098</v>
      </c>
      <c r="E501" s="104">
        <v>1.760416666666667</v>
      </c>
      <c r="F501" s="94" t="s">
        <v>28</v>
      </c>
      <c r="G501" s="96">
        <v>12</v>
      </c>
      <c r="H501" s="97">
        <v>279</v>
      </c>
      <c r="I501" s="88"/>
    </row>
    <row r="502" spans="1:9" ht="19.8" customHeight="1" x14ac:dyDescent="0.3">
      <c r="A502" s="103">
        <v>45998</v>
      </c>
      <c r="B502" s="94" t="s">
        <v>26</v>
      </c>
      <c r="C502" s="95" t="s">
        <v>1104</v>
      </c>
      <c r="D502" s="94" t="s">
        <v>1098</v>
      </c>
      <c r="E502" s="104">
        <v>1.5</v>
      </c>
      <c r="F502" s="94" t="s">
        <v>28</v>
      </c>
      <c r="G502" s="96">
        <v>16</v>
      </c>
      <c r="H502" s="97">
        <v>279</v>
      </c>
      <c r="I502" s="88"/>
    </row>
    <row r="503" spans="1:9" ht="19.8" customHeight="1" x14ac:dyDescent="0.3">
      <c r="A503" s="103">
        <v>45998</v>
      </c>
      <c r="B503" s="94" t="s">
        <v>26</v>
      </c>
      <c r="C503" s="95" t="s">
        <v>1107</v>
      </c>
      <c r="D503" s="94" t="s">
        <v>1098</v>
      </c>
      <c r="E503" s="104">
        <v>1.447916666666667</v>
      </c>
      <c r="F503" s="94" t="s">
        <v>28</v>
      </c>
      <c r="G503" s="96">
        <v>6</v>
      </c>
      <c r="H503" s="97">
        <v>279</v>
      </c>
      <c r="I503" s="88"/>
    </row>
    <row r="504" spans="1:9" ht="19.8" customHeight="1" x14ac:dyDescent="0.3">
      <c r="A504" s="103">
        <v>45998</v>
      </c>
      <c r="B504" s="94" t="s">
        <v>26</v>
      </c>
      <c r="C504" s="95" t="s">
        <v>1110</v>
      </c>
      <c r="D504" s="94" t="s">
        <v>1098</v>
      </c>
      <c r="E504" s="104">
        <v>1.8159722222222221</v>
      </c>
      <c r="F504" s="94" t="s">
        <v>28</v>
      </c>
      <c r="G504" s="96">
        <v>16</v>
      </c>
      <c r="H504" s="97">
        <v>279</v>
      </c>
      <c r="I504" s="88"/>
    </row>
    <row r="505" spans="1:9" ht="19.8" customHeight="1" x14ac:dyDescent="0.3">
      <c r="A505" s="103">
        <v>45998</v>
      </c>
      <c r="B505" s="94" t="s">
        <v>36</v>
      </c>
      <c r="C505" s="95" t="s">
        <v>1113</v>
      </c>
      <c r="D505" s="94" t="s">
        <v>1098</v>
      </c>
      <c r="E505" s="104">
        <v>1.8263888888888891</v>
      </c>
      <c r="F505" s="94" t="s">
        <v>38</v>
      </c>
      <c r="G505" s="96">
        <v>3</v>
      </c>
      <c r="H505" s="97">
        <v>289</v>
      </c>
      <c r="I505" s="88"/>
    </row>
    <row r="506" spans="1:9" ht="19.8" customHeight="1" x14ac:dyDescent="0.3">
      <c r="A506" s="103">
        <v>45998</v>
      </c>
      <c r="B506" s="94" t="s">
        <v>36</v>
      </c>
      <c r="C506" s="95" t="s">
        <v>1114</v>
      </c>
      <c r="D506" s="94" t="s">
        <v>1098</v>
      </c>
      <c r="E506" s="104">
        <v>1.375</v>
      </c>
      <c r="F506" s="94" t="s">
        <v>38</v>
      </c>
      <c r="G506" s="96">
        <v>7</v>
      </c>
      <c r="H506" s="97">
        <v>289</v>
      </c>
      <c r="I506" s="88"/>
    </row>
    <row r="507" spans="1:9" ht="19.8" customHeight="1" x14ac:dyDescent="0.3">
      <c r="A507" s="103">
        <v>45998</v>
      </c>
      <c r="B507" s="94" t="s">
        <v>36</v>
      </c>
      <c r="C507" s="95" t="s">
        <v>1115</v>
      </c>
      <c r="D507" s="94" t="s">
        <v>1098</v>
      </c>
      <c r="E507" s="104">
        <v>1.5659722222222221</v>
      </c>
      <c r="F507" s="94" t="s">
        <v>38</v>
      </c>
      <c r="G507" s="96">
        <v>9</v>
      </c>
      <c r="H507" s="97">
        <v>289</v>
      </c>
      <c r="I507" s="88"/>
    </row>
    <row r="508" spans="1:9" ht="19.8" customHeight="1" x14ac:dyDescent="0.3">
      <c r="A508" s="103">
        <v>45998</v>
      </c>
      <c r="B508" s="94" t="s">
        <v>36</v>
      </c>
      <c r="C508" s="95" t="s">
        <v>1118</v>
      </c>
      <c r="D508" s="94" t="s">
        <v>1098</v>
      </c>
      <c r="E508" s="104">
        <v>1.427083333333333</v>
      </c>
      <c r="F508" s="94" t="s">
        <v>38</v>
      </c>
      <c r="G508" s="96">
        <v>4</v>
      </c>
      <c r="H508" s="97">
        <v>289</v>
      </c>
      <c r="I508" s="88"/>
    </row>
    <row r="509" spans="1:9" ht="19.8" customHeight="1" x14ac:dyDescent="0.3">
      <c r="A509" s="103">
        <v>45998</v>
      </c>
      <c r="B509" s="94" t="s">
        <v>456</v>
      </c>
      <c r="C509" s="95" t="s">
        <v>1150</v>
      </c>
      <c r="D509" s="94" t="s">
        <v>1098</v>
      </c>
      <c r="E509" s="104">
        <v>1.2361111111111109</v>
      </c>
      <c r="F509" s="94" t="s">
        <v>458</v>
      </c>
      <c r="G509" s="96">
        <v>9</v>
      </c>
      <c r="H509" s="97">
        <v>329</v>
      </c>
      <c r="I509" s="88"/>
    </row>
    <row r="510" spans="1:9" ht="19.8" customHeight="1" x14ac:dyDescent="0.3">
      <c r="A510" s="103">
        <v>45998</v>
      </c>
      <c r="B510" s="94" t="s">
        <v>456</v>
      </c>
      <c r="C510" s="95" t="s">
        <v>1124</v>
      </c>
      <c r="D510" s="94" t="s">
        <v>1098</v>
      </c>
      <c r="E510" s="104">
        <v>1.5590277777777779</v>
      </c>
      <c r="F510" s="94" t="s">
        <v>458</v>
      </c>
      <c r="G510" s="96">
        <v>9</v>
      </c>
      <c r="H510" s="97">
        <v>329</v>
      </c>
      <c r="I510" s="88"/>
    </row>
    <row r="511" spans="1:9" ht="19.8" customHeight="1" x14ac:dyDescent="0.3">
      <c r="A511" s="103">
        <v>45998</v>
      </c>
      <c r="B511" s="94" t="s">
        <v>36</v>
      </c>
      <c r="C511" s="95" t="s">
        <v>1119</v>
      </c>
      <c r="D511" s="94" t="s">
        <v>1098</v>
      </c>
      <c r="E511" s="104">
        <v>1.5</v>
      </c>
      <c r="F511" s="94" t="s">
        <v>38</v>
      </c>
      <c r="G511" s="96">
        <v>8</v>
      </c>
      <c r="H511" s="97">
        <v>329</v>
      </c>
      <c r="I511" s="88"/>
    </row>
    <row r="512" spans="1:9" ht="19.8" customHeight="1" x14ac:dyDescent="0.3">
      <c r="A512" s="103">
        <v>45998</v>
      </c>
      <c r="B512" s="94" t="s">
        <v>36</v>
      </c>
      <c r="C512" s="95" t="s">
        <v>1116</v>
      </c>
      <c r="D512" s="94" t="s">
        <v>1098</v>
      </c>
      <c r="E512" s="104">
        <v>1.305555555555556</v>
      </c>
      <c r="F512" s="94" t="s">
        <v>38</v>
      </c>
      <c r="G512" s="96">
        <v>7</v>
      </c>
      <c r="H512" s="97">
        <v>329</v>
      </c>
      <c r="I512" s="88"/>
    </row>
    <row r="513" spans="1:9" ht="19.8" customHeight="1" x14ac:dyDescent="0.3">
      <c r="A513" s="103">
        <v>45998</v>
      </c>
      <c r="B513" s="94" t="s">
        <v>36</v>
      </c>
      <c r="C513" s="95" t="s">
        <v>1117</v>
      </c>
      <c r="D513" s="94" t="s">
        <v>1098</v>
      </c>
      <c r="E513" s="104">
        <v>1.6875</v>
      </c>
      <c r="F513" s="94" t="s">
        <v>38</v>
      </c>
      <c r="G513" s="96">
        <v>6</v>
      </c>
      <c r="H513" s="97">
        <v>329</v>
      </c>
      <c r="I513" s="88"/>
    </row>
    <row r="514" spans="1:9" ht="19.8" customHeight="1" x14ac:dyDescent="0.3">
      <c r="A514" s="103">
        <v>45998</v>
      </c>
      <c r="B514" s="94" t="s">
        <v>66</v>
      </c>
      <c r="C514" s="95" t="s">
        <v>1126</v>
      </c>
      <c r="D514" s="94" t="s">
        <v>1098</v>
      </c>
      <c r="E514" s="104">
        <v>1.166666666666667</v>
      </c>
      <c r="F514" s="94" t="s">
        <v>829</v>
      </c>
      <c r="G514" s="96">
        <v>9</v>
      </c>
      <c r="H514" s="97">
        <v>350</v>
      </c>
      <c r="I514" s="88"/>
    </row>
    <row r="515" spans="1:9" ht="19.8" customHeight="1" x14ac:dyDescent="0.3">
      <c r="A515" s="103">
        <v>45998</v>
      </c>
      <c r="B515" s="94" t="s">
        <v>66</v>
      </c>
      <c r="C515" s="95" t="s">
        <v>1128</v>
      </c>
      <c r="D515" s="94" t="s">
        <v>1098</v>
      </c>
      <c r="E515" s="104">
        <v>1.541666666666667</v>
      </c>
      <c r="F515" s="94" t="s">
        <v>829</v>
      </c>
      <c r="G515" s="96">
        <v>9</v>
      </c>
      <c r="H515" s="97">
        <v>350</v>
      </c>
      <c r="I515" s="88"/>
    </row>
    <row r="516" spans="1:9" ht="19.8" customHeight="1" x14ac:dyDescent="0.3">
      <c r="A516" s="103">
        <v>45998</v>
      </c>
      <c r="B516" s="94" t="s">
        <v>66</v>
      </c>
      <c r="C516" s="95" t="s">
        <v>1130</v>
      </c>
      <c r="D516" s="94" t="s">
        <v>1098</v>
      </c>
      <c r="E516" s="104">
        <v>1.916666666666667</v>
      </c>
      <c r="F516" s="94" t="s">
        <v>829</v>
      </c>
      <c r="G516" s="96">
        <v>9</v>
      </c>
      <c r="H516" s="97">
        <v>354</v>
      </c>
      <c r="I516" s="88"/>
    </row>
    <row r="517" spans="1:9" ht="19.8" customHeight="1" x14ac:dyDescent="0.3">
      <c r="A517" s="103">
        <v>45998</v>
      </c>
      <c r="B517" s="94" t="s">
        <v>410</v>
      </c>
      <c r="C517" s="95" t="s">
        <v>1167</v>
      </c>
      <c r="D517" s="94" t="s">
        <v>1098</v>
      </c>
      <c r="E517" s="104">
        <v>1.3576388888888891</v>
      </c>
      <c r="F517" s="94" t="s">
        <v>46</v>
      </c>
      <c r="G517" s="96">
        <v>4</v>
      </c>
      <c r="H517" s="97">
        <v>357</v>
      </c>
      <c r="I517" s="88"/>
    </row>
    <row r="518" spans="1:9" ht="19.8" customHeight="1" x14ac:dyDescent="0.3">
      <c r="A518" s="103">
        <v>45998</v>
      </c>
      <c r="B518" s="94" t="s">
        <v>36</v>
      </c>
      <c r="C518" s="95" t="s">
        <v>1113</v>
      </c>
      <c r="D518" s="94" t="s">
        <v>1098</v>
      </c>
      <c r="E518" s="104">
        <v>1.8263888888888891</v>
      </c>
      <c r="F518" s="94" t="s">
        <v>40</v>
      </c>
      <c r="G518" s="96">
        <v>3</v>
      </c>
      <c r="H518" s="97">
        <v>389</v>
      </c>
      <c r="I518" s="88"/>
    </row>
    <row r="519" spans="1:9" ht="19.8" customHeight="1" x14ac:dyDescent="0.3">
      <c r="A519" s="103">
        <v>45998</v>
      </c>
      <c r="B519" s="94" t="s">
        <v>36</v>
      </c>
      <c r="C519" s="95" t="s">
        <v>1114</v>
      </c>
      <c r="D519" s="94" t="s">
        <v>1098</v>
      </c>
      <c r="E519" s="104">
        <v>1.375</v>
      </c>
      <c r="F519" s="94" t="s">
        <v>40</v>
      </c>
      <c r="G519" s="96">
        <v>7</v>
      </c>
      <c r="H519" s="97">
        <v>389</v>
      </c>
      <c r="I519" s="88"/>
    </row>
    <row r="520" spans="1:9" ht="19.8" customHeight="1" x14ac:dyDescent="0.3">
      <c r="A520" s="103">
        <v>45998</v>
      </c>
      <c r="B520" s="94" t="s">
        <v>36</v>
      </c>
      <c r="C520" s="95" t="s">
        <v>1115</v>
      </c>
      <c r="D520" s="94" t="s">
        <v>1098</v>
      </c>
      <c r="E520" s="104">
        <v>1.5659722222222221</v>
      </c>
      <c r="F520" s="94" t="s">
        <v>40</v>
      </c>
      <c r="G520" s="96">
        <v>9</v>
      </c>
      <c r="H520" s="97">
        <v>389</v>
      </c>
      <c r="I520" s="88"/>
    </row>
    <row r="521" spans="1:9" ht="19.8" customHeight="1" x14ac:dyDescent="0.3">
      <c r="A521" s="103">
        <v>45998</v>
      </c>
      <c r="B521" s="94" t="s">
        <v>36</v>
      </c>
      <c r="C521" s="95" t="s">
        <v>1118</v>
      </c>
      <c r="D521" s="94" t="s">
        <v>1098</v>
      </c>
      <c r="E521" s="104">
        <v>1.427083333333333</v>
      </c>
      <c r="F521" s="94" t="s">
        <v>40</v>
      </c>
      <c r="G521" s="96">
        <v>4</v>
      </c>
      <c r="H521" s="97">
        <v>389</v>
      </c>
      <c r="I521" s="88"/>
    </row>
    <row r="522" spans="1:9" ht="19.8" customHeight="1" x14ac:dyDescent="0.3">
      <c r="A522" s="103">
        <v>45998</v>
      </c>
      <c r="B522" s="94" t="s">
        <v>78</v>
      </c>
      <c r="C522" s="95" t="s">
        <v>1131</v>
      </c>
      <c r="D522" s="94" t="s">
        <v>1098</v>
      </c>
      <c r="E522" s="104">
        <v>1.552083333333333</v>
      </c>
      <c r="F522" s="94" t="s">
        <v>80</v>
      </c>
      <c r="G522" s="96">
        <v>9</v>
      </c>
      <c r="H522" s="97">
        <v>390</v>
      </c>
      <c r="I522" s="88"/>
    </row>
    <row r="523" spans="1:9" ht="19.8" customHeight="1" x14ac:dyDescent="0.3">
      <c r="A523" s="103">
        <v>45998</v>
      </c>
      <c r="B523" s="94" t="s">
        <v>78</v>
      </c>
      <c r="C523" s="95" t="s">
        <v>1135</v>
      </c>
      <c r="D523" s="94" t="s">
        <v>1098</v>
      </c>
      <c r="E523" s="104">
        <v>1.2986111111111109</v>
      </c>
      <c r="F523" s="94" t="s">
        <v>80</v>
      </c>
      <c r="G523" s="96">
        <v>9</v>
      </c>
      <c r="H523" s="97">
        <v>390</v>
      </c>
      <c r="I523" s="88"/>
    </row>
    <row r="524" spans="1:9" ht="19.8" customHeight="1" x14ac:dyDescent="0.3">
      <c r="A524" s="103">
        <v>45998</v>
      </c>
      <c r="B524" s="94" t="s">
        <v>78</v>
      </c>
      <c r="C524" s="95" t="s">
        <v>1136</v>
      </c>
      <c r="D524" s="94" t="s">
        <v>1098</v>
      </c>
      <c r="E524" s="104">
        <v>1.4826388888888891</v>
      </c>
      <c r="F524" s="94" t="s">
        <v>80</v>
      </c>
      <c r="G524" s="96">
        <v>9</v>
      </c>
      <c r="H524" s="97">
        <v>390</v>
      </c>
      <c r="I524" s="88"/>
    </row>
    <row r="525" spans="1:9" ht="19.8" customHeight="1" x14ac:dyDescent="0.3">
      <c r="A525" s="105">
        <v>45998</v>
      </c>
      <c r="B525" s="99" t="s">
        <v>44</v>
      </c>
      <c r="C525" s="100" t="s">
        <v>1154</v>
      </c>
      <c r="D525" s="99" t="s">
        <v>1098</v>
      </c>
      <c r="E525" s="106">
        <v>1.625</v>
      </c>
      <c r="F525" s="99" t="s">
        <v>46</v>
      </c>
      <c r="G525" s="101">
        <v>9</v>
      </c>
      <c r="H525" s="102">
        <v>405</v>
      </c>
      <c r="I525" s="88"/>
    </row>
    <row r="526" spans="1:9" ht="19.8" customHeight="1" x14ac:dyDescent="0.3">
      <c r="A526" s="103">
        <v>45998</v>
      </c>
      <c r="B526" s="94" t="s">
        <v>26</v>
      </c>
      <c r="C526" s="95" t="s">
        <v>1099</v>
      </c>
      <c r="D526" s="94" t="s">
        <v>1098</v>
      </c>
      <c r="E526" s="104">
        <v>1.760416666666667</v>
      </c>
      <c r="F526" s="94" t="s">
        <v>31</v>
      </c>
      <c r="G526" s="96">
        <v>12</v>
      </c>
      <c r="H526" s="97">
        <v>429</v>
      </c>
      <c r="I526" s="88"/>
    </row>
    <row r="527" spans="1:9" ht="19.8" customHeight="1" x14ac:dyDescent="0.3">
      <c r="A527" s="103">
        <v>45998</v>
      </c>
      <c r="B527" s="94" t="s">
        <v>26</v>
      </c>
      <c r="C527" s="95" t="s">
        <v>1104</v>
      </c>
      <c r="D527" s="94" t="s">
        <v>1098</v>
      </c>
      <c r="E527" s="104">
        <v>1.5</v>
      </c>
      <c r="F527" s="94" t="s">
        <v>31</v>
      </c>
      <c r="G527" s="96">
        <v>16</v>
      </c>
      <c r="H527" s="97">
        <v>429</v>
      </c>
      <c r="I527" s="88"/>
    </row>
    <row r="528" spans="1:9" ht="19.8" customHeight="1" x14ac:dyDescent="0.3">
      <c r="A528" s="103">
        <v>45998</v>
      </c>
      <c r="B528" s="94" t="s">
        <v>26</v>
      </c>
      <c r="C528" s="95" t="s">
        <v>1107</v>
      </c>
      <c r="D528" s="94" t="s">
        <v>1098</v>
      </c>
      <c r="E528" s="104">
        <v>1.447916666666667</v>
      </c>
      <c r="F528" s="94" t="s">
        <v>31</v>
      </c>
      <c r="G528" s="96">
        <v>6</v>
      </c>
      <c r="H528" s="97">
        <v>429</v>
      </c>
      <c r="I528" s="88"/>
    </row>
    <row r="529" spans="1:9" ht="19.8" customHeight="1" x14ac:dyDescent="0.3">
      <c r="A529" s="103">
        <v>45998</v>
      </c>
      <c r="B529" s="94" t="s">
        <v>26</v>
      </c>
      <c r="C529" s="95" t="s">
        <v>1110</v>
      </c>
      <c r="D529" s="94" t="s">
        <v>1098</v>
      </c>
      <c r="E529" s="104">
        <v>1.8159722222222221</v>
      </c>
      <c r="F529" s="94" t="s">
        <v>31</v>
      </c>
      <c r="G529" s="96">
        <v>16</v>
      </c>
      <c r="H529" s="97">
        <v>429</v>
      </c>
      <c r="I529" s="88"/>
    </row>
    <row r="530" spans="1:9" ht="19.8" customHeight="1" x14ac:dyDescent="0.3">
      <c r="A530" s="103">
        <v>45998</v>
      </c>
      <c r="B530" s="94" t="s">
        <v>36</v>
      </c>
      <c r="C530" s="95" t="s">
        <v>1119</v>
      </c>
      <c r="D530" s="94" t="s">
        <v>1098</v>
      </c>
      <c r="E530" s="104">
        <v>1.5</v>
      </c>
      <c r="F530" s="94" t="s">
        <v>40</v>
      </c>
      <c r="G530" s="96">
        <v>8</v>
      </c>
      <c r="H530" s="97">
        <v>429</v>
      </c>
      <c r="I530" s="88"/>
    </row>
    <row r="531" spans="1:9" ht="19.8" customHeight="1" x14ac:dyDescent="0.3">
      <c r="A531" s="103">
        <v>45998</v>
      </c>
      <c r="B531" s="94" t="s">
        <v>36</v>
      </c>
      <c r="C531" s="95" t="s">
        <v>1116</v>
      </c>
      <c r="D531" s="94" t="s">
        <v>1098</v>
      </c>
      <c r="E531" s="104">
        <v>1.305555555555556</v>
      </c>
      <c r="F531" s="94" t="s">
        <v>40</v>
      </c>
      <c r="G531" s="96">
        <v>7</v>
      </c>
      <c r="H531" s="97">
        <v>429</v>
      </c>
      <c r="I531" s="88"/>
    </row>
    <row r="532" spans="1:9" ht="19.8" customHeight="1" x14ac:dyDescent="0.3">
      <c r="A532" s="103">
        <v>45998</v>
      </c>
      <c r="B532" s="94" t="s">
        <v>36</v>
      </c>
      <c r="C532" s="95" t="s">
        <v>1117</v>
      </c>
      <c r="D532" s="94" t="s">
        <v>1098</v>
      </c>
      <c r="E532" s="104">
        <v>1.6875</v>
      </c>
      <c r="F532" s="94" t="s">
        <v>40</v>
      </c>
      <c r="G532" s="96">
        <v>6</v>
      </c>
      <c r="H532" s="97">
        <v>429</v>
      </c>
      <c r="I532" s="88"/>
    </row>
    <row r="533" spans="1:9" ht="19.8" customHeight="1" x14ac:dyDescent="0.3">
      <c r="A533" s="103">
        <v>45998</v>
      </c>
      <c r="B533" s="94" t="s">
        <v>78</v>
      </c>
      <c r="C533" s="95" t="s">
        <v>1131</v>
      </c>
      <c r="D533" s="94" t="s">
        <v>1098</v>
      </c>
      <c r="E533" s="104">
        <v>1.552083333333333</v>
      </c>
      <c r="F533" s="94" t="s">
        <v>83</v>
      </c>
      <c r="G533" s="96">
        <v>9</v>
      </c>
      <c r="H533" s="97">
        <v>440</v>
      </c>
      <c r="I533" s="88"/>
    </row>
    <row r="534" spans="1:9" ht="19.8" customHeight="1" x14ac:dyDescent="0.3">
      <c r="A534" s="103">
        <v>45998</v>
      </c>
      <c r="B534" s="94" t="s">
        <v>78</v>
      </c>
      <c r="C534" s="95" t="s">
        <v>1135</v>
      </c>
      <c r="D534" s="94" t="s">
        <v>1098</v>
      </c>
      <c r="E534" s="104">
        <v>1.2986111111111109</v>
      </c>
      <c r="F534" s="94" t="s">
        <v>83</v>
      </c>
      <c r="G534" s="96">
        <v>9</v>
      </c>
      <c r="H534" s="97">
        <v>440</v>
      </c>
      <c r="I534" s="88"/>
    </row>
    <row r="535" spans="1:9" ht="19.8" customHeight="1" x14ac:dyDescent="0.3">
      <c r="A535" s="103">
        <v>45998</v>
      </c>
      <c r="B535" s="94" t="s">
        <v>78</v>
      </c>
      <c r="C535" s="95" t="s">
        <v>1136</v>
      </c>
      <c r="D535" s="94" t="s">
        <v>1098</v>
      </c>
      <c r="E535" s="104">
        <v>1.4826388888888891</v>
      </c>
      <c r="F535" s="94" t="s">
        <v>83</v>
      </c>
      <c r="G535" s="96">
        <v>9</v>
      </c>
      <c r="H535" s="97">
        <v>440</v>
      </c>
      <c r="I535" s="88"/>
    </row>
    <row r="536" spans="1:9" ht="19.8" customHeight="1" x14ac:dyDescent="0.3">
      <c r="A536" s="103">
        <v>45998</v>
      </c>
      <c r="B536" s="94" t="s">
        <v>456</v>
      </c>
      <c r="C536" s="95" t="s">
        <v>1150</v>
      </c>
      <c r="D536" s="94" t="s">
        <v>1098</v>
      </c>
      <c r="E536" s="104">
        <v>1.2361111111111109</v>
      </c>
      <c r="F536" s="94" t="s">
        <v>34</v>
      </c>
      <c r="G536" s="96">
        <v>9</v>
      </c>
      <c r="H536" s="97">
        <v>452</v>
      </c>
      <c r="I536" s="88"/>
    </row>
    <row r="537" spans="1:9" ht="19.8" customHeight="1" x14ac:dyDescent="0.3">
      <c r="A537" s="103">
        <v>45998</v>
      </c>
      <c r="B537" s="94" t="s">
        <v>456</v>
      </c>
      <c r="C537" s="95" t="s">
        <v>1124</v>
      </c>
      <c r="D537" s="94" t="s">
        <v>1098</v>
      </c>
      <c r="E537" s="104">
        <v>1.5590277777777779</v>
      </c>
      <c r="F537" s="94" t="s">
        <v>34</v>
      </c>
      <c r="G537" s="96">
        <v>9</v>
      </c>
      <c r="H537" s="97">
        <v>452</v>
      </c>
      <c r="I537" s="88"/>
    </row>
    <row r="538" spans="1:9" ht="19.8" customHeight="1" x14ac:dyDescent="0.3">
      <c r="A538" s="103">
        <v>45998</v>
      </c>
      <c r="B538" s="94" t="s">
        <v>36</v>
      </c>
      <c r="C538" s="95" t="s">
        <v>1113</v>
      </c>
      <c r="D538" s="94" t="s">
        <v>1098</v>
      </c>
      <c r="E538" s="104">
        <v>1.8263888888888891</v>
      </c>
      <c r="F538" s="94" t="s">
        <v>42</v>
      </c>
      <c r="G538" s="96">
        <v>3</v>
      </c>
      <c r="H538" s="97">
        <v>479</v>
      </c>
      <c r="I538" s="88"/>
    </row>
    <row r="539" spans="1:9" ht="19.8" customHeight="1" x14ac:dyDescent="0.3">
      <c r="A539" s="103">
        <v>45998</v>
      </c>
      <c r="B539" s="94" t="s">
        <v>36</v>
      </c>
      <c r="C539" s="95" t="s">
        <v>1114</v>
      </c>
      <c r="D539" s="94" t="s">
        <v>1098</v>
      </c>
      <c r="E539" s="104">
        <v>1.375</v>
      </c>
      <c r="F539" s="94" t="s">
        <v>42</v>
      </c>
      <c r="G539" s="96">
        <v>7</v>
      </c>
      <c r="H539" s="97">
        <v>479</v>
      </c>
      <c r="I539" s="88"/>
    </row>
    <row r="540" spans="1:9" ht="19.8" customHeight="1" x14ac:dyDescent="0.3">
      <c r="A540" s="103">
        <v>45998</v>
      </c>
      <c r="B540" s="94" t="s">
        <v>36</v>
      </c>
      <c r="C540" s="95" t="s">
        <v>1115</v>
      </c>
      <c r="D540" s="94" t="s">
        <v>1098</v>
      </c>
      <c r="E540" s="104">
        <v>1.5659722222222221</v>
      </c>
      <c r="F540" s="94" t="s">
        <v>42</v>
      </c>
      <c r="G540" s="96">
        <v>9</v>
      </c>
      <c r="H540" s="97">
        <v>479</v>
      </c>
      <c r="I540" s="88"/>
    </row>
    <row r="541" spans="1:9" ht="19.8" customHeight="1" x14ac:dyDescent="0.3">
      <c r="A541" s="103">
        <v>45998</v>
      </c>
      <c r="B541" s="94" t="s">
        <v>36</v>
      </c>
      <c r="C541" s="95" t="s">
        <v>1118</v>
      </c>
      <c r="D541" s="94" t="s">
        <v>1098</v>
      </c>
      <c r="E541" s="104">
        <v>1.427083333333333</v>
      </c>
      <c r="F541" s="94" t="s">
        <v>42</v>
      </c>
      <c r="G541" s="96">
        <v>4</v>
      </c>
      <c r="H541" s="97">
        <v>479</v>
      </c>
      <c r="I541" s="88"/>
    </row>
    <row r="542" spans="1:9" ht="19.8" customHeight="1" x14ac:dyDescent="0.3">
      <c r="A542" s="103">
        <v>45998</v>
      </c>
      <c r="B542" s="94" t="s">
        <v>78</v>
      </c>
      <c r="C542" s="95" t="s">
        <v>1137</v>
      </c>
      <c r="D542" s="94" t="s">
        <v>1098</v>
      </c>
      <c r="E542" s="104">
        <v>1.836805555555556</v>
      </c>
      <c r="F542" s="94" t="s">
        <v>80</v>
      </c>
      <c r="G542" s="96">
        <v>9</v>
      </c>
      <c r="H542" s="97">
        <v>495</v>
      </c>
      <c r="I542" s="88"/>
    </row>
    <row r="543" spans="1:9" ht="19.8" customHeight="1" x14ac:dyDescent="0.3">
      <c r="A543" s="103">
        <v>45998</v>
      </c>
      <c r="B543" s="94" t="s">
        <v>78</v>
      </c>
      <c r="C543" s="95" t="s">
        <v>1134</v>
      </c>
      <c r="D543" s="94" t="s">
        <v>1098</v>
      </c>
      <c r="E543" s="104">
        <v>1.6840277777777779</v>
      </c>
      <c r="F543" s="94" t="s">
        <v>80</v>
      </c>
      <c r="G543" s="96">
        <v>9</v>
      </c>
      <c r="H543" s="97">
        <v>495</v>
      </c>
      <c r="I543" s="88"/>
    </row>
    <row r="544" spans="1:9" ht="19.8" customHeight="1" x14ac:dyDescent="0.3">
      <c r="A544" s="103">
        <v>45998</v>
      </c>
      <c r="B544" s="94" t="s">
        <v>36</v>
      </c>
      <c r="C544" s="95" t="s">
        <v>1119</v>
      </c>
      <c r="D544" s="94" t="s">
        <v>1098</v>
      </c>
      <c r="E544" s="104">
        <v>1.5</v>
      </c>
      <c r="F544" s="94" t="s">
        <v>42</v>
      </c>
      <c r="G544" s="96">
        <v>8</v>
      </c>
      <c r="H544" s="97">
        <v>519</v>
      </c>
      <c r="I544" s="88"/>
    </row>
    <row r="545" spans="1:9" ht="19.8" customHeight="1" x14ac:dyDescent="0.3">
      <c r="A545" s="103">
        <v>45998</v>
      </c>
      <c r="B545" s="94" t="s">
        <v>36</v>
      </c>
      <c r="C545" s="95" t="s">
        <v>1116</v>
      </c>
      <c r="D545" s="94" t="s">
        <v>1098</v>
      </c>
      <c r="E545" s="104">
        <v>1.305555555555556</v>
      </c>
      <c r="F545" s="94" t="s">
        <v>42</v>
      </c>
      <c r="G545" s="96">
        <v>7</v>
      </c>
      <c r="H545" s="97">
        <v>519</v>
      </c>
      <c r="I545" s="88"/>
    </row>
    <row r="546" spans="1:9" ht="19.8" customHeight="1" x14ac:dyDescent="0.3">
      <c r="A546" s="103">
        <v>45998</v>
      </c>
      <c r="B546" s="94" t="s">
        <v>36</v>
      </c>
      <c r="C546" s="95" t="s">
        <v>1117</v>
      </c>
      <c r="D546" s="94" t="s">
        <v>1098</v>
      </c>
      <c r="E546" s="104">
        <v>1.6875</v>
      </c>
      <c r="F546" s="94" t="s">
        <v>42</v>
      </c>
      <c r="G546" s="96">
        <v>6</v>
      </c>
      <c r="H546" s="97">
        <v>519</v>
      </c>
      <c r="I546" s="88"/>
    </row>
    <row r="547" spans="1:9" ht="19.8" customHeight="1" x14ac:dyDescent="0.3">
      <c r="A547" s="103">
        <v>45998</v>
      </c>
      <c r="B547" s="94" t="s">
        <v>78</v>
      </c>
      <c r="C547" s="95" t="s">
        <v>1137</v>
      </c>
      <c r="D547" s="94" t="s">
        <v>1098</v>
      </c>
      <c r="E547" s="104">
        <v>1.836805555555556</v>
      </c>
      <c r="F547" s="94" t="s">
        <v>83</v>
      </c>
      <c r="G547" s="96">
        <v>9</v>
      </c>
      <c r="H547" s="97">
        <v>545</v>
      </c>
      <c r="I547" s="88"/>
    </row>
    <row r="548" spans="1:9" ht="19.8" customHeight="1" x14ac:dyDescent="0.3">
      <c r="A548" s="103">
        <v>45998</v>
      </c>
      <c r="B548" s="94" t="s">
        <v>78</v>
      </c>
      <c r="C548" s="95" t="s">
        <v>1134</v>
      </c>
      <c r="D548" s="94" t="s">
        <v>1098</v>
      </c>
      <c r="E548" s="104">
        <v>1.6840277777777779</v>
      </c>
      <c r="F548" s="94" t="s">
        <v>83</v>
      </c>
      <c r="G548" s="96">
        <v>9</v>
      </c>
      <c r="H548" s="97">
        <v>545</v>
      </c>
      <c r="I548" s="88"/>
    </row>
    <row r="549" spans="1:9" ht="19.8" customHeight="1" x14ac:dyDescent="0.3">
      <c r="A549" s="103">
        <v>45998</v>
      </c>
      <c r="B549" s="94" t="s">
        <v>26</v>
      </c>
      <c r="C549" s="95" t="s">
        <v>1099</v>
      </c>
      <c r="D549" s="94" t="s">
        <v>1098</v>
      </c>
      <c r="E549" s="104">
        <v>1.760416666666667</v>
      </c>
      <c r="F549" s="94" t="s">
        <v>34</v>
      </c>
      <c r="G549" s="96">
        <v>12</v>
      </c>
      <c r="H549" s="97">
        <v>899</v>
      </c>
      <c r="I549" s="88"/>
    </row>
    <row r="550" spans="1:9" ht="19.8" customHeight="1" x14ac:dyDescent="0.3">
      <c r="A550" s="103">
        <v>45998</v>
      </c>
      <c r="B550" s="94" t="s">
        <v>26</v>
      </c>
      <c r="C550" s="95" t="s">
        <v>1104</v>
      </c>
      <c r="D550" s="94" t="s">
        <v>1098</v>
      </c>
      <c r="E550" s="104">
        <v>1.5</v>
      </c>
      <c r="F550" s="94" t="s">
        <v>34</v>
      </c>
      <c r="G550" s="96">
        <v>16</v>
      </c>
      <c r="H550" s="97">
        <v>899</v>
      </c>
      <c r="I550" s="88"/>
    </row>
    <row r="551" spans="1:9" ht="19.8" customHeight="1" x14ac:dyDescent="0.3">
      <c r="A551" s="103">
        <v>45998</v>
      </c>
      <c r="B551" s="94" t="s">
        <v>26</v>
      </c>
      <c r="C551" s="95" t="s">
        <v>1107</v>
      </c>
      <c r="D551" s="94" t="s">
        <v>1098</v>
      </c>
      <c r="E551" s="104">
        <v>1.447916666666667</v>
      </c>
      <c r="F551" s="94" t="s">
        <v>34</v>
      </c>
      <c r="G551" s="96">
        <v>6</v>
      </c>
      <c r="H551" s="97">
        <v>899</v>
      </c>
      <c r="I551" s="88"/>
    </row>
    <row r="552" spans="1:9" ht="19.8" customHeight="1" x14ac:dyDescent="0.3">
      <c r="A552" s="103">
        <v>45998</v>
      </c>
      <c r="B552" s="94" t="s">
        <v>26</v>
      </c>
      <c r="C552" s="95" t="s">
        <v>1110</v>
      </c>
      <c r="D552" s="94" t="s">
        <v>1098</v>
      </c>
      <c r="E552" s="104">
        <v>1.8159722222222221</v>
      </c>
      <c r="F552" s="94" t="s">
        <v>34</v>
      </c>
      <c r="G552" s="96">
        <v>16</v>
      </c>
      <c r="H552" s="97">
        <v>899</v>
      </c>
      <c r="I552" s="88"/>
    </row>
    <row r="553" spans="1:9" ht="19.8" customHeight="1" x14ac:dyDescent="0.3">
      <c r="A553" s="103">
        <v>45998</v>
      </c>
      <c r="B553" s="94" t="s">
        <v>78</v>
      </c>
      <c r="C553" s="95" t="s">
        <v>1140</v>
      </c>
      <c r="D553" s="94" t="s">
        <v>1098</v>
      </c>
      <c r="E553" s="104">
        <v>1.5</v>
      </c>
      <c r="F553" s="94" t="s">
        <v>83</v>
      </c>
      <c r="G553" s="96">
        <v>4</v>
      </c>
      <c r="H553" s="107" t="s">
        <v>1141</v>
      </c>
      <c r="I553" s="88"/>
    </row>
    <row r="554" spans="1:9" ht="19.8" customHeight="1" x14ac:dyDescent="0.3">
      <c r="A554" s="103">
        <v>45998</v>
      </c>
      <c r="B554" s="94" t="s">
        <v>78</v>
      </c>
      <c r="C554" s="95" t="s">
        <v>1142</v>
      </c>
      <c r="D554" s="94" t="s">
        <v>1098</v>
      </c>
      <c r="E554" s="104">
        <v>1.760416666666667</v>
      </c>
      <c r="F554" s="94" t="s">
        <v>83</v>
      </c>
      <c r="G554" s="96">
        <v>4</v>
      </c>
      <c r="H554" s="107" t="s">
        <v>1141</v>
      </c>
      <c r="I554" s="88"/>
    </row>
    <row r="555" spans="1:9" ht="19.8" customHeight="1" x14ac:dyDescent="0.3">
      <c r="A555" s="113">
        <v>45998</v>
      </c>
      <c r="B555" s="114" t="s">
        <v>78</v>
      </c>
      <c r="C555" s="115" t="s">
        <v>1143</v>
      </c>
      <c r="D555" s="114" t="s">
        <v>1098</v>
      </c>
      <c r="E555" s="116">
        <v>1.8159722222222221</v>
      </c>
      <c r="F555" s="114" t="s">
        <v>83</v>
      </c>
      <c r="G555" s="117">
        <v>4</v>
      </c>
      <c r="H555" s="118" t="s">
        <v>1141</v>
      </c>
      <c r="I555" s="88"/>
    </row>
    <row r="556" spans="1:9" ht="19.8" customHeight="1" x14ac:dyDescent="0.3">
      <c r="A556" s="103">
        <v>45999</v>
      </c>
      <c r="B556" s="94" t="s">
        <v>36</v>
      </c>
      <c r="C556" s="95" t="s">
        <v>1113</v>
      </c>
      <c r="D556" s="94" t="s">
        <v>1098</v>
      </c>
      <c r="E556" s="104">
        <v>1.8263888888888891</v>
      </c>
      <c r="F556" s="94" t="s">
        <v>38</v>
      </c>
      <c r="G556" s="96">
        <v>4</v>
      </c>
      <c r="H556" s="97">
        <v>289</v>
      </c>
      <c r="I556" s="88"/>
    </row>
    <row r="557" spans="1:9" ht="19.8" customHeight="1" x14ac:dyDescent="0.3">
      <c r="A557" s="103">
        <v>45999</v>
      </c>
      <c r="B557" s="94" t="s">
        <v>36</v>
      </c>
      <c r="C557" s="95" t="s">
        <v>1119</v>
      </c>
      <c r="D557" s="94" t="s">
        <v>1098</v>
      </c>
      <c r="E557" s="104">
        <v>1.5</v>
      </c>
      <c r="F557" s="94" t="s">
        <v>38</v>
      </c>
      <c r="G557" s="96">
        <v>5</v>
      </c>
      <c r="H557" s="97">
        <v>289</v>
      </c>
      <c r="I557" s="88"/>
    </row>
    <row r="558" spans="1:9" ht="19.8" customHeight="1" x14ac:dyDescent="0.3">
      <c r="A558" s="103">
        <v>45999</v>
      </c>
      <c r="B558" s="94" t="s">
        <v>36</v>
      </c>
      <c r="C558" s="95" t="s">
        <v>1116</v>
      </c>
      <c r="D558" s="94" t="s">
        <v>1098</v>
      </c>
      <c r="E558" s="104">
        <v>1.305555555555556</v>
      </c>
      <c r="F558" s="94" t="s">
        <v>38</v>
      </c>
      <c r="G558" s="96">
        <v>9</v>
      </c>
      <c r="H558" s="97">
        <v>289</v>
      </c>
      <c r="I558" s="88"/>
    </row>
    <row r="559" spans="1:9" ht="19.8" customHeight="1" x14ac:dyDescent="0.3">
      <c r="A559" s="103">
        <v>45999</v>
      </c>
      <c r="B559" s="94" t="s">
        <v>36</v>
      </c>
      <c r="C559" s="95" t="s">
        <v>1117</v>
      </c>
      <c r="D559" s="94" t="s">
        <v>1098</v>
      </c>
      <c r="E559" s="104">
        <v>1.6875</v>
      </c>
      <c r="F559" s="94" t="s">
        <v>38</v>
      </c>
      <c r="G559" s="96">
        <v>1</v>
      </c>
      <c r="H559" s="97">
        <v>289</v>
      </c>
      <c r="I559" s="88"/>
    </row>
    <row r="560" spans="1:9" ht="19.8" customHeight="1" x14ac:dyDescent="0.3">
      <c r="A560" s="103">
        <v>45999</v>
      </c>
      <c r="B560" s="94" t="s">
        <v>36</v>
      </c>
      <c r="C560" s="95" t="s">
        <v>1114</v>
      </c>
      <c r="D560" s="94" t="s">
        <v>1098</v>
      </c>
      <c r="E560" s="104">
        <v>1.375</v>
      </c>
      <c r="F560" s="94" t="s">
        <v>38</v>
      </c>
      <c r="G560" s="96">
        <v>2</v>
      </c>
      <c r="H560" s="97">
        <v>329</v>
      </c>
      <c r="I560" s="88"/>
    </row>
    <row r="561" spans="1:9" ht="19.8" customHeight="1" x14ac:dyDescent="0.3">
      <c r="A561" s="103">
        <v>45999</v>
      </c>
      <c r="B561" s="94" t="s">
        <v>36</v>
      </c>
      <c r="C561" s="95" t="s">
        <v>1115</v>
      </c>
      <c r="D561" s="94" t="s">
        <v>1098</v>
      </c>
      <c r="E561" s="104">
        <v>1.5659722222222221</v>
      </c>
      <c r="F561" s="94" t="s">
        <v>38</v>
      </c>
      <c r="G561" s="96">
        <v>9</v>
      </c>
      <c r="H561" s="97">
        <v>329</v>
      </c>
      <c r="I561" s="88"/>
    </row>
    <row r="562" spans="1:9" ht="19.8" customHeight="1" x14ac:dyDescent="0.3">
      <c r="A562" s="103">
        <v>45999</v>
      </c>
      <c r="B562" s="94" t="s">
        <v>36</v>
      </c>
      <c r="C562" s="95" t="s">
        <v>1118</v>
      </c>
      <c r="D562" s="94" t="s">
        <v>1098</v>
      </c>
      <c r="E562" s="104">
        <v>1.427083333333333</v>
      </c>
      <c r="F562" s="94" t="s">
        <v>38</v>
      </c>
      <c r="G562" s="96">
        <v>5</v>
      </c>
      <c r="H562" s="97">
        <v>329</v>
      </c>
      <c r="I562" s="88"/>
    </row>
    <row r="563" spans="1:9" ht="19.8" customHeight="1" x14ac:dyDescent="0.3">
      <c r="A563" s="103">
        <v>45999</v>
      </c>
      <c r="B563" s="94" t="s">
        <v>66</v>
      </c>
      <c r="C563" s="95" t="s">
        <v>1126</v>
      </c>
      <c r="D563" s="94" t="s">
        <v>1098</v>
      </c>
      <c r="E563" s="104">
        <v>1.166666666666667</v>
      </c>
      <c r="F563" s="94" t="s">
        <v>829</v>
      </c>
      <c r="G563" s="96">
        <v>9</v>
      </c>
      <c r="H563" s="97">
        <v>350</v>
      </c>
      <c r="I563" s="88"/>
    </row>
    <row r="564" spans="1:9" ht="19.8" customHeight="1" x14ac:dyDescent="0.3">
      <c r="A564" s="103">
        <v>45999</v>
      </c>
      <c r="B564" s="94" t="s">
        <v>66</v>
      </c>
      <c r="C564" s="95" t="s">
        <v>1130</v>
      </c>
      <c r="D564" s="94" t="s">
        <v>1098</v>
      </c>
      <c r="E564" s="104">
        <v>1.916666666666667</v>
      </c>
      <c r="F564" s="94" t="s">
        <v>829</v>
      </c>
      <c r="G564" s="96">
        <v>9</v>
      </c>
      <c r="H564" s="97">
        <v>354</v>
      </c>
      <c r="I564" s="88"/>
    </row>
    <row r="565" spans="1:9" ht="19.8" customHeight="1" x14ac:dyDescent="0.3">
      <c r="A565" s="103">
        <v>45999</v>
      </c>
      <c r="B565" s="94" t="s">
        <v>66</v>
      </c>
      <c r="C565" s="95" t="s">
        <v>1128</v>
      </c>
      <c r="D565" s="94" t="s">
        <v>1098</v>
      </c>
      <c r="E565" s="104">
        <v>1.541666666666667</v>
      </c>
      <c r="F565" s="94" t="s">
        <v>829</v>
      </c>
      <c r="G565" s="96">
        <v>9</v>
      </c>
      <c r="H565" s="97">
        <v>354</v>
      </c>
      <c r="I565" s="88"/>
    </row>
    <row r="566" spans="1:9" ht="19.8" customHeight="1" x14ac:dyDescent="0.3">
      <c r="A566" s="103">
        <v>45999</v>
      </c>
      <c r="B566" s="94" t="s">
        <v>410</v>
      </c>
      <c r="C566" s="95" t="s">
        <v>1157</v>
      </c>
      <c r="D566" s="94" t="s">
        <v>1098</v>
      </c>
      <c r="E566" s="104">
        <v>1.7361111111111109</v>
      </c>
      <c r="F566" s="94" t="s">
        <v>46</v>
      </c>
      <c r="G566" s="96">
        <v>8</v>
      </c>
      <c r="H566" s="97">
        <v>357</v>
      </c>
      <c r="I566" s="88"/>
    </row>
    <row r="567" spans="1:9" ht="19.8" customHeight="1" x14ac:dyDescent="0.3">
      <c r="A567" s="103">
        <v>45999</v>
      </c>
      <c r="B567" s="94" t="s">
        <v>36</v>
      </c>
      <c r="C567" s="95" t="s">
        <v>1113</v>
      </c>
      <c r="D567" s="94" t="s">
        <v>1098</v>
      </c>
      <c r="E567" s="104">
        <v>1.8263888888888891</v>
      </c>
      <c r="F567" s="94" t="s">
        <v>40</v>
      </c>
      <c r="G567" s="96">
        <v>4</v>
      </c>
      <c r="H567" s="97">
        <v>389</v>
      </c>
      <c r="I567" s="88"/>
    </row>
    <row r="568" spans="1:9" ht="19.8" customHeight="1" x14ac:dyDescent="0.3">
      <c r="A568" s="103">
        <v>45999</v>
      </c>
      <c r="B568" s="94" t="s">
        <v>36</v>
      </c>
      <c r="C568" s="95" t="s">
        <v>1119</v>
      </c>
      <c r="D568" s="94" t="s">
        <v>1098</v>
      </c>
      <c r="E568" s="104">
        <v>1.5</v>
      </c>
      <c r="F568" s="94" t="s">
        <v>40</v>
      </c>
      <c r="G568" s="96">
        <v>5</v>
      </c>
      <c r="H568" s="97">
        <v>389</v>
      </c>
      <c r="I568" s="88"/>
    </row>
    <row r="569" spans="1:9" ht="19.8" customHeight="1" x14ac:dyDescent="0.3">
      <c r="A569" s="103">
        <v>45999</v>
      </c>
      <c r="B569" s="94" t="s">
        <v>36</v>
      </c>
      <c r="C569" s="95" t="s">
        <v>1116</v>
      </c>
      <c r="D569" s="94" t="s">
        <v>1098</v>
      </c>
      <c r="E569" s="104">
        <v>1.305555555555556</v>
      </c>
      <c r="F569" s="94" t="s">
        <v>40</v>
      </c>
      <c r="G569" s="96">
        <v>9</v>
      </c>
      <c r="H569" s="97">
        <v>389</v>
      </c>
      <c r="I569" s="88"/>
    </row>
    <row r="570" spans="1:9" ht="19.8" customHeight="1" x14ac:dyDescent="0.3">
      <c r="A570" s="103">
        <v>45999</v>
      </c>
      <c r="B570" s="94" t="s">
        <v>36</v>
      </c>
      <c r="C570" s="95" t="s">
        <v>1117</v>
      </c>
      <c r="D570" s="94" t="s">
        <v>1098</v>
      </c>
      <c r="E570" s="104">
        <v>1.6875</v>
      </c>
      <c r="F570" s="94" t="s">
        <v>40</v>
      </c>
      <c r="G570" s="96">
        <v>1</v>
      </c>
      <c r="H570" s="97">
        <v>389</v>
      </c>
      <c r="I570" s="88"/>
    </row>
    <row r="571" spans="1:9" ht="19.8" customHeight="1" x14ac:dyDescent="0.3">
      <c r="A571" s="103">
        <v>45999</v>
      </c>
      <c r="B571" s="94" t="s">
        <v>78</v>
      </c>
      <c r="C571" s="95" t="s">
        <v>1135</v>
      </c>
      <c r="D571" s="94" t="s">
        <v>1098</v>
      </c>
      <c r="E571" s="104">
        <v>1.2986111111111109</v>
      </c>
      <c r="F571" s="94" t="s">
        <v>80</v>
      </c>
      <c r="G571" s="96">
        <v>9</v>
      </c>
      <c r="H571" s="97">
        <v>390</v>
      </c>
      <c r="I571" s="88"/>
    </row>
    <row r="572" spans="1:9" ht="19.8" customHeight="1" x14ac:dyDescent="0.3">
      <c r="A572" s="103">
        <v>45999</v>
      </c>
      <c r="B572" s="94" t="s">
        <v>78</v>
      </c>
      <c r="C572" s="95" t="s">
        <v>1198</v>
      </c>
      <c r="D572" s="94" t="s">
        <v>1098</v>
      </c>
      <c r="E572" s="104">
        <v>1.0486111111111109</v>
      </c>
      <c r="F572" s="94" t="s">
        <v>80</v>
      </c>
      <c r="G572" s="96">
        <v>9</v>
      </c>
      <c r="H572" s="97">
        <v>390</v>
      </c>
      <c r="I572" s="88"/>
    </row>
    <row r="573" spans="1:9" ht="19.8" customHeight="1" x14ac:dyDescent="0.3">
      <c r="A573" s="105">
        <v>45999</v>
      </c>
      <c r="B573" s="99" t="s">
        <v>44</v>
      </c>
      <c r="C573" s="100" t="s">
        <v>1121</v>
      </c>
      <c r="D573" s="99" t="s">
        <v>1098</v>
      </c>
      <c r="E573" s="106">
        <v>1.9236111111111109</v>
      </c>
      <c r="F573" s="99" t="s">
        <v>46</v>
      </c>
      <c r="G573" s="101">
        <v>9</v>
      </c>
      <c r="H573" s="102">
        <v>405</v>
      </c>
      <c r="I573" s="88"/>
    </row>
    <row r="574" spans="1:9" ht="19.8" customHeight="1" x14ac:dyDescent="0.3">
      <c r="A574" s="103">
        <v>45999</v>
      </c>
      <c r="B574" s="94" t="s">
        <v>36</v>
      </c>
      <c r="C574" s="95" t="s">
        <v>1114</v>
      </c>
      <c r="D574" s="94" t="s">
        <v>1098</v>
      </c>
      <c r="E574" s="104">
        <v>1.375</v>
      </c>
      <c r="F574" s="94" t="s">
        <v>40</v>
      </c>
      <c r="G574" s="96">
        <v>2</v>
      </c>
      <c r="H574" s="97">
        <v>429</v>
      </c>
      <c r="I574" s="88"/>
    </row>
    <row r="575" spans="1:9" ht="19.8" customHeight="1" x14ac:dyDescent="0.3">
      <c r="A575" s="103">
        <v>45999</v>
      </c>
      <c r="B575" s="94" t="s">
        <v>36</v>
      </c>
      <c r="C575" s="95" t="s">
        <v>1115</v>
      </c>
      <c r="D575" s="94" t="s">
        <v>1098</v>
      </c>
      <c r="E575" s="104">
        <v>1.5659722222222221</v>
      </c>
      <c r="F575" s="94" t="s">
        <v>40</v>
      </c>
      <c r="G575" s="96">
        <v>9</v>
      </c>
      <c r="H575" s="97">
        <v>429</v>
      </c>
      <c r="I575" s="88"/>
    </row>
    <row r="576" spans="1:9" ht="19.8" customHeight="1" x14ac:dyDescent="0.3">
      <c r="A576" s="103">
        <v>45999</v>
      </c>
      <c r="B576" s="94" t="s">
        <v>36</v>
      </c>
      <c r="C576" s="95" t="s">
        <v>1118</v>
      </c>
      <c r="D576" s="94" t="s">
        <v>1098</v>
      </c>
      <c r="E576" s="104">
        <v>1.427083333333333</v>
      </c>
      <c r="F576" s="94" t="s">
        <v>40</v>
      </c>
      <c r="G576" s="96">
        <v>5</v>
      </c>
      <c r="H576" s="97">
        <v>429</v>
      </c>
      <c r="I576" s="88"/>
    </row>
    <row r="577" spans="1:9" ht="19.8" customHeight="1" x14ac:dyDescent="0.3">
      <c r="A577" s="103">
        <v>45999</v>
      </c>
      <c r="B577" s="94" t="s">
        <v>78</v>
      </c>
      <c r="C577" s="95" t="s">
        <v>1135</v>
      </c>
      <c r="D577" s="94" t="s">
        <v>1098</v>
      </c>
      <c r="E577" s="104">
        <v>1.2986111111111109</v>
      </c>
      <c r="F577" s="94" t="s">
        <v>83</v>
      </c>
      <c r="G577" s="96">
        <v>9</v>
      </c>
      <c r="H577" s="97">
        <v>440</v>
      </c>
      <c r="I577" s="88"/>
    </row>
    <row r="578" spans="1:9" ht="19.8" customHeight="1" x14ac:dyDescent="0.3">
      <c r="A578" s="103">
        <v>45999</v>
      </c>
      <c r="B578" s="94" t="s">
        <v>78</v>
      </c>
      <c r="C578" s="95" t="s">
        <v>1198</v>
      </c>
      <c r="D578" s="94" t="s">
        <v>1098</v>
      </c>
      <c r="E578" s="104">
        <v>1.0486111111111109</v>
      </c>
      <c r="F578" s="94" t="s">
        <v>83</v>
      </c>
      <c r="G578" s="96">
        <v>9</v>
      </c>
      <c r="H578" s="97">
        <v>440</v>
      </c>
      <c r="I578" s="88"/>
    </row>
    <row r="579" spans="1:9" ht="19.8" customHeight="1" x14ac:dyDescent="0.3">
      <c r="A579" s="103">
        <v>45999</v>
      </c>
      <c r="B579" s="94" t="s">
        <v>36</v>
      </c>
      <c r="C579" s="95" t="s">
        <v>1113</v>
      </c>
      <c r="D579" s="94" t="s">
        <v>1098</v>
      </c>
      <c r="E579" s="104">
        <v>1.8263888888888891</v>
      </c>
      <c r="F579" s="94" t="s">
        <v>42</v>
      </c>
      <c r="G579" s="96">
        <v>4</v>
      </c>
      <c r="H579" s="97">
        <v>479</v>
      </c>
      <c r="I579" s="88"/>
    </row>
    <row r="580" spans="1:9" ht="19.8" customHeight="1" x14ac:dyDescent="0.3">
      <c r="A580" s="103">
        <v>45999</v>
      </c>
      <c r="B580" s="94" t="s">
        <v>36</v>
      </c>
      <c r="C580" s="95" t="s">
        <v>1119</v>
      </c>
      <c r="D580" s="94" t="s">
        <v>1098</v>
      </c>
      <c r="E580" s="104">
        <v>1.5</v>
      </c>
      <c r="F580" s="94" t="s">
        <v>42</v>
      </c>
      <c r="G580" s="96">
        <v>5</v>
      </c>
      <c r="H580" s="97">
        <v>479</v>
      </c>
      <c r="I580" s="88"/>
    </row>
    <row r="581" spans="1:9" ht="19.8" customHeight="1" x14ac:dyDescent="0.3">
      <c r="A581" s="103">
        <v>45999</v>
      </c>
      <c r="B581" s="94" t="s">
        <v>36</v>
      </c>
      <c r="C581" s="95" t="s">
        <v>1116</v>
      </c>
      <c r="D581" s="94" t="s">
        <v>1098</v>
      </c>
      <c r="E581" s="104">
        <v>1.305555555555556</v>
      </c>
      <c r="F581" s="94" t="s">
        <v>42</v>
      </c>
      <c r="G581" s="96">
        <v>9</v>
      </c>
      <c r="H581" s="97">
        <v>479</v>
      </c>
      <c r="I581" s="88"/>
    </row>
    <row r="582" spans="1:9" ht="19.8" customHeight="1" x14ac:dyDescent="0.3">
      <c r="A582" s="103">
        <v>45999</v>
      </c>
      <c r="B582" s="94" t="s">
        <v>36</v>
      </c>
      <c r="C582" s="95" t="s">
        <v>1117</v>
      </c>
      <c r="D582" s="94" t="s">
        <v>1098</v>
      </c>
      <c r="E582" s="104">
        <v>1.6875</v>
      </c>
      <c r="F582" s="94" t="s">
        <v>42</v>
      </c>
      <c r="G582" s="96">
        <v>1</v>
      </c>
      <c r="H582" s="97">
        <v>479</v>
      </c>
      <c r="I582" s="88"/>
    </row>
    <row r="583" spans="1:9" ht="19.8" customHeight="1" x14ac:dyDescent="0.3">
      <c r="A583" s="103">
        <v>45999</v>
      </c>
      <c r="B583" s="94" t="s">
        <v>78</v>
      </c>
      <c r="C583" s="95" t="s">
        <v>1137</v>
      </c>
      <c r="D583" s="94" t="s">
        <v>1098</v>
      </c>
      <c r="E583" s="104">
        <v>1.836805555555556</v>
      </c>
      <c r="F583" s="94" t="s">
        <v>80</v>
      </c>
      <c r="G583" s="96">
        <v>9</v>
      </c>
      <c r="H583" s="97">
        <v>495</v>
      </c>
      <c r="I583" s="88"/>
    </row>
    <row r="584" spans="1:9" ht="19.8" customHeight="1" x14ac:dyDescent="0.3">
      <c r="A584" s="103">
        <v>45999</v>
      </c>
      <c r="B584" s="94" t="s">
        <v>78</v>
      </c>
      <c r="C584" s="95" t="s">
        <v>1134</v>
      </c>
      <c r="D584" s="94" t="s">
        <v>1098</v>
      </c>
      <c r="E584" s="104">
        <v>1.6840277777777779</v>
      </c>
      <c r="F584" s="94" t="s">
        <v>80</v>
      </c>
      <c r="G584" s="96">
        <v>9</v>
      </c>
      <c r="H584" s="97">
        <v>495</v>
      </c>
      <c r="I584" s="88"/>
    </row>
    <row r="585" spans="1:9" ht="19.8" customHeight="1" x14ac:dyDescent="0.3">
      <c r="A585" s="103">
        <v>45999</v>
      </c>
      <c r="B585" s="94" t="s">
        <v>78</v>
      </c>
      <c r="C585" s="95" t="s">
        <v>1136</v>
      </c>
      <c r="D585" s="94" t="s">
        <v>1098</v>
      </c>
      <c r="E585" s="104">
        <v>1.4826388888888891</v>
      </c>
      <c r="F585" s="94" t="s">
        <v>80</v>
      </c>
      <c r="G585" s="96">
        <v>2</v>
      </c>
      <c r="H585" s="97">
        <v>495</v>
      </c>
      <c r="I585" s="88"/>
    </row>
    <row r="586" spans="1:9" ht="19.8" customHeight="1" x14ac:dyDescent="0.3">
      <c r="A586" s="103">
        <v>45999</v>
      </c>
      <c r="B586" s="94" t="s">
        <v>36</v>
      </c>
      <c r="C586" s="95" t="s">
        <v>1114</v>
      </c>
      <c r="D586" s="94" t="s">
        <v>1098</v>
      </c>
      <c r="E586" s="104">
        <v>1.375</v>
      </c>
      <c r="F586" s="94" t="s">
        <v>42</v>
      </c>
      <c r="G586" s="96">
        <v>2</v>
      </c>
      <c r="H586" s="97">
        <v>519</v>
      </c>
      <c r="I586" s="88"/>
    </row>
    <row r="587" spans="1:9" ht="19.8" customHeight="1" x14ac:dyDescent="0.3">
      <c r="A587" s="103">
        <v>45999</v>
      </c>
      <c r="B587" s="94" t="s">
        <v>36</v>
      </c>
      <c r="C587" s="95" t="s">
        <v>1115</v>
      </c>
      <c r="D587" s="94" t="s">
        <v>1098</v>
      </c>
      <c r="E587" s="104">
        <v>1.5659722222222221</v>
      </c>
      <c r="F587" s="94" t="s">
        <v>42</v>
      </c>
      <c r="G587" s="96">
        <v>9</v>
      </c>
      <c r="H587" s="97">
        <v>519</v>
      </c>
      <c r="I587" s="88"/>
    </row>
    <row r="588" spans="1:9" ht="19.8" customHeight="1" x14ac:dyDescent="0.3">
      <c r="A588" s="103">
        <v>45999</v>
      </c>
      <c r="B588" s="94" t="s">
        <v>36</v>
      </c>
      <c r="C588" s="95" t="s">
        <v>1118</v>
      </c>
      <c r="D588" s="94" t="s">
        <v>1098</v>
      </c>
      <c r="E588" s="104">
        <v>1.427083333333333</v>
      </c>
      <c r="F588" s="94" t="s">
        <v>42</v>
      </c>
      <c r="G588" s="96">
        <v>5</v>
      </c>
      <c r="H588" s="97">
        <v>519</v>
      </c>
      <c r="I588" s="88"/>
    </row>
    <row r="589" spans="1:9" ht="19.8" customHeight="1" x14ac:dyDescent="0.3">
      <c r="A589" s="103">
        <v>45999</v>
      </c>
      <c r="B589" s="94" t="s">
        <v>78</v>
      </c>
      <c r="C589" s="95" t="s">
        <v>1137</v>
      </c>
      <c r="D589" s="94" t="s">
        <v>1098</v>
      </c>
      <c r="E589" s="104">
        <v>1.836805555555556</v>
      </c>
      <c r="F589" s="94" t="s">
        <v>83</v>
      </c>
      <c r="G589" s="96">
        <v>9</v>
      </c>
      <c r="H589" s="97">
        <v>545</v>
      </c>
      <c r="I589" s="88"/>
    </row>
    <row r="590" spans="1:9" ht="19.8" customHeight="1" x14ac:dyDescent="0.3">
      <c r="A590" s="103">
        <v>45999</v>
      </c>
      <c r="B590" s="94" t="s">
        <v>78</v>
      </c>
      <c r="C590" s="95" t="s">
        <v>1134</v>
      </c>
      <c r="D590" s="94" t="s">
        <v>1098</v>
      </c>
      <c r="E590" s="104">
        <v>1.6840277777777779</v>
      </c>
      <c r="F590" s="94" t="s">
        <v>83</v>
      </c>
      <c r="G590" s="96">
        <v>9</v>
      </c>
      <c r="H590" s="97">
        <v>545</v>
      </c>
      <c r="I590" s="88"/>
    </row>
    <row r="591" spans="1:9" ht="19.8" customHeight="1" x14ac:dyDescent="0.3">
      <c r="A591" s="103">
        <v>45999</v>
      </c>
      <c r="B591" s="94" t="s">
        <v>78</v>
      </c>
      <c r="C591" s="95" t="s">
        <v>1136</v>
      </c>
      <c r="D591" s="94" t="s">
        <v>1098</v>
      </c>
      <c r="E591" s="104">
        <v>1.4826388888888891</v>
      </c>
      <c r="F591" s="94" t="s">
        <v>83</v>
      </c>
      <c r="G591" s="96">
        <v>2</v>
      </c>
      <c r="H591" s="97">
        <v>545</v>
      </c>
      <c r="I591" s="88"/>
    </row>
    <row r="592" spans="1:9" ht="19.8" customHeight="1" x14ac:dyDescent="0.3">
      <c r="A592" s="103">
        <v>45999</v>
      </c>
      <c r="B592" s="94" t="s">
        <v>78</v>
      </c>
      <c r="C592" s="95" t="s">
        <v>1140</v>
      </c>
      <c r="D592" s="94" t="s">
        <v>1098</v>
      </c>
      <c r="E592" s="104">
        <v>1.5</v>
      </c>
      <c r="F592" s="94" t="s">
        <v>83</v>
      </c>
      <c r="G592" s="96">
        <v>4</v>
      </c>
      <c r="H592" s="107" t="s">
        <v>1141</v>
      </c>
      <c r="I592" s="88"/>
    </row>
    <row r="593" spans="1:9" ht="19.8" customHeight="1" x14ac:dyDescent="0.3">
      <c r="A593" s="103">
        <v>45999</v>
      </c>
      <c r="B593" s="94" t="s">
        <v>78</v>
      </c>
      <c r="C593" s="95" t="s">
        <v>1142</v>
      </c>
      <c r="D593" s="94" t="s">
        <v>1098</v>
      </c>
      <c r="E593" s="104">
        <v>1.760416666666667</v>
      </c>
      <c r="F593" s="94" t="s">
        <v>83</v>
      </c>
      <c r="G593" s="96">
        <v>4</v>
      </c>
      <c r="H593" s="107" t="s">
        <v>1141</v>
      </c>
      <c r="I593" s="88"/>
    </row>
    <row r="594" spans="1:9" ht="19.8" customHeight="1" x14ac:dyDescent="0.3">
      <c r="A594" s="113">
        <v>45999</v>
      </c>
      <c r="B594" s="114" t="s">
        <v>78</v>
      </c>
      <c r="C594" s="115" t="s">
        <v>1143</v>
      </c>
      <c r="D594" s="114" t="s">
        <v>1098</v>
      </c>
      <c r="E594" s="116">
        <v>1.8159722222222221</v>
      </c>
      <c r="F594" s="114" t="s">
        <v>83</v>
      </c>
      <c r="G594" s="117">
        <v>4</v>
      </c>
      <c r="H594" s="118" t="s">
        <v>1205</v>
      </c>
      <c r="I594" s="88"/>
    </row>
    <row r="595" spans="1:9" ht="19.8" customHeight="1" x14ac:dyDescent="0.3">
      <c r="A595" s="103">
        <v>46000</v>
      </c>
      <c r="B595" s="94" t="s">
        <v>456</v>
      </c>
      <c r="C595" s="95" t="s">
        <v>1150</v>
      </c>
      <c r="D595" s="94" t="s">
        <v>1098</v>
      </c>
      <c r="E595" s="104">
        <v>1.2361111111111109</v>
      </c>
      <c r="F595" s="94" t="s">
        <v>458</v>
      </c>
      <c r="G595" s="96">
        <v>9</v>
      </c>
      <c r="H595" s="97">
        <v>323</v>
      </c>
      <c r="I595" s="88"/>
    </row>
    <row r="596" spans="1:9" ht="19.8" customHeight="1" x14ac:dyDescent="0.3">
      <c r="A596" s="103">
        <v>46000</v>
      </c>
      <c r="B596" s="94" t="s">
        <v>456</v>
      </c>
      <c r="C596" s="95" t="s">
        <v>1124</v>
      </c>
      <c r="D596" s="94" t="s">
        <v>1098</v>
      </c>
      <c r="E596" s="104">
        <v>1.6215277777777779</v>
      </c>
      <c r="F596" s="94" t="s">
        <v>458</v>
      </c>
      <c r="G596" s="96">
        <v>9</v>
      </c>
      <c r="H596" s="97">
        <v>323</v>
      </c>
      <c r="I596" s="88"/>
    </row>
    <row r="597" spans="1:9" ht="19.8" customHeight="1" x14ac:dyDescent="0.3">
      <c r="A597" s="103">
        <v>46000</v>
      </c>
      <c r="B597" s="94" t="s">
        <v>36</v>
      </c>
      <c r="C597" s="95" t="s">
        <v>1119</v>
      </c>
      <c r="D597" s="94" t="s">
        <v>1098</v>
      </c>
      <c r="E597" s="104">
        <v>1.5</v>
      </c>
      <c r="F597" s="94" t="s">
        <v>38</v>
      </c>
      <c r="G597" s="96">
        <v>9</v>
      </c>
      <c r="H597" s="97">
        <v>329</v>
      </c>
      <c r="I597" s="88"/>
    </row>
    <row r="598" spans="1:9" ht="19.8" customHeight="1" x14ac:dyDescent="0.3">
      <c r="A598" s="103">
        <v>46000</v>
      </c>
      <c r="B598" s="94" t="s">
        <v>36</v>
      </c>
      <c r="C598" s="95" t="s">
        <v>1114</v>
      </c>
      <c r="D598" s="94" t="s">
        <v>1098</v>
      </c>
      <c r="E598" s="104">
        <v>1.375</v>
      </c>
      <c r="F598" s="94" t="s">
        <v>38</v>
      </c>
      <c r="G598" s="96">
        <v>8</v>
      </c>
      <c r="H598" s="97">
        <v>329</v>
      </c>
      <c r="I598" s="88"/>
    </row>
    <row r="599" spans="1:9" ht="19.8" customHeight="1" x14ac:dyDescent="0.3">
      <c r="A599" s="103">
        <v>46000</v>
      </c>
      <c r="B599" s="94" t="s">
        <v>36</v>
      </c>
      <c r="C599" s="95" t="s">
        <v>1115</v>
      </c>
      <c r="D599" s="94" t="s">
        <v>1098</v>
      </c>
      <c r="E599" s="104">
        <v>1.5659722222222221</v>
      </c>
      <c r="F599" s="94" t="s">
        <v>38</v>
      </c>
      <c r="G599" s="96">
        <v>5</v>
      </c>
      <c r="H599" s="97">
        <v>329</v>
      </c>
      <c r="I599" s="88"/>
    </row>
    <row r="600" spans="1:9" ht="19.8" customHeight="1" x14ac:dyDescent="0.3">
      <c r="A600" s="103">
        <v>46000</v>
      </c>
      <c r="B600" s="94" t="s">
        <v>36</v>
      </c>
      <c r="C600" s="95" t="s">
        <v>1116</v>
      </c>
      <c r="D600" s="94" t="s">
        <v>1098</v>
      </c>
      <c r="E600" s="104">
        <v>1.305555555555556</v>
      </c>
      <c r="F600" s="94" t="s">
        <v>38</v>
      </c>
      <c r="G600" s="96">
        <v>3</v>
      </c>
      <c r="H600" s="97">
        <v>329</v>
      </c>
      <c r="I600" s="88"/>
    </row>
    <row r="601" spans="1:9" ht="19.8" customHeight="1" x14ac:dyDescent="0.3">
      <c r="A601" s="103">
        <v>46000</v>
      </c>
      <c r="B601" s="94" t="s">
        <v>36</v>
      </c>
      <c r="C601" s="95" t="s">
        <v>1118</v>
      </c>
      <c r="D601" s="94" t="s">
        <v>1098</v>
      </c>
      <c r="E601" s="104">
        <v>1.427083333333333</v>
      </c>
      <c r="F601" s="94" t="s">
        <v>38</v>
      </c>
      <c r="G601" s="96">
        <v>8</v>
      </c>
      <c r="H601" s="97">
        <v>329</v>
      </c>
      <c r="I601" s="88"/>
    </row>
    <row r="602" spans="1:9" ht="19.8" customHeight="1" x14ac:dyDescent="0.3">
      <c r="A602" s="103">
        <v>46000</v>
      </c>
      <c r="B602" s="94" t="s">
        <v>66</v>
      </c>
      <c r="C602" s="95" t="s">
        <v>1126</v>
      </c>
      <c r="D602" s="94" t="s">
        <v>1098</v>
      </c>
      <c r="E602" s="104">
        <v>1.166666666666667</v>
      </c>
      <c r="F602" s="94" t="s">
        <v>829</v>
      </c>
      <c r="G602" s="96">
        <v>9</v>
      </c>
      <c r="H602" s="97">
        <v>350</v>
      </c>
      <c r="I602" s="88"/>
    </row>
    <row r="603" spans="1:9" ht="19.8" customHeight="1" x14ac:dyDescent="0.3">
      <c r="A603" s="103">
        <v>46000</v>
      </c>
      <c r="B603" s="94" t="s">
        <v>66</v>
      </c>
      <c r="C603" s="95" t="s">
        <v>1128</v>
      </c>
      <c r="D603" s="94" t="s">
        <v>1098</v>
      </c>
      <c r="E603" s="104">
        <v>1.541666666666667</v>
      </c>
      <c r="F603" s="94" t="s">
        <v>829</v>
      </c>
      <c r="G603" s="96">
        <v>9</v>
      </c>
      <c r="H603" s="97">
        <v>350</v>
      </c>
      <c r="I603" s="88"/>
    </row>
    <row r="604" spans="1:9" ht="19.8" customHeight="1" x14ac:dyDescent="0.3">
      <c r="A604" s="103">
        <v>46000</v>
      </c>
      <c r="B604" s="94" t="s">
        <v>404</v>
      </c>
      <c r="C604" s="95" t="s">
        <v>1120</v>
      </c>
      <c r="D604" s="94" t="s">
        <v>1098</v>
      </c>
      <c r="E604" s="104">
        <v>1.2777777777777779</v>
      </c>
      <c r="F604" s="94" t="s">
        <v>46</v>
      </c>
      <c r="G604" s="96">
        <v>9</v>
      </c>
      <c r="H604" s="97">
        <v>350</v>
      </c>
      <c r="I604" s="88"/>
    </row>
    <row r="605" spans="1:9" ht="19.8" customHeight="1" x14ac:dyDescent="0.3">
      <c r="A605" s="103">
        <v>46000</v>
      </c>
      <c r="B605" s="94" t="s">
        <v>66</v>
      </c>
      <c r="C605" s="95" t="s">
        <v>1130</v>
      </c>
      <c r="D605" s="94" t="s">
        <v>1098</v>
      </c>
      <c r="E605" s="104">
        <v>1.916666666666667</v>
      </c>
      <c r="F605" s="94" t="s">
        <v>829</v>
      </c>
      <c r="G605" s="96">
        <v>3</v>
      </c>
      <c r="H605" s="97">
        <v>354</v>
      </c>
      <c r="I605" s="88"/>
    </row>
    <row r="606" spans="1:9" ht="19.8" customHeight="1" x14ac:dyDescent="0.3">
      <c r="A606" s="103">
        <v>46000</v>
      </c>
      <c r="B606" s="94" t="s">
        <v>410</v>
      </c>
      <c r="C606" s="95" t="s">
        <v>1167</v>
      </c>
      <c r="D606" s="94" t="s">
        <v>1098</v>
      </c>
      <c r="E606" s="104">
        <v>1.354166666666667</v>
      </c>
      <c r="F606" s="94" t="s">
        <v>46</v>
      </c>
      <c r="G606" s="96">
        <v>8</v>
      </c>
      <c r="H606" s="97">
        <v>357</v>
      </c>
      <c r="I606" s="88"/>
    </row>
    <row r="607" spans="1:9" ht="19.8" customHeight="1" x14ac:dyDescent="0.3">
      <c r="A607" s="103">
        <v>46000</v>
      </c>
      <c r="B607" s="94" t="s">
        <v>36</v>
      </c>
      <c r="C607" s="95" t="s">
        <v>1113</v>
      </c>
      <c r="D607" s="94" t="s">
        <v>1098</v>
      </c>
      <c r="E607" s="104">
        <v>1.8263888888888891</v>
      </c>
      <c r="F607" s="94" t="s">
        <v>38</v>
      </c>
      <c r="G607" s="96">
        <v>6</v>
      </c>
      <c r="H607" s="97">
        <v>369</v>
      </c>
      <c r="I607" s="88"/>
    </row>
    <row r="608" spans="1:9" ht="19.8" customHeight="1" x14ac:dyDescent="0.3">
      <c r="A608" s="103">
        <v>46000</v>
      </c>
      <c r="B608" s="94" t="s">
        <v>36</v>
      </c>
      <c r="C608" s="95" t="s">
        <v>1117</v>
      </c>
      <c r="D608" s="94" t="s">
        <v>1098</v>
      </c>
      <c r="E608" s="104">
        <v>1.6875</v>
      </c>
      <c r="F608" s="94" t="s">
        <v>38</v>
      </c>
      <c r="G608" s="96">
        <v>6</v>
      </c>
      <c r="H608" s="97">
        <v>369</v>
      </c>
      <c r="I608" s="88"/>
    </row>
    <row r="609" spans="1:9" ht="19.8" customHeight="1" x14ac:dyDescent="0.3">
      <c r="A609" s="105">
        <v>46000</v>
      </c>
      <c r="B609" s="99" t="s">
        <v>44</v>
      </c>
      <c r="C609" s="100" t="s">
        <v>1121</v>
      </c>
      <c r="D609" s="99" t="s">
        <v>1098</v>
      </c>
      <c r="E609" s="106">
        <v>1.913194444444444</v>
      </c>
      <c r="F609" s="99" t="s">
        <v>46</v>
      </c>
      <c r="G609" s="101">
        <v>9</v>
      </c>
      <c r="H609" s="102">
        <v>405</v>
      </c>
      <c r="I609" s="88"/>
    </row>
    <row r="610" spans="1:9" ht="19.8" customHeight="1" x14ac:dyDescent="0.3">
      <c r="A610" s="103">
        <v>46000</v>
      </c>
      <c r="B610" s="94" t="s">
        <v>36</v>
      </c>
      <c r="C610" s="95" t="s">
        <v>1119</v>
      </c>
      <c r="D610" s="94" t="s">
        <v>1098</v>
      </c>
      <c r="E610" s="104">
        <v>1.5</v>
      </c>
      <c r="F610" s="94" t="s">
        <v>40</v>
      </c>
      <c r="G610" s="96">
        <v>9</v>
      </c>
      <c r="H610" s="97">
        <v>429</v>
      </c>
      <c r="I610" s="88"/>
    </row>
    <row r="611" spans="1:9" ht="19.8" customHeight="1" x14ac:dyDescent="0.3">
      <c r="A611" s="103">
        <v>46000</v>
      </c>
      <c r="B611" s="94" t="s">
        <v>36</v>
      </c>
      <c r="C611" s="95" t="s">
        <v>1114</v>
      </c>
      <c r="D611" s="94" t="s">
        <v>1098</v>
      </c>
      <c r="E611" s="104">
        <v>1.375</v>
      </c>
      <c r="F611" s="94" t="s">
        <v>40</v>
      </c>
      <c r="G611" s="96">
        <v>8</v>
      </c>
      <c r="H611" s="97">
        <v>429</v>
      </c>
      <c r="I611" s="88"/>
    </row>
    <row r="612" spans="1:9" ht="19.8" customHeight="1" x14ac:dyDescent="0.3">
      <c r="A612" s="103">
        <v>46000</v>
      </c>
      <c r="B612" s="94" t="s">
        <v>36</v>
      </c>
      <c r="C612" s="95" t="s">
        <v>1115</v>
      </c>
      <c r="D612" s="94" t="s">
        <v>1098</v>
      </c>
      <c r="E612" s="104">
        <v>1.5659722222222221</v>
      </c>
      <c r="F612" s="94" t="s">
        <v>40</v>
      </c>
      <c r="G612" s="96">
        <v>5</v>
      </c>
      <c r="H612" s="97">
        <v>429</v>
      </c>
      <c r="I612" s="88"/>
    </row>
    <row r="613" spans="1:9" ht="19.8" customHeight="1" x14ac:dyDescent="0.3">
      <c r="A613" s="103">
        <v>46000</v>
      </c>
      <c r="B613" s="94" t="s">
        <v>36</v>
      </c>
      <c r="C613" s="95" t="s">
        <v>1116</v>
      </c>
      <c r="D613" s="94" t="s">
        <v>1098</v>
      </c>
      <c r="E613" s="104">
        <v>1.305555555555556</v>
      </c>
      <c r="F613" s="94" t="s">
        <v>40</v>
      </c>
      <c r="G613" s="96">
        <v>3</v>
      </c>
      <c r="H613" s="97">
        <v>429</v>
      </c>
      <c r="I613" s="88"/>
    </row>
    <row r="614" spans="1:9" ht="19.8" customHeight="1" x14ac:dyDescent="0.3">
      <c r="A614" s="103">
        <v>46000</v>
      </c>
      <c r="B614" s="94" t="s">
        <v>36</v>
      </c>
      <c r="C614" s="95" t="s">
        <v>1118</v>
      </c>
      <c r="D614" s="94" t="s">
        <v>1098</v>
      </c>
      <c r="E614" s="104">
        <v>1.427083333333333</v>
      </c>
      <c r="F614" s="94" t="s">
        <v>40</v>
      </c>
      <c r="G614" s="96">
        <v>8</v>
      </c>
      <c r="H614" s="97">
        <v>429</v>
      </c>
      <c r="I614" s="88"/>
    </row>
    <row r="615" spans="1:9" ht="19.8" customHeight="1" x14ac:dyDescent="0.3">
      <c r="A615" s="103">
        <v>46000</v>
      </c>
      <c r="B615" s="94" t="s">
        <v>456</v>
      </c>
      <c r="C615" s="95" t="s">
        <v>1150</v>
      </c>
      <c r="D615" s="94" t="s">
        <v>1098</v>
      </c>
      <c r="E615" s="104">
        <v>1.2361111111111109</v>
      </c>
      <c r="F615" s="94" t="s">
        <v>34</v>
      </c>
      <c r="G615" s="96">
        <v>9</v>
      </c>
      <c r="H615" s="97">
        <v>447</v>
      </c>
      <c r="I615" s="88"/>
    </row>
    <row r="616" spans="1:9" ht="19.8" customHeight="1" x14ac:dyDescent="0.3">
      <c r="A616" s="103">
        <v>46000</v>
      </c>
      <c r="B616" s="94" t="s">
        <v>456</v>
      </c>
      <c r="C616" s="95" t="s">
        <v>1124</v>
      </c>
      <c r="D616" s="94" t="s">
        <v>1098</v>
      </c>
      <c r="E616" s="104">
        <v>1.6215277777777779</v>
      </c>
      <c r="F616" s="94" t="s">
        <v>34</v>
      </c>
      <c r="G616" s="96">
        <v>9</v>
      </c>
      <c r="H616" s="97">
        <v>447</v>
      </c>
      <c r="I616" s="88"/>
    </row>
    <row r="617" spans="1:9" ht="19.8" customHeight="1" x14ac:dyDescent="0.3">
      <c r="A617" s="103">
        <v>46000</v>
      </c>
      <c r="B617" s="94" t="s">
        <v>36</v>
      </c>
      <c r="C617" s="95" t="s">
        <v>1113</v>
      </c>
      <c r="D617" s="94" t="s">
        <v>1098</v>
      </c>
      <c r="E617" s="104">
        <v>1.8263888888888891</v>
      </c>
      <c r="F617" s="94" t="s">
        <v>40</v>
      </c>
      <c r="G617" s="96">
        <v>6</v>
      </c>
      <c r="H617" s="97">
        <v>469</v>
      </c>
      <c r="I617" s="88"/>
    </row>
    <row r="618" spans="1:9" ht="19.8" customHeight="1" x14ac:dyDescent="0.3">
      <c r="A618" s="103">
        <v>46000</v>
      </c>
      <c r="B618" s="94" t="s">
        <v>36</v>
      </c>
      <c r="C618" s="95" t="s">
        <v>1117</v>
      </c>
      <c r="D618" s="94" t="s">
        <v>1098</v>
      </c>
      <c r="E618" s="104">
        <v>1.6875</v>
      </c>
      <c r="F618" s="94" t="s">
        <v>40</v>
      </c>
      <c r="G618" s="96">
        <v>6</v>
      </c>
      <c r="H618" s="97">
        <v>469</v>
      </c>
      <c r="I618" s="88"/>
    </row>
    <row r="619" spans="1:9" ht="19.8" customHeight="1" x14ac:dyDescent="0.3">
      <c r="A619" s="103">
        <v>46000</v>
      </c>
      <c r="B619" s="94" t="s">
        <v>78</v>
      </c>
      <c r="C619" s="95" t="s">
        <v>1131</v>
      </c>
      <c r="D619" s="94" t="s">
        <v>1098</v>
      </c>
      <c r="E619" s="104">
        <v>1.552083333333333</v>
      </c>
      <c r="F619" s="94" t="s">
        <v>80</v>
      </c>
      <c r="G619" s="96">
        <v>9</v>
      </c>
      <c r="H619" s="97">
        <v>495</v>
      </c>
      <c r="I619" s="88"/>
    </row>
    <row r="620" spans="1:9" ht="19.8" customHeight="1" x14ac:dyDescent="0.3">
      <c r="A620" s="103">
        <v>46000</v>
      </c>
      <c r="B620" s="94" t="s">
        <v>78</v>
      </c>
      <c r="C620" s="95" t="s">
        <v>1135</v>
      </c>
      <c r="D620" s="94" t="s">
        <v>1098</v>
      </c>
      <c r="E620" s="104">
        <v>1.2986111111111109</v>
      </c>
      <c r="F620" s="94" t="s">
        <v>80</v>
      </c>
      <c r="G620" s="96">
        <v>9</v>
      </c>
      <c r="H620" s="97">
        <v>495</v>
      </c>
      <c r="I620" s="88"/>
    </row>
    <row r="621" spans="1:9" ht="19.8" customHeight="1" x14ac:dyDescent="0.3">
      <c r="A621" s="103">
        <v>46000</v>
      </c>
      <c r="B621" s="94" t="s">
        <v>78</v>
      </c>
      <c r="C621" s="95" t="s">
        <v>1136</v>
      </c>
      <c r="D621" s="94" t="s">
        <v>1098</v>
      </c>
      <c r="E621" s="104">
        <v>1.4826388888888891</v>
      </c>
      <c r="F621" s="94" t="s">
        <v>80</v>
      </c>
      <c r="G621" s="96">
        <v>9</v>
      </c>
      <c r="H621" s="97">
        <v>495</v>
      </c>
      <c r="I621" s="88"/>
    </row>
    <row r="622" spans="1:9" ht="19.8" customHeight="1" x14ac:dyDescent="0.3">
      <c r="A622" s="103">
        <v>46000</v>
      </c>
      <c r="B622" s="94" t="s">
        <v>36</v>
      </c>
      <c r="C622" s="95" t="s">
        <v>1119</v>
      </c>
      <c r="D622" s="94" t="s">
        <v>1098</v>
      </c>
      <c r="E622" s="104">
        <v>1.5</v>
      </c>
      <c r="F622" s="94" t="s">
        <v>42</v>
      </c>
      <c r="G622" s="96">
        <v>9</v>
      </c>
      <c r="H622" s="97">
        <v>519</v>
      </c>
      <c r="I622" s="88"/>
    </row>
    <row r="623" spans="1:9" ht="19.8" customHeight="1" x14ac:dyDescent="0.3">
      <c r="A623" s="103">
        <v>46000</v>
      </c>
      <c r="B623" s="94" t="s">
        <v>36</v>
      </c>
      <c r="C623" s="95" t="s">
        <v>1114</v>
      </c>
      <c r="D623" s="94" t="s">
        <v>1098</v>
      </c>
      <c r="E623" s="104">
        <v>1.375</v>
      </c>
      <c r="F623" s="94" t="s">
        <v>42</v>
      </c>
      <c r="G623" s="96">
        <v>8</v>
      </c>
      <c r="H623" s="97">
        <v>519</v>
      </c>
      <c r="I623" s="88"/>
    </row>
    <row r="624" spans="1:9" ht="19.8" customHeight="1" x14ac:dyDescent="0.3">
      <c r="A624" s="103">
        <v>46000</v>
      </c>
      <c r="B624" s="94" t="s">
        <v>36</v>
      </c>
      <c r="C624" s="95" t="s">
        <v>1115</v>
      </c>
      <c r="D624" s="94" t="s">
        <v>1098</v>
      </c>
      <c r="E624" s="104">
        <v>1.5659722222222221</v>
      </c>
      <c r="F624" s="94" t="s">
        <v>42</v>
      </c>
      <c r="G624" s="96">
        <v>5</v>
      </c>
      <c r="H624" s="97">
        <v>519</v>
      </c>
      <c r="I624" s="88"/>
    </row>
    <row r="625" spans="1:9" ht="19.8" customHeight="1" x14ac:dyDescent="0.3">
      <c r="A625" s="103">
        <v>46000</v>
      </c>
      <c r="B625" s="94" t="s">
        <v>36</v>
      </c>
      <c r="C625" s="95" t="s">
        <v>1116</v>
      </c>
      <c r="D625" s="94" t="s">
        <v>1098</v>
      </c>
      <c r="E625" s="104">
        <v>1.305555555555556</v>
      </c>
      <c r="F625" s="94" t="s">
        <v>42</v>
      </c>
      <c r="G625" s="96">
        <v>3</v>
      </c>
      <c r="H625" s="97">
        <v>519</v>
      </c>
      <c r="I625" s="88"/>
    </row>
    <row r="626" spans="1:9" ht="19.8" customHeight="1" x14ac:dyDescent="0.3">
      <c r="A626" s="103">
        <v>46000</v>
      </c>
      <c r="B626" s="94" t="s">
        <v>36</v>
      </c>
      <c r="C626" s="95" t="s">
        <v>1118</v>
      </c>
      <c r="D626" s="94" t="s">
        <v>1098</v>
      </c>
      <c r="E626" s="104">
        <v>1.427083333333333</v>
      </c>
      <c r="F626" s="94" t="s">
        <v>42</v>
      </c>
      <c r="G626" s="96">
        <v>8</v>
      </c>
      <c r="H626" s="97">
        <v>519</v>
      </c>
      <c r="I626" s="88"/>
    </row>
    <row r="627" spans="1:9" ht="19.8" customHeight="1" x14ac:dyDescent="0.3">
      <c r="A627" s="103">
        <v>46000</v>
      </c>
      <c r="B627" s="94" t="s">
        <v>78</v>
      </c>
      <c r="C627" s="95" t="s">
        <v>1131</v>
      </c>
      <c r="D627" s="94" t="s">
        <v>1098</v>
      </c>
      <c r="E627" s="104">
        <v>1.552083333333333</v>
      </c>
      <c r="F627" s="94" t="s">
        <v>83</v>
      </c>
      <c r="G627" s="96">
        <v>9</v>
      </c>
      <c r="H627" s="97">
        <v>545</v>
      </c>
      <c r="I627" s="88"/>
    </row>
    <row r="628" spans="1:9" ht="19.8" customHeight="1" x14ac:dyDescent="0.3">
      <c r="A628" s="103">
        <v>46000</v>
      </c>
      <c r="B628" s="94" t="s">
        <v>78</v>
      </c>
      <c r="C628" s="95" t="s">
        <v>1135</v>
      </c>
      <c r="D628" s="94" t="s">
        <v>1098</v>
      </c>
      <c r="E628" s="104">
        <v>1.2986111111111109</v>
      </c>
      <c r="F628" s="94" t="s">
        <v>83</v>
      </c>
      <c r="G628" s="96">
        <v>9</v>
      </c>
      <c r="H628" s="97">
        <v>545</v>
      </c>
      <c r="I628" s="88"/>
    </row>
    <row r="629" spans="1:9" ht="19.8" customHeight="1" x14ac:dyDescent="0.3">
      <c r="A629" s="103">
        <v>46000</v>
      </c>
      <c r="B629" s="94" t="s">
        <v>78</v>
      </c>
      <c r="C629" s="95" t="s">
        <v>1136</v>
      </c>
      <c r="D629" s="94" t="s">
        <v>1098</v>
      </c>
      <c r="E629" s="104">
        <v>1.4826388888888891</v>
      </c>
      <c r="F629" s="94" t="s">
        <v>83</v>
      </c>
      <c r="G629" s="96">
        <v>9</v>
      </c>
      <c r="H629" s="97">
        <v>545</v>
      </c>
      <c r="I629" s="88"/>
    </row>
    <row r="630" spans="1:9" ht="19.8" customHeight="1" x14ac:dyDescent="0.3">
      <c r="A630" s="103">
        <v>46000</v>
      </c>
      <c r="B630" s="94" t="s">
        <v>36</v>
      </c>
      <c r="C630" s="95" t="s">
        <v>1113</v>
      </c>
      <c r="D630" s="94" t="s">
        <v>1098</v>
      </c>
      <c r="E630" s="104">
        <v>1.8263888888888891</v>
      </c>
      <c r="F630" s="94" t="s">
        <v>42</v>
      </c>
      <c r="G630" s="96">
        <v>6</v>
      </c>
      <c r="H630" s="97">
        <v>559</v>
      </c>
      <c r="I630" s="88"/>
    </row>
    <row r="631" spans="1:9" ht="19.8" customHeight="1" x14ac:dyDescent="0.3">
      <c r="A631" s="103">
        <v>46000</v>
      </c>
      <c r="B631" s="94" t="s">
        <v>36</v>
      </c>
      <c r="C631" s="95" t="s">
        <v>1117</v>
      </c>
      <c r="D631" s="94" t="s">
        <v>1098</v>
      </c>
      <c r="E631" s="104">
        <v>1.6875</v>
      </c>
      <c r="F631" s="94" t="s">
        <v>42</v>
      </c>
      <c r="G631" s="96">
        <v>6</v>
      </c>
      <c r="H631" s="97">
        <v>559</v>
      </c>
      <c r="I631" s="88"/>
    </row>
    <row r="632" spans="1:9" ht="19.8" customHeight="1" x14ac:dyDescent="0.3">
      <c r="A632" s="103">
        <v>46000</v>
      </c>
      <c r="B632" s="94" t="s">
        <v>78</v>
      </c>
      <c r="C632" s="95" t="s">
        <v>1137</v>
      </c>
      <c r="D632" s="94" t="s">
        <v>1098</v>
      </c>
      <c r="E632" s="104">
        <v>1.836805555555556</v>
      </c>
      <c r="F632" s="94" t="s">
        <v>80</v>
      </c>
      <c r="G632" s="96">
        <v>9</v>
      </c>
      <c r="H632" s="97">
        <v>661</v>
      </c>
      <c r="I632" s="88"/>
    </row>
    <row r="633" spans="1:9" ht="19.8" customHeight="1" x14ac:dyDescent="0.3">
      <c r="A633" s="103">
        <v>46000</v>
      </c>
      <c r="B633" s="94" t="s">
        <v>78</v>
      </c>
      <c r="C633" s="95" t="s">
        <v>1134</v>
      </c>
      <c r="D633" s="94" t="s">
        <v>1098</v>
      </c>
      <c r="E633" s="104">
        <v>1.6840277777777779</v>
      </c>
      <c r="F633" s="94" t="s">
        <v>80</v>
      </c>
      <c r="G633" s="96">
        <v>9</v>
      </c>
      <c r="H633" s="97">
        <v>661</v>
      </c>
      <c r="I633" s="88"/>
    </row>
    <row r="634" spans="1:9" ht="19.8" customHeight="1" x14ac:dyDescent="0.3">
      <c r="A634" s="103">
        <v>46000</v>
      </c>
      <c r="B634" s="94" t="s">
        <v>78</v>
      </c>
      <c r="C634" s="95" t="s">
        <v>1137</v>
      </c>
      <c r="D634" s="94" t="s">
        <v>1098</v>
      </c>
      <c r="E634" s="104">
        <v>1.836805555555556</v>
      </c>
      <c r="F634" s="94" t="s">
        <v>83</v>
      </c>
      <c r="G634" s="96">
        <v>9</v>
      </c>
      <c r="H634" s="97">
        <v>711</v>
      </c>
      <c r="I634" s="88"/>
    </row>
    <row r="635" spans="1:9" ht="19.8" customHeight="1" x14ac:dyDescent="0.3">
      <c r="A635" s="103">
        <v>46000</v>
      </c>
      <c r="B635" s="94" t="s">
        <v>78</v>
      </c>
      <c r="C635" s="95" t="s">
        <v>1134</v>
      </c>
      <c r="D635" s="94" t="s">
        <v>1098</v>
      </c>
      <c r="E635" s="104">
        <v>1.6840277777777779</v>
      </c>
      <c r="F635" s="94" t="s">
        <v>83</v>
      </c>
      <c r="G635" s="96">
        <v>9</v>
      </c>
      <c r="H635" s="97">
        <v>711</v>
      </c>
      <c r="I635" s="88"/>
    </row>
    <row r="636" spans="1:9" ht="19.8" customHeight="1" x14ac:dyDescent="0.3">
      <c r="A636" s="103">
        <v>46000</v>
      </c>
      <c r="B636" s="94" t="s">
        <v>78</v>
      </c>
      <c r="C636" s="95" t="s">
        <v>1140</v>
      </c>
      <c r="D636" s="94" t="s">
        <v>1098</v>
      </c>
      <c r="E636" s="104">
        <v>1.5</v>
      </c>
      <c r="F636" s="94" t="s">
        <v>83</v>
      </c>
      <c r="G636" s="96">
        <v>4</v>
      </c>
      <c r="H636" s="107" t="s">
        <v>1141</v>
      </c>
      <c r="I636" s="88"/>
    </row>
    <row r="637" spans="1:9" ht="19.8" customHeight="1" x14ac:dyDescent="0.3">
      <c r="A637" s="103">
        <v>46000</v>
      </c>
      <c r="B637" s="94" t="s">
        <v>78</v>
      </c>
      <c r="C637" s="95" t="s">
        <v>1142</v>
      </c>
      <c r="D637" s="94" t="s">
        <v>1098</v>
      </c>
      <c r="E637" s="104">
        <v>1.760416666666667</v>
      </c>
      <c r="F637" s="94" t="s">
        <v>83</v>
      </c>
      <c r="G637" s="96">
        <v>4</v>
      </c>
      <c r="H637" s="107" t="s">
        <v>1214</v>
      </c>
      <c r="I637" s="88"/>
    </row>
    <row r="638" spans="1:9" ht="19.8" customHeight="1" x14ac:dyDescent="0.3">
      <c r="A638" s="113">
        <v>46000</v>
      </c>
      <c r="B638" s="114" t="s">
        <v>78</v>
      </c>
      <c r="C638" s="115" t="s">
        <v>1143</v>
      </c>
      <c r="D638" s="114" t="s">
        <v>1098</v>
      </c>
      <c r="E638" s="116">
        <v>1.8159722222222221</v>
      </c>
      <c r="F638" s="114" t="s">
        <v>83</v>
      </c>
      <c r="G638" s="117">
        <v>4</v>
      </c>
      <c r="H638" s="118" t="s">
        <v>1214</v>
      </c>
      <c r="I638" s="88"/>
    </row>
    <row r="639" spans="1:9" ht="19.8" customHeight="1" x14ac:dyDescent="0.3">
      <c r="A639" s="103">
        <v>46001</v>
      </c>
      <c r="B639" s="94" t="s">
        <v>36</v>
      </c>
      <c r="C639" s="95" t="s">
        <v>1119</v>
      </c>
      <c r="D639" s="94" t="s">
        <v>1098</v>
      </c>
      <c r="E639" s="104">
        <v>1.5</v>
      </c>
      <c r="F639" s="94" t="s">
        <v>38</v>
      </c>
      <c r="G639" s="96">
        <v>9</v>
      </c>
      <c r="H639" s="97">
        <v>329</v>
      </c>
      <c r="I639" s="88"/>
    </row>
    <row r="640" spans="1:9" ht="19.8" customHeight="1" x14ac:dyDescent="0.3">
      <c r="A640" s="103">
        <v>46001</v>
      </c>
      <c r="B640" s="94" t="s">
        <v>36</v>
      </c>
      <c r="C640" s="95" t="s">
        <v>1114</v>
      </c>
      <c r="D640" s="94" t="s">
        <v>1098</v>
      </c>
      <c r="E640" s="104">
        <v>1.375</v>
      </c>
      <c r="F640" s="94" t="s">
        <v>38</v>
      </c>
      <c r="G640" s="96">
        <v>6</v>
      </c>
      <c r="H640" s="97">
        <v>329</v>
      </c>
      <c r="I640" s="88"/>
    </row>
    <row r="641" spans="1:9" ht="19.8" customHeight="1" x14ac:dyDescent="0.3">
      <c r="A641" s="103">
        <v>46001</v>
      </c>
      <c r="B641" s="94" t="s">
        <v>36</v>
      </c>
      <c r="C641" s="95" t="s">
        <v>1118</v>
      </c>
      <c r="D641" s="94" t="s">
        <v>1098</v>
      </c>
      <c r="E641" s="104">
        <v>1.427083333333333</v>
      </c>
      <c r="F641" s="94" t="s">
        <v>38</v>
      </c>
      <c r="G641" s="96">
        <v>4</v>
      </c>
      <c r="H641" s="97">
        <v>329</v>
      </c>
      <c r="I641" s="88"/>
    </row>
    <row r="642" spans="1:9" ht="19.8" customHeight="1" x14ac:dyDescent="0.3">
      <c r="A642" s="103">
        <v>46001</v>
      </c>
      <c r="B642" s="94" t="s">
        <v>26</v>
      </c>
      <c r="C642" s="95" t="s">
        <v>1107</v>
      </c>
      <c r="D642" s="94" t="s">
        <v>1098</v>
      </c>
      <c r="E642" s="104">
        <v>1.447916666666667</v>
      </c>
      <c r="F642" s="94" t="s">
        <v>28</v>
      </c>
      <c r="G642" s="96">
        <v>13</v>
      </c>
      <c r="H642" s="97">
        <v>339</v>
      </c>
      <c r="I642" s="88"/>
    </row>
    <row r="643" spans="1:9" ht="19.8" customHeight="1" x14ac:dyDescent="0.3">
      <c r="A643" s="103">
        <v>46001</v>
      </c>
      <c r="B643" s="94" t="s">
        <v>456</v>
      </c>
      <c r="C643" s="95" t="s">
        <v>1150</v>
      </c>
      <c r="D643" s="94" t="s">
        <v>1098</v>
      </c>
      <c r="E643" s="104">
        <v>1.2361111111111109</v>
      </c>
      <c r="F643" s="94" t="s">
        <v>458</v>
      </c>
      <c r="G643" s="96">
        <v>9</v>
      </c>
      <c r="H643" s="97">
        <v>342</v>
      </c>
      <c r="I643" s="88"/>
    </row>
    <row r="644" spans="1:9" ht="19.8" customHeight="1" x14ac:dyDescent="0.3">
      <c r="A644" s="103">
        <v>46001</v>
      </c>
      <c r="B644" s="94" t="s">
        <v>66</v>
      </c>
      <c r="C644" s="95" t="s">
        <v>1126</v>
      </c>
      <c r="D644" s="94" t="s">
        <v>1098</v>
      </c>
      <c r="E644" s="104">
        <v>1.166666666666667</v>
      </c>
      <c r="F644" s="94" t="s">
        <v>829</v>
      </c>
      <c r="G644" s="96">
        <v>9</v>
      </c>
      <c r="H644" s="97">
        <v>350</v>
      </c>
      <c r="I644" s="88"/>
    </row>
    <row r="645" spans="1:9" ht="19.8" customHeight="1" x14ac:dyDescent="0.3">
      <c r="A645" s="103">
        <v>46001</v>
      </c>
      <c r="B645" s="94" t="s">
        <v>66</v>
      </c>
      <c r="C645" s="95" t="s">
        <v>1128</v>
      </c>
      <c r="D645" s="94" t="s">
        <v>1098</v>
      </c>
      <c r="E645" s="104">
        <v>1.541666666666667</v>
      </c>
      <c r="F645" s="94" t="s">
        <v>829</v>
      </c>
      <c r="G645" s="96">
        <v>9</v>
      </c>
      <c r="H645" s="97">
        <v>350</v>
      </c>
      <c r="I645" s="88"/>
    </row>
    <row r="646" spans="1:9" ht="19.8" customHeight="1" x14ac:dyDescent="0.3">
      <c r="A646" s="103">
        <v>46001</v>
      </c>
      <c r="B646" s="94" t="s">
        <v>26</v>
      </c>
      <c r="C646" s="95" t="s">
        <v>1104</v>
      </c>
      <c r="D646" s="94" t="s">
        <v>1098</v>
      </c>
      <c r="E646" s="104">
        <v>1.5</v>
      </c>
      <c r="F646" s="94" t="s">
        <v>28</v>
      </c>
      <c r="G646" s="96">
        <v>1</v>
      </c>
      <c r="H646" s="97">
        <v>369</v>
      </c>
      <c r="I646" s="88"/>
    </row>
    <row r="647" spans="1:9" ht="19.8" customHeight="1" x14ac:dyDescent="0.3">
      <c r="A647" s="103">
        <v>46001</v>
      </c>
      <c r="B647" s="94" t="s">
        <v>36</v>
      </c>
      <c r="C647" s="95" t="s">
        <v>1115</v>
      </c>
      <c r="D647" s="94" t="s">
        <v>1098</v>
      </c>
      <c r="E647" s="104">
        <v>1.5659722222222221</v>
      </c>
      <c r="F647" s="94" t="s">
        <v>38</v>
      </c>
      <c r="G647" s="96">
        <v>8</v>
      </c>
      <c r="H647" s="97">
        <v>389</v>
      </c>
      <c r="I647" s="88"/>
    </row>
    <row r="648" spans="1:9" ht="19.8" customHeight="1" x14ac:dyDescent="0.3">
      <c r="A648" s="103">
        <v>46001</v>
      </c>
      <c r="B648" s="94" t="s">
        <v>36</v>
      </c>
      <c r="C648" s="95" t="s">
        <v>1116</v>
      </c>
      <c r="D648" s="94" t="s">
        <v>1098</v>
      </c>
      <c r="E648" s="104">
        <v>1.305555555555556</v>
      </c>
      <c r="F648" s="94" t="s">
        <v>38</v>
      </c>
      <c r="G648" s="96">
        <v>4</v>
      </c>
      <c r="H648" s="97">
        <v>389</v>
      </c>
      <c r="I648" s="88"/>
    </row>
    <row r="649" spans="1:9" ht="19.8" customHeight="1" x14ac:dyDescent="0.3">
      <c r="A649" s="105">
        <v>46001</v>
      </c>
      <c r="B649" s="99" t="s">
        <v>44</v>
      </c>
      <c r="C649" s="100" t="s">
        <v>1121</v>
      </c>
      <c r="D649" s="99" t="s">
        <v>1098</v>
      </c>
      <c r="E649" s="106">
        <v>1.9236111111111109</v>
      </c>
      <c r="F649" s="99" t="s">
        <v>46</v>
      </c>
      <c r="G649" s="101">
        <v>7</v>
      </c>
      <c r="H649" s="102">
        <v>405</v>
      </c>
      <c r="I649" s="88"/>
    </row>
    <row r="650" spans="1:9" ht="19.8" customHeight="1" x14ac:dyDescent="0.3">
      <c r="A650" s="105">
        <v>46001</v>
      </c>
      <c r="B650" s="99" t="s">
        <v>44</v>
      </c>
      <c r="C650" s="100" t="s">
        <v>1154</v>
      </c>
      <c r="D650" s="99" t="s">
        <v>1098</v>
      </c>
      <c r="E650" s="106">
        <v>1.6111111111111109</v>
      </c>
      <c r="F650" s="99" t="s">
        <v>46</v>
      </c>
      <c r="G650" s="101">
        <v>9</v>
      </c>
      <c r="H650" s="102">
        <v>405</v>
      </c>
      <c r="I650" s="88"/>
    </row>
    <row r="651" spans="1:9" ht="19.8" customHeight="1" x14ac:dyDescent="0.3">
      <c r="A651" s="103">
        <v>46001</v>
      </c>
      <c r="B651" s="94" t="s">
        <v>410</v>
      </c>
      <c r="C651" s="95" t="s">
        <v>1157</v>
      </c>
      <c r="D651" s="94" t="s">
        <v>1098</v>
      </c>
      <c r="E651" s="104">
        <v>1.802083333333333</v>
      </c>
      <c r="F651" s="94" t="s">
        <v>46</v>
      </c>
      <c r="G651" s="96">
        <v>9</v>
      </c>
      <c r="H651" s="97">
        <v>416</v>
      </c>
      <c r="I651" s="88"/>
    </row>
    <row r="652" spans="1:9" ht="19.8" customHeight="1" x14ac:dyDescent="0.3">
      <c r="A652" s="103">
        <v>46001</v>
      </c>
      <c r="B652" s="94" t="s">
        <v>36</v>
      </c>
      <c r="C652" s="95" t="s">
        <v>1119</v>
      </c>
      <c r="D652" s="94" t="s">
        <v>1098</v>
      </c>
      <c r="E652" s="104">
        <v>1.5</v>
      </c>
      <c r="F652" s="94" t="s">
        <v>40</v>
      </c>
      <c r="G652" s="96">
        <v>9</v>
      </c>
      <c r="H652" s="97">
        <v>429</v>
      </c>
      <c r="I652" s="88"/>
    </row>
    <row r="653" spans="1:9" ht="19.8" customHeight="1" x14ac:dyDescent="0.3">
      <c r="A653" s="103">
        <v>46001</v>
      </c>
      <c r="B653" s="94" t="s">
        <v>36</v>
      </c>
      <c r="C653" s="95" t="s">
        <v>1114</v>
      </c>
      <c r="D653" s="94" t="s">
        <v>1098</v>
      </c>
      <c r="E653" s="104">
        <v>1.375</v>
      </c>
      <c r="F653" s="94" t="s">
        <v>40</v>
      </c>
      <c r="G653" s="96">
        <v>6</v>
      </c>
      <c r="H653" s="97">
        <v>429</v>
      </c>
      <c r="I653" s="88"/>
    </row>
    <row r="654" spans="1:9" ht="19.8" customHeight="1" x14ac:dyDescent="0.3">
      <c r="A654" s="103">
        <v>46001</v>
      </c>
      <c r="B654" s="94" t="s">
        <v>36</v>
      </c>
      <c r="C654" s="95" t="s">
        <v>1118</v>
      </c>
      <c r="D654" s="94" t="s">
        <v>1098</v>
      </c>
      <c r="E654" s="104">
        <v>1.427083333333333</v>
      </c>
      <c r="F654" s="94" t="s">
        <v>40</v>
      </c>
      <c r="G654" s="96">
        <v>4</v>
      </c>
      <c r="H654" s="97">
        <v>429</v>
      </c>
      <c r="I654" s="88"/>
    </row>
    <row r="655" spans="1:9" ht="19.8" customHeight="1" x14ac:dyDescent="0.3">
      <c r="A655" s="103">
        <v>46001</v>
      </c>
      <c r="B655" s="94" t="s">
        <v>456</v>
      </c>
      <c r="C655" s="95" t="s">
        <v>1150</v>
      </c>
      <c r="D655" s="94" t="s">
        <v>1098</v>
      </c>
      <c r="E655" s="104">
        <v>1.2361111111111109</v>
      </c>
      <c r="F655" s="94" t="s">
        <v>34</v>
      </c>
      <c r="G655" s="96">
        <v>9</v>
      </c>
      <c r="H655" s="97">
        <v>465</v>
      </c>
      <c r="I655" s="88"/>
    </row>
    <row r="656" spans="1:9" ht="19.8" customHeight="1" x14ac:dyDescent="0.3">
      <c r="A656" s="103">
        <v>46001</v>
      </c>
      <c r="B656" s="94" t="s">
        <v>26</v>
      </c>
      <c r="C656" s="95" t="s">
        <v>1099</v>
      </c>
      <c r="D656" s="94" t="s">
        <v>1098</v>
      </c>
      <c r="E656" s="104">
        <v>1.760416666666667</v>
      </c>
      <c r="F656" s="94" t="s">
        <v>28</v>
      </c>
      <c r="G656" s="96">
        <v>14</v>
      </c>
      <c r="H656" s="97">
        <v>469</v>
      </c>
      <c r="I656" s="88"/>
    </row>
    <row r="657" spans="1:9" ht="19.8" customHeight="1" x14ac:dyDescent="0.3">
      <c r="A657" s="103">
        <v>46001</v>
      </c>
      <c r="B657" s="94" t="s">
        <v>26</v>
      </c>
      <c r="C657" s="95" t="s">
        <v>1110</v>
      </c>
      <c r="D657" s="94" t="s">
        <v>1098</v>
      </c>
      <c r="E657" s="104">
        <v>1.8159722222222221</v>
      </c>
      <c r="F657" s="94" t="s">
        <v>28</v>
      </c>
      <c r="G657" s="96">
        <v>12</v>
      </c>
      <c r="H657" s="97">
        <v>469</v>
      </c>
      <c r="I657" s="88"/>
    </row>
    <row r="658" spans="1:9" ht="19.8" customHeight="1" x14ac:dyDescent="0.3">
      <c r="A658" s="103">
        <v>46001</v>
      </c>
      <c r="B658" s="94" t="s">
        <v>36</v>
      </c>
      <c r="C658" s="95" t="s">
        <v>1113</v>
      </c>
      <c r="D658" s="94" t="s">
        <v>1098</v>
      </c>
      <c r="E658" s="104">
        <v>1.8263888888888891</v>
      </c>
      <c r="F658" s="94" t="s">
        <v>38</v>
      </c>
      <c r="G658" s="96">
        <v>1</v>
      </c>
      <c r="H658" s="97">
        <v>469</v>
      </c>
      <c r="I658" s="88"/>
    </row>
    <row r="659" spans="1:9" ht="19.8" customHeight="1" x14ac:dyDescent="0.3">
      <c r="A659" s="103">
        <v>46001</v>
      </c>
      <c r="B659" s="94" t="s">
        <v>36</v>
      </c>
      <c r="C659" s="95" t="s">
        <v>1117</v>
      </c>
      <c r="D659" s="94" t="s">
        <v>1098</v>
      </c>
      <c r="E659" s="104">
        <v>1.6875</v>
      </c>
      <c r="F659" s="94" t="s">
        <v>38</v>
      </c>
      <c r="G659" s="96">
        <v>6</v>
      </c>
      <c r="H659" s="97">
        <v>469</v>
      </c>
      <c r="I659" s="88"/>
    </row>
    <row r="660" spans="1:9" ht="19.8" customHeight="1" x14ac:dyDescent="0.3">
      <c r="A660" s="103">
        <v>46001</v>
      </c>
      <c r="B660" s="94" t="s">
        <v>26</v>
      </c>
      <c r="C660" s="95" t="s">
        <v>1107</v>
      </c>
      <c r="D660" s="94" t="s">
        <v>1098</v>
      </c>
      <c r="E660" s="104">
        <v>1.447916666666667</v>
      </c>
      <c r="F660" s="94" t="s">
        <v>31</v>
      </c>
      <c r="G660" s="96">
        <v>13</v>
      </c>
      <c r="H660" s="97">
        <v>489</v>
      </c>
      <c r="I660" s="88"/>
    </row>
    <row r="661" spans="1:9" ht="19.8" customHeight="1" x14ac:dyDescent="0.3">
      <c r="A661" s="103">
        <v>46001</v>
      </c>
      <c r="B661" s="94" t="s">
        <v>36</v>
      </c>
      <c r="C661" s="95" t="s">
        <v>1115</v>
      </c>
      <c r="D661" s="94" t="s">
        <v>1098</v>
      </c>
      <c r="E661" s="104">
        <v>1.5659722222222221</v>
      </c>
      <c r="F661" s="94" t="s">
        <v>40</v>
      </c>
      <c r="G661" s="96">
        <v>8</v>
      </c>
      <c r="H661" s="97">
        <v>489</v>
      </c>
      <c r="I661" s="88"/>
    </row>
    <row r="662" spans="1:9" ht="19.8" customHeight="1" x14ac:dyDescent="0.3">
      <c r="A662" s="103">
        <v>46001</v>
      </c>
      <c r="B662" s="94" t="s">
        <v>36</v>
      </c>
      <c r="C662" s="95" t="s">
        <v>1116</v>
      </c>
      <c r="D662" s="94" t="s">
        <v>1098</v>
      </c>
      <c r="E662" s="104">
        <v>1.305555555555556</v>
      </c>
      <c r="F662" s="94" t="s">
        <v>40</v>
      </c>
      <c r="G662" s="96">
        <v>4</v>
      </c>
      <c r="H662" s="97">
        <v>489</v>
      </c>
      <c r="I662" s="88"/>
    </row>
    <row r="663" spans="1:9" ht="19.8" customHeight="1" x14ac:dyDescent="0.3">
      <c r="A663" s="103">
        <v>46001</v>
      </c>
      <c r="B663" s="94" t="s">
        <v>26</v>
      </c>
      <c r="C663" s="95" t="s">
        <v>1104</v>
      </c>
      <c r="D663" s="94" t="s">
        <v>1098</v>
      </c>
      <c r="E663" s="104">
        <v>1.5</v>
      </c>
      <c r="F663" s="94" t="s">
        <v>31</v>
      </c>
      <c r="G663" s="96">
        <v>1</v>
      </c>
      <c r="H663" s="97">
        <v>519</v>
      </c>
      <c r="I663" s="88"/>
    </row>
    <row r="664" spans="1:9" ht="19.8" customHeight="1" x14ac:dyDescent="0.3">
      <c r="A664" s="103">
        <v>46001</v>
      </c>
      <c r="B664" s="94" t="s">
        <v>36</v>
      </c>
      <c r="C664" s="95" t="s">
        <v>1119</v>
      </c>
      <c r="D664" s="94" t="s">
        <v>1098</v>
      </c>
      <c r="E664" s="104">
        <v>1.5</v>
      </c>
      <c r="F664" s="94" t="s">
        <v>42</v>
      </c>
      <c r="G664" s="96">
        <v>9</v>
      </c>
      <c r="H664" s="97">
        <v>519</v>
      </c>
      <c r="I664" s="88"/>
    </row>
    <row r="665" spans="1:9" ht="19.8" customHeight="1" x14ac:dyDescent="0.3">
      <c r="A665" s="103">
        <v>46001</v>
      </c>
      <c r="B665" s="94" t="s">
        <v>36</v>
      </c>
      <c r="C665" s="95" t="s">
        <v>1114</v>
      </c>
      <c r="D665" s="94" t="s">
        <v>1098</v>
      </c>
      <c r="E665" s="104">
        <v>1.375</v>
      </c>
      <c r="F665" s="94" t="s">
        <v>42</v>
      </c>
      <c r="G665" s="96">
        <v>6</v>
      </c>
      <c r="H665" s="97">
        <v>519</v>
      </c>
      <c r="I665" s="88"/>
    </row>
    <row r="666" spans="1:9" ht="19.8" customHeight="1" x14ac:dyDescent="0.3">
      <c r="A666" s="103">
        <v>46001</v>
      </c>
      <c r="B666" s="94" t="s">
        <v>36</v>
      </c>
      <c r="C666" s="95" t="s">
        <v>1118</v>
      </c>
      <c r="D666" s="94" t="s">
        <v>1098</v>
      </c>
      <c r="E666" s="104">
        <v>1.427083333333333</v>
      </c>
      <c r="F666" s="94" t="s">
        <v>42</v>
      </c>
      <c r="G666" s="96">
        <v>4</v>
      </c>
      <c r="H666" s="97">
        <v>519</v>
      </c>
      <c r="I666" s="88"/>
    </row>
    <row r="667" spans="1:9" ht="19.8" customHeight="1" x14ac:dyDescent="0.3">
      <c r="A667" s="103">
        <v>46001</v>
      </c>
      <c r="B667" s="94" t="s">
        <v>36</v>
      </c>
      <c r="C667" s="95" t="s">
        <v>1113</v>
      </c>
      <c r="D667" s="94" t="s">
        <v>1098</v>
      </c>
      <c r="E667" s="104">
        <v>1.8263888888888891</v>
      </c>
      <c r="F667" s="94" t="s">
        <v>40</v>
      </c>
      <c r="G667" s="96">
        <v>1</v>
      </c>
      <c r="H667" s="97">
        <v>569</v>
      </c>
      <c r="I667" s="88"/>
    </row>
    <row r="668" spans="1:9" ht="19.8" customHeight="1" x14ac:dyDescent="0.3">
      <c r="A668" s="103">
        <v>46001</v>
      </c>
      <c r="B668" s="94" t="s">
        <v>36</v>
      </c>
      <c r="C668" s="95" t="s">
        <v>1117</v>
      </c>
      <c r="D668" s="94" t="s">
        <v>1098</v>
      </c>
      <c r="E668" s="104">
        <v>1.6875</v>
      </c>
      <c r="F668" s="94" t="s">
        <v>40</v>
      </c>
      <c r="G668" s="96">
        <v>6</v>
      </c>
      <c r="H668" s="97">
        <v>569</v>
      </c>
      <c r="I668" s="88"/>
    </row>
    <row r="669" spans="1:9" ht="19.8" customHeight="1" x14ac:dyDescent="0.3">
      <c r="A669" s="103">
        <v>46001</v>
      </c>
      <c r="B669" s="94" t="s">
        <v>36</v>
      </c>
      <c r="C669" s="95" t="s">
        <v>1115</v>
      </c>
      <c r="D669" s="94" t="s">
        <v>1098</v>
      </c>
      <c r="E669" s="104">
        <v>1.5659722222222221</v>
      </c>
      <c r="F669" s="94" t="s">
        <v>42</v>
      </c>
      <c r="G669" s="96">
        <v>8</v>
      </c>
      <c r="H669" s="97">
        <v>579</v>
      </c>
      <c r="I669" s="88"/>
    </row>
    <row r="670" spans="1:9" ht="19.8" customHeight="1" x14ac:dyDescent="0.3">
      <c r="A670" s="103">
        <v>46001</v>
      </c>
      <c r="B670" s="94" t="s">
        <v>36</v>
      </c>
      <c r="C670" s="95" t="s">
        <v>1116</v>
      </c>
      <c r="D670" s="94" t="s">
        <v>1098</v>
      </c>
      <c r="E670" s="104">
        <v>1.305555555555556</v>
      </c>
      <c r="F670" s="94" t="s">
        <v>42</v>
      </c>
      <c r="G670" s="96">
        <v>4</v>
      </c>
      <c r="H670" s="97">
        <v>579</v>
      </c>
      <c r="I670" s="88"/>
    </row>
    <row r="671" spans="1:9" ht="19.8" customHeight="1" x14ac:dyDescent="0.3">
      <c r="A671" s="103">
        <v>46001</v>
      </c>
      <c r="B671" s="94" t="s">
        <v>26</v>
      </c>
      <c r="C671" s="95" t="s">
        <v>1099</v>
      </c>
      <c r="D671" s="94" t="s">
        <v>1098</v>
      </c>
      <c r="E671" s="104">
        <v>1.760416666666667</v>
      </c>
      <c r="F671" s="94" t="s">
        <v>31</v>
      </c>
      <c r="G671" s="96">
        <v>14</v>
      </c>
      <c r="H671" s="97">
        <v>619</v>
      </c>
      <c r="I671" s="88"/>
    </row>
    <row r="672" spans="1:9" ht="19.8" customHeight="1" x14ac:dyDescent="0.3">
      <c r="A672" s="103">
        <v>46001</v>
      </c>
      <c r="B672" s="94" t="s">
        <v>26</v>
      </c>
      <c r="C672" s="95" t="s">
        <v>1110</v>
      </c>
      <c r="D672" s="94" t="s">
        <v>1098</v>
      </c>
      <c r="E672" s="104">
        <v>1.8159722222222221</v>
      </c>
      <c r="F672" s="94" t="s">
        <v>31</v>
      </c>
      <c r="G672" s="96">
        <v>12</v>
      </c>
      <c r="H672" s="97">
        <v>619</v>
      </c>
      <c r="I672" s="88"/>
    </row>
    <row r="673" spans="1:9" ht="19.8" customHeight="1" x14ac:dyDescent="0.3">
      <c r="A673" s="103">
        <v>46001</v>
      </c>
      <c r="B673" s="94" t="s">
        <v>36</v>
      </c>
      <c r="C673" s="95" t="s">
        <v>1113</v>
      </c>
      <c r="D673" s="94" t="s">
        <v>1098</v>
      </c>
      <c r="E673" s="104">
        <v>1.8263888888888891</v>
      </c>
      <c r="F673" s="94" t="s">
        <v>42</v>
      </c>
      <c r="G673" s="96">
        <v>1</v>
      </c>
      <c r="H673" s="97">
        <v>659</v>
      </c>
      <c r="I673" s="88"/>
    </row>
    <row r="674" spans="1:9" ht="19.8" customHeight="1" x14ac:dyDescent="0.3">
      <c r="A674" s="103">
        <v>46001</v>
      </c>
      <c r="B674" s="94" t="s">
        <v>36</v>
      </c>
      <c r="C674" s="95" t="s">
        <v>1117</v>
      </c>
      <c r="D674" s="94" t="s">
        <v>1098</v>
      </c>
      <c r="E674" s="104">
        <v>1.6875</v>
      </c>
      <c r="F674" s="94" t="s">
        <v>42</v>
      </c>
      <c r="G674" s="96">
        <v>6</v>
      </c>
      <c r="H674" s="97">
        <v>659</v>
      </c>
      <c r="I674" s="88"/>
    </row>
    <row r="675" spans="1:9" ht="19.8" customHeight="1" x14ac:dyDescent="0.3">
      <c r="A675" s="103">
        <v>46001</v>
      </c>
      <c r="B675" s="94" t="s">
        <v>78</v>
      </c>
      <c r="C675" s="95" t="s">
        <v>1135</v>
      </c>
      <c r="D675" s="94" t="s">
        <v>1098</v>
      </c>
      <c r="E675" s="104">
        <v>1.2986111111111109</v>
      </c>
      <c r="F675" s="94" t="s">
        <v>80</v>
      </c>
      <c r="G675" s="96">
        <v>9</v>
      </c>
      <c r="H675" s="97">
        <v>774</v>
      </c>
      <c r="I675" s="88"/>
    </row>
    <row r="676" spans="1:9" ht="19.8" customHeight="1" x14ac:dyDescent="0.3">
      <c r="A676" s="103">
        <v>46001</v>
      </c>
      <c r="B676" s="94" t="s">
        <v>78</v>
      </c>
      <c r="C676" s="95" t="s">
        <v>1135</v>
      </c>
      <c r="D676" s="94" t="s">
        <v>1098</v>
      </c>
      <c r="E676" s="104">
        <v>1.2986111111111109</v>
      </c>
      <c r="F676" s="94" t="s">
        <v>83</v>
      </c>
      <c r="G676" s="96">
        <v>9</v>
      </c>
      <c r="H676" s="97">
        <v>824</v>
      </c>
      <c r="I676" s="88"/>
    </row>
    <row r="677" spans="1:9" ht="19.8" customHeight="1" x14ac:dyDescent="0.3">
      <c r="A677" s="103">
        <v>46001</v>
      </c>
      <c r="B677" s="94" t="s">
        <v>26</v>
      </c>
      <c r="C677" s="95" t="s">
        <v>1099</v>
      </c>
      <c r="D677" s="94" t="s">
        <v>1098</v>
      </c>
      <c r="E677" s="104">
        <v>1.760416666666667</v>
      </c>
      <c r="F677" s="94" t="s">
        <v>34</v>
      </c>
      <c r="G677" s="96">
        <v>14</v>
      </c>
      <c r="H677" s="97">
        <v>899</v>
      </c>
      <c r="I677" s="88"/>
    </row>
    <row r="678" spans="1:9" ht="19.8" customHeight="1" x14ac:dyDescent="0.3">
      <c r="A678" s="103">
        <v>46001</v>
      </c>
      <c r="B678" s="94" t="s">
        <v>26</v>
      </c>
      <c r="C678" s="95" t="s">
        <v>1104</v>
      </c>
      <c r="D678" s="94" t="s">
        <v>1098</v>
      </c>
      <c r="E678" s="104">
        <v>1.5</v>
      </c>
      <c r="F678" s="94" t="s">
        <v>34</v>
      </c>
      <c r="G678" s="96">
        <v>1</v>
      </c>
      <c r="H678" s="97">
        <v>899</v>
      </c>
      <c r="I678" s="88"/>
    </row>
    <row r="679" spans="1:9" ht="19.8" customHeight="1" x14ac:dyDescent="0.3">
      <c r="A679" s="103">
        <v>46001</v>
      </c>
      <c r="B679" s="94" t="s">
        <v>26</v>
      </c>
      <c r="C679" s="95" t="s">
        <v>1107</v>
      </c>
      <c r="D679" s="94" t="s">
        <v>1098</v>
      </c>
      <c r="E679" s="104">
        <v>1.447916666666667</v>
      </c>
      <c r="F679" s="94" t="s">
        <v>34</v>
      </c>
      <c r="G679" s="96">
        <v>13</v>
      </c>
      <c r="H679" s="97">
        <v>899</v>
      </c>
      <c r="I679" s="88"/>
    </row>
    <row r="680" spans="1:9" ht="19.8" customHeight="1" x14ac:dyDescent="0.3">
      <c r="A680" s="103">
        <v>46001</v>
      </c>
      <c r="B680" s="94" t="s">
        <v>26</v>
      </c>
      <c r="C680" s="95" t="s">
        <v>1110</v>
      </c>
      <c r="D680" s="94" t="s">
        <v>1098</v>
      </c>
      <c r="E680" s="104">
        <v>1.8159722222222221</v>
      </c>
      <c r="F680" s="94" t="s">
        <v>34</v>
      </c>
      <c r="G680" s="96">
        <v>12</v>
      </c>
      <c r="H680" s="97">
        <v>899</v>
      </c>
      <c r="I680" s="88"/>
    </row>
    <row r="681" spans="1:9" ht="19.8" customHeight="1" x14ac:dyDescent="0.3">
      <c r="A681" s="103">
        <v>46001</v>
      </c>
      <c r="B681" s="94" t="s">
        <v>78</v>
      </c>
      <c r="C681" s="95" t="s">
        <v>1137</v>
      </c>
      <c r="D681" s="94" t="s">
        <v>1098</v>
      </c>
      <c r="E681" s="104">
        <v>1.836805555555556</v>
      </c>
      <c r="F681" s="94" t="s">
        <v>80</v>
      </c>
      <c r="G681" s="96">
        <v>9</v>
      </c>
      <c r="H681" s="107" t="s">
        <v>1239</v>
      </c>
      <c r="I681" s="88"/>
    </row>
    <row r="682" spans="1:9" ht="19.8" customHeight="1" x14ac:dyDescent="0.3">
      <c r="A682" s="103">
        <v>46001</v>
      </c>
      <c r="B682" s="94" t="s">
        <v>78</v>
      </c>
      <c r="C682" s="95" t="s">
        <v>1136</v>
      </c>
      <c r="D682" s="94" t="s">
        <v>1098</v>
      </c>
      <c r="E682" s="104">
        <v>1.4826388888888891</v>
      </c>
      <c r="F682" s="94" t="s">
        <v>80</v>
      </c>
      <c r="G682" s="96">
        <v>9</v>
      </c>
      <c r="H682" s="107" t="s">
        <v>1239</v>
      </c>
      <c r="I682" s="88"/>
    </row>
    <row r="683" spans="1:9" ht="19.8" customHeight="1" x14ac:dyDescent="0.3">
      <c r="A683" s="103">
        <v>46001</v>
      </c>
      <c r="B683" s="94" t="s">
        <v>78</v>
      </c>
      <c r="C683" s="95" t="s">
        <v>1137</v>
      </c>
      <c r="D683" s="94" t="s">
        <v>1098</v>
      </c>
      <c r="E683" s="104">
        <v>1.836805555555556</v>
      </c>
      <c r="F683" s="94" t="s">
        <v>83</v>
      </c>
      <c r="G683" s="96">
        <v>9</v>
      </c>
      <c r="H683" s="107" t="s">
        <v>1240</v>
      </c>
      <c r="I683" s="88"/>
    </row>
    <row r="684" spans="1:9" ht="19.8" customHeight="1" x14ac:dyDescent="0.3">
      <c r="A684" s="103">
        <v>46001</v>
      </c>
      <c r="B684" s="94" t="s">
        <v>78</v>
      </c>
      <c r="C684" s="95" t="s">
        <v>1136</v>
      </c>
      <c r="D684" s="94" t="s">
        <v>1098</v>
      </c>
      <c r="E684" s="104">
        <v>1.4826388888888891</v>
      </c>
      <c r="F684" s="94" t="s">
        <v>83</v>
      </c>
      <c r="G684" s="96">
        <v>9</v>
      </c>
      <c r="H684" s="107" t="s">
        <v>1240</v>
      </c>
      <c r="I684" s="88"/>
    </row>
    <row r="685" spans="1:9" ht="19.8" customHeight="1" x14ac:dyDescent="0.3">
      <c r="A685" s="103">
        <v>46001</v>
      </c>
      <c r="B685" s="94" t="s">
        <v>66</v>
      </c>
      <c r="C685" s="95" t="s">
        <v>1130</v>
      </c>
      <c r="D685" s="94" t="s">
        <v>1098</v>
      </c>
      <c r="E685" s="104">
        <v>1.916666666666667</v>
      </c>
      <c r="F685" s="94" t="s">
        <v>68</v>
      </c>
      <c r="G685" s="96">
        <v>9</v>
      </c>
      <c r="H685" s="107" t="s">
        <v>1236</v>
      </c>
      <c r="I685" s="88"/>
    </row>
    <row r="686" spans="1:9" ht="19.8" customHeight="1" x14ac:dyDescent="0.3">
      <c r="A686" s="103">
        <v>46001</v>
      </c>
      <c r="B686" s="94" t="s">
        <v>78</v>
      </c>
      <c r="C686" s="95" t="s">
        <v>1140</v>
      </c>
      <c r="D686" s="94" t="s">
        <v>1098</v>
      </c>
      <c r="E686" s="104">
        <v>1.5</v>
      </c>
      <c r="F686" s="94" t="s">
        <v>83</v>
      </c>
      <c r="G686" s="96">
        <v>4</v>
      </c>
      <c r="H686" s="107" t="s">
        <v>1206</v>
      </c>
      <c r="I686" s="88"/>
    </row>
    <row r="687" spans="1:9" ht="19.8" customHeight="1" x14ac:dyDescent="0.3">
      <c r="A687" s="103">
        <v>46001</v>
      </c>
      <c r="B687" s="94" t="s">
        <v>78</v>
      </c>
      <c r="C687" s="95" t="s">
        <v>1134</v>
      </c>
      <c r="D687" s="94" t="s">
        <v>1098</v>
      </c>
      <c r="E687" s="104">
        <v>1.6840277777777779</v>
      </c>
      <c r="F687" s="94" t="s">
        <v>80</v>
      </c>
      <c r="G687" s="96">
        <v>9</v>
      </c>
      <c r="H687" s="107" t="s">
        <v>1241</v>
      </c>
      <c r="I687" s="88"/>
    </row>
    <row r="688" spans="1:9" ht="19.8" customHeight="1" x14ac:dyDescent="0.3">
      <c r="A688" s="103">
        <v>46001</v>
      </c>
      <c r="B688" s="94" t="s">
        <v>78</v>
      </c>
      <c r="C688" s="95" t="s">
        <v>1134</v>
      </c>
      <c r="D688" s="94" t="s">
        <v>1098</v>
      </c>
      <c r="E688" s="104">
        <v>1.6840277777777779</v>
      </c>
      <c r="F688" s="94" t="s">
        <v>83</v>
      </c>
      <c r="G688" s="96">
        <v>9</v>
      </c>
      <c r="H688" s="107" t="s">
        <v>1242</v>
      </c>
      <c r="I688" s="88"/>
    </row>
    <row r="689" spans="1:9" ht="19.8" customHeight="1" x14ac:dyDescent="0.3">
      <c r="A689" s="103">
        <v>46001</v>
      </c>
      <c r="B689" s="94" t="s">
        <v>78</v>
      </c>
      <c r="C689" s="95" t="s">
        <v>1142</v>
      </c>
      <c r="D689" s="94" t="s">
        <v>1098</v>
      </c>
      <c r="E689" s="104">
        <v>1.760416666666667</v>
      </c>
      <c r="F689" s="94" t="s">
        <v>83</v>
      </c>
      <c r="G689" s="96">
        <v>4</v>
      </c>
      <c r="H689" s="107" t="s">
        <v>1243</v>
      </c>
      <c r="I689" s="88"/>
    </row>
    <row r="690" spans="1:9" ht="19.8" customHeight="1" x14ac:dyDescent="0.3">
      <c r="A690" s="113">
        <v>46001</v>
      </c>
      <c r="B690" s="114" t="s">
        <v>78</v>
      </c>
      <c r="C690" s="115" t="s">
        <v>1143</v>
      </c>
      <c r="D690" s="114" t="s">
        <v>1098</v>
      </c>
      <c r="E690" s="116">
        <v>1.8159722222222221</v>
      </c>
      <c r="F690" s="114" t="s">
        <v>83</v>
      </c>
      <c r="G690" s="117">
        <v>4</v>
      </c>
      <c r="H690" s="118" t="s">
        <v>1243</v>
      </c>
      <c r="I690" s="88"/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53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4.886718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5.8867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1263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45982.80431894162</v>
      </c>
      <c r="H2" s="330"/>
      <c r="I2" s="330"/>
      <c r="J2" s="330"/>
      <c r="K2" s="334">
        <v>45982.804318941948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167" t="s">
        <v>44</v>
      </c>
      <c r="B6" s="167" t="s">
        <v>1264</v>
      </c>
      <c r="C6" s="167">
        <v>0.61458333333333337</v>
      </c>
      <c r="D6" s="167" t="s">
        <v>46</v>
      </c>
      <c r="E6" s="167" t="s">
        <v>134</v>
      </c>
      <c r="F6" s="167" t="s">
        <v>1209</v>
      </c>
      <c r="G6" s="335"/>
      <c r="H6" s="168" t="s">
        <v>1265</v>
      </c>
      <c r="I6" s="169">
        <v>0.42859999999999998</v>
      </c>
      <c r="J6" s="170">
        <v>72</v>
      </c>
      <c r="K6" s="171" t="s">
        <v>175</v>
      </c>
      <c r="L6" s="170">
        <v>18</v>
      </c>
      <c r="M6" s="170">
        <v>3</v>
      </c>
      <c r="N6" s="170">
        <v>5</v>
      </c>
      <c r="O6" s="171" t="s">
        <v>346</v>
      </c>
      <c r="P6" s="171">
        <v>0.61458333333333337</v>
      </c>
      <c r="Q6" s="170">
        <v>168</v>
      </c>
      <c r="R6" s="172" t="s">
        <v>1266</v>
      </c>
    </row>
    <row r="7" spans="1:18" ht="49.95" customHeight="1" x14ac:dyDescent="0.3">
      <c r="A7" s="50" t="s">
        <v>66</v>
      </c>
      <c r="B7" s="50" t="s">
        <v>1267</v>
      </c>
      <c r="C7" s="50">
        <v>0.61458333333333337</v>
      </c>
      <c r="D7" s="50" t="s">
        <v>369</v>
      </c>
      <c r="E7" s="50" t="s">
        <v>29</v>
      </c>
      <c r="F7" s="50" t="s">
        <v>1268</v>
      </c>
      <c r="G7" s="328"/>
      <c r="H7" s="231"/>
      <c r="I7" s="232"/>
      <c r="J7" s="232"/>
      <c r="K7" s="232"/>
      <c r="L7" s="232"/>
      <c r="M7" s="232"/>
      <c r="N7" s="232"/>
      <c r="O7" s="232"/>
      <c r="P7" s="232"/>
      <c r="Q7" s="232"/>
      <c r="R7" s="233"/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22.05" customHeight="1" x14ac:dyDescent="0.3">
      <c r="A9" s="323" t="s">
        <v>6</v>
      </c>
      <c r="B9" s="324"/>
      <c r="C9" s="324"/>
      <c r="D9" s="324"/>
      <c r="E9" s="324"/>
      <c r="F9" s="324"/>
      <c r="G9" s="2">
        <v>45987</v>
      </c>
      <c r="H9" s="323" t="s">
        <v>7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</row>
    <row r="10" spans="1:18" ht="24" customHeight="1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4" t="s">
        <v>13</v>
      </c>
      <c r="G10" s="5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</row>
    <row r="11" spans="1:18" ht="49.95" customHeight="1" x14ac:dyDescent="0.3">
      <c r="A11" s="167" t="s">
        <v>44</v>
      </c>
      <c r="B11" s="167" t="s">
        <v>1269</v>
      </c>
      <c r="C11" s="167">
        <v>0.59027777777777779</v>
      </c>
      <c r="D11" s="167" t="s">
        <v>61</v>
      </c>
      <c r="E11" s="167"/>
      <c r="F11" s="167" t="s">
        <v>363</v>
      </c>
      <c r="G11" s="335"/>
      <c r="H11" s="213" t="s">
        <v>1269</v>
      </c>
      <c r="I11" s="266">
        <v>0.49399999999999999</v>
      </c>
      <c r="J11" s="215">
        <v>83</v>
      </c>
      <c r="K11" s="216" t="s">
        <v>175</v>
      </c>
      <c r="L11" s="215">
        <v>37</v>
      </c>
      <c r="M11" s="215">
        <v>2</v>
      </c>
      <c r="N11" s="215">
        <v>4</v>
      </c>
      <c r="O11" s="216" t="s">
        <v>237</v>
      </c>
      <c r="P11" s="216">
        <v>0.59027777777777779</v>
      </c>
      <c r="Q11" s="215">
        <v>168</v>
      </c>
      <c r="R11" s="217" t="s">
        <v>1270</v>
      </c>
    </row>
    <row r="12" spans="1:18" ht="17.399999999999999" customHeight="1" x14ac:dyDescent="0.3">
      <c r="A12" s="360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2"/>
    </row>
    <row r="13" spans="1:18" ht="17.399999999999999" customHeight="1" x14ac:dyDescent="0.3">
      <c r="A13" s="360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2"/>
    </row>
    <row r="14" spans="1:18" ht="17.399999999999999" customHeight="1" x14ac:dyDescent="0.3">
      <c r="A14" s="360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2"/>
    </row>
    <row r="15" spans="1:18" ht="22.05" customHeight="1" x14ac:dyDescent="0.3">
      <c r="A15" s="323" t="s">
        <v>6</v>
      </c>
      <c r="B15" s="324"/>
      <c r="C15" s="324"/>
      <c r="D15" s="324"/>
      <c r="E15" s="324"/>
      <c r="F15" s="324"/>
      <c r="G15" s="2">
        <v>45990</v>
      </c>
      <c r="H15" s="323" t="s">
        <v>7</v>
      </c>
      <c r="I15" s="324"/>
      <c r="J15" s="324"/>
      <c r="K15" s="324"/>
      <c r="L15" s="324"/>
      <c r="M15" s="324"/>
      <c r="N15" s="324"/>
      <c r="O15" s="324"/>
      <c r="P15" s="324"/>
      <c r="Q15" s="324"/>
      <c r="R15" s="324"/>
    </row>
    <row r="16" spans="1:18" ht="24" customHeight="1" x14ac:dyDescent="0.3">
      <c r="A16" s="3" t="s">
        <v>8</v>
      </c>
      <c r="B16" s="3" t="s">
        <v>9</v>
      </c>
      <c r="C16" s="3" t="s">
        <v>10</v>
      </c>
      <c r="D16" s="3" t="s">
        <v>11</v>
      </c>
      <c r="E16" s="3" t="s">
        <v>12</v>
      </c>
      <c r="F16" s="4" t="s">
        <v>13</v>
      </c>
      <c r="G16" s="5" t="s">
        <v>14</v>
      </c>
      <c r="H16" s="3" t="s">
        <v>15</v>
      </c>
      <c r="I16" s="3" t="s">
        <v>16</v>
      </c>
      <c r="J16" s="3" t="s">
        <v>17</v>
      </c>
      <c r="K16" s="3" t="s">
        <v>18</v>
      </c>
      <c r="L16" s="3" t="s">
        <v>19</v>
      </c>
      <c r="M16" s="3" t="s">
        <v>20</v>
      </c>
      <c r="N16" s="3" t="s">
        <v>21</v>
      </c>
      <c r="O16" s="3" t="s">
        <v>22</v>
      </c>
      <c r="P16" s="3" t="s">
        <v>23</v>
      </c>
      <c r="Q16" s="3" t="s">
        <v>24</v>
      </c>
      <c r="R16" s="3" t="s">
        <v>25</v>
      </c>
    </row>
    <row r="17" spans="1:18" ht="15.6" x14ac:dyDescent="0.3">
      <c r="A17" s="340" t="s">
        <v>1271</v>
      </c>
      <c r="B17" s="341"/>
      <c r="C17" s="341"/>
      <c r="D17" s="341"/>
      <c r="E17" s="341"/>
      <c r="F17" s="341"/>
      <c r="G17" s="336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</row>
    <row r="18" spans="1:18" ht="49.95" customHeight="1" x14ac:dyDescent="0.3">
      <c r="A18" s="155" t="s">
        <v>44</v>
      </c>
      <c r="B18" s="155" t="s">
        <v>367</v>
      </c>
      <c r="C18" s="155" t="s">
        <v>368</v>
      </c>
      <c r="D18" s="155" t="s">
        <v>369</v>
      </c>
      <c r="E18" s="155" t="s">
        <v>370</v>
      </c>
      <c r="F18" s="155" t="s">
        <v>371</v>
      </c>
      <c r="G18" s="337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22.05" customHeight="1" x14ac:dyDescent="0.3">
      <c r="A20" s="323" t="s">
        <v>6</v>
      </c>
      <c r="B20" s="324"/>
      <c r="C20" s="324"/>
      <c r="D20" s="324"/>
      <c r="E20" s="324"/>
      <c r="F20" s="324"/>
      <c r="G20" s="2">
        <v>45991</v>
      </c>
      <c r="H20" s="323" t="s">
        <v>7</v>
      </c>
      <c r="I20" s="324"/>
      <c r="J20" s="324"/>
      <c r="K20" s="324"/>
      <c r="L20" s="324"/>
      <c r="M20" s="324"/>
      <c r="N20" s="324"/>
      <c r="O20" s="324"/>
      <c r="P20" s="324"/>
      <c r="Q20" s="324"/>
      <c r="R20" s="324"/>
    </row>
    <row r="21" spans="1:18" ht="24" customHeight="1" x14ac:dyDescent="0.3">
      <c r="A21" s="3" t="s">
        <v>8</v>
      </c>
      <c r="B21" s="3" t="s">
        <v>9</v>
      </c>
      <c r="C21" s="3" t="s">
        <v>10</v>
      </c>
      <c r="D21" s="3" t="s">
        <v>11</v>
      </c>
      <c r="E21" s="3" t="s">
        <v>12</v>
      </c>
      <c r="F21" s="4" t="s">
        <v>13</v>
      </c>
      <c r="G21" s="5" t="s">
        <v>14</v>
      </c>
      <c r="H21" s="3" t="s">
        <v>15</v>
      </c>
      <c r="I21" s="3" t="s">
        <v>16</v>
      </c>
      <c r="J21" s="3" t="s">
        <v>17</v>
      </c>
      <c r="K21" s="3" t="s">
        <v>18</v>
      </c>
      <c r="L21" s="3" t="s">
        <v>19</v>
      </c>
      <c r="M21" s="3" t="s">
        <v>20</v>
      </c>
      <c r="N21" s="3" t="s">
        <v>21</v>
      </c>
      <c r="O21" s="3" t="s">
        <v>22</v>
      </c>
      <c r="P21" s="3" t="s">
        <v>23</v>
      </c>
      <c r="Q21" s="3" t="s">
        <v>24</v>
      </c>
      <c r="R21" s="3" t="s">
        <v>25</v>
      </c>
    </row>
    <row r="22" spans="1:18" ht="49.95" customHeight="1" x14ac:dyDescent="0.3">
      <c r="A22" s="12" t="s">
        <v>44</v>
      </c>
      <c r="B22" s="12" t="s">
        <v>1264</v>
      </c>
      <c r="C22" s="12">
        <v>0.61111111111111105</v>
      </c>
      <c r="D22" s="12" t="s">
        <v>46</v>
      </c>
      <c r="E22" s="12" t="s">
        <v>47</v>
      </c>
      <c r="F22" s="12" t="s">
        <v>1272</v>
      </c>
      <c r="G22" s="335"/>
      <c r="H22" s="239" t="s">
        <v>1265</v>
      </c>
      <c r="I22" s="240">
        <v>0.50600000000000001</v>
      </c>
      <c r="J22" s="241">
        <v>85</v>
      </c>
      <c r="K22" s="242" t="s">
        <v>175</v>
      </c>
      <c r="L22" s="241">
        <v>27</v>
      </c>
      <c r="M22" s="241">
        <v>3</v>
      </c>
      <c r="N22" s="241">
        <v>2</v>
      </c>
      <c r="O22" s="242" t="s">
        <v>265</v>
      </c>
      <c r="P22" s="242">
        <v>0.61111111111111105</v>
      </c>
      <c r="Q22" s="241">
        <v>168</v>
      </c>
      <c r="R22" s="243" t="s">
        <v>1273</v>
      </c>
    </row>
    <row r="23" spans="1:18" ht="49.95" customHeight="1" x14ac:dyDescent="0.3">
      <c r="A23" s="50" t="s">
        <v>66</v>
      </c>
      <c r="B23" s="50" t="s">
        <v>1267</v>
      </c>
      <c r="C23" s="50">
        <v>0.61111111111111105</v>
      </c>
      <c r="D23" s="50" t="s">
        <v>369</v>
      </c>
      <c r="E23" s="50" t="s">
        <v>29</v>
      </c>
      <c r="F23" s="50" t="s">
        <v>1268</v>
      </c>
      <c r="G23" s="328"/>
      <c r="H23" s="231"/>
      <c r="I23" s="232"/>
      <c r="J23" s="232"/>
      <c r="K23" s="232"/>
      <c r="L23" s="232"/>
      <c r="M23" s="232"/>
      <c r="N23" s="232"/>
      <c r="O23" s="232"/>
      <c r="P23" s="232"/>
      <c r="Q23" s="232"/>
      <c r="R23" s="233"/>
    </row>
    <row r="24" spans="1:18" ht="17.399999999999999" customHeight="1" x14ac:dyDescent="0.3">
      <c r="A24" s="360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2"/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  <row r="26" spans="1:18" ht="22.05" customHeight="1" x14ac:dyDescent="0.3">
      <c r="A26" s="323" t="s">
        <v>6</v>
      </c>
      <c r="B26" s="324"/>
      <c r="C26" s="324"/>
      <c r="D26" s="324"/>
      <c r="E26" s="324"/>
      <c r="F26" s="324"/>
      <c r="G26" s="2">
        <v>45993</v>
      </c>
      <c r="H26" s="323" t="s">
        <v>7</v>
      </c>
      <c r="I26" s="324"/>
      <c r="J26" s="324"/>
      <c r="K26" s="324"/>
      <c r="L26" s="324"/>
      <c r="M26" s="324"/>
      <c r="N26" s="324"/>
      <c r="O26" s="324"/>
      <c r="P26" s="324"/>
      <c r="Q26" s="324"/>
      <c r="R26" s="324"/>
    </row>
    <row r="27" spans="1:18" ht="24" customHeight="1" x14ac:dyDescent="0.3">
      <c r="A27" s="3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4" t="s">
        <v>13</v>
      </c>
      <c r="G27" s="5" t="s">
        <v>14</v>
      </c>
      <c r="H27" s="3" t="s">
        <v>15</v>
      </c>
      <c r="I27" s="3" t="s">
        <v>16</v>
      </c>
      <c r="J27" s="3" t="s">
        <v>17</v>
      </c>
      <c r="K27" s="3" t="s">
        <v>18</v>
      </c>
      <c r="L27" s="3" t="s">
        <v>19</v>
      </c>
      <c r="M27" s="3" t="s">
        <v>20</v>
      </c>
      <c r="N27" s="3" t="s">
        <v>21</v>
      </c>
      <c r="O27" s="3" t="s">
        <v>22</v>
      </c>
      <c r="P27" s="3" t="s">
        <v>23</v>
      </c>
      <c r="Q27" s="3" t="s">
        <v>24</v>
      </c>
      <c r="R27" s="3" t="s">
        <v>25</v>
      </c>
    </row>
    <row r="28" spans="1:18" ht="49.95" customHeight="1" x14ac:dyDescent="0.3">
      <c r="A28" s="75" t="s">
        <v>44</v>
      </c>
      <c r="B28" s="75" t="s">
        <v>1265</v>
      </c>
      <c r="C28" s="75">
        <v>0.61458333333333337</v>
      </c>
      <c r="D28" s="75" t="s">
        <v>61</v>
      </c>
      <c r="E28" s="75"/>
      <c r="F28" s="75" t="s">
        <v>363</v>
      </c>
      <c r="G28" s="335"/>
      <c r="H28" s="157" t="s">
        <v>1265</v>
      </c>
      <c r="I28" s="283">
        <v>0.375</v>
      </c>
      <c r="J28" s="159">
        <v>63</v>
      </c>
      <c r="K28" s="160" t="s">
        <v>175</v>
      </c>
      <c r="L28" s="159">
        <v>11</v>
      </c>
      <c r="M28" s="159">
        <v>1</v>
      </c>
      <c r="N28" s="159">
        <v>2</v>
      </c>
      <c r="O28" s="160" t="s">
        <v>265</v>
      </c>
      <c r="P28" s="160">
        <v>0.61458333333333337</v>
      </c>
      <c r="Q28" s="159">
        <v>168</v>
      </c>
      <c r="R28" s="161" t="s">
        <v>1274</v>
      </c>
    </row>
    <row r="29" spans="1:18" ht="17.399999999999999" customHeight="1" x14ac:dyDescent="0.3">
      <c r="A29" s="360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2"/>
    </row>
    <row r="30" spans="1:18" ht="22.05" customHeight="1" x14ac:dyDescent="0.3">
      <c r="A30" s="323" t="s">
        <v>6</v>
      </c>
      <c r="B30" s="324"/>
      <c r="C30" s="324"/>
      <c r="D30" s="324"/>
      <c r="E30" s="324"/>
      <c r="F30" s="324"/>
      <c r="G30" s="2">
        <v>45994</v>
      </c>
      <c r="H30" s="323" t="s">
        <v>7</v>
      </c>
      <c r="I30" s="324"/>
      <c r="J30" s="324"/>
      <c r="K30" s="324"/>
      <c r="L30" s="324"/>
      <c r="M30" s="324"/>
      <c r="N30" s="324"/>
      <c r="O30" s="324"/>
      <c r="P30" s="324"/>
      <c r="Q30" s="324"/>
      <c r="R30" s="324"/>
    </row>
    <row r="31" spans="1:18" ht="24" customHeight="1" x14ac:dyDescent="0.3">
      <c r="A31" s="3" t="s">
        <v>8</v>
      </c>
      <c r="B31" s="3" t="s">
        <v>9</v>
      </c>
      <c r="C31" s="3" t="s">
        <v>10</v>
      </c>
      <c r="D31" s="3" t="s">
        <v>11</v>
      </c>
      <c r="E31" s="3" t="s">
        <v>12</v>
      </c>
      <c r="F31" s="4" t="s">
        <v>13</v>
      </c>
      <c r="G31" s="5" t="s">
        <v>14</v>
      </c>
      <c r="H31" s="3" t="s">
        <v>15</v>
      </c>
      <c r="I31" s="3" t="s">
        <v>16</v>
      </c>
      <c r="J31" s="3" t="s">
        <v>17</v>
      </c>
      <c r="K31" s="3" t="s">
        <v>18</v>
      </c>
      <c r="L31" s="3" t="s">
        <v>19</v>
      </c>
      <c r="M31" s="3" t="s">
        <v>20</v>
      </c>
      <c r="N31" s="3" t="s">
        <v>21</v>
      </c>
      <c r="O31" s="3" t="s">
        <v>22</v>
      </c>
      <c r="P31" s="3" t="s">
        <v>23</v>
      </c>
      <c r="Q31" s="3" t="s">
        <v>24</v>
      </c>
      <c r="R31" s="3" t="s">
        <v>25</v>
      </c>
    </row>
    <row r="32" spans="1:18" ht="49.95" customHeight="1" x14ac:dyDescent="0.3">
      <c r="A32" s="12" t="s">
        <v>44</v>
      </c>
      <c r="B32" s="12" t="s">
        <v>1269</v>
      </c>
      <c r="C32" s="12">
        <v>0.59027777777777779</v>
      </c>
      <c r="D32" s="12" t="s">
        <v>61</v>
      </c>
      <c r="E32" s="12"/>
      <c r="F32" s="12" t="s">
        <v>363</v>
      </c>
      <c r="G32" s="335"/>
      <c r="H32" s="178" t="s">
        <v>1269</v>
      </c>
      <c r="I32" s="179">
        <v>0.35709999999999997</v>
      </c>
      <c r="J32" s="180">
        <v>60</v>
      </c>
      <c r="K32" s="181" t="s">
        <v>175</v>
      </c>
      <c r="L32" s="180">
        <v>12</v>
      </c>
      <c r="M32" s="180">
        <v>1</v>
      </c>
      <c r="N32" s="180">
        <v>2</v>
      </c>
      <c r="O32" s="181" t="s">
        <v>261</v>
      </c>
      <c r="P32" s="181">
        <v>0.59027777777777779</v>
      </c>
      <c r="Q32" s="180">
        <v>168</v>
      </c>
      <c r="R32" s="182" t="s">
        <v>1275</v>
      </c>
    </row>
    <row r="33" spans="1:18" ht="17.399999999999999" customHeight="1" x14ac:dyDescent="0.3">
      <c r="A33" s="360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2"/>
    </row>
    <row r="34" spans="1:18" ht="17.399999999999999" customHeight="1" x14ac:dyDescent="0.3">
      <c r="A34" s="360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2"/>
    </row>
    <row r="35" spans="1:18" ht="17.399999999999999" customHeight="1" x14ac:dyDescent="0.3">
      <c r="A35" s="360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2"/>
    </row>
    <row r="36" spans="1:18" ht="22.05" customHeight="1" x14ac:dyDescent="0.3">
      <c r="A36" s="323" t="s">
        <v>6</v>
      </c>
      <c r="B36" s="324"/>
      <c r="C36" s="324"/>
      <c r="D36" s="324"/>
      <c r="E36" s="324"/>
      <c r="F36" s="324"/>
      <c r="G36" s="2">
        <v>45997</v>
      </c>
      <c r="H36" s="323" t="s">
        <v>7</v>
      </c>
      <c r="I36" s="324"/>
      <c r="J36" s="324"/>
      <c r="K36" s="324"/>
      <c r="L36" s="324"/>
      <c r="M36" s="324"/>
      <c r="N36" s="324"/>
      <c r="O36" s="324"/>
      <c r="P36" s="324"/>
      <c r="Q36" s="324"/>
      <c r="R36" s="324"/>
    </row>
    <row r="37" spans="1:18" ht="24" customHeight="1" x14ac:dyDescent="0.3">
      <c r="A37" s="3" t="s">
        <v>8</v>
      </c>
      <c r="B37" s="3" t="s">
        <v>9</v>
      </c>
      <c r="C37" s="3" t="s">
        <v>10</v>
      </c>
      <c r="D37" s="3" t="s">
        <v>11</v>
      </c>
      <c r="E37" s="3" t="s">
        <v>12</v>
      </c>
      <c r="F37" s="4" t="s">
        <v>13</v>
      </c>
      <c r="G37" s="5" t="s">
        <v>14</v>
      </c>
      <c r="H37" s="3" t="s">
        <v>15</v>
      </c>
      <c r="I37" s="3" t="s">
        <v>16</v>
      </c>
      <c r="J37" s="3" t="s">
        <v>17</v>
      </c>
      <c r="K37" s="3" t="s">
        <v>18</v>
      </c>
      <c r="L37" s="3" t="s">
        <v>19</v>
      </c>
      <c r="M37" s="3" t="s">
        <v>20</v>
      </c>
      <c r="N37" s="3" t="s">
        <v>21</v>
      </c>
      <c r="O37" s="3" t="s">
        <v>22</v>
      </c>
      <c r="P37" s="3" t="s">
        <v>23</v>
      </c>
      <c r="Q37" s="3" t="s">
        <v>24</v>
      </c>
      <c r="R37" s="3" t="s">
        <v>25</v>
      </c>
    </row>
    <row r="38" spans="1:18" ht="15.6" x14ac:dyDescent="0.3">
      <c r="A38" s="340" t="s">
        <v>1271</v>
      </c>
      <c r="B38" s="341"/>
      <c r="C38" s="341"/>
      <c r="D38" s="341"/>
      <c r="E38" s="341"/>
      <c r="F38" s="341"/>
      <c r="G38" s="336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</row>
    <row r="39" spans="1:18" ht="49.95" customHeight="1" x14ac:dyDescent="0.3">
      <c r="A39" s="155" t="s">
        <v>44</v>
      </c>
      <c r="B39" s="155" t="s">
        <v>367</v>
      </c>
      <c r="C39" s="155" t="s">
        <v>368</v>
      </c>
      <c r="D39" s="155" t="s">
        <v>369</v>
      </c>
      <c r="E39" s="155" t="s">
        <v>377</v>
      </c>
      <c r="F39" s="155" t="s">
        <v>371</v>
      </c>
      <c r="G39" s="337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</row>
    <row r="40" spans="1:18" ht="17.399999999999999" customHeight="1" x14ac:dyDescent="0.3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2"/>
    </row>
    <row r="41" spans="1:18" ht="22.05" customHeight="1" x14ac:dyDescent="0.3">
      <c r="A41" s="323" t="s">
        <v>6</v>
      </c>
      <c r="B41" s="324"/>
      <c r="C41" s="324"/>
      <c r="D41" s="324"/>
      <c r="E41" s="324"/>
      <c r="F41" s="324"/>
      <c r="G41" s="2">
        <v>45998</v>
      </c>
      <c r="H41" s="323" t="s">
        <v>7</v>
      </c>
      <c r="I41" s="324"/>
      <c r="J41" s="324"/>
      <c r="K41" s="324"/>
      <c r="L41" s="324"/>
      <c r="M41" s="324"/>
      <c r="N41" s="324"/>
      <c r="O41" s="324"/>
      <c r="P41" s="324"/>
      <c r="Q41" s="324"/>
      <c r="R41" s="324"/>
    </row>
    <row r="42" spans="1:18" ht="24" customHeight="1" x14ac:dyDescent="0.3">
      <c r="A42" s="3" t="s">
        <v>8</v>
      </c>
      <c r="B42" s="3" t="s">
        <v>9</v>
      </c>
      <c r="C42" s="3" t="s">
        <v>10</v>
      </c>
      <c r="D42" s="3" t="s">
        <v>11</v>
      </c>
      <c r="E42" s="3" t="s">
        <v>12</v>
      </c>
      <c r="F42" s="4" t="s">
        <v>13</v>
      </c>
      <c r="G42" s="5" t="s">
        <v>14</v>
      </c>
      <c r="H42" s="3" t="s">
        <v>15</v>
      </c>
      <c r="I42" s="3" t="s">
        <v>16</v>
      </c>
      <c r="J42" s="3" t="s">
        <v>17</v>
      </c>
      <c r="K42" s="3" t="s">
        <v>18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23</v>
      </c>
      <c r="Q42" s="3" t="s">
        <v>24</v>
      </c>
      <c r="R42" s="3" t="s">
        <v>25</v>
      </c>
    </row>
    <row r="43" spans="1:18" ht="49.95" customHeight="1" x14ac:dyDescent="0.3">
      <c r="A43" s="51" t="s">
        <v>44</v>
      </c>
      <c r="B43" s="51" t="s">
        <v>1264</v>
      </c>
      <c r="C43" s="51">
        <v>0.61111111111111105</v>
      </c>
      <c r="D43" s="51" t="s">
        <v>46</v>
      </c>
      <c r="E43" s="51" t="s">
        <v>47</v>
      </c>
      <c r="F43" s="51" t="s">
        <v>1272</v>
      </c>
      <c r="G43" s="335"/>
      <c r="H43" s="221" t="s">
        <v>1265</v>
      </c>
      <c r="I43" s="286">
        <v>0.35120000000000001</v>
      </c>
      <c r="J43" s="223">
        <v>59</v>
      </c>
      <c r="K43" s="224" t="s">
        <v>175</v>
      </c>
      <c r="L43" s="223">
        <v>17</v>
      </c>
      <c r="M43" s="223">
        <v>3</v>
      </c>
      <c r="N43" s="223">
        <v>4</v>
      </c>
      <c r="O43" s="224" t="s">
        <v>265</v>
      </c>
      <c r="P43" s="224">
        <v>0.61111111111111105</v>
      </c>
      <c r="Q43" s="223">
        <v>168</v>
      </c>
      <c r="R43" s="225" t="s">
        <v>1276</v>
      </c>
    </row>
    <row r="44" spans="1:18" ht="49.95" customHeight="1" x14ac:dyDescent="0.3">
      <c r="A44" s="50" t="s">
        <v>66</v>
      </c>
      <c r="B44" s="50" t="s">
        <v>1267</v>
      </c>
      <c r="C44" s="50">
        <v>0.61111111111111105</v>
      </c>
      <c r="D44" s="50" t="s">
        <v>369</v>
      </c>
      <c r="E44" s="50" t="s">
        <v>29</v>
      </c>
      <c r="F44" s="50" t="s">
        <v>1268</v>
      </c>
      <c r="G44" s="328"/>
      <c r="H44" s="231"/>
      <c r="I44" s="232"/>
      <c r="J44" s="232"/>
      <c r="K44" s="232"/>
      <c r="L44" s="232"/>
      <c r="M44" s="232"/>
      <c r="N44" s="232"/>
      <c r="O44" s="232"/>
      <c r="P44" s="232"/>
      <c r="Q44" s="232"/>
      <c r="R44" s="233"/>
    </row>
    <row r="45" spans="1:18" ht="17.399999999999999" customHeight="1" x14ac:dyDescent="0.3">
      <c r="A45" s="360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2"/>
    </row>
    <row r="46" spans="1:18" ht="17.399999999999999" customHeight="1" x14ac:dyDescent="0.3">
      <c r="A46" s="360"/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2"/>
    </row>
    <row r="47" spans="1:18" ht="22.05" customHeight="1" x14ac:dyDescent="0.3">
      <c r="A47" s="323" t="s">
        <v>6</v>
      </c>
      <c r="B47" s="324"/>
      <c r="C47" s="324"/>
      <c r="D47" s="324"/>
      <c r="E47" s="324"/>
      <c r="F47" s="324"/>
      <c r="G47" s="2">
        <v>46000</v>
      </c>
      <c r="H47" s="323" t="s">
        <v>7</v>
      </c>
      <c r="I47" s="324"/>
      <c r="J47" s="324"/>
      <c r="K47" s="324"/>
      <c r="L47" s="324"/>
      <c r="M47" s="324"/>
      <c r="N47" s="324"/>
      <c r="O47" s="324"/>
      <c r="P47" s="324"/>
      <c r="Q47" s="324"/>
      <c r="R47" s="324"/>
    </row>
    <row r="48" spans="1:18" ht="24" customHeight="1" x14ac:dyDescent="0.3">
      <c r="A48" s="3" t="s">
        <v>8</v>
      </c>
      <c r="B48" s="3" t="s">
        <v>9</v>
      </c>
      <c r="C48" s="3" t="s">
        <v>10</v>
      </c>
      <c r="D48" s="3" t="s">
        <v>11</v>
      </c>
      <c r="E48" s="3" t="s">
        <v>12</v>
      </c>
      <c r="F48" s="4" t="s">
        <v>13</v>
      </c>
      <c r="G48" s="5" t="s">
        <v>14</v>
      </c>
      <c r="H48" s="3" t="s">
        <v>15</v>
      </c>
      <c r="I48" s="3" t="s">
        <v>16</v>
      </c>
      <c r="J48" s="3" t="s">
        <v>17</v>
      </c>
      <c r="K48" s="3" t="s">
        <v>18</v>
      </c>
      <c r="L48" s="3" t="s">
        <v>19</v>
      </c>
      <c r="M48" s="3" t="s">
        <v>20</v>
      </c>
      <c r="N48" s="3" t="s">
        <v>21</v>
      </c>
      <c r="O48" s="3" t="s">
        <v>22</v>
      </c>
      <c r="P48" s="3" t="s">
        <v>23</v>
      </c>
      <c r="Q48" s="3" t="s">
        <v>24</v>
      </c>
      <c r="R48" s="3" t="s">
        <v>25</v>
      </c>
    </row>
    <row r="49" spans="1:18" ht="49.95" customHeight="1" x14ac:dyDescent="0.3">
      <c r="A49" s="127" t="s">
        <v>44</v>
      </c>
      <c r="B49" s="127" t="s">
        <v>1265</v>
      </c>
      <c r="C49" s="127">
        <v>0.61458333333333337</v>
      </c>
      <c r="D49" s="127" t="s">
        <v>61</v>
      </c>
      <c r="E49" s="127"/>
      <c r="F49" s="127" t="s">
        <v>983</v>
      </c>
      <c r="G49" s="335"/>
      <c r="H49" s="249" t="s">
        <v>1265</v>
      </c>
      <c r="I49" s="250">
        <v>0.17860000000000001</v>
      </c>
      <c r="J49" s="251">
        <v>30</v>
      </c>
      <c r="K49" s="252" t="s">
        <v>311</v>
      </c>
      <c r="L49" s="251">
        <v>12</v>
      </c>
      <c r="M49" s="251">
        <v>0</v>
      </c>
      <c r="N49" s="251">
        <v>0</v>
      </c>
      <c r="O49" s="252" t="s">
        <v>364</v>
      </c>
      <c r="P49" s="252">
        <v>0.61458333333333337</v>
      </c>
      <c r="Q49" s="251">
        <v>168</v>
      </c>
      <c r="R49" s="253" t="s">
        <v>1277</v>
      </c>
    </row>
    <row r="50" spans="1:18" ht="17.399999999999999" customHeight="1" x14ac:dyDescent="0.3">
      <c r="A50" s="360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2"/>
    </row>
    <row r="51" spans="1:18" ht="22.05" customHeight="1" x14ac:dyDescent="0.3">
      <c r="A51" s="323" t="s">
        <v>6</v>
      </c>
      <c r="B51" s="324"/>
      <c r="C51" s="324"/>
      <c r="D51" s="324"/>
      <c r="E51" s="324"/>
      <c r="F51" s="324"/>
      <c r="G51" s="2">
        <v>46001</v>
      </c>
      <c r="H51" s="323" t="s">
        <v>7</v>
      </c>
      <c r="I51" s="324"/>
      <c r="J51" s="324"/>
      <c r="K51" s="324"/>
      <c r="L51" s="324"/>
      <c r="M51" s="324"/>
      <c r="N51" s="324"/>
      <c r="O51" s="324"/>
      <c r="P51" s="324"/>
      <c r="Q51" s="324"/>
      <c r="R51" s="324"/>
    </row>
    <row r="52" spans="1:18" ht="24" customHeight="1" x14ac:dyDescent="0.3">
      <c r="A52" s="3" t="s">
        <v>8</v>
      </c>
      <c r="B52" s="3" t="s">
        <v>9</v>
      </c>
      <c r="C52" s="3" t="s">
        <v>10</v>
      </c>
      <c r="D52" s="3" t="s">
        <v>11</v>
      </c>
      <c r="E52" s="3" t="s">
        <v>12</v>
      </c>
      <c r="F52" s="4" t="s">
        <v>13</v>
      </c>
      <c r="G52" s="5" t="s">
        <v>14</v>
      </c>
      <c r="H52" s="3" t="s">
        <v>15</v>
      </c>
      <c r="I52" s="3" t="s">
        <v>16</v>
      </c>
      <c r="J52" s="3" t="s">
        <v>17</v>
      </c>
      <c r="K52" s="3" t="s">
        <v>18</v>
      </c>
      <c r="L52" s="3" t="s">
        <v>19</v>
      </c>
      <c r="M52" s="3" t="s">
        <v>20</v>
      </c>
      <c r="N52" s="3" t="s">
        <v>21</v>
      </c>
      <c r="O52" s="3" t="s">
        <v>22</v>
      </c>
      <c r="P52" s="3" t="s">
        <v>23</v>
      </c>
      <c r="Q52" s="3" t="s">
        <v>24</v>
      </c>
      <c r="R52" s="3" t="s">
        <v>25</v>
      </c>
    </row>
    <row r="53" spans="1:18" ht="49.95" customHeight="1" x14ac:dyDescent="0.3">
      <c r="A53" s="149" t="s">
        <v>44</v>
      </c>
      <c r="B53" s="149" t="s">
        <v>1269</v>
      </c>
      <c r="C53" s="149">
        <v>0.59027777777777779</v>
      </c>
      <c r="D53" s="149" t="s">
        <v>61</v>
      </c>
      <c r="E53" s="149"/>
      <c r="F53" s="149" t="s">
        <v>983</v>
      </c>
      <c r="G53" s="335"/>
      <c r="H53" s="173" t="s">
        <v>1269</v>
      </c>
      <c r="I53" s="174">
        <v>0.125</v>
      </c>
      <c r="J53" s="175">
        <v>21</v>
      </c>
      <c r="K53" s="176" t="s">
        <v>378</v>
      </c>
      <c r="L53" s="175">
        <v>2</v>
      </c>
      <c r="M53" s="175">
        <v>0</v>
      </c>
      <c r="N53" s="175">
        <v>0</v>
      </c>
      <c r="O53" s="176" t="s">
        <v>364</v>
      </c>
      <c r="P53" s="176">
        <v>0.59027777777777779</v>
      </c>
      <c r="Q53" s="175">
        <v>168</v>
      </c>
      <c r="R53" s="177" t="s">
        <v>1278</v>
      </c>
    </row>
  </sheetData>
  <mergeCells count="54">
    <mergeCell ref="A51:F51"/>
    <mergeCell ref="G53"/>
    <mergeCell ref="H47:R47"/>
    <mergeCell ref="G49"/>
    <mergeCell ref="A36:F36"/>
    <mergeCell ref="A45:R45"/>
    <mergeCell ref="H51:R51"/>
    <mergeCell ref="H36:R36"/>
    <mergeCell ref="A35:R35"/>
    <mergeCell ref="N1:R1"/>
    <mergeCell ref="A38:F38"/>
    <mergeCell ref="A29:R29"/>
    <mergeCell ref="A19:R19"/>
    <mergeCell ref="A9:F9"/>
    <mergeCell ref="A13:R13"/>
    <mergeCell ref="K2:R2"/>
    <mergeCell ref="A30:F30"/>
    <mergeCell ref="G28"/>
    <mergeCell ref="A15:F15"/>
    <mergeCell ref="A34:R34"/>
    <mergeCell ref="A40:R40"/>
    <mergeCell ref="G22:G23"/>
    <mergeCell ref="A50:R50"/>
    <mergeCell ref="A2:F2"/>
    <mergeCell ref="A3:R3"/>
    <mergeCell ref="H9:R9"/>
    <mergeCell ref="A47:F47"/>
    <mergeCell ref="A33:R33"/>
    <mergeCell ref="G6:G7"/>
    <mergeCell ref="A14:R14"/>
    <mergeCell ref="G2:J2"/>
    <mergeCell ref="G11"/>
    <mergeCell ref="A4:F4"/>
    <mergeCell ref="A17:F17"/>
    <mergeCell ref="A20:F20"/>
    <mergeCell ref="A8:R8"/>
    <mergeCell ref="A24:R24"/>
    <mergeCell ref="H15:R15"/>
    <mergeCell ref="A46:R46"/>
    <mergeCell ref="H1:L1"/>
    <mergeCell ref="A1:E1"/>
    <mergeCell ref="H41:R41"/>
    <mergeCell ref="A26:F26"/>
    <mergeCell ref="G32"/>
    <mergeCell ref="G38:G39"/>
    <mergeCell ref="H4:R4"/>
    <mergeCell ref="A12:R12"/>
    <mergeCell ref="A41:F41"/>
    <mergeCell ref="H30:R30"/>
    <mergeCell ref="H26:R26"/>
    <mergeCell ref="G43:G44"/>
    <mergeCell ref="G17:G18"/>
    <mergeCell ref="A25:R25"/>
    <mergeCell ref="H20:R2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0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5546875" style="343" bestFit="1" customWidth="1"/>
    <col min="6" max="6" width="4.21875" style="343" bestFit="1" customWidth="1"/>
    <col min="7" max="7" width="10" style="343" bestFit="1" customWidth="1"/>
    <col min="8" max="8" width="8.5546875" style="343" bestFit="1" customWidth="1"/>
    <col min="9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8" width="3.88671875" style="343" bestFit="1" customWidth="1"/>
    <col min="29" max="29" width="4.2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1265</v>
      </c>
      <c r="D2" s="347" t="s">
        <v>691</v>
      </c>
      <c r="E2" s="346" t="s">
        <v>1263</v>
      </c>
      <c r="F2" s="346" t="s">
        <v>214</v>
      </c>
      <c r="G2" s="348">
        <v>0.42859999999999998</v>
      </c>
      <c r="H2" s="349">
        <v>168</v>
      </c>
      <c r="I2" s="349">
        <v>72</v>
      </c>
      <c r="J2" s="349">
        <v>0</v>
      </c>
      <c r="K2" s="346" t="s">
        <v>215</v>
      </c>
      <c r="L2" s="350" t="s">
        <v>175</v>
      </c>
      <c r="M2" s="349">
        <v>3</v>
      </c>
      <c r="N2" s="349">
        <v>5</v>
      </c>
      <c r="O2" s="349">
        <v>18</v>
      </c>
      <c r="P2" s="346" t="s">
        <v>346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258</v>
      </c>
      <c r="AA2" s="349" t="s">
        <v>695</v>
      </c>
      <c r="AB2" s="342"/>
      <c r="AC2" s="342"/>
      <c r="AD2" s="349" t="s">
        <v>266</v>
      </c>
      <c r="AE2" s="349" t="s">
        <v>1279</v>
      </c>
      <c r="AF2" s="349" t="s">
        <v>390</v>
      </c>
      <c r="AG2" s="342"/>
      <c r="AH2" s="342"/>
      <c r="AI2" s="342"/>
      <c r="AJ2" s="342"/>
    </row>
    <row r="3" spans="1:36" x14ac:dyDescent="0.3">
      <c r="A3" s="344" t="s">
        <v>331</v>
      </c>
      <c r="B3" s="345">
        <v>45987</v>
      </c>
      <c r="C3" s="346" t="s">
        <v>1269</v>
      </c>
      <c r="D3" s="347" t="s">
        <v>1280</v>
      </c>
      <c r="E3" s="346" t="s">
        <v>1263</v>
      </c>
      <c r="F3" s="346" t="s">
        <v>214</v>
      </c>
      <c r="G3" s="348">
        <v>0.49399999999999999</v>
      </c>
      <c r="H3" s="349">
        <v>168</v>
      </c>
      <c r="I3" s="349">
        <v>83</v>
      </c>
      <c r="J3" s="349">
        <v>0</v>
      </c>
      <c r="K3" s="346" t="s">
        <v>215</v>
      </c>
      <c r="L3" s="350" t="s">
        <v>175</v>
      </c>
      <c r="M3" s="349">
        <v>2</v>
      </c>
      <c r="N3" s="349">
        <v>4</v>
      </c>
      <c r="O3" s="349">
        <v>37</v>
      </c>
      <c r="P3" s="346" t="s">
        <v>237</v>
      </c>
      <c r="Q3" s="342"/>
      <c r="R3" s="342"/>
      <c r="S3" s="342"/>
      <c r="T3" s="342"/>
      <c r="U3" s="342"/>
      <c r="V3" s="342"/>
      <c r="W3" s="342"/>
      <c r="X3" s="342"/>
      <c r="Y3" s="342"/>
      <c r="Z3" s="349" t="s">
        <v>273</v>
      </c>
      <c r="AA3" s="349" t="s">
        <v>259</v>
      </c>
      <c r="AB3" s="349" t="s">
        <v>908</v>
      </c>
      <c r="AC3" s="342"/>
      <c r="AD3" s="349" t="s">
        <v>262</v>
      </c>
      <c r="AE3" s="349" t="s">
        <v>1281</v>
      </c>
      <c r="AF3" s="349" t="s">
        <v>778</v>
      </c>
      <c r="AG3" s="342"/>
      <c r="AH3" s="342"/>
      <c r="AI3" s="342"/>
      <c r="AJ3" s="342"/>
    </row>
    <row r="4" spans="1:36" x14ac:dyDescent="0.3">
      <c r="A4" s="344" t="s">
        <v>254</v>
      </c>
      <c r="B4" s="345">
        <v>45991</v>
      </c>
      <c r="C4" s="346" t="s">
        <v>1265</v>
      </c>
      <c r="D4" s="347" t="s">
        <v>1246</v>
      </c>
      <c r="E4" s="346" t="s">
        <v>1263</v>
      </c>
      <c r="F4" s="346" t="s">
        <v>214</v>
      </c>
      <c r="G4" s="348">
        <v>0.50600000000000001</v>
      </c>
      <c r="H4" s="349">
        <v>168</v>
      </c>
      <c r="I4" s="349">
        <v>85</v>
      </c>
      <c r="J4" s="349">
        <v>0</v>
      </c>
      <c r="K4" s="346" t="s">
        <v>215</v>
      </c>
      <c r="L4" s="350" t="s">
        <v>175</v>
      </c>
      <c r="M4" s="349">
        <v>3</v>
      </c>
      <c r="N4" s="349">
        <v>2</v>
      </c>
      <c r="O4" s="349">
        <v>27</v>
      </c>
      <c r="P4" s="346" t="s">
        <v>265</v>
      </c>
      <c r="Q4" s="342"/>
      <c r="R4" s="342"/>
      <c r="S4" s="342"/>
      <c r="T4" s="342"/>
      <c r="U4" s="342"/>
      <c r="V4" s="342"/>
      <c r="W4" s="342"/>
      <c r="X4" s="342"/>
      <c r="Y4" s="342"/>
      <c r="Z4" s="349" t="s">
        <v>273</v>
      </c>
      <c r="AA4" s="349" t="s">
        <v>738</v>
      </c>
      <c r="AB4" s="342"/>
      <c r="AC4" s="349" t="s">
        <v>334</v>
      </c>
      <c r="AD4" s="349" t="s">
        <v>777</v>
      </c>
      <c r="AE4" s="349" t="s">
        <v>1282</v>
      </c>
      <c r="AF4" s="349" t="s">
        <v>375</v>
      </c>
      <c r="AG4" s="342"/>
      <c r="AH4" s="342"/>
      <c r="AI4" s="342"/>
      <c r="AJ4" s="342"/>
    </row>
    <row r="5" spans="1:36" x14ac:dyDescent="0.3">
      <c r="A5" s="344" t="s">
        <v>212</v>
      </c>
      <c r="B5" s="345">
        <v>45993</v>
      </c>
      <c r="C5" s="346" t="s">
        <v>1265</v>
      </c>
      <c r="D5" s="347" t="s">
        <v>691</v>
      </c>
      <c r="E5" s="346" t="s">
        <v>1263</v>
      </c>
      <c r="F5" s="346" t="s">
        <v>214</v>
      </c>
      <c r="G5" s="348">
        <v>0.375</v>
      </c>
      <c r="H5" s="349">
        <v>168</v>
      </c>
      <c r="I5" s="349">
        <v>63</v>
      </c>
      <c r="J5" s="349">
        <v>0</v>
      </c>
      <c r="K5" s="346" t="s">
        <v>215</v>
      </c>
      <c r="L5" s="350" t="s">
        <v>175</v>
      </c>
      <c r="M5" s="349">
        <v>1</v>
      </c>
      <c r="N5" s="349">
        <v>2</v>
      </c>
      <c r="O5" s="349">
        <v>11</v>
      </c>
      <c r="P5" s="346" t="s">
        <v>265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333</v>
      </c>
      <c r="AA5" s="342"/>
      <c r="AB5" s="342"/>
      <c r="AC5" s="349" t="s">
        <v>895</v>
      </c>
      <c r="AD5" s="349" t="s">
        <v>777</v>
      </c>
      <c r="AE5" s="349" t="s">
        <v>228</v>
      </c>
      <c r="AF5" s="349" t="s">
        <v>390</v>
      </c>
      <c r="AG5" s="342"/>
      <c r="AH5" s="342"/>
      <c r="AI5" s="342"/>
      <c r="AJ5" s="342"/>
    </row>
    <row r="6" spans="1:36" x14ac:dyDescent="0.3">
      <c r="A6" s="344" t="s">
        <v>331</v>
      </c>
      <c r="B6" s="345">
        <v>45994</v>
      </c>
      <c r="C6" s="346" t="s">
        <v>1269</v>
      </c>
      <c r="D6" s="347" t="s">
        <v>1280</v>
      </c>
      <c r="E6" s="346" t="s">
        <v>1263</v>
      </c>
      <c r="F6" s="346" t="s">
        <v>214</v>
      </c>
      <c r="G6" s="348">
        <v>0.35709999999999997</v>
      </c>
      <c r="H6" s="349">
        <v>168</v>
      </c>
      <c r="I6" s="349">
        <v>60</v>
      </c>
      <c r="J6" s="349">
        <v>0</v>
      </c>
      <c r="K6" s="346" t="s">
        <v>215</v>
      </c>
      <c r="L6" s="350" t="s">
        <v>175</v>
      </c>
      <c r="M6" s="349">
        <v>1</v>
      </c>
      <c r="N6" s="349">
        <v>2</v>
      </c>
      <c r="O6" s="349">
        <v>12</v>
      </c>
      <c r="P6" s="346" t="s">
        <v>261</v>
      </c>
      <c r="Q6" s="342"/>
      <c r="R6" s="342"/>
      <c r="S6" s="342"/>
      <c r="T6" s="342"/>
      <c r="U6" s="342"/>
      <c r="V6" s="342"/>
      <c r="W6" s="342"/>
      <c r="X6" s="342"/>
      <c r="Y6" s="342"/>
      <c r="Z6" s="349" t="s">
        <v>244</v>
      </c>
      <c r="AA6" s="342"/>
      <c r="AB6" s="349" t="s">
        <v>1283</v>
      </c>
      <c r="AC6" s="349" t="s">
        <v>909</v>
      </c>
      <c r="AD6" s="349" t="s">
        <v>382</v>
      </c>
      <c r="AE6" s="349" t="s">
        <v>383</v>
      </c>
      <c r="AF6" s="342"/>
      <c r="AG6" s="342"/>
      <c r="AH6" s="342"/>
      <c r="AI6" s="342"/>
      <c r="AJ6" s="342"/>
    </row>
    <row r="7" spans="1:36" x14ac:dyDescent="0.3">
      <c r="A7" s="344" t="s">
        <v>254</v>
      </c>
      <c r="B7" s="345">
        <v>45998</v>
      </c>
      <c r="C7" s="346" t="s">
        <v>1265</v>
      </c>
      <c r="D7" s="347" t="s">
        <v>1246</v>
      </c>
      <c r="E7" s="346" t="s">
        <v>1263</v>
      </c>
      <c r="F7" s="346" t="s">
        <v>214</v>
      </c>
      <c r="G7" s="348">
        <v>0.35120000000000001</v>
      </c>
      <c r="H7" s="349">
        <v>168</v>
      </c>
      <c r="I7" s="349">
        <v>59</v>
      </c>
      <c r="J7" s="349">
        <v>0</v>
      </c>
      <c r="K7" s="346" t="s">
        <v>215</v>
      </c>
      <c r="L7" s="350" t="s">
        <v>175</v>
      </c>
      <c r="M7" s="349">
        <v>3</v>
      </c>
      <c r="N7" s="349">
        <v>4</v>
      </c>
      <c r="O7" s="349">
        <v>17</v>
      </c>
      <c r="P7" s="346" t="s">
        <v>265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258</v>
      </c>
      <c r="AA7" s="349" t="s">
        <v>705</v>
      </c>
      <c r="AB7" s="349" t="s">
        <v>1283</v>
      </c>
      <c r="AC7" s="349" t="s">
        <v>279</v>
      </c>
      <c r="AD7" s="349" t="s">
        <v>1284</v>
      </c>
      <c r="AE7" s="349" t="s">
        <v>1285</v>
      </c>
      <c r="AF7" s="342"/>
      <c r="AG7" s="342"/>
      <c r="AH7" s="342"/>
      <c r="AI7" s="342"/>
      <c r="AJ7" s="342"/>
    </row>
    <row r="8" spans="1:36" x14ac:dyDescent="0.3">
      <c r="A8" s="344" t="s">
        <v>212</v>
      </c>
      <c r="B8" s="345">
        <v>46000</v>
      </c>
      <c r="C8" s="346" t="s">
        <v>1265</v>
      </c>
      <c r="D8" s="347" t="s">
        <v>691</v>
      </c>
      <c r="E8" s="346" t="s">
        <v>1263</v>
      </c>
      <c r="F8" s="346" t="s">
        <v>214</v>
      </c>
      <c r="G8" s="348">
        <v>0.17860000000000001</v>
      </c>
      <c r="H8" s="349">
        <v>168</v>
      </c>
      <c r="I8" s="349">
        <v>30</v>
      </c>
      <c r="J8" s="349">
        <v>0</v>
      </c>
      <c r="K8" s="346" t="s">
        <v>215</v>
      </c>
      <c r="L8" s="350" t="s">
        <v>311</v>
      </c>
      <c r="M8" s="349">
        <v>0</v>
      </c>
      <c r="N8" s="349">
        <v>0</v>
      </c>
      <c r="O8" s="349">
        <v>12</v>
      </c>
      <c r="P8" s="346" t="s">
        <v>364</v>
      </c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9" t="s">
        <v>262</v>
      </c>
      <c r="AE8" s="349" t="s">
        <v>1285</v>
      </c>
      <c r="AF8" s="342"/>
      <c r="AG8" s="342"/>
      <c r="AH8" s="342"/>
      <c r="AI8" s="342"/>
      <c r="AJ8" s="342"/>
    </row>
    <row r="9" spans="1:36" x14ac:dyDescent="0.3">
      <c r="A9" s="344" t="s">
        <v>331</v>
      </c>
      <c r="B9" s="345">
        <v>46001</v>
      </c>
      <c r="C9" s="346" t="s">
        <v>1269</v>
      </c>
      <c r="D9" s="347" t="s">
        <v>1280</v>
      </c>
      <c r="E9" s="346" t="s">
        <v>1263</v>
      </c>
      <c r="F9" s="346" t="s">
        <v>214</v>
      </c>
      <c r="G9" s="348">
        <v>0.125</v>
      </c>
      <c r="H9" s="349">
        <v>168</v>
      </c>
      <c r="I9" s="349">
        <v>21</v>
      </c>
      <c r="J9" s="349">
        <v>0</v>
      </c>
      <c r="K9" s="346" t="s">
        <v>215</v>
      </c>
      <c r="L9" s="350" t="s">
        <v>378</v>
      </c>
      <c r="M9" s="349">
        <v>0</v>
      </c>
      <c r="N9" s="349">
        <v>0</v>
      </c>
      <c r="O9" s="349">
        <v>2</v>
      </c>
      <c r="P9" s="346" t="s">
        <v>364</v>
      </c>
      <c r="Q9" s="342"/>
      <c r="R9" s="342"/>
      <c r="S9" s="342"/>
      <c r="T9" s="342"/>
      <c r="U9" s="342"/>
      <c r="V9" s="342"/>
      <c r="W9" s="342"/>
      <c r="X9" s="342"/>
      <c r="Y9" s="342"/>
      <c r="Z9" s="349" t="s">
        <v>333</v>
      </c>
      <c r="AA9" s="342"/>
      <c r="AB9" s="342"/>
      <c r="AC9" s="349" t="s">
        <v>261</v>
      </c>
      <c r="AD9" s="349" t="s">
        <v>921</v>
      </c>
      <c r="AE9" s="349" t="s">
        <v>394</v>
      </c>
      <c r="AF9" s="342"/>
      <c r="AG9" s="342"/>
      <c r="AH9" s="342"/>
      <c r="AI9" s="342"/>
      <c r="AJ9" s="342"/>
    </row>
    <row r="10" spans="1:36" ht="21" x14ac:dyDescent="0.3">
      <c r="A10" s="351" t="s">
        <v>1574</v>
      </c>
      <c r="B10" s="352"/>
      <c r="C10" s="351">
        <f>SUBTOTAL(103,RUH_ATZ_LF_LEGACY[Flt])</f>
        <v>8</v>
      </c>
      <c r="D10" s="351"/>
      <c r="E10" s="351">
        <f>SUBTOTAL(103,RUH_ATZ_LF_LEGACY[Brd-Off])</f>
        <v>8</v>
      </c>
      <c r="F10" s="351"/>
      <c r="G10" s="353">
        <f>SUBTOTAL(101,RUH_ATZ_LF_LEGACY[LF%])</f>
        <v>0.35193749999999996</v>
      </c>
      <c r="H10" s="354">
        <f>SUBTOTAL(109,RUH_ATZ_LF_LEGACY[CAP])</f>
        <v>1344</v>
      </c>
      <c r="I10" s="354">
        <f>SUBTOTAL(109,RUH_ATZ_LF_LEGACY[BKG(Y)])</f>
        <v>473</v>
      </c>
      <c r="J10" s="354">
        <f>SUBTOTAL(109,RUH_ATZ_LF_LEGACY[GRP(Y)])</f>
        <v>0</v>
      </c>
      <c r="K10" s="351"/>
      <c r="L10" s="352"/>
      <c r="M10" s="354">
        <f>SUBTOTAL(109,RUH_ATZ_LF_LEGACY[TO-DAY])</f>
        <v>13</v>
      </c>
      <c r="N10" s="354">
        <f>SUBTOTAL(109,RUH_ATZ_LF_LEGACY[Y-DAY])</f>
        <v>19</v>
      </c>
      <c r="O10" s="354">
        <f>SUBTOTAL(109,RUH_ATZ_LF_LEGACY[WEEKLY])</f>
        <v>136</v>
      </c>
      <c r="P10" s="355"/>
      <c r="Q10" s="354">
        <f>SUBTOTAL(109,RUH_ATZ_LF_LEGACY[Y])</f>
        <v>0</v>
      </c>
      <c r="R10" s="354">
        <f>SUBTOTAL(109,RUH_ATZ_LF_LEGACY[B])</f>
        <v>0</v>
      </c>
      <c r="S10" s="354">
        <f>SUBTOTAL(109,RUH_ATZ_LF_LEGACY[M])</f>
        <v>0</v>
      </c>
      <c r="T10" s="354">
        <f>SUBTOTAL(109,RUH_ATZ_LF_LEGACY[H])</f>
        <v>0</v>
      </c>
      <c r="U10" s="354">
        <f>SUBTOTAL(109,RUH_ATZ_LF_LEGACY[Q])</f>
        <v>0</v>
      </c>
      <c r="V10" s="354">
        <f>SUBTOTAL(109,RUH_ATZ_LF_LEGACY[K])</f>
        <v>0</v>
      </c>
      <c r="W10" s="354">
        <f>SUBTOTAL(109,RUH_ATZ_LF_LEGACY[V])</f>
        <v>0</v>
      </c>
      <c r="X10" s="354">
        <f>SUBTOTAL(109,RUH_ATZ_LF_LEGACY[L])</f>
        <v>0</v>
      </c>
      <c r="Y10" s="354">
        <f>SUBTOTAL(109,RUH_ATZ_LF_LEGACY[G])</f>
        <v>0</v>
      </c>
      <c r="Z10" s="354">
        <f>SUBTOTAL(109,RUH_ATZ_LF_LEGACY[S])</f>
        <v>0</v>
      </c>
      <c r="AA10" s="354">
        <f>SUBTOTAL(109,RUH_ATZ_LF_LEGACY[W])</f>
        <v>0</v>
      </c>
      <c r="AB10" s="354">
        <f>SUBTOTAL(109,RUH_ATZ_LF_LEGACY[T])</f>
        <v>0</v>
      </c>
      <c r="AC10" s="354">
        <f>SUBTOTAL(109,RUH_ATZ_LF_LEGACY[X])</f>
        <v>0</v>
      </c>
      <c r="AD10" s="354">
        <f>SUBTOTAL(109,RUH_ATZ_LF_LEGACY[U])</f>
        <v>0</v>
      </c>
      <c r="AE10" s="354">
        <f>SUBTOTAL(109,RUH_ATZ_LF_LEGACY[O])</f>
        <v>0</v>
      </c>
      <c r="AF10" s="354">
        <f>SUBTOTAL(109,RUH_ATZ_LF_LEGACY[I])</f>
        <v>0</v>
      </c>
      <c r="AG10" s="354">
        <f>SUBTOTAL(109,RUH_ATZ_LF_LEGACY[E])</f>
        <v>0</v>
      </c>
      <c r="AH10" s="354">
        <f>SUBTOTAL(109,RUH_ATZ_LF_LEGACY[A])</f>
        <v>0</v>
      </c>
      <c r="AI10" s="354">
        <f>SUBTOTAL(109,RUH_ATZ_LF_LEGACY[P])</f>
        <v>0</v>
      </c>
      <c r="AJ10" s="354">
        <f>SUBTOTAL(103,RUH_ATZ_LF_LEGACY[N])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6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5.218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8" t="s">
        <v>292</v>
      </c>
      <c r="B2" s="99" t="s">
        <v>44</v>
      </c>
      <c r="C2" s="100" t="s">
        <v>1264</v>
      </c>
      <c r="D2" s="99" t="s">
        <v>1263</v>
      </c>
      <c r="E2" s="99" t="s">
        <v>691</v>
      </c>
      <c r="F2" s="99" t="s">
        <v>46</v>
      </c>
      <c r="G2" s="101">
        <v>7</v>
      </c>
      <c r="H2" s="102">
        <v>494</v>
      </c>
      <c r="I2" s="88"/>
    </row>
    <row r="3" spans="1:9" ht="19.8" customHeight="1" x14ac:dyDescent="0.3">
      <c r="A3" s="113">
        <v>45986</v>
      </c>
      <c r="B3" s="114" t="s">
        <v>66</v>
      </c>
      <c r="C3" s="115" t="s">
        <v>1267</v>
      </c>
      <c r="D3" s="114" t="s">
        <v>1263</v>
      </c>
      <c r="E3" s="116">
        <v>1.614583333333333</v>
      </c>
      <c r="F3" s="114" t="s">
        <v>369</v>
      </c>
      <c r="G3" s="117">
        <v>4</v>
      </c>
      <c r="H3" s="142">
        <v>778</v>
      </c>
      <c r="I3" s="88"/>
    </row>
    <row r="4" spans="1:9" ht="19.8" customHeight="1" x14ac:dyDescent="0.3">
      <c r="A4" s="108">
        <v>45987</v>
      </c>
      <c r="B4" s="109" t="s">
        <v>44</v>
      </c>
      <c r="C4" s="110" t="s">
        <v>1286</v>
      </c>
      <c r="D4" s="109" t="s">
        <v>1263</v>
      </c>
      <c r="E4" s="111">
        <v>1.5902777777777779</v>
      </c>
      <c r="F4" s="109"/>
      <c r="G4" s="109"/>
      <c r="H4" s="112" t="s">
        <v>363</v>
      </c>
      <c r="I4" s="88"/>
    </row>
    <row r="5" spans="1:9" ht="19.8" customHeight="1" x14ac:dyDescent="0.3">
      <c r="A5" s="183"/>
      <c r="B5" s="184"/>
      <c r="C5" s="184"/>
      <c r="D5" s="184"/>
      <c r="E5" s="184"/>
      <c r="F5" s="185" t="s">
        <v>1287</v>
      </c>
      <c r="G5" s="184"/>
      <c r="H5" s="186"/>
      <c r="I5" s="88"/>
    </row>
    <row r="6" spans="1:9" ht="19.8" customHeight="1" x14ac:dyDescent="0.3">
      <c r="A6" s="113">
        <v>45990</v>
      </c>
      <c r="B6" s="114" t="s">
        <v>44</v>
      </c>
      <c r="C6" s="115" t="s">
        <v>367</v>
      </c>
      <c r="D6" s="114" t="s">
        <v>1098</v>
      </c>
      <c r="E6" s="116">
        <v>1.9375</v>
      </c>
      <c r="F6" s="114" t="s">
        <v>369</v>
      </c>
      <c r="G6" s="117">
        <v>2</v>
      </c>
      <c r="H6" s="118" t="s">
        <v>371</v>
      </c>
      <c r="I6" s="88"/>
    </row>
    <row r="7" spans="1:9" ht="19.8" customHeight="1" x14ac:dyDescent="0.3">
      <c r="A7" s="105">
        <v>45991</v>
      </c>
      <c r="B7" s="99" t="s">
        <v>44</v>
      </c>
      <c r="C7" s="100" t="s">
        <v>1264</v>
      </c>
      <c r="D7" s="99" t="s">
        <v>1263</v>
      </c>
      <c r="E7" s="106">
        <v>1.6111111111111109</v>
      </c>
      <c r="F7" s="99" t="s">
        <v>46</v>
      </c>
      <c r="G7" s="101">
        <v>9</v>
      </c>
      <c r="H7" s="102">
        <v>662</v>
      </c>
      <c r="I7" s="88"/>
    </row>
    <row r="8" spans="1:9" ht="19.8" customHeight="1" x14ac:dyDescent="0.3">
      <c r="A8" s="113">
        <v>45991</v>
      </c>
      <c r="B8" s="114" t="s">
        <v>66</v>
      </c>
      <c r="C8" s="115" t="s">
        <v>1267</v>
      </c>
      <c r="D8" s="114" t="s">
        <v>1263</v>
      </c>
      <c r="E8" s="116">
        <v>1.6111111111111109</v>
      </c>
      <c r="F8" s="114" t="s">
        <v>369</v>
      </c>
      <c r="G8" s="117">
        <v>4</v>
      </c>
      <c r="H8" s="142">
        <v>778</v>
      </c>
      <c r="I8" s="88"/>
    </row>
    <row r="9" spans="1:9" ht="19.8" customHeight="1" x14ac:dyDescent="0.3">
      <c r="A9" s="108">
        <v>45993</v>
      </c>
      <c r="B9" s="109" t="s">
        <v>44</v>
      </c>
      <c r="C9" s="110" t="s">
        <v>1264</v>
      </c>
      <c r="D9" s="109" t="s">
        <v>1263</v>
      </c>
      <c r="E9" s="111">
        <v>1.614583333333333</v>
      </c>
      <c r="F9" s="109"/>
      <c r="G9" s="109"/>
      <c r="H9" s="112" t="s">
        <v>363</v>
      </c>
      <c r="I9" s="88"/>
    </row>
    <row r="10" spans="1:9" ht="19.8" customHeight="1" x14ac:dyDescent="0.3">
      <c r="A10" s="108">
        <v>45994</v>
      </c>
      <c r="B10" s="109" t="s">
        <v>44</v>
      </c>
      <c r="C10" s="110" t="s">
        <v>1286</v>
      </c>
      <c r="D10" s="109" t="s">
        <v>1263</v>
      </c>
      <c r="E10" s="111">
        <v>1.5902777777777779</v>
      </c>
      <c r="F10" s="109"/>
      <c r="G10" s="109"/>
      <c r="H10" s="112" t="s">
        <v>363</v>
      </c>
      <c r="I10" s="88"/>
    </row>
    <row r="11" spans="1:9" ht="19.8" customHeight="1" x14ac:dyDescent="0.3">
      <c r="A11" s="183"/>
      <c r="B11" s="184"/>
      <c r="C11" s="184"/>
      <c r="D11" s="184"/>
      <c r="E11" s="184"/>
      <c r="F11" s="185" t="s">
        <v>1287</v>
      </c>
      <c r="G11" s="184"/>
      <c r="H11" s="186"/>
      <c r="I11" s="88"/>
    </row>
    <row r="12" spans="1:9" ht="19.8" customHeight="1" x14ac:dyDescent="0.3">
      <c r="A12" s="113">
        <v>45997</v>
      </c>
      <c r="B12" s="114" t="s">
        <v>44</v>
      </c>
      <c r="C12" s="115" t="s">
        <v>367</v>
      </c>
      <c r="D12" s="114" t="s">
        <v>1098</v>
      </c>
      <c r="E12" s="116">
        <v>1.9375</v>
      </c>
      <c r="F12" s="114" t="s">
        <v>369</v>
      </c>
      <c r="G12" s="117">
        <v>9</v>
      </c>
      <c r="H12" s="118" t="s">
        <v>371</v>
      </c>
      <c r="I12" s="88"/>
    </row>
    <row r="13" spans="1:9" ht="19.8" customHeight="1" x14ac:dyDescent="0.3">
      <c r="A13" s="105">
        <v>45998</v>
      </c>
      <c r="B13" s="99" t="s">
        <v>44</v>
      </c>
      <c r="C13" s="100" t="s">
        <v>1264</v>
      </c>
      <c r="D13" s="99" t="s">
        <v>1263</v>
      </c>
      <c r="E13" s="106">
        <v>1.6111111111111109</v>
      </c>
      <c r="F13" s="99" t="s">
        <v>46</v>
      </c>
      <c r="G13" s="101">
        <v>9</v>
      </c>
      <c r="H13" s="102">
        <v>662</v>
      </c>
      <c r="I13" s="88"/>
    </row>
    <row r="14" spans="1:9" ht="19.8" customHeight="1" x14ac:dyDescent="0.3">
      <c r="A14" s="113">
        <v>45998</v>
      </c>
      <c r="B14" s="114" t="s">
        <v>66</v>
      </c>
      <c r="C14" s="115" t="s">
        <v>1267</v>
      </c>
      <c r="D14" s="114" t="s">
        <v>1263</v>
      </c>
      <c r="E14" s="116">
        <v>1.6111111111111109</v>
      </c>
      <c r="F14" s="114" t="s">
        <v>369</v>
      </c>
      <c r="G14" s="117">
        <v>4</v>
      </c>
      <c r="H14" s="142">
        <v>778</v>
      </c>
      <c r="I14" s="88"/>
    </row>
    <row r="15" spans="1:9" ht="19.8" customHeight="1" x14ac:dyDescent="0.3">
      <c r="A15" s="108">
        <v>46000</v>
      </c>
      <c r="B15" s="109" t="s">
        <v>44</v>
      </c>
      <c r="C15" s="110" t="s">
        <v>1264</v>
      </c>
      <c r="D15" s="109" t="s">
        <v>1263</v>
      </c>
      <c r="E15" s="111">
        <v>1.614583333333333</v>
      </c>
      <c r="F15" s="109"/>
      <c r="G15" s="109"/>
      <c r="H15" s="112" t="s">
        <v>983</v>
      </c>
      <c r="I15" s="88"/>
    </row>
    <row r="16" spans="1:9" ht="19.8" customHeight="1" x14ac:dyDescent="0.3">
      <c r="A16" s="108">
        <v>46001</v>
      </c>
      <c r="B16" s="109" t="s">
        <v>44</v>
      </c>
      <c r="C16" s="110" t="s">
        <v>1286</v>
      </c>
      <c r="D16" s="109" t="s">
        <v>1263</v>
      </c>
      <c r="E16" s="111">
        <v>1.5902777777777779</v>
      </c>
      <c r="F16" s="109"/>
      <c r="G16" s="109"/>
      <c r="H16" s="112" t="s">
        <v>983</v>
      </c>
      <c r="I16" s="88"/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209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0.777343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1288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45982.804320246061</v>
      </c>
      <c r="H2" s="330"/>
      <c r="I2" s="330"/>
      <c r="J2" s="330"/>
      <c r="K2" s="334">
        <v>45982.804320246527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15" customHeight="1" x14ac:dyDescent="0.3">
      <c r="A6" s="6" t="s">
        <v>26</v>
      </c>
      <c r="B6" s="6" t="s">
        <v>1289</v>
      </c>
      <c r="C6" s="6">
        <v>0.30555555555555552</v>
      </c>
      <c r="D6" s="6" t="s">
        <v>28</v>
      </c>
      <c r="E6" s="6" t="s">
        <v>102</v>
      </c>
      <c r="F6" s="6" t="s">
        <v>583</v>
      </c>
      <c r="G6" s="328"/>
      <c r="H6" s="7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15" customHeight="1" x14ac:dyDescent="0.3">
      <c r="A7" s="10" t="s">
        <v>26</v>
      </c>
      <c r="B7" s="10" t="s">
        <v>1289</v>
      </c>
      <c r="C7" s="10">
        <v>0.30555555555555552</v>
      </c>
      <c r="D7" s="10" t="s">
        <v>31</v>
      </c>
      <c r="E7" s="10" t="s">
        <v>104</v>
      </c>
      <c r="F7" s="10" t="s">
        <v>622</v>
      </c>
      <c r="G7" s="328"/>
      <c r="H7" s="7"/>
      <c r="I7" s="8"/>
      <c r="J7" s="8"/>
      <c r="K7" s="8"/>
      <c r="L7" s="8"/>
      <c r="M7" s="8"/>
      <c r="N7" s="8"/>
      <c r="O7" s="8"/>
      <c r="P7" s="8"/>
      <c r="Q7" s="8"/>
      <c r="R7" s="9"/>
    </row>
    <row r="8" spans="1:18" ht="15" customHeight="1" x14ac:dyDescent="0.3">
      <c r="A8" s="10" t="s">
        <v>26</v>
      </c>
      <c r="B8" s="10" t="s">
        <v>1289</v>
      </c>
      <c r="C8" s="10">
        <v>0.30555555555555552</v>
      </c>
      <c r="D8" s="10" t="s">
        <v>34</v>
      </c>
      <c r="E8" s="10" t="s">
        <v>104</v>
      </c>
      <c r="F8" s="10" t="s">
        <v>1103</v>
      </c>
      <c r="G8" s="328"/>
      <c r="H8" s="7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ht="15" customHeight="1" x14ac:dyDescent="0.3">
      <c r="A9" s="11" t="s">
        <v>36</v>
      </c>
      <c r="B9" s="11" t="s">
        <v>1290</v>
      </c>
      <c r="C9" s="11">
        <v>0.19791666666666671</v>
      </c>
      <c r="D9" s="11" t="s">
        <v>38</v>
      </c>
      <c r="E9" s="11" t="s">
        <v>123</v>
      </c>
      <c r="F9" s="11" t="s">
        <v>975</v>
      </c>
      <c r="G9" s="328"/>
      <c r="H9" s="7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ht="15" customHeight="1" x14ac:dyDescent="0.3">
      <c r="A10" s="10" t="s">
        <v>36</v>
      </c>
      <c r="B10" s="10" t="s">
        <v>1290</v>
      </c>
      <c r="C10" s="10">
        <v>0.19791666666666671</v>
      </c>
      <c r="D10" s="10" t="s">
        <v>40</v>
      </c>
      <c r="E10" s="10" t="s">
        <v>124</v>
      </c>
      <c r="F10" s="10" t="s">
        <v>624</v>
      </c>
      <c r="G10" s="328"/>
      <c r="H10" s="7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 ht="15" customHeight="1" x14ac:dyDescent="0.3">
      <c r="A11" s="10" t="s">
        <v>36</v>
      </c>
      <c r="B11" s="10" t="s">
        <v>1290</v>
      </c>
      <c r="C11" s="10">
        <v>0.19791666666666671</v>
      </c>
      <c r="D11" s="10" t="s">
        <v>42</v>
      </c>
      <c r="E11" s="10" t="s">
        <v>124</v>
      </c>
      <c r="F11" s="10" t="s">
        <v>499</v>
      </c>
      <c r="G11" s="328"/>
      <c r="H11" s="7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 ht="15" customHeight="1" x14ac:dyDescent="0.3">
      <c r="A12" s="26" t="s">
        <v>36</v>
      </c>
      <c r="B12" s="26" t="s">
        <v>1291</v>
      </c>
      <c r="C12" s="26">
        <v>0.83333333333333337</v>
      </c>
      <c r="D12" s="26" t="s">
        <v>38</v>
      </c>
      <c r="E12" s="26" t="s">
        <v>114</v>
      </c>
      <c r="F12" s="26" t="s">
        <v>530</v>
      </c>
      <c r="G12" s="328"/>
      <c r="H12" s="7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ht="15" customHeight="1" x14ac:dyDescent="0.3">
      <c r="A13" s="10" t="s">
        <v>36</v>
      </c>
      <c r="B13" s="10" t="s">
        <v>1291</v>
      </c>
      <c r="C13" s="10">
        <v>0.83333333333333337</v>
      </c>
      <c r="D13" s="10" t="s">
        <v>40</v>
      </c>
      <c r="E13" s="10" t="s">
        <v>115</v>
      </c>
      <c r="F13" s="10" t="s">
        <v>514</v>
      </c>
      <c r="G13" s="328"/>
      <c r="H13" s="7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ht="15" customHeight="1" x14ac:dyDescent="0.3">
      <c r="A14" s="10" t="s">
        <v>36</v>
      </c>
      <c r="B14" s="10" t="s">
        <v>1291</v>
      </c>
      <c r="C14" s="10">
        <v>0.83333333333333337</v>
      </c>
      <c r="D14" s="10" t="s">
        <v>42</v>
      </c>
      <c r="E14" s="10" t="s">
        <v>115</v>
      </c>
      <c r="F14" s="10" t="s">
        <v>414</v>
      </c>
      <c r="G14" s="328"/>
      <c r="H14" s="7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 ht="15" customHeight="1" x14ac:dyDescent="0.3">
      <c r="A15" s="11" t="s">
        <v>410</v>
      </c>
      <c r="B15" s="11" t="s">
        <v>1292</v>
      </c>
      <c r="C15" s="11">
        <v>0.95833333333333337</v>
      </c>
      <c r="D15" s="11" t="s">
        <v>46</v>
      </c>
      <c r="E15" s="11" t="s">
        <v>47</v>
      </c>
      <c r="F15" s="11" t="s">
        <v>1293</v>
      </c>
      <c r="G15" s="328"/>
      <c r="H15" s="7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 ht="15" customHeight="1" x14ac:dyDescent="0.3">
      <c r="A16" s="44" t="s">
        <v>44</v>
      </c>
      <c r="B16" s="44" t="s">
        <v>1294</v>
      </c>
      <c r="C16" s="44">
        <v>0.27083333333333331</v>
      </c>
      <c r="D16" s="44" t="s">
        <v>46</v>
      </c>
      <c r="E16" s="44" t="s">
        <v>102</v>
      </c>
      <c r="F16" s="44" t="s">
        <v>360</v>
      </c>
      <c r="G16" s="328"/>
      <c r="H16" s="45" t="s">
        <v>1295</v>
      </c>
      <c r="I16" s="191">
        <v>0.38690000000000002</v>
      </c>
      <c r="J16" s="47">
        <v>65</v>
      </c>
      <c r="K16" s="48" t="s">
        <v>175</v>
      </c>
      <c r="L16" s="47">
        <v>29</v>
      </c>
      <c r="M16" s="47">
        <v>3</v>
      </c>
      <c r="N16" s="47">
        <v>15</v>
      </c>
      <c r="O16" s="48" t="s">
        <v>646</v>
      </c>
      <c r="P16" s="48">
        <v>0.27083333333333331</v>
      </c>
      <c r="Q16" s="47">
        <v>168</v>
      </c>
      <c r="R16" s="49" t="s">
        <v>1296</v>
      </c>
    </row>
    <row r="17" spans="1:18" ht="15" customHeight="1" x14ac:dyDescent="0.3">
      <c r="A17" s="11" t="s">
        <v>66</v>
      </c>
      <c r="B17" s="11" t="s">
        <v>1297</v>
      </c>
      <c r="C17" s="11">
        <v>0.86458333333333337</v>
      </c>
      <c r="D17" s="11" t="s">
        <v>68</v>
      </c>
      <c r="E17" s="11" t="s">
        <v>47</v>
      </c>
      <c r="F17" s="11" t="s">
        <v>1298</v>
      </c>
      <c r="G17" s="328"/>
      <c r="H17" s="7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ht="15" customHeight="1" x14ac:dyDescent="0.3">
      <c r="A18" s="26" t="s">
        <v>66</v>
      </c>
      <c r="B18" s="26" t="s">
        <v>1299</v>
      </c>
      <c r="C18" s="26">
        <v>0.52777777777777779</v>
      </c>
      <c r="D18" s="26" t="s">
        <v>68</v>
      </c>
      <c r="E18" s="26" t="s">
        <v>71</v>
      </c>
      <c r="F18" s="26" t="s">
        <v>1298</v>
      </c>
      <c r="G18" s="328"/>
      <c r="H18" s="7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1:18" ht="15" customHeight="1" x14ac:dyDescent="0.3">
      <c r="A19" s="26" t="s">
        <v>66</v>
      </c>
      <c r="B19" s="26" t="s">
        <v>1300</v>
      </c>
      <c r="C19" s="26">
        <v>0.1701388888888889</v>
      </c>
      <c r="D19" s="26" t="s">
        <v>68</v>
      </c>
      <c r="E19" s="26" t="s">
        <v>71</v>
      </c>
      <c r="F19" s="26" t="s">
        <v>165</v>
      </c>
      <c r="G19" s="328"/>
      <c r="H19" s="7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ht="15" customHeight="1" x14ac:dyDescent="0.3">
      <c r="A20" s="50" t="s">
        <v>78</v>
      </c>
      <c r="B20" s="50" t="s">
        <v>1301</v>
      </c>
      <c r="C20" s="50">
        <v>0.30555555555555552</v>
      </c>
      <c r="D20" s="50" t="s">
        <v>83</v>
      </c>
      <c r="E20" s="50" t="s">
        <v>29</v>
      </c>
      <c r="F20" s="50" t="s">
        <v>1302</v>
      </c>
      <c r="G20" s="3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30"/>
    </row>
    <row r="21" spans="1:18" ht="17.399999999999999" customHeight="1" x14ac:dyDescent="0.3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ht="22.05" customHeight="1" x14ac:dyDescent="0.3">
      <c r="A22" s="323" t="s">
        <v>6</v>
      </c>
      <c r="B22" s="324"/>
      <c r="C22" s="324"/>
      <c r="D22" s="324"/>
      <c r="E22" s="324"/>
      <c r="F22" s="324"/>
      <c r="G22" s="2">
        <v>45987</v>
      </c>
      <c r="H22" s="323" t="s">
        <v>7</v>
      </c>
      <c r="I22" s="324"/>
      <c r="J22" s="324"/>
      <c r="K22" s="324"/>
      <c r="L22" s="324"/>
      <c r="M22" s="324"/>
      <c r="N22" s="324"/>
      <c r="O22" s="324"/>
      <c r="P22" s="324"/>
      <c r="Q22" s="324"/>
      <c r="R22" s="324"/>
    </row>
    <row r="23" spans="1:18" ht="24" customHeight="1" x14ac:dyDescent="0.3">
      <c r="A23" s="3" t="s">
        <v>8</v>
      </c>
      <c r="B23" s="3" t="s">
        <v>9</v>
      </c>
      <c r="C23" s="3" t="s">
        <v>10</v>
      </c>
      <c r="D23" s="3" t="s">
        <v>11</v>
      </c>
      <c r="E23" s="3" t="s">
        <v>12</v>
      </c>
      <c r="F23" s="4" t="s">
        <v>13</v>
      </c>
      <c r="G23" s="5" t="s">
        <v>14</v>
      </c>
      <c r="H23" s="3" t="s">
        <v>15</v>
      </c>
      <c r="I23" s="3" t="s">
        <v>16</v>
      </c>
      <c r="J23" s="3" t="s">
        <v>17</v>
      </c>
      <c r="K23" s="3" t="s">
        <v>18</v>
      </c>
      <c r="L23" s="3" t="s">
        <v>19</v>
      </c>
      <c r="M23" s="3" t="s">
        <v>20</v>
      </c>
      <c r="N23" s="3" t="s">
        <v>21</v>
      </c>
      <c r="O23" s="3" t="s">
        <v>22</v>
      </c>
      <c r="P23" s="3" t="s">
        <v>23</v>
      </c>
      <c r="Q23" s="3" t="s">
        <v>24</v>
      </c>
      <c r="R23" s="3" t="s">
        <v>25</v>
      </c>
    </row>
    <row r="24" spans="1:18" ht="15" customHeight="1" x14ac:dyDescent="0.3">
      <c r="A24" s="6" t="s">
        <v>26</v>
      </c>
      <c r="B24" s="6" t="s">
        <v>1289</v>
      </c>
      <c r="C24" s="6">
        <v>0.30555555555555552</v>
      </c>
      <c r="D24" s="6" t="s">
        <v>28</v>
      </c>
      <c r="E24" s="6" t="s">
        <v>314</v>
      </c>
      <c r="F24" s="6" t="s">
        <v>1216</v>
      </c>
      <c r="G24" s="328"/>
      <c r="H24" s="7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1:18" ht="15" customHeight="1" x14ac:dyDescent="0.3">
      <c r="A25" s="10" t="s">
        <v>26</v>
      </c>
      <c r="B25" s="10" t="s">
        <v>1289</v>
      </c>
      <c r="C25" s="10">
        <v>0.30555555555555552</v>
      </c>
      <c r="D25" s="10" t="s">
        <v>31</v>
      </c>
      <c r="E25" s="10" t="s">
        <v>161</v>
      </c>
      <c r="F25" s="10" t="s">
        <v>440</v>
      </c>
      <c r="G25" s="328"/>
      <c r="H25" s="7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ht="15" customHeight="1" x14ac:dyDescent="0.3">
      <c r="A26" s="10" t="s">
        <v>26</v>
      </c>
      <c r="B26" s="10" t="s">
        <v>1289</v>
      </c>
      <c r="C26" s="10">
        <v>0.30555555555555552</v>
      </c>
      <c r="D26" s="10" t="s">
        <v>34</v>
      </c>
      <c r="E26" s="10" t="s">
        <v>161</v>
      </c>
      <c r="F26" s="10" t="s">
        <v>147</v>
      </c>
      <c r="G26" s="328"/>
      <c r="H26" s="7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1:18" ht="15" customHeight="1" x14ac:dyDescent="0.3">
      <c r="A27" s="11" t="s">
        <v>404</v>
      </c>
      <c r="B27" s="11" t="s">
        <v>1303</v>
      </c>
      <c r="C27" s="11">
        <v>9.0277777777777776E-2</v>
      </c>
      <c r="D27" s="11" t="s">
        <v>46</v>
      </c>
      <c r="E27" s="11" t="s">
        <v>47</v>
      </c>
      <c r="F27" s="11" t="s">
        <v>1304</v>
      </c>
      <c r="G27" s="328"/>
      <c r="H27" s="7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1:18" ht="15" customHeight="1" x14ac:dyDescent="0.3">
      <c r="A28" s="11" t="s">
        <v>66</v>
      </c>
      <c r="B28" s="11" t="s">
        <v>1300</v>
      </c>
      <c r="C28" s="11">
        <v>0.1701388888888889</v>
      </c>
      <c r="D28" s="11" t="s">
        <v>829</v>
      </c>
      <c r="E28" s="11" t="s">
        <v>47</v>
      </c>
      <c r="F28" s="11" t="s">
        <v>1305</v>
      </c>
      <c r="G28" s="328"/>
      <c r="H28" s="7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ht="15" customHeight="1" x14ac:dyDescent="0.3">
      <c r="A29" s="26" t="s">
        <v>66</v>
      </c>
      <c r="B29" s="26" t="s">
        <v>1297</v>
      </c>
      <c r="C29" s="26">
        <v>0.86458333333333337</v>
      </c>
      <c r="D29" s="26" t="s">
        <v>68</v>
      </c>
      <c r="E29" s="26" t="s">
        <v>71</v>
      </c>
      <c r="F29" s="26" t="s">
        <v>1298</v>
      </c>
      <c r="G29" s="328"/>
      <c r="H29" s="7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ht="15" customHeight="1" x14ac:dyDescent="0.3">
      <c r="A30" s="26" t="s">
        <v>66</v>
      </c>
      <c r="B30" s="26" t="s">
        <v>1299</v>
      </c>
      <c r="C30" s="26">
        <v>0.52777777777777779</v>
      </c>
      <c r="D30" s="26" t="s">
        <v>68</v>
      </c>
      <c r="E30" s="26" t="s">
        <v>71</v>
      </c>
      <c r="F30" s="26" t="s">
        <v>1306</v>
      </c>
      <c r="G30" s="328"/>
      <c r="H30" s="7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18" ht="15" customHeight="1" x14ac:dyDescent="0.3">
      <c r="A31" s="11" t="s">
        <v>36</v>
      </c>
      <c r="B31" s="11" t="s">
        <v>1291</v>
      </c>
      <c r="C31" s="11">
        <v>0.83333333333333337</v>
      </c>
      <c r="D31" s="11" t="s">
        <v>38</v>
      </c>
      <c r="E31" s="11" t="s">
        <v>123</v>
      </c>
      <c r="F31" s="11" t="s">
        <v>1293</v>
      </c>
      <c r="G31" s="328"/>
      <c r="H31" s="7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1:18" ht="15" customHeight="1" x14ac:dyDescent="0.3">
      <c r="A32" s="10" t="s">
        <v>36</v>
      </c>
      <c r="B32" s="10" t="s">
        <v>1291</v>
      </c>
      <c r="C32" s="10">
        <v>0.83333333333333337</v>
      </c>
      <c r="D32" s="10" t="s">
        <v>40</v>
      </c>
      <c r="E32" s="10" t="s">
        <v>124</v>
      </c>
      <c r="F32" s="10" t="s">
        <v>516</v>
      </c>
      <c r="G32" s="328"/>
      <c r="H32" s="7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1:18" ht="15" customHeight="1" x14ac:dyDescent="0.3">
      <c r="A33" s="10" t="s">
        <v>36</v>
      </c>
      <c r="B33" s="10" t="s">
        <v>1291</v>
      </c>
      <c r="C33" s="10">
        <v>0.83333333333333337</v>
      </c>
      <c r="D33" s="10" t="s">
        <v>42</v>
      </c>
      <c r="E33" s="10" t="s">
        <v>124</v>
      </c>
      <c r="F33" s="10" t="s">
        <v>449</v>
      </c>
      <c r="G33" s="328"/>
      <c r="H33" s="7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ht="15" customHeight="1" x14ac:dyDescent="0.3">
      <c r="A34" s="11" t="s">
        <v>410</v>
      </c>
      <c r="B34" s="11" t="s">
        <v>1307</v>
      </c>
      <c r="C34" s="11">
        <v>0.89583333333333337</v>
      </c>
      <c r="D34" s="11" t="s">
        <v>46</v>
      </c>
      <c r="E34" s="11" t="s">
        <v>47</v>
      </c>
      <c r="F34" s="11" t="s">
        <v>1293</v>
      </c>
      <c r="G34" s="328"/>
      <c r="H34" s="7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ht="15" customHeight="1" x14ac:dyDescent="0.3">
      <c r="A35" s="50" t="s">
        <v>78</v>
      </c>
      <c r="B35" s="50" t="s">
        <v>1301</v>
      </c>
      <c r="C35" s="50">
        <v>0.30555555555555552</v>
      </c>
      <c r="D35" s="50" t="s">
        <v>83</v>
      </c>
      <c r="E35" s="50" t="s">
        <v>29</v>
      </c>
      <c r="F35" s="50" t="s">
        <v>1308</v>
      </c>
      <c r="G35" s="328"/>
      <c r="H35" s="28"/>
      <c r="I35" s="29"/>
      <c r="J35" s="29"/>
      <c r="K35" s="29"/>
      <c r="L35" s="29"/>
      <c r="M35" s="29"/>
      <c r="N35" s="29"/>
      <c r="O35" s="29"/>
      <c r="P35" s="29"/>
      <c r="Q35" s="29"/>
      <c r="R35" s="30"/>
    </row>
    <row r="36" spans="1:18" ht="17.399999999999999" customHeight="1" x14ac:dyDescent="0.3">
      <c r="A36" s="360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2"/>
    </row>
    <row r="37" spans="1:18" ht="22.05" customHeight="1" x14ac:dyDescent="0.3">
      <c r="A37" s="323" t="s">
        <v>6</v>
      </c>
      <c r="B37" s="324"/>
      <c r="C37" s="324"/>
      <c r="D37" s="324"/>
      <c r="E37" s="324"/>
      <c r="F37" s="324"/>
      <c r="G37" s="2">
        <v>45988</v>
      </c>
      <c r="H37" s="323" t="s">
        <v>7</v>
      </c>
      <c r="I37" s="324"/>
      <c r="J37" s="324"/>
      <c r="K37" s="324"/>
      <c r="L37" s="324"/>
      <c r="M37" s="324"/>
      <c r="N37" s="324"/>
      <c r="O37" s="324"/>
      <c r="P37" s="324"/>
      <c r="Q37" s="324"/>
      <c r="R37" s="324"/>
    </row>
    <row r="38" spans="1:18" ht="24" customHeight="1" x14ac:dyDescent="0.3">
      <c r="A38" s="3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4" t="s">
        <v>13</v>
      </c>
      <c r="G38" s="5" t="s">
        <v>14</v>
      </c>
      <c r="H38" s="3" t="s">
        <v>15</v>
      </c>
      <c r="I38" s="3" t="s">
        <v>16</v>
      </c>
      <c r="J38" s="3" t="s">
        <v>17</v>
      </c>
      <c r="K38" s="3" t="s">
        <v>18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  <c r="Q38" s="3" t="s">
        <v>24</v>
      </c>
      <c r="R38" s="3" t="s">
        <v>25</v>
      </c>
    </row>
    <row r="39" spans="1:18" ht="15" customHeight="1" x14ac:dyDescent="0.3">
      <c r="A39" s="6" t="s">
        <v>404</v>
      </c>
      <c r="B39" s="6" t="s">
        <v>1303</v>
      </c>
      <c r="C39" s="6">
        <v>0.88888888888888884</v>
      </c>
      <c r="D39" s="6" t="s">
        <v>46</v>
      </c>
      <c r="E39" s="6" t="s">
        <v>314</v>
      </c>
      <c r="F39" s="6" t="s">
        <v>1304</v>
      </c>
      <c r="G39" s="328"/>
      <c r="H39" s="7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1:18" ht="15" customHeight="1" x14ac:dyDescent="0.3">
      <c r="A40" s="26" t="s">
        <v>404</v>
      </c>
      <c r="B40" s="26" t="s">
        <v>1309</v>
      </c>
      <c r="C40" s="26">
        <v>0.28472222222222221</v>
      </c>
      <c r="D40" s="26" t="s">
        <v>46</v>
      </c>
      <c r="E40" s="26" t="s">
        <v>71</v>
      </c>
      <c r="F40" s="26" t="s">
        <v>1304</v>
      </c>
      <c r="G40" s="328"/>
      <c r="H40" s="7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ht="15" customHeight="1" x14ac:dyDescent="0.3">
      <c r="A41" s="11" t="s">
        <v>66</v>
      </c>
      <c r="B41" s="11" t="s">
        <v>1299</v>
      </c>
      <c r="C41" s="11">
        <v>0.52777777777777779</v>
      </c>
      <c r="D41" s="11" t="s">
        <v>829</v>
      </c>
      <c r="E41" s="11" t="s">
        <v>47</v>
      </c>
      <c r="F41" s="11" t="s">
        <v>1310</v>
      </c>
      <c r="G41" s="328"/>
      <c r="H41" s="7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ht="15" customHeight="1" x14ac:dyDescent="0.3">
      <c r="A42" s="26" t="s">
        <v>66</v>
      </c>
      <c r="B42" s="26" t="s">
        <v>1300</v>
      </c>
      <c r="C42" s="26">
        <v>0.1701388888888889</v>
      </c>
      <c r="D42" s="26" t="s">
        <v>829</v>
      </c>
      <c r="E42" s="26" t="s">
        <v>71</v>
      </c>
      <c r="F42" s="26" t="s">
        <v>1305</v>
      </c>
      <c r="G42" s="328"/>
      <c r="H42" s="7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ht="15" customHeight="1" x14ac:dyDescent="0.3">
      <c r="A43" s="26" t="s">
        <v>66</v>
      </c>
      <c r="B43" s="26" t="s">
        <v>1297</v>
      </c>
      <c r="C43" s="26">
        <v>0.88194444444444453</v>
      </c>
      <c r="D43" s="26" t="s">
        <v>68</v>
      </c>
      <c r="E43" s="26" t="s">
        <v>71</v>
      </c>
      <c r="F43" s="26" t="s">
        <v>1298</v>
      </c>
      <c r="G43" s="328"/>
      <c r="H43" s="7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1:18" ht="15" customHeight="1" x14ac:dyDescent="0.3">
      <c r="A44" s="11" t="s">
        <v>410</v>
      </c>
      <c r="B44" s="11" t="s">
        <v>1311</v>
      </c>
      <c r="C44" s="11">
        <v>0.5625</v>
      </c>
      <c r="D44" s="11" t="s">
        <v>46</v>
      </c>
      <c r="E44" s="11" t="s">
        <v>47</v>
      </c>
      <c r="F44" s="11" t="s">
        <v>1293</v>
      </c>
      <c r="G44" s="328"/>
      <c r="H44" s="7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ht="15" customHeight="1" x14ac:dyDescent="0.3">
      <c r="A45" s="26" t="s">
        <v>410</v>
      </c>
      <c r="B45" s="26" t="s">
        <v>1292</v>
      </c>
      <c r="C45" s="26">
        <v>0.95833333333333337</v>
      </c>
      <c r="D45" s="26" t="s">
        <v>46</v>
      </c>
      <c r="E45" s="26" t="s">
        <v>71</v>
      </c>
      <c r="F45" s="26" t="s">
        <v>1293</v>
      </c>
      <c r="G45" s="328"/>
      <c r="H45" s="7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1:18" ht="15" customHeight="1" x14ac:dyDescent="0.3">
      <c r="A46" s="12" t="s">
        <v>44</v>
      </c>
      <c r="B46" s="12" t="s">
        <v>1294</v>
      </c>
      <c r="C46" s="12">
        <v>0.92361111111111116</v>
      </c>
      <c r="D46" s="12" t="s">
        <v>46</v>
      </c>
      <c r="E46" s="12" t="s">
        <v>47</v>
      </c>
      <c r="F46" s="12" t="s">
        <v>873</v>
      </c>
      <c r="G46" s="328"/>
      <c r="H46" s="13" t="s">
        <v>1295</v>
      </c>
      <c r="I46" s="14">
        <v>0.23810000000000001</v>
      </c>
      <c r="J46" s="15">
        <v>40</v>
      </c>
      <c r="K46" s="16" t="s">
        <v>50</v>
      </c>
      <c r="L46" s="15">
        <v>15</v>
      </c>
      <c r="M46" s="15">
        <v>0</v>
      </c>
      <c r="N46" s="15">
        <v>5</v>
      </c>
      <c r="O46" s="16" t="s">
        <v>353</v>
      </c>
      <c r="P46" s="16">
        <v>0.92361111111111116</v>
      </c>
      <c r="Q46" s="15">
        <v>168</v>
      </c>
      <c r="R46" s="17" t="s">
        <v>1312</v>
      </c>
    </row>
    <row r="47" spans="1:18" ht="15" customHeight="1" x14ac:dyDescent="0.3">
      <c r="A47" s="50" t="s">
        <v>78</v>
      </c>
      <c r="B47" s="50" t="s">
        <v>1301</v>
      </c>
      <c r="C47" s="50">
        <v>0.30555555555555552</v>
      </c>
      <c r="D47" s="50" t="s">
        <v>83</v>
      </c>
      <c r="E47" s="50" t="s">
        <v>29</v>
      </c>
      <c r="F47" s="50" t="s">
        <v>1308</v>
      </c>
      <c r="G47" s="328"/>
      <c r="H47" s="28"/>
      <c r="I47" s="29"/>
      <c r="J47" s="29"/>
      <c r="K47" s="29"/>
      <c r="L47" s="29"/>
      <c r="M47" s="29"/>
      <c r="N47" s="29"/>
      <c r="O47" s="29"/>
      <c r="P47" s="29"/>
      <c r="Q47" s="29"/>
      <c r="R47" s="30"/>
    </row>
    <row r="48" spans="1:18" ht="17.399999999999999" customHeight="1" x14ac:dyDescent="0.3">
      <c r="A48" s="360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2"/>
    </row>
    <row r="49" spans="1:18" ht="22.05" customHeight="1" x14ac:dyDescent="0.3">
      <c r="A49" s="323" t="s">
        <v>6</v>
      </c>
      <c r="B49" s="324"/>
      <c r="C49" s="324"/>
      <c r="D49" s="324"/>
      <c r="E49" s="324"/>
      <c r="F49" s="324"/>
      <c r="G49" s="2">
        <v>45989</v>
      </c>
      <c r="H49" s="323" t="s">
        <v>7</v>
      </c>
      <c r="I49" s="324"/>
      <c r="J49" s="324"/>
      <c r="K49" s="324"/>
      <c r="L49" s="324"/>
      <c r="M49" s="324"/>
      <c r="N49" s="324"/>
      <c r="O49" s="324"/>
      <c r="P49" s="324"/>
      <c r="Q49" s="324"/>
      <c r="R49" s="324"/>
    </row>
    <row r="50" spans="1:18" ht="24" customHeight="1" x14ac:dyDescent="0.3">
      <c r="A50" s="3" t="s">
        <v>8</v>
      </c>
      <c r="B50" s="3" t="s">
        <v>9</v>
      </c>
      <c r="C50" s="3" t="s">
        <v>10</v>
      </c>
      <c r="D50" s="3" t="s">
        <v>11</v>
      </c>
      <c r="E50" s="3" t="s">
        <v>12</v>
      </c>
      <c r="F50" s="4" t="s">
        <v>13</v>
      </c>
      <c r="G50" s="5" t="s">
        <v>14</v>
      </c>
      <c r="H50" s="3" t="s">
        <v>15</v>
      </c>
      <c r="I50" s="3" t="s">
        <v>16</v>
      </c>
      <c r="J50" s="3" t="s">
        <v>17</v>
      </c>
      <c r="K50" s="3" t="s">
        <v>18</v>
      </c>
      <c r="L50" s="3" t="s">
        <v>19</v>
      </c>
      <c r="M50" s="3" t="s">
        <v>20</v>
      </c>
      <c r="N50" s="3" t="s">
        <v>21</v>
      </c>
      <c r="O50" s="3" t="s">
        <v>22</v>
      </c>
      <c r="P50" s="3" t="s">
        <v>23</v>
      </c>
      <c r="Q50" s="3" t="s">
        <v>24</v>
      </c>
      <c r="R50" s="3" t="s">
        <v>25</v>
      </c>
    </row>
    <row r="51" spans="1:18" ht="15" customHeight="1" x14ac:dyDescent="0.3">
      <c r="A51" s="6" t="s">
        <v>26</v>
      </c>
      <c r="B51" s="6" t="s">
        <v>1289</v>
      </c>
      <c r="C51" s="6">
        <v>0.30555555555555552</v>
      </c>
      <c r="D51" s="6" t="s">
        <v>28</v>
      </c>
      <c r="E51" s="6" t="s">
        <v>123</v>
      </c>
      <c r="F51" s="6" t="s">
        <v>1216</v>
      </c>
      <c r="G51" s="328"/>
      <c r="H51" s="7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1:18" ht="15" customHeight="1" x14ac:dyDescent="0.3">
      <c r="A52" s="10" t="s">
        <v>26</v>
      </c>
      <c r="B52" s="10" t="s">
        <v>1289</v>
      </c>
      <c r="C52" s="10">
        <v>0.30555555555555552</v>
      </c>
      <c r="D52" s="10" t="s">
        <v>31</v>
      </c>
      <c r="E52" s="10" t="s">
        <v>124</v>
      </c>
      <c r="F52" s="10" t="s">
        <v>440</v>
      </c>
      <c r="G52" s="328"/>
      <c r="H52" s="7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1:18" ht="15" customHeight="1" x14ac:dyDescent="0.3">
      <c r="A53" s="10" t="s">
        <v>26</v>
      </c>
      <c r="B53" s="10" t="s">
        <v>1289</v>
      </c>
      <c r="C53" s="10">
        <v>0.30555555555555552</v>
      </c>
      <c r="D53" s="10" t="s">
        <v>34</v>
      </c>
      <c r="E53" s="10" t="s">
        <v>124</v>
      </c>
      <c r="F53" s="10" t="s">
        <v>1103</v>
      </c>
      <c r="G53" s="328"/>
      <c r="H53" s="7"/>
      <c r="I53" s="8"/>
      <c r="J53" s="8"/>
      <c r="K53" s="8"/>
      <c r="L53" s="8"/>
      <c r="M53" s="8"/>
      <c r="N53" s="8"/>
      <c r="O53" s="8"/>
      <c r="P53" s="8"/>
      <c r="Q53" s="8"/>
      <c r="R53" s="9"/>
    </row>
    <row r="54" spans="1:18" ht="15" customHeight="1" x14ac:dyDescent="0.3">
      <c r="A54" s="11" t="s">
        <v>404</v>
      </c>
      <c r="B54" s="11" t="s">
        <v>1313</v>
      </c>
      <c r="C54" s="11">
        <v>0.1736111111111111</v>
      </c>
      <c r="D54" s="11" t="s">
        <v>46</v>
      </c>
      <c r="E54" s="11" t="s">
        <v>47</v>
      </c>
      <c r="F54" s="11" t="s">
        <v>1304</v>
      </c>
      <c r="G54" s="328"/>
      <c r="H54" s="7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1:18" ht="15" customHeight="1" x14ac:dyDescent="0.3">
      <c r="A55" s="11" t="s">
        <v>36</v>
      </c>
      <c r="B55" s="11" t="s">
        <v>1291</v>
      </c>
      <c r="C55" s="11">
        <v>0.83333333333333337</v>
      </c>
      <c r="D55" s="11" t="s">
        <v>38</v>
      </c>
      <c r="E55" s="11" t="s">
        <v>123</v>
      </c>
      <c r="F55" s="11" t="s">
        <v>975</v>
      </c>
      <c r="G55" s="328"/>
      <c r="H55" s="7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ht="15" customHeight="1" x14ac:dyDescent="0.3">
      <c r="A56" s="10" t="s">
        <v>36</v>
      </c>
      <c r="B56" s="10" t="s">
        <v>1291</v>
      </c>
      <c r="C56" s="10">
        <v>0.83333333333333337</v>
      </c>
      <c r="D56" s="10" t="s">
        <v>40</v>
      </c>
      <c r="E56" s="10" t="s">
        <v>124</v>
      </c>
      <c r="F56" s="10" t="s">
        <v>624</v>
      </c>
      <c r="G56" s="328"/>
      <c r="H56" s="7"/>
      <c r="I56" s="8"/>
      <c r="J56" s="8"/>
      <c r="K56" s="8"/>
      <c r="L56" s="8"/>
      <c r="M56" s="8"/>
      <c r="N56" s="8"/>
      <c r="O56" s="8"/>
      <c r="P56" s="8"/>
      <c r="Q56" s="8"/>
      <c r="R56" s="9"/>
    </row>
    <row r="57" spans="1:18" ht="15" customHeight="1" x14ac:dyDescent="0.3">
      <c r="A57" s="10" t="s">
        <v>36</v>
      </c>
      <c r="B57" s="10" t="s">
        <v>1291</v>
      </c>
      <c r="C57" s="10">
        <v>0.83333333333333337</v>
      </c>
      <c r="D57" s="10" t="s">
        <v>42</v>
      </c>
      <c r="E57" s="10" t="s">
        <v>124</v>
      </c>
      <c r="F57" s="10" t="s">
        <v>499</v>
      </c>
      <c r="G57" s="328"/>
      <c r="H57" s="7"/>
      <c r="I57" s="8"/>
      <c r="J57" s="8"/>
      <c r="K57" s="8"/>
      <c r="L57" s="8"/>
      <c r="M57" s="8"/>
      <c r="N57" s="8"/>
      <c r="O57" s="8"/>
      <c r="P57" s="8"/>
      <c r="Q57" s="8"/>
      <c r="R57" s="9"/>
    </row>
    <row r="58" spans="1:18" ht="15" customHeight="1" x14ac:dyDescent="0.3">
      <c r="A58" s="11" t="s">
        <v>66</v>
      </c>
      <c r="B58" s="11" t="s">
        <v>1297</v>
      </c>
      <c r="C58" s="11">
        <v>0.86458333333333337</v>
      </c>
      <c r="D58" s="11" t="s">
        <v>829</v>
      </c>
      <c r="E58" s="11" t="s">
        <v>47</v>
      </c>
      <c r="F58" s="11" t="s">
        <v>1310</v>
      </c>
      <c r="G58" s="328"/>
      <c r="H58" s="7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1:18" ht="15" customHeight="1" x14ac:dyDescent="0.3">
      <c r="A59" s="26" t="s">
        <v>66</v>
      </c>
      <c r="B59" s="26" t="s">
        <v>1300</v>
      </c>
      <c r="C59" s="26">
        <v>0.1701388888888889</v>
      </c>
      <c r="D59" s="26" t="s">
        <v>829</v>
      </c>
      <c r="E59" s="26" t="s">
        <v>71</v>
      </c>
      <c r="F59" s="26" t="s">
        <v>1310</v>
      </c>
      <c r="G59" s="328"/>
      <c r="H59" s="7"/>
      <c r="I59" s="8"/>
      <c r="J59" s="8"/>
      <c r="K59" s="8"/>
      <c r="L59" s="8"/>
      <c r="M59" s="8"/>
      <c r="N59" s="8"/>
      <c r="O59" s="8"/>
      <c r="P59" s="8"/>
      <c r="Q59" s="8"/>
      <c r="R59" s="9"/>
    </row>
    <row r="60" spans="1:18" ht="15" customHeight="1" x14ac:dyDescent="0.3">
      <c r="A60" s="26" t="s">
        <v>66</v>
      </c>
      <c r="B60" s="26" t="s">
        <v>1299</v>
      </c>
      <c r="C60" s="26">
        <v>0.51388888888888895</v>
      </c>
      <c r="D60" s="26" t="s">
        <v>68</v>
      </c>
      <c r="E60" s="26" t="s">
        <v>71</v>
      </c>
      <c r="F60" s="26" t="s">
        <v>1314</v>
      </c>
      <c r="G60" s="328"/>
      <c r="H60" s="7"/>
      <c r="I60" s="8"/>
      <c r="J60" s="8"/>
      <c r="K60" s="8"/>
      <c r="L60" s="8"/>
      <c r="M60" s="8"/>
      <c r="N60" s="8"/>
      <c r="O60" s="8"/>
      <c r="P60" s="8"/>
      <c r="Q60" s="8"/>
      <c r="R60" s="9"/>
    </row>
    <row r="61" spans="1:18" ht="15" customHeight="1" x14ac:dyDescent="0.3">
      <c r="A61" s="11" t="s">
        <v>410</v>
      </c>
      <c r="B61" s="11" t="s">
        <v>1307</v>
      </c>
      <c r="C61" s="11">
        <v>0.95833333333333337</v>
      </c>
      <c r="D61" s="11" t="s">
        <v>46</v>
      </c>
      <c r="E61" s="11" t="s">
        <v>47</v>
      </c>
      <c r="F61" s="11" t="s">
        <v>1293</v>
      </c>
      <c r="G61" s="328"/>
      <c r="H61" s="7"/>
      <c r="I61" s="8"/>
      <c r="J61" s="8"/>
      <c r="K61" s="8"/>
      <c r="L61" s="8"/>
      <c r="M61" s="8"/>
      <c r="N61" s="8"/>
      <c r="O61" s="8"/>
      <c r="P61" s="8"/>
      <c r="Q61" s="8"/>
      <c r="R61" s="9"/>
    </row>
    <row r="62" spans="1:18" ht="15" customHeight="1" x14ac:dyDescent="0.3">
      <c r="A62" s="44" t="s">
        <v>44</v>
      </c>
      <c r="B62" s="44" t="s">
        <v>1294</v>
      </c>
      <c r="C62" s="44">
        <v>0.57986111111111105</v>
      </c>
      <c r="D62" s="44" t="s">
        <v>46</v>
      </c>
      <c r="E62" s="44" t="s">
        <v>314</v>
      </c>
      <c r="F62" s="44" t="s">
        <v>873</v>
      </c>
      <c r="G62" s="328"/>
      <c r="H62" s="45" t="s">
        <v>1295</v>
      </c>
      <c r="I62" s="191">
        <v>0.29759999999999998</v>
      </c>
      <c r="J62" s="47">
        <v>50</v>
      </c>
      <c r="K62" s="48" t="s">
        <v>175</v>
      </c>
      <c r="L62" s="47">
        <v>17</v>
      </c>
      <c r="M62" s="47">
        <v>2</v>
      </c>
      <c r="N62" s="47">
        <v>1</v>
      </c>
      <c r="O62" s="48" t="s">
        <v>347</v>
      </c>
      <c r="P62" s="48">
        <v>0.57986111111111105</v>
      </c>
      <c r="Q62" s="47">
        <v>168</v>
      </c>
      <c r="R62" s="49" t="s">
        <v>1315</v>
      </c>
    </row>
    <row r="63" spans="1:18" ht="15" customHeight="1" x14ac:dyDescent="0.3">
      <c r="A63" s="50" t="s">
        <v>78</v>
      </c>
      <c r="B63" s="50" t="s">
        <v>1301</v>
      </c>
      <c r="C63" s="50">
        <v>0.30555555555555552</v>
      </c>
      <c r="D63" s="50" t="s">
        <v>83</v>
      </c>
      <c r="E63" s="50" t="s">
        <v>29</v>
      </c>
      <c r="F63" s="50" t="s">
        <v>1308</v>
      </c>
      <c r="G63" s="328"/>
      <c r="H63" s="28"/>
      <c r="I63" s="29"/>
      <c r="J63" s="29"/>
      <c r="K63" s="29"/>
      <c r="L63" s="29"/>
      <c r="M63" s="29"/>
      <c r="N63" s="29"/>
      <c r="O63" s="29"/>
      <c r="P63" s="29"/>
      <c r="Q63" s="29"/>
      <c r="R63" s="30"/>
    </row>
    <row r="64" spans="1:18" ht="17.399999999999999" customHeight="1" x14ac:dyDescent="0.3">
      <c r="A64" s="360"/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2"/>
    </row>
    <row r="65" spans="1:18" ht="22.05" customHeight="1" x14ac:dyDescent="0.3">
      <c r="A65" s="323" t="s">
        <v>6</v>
      </c>
      <c r="B65" s="324"/>
      <c r="C65" s="324"/>
      <c r="D65" s="324"/>
      <c r="E65" s="324"/>
      <c r="F65" s="324"/>
      <c r="G65" s="2">
        <v>45990</v>
      </c>
      <c r="H65" s="323" t="s">
        <v>7</v>
      </c>
      <c r="I65" s="324"/>
      <c r="J65" s="324"/>
      <c r="K65" s="324"/>
      <c r="L65" s="324"/>
      <c r="M65" s="324"/>
      <c r="N65" s="324"/>
      <c r="O65" s="324"/>
      <c r="P65" s="324"/>
      <c r="Q65" s="324"/>
      <c r="R65" s="324"/>
    </row>
    <row r="66" spans="1:18" ht="24" customHeight="1" x14ac:dyDescent="0.3">
      <c r="A66" s="3" t="s">
        <v>8</v>
      </c>
      <c r="B66" s="3" t="s">
        <v>9</v>
      </c>
      <c r="C66" s="3" t="s">
        <v>10</v>
      </c>
      <c r="D66" s="3" t="s">
        <v>11</v>
      </c>
      <c r="E66" s="3" t="s">
        <v>12</v>
      </c>
      <c r="F66" s="4" t="s">
        <v>13</v>
      </c>
      <c r="G66" s="5" t="s">
        <v>14</v>
      </c>
      <c r="H66" s="3" t="s">
        <v>15</v>
      </c>
      <c r="I66" s="3" t="s">
        <v>16</v>
      </c>
      <c r="J66" s="3" t="s">
        <v>17</v>
      </c>
      <c r="K66" s="3" t="s">
        <v>18</v>
      </c>
      <c r="L66" s="3" t="s">
        <v>19</v>
      </c>
      <c r="M66" s="3" t="s">
        <v>20</v>
      </c>
      <c r="N66" s="3" t="s">
        <v>21</v>
      </c>
      <c r="O66" s="3" t="s">
        <v>22</v>
      </c>
      <c r="P66" s="3" t="s">
        <v>23</v>
      </c>
      <c r="Q66" s="3" t="s">
        <v>24</v>
      </c>
      <c r="R66" s="3" t="s">
        <v>25</v>
      </c>
    </row>
    <row r="67" spans="1:18" ht="15" customHeight="1" x14ac:dyDescent="0.3">
      <c r="A67" s="6" t="s">
        <v>404</v>
      </c>
      <c r="B67" s="6" t="s">
        <v>1303</v>
      </c>
      <c r="C67" s="6">
        <v>0.1736111111111111</v>
      </c>
      <c r="D67" s="6" t="s">
        <v>46</v>
      </c>
      <c r="E67" s="6" t="s">
        <v>47</v>
      </c>
      <c r="F67" s="6" t="s">
        <v>1304</v>
      </c>
      <c r="G67" s="328"/>
      <c r="H67" s="7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ht="15" customHeight="1" x14ac:dyDescent="0.3">
      <c r="A68" s="11" t="s">
        <v>66</v>
      </c>
      <c r="B68" s="11" t="s">
        <v>1297</v>
      </c>
      <c r="C68" s="11">
        <v>0.86458333333333337</v>
      </c>
      <c r="D68" s="11" t="s">
        <v>829</v>
      </c>
      <c r="E68" s="11" t="s">
        <v>47</v>
      </c>
      <c r="F68" s="11" t="s">
        <v>1310</v>
      </c>
      <c r="G68" s="328"/>
      <c r="H68" s="7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ht="15" customHeight="1" x14ac:dyDescent="0.3">
      <c r="A69" s="26" t="s">
        <v>66</v>
      </c>
      <c r="B69" s="26" t="s">
        <v>1300</v>
      </c>
      <c r="C69" s="26">
        <v>0.1701388888888889</v>
      </c>
      <c r="D69" s="26" t="s">
        <v>829</v>
      </c>
      <c r="E69" s="26" t="s">
        <v>71</v>
      </c>
      <c r="F69" s="26" t="s">
        <v>1310</v>
      </c>
      <c r="G69" s="328"/>
      <c r="H69" s="7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ht="15" customHeight="1" x14ac:dyDescent="0.3">
      <c r="A70" s="26" t="s">
        <v>66</v>
      </c>
      <c r="B70" s="26" t="s">
        <v>1299</v>
      </c>
      <c r="C70" s="26">
        <v>0.52777777777777779</v>
      </c>
      <c r="D70" s="26" t="s">
        <v>68</v>
      </c>
      <c r="E70" s="26" t="s">
        <v>71</v>
      </c>
      <c r="F70" s="26" t="s">
        <v>1298</v>
      </c>
      <c r="G70" s="328"/>
      <c r="H70" s="7"/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ht="15" customHeight="1" x14ac:dyDescent="0.3">
      <c r="A71" s="11" t="s">
        <v>410</v>
      </c>
      <c r="B71" s="11" t="s">
        <v>1292</v>
      </c>
      <c r="C71" s="11">
        <v>0.89583333333333337</v>
      </c>
      <c r="D71" s="11" t="s">
        <v>46</v>
      </c>
      <c r="E71" s="11" t="s">
        <v>81</v>
      </c>
      <c r="F71" s="11" t="s">
        <v>1293</v>
      </c>
      <c r="G71" s="328"/>
      <c r="H71" s="7"/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1:18" ht="15" customHeight="1" x14ac:dyDescent="0.3">
      <c r="A72" s="149" t="s">
        <v>44</v>
      </c>
      <c r="B72" s="149" t="s">
        <v>1294</v>
      </c>
      <c r="C72" s="149">
        <v>0.92361111111111116</v>
      </c>
      <c r="D72" s="149" t="s">
        <v>46</v>
      </c>
      <c r="E72" s="149" t="s">
        <v>47</v>
      </c>
      <c r="F72" s="149" t="s">
        <v>873</v>
      </c>
      <c r="G72" s="328"/>
      <c r="H72" s="19" t="s">
        <v>1295</v>
      </c>
      <c r="I72" s="188">
        <v>0.17860000000000001</v>
      </c>
      <c r="J72" s="21">
        <v>30</v>
      </c>
      <c r="K72" s="22" t="s">
        <v>433</v>
      </c>
      <c r="L72" s="21">
        <v>1</v>
      </c>
      <c r="M72" s="21">
        <v>0</v>
      </c>
      <c r="N72" s="21">
        <v>0</v>
      </c>
      <c r="O72" s="22" t="s">
        <v>353</v>
      </c>
      <c r="P72" s="22">
        <v>0.92361111111111116</v>
      </c>
      <c r="Q72" s="21">
        <v>168</v>
      </c>
      <c r="R72" s="23" t="s">
        <v>1316</v>
      </c>
    </row>
    <row r="73" spans="1:18" ht="15" customHeight="1" x14ac:dyDescent="0.3">
      <c r="A73" s="50" t="s">
        <v>78</v>
      </c>
      <c r="B73" s="50" t="s">
        <v>1301</v>
      </c>
      <c r="C73" s="50">
        <v>0.30555555555555552</v>
      </c>
      <c r="D73" s="50" t="s">
        <v>83</v>
      </c>
      <c r="E73" s="50" t="s">
        <v>29</v>
      </c>
      <c r="F73" s="50" t="s">
        <v>1317</v>
      </c>
      <c r="G73" s="328"/>
      <c r="H73" s="28"/>
      <c r="I73" s="29"/>
      <c r="J73" s="29"/>
      <c r="K73" s="29"/>
      <c r="L73" s="29"/>
      <c r="M73" s="29"/>
      <c r="N73" s="29"/>
      <c r="O73" s="29"/>
      <c r="P73" s="29"/>
      <c r="Q73" s="29"/>
      <c r="R73" s="30"/>
    </row>
    <row r="74" spans="1:18" ht="17.399999999999999" customHeight="1" x14ac:dyDescent="0.3">
      <c r="A74" s="360"/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2"/>
    </row>
    <row r="75" spans="1:18" ht="22.05" customHeight="1" x14ac:dyDescent="0.3">
      <c r="A75" s="323" t="s">
        <v>6</v>
      </c>
      <c r="B75" s="324"/>
      <c r="C75" s="324"/>
      <c r="D75" s="324"/>
      <c r="E75" s="324"/>
      <c r="F75" s="324"/>
      <c r="G75" s="2">
        <v>45991</v>
      </c>
      <c r="H75" s="323" t="s">
        <v>7</v>
      </c>
      <c r="I75" s="324"/>
      <c r="J75" s="324"/>
      <c r="K75" s="324"/>
      <c r="L75" s="324"/>
      <c r="M75" s="324"/>
      <c r="N75" s="324"/>
      <c r="O75" s="324"/>
      <c r="P75" s="324"/>
      <c r="Q75" s="324"/>
      <c r="R75" s="324"/>
    </row>
    <row r="76" spans="1:18" ht="24" customHeight="1" x14ac:dyDescent="0.3">
      <c r="A76" s="3" t="s">
        <v>8</v>
      </c>
      <c r="B76" s="3" t="s">
        <v>9</v>
      </c>
      <c r="C76" s="3" t="s">
        <v>10</v>
      </c>
      <c r="D76" s="3" t="s">
        <v>11</v>
      </c>
      <c r="E76" s="3" t="s">
        <v>12</v>
      </c>
      <c r="F76" s="4" t="s">
        <v>13</v>
      </c>
      <c r="G76" s="5" t="s">
        <v>14</v>
      </c>
      <c r="H76" s="3" t="s">
        <v>15</v>
      </c>
      <c r="I76" s="3" t="s">
        <v>16</v>
      </c>
      <c r="J76" s="3" t="s">
        <v>17</v>
      </c>
      <c r="K76" s="3" t="s">
        <v>18</v>
      </c>
      <c r="L76" s="3" t="s">
        <v>19</v>
      </c>
      <c r="M76" s="3" t="s">
        <v>20</v>
      </c>
      <c r="N76" s="3" t="s">
        <v>21</v>
      </c>
      <c r="O76" s="3" t="s">
        <v>22</v>
      </c>
      <c r="P76" s="3" t="s">
        <v>23</v>
      </c>
      <c r="Q76" s="3" t="s">
        <v>24</v>
      </c>
      <c r="R76" s="3" t="s">
        <v>25</v>
      </c>
    </row>
    <row r="77" spans="1:18" ht="15" customHeight="1" x14ac:dyDescent="0.3">
      <c r="A77" s="6" t="s">
        <v>404</v>
      </c>
      <c r="B77" s="6" t="s">
        <v>1313</v>
      </c>
      <c r="C77" s="6">
        <v>0.21527777777777779</v>
      </c>
      <c r="D77" s="6" t="s">
        <v>46</v>
      </c>
      <c r="E77" s="6" t="s">
        <v>47</v>
      </c>
      <c r="F77" s="6" t="s">
        <v>1304</v>
      </c>
      <c r="G77" s="328"/>
      <c r="H77" s="7"/>
      <c r="I77" s="8"/>
      <c r="J77" s="8"/>
      <c r="K77" s="8"/>
      <c r="L77" s="8"/>
      <c r="M77" s="8"/>
      <c r="N77" s="8"/>
      <c r="O77" s="8"/>
      <c r="P77" s="8"/>
      <c r="Q77" s="8"/>
      <c r="R77" s="9"/>
    </row>
    <row r="78" spans="1:18" ht="15" customHeight="1" x14ac:dyDescent="0.3">
      <c r="A78" s="11" t="s">
        <v>66</v>
      </c>
      <c r="B78" s="11" t="s">
        <v>1297</v>
      </c>
      <c r="C78" s="11">
        <v>0.86458333333333337</v>
      </c>
      <c r="D78" s="11" t="s">
        <v>829</v>
      </c>
      <c r="E78" s="11" t="s">
        <v>47</v>
      </c>
      <c r="F78" s="11" t="s">
        <v>1310</v>
      </c>
      <c r="G78" s="328"/>
      <c r="H78" s="7"/>
      <c r="I78" s="8"/>
      <c r="J78" s="8"/>
      <c r="K78" s="8"/>
      <c r="L78" s="8"/>
      <c r="M78" s="8"/>
      <c r="N78" s="8"/>
      <c r="O78" s="8"/>
      <c r="P78" s="8"/>
      <c r="Q78" s="8"/>
      <c r="R78" s="9"/>
    </row>
    <row r="79" spans="1:18" ht="15" customHeight="1" x14ac:dyDescent="0.3">
      <c r="A79" s="26" t="s">
        <v>66</v>
      </c>
      <c r="B79" s="26" t="s">
        <v>1299</v>
      </c>
      <c r="C79" s="26">
        <v>0.50347222222222221</v>
      </c>
      <c r="D79" s="26" t="s">
        <v>829</v>
      </c>
      <c r="E79" s="26" t="s">
        <v>71</v>
      </c>
      <c r="F79" s="26" t="s">
        <v>1310</v>
      </c>
      <c r="G79" s="328"/>
      <c r="H79" s="7"/>
      <c r="I79" s="8"/>
      <c r="J79" s="8"/>
      <c r="K79" s="8"/>
      <c r="L79" s="8"/>
      <c r="M79" s="8"/>
      <c r="N79" s="8"/>
      <c r="O79" s="8"/>
      <c r="P79" s="8"/>
      <c r="Q79" s="8"/>
      <c r="R79" s="9"/>
    </row>
    <row r="80" spans="1:18" ht="15" customHeight="1" x14ac:dyDescent="0.3">
      <c r="A80" s="26" t="s">
        <v>66</v>
      </c>
      <c r="B80" s="26" t="s">
        <v>1300</v>
      </c>
      <c r="C80" s="26">
        <v>0.1701388888888889</v>
      </c>
      <c r="D80" s="26" t="s">
        <v>829</v>
      </c>
      <c r="E80" s="26" t="s">
        <v>71</v>
      </c>
      <c r="F80" s="26" t="s">
        <v>1310</v>
      </c>
      <c r="G80" s="328"/>
      <c r="H80" s="7"/>
      <c r="I80" s="8"/>
      <c r="J80" s="8"/>
      <c r="K80" s="8"/>
      <c r="L80" s="8"/>
      <c r="M80" s="8"/>
      <c r="N80" s="8"/>
      <c r="O80" s="8"/>
      <c r="P80" s="8"/>
      <c r="Q80" s="8"/>
      <c r="R80" s="9"/>
    </row>
    <row r="81" spans="1:18" ht="15" customHeight="1" x14ac:dyDescent="0.3">
      <c r="A81" s="11" t="s">
        <v>410</v>
      </c>
      <c r="B81" s="11" t="s">
        <v>1318</v>
      </c>
      <c r="C81" s="11">
        <v>0.16319444444444439</v>
      </c>
      <c r="D81" s="11" t="s">
        <v>46</v>
      </c>
      <c r="E81" s="11" t="s">
        <v>47</v>
      </c>
      <c r="F81" s="11" t="s">
        <v>1293</v>
      </c>
      <c r="G81" s="328"/>
      <c r="H81" s="7"/>
      <c r="I81" s="8"/>
      <c r="J81" s="8"/>
      <c r="K81" s="8"/>
      <c r="L81" s="8"/>
      <c r="M81" s="8"/>
      <c r="N81" s="8"/>
      <c r="O81" s="8"/>
      <c r="P81" s="8"/>
      <c r="Q81" s="8"/>
      <c r="R81" s="9"/>
    </row>
    <row r="82" spans="1:18" ht="15" customHeight="1" x14ac:dyDescent="0.3">
      <c r="A82" s="26" t="s">
        <v>410</v>
      </c>
      <c r="B82" s="26" t="s">
        <v>1311</v>
      </c>
      <c r="C82" s="26">
        <v>0.95833333333333337</v>
      </c>
      <c r="D82" s="26" t="s">
        <v>46</v>
      </c>
      <c r="E82" s="26" t="s">
        <v>71</v>
      </c>
      <c r="F82" s="26" t="s">
        <v>1293</v>
      </c>
      <c r="G82" s="328"/>
      <c r="H82" s="7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1:18" ht="15" customHeight="1" x14ac:dyDescent="0.3">
      <c r="A83" s="26" t="s">
        <v>410</v>
      </c>
      <c r="B83" s="26" t="s">
        <v>1319</v>
      </c>
      <c r="C83" s="26">
        <v>0.68402777777777779</v>
      </c>
      <c r="D83" s="26" t="s">
        <v>46</v>
      </c>
      <c r="E83" s="26" t="s">
        <v>71</v>
      </c>
      <c r="F83" s="26" t="s">
        <v>1293</v>
      </c>
      <c r="G83" s="328"/>
      <c r="H83" s="7"/>
      <c r="I83" s="8"/>
      <c r="J83" s="8"/>
      <c r="K83" s="8"/>
      <c r="L83" s="8"/>
      <c r="M83" s="8"/>
      <c r="N83" s="8"/>
      <c r="O83" s="8"/>
      <c r="P83" s="8"/>
      <c r="Q83" s="8"/>
      <c r="R83" s="9"/>
    </row>
    <row r="84" spans="1:18" ht="15" customHeight="1" x14ac:dyDescent="0.3">
      <c r="A84" s="50" t="s">
        <v>78</v>
      </c>
      <c r="B84" s="50" t="s">
        <v>1301</v>
      </c>
      <c r="C84" s="50">
        <v>0.30555555555555552</v>
      </c>
      <c r="D84" s="50" t="s">
        <v>83</v>
      </c>
      <c r="E84" s="50" t="s">
        <v>29</v>
      </c>
      <c r="F84" s="50" t="s">
        <v>1320</v>
      </c>
      <c r="G84" s="328"/>
      <c r="H84" s="28"/>
      <c r="I84" s="29"/>
      <c r="J84" s="29"/>
      <c r="K84" s="29"/>
      <c r="L84" s="29"/>
      <c r="M84" s="29"/>
      <c r="N84" s="29"/>
      <c r="O84" s="29"/>
      <c r="P84" s="29"/>
      <c r="Q84" s="29"/>
      <c r="R84" s="30"/>
    </row>
    <row r="85" spans="1:18" ht="17.399999999999999" customHeight="1" x14ac:dyDescent="0.3">
      <c r="A85" s="360"/>
      <c r="B85" s="361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  <c r="O85" s="361"/>
      <c r="P85" s="361"/>
      <c r="Q85" s="361"/>
      <c r="R85" s="362"/>
    </row>
    <row r="86" spans="1:18" ht="22.05" customHeight="1" x14ac:dyDescent="0.3">
      <c r="A86" s="323" t="s">
        <v>6</v>
      </c>
      <c r="B86" s="324"/>
      <c r="C86" s="324"/>
      <c r="D86" s="324"/>
      <c r="E86" s="324"/>
      <c r="F86" s="324"/>
      <c r="G86" s="2">
        <v>45992</v>
      </c>
      <c r="H86" s="323" t="s">
        <v>7</v>
      </c>
      <c r="I86" s="324"/>
      <c r="J86" s="324"/>
      <c r="K86" s="324"/>
      <c r="L86" s="324"/>
      <c r="M86" s="324"/>
      <c r="N86" s="324"/>
      <c r="O86" s="324"/>
      <c r="P86" s="324"/>
      <c r="Q86" s="324"/>
      <c r="R86" s="324"/>
    </row>
    <row r="87" spans="1:18" ht="24" customHeight="1" x14ac:dyDescent="0.3">
      <c r="A87" s="3" t="s">
        <v>8</v>
      </c>
      <c r="B87" s="3" t="s">
        <v>9</v>
      </c>
      <c r="C87" s="3" t="s">
        <v>10</v>
      </c>
      <c r="D87" s="3" t="s">
        <v>11</v>
      </c>
      <c r="E87" s="3" t="s">
        <v>12</v>
      </c>
      <c r="F87" s="4" t="s">
        <v>13</v>
      </c>
      <c r="G87" s="5" t="s">
        <v>14</v>
      </c>
      <c r="H87" s="3" t="s">
        <v>15</v>
      </c>
      <c r="I87" s="3" t="s">
        <v>16</v>
      </c>
      <c r="J87" s="3" t="s">
        <v>17</v>
      </c>
      <c r="K87" s="3" t="s">
        <v>18</v>
      </c>
      <c r="L87" s="3" t="s">
        <v>19</v>
      </c>
      <c r="M87" s="3" t="s">
        <v>20</v>
      </c>
      <c r="N87" s="3" t="s">
        <v>21</v>
      </c>
      <c r="O87" s="3" t="s">
        <v>22</v>
      </c>
      <c r="P87" s="3" t="s">
        <v>23</v>
      </c>
      <c r="Q87" s="3" t="s">
        <v>24</v>
      </c>
      <c r="R87" s="3" t="s">
        <v>25</v>
      </c>
    </row>
    <row r="88" spans="1:18" ht="15" customHeight="1" x14ac:dyDescent="0.3">
      <c r="A88" s="6" t="s">
        <v>26</v>
      </c>
      <c r="B88" s="6" t="s">
        <v>1289</v>
      </c>
      <c r="C88" s="6">
        <v>0.30555555555555552</v>
      </c>
      <c r="D88" s="6" t="s">
        <v>28</v>
      </c>
      <c r="E88" s="6" t="s">
        <v>134</v>
      </c>
      <c r="F88" s="6" t="s">
        <v>1216</v>
      </c>
      <c r="G88" s="328"/>
      <c r="H88" s="7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1:18" ht="15" customHeight="1" x14ac:dyDescent="0.3">
      <c r="A89" s="10" t="s">
        <v>26</v>
      </c>
      <c r="B89" s="10" t="s">
        <v>1289</v>
      </c>
      <c r="C89" s="10">
        <v>0.30555555555555552</v>
      </c>
      <c r="D89" s="10" t="s">
        <v>31</v>
      </c>
      <c r="E89" s="10" t="s">
        <v>136</v>
      </c>
      <c r="F89" s="10" t="s">
        <v>440</v>
      </c>
      <c r="G89" s="328"/>
      <c r="H89" s="7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1:18" ht="15" customHeight="1" x14ac:dyDescent="0.3">
      <c r="A90" s="10" t="s">
        <v>26</v>
      </c>
      <c r="B90" s="10" t="s">
        <v>1289</v>
      </c>
      <c r="C90" s="10">
        <v>0.30555555555555552</v>
      </c>
      <c r="D90" s="10" t="s">
        <v>34</v>
      </c>
      <c r="E90" s="10" t="s">
        <v>136</v>
      </c>
      <c r="F90" s="10" t="s">
        <v>1103</v>
      </c>
      <c r="G90" s="328"/>
      <c r="H90" s="7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1:18" ht="15" customHeight="1" x14ac:dyDescent="0.3">
      <c r="A91" s="11" t="s">
        <v>36</v>
      </c>
      <c r="B91" s="11" t="s">
        <v>1290</v>
      </c>
      <c r="C91" s="11">
        <v>0.2013888888888889</v>
      </c>
      <c r="D91" s="11" t="s">
        <v>38</v>
      </c>
      <c r="E91" s="11" t="s">
        <v>129</v>
      </c>
      <c r="F91" s="11" t="s">
        <v>975</v>
      </c>
      <c r="G91" s="328"/>
      <c r="H91" s="7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1:18" ht="15" customHeight="1" x14ac:dyDescent="0.3">
      <c r="A92" s="10" t="s">
        <v>36</v>
      </c>
      <c r="B92" s="10" t="s">
        <v>1290</v>
      </c>
      <c r="C92" s="10">
        <v>0.2013888888888889</v>
      </c>
      <c r="D92" s="10" t="s">
        <v>40</v>
      </c>
      <c r="E92" s="10" t="s">
        <v>92</v>
      </c>
      <c r="F92" s="10" t="s">
        <v>624</v>
      </c>
      <c r="G92" s="328"/>
      <c r="H92" s="7"/>
      <c r="I92" s="8"/>
      <c r="J92" s="8"/>
      <c r="K92" s="8"/>
      <c r="L92" s="8"/>
      <c r="M92" s="8"/>
      <c r="N92" s="8"/>
      <c r="O92" s="8"/>
      <c r="P92" s="8"/>
      <c r="Q92" s="8"/>
      <c r="R92" s="9"/>
    </row>
    <row r="93" spans="1:18" ht="15" customHeight="1" x14ac:dyDescent="0.3">
      <c r="A93" s="10" t="s">
        <v>36</v>
      </c>
      <c r="B93" s="10" t="s">
        <v>1290</v>
      </c>
      <c r="C93" s="10">
        <v>0.2013888888888889</v>
      </c>
      <c r="D93" s="10" t="s">
        <v>42</v>
      </c>
      <c r="E93" s="10" t="s">
        <v>92</v>
      </c>
      <c r="F93" s="10" t="s">
        <v>499</v>
      </c>
      <c r="G93" s="328"/>
      <c r="H93" s="7"/>
      <c r="I93" s="8"/>
      <c r="J93" s="8"/>
      <c r="K93" s="8"/>
      <c r="L93" s="8"/>
      <c r="M93" s="8"/>
      <c r="N93" s="8"/>
      <c r="O93" s="8"/>
      <c r="P93" s="8"/>
      <c r="Q93" s="8"/>
      <c r="R93" s="9"/>
    </row>
    <row r="94" spans="1:18" ht="15" customHeight="1" x14ac:dyDescent="0.3">
      <c r="A94" s="26" t="s">
        <v>36</v>
      </c>
      <c r="B94" s="26" t="s">
        <v>1291</v>
      </c>
      <c r="C94" s="26">
        <v>0.83680555555555547</v>
      </c>
      <c r="D94" s="26" t="s">
        <v>38</v>
      </c>
      <c r="E94" s="26" t="s">
        <v>54</v>
      </c>
      <c r="F94" s="26" t="s">
        <v>1293</v>
      </c>
      <c r="G94" s="328"/>
      <c r="H94" s="7"/>
      <c r="I94" s="8"/>
      <c r="J94" s="8"/>
      <c r="K94" s="8"/>
      <c r="L94" s="8"/>
      <c r="M94" s="8"/>
      <c r="N94" s="8"/>
      <c r="O94" s="8"/>
      <c r="P94" s="8"/>
      <c r="Q94" s="8"/>
      <c r="R94" s="9"/>
    </row>
    <row r="95" spans="1:18" ht="15" customHeight="1" x14ac:dyDescent="0.3">
      <c r="A95" s="10" t="s">
        <v>36</v>
      </c>
      <c r="B95" s="10" t="s">
        <v>1291</v>
      </c>
      <c r="C95" s="10">
        <v>0.83680555555555547</v>
      </c>
      <c r="D95" s="10" t="s">
        <v>40</v>
      </c>
      <c r="E95" s="10" t="s">
        <v>161</v>
      </c>
      <c r="F95" s="10" t="s">
        <v>516</v>
      </c>
      <c r="G95" s="328"/>
      <c r="H95" s="7"/>
      <c r="I95" s="8"/>
      <c r="J95" s="8"/>
      <c r="K95" s="8"/>
      <c r="L95" s="8"/>
      <c r="M95" s="8"/>
      <c r="N95" s="8"/>
      <c r="O95" s="8"/>
      <c r="P95" s="8"/>
      <c r="Q95" s="8"/>
      <c r="R95" s="9"/>
    </row>
    <row r="96" spans="1:18" ht="15" customHeight="1" x14ac:dyDescent="0.3">
      <c r="A96" s="10" t="s">
        <v>36</v>
      </c>
      <c r="B96" s="10" t="s">
        <v>1291</v>
      </c>
      <c r="C96" s="10">
        <v>0.83680555555555547</v>
      </c>
      <c r="D96" s="10" t="s">
        <v>42</v>
      </c>
      <c r="E96" s="10" t="s">
        <v>161</v>
      </c>
      <c r="F96" s="10" t="s">
        <v>449</v>
      </c>
      <c r="G96" s="328"/>
      <c r="H96" s="7"/>
      <c r="I96" s="8"/>
      <c r="J96" s="8"/>
      <c r="K96" s="8"/>
      <c r="L96" s="8"/>
      <c r="M96" s="8"/>
      <c r="N96" s="8"/>
      <c r="O96" s="8"/>
      <c r="P96" s="8"/>
      <c r="Q96" s="8"/>
      <c r="R96" s="9"/>
    </row>
    <row r="97" spans="1:18" ht="15" customHeight="1" x14ac:dyDescent="0.3">
      <c r="A97" s="11" t="s">
        <v>66</v>
      </c>
      <c r="B97" s="11" t="s">
        <v>1297</v>
      </c>
      <c r="C97" s="11">
        <v>0.86458333333333337</v>
      </c>
      <c r="D97" s="11" t="s">
        <v>829</v>
      </c>
      <c r="E97" s="11" t="s">
        <v>47</v>
      </c>
      <c r="F97" s="11" t="s">
        <v>1310</v>
      </c>
      <c r="G97" s="328"/>
      <c r="H97" s="7"/>
      <c r="I97" s="8"/>
      <c r="J97" s="8"/>
      <c r="K97" s="8"/>
      <c r="L97" s="8"/>
      <c r="M97" s="8"/>
      <c r="N97" s="8"/>
      <c r="O97" s="8"/>
      <c r="P97" s="8"/>
      <c r="Q97" s="8"/>
      <c r="R97" s="9"/>
    </row>
    <row r="98" spans="1:18" ht="15" customHeight="1" x14ac:dyDescent="0.3">
      <c r="A98" s="26" t="s">
        <v>66</v>
      </c>
      <c r="B98" s="26" t="s">
        <v>1299</v>
      </c>
      <c r="C98" s="26">
        <v>0.52777777777777779</v>
      </c>
      <c r="D98" s="26" t="s">
        <v>829</v>
      </c>
      <c r="E98" s="26" t="s">
        <v>71</v>
      </c>
      <c r="F98" s="26" t="s">
        <v>1310</v>
      </c>
      <c r="G98" s="328"/>
      <c r="H98" s="7"/>
      <c r="I98" s="8"/>
      <c r="J98" s="8"/>
      <c r="K98" s="8"/>
      <c r="L98" s="8"/>
      <c r="M98" s="8"/>
      <c r="N98" s="8"/>
      <c r="O98" s="8"/>
      <c r="P98" s="8"/>
      <c r="Q98" s="8"/>
      <c r="R98" s="9"/>
    </row>
    <row r="99" spans="1:18" ht="15" customHeight="1" x14ac:dyDescent="0.3">
      <c r="A99" s="26" t="s">
        <v>66</v>
      </c>
      <c r="B99" s="26" t="s">
        <v>1300</v>
      </c>
      <c r="C99" s="26">
        <v>0.1701388888888889</v>
      </c>
      <c r="D99" s="26" t="s">
        <v>829</v>
      </c>
      <c r="E99" s="26" t="s">
        <v>71</v>
      </c>
      <c r="F99" s="26" t="s">
        <v>1310</v>
      </c>
      <c r="G99" s="328"/>
      <c r="H99" s="7"/>
      <c r="I99" s="8"/>
      <c r="J99" s="8"/>
      <c r="K99" s="8"/>
      <c r="L99" s="8"/>
      <c r="M99" s="8"/>
      <c r="N99" s="8"/>
      <c r="O99" s="8"/>
      <c r="P99" s="8"/>
      <c r="Q99" s="8"/>
      <c r="R99" s="9"/>
    </row>
    <row r="100" spans="1:18" ht="15" customHeight="1" x14ac:dyDescent="0.3">
      <c r="A100" s="11" t="s">
        <v>410</v>
      </c>
      <c r="B100" s="11" t="s">
        <v>1307</v>
      </c>
      <c r="C100" s="11">
        <v>0.95833333333333337</v>
      </c>
      <c r="D100" s="11" t="s">
        <v>46</v>
      </c>
      <c r="E100" s="11" t="s">
        <v>47</v>
      </c>
      <c r="F100" s="11" t="s">
        <v>1293</v>
      </c>
      <c r="G100" s="32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9"/>
    </row>
    <row r="101" spans="1:18" ht="15" customHeight="1" x14ac:dyDescent="0.3">
      <c r="A101" s="50" t="s">
        <v>78</v>
      </c>
      <c r="B101" s="50" t="s">
        <v>1301</v>
      </c>
      <c r="C101" s="50">
        <v>0.30555555555555552</v>
      </c>
      <c r="D101" s="50" t="s">
        <v>83</v>
      </c>
      <c r="E101" s="50" t="s">
        <v>29</v>
      </c>
      <c r="F101" s="50" t="s">
        <v>1308</v>
      </c>
      <c r="G101" s="328"/>
      <c r="H101" s="28"/>
      <c r="I101" s="29"/>
      <c r="J101" s="29"/>
      <c r="K101" s="29"/>
      <c r="L101" s="29"/>
      <c r="M101" s="29"/>
      <c r="N101" s="29"/>
      <c r="O101" s="29"/>
      <c r="P101" s="29"/>
      <c r="Q101" s="29"/>
      <c r="R101" s="30"/>
    </row>
    <row r="102" spans="1:18" ht="17.399999999999999" customHeight="1" x14ac:dyDescent="0.3">
      <c r="A102" s="360"/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  <c r="P102" s="361"/>
      <c r="Q102" s="361"/>
      <c r="R102" s="362"/>
    </row>
    <row r="103" spans="1:18" ht="22.05" customHeight="1" x14ac:dyDescent="0.3">
      <c r="A103" s="323" t="s">
        <v>6</v>
      </c>
      <c r="B103" s="324"/>
      <c r="C103" s="324"/>
      <c r="D103" s="324"/>
      <c r="E103" s="324"/>
      <c r="F103" s="324"/>
      <c r="G103" s="2">
        <v>45993</v>
      </c>
      <c r="H103" s="323" t="s">
        <v>7</v>
      </c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</row>
    <row r="104" spans="1:18" ht="24" customHeight="1" x14ac:dyDescent="0.3">
      <c r="A104" s="3" t="s">
        <v>8</v>
      </c>
      <c r="B104" s="3" t="s">
        <v>9</v>
      </c>
      <c r="C104" s="3" t="s">
        <v>10</v>
      </c>
      <c r="D104" s="3" t="s">
        <v>11</v>
      </c>
      <c r="E104" s="3" t="s">
        <v>12</v>
      </c>
      <c r="F104" s="4" t="s">
        <v>13</v>
      </c>
      <c r="G104" s="5" t="s">
        <v>14</v>
      </c>
      <c r="H104" s="3" t="s">
        <v>15</v>
      </c>
      <c r="I104" s="3" t="s">
        <v>16</v>
      </c>
      <c r="J104" s="3" t="s">
        <v>17</v>
      </c>
      <c r="K104" s="3" t="s">
        <v>18</v>
      </c>
      <c r="L104" s="3" t="s">
        <v>19</v>
      </c>
      <c r="M104" s="3" t="s">
        <v>20</v>
      </c>
      <c r="N104" s="3" t="s">
        <v>21</v>
      </c>
      <c r="O104" s="3" t="s">
        <v>22</v>
      </c>
      <c r="P104" s="3" t="s">
        <v>23</v>
      </c>
      <c r="Q104" s="3" t="s">
        <v>24</v>
      </c>
      <c r="R104" s="3" t="s">
        <v>25</v>
      </c>
    </row>
    <row r="105" spans="1:18" ht="15" customHeight="1" x14ac:dyDescent="0.3">
      <c r="A105" s="6" t="s">
        <v>66</v>
      </c>
      <c r="B105" s="6" t="s">
        <v>1297</v>
      </c>
      <c r="C105" s="6">
        <v>0.86458333333333337</v>
      </c>
      <c r="D105" s="6" t="s">
        <v>829</v>
      </c>
      <c r="E105" s="6" t="s">
        <v>47</v>
      </c>
      <c r="F105" s="6" t="s">
        <v>1310</v>
      </c>
      <c r="G105" s="32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9"/>
    </row>
    <row r="106" spans="1:18" ht="15" customHeight="1" x14ac:dyDescent="0.3">
      <c r="A106" s="26" t="s">
        <v>66</v>
      </c>
      <c r="B106" s="26" t="s">
        <v>1299</v>
      </c>
      <c r="C106" s="26">
        <v>0.52777777777777779</v>
      </c>
      <c r="D106" s="26" t="s">
        <v>829</v>
      </c>
      <c r="E106" s="26" t="s">
        <v>71</v>
      </c>
      <c r="F106" s="26" t="s">
        <v>1310</v>
      </c>
      <c r="G106" s="32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9"/>
    </row>
    <row r="107" spans="1:18" ht="15" customHeight="1" x14ac:dyDescent="0.3">
      <c r="A107" s="26" t="s">
        <v>66</v>
      </c>
      <c r="B107" s="26" t="s">
        <v>1300</v>
      </c>
      <c r="C107" s="26">
        <v>0.1701388888888889</v>
      </c>
      <c r="D107" s="26" t="s">
        <v>829</v>
      </c>
      <c r="E107" s="26" t="s">
        <v>71</v>
      </c>
      <c r="F107" s="26" t="s">
        <v>1310</v>
      </c>
      <c r="G107" s="32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9"/>
    </row>
    <row r="108" spans="1:18" ht="15" customHeight="1" x14ac:dyDescent="0.3">
      <c r="A108" s="11" t="s">
        <v>410</v>
      </c>
      <c r="B108" s="11" t="s">
        <v>1292</v>
      </c>
      <c r="C108" s="11">
        <v>0.95833333333333337</v>
      </c>
      <c r="D108" s="11" t="s">
        <v>46</v>
      </c>
      <c r="E108" s="11" t="s">
        <v>47</v>
      </c>
      <c r="F108" s="11" t="s">
        <v>1293</v>
      </c>
      <c r="G108" s="32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9"/>
    </row>
    <row r="109" spans="1:18" ht="15" customHeight="1" x14ac:dyDescent="0.3">
      <c r="A109" s="51" t="s">
        <v>44</v>
      </c>
      <c r="B109" s="51" t="s">
        <v>1294</v>
      </c>
      <c r="C109" s="51">
        <v>0.27083333333333331</v>
      </c>
      <c r="D109" s="51" t="s">
        <v>46</v>
      </c>
      <c r="E109" s="51" t="s">
        <v>81</v>
      </c>
      <c r="F109" s="51" t="s">
        <v>360</v>
      </c>
      <c r="G109" s="328"/>
      <c r="H109" s="52" t="s">
        <v>1295</v>
      </c>
      <c r="I109" s="203">
        <v>0.29759999999999998</v>
      </c>
      <c r="J109" s="54">
        <v>50</v>
      </c>
      <c r="K109" s="55" t="s">
        <v>175</v>
      </c>
      <c r="L109" s="54">
        <v>17</v>
      </c>
      <c r="M109" s="54">
        <v>2</v>
      </c>
      <c r="N109" s="54">
        <v>1</v>
      </c>
      <c r="O109" s="55" t="s">
        <v>286</v>
      </c>
      <c r="P109" s="55">
        <v>0.27083333333333331</v>
      </c>
      <c r="Q109" s="54">
        <v>168</v>
      </c>
      <c r="R109" s="56" t="s">
        <v>1321</v>
      </c>
    </row>
    <row r="110" spans="1:18" ht="15" customHeight="1" x14ac:dyDescent="0.3">
      <c r="A110" s="50" t="s">
        <v>78</v>
      </c>
      <c r="B110" s="50" t="s">
        <v>1301</v>
      </c>
      <c r="C110" s="50">
        <v>0.30555555555555552</v>
      </c>
      <c r="D110" s="50" t="s">
        <v>83</v>
      </c>
      <c r="E110" s="50" t="s">
        <v>29</v>
      </c>
      <c r="F110" s="50" t="s">
        <v>1308</v>
      </c>
      <c r="G110" s="328"/>
      <c r="H110" s="28"/>
      <c r="I110" s="29"/>
      <c r="J110" s="29"/>
      <c r="K110" s="29"/>
      <c r="L110" s="29"/>
      <c r="M110" s="29"/>
      <c r="N110" s="29"/>
      <c r="O110" s="29"/>
      <c r="P110" s="29"/>
      <c r="Q110" s="29"/>
      <c r="R110" s="30"/>
    </row>
    <row r="111" spans="1:18" ht="17.399999999999999" customHeight="1" x14ac:dyDescent="0.3">
      <c r="A111" s="360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1"/>
      <c r="P111" s="361"/>
      <c r="Q111" s="361"/>
      <c r="R111" s="362"/>
    </row>
    <row r="112" spans="1:18" ht="22.05" customHeight="1" x14ac:dyDescent="0.3">
      <c r="A112" s="323" t="s">
        <v>6</v>
      </c>
      <c r="B112" s="324"/>
      <c r="C112" s="324"/>
      <c r="D112" s="324"/>
      <c r="E112" s="324"/>
      <c r="F112" s="324"/>
      <c r="G112" s="2">
        <v>45994</v>
      </c>
      <c r="H112" s="323" t="s">
        <v>7</v>
      </c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</row>
    <row r="113" spans="1:18" ht="24" customHeight="1" x14ac:dyDescent="0.3">
      <c r="A113" s="3" t="s">
        <v>8</v>
      </c>
      <c r="B113" s="3" t="s">
        <v>9</v>
      </c>
      <c r="C113" s="3" t="s">
        <v>10</v>
      </c>
      <c r="D113" s="3" t="s">
        <v>11</v>
      </c>
      <c r="E113" s="3" t="s">
        <v>12</v>
      </c>
      <c r="F113" s="4" t="s">
        <v>13</v>
      </c>
      <c r="G113" s="5" t="s">
        <v>14</v>
      </c>
      <c r="H113" s="3" t="s">
        <v>15</v>
      </c>
      <c r="I113" s="3" t="s">
        <v>16</v>
      </c>
      <c r="J113" s="3" t="s">
        <v>17</v>
      </c>
      <c r="K113" s="3" t="s">
        <v>18</v>
      </c>
      <c r="L113" s="3" t="s">
        <v>19</v>
      </c>
      <c r="M113" s="3" t="s">
        <v>20</v>
      </c>
      <c r="N113" s="3" t="s">
        <v>21</v>
      </c>
      <c r="O113" s="3" t="s">
        <v>22</v>
      </c>
      <c r="P113" s="3" t="s">
        <v>23</v>
      </c>
      <c r="Q113" s="3" t="s">
        <v>24</v>
      </c>
      <c r="R113" s="3" t="s">
        <v>25</v>
      </c>
    </row>
    <row r="114" spans="1:18" ht="15" customHeight="1" x14ac:dyDescent="0.3">
      <c r="A114" s="6" t="s">
        <v>26</v>
      </c>
      <c r="B114" s="6" t="s">
        <v>1289</v>
      </c>
      <c r="C114" s="6">
        <v>0.30555555555555552</v>
      </c>
      <c r="D114" s="6" t="s">
        <v>28</v>
      </c>
      <c r="E114" s="6" t="s">
        <v>129</v>
      </c>
      <c r="F114" s="6" t="s">
        <v>583</v>
      </c>
      <c r="G114" s="32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9"/>
    </row>
    <row r="115" spans="1:18" ht="15" customHeight="1" x14ac:dyDescent="0.3">
      <c r="A115" s="10" t="s">
        <v>26</v>
      </c>
      <c r="B115" s="10" t="s">
        <v>1289</v>
      </c>
      <c r="C115" s="10">
        <v>0.30555555555555552</v>
      </c>
      <c r="D115" s="10" t="s">
        <v>31</v>
      </c>
      <c r="E115" s="10" t="s">
        <v>92</v>
      </c>
      <c r="F115" s="10" t="s">
        <v>622</v>
      </c>
      <c r="G115" s="32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9"/>
    </row>
    <row r="116" spans="1:18" ht="15" customHeight="1" x14ac:dyDescent="0.3">
      <c r="A116" s="10" t="s">
        <v>26</v>
      </c>
      <c r="B116" s="10" t="s">
        <v>1289</v>
      </c>
      <c r="C116" s="10">
        <v>0.30555555555555552</v>
      </c>
      <c r="D116" s="10" t="s">
        <v>34</v>
      </c>
      <c r="E116" s="10" t="s">
        <v>92</v>
      </c>
      <c r="F116" s="10" t="s">
        <v>1103</v>
      </c>
      <c r="G116" s="32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9"/>
    </row>
    <row r="117" spans="1:18" ht="15" customHeight="1" x14ac:dyDescent="0.3">
      <c r="A117" s="11" t="s">
        <v>404</v>
      </c>
      <c r="B117" s="11" t="s">
        <v>1303</v>
      </c>
      <c r="C117" s="11">
        <v>9.0277777777777776E-2</v>
      </c>
      <c r="D117" s="11" t="s">
        <v>46</v>
      </c>
      <c r="E117" s="11" t="s">
        <v>47</v>
      </c>
      <c r="F117" s="11" t="s">
        <v>1304</v>
      </c>
      <c r="G117" s="32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9"/>
    </row>
    <row r="118" spans="1:18" ht="15" customHeight="1" x14ac:dyDescent="0.3">
      <c r="A118" s="11" t="s">
        <v>456</v>
      </c>
      <c r="B118" s="11" t="s">
        <v>1322</v>
      </c>
      <c r="C118" s="11">
        <v>0.97222222222222221</v>
      </c>
      <c r="D118" s="11" t="s">
        <v>458</v>
      </c>
      <c r="E118" s="11" t="s">
        <v>123</v>
      </c>
      <c r="F118" s="11" t="s">
        <v>1323</v>
      </c>
      <c r="G118" s="328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9"/>
    </row>
    <row r="119" spans="1:18" ht="15" customHeight="1" x14ac:dyDescent="0.3">
      <c r="A119" s="10" t="s">
        <v>456</v>
      </c>
      <c r="B119" s="10" t="s">
        <v>1322</v>
      </c>
      <c r="C119" s="10">
        <v>0.97222222222222221</v>
      </c>
      <c r="D119" s="10" t="s">
        <v>34</v>
      </c>
      <c r="E119" s="10" t="s">
        <v>124</v>
      </c>
      <c r="F119" s="10" t="s">
        <v>1324</v>
      </c>
      <c r="G119" s="32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9"/>
    </row>
    <row r="120" spans="1:18" ht="15" customHeight="1" x14ac:dyDescent="0.3">
      <c r="A120" s="11" t="s">
        <v>66</v>
      </c>
      <c r="B120" s="11" t="s">
        <v>1297</v>
      </c>
      <c r="C120" s="11">
        <v>0.86458333333333337</v>
      </c>
      <c r="D120" s="11" t="s">
        <v>829</v>
      </c>
      <c r="E120" s="11" t="s">
        <v>47</v>
      </c>
      <c r="F120" s="11" t="s">
        <v>1310</v>
      </c>
      <c r="G120" s="328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9"/>
    </row>
    <row r="121" spans="1:18" ht="15" customHeight="1" x14ac:dyDescent="0.3">
      <c r="A121" s="26" t="s">
        <v>66</v>
      </c>
      <c r="B121" s="26" t="s">
        <v>1299</v>
      </c>
      <c r="C121" s="26">
        <v>0.52777777777777779</v>
      </c>
      <c r="D121" s="26" t="s">
        <v>829</v>
      </c>
      <c r="E121" s="26" t="s">
        <v>71</v>
      </c>
      <c r="F121" s="26" t="s">
        <v>1310</v>
      </c>
      <c r="G121" s="32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9"/>
    </row>
    <row r="122" spans="1:18" ht="15" customHeight="1" x14ac:dyDescent="0.3">
      <c r="A122" s="26" t="s">
        <v>66</v>
      </c>
      <c r="B122" s="26" t="s">
        <v>1300</v>
      </c>
      <c r="C122" s="26">
        <v>0.1701388888888889</v>
      </c>
      <c r="D122" s="26" t="s">
        <v>829</v>
      </c>
      <c r="E122" s="26" t="s">
        <v>71</v>
      </c>
      <c r="F122" s="26" t="s">
        <v>1310</v>
      </c>
      <c r="G122" s="328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9"/>
    </row>
    <row r="123" spans="1:18" ht="15" customHeight="1" x14ac:dyDescent="0.3">
      <c r="A123" s="11" t="s">
        <v>36</v>
      </c>
      <c r="B123" s="11" t="s">
        <v>1291</v>
      </c>
      <c r="C123" s="11">
        <v>0.83680555555555547</v>
      </c>
      <c r="D123" s="11" t="s">
        <v>38</v>
      </c>
      <c r="E123" s="11" t="s">
        <v>129</v>
      </c>
      <c r="F123" s="11" t="s">
        <v>1293</v>
      </c>
      <c r="G123" s="32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9"/>
    </row>
    <row r="124" spans="1:18" ht="15" customHeight="1" x14ac:dyDescent="0.3">
      <c r="A124" s="10" t="s">
        <v>36</v>
      </c>
      <c r="B124" s="10" t="s">
        <v>1291</v>
      </c>
      <c r="C124" s="10">
        <v>0.83680555555555547</v>
      </c>
      <c r="D124" s="10" t="s">
        <v>40</v>
      </c>
      <c r="E124" s="10" t="s">
        <v>92</v>
      </c>
      <c r="F124" s="10" t="s">
        <v>516</v>
      </c>
      <c r="G124" s="32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9"/>
    </row>
    <row r="125" spans="1:18" ht="15" customHeight="1" x14ac:dyDescent="0.3">
      <c r="A125" s="10" t="s">
        <v>36</v>
      </c>
      <c r="B125" s="10" t="s">
        <v>1291</v>
      </c>
      <c r="C125" s="10">
        <v>0.83680555555555547</v>
      </c>
      <c r="D125" s="10" t="s">
        <v>42</v>
      </c>
      <c r="E125" s="10" t="s">
        <v>92</v>
      </c>
      <c r="F125" s="10" t="s">
        <v>449</v>
      </c>
      <c r="G125" s="32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9"/>
    </row>
    <row r="126" spans="1:18" ht="15" customHeight="1" x14ac:dyDescent="0.3">
      <c r="A126" s="11" t="s">
        <v>410</v>
      </c>
      <c r="B126" s="11" t="s">
        <v>1307</v>
      </c>
      <c r="C126" s="11">
        <v>0.89583333333333337</v>
      </c>
      <c r="D126" s="11" t="s">
        <v>46</v>
      </c>
      <c r="E126" s="11" t="s">
        <v>47</v>
      </c>
      <c r="F126" s="11" t="s">
        <v>1293</v>
      </c>
      <c r="G126" s="32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9"/>
    </row>
    <row r="127" spans="1:18" ht="15" customHeight="1" x14ac:dyDescent="0.3">
      <c r="A127" s="50" t="s">
        <v>78</v>
      </c>
      <c r="B127" s="50" t="s">
        <v>1301</v>
      </c>
      <c r="C127" s="50">
        <v>0.30555555555555552</v>
      </c>
      <c r="D127" s="50" t="s">
        <v>83</v>
      </c>
      <c r="E127" s="50" t="s">
        <v>29</v>
      </c>
      <c r="F127" s="50" t="s">
        <v>1302</v>
      </c>
      <c r="G127" s="328"/>
      <c r="H127" s="28"/>
      <c r="I127" s="29"/>
      <c r="J127" s="29"/>
      <c r="K127" s="29"/>
      <c r="L127" s="29"/>
      <c r="M127" s="29"/>
      <c r="N127" s="29"/>
      <c r="O127" s="29"/>
      <c r="P127" s="29"/>
      <c r="Q127" s="29"/>
      <c r="R127" s="30"/>
    </row>
    <row r="128" spans="1:18" ht="17.399999999999999" customHeight="1" x14ac:dyDescent="0.3">
      <c r="A128" s="360"/>
      <c r="B128" s="361"/>
      <c r="C128" s="361"/>
      <c r="D128" s="361"/>
      <c r="E128" s="361"/>
      <c r="F128" s="361"/>
      <c r="G128" s="361"/>
      <c r="H128" s="361"/>
      <c r="I128" s="361"/>
      <c r="J128" s="361"/>
      <c r="K128" s="361"/>
      <c r="L128" s="361"/>
      <c r="M128" s="361"/>
      <c r="N128" s="361"/>
      <c r="O128" s="361"/>
      <c r="P128" s="361"/>
      <c r="Q128" s="361"/>
      <c r="R128" s="362"/>
    </row>
    <row r="129" spans="1:18" ht="22.05" customHeight="1" x14ac:dyDescent="0.3">
      <c r="A129" s="323" t="s">
        <v>6</v>
      </c>
      <c r="B129" s="324"/>
      <c r="C129" s="324"/>
      <c r="D129" s="324"/>
      <c r="E129" s="324"/>
      <c r="F129" s="324"/>
      <c r="G129" s="2">
        <v>45995</v>
      </c>
      <c r="H129" s="323" t="s">
        <v>7</v>
      </c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</row>
    <row r="130" spans="1:18" ht="24" customHeight="1" x14ac:dyDescent="0.3">
      <c r="A130" s="3" t="s">
        <v>8</v>
      </c>
      <c r="B130" s="3" t="s">
        <v>9</v>
      </c>
      <c r="C130" s="3" t="s">
        <v>10</v>
      </c>
      <c r="D130" s="3" t="s">
        <v>11</v>
      </c>
      <c r="E130" s="3" t="s">
        <v>12</v>
      </c>
      <c r="F130" s="4" t="s">
        <v>13</v>
      </c>
      <c r="G130" s="5" t="s">
        <v>14</v>
      </c>
      <c r="H130" s="3" t="s">
        <v>15</v>
      </c>
      <c r="I130" s="3" t="s">
        <v>16</v>
      </c>
      <c r="J130" s="3" t="s">
        <v>17</v>
      </c>
      <c r="K130" s="3" t="s">
        <v>18</v>
      </c>
      <c r="L130" s="3" t="s">
        <v>19</v>
      </c>
      <c r="M130" s="3" t="s">
        <v>20</v>
      </c>
      <c r="N130" s="3" t="s">
        <v>21</v>
      </c>
      <c r="O130" s="3" t="s">
        <v>22</v>
      </c>
      <c r="P130" s="3" t="s">
        <v>23</v>
      </c>
      <c r="Q130" s="3" t="s">
        <v>24</v>
      </c>
      <c r="R130" s="3" t="s">
        <v>25</v>
      </c>
    </row>
    <row r="131" spans="1:18" ht="15" customHeight="1" x14ac:dyDescent="0.3">
      <c r="A131" s="6" t="s">
        <v>404</v>
      </c>
      <c r="B131" s="6" t="s">
        <v>1303</v>
      </c>
      <c r="C131" s="6">
        <v>0.88888888888888884</v>
      </c>
      <c r="D131" s="6" t="s">
        <v>46</v>
      </c>
      <c r="E131" s="6" t="s">
        <v>81</v>
      </c>
      <c r="F131" s="6" t="s">
        <v>1304</v>
      </c>
      <c r="G131" s="32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9"/>
    </row>
    <row r="132" spans="1:18" ht="15" customHeight="1" x14ac:dyDescent="0.3">
      <c r="A132" s="11" t="s">
        <v>66</v>
      </c>
      <c r="B132" s="11" t="s">
        <v>1297</v>
      </c>
      <c r="C132" s="11">
        <v>0.86458333333333337</v>
      </c>
      <c r="D132" s="11" t="s">
        <v>829</v>
      </c>
      <c r="E132" s="11" t="s">
        <v>47</v>
      </c>
      <c r="F132" s="11" t="s">
        <v>1310</v>
      </c>
      <c r="G132" s="32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9"/>
    </row>
    <row r="133" spans="1:18" ht="15" customHeight="1" x14ac:dyDescent="0.3">
      <c r="A133" s="26" t="s">
        <v>66</v>
      </c>
      <c r="B133" s="26" t="s">
        <v>1299</v>
      </c>
      <c r="C133" s="26">
        <v>0.52777777777777779</v>
      </c>
      <c r="D133" s="26" t="s">
        <v>829</v>
      </c>
      <c r="E133" s="26" t="s">
        <v>71</v>
      </c>
      <c r="F133" s="26" t="s">
        <v>1310</v>
      </c>
      <c r="G133" s="32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9"/>
    </row>
    <row r="134" spans="1:18" ht="15" customHeight="1" x14ac:dyDescent="0.3">
      <c r="A134" s="26" t="s">
        <v>66</v>
      </c>
      <c r="B134" s="26" t="s">
        <v>1300</v>
      </c>
      <c r="C134" s="26">
        <v>0.1701388888888889</v>
      </c>
      <c r="D134" s="26" t="s">
        <v>829</v>
      </c>
      <c r="E134" s="26" t="s">
        <v>71</v>
      </c>
      <c r="F134" s="26" t="s">
        <v>1310</v>
      </c>
      <c r="G134" s="32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9"/>
    </row>
    <row r="135" spans="1:18" ht="15" customHeight="1" x14ac:dyDescent="0.3">
      <c r="A135" s="11" t="s">
        <v>410</v>
      </c>
      <c r="B135" s="11" t="s">
        <v>1311</v>
      </c>
      <c r="C135" s="11">
        <v>0.5625</v>
      </c>
      <c r="D135" s="11" t="s">
        <v>46</v>
      </c>
      <c r="E135" s="11" t="s">
        <v>47</v>
      </c>
      <c r="F135" s="11" t="s">
        <v>1293</v>
      </c>
      <c r="G135" s="32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9"/>
    </row>
    <row r="136" spans="1:18" ht="15" customHeight="1" x14ac:dyDescent="0.3">
      <c r="A136" s="26" t="s">
        <v>410</v>
      </c>
      <c r="B136" s="26" t="s">
        <v>1292</v>
      </c>
      <c r="C136" s="26">
        <v>0.95833333333333337</v>
      </c>
      <c r="D136" s="26" t="s">
        <v>46</v>
      </c>
      <c r="E136" s="26" t="s">
        <v>71</v>
      </c>
      <c r="F136" s="26" t="s">
        <v>1325</v>
      </c>
      <c r="G136" s="32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9"/>
    </row>
    <row r="137" spans="1:18" ht="15" customHeight="1" x14ac:dyDescent="0.3">
      <c r="A137" s="127" t="s">
        <v>44</v>
      </c>
      <c r="B137" s="127" t="s">
        <v>1294</v>
      </c>
      <c r="C137" s="127">
        <v>0.92361111111111116</v>
      </c>
      <c r="D137" s="127" t="s">
        <v>46</v>
      </c>
      <c r="E137" s="127" t="s">
        <v>81</v>
      </c>
      <c r="F137" s="127" t="s">
        <v>873</v>
      </c>
      <c r="G137" s="328"/>
      <c r="H137" s="82" t="s">
        <v>1295</v>
      </c>
      <c r="I137" s="204">
        <v>0.27379999999999999</v>
      </c>
      <c r="J137" s="84">
        <v>46</v>
      </c>
      <c r="K137" s="85" t="s">
        <v>175</v>
      </c>
      <c r="L137" s="84">
        <v>13</v>
      </c>
      <c r="M137" s="84">
        <v>1</v>
      </c>
      <c r="N137" s="84">
        <v>2</v>
      </c>
      <c r="O137" s="85" t="s">
        <v>335</v>
      </c>
      <c r="P137" s="85">
        <v>0.92361111111111116</v>
      </c>
      <c r="Q137" s="84">
        <v>168</v>
      </c>
      <c r="R137" s="86" t="s">
        <v>1326</v>
      </c>
    </row>
    <row r="138" spans="1:18" ht="15" customHeight="1" x14ac:dyDescent="0.3">
      <c r="A138" s="50" t="s">
        <v>78</v>
      </c>
      <c r="B138" s="50" t="s">
        <v>1301</v>
      </c>
      <c r="C138" s="50">
        <v>0.30555555555555552</v>
      </c>
      <c r="D138" s="50" t="s">
        <v>83</v>
      </c>
      <c r="E138" s="50" t="s">
        <v>29</v>
      </c>
      <c r="F138" s="50" t="s">
        <v>1308</v>
      </c>
      <c r="G138" s="328"/>
      <c r="H138" s="28"/>
      <c r="I138" s="29"/>
      <c r="J138" s="29"/>
      <c r="K138" s="29"/>
      <c r="L138" s="29"/>
      <c r="M138" s="29"/>
      <c r="N138" s="29"/>
      <c r="O138" s="29"/>
      <c r="P138" s="29"/>
      <c r="Q138" s="29"/>
      <c r="R138" s="30"/>
    </row>
    <row r="139" spans="1:18" ht="17.399999999999999" customHeight="1" x14ac:dyDescent="0.3">
      <c r="A139" s="360"/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361"/>
      <c r="O139" s="361"/>
      <c r="P139" s="361"/>
      <c r="Q139" s="361"/>
      <c r="R139" s="362"/>
    </row>
    <row r="140" spans="1:18" ht="22.05" customHeight="1" x14ac:dyDescent="0.3">
      <c r="A140" s="323" t="s">
        <v>6</v>
      </c>
      <c r="B140" s="324"/>
      <c r="C140" s="324"/>
      <c r="D140" s="324"/>
      <c r="E140" s="324"/>
      <c r="F140" s="324"/>
      <c r="G140" s="2">
        <v>45996</v>
      </c>
      <c r="H140" s="323" t="s">
        <v>7</v>
      </c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</row>
    <row r="141" spans="1:18" ht="24" customHeight="1" x14ac:dyDescent="0.3">
      <c r="A141" s="3" t="s">
        <v>8</v>
      </c>
      <c r="B141" s="3" t="s">
        <v>9</v>
      </c>
      <c r="C141" s="3" t="s">
        <v>10</v>
      </c>
      <c r="D141" s="3" t="s">
        <v>11</v>
      </c>
      <c r="E141" s="3" t="s">
        <v>12</v>
      </c>
      <c r="F141" s="4" t="s">
        <v>13</v>
      </c>
      <c r="G141" s="5" t="s">
        <v>14</v>
      </c>
      <c r="H141" s="3" t="s">
        <v>15</v>
      </c>
      <c r="I141" s="3" t="s">
        <v>16</v>
      </c>
      <c r="J141" s="3" t="s">
        <v>17</v>
      </c>
      <c r="K141" s="3" t="s">
        <v>18</v>
      </c>
      <c r="L141" s="3" t="s">
        <v>19</v>
      </c>
      <c r="M141" s="3" t="s">
        <v>20</v>
      </c>
      <c r="N141" s="3" t="s">
        <v>21</v>
      </c>
      <c r="O141" s="3" t="s">
        <v>22</v>
      </c>
      <c r="P141" s="3" t="s">
        <v>23</v>
      </c>
      <c r="Q141" s="3" t="s">
        <v>24</v>
      </c>
      <c r="R141" s="3" t="s">
        <v>25</v>
      </c>
    </row>
    <row r="142" spans="1:18" ht="15" customHeight="1" x14ac:dyDescent="0.3">
      <c r="A142" s="6" t="s">
        <v>26</v>
      </c>
      <c r="B142" s="6" t="s">
        <v>1289</v>
      </c>
      <c r="C142" s="6">
        <v>0.30555555555555552</v>
      </c>
      <c r="D142" s="6" t="s">
        <v>28</v>
      </c>
      <c r="E142" s="6" t="s">
        <v>102</v>
      </c>
      <c r="F142" s="6" t="s">
        <v>1216</v>
      </c>
      <c r="G142" s="32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9"/>
    </row>
    <row r="143" spans="1:18" ht="15" customHeight="1" x14ac:dyDescent="0.3">
      <c r="A143" s="10" t="s">
        <v>26</v>
      </c>
      <c r="B143" s="10" t="s">
        <v>1289</v>
      </c>
      <c r="C143" s="10">
        <v>0.30555555555555552</v>
      </c>
      <c r="D143" s="10" t="s">
        <v>31</v>
      </c>
      <c r="E143" s="10" t="s">
        <v>104</v>
      </c>
      <c r="F143" s="10" t="s">
        <v>440</v>
      </c>
      <c r="G143" s="32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9"/>
    </row>
    <row r="144" spans="1:18" ht="15" customHeight="1" x14ac:dyDescent="0.3">
      <c r="A144" s="10" t="s">
        <v>26</v>
      </c>
      <c r="B144" s="10" t="s">
        <v>1289</v>
      </c>
      <c r="C144" s="10">
        <v>0.30555555555555552</v>
      </c>
      <c r="D144" s="10" t="s">
        <v>34</v>
      </c>
      <c r="E144" s="10" t="s">
        <v>104</v>
      </c>
      <c r="F144" s="10" t="s">
        <v>1103</v>
      </c>
      <c r="G144" s="32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9"/>
    </row>
    <row r="145" spans="1:18" ht="15" customHeight="1" x14ac:dyDescent="0.3">
      <c r="A145" s="11" t="s">
        <v>36</v>
      </c>
      <c r="B145" s="11" t="s">
        <v>1291</v>
      </c>
      <c r="C145" s="11">
        <v>0.83680555555555547</v>
      </c>
      <c r="D145" s="11" t="s">
        <v>38</v>
      </c>
      <c r="E145" s="11" t="s">
        <v>102</v>
      </c>
      <c r="F145" s="11" t="s">
        <v>530</v>
      </c>
      <c r="G145" s="32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9"/>
    </row>
    <row r="146" spans="1:18" ht="15" customHeight="1" x14ac:dyDescent="0.3">
      <c r="A146" s="10" t="s">
        <v>36</v>
      </c>
      <c r="B146" s="10" t="s">
        <v>1291</v>
      </c>
      <c r="C146" s="10">
        <v>0.83680555555555547</v>
      </c>
      <c r="D146" s="10" t="s">
        <v>40</v>
      </c>
      <c r="E146" s="10" t="s">
        <v>104</v>
      </c>
      <c r="F146" s="10" t="s">
        <v>514</v>
      </c>
      <c r="G146" s="32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9"/>
    </row>
    <row r="147" spans="1:18" ht="15" customHeight="1" x14ac:dyDescent="0.3">
      <c r="A147" s="10" t="s">
        <v>36</v>
      </c>
      <c r="B147" s="10" t="s">
        <v>1291</v>
      </c>
      <c r="C147" s="10">
        <v>0.83680555555555547</v>
      </c>
      <c r="D147" s="10" t="s">
        <v>42</v>
      </c>
      <c r="E147" s="10" t="s">
        <v>104</v>
      </c>
      <c r="F147" s="10" t="s">
        <v>414</v>
      </c>
      <c r="G147" s="32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9"/>
    </row>
    <row r="148" spans="1:18" ht="15" customHeight="1" x14ac:dyDescent="0.3">
      <c r="A148" s="11" t="s">
        <v>66</v>
      </c>
      <c r="B148" s="11" t="s">
        <v>1297</v>
      </c>
      <c r="C148" s="11">
        <v>0.86458333333333337</v>
      </c>
      <c r="D148" s="11" t="s">
        <v>829</v>
      </c>
      <c r="E148" s="11" t="s">
        <v>47</v>
      </c>
      <c r="F148" s="11" t="s">
        <v>1310</v>
      </c>
      <c r="G148" s="32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9"/>
    </row>
    <row r="149" spans="1:18" ht="15" customHeight="1" x14ac:dyDescent="0.3">
      <c r="A149" s="26" t="s">
        <v>66</v>
      </c>
      <c r="B149" s="26" t="s">
        <v>1299</v>
      </c>
      <c r="C149" s="26">
        <v>0.52777777777777779</v>
      </c>
      <c r="D149" s="26" t="s">
        <v>829</v>
      </c>
      <c r="E149" s="26" t="s">
        <v>71</v>
      </c>
      <c r="F149" s="26" t="s">
        <v>1305</v>
      </c>
      <c r="G149" s="32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9"/>
    </row>
    <row r="150" spans="1:18" ht="15" customHeight="1" x14ac:dyDescent="0.3">
      <c r="A150" s="26" t="s">
        <v>66</v>
      </c>
      <c r="B150" s="26" t="s">
        <v>1300</v>
      </c>
      <c r="C150" s="26">
        <v>0.1701388888888889</v>
      </c>
      <c r="D150" s="26" t="s">
        <v>829</v>
      </c>
      <c r="E150" s="26" t="s">
        <v>71</v>
      </c>
      <c r="F150" s="26" t="s">
        <v>1305</v>
      </c>
      <c r="G150" s="328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9"/>
    </row>
    <row r="151" spans="1:18" ht="15" customHeight="1" x14ac:dyDescent="0.3">
      <c r="A151" s="11" t="s">
        <v>410</v>
      </c>
      <c r="B151" s="11" t="s">
        <v>1307</v>
      </c>
      <c r="C151" s="11">
        <v>0.95833333333333337</v>
      </c>
      <c r="D151" s="11" t="s">
        <v>46</v>
      </c>
      <c r="E151" s="11" t="s">
        <v>47</v>
      </c>
      <c r="F151" s="11" t="s">
        <v>1293</v>
      </c>
      <c r="G151" s="328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9"/>
    </row>
    <row r="152" spans="1:18" ht="15" customHeight="1" x14ac:dyDescent="0.3">
      <c r="A152" s="127" t="s">
        <v>44</v>
      </c>
      <c r="B152" s="127" t="s">
        <v>1294</v>
      </c>
      <c r="C152" s="127">
        <v>0.57986111111111105</v>
      </c>
      <c r="D152" s="127" t="s">
        <v>46</v>
      </c>
      <c r="E152" s="127" t="s">
        <v>132</v>
      </c>
      <c r="F152" s="127" t="s">
        <v>1327</v>
      </c>
      <c r="G152" s="328"/>
      <c r="H152" s="82" t="s">
        <v>1295</v>
      </c>
      <c r="I152" s="204">
        <v>0.33929999999999999</v>
      </c>
      <c r="J152" s="84">
        <v>57</v>
      </c>
      <c r="K152" s="85" t="s">
        <v>50</v>
      </c>
      <c r="L152" s="84">
        <v>12</v>
      </c>
      <c r="M152" s="84">
        <v>0</v>
      </c>
      <c r="N152" s="84">
        <v>1</v>
      </c>
      <c r="O152" s="85" t="s">
        <v>586</v>
      </c>
      <c r="P152" s="85">
        <v>0.57986111111111105</v>
      </c>
      <c r="Q152" s="84">
        <v>168</v>
      </c>
      <c r="R152" s="86" t="s">
        <v>1328</v>
      </c>
    </row>
    <row r="153" spans="1:18" ht="15" customHeight="1" x14ac:dyDescent="0.3">
      <c r="A153" s="50" t="s">
        <v>78</v>
      </c>
      <c r="B153" s="50" t="s">
        <v>1301</v>
      </c>
      <c r="C153" s="50">
        <v>0.30555555555555552</v>
      </c>
      <c r="D153" s="50" t="s">
        <v>83</v>
      </c>
      <c r="E153" s="50" t="s">
        <v>29</v>
      </c>
      <c r="F153" s="50" t="s">
        <v>1320</v>
      </c>
      <c r="G153" s="328"/>
      <c r="H153" s="28"/>
      <c r="I153" s="29"/>
      <c r="J153" s="29"/>
      <c r="K153" s="29"/>
      <c r="L153" s="29"/>
      <c r="M153" s="29"/>
      <c r="N153" s="29"/>
      <c r="O153" s="29"/>
      <c r="P153" s="29"/>
      <c r="Q153" s="29"/>
      <c r="R153" s="30"/>
    </row>
    <row r="154" spans="1:18" ht="17.399999999999999" customHeight="1" x14ac:dyDescent="0.3">
      <c r="A154" s="360"/>
      <c r="B154" s="361"/>
      <c r="C154" s="361"/>
      <c r="D154" s="361"/>
      <c r="E154" s="361"/>
      <c r="F154" s="361"/>
      <c r="G154" s="361"/>
      <c r="H154" s="361"/>
      <c r="I154" s="361"/>
      <c r="J154" s="361"/>
      <c r="K154" s="361"/>
      <c r="L154" s="361"/>
      <c r="M154" s="361"/>
      <c r="N154" s="361"/>
      <c r="O154" s="361"/>
      <c r="P154" s="361"/>
      <c r="Q154" s="361"/>
      <c r="R154" s="362"/>
    </row>
    <row r="155" spans="1:18" ht="22.05" customHeight="1" x14ac:dyDescent="0.3">
      <c r="A155" s="323" t="s">
        <v>6</v>
      </c>
      <c r="B155" s="324"/>
      <c r="C155" s="324"/>
      <c r="D155" s="324"/>
      <c r="E155" s="324"/>
      <c r="F155" s="324"/>
      <c r="G155" s="2">
        <v>45997</v>
      </c>
      <c r="H155" s="323" t="s">
        <v>7</v>
      </c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</row>
    <row r="156" spans="1:18" ht="24" customHeight="1" x14ac:dyDescent="0.3">
      <c r="A156" s="3" t="s">
        <v>8</v>
      </c>
      <c r="B156" s="3" t="s">
        <v>9</v>
      </c>
      <c r="C156" s="3" t="s">
        <v>10</v>
      </c>
      <c r="D156" s="3" t="s">
        <v>11</v>
      </c>
      <c r="E156" s="3" t="s">
        <v>12</v>
      </c>
      <c r="F156" s="4" t="s">
        <v>13</v>
      </c>
      <c r="G156" s="5" t="s">
        <v>14</v>
      </c>
      <c r="H156" s="3" t="s">
        <v>15</v>
      </c>
      <c r="I156" s="3" t="s">
        <v>16</v>
      </c>
      <c r="J156" s="3" t="s">
        <v>17</v>
      </c>
      <c r="K156" s="3" t="s">
        <v>18</v>
      </c>
      <c r="L156" s="3" t="s">
        <v>19</v>
      </c>
      <c r="M156" s="3" t="s">
        <v>20</v>
      </c>
      <c r="N156" s="3" t="s">
        <v>21</v>
      </c>
      <c r="O156" s="3" t="s">
        <v>22</v>
      </c>
      <c r="P156" s="3" t="s">
        <v>23</v>
      </c>
      <c r="Q156" s="3" t="s">
        <v>24</v>
      </c>
      <c r="R156" s="3" t="s">
        <v>25</v>
      </c>
    </row>
    <row r="157" spans="1:18" ht="15" customHeight="1" x14ac:dyDescent="0.3">
      <c r="A157" s="6" t="s">
        <v>36</v>
      </c>
      <c r="B157" s="6" t="s">
        <v>1291</v>
      </c>
      <c r="C157" s="6">
        <v>0.83680555555555547</v>
      </c>
      <c r="D157" s="6" t="s">
        <v>38</v>
      </c>
      <c r="E157" s="6" t="s">
        <v>132</v>
      </c>
      <c r="F157" s="6" t="s">
        <v>1329</v>
      </c>
      <c r="G157" s="32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9"/>
    </row>
    <row r="158" spans="1:18" ht="15" customHeight="1" x14ac:dyDescent="0.3">
      <c r="A158" s="10" t="s">
        <v>36</v>
      </c>
      <c r="B158" s="10" t="s">
        <v>1291</v>
      </c>
      <c r="C158" s="10">
        <v>0.83680555555555547</v>
      </c>
      <c r="D158" s="10" t="s">
        <v>40</v>
      </c>
      <c r="E158" s="10" t="s">
        <v>115</v>
      </c>
      <c r="F158" s="10" t="s">
        <v>436</v>
      </c>
      <c r="G158" s="32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9"/>
    </row>
    <row r="159" spans="1:18" ht="15" customHeight="1" x14ac:dyDescent="0.3">
      <c r="A159" s="10" t="s">
        <v>36</v>
      </c>
      <c r="B159" s="10" t="s">
        <v>1291</v>
      </c>
      <c r="C159" s="10">
        <v>0.83680555555555547</v>
      </c>
      <c r="D159" s="10" t="s">
        <v>42</v>
      </c>
      <c r="E159" s="10" t="s">
        <v>115</v>
      </c>
      <c r="F159" s="10" t="s">
        <v>516</v>
      </c>
      <c r="G159" s="328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9"/>
    </row>
    <row r="160" spans="1:18" ht="15" customHeight="1" x14ac:dyDescent="0.3">
      <c r="A160" s="26" t="s">
        <v>36</v>
      </c>
      <c r="B160" s="26" t="s">
        <v>1290</v>
      </c>
      <c r="C160" s="26">
        <v>0.2013888888888889</v>
      </c>
      <c r="D160" s="26" t="s">
        <v>38</v>
      </c>
      <c r="E160" s="26" t="s">
        <v>74</v>
      </c>
      <c r="F160" s="26" t="s">
        <v>1329</v>
      </c>
      <c r="G160" s="32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9"/>
    </row>
    <row r="161" spans="1:18" ht="15" customHeight="1" x14ac:dyDescent="0.3">
      <c r="A161" s="10" t="s">
        <v>36</v>
      </c>
      <c r="B161" s="10" t="s">
        <v>1290</v>
      </c>
      <c r="C161" s="10">
        <v>0.2013888888888889</v>
      </c>
      <c r="D161" s="10" t="s">
        <v>40</v>
      </c>
      <c r="E161" s="10" t="s">
        <v>122</v>
      </c>
      <c r="F161" s="10" t="s">
        <v>436</v>
      </c>
      <c r="G161" s="32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9"/>
    </row>
    <row r="162" spans="1:18" ht="15" customHeight="1" x14ac:dyDescent="0.3">
      <c r="A162" s="10" t="s">
        <v>36</v>
      </c>
      <c r="B162" s="10" t="s">
        <v>1290</v>
      </c>
      <c r="C162" s="10">
        <v>0.2013888888888889</v>
      </c>
      <c r="D162" s="10" t="s">
        <v>42</v>
      </c>
      <c r="E162" s="10" t="s">
        <v>122</v>
      </c>
      <c r="F162" s="10" t="s">
        <v>516</v>
      </c>
      <c r="G162" s="32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9"/>
    </row>
    <row r="163" spans="1:18" ht="15" customHeight="1" x14ac:dyDescent="0.3">
      <c r="A163" s="11" t="s">
        <v>66</v>
      </c>
      <c r="B163" s="11" t="s">
        <v>1297</v>
      </c>
      <c r="C163" s="11">
        <v>0.86458333333333337</v>
      </c>
      <c r="D163" s="11" t="s">
        <v>829</v>
      </c>
      <c r="E163" s="11" t="s">
        <v>47</v>
      </c>
      <c r="F163" s="11" t="s">
        <v>1310</v>
      </c>
      <c r="G163" s="32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9"/>
    </row>
    <row r="164" spans="1:18" ht="15" customHeight="1" x14ac:dyDescent="0.3">
      <c r="A164" s="26" t="s">
        <v>66</v>
      </c>
      <c r="B164" s="26" t="s">
        <v>1299</v>
      </c>
      <c r="C164" s="26">
        <v>0.52777777777777779</v>
      </c>
      <c r="D164" s="26" t="s">
        <v>829</v>
      </c>
      <c r="E164" s="26" t="s">
        <v>71</v>
      </c>
      <c r="F164" s="26" t="s">
        <v>1310</v>
      </c>
      <c r="G164" s="32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9"/>
    </row>
    <row r="165" spans="1:18" ht="15" customHeight="1" x14ac:dyDescent="0.3">
      <c r="A165" s="26" t="s">
        <v>66</v>
      </c>
      <c r="B165" s="26" t="s">
        <v>1300</v>
      </c>
      <c r="C165" s="26">
        <v>0.1701388888888889</v>
      </c>
      <c r="D165" s="26" t="s">
        <v>829</v>
      </c>
      <c r="E165" s="26" t="s">
        <v>71</v>
      </c>
      <c r="F165" s="26" t="s">
        <v>1310</v>
      </c>
      <c r="G165" s="32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9"/>
    </row>
    <row r="166" spans="1:18" ht="15" customHeight="1" x14ac:dyDescent="0.3">
      <c r="A166" s="11" t="s">
        <v>410</v>
      </c>
      <c r="B166" s="11" t="s">
        <v>1292</v>
      </c>
      <c r="C166" s="11">
        <v>0.89583333333333337</v>
      </c>
      <c r="D166" s="11" t="s">
        <v>46</v>
      </c>
      <c r="E166" s="11" t="s">
        <v>47</v>
      </c>
      <c r="F166" s="11" t="s">
        <v>1293</v>
      </c>
      <c r="G166" s="32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9"/>
    </row>
    <row r="167" spans="1:18" ht="15" customHeight="1" x14ac:dyDescent="0.3">
      <c r="A167" s="139" t="s">
        <v>44</v>
      </c>
      <c r="B167" s="139" t="s">
        <v>1294</v>
      </c>
      <c r="C167" s="139">
        <v>0.92361111111111116</v>
      </c>
      <c r="D167" s="139" t="s">
        <v>46</v>
      </c>
      <c r="E167" s="139" t="s">
        <v>47</v>
      </c>
      <c r="F167" s="139" t="s">
        <v>873</v>
      </c>
      <c r="G167" s="328"/>
      <c r="H167" s="194" t="s">
        <v>1295</v>
      </c>
      <c r="I167" s="200">
        <v>0.11899999999999999</v>
      </c>
      <c r="J167" s="196">
        <v>20</v>
      </c>
      <c r="K167" s="197" t="s">
        <v>590</v>
      </c>
      <c r="L167" s="196">
        <v>1</v>
      </c>
      <c r="M167" s="196">
        <v>0</v>
      </c>
      <c r="N167" s="196">
        <v>0</v>
      </c>
      <c r="O167" s="197" t="s">
        <v>353</v>
      </c>
      <c r="P167" s="197">
        <v>0.92361111111111116</v>
      </c>
      <c r="Q167" s="196">
        <v>168</v>
      </c>
      <c r="R167" s="198" t="s">
        <v>1330</v>
      </c>
    </row>
    <row r="168" spans="1:18" ht="15" customHeight="1" x14ac:dyDescent="0.3">
      <c r="A168" s="50" t="s">
        <v>78</v>
      </c>
      <c r="B168" s="50" t="s">
        <v>1301</v>
      </c>
      <c r="C168" s="50">
        <v>0.30555555555555552</v>
      </c>
      <c r="D168" s="50" t="s">
        <v>83</v>
      </c>
      <c r="E168" s="50" t="s">
        <v>29</v>
      </c>
      <c r="F168" s="50" t="s">
        <v>1308</v>
      </c>
      <c r="G168" s="328"/>
      <c r="H168" s="28"/>
      <c r="I168" s="29"/>
      <c r="J168" s="29"/>
      <c r="K168" s="29"/>
      <c r="L168" s="29"/>
      <c r="M168" s="29"/>
      <c r="N168" s="29"/>
      <c r="O168" s="29"/>
      <c r="P168" s="29"/>
      <c r="Q168" s="29"/>
      <c r="R168" s="30"/>
    </row>
    <row r="169" spans="1:18" ht="17.399999999999999" customHeight="1" x14ac:dyDescent="0.3">
      <c r="A169" s="360"/>
      <c r="B169" s="361"/>
      <c r="C169" s="361"/>
      <c r="D169" s="361"/>
      <c r="E169" s="361"/>
      <c r="F169" s="361"/>
      <c r="G169" s="361"/>
      <c r="H169" s="361"/>
      <c r="I169" s="361"/>
      <c r="J169" s="361"/>
      <c r="K169" s="361"/>
      <c r="L169" s="361"/>
      <c r="M169" s="361"/>
      <c r="N169" s="361"/>
      <c r="O169" s="361"/>
      <c r="P169" s="361"/>
      <c r="Q169" s="361"/>
      <c r="R169" s="362"/>
    </row>
    <row r="170" spans="1:18" ht="22.05" customHeight="1" x14ac:dyDescent="0.3">
      <c r="A170" s="323" t="s">
        <v>6</v>
      </c>
      <c r="B170" s="324"/>
      <c r="C170" s="324"/>
      <c r="D170" s="324"/>
      <c r="E170" s="324"/>
      <c r="F170" s="324"/>
      <c r="G170" s="2">
        <v>45998</v>
      </c>
      <c r="H170" s="323" t="s">
        <v>7</v>
      </c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</row>
    <row r="171" spans="1:18" ht="24" customHeight="1" x14ac:dyDescent="0.3">
      <c r="A171" s="3" t="s">
        <v>8</v>
      </c>
      <c r="B171" s="3" t="s">
        <v>9</v>
      </c>
      <c r="C171" s="3" t="s">
        <v>10</v>
      </c>
      <c r="D171" s="3" t="s">
        <v>11</v>
      </c>
      <c r="E171" s="3" t="s">
        <v>12</v>
      </c>
      <c r="F171" s="4" t="s">
        <v>13</v>
      </c>
      <c r="G171" s="5" t="s">
        <v>14</v>
      </c>
      <c r="H171" s="3" t="s">
        <v>15</v>
      </c>
      <c r="I171" s="3" t="s">
        <v>16</v>
      </c>
      <c r="J171" s="3" t="s">
        <v>17</v>
      </c>
      <c r="K171" s="3" t="s">
        <v>18</v>
      </c>
      <c r="L171" s="3" t="s">
        <v>19</v>
      </c>
      <c r="M171" s="3" t="s">
        <v>20</v>
      </c>
      <c r="N171" s="3" t="s">
        <v>21</v>
      </c>
      <c r="O171" s="3" t="s">
        <v>22</v>
      </c>
      <c r="P171" s="3" t="s">
        <v>23</v>
      </c>
      <c r="Q171" s="3" t="s">
        <v>24</v>
      </c>
      <c r="R171" s="3" t="s">
        <v>25</v>
      </c>
    </row>
    <row r="172" spans="1:18" ht="15" customHeight="1" x14ac:dyDescent="0.3">
      <c r="A172" s="6" t="s">
        <v>26</v>
      </c>
      <c r="B172" s="6" t="s">
        <v>1289</v>
      </c>
      <c r="C172" s="6">
        <v>0.30555555555555552</v>
      </c>
      <c r="D172" s="6" t="s">
        <v>28</v>
      </c>
      <c r="E172" s="6" t="s">
        <v>134</v>
      </c>
      <c r="F172" s="6" t="s">
        <v>1216</v>
      </c>
      <c r="G172" s="32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9"/>
    </row>
    <row r="173" spans="1:18" ht="15" customHeight="1" x14ac:dyDescent="0.3">
      <c r="A173" s="10" t="s">
        <v>26</v>
      </c>
      <c r="B173" s="10" t="s">
        <v>1289</v>
      </c>
      <c r="C173" s="10">
        <v>0.30555555555555552</v>
      </c>
      <c r="D173" s="10" t="s">
        <v>31</v>
      </c>
      <c r="E173" s="10" t="s">
        <v>136</v>
      </c>
      <c r="F173" s="10" t="s">
        <v>440</v>
      </c>
      <c r="G173" s="32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9"/>
    </row>
    <row r="174" spans="1:18" ht="15" customHeight="1" x14ac:dyDescent="0.3">
      <c r="A174" s="10" t="s">
        <v>26</v>
      </c>
      <c r="B174" s="10" t="s">
        <v>1289</v>
      </c>
      <c r="C174" s="10">
        <v>0.30555555555555552</v>
      </c>
      <c r="D174" s="10" t="s">
        <v>34</v>
      </c>
      <c r="E174" s="10" t="s">
        <v>136</v>
      </c>
      <c r="F174" s="10" t="s">
        <v>147</v>
      </c>
      <c r="G174" s="32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9"/>
    </row>
    <row r="175" spans="1:18" ht="15" customHeight="1" x14ac:dyDescent="0.3">
      <c r="A175" s="11" t="s">
        <v>36</v>
      </c>
      <c r="B175" s="11" t="s">
        <v>1291</v>
      </c>
      <c r="C175" s="11">
        <v>0.83680555555555547</v>
      </c>
      <c r="D175" s="11" t="s">
        <v>38</v>
      </c>
      <c r="E175" s="11" t="s">
        <v>132</v>
      </c>
      <c r="F175" s="11" t="s">
        <v>1329</v>
      </c>
      <c r="G175" s="32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9"/>
    </row>
    <row r="176" spans="1:18" ht="15" customHeight="1" x14ac:dyDescent="0.3">
      <c r="A176" s="10" t="s">
        <v>36</v>
      </c>
      <c r="B176" s="10" t="s">
        <v>1291</v>
      </c>
      <c r="C176" s="10">
        <v>0.83680555555555547</v>
      </c>
      <c r="D176" s="10" t="s">
        <v>40</v>
      </c>
      <c r="E176" s="10" t="s">
        <v>115</v>
      </c>
      <c r="F176" s="10" t="s">
        <v>436</v>
      </c>
      <c r="G176" s="32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9"/>
    </row>
    <row r="177" spans="1:18" ht="15" customHeight="1" x14ac:dyDescent="0.3">
      <c r="A177" s="10" t="s">
        <v>36</v>
      </c>
      <c r="B177" s="10" t="s">
        <v>1291</v>
      </c>
      <c r="C177" s="10">
        <v>0.83680555555555547</v>
      </c>
      <c r="D177" s="10" t="s">
        <v>42</v>
      </c>
      <c r="E177" s="10" t="s">
        <v>115</v>
      </c>
      <c r="F177" s="10" t="s">
        <v>516</v>
      </c>
      <c r="G177" s="32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9"/>
    </row>
    <row r="178" spans="1:18" ht="15" customHeight="1" x14ac:dyDescent="0.3">
      <c r="A178" s="11" t="s">
        <v>404</v>
      </c>
      <c r="B178" s="11" t="s">
        <v>1313</v>
      </c>
      <c r="C178" s="11">
        <v>0.22222222222222221</v>
      </c>
      <c r="D178" s="11" t="s">
        <v>46</v>
      </c>
      <c r="E178" s="11" t="s">
        <v>47</v>
      </c>
      <c r="F178" s="11" t="s">
        <v>1304</v>
      </c>
      <c r="G178" s="32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9"/>
    </row>
    <row r="179" spans="1:18" ht="15" customHeight="1" x14ac:dyDescent="0.3">
      <c r="A179" s="11" t="s">
        <v>66</v>
      </c>
      <c r="B179" s="11" t="s">
        <v>1297</v>
      </c>
      <c r="C179" s="11">
        <v>0.86458333333333337</v>
      </c>
      <c r="D179" s="11" t="s">
        <v>829</v>
      </c>
      <c r="E179" s="11" t="s">
        <v>47</v>
      </c>
      <c r="F179" s="11" t="s">
        <v>1310</v>
      </c>
      <c r="G179" s="32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9"/>
    </row>
    <row r="180" spans="1:18" ht="15" customHeight="1" x14ac:dyDescent="0.3">
      <c r="A180" s="26" t="s">
        <v>66</v>
      </c>
      <c r="B180" s="26" t="s">
        <v>1299</v>
      </c>
      <c r="C180" s="26">
        <v>0.52777777777777779</v>
      </c>
      <c r="D180" s="26" t="s">
        <v>829</v>
      </c>
      <c r="E180" s="26" t="s">
        <v>71</v>
      </c>
      <c r="F180" s="26" t="s">
        <v>1310</v>
      </c>
      <c r="G180" s="32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9"/>
    </row>
    <row r="181" spans="1:18" ht="15" customHeight="1" x14ac:dyDescent="0.3">
      <c r="A181" s="26" t="s">
        <v>66</v>
      </c>
      <c r="B181" s="26" t="s">
        <v>1300</v>
      </c>
      <c r="C181" s="26">
        <v>0.1701388888888889</v>
      </c>
      <c r="D181" s="26" t="s">
        <v>829</v>
      </c>
      <c r="E181" s="26" t="s">
        <v>71</v>
      </c>
      <c r="F181" s="26" t="s">
        <v>1310</v>
      </c>
      <c r="G181" s="32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9"/>
    </row>
    <row r="182" spans="1:18" ht="15" customHeight="1" x14ac:dyDescent="0.3">
      <c r="A182" s="11" t="s">
        <v>410</v>
      </c>
      <c r="B182" s="11" t="s">
        <v>1311</v>
      </c>
      <c r="C182" s="11">
        <v>0.95833333333333337</v>
      </c>
      <c r="D182" s="11" t="s">
        <v>46</v>
      </c>
      <c r="E182" s="11" t="s">
        <v>47</v>
      </c>
      <c r="F182" s="11" t="s">
        <v>1293</v>
      </c>
      <c r="G182" s="32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9"/>
    </row>
    <row r="183" spans="1:18" ht="15" customHeight="1" x14ac:dyDescent="0.3">
      <c r="A183" s="50" t="s">
        <v>78</v>
      </c>
      <c r="B183" s="50" t="s">
        <v>1301</v>
      </c>
      <c r="C183" s="50">
        <v>0.30555555555555552</v>
      </c>
      <c r="D183" s="50" t="s">
        <v>83</v>
      </c>
      <c r="E183" s="50" t="s">
        <v>29</v>
      </c>
      <c r="F183" s="50" t="s">
        <v>1308</v>
      </c>
      <c r="G183" s="328"/>
      <c r="H183" s="28"/>
      <c r="I183" s="29"/>
      <c r="J183" s="29"/>
      <c r="K183" s="29"/>
      <c r="L183" s="29"/>
      <c r="M183" s="29"/>
      <c r="N183" s="29"/>
      <c r="O183" s="29"/>
      <c r="P183" s="29"/>
      <c r="Q183" s="29"/>
      <c r="R183" s="30"/>
    </row>
    <row r="184" spans="1:18" ht="17.399999999999999" customHeight="1" x14ac:dyDescent="0.3">
      <c r="A184" s="360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2"/>
    </row>
    <row r="185" spans="1:18" ht="22.05" customHeight="1" x14ac:dyDescent="0.3">
      <c r="A185" s="323" t="s">
        <v>6</v>
      </c>
      <c r="B185" s="324"/>
      <c r="C185" s="324"/>
      <c r="D185" s="324"/>
      <c r="E185" s="324"/>
      <c r="F185" s="324"/>
      <c r="G185" s="2">
        <v>45999</v>
      </c>
      <c r="H185" s="323" t="s">
        <v>7</v>
      </c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</row>
    <row r="186" spans="1:18" ht="24" customHeight="1" x14ac:dyDescent="0.3">
      <c r="A186" s="3" t="s">
        <v>8</v>
      </c>
      <c r="B186" s="3" t="s">
        <v>9</v>
      </c>
      <c r="C186" s="3" t="s">
        <v>10</v>
      </c>
      <c r="D186" s="3" t="s">
        <v>11</v>
      </c>
      <c r="E186" s="3" t="s">
        <v>12</v>
      </c>
      <c r="F186" s="4" t="s">
        <v>13</v>
      </c>
      <c r="G186" s="5" t="s">
        <v>14</v>
      </c>
      <c r="H186" s="3" t="s">
        <v>15</v>
      </c>
      <c r="I186" s="3" t="s">
        <v>16</v>
      </c>
      <c r="J186" s="3" t="s">
        <v>17</v>
      </c>
      <c r="K186" s="3" t="s">
        <v>18</v>
      </c>
      <c r="L186" s="3" t="s">
        <v>19</v>
      </c>
      <c r="M186" s="3" t="s">
        <v>20</v>
      </c>
      <c r="N186" s="3" t="s">
        <v>21</v>
      </c>
      <c r="O186" s="3" t="s">
        <v>22</v>
      </c>
      <c r="P186" s="3" t="s">
        <v>23</v>
      </c>
      <c r="Q186" s="3" t="s">
        <v>24</v>
      </c>
      <c r="R186" s="3" t="s">
        <v>25</v>
      </c>
    </row>
    <row r="187" spans="1:18" ht="49.95" customHeight="1" x14ac:dyDescent="0.3">
      <c r="A187" s="6" t="s">
        <v>66</v>
      </c>
      <c r="B187" s="6" t="s">
        <v>1297</v>
      </c>
      <c r="C187" s="6">
        <v>0.86458333333333337</v>
      </c>
      <c r="D187" s="6" t="s">
        <v>829</v>
      </c>
      <c r="E187" s="6" t="s">
        <v>47</v>
      </c>
      <c r="F187" s="6" t="s">
        <v>1310</v>
      </c>
      <c r="G187" s="328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9"/>
    </row>
    <row r="188" spans="1:18" ht="49.95" customHeight="1" x14ac:dyDescent="0.3">
      <c r="A188" s="26" t="s">
        <v>66</v>
      </c>
      <c r="B188" s="26" t="s">
        <v>1299</v>
      </c>
      <c r="C188" s="26">
        <v>0.52777777777777779</v>
      </c>
      <c r="D188" s="26" t="s">
        <v>829</v>
      </c>
      <c r="E188" s="26" t="s">
        <v>71</v>
      </c>
      <c r="F188" s="26" t="s">
        <v>1310</v>
      </c>
      <c r="G188" s="328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9"/>
    </row>
    <row r="189" spans="1:18" ht="49.95" customHeight="1" x14ac:dyDescent="0.3">
      <c r="A189" s="26" t="s">
        <v>66</v>
      </c>
      <c r="B189" s="26" t="s">
        <v>1300</v>
      </c>
      <c r="C189" s="26">
        <v>0.1701388888888889</v>
      </c>
      <c r="D189" s="26" t="s">
        <v>829</v>
      </c>
      <c r="E189" s="26" t="s">
        <v>71</v>
      </c>
      <c r="F189" s="26" t="s">
        <v>1310</v>
      </c>
      <c r="G189" s="328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9"/>
    </row>
    <row r="190" spans="1:18" ht="49.95" customHeight="1" x14ac:dyDescent="0.3">
      <c r="A190" s="11" t="s">
        <v>410</v>
      </c>
      <c r="B190" s="11" t="s">
        <v>1307</v>
      </c>
      <c r="C190" s="11">
        <v>0.95833333333333337</v>
      </c>
      <c r="D190" s="11" t="s">
        <v>46</v>
      </c>
      <c r="E190" s="11" t="s">
        <v>47</v>
      </c>
      <c r="F190" s="11" t="s">
        <v>1293</v>
      </c>
      <c r="G190" s="328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9"/>
    </row>
    <row r="191" spans="1:18" ht="49.95" customHeight="1" x14ac:dyDescent="0.3">
      <c r="A191" s="50" t="s">
        <v>78</v>
      </c>
      <c r="B191" s="50" t="s">
        <v>1301</v>
      </c>
      <c r="C191" s="50">
        <v>0.30555555555555552</v>
      </c>
      <c r="D191" s="50" t="s">
        <v>83</v>
      </c>
      <c r="E191" s="50" t="s">
        <v>29</v>
      </c>
      <c r="F191" s="50" t="s">
        <v>1308</v>
      </c>
      <c r="G191" s="328"/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30"/>
    </row>
    <row r="192" spans="1:18" ht="17.399999999999999" customHeight="1" x14ac:dyDescent="0.3">
      <c r="A192" s="360"/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1"/>
      <c r="P192" s="361"/>
      <c r="Q192" s="361"/>
      <c r="R192" s="362"/>
    </row>
    <row r="193" spans="1:18" ht="22.05" customHeight="1" x14ac:dyDescent="0.3">
      <c r="A193" s="323" t="s">
        <v>6</v>
      </c>
      <c r="B193" s="324"/>
      <c r="C193" s="324"/>
      <c r="D193" s="324"/>
      <c r="E193" s="324"/>
      <c r="F193" s="324"/>
      <c r="G193" s="2">
        <v>46000</v>
      </c>
      <c r="H193" s="323" t="s">
        <v>7</v>
      </c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</row>
    <row r="194" spans="1:18" ht="24" customHeight="1" x14ac:dyDescent="0.3">
      <c r="A194" s="3" t="s">
        <v>8</v>
      </c>
      <c r="B194" s="3" t="s">
        <v>9</v>
      </c>
      <c r="C194" s="3" t="s">
        <v>10</v>
      </c>
      <c r="D194" s="3" t="s">
        <v>11</v>
      </c>
      <c r="E194" s="3" t="s">
        <v>12</v>
      </c>
      <c r="F194" s="4" t="s">
        <v>13</v>
      </c>
      <c r="G194" s="5" t="s">
        <v>14</v>
      </c>
      <c r="H194" s="3" t="s">
        <v>15</v>
      </c>
      <c r="I194" s="3" t="s">
        <v>16</v>
      </c>
      <c r="J194" s="3" t="s">
        <v>17</v>
      </c>
      <c r="K194" s="3" t="s">
        <v>18</v>
      </c>
      <c r="L194" s="3" t="s">
        <v>19</v>
      </c>
      <c r="M194" s="3" t="s">
        <v>20</v>
      </c>
      <c r="N194" s="3" t="s">
        <v>21</v>
      </c>
      <c r="O194" s="3" t="s">
        <v>22</v>
      </c>
      <c r="P194" s="3" t="s">
        <v>23</v>
      </c>
      <c r="Q194" s="3" t="s">
        <v>24</v>
      </c>
      <c r="R194" s="3" t="s">
        <v>25</v>
      </c>
    </row>
    <row r="195" spans="1:18" ht="15" customHeight="1" x14ac:dyDescent="0.3">
      <c r="A195" s="6" t="s">
        <v>66</v>
      </c>
      <c r="B195" s="6" t="s">
        <v>1297</v>
      </c>
      <c r="C195" s="6">
        <v>0.86458333333333337</v>
      </c>
      <c r="D195" s="6" t="s">
        <v>829</v>
      </c>
      <c r="E195" s="6" t="s">
        <v>47</v>
      </c>
      <c r="F195" s="6" t="s">
        <v>1310</v>
      </c>
      <c r="G195" s="328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9"/>
    </row>
    <row r="196" spans="1:18" ht="15" customHeight="1" x14ac:dyDescent="0.3">
      <c r="A196" s="26" t="s">
        <v>66</v>
      </c>
      <c r="B196" s="26" t="s">
        <v>1299</v>
      </c>
      <c r="C196" s="26">
        <v>0.52777777777777779</v>
      </c>
      <c r="D196" s="26" t="s">
        <v>829</v>
      </c>
      <c r="E196" s="26" t="s">
        <v>71</v>
      </c>
      <c r="F196" s="26" t="s">
        <v>1310</v>
      </c>
      <c r="G196" s="328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9"/>
    </row>
    <row r="197" spans="1:18" ht="15" customHeight="1" x14ac:dyDescent="0.3">
      <c r="A197" s="26" t="s">
        <v>66</v>
      </c>
      <c r="B197" s="26" t="s">
        <v>1300</v>
      </c>
      <c r="C197" s="26">
        <v>0.1701388888888889</v>
      </c>
      <c r="D197" s="26" t="s">
        <v>829</v>
      </c>
      <c r="E197" s="26" t="s">
        <v>71</v>
      </c>
      <c r="F197" s="26" t="s">
        <v>1310</v>
      </c>
      <c r="G197" s="328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9"/>
    </row>
    <row r="198" spans="1:18" ht="15" customHeight="1" x14ac:dyDescent="0.3">
      <c r="A198" s="75" t="s">
        <v>44</v>
      </c>
      <c r="B198" s="75" t="s">
        <v>1294</v>
      </c>
      <c r="C198" s="75">
        <v>0.27083333333333331</v>
      </c>
      <c r="D198" s="75" t="s">
        <v>46</v>
      </c>
      <c r="E198" s="75" t="s">
        <v>47</v>
      </c>
      <c r="F198" s="75" t="s">
        <v>1331</v>
      </c>
      <c r="G198" s="328"/>
      <c r="H198" s="76" t="s">
        <v>1295</v>
      </c>
      <c r="I198" s="208">
        <v>0.20830000000000001</v>
      </c>
      <c r="J198" s="78">
        <v>35</v>
      </c>
      <c r="K198" s="79" t="s">
        <v>50</v>
      </c>
      <c r="L198" s="78">
        <v>8</v>
      </c>
      <c r="M198" s="78">
        <v>0</v>
      </c>
      <c r="N198" s="78">
        <v>1</v>
      </c>
      <c r="O198" s="79" t="s">
        <v>353</v>
      </c>
      <c r="P198" s="79">
        <v>0.27083333333333331</v>
      </c>
      <c r="Q198" s="78">
        <v>168</v>
      </c>
      <c r="R198" s="80" t="s">
        <v>1332</v>
      </c>
    </row>
    <row r="199" spans="1:18" ht="15" customHeight="1" x14ac:dyDescent="0.3">
      <c r="A199" s="11" t="s">
        <v>410</v>
      </c>
      <c r="B199" s="11" t="s">
        <v>1292</v>
      </c>
      <c r="C199" s="11">
        <v>0.95833333333333337</v>
      </c>
      <c r="D199" s="11" t="s">
        <v>46</v>
      </c>
      <c r="E199" s="11" t="s">
        <v>47</v>
      </c>
      <c r="F199" s="11" t="s">
        <v>1293</v>
      </c>
      <c r="G199" s="328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9"/>
    </row>
    <row r="200" spans="1:18" ht="15" customHeight="1" x14ac:dyDescent="0.3">
      <c r="A200" s="50" t="s">
        <v>78</v>
      </c>
      <c r="B200" s="50" t="s">
        <v>1301</v>
      </c>
      <c r="C200" s="50">
        <v>0.30555555555555552</v>
      </c>
      <c r="D200" s="50" t="s">
        <v>83</v>
      </c>
      <c r="E200" s="50" t="s">
        <v>29</v>
      </c>
      <c r="F200" s="50" t="s">
        <v>1320</v>
      </c>
      <c r="G200" s="328"/>
      <c r="H200" s="28"/>
      <c r="I200" s="29"/>
      <c r="J200" s="29"/>
      <c r="K200" s="29"/>
      <c r="L200" s="29"/>
      <c r="M200" s="29"/>
      <c r="N200" s="29"/>
      <c r="O200" s="29"/>
      <c r="P200" s="29"/>
      <c r="Q200" s="29"/>
      <c r="R200" s="30"/>
    </row>
    <row r="201" spans="1:18" ht="17.399999999999999" customHeight="1" x14ac:dyDescent="0.3">
      <c r="A201" s="360"/>
      <c r="B201" s="361"/>
      <c r="C201" s="361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1"/>
      <c r="P201" s="361"/>
      <c r="Q201" s="361"/>
      <c r="R201" s="362"/>
    </row>
    <row r="202" spans="1:18" ht="22.05" customHeight="1" x14ac:dyDescent="0.3">
      <c r="A202" s="323" t="s">
        <v>6</v>
      </c>
      <c r="B202" s="324"/>
      <c r="C202" s="324"/>
      <c r="D202" s="324"/>
      <c r="E202" s="324"/>
      <c r="F202" s="324"/>
      <c r="G202" s="2">
        <v>46001</v>
      </c>
      <c r="H202" s="323" t="s">
        <v>7</v>
      </c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</row>
    <row r="203" spans="1:18" ht="24" customHeight="1" x14ac:dyDescent="0.3">
      <c r="A203" s="3" t="s">
        <v>8</v>
      </c>
      <c r="B203" s="3" t="s">
        <v>9</v>
      </c>
      <c r="C203" s="3" t="s">
        <v>10</v>
      </c>
      <c r="D203" s="3" t="s">
        <v>11</v>
      </c>
      <c r="E203" s="3" t="s">
        <v>12</v>
      </c>
      <c r="F203" s="4" t="s">
        <v>13</v>
      </c>
      <c r="G203" s="5" t="s">
        <v>14</v>
      </c>
      <c r="H203" s="3" t="s">
        <v>15</v>
      </c>
      <c r="I203" s="3" t="s">
        <v>16</v>
      </c>
      <c r="J203" s="3" t="s">
        <v>17</v>
      </c>
      <c r="K203" s="3" t="s">
        <v>18</v>
      </c>
      <c r="L203" s="3" t="s">
        <v>19</v>
      </c>
      <c r="M203" s="3" t="s">
        <v>20</v>
      </c>
      <c r="N203" s="3" t="s">
        <v>21</v>
      </c>
      <c r="O203" s="3" t="s">
        <v>22</v>
      </c>
      <c r="P203" s="3" t="s">
        <v>23</v>
      </c>
      <c r="Q203" s="3" t="s">
        <v>24</v>
      </c>
      <c r="R203" s="3" t="s">
        <v>25</v>
      </c>
    </row>
    <row r="204" spans="1:18" ht="15" customHeight="1" x14ac:dyDescent="0.3">
      <c r="A204" s="6" t="s">
        <v>404</v>
      </c>
      <c r="B204" s="6" t="s">
        <v>1303</v>
      </c>
      <c r="C204" s="6">
        <v>9.0277777777777776E-2</v>
      </c>
      <c r="D204" s="6" t="s">
        <v>46</v>
      </c>
      <c r="E204" s="6" t="s">
        <v>314</v>
      </c>
      <c r="F204" s="6" t="s">
        <v>1304</v>
      </c>
      <c r="G204" s="328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9"/>
    </row>
    <row r="205" spans="1:18" ht="15" customHeight="1" x14ac:dyDescent="0.3">
      <c r="A205" s="11" t="s">
        <v>66</v>
      </c>
      <c r="B205" s="11" t="s">
        <v>1297</v>
      </c>
      <c r="C205" s="11">
        <v>0.86458333333333337</v>
      </c>
      <c r="D205" s="11" t="s">
        <v>829</v>
      </c>
      <c r="E205" s="11" t="s">
        <v>47</v>
      </c>
      <c r="F205" s="11" t="s">
        <v>1310</v>
      </c>
      <c r="G205" s="328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9"/>
    </row>
    <row r="206" spans="1:18" ht="15" customHeight="1" x14ac:dyDescent="0.3">
      <c r="A206" s="26" t="s">
        <v>66</v>
      </c>
      <c r="B206" s="26" t="s">
        <v>1299</v>
      </c>
      <c r="C206" s="26">
        <v>0.52777777777777779</v>
      </c>
      <c r="D206" s="26" t="s">
        <v>829</v>
      </c>
      <c r="E206" s="26" t="s">
        <v>71</v>
      </c>
      <c r="F206" s="26" t="s">
        <v>1310</v>
      </c>
      <c r="G206" s="328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9"/>
    </row>
    <row r="207" spans="1:18" ht="15" customHeight="1" x14ac:dyDescent="0.3">
      <c r="A207" s="26" t="s">
        <v>66</v>
      </c>
      <c r="B207" s="26" t="s">
        <v>1300</v>
      </c>
      <c r="C207" s="26">
        <v>0.1701388888888889</v>
      </c>
      <c r="D207" s="26" t="s">
        <v>829</v>
      </c>
      <c r="E207" s="26" t="s">
        <v>71</v>
      </c>
      <c r="F207" s="26" t="s">
        <v>1310</v>
      </c>
      <c r="G207" s="328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9"/>
    </row>
    <row r="208" spans="1:18" ht="15" customHeight="1" x14ac:dyDescent="0.3">
      <c r="A208" s="11" t="s">
        <v>410</v>
      </c>
      <c r="B208" s="11" t="s">
        <v>1307</v>
      </c>
      <c r="C208" s="11">
        <v>0.89583333333333337</v>
      </c>
      <c r="D208" s="11" t="s">
        <v>46</v>
      </c>
      <c r="E208" s="11" t="s">
        <v>47</v>
      </c>
      <c r="F208" s="11" t="s">
        <v>1293</v>
      </c>
      <c r="G208" s="328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9"/>
    </row>
    <row r="209" spans="1:18" ht="15" customHeight="1" x14ac:dyDescent="0.3">
      <c r="A209" s="50" t="s">
        <v>78</v>
      </c>
      <c r="B209" s="50" t="s">
        <v>1301</v>
      </c>
      <c r="C209" s="50">
        <v>0.30555555555555552</v>
      </c>
      <c r="D209" s="50" t="s">
        <v>83</v>
      </c>
      <c r="E209" s="50" t="s">
        <v>29</v>
      </c>
      <c r="F209" s="50" t="s">
        <v>1302</v>
      </c>
      <c r="G209" s="328"/>
      <c r="H209" s="28"/>
      <c r="I209" s="29"/>
      <c r="J209" s="29"/>
      <c r="K209" s="29"/>
      <c r="L209" s="29"/>
      <c r="M209" s="29"/>
      <c r="N209" s="29"/>
      <c r="O209" s="29"/>
      <c r="P209" s="29"/>
      <c r="Q209" s="29"/>
      <c r="R209" s="30"/>
    </row>
  </sheetData>
  <mergeCells count="70">
    <mergeCell ref="A201:R201"/>
    <mergeCell ref="H170:R170"/>
    <mergeCell ref="G39:G47"/>
    <mergeCell ref="A103:F103"/>
    <mergeCell ref="H86:R86"/>
    <mergeCell ref="G187:G191"/>
    <mergeCell ref="A169:R169"/>
    <mergeCell ref="G142:G153"/>
    <mergeCell ref="H185:R185"/>
    <mergeCell ref="A65:F65"/>
    <mergeCell ref="G195:G200"/>
    <mergeCell ref="A202:F202"/>
    <mergeCell ref="G204:G209"/>
    <mergeCell ref="K2:R2"/>
    <mergeCell ref="A102:R102"/>
    <mergeCell ref="A111:R111"/>
    <mergeCell ref="H37:R37"/>
    <mergeCell ref="H75:R75"/>
    <mergeCell ref="G172:G183"/>
    <mergeCell ref="H22:R22"/>
    <mergeCell ref="H155:R155"/>
    <mergeCell ref="A48:R48"/>
    <mergeCell ref="A49:F49"/>
    <mergeCell ref="H65:R65"/>
    <mergeCell ref="G67:G73"/>
    <mergeCell ref="A64:R64"/>
    <mergeCell ref="H202:R202"/>
    <mergeCell ref="G88:G101"/>
    <mergeCell ref="H193:R193"/>
    <mergeCell ref="A2:F2"/>
    <mergeCell ref="A3:R3"/>
    <mergeCell ref="A21:R21"/>
    <mergeCell ref="A129:F129"/>
    <mergeCell ref="A139:R139"/>
    <mergeCell ref="A154:R154"/>
    <mergeCell ref="A192:R192"/>
    <mergeCell ref="G77:G84"/>
    <mergeCell ref="A185:F185"/>
    <mergeCell ref="A85:R85"/>
    <mergeCell ref="A22:F22"/>
    <mergeCell ref="G2:J2"/>
    <mergeCell ref="H49:R49"/>
    <mergeCell ref="H1:L1"/>
    <mergeCell ref="A1:E1"/>
    <mergeCell ref="H112:R112"/>
    <mergeCell ref="H103:R103"/>
    <mergeCell ref="H4:R4"/>
    <mergeCell ref="A74:R74"/>
    <mergeCell ref="A86:F86"/>
    <mergeCell ref="A4:F4"/>
    <mergeCell ref="G6:G20"/>
    <mergeCell ref="N1:R1"/>
    <mergeCell ref="A112:F112"/>
    <mergeCell ref="G51:G63"/>
    <mergeCell ref="A36:R36"/>
    <mergeCell ref="G24:G35"/>
    <mergeCell ref="G131:G138"/>
    <mergeCell ref="G114:G127"/>
    <mergeCell ref="G105:G110"/>
    <mergeCell ref="A193:F193"/>
    <mergeCell ref="A37:F37"/>
    <mergeCell ref="A75:F75"/>
    <mergeCell ref="A128:R128"/>
    <mergeCell ref="H129:R129"/>
    <mergeCell ref="A140:F140"/>
    <mergeCell ref="A184:R184"/>
    <mergeCell ref="A170:F170"/>
    <mergeCell ref="G157:G168"/>
    <mergeCell ref="A155:F155"/>
    <mergeCell ref="H140:R14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1"/>
  <sheetViews>
    <sheetView workbookViewId="0"/>
  </sheetViews>
  <sheetFormatPr defaultRowHeight="15.6" outlineLevelCol="1" x14ac:dyDescent="0.3"/>
  <cols>
    <col min="1" max="1" width="9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9.21875" style="343" bestFit="1" customWidth="1"/>
    <col min="6" max="6" width="4.21875" style="343" bestFit="1" customWidth="1"/>
    <col min="7" max="7" width="10" style="343" bestFit="1" customWidth="1"/>
    <col min="8" max="8" width="8.5546875" style="343" bestFit="1" customWidth="1"/>
    <col min="9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5" width="3.88671875" style="343" bestFit="1" customWidth="1"/>
    <col min="26" max="26" width="4.109375" style="343" bestFit="1" customWidth="1"/>
    <col min="27" max="27" width="4" style="343" bestFit="1" customWidth="1"/>
    <col min="28" max="28" width="4.21875" style="343" bestFit="1" customWidth="1"/>
    <col min="29" max="29" width="3.88671875" style="343" bestFit="1" customWidth="1"/>
    <col min="30" max="30" width="4.5546875" style="343" bestFit="1" customWidth="1"/>
    <col min="31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1295</v>
      </c>
      <c r="D2" s="347" t="s">
        <v>1333</v>
      </c>
      <c r="E2" s="346" t="s">
        <v>1288</v>
      </c>
      <c r="F2" s="346" t="s">
        <v>214</v>
      </c>
      <c r="G2" s="348">
        <v>0.38690000000000002</v>
      </c>
      <c r="H2" s="349">
        <v>168</v>
      </c>
      <c r="I2" s="349">
        <v>65</v>
      </c>
      <c r="J2" s="349">
        <v>0</v>
      </c>
      <c r="K2" s="346" t="s">
        <v>215</v>
      </c>
      <c r="L2" s="350" t="s">
        <v>175</v>
      </c>
      <c r="M2" s="349">
        <v>3</v>
      </c>
      <c r="N2" s="349">
        <v>15</v>
      </c>
      <c r="O2" s="349">
        <v>29</v>
      </c>
      <c r="P2" s="346" t="s">
        <v>646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683</v>
      </c>
      <c r="AA2" s="349" t="s">
        <v>846</v>
      </c>
      <c r="AB2" s="342"/>
      <c r="AC2" s="342"/>
      <c r="AD2" s="342"/>
      <c r="AE2" s="349" t="s">
        <v>286</v>
      </c>
      <c r="AF2" s="349" t="s">
        <v>1334</v>
      </c>
      <c r="AG2" s="342"/>
      <c r="AH2" s="342"/>
      <c r="AI2" s="342"/>
      <c r="AJ2" s="342"/>
    </row>
    <row r="3" spans="1:36" x14ac:dyDescent="0.3">
      <c r="A3" s="344" t="s">
        <v>240</v>
      </c>
      <c r="B3" s="345">
        <v>45988</v>
      </c>
      <c r="C3" s="346" t="s">
        <v>1295</v>
      </c>
      <c r="D3" s="347" t="s">
        <v>1249</v>
      </c>
      <c r="E3" s="346" t="s">
        <v>1288</v>
      </c>
      <c r="F3" s="346" t="s">
        <v>214</v>
      </c>
      <c r="G3" s="348">
        <v>0.23810000000000001</v>
      </c>
      <c r="H3" s="349">
        <v>168</v>
      </c>
      <c r="I3" s="349">
        <v>40</v>
      </c>
      <c r="J3" s="349">
        <v>0</v>
      </c>
      <c r="K3" s="346" t="s">
        <v>215</v>
      </c>
      <c r="L3" s="350" t="s">
        <v>50</v>
      </c>
      <c r="M3" s="349">
        <v>0</v>
      </c>
      <c r="N3" s="349">
        <v>5</v>
      </c>
      <c r="O3" s="349">
        <v>15</v>
      </c>
      <c r="P3" s="346" t="s">
        <v>353</v>
      </c>
      <c r="Q3" s="342"/>
      <c r="R3" s="342"/>
      <c r="S3" s="342"/>
      <c r="T3" s="342"/>
      <c r="U3" s="342"/>
      <c r="V3" s="342"/>
      <c r="W3" s="342"/>
      <c r="X3" s="349" t="s">
        <v>216</v>
      </c>
      <c r="Y3" s="342"/>
      <c r="Z3" s="349" t="s">
        <v>333</v>
      </c>
      <c r="AA3" s="349" t="s">
        <v>259</v>
      </c>
      <c r="AB3" s="342"/>
      <c r="AC3" s="349" t="s">
        <v>279</v>
      </c>
      <c r="AD3" s="349" t="s">
        <v>262</v>
      </c>
      <c r="AE3" s="349" t="s">
        <v>586</v>
      </c>
      <c r="AF3" s="349" t="s">
        <v>769</v>
      </c>
      <c r="AG3" s="342"/>
      <c r="AH3" s="342"/>
      <c r="AI3" s="342"/>
      <c r="AJ3" s="342"/>
    </row>
    <row r="4" spans="1:36" x14ac:dyDescent="0.3">
      <c r="A4" s="344" t="s">
        <v>724</v>
      </c>
      <c r="B4" s="345">
        <v>45989</v>
      </c>
      <c r="C4" s="346" t="s">
        <v>1295</v>
      </c>
      <c r="D4" s="347" t="s">
        <v>1335</v>
      </c>
      <c r="E4" s="346" t="s">
        <v>1288</v>
      </c>
      <c r="F4" s="346" t="s">
        <v>214</v>
      </c>
      <c r="G4" s="348">
        <v>0.29759999999999998</v>
      </c>
      <c r="H4" s="349">
        <v>168</v>
      </c>
      <c r="I4" s="349">
        <v>50</v>
      </c>
      <c r="J4" s="349">
        <v>0</v>
      </c>
      <c r="K4" s="346" t="s">
        <v>215</v>
      </c>
      <c r="L4" s="350" t="s">
        <v>175</v>
      </c>
      <c r="M4" s="349">
        <v>2</v>
      </c>
      <c r="N4" s="349">
        <v>1</v>
      </c>
      <c r="O4" s="349">
        <v>17</v>
      </c>
      <c r="P4" s="346" t="s">
        <v>347</v>
      </c>
      <c r="Q4" s="342"/>
      <c r="R4" s="342"/>
      <c r="S4" s="342"/>
      <c r="T4" s="342"/>
      <c r="U4" s="342"/>
      <c r="V4" s="342"/>
      <c r="W4" s="342"/>
      <c r="X4" s="342"/>
      <c r="Y4" s="349" t="s">
        <v>257</v>
      </c>
      <c r="Z4" s="349" t="s">
        <v>234</v>
      </c>
      <c r="AA4" s="349" t="s">
        <v>705</v>
      </c>
      <c r="AB4" s="342"/>
      <c r="AC4" s="342"/>
      <c r="AD4" s="342"/>
      <c r="AE4" s="349" t="s">
        <v>346</v>
      </c>
      <c r="AF4" s="349" t="s">
        <v>1336</v>
      </c>
      <c r="AG4" s="342"/>
      <c r="AH4" s="342"/>
      <c r="AI4" s="342"/>
      <c r="AJ4" s="342"/>
    </row>
    <row r="5" spans="1:36" x14ac:dyDescent="0.3">
      <c r="A5" s="344" t="s">
        <v>248</v>
      </c>
      <c r="B5" s="345">
        <v>45990</v>
      </c>
      <c r="C5" s="346" t="s">
        <v>1295</v>
      </c>
      <c r="D5" s="347" t="s">
        <v>1249</v>
      </c>
      <c r="E5" s="346" t="s">
        <v>1288</v>
      </c>
      <c r="F5" s="346" t="s">
        <v>214</v>
      </c>
      <c r="G5" s="348">
        <v>0.17860000000000001</v>
      </c>
      <c r="H5" s="349">
        <v>168</v>
      </c>
      <c r="I5" s="349">
        <v>30</v>
      </c>
      <c r="J5" s="349">
        <v>0</v>
      </c>
      <c r="K5" s="346" t="s">
        <v>215</v>
      </c>
      <c r="L5" s="350" t="s">
        <v>433</v>
      </c>
      <c r="M5" s="349">
        <v>0</v>
      </c>
      <c r="N5" s="349">
        <v>0</v>
      </c>
      <c r="O5" s="349">
        <v>1</v>
      </c>
      <c r="P5" s="346" t="s">
        <v>353</v>
      </c>
      <c r="Q5" s="342"/>
      <c r="R5" s="342"/>
      <c r="S5" s="342"/>
      <c r="T5" s="342"/>
      <c r="U5" s="342"/>
      <c r="V5" s="342"/>
      <c r="W5" s="342"/>
      <c r="X5" s="349" t="s">
        <v>243</v>
      </c>
      <c r="Y5" s="349" t="s">
        <v>682</v>
      </c>
      <c r="Z5" s="349" t="s">
        <v>774</v>
      </c>
      <c r="AA5" s="349" t="s">
        <v>1337</v>
      </c>
      <c r="AB5" s="342"/>
      <c r="AC5" s="342"/>
      <c r="AD5" s="349" t="s">
        <v>277</v>
      </c>
      <c r="AE5" s="342"/>
      <c r="AF5" s="349" t="s">
        <v>730</v>
      </c>
      <c r="AG5" s="342"/>
      <c r="AH5" s="342"/>
      <c r="AI5" s="342"/>
      <c r="AJ5" s="342"/>
    </row>
    <row r="6" spans="1:36" x14ac:dyDescent="0.3">
      <c r="A6" s="344" t="s">
        <v>212</v>
      </c>
      <c r="B6" s="345">
        <v>45993</v>
      </c>
      <c r="C6" s="346" t="s">
        <v>1295</v>
      </c>
      <c r="D6" s="347" t="s">
        <v>1333</v>
      </c>
      <c r="E6" s="346" t="s">
        <v>1288</v>
      </c>
      <c r="F6" s="346" t="s">
        <v>214</v>
      </c>
      <c r="G6" s="348">
        <v>0.29759999999999998</v>
      </c>
      <c r="H6" s="349">
        <v>168</v>
      </c>
      <c r="I6" s="349">
        <v>50</v>
      </c>
      <c r="J6" s="349">
        <v>0</v>
      </c>
      <c r="K6" s="346" t="s">
        <v>215</v>
      </c>
      <c r="L6" s="350" t="s">
        <v>175</v>
      </c>
      <c r="M6" s="349">
        <v>2</v>
      </c>
      <c r="N6" s="349">
        <v>1</v>
      </c>
      <c r="O6" s="349">
        <v>17</v>
      </c>
      <c r="P6" s="346" t="s">
        <v>286</v>
      </c>
      <c r="Q6" s="342"/>
      <c r="R6" s="342"/>
      <c r="S6" s="342"/>
      <c r="T6" s="342"/>
      <c r="U6" s="342"/>
      <c r="V6" s="342"/>
      <c r="W6" s="342"/>
      <c r="X6" s="342"/>
      <c r="Y6" s="342"/>
      <c r="Z6" s="349" t="s">
        <v>352</v>
      </c>
      <c r="AA6" s="342"/>
      <c r="AB6" s="349" t="s">
        <v>924</v>
      </c>
      <c r="AC6" s="349" t="s">
        <v>334</v>
      </c>
      <c r="AD6" s="349" t="s">
        <v>643</v>
      </c>
      <c r="AE6" s="349" t="s">
        <v>263</v>
      </c>
      <c r="AF6" s="349" t="s">
        <v>764</v>
      </c>
      <c r="AG6" s="342"/>
      <c r="AH6" s="342"/>
      <c r="AI6" s="342"/>
      <c r="AJ6" s="342"/>
    </row>
    <row r="7" spans="1:36" x14ac:dyDescent="0.3">
      <c r="A7" s="344" t="s">
        <v>240</v>
      </c>
      <c r="B7" s="345">
        <v>45995</v>
      </c>
      <c r="C7" s="346" t="s">
        <v>1295</v>
      </c>
      <c r="D7" s="347" t="s">
        <v>1249</v>
      </c>
      <c r="E7" s="346" t="s">
        <v>1288</v>
      </c>
      <c r="F7" s="346" t="s">
        <v>214</v>
      </c>
      <c r="G7" s="348">
        <v>0.27379999999999999</v>
      </c>
      <c r="H7" s="349">
        <v>168</v>
      </c>
      <c r="I7" s="349">
        <v>46</v>
      </c>
      <c r="J7" s="349">
        <v>0</v>
      </c>
      <c r="K7" s="346" t="s">
        <v>215</v>
      </c>
      <c r="L7" s="350" t="s">
        <v>175</v>
      </c>
      <c r="M7" s="349">
        <v>1</v>
      </c>
      <c r="N7" s="349">
        <v>2</v>
      </c>
      <c r="O7" s="349">
        <v>13</v>
      </c>
      <c r="P7" s="346" t="s">
        <v>335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258</v>
      </c>
      <c r="AA7" s="349" t="s">
        <v>695</v>
      </c>
      <c r="AB7" s="349" t="s">
        <v>225</v>
      </c>
      <c r="AC7" s="349" t="s">
        <v>235</v>
      </c>
      <c r="AD7" s="349" t="s">
        <v>262</v>
      </c>
      <c r="AE7" s="349" t="s">
        <v>394</v>
      </c>
      <c r="AF7" s="349" t="s">
        <v>390</v>
      </c>
      <c r="AG7" s="342"/>
      <c r="AH7" s="342"/>
      <c r="AI7" s="342"/>
      <c r="AJ7" s="342"/>
    </row>
    <row r="8" spans="1:36" x14ac:dyDescent="0.3">
      <c r="A8" s="344" t="s">
        <v>724</v>
      </c>
      <c r="B8" s="345">
        <v>45996</v>
      </c>
      <c r="C8" s="346" t="s">
        <v>1295</v>
      </c>
      <c r="D8" s="347" t="s">
        <v>1335</v>
      </c>
      <c r="E8" s="346" t="s">
        <v>1288</v>
      </c>
      <c r="F8" s="346" t="s">
        <v>214</v>
      </c>
      <c r="G8" s="348">
        <v>0.33929999999999999</v>
      </c>
      <c r="H8" s="349">
        <v>168</v>
      </c>
      <c r="I8" s="349">
        <v>57</v>
      </c>
      <c r="J8" s="349">
        <v>0</v>
      </c>
      <c r="K8" s="346" t="s">
        <v>215</v>
      </c>
      <c r="L8" s="350" t="s">
        <v>50</v>
      </c>
      <c r="M8" s="349">
        <v>0</v>
      </c>
      <c r="N8" s="349">
        <v>1</v>
      </c>
      <c r="O8" s="349">
        <v>12</v>
      </c>
      <c r="P8" s="346" t="s">
        <v>586</v>
      </c>
      <c r="Q8" s="342"/>
      <c r="R8" s="342"/>
      <c r="S8" s="342"/>
      <c r="T8" s="342"/>
      <c r="U8" s="342"/>
      <c r="V8" s="342"/>
      <c r="W8" s="342"/>
      <c r="X8" s="342"/>
      <c r="Y8" s="342"/>
      <c r="Z8" s="349" t="s">
        <v>264</v>
      </c>
      <c r="AA8" s="342"/>
      <c r="AB8" s="342"/>
      <c r="AC8" s="349" t="s">
        <v>329</v>
      </c>
      <c r="AD8" s="349" t="s">
        <v>227</v>
      </c>
      <c r="AE8" s="349" t="s">
        <v>346</v>
      </c>
      <c r="AF8" s="349" t="s">
        <v>764</v>
      </c>
      <c r="AG8" s="342"/>
      <c r="AH8" s="342"/>
      <c r="AI8" s="342"/>
      <c r="AJ8" s="342"/>
    </row>
    <row r="9" spans="1:36" x14ac:dyDescent="0.3">
      <c r="A9" s="344" t="s">
        <v>248</v>
      </c>
      <c r="B9" s="345">
        <v>45997</v>
      </c>
      <c r="C9" s="346" t="s">
        <v>1295</v>
      </c>
      <c r="D9" s="347" t="s">
        <v>1249</v>
      </c>
      <c r="E9" s="346" t="s">
        <v>1288</v>
      </c>
      <c r="F9" s="346" t="s">
        <v>214</v>
      </c>
      <c r="G9" s="348">
        <v>0.11899999999999999</v>
      </c>
      <c r="H9" s="349">
        <v>168</v>
      </c>
      <c r="I9" s="349">
        <v>20</v>
      </c>
      <c r="J9" s="349">
        <v>0</v>
      </c>
      <c r="K9" s="346" t="s">
        <v>215</v>
      </c>
      <c r="L9" s="350" t="s">
        <v>590</v>
      </c>
      <c r="M9" s="349">
        <v>0</v>
      </c>
      <c r="N9" s="349">
        <v>0</v>
      </c>
      <c r="O9" s="349">
        <v>1</v>
      </c>
      <c r="P9" s="346" t="s">
        <v>353</v>
      </c>
      <c r="Q9" s="342"/>
      <c r="R9" s="342"/>
      <c r="S9" s="342"/>
      <c r="T9" s="342"/>
      <c r="U9" s="342"/>
      <c r="V9" s="342"/>
      <c r="W9" s="342"/>
      <c r="X9" s="342"/>
      <c r="Y9" s="342"/>
      <c r="Z9" s="349" t="s">
        <v>244</v>
      </c>
      <c r="AA9" s="342"/>
      <c r="AB9" s="342"/>
      <c r="AC9" s="342"/>
      <c r="AD9" s="349" t="s">
        <v>266</v>
      </c>
      <c r="AE9" s="349" t="s">
        <v>646</v>
      </c>
      <c r="AF9" s="349" t="s">
        <v>353</v>
      </c>
      <c r="AG9" s="342"/>
      <c r="AH9" s="342"/>
      <c r="AI9" s="342"/>
      <c r="AJ9" s="342"/>
    </row>
    <row r="10" spans="1:36" x14ac:dyDescent="0.3">
      <c r="A10" s="344" t="s">
        <v>212</v>
      </c>
      <c r="B10" s="345">
        <v>46000</v>
      </c>
      <c r="C10" s="346" t="s">
        <v>1295</v>
      </c>
      <c r="D10" s="347" t="s">
        <v>1333</v>
      </c>
      <c r="E10" s="346" t="s">
        <v>1288</v>
      </c>
      <c r="F10" s="346" t="s">
        <v>214</v>
      </c>
      <c r="G10" s="348">
        <v>0.20830000000000001</v>
      </c>
      <c r="H10" s="349">
        <v>168</v>
      </c>
      <c r="I10" s="349">
        <v>35</v>
      </c>
      <c r="J10" s="349">
        <v>0</v>
      </c>
      <c r="K10" s="346" t="s">
        <v>215</v>
      </c>
      <c r="L10" s="350" t="s">
        <v>50</v>
      </c>
      <c r="M10" s="349">
        <v>0</v>
      </c>
      <c r="N10" s="349">
        <v>1</v>
      </c>
      <c r="O10" s="349">
        <v>8</v>
      </c>
      <c r="P10" s="346" t="s">
        <v>353</v>
      </c>
      <c r="Q10" s="342"/>
      <c r="R10" s="342"/>
      <c r="S10" s="342"/>
      <c r="T10" s="342"/>
      <c r="U10" s="342"/>
      <c r="V10" s="342"/>
      <c r="W10" s="342"/>
      <c r="X10" s="342"/>
      <c r="Y10" s="342"/>
      <c r="Z10" s="349" t="s">
        <v>774</v>
      </c>
      <c r="AA10" s="342"/>
      <c r="AB10" s="342"/>
      <c r="AC10" s="349" t="s">
        <v>334</v>
      </c>
      <c r="AD10" s="349" t="s">
        <v>262</v>
      </c>
      <c r="AE10" s="349" t="s">
        <v>586</v>
      </c>
      <c r="AF10" s="349" t="s">
        <v>1009</v>
      </c>
      <c r="AG10" s="342"/>
      <c r="AH10" s="342"/>
      <c r="AI10" s="342"/>
      <c r="AJ10" s="342"/>
    </row>
    <row r="11" spans="1:36" ht="21" x14ac:dyDescent="0.3">
      <c r="A11" s="351" t="s">
        <v>1574</v>
      </c>
      <c r="B11" s="352"/>
      <c r="C11" s="351">
        <f>SUBTOTAL(103,DMM_CAI_LF_LEGACY[Flt])</f>
        <v>9</v>
      </c>
      <c r="D11" s="351"/>
      <c r="E11" s="351">
        <f>SUBTOTAL(103,DMM_CAI_LF_LEGACY[Brd-Off])</f>
        <v>9</v>
      </c>
      <c r="F11" s="351"/>
      <c r="G11" s="353">
        <f>SUBTOTAL(101,DMM_CAI_LF_LEGACY[LF%])</f>
        <v>0.25991111111111115</v>
      </c>
      <c r="H11" s="354">
        <f>SUBTOTAL(109,DMM_CAI_LF_LEGACY[CAP])</f>
        <v>1512</v>
      </c>
      <c r="I11" s="354">
        <f>SUBTOTAL(109,DMM_CAI_LF_LEGACY[BKG(Y)])</f>
        <v>393</v>
      </c>
      <c r="J11" s="354">
        <f>SUBTOTAL(109,DMM_CAI_LF_LEGACY[GRP(Y)])</f>
        <v>0</v>
      </c>
      <c r="K11" s="351"/>
      <c r="L11" s="352"/>
      <c r="M11" s="354">
        <f>SUBTOTAL(109,DMM_CAI_LF_LEGACY[TO-DAY])</f>
        <v>8</v>
      </c>
      <c r="N11" s="354">
        <f>SUBTOTAL(109,DMM_CAI_LF_LEGACY[Y-DAY])</f>
        <v>26</v>
      </c>
      <c r="O11" s="354">
        <f>SUBTOTAL(109,DMM_CAI_LF_LEGACY[WEEKLY])</f>
        <v>113</v>
      </c>
      <c r="P11" s="355"/>
      <c r="Q11" s="354">
        <f>SUBTOTAL(109,DMM_CAI_LF_LEGACY[Y])</f>
        <v>0</v>
      </c>
      <c r="R11" s="354">
        <f>SUBTOTAL(109,DMM_CAI_LF_LEGACY[B])</f>
        <v>0</v>
      </c>
      <c r="S11" s="354">
        <f>SUBTOTAL(109,DMM_CAI_LF_LEGACY[M])</f>
        <v>0</v>
      </c>
      <c r="T11" s="354">
        <f>SUBTOTAL(109,DMM_CAI_LF_LEGACY[H])</f>
        <v>0</v>
      </c>
      <c r="U11" s="354">
        <f>SUBTOTAL(109,DMM_CAI_LF_LEGACY[Q])</f>
        <v>0</v>
      </c>
      <c r="V11" s="354">
        <f>SUBTOTAL(109,DMM_CAI_LF_LEGACY[K])</f>
        <v>0</v>
      </c>
      <c r="W11" s="354">
        <f>SUBTOTAL(109,DMM_CAI_LF_LEGACY[V])</f>
        <v>0</v>
      </c>
      <c r="X11" s="354">
        <f>SUBTOTAL(109,DMM_CAI_LF_LEGACY[L])</f>
        <v>0</v>
      </c>
      <c r="Y11" s="354">
        <f>SUBTOTAL(109,DMM_CAI_LF_LEGACY[G])</f>
        <v>0</v>
      </c>
      <c r="Z11" s="354">
        <f>SUBTOTAL(109,DMM_CAI_LF_LEGACY[S])</f>
        <v>0</v>
      </c>
      <c r="AA11" s="354">
        <f>SUBTOTAL(109,DMM_CAI_LF_LEGACY[W])</f>
        <v>0</v>
      </c>
      <c r="AB11" s="354">
        <f>SUBTOTAL(109,DMM_CAI_LF_LEGACY[T])</f>
        <v>0</v>
      </c>
      <c r="AC11" s="354">
        <f>SUBTOTAL(109,DMM_CAI_LF_LEGACY[X])</f>
        <v>0</v>
      </c>
      <c r="AD11" s="354">
        <f>SUBTOTAL(109,DMM_CAI_LF_LEGACY[U])</f>
        <v>0</v>
      </c>
      <c r="AE11" s="354">
        <f>SUBTOTAL(109,DMM_CAI_LF_LEGACY[O])</f>
        <v>0</v>
      </c>
      <c r="AF11" s="354">
        <f>SUBTOTAL(109,DMM_CAI_LF_LEGACY[I])</f>
        <v>0</v>
      </c>
      <c r="AG11" s="354">
        <f>SUBTOTAL(109,DMM_CAI_LF_LEGACY[E])</f>
        <v>0</v>
      </c>
      <c r="AH11" s="354">
        <f>SUBTOTAL(109,DMM_CAI_LF_LEGACY[A])</f>
        <v>0</v>
      </c>
      <c r="AI11" s="354">
        <f>SUBTOTAL(109,DMM_CAI_LF_LEGACY[P])</f>
        <v>0</v>
      </c>
      <c r="AJ11" s="354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6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8.66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26</v>
      </c>
      <c r="C2" s="95" t="s">
        <v>1289</v>
      </c>
      <c r="D2" s="94" t="s">
        <v>1288</v>
      </c>
      <c r="E2" s="94" t="s">
        <v>1261</v>
      </c>
      <c r="F2" s="94" t="s">
        <v>28</v>
      </c>
      <c r="G2" s="96">
        <v>2</v>
      </c>
      <c r="H2" s="97">
        <v>369</v>
      </c>
      <c r="I2" s="88"/>
    </row>
    <row r="3" spans="1:9" ht="19.8" customHeight="1" x14ac:dyDescent="0.3">
      <c r="A3" s="93" t="s">
        <v>292</v>
      </c>
      <c r="B3" s="94" t="s">
        <v>36</v>
      </c>
      <c r="C3" s="95" t="s">
        <v>1290</v>
      </c>
      <c r="D3" s="94" t="s">
        <v>1288</v>
      </c>
      <c r="E3" s="94" t="s">
        <v>1338</v>
      </c>
      <c r="F3" s="94" t="s">
        <v>38</v>
      </c>
      <c r="G3" s="96">
        <v>9</v>
      </c>
      <c r="H3" s="97">
        <v>379</v>
      </c>
      <c r="I3" s="88"/>
    </row>
    <row r="4" spans="1:9" ht="19.8" customHeight="1" x14ac:dyDescent="0.3">
      <c r="A4" s="93" t="s">
        <v>292</v>
      </c>
      <c r="B4" s="94" t="s">
        <v>36</v>
      </c>
      <c r="C4" s="95" t="s">
        <v>1291</v>
      </c>
      <c r="D4" s="94" t="s">
        <v>1288</v>
      </c>
      <c r="E4" s="94" t="s">
        <v>1339</v>
      </c>
      <c r="F4" s="94" t="s">
        <v>38</v>
      </c>
      <c r="G4" s="96">
        <v>1</v>
      </c>
      <c r="H4" s="97">
        <v>409</v>
      </c>
      <c r="I4" s="88"/>
    </row>
    <row r="5" spans="1:9" ht="19.8" customHeight="1" x14ac:dyDescent="0.3">
      <c r="A5" s="93" t="s">
        <v>292</v>
      </c>
      <c r="B5" s="94" t="s">
        <v>410</v>
      </c>
      <c r="C5" s="95" t="s">
        <v>1292</v>
      </c>
      <c r="D5" s="94" t="s">
        <v>1288</v>
      </c>
      <c r="E5" s="94" t="s">
        <v>1340</v>
      </c>
      <c r="F5" s="94" t="s">
        <v>46</v>
      </c>
      <c r="G5" s="96">
        <v>9</v>
      </c>
      <c r="H5" s="97">
        <v>439</v>
      </c>
      <c r="I5" s="88"/>
    </row>
    <row r="6" spans="1:9" ht="19.8" customHeight="1" x14ac:dyDescent="0.3">
      <c r="A6" s="98" t="s">
        <v>292</v>
      </c>
      <c r="B6" s="99" t="s">
        <v>44</v>
      </c>
      <c r="C6" s="100" t="s">
        <v>1294</v>
      </c>
      <c r="D6" s="99" t="s">
        <v>1288</v>
      </c>
      <c r="E6" s="99" t="s">
        <v>1333</v>
      </c>
      <c r="F6" s="99" t="s">
        <v>46</v>
      </c>
      <c r="G6" s="101">
        <v>2</v>
      </c>
      <c r="H6" s="102">
        <v>455</v>
      </c>
      <c r="I6" s="88"/>
    </row>
    <row r="7" spans="1:9" ht="19.8" customHeight="1" x14ac:dyDescent="0.3">
      <c r="A7" s="103">
        <v>45986</v>
      </c>
      <c r="B7" s="94" t="s">
        <v>36</v>
      </c>
      <c r="C7" s="95" t="s">
        <v>1290</v>
      </c>
      <c r="D7" s="94" t="s">
        <v>1288</v>
      </c>
      <c r="E7" s="104">
        <v>1.197916666666667</v>
      </c>
      <c r="F7" s="94" t="s">
        <v>40</v>
      </c>
      <c r="G7" s="96">
        <v>9</v>
      </c>
      <c r="H7" s="97">
        <v>479</v>
      </c>
      <c r="I7" s="88"/>
    </row>
    <row r="8" spans="1:9" ht="19.8" customHeight="1" x14ac:dyDescent="0.3">
      <c r="A8" s="103">
        <v>45986</v>
      </c>
      <c r="B8" s="94" t="s">
        <v>36</v>
      </c>
      <c r="C8" s="95" t="s">
        <v>1291</v>
      </c>
      <c r="D8" s="94" t="s">
        <v>1288</v>
      </c>
      <c r="E8" s="104">
        <v>1.833333333333333</v>
      </c>
      <c r="F8" s="94" t="s">
        <v>40</v>
      </c>
      <c r="G8" s="96">
        <v>1</v>
      </c>
      <c r="H8" s="97">
        <v>509</v>
      </c>
      <c r="I8" s="88"/>
    </row>
    <row r="9" spans="1:9" ht="19.8" customHeight="1" x14ac:dyDescent="0.3">
      <c r="A9" s="103">
        <v>45986</v>
      </c>
      <c r="B9" s="94" t="s">
        <v>26</v>
      </c>
      <c r="C9" s="95" t="s">
        <v>1289</v>
      </c>
      <c r="D9" s="94" t="s">
        <v>1288</v>
      </c>
      <c r="E9" s="104">
        <v>1.305555555555556</v>
      </c>
      <c r="F9" s="94" t="s">
        <v>31</v>
      </c>
      <c r="G9" s="96">
        <v>2</v>
      </c>
      <c r="H9" s="97">
        <v>519</v>
      </c>
      <c r="I9" s="88"/>
    </row>
    <row r="10" spans="1:9" ht="19.8" customHeight="1" x14ac:dyDescent="0.3">
      <c r="A10" s="103">
        <v>45986</v>
      </c>
      <c r="B10" s="94" t="s">
        <v>36</v>
      </c>
      <c r="C10" s="95" t="s">
        <v>1290</v>
      </c>
      <c r="D10" s="94" t="s">
        <v>1288</v>
      </c>
      <c r="E10" s="104">
        <v>1.197916666666667</v>
      </c>
      <c r="F10" s="94" t="s">
        <v>42</v>
      </c>
      <c r="G10" s="96">
        <v>9</v>
      </c>
      <c r="H10" s="97">
        <v>569</v>
      </c>
      <c r="I10" s="88"/>
    </row>
    <row r="11" spans="1:9" ht="19.8" customHeight="1" x14ac:dyDescent="0.3">
      <c r="A11" s="103">
        <v>45986</v>
      </c>
      <c r="B11" s="94" t="s">
        <v>66</v>
      </c>
      <c r="C11" s="95" t="s">
        <v>1297</v>
      </c>
      <c r="D11" s="94" t="s">
        <v>1288</v>
      </c>
      <c r="E11" s="104">
        <v>1.864583333333333</v>
      </c>
      <c r="F11" s="94" t="s">
        <v>68</v>
      </c>
      <c r="G11" s="96">
        <v>9</v>
      </c>
      <c r="H11" s="97">
        <v>583</v>
      </c>
      <c r="I11" s="88"/>
    </row>
    <row r="12" spans="1:9" ht="19.8" customHeight="1" x14ac:dyDescent="0.3">
      <c r="A12" s="103">
        <v>45986</v>
      </c>
      <c r="B12" s="94" t="s">
        <v>66</v>
      </c>
      <c r="C12" s="95" t="s">
        <v>1299</v>
      </c>
      <c r="D12" s="94" t="s">
        <v>1288</v>
      </c>
      <c r="E12" s="104">
        <v>1.5277777777777779</v>
      </c>
      <c r="F12" s="94" t="s">
        <v>68</v>
      </c>
      <c r="G12" s="96">
        <v>9</v>
      </c>
      <c r="H12" s="97">
        <v>583</v>
      </c>
      <c r="I12" s="88"/>
    </row>
    <row r="13" spans="1:9" ht="19.8" customHeight="1" x14ac:dyDescent="0.3">
      <c r="A13" s="103">
        <v>45986</v>
      </c>
      <c r="B13" s="94" t="s">
        <v>36</v>
      </c>
      <c r="C13" s="95" t="s">
        <v>1291</v>
      </c>
      <c r="D13" s="94" t="s">
        <v>1288</v>
      </c>
      <c r="E13" s="104">
        <v>1.833333333333333</v>
      </c>
      <c r="F13" s="94" t="s">
        <v>42</v>
      </c>
      <c r="G13" s="96">
        <v>1</v>
      </c>
      <c r="H13" s="97">
        <v>599</v>
      </c>
      <c r="I13" s="88"/>
    </row>
    <row r="14" spans="1:9" ht="19.8" customHeight="1" x14ac:dyDescent="0.3">
      <c r="A14" s="103">
        <v>45986</v>
      </c>
      <c r="B14" s="94" t="s">
        <v>66</v>
      </c>
      <c r="C14" s="95" t="s">
        <v>1300</v>
      </c>
      <c r="D14" s="94" t="s">
        <v>1288</v>
      </c>
      <c r="E14" s="104">
        <v>1.1701388888888891</v>
      </c>
      <c r="F14" s="94" t="s">
        <v>68</v>
      </c>
      <c r="G14" s="96">
        <v>9</v>
      </c>
      <c r="H14" s="97">
        <v>682</v>
      </c>
      <c r="I14" s="88"/>
    </row>
    <row r="15" spans="1:9" ht="19.8" customHeight="1" x14ac:dyDescent="0.3">
      <c r="A15" s="103">
        <v>45986</v>
      </c>
      <c r="B15" s="94" t="s">
        <v>26</v>
      </c>
      <c r="C15" s="95" t="s">
        <v>1289</v>
      </c>
      <c r="D15" s="94" t="s">
        <v>1288</v>
      </c>
      <c r="E15" s="104">
        <v>1.305555555555556</v>
      </c>
      <c r="F15" s="94" t="s">
        <v>34</v>
      </c>
      <c r="G15" s="96">
        <v>2</v>
      </c>
      <c r="H15" s="97">
        <v>899</v>
      </c>
      <c r="I15" s="88"/>
    </row>
    <row r="16" spans="1:9" ht="19.8" customHeight="1" x14ac:dyDescent="0.3">
      <c r="A16" s="113">
        <v>45986</v>
      </c>
      <c r="B16" s="114" t="s">
        <v>78</v>
      </c>
      <c r="C16" s="115" t="s">
        <v>1301</v>
      </c>
      <c r="D16" s="114" t="s">
        <v>1288</v>
      </c>
      <c r="E16" s="116">
        <v>1.305555555555556</v>
      </c>
      <c r="F16" s="114" t="s">
        <v>83</v>
      </c>
      <c r="G16" s="117">
        <v>4</v>
      </c>
      <c r="H16" s="118" t="s">
        <v>1302</v>
      </c>
      <c r="I16" s="88"/>
    </row>
    <row r="17" spans="1:9" ht="19.8" customHeight="1" x14ac:dyDescent="0.3">
      <c r="A17" s="103">
        <v>45987</v>
      </c>
      <c r="B17" s="94" t="s">
        <v>26</v>
      </c>
      <c r="C17" s="95" t="s">
        <v>1289</v>
      </c>
      <c r="D17" s="94" t="s">
        <v>1288</v>
      </c>
      <c r="E17" s="104">
        <v>1.305555555555556</v>
      </c>
      <c r="F17" s="94" t="s">
        <v>28</v>
      </c>
      <c r="G17" s="96">
        <v>8</v>
      </c>
      <c r="H17" s="97">
        <v>339</v>
      </c>
      <c r="I17" s="88"/>
    </row>
    <row r="18" spans="1:9" ht="19.8" customHeight="1" x14ac:dyDescent="0.3">
      <c r="A18" s="103">
        <v>45987</v>
      </c>
      <c r="B18" s="94" t="s">
        <v>404</v>
      </c>
      <c r="C18" s="95" t="s">
        <v>1303</v>
      </c>
      <c r="D18" s="94" t="s">
        <v>1288</v>
      </c>
      <c r="E18" s="104">
        <v>1.0902777777777779</v>
      </c>
      <c r="F18" s="94" t="s">
        <v>46</v>
      </c>
      <c r="G18" s="96">
        <v>9</v>
      </c>
      <c r="H18" s="97">
        <v>371</v>
      </c>
      <c r="I18" s="88"/>
    </row>
    <row r="19" spans="1:9" ht="19.8" customHeight="1" x14ac:dyDescent="0.3">
      <c r="A19" s="103">
        <v>45987</v>
      </c>
      <c r="B19" s="94" t="s">
        <v>66</v>
      </c>
      <c r="C19" s="95" t="s">
        <v>1300</v>
      </c>
      <c r="D19" s="94" t="s">
        <v>1288</v>
      </c>
      <c r="E19" s="104">
        <v>1.1701388888888891</v>
      </c>
      <c r="F19" s="94" t="s">
        <v>829</v>
      </c>
      <c r="G19" s="96">
        <v>9</v>
      </c>
      <c r="H19" s="97">
        <v>415</v>
      </c>
      <c r="I19" s="88"/>
    </row>
    <row r="20" spans="1:9" ht="19.8" customHeight="1" x14ac:dyDescent="0.3">
      <c r="A20" s="103">
        <v>45987</v>
      </c>
      <c r="B20" s="94" t="s">
        <v>36</v>
      </c>
      <c r="C20" s="95" t="s">
        <v>1291</v>
      </c>
      <c r="D20" s="94" t="s">
        <v>1288</v>
      </c>
      <c r="E20" s="104">
        <v>1.833333333333333</v>
      </c>
      <c r="F20" s="94" t="s">
        <v>38</v>
      </c>
      <c r="G20" s="96">
        <v>9</v>
      </c>
      <c r="H20" s="97">
        <v>439</v>
      </c>
      <c r="I20" s="88"/>
    </row>
    <row r="21" spans="1:9" ht="19.8" customHeight="1" x14ac:dyDescent="0.3">
      <c r="A21" s="103">
        <v>45987</v>
      </c>
      <c r="B21" s="94" t="s">
        <v>410</v>
      </c>
      <c r="C21" s="95" t="s">
        <v>1307</v>
      </c>
      <c r="D21" s="94" t="s">
        <v>1288</v>
      </c>
      <c r="E21" s="104">
        <v>1.895833333333333</v>
      </c>
      <c r="F21" s="94" t="s">
        <v>46</v>
      </c>
      <c r="G21" s="96">
        <v>9</v>
      </c>
      <c r="H21" s="97">
        <v>439</v>
      </c>
      <c r="I21" s="88"/>
    </row>
    <row r="22" spans="1:9" ht="19.8" customHeight="1" x14ac:dyDescent="0.3">
      <c r="A22" s="103">
        <v>45987</v>
      </c>
      <c r="B22" s="94" t="s">
        <v>26</v>
      </c>
      <c r="C22" s="95" t="s">
        <v>1289</v>
      </c>
      <c r="D22" s="94" t="s">
        <v>1288</v>
      </c>
      <c r="E22" s="104">
        <v>1.305555555555556</v>
      </c>
      <c r="F22" s="94" t="s">
        <v>31</v>
      </c>
      <c r="G22" s="96">
        <v>8</v>
      </c>
      <c r="H22" s="97">
        <v>489</v>
      </c>
      <c r="I22" s="88"/>
    </row>
    <row r="23" spans="1:9" ht="19.8" customHeight="1" x14ac:dyDescent="0.3">
      <c r="A23" s="103">
        <v>45987</v>
      </c>
      <c r="B23" s="94" t="s">
        <v>36</v>
      </c>
      <c r="C23" s="95" t="s">
        <v>1291</v>
      </c>
      <c r="D23" s="94" t="s">
        <v>1288</v>
      </c>
      <c r="E23" s="104">
        <v>1.833333333333333</v>
      </c>
      <c r="F23" s="94" t="s">
        <v>40</v>
      </c>
      <c r="G23" s="96">
        <v>9</v>
      </c>
      <c r="H23" s="97">
        <v>539</v>
      </c>
      <c r="I23" s="88"/>
    </row>
    <row r="24" spans="1:9" ht="19.8" customHeight="1" x14ac:dyDescent="0.3">
      <c r="A24" s="103">
        <v>45987</v>
      </c>
      <c r="B24" s="94" t="s">
        <v>66</v>
      </c>
      <c r="C24" s="95" t="s">
        <v>1297</v>
      </c>
      <c r="D24" s="94" t="s">
        <v>1288</v>
      </c>
      <c r="E24" s="104">
        <v>1.864583333333333</v>
      </c>
      <c r="F24" s="94" t="s">
        <v>68</v>
      </c>
      <c r="G24" s="96">
        <v>9</v>
      </c>
      <c r="H24" s="97">
        <v>583</v>
      </c>
      <c r="I24" s="88"/>
    </row>
    <row r="25" spans="1:9" ht="19.8" customHeight="1" x14ac:dyDescent="0.3">
      <c r="A25" s="103">
        <v>45987</v>
      </c>
      <c r="B25" s="94" t="s">
        <v>36</v>
      </c>
      <c r="C25" s="95" t="s">
        <v>1291</v>
      </c>
      <c r="D25" s="94" t="s">
        <v>1288</v>
      </c>
      <c r="E25" s="104">
        <v>1.833333333333333</v>
      </c>
      <c r="F25" s="94" t="s">
        <v>42</v>
      </c>
      <c r="G25" s="96">
        <v>9</v>
      </c>
      <c r="H25" s="97">
        <v>629</v>
      </c>
      <c r="I25" s="88"/>
    </row>
    <row r="26" spans="1:9" ht="19.8" customHeight="1" x14ac:dyDescent="0.3">
      <c r="A26" s="103">
        <v>45987</v>
      </c>
      <c r="B26" s="94" t="s">
        <v>66</v>
      </c>
      <c r="C26" s="95" t="s">
        <v>1299</v>
      </c>
      <c r="D26" s="94" t="s">
        <v>1288</v>
      </c>
      <c r="E26" s="104">
        <v>1.5277777777777779</v>
      </c>
      <c r="F26" s="94" t="s">
        <v>68</v>
      </c>
      <c r="G26" s="96">
        <v>9</v>
      </c>
      <c r="H26" s="97">
        <v>686</v>
      </c>
      <c r="I26" s="88"/>
    </row>
    <row r="27" spans="1:9" ht="19.8" customHeight="1" x14ac:dyDescent="0.3">
      <c r="A27" s="103">
        <v>45987</v>
      </c>
      <c r="B27" s="94" t="s">
        <v>78</v>
      </c>
      <c r="C27" s="95" t="s">
        <v>1301</v>
      </c>
      <c r="D27" s="94" t="s">
        <v>1288</v>
      </c>
      <c r="E27" s="104">
        <v>1.305555555555556</v>
      </c>
      <c r="F27" s="94" t="s">
        <v>83</v>
      </c>
      <c r="G27" s="96">
        <v>4</v>
      </c>
      <c r="H27" s="107" t="s">
        <v>1308</v>
      </c>
      <c r="I27" s="88"/>
    </row>
    <row r="28" spans="1:9" ht="19.8" customHeight="1" x14ac:dyDescent="0.3">
      <c r="A28" s="113">
        <v>45987</v>
      </c>
      <c r="B28" s="114" t="s">
        <v>26</v>
      </c>
      <c r="C28" s="115" t="s">
        <v>1289</v>
      </c>
      <c r="D28" s="114" t="s">
        <v>1288</v>
      </c>
      <c r="E28" s="116">
        <v>1.305555555555556</v>
      </c>
      <c r="F28" s="114" t="s">
        <v>34</v>
      </c>
      <c r="G28" s="117">
        <v>8</v>
      </c>
      <c r="H28" s="118" t="s">
        <v>147</v>
      </c>
      <c r="I28" s="88"/>
    </row>
    <row r="29" spans="1:9" ht="19.8" customHeight="1" x14ac:dyDescent="0.3">
      <c r="A29" s="103">
        <v>45988</v>
      </c>
      <c r="B29" s="94" t="s">
        <v>404</v>
      </c>
      <c r="C29" s="95" t="s">
        <v>1303</v>
      </c>
      <c r="D29" s="94" t="s">
        <v>1288</v>
      </c>
      <c r="E29" s="104">
        <v>1.8888888888888891</v>
      </c>
      <c r="F29" s="94" t="s">
        <v>46</v>
      </c>
      <c r="G29" s="96">
        <v>8</v>
      </c>
      <c r="H29" s="97">
        <v>371</v>
      </c>
      <c r="I29" s="88"/>
    </row>
    <row r="30" spans="1:9" ht="19.8" customHeight="1" x14ac:dyDescent="0.3">
      <c r="A30" s="103">
        <v>45988</v>
      </c>
      <c r="B30" s="94" t="s">
        <v>404</v>
      </c>
      <c r="C30" s="95" t="s">
        <v>1309</v>
      </c>
      <c r="D30" s="94" t="s">
        <v>1288</v>
      </c>
      <c r="E30" s="104">
        <v>1.2847222222222221</v>
      </c>
      <c r="F30" s="94" t="s">
        <v>46</v>
      </c>
      <c r="G30" s="96">
        <v>9</v>
      </c>
      <c r="H30" s="97">
        <v>371</v>
      </c>
      <c r="I30" s="88"/>
    </row>
    <row r="31" spans="1:9" ht="19.8" customHeight="1" x14ac:dyDescent="0.3">
      <c r="A31" s="103">
        <v>45988</v>
      </c>
      <c r="B31" s="94" t="s">
        <v>66</v>
      </c>
      <c r="C31" s="95" t="s">
        <v>1299</v>
      </c>
      <c r="D31" s="94" t="s">
        <v>1288</v>
      </c>
      <c r="E31" s="104">
        <v>1.5277777777777779</v>
      </c>
      <c r="F31" s="94" t="s">
        <v>829</v>
      </c>
      <c r="G31" s="96">
        <v>9</v>
      </c>
      <c r="H31" s="97">
        <v>411</v>
      </c>
      <c r="I31" s="88"/>
    </row>
    <row r="32" spans="1:9" ht="19.8" customHeight="1" x14ac:dyDescent="0.3">
      <c r="A32" s="103">
        <v>45988</v>
      </c>
      <c r="B32" s="94" t="s">
        <v>66</v>
      </c>
      <c r="C32" s="95" t="s">
        <v>1300</v>
      </c>
      <c r="D32" s="94" t="s">
        <v>1288</v>
      </c>
      <c r="E32" s="104">
        <v>1.1701388888888891</v>
      </c>
      <c r="F32" s="94" t="s">
        <v>829</v>
      </c>
      <c r="G32" s="96">
        <v>9</v>
      </c>
      <c r="H32" s="97">
        <v>415</v>
      </c>
      <c r="I32" s="88"/>
    </row>
    <row r="33" spans="1:9" ht="19.8" customHeight="1" x14ac:dyDescent="0.3">
      <c r="A33" s="103">
        <v>45988</v>
      </c>
      <c r="B33" s="94" t="s">
        <v>410</v>
      </c>
      <c r="C33" s="95" t="s">
        <v>1311</v>
      </c>
      <c r="D33" s="94" t="s">
        <v>1288</v>
      </c>
      <c r="E33" s="104">
        <v>1.5625</v>
      </c>
      <c r="F33" s="94" t="s">
        <v>46</v>
      </c>
      <c r="G33" s="96">
        <v>9</v>
      </c>
      <c r="H33" s="97">
        <v>439</v>
      </c>
      <c r="I33" s="88"/>
    </row>
    <row r="34" spans="1:9" ht="19.8" customHeight="1" x14ac:dyDescent="0.3">
      <c r="A34" s="103">
        <v>45988</v>
      </c>
      <c r="B34" s="94" t="s">
        <v>410</v>
      </c>
      <c r="C34" s="95" t="s">
        <v>1292</v>
      </c>
      <c r="D34" s="94" t="s">
        <v>1288</v>
      </c>
      <c r="E34" s="104">
        <v>1.958333333333333</v>
      </c>
      <c r="F34" s="94" t="s">
        <v>46</v>
      </c>
      <c r="G34" s="96">
        <v>9</v>
      </c>
      <c r="H34" s="97">
        <v>439</v>
      </c>
      <c r="I34" s="88"/>
    </row>
    <row r="35" spans="1:9" ht="19.8" customHeight="1" x14ac:dyDescent="0.3">
      <c r="A35" s="105">
        <v>45988</v>
      </c>
      <c r="B35" s="99" t="s">
        <v>44</v>
      </c>
      <c r="C35" s="100" t="s">
        <v>1294</v>
      </c>
      <c r="D35" s="99" t="s">
        <v>1288</v>
      </c>
      <c r="E35" s="106">
        <v>1.9236111111111109</v>
      </c>
      <c r="F35" s="99" t="s">
        <v>46</v>
      </c>
      <c r="G35" s="101">
        <v>9</v>
      </c>
      <c r="H35" s="102">
        <v>446</v>
      </c>
      <c r="I35" s="88"/>
    </row>
    <row r="36" spans="1:9" ht="19.8" customHeight="1" x14ac:dyDescent="0.3">
      <c r="A36" s="103">
        <v>45988</v>
      </c>
      <c r="B36" s="94" t="s">
        <v>66</v>
      </c>
      <c r="C36" s="95" t="s">
        <v>1297</v>
      </c>
      <c r="D36" s="94" t="s">
        <v>1288</v>
      </c>
      <c r="E36" s="104">
        <v>1.881944444444444</v>
      </c>
      <c r="F36" s="94" t="s">
        <v>68</v>
      </c>
      <c r="G36" s="96">
        <v>9</v>
      </c>
      <c r="H36" s="97">
        <v>583</v>
      </c>
      <c r="I36" s="88"/>
    </row>
    <row r="37" spans="1:9" ht="19.8" customHeight="1" x14ac:dyDescent="0.3">
      <c r="A37" s="113">
        <v>45988</v>
      </c>
      <c r="B37" s="114" t="s">
        <v>78</v>
      </c>
      <c r="C37" s="115" t="s">
        <v>1301</v>
      </c>
      <c r="D37" s="114" t="s">
        <v>1288</v>
      </c>
      <c r="E37" s="116">
        <v>1.305555555555556</v>
      </c>
      <c r="F37" s="114" t="s">
        <v>83</v>
      </c>
      <c r="G37" s="117">
        <v>4</v>
      </c>
      <c r="H37" s="118" t="s">
        <v>1308</v>
      </c>
      <c r="I37" s="88"/>
    </row>
    <row r="38" spans="1:9" ht="19.8" customHeight="1" x14ac:dyDescent="0.3">
      <c r="A38" s="103">
        <v>45989</v>
      </c>
      <c r="B38" s="94" t="s">
        <v>26</v>
      </c>
      <c r="C38" s="95" t="s">
        <v>1289</v>
      </c>
      <c r="D38" s="94" t="s">
        <v>1288</v>
      </c>
      <c r="E38" s="104">
        <v>1.305555555555556</v>
      </c>
      <c r="F38" s="94" t="s">
        <v>28</v>
      </c>
      <c r="G38" s="96">
        <v>9</v>
      </c>
      <c r="H38" s="97">
        <v>339</v>
      </c>
      <c r="I38" s="88"/>
    </row>
    <row r="39" spans="1:9" ht="19.8" customHeight="1" x14ac:dyDescent="0.3">
      <c r="A39" s="103">
        <v>45989</v>
      </c>
      <c r="B39" s="94" t="s">
        <v>404</v>
      </c>
      <c r="C39" s="95" t="s">
        <v>1313</v>
      </c>
      <c r="D39" s="94" t="s">
        <v>1288</v>
      </c>
      <c r="E39" s="104">
        <v>1.1736111111111109</v>
      </c>
      <c r="F39" s="94" t="s">
        <v>46</v>
      </c>
      <c r="G39" s="96">
        <v>9</v>
      </c>
      <c r="H39" s="97">
        <v>371</v>
      </c>
      <c r="I39" s="88"/>
    </row>
    <row r="40" spans="1:9" ht="19.8" customHeight="1" x14ac:dyDescent="0.3">
      <c r="A40" s="103">
        <v>45989</v>
      </c>
      <c r="B40" s="94" t="s">
        <v>36</v>
      </c>
      <c r="C40" s="95" t="s">
        <v>1291</v>
      </c>
      <c r="D40" s="94" t="s">
        <v>1288</v>
      </c>
      <c r="E40" s="104">
        <v>1.833333333333333</v>
      </c>
      <c r="F40" s="94" t="s">
        <v>38</v>
      </c>
      <c r="G40" s="96">
        <v>9</v>
      </c>
      <c r="H40" s="97">
        <v>379</v>
      </c>
      <c r="I40" s="88"/>
    </row>
    <row r="41" spans="1:9" ht="19.8" customHeight="1" x14ac:dyDescent="0.3">
      <c r="A41" s="103">
        <v>45989</v>
      </c>
      <c r="B41" s="94" t="s">
        <v>66</v>
      </c>
      <c r="C41" s="95" t="s">
        <v>1297</v>
      </c>
      <c r="D41" s="94" t="s">
        <v>1288</v>
      </c>
      <c r="E41" s="104">
        <v>1.864583333333333</v>
      </c>
      <c r="F41" s="94" t="s">
        <v>829</v>
      </c>
      <c r="G41" s="96">
        <v>9</v>
      </c>
      <c r="H41" s="97">
        <v>411</v>
      </c>
      <c r="I41" s="88"/>
    </row>
    <row r="42" spans="1:9" ht="19.8" customHeight="1" x14ac:dyDescent="0.3">
      <c r="A42" s="103">
        <v>45989</v>
      </c>
      <c r="B42" s="94" t="s">
        <v>66</v>
      </c>
      <c r="C42" s="95" t="s">
        <v>1300</v>
      </c>
      <c r="D42" s="94" t="s">
        <v>1288</v>
      </c>
      <c r="E42" s="104">
        <v>1.1701388888888891</v>
      </c>
      <c r="F42" s="94" t="s">
        <v>829</v>
      </c>
      <c r="G42" s="96">
        <v>9</v>
      </c>
      <c r="H42" s="97">
        <v>411</v>
      </c>
      <c r="I42" s="88"/>
    </row>
    <row r="43" spans="1:9" ht="19.8" customHeight="1" x14ac:dyDescent="0.3">
      <c r="A43" s="103">
        <v>45989</v>
      </c>
      <c r="B43" s="94" t="s">
        <v>410</v>
      </c>
      <c r="C43" s="95" t="s">
        <v>1307</v>
      </c>
      <c r="D43" s="94" t="s">
        <v>1288</v>
      </c>
      <c r="E43" s="104">
        <v>1.958333333333333</v>
      </c>
      <c r="F43" s="94" t="s">
        <v>46</v>
      </c>
      <c r="G43" s="96">
        <v>9</v>
      </c>
      <c r="H43" s="97">
        <v>439</v>
      </c>
      <c r="I43" s="88"/>
    </row>
    <row r="44" spans="1:9" ht="19.8" customHeight="1" x14ac:dyDescent="0.3">
      <c r="A44" s="105">
        <v>45989</v>
      </c>
      <c r="B44" s="99" t="s">
        <v>44</v>
      </c>
      <c r="C44" s="100" t="s">
        <v>1294</v>
      </c>
      <c r="D44" s="99" t="s">
        <v>1288</v>
      </c>
      <c r="E44" s="106">
        <v>1.5798611111111109</v>
      </c>
      <c r="F44" s="99" t="s">
        <v>46</v>
      </c>
      <c r="G44" s="101">
        <v>8</v>
      </c>
      <c r="H44" s="102">
        <v>446</v>
      </c>
      <c r="I44" s="88"/>
    </row>
    <row r="45" spans="1:9" ht="19.8" customHeight="1" x14ac:dyDescent="0.3">
      <c r="A45" s="103">
        <v>45989</v>
      </c>
      <c r="B45" s="94" t="s">
        <v>36</v>
      </c>
      <c r="C45" s="95" t="s">
        <v>1291</v>
      </c>
      <c r="D45" s="94" t="s">
        <v>1288</v>
      </c>
      <c r="E45" s="104">
        <v>1.833333333333333</v>
      </c>
      <c r="F45" s="94" t="s">
        <v>40</v>
      </c>
      <c r="G45" s="96">
        <v>9</v>
      </c>
      <c r="H45" s="97">
        <v>479</v>
      </c>
      <c r="I45" s="88"/>
    </row>
    <row r="46" spans="1:9" ht="19.8" customHeight="1" x14ac:dyDescent="0.3">
      <c r="A46" s="103">
        <v>45989</v>
      </c>
      <c r="B46" s="94" t="s">
        <v>26</v>
      </c>
      <c r="C46" s="95" t="s">
        <v>1289</v>
      </c>
      <c r="D46" s="94" t="s">
        <v>1288</v>
      </c>
      <c r="E46" s="104">
        <v>1.305555555555556</v>
      </c>
      <c r="F46" s="94" t="s">
        <v>31</v>
      </c>
      <c r="G46" s="96">
        <v>9</v>
      </c>
      <c r="H46" s="97">
        <v>489</v>
      </c>
      <c r="I46" s="88"/>
    </row>
    <row r="47" spans="1:9" ht="19.8" customHeight="1" x14ac:dyDescent="0.3">
      <c r="A47" s="103">
        <v>45989</v>
      </c>
      <c r="B47" s="94" t="s">
        <v>36</v>
      </c>
      <c r="C47" s="95" t="s">
        <v>1291</v>
      </c>
      <c r="D47" s="94" t="s">
        <v>1288</v>
      </c>
      <c r="E47" s="104">
        <v>1.833333333333333</v>
      </c>
      <c r="F47" s="94" t="s">
        <v>42</v>
      </c>
      <c r="G47" s="96">
        <v>9</v>
      </c>
      <c r="H47" s="97">
        <v>569</v>
      </c>
      <c r="I47" s="88"/>
    </row>
    <row r="48" spans="1:9" ht="19.8" customHeight="1" x14ac:dyDescent="0.3">
      <c r="A48" s="103">
        <v>45989</v>
      </c>
      <c r="B48" s="94" t="s">
        <v>66</v>
      </c>
      <c r="C48" s="95" t="s">
        <v>1299</v>
      </c>
      <c r="D48" s="94" t="s">
        <v>1288</v>
      </c>
      <c r="E48" s="104">
        <v>1.5138888888888891</v>
      </c>
      <c r="F48" s="94" t="s">
        <v>68</v>
      </c>
      <c r="G48" s="96">
        <v>9</v>
      </c>
      <c r="H48" s="97">
        <v>587</v>
      </c>
      <c r="I48" s="88"/>
    </row>
    <row r="49" spans="1:9" ht="19.8" customHeight="1" x14ac:dyDescent="0.3">
      <c r="A49" s="103">
        <v>45989</v>
      </c>
      <c r="B49" s="94" t="s">
        <v>26</v>
      </c>
      <c r="C49" s="95" t="s">
        <v>1289</v>
      </c>
      <c r="D49" s="94" t="s">
        <v>1288</v>
      </c>
      <c r="E49" s="104">
        <v>1.305555555555556</v>
      </c>
      <c r="F49" s="94" t="s">
        <v>34</v>
      </c>
      <c r="G49" s="96">
        <v>9</v>
      </c>
      <c r="H49" s="97">
        <v>899</v>
      </c>
      <c r="I49" s="88"/>
    </row>
    <row r="50" spans="1:9" ht="19.8" customHeight="1" x14ac:dyDescent="0.3">
      <c r="A50" s="113">
        <v>45989</v>
      </c>
      <c r="B50" s="114" t="s">
        <v>78</v>
      </c>
      <c r="C50" s="115" t="s">
        <v>1301</v>
      </c>
      <c r="D50" s="114" t="s">
        <v>1288</v>
      </c>
      <c r="E50" s="116">
        <v>1.305555555555556</v>
      </c>
      <c r="F50" s="114" t="s">
        <v>83</v>
      </c>
      <c r="G50" s="117">
        <v>4</v>
      </c>
      <c r="H50" s="118" t="s">
        <v>1308</v>
      </c>
      <c r="I50" s="88"/>
    </row>
    <row r="51" spans="1:9" ht="19.8" customHeight="1" x14ac:dyDescent="0.3">
      <c r="A51" s="103">
        <v>45990</v>
      </c>
      <c r="B51" s="94" t="s">
        <v>404</v>
      </c>
      <c r="C51" s="95" t="s">
        <v>1303</v>
      </c>
      <c r="D51" s="94" t="s">
        <v>1288</v>
      </c>
      <c r="E51" s="104">
        <v>1.1736111111111109</v>
      </c>
      <c r="F51" s="94" t="s">
        <v>46</v>
      </c>
      <c r="G51" s="96">
        <v>9</v>
      </c>
      <c r="H51" s="97">
        <v>371</v>
      </c>
      <c r="I51" s="88"/>
    </row>
    <row r="52" spans="1:9" ht="19.8" customHeight="1" x14ac:dyDescent="0.3">
      <c r="A52" s="103">
        <v>45990</v>
      </c>
      <c r="B52" s="94" t="s">
        <v>66</v>
      </c>
      <c r="C52" s="95" t="s">
        <v>1297</v>
      </c>
      <c r="D52" s="94" t="s">
        <v>1288</v>
      </c>
      <c r="E52" s="104">
        <v>1.864583333333333</v>
      </c>
      <c r="F52" s="94" t="s">
        <v>829</v>
      </c>
      <c r="G52" s="96">
        <v>9</v>
      </c>
      <c r="H52" s="97">
        <v>411</v>
      </c>
      <c r="I52" s="88"/>
    </row>
    <row r="53" spans="1:9" ht="19.8" customHeight="1" x14ac:dyDescent="0.3">
      <c r="A53" s="103">
        <v>45990</v>
      </c>
      <c r="B53" s="94" t="s">
        <v>66</v>
      </c>
      <c r="C53" s="95" t="s">
        <v>1300</v>
      </c>
      <c r="D53" s="94" t="s">
        <v>1288</v>
      </c>
      <c r="E53" s="104">
        <v>1.1701388888888891</v>
      </c>
      <c r="F53" s="94" t="s">
        <v>829</v>
      </c>
      <c r="G53" s="96">
        <v>9</v>
      </c>
      <c r="H53" s="97">
        <v>411</v>
      </c>
      <c r="I53" s="88"/>
    </row>
    <row r="54" spans="1:9" ht="19.8" customHeight="1" x14ac:dyDescent="0.3">
      <c r="A54" s="103">
        <v>45990</v>
      </c>
      <c r="B54" s="94" t="s">
        <v>410</v>
      </c>
      <c r="C54" s="95" t="s">
        <v>1292</v>
      </c>
      <c r="D54" s="94" t="s">
        <v>1288</v>
      </c>
      <c r="E54" s="104">
        <v>1.895833333333333</v>
      </c>
      <c r="F54" s="94" t="s">
        <v>46</v>
      </c>
      <c r="G54" s="96">
        <v>6</v>
      </c>
      <c r="H54" s="97">
        <v>439</v>
      </c>
      <c r="I54" s="88"/>
    </row>
    <row r="55" spans="1:9" ht="19.8" customHeight="1" x14ac:dyDescent="0.3">
      <c r="A55" s="105">
        <v>45990</v>
      </c>
      <c r="B55" s="99" t="s">
        <v>44</v>
      </c>
      <c r="C55" s="100" t="s">
        <v>1294</v>
      </c>
      <c r="D55" s="99" t="s">
        <v>1288</v>
      </c>
      <c r="E55" s="106">
        <v>1.9236111111111109</v>
      </c>
      <c r="F55" s="99" t="s">
        <v>46</v>
      </c>
      <c r="G55" s="101">
        <v>9</v>
      </c>
      <c r="H55" s="102">
        <v>446</v>
      </c>
      <c r="I55" s="88"/>
    </row>
    <row r="56" spans="1:9" ht="19.8" customHeight="1" x14ac:dyDescent="0.3">
      <c r="A56" s="103">
        <v>45990</v>
      </c>
      <c r="B56" s="94" t="s">
        <v>66</v>
      </c>
      <c r="C56" s="95" t="s">
        <v>1299</v>
      </c>
      <c r="D56" s="94" t="s">
        <v>1288</v>
      </c>
      <c r="E56" s="104">
        <v>1.5277777777777779</v>
      </c>
      <c r="F56" s="94" t="s">
        <v>68</v>
      </c>
      <c r="G56" s="96">
        <v>9</v>
      </c>
      <c r="H56" s="97">
        <v>583</v>
      </c>
      <c r="I56" s="88"/>
    </row>
    <row r="57" spans="1:9" ht="19.8" customHeight="1" x14ac:dyDescent="0.3">
      <c r="A57" s="113">
        <v>45990</v>
      </c>
      <c r="B57" s="114" t="s">
        <v>78</v>
      </c>
      <c r="C57" s="115" t="s">
        <v>1301</v>
      </c>
      <c r="D57" s="114" t="s">
        <v>1288</v>
      </c>
      <c r="E57" s="116">
        <v>1.305555555555556</v>
      </c>
      <c r="F57" s="114" t="s">
        <v>83</v>
      </c>
      <c r="G57" s="117">
        <v>4</v>
      </c>
      <c r="H57" s="118" t="s">
        <v>1317</v>
      </c>
      <c r="I57" s="88"/>
    </row>
    <row r="58" spans="1:9" ht="19.8" customHeight="1" x14ac:dyDescent="0.3">
      <c r="A58" s="103">
        <v>45991</v>
      </c>
      <c r="B58" s="94" t="s">
        <v>404</v>
      </c>
      <c r="C58" s="95" t="s">
        <v>1313</v>
      </c>
      <c r="D58" s="94" t="s">
        <v>1288</v>
      </c>
      <c r="E58" s="104">
        <v>1.2152777777777779</v>
      </c>
      <c r="F58" s="94" t="s">
        <v>46</v>
      </c>
      <c r="G58" s="96">
        <v>9</v>
      </c>
      <c r="H58" s="97">
        <v>371</v>
      </c>
      <c r="I58" s="88"/>
    </row>
    <row r="59" spans="1:9" ht="19.8" customHeight="1" x14ac:dyDescent="0.3">
      <c r="A59" s="103">
        <v>45991</v>
      </c>
      <c r="B59" s="94" t="s">
        <v>66</v>
      </c>
      <c r="C59" s="95" t="s">
        <v>1297</v>
      </c>
      <c r="D59" s="94" t="s">
        <v>1288</v>
      </c>
      <c r="E59" s="104">
        <v>1.864583333333333</v>
      </c>
      <c r="F59" s="94" t="s">
        <v>829</v>
      </c>
      <c r="G59" s="96">
        <v>9</v>
      </c>
      <c r="H59" s="97">
        <v>411</v>
      </c>
      <c r="I59" s="88"/>
    </row>
    <row r="60" spans="1:9" ht="19.8" customHeight="1" x14ac:dyDescent="0.3">
      <c r="A60" s="103">
        <v>45991</v>
      </c>
      <c r="B60" s="94" t="s">
        <v>66</v>
      </c>
      <c r="C60" s="95" t="s">
        <v>1299</v>
      </c>
      <c r="D60" s="94" t="s">
        <v>1288</v>
      </c>
      <c r="E60" s="104">
        <v>1.5034722222222221</v>
      </c>
      <c r="F60" s="94" t="s">
        <v>829</v>
      </c>
      <c r="G60" s="96">
        <v>9</v>
      </c>
      <c r="H60" s="97">
        <v>411</v>
      </c>
      <c r="I60" s="88"/>
    </row>
    <row r="61" spans="1:9" ht="19.8" customHeight="1" x14ac:dyDescent="0.3">
      <c r="A61" s="103">
        <v>45991</v>
      </c>
      <c r="B61" s="94" t="s">
        <v>66</v>
      </c>
      <c r="C61" s="95" t="s">
        <v>1300</v>
      </c>
      <c r="D61" s="94" t="s">
        <v>1288</v>
      </c>
      <c r="E61" s="104">
        <v>1.1701388888888891</v>
      </c>
      <c r="F61" s="94" t="s">
        <v>829</v>
      </c>
      <c r="G61" s="96">
        <v>9</v>
      </c>
      <c r="H61" s="97">
        <v>411</v>
      </c>
      <c r="I61" s="88"/>
    </row>
    <row r="62" spans="1:9" ht="19.8" customHeight="1" x14ac:dyDescent="0.3">
      <c r="A62" s="103">
        <v>45991</v>
      </c>
      <c r="B62" s="94" t="s">
        <v>410</v>
      </c>
      <c r="C62" s="95" t="s">
        <v>1318</v>
      </c>
      <c r="D62" s="94" t="s">
        <v>1288</v>
      </c>
      <c r="E62" s="104">
        <v>1.163194444444444</v>
      </c>
      <c r="F62" s="94" t="s">
        <v>46</v>
      </c>
      <c r="G62" s="96">
        <v>9</v>
      </c>
      <c r="H62" s="97">
        <v>439</v>
      </c>
      <c r="I62" s="88"/>
    </row>
    <row r="63" spans="1:9" ht="19.8" customHeight="1" x14ac:dyDescent="0.3">
      <c r="A63" s="103">
        <v>45991</v>
      </c>
      <c r="B63" s="94" t="s">
        <v>410</v>
      </c>
      <c r="C63" s="95" t="s">
        <v>1311</v>
      </c>
      <c r="D63" s="94" t="s">
        <v>1288</v>
      </c>
      <c r="E63" s="104">
        <v>1.958333333333333</v>
      </c>
      <c r="F63" s="94" t="s">
        <v>46</v>
      </c>
      <c r="G63" s="96">
        <v>9</v>
      </c>
      <c r="H63" s="97">
        <v>439</v>
      </c>
      <c r="I63" s="88"/>
    </row>
    <row r="64" spans="1:9" ht="19.8" customHeight="1" x14ac:dyDescent="0.3">
      <c r="A64" s="103">
        <v>45991</v>
      </c>
      <c r="B64" s="94" t="s">
        <v>410</v>
      </c>
      <c r="C64" s="95" t="s">
        <v>1319</v>
      </c>
      <c r="D64" s="94" t="s">
        <v>1288</v>
      </c>
      <c r="E64" s="104">
        <v>1.6840277777777779</v>
      </c>
      <c r="F64" s="94" t="s">
        <v>46</v>
      </c>
      <c r="G64" s="96">
        <v>9</v>
      </c>
      <c r="H64" s="97">
        <v>439</v>
      </c>
      <c r="I64" s="88"/>
    </row>
    <row r="65" spans="1:9" ht="19.8" customHeight="1" x14ac:dyDescent="0.3">
      <c r="A65" s="113">
        <v>45991</v>
      </c>
      <c r="B65" s="114" t="s">
        <v>78</v>
      </c>
      <c r="C65" s="115" t="s">
        <v>1301</v>
      </c>
      <c r="D65" s="114" t="s">
        <v>1288</v>
      </c>
      <c r="E65" s="116">
        <v>1.305555555555556</v>
      </c>
      <c r="F65" s="114" t="s">
        <v>83</v>
      </c>
      <c r="G65" s="117">
        <v>4</v>
      </c>
      <c r="H65" s="118" t="s">
        <v>1320</v>
      </c>
      <c r="I65" s="88"/>
    </row>
    <row r="66" spans="1:9" ht="19.8" customHeight="1" x14ac:dyDescent="0.3">
      <c r="A66" s="103">
        <v>45992</v>
      </c>
      <c r="B66" s="94" t="s">
        <v>26</v>
      </c>
      <c r="C66" s="95" t="s">
        <v>1289</v>
      </c>
      <c r="D66" s="94" t="s">
        <v>1288</v>
      </c>
      <c r="E66" s="104">
        <v>1.305555555555556</v>
      </c>
      <c r="F66" s="94" t="s">
        <v>28</v>
      </c>
      <c r="G66" s="96">
        <v>7</v>
      </c>
      <c r="H66" s="97">
        <v>339</v>
      </c>
      <c r="I66" s="88"/>
    </row>
    <row r="67" spans="1:9" ht="19.8" customHeight="1" x14ac:dyDescent="0.3">
      <c r="A67" s="103">
        <v>45992</v>
      </c>
      <c r="B67" s="94" t="s">
        <v>36</v>
      </c>
      <c r="C67" s="95" t="s">
        <v>1290</v>
      </c>
      <c r="D67" s="94" t="s">
        <v>1288</v>
      </c>
      <c r="E67" s="104">
        <v>1.2013888888888891</v>
      </c>
      <c r="F67" s="94" t="s">
        <v>38</v>
      </c>
      <c r="G67" s="96">
        <v>3</v>
      </c>
      <c r="H67" s="97">
        <v>379</v>
      </c>
      <c r="I67" s="88"/>
    </row>
    <row r="68" spans="1:9" ht="19.8" customHeight="1" x14ac:dyDescent="0.3">
      <c r="A68" s="103">
        <v>45992</v>
      </c>
      <c r="B68" s="94" t="s">
        <v>66</v>
      </c>
      <c r="C68" s="95" t="s">
        <v>1297</v>
      </c>
      <c r="D68" s="94" t="s">
        <v>1288</v>
      </c>
      <c r="E68" s="104">
        <v>1.864583333333333</v>
      </c>
      <c r="F68" s="94" t="s">
        <v>829</v>
      </c>
      <c r="G68" s="96">
        <v>9</v>
      </c>
      <c r="H68" s="97">
        <v>411</v>
      </c>
      <c r="I68" s="88"/>
    </row>
    <row r="69" spans="1:9" ht="19.8" customHeight="1" x14ac:dyDescent="0.3">
      <c r="A69" s="103">
        <v>45992</v>
      </c>
      <c r="B69" s="94" t="s">
        <v>66</v>
      </c>
      <c r="C69" s="95" t="s">
        <v>1299</v>
      </c>
      <c r="D69" s="94" t="s">
        <v>1288</v>
      </c>
      <c r="E69" s="104">
        <v>1.5277777777777779</v>
      </c>
      <c r="F69" s="94" t="s">
        <v>829</v>
      </c>
      <c r="G69" s="96">
        <v>9</v>
      </c>
      <c r="H69" s="97">
        <v>411</v>
      </c>
      <c r="I69" s="88"/>
    </row>
    <row r="70" spans="1:9" ht="19.8" customHeight="1" x14ac:dyDescent="0.3">
      <c r="A70" s="103">
        <v>45992</v>
      </c>
      <c r="B70" s="94" t="s">
        <v>66</v>
      </c>
      <c r="C70" s="95" t="s">
        <v>1300</v>
      </c>
      <c r="D70" s="94" t="s">
        <v>1288</v>
      </c>
      <c r="E70" s="104">
        <v>1.1701388888888891</v>
      </c>
      <c r="F70" s="94" t="s">
        <v>829</v>
      </c>
      <c r="G70" s="96">
        <v>9</v>
      </c>
      <c r="H70" s="97">
        <v>411</v>
      </c>
      <c r="I70" s="88"/>
    </row>
    <row r="71" spans="1:9" ht="19.8" customHeight="1" x14ac:dyDescent="0.3">
      <c r="A71" s="103">
        <v>45992</v>
      </c>
      <c r="B71" s="94" t="s">
        <v>410</v>
      </c>
      <c r="C71" s="95" t="s">
        <v>1307</v>
      </c>
      <c r="D71" s="94" t="s">
        <v>1288</v>
      </c>
      <c r="E71" s="104">
        <v>1.958333333333333</v>
      </c>
      <c r="F71" s="94" t="s">
        <v>46</v>
      </c>
      <c r="G71" s="96">
        <v>9</v>
      </c>
      <c r="H71" s="97">
        <v>439</v>
      </c>
      <c r="I71" s="88"/>
    </row>
    <row r="72" spans="1:9" ht="19.8" customHeight="1" x14ac:dyDescent="0.3">
      <c r="A72" s="103">
        <v>45992</v>
      </c>
      <c r="B72" s="94" t="s">
        <v>36</v>
      </c>
      <c r="C72" s="95" t="s">
        <v>1291</v>
      </c>
      <c r="D72" s="94" t="s">
        <v>1288</v>
      </c>
      <c r="E72" s="104">
        <v>1.836805555555556</v>
      </c>
      <c r="F72" s="94" t="s">
        <v>38</v>
      </c>
      <c r="G72" s="96">
        <v>8</v>
      </c>
      <c r="H72" s="97">
        <v>439</v>
      </c>
      <c r="I72" s="88"/>
    </row>
    <row r="73" spans="1:9" ht="19.8" customHeight="1" x14ac:dyDescent="0.3">
      <c r="A73" s="103">
        <v>45992</v>
      </c>
      <c r="B73" s="94" t="s">
        <v>36</v>
      </c>
      <c r="C73" s="95" t="s">
        <v>1290</v>
      </c>
      <c r="D73" s="94" t="s">
        <v>1288</v>
      </c>
      <c r="E73" s="104">
        <v>1.2013888888888891</v>
      </c>
      <c r="F73" s="94" t="s">
        <v>40</v>
      </c>
      <c r="G73" s="96">
        <v>3</v>
      </c>
      <c r="H73" s="97">
        <v>479</v>
      </c>
      <c r="I73" s="88"/>
    </row>
    <row r="74" spans="1:9" ht="19.8" customHeight="1" x14ac:dyDescent="0.3">
      <c r="A74" s="103">
        <v>45992</v>
      </c>
      <c r="B74" s="94" t="s">
        <v>26</v>
      </c>
      <c r="C74" s="95" t="s">
        <v>1289</v>
      </c>
      <c r="D74" s="94" t="s">
        <v>1288</v>
      </c>
      <c r="E74" s="104">
        <v>1.305555555555556</v>
      </c>
      <c r="F74" s="94" t="s">
        <v>31</v>
      </c>
      <c r="G74" s="96">
        <v>7</v>
      </c>
      <c r="H74" s="97">
        <v>489</v>
      </c>
      <c r="I74" s="88"/>
    </row>
    <row r="75" spans="1:9" ht="19.8" customHeight="1" x14ac:dyDescent="0.3">
      <c r="A75" s="103">
        <v>45992</v>
      </c>
      <c r="B75" s="94" t="s">
        <v>36</v>
      </c>
      <c r="C75" s="95" t="s">
        <v>1291</v>
      </c>
      <c r="D75" s="94" t="s">
        <v>1288</v>
      </c>
      <c r="E75" s="104">
        <v>1.836805555555556</v>
      </c>
      <c r="F75" s="94" t="s">
        <v>40</v>
      </c>
      <c r="G75" s="96">
        <v>8</v>
      </c>
      <c r="H75" s="97">
        <v>539</v>
      </c>
      <c r="I75" s="88"/>
    </row>
    <row r="76" spans="1:9" ht="19.8" customHeight="1" x14ac:dyDescent="0.3">
      <c r="A76" s="103">
        <v>45992</v>
      </c>
      <c r="B76" s="94" t="s">
        <v>36</v>
      </c>
      <c r="C76" s="95" t="s">
        <v>1290</v>
      </c>
      <c r="D76" s="94" t="s">
        <v>1288</v>
      </c>
      <c r="E76" s="104">
        <v>1.2013888888888891</v>
      </c>
      <c r="F76" s="94" t="s">
        <v>42</v>
      </c>
      <c r="G76" s="96">
        <v>3</v>
      </c>
      <c r="H76" s="97">
        <v>569</v>
      </c>
      <c r="I76" s="88"/>
    </row>
    <row r="77" spans="1:9" ht="19.8" customHeight="1" x14ac:dyDescent="0.3">
      <c r="A77" s="103">
        <v>45992</v>
      </c>
      <c r="B77" s="94" t="s">
        <v>36</v>
      </c>
      <c r="C77" s="95" t="s">
        <v>1291</v>
      </c>
      <c r="D77" s="94" t="s">
        <v>1288</v>
      </c>
      <c r="E77" s="104">
        <v>1.836805555555556</v>
      </c>
      <c r="F77" s="94" t="s">
        <v>42</v>
      </c>
      <c r="G77" s="96">
        <v>8</v>
      </c>
      <c r="H77" s="97">
        <v>629</v>
      </c>
      <c r="I77" s="88"/>
    </row>
    <row r="78" spans="1:9" ht="19.8" customHeight="1" x14ac:dyDescent="0.3">
      <c r="A78" s="103">
        <v>45992</v>
      </c>
      <c r="B78" s="94" t="s">
        <v>26</v>
      </c>
      <c r="C78" s="95" t="s">
        <v>1289</v>
      </c>
      <c r="D78" s="94" t="s">
        <v>1288</v>
      </c>
      <c r="E78" s="104">
        <v>1.305555555555556</v>
      </c>
      <c r="F78" s="94" t="s">
        <v>34</v>
      </c>
      <c r="G78" s="96">
        <v>7</v>
      </c>
      <c r="H78" s="97">
        <v>899</v>
      </c>
      <c r="I78" s="88"/>
    </row>
    <row r="79" spans="1:9" ht="19.8" customHeight="1" x14ac:dyDescent="0.3">
      <c r="A79" s="113">
        <v>45992</v>
      </c>
      <c r="B79" s="114" t="s">
        <v>78</v>
      </c>
      <c r="C79" s="115" t="s">
        <v>1301</v>
      </c>
      <c r="D79" s="114" t="s">
        <v>1288</v>
      </c>
      <c r="E79" s="116">
        <v>1.305555555555556</v>
      </c>
      <c r="F79" s="114" t="s">
        <v>83</v>
      </c>
      <c r="G79" s="117">
        <v>4</v>
      </c>
      <c r="H79" s="118" t="s">
        <v>1308</v>
      </c>
      <c r="I79" s="88"/>
    </row>
    <row r="80" spans="1:9" ht="19.8" customHeight="1" x14ac:dyDescent="0.3">
      <c r="A80" s="103">
        <v>45993</v>
      </c>
      <c r="B80" s="94" t="s">
        <v>66</v>
      </c>
      <c r="C80" s="95" t="s">
        <v>1297</v>
      </c>
      <c r="D80" s="94" t="s">
        <v>1288</v>
      </c>
      <c r="E80" s="104">
        <v>1.864583333333333</v>
      </c>
      <c r="F80" s="94" t="s">
        <v>829</v>
      </c>
      <c r="G80" s="96">
        <v>9</v>
      </c>
      <c r="H80" s="97">
        <v>411</v>
      </c>
      <c r="I80" s="88"/>
    </row>
    <row r="81" spans="1:9" ht="19.8" customHeight="1" x14ac:dyDescent="0.3">
      <c r="A81" s="103">
        <v>45993</v>
      </c>
      <c r="B81" s="94" t="s">
        <v>66</v>
      </c>
      <c r="C81" s="95" t="s">
        <v>1299</v>
      </c>
      <c r="D81" s="94" t="s">
        <v>1288</v>
      </c>
      <c r="E81" s="104">
        <v>1.5277777777777779</v>
      </c>
      <c r="F81" s="94" t="s">
        <v>829</v>
      </c>
      <c r="G81" s="96">
        <v>9</v>
      </c>
      <c r="H81" s="97">
        <v>411</v>
      </c>
      <c r="I81" s="88"/>
    </row>
    <row r="82" spans="1:9" ht="19.8" customHeight="1" x14ac:dyDescent="0.3">
      <c r="A82" s="103">
        <v>45993</v>
      </c>
      <c r="B82" s="94" t="s">
        <v>66</v>
      </c>
      <c r="C82" s="95" t="s">
        <v>1300</v>
      </c>
      <c r="D82" s="94" t="s">
        <v>1288</v>
      </c>
      <c r="E82" s="104">
        <v>1.1701388888888891</v>
      </c>
      <c r="F82" s="94" t="s">
        <v>829</v>
      </c>
      <c r="G82" s="96">
        <v>9</v>
      </c>
      <c r="H82" s="97">
        <v>411</v>
      </c>
      <c r="I82" s="88"/>
    </row>
    <row r="83" spans="1:9" ht="19.8" customHeight="1" x14ac:dyDescent="0.3">
      <c r="A83" s="103">
        <v>45993</v>
      </c>
      <c r="B83" s="94" t="s">
        <v>410</v>
      </c>
      <c r="C83" s="95" t="s">
        <v>1292</v>
      </c>
      <c r="D83" s="94" t="s">
        <v>1288</v>
      </c>
      <c r="E83" s="104">
        <v>1.958333333333333</v>
      </c>
      <c r="F83" s="94" t="s">
        <v>46</v>
      </c>
      <c r="G83" s="96">
        <v>9</v>
      </c>
      <c r="H83" s="97">
        <v>439</v>
      </c>
      <c r="I83" s="88"/>
    </row>
    <row r="84" spans="1:9" ht="19.8" customHeight="1" x14ac:dyDescent="0.3">
      <c r="A84" s="105">
        <v>45993</v>
      </c>
      <c r="B84" s="99" t="s">
        <v>44</v>
      </c>
      <c r="C84" s="100" t="s">
        <v>1294</v>
      </c>
      <c r="D84" s="99" t="s">
        <v>1288</v>
      </c>
      <c r="E84" s="106">
        <v>1.270833333333333</v>
      </c>
      <c r="F84" s="99" t="s">
        <v>46</v>
      </c>
      <c r="G84" s="101">
        <v>6</v>
      </c>
      <c r="H84" s="102">
        <v>455</v>
      </c>
      <c r="I84" s="88"/>
    </row>
    <row r="85" spans="1:9" ht="19.8" customHeight="1" x14ac:dyDescent="0.3">
      <c r="A85" s="113">
        <v>45993</v>
      </c>
      <c r="B85" s="114" t="s">
        <v>78</v>
      </c>
      <c r="C85" s="115" t="s">
        <v>1301</v>
      </c>
      <c r="D85" s="114" t="s">
        <v>1288</v>
      </c>
      <c r="E85" s="116">
        <v>1.305555555555556</v>
      </c>
      <c r="F85" s="114" t="s">
        <v>83</v>
      </c>
      <c r="G85" s="117">
        <v>4</v>
      </c>
      <c r="H85" s="118" t="s">
        <v>1308</v>
      </c>
      <c r="I85" s="88"/>
    </row>
    <row r="86" spans="1:9" ht="19.8" customHeight="1" x14ac:dyDescent="0.3">
      <c r="A86" s="103">
        <v>45994</v>
      </c>
      <c r="B86" s="94" t="s">
        <v>26</v>
      </c>
      <c r="C86" s="95" t="s">
        <v>1289</v>
      </c>
      <c r="D86" s="94" t="s">
        <v>1288</v>
      </c>
      <c r="E86" s="104">
        <v>1.305555555555556</v>
      </c>
      <c r="F86" s="94" t="s">
        <v>28</v>
      </c>
      <c r="G86" s="96">
        <v>3</v>
      </c>
      <c r="H86" s="97">
        <v>369</v>
      </c>
      <c r="I86" s="88"/>
    </row>
    <row r="87" spans="1:9" ht="19.8" customHeight="1" x14ac:dyDescent="0.3">
      <c r="A87" s="103">
        <v>45994</v>
      </c>
      <c r="B87" s="94" t="s">
        <v>404</v>
      </c>
      <c r="C87" s="95" t="s">
        <v>1303</v>
      </c>
      <c r="D87" s="94" t="s">
        <v>1288</v>
      </c>
      <c r="E87" s="104">
        <v>1.0902777777777779</v>
      </c>
      <c r="F87" s="94" t="s">
        <v>46</v>
      </c>
      <c r="G87" s="96">
        <v>9</v>
      </c>
      <c r="H87" s="97">
        <v>371</v>
      </c>
      <c r="I87" s="88"/>
    </row>
    <row r="88" spans="1:9" ht="19.8" customHeight="1" x14ac:dyDescent="0.3">
      <c r="A88" s="103">
        <v>45994</v>
      </c>
      <c r="B88" s="94" t="s">
        <v>456</v>
      </c>
      <c r="C88" s="95" t="s">
        <v>1322</v>
      </c>
      <c r="D88" s="94" t="s">
        <v>1288</v>
      </c>
      <c r="E88" s="104">
        <v>1.9722222222222221</v>
      </c>
      <c r="F88" s="94" t="s">
        <v>458</v>
      </c>
      <c r="G88" s="96">
        <v>9</v>
      </c>
      <c r="H88" s="97">
        <v>393</v>
      </c>
      <c r="I88" s="88"/>
    </row>
    <row r="89" spans="1:9" ht="19.8" customHeight="1" x14ac:dyDescent="0.3">
      <c r="A89" s="103">
        <v>45994</v>
      </c>
      <c r="B89" s="94" t="s">
        <v>66</v>
      </c>
      <c r="C89" s="95" t="s">
        <v>1297</v>
      </c>
      <c r="D89" s="94" t="s">
        <v>1288</v>
      </c>
      <c r="E89" s="104">
        <v>1.864583333333333</v>
      </c>
      <c r="F89" s="94" t="s">
        <v>829</v>
      </c>
      <c r="G89" s="96">
        <v>9</v>
      </c>
      <c r="H89" s="97">
        <v>411</v>
      </c>
      <c r="I89" s="88"/>
    </row>
    <row r="90" spans="1:9" ht="19.8" customHeight="1" x14ac:dyDescent="0.3">
      <c r="A90" s="103">
        <v>45994</v>
      </c>
      <c r="B90" s="94" t="s">
        <v>66</v>
      </c>
      <c r="C90" s="95" t="s">
        <v>1299</v>
      </c>
      <c r="D90" s="94" t="s">
        <v>1288</v>
      </c>
      <c r="E90" s="104">
        <v>1.5277777777777779</v>
      </c>
      <c r="F90" s="94" t="s">
        <v>829</v>
      </c>
      <c r="G90" s="96">
        <v>9</v>
      </c>
      <c r="H90" s="97">
        <v>411</v>
      </c>
      <c r="I90" s="88"/>
    </row>
    <row r="91" spans="1:9" ht="19.8" customHeight="1" x14ac:dyDescent="0.3">
      <c r="A91" s="103">
        <v>45994</v>
      </c>
      <c r="B91" s="94" t="s">
        <v>66</v>
      </c>
      <c r="C91" s="95" t="s">
        <v>1300</v>
      </c>
      <c r="D91" s="94" t="s">
        <v>1288</v>
      </c>
      <c r="E91" s="104">
        <v>1.1701388888888891</v>
      </c>
      <c r="F91" s="94" t="s">
        <v>829</v>
      </c>
      <c r="G91" s="96">
        <v>9</v>
      </c>
      <c r="H91" s="97">
        <v>411</v>
      </c>
      <c r="I91" s="88"/>
    </row>
    <row r="92" spans="1:9" ht="19.8" customHeight="1" x14ac:dyDescent="0.3">
      <c r="A92" s="103">
        <v>45994</v>
      </c>
      <c r="B92" s="94" t="s">
        <v>36</v>
      </c>
      <c r="C92" s="95" t="s">
        <v>1291</v>
      </c>
      <c r="D92" s="94" t="s">
        <v>1288</v>
      </c>
      <c r="E92" s="104">
        <v>1.836805555555556</v>
      </c>
      <c r="F92" s="94" t="s">
        <v>38</v>
      </c>
      <c r="G92" s="96">
        <v>3</v>
      </c>
      <c r="H92" s="97">
        <v>439</v>
      </c>
      <c r="I92" s="88"/>
    </row>
    <row r="93" spans="1:9" ht="19.8" customHeight="1" x14ac:dyDescent="0.3">
      <c r="A93" s="103">
        <v>45994</v>
      </c>
      <c r="B93" s="94" t="s">
        <v>410</v>
      </c>
      <c r="C93" s="95" t="s">
        <v>1307</v>
      </c>
      <c r="D93" s="94" t="s">
        <v>1288</v>
      </c>
      <c r="E93" s="104">
        <v>1.895833333333333</v>
      </c>
      <c r="F93" s="94" t="s">
        <v>46</v>
      </c>
      <c r="G93" s="96">
        <v>9</v>
      </c>
      <c r="H93" s="97">
        <v>439</v>
      </c>
      <c r="I93" s="88"/>
    </row>
    <row r="94" spans="1:9" ht="19.8" customHeight="1" x14ac:dyDescent="0.3">
      <c r="A94" s="103">
        <v>45994</v>
      </c>
      <c r="B94" s="94" t="s">
        <v>456</v>
      </c>
      <c r="C94" s="95" t="s">
        <v>1322</v>
      </c>
      <c r="D94" s="94" t="s">
        <v>1288</v>
      </c>
      <c r="E94" s="104">
        <v>1.9722222222222221</v>
      </c>
      <c r="F94" s="94" t="s">
        <v>34</v>
      </c>
      <c r="G94" s="96">
        <v>9</v>
      </c>
      <c r="H94" s="97">
        <v>516</v>
      </c>
      <c r="I94" s="88"/>
    </row>
    <row r="95" spans="1:9" ht="19.8" customHeight="1" x14ac:dyDescent="0.3">
      <c r="A95" s="103">
        <v>45994</v>
      </c>
      <c r="B95" s="94" t="s">
        <v>26</v>
      </c>
      <c r="C95" s="95" t="s">
        <v>1289</v>
      </c>
      <c r="D95" s="94" t="s">
        <v>1288</v>
      </c>
      <c r="E95" s="104">
        <v>1.305555555555556</v>
      </c>
      <c r="F95" s="94" t="s">
        <v>31</v>
      </c>
      <c r="G95" s="96">
        <v>3</v>
      </c>
      <c r="H95" s="97">
        <v>519</v>
      </c>
      <c r="I95" s="88"/>
    </row>
    <row r="96" spans="1:9" ht="19.8" customHeight="1" x14ac:dyDescent="0.3">
      <c r="A96" s="103">
        <v>45994</v>
      </c>
      <c r="B96" s="94" t="s">
        <v>36</v>
      </c>
      <c r="C96" s="95" t="s">
        <v>1291</v>
      </c>
      <c r="D96" s="94" t="s">
        <v>1288</v>
      </c>
      <c r="E96" s="104">
        <v>1.836805555555556</v>
      </c>
      <c r="F96" s="94" t="s">
        <v>40</v>
      </c>
      <c r="G96" s="96">
        <v>3</v>
      </c>
      <c r="H96" s="97">
        <v>539</v>
      </c>
      <c r="I96" s="88"/>
    </row>
    <row r="97" spans="1:9" ht="19.8" customHeight="1" x14ac:dyDescent="0.3">
      <c r="A97" s="103">
        <v>45994</v>
      </c>
      <c r="B97" s="94" t="s">
        <v>36</v>
      </c>
      <c r="C97" s="95" t="s">
        <v>1291</v>
      </c>
      <c r="D97" s="94" t="s">
        <v>1288</v>
      </c>
      <c r="E97" s="104">
        <v>1.836805555555556</v>
      </c>
      <c r="F97" s="94" t="s">
        <v>42</v>
      </c>
      <c r="G97" s="96">
        <v>3</v>
      </c>
      <c r="H97" s="97">
        <v>629</v>
      </c>
      <c r="I97" s="88"/>
    </row>
    <row r="98" spans="1:9" ht="19.8" customHeight="1" x14ac:dyDescent="0.3">
      <c r="A98" s="103">
        <v>45994</v>
      </c>
      <c r="B98" s="94" t="s">
        <v>26</v>
      </c>
      <c r="C98" s="95" t="s">
        <v>1289</v>
      </c>
      <c r="D98" s="94" t="s">
        <v>1288</v>
      </c>
      <c r="E98" s="104">
        <v>1.305555555555556</v>
      </c>
      <c r="F98" s="94" t="s">
        <v>34</v>
      </c>
      <c r="G98" s="96">
        <v>3</v>
      </c>
      <c r="H98" s="97">
        <v>899</v>
      </c>
      <c r="I98" s="88"/>
    </row>
    <row r="99" spans="1:9" ht="19.8" customHeight="1" x14ac:dyDescent="0.3">
      <c r="A99" s="113">
        <v>45994</v>
      </c>
      <c r="B99" s="114" t="s">
        <v>78</v>
      </c>
      <c r="C99" s="115" t="s">
        <v>1301</v>
      </c>
      <c r="D99" s="114" t="s">
        <v>1288</v>
      </c>
      <c r="E99" s="116">
        <v>1.305555555555556</v>
      </c>
      <c r="F99" s="114" t="s">
        <v>83</v>
      </c>
      <c r="G99" s="117">
        <v>4</v>
      </c>
      <c r="H99" s="118" t="s">
        <v>1302</v>
      </c>
      <c r="I99" s="88"/>
    </row>
    <row r="100" spans="1:9" ht="19.8" customHeight="1" x14ac:dyDescent="0.3">
      <c r="A100" s="103">
        <v>45995</v>
      </c>
      <c r="B100" s="94" t="s">
        <v>404</v>
      </c>
      <c r="C100" s="95" t="s">
        <v>1303</v>
      </c>
      <c r="D100" s="94" t="s">
        <v>1288</v>
      </c>
      <c r="E100" s="104">
        <v>1.8888888888888891</v>
      </c>
      <c r="F100" s="94" t="s">
        <v>46</v>
      </c>
      <c r="G100" s="96">
        <v>6</v>
      </c>
      <c r="H100" s="97">
        <v>371</v>
      </c>
      <c r="I100" s="88"/>
    </row>
    <row r="101" spans="1:9" ht="19.8" customHeight="1" x14ac:dyDescent="0.3">
      <c r="A101" s="103">
        <v>45995</v>
      </c>
      <c r="B101" s="94" t="s">
        <v>66</v>
      </c>
      <c r="C101" s="95" t="s">
        <v>1297</v>
      </c>
      <c r="D101" s="94" t="s">
        <v>1288</v>
      </c>
      <c r="E101" s="104">
        <v>1.864583333333333</v>
      </c>
      <c r="F101" s="94" t="s">
        <v>829</v>
      </c>
      <c r="G101" s="96">
        <v>9</v>
      </c>
      <c r="H101" s="97">
        <v>411</v>
      </c>
      <c r="I101" s="88"/>
    </row>
    <row r="102" spans="1:9" ht="19.8" customHeight="1" x14ac:dyDescent="0.3">
      <c r="A102" s="103">
        <v>45995</v>
      </c>
      <c r="B102" s="94" t="s">
        <v>66</v>
      </c>
      <c r="C102" s="95" t="s">
        <v>1299</v>
      </c>
      <c r="D102" s="94" t="s">
        <v>1288</v>
      </c>
      <c r="E102" s="104">
        <v>1.5277777777777779</v>
      </c>
      <c r="F102" s="94" t="s">
        <v>829</v>
      </c>
      <c r="G102" s="96">
        <v>9</v>
      </c>
      <c r="H102" s="97">
        <v>411</v>
      </c>
      <c r="I102" s="88"/>
    </row>
    <row r="103" spans="1:9" ht="19.8" customHeight="1" x14ac:dyDescent="0.3">
      <c r="A103" s="103">
        <v>45995</v>
      </c>
      <c r="B103" s="94" t="s">
        <v>66</v>
      </c>
      <c r="C103" s="95" t="s">
        <v>1300</v>
      </c>
      <c r="D103" s="94" t="s">
        <v>1288</v>
      </c>
      <c r="E103" s="104">
        <v>1.1701388888888891</v>
      </c>
      <c r="F103" s="94" t="s">
        <v>829</v>
      </c>
      <c r="G103" s="96">
        <v>9</v>
      </c>
      <c r="H103" s="97">
        <v>411</v>
      </c>
      <c r="I103" s="88"/>
    </row>
    <row r="104" spans="1:9" ht="19.8" customHeight="1" x14ac:dyDescent="0.3">
      <c r="A104" s="103">
        <v>45995</v>
      </c>
      <c r="B104" s="94" t="s">
        <v>410</v>
      </c>
      <c r="C104" s="95" t="s">
        <v>1311</v>
      </c>
      <c r="D104" s="94" t="s">
        <v>1288</v>
      </c>
      <c r="E104" s="104">
        <v>1.5625</v>
      </c>
      <c r="F104" s="94" t="s">
        <v>46</v>
      </c>
      <c r="G104" s="96">
        <v>9</v>
      </c>
      <c r="H104" s="97">
        <v>439</v>
      </c>
      <c r="I104" s="88"/>
    </row>
    <row r="105" spans="1:9" ht="19.8" customHeight="1" x14ac:dyDescent="0.3">
      <c r="A105" s="105">
        <v>45995</v>
      </c>
      <c r="B105" s="99" t="s">
        <v>44</v>
      </c>
      <c r="C105" s="100" t="s">
        <v>1294</v>
      </c>
      <c r="D105" s="99" t="s">
        <v>1288</v>
      </c>
      <c r="E105" s="106">
        <v>1.9236111111111109</v>
      </c>
      <c r="F105" s="99" t="s">
        <v>46</v>
      </c>
      <c r="G105" s="101">
        <v>6</v>
      </c>
      <c r="H105" s="102">
        <v>446</v>
      </c>
      <c r="I105" s="88"/>
    </row>
    <row r="106" spans="1:9" ht="19.8" customHeight="1" x14ac:dyDescent="0.3">
      <c r="A106" s="103">
        <v>45995</v>
      </c>
      <c r="B106" s="94" t="s">
        <v>410</v>
      </c>
      <c r="C106" s="95" t="s">
        <v>1292</v>
      </c>
      <c r="D106" s="94" t="s">
        <v>1288</v>
      </c>
      <c r="E106" s="104">
        <v>1.958333333333333</v>
      </c>
      <c r="F106" s="94" t="s">
        <v>46</v>
      </c>
      <c r="G106" s="96">
        <v>9</v>
      </c>
      <c r="H106" s="97">
        <v>563</v>
      </c>
      <c r="I106" s="88"/>
    </row>
    <row r="107" spans="1:9" ht="19.8" customHeight="1" x14ac:dyDescent="0.3">
      <c r="A107" s="113">
        <v>45995</v>
      </c>
      <c r="B107" s="114" t="s">
        <v>78</v>
      </c>
      <c r="C107" s="115" t="s">
        <v>1301</v>
      </c>
      <c r="D107" s="114" t="s">
        <v>1288</v>
      </c>
      <c r="E107" s="116">
        <v>1.305555555555556</v>
      </c>
      <c r="F107" s="114" t="s">
        <v>83</v>
      </c>
      <c r="G107" s="117">
        <v>4</v>
      </c>
      <c r="H107" s="118" t="s">
        <v>1308</v>
      </c>
      <c r="I107" s="88"/>
    </row>
    <row r="108" spans="1:9" ht="19.8" customHeight="1" x14ac:dyDescent="0.3">
      <c r="A108" s="103">
        <v>45996</v>
      </c>
      <c r="B108" s="94" t="s">
        <v>26</v>
      </c>
      <c r="C108" s="95" t="s">
        <v>1289</v>
      </c>
      <c r="D108" s="94" t="s">
        <v>1288</v>
      </c>
      <c r="E108" s="104">
        <v>1.305555555555556</v>
      </c>
      <c r="F108" s="94" t="s">
        <v>28</v>
      </c>
      <c r="G108" s="96">
        <v>2</v>
      </c>
      <c r="H108" s="97">
        <v>339</v>
      </c>
      <c r="I108" s="88"/>
    </row>
    <row r="109" spans="1:9" ht="19.8" customHeight="1" x14ac:dyDescent="0.3">
      <c r="A109" s="103">
        <v>45996</v>
      </c>
      <c r="B109" s="94" t="s">
        <v>36</v>
      </c>
      <c r="C109" s="95" t="s">
        <v>1291</v>
      </c>
      <c r="D109" s="94" t="s">
        <v>1288</v>
      </c>
      <c r="E109" s="104">
        <v>1.836805555555556</v>
      </c>
      <c r="F109" s="94" t="s">
        <v>38</v>
      </c>
      <c r="G109" s="96">
        <v>2</v>
      </c>
      <c r="H109" s="97">
        <v>409</v>
      </c>
      <c r="I109" s="88"/>
    </row>
    <row r="110" spans="1:9" ht="19.8" customHeight="1" x14ac:dyDescent="0.3">
      <c r="A110" s="103">
        <v>45996</v>
      </c>
      <c r="B110" s="94" t="s">
        <v>66</v>
      </c>
      <c r="C110" s="95" t="s">
        <v>1297</v>
      </c>
      <c r="D110" s="94" t="s">
        <v>1288</v>
      </c>
      <c r="E110" s="104">
        <v>1.864583333333333</v>
      </c>
      <c r="F110" s="94" t="s">
        <v>829</v>
      </c>
      <c r="G110" s="96">
        <v>9</v>
      </c>
      <c r="H110" s="97">
        <v>411</v>
      </c>
      <c r="I110" s="88"/>
    </row>
    <row r="111" spans="1:9" ht="19.8" customHeight="1" x14ac:dyDescent="0.3">
      <c r="A111" s="103">
        <v>45996</v>
      </c>
      <c r="B111" s="94" t="s">
        <v>66</v>
      </c>
      <c r="C111" s="95" t="s">
        <v>1299</v>
      </c>
      <c r="D111" s="94" t="s">
        <v>1288</v>
      </c>
      <c r="E111" s="104">
        <v>1.5277777777777779</v>
      </c>
      <c r="F111" s="94" t="s">
        <v>829</v>
      </c>
      <c r="G111" s="96">
        <v>9</v>
      </c>
      <c r="H111" s="97">
        <v>415</v>
      </c>
      <c r="I111" s="88"/>
    </row>
    <row r="112" spans="1:9" ht="19.8" customHeight="1" x14ac:dyDescent="0.3">
      <c r="A112" s="103">
        <v>45996</v>
      </c>
      <c r="B112" s="94" t="s">
        <v>66</v>
      </c>
      <c r="C112" s="95" t="s">
        <v>1300</v>
      </c>
      <c r="D112" s="94" t="s">
        <v>1288</v>
      </c>
      <c r="E112" s="104">
        <v>1.1701388888888891</v>
      </c>
      <c r="F112" s="94" t="s">
        <v>829</v>
      </c>
      <c r="G112" s="96">
        <v>9</v>
      </c>
      <c r="H112" s="97">
        <v>415</v>
      </c>
      <c r="I112" s="88"/>
    </row>
    <row r="113" spans="1:9" ht="19.8" customHeight="1" x14ac:dyDescent="0.3">
      <c r="A113" s="103">
        <v>45996</v>
      </c>
      <c r="B113" s="94" t="s">
        <v>410</v>
      </c>
      <c r="C113" s="95" t="s">
        <v>1307</v>
      </c>
      <c r="D113" s="94" t="s">
        <v>1288</v>
      </c>
      <c r="E113" s="104">
        <v>1.958333333333333</v>
      </c>
      <c r="F113" s="94" t="s">
        <v>46</v>
      </c>
      <c r="G113" s="96">
        <v>9</v>
      </c>
      <c r="H113" s="97">
        <v>439</v>
      </c>
      <c r="I113" s="88"/>
    </row>
    <row r="114" spans="1:9" ht="19.8" customHeight="1" x14ac:dyDescent="0.3">
      <c r="A114" s="105">
        <v>45996</v>
      </c>
      <c r="B114" s="99" t="s">
        <v>44</v>
      </c>
      <c r="C114" s="100" t="s">
        <v>1294</v>
      </c>
      <c r="D114" s="99" t="s">
        <v>1288</v>
      </c>
      <c r="E114" s="106">
        <v>1.5798611111111109</v>
      </c>
      <c r="F114" s="99" t="s">
        <v>46</v>
      </c>
      <c r="G114" s="101">
        <v>1</v>
      </c>
      <c r="H114" s="102">
        <v>476</v>
      </c>
      <c r="I114" s="88"/>
    </row>
    <row r="115" spans="1:9" ht="19.8" customHeight="1" x14ac:dyDescent="0.3">
      <c r="A115" s="103">
        <v>45996</v>
      </c>
      <c r="B115" s="94" t="s">
        <v>26</v>
      </c>
      <c r="C115" s="95" t="s">
        <v>1289</v>
      </c>
      <c r="D115" s="94" t="s">
        <v>1288</v>
      </c>
      <c r="E115" s="104">
        <v>1.305555555555556</v>
      </c>
      <c r="F115" s="94" t="s">
        <v>31</v>
      </c>
      <c r="G115" s="96">
        <v>2</v>
      </c>
      <c r="H115" s="97">
        <v>489</v>
      </c>
      <c r="I115" s="88"/>
    </row>
    <row r="116" spans="1:9" ht="19.8" customHeight="1" x14ac:dyDescent="0.3">
      <c r="A116" s="103">
        <v>45996</v>
      </c>
      <c r="B116" s="94" t="s">
        <v>36</v>
      </c>
      <c r="C116" s="95" t="s">
        <v>1291</v>
      </c>
      <c r="D116" s="94" t="s">
        <v>1288</v>
      </c>
      <c r="E116" s="104">
        <v>1.836805555555556</v>
      </c>
      <c r="F116" s="94" t="s">
        <v>40</v>
      </c>
      <c r="G116" s="96">
        <v>2</v>
      </c>
      <c r="H116" s="97">
        <v>509</v>
      </c>
      <c r="I116" s="88"/>
    </row>
    <row r="117" spans="1:9" ht="19.8" customHeight="1" x14ac:dyDescent="0.3">
      <c r="A117" s="103">
        <v>45996</v>
      </c>
      <c r="B117" s="94" t="s">
        <v>36</v>
      </c>
      <c r="C117" s="95" t="s">
        <v>1291</v>
      </c>
      <c r="D117" s="94" t="s">
        <v>1288</v>
      </c>
      <c r="E117" s="104">
        <v>1.836805555555556</v>
      </c>
      <c r="F117" s="94" t="s">
        <v>42</v>
      </c>
      <c r="G117" s="96">
        <v>2</v>
      </c>
      <c r="H117" s="97">
        <v>599</v>
      </c>
      <c r="I117" s="88"/>
    </row>
    <row r="118" spans="1:9" ht="19.8" customHeight="1" x14ac:dyDescent="0.3">
      <c r="A118" s="103">
        <v>45996</v>
      </c>
      <c r="B118" s="94" t="s">
        <v>26</v>
      </c>
      <c r="C118" s="95" t="s">
        <v>1289</v>
      </c>
      <c r="D118" s="94" t="s">
        <v>1288</v>
      </c>
      <c r="E118" s="104">
        <v>1.305555555555556</v>
      </c>
      <c r="F118" s="94" t="s">
        <v>34</v>
      </c>
      <c r="G118" s="96">
        <v>2</v>
      </c>
      <c r="H118" s="97">
        <v>899</v>
      </c>
      <c r="I118" s="88"/>
    </row>
    <row r="119" spans="1:9" ht="19.8" customHeight="1" x14ac:dyDescent="0.3">
      <c r="A119" s="113">
        <v>45996</v>
      </c>
      <c r="B119" s="114" t="s">
        <v>78</v>
      </c>
      <c r="C119" s="115" t="s">
        <v>1301</v>
      </c>
      <c r="D119" s="114" t="s">
        <v>1288</v>
      </c>
      <c r="E119" s="116">
        <v>1.305555555555556</v>
      </c>
      <c r="F119" s="114" t="s">
        <v>83</v>
      </c>
      <c r="G119" s="117">
        <v>4</v>
      </c>
      <c r="H119" s="118" t="s">
        <v>1320</v>
      </c>
      <c r="I119" s="88"/>
    </row>
    <row r="120" spans="1:9" ht="19.8" customHeight="1" x14ac:dyDescent="0.3">
      <c r="A120" s="103">
        <v>45997</v>
      </c>
      <c r="B120" s="94" t="s">
        <v>36</v>
      </c>
      <c r="C120" s="95" t="s">
        <v>1291</v>
      </c>
      <c r="D120" s="94" t="s">
        <v>1288</v>
      </c>
      <c r="E120" s="104">
        <v>1.836805555555556</v>
      </c>
      <c r="F120" s="94" t="s">
        <v>38</v>
      </c>
      <c r="G120" s="96">
        <v>1</v>
      </c>
      <c r="H120" s="97">
        <v>349</v>
      </c>
      <c r="I120" s="88"/>
    </row>
    <row r="121" spans="1:9" ht="19.8" customHeight="1" x14ac:dyDescent="0.3">
      <c r="A121" s="103">
        <v>45997</v>
      </c>
      <c r="B121" s="94" t="s">
        <v>36</v>
      </c>
      <c r="C121" s="95" t="s">
        <v>1290</v>
      </c>
      <c r="D121" s="94" t="s">
        <v>1288</v>
      </c>
      <c r="E121" s="104">
        <v>1.2013888888888891</v>
      </c>
      <c r="F121" s="94" t="s">
        <v>38</v>
      </c>
      <c r="G121" s="96">
        <v>5</v>
      </c>
      <c r="H121" s="97">
        <v>349</v>
      </c>
      <c r="I121" s="88"/>
    </row>
    <row r="122" spans="1:9" ht="19.8" customHeight="1" x14ac:dyDescent="0.3">
      <c r="A122" s="103">
        <v>45997</v>
      </c>
      <c r="B122" s="94" t="s">
        <v>66</v>
      </c>
      <c r="C122" s="95" t="s">
        <v>1297</v>
      </c>
      <c r="D122" s="94" t="s">
        <v>1288</v>
      </c>
      <c r="E122" s="104">
        <v>1.864583333333333</v>
      </c>
      <c r="F122" s="94" t="s">
        <v>829</v>
      </c>
      <c r="G122" s="96">
        <v>9</v>
      </c>
      <c r="H122" s="97">
        <v>411</v>
      </c>
      <c r="I122" s="88"/>
    </row>
    <row r="123" spans="1:9" ht="19.8" customHeight="1" x14ac:dyDescent="0.3">
      <c r="A123" s="103">
        <v>45997</v>
      </c>
      <c r="B123" s="94" t="s">
        <v>66</v>
      </c>
      <c r="C123" s="95" t="s">
        <v>1299</v>
      </c>
      <c r="D123" s="94" t="s">
        <v>1288</v>
      </c>
      <c r="E123" s="104">
        <v>1.5277777777777779</v>
      </c>
      <c r="F123" s="94" t="s">
        <v>829</v>
      </c>
      <c r="G123" s="96">
        <v>9</v>
      </c>
      <c r="H123" s="97">
        <v>411</v>
      </c>
      <c r="I123" s="88"/>
    </row>
    <row r="124" spans="1:9" ht="19.8" customHeight="1" x14ac:dyDescent="0.3">
      <c r="A124" s="103">
        <v>45997</v>
      </c>
      <c r="B124" s="94" t="s">
        <v>66</v>
      </c>
      <c r="C124" s="95" t="s">
        <v>1300</v>
      </c>
      <c r="D124" s="94" t="s">
        <v>1288</v>
      </c>
      <c r="E124" s="104">
        <v>1.1701388888888891</v>
      </c>
      <c r="F124" s="94" t="s">
        <v>829</v>
      </c>
      <c r="G124" s="96">
        <v>9</v>
      </c>
      <c r="H124" s="97">
        <v>411</v>
      </c>
      <c r="I124" s="88"/>
    </row>
    <row r="125" spans="1:9" ht="19.8" customHeight="1" x14ac:dyDescent="0.3">
      <c r="A125" s="103">
        <v>45997</v>
      </c>
      <c r="B125" s="94" t="s">
        <v>410</v>
      </c>
      <c r="C125" s="95" t="s">
        <v>1292</v>
      </c>
      <c r="D125" s="94" t="s">
        <v>1288</v>
      </c>
      <c r="E125" s="104">
        <v>1.895833333333333</v>
      </c>
      <c r="F125" s="94" t="s">
        <v>46</v>
      </c>
      <c r="G125" s="96">
        <v>9</v>
      </c>
      <c r="H125" s="97">
        <v>439</v>
      </c>
      <c r="I125" s="88"/>
    </row>
    <row r="126" spans="1:9" ht="19.8" customHeight="1" x14ac:dyDescent="0.3">
      <c r="A126" s="105">
        <v>45997</v>
      </c>
      <c r="B126" s="99" t="s">
        <v>44</v>
      </c>
      <c r="C126" s="100" t="s">
        <v>1294</v>
      </c>
      <c r="D126" s="99" t="s">
        <v>1288</v>
      </c>
      <c r="E126" s="106">
        <v>1.9236111111111109</v>
      </c>
      <c r="F126" s="99" t="s">
        <v>46</v>
      </c>
      <c r="G126" s="101">
        <v>9</v>
      </c>
      <c r="H126" s="102">
        <v>446</v>
      </c>
      <c r="I126" s="88"/>
    </row>
    <row r="127" spans="1:9" ht="19.8" customHeight="1" x14ac:dyDescent="0.3">
      <c r="A127" s="103">
        <v>45997</v>
      </c>
      <c r="B127" s="94" t="s">
        <v>36</v>
      </c>
      <c r="C127" s="95" t="s">
        <v>1291</v>
      </c>
      <c r="D127" s="94" t="s">
        <v>1288</v>
      </c>
      <c r="E127" s="104">
        <v>1.836805555555556</v>
      </c>
      <c r="F127" s="94" t="s">
        <v>40</v>
      </c>
      <c r="G127" s="96">
        <v>1</v>
      </c>
      <c r="H127" s="97">
        <v>449</v>
      </c>
      <c r="I127" s="88"/>
    </row>
    <row r="128" spans="1:9" ht="19.8" customHeight="1" x14ac:dyDescent="0.3">
      <c r="A128" s="103">
        <v>45997</v>
      </c>
      <c r="B128" s="94" t="s">
        <v>36</v>
      </c>
      <c r="C128" s="95" t="s">
        <v>1290</v>
      </c>
      <c r="D128" s="94" t="s">
        <v>1288</v>
      </c>
      <c r="E128" s="104">
        <v>1.2013888888888891</v>
      </c>
      <c r="F128" s="94" t="s">
        <v>40</v>
      </c>
      <c r="G128" s="96">
        <v>5</v>
      </c>
      <c r="H128" s="97">
        <v>449</v>
      </c>
      <c r="I128" s="88"/>
    </row>
    <row r="129" spans="1:9" ht="19.8" customHeight="1" x14ac:dyDescent="0.3">
      <c r="A129" s="103">
        <v>45997</v>
      </c>
      <c r="B129" s="94" t="s">
        <v>36</v>
      </c>
      <c r="C129" s="95" t="s">
        <v>1291</v>
      </c>
      <c r="D129" s="94" t="s">
        <v>1288</v>
      </c>
      <c r="E129" s="104">
        <v>1.836805555555556</v>
      </c>
      <c r="F129" s="94" t="s">
        <v>42</v>
      </c>
      <c r="G129" s="96">
        <v>1</v>
      </c>
      <c r="H129" s="97">
        <v>539</v>
      </c>
      <c r="I129" s="88"/>
    </row>
    <row r="130" spans="1:9" ht="19.8" customHeight="1" x14ac:dyDescent="0.3">
      <c r="A130" s="103">
        <v>45997</v>
      </c>
      <c r="B130" s="94" t="s">
        <v>36</v>
      </c>
      <c r="C130" s="95" t="s">
        <v>1290</v>
      </c>
      <c r="D130" s="94" t="s">
        <v>1288</v>
      </c>
      <c r="E130" s="104">
        <v>1.2013888888888891</v>
      </c>
      <c r="F130" s="94" t="s">
        <v>42</v>
      </c>
      <c r="G130" s="96">
        <v>5</v>
      </c>
      <c r="H130" s="97">
        <v>539</v>
      </c>
      <c r="I130" s="88"/>
    </row>
    <row r="131" spans="1:9" ht="19.8" customHeight="1" x14ac:dyDescent="0.3">
      <c r="A131" s="113">
        <v>45997</v>
      </c>
      <c r="B131" s="114" t="s">
        <v>78</v>
      </c>
      <c r="C131" s="115" t="s">
        <v>1301</v>
      </c>
      <c r="D131" s="114" t="s">
        <v>1288</v>
      </c>
      <c r="E131" s="116">
        <v>1.305555555555556</v>
      </c>
      <c r="F131" s="114" t="s">
        <v>83</v>
      </c>
      <c r="G131" s="117">
        <v>4</v>
      </c>
      <c r="H131" s="118" t="s">
        <v>1308</v>
      </c>
      <c r="I131" s="88"/>
    </row>
    <row r="132" spans="1:9" ht="19.8" customHeight="1" x14ac:dyDescent="0.3">
      <c r="A132" s="103">
        <v>45998</v>
      </c>
      <c r="B132" s="94" t="s">
        <v>26</v>
      </c>
      <c r="C132" s="95" t="s">
        <v>1289</v>
      </c>
      <c r="D132" s="94" t="s">
        <v>1288</v>
      </c>
      <c r="E132" s="104">
        <v>1.305555555555556</v>
      </c>
      <c r="F132" s="94" t="s">
        <v>28</v>
      </c>
      <c r="G132" s="96">
        <v>7</v>
      </c>
      <c r="H132" s="97">
        <v>339</v>
      </c>
      <c r="I132" s="88"/>
    </row>
    <row r="133" spans="1:9" ht="19.8" customHeight="1" x14ac:dyDescent="0.3">
      <c r="A133" s="103">
        <v>45998</v>
      </c>
      <c r="B133" s="94" t="s">
        <v>36</v>
      </c>
      <c r="C133" s="95" t="s">
        <v>1291</v>
      </c>
      <c r="D133" s="94" t="s">
        <v>1288</v>
      </c>
      <c r="E133" s="104">
        <v>1.836805555555556</v>
      </c>
      <c r="F133" s="94" t="s">
        <v>38</v>
      </c>
      <c r="G133" s="96">
        <v>1</v>
      </c>
      <c r="H133" s="97">
        <v>349</v>
      </c>
      <c r="I133" s="88"/>
    </row>
    <row r="134" spans="1:9" ht="19.8" customHeight="1" x14ac:dyDescent="0.3">
      <c r="A134" s="103">
        <v>45998</v>
      </c>
      <c r="B134" s="94" t="s">
        <v>404</v>
      </c>
      <c r="C134" s="95" t="s">
        <v>1313</v>
      </c>
      <c r="D134" s="94" t="s">
        <v>1288</v>
      </c>
      <c r="E134" s="104">
        <v>1.2222222222222221</v>
      </c>
      <c r="F134" s="94" t="s">
        <v>46</v>
      </c>
      <c r="G134" s="96">
        <v>9</v>
      </c>
      <c r="H134" s="97">
        <v>371</v>
      </c>
      <c r="I134" s="88"/>
    </row>
    <row r="135" spans="1:9" ht="19.8" customHeight="1" x14ac:dyDescent="0.3">
      <c r="A135" s="103">
        <v>45998</v>
      </c>
      <c r="B135" s="94" t="s">
        <v>66</v>
      </c>
      <c r="C135" s="95" t="s">
        <v>1297</v>
      </c>
      <c r="D135" s="94" t="s">
        <v>1288</v>
      </c>
      <c r="E135" s="104">
        <v>1.864583333333333</v>
      </c>
      <c r="F135" s="94" t="s">
        <v>829</v>
      </c>
      <c r="G135" s="96">
        <v>9</v>
      </c>
      <c r="H135" s="97">
        <v>411</v>
      </c>
      <c r="I135" s="88"/>
    </row>
    <row r="136" spans="1:9" ht="19.8" customHeight="1" x14ac:dyDescent="0.3">
      <c r="A136" s="103">
        <v>45998</v>
      </c>
      <c r="B136" s="94" t="s">
        <v>66</v>
      </c>
      <c r="C136" s="95" t="s">
        <v>1299</v>
      </c>
      <c r="D136" s="94" t="s">
        <v>1288</v>
      </c>
      <c r="E136" s="104">
        <v>1.5277777777777779</v>
      </c>
      <c r="F136" s="94" t="s">
        <v>829</v>
      </c>
      <c r="G136" s="96">
        <v>9</v>
      </c>
      <c r="H136" s="97">
        <v>411</v>
      </c>
      <c r="I136" s="88"/>
    </row>
    <row r="137" spans="1:9" ht="19.8" customHeight="1" x14ac:dyDescent="0.3">
      <c r="A137" s="103">
        <v>45998</v>
      </c>
      <c r="B137" s="94" t="s">
        <v>66</v>
      </c>
      <c r="C137" s="95" t="s">
        <v>1300</v>
      </c>
      <c r="D137" s="94" t="s">
        <v>1288</v>
      </c>
      <c r="E137" s="104">
        <v>1.1701388888888891</v>
      </c>
      <c r="F137" s="94" t="s">
        <v>829</v>
      </c>
      <c r="G137" s="96">
        <v>9</v>
      </c>
      <c r="H137" s="97">
        <v>411</v>
      </c>
      <c r="I137" s="88"/>
    </row>
    <row r="138" spans="1:9" ht="19.8" customHeight="1" x14ac:dyDescent="0.3">
      <c r="A138" s="103">
        <v>45998</v>
      </c>
      <c r="B138" s="94" t="s">
        <v>410</v>
      </c>
      <c r="C138" s="95" t="s">
        <v>1311</v>
      </c>
      <c r="D138" s="94" t="s">
        <v>1288</v>
      </c>
      <c r="E138" s="104">
        <v>1.958333333333333</v>
      </c>
      <c r="F138" s="94" t="s">
        <v>46</v>
      </c>
      <c r="G138" s="96">
        <v>9</v>
      </c>
      <c r="H138" s="97">
        <v>439</v>
      </c>
      <c r="I138" s="88"/>
    </row>
    <row r="139" spans="1:9" ht="19.8" customHeight="1" x14ac:dyDescent="0.3">
      <c r="A139" s="103">
        <v>45998</v>
      </c>
      <c r="B139" s="94" t="s">
        <v>36</v>
      </c>
      <c r="C139" s="95" t="s">
        <v>1291</v>
      </c>
      <c r="D139" s="94" t="s">
        <v>1288</v>
      </c>
      <c r="E139" s="104">
        <v>1.836805555555556</v>
      </c>
      <c r="F139" s="94" t="s">
        <v>40</v>
      </c>
      <c r="G139" s="96">
        <v>1</v>
      </c>
      <c r="H139" s="97">
        <v>449</v>
      </c>
      <c r="I139" s="88"/>
    </row>
    <row r="140" spans="1:9" ht="19.8" customHeight="1" x14ac:dyDescent="0.3">
      <c r="A140" s="103">
        <v>45998</v>
      </c>
      <c r="B140" s="94" t="s">
        <v>26</v>
      </c>
      <c r="C140" s="95" t="s">
        <v>1289</v>
      </c>
      <c r="D140" s="94" t="s">
        <v>1288</v>
      </c>
      <c r="E140" s="104">
        <v>1.305555555555556</v>
      </c>
      <c r="F140" s="94" t="s">
        <v>31</v>
      </c>
      <c r="G140" s="96">
        <v>7</v>
      </c>
      <c r="H140" s="97">
        <v>489</v>
      </c>
      <c r="I140" s="88"/>
    </row>
    <row r="141" spans="1:9" ht="19.8" customHeight="1" x14ac:dyDescent="0.3">
      <c r="A141" s="103">
        <v>45998</v>
      </c>
      <c r="B141" s="94" t="s">
        <v>36</v>
      </c>
      <c r="C141" s="95" t="s">
        <v>1291</v>
      </c>
      <c r="D141" s="94" t="s">
        <v>1288</v>
      </c>
      <c r="E141" s="104">
        <v>1.836805555555556</v>
      </c>
      <c r="F141" s="94" t="s">
        <v>42</v>
      </c>
      <c r="G141" s="96">
        <v>1</v>
      </c>
      <c r="H141" s="97">
        <v>539</v>
      </c>
      <c r="I141" s="88"/>
    </row>
    <row r="142" spans="1:9" ht="19.8" customHeight="1" x14ac:dyDescent="0.3">
      <c r="A142" s="103">
        <v>45998</v>
      </c>
      <c r="B142" s="94" t="s">
        <v>78</v>
      </c>
      <c r="C142" s="95" t="s">
        <v>1301</v>
      </c>
      <c r="D142" s="94" t="s">
        <v>1288</v>
      </c>
      <c r="E142" s="104">
        <v>1.305555555555556</v>
      </c>
      <c r="F142" s="94" t="s">
        <v>83</v>
      </c>
      <c r="G142" s="96">
        <v>4</v>
      </c>
      <c r="H142" s="107" t="s">
        <v>1308</v>
      </c>
      <c r="I142" s="88"/>
    </row>
    <row r="143" spans="1:9" ht="19.8" customHeight="1" x14ac:dyDescent="0.3">
      <c r="A143" s="113">
        <v>45998</v>
      </c>
      <c r="B143" s="114" t="s">
        <v>26</v>
      </c>
      <c r="C143" s="115" t="s">
        <v>1289</v>
      </c>
      <c r="D143" s="114" t="s">
        <v>1288</v>
      </c>
      <c r="E143" s="116">
        <v>1.305555555555556</v>
      </c>
      <c r="F143" s="114" t="s">
        <v>34</v>
      </c>
      <c r="G143" s="117">
        <v>7</v>
      </c>
      <c r="H143" s="118" t="s">
        <v>147</v>
      </c>
      <c r="I143" s="88"/>
    </row>
    <row r="144" spans="1:9" ht="19.8" customHeight="1" x14ac:dyDescent="0.3">
      <c r="A144" s="103">
        <v>45999</v>
      </c>
      <c r="B144" s="94" t="s">
        <v>66</v>
      </c>
      <c r="C144" s="95" t="s">
        <v>1297</v>
      </c>
      <c r="D144" s="94" t="s">
        <v>1288</v>
      </c>
      <c r="E144" s="104">
        <v>1.864583333333333</v>
      </c>
      <c r="F144" s="94" t="s">
        <v>829</v>
      </c>
      <c r="G144" s="96">
        <v>9</v>
      </c>
      <c r="H144" s="97">
        <v>411</v>
      </c>
      <c r="I144" s="88"/>
    </row>
    <row r="145" spans="1:9" ht="19.8" customHeight="1" x14ac:dyDescent="0.3">
      <c r="A145" s="103">
        <v>45999</v>
      </c>
      <c r="B145" s="94" t="s">
        <v>66</v>
      </c>
      <c r="C145" s="95" t="s">
        <v>1299</v>
      </c>
      <c r="D145" s="94" t="s">
        <v>1288</v>
      </c>
      <c r="E145" s="104">
        <v>1.5277777777777779</v>
      </c>
      <c r="F145" s="94" t="s">
        <v>829</v>
      </c>
      <c r="G145" s="96">
        <v>9</v>
      </c>
      <c r="H145" s="97">
        <v>411</v>
      </c>
      <c r="I145" s="88"/>
    </row>
    <row r="146" spans="1:9" ht="19.8" customHeight="1" x14ac:dyDescent="0.3">
      <c r="A146" s="103">
        <v>45999</v>
      </c>
      <c r="B146" s="94" t="s">
        <v>66</v>
      </c>
      <c r="C146" s="95" t="s">
        <v>1300</v>
      </c>
      <c r="D146" s="94" t="s">
        <v>1288</v>
      </c>
      <c r="E146" s="104">
        <v>1.1701388888888891</v>
      </c>
      <c r="F146" s="94" t="s">
        <v>829</v>
      </c>
      <c r="G146" s="96">
        <v>9</v>
      </c>
      <c r="H146" s="97">
        <v>411</v>
      </c>
      <c r="I146" s="88"/>
    </row>
    <row r="147" spans="1:9" ht="19.8" customHeight="1" x14ac:dyDescent="0.3">
      <c r="A147" s="103">
        <v>45999</v>
      </c>
      <c r="B147" s="94" t="s">
        <v>410</v>
      </c>
      <c r="C147" s="95" t="s">
        <v>1307</v>
      </c>
      <c r="D147" s="94" t="s">
        <v>1288</v>
      </c>
      <c r="E147" s="104">
        <v>1.958333333333333</v>
      </c>
      <c r="F147" s="94" t="s">
        <v>46</v>
      </c>
      <c r="G147" s="96">
        <v>9</v>
      </c>
      <c r="H147" s="97">
        <v>439</v>
      </c>
      <c r="I147" s="88"/>
    </row>
    <row r="148" spans="1:9" ht="19.8" customHeight="1" x14ac:dyDescent="0.3">
      <c r="A148" s="113">
        <v>45999</v>
      </c>
      <c r="B148" s="114" t="s">
        <v>78</v>
      </c>
      <c r="C148" s="115" t="s">
        <v>1301</v>
      </c>
      <c r="D148" s="114" t="s">
        <v>1288</v>
      </c>
      <c r="E148" s="116">
        <v>1.305555555555556</v>
      </c>
      <c r="F148" s="114" t="s">
        <v>83</v>
      </c>
      <c r="G148" s="117">
        <v>4</v>
      </c>
      <c r="H148" s="118" t="s">
        <v>1308</v>
      </c>
      <c r="I148" s="88"/>
    </row>
    <row r="149" spans="1:9" ht="19.8" customHeight="1" x14ac:dyDescent="0.3">
      <c r="A149" s="103">
        <v>46000</v>
      </c>
      <c r="B149" s="94" t="s">
        <v>66</v>
      </c>
      <c r="C149" s="95" t="s">
        <v>1297</v>
      </c>
      <c r="D149" s="94" t="s">
        <v>1288</v>
      </c>
      <c r="E149" s="104">
        <v>1.864583333333333</v>
      </c>
      <c r="F149" s="94" t="s">
        <v>829</v>
      </c>
      <c r="G149" s="96">
        <v>9</v>
      </c>
      <c r="H149" s="97">
        <v>411</v>
      </c>
      <c r="I149" s="88"/>
    </row>
    <row r="150" spans="1:9" ht="19.8" customHeight="1" x14ac:dyDescent="0.3">
      <c r="A150" s="103">
        <v>46000</v>
      </c>
      <c r="B150" s="94" t="s">
        <v>66</v>
      </c>
      <c r="C150" s="95" t="s">
        <v>1299</v>
      </c>
      <c r="D150" s="94" t="s">
        <v>1288</v>
      </c>
      <c r="E150" s="104">
        <v>1.5277777777777779</v>
      </c>
      <c r="F150" s="94" t="s">
        <v>829</v>
      </c>
      <c r="G150" s="96">
        <v>9</v>
      </c>
      <c r="H150" s="97">
        <v>411</v>
      </c>
      <c r="I150" s="88"/>
    </row>
    <row r="151" spans="1:9" ht="19.8" customHeight="1" x14ac:dyDescent="0.3">
      <c r="A151" s="103">
        <v>46000</v>
      </c>
      <c r="B151" s="94" t="s">
        <v>66</v>
      </c>
      <c r="C151" s="95" t="s">
        <v>1300</v>
      </c>
      <c r="D151" s="94" t="s">
        <v>1288</v>
      </c>
      <c r="E151" s="104">
        <v>1.1701388888888891</v>
      </c>
      <c r="F151" s="94" t="s">
        <v>829</v>
      </c>
      <c r="G151" s="96">
        <v>9</v>
      </c>
      <c r="H151" s="97">
        <v>411</v>
      </c>
      <c r="I151" s="88"/>
    </row>
    <row r="152" spans="1:9" ht="19.8" customHeight="1" x14ac:dyDescent="0.3">
      <c r="A152" s="105">
        <v>46000</v>
      </c>
      <c r="B152" s="99" t="s">
        <v>44</v>
      </c>
      <c r="C152" s="100" t="s">
        <v>1294</v>
      </c>
      <c r="D152" s="99" t="s">
        <v>1288</v>
      </c>
      <c r="E152" s="106">
        <v>1.270833333333333</v>
      </c>
      <c r="F152" s="99" t="s">
        <v>46</v>
      </c>
      <c r="G152" s="101">
        <v>9</v>
      </c>
      <c r="H152" s="102">
        <v>425</v>
      </c>
      <c r="I152" s="88"/>
    </row>
    <row r="153" spans="1:9" ht="19.8" customHeight="1" x14ac:dyDescent="0.3">
      <c r="A153" s="103">
        <v>46000</v>
      </c>
      <c r="B153" s="94" t="s">
        <v>410</v>
      </c>
      <c r="C153" s="95" t="s">
        <v>1292</v>
      </c>
      <c r="D153" s="94" t="s">
        <v>1288</v>
      </c>
      <c r="E153" s="104">
        <v>1.958333333333333</v>
      </c>
      <c r="F153" s="94" t="s">
        <v>46</v>
      </c>
      <c r="G153" s="96">
        <v>9</v>
      </c>
      <c r="H153" s="97">
        <v>439</v>
      </c>
      <c r="I153" s="88"/>
    </row>
    <row r="154" spans="1:9" ht="19.8" customHeight="1" x14ac:dyDescent="0.3">
      <c r="A154" s="113">
        <v>46000</v>
      </c>
      <c r="B154" s="114" t="s">
        <v>78</v>
      </c>
      <c r="C154" s="115" t="s">
        <v>1301</v>
      </c>
      <c r="D154" s="114" t="s">
        <v>1288</v>
      </c>
      <c r="E154" s="116">
        <v>1.305555555555556</v>
      </c>
      <c r="F154" s="114" t="s">
        <v>83</v>
      </c>
      <c r="G154" s="117">
        <v>4</v>
      </c>
      <c r="H154" s="118" t="s">
        <v>1320</v>
      </c>
      <c r="I154" s="88"/>
    </row>
    <row r="155" spans="1:9" ht="19.8" customHeight="1" x14ac:dyDescent="0.3">
      <c r="A155" s="103">
        <v>46001</v>
      </c>
      <c r="B155" s="94" t="s">
        <v>404</v>
      </c>
      <c r="C155" s="95" t="s">
        <v>1303</v>
      </c>
      <c r="D155" s="94" t="s">
        <v>1288</v>
      </c>
      <c r="E155" s="104">
        <v>1.0902777777777779</v>
      </c>
      <c r="F155" s="94" t="s">
        <v>46</v>
      </c>
      <c r="G155" s="96">
        <v>8</v>
      </c>
      <c r="H155" s="97">
        <v>371</v>
      </c>
      <c r="I155" s="88"/>
    </row>
    <row r="156" spans="1:9" ht="19.8" customHeight="1" x14ac:dyDescent="0.3">
      <c r="A156" s="103">
        <v>46001</v>
      </c>
      <c r="B156" s="94" t="s">
        <v>66</v>
      </c>
      <c r="C156" s="95" t="s">
        <v>1297</v>
      </c>
      <c r="D156" s="94" t="s">
        <v>1288</v>
      </c>
      <c r="E156" s="104">
        <v>1.864583333333333</v>
      </c>
      <c r="F156" s="94" t="s">
        <v>829</v>
      </c>
      <c r="G156" s="96">
        <v>9</v>
      </c>
      <c r="H156" s="97">
        <v>411</v>
      </c>
      <c r="I156" s="88"/>
    </row>
    <row r="157" spans="1:9" ht="19.8" customHeight="1" x14ac:dyDescent="0.3">
      <c r="A157" s="103">
        <v>46001</v>
      </c>
      <c r="B157" s="94" t="s">
        <v>66</v>
      </c>
      <c r="C157" s="95" t="s">
        <v>1299</v>
      </c>
      <c r="D157" s="94" t="s">
        <v>1288</v>
      </c>
      <c r="E157" s="104">
        <v>1.5277777777777779</v>
      </c>
      <c r="F157" s="94" t="s">
        <v>829</v>
      </c>
      <c r="G157" s="96">
        <v>9</v>
      </c>
      <c r="H157" s="97">
        <v>411</v>
      </c>
      <c r="I157" s="88"/>
    </row>
    <row r="158" spans="1:9" ht="19.8" customHeight="1" x14ac:dyDescent="0.3">
      <c r="A158" s="103">
        <v>46001</v>
      </c>
      <c r="B158" s="94" t="s">
        <v>66</v>
      </c>
      <c r="C158" s="95" t="s">
        <v>1300</v>
      </c>
      <c r="D158" s="94" t="s">
        <v>1288</v>
      </c>
      <c r="E158" s="104">
        <v>1.1701388888888891</v>
      </c>
      <c r="F158" s="94" t="s">
        <v>829</v>
      </c>
      <c r="G158" s="96">
        <v>9</v>
      </c>
      <c r="H158" s="97">
        <v>411</v>
      </c>
      <c r="I158" s="88"/>
    </row>
    <row r="159" spans="1:9" ht="19.8" customHeight="1" x14ac:dyDescent="0.3">
      <c r="A159" s="103">
        <v>46001</v>
      </c>
      <c r="B159" s="94" t="s">
        <v>410</v>
      </c>
      <c r="C159" s="95" t="s">
        <v>1307</v>
      </c>
      <c r="D159" s="94" t="s">
        <v>1288</v>
      </c>
      <c r="E159" s="104">
        <v>1.895833333333333</v>
      </c>
      <c r="F159" s="94" t="s">
        <v>46</v>
      </c>
      <c r="G159" s="96">
        <v>9</v>
      </c>
      <c r="H159" s="97">
        <v>439</v>
      </c>
      <c r="I159" s="88"/>
    </row>
    <row r="160" spans="1:9" ht="19.8" customHeight="1" x14ac:dyDescent="0.3">
      <c r="A160" s="113">
        <v>46001</v>
      </c>
      <c r="B160" s="114" t="s">
        <v>78</v>
      </c>
      <c r="C160" s="115" t="s">
        <v>1301</v>
      </c>
      <c r="D160" s="114" t="s">
        <v>1288</v>
      </c>
      <c r="E160" s="116">
        <v>1.305555555555556</v>
      </c>
      <c r="F160" s="114" t="s">
        <v>83</v>
      </c>
      <c r="G160" s="117">
        <v>4</v>
      </c>
      <c r="H160" s="118" t="s">
        <v>1302</v>
      </c>
      <c r="I160" s="88"/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38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0.21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2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1341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45982.804325847428</v>
      </c>
      <c r="H2" s="330"/>
      <c r="I2" s="330"/>
      <c r="J2" s="330"/>
      <c r="K2" s="334">
        <v>45982.804325847843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17.399999999999999" customHeight="1" x14ac:dyDescent="0.3">
      <c r="A5" s="363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5"/>
    </row>
    <row r="6" spans="1:18" ht="17.399999999999999" customHeight="1" x14ac:dyDescent="0.3">
      <c r="A6" s="360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2"/>
    </row>
    <row r="7" spans="1:18" ht="22.05" customHeight="1" x14ac:dyDescent="0.3">
      <c r="A7" s="323" t="s">
        <v>6</v>
      </c>
      <c r="B7" s="324"/>
      <c r="C7" s="324"/>
      <c r="D7" s="324"/>
      <c r="E7" s="324"/>
      <c r="F7" s="324"/>
      <c r="G7" s="2">
        <v>45989</v>
      </c>
      <c r="H7" s="323" t="s">
        <v>7</v>
      </c>
      <c r="I7" s="324"/>
      <c r="J7" s="324"/>
      <c r="K7" s="324"/>
      <c r="L7" s="324"/>
      <c r="M7" s="324"/>
      <c r="N7" s="324"/>
      <c r="O7" s="324"/>
      <c r="P7" s="324"/>
      <c r="Q7" s="324"/>
      <c r="R7" s="324"/>
    </row>
    <row r="8" spans="1:18" ht="24" customHeight="1" x14ac:dyDescent="0.3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4" t="s">
        <v>13</v>
      </c>
      <c r="G8" s="5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3" t="s">
        <v>24</v>
      </c>
      <c r="R8" s="3" t="s">
        <v>25</v>
      </c>
    </row>
    <row r="9" spans="1:18" ht="49.95" customHeight="1" x14ac:dyDescent="0.3">
      <c r="A9" s="12" t="s">
        <v>44</v>
      </c>
      <c r="B9" s="12" t="s">
        <v>1342</v>
      </c>
      <c r="C9" s="12">
        <v>0.29166666666666669</v>
      </c>
      <c r="D9" s="12" t="s">
        <v>46</v>
      </c>
      <c r="E9" s="12" t="s">
        <v>47</v>
      </c>
      <c r="F9" s="12" t="s">
        <v>1343</v>
      </c>
      <c r="G9" s="328"/>
      <c r="H9" s="120" t="s">
        <v>1344</v>
      </c>
      <c r="I9" s="287">
        <v>0.39290000000000003</v>
      </c>
      <c r="J9" s="122">
        <v>66</v>
      </c>
      <c r="K9" s="123" t="s">
        <v>175</v>
      </c>
      <c r="L9" s="122">
        <v>22</v>
      </c>
      <c r="M9" s="122">
        <v>6</v>
      </c>
      <c r="N9" s="122">
        <v>2</v>
      </c>
      <c r="O9" s="123" t="s">
        <v>364</v>
      </c>
      <c r="P9" s="123">
        <v>0.29166666666666669</v>
      </c>
      <c r="Q9" s="122">
        <v>168</v>
      </c>
      <c r="R9" s="124" t="s">
        <v>1345</v>
      </c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22.05" customHeight="1" x14ac:dyDescent="0.3">
      <c r="A11" s="323" t="s">
        <v>6</v>
      </c>
      <c r="B11" s="324"/>
      <c r="C11" s="324"/>
      <c r="D11" s="324"/>
      <c r="E11" s="324"/>
      <c r="F11" s="324"/>
      <c r="G11" s="2">
        <v>45990</v>
      </c>
      <c r="H11" s="323" t="s">
        <v>7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</row>
    <row r="12" spans="1:18" ht="24" customHeight="1" x14ac:dyDescent="0.3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4" t="s">
        <v>13</v>
      </c>
      <c r="G12" s="5" t="s">
        <v>14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  <c r="Q12" s="3" t="s">
        <v>24</v>
      </c>
      <c r="R12" s="3" t="s">
        <v>25</v>
      </c>
    </row>
    <row r="13" spans="1:18" ht="15.6" x14ac:dyDescent="0.3">
      <c r="A13" s="340" t="s">
        <v>1346</v>
      </c>
      <c r="B13" s="341"/>
      <c r="C13" s="341"/>
      <c r="D13" s="341"/>
      <c r="E13" s="341"/>
      <c r="F13" s="341"/>
      <c r="G13" s="337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</row>
    <row r="14" spans="1:18" ht="49.95" customHeight="1" x14ac:dyDescent="0.3">
      <c r="A14" s="155" t="s">
        <v>44</v>
      </c>
      <c r="B14" s="155" t="s">
        <v>367</v>
      </c>
      <c r="C14" s="155" t="s">
        <v>368</v>
      </c>
      <c r="D14" s="155" t="s">
        <v>369</v>
      </c>
      <c r="E14" s="155" t="s">
        <v>370</v>
      </c>
      <c r="F14" s="155" t="s">
        <v>371</v>
      </c>
      <c r="G14" s="337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22.05" customHeight="1" x14ac:dyDescent="0.3">
      <c r="A17" s="323" t="s">
        <v>6</v>
      </c>
      <c r="B17" s="324"/>
      <c r="C17" s="324"/>
      <c r="D17" s="324"/>
      <c r="E17" s="324"/>
      <c r="F17" s="324"/>
      <c r="G17" s="2">
        <v>45992</v>
      </c>
      <c r="H17" s="323" t="s">
        <v>7</v>
      </c>
      <c r="I17" s="324"/>
      <c r="J17" s="324"/>
      <c r="K17" s="324"/>
      <c r="L17" s="324"/>
      <c r="M17" s="324"/>
      <c r="N17" s="324"/>
      <c r="O17" s="324"/>
      <c r="P17" s="324"/>
      <c r="Q17" s="324"/>
      <c r="R17" s="324"/>
    </row>
    <row r="18" spans="1:18" ht="24" customHeight="1" x14ac:dyDescent="0.3">
      <c r="A18" s="3" t="s">
        <v>8</v>
      </c>
      <c r="B18" s="3" t="s">
        <v>9</v>
      </c>
      <c r="C18" s="3" t="s">
        <v>10</v>
      </c>
      <c r="D18" s="3" t="s">
        <v>11</v>
      </c>
      <c r="E18" s="3" t="s">
        <v>12</v>
      </c>
      <c r="F18" s="4" t="s">
        <v>13</v>
      </c>
      <c r="G18" s="5" t="s">
        <v>14</v>
      </c>
      <c r="H18" s="3" t="s">
        <v>15</v>
      </c>
      <c r="I18" s="3" t="s">
        <v>16</v>
      </c>
      <c r="J18" s="3" t="s">
        <v>17</v>
      </c>
      <c r="K18" s="3" t="s">
        <v>18</v>
      </c>
      <c r="L18" s="3" t="s">
        <v>19</v>
      </c>
      <c r="M18" s="3" t="s">
        <v>20</v>
      </c>
      <c r="N18" s="3" t="s">
        <v>21</v>
      </c>
      <c r="O18" s="3" t="s">
        <v>22</v>
      </c>
      <c r="P18" s="3" t="s">
        <v>23</v>
      </c>
      <c r="Q18" s="3" t="s">
        <v>24</v>
      </c>
      <c r="R18" s="3" t="s">
        <v>25</v>
      </c>
    </row>
    <row r="19" spans="1:18" ht="49.95" customHeight="1" x14ac:dyDescent="0.3">
      <c r="A19" s="127" t="s">
        <v>44</v>
      </c>
      <c r="B19" s="127" t="s">
        <v>1344</v>
      </c>
      <c r="C19" s="127">
        <v>0.51041666666666663</v>
      </c>
      <c r="D19" s="127" t="s">
        <v>61</v>
      </c>
      <c r="E19" s="127"/>
      <c r="F19" s="127" t="s">
        <v>363</v>
      </c>
      <c r="G19" s="328"/>
      <c r="H19" s="128" t="s">
        <v>1344</v>
      </c>
      <c r="I19" s="290">
        <v>0.45240000000000002</v>
      </c>
      <c r="J19" s="130">
        <v>76</v>
      </c>
      <c r="K19" s="131" t="s">
        <v>50</v>
      </c>
      <c r="L19" s="130">
        <v>24</v>
      </c>
      <c r="M19" s="130">
        <v>0</v>
      </c>
      <c r="N19" s="130">
        <v>7</v>
      </c>
      <c r="O19" s="131" t="s">
        <v>748</v>
      </c>
      <c r="P19" s="131">
        <v>0.51041666666666663</v>
      </c>
      <c r="Q19" s="130">
        <v>168</v>
      </c>
      <c r="R19" s="132" t="s">
        <v>1347</v>
      </c>
    </row>
    <row r="20" spans="1:18" ht="17.399999999999999" customHeight="1" x14ac:dyDescent="0.3">
      <c r="A20" s="360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2"/>
    </row>
    <row r="21" spans="1:18" ht="17.399999999999999" customHeight="1" x14ac:dyDescent="0.3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17.399999999999999" customHeight="1" x14ac:dyDescent="0.3">
      <c r="A23" s="360"/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2"/>
    </row>
    <row r="24" spans="1:18" ht="22.05" customHeight="1" x14ac:dyDescent="0.3">
      <c r="A24" s="323" t="s">
        <v>6</v>
      </c>
      <c r="B24" s="324"/>
      <c r="C24" s="324"/>
      <c r="D24" s="324"/>
      <c r="E24" s="324"/>
      <c r="F24" s="324"/>
      <c r="G24" s="2">
        <v>45996</v>
      </c>
      <c r="H24" s="323" t="s">
        <v>7</v>
      </c>
      <c r="I24" s="324"/>
      <c r="J24" s="324"/>
      <c r="K24" s="324"/>
      <c r="L24" s="324"/>
      <c r="M24" s="324"/>
      <c r="N24" s="324"/>
      <c r="O24" s="324"/>
      <c r="P24" s="324"/>
      <c r="Q24" s="324"/>
      <c r="R24" s="324"/>
    </row>
    <row r="25" spans="1:18" ht="24" customHeight="1" x14ac:dyDescent="0.3">
      <c r="A25" s="3" t="s">
        <v>8</v>
      </c>
      <c r="B25" s="3" t="s">
        <v>9</v>
      </c>
      <c r="C25" s="3" t="s">
        <v>10</v>
      </c>
      <c r="D25" s="3" t="s">
        <v>11</v>
      </c>
      <c r="E25" s="3" t="s">
        <v>12</v>
      </c>
      <c r="F25" s="4" t="s">
        <v>13</v>
      </c>
      <c r="G25" s="5" t="s">
        <v>14</v>
      </c>
      <c r="H25" s="3" t="s">
        <v>15</v>
      </c>
      <c r="I25" s="3" t="s">
        <v>16</v>
      </c>
      <c r="J25" s="3" t="s">
        <v>17</v>
      </c>
      <c r="K25" s="3" t="s">
        <v>18</v>
      </c>
      <c r="L25" s="3" t="s">
        <v>19</v>
      </c>
      <c r="M25" s="3" t="s">
        <v>20</v>
      </c>
      <c r="N25" s="3" t="s">
        <v>21</v>
      </c>
      <c r="O25" s="3" t="s">
        <v>22</v>
      </c>
      <c r="P25" s="3" t="s">
        <v>23</v>
      </c>
      <c r="Q25" s="3" t="s">
        <v>24</v>
      </c>
      <c r="R25" s="3" t="s">
        <v>25</v>
      </c>
    </row>
    <row r="26" spans="1:18" ht="49.95" customHeight="1" x14ac:dyDescent="0.3">
      <c r="A26" s="75" t="s">
        <v>44</v>
      </c>
      <c r="B26" s="75" t="s">
        <v>1344</v>
      </c>
      <c r="C26" s="75">
        <v>0.29166666666666669</v>
      </c>
      <c r="D26" s="75" t="s">
        <v>61</v>
      </c>
      <c r="E26" s="75"/>
      <c r="F26" s="75" t="s">
        <v>983</v>
      </c>
      <c r="G26" s="328"/>
      <c r="H26" s="33" t="s">
        <v>1344</v>
      </c>
      <c r="I26" s="291">
        <v>0.19639999999999999</v>
      </c>
      <c r="J26" s="35">
        <v>33</v>
      </c>
      <c r="K26" s="36" t="s">
        <v>50</v>
      </c>
      <c r="L26" s="35">
        <v>11</v>
      </c>
      <c r="M26" s="35">
        <v>0</v>
      </c>
      <c r="N26" s="35">
        <v>4</v>
      </c>
      <c r="O26" s="36" t="s">
        <v>364</v>
      </c>
      <c r="P26" s="36">
        <v>0.29166666666666669</v>
      </c>
      <c r="Q26" s="35">
        <v>168</v>
      </c>
      <c r="R26" s="37" t="s">
        <v>1348</v>
      </c>
    </row>
    <row r="27" spans="1:18" ht="17.399999999999999" customHeight="1" x14ac:dyDescent="0.3">
      <c r="A27" s="360"/>
      <c r="B27" s="361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1"/>
      <c r="R27" s="362"/>
    </row>
    <row r="28" spans="1:18" ht="22.05" customHeight="1" x14ac:dyDescent="0.3">
      <c r="A28" s="323" t="s">
        <v>6</v>
      </c>
      <c r="B28" s="324"/>
      <c r="C28" s="324"/>
      <c r="D28" s="324"/>
      <c r="E28" s="324"/>
      <c r="F28" s="324"/>
      <c r="G28" s="2">
        <v>45997</v>
      </c>
      <c r="H28" s="323" t="s">
        <v>7</v>
      </c>
      <c r="I28" s="324"/>
      <c r="J28" s="324"/>
      <c r="K28" s="324"/>
      <c r="L28" s="324"/>
      <c r="M28" s="324"/>
      <c r="N28" s="324"/>
      <c r="O28" s="324"/>
      <c r="P28" s="324"/>
      <c r="Q28" s="324"/>
      <c r="R28" s="324"/>
    </row>
    <row r="29" spans="1:18" ht="24" customHeight="1" x14ac:dyDescent="0.3">
      <c r="A29" s="3" t="s">
        <v>8</v>
      </c>
      <c r="B29" s="3" t="s">
        <v>9</v>
      </c>
      <c r="C29" s="3" t="s">
        <v>10</v>
      </c>
      <c r="D29" s="3" t="s">
        <v>11</v>
      </c>
      <c r="E29" s="3" t="s">
        <v>12</v>
      </c>
      <c r="F29" s="4" t="s">
        <v>13</v>
      </c>
      <c r="G29" s="5" t="s">
        <v>14</v>
      </c>
      <c r="H29" s="3" t="s">
        <v>15</v>
      </c>
      <c r="I29" s="3" t="s">
        <v>16</v>
      </c>
      <c r="J29" s="3" t="s">
        <v>17</v>
      </c>
      <c r="K29" s="3" t="s">
        <v>18</v>
      </c>
      <c r="L29" s="3" t="s">
        <v>19</v>
      </c>
      <c r="M29" s="3" t="s">
        <v>20</v>
      </c>
      <c r="N29" s="3" t="s">
        <v>21</v>
      </c>
      <c r="O29" s="3" t="s">
        <v>22</v>
      </c>
      <c r="P29" s="3" t="s">
        <v>23</v>
      </c>
      <c r="Q29" s="3" t="s">
        <v>24</v>
      </c>
      <c r="R29" s="3" t="s">
        <v>25</v>
      </c>
    </row>
    <row r="30" spans="1:18" ht="15.6" x14ac:dyDescent="0.3">
      <c r="A30" s="340" t="s">
        <v>1346</v>
      </c>
      <c r="B30" s="341"/>
      <c r="C30" s="341"/>
      <c r="D30" s="341"/>
      <c r="E30" s="341"/>
      <c r="F30" s="341"/>
      <c r="G30" s="337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</row>
    <row r="31" spans="1:18" ht="49.95" customHeight="1" x14ac:dyDescent="0.3">
      <c r="A31" s="155" t="s">
        <v>44</v>
      </c>
      <c r="B31" s="155" t="s">
        <v>367</v>
      </c>
      <c r="C31" s="155" t="s">
        <v>368</v>
      </c>
      <c r="D31" s="155" t="s">
        <v>369</v>
      </c>
      <c r="E31" s="155" t="s">
        <v>377</v>
      </c>
      <c r="F31" s="155" t="s">
        <v>371</v>
      </c>
      <c r="G31" s="337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</row>
    <row r="32" spans="1:18" ht="17.399999999999999" customHeight="1" x14ac:dyDescent="0.3">
      <c r="A32" s="360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2"/>
    </row>
    <row r="33" spans="1:18" ht="17.399999999999999" customHeight="1" x14ac:dyDescent="0.3">
      <c r="A33" s="360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2"/>
    </row>
    <row r="34" spans="1:18" ht="22.05" customHeight="1" x14ac:dyDescent="0.3">
      <c r="A34" s="323" t="s">
        <v>6</v>
      </c>
      <c r="B34" s="324"/>
      <c r="C34" s="324"/>
      <c r="D34" s="324"/>
      <c r="E34" s="324"/>
      <c r="F34" s="324"/>
      <c r="G34" s="2">
        <v>45999</v>
      </c>
      <c r="H34" s="323" t="s">
        <v>7</v>
      </c>
      <c r="I34" s="324"/>
      <c r="J34" s="324"/>
      <c r="K34" s="324"/>
      <c r="L34" s="324"/>
      <c r="M34" s="324"/>
      <c r="N34" s="324"/>
      <c r="O34" s="324"/>
      <c r="P34" s="324"/>
      <c r="Q34" s="324"/>
      <c r="R34" s="324"/>
    </row>
    <row r="35" spans="1:18" ht="24" customHeight="1" x14ac:dyDescent="0.3">
      <c r="A35" s="3" t="s">
        <v>8</v>
      </c>
      <c r="B35" s="3" t="s">
        <v>9</v>
      </c>
      <c r="C35" s="3" t="s">
        <v>10</v>
      </c>
      <c r="D35" s="3" t="s">
        <v>11</v>
      </c>
      <c r="E35" s="3" t="s">
        <v>12</v>
      </c>
      <c r="F35" s="4" t="s">
        <v>13</v>
      </c>
      <c r="G35" s="5" t="s">
        <v>14</v>
      </c>
      <c r="H35" s="3" t="s">
        <v>15</v>
      </c>
      <c r="I35" s="3" t="s">
        <v>16</v>
      </c>
      <c r="J35" s="3" t="s">
        <v>17</v>
      </c>
      <c r="K35" s="3" t="s">
        <v>18</v>
      </c>
      <c r="L35" s="3" t="s">
        <v>19</v>
      </c>
      <c r="M35" s="3" t="s">
        <v>20</v>
      </c>
      <c r="N35" s="3" t="s">
        <v>21</v>
      </c>
      <c r="O35" s="3" t="s">
        <v>22</v>
      </c>
      <c r="P35" s="3" t="s">
        <v>23</v>
      </c>
      <c r="Q35" s="3" t="s">
        <v>24</v>
      </c>
      <c r="R35" s="3" t="s">
        <v>25</v>
      </c>
    </row>
    <row r="36" spans="1:18" ht="49.95" customHeight="1" x14ac:dyDescent="0.3">
      <c r="A36" s="167" t="s">
        <v>44</v>
      </c>
      <c r="B36" s="167" t="s">
        <v>1342</v>
      </c>
      <c r="C36" s="167">
        <v>0.51041666666666663</v>
      </c>
      <c r="D36" s="167" t="s">
        <v>46</v>
      </c>
      <c r="E36" s="167" t="s">
        <v>132</v>
      </c>
      <c r="F36" s="167" t="s">
        <v>1327</v>
      </c>
      <c r="G36" s="328"/>
      <c r="H36" s="134" t="s">
        <v>1344</v>
      </c>
      <c r="I36" s="292">
        <v>0.26190000000000002</v>
      </c>
      <c r="J36" s="136">
        <v>44</v>
      </c>
      <c r="K36" s="137" t="s">
        <v>175</v>
      </c>
      <c r="L36" s="136">
        <v>13</v>
      </c>
      <c r="M36" s="136">
        <v>4</v>
      </c>
      <c r="N36" s="136">
        <v>2</v>
      </c>
      <c r="O36" s="137" t="s">
        <v>586</v>
      </c>
      <c r="P36" s="137">
        <v>0.51041666666666663</v>
      </c>
      <c r="Q36" s="136">
        <v>168</v>
      </c>
      <c r="R36" s="138" t="s">
        <v>1349</v>
      </c>
    </row>
    <row r="37" spans="1:18" ht="17.399999999999999" customHeight="1" x14ac:dyDescent="0.3">
      <c r="A37" s="360"/>
      <c r="B37" s="361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2"/>
    </row>
    <row r="38" spans="1:18" ht="17.399999999999999" customHeight="1" x14ac:dyDescent="0.3">
      <c r="A38" s="360"/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2"/>
    </row>
  </sheetData>
  <mergeCells count="42">
    <mergeCell ref="A38:R38"/>
    <mergeCell ref="A10:R10"/>
    <mergeCell ref="H7:R7"/>
    <mergeCell ref="K2:R2"/>
    <mergeCell ref="A34:F34"/>
    <mergeCell ref="G19"/>
    <mergeCell ref="A30:F30"/>
    <mergeCell ref="H28:R28"/>
    <mergeCell ref="A24:F24"/>
    <mergeCell ref="A11:F11"/>
    <mergeCell ref="A15:R15"/>
    <mergeCell ref="H24:R24"/>
    <mergeCell ref="A6:R6"/>
    <mergeCell ref="A7:F7"/>
    <mergeCell ref="G30:G31"/>
    <mergeCell ref="H17:R17"/>
    <mergeCell ref="A28:F28"/>
    <mergeCell ref="H11:R11"/>
    <mergeCell ref="A13:F13"/>
    <mergeCell ref="A37:R37"/>
    <mergeCell ref="A27:R27"/>
    <mergeCell ref="G9"/>
    <mergeCell ref="A2:F2"/>
    <mergeCell ref="A3:R3"/>
    <mergeCell ref="A21:R21"/>
    <mergeCell ref="H34:R34"/>
    <mergeCell ref="A33:R33"/>
    <mergeCell ref="A32:R32"/>
    <mergeCell ref="G2:J2"/>
    <mergeCell ref="A5:R5"/>
    <mergeCell ref="A17:F17"/>
    <mergeCell ref="A23:R23"/>
    <mergeCell ref="G36"/>
    <mergeCell ref="A22:R22"/>
    <mergeCell ref="A4:R4"/>
    <mergeCell ref="A16:R16"/>
    <mergeCell ref="G26"/>
    <mergeCell ref="G13:G14"/>
    <mergeCell ref="H1:L1"/>
    <mergeCell ref="A1:E1"/>
    <mergeCell ref="N1:R1"/>
    <mergeCell ref="A20:R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6"/>
  <sheetViews>
    <sheetView workbookViewId="0"/>
  </sheetViews>
  <sheetFormatPr defaultRowHeight="15.6" outlineLevelCol="1" x14ac:dyDescent="0.3"/>
  <cols>
    <col min="1" max="1" width="8.664062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9.44140625" style="343" bestFit="1" customWidth="1"/>
    <col min="6" max="6" width="4.21875" style="343" bestFit="1" customWidth="1"/>
    <col min="7" max="7" width="10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8" width="3.88671875" style="343" bestFit="1" customWidth="1"/>
    <col min="29" max="29" width="4.2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724</v>
      </c>
      <c r="B2" s="345">
        <v>45989</v>
      </c>
      <c r="C2" s="346" t="s">
        <v>1344</v>
      </c>
      <c r="D2" s="347" t="s">
        <v>1011</v>
      </c>
      <c r="E2" s="346" t="s">
        <v>1341</v>
      </c>
      <c r="F2" s="346" t="s">
        <v>214</v>
      </c>
      <c r="G2" s="348">
        <v>0.39290000000000003</v>
      </c>
      <c r="H2" s="349">
        <v>168</v>
      </c>
      <c r="I2" s="349">
        <v>66</v>
      </c>
      <c r="J2" s="349">
        <v>0</v>
      </c>
      <c r="K2" s="346" t="s">
        <v>215</v>
      </c>
      <c r="L2" s="350" t="s">
        <v>175</v>
      </c>
      <c r="M2" s="349">
        <v>6</v>
      </c>
      <c r="N2" s="349">
        <v>2</v>
      </c>
      <c r="O2" s="349">
        <v>22</v>
      </c>
      <c r="P2" s="346" t="s">
        <v>364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333</v>
      </c>
      <c r="AA2" s="349" t="s">
        <v>738</v>
      </c>
      <c r="AB2" s="349" t="s">
        <v>908</v>
      </c>
      <c r="AC2" s="349" t="s">
        <v>563</v>
      </c>
      <c r="AD2" s="349" t="s">
        <v>1350</v>
      </c>
      <c r="AE2" s="349" t="s">
        <v>700</v>
      </c>
      <c r="AF2" s="349" t="s">
        <v>229</v>
      </c>
      <c r="AG2" s="342"/>
      <c r="AH2" s="342"/>
      <c r="AI2" s="342"/>
      <c r="AJ2" s="342"/>
    </row>
    <row r="3" spans="1:36" x14ac:dyDescent="0.3">
      <c r="A3" s="344" t="s">
        <v>391</v>
      </c>
      <c r="B3" s="345">
        <v>45992</v>
      </c>
      <c r="C3" s="346" t="s">
        <v>1344</v>
      </c>
      <c r="D3" s="347" t="s">
        <v>754</v>
      </c>
      <c r="E3" s="346" t="s">
        <v>1341</v>
      </c>
      <c r="F3" s="346" t="s">
        <v>214</v>
      </c>
      <c r="G3" s="348">
        <v>0.45240000000000002</v>
      </c>
      <c r="H3" s="349">
        <v>168</v>
      </c>
      <c r="I3" s="349">
        <v>76</v>
      </c>
      <c r="J3" s="349">
        <v>0</v>
      </c>
      <c r="K3" s="346" t="s">
        <v>215</v>
      </c>
      <c r="L3" s="350" t="s">
        <v>50</v>
      </c>
      <c r="M3" s="349">
        <v>0</v>
      </c>
      <c r="N3" s="349">
        <v>7</v>
      </c>
      <c r="O3" s="349">
        <v>24</v>
      </c>
      <c r="P3" s="346" t="s">
        <v>748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9" t="s">
        <v>908</v>
      </c>
      <c r="AC3" s="349" t="s">
        <v>1351</v>
      </c>
      <c r="AD3" s="349" t="s">
        <v>1352</v>
      </c>
      <c r="AE3" s="349" t="s">
        <v>688</v>
      </c>
      <c r="AF3" s="349" t="s">
        <v>612</v>
      </c>
      <c r="AG3" s="342"/>
      <c r="AH3" s="342"/>
      <c r="AI3" s="342"/>
      <c r="AJ3" s="342"/>
    </row>
    <row r="4" spans="1:36" x14ac:dyDescent="0.3">
      <c r="A4" s="344" t="s">
        <v>724</v>
      </c>
      <c r="B4" s="345">
        <v>45996</v>
      </c>
      <c r="C4" s="346" t="s">
        <v>1344</v>
      </c>
      <c r="D4" s="347" t="s">
        <v>1011</v>
      </c>
      <c r="E4" s="346" t="s">
        <v>1341</v>
      </c>
      <c r="F4" s="346" t="s">
        <v>214</v>
      </c>
      <c r="G4" s="348">
        <v>0.19639999999999999</v>
      </c>
      <c r="H4" s="349">
        <v>168</v>
      </c>
      <c r="I4" s="349">
        <v>33</v>
      </c>
      <c r="J4" s="349">
        <v>0</v>
      </c>
      <c r="K4" s="346" t="s">
        <v>215</v>
      </c>
      <c r="L4" s="350" t="s">
        <v>50</v>
      </c>
      <c r="M4" s="349">
        <v>0</v>
      </c>
      <c r="N4" s="349">
        <v>4</v>
      </c>
      <c r="O4" s="349">
        <v>11</v>
      </c>
      <c r="P4" s="346" t="s">
        <v>364</v>
      </c>
      <c r="Q4" s="342"/>
      <c r="R4" s="342"/>
      <c r="S4" s="342"/>
      <c r="T4" s="342"/>
      <c r="U4" s="342"/>
      <c r="V4" s="342"/>
      <c r="W4" s="342"/>
      <c r="X4" s="342"/>
      <c r="Y4" s="342"/>
      <c r="Z4" s="349" t="s">
        <v>345</v>
      </c>
      <c r="AA4" s="342"/>
      <c r="AB4" s="342"/>
      <c r="AC4" s="349" t="s">
        <v>387</v>
      </c>
      <c r="AD4" s="349" t="s">
        <v>1353</v>
      </c>
      <c r="AE4" s="349" t="s">
        <v>394</v>
      </c>
      <c r="AF4" s="342"/>
      <c r="AG4" s="342"/>
      <c r="AH4" s="342"/>
      <c r="AI4" s="342"/>
      <c r="AJ4" s="342"/>
    </row>
    <row r="5" spans="1:36" x14ac:dyDescent="0.3">
      <c r="A5" s="344" t="s">
        <v>391</v>
      </c>
      <c r="B5" s="345">
        <v>45999</v>
      </c>
      <c r="C5" s="346" t="s">
        <v>1344</v>
      </c>
      <c r="D5" s="347" t="s">
        <v>754</v>
      </c>
      <c r="E5" s="346" t="s">
        <v>1341</v>
      </c>
      <c r="F5" s="346" t="s">
        <v>214</v>
      </c>
      <c r="G5" s="348">
        <v>0.26190000000000002</v>
      </c>
      <c r="H5" s="349">
        <v>168</v>
      </c>
      <c r="I5" s="349">
        <v>44</v>
      </c>
      <c r="J5" s="349">
        <v>0</v>
      </c>
      <c r="K5" s="346" t="s">
        <v>215</v>
      </c>
      <c r="L5" s="350" t="s">
        <v>175</v>
      </c>
      <c r="M5" s="349">
        <v>4</v>
      </c>
      <c r="N5" s="349">
        <v>2</v>
      </c>
      <c r="O5" s="349">
        <v>13</v>
      </c>
      <c r="P5" s="346" t="s">
        <v>586</v>
      </c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9" t="s">
        <v>236</v>
      </c>
      <c r="AE5" s="349" t="s">
        <v>1354</v>
      </c>
      <c r="AF5" s="349" t="s">
        <v>612</v>
      </c>
      <c r="AG5" s="342"/>
      <c r="AH5" s="342"/>
      <c r="AI5" s="342"/>
      <c r="AJ5" s="342"/>
    </row>
    <row r="6" spans="1:36" ht="21" x14ac:dyDescent="0.3">
      <c r="A6" s="351" t="s">
        <v>1574</v>
      </c>
      <c r="B6" s="352"/>
      <c r="C6" s="351">
        <f>SUBTOTAL(103,DMM_ATZ_LF_LEGACY[Flt])</f>
        <v>4</v>
      </c>
      <c r="D6" s="351"/>
      <c r="E6" s="351">
        <f>SUBTOTAL(103,DMM_ATZ_LF_LEGACY[Brd-Off])</f>
        <v>4</v>
      </c>
      <c r="F6" s="351"/>
      <c r="G6" s="353">
        <f>SUBTOTAL(101,DMM_ATZ_LF_LEGACY[LF%])</f>
        <v>0.32590000000000002</v>
      </c>
      <c r="H6" s="354">
        <f>SUBTOTAL(109,DMM_ATZ_LF_LEGACY[CAP])</f>
        <v>672</v>
      </c>
      <c r="I6" s="354">
        <f>SUBTOTAL(109,DMM_ATZ_LF_LEGACY[BKG(Y)])</f>
        <v>219</v>
      </c>
      <c r="J6" s="354">
        <f>SUBTOTAL(109,DMM_ATZ_LF_LEGACY[GRP(Y)])</f>
        <v>0</v>
      </c>
      <c r="K6" s="351"/>
      <c r="L6" s="352"/>
      <c r="M6" s="354">
        <f>SUBTOTAL(109,DMM_ATZ_LF_LEGACY[TO-DAY])</f>
        <v>10</v>
      </c>
      <c r="N6" s="354">
        <f>SUBTOTAL(109,DMM_ATZ_LF_LEGACY[Y-DAY])</f>
        <v>15</v>
      </c>
      <c r="O6" s="354">
        <f>SUBTOTAL(109,DMM_ATZ_LF_LEGACY[WEEKLY])</f>
        <v>70</v>
      </c>
      <c r="P6" s="355"/>
      <c r="Q6" s="354">
        <f>SUBTOTAL(109,DMM_ATZ_LF_LEGACY[Y])</f>
        <v>0</v>
      </c>
      <c r="R6" s="354">
        <f>SUBTOTAL(109,DMM_ATZ_LF_LEGACY[B])</f>
        <v>0</v>
      </c>
      <c r="S6" s="354">
        <f>SUBTOTAL(109,DMM_ATZ_LF_LEGACY[M])</f>
        <v>0</v>
      </c>
      <c r="T6" s="354">
        <f>SUBTOTAL(109,DMM_ATZ_LF_LEGACY[H])</f>
        <v>0</v>
      </c>
      <c r="U6" s="354">
        <f>SUBTOTAL(109,DMM_ATZ_LF_LEGACY[Q])</f>
        <v>0</v>
      </c>
      <c r="V6" s="354">
        <f>SUBTOTAL(109,DMM_ATZ_LF_LEGACY[K])</f>
        <v>0</v>
      </c>
      <c r="W6" s="354">
        <f>SUBTOTAL(109,DMM_ATZ_LF_LEGACY[V])</f>
        <v>0</v>
      </c>
      <c r="X6" s="354">
        <f>SUBTOTAL(109,DMM_ATZ_LF_LEGACY[L])</f>
        <v>0</v>
      </c>
      <c r="Y6" s="354">
        <f>SUBTOTAL(109,DMM_ATZ_LF_LEGACY[G])</f>
        <v>0</v>
      </c>
      <c r="Z6" s="354">
        <f>SUBTOTAL(109,DMM_ATZ_LF_LEGACY[S])</f>
        <v>0</v>
      </c>
      <c r="AA6" s="354">
        <f>SUBTOTAL(109,DMM_ATZ_LF_LEGACY[W])</f>
        <v>0</v>
      </c>
      <c r="AB6" s="354">
        <f>SUBTOTAL(109,DMM_ATZ_LF_LEGACY[T])</f>
        <v>0</v>
      </c>
      <c r="AC6" s="354">
        <f>SUBTOTAL(109,DMM_ATZ_LF_LEGACY[X])</f>
        <v>0</v>
      </c>
      <c r="AD6" s="354">
        <f>SUBTOTAL(109,DMM_ATZ_LF_LEGACY[U])</f>
        <v>0</v>
      </c>
      <c r="AE6" s="354">
        <f>SUBTOTAL(109,DMM_ATZ_LF_LEGACY[O])</f>
        <v>0</v>
      </c>
      <c r="AF6" s="354">
        <f>SUBTOTAL(109,DMM_ATZ_LF_LEGACY[I])</f>
        <v>0</v>
      </c>
      <c r="AG6" s="354">
        <f>SUBTOTAL(109,DMM_ATZ_LF_LEGACY[E])</f>
        <v>0</v>
      </c>
      <c r="AH6" s="354">
        <f>SUBTOTAL(109,DMM_ATZ_LF_LEGACY[A])</f>
        <v>0</v>
      </c>
      <c r="AI6" s="354">
        <f>SUBTOTAL(109,DMM_ATZ_LF_LEGACY[P])</f>
        <v>0</v>
      </c>
      <c r="AJ6" s="354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9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180.441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1355</v>
      </c>
      <c r="B2" s="109" t="s">
        <v>44</v>
      </c>
      <c r="C2" s="110" t="s">
        <v>1342</v>
      </c>
      <c r="D2" s="109" t="s">
        <v>1341</v>
      </c>
      <c r="E2" s="109" t="s">
        <v>1011</v>
      </c>
      <c r="F2" s="109" t="s">
        <v>46</v>
      </c>
      <c r="G2" s="141">
        <v>9</v>
      </c>
      <c r="H2" s="143">
        <v>506</v>
      </c>
      <c r="I2" s="88"/>
    </row>
    <row r="3" spans="1:9" ht="19.8" customHeight="1" x14ac:dyDescent="0.3">
      <c r="A3" s="183"/>
      <c r="B3" s="184"/>
      <c r="C3" s="184"/>
      <c r="D3" s="184"/>
      <c r="E3" s="184"/>
      <c r="F3" s="185" t="s">
        <v>1356</v>
      </c>
      <c r="G3" s="184"/>
      <c r="H3" s="186"/>
      <c r="I3" s="88"/>
    </row>
    <row r="4" spans="1:9" ht="19.8" customHeight="1" x14ac:dyDescent="0.3">
      <c r="A4" s="113">
        <v>45990</v>
      </c>
      <c r="B4" s="114" t="s">
        <v>44</v>
      </c>
      <c r="C4" s="115" t="s">
        <v>367</v>
      </c>
      <c r="D4" s="114" t="s">
        <v>1288</v>
      </c>
      <c r="E4" s="116">
        <v>1.9375</v>
      </c>
      <c r="F4" s="114" t="s">
        <v>369</v>
      </c>
      <c r="G4" s="117">
        <v>2</v>
      </c>
      <c r="H4" s="118" t="s">
        <v>371</v>
      </c>
      <c r="I4" s="88"/>
    </row>
    <row r="5" spans="1:9" ht="19.8" customHeight="1" x14ac:dyDescent="0.3">
      <c r="A5" s="108">
        <v>45992</v>
      </c>
      <c r="B5" s="109" t="s">
        <v>44</v>
      </c>
      <c r="C5" s="110" t="s">
        <v>1342</v>
      </c>
      <c r="D5" s="109" t="s">
        <v>1341</v>
      </c>
      <c r="E5" s="111">
        <v>1.510416666666667</v>
      </c>
      <c r="F5" s="109"/>
      <c r="G5" s="109"/>
      <c r="H5" s="112" t="s">
        <v>363</v>
      </c>
      <c r="I5" s="88"/>
    </row>
    <row r="6" spans="1:9" ht="19.8" customHeight="1" x14ac:dyDescent="0.3">
      <c r="A6" s="108">
        <v>45996</v>
      </c>
      <c r="B6" s="109" t="s">
        <v>44</v>
      </c>
      <c r="C6" s="110" t="s">
        <v>1342</v>
      </c>
      <c r="D6" s="109" t="s">
        <v>1341</v>
      </c>
      <c r="E6" s="111">
        <v>1.291666666666667</v>
      </c>
      <c r="F6" s="109"/>
      <c r="G6" s="109"/>
      <c r="H6" s="112" t="s">
        <v>983</v>
      </c>
      <c r="I6" s="88"/>
    </row>
    <row r="7" spans="1:9" ht="19.8" customHeight="1" x14ac:dyDescent="0.3">
      <c r="A7" s="183"/>
      <c r="B7" s="184"/>
      <c r="C7" s="184"/>
      <c r="D7" s="184"/>
      <c r="E7" s="184"/>
      <c r="F7" s="185" t="s">
        <v>1356</v>
      </c>
      <c r="G7" s="184"/>
      <c r="H7" s="186"/>
      <c r="I7" s="88"/>
    </row>
    <row r="8" spans="1:9" ht="19.8" customHeight="1" x14ac:dyDescent="0.3">
      <c r="A8" s="113">
        <v>45997</v>
      </c>
      <c r="B8" s="114" t="s">
        <v>44</v>
      </c>
      <c r="C8" s="115" t="s">
        <v>367</v>
      </c>
      <c r="D8" s="114" t="s">
        <v>1288</v>
      </c>
      <c r="E8" s="116">
        <v>1.9375</v>
      </c>
      <c r="F8" s="114" t="s">
        <v>369</v>
      </c>
      <c r="G8" s="117">
        <v>9</v>
      </c>
      <c r="H8" s="118" t="s">
        <v>371</v>
      </c>
      <c r="I8" s="88"/>
    </row>
    <row r="9" spans="1:9" ht="19.8" customHeight="1" x14ac:dyDescent="0.3">
      <c r="A9" s="108">
        <v>45999</v>
      </c>
      <c r="B9" s="109" t="s">
        <v>44</v>
      </c>
      <c r="C9" s="110" t="s">
        <v>1342</v>
      </c>
      <c r="D9" s="109" t="s">
        <v>1341</v>
      </c>
      <c r="E9" s="111">
        <v>1.510416666666667</v>
      </c>
      <c r="F9" s="109" t="s">
        <v>46</v>
      </c>
      <c r="G9" s="141">
        <v>1</v>
      </c>
      <c r="H9" s="143">
        <v>476</v>
      </c>
      <c r="I9" s="88"/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90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3.4414062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1357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45982.80432680509</v>
      </c>
      <c r="H2" s="330"/>
      <c r="I2" s="330"/>
      <c r="J2" s="330"/>
      <c r="K2" s="334">
        <v>45982.80432680557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6" t="s">
        <v>404</v>
      </c>
      <c r="B6" s="6" t="s">
        <v>1358</v>
      </c>
      <c r="C6" s="6">
        <v>0.93055555555555547</v>
      </c>
      <c r="D6" s="6" t="s">
        <v>46</v>
      </c>
      <c r="E6" s="6" t="s">
        <v>29</v>
      </c>
      <c r="F6" s="6" t="s">
        <v>1359</v>
      </c>
      <c r="G6" s="328"/>
      <c r="H6" s="7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49.95" customHeight="1" x14ac:dyDescent="0.3">
      <c r="A7" s="50" t="s">
        <v>66</v>
      </c>
      <c r="B7" s="50" t="s">
        <v>1360</v>
      </c>
      <c r="C7" s="50">
        <v>0.12847222222222221</v>
      </c>
      <c r="D7" s="50" t="s">
        <v>829</v>
      </c>
      <c r="E7" s="50" t="s">
        <v>81</v>
      </c>
      <c r="F7" s="50" t="s">
        <v>1361</v>
      </c>
      <c r="G7" s="328"/>
      <c r="H7" s="28"/>
      <c r="I7" s="29"/>
      <c r="J7" s="29"/>
      <c r="K7" s="29"/>
      <c r="L7" s="29"/>
      <c r="M7" s="29"/>
      <c r="N7" s="29"/>
      <c r="O7" s="29"/>
      <c r="P7" s="29"/>
      <c r="Q7" s="29"/>
      <c r="R7" s="30"/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22.05" customHeight="1" x14ac:dyDescent="0.3">
      <c r="A9" s="323" t="s">
        <v>6</v>
      </c>
      <c r="B9" s="324"/>
      <c r="C9" s="324"/>
      <c r="D9" s="324"/>
      <c r="E9" s="324"/>
      <c r="F9" s="324"/>
      <c r="G9" s="2">
        <v>45987</v>
      </c>
      <c r="H9" s="323" t="s">
        <v>7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</row>
    <row r="10" spans="1:18" ht="24" customHeight="1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4" t="s">
        <v>13</v>
      </c>
      <c r="G10" s="5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</row>
    <row r="11" spans="1:18" ht="49.95" customHeight="1" x14ac:dyDescent="0.3">
      <c r="A11" s="6" t="s">
        <v>456</v>
      </c>
      <c r="B11" s="6" t="s">
        <v>1362</v>
      </c>
      <c r="C11" s="6">
        <v>0.63541666666666663</v>
      </c>
      <c r="D11" s="6" t="s">
        <v>458</v>
      </c>
      <c r="E11" s="6" t="s">
        <v>123</v>
      </c>
      <c r="F11" s="6" t="s">
        <v>1181</v>
      </c>
      <c r="G11" s="328"/>
      <c r="H11" s="7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 ht="49.95" customHeight="1" x14ac:dyDescent="0.3">
      <c r="A12" s="10" t="s">
        <v>456</v>
      </c>
      <c r="B12" s="10" t="s">
        <v>1362</v>
      </c>
      <c r="C12" s="10">
        <v>0.63541666666666663</v>
      </c>
      <c r="D12" s="10" t="s">
        <v>34</v>
      </c>
      <c r="E12" s="10" t="s">
        <v>124</v>
      </c>
      <c r="F12" s="10" t="s">
        <v>1363</v>
      </c>
      <c r="G12" s="328"/>
      <c r="H12" s="7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ht="49.95" customHeight="1" x14ac:dyDescent="0.3">
      <c r="A13" s="11" t="s">
        <v>410</v>
      </c>
      <c r="B13" s="11" t="s">
        <v>1364</v>
      </c>
      <c r="C13" s="11">
        <v>0.90625</v>
      </c>
      <c r="D13" s="11" t="s">
        <v>46</v>
      </c>
      <c r="E13" s="11" t="s">
        <v>47</v>
      </c>
      <c r="F13" s="11" t="s">
        <v>623</v>
      </c>
      <c r="G13" s="328"/>
      <c r="H13" s="7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ht="49.95" customHeight="1" x14ac:dyDescent="0.3">
      <c r="A14" s="38" t="s">
        <v>44</v>
      </c>
      <c r="B14" s="38" t="s">
        <v>1365</v>
      </c>
      <c r="C14" s="38">
        <v>0.86458333333333337</v>
      </c>
      <c r="D14" s="38" t="s">
        <v>46</v>
      </c>
      <c r="E14" s="38" t="s">
        <v>47</v>
      </c>
      <c r="F14" s="38" t="s">
        <v>1217</v>
      </c>
      <c r="G14" s="328"/>
      <c r="H14" s="39" t="s">
        <v>1366</v>
      </c>
      <c r="I14" s="293">
        <v>0.17860000000000001</v>
      </c>
      <c r="J14" s="41">
        <v>30</v>
      </c>
      <c r="K14" s="42" t="s">
        <v>50</v>
      </c>
      <c r="L14" s="41">
        <v>10</v>
      </c>
      <c r="M14" s="41">
        <v>0</v>
      </c>
      <c r="N14" s="41">
        <v>6</v>
      </c>
      <c r="O14" s="42" t="s">
        <v>237</v>
      </c>
      <c r="P14" s="42">
        <v>0.86458333333333337</v>
      </c>
      <c r="Q14" s="41">
        <v>168</v>
      </c>
      <c r="R14" s="43" t="s">
        <v>1367</v>
      </c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22.05" customHeight="1" x14ac:dyDescent="0.3">
      <c r="A16" s="323" t="s">
        <v>6</v>
      </c>
      <c r="B16" s="324"/>
      <c r="C16" s="324"/>
      <c r="D16" s="324"/>
      <c r="E16" s="324"/>
      <c r="F16" s="324"/>
      <c r="G16" s="2">
        <v>45988</v>
      </c>
      <c r="H16" s="323" t="s">
        <v>7</v>
      </c>
      <c r="I16" s="324"/>
      <c r="J16" s="324"/>
      <c r="K16" s="324"/>
      <c r="L16" s="324"/>
      <c r="M16" s="324"/>
      <c r="N16" s="324"/>
      <c r="O16" s="324"/>
      <c r="P16" s="324"/>
      <c r="Q16" s="324"/>
      <c r="R16" s="324"/>
    </row>
    <row r="17" spans="1:18" ht="24" customHeight="1" x14ac:dyDescent="0.3">
      <c r="A17" s="3" t="s">
        <v>8</v>
      </c>
      <c r="B17" s="3" t="s">
        <v>9</v>
      </c>
      <c r="C17" s="3" t="s">
        <v>10</v>
      </c>
      <c r="D17" s="3" t="s">
        <v>11</v>
      </c>
      <c r="E17" s="3" t="s">
        <v>12</v>
      </c>
      <c r="F17" s="4" t="s">
        <v>13</v>
      </c>
      <c r="G17" s="5" t="s">
        <v>14</v>
      </c>
      <c r="H17" s="3" t="s">
        <v>15</v>
      </c>
      <c r="I17" s="3" t="s">
        <v>16</v>
      </c>
      <c r="J17" s="3" t="s">
        <v>17</v>
      </c>
      <c r="K17" s="3" t="s">
        <v>18</v>
      </c>
      <c r="L17" s="3" t="s">
        <v>19</v>
      </c>
      <c r="M17" s="3" t="s">
        <v>20</v>
      </c>
      <c r="N17" s="3" t="s">
        <v>21</v>
      </c>
      <c r="O17" s="3" t="s">
        <v>22</v>
      </c>
      <c r="P17" s="3" t="s">
        <v>23</v>
      </c>
      <c r="Q17" s="3" t="s">
        <v>24</v>
      </c>
      <c r="R17" s="3" t="s">
        <v>25</v>
      </c>
    </row>
    <row r="18" spans="1:18" ht="49.95" customHeight="1" x14ac:dyDescent="0.3">
      <c r="A18" s="6" t="s">
        <v>404</v>
      </c>
      <c r="B18" s="6" t="s">
        <v>1358</v>
      </c>
      <c r="C18" s="6">
        <v>0.95486111111111116</v>
      </c>
      <c r="D18" s="6" t="s">
        <v>46</v>
      </c>
      <c r="E18" s="6" t="s">
        <v>132</v>
      </c>
      <c r="F18" s="6" t="s">
        <v>1359</v>
      </c>
      <c r="G18" s="328"/>
      <c r="H18" s="7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1:18" ht="49.95" customHeight="1" x14ac:dyDescent="0.3">
      <c r="A19" s="11" t="s">
        <v>66</v>
      </c>
      <c r="B19" s="11" t="s">
        <v>1360</v>
      </c>
      <c r="C19" s="11">
        <v>0.12847222222222221</v>
      </c>
      <c r="D19" s="11" t="s">
        <v>829</v>
      </c>
      <c r="E19" s="11" t="s">
        <v>47</v>
      </c>
      <c r="F19" s="11" t="s">
        <v>1361</v>
      </c>
      <c r="G19" s="328"/>
      <c r="H19" s="7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ht="49.95" customHeight="1" x14ac:dyDescent="0.3">
      <c r="A20" s="11" t="s">
        <v>410</v>
      </c>
      <c r="B20" s="11" t="s">
        <v>1368</v>
      </c>
      <c r="C20" s="11">
        <v>0.90625</v>
      </c>
      <c r="D20" s="11" t="s">
        <v>46</v>
      </c>
      <c r="E20" s="11" t="s">
        <v>81</v>
      </c>
      <c r="F20" s="11" t="s">
        <v>623</v>
      </c>
      <c r="G20" s="328"/>
      <c r="H20" s="7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ht="49.95" customHeight="1" x14ac:dyDescent="0.3">
      <c r="A21" s="38" t="s">
        <v>44</v>
      </c>
      <c r="B21" s="38" t="s">
        <v>1365</v>
      </c>
      <c r="C21" s="38">
        <v>0.86458333333333337</v>
      </c>
      <c r="D21" s="38" t="s">
        <v>46</v>
      </c>
      <c r="E21" s="38" t="s">
        <v>47</v>
      </c>
      <c r="F21" s="38" t="s">
        <v>407</v>
      </c>
      <c r="G21" s="328"/>
      <c r="H21" s="39" t="s">
        <v>1366</v>
      </c>
      <c r="I21" s="293">
        <v>0.30359999999999998</v>
      </c>
      <c r="J21" s="41">
        <v>51</v>
      </c>
      <c r="K21" s="42" t="s">
        <v>175</v>
      </c>
      <c r="L21" s="41">
        <v>15</v>
      </c>
      <c r="M21" s="41">
        <v>1</v>
      </c>
      <c r="N21" s="41">
        <v>1</v>
      </c>
      <c r="O21" s="42" t="s">
        <v>237</v>
      </c>
      <c r="P21" s="42">
        <v>0.86458333333333337</v>
      </c>
      <c r="Q21" s="41">
        <v>168</v>
      </c>
      <c r="R21" s="43" t="s">
        <v>1369</v>
      </c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22.05" customHeight="1" x14ac:dyDescent="0.3">
      <c r="A23" s="323" t="s">
        <v>6</v>
      </c>
      <c r="B23" s="324"/>
      <c r="C23" s="324"/>
      <c r="D23" s="324"/>
      <c r="E23" s="324"/>
      <c r="F23" s="324"/>
      <c r="G23" s="2">
        <v>45989</v>
      </c>
      <c r="H23" s="323" t="s">
        <v>7</v>
      </c>
      <c r="I23" s="324"/>
      <c r="J23" s="324"/>
      <c r="K23" s="324"/>
      <c r="L23" s="324"/>
      <c r="M23" s="324"/>
      <c r="N23" s="324"/>
      <c r="O23" s="324"/>
      <c r="P23" s="324"/>
      <c r="Q23" s="324"/>
      <c r="R23" s="324"/>
    </row>
    <row r="24" spans="1:18" ht="24" customHeight="1" x14ac:dyDescent="0.3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4" t="s">
        <v>13</v>
      </c>
      <c r="G24" s="5" t="s">
        <v>14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M24" s="3" t="s">
        <v>20</v>
      </c>
      <c r="N24" s="3" t="s">
        <v>21</v>
      </c>
      <c r="O24" s="3" t="s">
        <v>22</v>
      </c>
      <c r="P24" s="3" t="s">
        <v>23</v>
      </c>
      <c r="Q24" s="3" t="s">
        <v>24</v>
      </c>
      <c r="R24" s="3" t="s">
        <v>25</v>
      </c>
    </row>
    <row r="25" spans="1:18" ht="49.95" customHeight="1" x14ac:dyDescent="0.3">
      <c r="A25" s="6" t="s">
        <v>456</v>
      </c>
      <c r="B25" s="6" t="s">
        <v>1362</v>
      </c>
      <c r="C25" s="6">
        <v>0.63541666666666663</v>
      </c>
      <c r="D25" s="6" t="s">
        <v>458</v>
      </c>
      <c r="E25" s="6" t="s">
        <v>123</v>
      </c>
      <c r="F25" s="6" t="s">
        <v>1370</v>
      </c>
      <c r="G25" s="328"/>
      <c r="H25" s="7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ht="49.95" customHeight="1" x14ac:dyDescent="0.3">
      <c r="A26" s="10" t="s">
        <v>456</v>
      </c>
      <c r="B26" s="10" t="s">
        <v>1362</v>
      </c>
      <c r="C26" s="10">
        <v>0.63541666666666663</v>
      </c>
      <c r="D26" s="10" t="s">
        <v>34</v>
      </c>
      <c r="E26" s="10" t="s">
        <v>124</v>
      </c>
      <c r="F26" s="10" t="s">
        <v>1371</v>
      </c>
      <c r="G26" s="328"/>
      <c r="H26" s="7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1:18" ht="49.95" customHeight="1" x14ac:dyDescent="0.3">
      <c r="A27" s="11" t="s">
        <v>66</v>
      </c>
      <c r="B27" s="11" t="s">
        <v>1360</v>
      </c>
      <c r="C27" s="11">
        <v>0.12847222222222221</v>
      </c>
      <c r="D27" s="11" t="s">
        <v>829</v>
      </c>
      <c r="E27" s="11" t="s">
        <v>47</v>
      </c>
      <c r="F27" s="11" t="s">
        <v>1361</v>
      </c>
      <c r="G27" s="328"/>
      <c r="H27" s="7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1:18" ht="49.95" customHeight="1" x14ac:dyDescent="0.3">
      <c r="A28" s="50" t="s">
        <v>410</v>
      </c>
      <c r="B28" s="50" t="s">
        <v>1364</v>
      </c>
      <c r="C28" s="50">
        <v>0.90625</v>
      </c>
      <c r="D28" s="50" t="s">
        <v>46</v>
      </c>
      <c r="E28" s="50" t="s">
        <v>47</v>
      </c>
      <c r="F28" s="50" t="s">
        <v>623</v>
      </c>
      <c r="G28" s="328"/>
      <c r="H28" s="28"/>
      <c r="I28" s="29"/>
      <c r="J28" s="29"/>
      <c r="K28" s="29"/>
      <c r="L28" s="29"/>
      <c r="M28" s="29"/>
      <c r="N28" s="29"/>
      <c r="O28" s="29"/>
      <c r="P28" s="29"/>
      <c r="Q28" s="29"/>
      <c r="R28" s="30"/>
    </row>
    <row r="29" spans="1:18" ht="17.399999999999999" customHeight="1" x14ac:dyDescent="0.3">
      <c r="A29" s="360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2"/>
    </row>
    <row r="30" spans="1:18" ht="22.05" customHeight="1" x14ac:dyDescent="0.3">
      <c r="A30" s="323" t="s">
        <v>6</v>
      </c>
      <c r="B30" s="324"/>
      <c r="C30" s="324"/>
      <c r="D30" s="324"/>
      <c r="E30" s="324"/>
      <c r="F30" s="324"/>
      <c r="G30" s="2">
        <v>45990</v>
      </c>
      <c r="H30" s="323" t="s">
        <v>7</v>
      </c>
      <c r="I30" s="324"/>
      <c r="J30" s="324"/>
      <c r="K30" s="324"/>
      <c r="L30" s="324"/>
      <c r="M30" s="324"/>
      <c r="N30" s="324"/>
      <c r="O30" s="324"/>
      <c r="P30" s="324"/>
      <c r="Q30" s="324"/>
      <c r="R30" s="324"/>
    </row>
    <row r="31" spans="1:18" ht="24" customHeight="1" x14ac:dyDescent="0.3">
      <c r="A31" s="3" t="s">
        <v>8</v>
      </c>
      <c r="B31" s="3" t="s">
        <v>9</v>
      </c>
      <c r="C31" s="3" t="s">
        <v>10</v>
      </c>
      <c r="D31" s="3" t="s">
        <v>11</v>
      </c>
      <c r="E31" s="3" t="s">
        <v>12</v>
      </c>
      <c r="F31" s="4" t="s">
        <v>13</v>
      </c>
      <c r="G31" s="5" t="s">
        <v>14</v>
      </c>
      <c r="H31" s="3" t="s">
        <v>15</v>
      </c>
      <c r="I31" s="3" t="s">
        <v>16</v>
      </c>
      <c r="J31" s="3" t="s">
        <v>17</v>
      </c>
      <c r="K31" s="3" t="s">
        <v>18</v>
      </c>
      <c r="L31" s="3" t="s">
        <v>19</v>
      </c>
      <c r="M31" s="3" t="s">
        <v>20</v>
      </c>
      <c r="N31" s="3" t="s">
        <v>21</v>
      </c>
      <c r="O31" s="3" t="s">
        <v>22</v>
      </c>
      <c r="P31" s="3" t="s">
        <v>23</v>
      </c>
      <c r="Q31" s="3" t="s">
        <v>24</v>
      </c>
      <c r="R31" s="3" t="s">
        <v>25</v>
      </c>
    </row>
    <row r="32" spans="1:18" ht="49.95" customHeight="1" x14ac:dyDescent="0.3">
      <c r="A32" s="6" t="s">
        <v>404</v>
      </c>
      <c r="B32" s="6" t="s">
        <v>1358</v>
      </c>
      <c r="C32" s="6">
        <v>0.1701388888888889</v>
      </c>
      <c r="D32" s="6" t="s">
        <v>46</v>
      </c>
      <c r="E32" s="6" t="s">
        <v>132</v>
      </c>
      <c r="F32" s="6" t="s">
        <v>1359</v>
      </c>
      <c r="G32" s="328"/>
      <c r="H32" s="7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1:18" ht="49.95" customHeight="1" x14ac:dyDescent="0.3">
      <c r="A33" s="11" t="s">
        <v>66</v>
      </c>
      <c r="B33" s="11" t="s">
        <v>1360</v>
      </c>
      <c r="C33" s="11">
        <v>0.12847222222222221</v>
      </c>
      <c r="D33" s="11" t="s">
        <v>829</v>
      </c>
      <c r="E33" s="11" t="s">
        <v>47</v>
      </c>
      <c r="F33" s="11" t="s">
        <v>1361</v>
      </c>
      <c r="G33" s="328"/>
      <c r="H33" s="7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ht="49.95" customHeight="1" x14ac:dyDescent="0.3">
      <c r="A34" s="11" t="s">
        <v>410</v>
      </c>
      <c r="B34" s="11" t="s">
        <v>1368</v>
      </c>
      <c r="C34" s="11">
        <v>0.90625</v>
      </c>
      <c r="D34" s="11" t="s">
        <v>46</v>
      </c>
      <c r="E34" s="11" t="s">
        <v>81</v>
      </c>
      <c r="F34" s="11" t="s">
        <v>623</v>
      </c>
      <c r="G34" s="328"/>
      <c r="H34" s="7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ht="49.95" customHeight="1" x14ac:dyDescent="0.3">
      <c r="A35" s="32" t="s">
        <v>44</v>
      </c>
      <c r="B35" s="32" t="s">
        <v>1365</v>
      </c>
      <c r="C35" s="32">
        <v>0.98958333333333337</v>
      </c>
      <c r="D35" s="32" t="s">
        <v>46</v>
      </c>
      <c r="E35" s="32" t="s">
        <v>47</v>
      </c>
      <c r="F35" s="32" t="s">
        <v>407</v>
      </c>
      <c r="G35" s="328"/>
      <c r="H35" s="33" t="s">
        <v>1366</v>
      </c>
      <c r="I35" s="291">
        <v>0.16070000000000001</v>
      </c>
      <c r="J35" s="35">
        <v>27</v>
      </c>
      <c r="K35" s="36" t="s">
        <v>50</v>
      </c>
      <c r="L35" s="35">
        <v>12</v>
      </c>
      <c r="M35" s="35">
        <v>0</v>
      </c>
      <c r="N35" s="35">
        <v>4</v>
      </c>
      <c r="O35" s="36" t="s">
        <v>237</v>
      </c>
      <c r="P35" s="36">
        <v>0.98958333333333337</v>
      </c>
      <c r="Q35" s="35">
        <v>168</v>
      </c>
      <c r="R35" s="37" t="s">
        <v>1372</v>
      </c>
    </row>
    <row r="36" spans="1:18" ht="17.399999999999999" customHeight="1" x14ac:dyDescent="0.3">
      <c r="A36" s="360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2"/>
    </row>
    <row r="37" spans="1:18" ht="22.05" customHeight="1" x14ac:dyDescent="0.3">
      <c r="A37" s="323" t="s">
        <v>6</v>
      </c>
      <c r="B37" s="324"/>
      <c r="C37" s="324"/>
      <c r="D37" s="324"/>
      <c r="E37" s="324"/>
      <c r="F37" s="324"/>
      <c r="G37" s="2">
        <v>45991</v>
      </c>
      <c r="H37" s="323" t="s">
        <v>7</v>
      </c>
      <c r="I37" s="324"/>
      <c r="J37" s="324"/>
      <c r="K37" s="324"/>
      <c r="L37" s="324"/>
      <c r="M37" s="324"/>
      <c r="N37" s="324"/>
      <c r="O37" s="324"/>
      <c r="P37" s="324"/>
      <c r="Q37" s="324"/>
      <c r="R37" s="324"/>
    </row>
    <row r="38" spans="1:18" ht="24" customHeight="1" x14ac:dyDescent="0.3">
      <c r="A38" s="3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4" t="s">
        <v>13</v>
      </c>
      <c r="G38" s="5" t="s">
        <v>14</v>
      </c>
      <c r="H38" s="3" t="s">
        <v>15</v>
      </c>
      <c r="I38" s="3" t="s">
        <v>16</v>
      </c>
      <c r="J38" s="3" t="s">
        <v>17</v>
      </c>
      <c r="K38" s="3" t="s">
        <v>18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  <c r="Q38" s="3" t="s">
        <v>24</v>
      </c>
      <c r="R38" s="3" t="s">
        <v>25</v>
      </c>
    </row>
    <row r="39" spans="1:18" ht="49.95" customHeight="1" x14ac:dyDescent="0.3">
      <c r="A39" s="6" t="s">
        <v>404</v>
      </c>
      <c r="B39" s="6" t="s">
        <v>1358</v>
      </c>
      <c r="C39" s="6">
        <v>0.86458333333333337</v>
      </c>
      <c r="D39" s="6" t="s">
        <v>46</v>
      </c>
      <c r="E39" s="6" t="s">
        <v>132</v>
      </c>
      <c r="F39" s="6" t="s">
        <v>1359</v>
      </c>
      <c r="G39" s="328"/>
      <c r="H39" s="7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1:18" ht="49.95" customHeight="1" x14ac:dyDescent="0.3">
      <c r="A40" s="50" t="s">
        <v>410</v>
      </c>
      <c r="B40" s="50" t="s">
        <v>1373</v>
      </c>
      <c r="C40" s="50">
        <v>0.90625</v>
      </c>
      <c r="D40" s="50" t="s">
        <v>46</v>
      </c>
      <c r="E40" s="50" t="s">
        <v>47</v>
      </c>
      <c r="F40" s="50" t="s">
        <v>623</v>
      </c>
      <c r="G40" s="328"/>
      <c r="H40" s="28"/>
      <c r="I40" s="29"/>
      <c r="J40" s="29"/>
      <c r="K40" s="29"/>
      <c r="L40" s="29"/>
      <c r="M40" s="29"/>
      <c r="N40" s="29"/>
      <c r="O40" s="29"/>
      <c r="P40" s="29"/>
      <c r="Q40" s="29"/>
      <c r="R40" s="30"/>
    </row>
    <row r="41" spans="1:18" ht="17.399999999999999" customHeight="1" x14ac:dyDescent="0.3">
      <c r="A41" s="360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  <c r="Q41" s="361"/>
      <c r="R41" s="362"/>
    </row>
    <row r="42" spans="1:18" ht="22.05" customHeight="1" x14ac:dyDescent="0.3">
      <c r="A42" s="323" t="s">
        <v>6</v>
      </c>
      <c r="B42" s="324"/>
      <c r="C42" s="324"/>
      <c r="D42" s="324"/>
      <c r="E42" s="324"/>
      <c r="F42" s="324"/>
      <c r="G42" s="2">
        <v>45992</v>
      </c>
      <c r="H42" s="323" t="s">
        <v>7</v>
      </c>
      <c r="I42" s="324"/>
      <c r="J42" s="324"/>
      <c r="K42" s="324"/>
      <c r="L42" s="324"/>
      <c r="M42" s="324"/>
      <c r="N42" s="324"/>
      <c r="O42" s="324"/>
      <c r="P42" s="324"/>
      <c r="Q42" s="324"/>
      <c r="R42" s="324"/>
    </row>
    <row r="43" spans="1:18" ht="24" customHeight="1" x14ac:dyDescent="0.3">
      <c r="A43" s="3" t="s">
        <v>8</v>
      </c>
      <c r="B43" s="3" t="s">
        <v>9</v>
      </c>
      <c r="C43" s="3" t="s">
        <v>10</v>
      </c>
      <c r="D43" s="3" t="s">
        <v>11</v>
      </c>
      <c r="E43" s="3" t="s">
        <v>12</v>
      </c>
      <c r="F43" s="4" t="s">
        <v>13</v>
      </c>
      <c r="G43" s="5" t="s">
        <v>14</v>
      </c>
      <c r="H43" s="3" t="s">
        <v>15</v>
      </c>
      <c r="I43" s="3" t="s">
        <v>16</v>
      </c>
      <c r="J43" s="3" t="s">
        <v>17</v>
      </c>
      <c r="K43" s="3" t="s">
        <v>18</v>
      </c>
      <c r="L43" s="3" t="s">
        <v>19</v>
      </c>
      <c r="M43" s="3" t="s">
        <v>20</v>
      </c>
      <c r="N43" s="3" t="s">
        <v>21</v>
      </c>
      <c r="O43" s="3" t="s">
        <v>22</v>
      </c>
      <c r="P43" s="3" t="s">
        <v>23</v>
      </c>
      <c r="Q43" s="3" t="s">
        <v>24</v>
      </c>
      <c r="R43" s="3" t="s">
        <v>25</v>
      </c>
    </row>
    <row r="44" spans="1:18" ht="49.95" customHeight="1" x14ac:dyDescent="0.3">
      <c r="A44" s="6" t="s">
        <v>456</v>
      </c>
      <c r="B44" s="6" t="s">
        <v>1362</v>
      </c>
      <c r="C44" s="6">
        <v>0.67708333333333337</v>
      </c>
      <c r="D44" s="6" t="s">
        <v>458</v>
      </c>
      <c r="E44" s="6" t="s">
        <v>123</v>
      </c>
      <c r="F44" s="6" t="s">
        <v>1181</v>
      </c>
      <c r="G44" s="328"/>
      <c r="H44" s="7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ht="49.95" customHeight="1" x14ac:dyDescent="0.3">
      <c r="A45" s="10" t="s">
        <v>456</v>
      </c>
      <c r="B45" s="10" t="s">
        <v>1362</v>
      </c>
      <c r="C45" s="10">
        <v>0.67708333333333337</v>
      </c>
      <c r="D45" s="10" t="s">
        <v>34</v>
      </c>
      <c r="E45" s="10" t="s">
        <v>124</v>
      </c>
      <c r="F45" s="10" t="s">
        <v>1363</v>
      </c>
      <c r="G45" s="328"/>
      <c r="H45" s="7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1:18" ht="49.95" customHeight="1" x14ac:dyDescent="0.3">
      <c r="A46" s="50" t="s">
        <v>410</v>
      </c>
      <c r="B46" s="50" t="s">
        <v>1364</v>
      </c>
      <c r="C46" s="50">
        <v>0.86458333333333337</v>
      </c>
      <c r="D46" s="50" t="s">
        <v>46</v>
      </c>
      <c r="E46" s="50" t="s">
        <v>81</v>
      </c>
      <c r="F46" s="50" t="s">
        <v>623</v>
      </c>
      <c r="G46" s="328"/>
      <c r="H46" s="28"/>
      <c r="I46" s="29"/>
      <c r="J46" s="29"/>
      <c r="K46" s="29"/>
      <c r="L46" s="29"/>
      <c r="M46" s="29"/>
      <c r="N46" s="29"/>
      <c r="O46" s="29"/>
      <c r="P46" s="29"/>
      <c r="Q46" s="29"/>
      <c r="R46" s="30"/>
    </row>
    <row r="47" spans="1:18" ht="17.399999999999999" customHeight="1" x14ac:dyDescent="0.3">
      <c r="A47" s="360"/>
      <c r="B47" s="361"/>
      <c r="C47" s="361"/>
      <c r="D47" s="361"/>
      <c r="E47" s="361"/>
      <c r="F47" s="361"/>
      <c r="G47" s="361"/>
      <c r="H47" s="361"/>
      <c r="I47" s="361"/>
      <c r="J47" s="361"/>
      <c r="K47" s="361"/>
      <c r="L47" s="361"/>
      <c r="M47" s="361"/>
      <c r="N47" s="361"/>
      <c r="O47" s="361"/>
      <c r="P47" s="361"/>
      <c r="Q47" s="361"/>
      <c r="R47" s="362"/>
    </row>
    <row r="48" spans="1:18" ht="22.05" customHeight="1" x14ac:dyDescent="0.3">
      <c r="A48" s="323" t="s">
        <v>6</v>
      </c>
      <c r="B48" s="324"/>
      <c r="C48" s="324"/>
      <c r="D48" s="324"/>
      <c r="E48" s="324"/>
      <c r="F48" s="324"/>
      <c r="G48" s="2">
        <v>45993</v>
      </c>
      <c r="H48" s="323" t="s">
        <v>7</v>
      </c>
      <c r="I48" s="324"/>
      <c r="J48" s="324"/>
      <c r="K48" s="324"/>
      <c r="L48" s="324"/>
      <c r="M48" s="324"/>
      <c r="N48" s="324"/>
      <c r="O48" s="324"/>
      <c r="P48" s="324"/>
      <c r="Q48" s="324"/>
      <c r="R48" s="324"/>
    </row>
    <row r="49" spans="1:18" ht="24" customHeight="1" x14ac:dyDescent="0.3">
      <c r="A49" s="3" t="s">
        <v>8</v>
      </c>
      <c r="B49" s="3" t="s">
        <v>9</v>
      </c>
      <c r="C49" s="3" t="s">
        <v>10</v>
      </c>
      <c r="D49" s="3" t="s">
        <v>11</v>
      </c>
      <c r="E49" s="3" t="s">
        <v>12</v>
      </c>
      <c r="F49" s="4" t="s">
        <v>13</v>
      </c>
      <c r="G49" s="5" t="s">
        <v>14</v>
      </c>
      <c r="H49" s="3" t="s">
        <v>15</v>
      </c>
      <c r="I49" s="3" t="s">
        <v>16</v>
      </c>
      <c r="J49" s="3" t="s">
        <v>17</v>
      </c>
      <c r="K49" s="3" t="s">
        <v>18</v>
      </c>
      <c r="L49" s="3" t="s">
        <v>19</v>
      </c>
      <c r="M49" s="3" t="s">
        <v>20</v>
      </c>
      <c r="N49" s="3" t="s">
        <v>21</v>
      </c>
      <c r="O49" s="3" t="s">
        <v>22</v>
      </c>
      <c r="P49" s="3" t="s">
        <v>23</v>
      </c>
      <c r="Q49" s="3" t="s">
        <v>24</v>
      </c>
      <c r="R49" s="3" t="s">
        <v>25</v>
      </c>
    </row>
    <row r="50" spans="1:18" ht="49.95" customHeight="1" x14ac:dyDescent="0.3">
      <c r="A50" s="6" t="s">
        <v>66</v>
      </c>
      <c r="B50" s="6" t="s">
        <v>1360</v>
      </c>
      <c r="C50" s="6">
        <v>0.12847222222222221</v>
      </c>
      <c r="D50" s="6" t="s">
        <v>829</v>
      </c>
      <c r="E50" s="6" t="s">
        <v>47</v>
      </c>
      <c r="F50" s="6" t="s">
        <v>1361</v>
      </c>
      <c r="G50" s="328"/>
      <c r="H50" s="7"/>
      <c r="I50" s="8"/>
      <c r="J50" s="8"/>
      <c r="K50" s="8"/>
      <c r="L50" s="8"/>
      <c r="M50" s="8"/>
      <c r="N50" s="8"/>
      <c r="O50" s="8"/>
      <c r="P50" s="8"/>
      <c r="Q50" s="8"/>
      <c r="R50" s="9"/>
    </row>
    <row r="51" spans="1:18" ht="49.95" customHeight="1" x14ac:dyDescent="0.3">
      <c r="A51" s="50" t="s">
        <v>404</v>
      </c>
      <c r="B51" s="50" t="s">
        <v>1358</v>
      </c>
      <c r="C51" s="50">
        <v>0.93055555555555547</v>
      </c>
      <c r="D51" s="50" t="s">
        <v>46</v>
      </c>
      <c r="E51" s="50" t="s">
        <v>47</v>
      </c>
      <c r="F51" s="50" t="s">
        <v>623</v>
      </c>
      <c r="G51" s="328"/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30"/>
    </row>
    <row r="52" spans="1:18" ht="17.399999999999999" customHeight="1" x14ac:dyDescent="0.3">
      <c r="A52" s="360"/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2"/>
    </row>
    <row r="53" spans="1:18" ht="22.05" customHeight="1" x14ac:dyDescent="0.3">
      <c r="A53" s="323" t="s">
        <v>6</v>
      </c>
      <c r="B53" s="324"/>
      <c r="C53" s="324"/>
      <c r="D53" s="324"/>
      <c r="E53" s="324"/>
      <c r="F53" s="324"/>
      <c r="G53" s="2">
        <v>45994</v>
      </c>
      <c r="H53" s="323" t="s">
        <v>7</v>
      </c>
      <c r="I53" s="324"/>
      <c r="J53" s="324"/>
      <c r="K53" s="324"/>
      <c r="L53" s="324"/>
      <c r="M53" s="324"/>
      <c r="N53" s="324"/>
      <c r="O53" s="324"/>
      <c r="P53" s="324"/>
      <c r="Q53" s="324"/>
      <c r="R53" s="324"/>
    </row>
    <row r="54" spans="1:18" ht="24" customHeight="1" x14ac:dyDescent="0.3">
      <c r="A54" s="3" t="s">
        <v>8</v>
      </c>
      <c r="B54" s="3" t="s">
        <v>9</v>
      </c>
      <c r="C54" s="3" t="s">
        <v>10</v>
      </c>
      <c r="D54" s="3" t="s">
        <v>11</v>
      </c>
      <c r="E54" s="3" t="s">
        <v>12</v>
      </c>
      <c r="F54" s="4" t="s">
        <v>13</v>
      </c>
      <c r="G54" s="5" t="s">
        <v>14</v>
      </c>
      <c r="H54" s="3" t="s">
        <v>15</v>
      </c>
      <c r="I54" s="3" t="s">
        <v>16</v>
      </c>
      <c r="J54" s="3" t="s">
        <v>17</v>
      </c>
      <c r="K54" s="3" t="s">
        <v>18</v>
      </c>
      <c r="L54" s="3" t="s">
        <v>19</v>
      </c>
      <c r="M54" s="3" t="s">
        <v>20</v>
      </c>
      <c r="N54" s="3" t="s">
        <v>21</v>
      </c>
      <c r="O54" s="3" t="s">
        <v>22</v>
      </c>
      <c r="P54" s="3" t="s">
        <v>23</v>
      </c>
      <c r="Q54" s="3" t="s">
        <v>24</v>
      </c>
      <c r="R54" s="3" t="s">
        <v>25</v>
      </c>
    </row>
    <row r="55" spans="1:18" ht="49.95" customHeight="1" x14ac:dyDescent="0.3">
      <c r="A55" s="6" t="s">
        <v>410</v>
      </c>
      <c r="B55" s="6" t="s">
        <v>1364</v>
      </c>
      <c r="C55" s="6">
        <v>0.90625</v>
      </c>
      <c r="D55" s="6" t="s">
        <v>46</v>
      </c>
      <c r="E55" s="6" t="s">
        <v>134</v>
      </c>
      <c r="F55" s="6" t="s">
        <v>623</v>
      </c>
      <c r="G55" s="328"/>
      <c r="H55" s="7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ht="49.95" customHeight="1" x14ac:dyDescent="0.3">
      <c r="A56" s="69" t="s">
        <v>44</v>
      </c>
      <c r="B56" s="69" t="s">
        <v>1365</v>
      </c>
      <c r="C56" s="69">
        <v>0.86458333333333337</v>
      </c>
      <c r="D56" s="69" t="s">
        <v>46</v>
      </c>
      <c r="E56" s="69" t="s">
        <v>47</v>
      </c>
      <c r="F56" s="69" t="s">
        <v>1217</v>
      </c>
      <c r="G56" s="328"/>
      <c r="H56" s="70" t="s">
        <v>1366</v>
      </c>
      <c r="I56" s="294">
        <v>0.41239999999999999</v>
      </c>
      <c r="J56" s="72">
        <v>40</v>
      </c>
      <c r="K56" s="73" t="s">
        <v>63</v>
      </c>
      <c r="L56" s="72">
        <v>3</v>
      </c>
      <c r="M56" s="72">
        <v>0</v>
      </c>
      <c r="N56" s="72">
        <v>0</v>
      </c>
      <c r="O56" s="73" t="s">
        <v>237</v>
      </c>
      <c r="P56" s="73">
        <v>0.86458333333333337</v>
      </c>
      <c r="Q56" s="72">
        <v>97</v>
      </c>
      <c r="R56" s="74" t="s">
        <v>1374</v>
      </c>
    </row>
    <row r="57" spans="1:18" ht="17.399999999999999" customHeight="1" x14ac:dyDescent="0.3">
      <c r="A57" s="360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2"/>
    </row>
    <row r="58" spans="1:18" ht="22.05" customHeight="1" x14ac:dyDescent="0.3">
      <c r="A58" s="323" t="s">
        <v>6</v>
      </c>
      <c r="B58" s="324"/>
      <c r="C58" s="324"/>
      <c r="D58" s="324"/>
      <c r="E58" s="324"/>
      <c r="F58" s="324"/>
      <c r="G58" s="2">
        <v>45995</v>
      </c>
      <c r="H58" s="323" t="s">
        <v>7</v>
      </c>
      <c r="I58" s="324"/>
      <c r="J58" s="324"/>
      <c r="K58" s="324"/>
      <c r="L58" s="324"/>
      <c r="M58" s="324"/>
      <c r="N58" s="324"/>
      <c r="O58" s="324"/>
      <c r="P58" s="324"/>
      <c r="Q58" s="324"/>
      <c r="R58" s="324"/>
    </row>
    <row r="59" spans="1:18" ht="24" customHeight="1" x14ac:dyDescent="0.3">
      <c r="A59" s="3" t="s">
        <v>8</v>
      </c>
      <c r="B59" s="3" t="s">
        <v>9</v>
      </c>
      <c r="C59" s="3" t="s">
        <v>10</v>
      </c>
      <c r="D59" s="3" t="s">
        <v>11</v>
      </c>
      <c r="E59" s="3" t="s">
        <v>12</v>
      </c>
      <c r="F59" s="4" t="s">
        <v>13</v>
      </c>
      <c r="G59" s="5" t="s">
        <v>14</v>
      </c>
      <c r="H59" s="3" t="s">
        <v>15</v>
      </c>
      <c r="I59" s="3" t="s">
        <v>16</v>
      </c>
      <c r="J59" s="3" t="s">
        <v>17</v>
      </c>
      <c r="K59" s="3" t="s">
        <v>18</v>
      </c>
      <c r="L59" s="3" t="s">
        <v>19</v>
      </c>
      <c r="M59" s="3" t="s">
        <v>20</v>
      </c>
      <c r="N59" s="3" t="s">
        <v>21</v>
      </c>
      <c r="O59" s="3" t="s">
        <v>22</v>
      </c>
      <c r="P59" s="3" t="s">
        <v>23</v>
      </c>
      <c r="Q59" s="3" t="s">
        <v>24</v>
      </c>
      <c r="R59" s="3" t="s">
        <v>25</v>
      </c>
    </row>
    <row r="60" spans="1:18" ht="49.95" customHeight="1" x14ac:dyDescent="0.3">
      <c r="A60" s="6" t="s">
        <v>66</v>
      </c>
      <c r="B60" s="6" t="s">
        <v>1360</v>
      </c>
      <c r="C60" s="6">
        <v>0.12847222222222221</v>
      </c>
      <c r="D60" s="6" t="s">
        <v>829</v>
      </c>
      <c r="E60" s="6" t="s">
        <v>47</v>
      </c>
      <c r="F60" s="6" t="s">
        <v>1361</v>
      </c>
      <c r="G60" s="328"/>
      <c r="H60" s="7"/>
      <c r="I60" s="8"/>
      <c r="J60" s="8"/>
      <c r="K60" s="8"/>
      <c r="L60" s="8"/>
      <c r="M60" s="8"/>
      <c r="N60" s="8"/>
      <c r="O60" s="8"/>
      <c r="P60" s="8"/>
      <c r="Q60" s="8"/>
      <c r="R60" s="9"/>
    </row>
    <row r="61" spans="1:18" ht="49.95" customHeight="1" x14ac:dyDescent="0.3">
      <c r="A61" s="11" t="s">
        <v>404</v>
      </c>
      <c r="B61" s="11" t="s">
        <v>1358</v>
      </c>
      <c r="C61" s="11">
        <v>0.95486111111111116</v>
      </c>
      <c r="D61" s="11" t="s">
        <v>46</v>
      </c>
      <c r="E61" s="11" t="s">
        <v>47</v>
      </c>
      <c r="F61" s="11" t="s">
        <v>623</v>
      </c>
      <c r="G61" s="328"/>
      <c r="H61" s="7"/>
      <c r="I61" s="8"/>
      <c r="J61" s="8"/>
      <c r="K61" s="8"/>
      <c r="L61" s="8"/>
      <c r="M61" s="8"/>
      <c r="N61" s="8"/>
      <c r="O61" s="8"/>
      <c r="P61" s="8"/>
      <c r="Q61" s="8"/>
      <c r="R61" s="9"/>
    </row>
    <row r="62" spans="1:18" ht="49.95" customHeight="1" x14ac:dyDescent="0.3">
      <c r="A62" s="11" t="s">
        <v>410</v>
      </c>
      <c r="B62" s="11" t="s">
        <v>1368</v>
      </c>
      <c r="C62" s="11">
        <v>0.90625</v>
      </c>
      <c r="D62" s="11" t="s">
        <v>46</v>
      </c>
      <c r="E62" s="11" t="s">
        <v>29</v>
      </c>
      <c r="F62" s="11" t="s">
        <v>623</v>
      </c>
      <c r="G62" s="328"/>
      <c r="H62" s="7"/>
      <c r="I62" s="8"/>
      <c r="J62" s="8"/>
      <c r="K62" s="8"/>
      <c r="L62" s="8"/>
      <c r="M62" s="8"/>
      <c r="N62" s="8"/>
      <c r="O62" s="8"/>
      <c r="P62" s="8"/>
      <c r="Q62" s="8"/>
      <c r="R62" s="9"/>
    </row>
    <row r="63" spans="1:18" ht="49.95" customHeight="1" x14ac:dyDescent="0.3">
      <c r="A63" s="126" t="s">
        <v>44</v>
      </c>
      <c r="B63" s="126" t="s">
        <v>1365</v>
      </c>
      <c r="C63" s="126">
        <v>0.86458333333333337</v>
      </c>
      <c r="D63" s="126" t="s">
        <v>46</v>
      </c>
      <c r="E63" s="126" t="s">
        <v>47</v>
      </c>
      <c r="F63" s="126" t="s">
        <v>407</v>
      </c>
      <c r="G63" s="328"/>
      <c r="H63" s="120" t="s">
        <v>1366</v>
      </c>
      <c r="I63" s="287">
        <v>0.34520000000000001</v>
      </c>
      <c r="J63" s="122">
        <v>58</v>
      </c>
      <c r="K63" s="123" t="s">
        <v>175</v>
      </c>
      <c r="L63" s="122">
        <v>11</v>
      </c>
      <c r="M63" s="122">
        <v>2</v>
      </c>
      <c r="N63" s="122">
        <v>3</v>
      </c>
      <c r="O63" s="123" t="s">
        <v>237</v>
      </c>
      <c r="P63" s="123">
        <v>0.86458333333333337</v>
      </c>
      <c r="Q63" s="122">
        <v>168</v>
      </c>
      <c r="R63" s="124" t="s">
        <v>1375</v>
      </c>
    </row>
    <row r="64" spans="1:18" ht="17.399999999999999" customHeight="1" x14ac:dyDescent="0.3">
      <c r="A64" s="360"/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2"/>
    </row>
    <row r="65" spans="1:18" ht="22.05" customHeight="1" x14ac:dyDescent="0.3">
      <c r="A65" s="323" t="s">
        <v>6</v>
      </c>
      <c r="B65" s="324"/>
      <c r="C65" s="324"/>
      <c r="D65" s="324"/>
      <c r="E65" s="324"/>
      <c r="F65" s="324"/>
      <c r="G65" s="2">
        <v>45996</v>
      </c>
      <c r="H65" s="323" t="s">
        <v>7</v>
      </c>
      <c r="I65" s="324"/>
      <c r="J65" s="324"/>
      <c r="K65" s="324"/>
      <c r="L65" s="324"/>
      <c r="M65" s="324"/>
      <c r="N65" s="324"/>
      <c r="O65" s="324"/>
      <c r="P65" s="324"/>
      <c r="Q65" s="324"/>
      <c r="R65" s="324"/>
    </row>
    <row r="66" spans="1:18" ht="24" customHeight="1" x14ac:dyDescent="0.3">
      <c r="A66" s="3" t="s">
        <v>8</v>
      </c>
      <c r="B66" s="3" t="s">
        <v>9</v>
      </c>
      <c r="C66" s="3" t="s">
        <v>10</v>
      </c>
      <c r="D66" s="3" t="s">
        <v>11</v>
      </c>
      <c r="E66" s="3" t="s">
        <v>12</v>
      </c>
      <c r="F66" s="4" t="s">
        <v>13</v>
      </c>
      <c r="G66" s="5" t="s">
        <v>14</v>
      </c>
      <c r="H66" s="3" t="s">
        <v>15</v>
      </c>
      <c r="I66" s="3" t="s">
        <v>16</v>
      </c>
      <c r="J66" s="3" t="s">
        <v>17</v>
      </c>
      <c r="K66" s="3" t="s">
        <v>18</v>
      </c>
      <c r="L66" s="3" t="s">
        <v>19</v>
      </c>
      <c r="M66" s="3" t="s">
        <v>20</v>
      </c>
      <c r="N66" s="3" t="s">
        <v>21</v>
      </c>
      <c r="O66" s="3" t="s">
        <v>22</v>
      </c>
      <c r="P66" s="3" t="s">
        <v>23</v>
      </c>
      <c r="Q66" s="3" t="s">
        <v>24</v>
      </c>
      <c r="R66" s="3" t="s">
        <v>25</v>
      </c>
    </row>
    <row r="67" spans="1:18" ht="49.95" customHeight="1" x14ac:dyDescent="0.3">
      <c r="A67" s="6" t="s">
        <v>66</v>
      </c>
      <c r="B67" s="6" t="s">
        <v>1360</v>
      </c>
      <c r="C67" s="6">
        <v>0.12847222222222221</v>
      </c>
      <c r="D67" s="6" t="s">
        <v>829</v>
      </c>
      <c r="E67" s="6" t="s">
        <v>134</v>
      </c>
      <c r="F67" s="6" t="s">
        <v>1361</v>
      </c>
      <c r="G67" s="328"/>
      <c r="H67" s="7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ht="49.95" customHeight="1" x14ac:dyDescent="0.3">
      <c r="A68" s="50" t="s">
        <v>410</v>
      </c>
      <c r="B68" s="50" t="s">
        <v>1364</v>
      </c>
      <c r="C68" s="50">
        <v>0.90625</v>
      </c>
      <c r="D68" s="50" t="s">
        <v>46</v>
      </c>
      <c r="E68" s="50" t="s">
        <v>47</v>
      </c>
      <c r="F68" s="50" t="s">
        <v>623</v>
      </c>
      <c r="G68" s="328"/>
      <c r="H68" s="28"/>
      <c r="I68" s="29"/>
      <c r="J68" s="29"/>
      <c r="K68" s="29"/>
      <c r="L68" s="29"/>
      <c r="M68" s="29"/>
      <c r="N68" s="29"/>
      <c r="O68" s="29"/>
      <c r="P68" s="29"/>
      <c r="Q68" s="29"/>
      <c r="R68" s="30"/>
    </row>
    <row r="69" spans="1:18" ht="17.399999999999999" customHeight="1" x14ac:dyDescent="0.3">
      <c r="A69" s="360"/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2"/>
    </row>
    <row r="70" spans="1:18" ht="22.05" customHeight="1" x14ac:dyDescent="0.3">
      <c r="A70" s="323" t="s">
        <v>6</v>
      </c>
      <c r="B70" s="324"/>
      <c r="C70" s="324"/>
      <c r="D70" s="324"/>
      <c r="E70" s="324"/>
      <c r="F70" s="324"/>
      <c r="G70" s="2">
        <v>45997</v>
      </c>
      <c r="H70" s="323" t="s">
        <v>7</v>
      </c>
      <c r="I70" s="324"/>
      <c r="J70" s="324"/>
      <c r="K70" s="324"/>
      <c r="L70" s="324"/>
      <c r="M70" s="324"/>
      <c r="N70" s="324"/>
      <c r="O70" s="324"/>
      <c r="P70" s="324"/>
      <c r="Q70" s="324"/>
      <c r="R70" s="324"/>
    </row>
    <row r="71" spans="1:18" ht="24" customHeight="1" x14ac:dyDescent="0.3">
      <c r="A71" s="3" t="s">
        <v>8</v>
      </c>
      <c r="B71" s="3" t="s">
        <v>9</v>
      </c>
      <c r="C71" s="3" t="s">
        <v>10</v>
      </c>
      <c r="D71" s="3" t="s">
        <v>11</v>
      </c>
      <c r="E71" s="3" t="s">
        <v>12</v>
      </c>
      <c r="F71" s="4" t="s">
        <v>13</v>
      </c>
      <c r="G71" s="5" t="s">
        <v>14</v>
      </c>
      <c r="H71" s="3" t="s">
        <v>15</v>
      </c>
      <c r="I71" s="3" t="s">
        <v>16</v>
      </c>
      <c r="J71" s="3" t="s">
        <v>17</v>
      </c>
      <c r="K71" s="3" t="s">
        <v>18</v>
      </c>
      <c r="L71" s="3" t="s">
        <v>19</v>
      </c>
      <c r="M71" s="3" t="s">
        <v>20</v>
      </c>
      <c r="N71" s="3" t="s">
        <v>21</v>
      </c>
      <c r="O71" s="3" t="s">
        <v>22</v>
      </c>
      <c r="P71" s="3" t="s">
        <v>23</v>
      </c>
      <c r="Q71" s="3" t="s">
        <v>24</v>
      </c>
      <c r="R71" s="3" t="s">
        <v>25</v>
      </c>
    </row>
    <row r="72" spans="1:18" ht="49.95" customHeight="1" x14ac:dyDescent="0.3">
      <c r="A72" s="6" t="s">
        <v>66</v>
      </c>
      <c r="B72" s="6" t="s">
        <v>1360</v>
      </c>
      <c r="C72" s="6">
        <v>0.12847222222222221</v>
      </c>
      <c r="D72" s="6" t="s">
        <v>829</v>
      </c>
      <c r="E72" s="6" t="s">
        <v>47</v>
      </c>
      <c r="F72" s="6" t="s">
        <v>1361</v>
      </c>
      <c r="G72" s="328"/>
      <c r="H72" s="7"/>
      <c r="I72" s="8"/>
      <c r="J72" s="8"/>
      <c r="K72" s="8"/>
      <c r="L72" s="8"/>
      <c r="M72" s="8"/>
      <c r="N72" s="8"/>
      <c r="O72" s="8"/>
      <c r="P72" s="8"/>
      <c r="Q72" s="8"/>
      <c r="R72" s="9"/>
    </row>
    <row r="73" spans="1:18" ht="49.95" customHeight="1" x14ac:dyDescent="0.3">
      <c r="A73" s="11" t="s">
        <v>404</v>
      </c>
      <c r="B73" s="11" t="s">
        <v>1358</v>
      </c>
      <c r="C73" s="11">
        <v>0.82291666666666663</v>
      </c>
      <c r="D73" s="11" t="s">
        <v>46</v>
      </c>
      <c r="E73" s="11" t="s">
        <v>47</v>
      </c>
      <c r="F73" s="11" t="s">
        <v>623</v>
      </c>
      <c r="G73" s="328"/>
      <c r="H73" s="7"/>
      <c r="I73" s="8"/>
      <c r="J73" s="8"/>
      <c r="K73" s="8"/>
      <c r="L73" s="8"/>
      <c r="M73" s="8"/>
      <c r="N73" s="8"/>
      <c r="O73" s="8"/>
      <c r="P73" s="8"/>
      <c r="Q73" s="8"/>
      <c r="R73" s="9"/>
    </row>
    <row r="74" spans="1:18" ht="49.95" customHeight="1" x14ac:dyDescent="0.3">
      <c r="A74" s="11" t="s">
        <v>410</v>
      </c>
      <c r="B74" s="11" t="s">
        <v>1368</v>
      </c>
      <c r="C74" s="11">
        <v>0.90625</v>
      </c>
      <c r="D74" s="11" t="s">
        <v>46</v>
      </c>
      <c r="E74" s="11" t="s">
        <v>47</v>
      </c>
      <c r="F74" s="11" t="s">
        <v>623</v>
      </c>
      <c r="G74" s="328"/>
      <c r="H74" s="7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1:18" ht="49.95" customHeight="1" x14ac:dyDescent="0.3">
      <c r="A75" s="295" t="s">
        <v>44</v>
      </c>
      <c r="B75" s="295" t="s">
        <v>1365</v>
      </c>
      <c r="C75" s="295">
        <v>0.98958333333333337</v>
      </c>
      <c r="D75" s="295" t="s">
        <v>46</v>
      </c>
      <c r="E75" s="295" t="s">
        <v>47</v>
      </c>
      <c r="F75" s="295" t="s">
        <v>407</v>
      </c>
      <c r="G75" s="328"/>
      <c r="H75" s="296" t="s">
        <v>1366</v>
      </c>
      <c r="I75" s="297">
        <v>1.03E-2</v>
      </c>
      <c r="J75" s="298">
        <v>1</v>
      </c>
      <c r="K75" s="299" t="s">
        <v>1376</v>
      </c>
      <c r="L75" s="298">
        <v>0</v>
      </c>
      <c r="M75" s="298">
        <v>0</v>
      </c>
      <c r="N75" s="298">
        <v>0</v>
      </c>
      <c r="O75" s="299" t="s">
        <v>237</v>
      </c>
      <c r="P75" s="299">
        <v>0.98958333333333337</v>
      </c>
      <c r="Q75" s="298">
        <v>97</v>
      </c>
      <c r="R75" s="300" t="s">
        <v>586</v>
      </c>
    </row>
    <row r="76" spans="1:18" ht="17.399999999999999" customHeight="1" x14ac:dyDescent="0.3">
      <c r="A76" s="360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2"/>
    </row>
    <row r="77" spans="1:18" ht="17.399999999999999" customHeight="1" x14ac:dyDescent="0.3">
      <c r="A77" s="360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1"/>
      <c r="P77" s="361"/>
      <c r="Q77" s="361"/>
      <c r="R77" s="362"/>
    </row>
    <row r="78" spans="1:18" ht="22.05" customHeight="1" x14ac:dyDescent="0.3">
      <c r="A78" s="323" t="s">
        <v>6</v>
      </c>
      <c r="B78" s="324"/>
      <c r="C78" s="324"/>
      <c r="D78" s="324"/>
      <c r="E78" s="324"/>
      <c r="F78" s="324"/>
      <c r="G78" s="2">
        <v>45999</v>
      </c>
      <c r="H78" s="323" t="s">
        <v>7</v>
      </c>
      <c r="I78" s="324"/>
      <c r="J78" s="324"/>
      <c r="K78" s="324"/>
      <c r="L78" s="324"/>
      <c r="M78" s="324"/>
      <c r="N78" s="324"/>
      <c r="O78" s="324"/>
      <c r="P78" s="324"/>
      <c r="Q78" s="324"/>
      <c r="R78" s="324"/>
    </row>
    <row r="79" spans="1:18" ht="24" customHeight="1" x14ac:dyDescent="0.3">
      <c r="A79" s="3" t="s">
        <v>8</v>
      </c>
      <c r="B79" s="3" t="s">
        <v>9</v>
      </c>
      <c r="C79" s="3" t="s">
        <v>10</v>
      </c>
      <c r="D79" s="3" t="s">
        <v>11</v>
      </c>
      <c r="E79" s="3" t="s">
        <v>12</v>
      </c>
      <c r="F79" s="4" t="s">
        <v>13</v>
      </c>
      <c r="G79" s="5" t="s">
        <v>14</v>
      </c>
      <c r="H79" s="3" t="s">
        <v>15</v>
      </c>
      <c r="I79" s="3" t="s">
        <v>16</v>
      </c>
      <c r="J79" s="3" t="s">
        <v>17</v>
      </c>
      <c r="K79" s="3" t="s">
        <v>18</v>
      </c>
      <c r="L79" s="3" t="s">
        <v>19</v>
      </c>
      <c r="M79" s="3" t="s">
        <v>20</v>
      </c>
      <c r="N79" s="3" t="s">
        <v>21</v>
      </c>
      <c r="O79" s="3" t="s">
        <v>22</v>
      </c>
      <c r="P79" s="3" t="s">
        <v>23</v>
      </c>
      <c r="Q79" s="3" t="s">
        <v>24</v>
      </c>
      <c r="R79" s="3" t="s">
        <v>25</v>
      </c>
    </row>
    <row r="80" spans="1:18" ht="49.95" customHeight="1" x14ac:dyDescent="0.3">
      <c r="A80" s="125" t="s">
        <v>410</v>
      </c>
      <c r="B80" s="125" t="s">
        <v>1364</v>
      </c>
      <c r="C80" s="125">
        <v>0.86458333333333337</v>
      </c>
      <c r="D80" s="125" t="s">
        <v>46</v>
      </c>
      <c r="E80" s="125" t="s">
        <v>47</v>
      </c>
      <c r="F80" s="125" t="s">
        <v>623</v>
      </c>
      <c r="G80" s="328"/>
      <c r="H80" s="28"/>
      <c r="I80" s="29"/>
      <c r="J80" s="29"/>
      <c r="K80" s="29"/>
      <c r="L80" s="29"/>
      <c r="M80" s="29"/>
      <c r="N80" s="29"/>
      <c r="O80" s="29"/>
      <c r="P80" s="29"/>
      <c r="Q80" s="29"/>
      <c r="R80" s="30"/>
    </row>
    <row r="81" spans="1:18" ht="17.399999999999999" customHeight="1" x14ac:dyDescent="0.3">
      <c r="A81" s="360"/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2"/>
    </row>
    <row r="82" spans="1:18" ht="22.05" customHeight="1" x14ac:dyDescent="0.3">
      <c r="A82" s="323" t="s">
        <v>6</v>
      </c>
      <c r="B82" s="324"/>
      <c r="C82" s="324"/>
      <c r="D82" s="324"/>
      <c r="E82" s="324"/>
      <c r="F82" s="324"/>
      <c r="G82" s="2">
        <v>46000</v>
      </c>
      <c r="H82" s="323" t="s">
        <v>7</v>
      </c>
      <c r="I82" s="324"/>
      <c r="J82" s="324"/>
      <c r="K82" s="324"/>
      <c r="L82" s="324"/>
      <c r="M82" s="324"/>
      <c r="N82" s="324"/>
      <c r="O82" s="324"/>
      <c r="P82" s="324"/>
      <c r="Q82" s="324"/>
      <c r="R82" s="324"/>
    </row>
    <row r="83" spans="1:18" ht="24" customHeight="1" x14ac:dyDescent="0.3">
      <c r="A83" s="3" t="s">
        <v>8</v>
      </c>
      <c r="B83" s="3" t="s">
        <v>9</v>
      </c>
      <c r="C83" s="3" t="s">
        <v>10</v>
      </c>
      <c r="D83" s="3" t="s">
        <v>11</v>
      </c>
      <c r="E83" s="3" t="s">
        <v>12</v>
      </c>
      <c r="F83" s="4" t="s">
        <v>13</v>
      </c>
      <c r="G83" s="5" t="s">
        <v>14</v>
      </c>
      <c r="H83" s="3" t="s">
        <v>15</v>
      </c>
      <c r="I83" s="3" t="s">
        <v>16</v>
      </c>
      <c r="J83" s="3" t="s">
        <v>17</v>
      </c>
      <c r="K83" s="3" t="s">
        <v>18</v>
      </c>
      <c r="L83" s="3" t="s">
        <v>19</v>
      </c>
      <c r="M83" s="3" t="s">
        <v>20</v>
      </c>
      <c r="N83" s="3" t="s">
        <v>21</v>
      </c>
      <c r="O83" s="3" t="s">
        <v>22</v>
      </c>
      <c r="P83" s="3" t="s">
        <v>23</v>
      </c>
      <c r="Q83" s="3" t="s">
        <v>24</v>
      </c>
      <c r="R83" s="3" t="s">
        <v>25</v>
      </c>
    </row>
    <row r="84" spans="1:18" ht="49.95" customHeight="1" x14ac:dyDescent="0.3">
      <c r="A84" s="6" t="s">
        <v>404</v>
      </c>
      <c r="B84" s="6" t="s">
        <v>1358</v>
      </c>
      <c r="C84" s="6">
        <v>0.93055555555555547</v>
      </c>
      <c r="D84" s="6" t="s">
        <v>46</v>
      </c>
      <c r="E84" s="6" t="s">
        <v>47</v>
      </c>
      <c r="F84" s="6" t="s">
        <v>1359</v>
      </c>
      <c r="G84" s="328"/>
      <c r="H84" s="7"/>
      <c r="I84" s="8"/>
      <c r="J84" s="8"/>
      <c r="K84" s="8"/>
      <c r="L84" s="8"/>
      <c r="M84" s="8"/>
      <c r="N84" s="8"/>
      <c r="O84" s="8"/>
      <c r="P84" s="8"/>
      <c r="Q84" s="8"/>
      <c r="R84" s="9"/>
    </row>
    <row r="85" spans="1:18" ht="49.95" customHeight="1" x14ac:dyDescent="0.3">
      <c r="A85" s="50" t="s">
        <v>66</v>
      </c>
      <c r="B85" s="50" t="s">
        <v>1360</v>
      </c>
      <c r="C85" s="50">
        <v>0.12847222222222221</v>
      </c>
      <c r="D85" s="50" t="s">
        <v>829</v>
      </c>
      <c r="E85" s="50" t="s">
        <v>47</v>
      </c>
      <c r="F85" s="50" t="s">
        <v>1361</v>
      </c>
      <c r="G85" s="328"/>
      <c r="H85" s="28"/>
      <c r="I85" s="29"/>
      <c r="J85" s="29"/>
      <c r="K85" s="29"/>
      <c r="L85" s="29"/>
      <c r="M85" s="29"/>
      <c r="N85" s="29"/>
      <c r="O85" s="29"/>
      <c r="P85" s="29"/>
      <c r="Q85" s="29"/>
      <c r="R85" s="30"/>
    </row>
    <row r="86" spans="1:18" ht="17.399999999999999" customHeight="1" x14ac:dyDescent="0.3">
      <c r="A86" s="360"/>
      <c r="B86" s="361"/>
      <c r="C86" s="361"/>
      <c r="D86" s="361"/>
      <c r="E86" s="361"/>
      <c r="F86" s="361"/>
      <c r="G86" s="361"/>
      <c r="H86" s="361"/>
      <c r="I86" s="361"/>
      <c r="J86" s="361"/>
      <c r="K86" s="361"/>
      <c r="L86" s="361"/>
      <c r="M86" s="361"/>
      <c r="N86" s="361"/>
      <c r="O86" s="361"/>
      <c r="P86" s="361"/>
      <c r="Q86" s="361"/>
      <c r="R86" s="362"/>
    </row>
    <row r="87" spans="1:18" ht="22.05" customHeight="1" x14ac:dyDescent="0.3">
      <c r="A87" s="323" t="s">
        <v>6</v>
      </c>
      <c r="B87" s="324"/>
      <c r="C87" s="324"/>
      <c r="D87" s="324"/>
      <c r="E87" s="324"/>
      <c r="F87" s="324"/>
      <c r="G87" s="2">
        <v>46001</v>
      </c>
      <c r="H87" s="323" t="s">
        <v>7</v>
      </c>
      <c r="I87" s="324"/>
      <c r="J87" s="324"/>
      <c r="K87" s="324"/>
      <c r="L87" s="324"/>
      <c r="M87" s="324"/>
      <c r="N87" s="324"/>
      <c r="O87" s="324"/>
      <c r="P87" s="324"/>
      <c r="Q87" s="324"/>
      <c r="R87" s="324"/>
    </row>
    <row r="88" spans="1:18" ht="24" customHeight="1" x14ac:dyDescent="0.3">
      <c r="A88" s="3" t="s">
        <v>8</v>
      </c>
      <c r="B88" s="3" t="s">
        <v>9</v>
      </c>
      <c r="C88" s="3" t="s">
        <v>10</v>
      </c>
      <c r="D88" s="3" t="s">
        <v>11</v>
      </c>
      <c r="E88" s="3" t="s">
        <v>12</v>
      </c>
      <c r="F88" s="4" t="s">
        <v>13</v>
      </c>
      <c r="G88" s="5" t="s">
        <v>14</v>
      </c>
      <c r="H88" s="3" t="s">
        <v>15</v>
      </c>
      <c r="I88" s="3" t="s">
        <v>16</v>
      </c>
      <c r="J88" s="3" t="s">
        <v>17</v>
      </c>
      <c r="K88" s="3" t="s">
        <v>18</v>
      </c>
      <c r="L88" s="3" t="s">
        <v>19</v>
      </c>
      <c r="M88" s="3" t="s">
        <v>20</v>
      </c>
      <c r="N88" s="3" t="s">
        <v>21</v>
      </c>
      <c r="O88" s="3" t="s">
        <v>22</v>
      </c>
      <c r="P88" s="3" t="s">
        <v>23</v>
      </c>
      <c r="Q88" s="3" t="s">
        <v>24</v>
      </c>
      <c r="R88" s="3" t="s">
        <v>25</v>
      </c>
    </row>
    <row r="89" spans="1:18" ht="49.95" customHeight="1" x14ac:dyDescent="0.3">
      <c r="A89" s="75" t="s">
        <v>44</v>
      </c>
      <c r="B89" s="75" t="s">
        <v>1365</v>
      </c>
      <c r="C89" s="75">
        <v>0.86458333333333337</v>
      </c>
      <c r="D89" s="75" t="s">
        <v>46</v>
      </c>
      <c r="E89" s="75" t="s">
        <v>134</v>
      </c>
      <c r="F89" s="75" t="s">
        <v>1181</v>
      </c>
      <c r="G89" s="328"/>
      <c r="H89" s="76" t="s">
        <v>1366</v>
      </c>
      <c r="I89" s="208">
        <v>0.23710000000000001</v>
      </c>
      <c r="J89" s="78">
        <v>23</v>
      </c>
      <c r="K89" s="79" t="s">
        <v>175</v>
      </c>
      <c r="L89" s="78">
        <v>4</v>
      </c>
      <c r="M89" s="78">
        <v>3</v>
      </c>
      <c r="N89" s="78">
        <v>0</v>
      </c>
      <c r="O89" s="79" t="s">
        <v>547</v>
      </c>
      <c r="P89" s="79">
        <v>0.86458333333333337</v>
      </c>
      <c r="Q89" s="78">
        <v>97</v>
      </c>
      <c r="R89" s="80" t="s">
        <v>1377</v>
      </c>
    </row>
    <row r="90" spans="1:18" ht="49.95" customHeight="1" x14ac:dyDescent="0.3">
      <c r="A90" s="50" t="s">
        <v>410</v>
      </c>
      <c r="B90" s="50" t="s">
        <v>1364</v>
      </c>
      <c r="C90" s="50">
        <v>0.90625</v>
      </c>
      <c r="D90" s="50" t="s">
        <v>46</v>
      </c>
      <c r="E90" s="50" t="s">
        <v>47</v>
      </c>
      <c r="F90" s="50" t="s">
        <v>623</v>
      </c>
      <c r="G90" s="328"/>
      <c r="H90" s="28"/>
      <c r="I90" s="29"/>
      <c r="J90" s="29"/>
      <c r="K90" s="29"/>
      <c r="L90" s="29"/>
      <c r="M90" s="29"/>
      <c r="N90" s="29"/>
      <c r="O90" s="29"/>
      <c r="P90" s="29"/>
      <c r="Q90" s="29"/>
      <c r="R90" s="30"/>
    </row>
  </sheetData>
  <mergeCells count="67">
    <mergeCell ref="G11:G14"/>
    <mergeCell ref="A65:F65"/>
    <mergeCell ref="H87:R87"/>
    <mergeCell ref="H48:R48"/>
    <mergeCell ref="A70:F70"/>
    <mergeCell ref="A36:R36"/>
    <mergeCell ref="G72:G75"/>
    <mergeCell ref="G80"/>
    <mergeCell ref="H42:R42"/>
    <mergeCell ref="A9:F9"/>
    <mergeCell ref="G89:G90"/>
    <mergeCell ref="A58:F58"/>
    <mergeCell ref="K2:R2"/>
    <mergeCell ref="A48:F48"/>
    <mergeCell ref="A30:F30"/>
    <mergeCell ref="H37:R37"/>
    <mergeCell ref="G25:G28"/>
    <mergeCell ref="G50:G51"/>
    <mergeCell ref="G84:G85"/>
    <mergeCell ref="G32:G35"/>
    <mergeCell ref="H65:R65"/>
    <mergeCell ref="A77:R77"/>
    <mergeCell ref="A82:F82"/>
    <mergeCell ref="A15:R15"/>
    <mergeCell ref="G60:G63"/>
    <mergeCell ref="A87:F87"/>
    <mergeCell ref="G39:G40"/>
    <mergeCell ref="H4:R4"/>
    <mergeCell ref="H58:R58"/>
    <mergeCell ref="A2:F2"/>
    <mergeCell ref="A3:R3"/>
    <mergeCell ref="H9:R9"/>
    <mergeCell ref="G44:G46"/>
    <mergeCell ref="A42:F42"/>
    <mergeCell ref="A78:F78"/>
    <mergeCell ref="A86:R86"/>
    <mergeCell ref="G18:G21"/>
    <mergeCell ref="A57:R57"/>
    <mergeCell ref="A23:F23"/>
    <mergeCell ref="A47:R47"/>
    <mergeCell ref="A76:R76"/>
    <mergeCell ref="H82:R82"/>
    <mergeCell ref="A37:F37"/>
    <mergeCell ref="H78:R78"/>
    <mergeCell ref="H1:L1"/>
    <mergeCell ref="A1:E1"/>
    <mergeCell ref="G6:G7"/>
    <mergeCell ref="G2:J2"/>
    <mergeCell ref="A4:F4"/>
    <mergeCell ref="G55:G56"/>
    <mergeCell ref="A8:R8"/>
    <mergeCell ref="A53:F53"/>
    <mergeCell ref="A22:R22"/>
    <mergeCell ref="N1:R1"/>
    <mergeCell ref="H70:R70"/>
    <mergeCell ref="A29:R29"/>
    <mergeCell ref="A81:R81"/>
    <mergeCell ref="H23:R23"/>
    <mergeCell ref="A16:F16"/>
    <mergeCell ref="H30:R30"/>
    <mergeCell ref="G67:G68"/>
    <mergeCell ref="A69:R69"/>
    <mergeCell ref="H53:R53"/>
    <mergeCell ref="A41:R41"/>
    <mergeCell ref="A52:R52"/>
    <mergeCell ref="H16:R16"/>
    <mergeCell ref="A64:R6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9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33203125" style="343" bestFit="1" customWidth="1"/>
    <col min="6" max="6" width="4.21875" style="343" bestFit="1" customWidth="1"/>
    <col min="7" max="7" width="10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30" width="3.88671875" style="343" bestFit="1" customWidth="1"/>
    <col min="31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331</v>
      </c>
      <c r="B2" s="345">
        <v>45987</v>
      </c>
      <c r="C2" s="346" t="s">
        <v>1366</v>
      </c>
      <c r="D2" s="347" t="s">
        <v>1378</v>
      </c>
      <c r="E2" s="346" t="s">
        <v>1357</v>
      </c>
      <c r="F2" s="346" t="s">
        <v>214</v>
      </c>
      <c r="G2" s="348">
        <v>0.17860000000000001</v>
      </c>
      <c r="H2" s="349">
        <v>168</v>
      </c>
      <c r="I2" s="349">
        <v>30</v>
      </c>
      <c r="J2" s="349">
        <v>0</v>
      </c>
      <c r="K2" s="346" t="s">
        <v>215</v>
      </c>
      <c r="L2" s="350" t="s">
        <v>50</v>
      </c>
      <c r="M2" s="349">
        <v>0</v>
      </c>
      <c r="N2" s="349">
        <v>6</v>
      </c>
      <c r="O2" s="349">
        <v>10</v>
      </c>
      <c r="P2" s="346" t="s">
        <v>237</v>
      </c>
      <c r="Q2" s="342"/>
      <c r="R2" s="342"/>
      <c r="S2" s="342"/>
      <c r="T2" s="342"/>
      <c r="U2" s="342"/>
      <c r="V2" s="342"/>
      <c r="W2" s="342"/>
      <c r="X2" s="342"/>
      <c r="Y2" s="349" t="s">
        <v>682</v>
      </c>
      <c r="Z2" s="342"/>
      <c r="AA2" s="342"/>
      <c r="AB2" s="342"/>
      <c r="AC2" s="342"/>
      <c r="AD2" s="342"/>
      <c r="AE2" s="349" t="s">
        <v>713</v>
      </c>
      <c r="AF2" s="349" t="s">
        <v>742</v>
      </c>
      <c r="AG2" s="342"/>
      <c r="AH2" s="342"/>
      <c r="AI2" s="342"/>
      <c r="AJ2" s="342"/>
    </row>
    <row r="3" spans="1:36" x14ac:dyDescent="0.3">
      <c r="A3" s="344" t="s">
        <v>240</v>
      </c>
      <c r="B3" s="345">
        <v>45988</v>
      </c>
      <c r="C3" s="346" t="s">
        <v>1366</v>
      </c>
      <c r="D3" s="347" t="s">
        <v>1378</v>
      </c>
      <c r="E3" s="346" t="s">
        <v>1357</v>
      </c>
      <c r="F3" s="346" t="s">
        <v>214</v>
      </c>
      <c r="G3" s="348">
        <v>0.30359999999999998</v>
      </c>
      <c r="H3" s="349">
        <v>168</v>
      </c>
      <c r="I3" s="349">
        <v>51</v>
      </c>
      <c r="J3" s="349">
        <v>0</v>
      </c>
      <c r="K3" s="346" t="s">
        <v>215</v>
      </c>
      <c r="L3" s="350" t="s">
        <v>175</v>
      </c>
      <c r="M3" s="349">
        <v>1</v>
      </c>
      <c r="N3" s="349">
        <v>1</v>
      </c>
      <c r="O3" s="349">
        <v>15</v>
      </c>
      <c r="P3" s="346" t="s">
        <v>237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9" t="s">
        <v>279</v>
      </c>
      <c r="AD3" s="349" t="s">
        <v>543</v>
      </c>
      <c r="AE3" s="349" t="s">
        <v>732</v>
      </c>
      <c r="AF3" s="349" t="s">
        <v>742</v>
      </c>
      <c r="AG3" s="342"/>
      <c r="AH3" s="342"/>
      <c r="AI3" s="342"/>
      <c r="AJ3" s="342"/>
    </row>
    <row r="4" spans="1:36" x14ac:dyDescent="0.3">
      <c r="A4" s="344" t="s">
        <v>248</v>
      </c>
      <c r="B4" s="345">
        <v>45990</v>
      </c>
      <c r="C4" s="346" t="s">
        <v>1366</v>
      </c>
      <c r="D4" s="347" t="s">
        <v>1379</v>
      </c>
      <c r="E4" s="346" t="s">
        <v>1357</v>
      </c>
      <c r="F4" s="346" t="s">
        <v>214</v>
      </c>
      <c r="G4" s="348">
        <v>0.16070000000000001</v>
      </c>
      <c r="H4" s="349">
        <v>168</v>
      </c>
      <c r="I4" s="349">
        <v>27</v>
      </c>
      <c r="J4" s="349">
        <v>0</v>
      </c>
      <c r="K4" s="346" t="s">
        <v>215</v>
      </c>
      <c r="L4" s="350" t="s">
        <v>50</v>
      </c>
      <c r="M4" s="349">
        <v>0</v>
      </c>
      <c r="N4" s="349">
        <v>4</v>
      </c>
      <c r="O4" s="349">
        <v>12</v>
      </c>
      <c r="P4" s="346" t="s">
        <v>237</v>
      </c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42"/>
      <c r="AE4" s="349" t="s">
        <v>765</v>
      </c>
      <c r="AF4" s="349" t="s">
        <v>612</v>
      </c>
      <c r="AG4" s="342"/>
      <c r="AH4" s="342"/>
      <c r="AI4" s="342"/>
      <c r="AJ4" s="342"/>
    </row>
    <row r="5" spans="1:36" x14ac:dyDescent="0.3">
      <c r="A5" s="344" t="s">
        <v>331</v>
      </c>
      <c r="B5" s="345">
        <v>45994</v>
      </c>
      <c r="C5" s="346" t="s">
        <v>1366</v>
      </c>
      <c r="D5" s="347" t="s">
        <v>1378</v>
      </c>
      <c r="E5" s="346" t="s">
        <v>1357</v>
      </c>
      <c r="F5" s="346" t="s">
        <v>1380</v>
      </c>
      <c r="G5" s="348">
        <v>0.41239999999999999</v>
      </c>
      <c r="H5" s="349">
        <v>97</v>
      </c>
      <c r="I5" s="349">
        <v>40</v>
      </c>
      <c r="J5" s="349">
        <v>0</v>
      </c>
      <c r="K5" s="346" t="s">
        <v>215</v>
      </c>
      <c r="L5" s="350" t="s">
        <v>63</v>
      </c>
      <c r="M5" s="349">
        <v>0</v>
      </c>
      <c r="N5" s="349">
        <v>0</v>
      </c>
      <c r="O5" s="349">
        <v>3</v>
      </c>
      <c r="P5" s="346" t="s">
        <v>237</v>
      </c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9" t="s">
        <v>740</v>
      </c>
      <c r="AF5" s="349" t="s">
        <v>390</v>
      </c>
      <c r="AG5" s="342"/>
      <c r="AH5" s="342"/>
      <c r="AI5" s="342"/>
      <c r="AJ5" s="342"/>
    </row>
    <row r="6" spans="1:36" x14ac:dyDescent="0.3">
      <c r="A6" s="344" t="s">
        <v>240</v>
      </c>
      <c r="B6" s="345">
        <v>45995</v>
      </c>
      <c r="C6" s="346" t="s">
        <v>1366</v>
      </c>
      <c r="D6" s="347" t="s">
        <v>1378</v>
      </c>
      <c r="E6" s="346" t="s">
        <v>1357</v>
      </c>
      <c r="F6" s="346" t="s">
        <v>214</v>
      </c>
      <c r="G6" s="348">
        <v>0.34520000000000001</v>
      </c>
      <c r="H6" s="349">
        <v>168</v>
      </c>
      <c r="I6" s="349">
        <v>58</v>
      </c>
      <c r="J6" s="349">
        <v>0</v>
      </c>
      <c r="K6" s="346" t="s">
        <v>215</v>
      </c>
      <c r="L6" s="350" t="s">
        <v>175</v>
      </c>
      <c r="M6" s="349">
        <v>2</v>
      </c>
      <c r="N6" s="349">
        <v>3</v>
      </c>
      <c r="O6" s="349">
        <v>11</v>
      </c>
      <c r="P6" s="346" t="s">
        <v>237</v>
      </c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9" t="s">
        <v>709</v>
      </c>
      <c r="AF6" s="349" t="s">
        <v>728</v>
      </c>
      <c r="AG6" s="342"/>
      <c r="AH6" s="342"/>
      <c r="AI6" s="342"/>
      <c r="AJ6" s="342"/>
    </row>
    <row r="7" spans="1:36" x14ac:dyDescent="0.3">
      <c r="A7" s="344" t="s">
        <v>248</v>
      </c>
      <c r="B7" s="345">
        <v>45997</v>
      </c>
      <c r="C7" s="346" t="s">
        <v>1366</v>
      </c>
      <c r="D7" s="347" t="s">
        <v>1379</v>
      </c>
      <c r="E7" s="346" t="s">
        <v>1357</v>
      </c>
      <c r="F7" s="346" t="s">
        <v>1380</v>
      </c>
      <c r="G7" s="348">
        <v>1.03E-2</v>
      </c>
      <c r="H7" s="349">
        <v>97</v>
      </c>
      <c r="I7" s="349">
        <v>1</v>
      </c>
      <c r="J7" s="349">
        <v>0</v>
      </c>
      <c r="K7" s="346" t="s">
        <v>215</v>
      </c>
      <c r="L7" s="350" t="s">
        <v>1376</v>
      </c>
      <c r="M7" s="349">
        <v>0</v>
      </c>
      <c r="N7" s="349">
        <v>0</v>
      </c>
      <c r="O7" s="349">
        <v>0</v>
      </c>
      <c r="P7" s="346" t="s">
        <v>237</v>
      </c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9" t="s">
        <v>586</v>
      </c>
      <c r="AF7" s="342"/>
      <c r="AG7" s="342"/>
      <c r="AH7" s="342"/>
      <c r="AI7" s="342"/>
      <c r="AJ7" s="342"/>
    </row>
    <row r="8" spans="1:36" x14ac:dyDescent="0.3">
      <c r="A8" s="344" t="s">
        <v>331</v>
      </c>
      <c r="B8" s="345">
        <v>46001</v>
      </c>
      <c r="C8" s="346" t="s">
        <v>1366</v>
      </c>
      <c r="D8" s="347" t="s">
        <v>1378</v>
      </c>
      <c r="E8" s="346" t="s">
        <v>1357</v>
      </c>
      <c r="F8" s="346" t="s">
        <v>1380</v>
      </c>
      <c r="G8" s="348">
        <v>0.23710000000000001</v>
      </c>
      <c r="H8" s="349">
        <v>97</v>
      </c>
      <c r="I8" s="349">
        <v>23</v>
      </c>
      <c r="J8" s="349">
        <v>0</v>
      </c>
      <c r="K8" s="346" t="s">
        <v>215</v>
      </c>
      <c r="L8" s="350" t="s">
        <v>175</v>
      </c>
      <c r="M8" s="349">
        <v>3</v>
      </c>
      <c r="N8" s="349">
        <v>0</v>
      </c>
      <c r="O8" s="349">
        <v>4</v>
      </c>
      <c r="P8" s="346" t="s">
        <v>547</v>
      </c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9" t="s">
        <v>526</v>
      </c>
      <c r="AF8" s="349" t="s">
        <v>742</v>
      </c>
      <c r="AG8" s="342"/>
      <c r="AH8" s="342"/>
      <c r="AI8" s="342"/>
      <c r="AJ8" s="342"/>
    </row>
    <row r="9" spans="1:36" ht="21" x14ac:dyDescent="0.3">
      <c r="A9" s="351" t="s">
        <v>1574</v>
      </c>
      <c r="B9" s="352"/>
      <c r="C9" s="351">
        <f>SUBTOTAL(103,TUU_CAI_LF_LEGACY[Flt])</f>
        <v>7</v>
      </c>
      <c r="D9" s="351"/>
      <c r="E9" s="351">
        <f>SUBTOTAL(103,TUU_CAI_LF_LEGACY[Brd-Off])</f>
        <v>7</v>
      </c>
      <c r="F9" s="351"/>
      <c r="G9" s="353">
        <f>SUBTOTAL(101,TUU_CAI_LF_LEGACY[LF%])</f>
        <v>0.23541428571428571</v>
      </c>
      <c r="H9" s="354">
        <f>SUBTOTAL(109,TUU_CAI_LF_LEGACY[CAP])</f>
        <v>963</v>
      </c>
      <c r="I9" s="354">
        <f>SUBTOTAL(109,TUU_CAI_LF_LEGACY[BKG(Y)])</f>
        <v>230</v>
      </c>
      <c r="J9" s="354">
        <f>SUBTOTAL(109,TUU_CAI_LF_LEGACY[GRP(Y)])</f>
        <v>0</v>
      </c>
      <c r="K9" s="351"/>
      <c r="L9" s="352"/>
      <c r="M9" s="354">
        <f>SUBTOTAL(109,TUU_CAI_LF_LEGACY[TO-DAY])</f>
        <v>6</v>
      </c>
      <c r="N9" s="354">
        <f>SUBTOTAL(109,TUU_CAI_LF_LEGACY[Y-DAY])</f>
        <v>14</v>
      </c>
      <c r="O9" s="354">
        <f>SUBTOTAL(109,TUU_CAI_LF_LEGACY[WEEKLY])</f>
        <v>55</v>
      </c>
      <c r="P9" s="355"/>
      <c r="Q9" s="354">
        <f>SUBTOTAL(109,TUU_CAI_LF_LEGACY[Y])</f>
        <v>0</v>
      </c>
      <c r="R9" s="354">
        <f>SUBTOTAL(109,TUU_CAI_LF_LEGACY[B])</f>
        <v>0</v>
      </c>
      <c r="S9" s="354">
        <f>SUBTOTAL(109,TUU_CAI_LF_LEGACY[M])</f>
        <v>0</v>
      </c>
      <c r="T9" s="354">
        <f>SUBTOTAL(109,TUU_CAI_LF_LEGACY[H])</f>
        <v>0</v>
      </c>
      <c r="U9" s="354">
        <f>SUBTOTAL(109,TUU_CAI_LF_LEGACY[Q])</f>
        <v>0</v>
      </c>
      <c r="V9" s="354">
        <f>SUBTOTAL(109,TUU_CAI_LF_LEGACY[K])</f>
        <v>0</v>
      </c>
      <c r="W9" s="354">
        <f>SUBTOTAL(109,TUU_CAI_LF_LEGACY[V])</f>
        <v>0</v>
      </c>
      <c r="X9" s="354">
        <f>SUBTOTAL(109,TUU_CAI_LF_LEGACY[L])</f>
        <v>0</v>
      </c>
      <c r="Y9" s="354">
        <f>SUBTOTAL(109,TUU_CAI_LF_LEGACY[G])</f>
        <v>0</v>
      </c>
      <c r="Z9" s="354">
        <f>SUBTOTAL(109,TUU_CAI_LF_LEGACY[S])</f>
        <v>0</v>
      </c>
      <c r="AA9" s="354">
        <f>SUBTOTAL(109,TUU_CAI_LF_LEGACY[W])</f>
        <v>0</v>
      </c>
      <c r="AB9" s="354">
        <f>SUBTOTAL(109,TUU_CAI_LF_LEGACY[T])</f>
        <v>0</v>
      </c>
      <c r="AC9" s="354">
        <f>SUBTOTAL(109,TUU_CAI_LF_LEGACY[X])</f>
        <v>0</v>
      </c>
      <c r="AD9" s="354">
        <f>SUBTOTAL(109,TUU_CAI_LF_LEGACY[U])</f>
        <v>0</v>
      </c>
      <c r="AE9" s="354">
        <f>SUBTOTAL(109,TUU_CAI_LF_LEGACY[O])</f>
        <v>0</v>
      </c>
      <c r="AF9" s="354">
        <f>SUBTOTAL(109,TUU_CAI_LF_LEGACY[I])</f>
        <v>0</v>
      </c>
      <c r="AG9" s="354">
        <f>SUBTOTAL(109,TUU_CAI_LF_LEGACY[E])</f>
        <v>0</v>
      </c>
      <c r="AH9" s="354">
        <f>SUBTOTAL(109,TUU_CAI_LF_LEGACY[A])</f>
        <v>0</v>
      </c>
      <c r="AI9" s="354">
        <f>SUBTOTAL(109,TUU_CAI_LF_LEGACY[P])</f>
        <v>0</v>
      </c>
      <c r="AJ9" s="354">
        <f>SUBTOTAL(103,TUU_CAI_LF_LEGACY[N])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4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65.777343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404</v>
      </c>
      <c r="C2" s="95" t="s">
        <v>1358</v>
      </c>
      <c r="D2" s="94" t="s">
        <v>1357</v>
      </c>
      <c r="E2" s="94" t="s">
        <v>1381</v>
      </c>
      <c r="F2" s="94" t="s">
        <v>46</v>
      </c>
      <c r="G2" s="96">
        <v>4</v>
      </c>
      <c r="H2" s="97">
        <v>320</v>
      </c>
      <c r="I2" s="88"/>
    </row>
    <row r="3" spans="1:9" ht="19.8" customHeight="1" x14ac:dyDescent="0.3">
      <c r="A3" s="284" t="s">
        <v>292</v>
      </c>
      <c r="B3" s="114" t="s">
        <v>66</v>
      </c>
      <c r="C3" s="115" t="s">
        <v>1360</v>
      </c>
      <c r="D3" s="114" t="s">
        <v>1357</v>
      </c>
      <c r="E3" s="114" t="s">
        <v>1382</v>
      </c>
      <c r="F3" s="114" t="s">
        <v>829</v>
      </c>
      <c r="G3" s="117">
        <v>6</v>
      </c>
      <c r="H3" s="142">
        <v>344</v>
      </c>
      <c r="I3" s="88"/>
    </row>
    <row r="4" spans="1:9" ht="19.8" customHeight="1" x14ac:dyDescent="0.3">
      <c r="A4" s="93" t="s">
        <v>401</v>
      </c>
      <c r="B4" s="94" t="s">
        <v>456</v>
      </c>
      <c r="C4" s="95" t="s">
        <v>1362</v>
      </c>
      <c r="D4" s="94" t="s">
        <v>1357</v>
      </c>
      <c r="E4" s="94" t="s">
        <v>1383</v>
      </c>
      <c r="F4" s="94" t="s">
        <v>458</v>
      </c>
      <c r="G4" s="96">
        <v>9</v>
      </c>
      <c r="H4" s="97">
        <v>319</v>
      </c>
      <c r="I4" s="88"/>
    </row>
    <row r="5" spans="1:9" ht="19.8" customHeight="1" x14ac:dyDescent="0.3">
      <c r="A5" s="93" t="s">
        <v>401</v>
      </c>
      <c r="B5" s="94" t="s">
        <v>410</v>
      </c>
      <c r="C5" s="95" t="s">
        <v>1364</v>
      </c>
      <c r="D5" s="94" t="s">
        <v>1357</v>
      </c>
      <c r="E5" s="94" t="s">
        <v>1384</v>
      </c>
      <c r="F5" s="94" t="s">
        <v>46</v>
      </c>
      <c r="G5" s="96">
        <v>9</v>
      </c>
      <c r="H5" s="97">
        <v>355</v>
      </c>
      <c r="I5" s="88"/>
    </row>
    <row r="6" spans="1:9" ht="19.8" customHeight="1" x14ac:dyDescent="0.3">
      <c r="A6" s="98" t="s">
        <v>401</v>
      </c>
      <c r="B6" s="99" t="s">
        <v>44</v>
      </c>
      <c r="C6" s="100" t="s">
        <v>1365</v>
      </c>
      <c r="D6" s="99" t="s">
        <v>1357</v>
      </c>
      <c r="E6" s="99" t="s">
        <v>1378</v>
      </c>
      <c r="F6" s="99" t="s">
        <v>46</v>
      </c>
      <c r="G6" s="101">
        <v>9</v>
      </c>
      <c r="H6" s="102">
        <v>385</v>
      </c>
      <c r="I6" s="88"/>
    </row>
    <row r="7" spans="1:9" ht="19.8" customHeight="1" x14ac:dyDescent="0.3">
      <c r="A7" s="113">
        <v>45987</v>
      </c>
      <c r="B7" s="114" t="s">
        <v>456</v>
      </c>
      <c r="C7" s="115" t="s">
        <v>1362</v>
      </c>
      <c r="D7" s="114" t="s">
        <v>1357</v>
      </c>
      <c r="E7" s="116">
        <v>1.635416666666667</v>
      </c>
      <c r="F7" s="114" t="s">
        <v>34</v>
      </c>
      <c r="G7" s="117">
        <v>9</v>
      </c>
      <c r="H7" s="142">
        <v>443</v>
      </c>
      <c r="I7" s="88"/>
    </row>
    <row r="8" spans="1:9" ht="19.8" customHeight="1" x14ac:dyDescent="0.3">
      <c r="A8" s="103">
        <v>45988</v>
      </c>
      <c r="B8" s="94" t="s">
        <v>404</v>
      </c>
      <c r="C8" s="95" t="s">
        <v>1358</v>
      </c>
      <c r="D8" s="94" t="s">
        <v>1357</v>
      </c>
      <c r="E8" s="104">
        <v>1.9548611111111109</v>
      </c>
      <c r="F8" s="94" t="s">
        <v>46</v>
      </c>
      <c r="G8" s="96">
        <v>1</v>
      </c>
      <c r="H8" s="97">
        <v>320</v>
      </c>
      <c r="I8" s="88"/>
    </row>
    <row r="9" spans="1:9" ht="19.8" customHeight="1" x14ac:dyDescent="0.3">
      <c r="A9" s="103">
        <v>45988</v>
      </c>
      <c r="B9" s="94" t="s">
        <v>66</v>
      </c>
      <c r="C9" s="95" t="s">
        <v>1360</v>
      </c>
      <c r="D9" s="94" t="s">
        <v>1357</v>
      </c>
      <c r="E9" s="104">
        <v>1.1284722222222221</v>
      </c>
      <c r="F9" s="94" t="s">
        <v>829</v>
      </c>
      <c r="G9" s="96">
        <v>9</v>
      </c>
      <c r="H9" s="97">
        <v>344</v>
      </c>
      <c r="I9" s="88"/>
    </row>
    <row r="10" spans="1:9" ht="19.8" customHeight="1" x14ac:dyDescent="0.3">
      <c r="A10" s="103">
        <v>45988</v>
      </c>
      <c r="B10" s="94" t="s">
        <v>410</v>
      </c>
      <c r="C10" s="95" t="s">
        <v>1368</v>
      </c>
      <c r="D10" s="94" t="s">
        <v>1357</v>
      </c>
      <c r="E10" s="104">
        <v>1.90625</v>
      </c>
      <c r="F10" s="94" t="s">
        <v>46</v>
      </c>
      <c r="G10" s="96">
        <v>6</v>
      </c>
      <c r="H10" s="97">
        <v>355</v>
      </c>
      <c r="I10" s="88"/>
    </row>
    <row r="11" spans="1:9" ht="19.8" customHeight="1" x14ac:dyDescent="0.3">
      <c r="A11" s="108">
        <v>45988</v>
      </c>
      <c r="B11" s="109" t="s">
        <v>44</v>
      </c>
      <c r="C11" s="110" t="s">
        <v>1365</v>
      </c>
      <c r="D11" s="109" t="s">
        <v>1357</v>
      </c>
      <c r="E11" s="111">
        <v>1.864583333333333</v>
      </c>
      <c r="F11" s="109" t="s">
        <v>46</v>
      </c>
      <c r="G11" s="141">
        <v>9</v>
      </c>
      <c r="H11" s="143">
        <v>400</v>
      </c>
      <c r="I11" s="88"/>
    </row>
    <row r="12" spans="1:9" ht="19.8" customHeight="1" x14ac:dyDescent="0.3">
      <c r="A12" s="103">
        <v>45989</v>
      </c>
      <c r="B12" s="94" t="s">
        <v>456</v>
      </c>
      <c r="C12" s="95" t="s">
        <v>1362</v>
      </c>
      <c r="D12" s="94" t="s">
        <v>1357</v>
      </c>
      <c r="E12" s="104">
        <v>1.635416666666667</v>
      </c>
      <c r="F12" s="94" t="s">
        <v>458</v>
      </c>
      <c r="G12" s="96">
        <v>9</v>
      </c>
      <c r="H12" s="97">
        <v>325</v>
      </c>
      <c r="I12" s="88"/>
    </row>
    <row r="13" spans="1:9" ht="19.8" customHeight="1" x14ac:dyDescent="0.3">
      <c r="A13" s="103">
        <v>45989</v>
      </c>
      <c r="B13" s="94" t="s">
        <v>66</v>
      </c>
      <c r="C13" s="95" t="s">
        <v>1360</v>
      </c>
      <c r="D13" s="94" t="s">
        <v>1357</v>
      </c>
      <c r="E13" s="104">
        <v>1.1284722222222221</v>
      </c>
      <c r="F13" s="94" t="s">
        <v>829</v>
      </c>
      <c r="G13" s="96">
        <v>9</v>
      </c>
      <c r="H13" s="97">
        <v>344</v>
      </c>
      <c r="I13" s="88"/>
    </row>
    <row r="14" spans="1:9" ht="19.8" customHeight="1" x14ac:dyDescent="0.3">
      <c r="A14" s="103">
        <v>45989</v>
      </c>
      <c r="B14" s="94" t="s">
        <v>410</v>
      </c>
      <c r="C14" s="95" t="s">
        <v>1364</v>
      </c>
      <c r="D14" s="94" t="s">
        <v>1357</v>
      </c>
      <c r="E14" s="104">
        <v>1.90625</v>
      </c>
      <c r="F14" s="94" t="s">
        <v>46</v>
      </c>
      <c r="G14" s="96">
        <v>9</v>
      </c>
      <c r="H14" s="97">
        <v>355</v>
      </c>
      <c r="I14" s="88"/>
    </row>
    <row r="15" spans="1:9" ht="19.8" customHeight="1" x14ac:dyDescent="0.3">
      <c r="A15" s="113">
        <v>45989</v>
      </c>
      <c r="B15" s="114" t="s">
        <v>456</v>
      </c>
      <c r="C15" s="115" t="s">
        <v>1362</v>
      </c>
      <c r="D15" s="114" t="s">
        <v>1357</v>
      </c>
      <c r="E15" s="116">
        <v>1.635416666666667</v>
      </c>
      <c r="F15" s="114" t="s">
        <v>34</v>
      </c>
      <c r="G15" s="117">
        <v>9</v>
      </c>
      <c r="H15" s="142">
        <v>448</v>
      </c>
      <c r="I15" s="88"/>
    </row>
    <row r="16" spans="1:9" ht="19.8" customHeight="1" x14ac:dyDescent="0.3">
      <c r="A16" s="103">
        <v>45990</v>
      </c>
      <c r="B16" s="94" t="s">
        <v>404</v>
      </c>
      <c r="C16" s="95" t="s">
        <v>1358</v>
      </c>
      <c r="D16" s="94" t="s">
        <v>1357</v>
      </c>
      <c r="E16" s="104">
        <v>1.1701388888888891</v>
      </c>
      <c r="F16" s="94" t="s">
        <v>46</v>
      </c>
      <c r="G16" s="96">
        <v>1</v>
      </c>
      <c r="H16" s="97">
        <v>320</v>
      </c>
      <c r="I16" s="88"/>
    </row>
    <row r="17" spans="1:9" ht="19.8" customHeight="1" x14ac:dyDescent="0.3">
      <c r="A17" s="103">
        <v>45990</v>
      </c>
      <c r="B17" s="94" t="s">
        <v>66</v>
      </c>
      <c r="C17" s="95" t="s">
        <v>1360</v>
      </c>
      <c r="D17" s="94" t="s">
        <v>1357</v>
      </c>
      <c r="E17" s="104">
        <v>1.1284722222222221</v>
      </c>
      <c r="F17" s="94" t="s">
        <v>829</v>
      </c>
      <c r="G17" s="96">
        <v>9</v>
      </c>
      <c r="H17" s="97">
        <v>344</v>
      </c>
      <c r="I17" s="88"/>
    </row>
    <row r="18" spans="1:9" ht="19.8" customHeight="1" x14ac:dyDescent="0.3">
      <c r="A18" s="103">
        <v>45990</v>
      </c>
      <c r="B18" s="94" t="s">
        <v>410</v>
      </c>
      <c r="C18" s="95" t="s">
        <v>1368</v>
      </c>
      <c r="D18" s="94" t="s">
        <v>1357</v>
      </c>
      <c r="E18" s="104">
        <v>1.90625</v>
      </c>
      <c r="F18" s="94" t="s">
        <v>46</v>
      </c>
      <c r="G18" s="96">
        <v>6</v>
      </c>
      <c r="H18" s="97">
        <v>355</v>
      </c>
      <c r="I18" s="88"/>
    </row>
    <row r="19" spans="1:9" ht="19.8" customHeight="1" x14ac:dyDescent="0.3">
      <c r="A19" s="108">
        <v>45990</v>
      </c>
      <c r="B19" s="109" t="s">
        <v>44</v>
      </c>
      <c r="C19" s="110" t="s">
        <v>1365</v>
      </c>
      <c r="D19" s="109" t="s">
        <v>1357</v>
      </c>
      <c r="E19" s="111">
        <v>1.989583333333333</v>
      </c>
      <c r="F19" s="109" t="s">
        <v>46</v>
      </c>
      <c r="G19" s="141">
        <v>9</v>
      </c>
      <c r="H19" s="143">
        <v>400</v>
      </c>
      <c r="I19" s="88"/>
    </row>
    <row r="20" spans="1:9" ht="19.8" customHeight="1" x14ac:dyDescent="0.3">
      <c r="A20" s="103">
        <v>45991</v>
      </c>
      <c r="B20" s="94" t="s">
        <v>404</v>
      </c>
      <c r="C20" s="95" t="s">
        <v>1358</v>
      </c>
      <c r="D20" s="94" t="s">
        <v>1357</v>
      </c>
      <c r="E20" s="104">
        <v>1.864583333333333</v>
      </c>
      <c r="F20" s="94" t="s">
        <v>46</v>
      </c>
      <c r="G20" s="96">
        <v>1</v>
      </c>
      <c r="H20" s="97">
        <v>320</v>
      </c>
      <c r="I20" s="88"/>
    </row>
    <row r="21" spans="1:9" ht="19.8" customHeight="1" x14ac:dyDescent="0.3">
      <c r="A21" s="113">
        <v>45991</v>
      </c>
      <c r="B21" s="114" t="s">
        <v>410</v>
      </c>
      <c r="C21" s="115" t="s">
        <v>1373</v>
      </c>
      <c r="D21" s="114" t="s">
        <v>1357</v>
      </c>
      <c r="E21" s="116">
        <v>1.90625</v>
      </c>
      <c r="F21" s="114" t="s">
        <v>46</v>
      </c>
      <c r="G21" s="117">
        <v>9</v>
      </c>
      <c r="H21" s="142">
        <v>355</v>
      </c>
      <c r="I21" s="88"/>
    </row>
    <row r="22" spans="1:9" ht="19.8" customHeight="1" x14ac:dyDescent="0.3">
      <c r="A22" s="103">
        <v>45992</v>
      </c>
      <c r="B22" s="94" t="s">
        <v>456</v>
      </c>
      <c r="C22" s="95" t="s">
        <v>1362</v>
      </c>
      <c r="D22" s="94" t="s">
        <v>1357</v>
      </c>
      <c r="E22" s="104">
        <v>1.677083333333333</v>
      </c>
      <c r="F22" s="94" t="s">
        <v>458</v>
      </c>
      <c r="G22" s="96">
        <v>9</v>
      </c>
      <c r="H22" s="97">
        <v>319</v>
      </c>
      <c r="I22" s="88"/>
    </row>
    <row r="23" spans="1:9" ht="19.8" customHeight="1" x14ac:dyDescent="0.3">
      <c r="A23" s="103">
        <v>45992</v>
      </c>
      <c r="B23" s="94" t="s">
        <v>410</v>
      </c>
      <c r="C23" s="95" t="s">
        <v>1364</v>
      </c>
      <c r="D23" s="94" t="s">
        <v>1357</v>
      </c>
      <c r="E23" s="104">
        <v>1.864583333333333</v>
      </c>
      <c r="F23" s="94" t="s">
        <v>46</v>
      </c>
      <c r="G23" s="96">
        <v>6</v>
      </c>
      <c r="H23" s="97">
        <v>355</v>
      </c>
      <c r="I23" s="88"/>
    </row>
    <row r="24" spans="1:9" ht="19.8" customHeight="1" x14ac:dyDescent="0.3">
      <c r="A24" s="113">
        <v>45992</v>
      </c>
      <c r="B24" s="114" t="s">
        <v>456</v>
      </c>
      <c r="C24" s="115" t="s">
        <v>1362</v>
      </c>
      <c r="D24" s="114" t="s">
        <v>1357</v>
      </c>
      <c r="E24" s="116">
        <v>1.677083333333333</v>
      </c>
      <c r="F24" s="114" t="s">
        <v>34</v>
      </c>
      <c r="G24" s="117">
        <v>9</v>
      </c>
      <c r="H24" s="142">
        <v>443</v>
      </c>
      <c r="I24" s="88"/>
    </row>
    <row r="25" spans="1:9" ht="19.8" customHeight="1" x14ac:dyDescent="0.3">
      <c r="A25" s="103">
        <v>45993</v>
      </c>
      <c r="B25" s="94" t="s">
        <v>66</v>
      </c>
      <c r="C25" s="95" t="s">
        <v>1360</v>
      </c>
      <c r="D25" s="94" t="s">
        <v>1357</v>
      </c>
      <c r="E25" s="104">
        <v>1.1284722222222221</v>
      </c>
      <c r="F25" s="94" t="s">
        <v>829</v>
      </c>
      <c r="G25" s="96">
        <v>9</v>
      </c>
      <c r="H25" s="97">
        <v>344</v>
      </c>
      <c r="I25" s="88"/>
    </row>
    <row r="26" spans="1:9" ht="19.8" customHeight="1" x14ac:dyDescent="0.3">
      <c r="A26" s="113">
        <v>45993</v>
      </c>
      <c r="B26" s="114" t="s">
        <v>404</v>
      </c>
      <c r="C26" s="115" t="s">
        <v>1358</v>
      </c>
      <c r="D26" s="114" t="s">
        <v>1357</v>
      </c>
      <c r="E26" s="116">
        <v>1.930555555555556</v>
      </c>
      <c r="F26" s="114" t="s">
        <v>46</v>
      </c>
      <c r="G26" s="117">
        <v>9</v>
      </c>
      <c r="H26" s="142">
        <v>355</v>
      </c>
      <c r="I26" s="88"/>
    </row>
    <row r="27" spans="1:9" ht="19.8" customHeight="1" x14ac:dyDescent="0.3">
      <c r="A27" s="103">
        <v>45994</v>
      </c>
      <c r="B27" s="94" t="s">
        <v>410</v>
      </c>
      <c r="C27" s="95" t="s">
        <v>1364</v>
      </c>
      <c r="D27" s="94" t="s">
        <v>1357</v>
      </c>
      <c r="E27" s="104">
        <v>1.90625</v>
      </c>
      <c r="F27" s="94" t="s">
        <v>46</v>
      </c>
      <c r="G27" s="96">
        <v>7</v>
      </c>
      <c r="H27" s="97">
        <v>355</v>
      </c>
      <c r="I27" s="88"/>
    </row>
    <row r="28" spans="1:9" ht="19.8" customHeight="1" x14ac:dyDescent="0.3">
      <c r="A28" s="108">
        <v>45994</v>
      </c>
      <c r="B28" s="109" t="s">
        <v>44</v>
      </c>
      <c r="C28" s="110" t="s">
        <v>1365</v>
      </c>
      <c r="D28" s="109" t="s">
        <v>1357</v>
      </c>
      <c r="E28" s="111">
        <v>1.864583333333333</v>
      </c>
      <c r="F28" s="109" t="s">
        <v>46</v>
      </c>
      <c r="G28" s="141">
        <v>9</v>
      </c>
      <c r="H28" s="143">
        <v>385</v>
      </c>
      <c r="I28" s="88"/>
    </row>
    <row r="29" spans="1:9" ht="19.8" customHeight="1" x14ac:dyDescent="0.3">
      <c r="A29" s="103">
        <v>45995</v>
      </c>
      <c r="B29" s="94" t="s">
        <v>66</v>
      </c>
      <c r="C29" s="95" t="s">
        <v>1360</v>
      </c>
      <c r="D29" s="94" t="s">
        <v>1357</v>
      </c>
      <c r="E29" s="104">
        <v>1.1284722222222221</v>
      </c>
      <c r="F29" s="94" t="s">
        <v>829</v>
      </c>
      <c r="G29" s="96">
        <v>9</v>
      </c>
      <c r="H29" s="97">
        <v>344</v>
      </c>
      <c r="I29" s="88"/>
    </row>
    <row r="30" spans="1:9" ht="19.8" customHeight="1" x14ac:dyDescent="0.3">
      <c r="A30" s="103">
        <v>45995</v>
      </c>
      <c r="B30" s="94" t="s">
        <v>404</v>
      </c>
      <c r="C30" s="95" t="s">
        <v>1358</v>
      </c>
      <c r="D30" s="94" t="s">
        <v>1357</v>
      </c>
      <c r="E30" s="104">
        <v>1.9548611111111109</v>
      </c>
      <c r="F30" s="94" t="s">
        <v>46</v>
      </c>
      <c r="G30" s="96">
        <v>9</v>
      </c>
      <c r="H30" s="97">
        <v>355</v>
      </c>
      <c r="I30" s="88"/>
    </row>
    <row r="31" spans="1:9" ht="19.8" customHeight="1" x14ac:dyDescent="0.3">
      <c r="A31" s="103">
        <v>45995</v>
      </c>
      <c r="B31" s="94" t="s">
        <v>410</v>
      </c>
      <c r="C31" s="95" t="s">
        <v>1368</v>
      </c>
      <c r="D31" s="94" t="s">
        <v>1357</v>
      </c>
      <c r="E31" s="104">
        <v>1.90625</v>
      </c>
      <c r="F31" s="94" t="s">
        <v>46</v>
      </c>
      <c r="G31" s="96">
        <v>4</v>
      </c>
      <c r="H31" s="97">
        <v>355</v>
      </c>
      <c r="I31" s="88"/>
    </row>
    <row r="32" spans="1:9" ht="19.8" customHeight="1" x14ac:dyDescent="0.3">
      <c r="A32" s="108">
        <v>45995</v>
      </c>
      <c r="B32" s="109" t="s">
        <v>44</v>
      </c>
      <c r="C32" s="110" t="s">
        <v>1365</v>
      </c>
      <c r="D32" s="109" t="s">
        <v>1357</v>
      </c>
      <c r="E32" s="111">
        <v>1.864583333333333</v>
      </c>
      <c r="F32" s="109" t="s">
        <v>46</v>
      </c>
      <c r="G32" s="141">
        <v>9</v>
      </c>
      <c r="H32" s="143">
        <v>400</v>
      </c>
      <c r="I32" s="88"/>
    </row>
    <row r="33" spans="1:9" ht="19.8" customHeight="1" x14ac:dyDescent="0.3">
      <c r="A33" s="103">
        <v>45996</v>
      </c>
      <c r="B33" s="94" t="s">
        <v>66</v>
      </c>
      <c r="C33" s="95" t="s">
        <v>1360</v>
      </c>
      <c r="D33" s="94" t="s">
        <v>1357</v>
      </c>
      <c r="E33" s="104">
        <v>1.1284722222222221</v>
      </c>
      <c r="F33" s="94" t="s">
        <v>829</v>
      </c>
      <c r="G33" s="96">
        <v>7</v>
      </c>
      <c r="H33" s="97">
        <v>344</v>
      </c>
      <c r="I33" s="88"/>
    </row>
    <row r="34" spans="1:9" ht="19.8" customHeight="1" x14ac:dyDescent="0.3">
      <c r="A34" s="113">
        <v>45996</v>
      </c>
      <c r="B34" s="114" t="s">
        <v>410</v>
      </c>
      <c r="C34" s="115" t="s">
        <v>1364</v>
      </c>
      <c r="D34" s="114" t="s">
        <v>1357</v>
      </c>
      <c r="E34" s="116">
        <v>1.90625</v>
      </c>
      <c r="F34" s="114" t="s">
        <v>46</v>
      </c>
      <c r="G34" s="117">
        <v>9</v>
      </c>
      <c r="H34" s="142">
        <v>355</v>
      </c>
      <c r="I34" s="88"/>
    </row>
    <row r="35" spans="1:9" ht="19.8" customHeight="1" x14ac:dyDescent="0.3">
      <c r="A35" s="103">
        <v>45997</v>
      </c>
      <c r="B35" s="94" t="s">
        <v>66</v>
      </c>
      <c r="C35" s="95" t="s">
        <v>1360</v>
      </c>
      <c r="D35" s="94" t="s">
        <v>1357</v>
      </c>
      <c r="E35" s="104">
        <v>1.1284722222222221</v>
      </c>
      <c r="F35" s="94" t="s">
        <v>829</v>
      </c>
      <c r="G35" s="96">
        <v>9</v>
      </c>
      <c r="H35" s="97">
        <v>344</v>
      </c>
      <c r="I35" s="88"/>
    </row>
    <row r="36" spans="1:9" ht="19.8" customHeight="1" x14ac:dyDescent="0.3">
      <c r="A36" s="103">
        <v>45997</v>
      </c>
      <c r="B36" s="94" t="s">
        <v>404</v>
      </c>
      <c r="C36" s="95" t="s">
        <v>1358</v>
      </c>
      <c r="D36" s="94" t="s">
        <v>1357</v>
      </c>
      <c r="E36" s="104">
        <v>1.822916666666667</v>
      </c>
      <c r="F36" s="94" t="s">
        <v>46</v>
      </c>
      <c r="G36" s="96">
        <v>9</v>
      </c>
      <c r="H36" s="97">
        <v>355</v>
      </c>
      <c r="I36" s="88"/>
    </row>
    <row r="37" spans="1:9" ht="19.8" customHeight="1" x14ac:dyDescent="0.3">
      <c r="A37" s="103">
        <v>45997</v>
      </c>
      <c r="B37" s="94" t="s">
        <v>410</v>
      </c>
      <c r="C37" s="95" t="s">
        <v>1368</v>
      </c>
      <c r="D37" s="94" t="s">
        <v>1357</v>
      </c>
      <c r="E37" s="104">
        <v>1.90625</v>
      </c>
      <c r="F37" s="94" t="s">
        <v>46</v>
      </c>
      <c r="G37" s="96">
        <v>9</v>
      </c>
      <c r="H37" s="97">
        <v>355</v>
      </c>
      <c r="I37" s="88"/>
    </row>
    <row r="38" spans="1:9" ht="19.8" customHeight="1" x14ac:dyDescent="0.3">
      <c r="A38" s="108">
        <v>45997</v>
      </c>
      <c r="B38" s="109" t="s">
        <v>44</v>
      </c>
      <c r="C38" s="110" t="s">
        <v>1365</v>
      </c>
      <c r="D38" s="109" t="s">
        <v>1357</v>
      </c>
      <c r="E38" s="111">
        <v>1.989583333333333</v>
      </c>
      <c r="F38" s="109" t="s">
        <v>46</v>
      </c>
      <c r="G38" s="141">
        <v>9</v>
      </c>
      <c r="H38" s="143">
        <v>400</v>
      </c>
      <c r="I38" s="88"/>
    </row>
    <row r="39" spans="1:9" ht="19.8" customHeight="1" x14ac:dyDescent="0.3">
      <c r="A39" s="113">
        <v>45999</v>
      </c>
      <c r="B39" s="114" t="s">
        <v>410</v>
      </c>
      <c r="C39" s="115" t="s">
        <v>1364</v>
      </c>
      <c r="D39" s="114" t="s">
        <v>1357</v>
      </c>
      <c r="E39" s="116">
        <v>1.864583333333333</v>
      </c>
      <c r="F39" s="114" t="s">
        <v>46</v>
      </c>
      <c r="G39" s="117">
        <v>9</v>
      </c>
      <c r="H39" s="142">
        <v>355</v>
      </c>
      <c r="I39" s="88"/>
    </row>
    <row r="40" spans="1:9" ht="19.8" customHeight="1" x14ac:dyDescent="0.3">
      <c r="A40" s="103">
        <v>46000</v>
      </c>
      <c r="B40" s="94" t="s">
        <v>404</v>
      </c>
      <c r="C40" s="95" t="s">
        <v>1358</v>
      </c>
      <c r="D40" s="94" t="s">
        <v>1357</v>
      </c>
      <c r="E40" s="104">
        <v>1.930555555555556</v>
      </c>
      <c r="F40" s="94" t="s">
        <v>46</v>
      </c>
      <c r="G40" s="96">
        <v>9</v>
      </c>
      <c r="H40" s="97">
        <v>320</v>
      </c>
      <c r="I40" s="88"/>
    </row>
    <row r="41" spans="1:9" ht="19.8" customHeight="1" x14ac:dyDescent="0.3">
      <c r="A41" s="113">
        <v>46000</v>
      </c>
      <c r="B41" s="114" t="s">
        <v>66</v>
      </c>
      <c r="C41" s="115" t="s">
        <v>1360</v>
      </c>
      <c r="D41" s="114" t="s">
        <v>1357</v>
      </c>
      <c r="E41" s="116">
        <v>1.1284722222222221</v>
      </c>
      <c r="F41" s="114" t="s">
        <v>829</v>
      </c>
      <c r="G41" s="117">
        <v>9</v>
      </c>
      <c r="H41" s="142">
        <v>344</v>
      </c>
      <c r="I41" s="88"/>
    </row>
    <row r="42" spans="1:9" ht="19.8" customHeight="1" x14ac:dyDescent="0.3">
      <c r="A42" s="105">
        <v>46001</v>
      </c>
      <c r="B42" s="99" t="s">
        <v>44</v>
      </c>
      <c r="C42" s="100" t="s">
        <v>1365</v>
      </c>
      <c r="D42" s="99" t="s">
        <v>1357</v>
      </c>
      <c r="E42" s="106">
        <v>1.864583333333333</v>
      </c>
      <c r="F42" s="99" t="s">
        <v>46</v>
      </c>
      <c r="G42" s="101">
        <v>7</v>
      </c>
      <c r="H42" s="102">
        <v>319</v>
      </c>
      <c r="I42" s="88"/>
    </row>
    <row r="43" spans="1:9" ht="19.8" customHeight="1" x14ac:dyDescent="0.3">
      <c r="A43" s="113">
        <v>46001</v>
      </c>
      <c r="B43" s="114" t="s">
        <v>410</v>
      </c>
      <c r="C43" s="115" t="s">
        <v>1364</v>
      </c>
      <c r="D43" s="114" t="s">
        <v>1357</v>
      </c>
      <c r="E43" s="116">
        <v>1.90625</v>
      </c>
      <c r="F43" s="114" t="s">
        <v>46</v>
      </c>
      <c r="G43" s="117">
        <v>9</v>
      </c>
      <c r="H43" s="142">
        <v>355</v>
      </c>
      <c r="I43" s="88"/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32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33203125" bestFit="1" customWidth="1"/>
    <col min="6" max="6" width="23.44140625" bestFit="1" customWidth="1"/>
    <col min="7" max="7" width="40.21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7.8867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1385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45982.804328906779</v>
      </c>
      <c r="H2" s="330"/>
      <c r="I2" s="330"/>
      <c r="J2" s="330"/>
      <c r="K2" s="334">
        <v>45982.804328907121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17.399999999999999" customHeight="1" x14ac:dyDescent="0.3">
      <c r="A5" s="363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5"/>
    </row>
    <row r="6" spans="1:18" ht="17.399999999999999" customHeight="1" x14ac:dyDescent="0.3">
      <c r="A6" s="360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2"/>
    </row>
    <row r="7" spans="1:18" ht="22.05" customHeight="1" x14ac:dyDescent="0.3">
      <c r="A7" s="323" t="s">
        <v>6</v>
      </c>
      <c r="B7" s="324"/>
      <c r="C7" s="324"/>
      <c r="D7" s="324"/>
      <c r="E7" s="324"/>
      <c r="F7" s="324"/>
      <c r="G7" s="2">
        <v>45989</v>
      </c>
      <c r="H7" s="323" t="s">
        <v>7</v>
      </c>
      <c r="I7" s="324"/>
      <c r="J7" s="324"/>
      <c r="K7" s="324"/>
      <c r="L7" s="324"/>
      <c r="M7" s="324"/>
      <c r="N7" s="324"/>
      <c r="O7" s="324"/>
      <c r="P7" s="324"/>
      <c r="Q7" s="324"/>
      <c r="R7" s="324"/>
    </row>
    <row r="8" spans="1:18" ht="24" customHeight="1" x14ac:dyDescent="0.3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4" t="s">
        <v>13</v>
      </c>
      <c r="G8" s="5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3" t="s">
        <v>24</v>
      </c>
      <c r="R8" s="3" t="s">
        <v>25</v>
      </c>
    </row>
    <row r="9" spans="1:18" ht="49.95" customHeight="1" x14ac:dyDescent="0.3">
      <c r="A9" s="127" t="s">
        <v>44</v>
      </c>
      <c r="B9" s="127" t="s">
        <v>1386</v>
      </c>
      <c r="C9" s="127">
        <v>0.51736111111111105</v>
      </c>
      <c r="D9" s="127" t="s">
        <v>61</v>
      </c>
      <c r="E9" s="127"/>
      <c r="F9" s="127" t="s">
        <v>983</v>
      </c>
      <c r="G9" s="328"/>
      <c r="H9" s="128" t="s">
        <v>1386</v>
      </c>
      <c r="I9" s="290">
        <v>0.27979999999999999</v>
      </c>
      <c r="J9" s="130">
        <v>47</v>
      </c>
      <c r="K9" s="131" t="s">
        <v>175</v>
      </c>
      <c r="L9" s="130">
        <v>20</v>
      </c>
      <c r="M9" s="130">
        <v>3</v>
      </c>
      <c r="N9" s="130">
        <v>4</v>
      </c>
      <c r="O9" s="131" t="s">
        <v>237</v>
      </c>
      <c r="P9" s="131">
        <v>0.51736111111111105</v>
      </c>
      <c r="Q9" s="130">
        <v>168</v>
      </c>
      <c r="R9" s="132" t="s">
        <v>1387</v>
      </c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22.05" customHeight="1" x14ac:dyDescent="0.3">
      <c r="A11" s="323" t="s">
        <v>6</v>
      </c>
      <c r="B11" s="324"/>
      <c r="C11" s="324"/>
      <c r="D11" s="324"/>
      <c r="E11" s="324"/>
      <c r="F11" s="324"/>
      <c r="G11" s="2">
        <v>45990</v>
      </c>
      <c r="H11" s="323" t="s">
        <v>7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</row>
    <row r="12" spans="1:18" ht="24" customHeight="1" x14ac:dyDescent="0.3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4" t="s">
        <v>13</v>
      </c>
      <c r="G12" s="5" t="s">
        <v>14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  <c r="Q12" s="3" t="s">
        <v>24</v>
      </c>
      <c r="R12" s="3" t="s">
        <v>25</v>
      </c>
    </row>
    <row r="13" spans="1:18" ht="15.6" x14ac:dyDescent="0.3">
      <c r="A13" s="340" t="s">
        <v>1388</v>
      </c>
      <c r="B13" s="341"/>
      <c r="C13" s="341"/>
      <c r="D13" s="341"/>
      <c r="E13" s="341"/>
      <c r="F13" s="341"/>
      <c r="G13" s="337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</row>
    <row r="14" spans="1:18" ht="49.95" customHeight="1" x14ac:dyDescent="0.3">
      <c r="A14" s="155" t="s">
        <v>44</v>
      </c>
      <c r="B14" s="155" t="s">
        <v>367</v>
      </c>
      <c r="C14" s="155" t="s">
        <v>368</v>
      </c>
      <c r="D14" s="155" t="s">
        <v>369</v>
      </c>
      <c r="E14" s="155" t="s">
        <v>370</v>
      </c>
      <c r="F14" s="155" t="s">
        <v>371</v>
      </c>
      <c r="G14" s="337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17.399999999999999" customHeight="1" x14ac:dyDescent="0.3">
      <c r="A20" s="360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2"/>
    </row>
    <row r="21" spans="1:18" ht="22.05" customHeight="1" x14ac:dyDescent="0.3">
      <c r="A21" s="323" t="s">
        <v>6</v>
      </c>
      <c r="B21" s="324"/>
      <c r="C21" s="324"/>
      <c r="D21" s="324"/>
      <c r="E21" s="324"/>
      <c r="F21" s="324"/>
      <c r="G21" s="2">
        <v>45996</v>
      </c>
      <c r="H21" s="323" t="s">
        <v>7</v>
      </c>
      <c r="I21" s="324"/>
      <c r="J21" s="324"/>
      <c r="K21" s="324"/>
      <c r="L21" s="324"/>
      <c r="M21" s="324"/>
      <c r="N21" s="324"/>
      <c r="O21" s="324"/>
      <c r="P21" s="324"/>
      <c r="Q21" s="324"/>
      <c r="R21" s="324"/>
    </row>
    <row r="22" spans="1:18" ht="24" customHeight="1" x14ac:dyDescent="0.3">
      <c r="A22" s="3" t="s">
        <v>8</v>
      </c>
      <c r="B22" s="3" t="s">
        <v>9</v>
      </c>
      <c r="C22" s="3" t="s">
        <v>10</v>
      </c>
      <c r="D22" s="3" t="s">
        <v>11</v>
      </c>
      <c r="E22" s="3" t="s">
        <v>12</v>
      </c>
      <c r="F22" s="4" t="s">
        <v>13</v>
      </c>
      <c r="G22" s="5" t="s">
        <v>14</v>
      </c>
      <c r="H22" s="3" t="s">
        <v>15</v>
      </c>
      <c r="I22" s="3" t="s">
        <v>16</v>
      </c>
      <c r="J22" s="3" t="s">
        <v>17</v>
      </c>
      <c r="K22" s="3" t="s">
        <v>18</v>
      </c>
      <c r="L22" s="3" t="s">
        <v>19</v>
      </c>
      <c r="M22" s="3" t="s">
        <v>20</v>
      </c>
      <c r="N22" s="3" t="s">
        <v>21</v>
      </c>
      <c r="O22" s="3" t="s">
        <v>22</v>
      </c>
      <c r="P22" s="3" t="s">
        <v>23</v>
      </c>
      <c r="Q22" s="3" t="s">
        <v>24</v>
      </c>
      <c r="R22" s="3" t="s">
        <v>25</v>
      </c>
    </row>
    <row r="23" spans="1:18" ht="49.95" customHeight="1" x14ac:dyDescent="0.3">
      <c r="A23" s="75" t="s">
        <v>44</v>
      </c>
      <c r="B23" s="75" t="s">
        <v>1389</v>
      </c>
      <c r="C23" s="75">
        <v>0.51736111111111105</v>
      </c>
      <c r="D23" s="75" t="s">
        <v>46</v>
      </c>
      <c r="E23" s="75" t="s">
        <v>102</v>
      </c>
      <c r="F23" s="75" t="s">
        <v>977</v>
      </c>
      <c r="G23" s="328"/>
      <c r="H23" s="33" t="s">
        <v>1386</v>
      </c>
      <c r="I23" s="291">
        <v>0.13100000000000001</v>
      </c>
      <c r="J23" s="35">
        <v>22</v>
      </c>
      <c r="K23" s="36" t="s">
        <v>175</v>
      </c>
      <c r="L23" s="35">
        <v>10</v>
      </c>
      <c r="M23" s="35">
        <v>2</v>
      </c>
      <c r="N23" s="35">
        <v>1</v>
      </c>
      <c r="O23" s="36" t="s">
        <v>643</v>
      </c>
      <c r="P23" s="36">
        <v>0.51736111111111105</v>
      </c>
      <c r="Q23" s="35">
        <v>168</v>
      </c>
      <c r="R23" s="37" t="s">
        <v>1390</v>
      </c>
    </row>
    <row r="24" spans="1:18" ht="17.399999999999999" customHeight="1" x14ac:dyDescent="0.3">
      <c r="A24" s="360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2"/>
    </row>
    <row r="25" spans="1:18" ht="22.05" customHeight="1" x14ac:dyDescent="0.3">
      <c r="A25" s="323" t="s">
        <v>6</v>
      </c>
      <c r="B25" s="324"/>
      <c r="C25" s="324"/>
      <c r="D25" s="324"/>
      <c r="E25" s="324"/>
      <c r="F25" s="324"/>
      <c r="G25" s="2">
        <v>45997</v>
      </c>
      <c r="H25" s="323" t="s">
        <v>7</v>
      </c>
      <c r="I25" s="324"/>
      <c r="J25" s="324"/>
      <c r="K25" s="324"/>
      <c r="L25" s="324"/>
      <c r="M25" s="324"/>
      <c r="N25" s="324"/>
      <c r="O25" s="324"/>
      <c r="P25" s="324"/>
      <c r="Q25" s="324"/>
      <c r="R25" s="324"/>
    </row>
    <row r="26" spans="1:18" ht="24" customHeight="1" x14ac:dyDescent="0.3">
      <c r="A26" s="3" t="s">
        <v>8</v>
      </c>
      <c r="B26" s="3" t="s">
        <v>9</v>
      </c>
      <c r="C26" s="3" t="s">
        <v>10</v>
      </c>
      <c r="D26" s="3" t="s">
        <v>11</v>
      </c>
      <c r="E26" s="3" t="s">
        <v>12</v>
      </c>
      <c r="F26" s="4" t="s">
        <v>13</v>
      </c>
      <c r="G26" s="5" t="s">
        <v>14</v>
      </c>
      <c r="H26" s="3" t="s">
        <v>15</v>
      </c>
      <c r="I26" s="3" t="s">
        <v>16</v>
      </c>
      <c r="J26" s="3" t="s">
        <v>17</v>
      </c>
      <c r="K26" s="3" t="s">
        <v>18</v>
      </c>
      <c r="L26" s="3" t="s">
        <v>19</v>
      </c>
      <c r="M26" s="3" t="s">
        <v>20</v>
      </c>
      <c r="N26" s="3" t="s">
        <v>21</v>
      </c>
      <c r="O26" s="3" t="s">
        <v>22</v>
      </c>
      <c r="P26" s="3" t="s">
        <v>23</v>
      </c>
      <c r="Q26" s="3" t="s">
        <v>24</v>
      </c>
      <c r="R26" s="3" t="s">
        <v>25</v>
      </c>
    </row>
    <row r="27" spans="1:18" ht="15.6" x14ac:dyDescent="0.3">
      <c r="A27" s="340" t="s">
        <v>1388</v>
      </c>
      <c r="B27" s="341"/>
      <c r="C27" s="341"/>
      <c r="D27" s="341"/>
      <c r="E27" s="341"/>
      <c r="F27" s="341"/>
      <c r="G27" s="337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</row>
    <row r="28" spans="1:18" ht="49.95" customHeight="1" x14ac:dyDescent="0.3">
      <c r="A28" s="155" t="s">
        <v>44</v>
      </c>
      <c r="B28" s="155" t="s">
        <v>367</v>
      </c>
      <c r="C28" s="155" t="s">
        <v>368</v>
      </c>
      <c r="D28" s="155" t="s">
        <v>369</v>
      </c>
      <c r="E28" s="155" t="s">
        <v>377</v>
      </c>
      <c r="F28" s="155" t="s">
        <v>371</v>
      </c>
      <c r="G28" s="337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</row>
    <row r="29" spans="1:18" ht="17.399999999999999" customHeight="1" x14ac:dyDescent="0.3">
      <c r="A29" s="360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2"/>
    </row>
    <row r="30" spans="1:18" ht="17.399999999999999" customHeight="1" x14ac:dyDescent="0.3">
      <c r="A30" s="360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2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17.399999999999999" customHeight="1" x14ac:dyDescent="0.3">
      <c r="A32" s="360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2"/>
    </row>
  </sheetData>
  <mergeCells count="36">
    <mergeCell ref="A30:R30"/>
    <mergeCell ref="A15:R15"/>
    <mergeCell ref="G27:G28"/>
    <mergeCell ref="A24:R24"/>
    <mergeCell ref="A6:R6"/>
    <mergeCell ref="A7:F7"/>
    <mergeCell ref="A25:F25"/>
    <mergeCell ref="A32:R32"/>
    <mergeCell ref="G2:J2"/>
    <mergeCell ref="A5:R5"/>
    <mergeCell ref="A17:R17"/>
    <mergeCell ref="A4:R4"/>
    <mergeCell ref="A20:R20"/>
    <mergeCell ref="G23"/>
    <mergeCell ref="A29:R29"/>
    <mergeCell ref="H11:R11"/>
    <mergeCell ref="A13:F13"/>
    <mergeCell ref="A19:R19"/>
    <mergeCell ref="A10:R10"/>
    <mergeCell ref="H7:R7"/>
    <mergeCell ref="K2:R2"/>
    <mergeCell ref="A31:R31"/>
    <mergeCell ref="A11:F11"/>
    <mergeCell ref="A16:R16"/>
    <mergeCell ref="G13:G14"/>
    <mergeCell ref="A27:F27"/>
    <mergeCell ref="H1:L1"/>
    <mergeCell ref="A1:E1"/>
    <mergeCell ref="A21:F21"/>
    <mergeCell ref="A18:R18"/>
    <mergeCell ref="G9"/>
    <mergeCell ref="A2:F2"/>
    <mergeCell ref="A3:R3"/>
    <mergeCell ref="H25:R25"/>
    <mergeCell ref="H21:R21"/>
    <mergeCell ref="N1:R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4"/>
  <sheetViews>
    <sheetView workbookViewId="0"/>
  </sheetViews>
  <sheetFormatPr defaultRowHeight="15.6" outlineLevelCol="1" x14ac:dyDescent="0.3"/>
  <cols>
    <col min="1" max="1" width="6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5546875" style="343" bestFit="1" customWidth="1"/>
    <col min="6" max="6" width="4.21875" style="343" bestFit="1" customWidth="1"/>
    <col min="7" max="7" width="10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9" width="3.8867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724</v>
      </c>
      <c r="B2" s="345">
        <v>45989</v>
      </c>
      <c r="C2" s="346" t="s">
        <v>1386</v>
      </c>
      <c r="D2" s="347" t="s">
        <v>702</v>
      </c>
      <c r="E2" s="346" t="s">
        <v>1385</v>
      </c>
      <c r="F2" s="346" t="s">
        <v>214</v>
      </c>
      <c r="G2" s="348">
        <v>0.27979999999999999</v>
      </c>
      <c r="H2" s="349">
        <v>168</v>
      </c>
      <c r="I2" s="349">
        <v>47</v>
      </c>
      <c r="J2" s="349">
        <v>0</v>
      </c>
      <c r="K2" s="346" t="s">
        <v>215</v>
      </c>
      <c r="L2" s="350" t="s">
        <v>175</v>
      </c>
      <c r="M2" s="349">
        <v>3</v>
      </c>
      <c r="N2" s="349">
        <v>4</v>
      </c>
      <c r="O2" s="349">
        <v>20</v>
      </c>
      <c r="P2" s="346" t="s">
        <v>237</v>
      </c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9" t="s">
        <v>543</v>
      </c>
      <c r="AE2" s="349" t="s">
        <v>1391</v>
      </c>
      <c r="AF2" s="349" t="s">
        <v>229</v>
      </c>
      <c r="AG2" s="342"/>
      <c r="AH2" s="342"/>
      <c r="AI2" s="342"/>
      <c r="AJ2" s="342"/>
    </row>
    <row r="3" spans="1:36" x14ac:dyDescent="0.3">
      <c r="A3" s="344" t="s">
        <v>724</v>
      </c>
      <c r="B3" s="345">
        <v>45996</v>
      </c>
      <c r="C3" s="346" t="s">
        <v>1386</v>
      </c>
      <c r="D3" s="347" t="s">
        <v>702</v>
      </c>
      <c r="E3" s="346" t="s">
        <v>1385</v>
      </c>
      <c r="F3" s="346" t="s">
        <v>214</v>
      </c>
      <c r="G3" s="348">
        <v>0.13100000000000001</v>
      </c>
      <c r="H3" s="349">
        <v>168</v>
      </c>
      <c r="I3" s="349">
        <v>22</v>
      </c>
      <c r="J3" s="349">
        <v>0</v>
      </c>
      <c r="K3" s="346" t="s">
        <v>215</v>
      </c>
      <c r="L3" s="350" t="s">
        <v>175</v>
      </c>
      <c r="M3" s="349">
        <v>2</v>
      </c>
      <c r="N3" s="349">
        <v>1</v>
      </c>
      <c r="O3" s="349">
        <v>10</v>
      </c>
      <c r="P3" s="346" t="s">
        <v>643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9" t="s">
        <v>261</v>
      </c>
      <c r="AD3" s="349" t="s">
        <v>687</v>
      </c>
      <c r="AE3" s="349" t="s">
        <v>394</v>
      </c>
      <c r="AF3" s="342"/>
      <c r="AG3" s="342"/>
      <c r="AH3" s="342"/>
      <c r="AI3" s="342"/>
      <c r="AJ3" s="342"/>
    </row>
    <row r="4" spans="1:36" ht="21" x14ac:dyDescent="0.3">
      <c r="A4" s="351" t="s">
        <v>1574</v>
      </c>
      <c r="B4" s="352"/>
      <c r="C4" s="351">
        <f>SUBTOTAL(103,TUU_ATZ_LF_LEGACY[Flt])</f>
        <v>2</v>
      </c>
      <c r="D4" s="351"/>
      <c r="E4" s="351">
        <f>SUBTOTAL(103,TUU_ATZ_LF_LEGACY[Brd-Off])</f>
        <v>2</v>
      </c>
      <c r="F4" s="351"/>
      <c r="G4" s="353">
        <f>SUBTOTAL(101,TUU_ATZ_LF_LEGACY[LF%])</f>
        <v>0.2054</v>
      </c>
      <c r="H4" s="354">
        <f>SUBTOTAL(109,TUU_ATZ_LF_LEGACY[CAP])</f>
        <v>336</v>
      </c>
      <c r="I4" s="354">
        <f>SUBTOTAL(109,TUU_ATZ_LF_LEGACY[BKG(Y)])</f>
        <v>69</v>
      </c>
      <c r="J4" s="354">
        <f>SUBTOTAL(109,TUU_ATZ_LF_LEGACY[GRP(Y)])</f>
        <v>0</v>
      </c>
      <c r="K4" s="351"/>
      <c r="L4" s="352"/>
      <c r="M4" s="354">
        <f>SUBTOTAL(109,TUU_ATZ_LF_LEGACY[TO-DAY])</f>
        <v>5</v>
      </c>
      <c r="N4" s="354">
        <f>SUBTOTAL(109,TUU_ATZ_LF_LEGACY[Y-DAY])</f>
        <v>5</v>
      </c>
      <c r="O4" s="354">
        <f>SUBTOTAL(109,TUU_ATZ_LF_LEGACY[WEEKLY])</f>
        <v>30</v>
      </c>
      <c r="P4" s="355"/>
      <c r="Q4" s="354">
        <f>SUBTOTAL(109,TUU_ATZ_LF_LEGACY[Y])</f>
        <v>0</v>
      </c>
      <c r="R4" s="354">
        <f>SUBTOTAL(109,TUU_ATZ_LF_LEGACY[B])</f>
        <v>0</v>
      </c>
      <c r="S4" s="354">
        <f>SUBTOTAL(109,TUU_ATZ_LF_LEGACY[M])</f>
        <v>0</v>
      </c>
      <c r="T4" s="354">
        <f>SUBTOTAL(109,TUU_ATZ_LF_LEGACY[H])</f>
        <v>0</v>
      </c>
      <c r="U4" s="354">
        <f>SUBTOTAL(109,TUU_ATZ_LF_LEGACY[Q])</f>
        <v>0</v>
      </c>
      <c r="V4" s="354">
        <f>SUBTOTAL(109,TUU_ATZ_LF_LEGACY[K])</f>
        <v>0</v>
      </c>
      <c r="W4" s="354">
        <f>SUBTOTAL(109,TUU_ATZ_LF_LEGACY[V])</f>
        <v>0</v>
      </c>
      <c r="X4" s="354">
        <f>SUBTOTAL(109,TUU_ATZ_LF_LEGACY[L])</f>
        <v>0</v>
      </c>
      <c r="Y4" s="354">
        <f>SUBTOTAL(109,TUU_ATZ_LF_LEGACY[G])</f>
        <v>0</v>
      </c>
      <c r="Z4" s="354">
        <f>SUBTOTAL(109,TUU_ATZ_LF_LEGACY[S])</f>
        <v>0</v>
      </c>
      <c r="AA4" s="354">
        <f>SUBTOTAL(109,TUU_ATZ_LF_LEGACY[W])</f>
        <v>0</v>
      </c>
      <c r="AB4" s="354">
        <f>SUBTOTAL(109,TUU_ATZ_LF_LEGACY[T])</f>
        <v>0</v>
      </c>
      <c r="AC4" s="354">
        <f>SUBTOTAL(109,TUU_ATZ_LF_LEGACY[X])</f>
        <v>0</v>
      </c>
      <c r="AD4" s="354">
        <f>SUBTOTAL(109,TUU_ATZ_LF_LEGACY[U])</f>
        <v>0</v>
      </c>
      <c r="AE4" s="354">
        <f>SUBTOTAL(109,TUU_ATZ_LF_LEGACY[O])</f>
        <v>0</v>
      </c>
      <c r="AF4" s="354">
        <f>SUBTOTAL(109,TUU_ATZ_LF_LEGACY[I])</f>
        <v>0</v>
      </c>
      <c r="AG4" s="354">
        <f>SUBTOTAL(109,TUU_ATZ_LF_LEGACY[E])</f>
        <v>0</v>
      </c>
      <c r="AH4" s="354">
        <f>SUBTOTAL(109,TUU_ATZ_LF_LEGACY[A])</f>
        <v>0</v>
      </c>
      <c r="AI4" s="354">
        <f>SUBTOTAL(109,TUU_ATZ_LF_LEGACY[P])</f>
        <v>0</v>
      </c>
      <c r="AJ4" s="354">
        <f>SUBTOTAL(103,TUU_ATZ_LF_LEGACY[N])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77734375" bestFit="1" customWidth="1"/>
    <col min="7" max="7" width="20" bestFit="1" customWidth="1"/>
    <col min="8" max="8" width="23.6640625" bestFit="1" customWidth="1"/>
    <col min="9" max="9" width="161.441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1355</v>
      </c>
      <c r="B2" s="109" t="s">
        <v>44</v>
      </c>
      <c r="C2" s="110" t="s">
        <v>1389</v>
      </c>
      <c r="D2" s="109" t="s">
        <v>1385</v>
      </c>
      <c r="E2" s="109" t="s">
        <v>702</v>
      </c>
      <c r="F2" s="109"/>
      <c r="G2" s="109"/>
      <c r="H2" s="112" t="s">
        <v>983</v>
      </c>
      <c r="I2" s="88"/>
    </row>
    <row r="3" spans="1:9" ht="19.8" customHeight="1" x14ac:dyDescent="0.3">
      <c r="A3" s="183"/>
      <c r="B3" s="184"/>
      <c r="C3" s="184"/>
      <c r="D3" s="184"/>
      <c r="E3" s="184"/>
      <c r="F3" s="185" t="s">
        <v>1392</v>
      </c>
      <c r="G3" s="184"/>
      <c r="H3" s="186"/>
      <c r="I3" s="88"/>
    </row>
    <row r="4" spans="1:9" ht="19.8" customHeight="1" x14ac:dyDescent="0.3">
      <c r="A4" s="113">
        <v>45990</v>
      </c>
      <c r="B4" s="114" t="s">
        <v>44</v>
      </c>
      <c r="C4" s="115" t="s">
        <v>367</v>
      </c>
      <c r="D4" s="114" t="s">
        <v>1357</v>
      </c>
      <c r="E4" s="116">
        <v>1.9375</v>
      </c>
      <c r="F4" s="114" t="s">
        <v>369</v>
      </c>
      <c r="G4" s="117">
        <v>2</v>
      </c>
      <c r="H4" s="118" t="s">
        <v>371</v>
      </c>
      <c r="I4" s="88"/>
    </row>
    <row r="5" spans="1:9" ht="19.8" customHeight="1" x14ac:dyDescent="0.3">
      <c r="A5" s="108">
        <v>45996</v>
      </c>
      <c r="B5" s="109" t="s">
        <v>44</v>
      </c>
      <c r="C5" s="110" t="s">
        <v>1389</v>
      </c>
      <c r="D5" s="109" t="s">
        <v>1385</v>
      </c>
      <c r="E5" s="111">
        <v>1.5173611111111109</v>
      </c>
      <c r="F5" s="109" t="s">
        <v>46</v>
      </c>
      <c r="G5" s="141">
        <v>2</v>
      </c>
      <c r="H5" s="143">
        <v>462</v>
      </c>
      <c r="I5" s="88"/>
    </row>
    <row r="6" spans="1:9" ht="19.8" customHeight="1" x14ac:dyDescent="0.3">
      <c r="A6" s="183"/>
      <c r="B6" s="184"/>
      <c r="C6" s="184"/>
      <c r="D6" s="184"/>
      <c r="E6" s="184"/>
      <c r="F6" s="185" t="s">
        <v>1392</v>
      </c>
      <c r="G6" s="184"/>
      <c r="H6" s="186"/>
      <c r="I6" s="88"/>
    </row>
    <row r="7" spans="1:9" ht="19.8" customHeight="1" x14ac:dyDescent="0.3">
      <c r="A7" s="113">
        <v>45997</v>
      </c>
      <c r="B7" s="114" t="s">
        <v>44</v>
      </c>
      <c r="C7" s="115" t="s">
        <v>367</v>
      </c>
      <c r="D7" s="114" t="s">
        <v>1357</v>
      </c>
      <c r="E7" s="116">
        <v>1.9375</v>
      </c>
      <c r="F7" s="114" t="s">
        <v>369</v>
      </c>
      <c r="G7" s="117">
        <v>9</v>
      </c>
      <c r="H7" s="118" t="s">
        <v>371</v>
      </c>
      <c r="I7" s="88"/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53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0.4414062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6.777343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1393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45982.804329671031</v>
      </c>
      <c r="H2" s="330"/>
      <c r="I2" s="330"/>
      <c r="J2" s="330"/>
      <c r="K2" s="334">
        <v>45982.804329671417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44" t="s">
        <v>44</v>
      </c>
      <c r="B6" s="44" t="s">
        <v>1394</v>
      </c>
      <c r="C6" s="44">
        <v>0.45833333333333331</v>
      </c>
      <c r="D6" s="44" t="s">
        <v>46</v>
      </c>
      <c r="E6" s="44" t="s">
        <v>81</v>
      </c>
      <c r="F6" s="44" t="s">
        <v>998</v>
      </c>
      <c r="G6" s="335"/>
      <c r="H6" s="144" t="s">
        <v>1395</v>
      </c>
      <c r="I6" s="145">
        <v>0.63690000000000002</v>
      </c>
      <c r="J6" s="146">
        <v>107</v>
      </c>
      <c r="K6" s="147" t="s">
        <v>175</v>
      </c>
      <c r="L6" s="146">
        <v>63</v>
      </c>
      <c r="M6" s="146">
        <v>2</v>
      </c>
      <c r="N6" s="146">
        <v>12</v>
      </c>
      <c r="O6" s="147" t="s">
        <v>917</v>
      </c>
      <c r="P6" s="147">
        <v>0.45833333333333331</v>
      </c>
      <c r="Q6" s="146">
        <v>168</v>
      </c>
      <c r="R6" s="148" t="s">
        <v>1396</v>
      </c>
    </row>
    <row r="7" spans="1:18" ht="17.399999999999999" customHeight="1" x14ac:dyDescent="0.3">
      <c r="A7" s="360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2"/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22.05" customHeight="1" x14ac:dyDescent="0.3">
      <c r="A9" s="323" t="s">
        <v>6</v>
      </c>
      <c r="B9" s="324"/>
      <c r="C9" s="324"/>
      <c r="D9" s="324"/>
      <c r="E9" s="324"/>
      <c r="F9" s="324"/>
      <c r="G9" s="2">
        <v>45988</v>
      </c>
      <c r="H9" s="323" t="s">
        <v>7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</row>
    <row r="10" spans="1:18" ht="24" customHeight="1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4" t="s">
        <v>13</v>
      </c>
      <c r="G10" s="5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</row>
    <row r="11" spans="1:18" ht="49.95" customHeight="1" x14ac:dyDescent="0.3">
      <c r="A11" s="139" t="s">
        <v>44</v>
      </c>
      <c r="B11" s="139" t="s">
        <v>1394</v>
      </c>
      <c r="C11" s="139">
        <v>0.91319444444444453</v>
      </c>
      <c r="D11" s="139" t="s">
        <v>46</v>
      </c>
      <c r="E11" s="139" t="s">
        <v>47</v>
      </c>
      <c r="F11" s="139" t="s">
        <v>1397</v>
      </c>
      <c r="G11" s="335"/>
      <c r="H11" s="226" t="s">
        <v>1395</v>
      </c>
      <c r="I11" s="261">
        <v>0.35120000000000001</v>
      </c>
      <c r="J11" s="228">
        <v>59</v>
      </c>
      <c r="K11" s="229" t="s">
        <v>175</v>
      </c>
      <c r="L11" s="228">
        <v>47</v>
      </c>
      <c r="M11" s="228">
        <v>1</v>
      </c>
      <c r="N11" s="228">
        <v>10</v>
      </c>
      <c r="O11" s="229" t="s">
        <v>237</v>
      </c>
      <c r="P11" s="229">
        <v>0.91319444444444453</v>
      </c>
      <c r="Q11" s="228">
        <v>168</v>
      </c>
      <c r="R11" s="230" t="s">
        <v>1398</v>
      </c>
    </row>
    <row r="12" spans="1:18" ht="49.95" customHeight="1" x14ac:dyDescent="0.3">
      <c r="A12" s="50" t="s">
        <v>410</v>
      </c>
      <c r="B12" s="50" t="s">
        <v>1399</v>
      </c>
      <c r="C12" s="50">
        <v>0.90625</v>
      </c>
      <c r="D12" s="50" t="s">
        <v>46</v>
      </c>
      <c r="E12" s="50" t="s">
        <v>47</v>
      </c>
      <c r="F12" s="50" t="s">
        <v>1400</v>
      </c>
      <c r="G12" s="328"/>
      <c r="H12" s="231"/>
      <c r="I12" s="232"/>
      <c r="J12" s="232"/>
      <c r="K12" s="232"/>
      <c r="L12" s="232"/>
      <c r="M12" s="232"/>
      <c r="N12" s="232"/>
      <c r="O12" s="232"/>
      <c r="P12" s="232"/>
      <c r="Q12" s="232"/>
      <c r="R12" s="233"/>
    </row>
    <row r="13" spans="1:18" ht="17.399999999999999" customHeight="1" x14ac:dyDescent="0.3">
      <c r="A13" s="360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2"/>
    </row>
    <row r="14" spans="1:18" ht="22.05" customHeight="1" x14ac:dyDescent="0.3">
      <c r="A14" s="323" t="s">
        <v>6</v>
      </c>
      <c r="B14" s="324"/>
      <c r="C14" s="324"/>
      <c r="D14" s="324"/>
      <c r="E14" s="324"/>
      <c r="F14" s="324"/>
      <c r="G14" s="2">
        <v>45989</v>
      </c>
      <c r="H14" s="323" t="s">
        <v>7</v>
      </c>
      <c r="I14" s="324"/>
      <c r="J14" s="324"/>
      <c r="K14" s="324"/>
      <c r="L14" s="324"/>
      <c r="M14" s="324"/>
      <c r="N14" s="324"/>
      <c r="O14" s="324"/>
      <c r="P14" s="324"/>
      <c r="Q14" s="324"/>
      <c r="R14" s="324"/>
    </row>
    <row r="15" spans="1:18" ht="24" customHeight="1" x14ac:dyDescent="0.3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4" t="s">
        <v>13</v>
      </c>
      <c r="G15" s="5" t="s">
        <v>14</v>
      </c>
      <c r="H15" s="3" t="s">
        <v>15</v>
      </c>
      <c r="I15" s="3" t="s">
        <v>16</v>
      </c>
      <c r="J15" s="3" t="s">
        <v>17</v>
      </c>
      <c r="K15" s="3" t="s">
        <v>18</v>
      </c>
      <c r="L15" s="3" t="s">
        <v>19</v>
      </c>
      <c r="M15" s="3" t="s">
        <v>20</v>
      </c>
      <c r="N15" s="3" t="s">
        <v>21</v>
      </c>
      <c r="O15" s="3" t="s">
        <v>22</v>
      </c>
      <c r="P15" s="3" t="s">
        <v>23</v>
      </c>
      <c r="Q15" s="3" t="s">
        <v>24</v>
      </c>
      <c r="R15" s="3" t="s">
        <v>25</v>
      </c>
    </row>
    <row r="16" spans="1:18" ht="49.95" customHeight="1" x14ac:dyDescent="0.3">
      <c r="A16" s="125" t="s">
        <v>410</v>
      </c>
      <c r="B16" s="125" t="s">
        <v>1401</v>
      </c>
      <c r="C16" s="125">
        <v>0.45833333333333331</v>
      </c>
      <c r="D16" s="125" t="s">
        <v>46</v>
      </c>
      <c r="E16" s="125" t="s">
        <v>47</v>
      </c>
      <c r="F16" s="125" t="s">
        <v>1400</v>
      </c>
      <c r="G16" s="335"/>
      <c r="H16" s="231"/>
      <c r="I16" s="232"/>
      <c r="J16" s="232"/>
      <c r="K16" s="232"/>
      <c r="L16" s="232"/>
      <c r="M16" s="232"/>
      <c r="N16" s="232"/>
      <c r="O16" s="232"/>
      <c r="P16" s="232"/>
      <c r="Q16" s="232"/>
      <c r="R16" s="233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22.05" customHeight="1" x14ac:dyDescent="0.3">
      <c r="A18" s="323" t="s">
        <v>6</v>
      </c>
      <c r="B18" s="324"/>
      <c r="C18" s="324"/>
      <c r="D18" s="324"/>
      <c r="E18" s="324"/>
      <c r="F18" s="324"/>
      <c r="G18" s="2">
        <v>45990</v>
      </c>
      <c r="H18" s="323" t="s">
        <v>7</v>
      </c>
      <c r="I18" s="324"/>
      <c r="J18" s="324"/>
      <c r="K18" s="324"/>
      <c r="L18" s="324"/>
      <c r="M18" s="324"/>
      <c r="N18" s="324"/>
      <c r="O18" s="324"/>
      <c r="P18" s="324"/>
      <c r="Q18" s="324"/>
      <c r="R18" s="324"/>
    </row>
    <row r="19" spans="1:18" ht="24" customHeight="1" x14ac:dyDescent="0.3">
      <c r="A19" s="3" t="s">
        <v>8</v>
      </c>
      <c r="B19" s="3" t="s">
        <v>9</v>
      </c>
      <c r="C19" s="3" t="s">
        <v>10</v>
      </c>
      <c r="D19" s="3" t="s">
        <v>11</v>
      </c>
      <c r="E19" s="3" t="s">
        <v>12</v>
      </c>
      <c r="F19" s="4" t="s">
        <v>13</v>
      </c>
      <c r="G19" s="5" t="s">
        <v>14</v>
      </c>
      <c r="H19" s="3" t="s">
        <v>15</v>
      </c>
      <c r="I19" s="3" t="s">
        <v>16</v>
      </c>
      <c r="J19" s="3" t="s">
        <v>17</v>
      </c>
      <c r="K19" s="3" t="s">
        <v>18</v>
      </c>
      <c r="L19" s="3" t="s">
        <v>19</v>
      </c>
      <c r="M19" s="3" t="s">
        <v>20</v>
      </c>
      <c r="N19" s="3" t="s">
        <v>21</v>
      </c>
      <c r="O19" s="3" t="s">
        <v>22</v>
      </c>
      <c r="P19" s="3" t="s">
        <v>23</v>
      </c>
      <c r="Q19" s="3" t="s">
        <v>24</v>
      </c>
      <c r="R19" s="3" t="s">
        <v>25</v>
      </c>
    </row>
    <row r="20" spans="1:18" ht="49.95" customHeight="1" x14ac:dyDescent="0.3">
      <c r="A20" s="51" t="s">
        <v>44</v>
      </c>
      <c r="B20" s="51" t="s">
        <v>1394</v>
      </c>
      <c r="C20" s="51">
        <v>0.86458333333333337</v>
      </c>
      <c r="D20" s="51" t="s">
        <v>46</v>
      </c>
      <c r="E20" s="51" t="s">
        <v>47</v>
      </c>
      <c r="F20" s="51" t="s">
        <v>1397</v>
      </c>
      <c r="G20" s="335"/>
      <c r="H20" s="277" t="s">
        <v>1395</v>
      </c>
      <c r="I20" s="301">
        <v>0.22620000000000001</v>
      </c>
      <c r="J20" s="279">
        <v>38</v>
      </c>
      <c r="K20" s="280" t="s">
        <v>175</v>
      </c>
      <c r="L20" s="279">
        <v>25</v>
      </c>
      <c r="M20" s="279">
        <v>4</v>
      </c>
      <c r="N20" s="279">
        <v>1</v>
      </c>
      <c r="O20" s="280" t="s">
        <v>237</v>
      </c>
      <c r="P20" s="280">
        <v>0.86458333333333337</v>
      </c>
      <c r="Q20" s="279">
        <v>168</v>
      </c>
      <c r="R20" s="281" t="s">
        <v>1402</v>
      </c>
    </row>
    <row r="21" spans="1:18" ht="17.399999999999999" customHeight="1" x14ac:dyDescent="0.3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ht="22.05" customHeight="1" x14ac:dyDescent="0.3">
      <c r="A22" s="323" t="s">
        <v>6</v>
      </c>
      <c r="B22" s="324"/>
      <c r="C22" s="324"/>
      <c r="D22" s="324"/>
      <c r="E22" s="324"/>
      <c r="F22" s="324"/>
      <c r="G22" s="2">
        <v>45991</v>
      </c>
      <c r="H22" s="323" t="s">
        <v>7</v>
      </c>
      <c r="I22" s="324"/>
      <c r="J22" s="324"/>
      <c r="K22" s="324"/>
      <c r="L22" s="324"/>
      <c r="M22" s="324"/>
      <c r="N22" s="324"/>
      <c r="O22" s="324"/>
      <c r="P22" s="324"/>
      <c r="Q22" s="324"/>
      <c r="R22" s="324"/>
    </row>
    <row r="23" spans="1:18" ht="24" customHeight="1" x14ac:dyDescent="0.3">
      <c r="A23" s="3" t="s">
        <v>8</v>
      </c>
      <c r="B23" s="3" t="s">
        <v>9</v>
      </c>
      <c r="C23" s="3" t="s">
        <v>10</v>
      </c>
      <c r="D23" s="3" t="s">
        <v>11</v>
      </c>
      <c r="E23" s="3" t="s">
        <v>12</v>
      </c>
      <c r="F23" s="4" t="s">
        <v>13</v>
      </c>
      <c r="G23" s="5" t="s">
        <v>14</v>
      </c>
      <c r="H23" s="3" t="s">
        <v>15</v>
      </c>
      <c r="I23" s="3" t="s">
        <v>16</v>
      </c>
      <c r="J23" s="3" t="s">
        <v>17</v>
      </c>
      <c r="K23" s="3" t="s">
        <v>18</v>
      </c>
      <c r="L23" s="3" t="s">
        <v>19</v>
      </c>
      <c r="M23" s="3" t="s">
        <v>20</v>
      </c>
      <c r="N23" s="3" t="s">
        <v>21</v>
      </c>
      <c r="O23" s="3" t="s">
        <v>22</v>
      </c>
      <c r="P23" s="3" t="s">
        <v>23</v>
      </c>
      <c r="Q23" s="3" t="s">
        <v>24</v>
      </c>
      <c r="R23" s="3" t="s">
        <v>25</v>
      </c>
    </row>
    <row r="24" spans="1:18" ht="49.95" customHeight="1" x14ac:dyDescent="0.3">
      <c r="A24" s="125" t="s">
        <v>410</v>
      </c>
      <c r="B24" s="125" t="s">
        <v>1401</v>
      </c>
      <c r="C24" s="125">
        <v>0.45833333333333331</v>
      </c>
      <c r="D24" s="125" t="s">
        <v>46</v>
      </c>
      <c r="E24" s="125" t="s">
        <v>314</v>
      </c>
      <c r="F24" s="125" t="s">
        <v>1400</v>
      </c>
      <c r="G24" s="335"/>
      <c r="H24" s="231"/>
      <c r="I24" s="232"/>
      <c r="J24" s="232"/>
      <c r="K24" s="232"/>
      <c r="L24" s="232"/>
      <c r="M24" s="232"/>
      <c r="N24" s="232"/>
      <c r="O24" s="232"/>
      <c r="P24" s="232"/>
      <c r="Q24" s="232"/>
      <c r="R24" s="233"/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  <row r="26" spans="1:18" ht="17.399999999999999" customHeight="1" x14ac:dyDescent="0.3">
      <c r="A26" s="360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2"/>
    </row>
    <row r="27" spans="1:18" ht="22.05" customHeight="1" x14ac:dyDescent="0.3">
      <c r="A27" s="323" t="s">
        <v>6</v>
      </c>
      <c r="B27" s="324"/>
      <c r="C27" s="324"/>
      <c r="D27" s="324"/>
      <c r="E27" s="324"/>
      <c r="F27" s="324"/>
      <c r="G27" s="2">
        <v>45993</v>
      </c>
      <c r="H27" s="323" t="s">
        <v>7</v>
      </c>
      <c r="I27" s="324"/>
      <c r="J27" s="324"/>
      <c r="K27" s="324"/>
      <c r="L27" s="324"/>
      <c r="M27" s="324"/>
      <c r="N27" s="324"/>
      <c r="O27" s="324"/>
      <c r="P27" s="324"/>
      <c r="Q27" s="324"/>
      <c r="R27" s="324"/>
    </row>
    <row r="28" spans="1:18" ht="24" customHeight="1" x14ac:dyDescent="0.3">
      <c r="A28" s="3" t="s">
        <v>8</v>
      </c>
      <c r="B28" s="3" t="s">
        <v>9</v>
      </c>
      <c r="C28" s="3" t="s">
        <v>10</v>
      </c>
      <c r="D28" s="3" t="s">
        <v>11</v>
      </c>
      <c r="E28" s="3" t="s">
        <v>12</v>
      </c>
      <c r="F28" s="4" t="s">
        <v>13</v>
      </c>
      <c r="G28" s="5" t="s">
        <v>14</v>
      </c>
      <c r="H28" s="3" t="s">
        <v>15</v>
      </c>
      <c r="I28" s="3" t="s">
        <v>16</v>
      </c>
      <c r="J28" s="3" t="s">
        <v>17</v>
      </c>
      <c r="K28" s="3" t="s">
        <v>18</v>
      </c>
      <c r="L28" s="3" t="s">
        <v>19</v>
      </c>
      <c r="M28" s="3" t="s">
        <v>20</v>
      </c>
      <c r="N28" s="3" t="s">
        <v>21</v>
      </c>
      <c r="O28" s="3" t="s">
        <v>22</v>
      </c>
      <c r="P28" s="3" t="s">
        <v>23</v>
      </c>
      <c r="Q28" s="3" t="s">
        <v>24</v>
      </c>
      <c r="R28" s="3" t="s">
        <v>25</v>
      </c>
    </row>
    <row r="29" spans="1:18" ht="49.95" customHeight="1" x14ac:dyDescent="0.3">
      <c r="A29" s="149" t="s">
        <v>44</v>
      </c>
      <c r="B29" s="149" t="s">
        <v>1394</v>
      </c>
      <c r="C29" s="149">
        <v>0.45833333333333331</v>
      </c>
      <c r="D29" s="149" t="s">
        <v>46</v>
      </c>
      <c r="E29" s="149" t="s">
        <v>47</v>
      </c>
      <c r="F29" s="149" t="s">
        <v>374</v>
      </c>
      <c r="G29" s="335"/>
      <c r="H29" s="173" t="s">
        <v>1395</v>
      </c>
      <c r="I29" s="174">
        <v>0.23810000000000001</v>
      </c>
      <c r="J29" s="175">
        <v>40</v>
      </c>
      <c r="K29" s="176" t="s">
        <v>50</v>
      </c>
      <c r="L29" s="175">
        <v>17</v>
      </c>
      <c r="M29" s="175">
        <v>0</v>
      </c>
      <c r="N29" s="175">
        <v>5</v>
      </c>
      <c r="O29" s="176" t="s">
        <v>237</v>
      </c>
      <c r="P29" s="176">
        <v>0.45833333333333331</v>
      </c>
      <c r="Q29" s="175">
        <v>168</v>
      </c>
      <c r="R29" s="177" t="s">
        <v>1403</v>
      </c>
    </row>
    <row r="30" spans="1:18" ht="17.399999999999999" customHeight="1" x14ac:dyDescent="0.3">
      <c r="A30" s="360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2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22.05" customHeight="1" x14ac:dyDescent="0.3">
      <c r="A32" s="323" t="s">
        <v>6</v>
      </c>
      <c r="B32" s="324"/>
      <c r="C32" s="324"/>
      <c r="D32" s="324"/>
      <c r="E32" s="324"/>
      <c r="F32" s="324"/>
      <c r="G32" s="2">
        <v>45995</v>
      </c>
      <c r="H32" s="323" t="s">
        <v>7</v>
      </c>
      <c r="I32" s="324"/>
      <c r="J32" s="324"/>
      <c r="K32" s="324"/>
      <c r="L32" s="324"/>
      <c r="M32" s="324"/>
      <c r="N32" s="324"/>
      <c r="O32" s="324"/>
      <c r="P32" s="324"/>
      <c r="Q32" s="324"/>
      <c r="R32" s="324"/>
    </row>
    <row r="33" spans="1:18" ht="24" customHeight="1" x14ac:dyDescent="0.3">
      <c r="A33" s="3" t="s">
        <v>8</v>
      </c>
      <c r="B33" s="3" t="s">
        <v>9</v>
      </c>
      <c r="C33" s="3" t="s">
        <v>10</v>
      </c>
      <c r="D33" s="3" t="s">
        <v>11</v>
      </c>
      <c r="E33" s="3" t="s">
        <v>12</v>
      </c>
      <c r="F33" s="4" t="s">
        <v>13</v>
      </c>
      <c r="G33" s="5" t="s">
        <v>14</v>
      </c>
      <c r="H33" s="3" t="s">
        <v>15</v>
      </c>
      <c r="I33" s="3" t="s">
        <v>16</v>
      </c>
      <c r="J33" s="3" t="s">
        <v>17</v>
      </c>
      <c r="K33" s="3" t="s">
        <v>18</v>
      </c>
      <c r="L33" s="3" t="s">
        <v>19</v>
      </c>
      <c r="M33" s="3" t="s">
        <v>20</v>
      </c>
      <c r="N33" s="3" t="s">
        <v>21</v>
      </c>
      <c r="O33" s="3" t="s">
        <v>22</v>
      </c>
      <c r="P33" s="3" t="s">
        <v>23</v>
      </c>
      <c r="Q33" s="3" t="s">
        <v>24</v>
      </c>
      <c r="R33" s="3" t="s">
        <v>25</v>
      </c>
    </row>
    <row r="34" spans="1:18" ht="49.95" customHeight="1" x14ac:dyDescent="0.3">
      <c r="A34" s="149" t="s">
        <v>44</v>
      </c>
      <c r="B34" s="149" t="s">
        <v>1394</v>
      </c>
      <c r="C34" s="149">
        <v>0.91319444444444453</v>
      </c>
      <c r="D34" s="149" t="s">
        <v>46</v>
      </c>
      <c r="E34" s="149" t="s">
        <v>47</v>
      </c>
      <c r="F34" s="149" t="s">
        <v>1397</v>
      </c>
      <c r="G34" s="335"/>
      <c r="H34" s="150" t="s">
        <v>1395</v>
      </c>
      <c r="I34" s="151">
        <v>0.14879999999999999</v>
      </c>
      <c r="J34" s="152">
        <v>25</v>
      </c>
      <c r="K34" s="153" t="s">
        <v>63</v>
      </c>
      <c r="L34" s="152">
        <v>5</v>
      </c>
      <c r="M34" s="152">
        <v>0</v>
      </c>
      <c r="N34" s="152">
        <v>0</v>
      </c>
      <c r="O34" s="153" t="s">
        <v>237</v>
      </c>
      <c r="P34" s="153">
        <v>0.91319444444444453</v>
      </c>
      <c r="Q34" s="152">
        <v>168</v>
      </c>
      <c r="R34" s="154" t="s">
        <v>1404</v>
      </c>
    </row>
    <row r="35" spans="1:18" ht="49.95" customHeight="1" x14ac:dyDescent="0.3">
      <c r="A35" s="50" t="s">
        <v>410</v>
      </c>
      <c r="B35" s="50" t="s">
        <v>1399</v>
      </c>
      <c r="C35" s="50">
        <v>0.85069444444444453</v>
      </c>
      <c r="D35" s="50" t="s">
        <v>46</v>
      </c>
      <c r="E35" s="50" t="s">
        <v>47</v>
      </c>
      <c r="F35" s="50" t="s">
        <v>1405</v>
      </c>
      <c r="G35" s="328"/>
      <c r="H35" s="231"/>
      <c r="I35" s="232"/>
      <c r="J35" s="232"/>
      <c r="K35" s="232"/>
      <c r="L35" s="232"/>
      <c r="M35" s="232"/>
      <c r="N35" s="232"/>
      <c r="O35" s="232"/>
      <c r="P35" s="232"/>
      <c r="Q35" s="232"/>
      <c r="R35" s="233"/>
    </row>
    <row r="36" spans="1:18" ht="17.399999999999999" customHeight="1" x14ac:dyDescent="0.3">
      <c r="A36" s="360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2"/>
    </row>
    <row r="37" spans="1:18" ht="22.05" customHeight="1" x14ac:dyDescent="0.3">
      <c r="A37" s="323" t="s">
        <v>6</v>
      </c>
      <c r="B37" s="324"/>
      <c r="C37" s="324"/>
      <c r="D37" s="324"/>
      <c r="E37" s="324"/>
      <c r="F37" s="324"/>
      <c r="G37" s="2">
        <v>45996</v>
      </c>
      <c r="H37" s="323" t="s">
        <v>7</v>
      </c>
      <c r="I37" s="324"/>
      <c r="J37" s="324"/>
      <c r="K37" s="324"/>
      <c r="L37" s="324"/>
      <c r="M37" s="324"/>
      <c r="N37" s="324"/>
      <c r="O37" s="324"/>
      <c r="P37" s="324"/>
      <c r="Q37" s="324"/>
      <c r="R37" s="324"/>
    </row>
    <row r="38" spans="1:18" ht="24" customHeight="1" x14ac:dyDescent="0.3">
      <c r="A38" s="3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4" t="s">
        <v>13</v>
      </c>
      <c r="G38" s="5" t="s">
        <v>14</v>
      </c>
      <c r="H38" s="3" t="s">
        <v>15</v>
      </c>
      <c r="I38" s="3" t="s">
        <v>16</v>
      </c>
      <c r="J38" s="3" t="s">
        <v>17</v>
      </c>
      <c r="K38" s="3" t="s">
        <v>18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  <c r="Q38" s="3" t="s">
        <v>24</v>
      </c>
      <c r="R38" s="3" t="s">
        <v>25</v>
      </c>
    </row>
    <row r="39" spans="1:18" ht="49.95" customHeight="1" x14ac:dyDescent="0.3">
      <c r="A39" s="125" t="s">
        <v>410</v>
      </c>
      <c r="B39" s="125" t="s">
        <v>1401</v>
      </c>
      <c r="C39" s="125">
        <v>0.45833333333333331</v>
      </c>
      <c r="D39" s="125" t="s">
        <v>46</v>
      </c>
      <c r="E39" s="125" t="s">
        <v>47</v>
      </c>
      <c r="F39" s="125" t="s">
        <v>1400</v>
      </c>
      <c r="G39" s="335"/>
      <c r="H39" s="231"/>
      <c r="I39" s="232"/>
      <c r="J39" s="232"/>
      <c r="K39" s="232"/>
      <c r="L39" s="232"/>
      <c r="M39" s="232"/>
      <c r="N39" s="232"/>
      <c r="O39" s="232"/>
      <c r="P39" s="232"/>
      <c r="Q39" s="232"/>
      <c r="R39" s="233"/>
    </row>
    <row r="40" spans="1:18" ht="17.399999999999999" customHeight="1" x14ac:dyDescent="0.3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2"/>
    </row>
    <row r="41" spans="1:18" ht="22.05" customHeight="1" x14ac:dyDescent="0.3">
      <c r="A41" s="323" t="s">
        <v>6</v>
      </c>
      <c r="B41" s="324"/>
      <c r="C41" s="324"/>
      <c r="D41" s="324"/>
      <c r="E41" s="324"/>
      <c r="F41" s="324"/>
      <c r="G41" s="2">
        <v>45997</v>
      </c>
      <c r="H41" s="323" t="s">
        <v>7</v>
      </c>
      <c r="I41" s="324"/>
      <c r="J41" s="324"/>
      <c r="K41" s="324"/>
      <c r="L41" s="324"/>
      <c r="M41" s="324"/>
      <c r="N41" s="324"/>
      <c r="O41" s="324"/>
      <c r="P41" s="324"/>
      <c r="Q41" s="324"/>
      <c r="R41" s="324"/>
    </row>
    <row r="42" spans="1:18" ht="24" customHeight="1" x14ac:dyDescent="0.3">
      <c r="A42" s="3" t="s">
        <v>8</v>
      </c>
      <c r="B42" s="3" t="s">
        <v>9</v>
      </c>
      <c r="C42" s="3" t="s">
        <v>10</v>
      </c>
      <c r="D42" s="3" t="s">
        <v>11</v>
      </c>
      <c r="E42" s="3" t="s">
        <v>12</v>
      </c>
      <c r="F42" s="4" t="s">
        <v>13</v>
      </c>
      <c r="G42" s="5" t="s">
        <v>14</v>
      </c>
      <c r="H42" s="3" t="s">
        <v>15</v>
      </c>
      <c r="I42" s="3" t="s">
        <v>16</v>
      </c>
      <c r="J42" s="3" t="s">
        <v>17</v>
      </c>
      <c r="K42" s="3" t="s">
        <v>18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23</v>
      </c>
      <c r="Q42" s="3" t="s">
        <v>24</v>
      </c>
      <c r="R42" s="3" t="s">
        <v>25</v>
      </c>
    </row>
    <row r="43" spans="1:18" ht="49.95" customHeight="1" x14ac:dyDescent="0.3">
      <c r="A43" s="12" t="s">
        <v>44</v>
      </c>
      <c r="B43" s="12" t="s">
        <v>1394</v>
      </c>
      <c r="C43" s="12">
        <v>0.86458333333333337</v>
      </c>
      <c r="D43" s="12" t="s">
        <v>46</v>
      </c>
      <c r="E43" s="12" t="s">
        <v>47</v>
      </c>
      <c r="F43" s="12" t="s">
        <v>1397</v>
      </c>
      <c r="G43" s="335"/>
      <c r="H43" s="178" t="s">
        <v>1395</v>
      </c>
      <c r="I43" s="179">
        <v>5.3600000000000002E-2</v>
      </c>
      <c r="J43" s="180">
        <v>9</v>
      </c>
      <c r="K43" s="181" t="s">
        <v>63</v>
      </c>
      <c r="L43" s="180">
        <v>4</v>
      </c>
      <c r="M43" s="180">
        <v>0</v>
      </c>
      <c r="N43" s="180">
        <v>0</v>
      </c>
      <c r="O43" s="181" t="s">
        <v>237</v>
      </c>
      <c r="P43" s="181">
        <v>0.86458333333333337</v>
      </c>
      <c r="Q43" s="180">
        <v>168</v>
      </c>
      <c r="R43" s="182" t="s">
        <v>1406</v>
      </c>
    </row>
    <row r="44" spans="1:18" ht="17.399999999999999" customHeight="1" x14ac:dyDescent="0.3">
      <c r="A44" s="360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2"/>
    </row>
    <row r="45" spans="1:18" ht="22.05" customHeight="1" x14ac:dyDescent="0.3">
      <c r="A45" s="323" t="s">
        <v>6</v>
      </c>
      <c r="B45" s="324"/>
      <c r="C45" s="324"/>
      <c r="D45" s="324"/>
      <c r="E45" s="324"/>
      <c r="F45" s="324"/>
      <c r="G45" s="2">
        <v>45998</v>
      </c>
      <c r="H45" s="323" t="s">
        <v>7</v>
      </c>
      <c r="I45" s="324"/>
      <c r="J45" s="324"/>
      <c r="K45" s="324"/>
      <c r="L45" s="324"/>
      <c r="M45" s="324"/>
      <c r="N45" s="324"/>
      <c r="O45" s="324"/>
      <c r="P45" s="324"/>
      <c r="Q45" s="324"/>
      <c r="R45" s="324"/>
    </row>
    <row r="46" spans="1:18" ht="24" customHeight="1" x14ac:dyDescent="0.3">
      <c r="A46" s="3" t="s">
        <v>8</v>
      </c>
      <c r="B46" s="3" t="s">
        <v>9</v>
      </c>
      <c r="C46" s="3" t="s">
        <v>10</v>
      </c>
      <c r="D46" s="3" t="s">
        <v>11</v>
      </c>
      <c r="E46" s="3" t="s">
        <v>12</v>
      </c>
      <c r="F46" s="4" t="s">
        <v>13</v>
      </c>
      <c r="G46" s="5" t="s">
        <v>14</v>
      </c>
      <c r="H46" s="3" t="s">
        <v>15</v>
      </c>
      <c r="I46" s="3" t="s">
        <v>16</v>
      </c>
      <c r="J46" s="3" t="s">
        <v>17</v>
      </c>
      <c r="K46" s="3" t="s">
        <v>18</v>
      </c>
      <c r="L46" s="3" t="s">
        <v>19</v>
      </c>
      <c r="M46" s="3" t="s">
        <v>20</v>
      </c>
      <c r="N46" s="3" t="s">
        <v>21</v>
      </c>
      <c r="O46" s="3" t="s">
        <v>22</v>
      </c>
      <c r="P46" s="3" t="s">
        <v>23</v>
      </c>
      <c r="Q46" s="3" t="s">
        <v>24</v>
      </c>
      <c r="R46" s="3" t="s">
        <v>25</v>
      </c>
    </row>
    <row r="47" spans="1:18" ht="49.95" customHeight="1" x14ac:dyDescent="0.3">
      <c r="A47" s="125" t="s">
        <v>410</v>
      </c>
      <c r="B47" s="125" t="s">
        <v>1401</v>
      </c>
      <c r="C47" s="125">
        <v>0.45833333333333331</v>
      </c>
      <c r="D47" s="125" t="s">
        <v>46</v>
      </c>
      <c r="E47" s="125" t="s">
        <v>121</v>
      </c>
      <c r="F47" s="125" t="s">
        <v>1400</v>
      </c>
      <c r="G47" s="335"/>
      <c r="H47" s="231"/>
      <c r="I47" s="232"/>
      <c r="J47" s="232"/>
      <c r="K47" s="232"/>
      <c r="L47" s="232"/>
      <c r="M47" s="232"/>
      <c r="N47" s="232"/>
      <c r="O47" s="232"/>
      <c r="P47" s="232"/>
      <c r="Q47" s="232"/>
      <c r="R47" s="233"/>
    </row>
    <row r="48" spans="1:18" ht="17.399999999999999" customHeight="1" x14ac:dyDescent="0.3">
      <c r="A48" s="360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2"/>
    </row>
    <row r="49" spans="1:18" ht="17.399999999999999" customHeight="1" x14ac:dyDescent="0.3">
      <c r="A49" s="360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2"/>
    </row>
    <row r="50" spans="1:18" ht="22.05" customHeight="1" x14ac:dyDescent="0.3">
      <c r="A50" s="323" t="s">
        <v>6</v>
      </c>
      <c r="B50" s="324"/>
      <c r="C50" s="324"/>
      <c r="D50" s="324"/>
      <c r="E50" s="324"/>
      <c r="F50" s="324"/>
      <c r="G50" s="2">
        <v>46000</v>
      </c>
      <c r="H50" s="323" t="s">
        <v>7</v>
      </c>
      <c r="I50" s="324"/>
      <c r="J50" s="324"/>
      <c r="K50" s="324"/>
      <c r="L50" s="324"/>
      <c r="M50" s="324"/>
      <c r="N50" s="324"/>
      <c r="O50" s="324"/>
      <c r="P50" s="324"/>
      <c r="Q50" s="324"/>
      <c r="R50" s="324"/>
    </row>
    <row r="51" spans="1:18" ht="24" customHeight="1" x14ac:dyDescent="0.3">
      <c r="A51" s="3" t="s">
        <v>8</v>
      </c>
      <c r="B51" s="3" t="s">
        <v>9</v>
      </c>
      <c r="C51" s="3" t="s">
        <v>10</v>
      </c>
      <c r="D51" s="3" t="s">
        <v>11</v>
      </c>
      <c r="E51" s="3" t="s">
        <v>12</v>
      </c>
      <c r="F51" s="4" t="s">
        <v>13</v>
      </c>
      <c r="G51" s="5" t="s">
        <v>14</v>
      </c>
      <c r="H51" s="3" t="s">
        <v>15</v>
      </c>
      <c r="I51" s="3" t="s">
        <v>16</v>
      </c>
      <c r="J51" s="3" t="s">
        <v>17</v>
      </c>
      <c r="K51" s="3" t="s">
        <v>18</v>
      </c>
      <c r="L51" s="3" t="s">
        <v>19</v>
      </c>
      <c r="M51" s="3" t="s">
        <v>20</v>
      </c>
      <c r="N51" s="3" t="s">
        <v>21</v>
      </c>
      <c r="O51" s="3" t="s">
        <v>22</v>
      </c>
      <c r="P51" s="3" t="s">
        <v>23</v>
      </c>
      <c r="Q51" s="3" t="s">
        <v>24</v>
      </c>
      <c r="R51" s="3" t="s">
        <v>25</v>
      </c>
    </row>
    <row r="52" spans="1:18" ht="49.95" customHeight="1" x14ac:dyDescent="0.3">
      <c r="A52" s="139" t="s">
        <v>44</v>
      </c>
      <c r="B52" s="139" t="s">
        <v>1394</v>
      </c>
      <c r="C52" s="139">
        <v>0.45833333333333331</v>
      </c>
      <c r="D52" s="139" t="s">
        <v>46</v>
      </c>
      <c r="E52" s="139" t="s">
        <v>47</v>
      </c>
      <c r="F52" s="139" t="s">
        <v>374</v>
      </c>
      <c r="G52" s="335"/>
      <c r="H52" s="162" t="s">
        <v>1395</v>
      </c>
      <c r="I52" s="302">
        <v>7.1400000000000005E-2</v>
      </c>
      <c r="J52" s="164">
        <v>12</v>
      </c>
      <c r="K52" s="165" t="s">
        <v>63</v>
      </c>
      <c r="L52" s="164">
        <v>4</v>
      </c>
      <c r="M52" s="164">
        <v>0</v>
      </c>
      <c r="N52" s="164">
        <v>0</v>
      </c>
      <c r="O52" s="165" t="s">
        <v>237</v>
      </c>
      <c r="P52" s="165">
        <v>0.45833333333333331</v>
      </c>
      <c r="Q52" s="164">
        <v>168</v>
      </c>
      <c r="R52" s="166" t="s">
        <v>1407</v>
      </c>
    </row>
    <row r="53" spans="1:18" ht="17.399999999999999" customHeight="1" x14ac:dyDescent="0.3">
      <c r="A53" s="360"/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2"/>
    </row>
  </sheetData>
  <mergeCells count="55">
    <mergeCell ref="A53:R53"/>
    <mergeCell ref="G39"/>
    <mergeCell ref="A9:F9"/>
    <mergeCell ref="H45:R45"/>
    <mergeCell ref="A13:R13"/>
    <mergeCell ref="A44:R44"/>
    <mergeCell ref="H32:R32"/>
    <mergeCell ref="A31:R31"/>
    <mergeCell ref="H37:R37"/>
    <mergeCell ref="H22:R22"/>
    <mergeCell ref="A40:R40"/>
    <mergeCell ref="A48:R48"/>
    <mergeCell ref="H27:R27"/>
    <mergeCell ref="A30:R30"/>
    <mergeCell ref="A49:R49"/>
    <mergeCell ref="A45:F45"/>
    <mergeCell ref="G52"/>
    <mergeCell ref="A22:F22"/>
    <mergeCell ref="G2:J2"/>
    <mergeCell ref="A4:F4"/>
    <mergeCell ref="A17:R17"/>
    <mergeCell ref="A8:R8"/>
    <mergeCell ref="K2:R2"/>
    <mergeCell ref="G6"/>
    <mergeCell ref="A36:R36"/>
    <mergeCell ref="G24"/>
    <mergeCell ref="G11:G12"/>
    <mergeCell ref="H18:R18"/>
    <mergeCell ref="H14:R14"/>
    <mergeCell ref="A50:F50"/>
    <mergeCell ref="H4:R4"/>
    <mergeCell ref="G34:G35"/>
    <mergeCell ref="H50:R50"/>
    <mergeCell ref="A2:F2"/>
    <mergeCell ref="A3:R3"/>
    <mergeCell ref="H9:R9"/>
    <mergeCell ref="A21:R21"/>
    <mergeCell ref="A26:R26"/>
    <mergeCell ref="A14:F14"/>
    <mergeCell ref="G43"/>
    <mergeCell ref="A32:F32"/>
    <mergeCell ref="H1:L1"/>
    <mergeCell ref="A1:E1"/>
    <mergeCell ref="A18:F18"/>
    <mergeCell ref="G47"/>
    <mergeCell ref="G16"/>
    <mergeCell ref="H41:R41"/>
    <mergeCell ref="N1:R1"/>
    <mergeCell ref="A41:F41"/>
    <mergeCell ref="A7:R7"/>
    <mergeCell ref="A25:R25"/>
    <mergeCell ref="G20"/>
    <mergeCell ref="A37:F37"/>
    <mergeCell ref="G29"/>
    <mergeCell ref="A27:F2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9"/>
  <sheetViews>
    <sheetView workbookViewId="0"/>
  </sheetViews>
  <sheetFormatPr defaultRowHeight="15.6" outlineLevelCol="1" x14ac:dyDescent="0.3"/>
  <cols>
    <col min="1" max="1" width="9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7.44140625" style="343" bestFit="1" customWidth="1"/>
    <col min="6" max="6" width="4.21875" style="343" bestFit="1" customWidth="1"/>
    <col min="7" max="7" width="10" style="343" bestFit="1" customWidth="1"/>
    <col min="8" max="8" width="8.5546875" style="343" bestFit="1" customWidth="1"/>
    <col min="9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8" width="3.88671875" style="343" bestFit="1" customWidth="1"/>
    <col min="29" max="29" width="4.2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1395</v>
      </c>
      <c r="D2" s="347" t="s">
        <v>729</v>
      </c>
      <c r="E2" s="346" t="s">
        <v>1393</v>
      </c>
      <c r="F2" s="346" t="s">
        <v>214</v>
      </c>
      <c r="G2" s="348">
        <v>0.63690000000000002</v>
      </c>
      <c r="H2" s="349">
        <v>168</v>
      </c>
      <c r="I2" s="349">
        <v>107</v>
      </c>
      <c r="J2" s="349">
        <v>0</v>
      </c>
      <c r="K2" s="346" t="s">
        <v>215</v>
      </c>
      <c r="L2" s="350" t="s">
        <v>175</v>
      </c>
      <c r="M2" s="349">
        <v>2</v>
      </c>
      <c r="N2" s="349">
        <v>12</v>
      </c>
      <c r="O2" s="349">
        <v>63</v>
      </c>
      <c r="P2" s="346" t="s">
        <v>917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244</v>
      </c>
      <c r="AA2" s="342"/>
      <c r="AB2" s="349" t="s">
        <v>924</v>
      </c>
      <c r="AC2" s="349" t="s">
        <v>1408</v>
      </c>
      <c r="AD2" s="349" t="s">
        <v>777</v>
      </c>
      <c r="AE2" s="349" t="s">
        <v>383</v>
      </c>
      <c r="AF2" s="349" t="s">
        <v>1409</v>
      </c>
      <c r="AG2" s="342"/>
      <c r="AH2" s="342"/>
      <c r="AI2" s="342"/>
      <c r="AJ2" s="342"/>
    </row>
    <row r="3" spans="1:36" x14ac:dyDescent="0.3">
      <c r="A3" s="344" t="s">
        <v>240</v>
      </c>
      <c r="B3" s="345">
        <v>45988</v>
      </c>
      <c r="C3" s="346" t="s">
        <v>1395</v>
      </c>
      <c r="D3" s="347" t="s">
        <v>1244</v>
      </c>
      <c r="E3" s="346" t="s">
        <v>1393</v>
      </c>
      <c r="F3" s="346" t="s">
        <v>214</v>
      </c>
      <c r="G3" s="348">
        <v>0.35120000000000001</v>
      </c>
      <c r="H3" s="349">
        <v>168</v>
      </c>
      <c r="I3" s="349">
        <v>59</v>
      </c>
      <c r="J3" s="349">
        <v>0</v>
      </c>
      <c r="K3" s="346" t="s">
        <v>215</v>
      </c>
      <c r="L3" s="350" t="s">
        <v>175</v>
      </c>
      <c r="M3" s="349">
        <v>1</v>
      </c>
      <c r="N3" s="349">
        <v>10</v>
      </c>
      <c r="O3" s="349">
        <v>47</v>
      </c>
      <c r="P3" s="346" t="s">
        <v>237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9" t="s">
        <v>279</v>
      </c>
      <c r="AD3" s="342"/>
      <c r="AE3" s="349" t="s">
        <v>684</v>
      </c>
      <c r="AF3" s="349" t="s">
        <v>1410</v>
      </c>
      <c r="AG3" s="342"/>
      <c r="AH3" s="342"/>
      <c r="AI3" s="342"/>
      <c r="AJ3" s="342"/>
    </row>
    <row r="4" spans="1:36" x14ac:dyDescent="0.3">
      <c r="A4" s="344" t="s">
        <v>248</v>
      </c>
      <c r="B4" s="345">
        <v>45990</v>
      </c>
      <c r="C4" s="346" t="s">
        <v>1395</v>
      </c>
      <c r="D4" s="347" t="s">
        <v>1378</v>
      </c>
      <c r="E4" s="346" t="s">
        <v>1393</v>
      </c>
      <c r="F4" s="346" t="s">
        <v>214</v>
      </c>
      <c r="G4" s="348">
        <v>0.22620000000000001</v>
      </c>
      <c r="H4" s="349">
        <v>168</v>
      </c>
      <c r="I4" s="349">
        <v>38</v>
      </c>
      <c r="J4" s="349">
        <v>0</v>
      </c>
      <c r="K4" s="346" t="s">
        <v>215</v>
      </c>
      <c r="L4" s="350" t="s">
        <v>175</v>
      </c>
      <c r="M4" s="349">
        <v>4</v>
      </c>
      <c r="N4" s="349">
        <v>1</v>
      </c>
      <c r="O4" s="349">
        <v>25</v>
      </c>
      <c r="P4" s="346" t="s">
        <v>237</v>
      </c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9" t="s">
        <v>705</v>
      </c>
      <c r="AB4" s="342"/>
      <c r="AC4" s="342"/>
      <c r="AD4" s="342"/>
      <c r="AE4" s="349" t="s">
        <v>1411</v>
      </c>
      <c r="AF4" s="349" t="s">
        <v>375</v>
      </c>
      <c r="AG4" s="342"/>
      <c r="AH4" s="342"/>
      <c r="AI4" s="342"/>
      <c r="AJ4" s="342"/>
    </row>
    <row r="5" spans="1:36" x14ac:dyDescent="0.3">
      <c r="A5" s="344" t="s">
        <v>212</v>
      </c>
      <c r="B5" s="345">
        <v>45993</v>
      </c>
      <c r="C5" s="346" t="s">
        <v>1395</v>
      </c>
      <c r="D5" s="347" t="s">
        <v>729</v>
      </c>
      <c r="E5" s="346" t="s">
        <v>1393</v>
      </c>
      <c r="F5" s="346" t="s">
        <v>214</v>
      </c>
      <c r="G5" s="348">
        <v>0.23810000000000001</v>
      </c>
      <c r="H5" s="349">
        <v>168</v>
      </c>
      <c r="I5" s="349">
        <v>40</v>
      </c>
      <c r="J5" s="349">
        <v>0</v>
      </c>
      <c r="K5" s="346" t="s">
        <v>215</v>
      </c>
      <c r="L5" s="350" t="s">
        <v>50</v>
      </c>
      <c r="M5" s="349">
        <v>0</v>
      </c>
      <c r="N5" s="349">
        <v>5</v>
      </c>
      <c r="O5" s="349">
        <v>17</v>
      </c>
      <c r="P5" s="346" t="s">
        <v>237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333</v>
      </c>
      <c r="AA5" s="342"/>
      <c r="AB5" s="342"/>
      <c r="AC5" s="342"/>
      <c r="AD5" s="342"/>
      <c r="AE5" s="349" t="s">
        <v>1412</v>
      </c>
      <c r="AF5" s="349" t="s">
        <v>375</v>
      </c>
      <c r="AG5" s="342"/>
      <c r="AH5" s="342"/>
      <c r="AI5" s="342"/>
      <c r="AJ5" s="342"/>
    </row>
    <row r="6" spans="1:36" x14ac:dyDescent="0.3">
      <c r="A6" s="344" t="s">
        <v>240</v>
      </c>
      <c r="B6" s="345">
        <v>45995</v>
      </c>
      <c r="C6" s="346" t="s">
        <v>1395</v>
      </c>
      <c r="D6" s="347" t="s">
        <v>1244</v>
      </c>
      <c r="E6" s="346" t="s">
        <v>1393</v>
      </c>
      <c r="F6" s="346" t="s">
        <v>214</v>
      </c>
      <c r="G6" s="348">
        <v>0.14879999999999999</v>
      </c>
      <c r="H6" s="349">
        <v>168</v>
      </c>
      <c r="I6" s="349">
        <v>25</v>
      </c>
      <c r="J6" s="349">
        <v>0</v>
      </c>
      <c r="K6" s="346" t="s">
        <v>215</v>
      </c>
      <c r="L6" s="350" t="s">
        <v>63</v>
      </c>
      <c r="M6" s="349">
        <v>0</v>
      </c>
      <c r="N6" s="349">
        <v>0</v>
      </c>
      <c r="O6" s="349">
        <v>5</v>
      </c>
      <c r="P6" s="346" t="s">
        <v>237</v>
      </c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9" t="s">
        <v>346</v>
      </c>
      <c r="AF6" s="349" t="s">
        <v>742</v>
      </c>
      <c r="AG6" s="342"/>
      <c r="AH6" s="342"/>
      <c r="AI6" s="342"/>
      <c r="AJ6" s="342"/>
    </row>
    <row r="7" spans="1:36" x14ac:dyDescent="0.3">
      <c r="A7" s="344" t="s">
        <v>248</v>
      </c>
      <c r="B7" s="345">
        <v>45997</v>
      </c>
      <c r="C7" s="346" t="s">
        <v>1395</v>
      </c>
      <c r="D7" s="347" t="s">
        <v>1378</v>
      </c>
      <c r="E7" s="346" t="s">
        <v>1393</v>
      </c>
      <c r="F7" s="346" t="s">
        <v>214</v>
      </c>
      <c r="G7" s="348">
        <v>5.3600000000000002E-2</v>
      </c>
      <c r="H7" s="349">
        <v>168</v>
      </c>
      <c r="I7" s="349">
        <v>9</v>
      </c>
      <c r="J7" s="349">
        <v>0</v>
      </c>
      <c r="K7" s="346" t="s">
        <v>215</v>
      </c>
      <c r="L7" s="350" t="s">
        <v>63</v>
      </c>
      <c r="M7" s="349">
        <v>0</v>
      </c>
      <c r="N7" s="349">
        <v>0</v>
      </c>
      <c r="O7" s="349">
        <v>4</v>
      </c>
      <c r="P7" s="346" t="s">
        <v>237</v>
      </c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9" t="s">
        <v>286</v>
      </c>
      <c r="AF7" s="349" t="s">
        <v>608</v>
      </c>
      <c r="AG7" s="342"/>
      <c r="AH7" s="342"/>
      <c r="AI7" s="342"/>
      <c r="AJ7" s="342"/>
    </row>
    <row r="8" spans="1:36" x14ac:dyDescent="0.3">
      <c r="A8" s="344" t="s">
        <v>212</v>
      </c>
      <c r="B8" s="345">
        <v>46000</v>
      </c>
      <c r="C8" s="346" t="s">
        <v>1395</v>
      </c>
      <c r="D8" s="347" t="s">
        <v>729</v>
      </c>
      <c r="E8" s="346" t="s">
        <v>1393</v>
      </c>
      <c r="F8" s="346" t="s">
        <v>214</v>
      </c>
      <c r="G8" s="348">
        <v>7.1400000000000005E-2</v>
      </c>
      <c r="H8" s="349">
        <v>168</v>
      </c>
      <c r="I8" s="349">
        <v>12</v>
      </c>
      <c r="J8" s="349">
        <v>0</v>
      </c>
      <c r="K8" s="346" t="s">
        <v>215</v>
      </c>
      <c r="L8" s="350" t="s">
        <v>63</v>
      </c>
      <c r="M8" s="349">
        <v>0</v>
      </c>
      <c r="N8" s="349">
        <v>0</v>
      </c>
      <c r="O8" s="349">
        <v>4</v>
      </c>
      <c r="P8" s="346" t="s">
        <v>237</v>
      </c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9" t="s">
        <v>643</v>
      </c>
      <c r="AE8" s="349" t="s">
        <v>228</v>
      </c>
      <c r="AF8" s="342"/>
      <c r="AG8" s="342"/>
      <c r="AH8" s="342"/>
      <c r="AI8" s="342"/>
      <c r="AJ8" s="342"/>
    </row>
    <row r="9" spans="1:36" ht="21" x14ac:dyDescent="0.3">
      <c r="A9" s="351" t="s">
        <v>1574</v>
      </c>
      <c r="B9" s="352"/>
      <c r="C9" s="351">
        <f>SUBTOTAL(103,AJF_CAI_LF_LEGACY[Flt])</f>
        <v>7</v>
      </c>
      <c r="D9" s="351"/>
      <c r="E9" s="351">
        <f>SUBTOTAL(103,AJF_CAI_LF_LEGACY[Brd-Off])</f>
        <v>7</v>
      </c>
      <c r="F9" s="351"/>
      <c r="G9" s="353">
        <f>SUBTOTAL(101,AJF_CAI_LF_LEGACY[LF%])</f>
        <v>0.24659999999999999</v>
      </c>
      <c r="H9" s="354">
        <f>SUBTOTAL(109,AJF_CAI_LF_LEGACY[CAP])</f>
        <v>1176</v>
      </c>
      <c r="I9" s="354">
        <f>SUBTOTAL(109,AJF_CAI_LF_LEGACY[BKG(Y)])</f>
        <v>290</v>
      </c>
      <c r="J9" s="354">
        <f>SUBTOTAL(109,AJF_CAI_LF_LEGACY[GRP(Y)])</f>
        <v>0</v>
      </c>
      <c r="K9" s="351"/>
      <c r="L9" s="352"/>
      <c r="M9" s="354">
        <f>SUBTOTAL(109,AJF_CAI_LF_LEGACY[TO-DAY])</f>
        <v>7</v>
      </c>
      <c r="N9" s="354">
        <f>SUBTOTAL(109,AJF_CAI_LF_LEGACY[Y-DAY])</f>
        <v>28</v>
      </c>
      <c r="O9" s="354">
        <f>SUBTOTAL(109,AJF_CAI_LF_LEGACY[WEEKLY])</f>
        <v>165</v>
      </c>
      <c r="P9" s="355"/>
      <c r="Q9" s="354">
        <f>SUBTOTAL(109,AJF_CAI_LF_LEGACY[Y])</f>
        <v>0</v>
      </c>
      <c r="R9" s="354">
        <f>SUBTOTAL(109,AJF_CAI_LF_LEGACY[B])</f>
        <v>0</v>
      </c>
      <c r="S9" s="354">
        <f>SUBTOTAL(109,AJF_CAI_LF_LEGACY[M])</f>
        <v>0</v>
      </c>
      <c r="T9" s="354">
        <f>SUBTOTAL(109,AJF_CAI_LF_LEGACY[H])</f>
        <v>0</v>
      </c>
      <c r="U9" s="354">
        <f>SUBTOTAL(109,AJF_CAI_LF_LEGACY[Q])</f>
        <v>0</v>
      </c>
      <c r="V9" s="354">
        <f>SUBTOTAL(109,AJF_CAI_LF_LEGACY[K])</f>
        <v>0</v>
      </c>
      <c r="W9" s="354">
        <f>SUBTOTAL(109,AJF_CAI_LF_LEGACY[V])</f>
        <v>0</v>
      </c>
      <c r="X9" s="354">
        <f>SUBTOTAL(109,AJF_CAI_LF_LEGACY[L])</f>
        <v>0</v>
      </c>
      <c r="Y9" s="354">
        <f>SUBTOTAL(109,AJF_CAI_LF_LEGACY[G])</f>
        <v>0</v>
      </c>
      <c r="Z9" s="354">
        <f>SUBTOTAL(109,AJF_CAI_LF_LEGACY[S])</f>
        <v>0</v>
      </c>
      <c r="AA9" s="354">
        <f>SUBTOTAL(109,AJF_CAI_LF_LEGACY[W])</f>
        <v>0</v>
      </c>
      <c r="AB9" s="354">
        <f>SUBTOTAL(109,AJF_CAI_LF_LEGACY[T])</f>
        <v>0</v>
      </c>
      <c r="AC9" s="354">
        <f>SUBTOTAL(109,AJF_CAI_LF_LEGACY[X])</f>
        <v>0</v>
      </c>
      <c r="AD9" s="354">
        <f>SUBTOTAL(109,AJF_CAI_LF_LEGACY[U])</f>
        <v>0</v>
      </c>
      <c r="AE9" s="354">
        <f>SUBTOTAL(109,AJF_CAI_LF_LEGACY[O])</f>
        <v>0</v>
      </c>
      <c r="AF9" s="354">
        <f>SUBTOTAL(109,AJF_CAI_LF_LEGACY[I])</f>
        <v>0</v>
      </c>
      <c r="AG9" s="354">
        <f>SUBTOTAL(109,AJF_CAI_LF_LEGACY[E])</f>
        <v>0</v>
      </c>
      <c r="AH9" s="354">
        <f>SUBTOTAL(109,AJF_CAI_LF_LEGACY[A])</f>
        <v>0</v>
      </c>
      <c r="AI9" s="354">
        <f>SUBTOTAL(109,AJF_CAI_LF_LEGACY[P])</f>
        <v>0</v>
      </c>
      <c r="AJ9" s="354">
        <f>SUBTOTAL(103,AJF_CAI_LF_LEGACY[N])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4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  <col min="9" max="9" width="178.1093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292</v>
      </c>
      <c r="B2" s="109" t="s">
        <v>44</v>
      </c>
      <c r="C2" s="110" t="s">
        <v>1394</v>
      </c>
      <c r="D2" s="109" t="s">
        <v>1393</v>
      </c>
      <c r="E2" s="109" t="s">
        <v>729</v>
      </c>
      <c r="F2" s="109" t="s">
        <v>46</v>
      </c>
      <c r="G2" s="141">
        <v>6</v>
      </c>
      <c r="H2" s="143">
        <v>538</v>
      </c>
      <c r="I2" s="88"/>
    </row>
    <row r="3" spans="1:9" ht="19.8" customHeight="1" x14ac:dyDescent="0.3">
      <c r="A3" s="105">
        <v>45988</v>
      </c>
      <c r="B3" s="99" t="s">
        <v>44</v>
      </c>
      <c r="C3" s="100" t="s">
        <v>1394</v>
      </c>
      <c r="D3" s="99" t="s">
        <v>1393</v>
      </c>
      <c r="E3" s="106">
        <v>1.913194444444444</v>
      </c>
      <c r="F3" s="99" t="s">
        <v>46</v>
      </c>
      <c r="G3" s="101">
        <v>9</v>
      </c>
      <c r="H3" s="102">
        <v>420</v>
      </c>
      <c r="I3" s="88"/>
    </row>
    <row r="4" spans="1:9" ht="19.8" customHeight="1" x14ac:dyDescent="0.3">
      <c r="A4" s="113">
        <v>45988</v>
      </c>
      <c r="B4" s="114" t="s">
        <v>410</v>
      </c>
      <c r="C4" s="115" t="s">
        <v>1399</v>
      </c>
      <c r="D4" s="114" t="s">
        <v>1393</v>
      </c>
      <c r="E4" s="116">
        <v>1.90625</v>
      </c>
      <c r="F4" s="114" t="s">
        <v>46</v>
      </c>
      <c r="G4" s="117">
        <v>9</v>
      </c>
      <c r="H4" s="142">
        <v>421</v>
      </c>
      <c r="I4" s="88"/>
    </row>
    <row r="5" spans="1:9" ht="19.8" customHeight="1" x14ac:dyDescent="0.3">
      <c r="A5" s="113">
        <v>45989</v>
      </c>
      <c r="B5" s="114" t="s">
        <v>410</v>
      </c>
      <c r="C5" s="115" t="s">
        <v>1401</v>
      </c>
      <c r="D5" s="114" t="s">
        <v>1393</v>
      </c>
      <c r="E5" s="116">
        <v>1.458333333333333</v>
      </c>
      <c r="F5" s="114" t="s">
        <v>46</v>
      </c>
      <c r="G5" s="117">
        <v>9</v>
      </c>
      <c r="H5" s="142">
        <v>421</v>
      </c>
      <c r="I5" s="88"/>
    </row>
    <row r="6" spans="1:9" ht="19.8" customHeight="1" x14ac:dyDescent="0.3">
      <c r="A6" s="108">
        <v>45990</v>
      </c>
      <c r="B6" s="109" t="s">
        <v>44</v>
      </c>
      <c r="C6" s="110" t="s">
        <v>1394</v>
      </c>
      <c r="D6" s="109" t="s">
        <v>1393</v>
      </c>
      <c r="E6" s="111">
        <v>1.864583333333333</v>
      </c>
      <c r="F6" s="109" t="s">
        <v>46</v>
      </c>
      <c r="G6" s="141">
        <v>9</v>
      </c>
      <c r="H6" s="143">
        <v>420</v>
      </c>
      <c r="I6" s="88"/>
    </row>
    <row r="7" spans="1:9" ht="19.8" customHeight="1" x14ac:dyDescent="0.3">
      <c r="A7" s="113">
        <v>45991</v>
      </c>
      <c r="B7" s="114" t="s">
        <v>410</v>
      </c>
      <c r="C7" s="115" t="s">
        <v>1401</v>
      </c>
      <c r="D7" s="114" t="s">
        <v>1393</v>
      </c>
      <c r="E7" s="116">
        <v>1.458333333333333</v>
      </c>
      <c r="F7" s="114" t="s">
        <v>46</v>
      </c>
      <c r="G7" s="117">
        <v>8</v>
      </c>
      <c r="H7" s="142">
        <v>421</v>
      </c>
      <c r="I7" s="88"/>
    </row>
    <row r="8" spans="1:9" ht="19.8" customHeight="1" x14ac:dyDescent="0.3">
      <c r="A8" s="108">
        <v>45993</v>
      </c>
      <c r="B8" s="109" t="s">
        <v>44</v>
      </c>
      <c r="C8" s="110" t="s">
        <v>1394</v>
      </c>
      <c r="D8" s="109" t="s">
        <v>1393</v>
      </c>
      <c r="E8" s="111">
        <v>1.458333333333333</v>
      </c>
      <c r="F8" s="109" t="s">
        <v>46</v>
      </c>
      <c r="G8" s="141">
        <v>9</v>
      </c>
      <c r="H8" s="143">
        <v>401</v>
      </c>
      <c r="I8" s="88"/>
    </row>
    <row r="9" spans="1:9" ht="19.8" customHeight="1" x14ac:dyDescent="0.3">
      <c r="A9" s="105">
        <v>45995</v>
      </c>
      <c r="B9" s="99" t="s">
        <v>44</v>
      </c>
      <c r="C9" s="100" t="s">
        <v>1394</v>
      </c>
      <c r="D9" s="99" t="s">
        <v>1393</v>
      </c>
      <c r="E9" s="106">
        <v>1.913194444444444</v>
      </c>
      <c r="F9" s="99" t="s">
        <v>46</v>
      </c>
      <c r="G9" s="101">
        <v>9</v>
      </c>
      <c r="H9" s="102">
        <v>420</v>
      </c>
      <c r="I9" s="88"/>
    </row>
    <row r="10" spans="1:9" ht="19.8" customHeight="1" x14ac:dyDescent="0.3">
      <c r="A10" s="113">
        <v>45995</v>
      </c>
      <c r="B10" s="114" t="s">
        <v>410</v>
      </c>
      <c r="C10" s="115" t="s">
        <v>1399</v>
      </c>
      <c r="D10" s="114" t="s">
        <v>1393</v>
      </c>
      <c r="E10" s="116">
        <v>1.850694444444444</v>
      </c>
      <c r="F10" s="114" t="s">
        <v>46</v>
      </c>
      <c r="G10" s="117">
        <v>9</v>
      </c>
      <c r="H10" s="142">
        <v>520</v>
      </c>
      <c r="I10" s="88"/>
    </row>
    <row r="11" spans="1:9" ht="19.8" customHeight="1" x14ac:dyDescent="0.3">
      <c r="A11" s="113">
        <v>45996</v>
      </c>
      <c r="B11" s="114" t="s">
        <v>410</v>
      </c>
      <c r="C11" s="115" t="s">
        <v>1401</v>
      </c>
      <c r="D11" s="114" t="s">
        <v>1393</v>
      </c>
      <c r="E11" s="116">
        <v>1.458333333333333</v>
      </c>
      <c r="F11" s="114" t="s">
        <v>46</v>
      </c>
      <c r="G11" s="117">
        <v>9</v>
      </c>
      <c r="H11" s="142">
        <v>421</v>
      </c>
      <c r="I11" s="88"/>
    </row>
    <row r="12" spans="1:9" ht="19.8" customHeight="1" x14ac:dyDescent="0.3">
      <c r="A12" s="108">
        <v>45997</v>
      </c>
      <c r="B12" s="109" t="s">
        <v>44</v>
      </c>
      <c r="C12" s="110" t="s">
        <v>1394</v>
      </c>
      <c r="D12" s="109" t="s">
        <v>1393</v>
      </c>
      <c r="E12" s="111">
        <v>1.864583333333333</v>
      </c>
      <c r="F12" s="109" t="s">
        <v>46</v>
      </c>
      <c r="G12" s="141">
        <v>9</v>
      </c>
      <c r="H12" s="143">
        <v>420</v>
      </c>
      <c r="I12" s="88"/>
    </row>
    <row r="13" spans="1:9" ht="19.8" customHeight="1" x14ac:dyDescent="0.3">
      <c r="A13" s="113">
        <v>45998</v>
      </c>
      <c r="B13" s="114" t="s">
        <v>410</v>
      </c>
      <c r="C13" s="115" t="s">
        <v>1401</v>
      </c>
      <c r="D13" s="114" t="s">
        <v>1393</v>
      </c>
      <c r="E13" s="116">
        <v>1.458333333333333</v>
      </c>
      <c r="F13" s="114" t="s">
        <v>46</v>
      </c>
      <c r="G13" s="117">
        <v>5</v>
      </c>
      <c r="H13" s="142">
        <v>421</v>
      </c>
      <c r="I13" s="88"/>
    </row>
    <row r="14" spans="1:9" ht="19.8" customHeight="1" x14ac:dyDescent="0.3">
      <c r="A14" s="108">
        <v>46000</v>
      </c>
      <c r="B14" s="109" t="s">
        <v>44</v>
      </c>
      <c r="C14" s="110" t="s">
        <v>1394</v>
      </c>
      <c r="D14" s="109" t="s">
        <v>1393</v>
      </c>
      <c r="E14" s="111">
        <v>1.458333333333333</v>
      </c>
      <c r="F14" s="109" t="s">
        <v>46</v>
      </c>
      <c r="G14" s="141">
        <v>9</v>
      </c>
      <c r="H14" s="143">
        <v>401</v>
      </c>
      <c r="I14" s="88"/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32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0.21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7.8867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1413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45982.804330919869</v>
      </c>
      <c r="H2" s="330"/>
      <c r="I2" s="330"/>
      <c r="J2" s="330"/>
      <c r="K2" s="334">
        <v>45982.804330920269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17.399999999999999" customHeight="1" x14ac:dyDescent="0.3">
      <c r="A5" s="363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5"/>
    </row>
    <row r="6" spans="1:18" ht="17.399999999999999" customHeight="1" x14ac:dyDescent="0.3">
      <c r="A6" s="360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2"/>
    </row>
    <row r="7" spans="1:18" ht="22.05" customHeight="1" x14ac:dyDescent="0.3">
      <c r="A7" s="323" t="s">
        <v>6</v>
      </c>
      <c r="B7" s="324"/>
      <c r="C7" s="324"/>
      <c r="D7" s="324"/>
      <c r="E7" s="324"/>
      <c r="F7" s="324"/>
      <c r="G7" s="2">
        <v>45989</v>
      </c>
      <c r="H7" s="323" t="s">
        <v>7</v>
      </c>
      <c r="I7" s="324"/>
      <c r="J7" s="324"/>
      <c r="K7" s="324"/>
      <c r="L7" s="324"/>
      <c r="M7" s="324"/>
      <c r="N7" s="324"/>
      <c r="O7" s="324"/>
      <c r="P7" s="324"/>
      <c r="Q7" s="324"/>
      <c r="R7" s="324"/>
    </row>
    <row r="8" spans="1:18" ht="24" customHeight="1" x14ac:dyDescent="0.3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4" t="s">
        <v>13</v>
      </c>
      <c r="G8" s="5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3" t="s">
        <v>24</v>
      </c>
      <c r="R8" s="3" t="s">
        <v>25</v>
      </c>
    </row>
    <row r="9" spans="1:18" ht="49.95" customHeight="1" x14ac:dyDescent="0.3">
      <c r="A9" s="139" t="s">
        <v>44</v>
      </c>
      <c r="B9" s="139" t="s">
        <v>1414</v>
      </c>
      <c r="C9" s="139">
        <v>0.63541666666666663</v>
      </c>
      <c r="D9" s="139" t="s">
        <v>61</v>
      </c>
      <c r="E9" s="139"/>
      <c r="F9" s="139" t="s">
        <v>363</v>
      </c>
      <c r="G9" s="328"/>
      <c r="H9" s="39" t="s">
        <v>1414</v>
      </c>
      <c r="I9" s="293">
        <v>0.42859999999999998</v>
      </c>
      <c r="J9" s="41">
        <v>72</v>
      </c>
      <c r="K9" s="42" t="s">
        <v>175</v>
      </c>
      <c r="L9" s="41">
        <v>49</v>
      </c>
      <c r="M9" s="41">
        <v>2</v>
      </c>
      <c r="N9" s="41">
        <v>11</v>
      </c>
      <c r="O9" s="42" t="s">
        <v>364</v>
      </c>
      <c r="P9" s="42">
        <v>0.63541666666666663</v>
      </c>
      <c r="Q9" s="41">
        <v>168</v>
      </c>
      <c r="R9" s="43" t="s">
        <v>1415</v>
      </c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22.05" customHeight="1" x14ac:dyDescent="0.3">
      <c r="A11" s="323" t="s">
        <v>6</v>
      </c>
      <c r="B11" s="324"/>
      <c r="C11" s="324"/>
      <c r="D11" s="324"/>
      <c r="E11" s="324"/>
      <c r="F11" s="324"/>
      <c r="G11" s="2">
        <v>45990</v>
      </c>
      <c r="H11" s="323" t="s">
        <v>7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</row>
    <row r="12" spans="1:18" ht="24" customHeight="1" x14ac:dyDescent="0.3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4" t="s">
        <v>13</v>
      </c>
      <c r="G12" s="5" t="s">
        <v>14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  <c r="Q12" s="3" t="s">
        <v>24</v>
      </c>
      <c r="R12" s="3" t="s">
        <v>25</v>
      </c>
    </row>
    <row r="13" spans="1:18" ht="15.6" x14ac:dyDescent="0.3">
      <c r="A13" s="340" t="s">
        <v>1416</v>
      </c>
      <c r="B13" s="341"/>
      <c r="C13" s="341"/>
      <c r="D13" s="341"/>
      <c r="E13" s="341"/>
      <c r="F13" s="341"/>
      <c r="G13" s="337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</row>
    <row r="14" spans="1:18" ht="49.95" customHeight="1" x14ac:dyDescent="0.3">
      <c r="A14" s="155" t="s">
        <v>44</v>
      </c>
      <c r="B14" s="155" t="s">
        <v>367</v>
      </c>
      <c r="C14" s="155" t="s">
        <v>368</v>
      </c>
      <c r="D14" s="155" t="s">
        <v>369</v>
      </c>
      <c r="E14" s="155" t="s">
        <v>370</v>
      </c>
      <c r="F14" s="155" t="s">
        <v>371</v>
      </c>
      <c r="G14" s="337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17.399999999999999" customHeight="1" x14ac:dyDescent="0.3">
      <c r="A20" s="360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2"/>
    </row>
    <row r="21" spans="1:18" ht="22.05" customHeight="1" x14ac:dyDescent="0.3">
      <c r="A21" s="323" t="s">
        <v>6</v>
      </c>
      <c r="B21" s="324"/>
      <c r="C21" s="324"/>
      <c r="D21" s="324"/>
      <c r="E21" s="324"/>
      <c r="F21" s="324"/>
      <c r="G21" s="2">
        <v>45996</v>
      </c>
      <c r="H21" s="323" t="s">
        <v>7</v>
      </c>
      <c r="I21" s="324"/>
      <c r="J21" s="324"/>
      <c r="K21" s="324"/>
      <c r="L21" s="324"/>
      <c r="M21" s="324"/>
      <c r="N21" s="324"/>
      <c r="O21" s="324"/>
      <c r="P21" s="324"/>
      <c r="Q21" s="324"/>
      <c r="R21" s="324"/>
    </row>
    <row r="22" spans="1:18" ht="24" customHeight="1" x14ac:dyDescent="0.3">
      <c r="A22" s="3" t="s">
        <v>8</v>
      </c>
      <c r="B22" s="3" t="s">
        <v>9</v>
      </c>
      <c r="C22" s="3" t="s">
        <v>10</v>
      </c>
      <c r="D22" s="3" t="s">
        <v>11</v>
      </c>
      <c r="E22" s="3" t="s">
        <v>12</v>
      </c>
      <c r="F22" s="4" t="s">
        <v>13</v>
      </c>
      <c r="G22" s="5" t="s">
        <v>14</v>
      </c>
      <c r="H22" s="3" t="s">
        <v>15</v>
      </c>
      <c r="I22" s="3" t="s">
        <v>16</v>
      </c>
      <c r="J22" s="3" t="s">
        <v>17</v>
      </c>
      <c r="K22" s="3" t="s">
        <v>18</v>
      </c>
      <c r="L22" s="3" t="s">
        <v>19</v>
      </c>
      <c r="M22" s="3" t="s">
        <v>20</v>
      </c>
      <c r="N22" s="3" t="s">
        <v>21</v>
      </c>
      <c r="O22" s="3" t="s">
        <v>22</v>
      </c>
      <c r="P22" s="3" t="s">
        <v>23</v>
      </c>
      <c r="Q22" s="3" t="s">
        <v>24</v>
      </c>
      <c r="R22" s="3" t="s">
        <v>25</v>
      </c>
    </row>
    <row r="23" spans="1:18" ht="49.95" customHeight="1" x14ac:dyDescent="0.3">
      <c r="A23" s="127" t="s">
        <v>44</v>
      </c>
      <c r="B23" s="127" t="s">
        <v>1417</v>
      </c>
      <c r="C23" s="127">
        <v>0.63541666666666663</v>
      </c>
      <c r="D23" s="127" t="s">
        <v>46</v>
      </c>
      <c r="E23" s="127" t="s">
        <v>47</v>
      </c>
      <c r="F23" s="127" t="s">
        <v>1418</v>
      </c>
      <c r="G23" s="328"/>
      <c r="H23" s="128" t="s">
        <v>1414</v>
      </c>
      <c r="I23" s="290">
        <v>0.19639999999999999</v>
      </c>
      <c r="J23" s="130">
        <v>33</v>
      </c>
      <c r="K23" s="131" t="s">
        <v>175</v>
      </c>
      <c r="L23" s="130">
        <v>20</v>
      </c>
      <c r="M23" s="130">
        <v>1</v>
      </c>
      <c r="N23" s="130">
        <v>6</v>
      </c>
      <c r="O23" s="131" t="s">
        <v>237</v>
      </c>
      <c r="P23" s="131">
        <v>0.63541666666666663</v>
      </c>
      <c r="Q23" s="130">
        <v>168</v>
      </c>
      <c r="R23" s="132" t="s">
        <v>1419</v>
      </c>
    </row>
    <row r="24" spans="1:18" ht="17.399999999999999" customHeight="1" x14ac:dyDescent="0.3">
      <c r="A24" s="360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2"/>
    </row>
    <row r="25" spans="1:18" ht="22.05" customHeight="1" x14ac:dyDescent="0.3">
      <c r="A25" s="323" t="s">
        <v>6</v>
      </c>
      <c r="B25" s="324"/>
      <c r="C25" s="324"/>
      <c r="D25" s="324"/>
      <c r="E25" s="324"/>
      <c r="F25" s="324"/>
      <c r="G25" s="2">
        <v>45997</v>
      </c>
      <c r="H25" s="323" t="s">
        <v>7</v>
      </c>
      <c r="I25" s="324"/>
      <c r="J25" s="324"/>
      <c r="K25" s="324"/>
      <c r="L25" s="324"/>
      <c r="M25" s="324"/>
      <c r="N25" s="324"/>
      <c r="O25" s="324"/>
      <c r="P25" s="324"/>
      <c r="Q25" s="324"/>
      <c r="R25" s="324"/>
    </row>
    <row r="26" spans="1:18" ht="24" customHeight="1" x14ac:dyDescent="0.3">
      <c r="A26" s="3" t="s">
        <v>8</v>
      </c>
      <c r="B26" s="3" t="s">
        <v>9</v>
      </c>
      <c r="C26" s="3" t="s">
        <v>10</v>
      </c>
      <c r="D26" s="3" t="s">
        <v>11</v>
      </c>
      <c r="E26" s="3" t="s">
        <v>12</v>
      </c>
      <c r="F26" s="4" t="s">
        <v>13</v>
      </c>
      <c r="G26" s="5" t="s">
        <v>14</v>
      </c>
      <c r="H26" s="3" t="s">
        <v>15</v>
      </c>
      <c r="I26" s="3" t="s">
        <v>16</v>
      </c>
      <c r="J26" s="3" t="s">
        <v>17</v>
      </c>
      <c r="K26" s="3" t="s">
        <v>18</v>
      </c>
      <c r="L26" s="3" t="s">
        <v>19</v>
      </c>
      <c r="M26" s="3" t="s">
        <v>20</v>
      </c>
      <c r="N26" s="3" t="s">
        <v>21</v>
      </c>
      <c r="O26" s="3" t="s">
        <v>22</v>
      </c>
      <c r="P26" s="3" t="s">
        <v>23</v>
      </c>
      <c r="Q26" s="3" t="s">
        <v>24</v>
      </c>
      <c r="R26" s="3" t="s">
        <v>25</v>
      </c>
    </row>
    <row r="27" spans="1:18" ht="15.6" x14ac:dyDescent="0.3">
      <c r="A27" s="340" t="s">
        <v>1416</v>
      </c>
      <c r="B27" s="341"/>
      <c r="C27" s="341"/>
      <c r="D27" s="341"/>
      <c r="E27" s="341"/>
      <c r="F27" s="341"/>
      <c r="G27" s="337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</row>
    <row r="28" spans="1:18" ht="49.95" customHeight="1" x14ac:dyDescent="0.3">
      <c r="A28" s="155" t="s">
        <v>44</v>
      </c>
      <c r="B28" s="155" t="s">
        <v>367</v>
      </c>
      <c r="C28" s="155" t="s">
        <v>368</v>
      </c>
      <c r="D28" s="155" t="s">
        <v>369</v>
      </c>
      <c r="E28" s="155" t="s">
        <v>377</v>
      </c>
      <c r="F28" s="155" t="s">
        <v>371</v>
      </c>
      <c r="G28" s="337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</row>
    <row r="29" spans="1:18" ht="17.399999999999999" customHeight="1" x14ac:dyDescent="0.3">
      <c r="A29" s="360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2"/>
    </row>
    <row r="30" spans="1:18" ht="17.399999999999999" customHeight="1" x14ac:dyDescent="0.3">
      <c r="A30" s="360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2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17.399999999999999" customHeight="1" x14ac:dyDescent="0.3">
      <c r="A32" s="360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2"/>
    </row>
  </sheetData>
  <mergeCells count="36">
    <mergeCell ref="A30:R30"/>
    <mergeCell ref="A15:R15"/>
    <mergeCell ref="G27:G28"/>
    <mergeCell ref="A24:R24"/>
    <mergeCell ref="A6:R6"/>
    <mergeCell ref="A7:F7"/>
    <mergeCell ref="A25:F25"/>
    <mergeCell ref="A32:R32"/>
    <mergeCell ref="G2:J2"/>
    <mergeCell ref="A5:R5"/>
    <mergeCell ref="A17:R17"/>
    <mergeCell ref="A4:R4"/>
    <mergeCell ref="A20:R20"/>
    <mergeCell ref="G23"/>
    <mergeCell ref="A29:R29"/>
    <mergeCell ref="H11:R11"/>
    <mergeCell ref="A13:F13"/>
    <mergeCell ref="A19:R19"/>
    <mergeCell ref="A10:R10"/>
    <mergeCell ref="H7:R7"/>
    <mergeCell ref="K2:R2"/>
    <mergeCell ref="A31:R31"/>
    <mergeCell ref="A11:F11"/>
    <mergeCell ref="A16:R16"/>
    <mergeCell ref="G13:G14"/>
    <mergeCell ref="A27:F27"/>
    <mergeCell ref="H1:L1"/>
    <mergeCell ref="A1:E1"/>
    <mergeCell ref="A21:F21"/>
    <mergeCell ref="A18:R18"/>
    <mergeCell ref="G9"/>
    <mergeCell ref="A2:F2"/>
    <mergeCell ref="A3:R3"/>
    <mergeCell ref="H25:R25"/>
    <mergeCell ref="H21:R21"/>
    <mergeCell ref="N1:R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4"/>
  <sheetViews>
    <sheetView workbookViewId="0"/>
  </sheetViews>
  <sheetFormatPr defaultRowHeight="15.6" outlineLevelCol="1" x14ac:dyDescent="0.3"/>
  <cols>
    <col min="1" max="1" width="6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7.5546875" style="343" bestFit="1" customWidth="1"/>
    <col min="6" max="6" width="4.21875" style="343" bestFit="1" customWidth="1"/>
    <col min="7" max="7" width="10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9" width="3.8867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724</v>
      </c>
      <c r="B2" s="345">
        <v>45989</v>
      </c>
      <c r="C2" s="346" t="s">
        <v>1414</v>
      </c>
      <c r="D2" s="347" t="s">
        <v>1383</v>
      </c>
      <c r="E2" s="346" t="s">
        <v>1413</v>
      </c>
      <c r="F2" s="346" t="s">
        <v>214</v>
      </c>
      <c r="G2" s="348">
        <v>0.42859999999999998</v>
      </c>
      <c r="H2" s="349">
        <v>168</v>
      </c>
      <c r="I2" s="349">
        <v>72</v>
      </c>
      <c r="J2" s="349">
        <v>0</v>
      </c>
      <c r="K2" s="346" t="s">
        <v>215</v>
      </c>
      <c r="L2" s="350" t="s">
        <v>175</v>
      </c>
      <c r="M2" s="349">
        <v>2</v>
      </c>
      <c r="N2" s="349">
        <v>11</v>
      </c>
      <c r="O2" s="349">
        <v>49</v>
      </c>
      <c r="P2" s="346" t="s">
        <v>364</v>
      </c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9" t="s">
        <v>1353</v>
      </c>
      <c r="AE2" s="349" t="s">
        <v>1282</v>
      </c>
      <c r="AF2" s="349" t="s">
        <v>375</v>
      </c>
      <c r="AG2" s="342"/>
      <c r="AH2" s="342"/>
      <c r="AI2" s="342"/>
      <c r="AJ2" s="342"/>
    </row>
    <row r="3" spans="1:36" x14ac:dyDescent="0.3">
      <c r="A3" s="344" t="s">
        <v>724</v>
      </c>
      <c r="B3" s="345">
        <v>45996</v>
      </c>
      <c r="C3" s="346" t="s">
        <v>1414</v>
      </c>
      <c r="D3" s="347" t="s">
        <v>1383</v>
      </c>
      <c r="E3" s="346" t="s">
        <v>1413</v>
      </c>
      <c r="F3" s="346" t="s">
        <v>214</v>
      </c>
      <c r="G3" s="348">
        <v>0.19639999999999999</v>
      </c>
      <c r="H3" s="349">
        <v>168</v>
      </c>
      <c r="I3" s="349">
        <v>33</v>
      </c>
      <c r="J3" s="349">
        <v>0</v>
      </c>
      <c r="K3" s="346" t="s">
        <v>215</v>
      </c>
      <c r="L3" s="350" t="s">
        <v>175</v>
      </c>
      <c r="M3" s="349">
        <v>1</v>
      </c>
      <c r="N3" s="349">
        <v>6</v>
      </c>
      <c r="O3" s="349">
        <v>20</v>
      </c>
      <c r="P3" s="346" t="s">
        <v>237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9" t="s">
        <v>1420</v>
      </c>
      <c r="AF3" s="349" t="s">
        <v>966</v>
      </c>
      <c r="AG3" s="342"/>
      <c r="AH3" s="342"/>
      <c r="AI3" s="342"/>
      <c r="AJ3" s="342"/>
    </row>
    <row r="4" spans="1:36" ht="21" x14ac:dyDescent="0.3">
      <c r="A4" s="351" t="s">
        <v>1574</v>
      </c>
      <c r="B4" s="352"/>
      <c r="C4" s="351">
        <f>SUBTOTAL(103,AJF_ATZ_LF_LEGACY[Flt])</f>
        <v>2</v>
      </c>
      <c r="D4" s="351"/>
      <c r="E4" s="351">
        <f>SUBTOTAL(103,AJF_ATZ_LF_LEGACY[Brd-Off])</f>
        <v>2</v>
      </c>
      <c r="F4" s="351"/>
      <c r="G4" s="353">
        <f>SUBTOTAL(101,AJF_ATZ_LF_LEGACY[LF%])</f>
        <v>0.3125</v>
      </c>
      <c r="H4" s="354">
        <f>SUBTOTAL(109,AJF_ATZ_LF_LEGACY[CAP])</f>
        <v>336</v>
      </c>
      <c r="I4" s="354">
        <f>SUBTOTAL(109,AJF_ATZ_LF_LEGACY[BKG(Y)])</f>
        <v>105</v>
      </c>
      <c r="J4" s="354">
        <f>SUBTOTAL(109,AJF_ATZ_LF_LEGACY[GRP(Y)])</f>
        <v>0</v>
      </c>
      <c r="K4" s="351"/>
      <c r="L4" s="352"/>
      <c r="M4" s="354">
        <f>SUBTOTAL(109,AJF_ATZ_LF_LEGACY[TO-DAY])</f>
        <v>3</v>
      </c>
      <c r="N4" s="354">
        <f>SUBTOTAL(109,AJF_ATZ_LF_LEGACY[Y-DAY])</f>
        <v>17</v>
      </c>
      <c r="O4" s="354">
        <f>SUBTOTAL(109,AJF_ATZ_LF_LEGACY[WEEKLY])</f>
        <v>69</v>
      </c>
      <c r="P4" s="355"/>
      <c r="Q4" s="354">
        <f>SUBTOTAL(109,AJF_ATZ_LF_LEGACY[Y])</f>
        <v>0</v>
      </c>
      <c r="R4" s="354">
        <f>SUBTOTAL(109,AJF_ATZ_LF_LEGACY[B])</f>
        <v>0</v>
      </c>
      <c r="S4" s="354">
        <f>SUBTOTAL(109,AJF_ATZ_LF_LEGACY[M])</f>
        <v>0</v>
      </c>
      <c r="T4" s="354">
        <f>SUBTOTAL(109,AJF_ATZ_LF_LEGACY[H])</f>
        <v>0</v>
      </c>
      <c r="U4" s="354">
        <f>SUBTOTAL(109,AJF_ATZ_LF_LEGACY[Q])</f>
        <v>0</v>
      </c>
      <c r="V4" s="354">
        <f>SUBTOTAL(109,AJF_ATZ_LF_LEGACY[K])</f>
        <v>0</v>
      </c>
      <c r="W4" s="354">
        <f>SUBTOTAL(109,AJF_ATZ_LF_LEGACY[V])</f>
        <v>0</v>
      </c>
      <c r="X4" s="354">
        <f>SUBTOTAL(109,AJF_ATZ_LF_LEGACY[L])</f>
        <v>0</v>
      </c>
      <c r="Y4" s="354">
        <f>SUBTOTAL(109,AJF_ATZ_LF_LEGACY[G])</f>
        <v>0</v>
      </c>
      <c r="Z4" s="354">
        <f>SUBTOTAL(109,AJF_ATZ_LF_LEGACY[S])</f>
        <v>0</v>
      </c>
      <c r="AA4" s="354">
        <f>SUBTOTAL(109,AJF_ATZ_LF_LEGACY[W])</f>
        <v>0</v>
      </c>
      <c r="AB4" s="354">
        <f>SUBTOTAL(109,AJF_ATZ_LF_LEGACY[T])</f>
        <v>0</v>
      </c>
      <c r="AC4" s="354">
        <f>SUBTOTAL(109,AJF_ATZ_LF_LEGACY[X])</f>
        <v>0</v>
      </c>
      <c r="AD4" s="354">
        <f>SUBTOTAL(109,AJF_ATZ_LF_LEGACY[U])</f>
        <v>0</v>
      </c>
      <c r="AE4" s="354">
        <f>SUBTOTAL(109,AJF_ATZ_LF_LEGACY[O])</f>
        <v>0</v>
      </c>
      <c r="AF4" s="354">
        <f>SUBTOTAL(109,AJF_ATZ_LF_LEGACY[I])</f>
        <v>0</v>
      </c>
      <c r="AG4" s="354">
        <f>SUBTOTAL(109,AJF_ATZ_LF_LEGACY[E])</f>
        <v>0</v>
      </c>
      <c r="AH4" s="354">
        <f>SUBTOTAL(109,AJF_ATZ_LF_LEGACY[A])</f>
        <v>0</v>
      </c>
      <c r="AI4" s="354">
        <f>SUBTOTAL(109,AJF_ATZ_LF_LEGACY[P])</f>
        <v>0</v>
      </c>
      <c r="AJ4" s="354">
        <f>SUBTOTAL(103,AJF_ATZ_LF_LEGACY[N])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  <col min="9" max="9" width="162.441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1355</v>
      </c>
      <c r="B2" s="109" t="s">
        <v>44</v>
      </c>
      <c r="C2" s="110" t="s">
        <v>1417</v>
      </c>
      <c r="D2" s="109" t="s">
        <v>1413</v>
      </c>
      <c r="E2" s="109" t="s">
        <v>1383</v>
      </c>
      <c r="F2" s="109"/>
      <c r="G2" s="109"/>
      <c r="H2" s="112" t="s">
        <v>363</v>
      </c>
      <c r="I2" s="88"/>
    </row>
    <row r="3" spans="1:9" ht="19.8" customHeight="1" x14ac:dyDescent="0.3">
      <c r="A3" s="183"/>
      <c r="B3" s="184"/>
      <c r="C3" s="184"/>
      <c r="D3" s="184"/>
      <c r="E3" s="184"/>
      <c r="F3" s="185" t="s">
        <v>1421</v>
      </c>
      <c r="G3" s="184"/>
      <c r="H3" s="186"/>
      <c r="I3" s="88"/>
    </row>
    <row r="4" spans="1:9" ht="19.8" customHeight="1" x14ac:dyDescent="0.3">
      <c r="A4" s="113">
        <v>45990</v>
      </c>
      <c r="B4" s="114" t="s">
        <v>44</v>
      </c>
      <c r="C4" s="115" t="s">
        <v>367</v>
      </c>
      <c r="D4" s="114" t="s">
        <v>1393</v>
      </c>
      <c r="E4" s="116">
        <v>1.9375</v>
      </c>
      <c r="F4" s="114" t="s">
        <v>369</v>
      </c>
      <c r="G4" s="117">
        <v>2</v>
      </c>
      <c r="H4" s="118" t="s">
        <v>371</v>
      </c>
      <c r="I4" s="88"/>
    </row>
    <row r="5" spans="1:9" ht="19.8" customHeight="1" x14ac:dyDescent="0.3">
      <c r="A5" s="108">
        <v>45996</v>
      </c>
      <c r="B5" s="109" t="s">
        <v>44</v>
      </c>
      <c r="C5" s="110" t="s">
        <v>1417</v>
      </c>
      <c r="D5" s="109" t="s">
        <v>1413</v>
      </c>
      <c r="E5" s="111">
        <v>1.635416666666667</v>
      </c>
      <c r="F5" s="109" t="s">
        <v>46</v>
      </c>
      <c r="G5" s="141">
        <v>9</v>
      </c>
      <c r="H5" s="143">
        <v>433</v>
      </c>
      <c r="I5" s="88"/>
    </row>
    <row r="6" spans="1:9" ht="19.8" customHeight="1" x14ac:dyDescent="0.3">
      <c r="A6" s="183"/>
      <c r="B6" s="184"/>
      <c r="C6" s="184"/>
      <c r="D6" s="184"/>
      <c r="E6" s="184"/>
      <c r="F6" s="185" t="s">
        <v>1421</v>
      </c>
      <c r="G6" s="184"/>
      <c r="H6" s="186"/>
      <c r="I6" s="88"/>
    </row>
    <row r="7" spans="1:9" ht="19.8" customHeight="1" x14ac:dyDescent="0.3">
      <c r="A7" s="113">
        <v>45997</v>
      </c>
      <c r="B7" s="114" t="s">
        <v>44</v>
      </c>
      <c r="C7" s="115" t="s">
        <v>367</v>
      </c>
      <c r="D7" s="114" t="s">
        <v>1393</v>
      </c>
      <c r="E7" s="116">
        <v>1.9375</v>
      </c>
      <c r="F7" s="114" t="s">
        <v>369</v>
      </c>
      <c r="G7" s="117">
        <v>9</v>
      </c>
      <c r="H7" s="118" t="s">
        <v>371</v>
      </c>
      <c r="I7" s="88"/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74"/>
  <sheetViews>
    <sheetView workbookViewId="0"/>
  </sheetViews>
  <sheetFormatPr defaultRowHeight="14.4" x14ac:dyDescent="0.3"/>
  <cols>
    <col min="1" max="1" width="17.886718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55.886718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1422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45982.804331646381</v>
      </c>
      <c r="H2" s="330"/>
      <c r="I2" s="330"/>
      <c r="J2" s="330"/>
      <c r="K2" s="334">
        <v>45982.804331646737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6" t="s">
        <v>410</v>
      </c>
      <c r="B6" s="6" t="s">
        <v>1423</v>
      </c>
      <c r="C6" s="6">
        <v>0.17708333333333329</v>
      </c>
      <c r="D6" s="6" t="s">
        <v>46</v>
      </c>
      <c r="E6" s="6" t="s">
        <v>47</v>
      </c>
      <c r="F6" s="6" t="s">
        <v>426</v>
      </c>
      <c r="G6" s="335"/>
      <c r="H6" s="218"/>
      <c r="I6" s="219"/>
      <c r="J6" s="219"/>
      <c r="K6" s="219"/>
      <c r="L6" s="219"/>
      <c r="M6" s="219"/>
      <c r="N6" s="219"/>
      <c r="O6" s="219"/>
      <c r="P6" s="219"/>
      <c r="Q6" s="219"/>
      <c r="R6" s="220"/>
    </row>
    <row r="7" spans="1:18" ht="49.95" customHeight="1" x14ac:dyDescent="0.3">
      <c r="A7" s="295" t="s">
        <v>44</v>
      </c>
      <c r="B7" s="295" t="s">
        <v>1424</v>
      </c>
      <c r="C7" s="295">
        <v>0.99305555555555547</v>
      </c>
      <c r="D7" s="295" t="s">
        <v>46</v>
      </c>
      <c r="E7" s="295" t="s">
        <v>47</v>
      </c>
      <c r="F7" s="295" t="s">
        <v>1425</v>
      </c>
      <c r="G7" s="328"/>
      <c r="H7" s="277" t="s">
        <v>1426</v>
      </c>
      <c r="I7" s="303">
        <v>0.94969999999999999</v>
      </c>
      <c r="J7" s="279">
        <v>170</v>
      </c>
      <c r="K7" s="280" t="s">
        <v>311</v>
      </c>
      <c r="L7" s="279">
        <v>3</v>
      </c>
      <c r="M7" s="279">
        <v>0</v>
      </c>
      <c r="N7" s="279">
        <v>0</v>
      </c>
      <c r="O7" s="280" t="s">
        <v>851</v>
      </c>
      <c r="P7" s="280">
        <v>0.99305555555555547</v>
      </c>
      <c r="Q7" s="279">
        <v>179</v>
      </c>
      <c r="R7" s="281" t="s">
        <v>1427</v>
      </c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22.05" customHeight="1" x14ac:dyDescent="0.3">
      <c r="A9" s="323" t="s">
        <v>6</v>
      </c>
      <c r="B9" s="324"/>
      <c r="C9" s="324"/>
      <c r="D9" s="324"/>
      <c r="E9" s="324"/>
      <c r="F9" s="324"/>
      <c r="G9" s="2">
        <v>45987</v>
      </c>
      <c r="H9" s="323" t="s">
        <v>7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</row>
    <row r="10" spans="1:18" ht="24" customHeight="1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4" t="s">
        <v>13</v>
      </c>
      <c r="G10" s="5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</row>
    <row r="11" spans="1:18" ht="49.95" customHeight="1" x14ac:dyDescent="0.3">
      <c r="A11" s="6" t="s">
        <v>404</v>
      </c>
      <c r="B11" s="6" t="s">
        <v>1428</v>
      </c>
      <c r="C11" s="6">
        <v>0.59027777777777779</v>
      </c>
      <c r="D11" s="6" t="s">
        <v>406</v>
      </c>
      <c r="E11" s="6" t="s">
        <v>102</v>
      </c>
      <c r="F11" s="6" t="s">
        <v>159</v>
      </c>
      <c r="G11" s="335"/>
      <c r="H11" s="218"/>
      <c r="I11" s="219"/>
      <c r="J11" s="219"/>
      <c r="K11" s="219"/>
      <c r="L11" s="219"/>
      <c r="M11" s="219"/>
      <c r="N11" s="219"/>
      <c r="O11" s="219"/>
      <c r="P11" s="219"/>
      <c r="Q11" s="219"/>
      <c r="R11" s="220"/>
    </row>
    <row r="12" spans="1:18" ht="49.95" customHeight="1" x14ac:dyDescent="0.3">
      <c r="A12" s="63" t="s">
        <v>44</v>
      </c>
      <c r="B12" s="63" t="s">
        <v>1424</v>
      </c>
      <c r="C12" s="63">
        <v>0.98611111111111116</v>
      </c>
      <c r="D12" s="63" t="s">
        <v>46</v>
      </c>
      <c r="E12" s="63" t="s">
        <v>47</v>
      </c>
      <c r="F12" s="63" t="s">
        <v>1429</v>
      </c>
      <c r="G12" s="328"/>
      <c r="H12" s="173" t="s">
        <v>1426</v>
      </c>
      <c r="I12" s="304">
        <v>0.86029999999999995</v>
      </c>
      <c r="J12" s="175">
        <v>154</v>
      </c>
      <c r="K12" s="176" t="s">
        <v>63</v>
      </c>
      <c r="L12" s="175">
        <v>12</v>
      </c>
      <c r="M12" s="175">
        <v>0</v>
      </c>
      <c r="N12" s="175">
        <v>0</v>
      </c>
      <c r="O12" s="176" t="s">
        <v>352</v>
      </c>
      <c r="P12" s="176">
        <v>0.98611111111111116</v>
      </c>
      <c r="Q12" s="175">
        <v>179</v>
      </c>
      <c r="R12" s="177" t="s">
        <v>1430</v>
      </c>
    </row>
    <row r="13" spans="1:18" ht="17.399999999999999" customHeight="1" x14ac:dyDescent="0.3">
      <c r="A13" s="360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2"/>
    </row>
    <row r="14" spans="1:18" ht="22.05" customHeight="1" x14ac:dyDescent="0.3">
      <c r="A14" s="323" t="s">
        <v>6</v>
      </c>
      <c r="B14" s="324"/>
      <c r="C14" s="324"/>
      <c r="D14" s="324"/>
      <c r="E14" s="324"/>
      <c r="F14" s="324"/>
      <c r="G14" s="2">
        <v>45988</v>
      </c>
      <c r="H14" s="323" t="s">
        <v>7</v>
      </c>
      <c r="I14" s="324"/>
      <c r="J14" s="324"/>
      <c r="K14" s="324"/>
      <c r="L14" s="324"/>
      <c r="M14" s="324"/>
      <c r="N14" s="324"/>
      <c r="O14" s="324"/>
      <c r="P14" s="324"/>
      <c r="Q14" s="324"/>
      <c r="R14" s="324"/>
    </row>
    <row r="15" spans="1:18" ht="24" customHeight="1" x14ac:dyDescent="0.3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4" t="s">
        <v>13</v>
      </c>
      <c r="G15" s="5" t="s">
        <v>14</v>
      </c>
      <c r="H15" s="3" t="s">
        <v>15</v>
      </c>
      <c r="I15" s="3" t="s">
        <v>16</v>
      </c>
      <c r="J15" s="3" t="s">
        <v>17</v>
      </c>
      <c r="K15" s="3" t="s">
        <v>18</v>
      </c>
      <c r="L15" s="3" t="s">
        <v>19</v>
      </c>
      <c r="M15" s="3" t="s">
        <v>20</v>
      </c>
      <c r="N15" s="3" t="s">
        <v>21</v>
      </c>
      <c r="O15" s="3" t="s">
        <v>22</v>
      </c>
      <c r="P15" s="3" t="s">
        <v>23</v>
      </c>
      <c r="Q15" s="3" t="s">
        <v>24</v>
      </c>
      <c r="R15" s="3" t="s">
        <v>25</v>
      </c>
    </row>
    <row r="16" spans="1:18" ht="49.95" customHeight="1" x14ac:dyDescent="0.3">
      <c r="A16" s="6" t="s">
        <v>410</v>
      </c>
      <c r="B16" s="6" t="s">
        <v>1423</v>
      </c>
      <c r="C16" s="6">
        <v>0.17708333333333329</v>
      </c>
      <c r="D16" s="6" t="s">
        <v>46</v>
      </c>
      <c r="E16" s="6" t="s">
        <v>47</v>
      </c>
      <c r="F16" s="6" t="s">
        <v>426</v>
      </c>
      <c r="G16" s="335"/>
      <c r="H16" s="218"/>
      <c r="I16" s="219"/>
      <c r="J16" s="219"/>
      <c r="K16" s="219"/>
      <c r="L16" s="219"/>
      <c r="M16" s="219"/>
      <c r="N16" s="219"/>
      <c r="O16" s="219"/>
      <c r="P16" s="219"/>
      <c r="Q16" s="219"/>
      <c r="R16" s="220"/>
    </row>
    <row r="17" spans="1:18" ht="49.95" customHeight="1" x14ac:dyDescent="0.3">
      <c r="A17" s="63" t="s">
        <v>44</v>
      </c>
      <c r="B17" s="63" t="s">
        <v>1424</v>
      </c>
      <c r="C17" s="63">
        <v>0.59722222222222221</v>
      </c>
      <c r="D17" s="63" t="s">
        <v>46</v>
      </c>
      <c r="E17" s="63" t="s">
        <v>314</v>
      </c>
      <c r="F17" s="63" t="s">
        <v>1431</v>
      </c>
      <c r="G17" s="328"/>
      <c r="H17" s="173" t="s">
        <v>1426</v>
      </c>
      <c r="I17" s="304">
        <v>0.95530000000000004</v>
      </c>
      <c r="J17" s="175">
        <v>171</v>
      </c>
      <c r="K17" s="176" t="s">
        <v>50</v>
      </c>
      <c r="L17" s="175">
        <v>4</v>
      </c>
      <c r="M17" s="175">
        <v>0</v>
      </c>
      <c r="N17" s="175">
        <v>2</v>
      </c>
      <c r="O17" s="176" t="s">
        <v>1432</v>
      </c>
      <c r="P17" s="176">
        <v>0.59722222222222221</v>
      </c>
      <c r="Q17" s="175">
        <v>179</v>
      </c>
      <c r="R17" s="177" t="s">
        <v>1433</v>
      </c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22.05" customHeight="1" x14ac:dyDescent="0.3">
      <c r="A19" s="323" t="s">
        <v>6</v>
      </c>
      <c r="B19" s="324"/>
      <c r="C19" s="324"/>
      <c r="D19" s="324"/>
      <c r="E19" s="324"/>
      <c r="F19" s="324"/>
      <c r="G19" s="2">
        <v>45989</v>
      </c>
      <c r="H19" s="323" t="s">
        <v>7</v>
      </c>
      <c r="I19" s="324"/>
      <c r="J19" s="324"/>
      <c r="K19" s="324"/>
      <c r="L19" s="324"/>
      <c r="M19" s="324"/>
      <c r="N19" s="324"/>
      <c r="O19" s="324"/>
      <c r="P19" s="324"/>
      <c r="Q19" s="324"/>
      <c r="R19" s="324"/>
    </row>
    <row r="20" spans="1:18" ht="24" customHeight="1" x14ac:dyDescent="0.3">
      <c r="A20" s="3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4" t="s">
        <v>13</v>
      </c>
      <c r="G20" s="5" t="s">
        <v>14</v>
      </c>
      <c r="H20" s="3" t="s">
        <v>15</v>
      </c>
      <c r="I20" s="3" t="s">
        <v>16</v>
      </c>
      <c r="J20" s="3" t="s">
        <v>17</v>
      </c>
      <c r="K20" s="3" t="s">
        <v>18</v>
      </c>
      <c r="L20" s="3" t="s">
        <v>19</v>
      </c>
      <c r="M20" s="3" t="s">
        <v>20</v>
      </c>
      <c r="N20" s="3" t="s">
        <v>21</v>
      </c>
      <c r="O20" s="3" t="s">
        <v>22</v>
      </c>
      <c r="P20" s="3" t="s">
        <v>23</v>
      </c>
      <c r="Q20" s="3" t="s">
        <v>24</v>
      </c>
      <c r="R20" s="3" t="s">
        <v>25</v>
      </c>
    </row>
    <row r="21" spans="1:18" ht="49.95" customHeight="1" x14ac:dyDescent="0.3">
      <c r="A21" s="12" t="s">
        <v>44</v>
      </c>
      <c r="B21" s="12" t="s">
        <v>1424</v>
      </c>
      <c r="C21" s="12">
        <v>0.3263888888888889</v>
      </c>
      <c r="D21" s="12" t="s">
        <v>46</v>
      </c>
      <c r="E21" s="12" t="s">
        <v>129</v>
      </c>
      <c r="F21" s="12" t="s">
        <v>1172</v>
      </c>
      <c r="G21" s="335"/>
      <c r="H21" s="178" t="s">
        <v>1426</v>
      </c>
      <c r="I21" s="305">
        <v>0.83240000000000003</v>
      </c>
      <c r="J21" s="180">
        <v>149</v>
      </c>
      <c r="K21" s="181" t="s">
        <v>175</v>
      </c>
      <c r="L21" s="180">
        <v>47</v>
      </c>
      <c r="M21" s="180">
        <v>2</v>
      </c>
      <c r="N21" s="180">
        <v>1</v>
      </c>
      <c r="O21" s="181" t="s">
        <v>738</v>
      </c>
      <c r="P21" s="181">
        <v>0.3263888888888889</v>
      </c>
      <c r="Q21" s="180">
        <v>179</v>
      </c>
      <c r="R21" s="182" t="s">
        <v>1434</v>
      </c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22.05" customHeight="1" x14ac:dyDescent="0.3">
      <c r="A23" s="323" t="s">
        <v>6</v>
      </c>
      <c r="B23" s="324"/>
      <c r="C23" s="324"/>
      <c r="D23" s="324"/>
      <c r="E23" s="324"/>
      <c r="F23" s="324"/>
      <c r="G23" s="2">
        <v>45990</v>
      </c>
      <c r="H23" s="323" t="s">
        <v>7</v>
      </c>
      <c r="I23" s="324"/>
      <c r="J23" s="324"/>
      <c r="K23" s="324"/>
      <c r="L23" s="324"/>
      <c r="M23" s="324"/>
      <c r="N23" s="324"/>
      <c r="O23" s="324"/>
      <c r="P23" s="324"/>
      <c r="Q23" s="324"/>
      <c r="R23" s="324"/>
    </row>
    <row r="24" spans="1:18" ht="24" customHeight="1" x14ac:dyDescent="0.3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4" t="s">
        <v>13</v>
      </c>
      <c r="G24" s="5" t="s">
        <v>14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M24" s="3" t="s">
        <v>20</v>
      </c>
      <c r="N24" s="3" t="s">
        <v>21</v>
      </c>
      <c r="O24" s="3" t="s">
        <v>22</v>
      </c>
      <c r="P24" s="3" t="s">
        <v>23</v>
      </c>
      <c r="Q24" s="3" t="s">
        <v>24</v>
      </c>
      <c r="R24" s="3" t="s">
        <v>25</v>
      </c>
    </row>
    <row r="25" spans="1:18" ht="49.95" customHeight="1" x14ac:dyDescent="0.3">
      <c r="A25" s="139" t="s">
        <v>44</v>
      </c>
      <c r="B25" s="139" t="s">
        <v>1424</v>
      </c>
      <c r="C25" s="139">
        <v>0.28472222222222221</v>
      </c>
      <c r="D25" s="139" t="s">
        <v>46</v>
      </c>
      <c r="E25" s="139" t="s">
        <v>314</v>
      </c>
      <c r="F25" s="139" t="s">
        <v>1435</v>
      </c>
      <c r="G25" s="335"/>
      <c r="H25" s="162" t="s">
        <v>1426</v>
      </c>
      <c r="I25" s="275">
        <v>0.94410000000000005</v>
      </c>
      <c r="J25" s="164">
        <v>169</v>
      </c>
      <c r="K25" s="165" t="s">
        <v>50</v>
      </c>
      <c r="L25" s="164">
        <v>10</v>
      </c>
      <c r="M25" s="164">
        <v>0</v>
      </c>
      <c r="N25" s="164">
        <v>3</v>
      </c>
      <c r="O25" s="165" t="s">
        <v>841</v>
      </c>
      <c r="P25" s="165">
        <v>0.28472222222222221</v>
      </c>
      <c r="Q25" s="164">
        <v>179</v>
      </c>
      <c r="R25" s="166" t="s">
        <v>1436</v>
      </c>
    </row>
    <row r="26" spans="1:18" ht="17.399999999999999" customHeight="1" x14ac:dyDescent="0.3">
      <c r="A26" s="360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2"/>
    </row>
    <row r="27" spans="1:18" ht="22.05" customHeight="1" x14ac:dyDescent="0.3">
      <c r="A27" s="323" t="s">
        <v>6</v>
      </c>
      <c r="B27" s="324"/>
      <c r="C27" s="324"/>
      <c r="D27" s="324"/>
      <c r="E27" s="324"/>
      <c r="F27" s="324"/>
      <c r="G27" s="2">
        <v>45991</v>
      </c>
      <c r="H27" s="323" t="s">
        <v>7</v>
      </c>
      <c r="I27" s="324"/>
      <c r="J27" s="324"/>
      <c r="K27" s="324"/>
      <c r="L27" s="324"/>
      <c r="M27" s="324"/>
      <c r="N27" s="324"/>
      <c r="O27" s="324"/>
      <c r="P27" s="324"/>
      <c r="Q27" s="324"/>
      <c r="R27" s="324"/>
    </row>
    <row r="28" spans="1:18" ht="24" customHeight="1" x14ac:dyDescent="0.3">
      <c r="A28" s="3" t="s">
        <v>8</v>
      </c>
      <c r="B28" s="3" t="s">
        <v>9</v>
      </c>
      <c r="C28" s="3" t="s">
        <v>10</v>
      </c>
      <c r="D28" s="3" t="s">
        <v>11</v>
      </c>
      <c r="E28" s="3" t="s">
        <v>12</v>
      </c>
      <c r="F28" s="4" t="s">
        <v>13</v>
      </c>
      <c r="G28" s="5" t="s">
        <v>14</v>
      </c>
      <c r="H28" s="3" t="s">
        <v>15</v>
      </c>
      <c r="I28" s="3" t="s">
        <v>16</v>
      </c>
      <c r="J28" s="3" t="s">
        <v>17</v>
      </c>
      <c r="K28" s="3" t="s">
        <v>18</v>
      </c>
      <c r="L28" s="3" t="s">
        <v>19</v>
      </c>
      <c r="M28" s="3" t="s">
        <v>20</v>
      </c>
      <c r="N28" s="3" t="s">
        <v>21</v>
      </c>
      <c r="O28" s="3" t="s">
        <v>22</v>
      </c>
      <c r="P28" s="3" t="s">
        <v>23</v>
      </c>
      <c r="Q28" s="3" t="s">
        <v>24</v>
      </c>
      <c r="R28" s="3" t="s">
        <v>25</v>
      </c>
    </row>
    <row r="29" spans="1:18" ht="49.95" customHeight="1" x14ac:dyDescent="0.3">
      <c r="A29" s="167" t="s">
        <v>44</v>
      </c>
      <c r="B29" s="167" t="s">
        <v>1426</v>
      </c>
      <c r="C29" s="167">
        <v>0.375</v>
      </c>
      <c r="D29" s="167" t="s">
        <v>61</v>
      </c>
      <c r="E29" s="167"/>
      <c r="F29" s="167" t="s">
        <v>62</v>
      </c>
      <c r="G29" s="335"/>
      <c r="H29" s="213" t="s">
        <v>1426</v>
      </c>
      <c r="I29" s="214">
        <v>0.96650000000000003</v>
      </c>
      <c r="J29" s="215">
        <v>173</v>
      </c>
      <c r="K29" s="216" t="s">
        <v>50</v>
      </c>
      <c r="L29" s="215">
        <v>23</v>
      </c>
      <c r="M29" s="215">
        <v>0</v>
      </c>
      <c r="N29" s="215">
        <v>1</v>
      </c>
      <c r="O29" s="216" t="s">
        <v>64</v>
      </c>
      <c r="P29" s="216">
        <v>0.375</v>
      </c>
      <c r="Q29" s="215">
        <v>179</v>
      </c>
      <c r="R29" s="217" t="s">
        <v>1437</v>
      </c>
    </row>
    <row r="30" spans="1:18" ht="17.399999999999999" customHeight="1" x14ac:dyDescent="0.3">
      <c r="A30" s="360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2"/>
    </row>
    <row r="31" spans="1:18" ht="22.05" customHeight="1" x14ac:dyDescent="0.3">
      <c r="A31" s="323" t="s">
        <v>6</v>
      </c>
      <c r="B31" s="324"/>
      <c r="C31" s="324"/>
      <c r="D31" s="324"/>
      <c r="E31" s="324"/>
      <c r="F31" s="324"/>
      <c r="G31" s="2">
        <v>45992</v>
      </c>
      <c r="H31" s="323" t="s">
        <v>7</v>
      </c>
      <c r="I31" s="324"/>
      <c r="J31" s="324"/>
      <c r="K31" s="324"/>
      <c r="L31" s="324"/>
      <c r="M31" s="324"/>
      <c r="N31" s="324"/>
      <c r="O31" s="324"/>
      <c r="P31" s="324"/>
      <c r="Q31" s="324"/>
      <c r="R31" s="324"/>
    </row>
    <row r="32" spans="1:18" ht="24" customHeight="1" x14ac:dyDescent="0.3">
      <c r="A32" s="3" t="s">
        <v>8</v>
      </c>
      <c r="B32" s="3" t="s">
        <v>9</v>
      </c>
      <c r="C32" s="3" t="s">
        <v>10</v>
      </c>
      <c r="D32" s="3" t="s">
        <v>11</v>
      </c>
      <c r="E32" s="3" t="s">
        <v>12</v>
      </c>
      <c r="F32" s="4" t="s">
        <v>13</v>
      </c>
      <c r="G32" s="5" t="s">
        <v>14</v>
      </c>
      <c r="H32" s="3" t="s">
        <v>15</v>
      </c>
      <c r="I32" s="3" t="s">
        <v>16</v>
      </c>
      <c r="J32" s="3" t="s">
        <v>17</v>
      </c>
      <c r="K32" s="3" t="s">
        <v>18</v>
      </c>
      <c r="L32" s="3" t="s">
        <v>19</v>
      </c>
      <c r="M32" s="3" t="s">
        <v>20</v>
      </c>
      <c r="N32" s="3" t="s">
        <v>21</v>
      </c>
      <c r="O32" s="3" t="s">
        <v>22</v>
      </c>
      <c r="P32" s="3" t="s">
        <v>23</v>
      </c>
      <c r="Q32" s="3" t="s">
        <v>24</v>
      </c>
      <c r="R32" s="3" t="s">
        <v>25</v>
      </c>
    </row>
    <row r="33" spans="1:18" ht="49.95" customHeight="1" x14ac:dyDescent="0.3">
      <c r="A33" s="139" t="s">
        <v>44</v>
      </c>
      <c r="B33" s="139" t="s">
        <v>1424</v>
      </c>
      <c r="C33" s="139">
        <v>0.3263888888888889</v>
      </c>
      <c r="D33" s="139" t="s">
        <v>46</v>
      </c>
      <c r="E33" s="139" t="s">
        <v>81</v>
      </c>
      <c r="F33" s="139" t="s">
        <v>1172</v>
      </c>
      <c r="G33" s="335"/>
      <c r="H33" s="162" t="s">
        <v>1426</v>
      </c>
      <c r="I33" s="275">
        <v>0.88270000000000004</v>
      </c>
      <c r="J33" s="164">
        <v>158</v>
      </c>
      <c r="K33" s="165" t="s">
        <v>175</v>
      </c>
      <c r="L33" s="164">
        <v>11</v>
      </c>
      <c r="M33" s="164">
        <v>1</v>
      </c>
      <c r="N33" s="164">
        <v>1</v>
      </c>
      <c r="O33" s="165" t="s">
        <v>1337</v>
      </c>
      <c r="P33" s="165">
        <v>0.3263888888888889</v>
      </c>
      <c r="Q33" s="164">
        <v>179</v>
      </c>
      <c r="R33" s="166" t="s">
        <v>1438</v>
      </c>
    </row>
    <row r="34" spans="1:18" ht="17.399999999999999" customHeight="1" x14ac:dyDescent="0.3">
      <c r="A34" s="360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2"/>
    </row>
    <row r="35" spans="1:18" ht="22.05" customHeight="1" x14ac:dyDescent="0.3">
      <c r="A35" s="323" t="s">
        <v>6</v>
      </c>
      <c r="B35" s="324"/>
      <c r="C35" s="324"/>
      <c r="D35" s="324"/>
      <c r="E35" s="324"/>
      <c r="F35" s="324"/>
      <c r="G35" s="2">
        <v>45993</v>
      </c>
      <c r="H35" s="323" t="s">
        <v>7</v>
      </c>
      <c r="I35" s="324"/>
      <c r="J35" s="324"/>
      <c r="K35" s="324"/>
      <c r="L35" s="324"/>
      <c r="M35" s="324"/>
      <c r="N35" s="324"/>
      <c r="O35" s="324"/>
      <c r="P35" s="324"/>
      <c r="Q35" s="324"/>
      <c r="R35" s="324"/>
    </row>
    <row r="36" spans="1:18" ht="24" customHeight="1" x14ac:dyDescent="0.3">
      <c r="A36" s="3" t="s">
        <v>8</v>
      </c>
      <c r="B36" s="3" t="s">
        <v>9</v>
      </c>
      <c r="C36" s="3" t="s">
        <v>10</v>
      </c>
      <c r="D36" s="3" t="s">
        <v>11</v>
      </c>
      <c r="E36" s="3" t="s">
        <v>12</v>
      </c>
      <c r="F36" s="4" t="s">
        <v>13</v>
      </c>
      <c r="G36" s="5" t="s">
        <v>14</v>
      </c>
      <c r="H36" s="3" t="s">
        <v>15</v>
      </c>
      <c r="I36" s="3" t="s">
        <v>16</v>
      </c>
      <c r="J36" s="3" t="s">
        <v>17</v>
      </c>
      <c r="K36" s="3" t="s">
        <v>18</v>
      </c>
      <c r="L36" s="3" t="s">
        <v>19</v>
      </c>
      <c r="M36" s="3" t="s">
        <v>20</v>
      </c>
      <c r="N36" s="3" t="s">
        <v>21</v>
      </c>
      <c r="O36" s="3" t="s">
        <v>22</v>
      </c>
      <c r="P36" s="3" t="s">
        <v>23</v>
      </c>
      <c r="Q36" s="3" t="s">
        <v>24</v>
      </c>
      <c r="R36" s="3" t="s">
        <v>25</v>
      </c>
    </row>
    <row r="37" spans="1:18" ht="49.95" customHeight="1" x14ac:dyDescent="0.3">
      <c r="A37" s="6" t="s">
        <v>410</v>
      </c>
      <c r="B37" s="6" t="s">
        <v>1423</v>
      </c>
      <c r="C37" s="6">
        <v>0.17708333333333329</v>
      </c>
      <c r="D37" s="6" t="s">
        <v>46</v>
      </c>
      <c r="E37" s="6" t="s">
        <v>132</v>
      </c>
      <c r="F37" s="6" t="s">
        <v>1439</v>
      </c>
      <c r="G37" s="335"/>
      <c r="H37" s="218"/>
      <c r="I37" s="219"/>
      <c r="J37" s="219"/>
      <c r="K37" s="219"/>
      <c r="L37" s="219"/>
      <c r="M37" s="219"/>
      <c r="N37" s="219"/>
      <c r="O37" s="219"/>
      <c r="P37" s="219"/>
      <c r="Q37" s="219"/>
      <c r="R37" s="220"/>
    </row>
    <row r="38" spans="1:18" ht="49.95" customHeight="1" x14ac:dyDescent="0.3">
      <c r="A38" s="11" t="s">
        <v>404</v>
      </c>
      <c r="B38" s="11" t="s">
        <v>1428</v>
      </c>
      <c r="C38" s="11">
        <v>0.49652777777777768</v>
      </c>
      <c r="D38" s="11" t="s">
        <v>406</v>
      </c>
      <c r="E38" s="11" t="s">
        <v>132</v>
      </c>
      <c r="F38" s="11" t="s">
        <v>159</v>
      </c>
      <c r="G38" s="328"/>
      <c r="H38" s="218"/>
      <c r="I38" s="219"/>
      <c r="J38" s="219"/>
      <c r="K38" s="219"/>
      <c r="L38" s="219"/>
      <c r="M38" s="219"/>
      <c r="N38" s="219"/>
      <c r="O38" s="219"/>
      <c r="P38" s="219"/>
      <c r="Q38" s="219"/>
      <c r="R38" s="220"/>
    </row>
    <row r="39" spans="1:18" ht="49.95" customHeight="1" x14ac:dyDescent="0.3">
      <c r="A39" s="32" t="s">
        <v>44</v>
      </c>
      <c r="B39" s="32" t="s">
        <v>1424</v>
      </c>
      <c r="C39" s="32">
        <v>0.99305555555555547</v>
      </c>
      <c r="D39" s="32" t="s">
        <v>46</v>
      </c>
      <c r="E39" s="32" t="s">
        <v>314</v>
      </c>
      <c r="F39" s="32" t="s">
        <v>1440</v>
      </c>
      <c r="G39" s="328"/>
      <c r="H39" s="157" t="s">
        <v>1426</v>
      </c>
      <c r="I39" s="306">
        <v>0.93300000000000005</v>
      </c>
      <c r="J39" s="159">
        <v>167</v>
      </c>
      <c r="K39" s="160" t="s">
        <v>590</v>
      </c>
      <c r="L39" s="159">
        <v>4</v>
      </c>
      <c r="M39" s="159">
        <v>0</v>
      </c>
      <c r="N39" s="159">
        <v>0</v>
      </c>
      <c r="O39" s="160" t="s">
        <v>1441</v>
      </c>
      <c r="P39" s="160">
        <v>0.99305555555555547</v>
      </c>
      <c r="Q39" s="159">
        <v>179</v>
      </c>
      <c r="R39" s="161" t="s">
        <v>1442</v>
      </c>
    </row>
    <row r="40" spans="1:18" ht="17.399999999999999" customHeight="1" x14ac:dyDescent="0.3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2"/>
    </row>
    <row r="41" spans="1:18" ht="22.05" customHeight="1" x14ac:dyDescent="0.3">
      <c r="A41" s="323" t="s">
        <v>6</v>
      </c>
      <c r="B41" s="324"/>
      <c r="C41" s="324"/>
      <c r="D41" s="324"/>
      <c r="E41" s="324"/>
      <c r="F41" s="324"/>
      <c r="G41" s="2">
        <v>45994</v>
      </c>
      <c r="H41" s="323" t="s">
        <v>7</v>
      </c>
      <c r="I41" s="324"/>
      <c r="J41" s="324"/>
      <c r="K41" s="324"/>
      <c r="L41" s="324"/>
      <c r="M41" s="324"/>
      <c r="N41" s="324"/>
      <c r="O41" s="324"/>
      <c r="P41" s="324"/>
      <c r="Q41" s="324"/>
      <c r="R41" s="324"/>
    </row>
    <row r="42" spans="1:18" ht="24" customHeight="1" x14ac:dyDescent="0.3">
      <c r="A42" s="3" t="s">
        <v>8</v>
      </c>
      <c r="B42" s="3" t="s">
        <v>9</v>
      </c>
      <c r="C42" s="3" t="s">
        <v>10</v>
      </c>
      <c r="D42" s="3" t="s">
        <v>11</v>
      </c>
      <c r="E42" s="3" t="s">
        <v>12</v>
      </c>
      <c r="F42" s="4" t="s">
        <v>13</v>
      </c>
      <c r="G42" s="5" t="s">
        <v>14</v>
      </c>
      <c r="H42" s="3" t="s">
        <v>15</v>
      </c>
      <c r="I42" s="3" t="s">
        <v>16</v>
      </c>
      <c r="J42" s="3" t="s">
        <v>17</v>
      </c>
      <c r="K42" s="3" t="s">
        <v>18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23</v>
      </c>
      <c r="Q42" s="3" t="s">
        <v>24</v>
      </c>
      <c r="R42" s="3" t="s">
        <v>25</v>
      </c>
    </row>
    <row r="43" spans="1:18" ht="49.95" customHeight="1" x14ac:dyDescent="0.3">
      <c r="A43" s="75" t="s">
        <v>44</v>
      </c>
      <c r="B43" s="75" t="s">
        <v>1424</v>
      </c>
      <c r="C43" s="75">
        <v>0.98611111111111116</v>
      </c>
      <c r="D43" s="75" t="s">
        <v>46</v>
      </c>
      <c r="E43" s="75" t="s">
        <v>129</v>
      </c>
      <c r="F43" s="75" t="s">
        <v>998</v>
      </c>
      <c r="G43" s="335"/>
      <c r="H43" s="234" t="s">
        <v>1426</v>
      </c>
      <c r="I43" s="265">
        <v>0.68159999999999998</v>
      </c>
      <c r="J43" s="236">
        <v>122</v>
      </c>
      <c r="K43" s="237" t="s">
        <v>175</v>
      </c>
      <c r="L43" s="236">
        <v>15</v>
      </c>
      <c r="M43" s="236">
        <v>1</v>
      </c>
      <c r="N43" s="236">
        <v>0</v>
      </c>
      <c r="O43" s="237" t="s">
        <v>1283</v>
      </c>
      <c r="P43" s="237">
        <v>0.98611111111111116</v>
      </c>
      <c r="Q43" s="236">
        <v>179</v>
      </c>
      <c r="R43" s="238" t="s">
        <v>1443</v>
      </c>
    </row>
    <row r="44" spans="1:18" ht="49.95" customHeight="1" x14ac:dyDescent="0.3">
      <c r="A44" s="50" t="s">
        <v>404</v>
      </c>
      <c r="B44" s="50" t="s">
        <v>1428</v>
      </c>
      <c r="C44" s="50">
        <v>0.59027777777777779</v>
      </c>
      <c r="D44" s="50" t="s">
        <v>406</v>
      </c>
      <c r="E44" s="50" t="s">
        <v>102</v>
      </c>
      <c r="F44" s="50" t="s">
        <v>159</v>
      </c>
      <c r="G44" s="328"/>
      <c r="H44" s="231"/>
      <c r="I44" s="232"/>
      <c r="J44" s="232"/>
      <c r="K44" s="232"/>
      <c r="L44" s="232"/>
      <c r="M44" s="232"/>
      <c r="N44" s="232"/>
      <c r="O44" s="232"/>
      <c r="P44" s="232"/>
      <c r="Q44" s="232"/>
      <c r="R44" s="233"/>
    </row>
    <row r="45" spans="1:18" ht="17.399999999999999" customHeight="1" x14ac:dyDescent="0.3">
      <c r="A45" s="360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2"/>
    </row>
    <row r="46" spans="1:18" ht="22.05" customHeight="1" x14ac:dyDescent="0.3">
      <c r="A46" s="323" t="s">
        <v>6</v>
      </c>
      <c r="B46" s="324"/>
      <c r="C46" s="324"/>
      <c r="D46" s="324"/>
      <c r="E46" s="324"/>
      <c r="F46" s="324"/>
      <c r="G46" s="2">
        <v>45995</v>
      </c>
      <c r="H46" s="323" t="s">
        <v>7</v>
      </c>
      <c r="I46" s="324"/>
      <c r="J46" s="324"/>
      <c r="K46" s="324"/>
      <c r="L46" s="324"/>
      <c r="M46" s="324"/>
      <c r="N46" s="324"/>
      <c r="O46" s="324"/>
      <c r="P46" s="324"/>
      <c r="Q46" s="324"/>
      <c r="R46" s="324"/>
    </row>
    <row r="47" spans="1:18" ht="24" customHeight="1" x14ac:dyDescent="0.3">
      <c r="A47" s="3" t="s">
        <v>8</v>
      </c>
      <c r="B47" s="3" t="s">
        <v>9</v>
      </c>
      <c r="C47" s="3" t="s">
        <v>10</v>
      </c>
      <c r="D47" s="3" t="s">
        <v>11</v>
      </c>
      <c r="E47" s="3" t="s">
        <v>12</v>
      </c>
      <c r="F47" s="4" t="s">
        <v>13</v>
      </c>
      <c r="G47" s="5" t="s">
        <v>14</v>
      </c>
      <c r="H47" s="3" t="s">
        <v>15</v>
      </c>
      <c r="I47" s="3" t="s">
        <v>16</v>
      </c>
      <c r="J47" s="3" t="s">
        <v>17</v>
      </c>
      <c r="K47" s="3" t="s">
        <v>18</v>
      </c>
      <c r="L47" s="3" t="s">
        <v>19</v>
      </c>
      <c r="M47" s="3" t="s">
        <v>20</v>
      </c>
      <c r="N47" s="3" t="s">
        <v>21</v>
      </c>
      <c r="O47" s="3" t="s">
        <v>22</v>
      </c>
      <c r="P47" s="3" t="s">
        <v>23</v>
      </c>
      <c r="Q47" s="3" t="s">
        <v>24</v>
      </c>
      <c r="R47" s="3" t="s">
        <v>25</v>
      </c>
    </row>
    <row r="48" spans="1:18" ht="49.95" customHeight="1" x14ac:dyDescent="0.3">
      <c r="A48" s="6" t="s">
        <v>410</v>
      </c>
      <c r="B48" s="6" t="s">
        <v>1423</v>
      </c>
      <c r="C48" s="6">
        <v>0.17708333333333329</v>
      </c>
      <c r="D48" s="6" t="s">
        <v>46</v>
      </c>
      <c r="E48" s="6" t="s">
        <v>29</v>
      </c>
      <c r="F48" s="6" t="s">
        <v>1439</v>
      </c>
      <c r="G48" s="335"/>
      <c r="H48" s="218"/>
      <c r="I48" s="219"/>
      <c r="J48" s="219"/>
      <c r="K48" s="219"/>
      <c r="L48" s="219"/>
      <c r="M48" s="219"/>
      <c r="N48" s="219"/>
      <c r="O48" s="219"/>
      <c r="P48" s="219"/>
      <c r="Q48" s="219"/>
      <c r="R48" s="220"/>
    </row>
    <row r="49" spans="1:18" ht="49.95" customHeight="1" x14ac:dyDescent="0.3">
      <c r="A49" s="126" t="s">
        <v>44</v>
      </c>
      <c r="B49" s="126" t="s">
        <v>1424</v>
      </c>
      <c r="C49" s="126">
        <v>0.59722222222222221</v>
      </c>
      <c r="D49" s="126" t="s">
        <v>46</v>
      </c>
      <c r="E49" s="126" t="s">
        <v>132</v>
      </c>
      <c r="F49" s="126" t="s">
        <v>1444</v>
      </c>
      <c r="G49" s="328"/>
      <c r="H49" s="178" t="s">
        <v>1426</v>
      </c>
      <c r="I49" s="307">
        <v>0.94410000000000005</v>
      </c>
      <c r="J49" s="180">
        <v>169</v>
      </c>
      <c r="K49" s="181" t="s">
        <v>311</v>
      </c>
      <c r="L49" s="180">
        <v>65</v>
      </c>
      <c r="M49" s="180">
        <v>0</v>
      </c>
      <c r="N49" s="180">
        <v>0</v>
      </c>
      <c r="O49" s="181" t="s">
        <v>1445</v>
      </c>
      <c r="P49" s="181">
        <v>0.59722222222222221</v>
      </c>
      <c r="Q49" s="180">
        <v>179</v>
      </c>
      <c r="R49" s="182" t="s">
        <v>1446</v>
      </c>
    </row>
    <row r="50" spans="1:18" ht="17.399999999999999" customHeight="1" x14ac:dyDescent="0.3">
      <c r="A50" s="360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2"/>
    </row>
    <row r="51" spans="1:18" ht="22.05" customHeight="1" x14ac:dyDescent="0.3">
      <c r="A51" s="323" t="s">
        <v>6</v>
      </c>
      <c r="B51" s="324"/>
      <c r="C51" s="324"/>
      <c r="D51" s="324"/>
      <c r="E51" s="324"/>
      <c r="F51" s="324"/>
      <c r="G51" s="2">
        <v>45996</v>
      </c>
      <c r="H51" s="323" t="s">
        <v>7</v>
      </c>
      <c r="I51" s="324"/>
      <c r="J51" s="324"/>
      <c r="K51" s="324"/>
      <c r="L51" s="324"/>
      <c r="M51" s="324"/>
      <c r="N51" s="324"/>
      <c r="O51" s="324"/>
      <c r="P51" s="324"/>
      <c r="Q51" s="324"/>
      <c r="R51" s="324"/>
    </row>
    <row r="52" spans="1:18" ht="24" customHeight="1" x14ac:dyDescent="0.3">
      <c r="A52" s="3" t="s">
        <v>8</v>
      </c>
      <c r="B52" s="3" t="s">
        <v>9</v>
      </c>
      <c r="C52" s="3" t="s">
        <v>10</v>
      </c>
      <c r="D52" s="3" t="s">
        <v>11</v>
      </c>
      <c r="E52" s="3" t="s">
        <v>12</v>
      </c>
      <c r="F52" s="4" t="s">
        <v>13</v>
      </c>
      <c r="G52" s="5" t="s">
        <v>14</v>
      </c>
      <c r="H52" s="3" t="s">
        <v>15</v>
      </c>
      <c r="I52" s="3" t="s">
        <v>16</v>
      </c>
      <c r="J52" s="3" t="s">
        <v>17</v>
      </c>
      <c r="K52" s="3" t="s">
        <v>18</v>
      </c>
      <c r="L52" s="3" t="s">
        <v>19</v>
      </c>
      <c r="M52" s="3" t="s">
        <v>20</v>
      </c>
      <c r="N52" s="3" t="s">
        <v>21</v>
      </c>
      <c r="O52" s="3" t="s">
        <v>22</v>
      </c>
      <c r="P52" s="3" t="s">
        <v>23</v>
      </c>
      <c r="Q52" s="3" t="s">
        <v>24</v>
      </c>
      <c r="R52" s="3" t="s">
        <v>25</v>
      </c>
    </row>
    <row r="53" spans="1:18" ht="49.95" customHeight="1" x14ac:dyDescent="0.3">
      <c r="A53" s="127" t="s">
        <v>44</v>
      </c>
      <c r="B53" s="127" t="s">
        <v>1424</v>
      </c>
      <c r="C53" s="127">
        <v>0.3263888888888889</v>
      </c>
      <c r="D53" s="127" t="s">
        <v>46</v>
      </c>
      <c r="E53" s="127" t="s">
        <v>132</v>
      </c>
      <c r="F53" s="127" t="s">
        <v>1429</v>
      </c>
      <c r="G53" s="335"/>
      <c r="H53" s="249" t="s">
        <v>1426</v>
      </c>
      <c r="I53" s="260">
        <v>0.93300000000000005</v>
      </c>
      <c r="J53" s="251">
        <v>167</v>
      </c>
      <c r="K53" s="252" t="s">
        <v>63</v>
      </c>
      <c r="L53" s="251">
        <v>17</v>
      </c>
      <c r="M53" s="251">
        <v>0</v>
      </c>
      <c r="N53" s="251">
        <v>0</v>
      </c>
      <c r="O53" s="252" t="s">
        <v>244</v>
      </c>
      <c r="P53" s="252">
        <v>0.3263888888888889</v>
      </c>
      <c r="Q53" s="251">
        <v>179</v>
      </c>
      <c r="R53" s="253" t="s">
        <v>1447</v>
      </c>
    </row>
    <row r="54" spans="1:18" ht="17.399999999999999" customHeight="1" x14ac:dyDescent="0.3">
      <c r="A54" s="360"/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  <c r="N54" s="361"/>
      <c r="O54" s="361"/>
      <c r="P54" s="361"/>
      <c r="Q54" s="361"/>
      <c r="R54" s="362"/>
    </row>
    <row r="55" spans="1:18" ht="22.05" customHeight="1" x14ac:dyDescent="0.3">
      <c r="A55" s="323" t="s">
        <v>6</v>
      </c>
      <c r="B55" s="324"/>
      <c r="C55" s="324"/>
      <c r="D55" s="324"/>
      <c r="E55" s="324"/>
      <c r="F55" s="324"/>
      <c r="G55" s="2">
        <v>45997</v>
      </c>
      <c r="H55" s="323" t="s">
        <v>7</v>
      </c>
      <c r="I55" s="324"/>
      <c r="J55" s="324"/>
      <c r="K55" s="324"/>
      <c r="L55" s="324"/>
      <c r="M55" s="324"/>
      <c r="N55" s="324"/>
      <c r="O55" s="324"/>
      <c r="P55" s="324"/>
      <c r="Q55" s="324"/>
      <c r="R55" s="324"/>
    </row>
    <row r="56" spans="1:18" ht="24" customHeight="1" x14ac:dyDescent="0.3">
      <c r="A56" s="3" t="s">
        <v>8</v>
      </c>
      <c r="B56" s="3" t="s">
        <v>9</v>
      </c>
      <c r="C56" s="3" t="s">
        <v>10</v>
      </c>
      <c r="D56" s="3" t="s">
        <v>11</v>
      </c>
      <c r="E56" s="3" t="s">
        <v>12</v>
      </c>
      <c r="F56" s="4" t="s">
        <v>13</v>
      </c>
      <c r="G56" s="5" t="s">
        <v>14</v>
      </c>
      <c r="H56" s="3" t="s">
        <v>15</v>
      </c>
      <c r="I56" s="3" t="s">
        <v>16</v>
      </c>
      <c r="J56" s="3" t="s">
        <v>17</v>
      </c>
      <c r="K56" s="3" t="s">
        <v>18</v>
      </c>
      <c r="L56" s="3" t="s">
        <v>19</v>
      </c>
      <c r="M56" s="3" t="s">
        <v>20</v>
      </c>
      <c r="N56" s="3" t="s">
        <v>21</v>
      </c>
      <c r="O56" s="3" t="s">
        <v>22</v>
      </c>
      <c r="P56" s="3" t="s">
        <v>23</v>
      </c>
      <c r="Q56" s="3" t="s">
        <v>24</v>
      </c>
      <c r="R56" s="3" t="s">
        <v>25</v>
      </c>
    </row>
    <row r="57" spans="1:18" ht="49.95" customHeight="1" x14ac:dyDescent="0.3">
      <c r="A57" s="167" t="s">
        <v>44</v>
      </c>
      <c r="B57" s="167" t="s">
        <v>1426</v>
      </c>
      <c r="C57" s="167">
        <v>0.28472222222222221</v>
      </c>
      <c r="D57" s="167" t="s">
        <v>61</v>
      </c>
      <c r="E57" s="167"/>
      <c r="F57" s="167" t="s">
        <v>62</v>
      </c>
      <c r="G57" s="335"/>
      <c r="H57" s="213" t="s">
        <v>1426</v>
      </c>
      <c r="I57" s="214">
        <v>0.99439999999999995</v>
      </c>
      <c r="J57" s="215">
        <v>178</v>
      </c>
      <c r="K57" s="216" t="s">
        <v>311</v>
      </c>
      <c r="L57" s="215">
        <v>49</v>
      </c>
      <c r="M57" s="215">
        <v>0</v>
      </c>
      <c r="N57" s="215">
        <v>0</v>
      </c>
      <c r="O57" s="216" t="s">
        <v>64</v>
      </c>
      <c r="P57" s="216">
        <v>0.28472222222222221</v>
      </c>
      <c r="Q57" s="215">
        <v>179</v>
      </c>
      <c r="R57" s="217" t="s">
        <v>1448</v>
      </c>
    </row>
    <row r="58" spans="1:18" ht="17.399999999999999" customHeight="1" x14ac:dyDescent="0.3">
      <c r="A58" s="360"/>
      <c r="B58" s="361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2"/>
    </row>
    <row r="59" spans="1:18" ht="22.05" customHeight="1" x14ac:dyDescent="0.3">
      <c r="A59" s="323" t="s">
        <v>6</v>
      </c>
      <c r="B59" s="324"/>
      <c r="C59" s="324"/>
      <c r="D59" s="324"/>
      <c r="E59" s="324"/>
      <c r="F59" s="324"/>
      <c r="G59" s="2">
        <v>45998</v>
      </c>
      <c r="H59" s="323" t="s">
        <v>7</v>
      </c>
      <c r="I59" s="324"/>
      <c r="J59" s="324"/>
      <c r="K59" s="324"/>
      <c r="L59" s="324"/>
      <c r="M59" s="324"/>
      <c r="N59" s="324"/>
      <c r="O59" s="324"/>
      <c r="P59" s="324"/>
      <c r="Q59" s="324"/>
      <c r="R59" s="324"/>
    </row>
    <row r="60" spans="1:18" ht="24" customHeight="1" x14ac:dyDescent="0.3">
      <c r="A60" s="3" t="s">
        <v>8</v>
      </c>
      <c r="B60" s="3" t="s">
        <v>9</v>
      </c>
      <c r="C60" s="3" t="s">
        <v>10</v>
      </c>
      <c r="D60" s="3" t="s">
        <v>11</v>
      </c>
      <c r="E60" s="3" t="s">
        <v>12</v>
      </c>
      <c r="F60" s="4" t="s">
        <v>13</v>
      </c>
      <c r="G60" s="5" t="s">
        <v>14</v>
      </c>
      <c r="H60" s="3" t="s">
        <v>15</v>
      </c>
      <c r="I60" s="3" t="s">
        <v>16</v>
      </c>
      <c r="J60" s="3" t="s">
        <v>17</v>
      </c>
      <c r="K60" s="3" t="s">
        <v>18</v>
      </c>
      <c r="L60" s="3" t="s">
        <v>19</v>
      </c>
      <c r="M60" s="3" t="s">
        <v>20</v>
      </c>
      <c r="N60" s="3" t="s">
        <v>21</v>
      </c>
      <c r="O60" s="3" t="s">
        <v>22</v>
      </c>
      <c r="P60" s="3" t="s">
        <v>23</v>
      </c>
      <c r="Q60" s="3" t="s">
        <v>24</v>
      </c>
      <c r="R60" s="3" t="s">
        <v>25</v>
      </c>
    </row>
    <row r="61" spans="1:18" ht="49.95" customHeight="1" x14ac:dyDescent="0.3">
      <c r="A61" s="75" t="s">
        <v>44</v>
      </c>
      <c r="B61" s="75" t="s">
        <v>1424</v>
      </c>
      <c r="C61" s="75">
        <v>0.375</v>
      </c>
      <c r="D61" s="75" t="s">
        <v>46</v>
      </c>
      <c r="E61" s="75" t="s">
        <v>47</v>
      </c>
      <c r="F61" s="75" t="s">
        <v>1435</v>
      </c>
      <c r="G61" s="335"/>
      <c r="H61" s="157" t="s">
        <v>1426</v>
      </c>
      <c r="I61" s="306">
        <v>0.92179999999999995</v>
      </c>
      <c r="J61" s="159">
        <v>165</v>
      </c>
      <c r="K61" s="160" t="s">
        <v>50</v>
      </c>
      <c r="L61" s="159">
        <v>4</v>
      </c>
      <c r="M61" s="159">
        <v>0</v>
      </c>
      <c r="N61" s="159">
        <v>2</v>
      </c>
      <c r="O61" s="160" t="s">
        <v>51</v>
      </c>
      <c r="P61" s="160">
        <v>0.375</v>
      </c>
      <c r="Q61" s="159">
        <v>179</v>
      </c>
      <c r="R61" s="161" t="s">
        <v>1449</v>
      </c>
    </row>
    <row r="62" spans="1:18" ht="17.399999999999999" customHeight="1" x14ac:dyDescent="0.3">
      <c r="A62" s="360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2"/>
    </row>
    <row r="63" spans="1:18" ht="22.05" customHeight="1" x14ac:dyDescent="0.3">
      <c r="A63" s="323" t="s">
        <v>6</v>
      </c>
      <c r="B63" s="324"/>
      <c r="C63" s="324"/>
      <c r="D63" s="324"/>
      <c r="E63" s="324"/>
      <c r="F63" s="324"/>
      <c r="G63" s="2">
        <v>45999</v>
      </c>
      <c r="H63" s="323" t="s">
        <v>7</v>
      </c>
      <c r="I63" s="324"/>
      <c r="J63" s="324"/>
      <c r="K63" s="324"/>
      <c r="L63" s="324"/>
      <c r="M63" s="324"/>
      <c r="N63" s="324"/>
      <c r="O63" s="324"/>
      <c r="P63" s="324"/>
      <c r="Q63" s="324"/>
      <c r="R63" s="324"/>
    </row>
    <row r="64" spans="1:18" ht="24" customHeight="1" x14ac:dyDescent="0.3">
      <c r="A64" s="3" t="s">
        <v>8</v>
      </c>
      <c r="B64" s="3" t="s">
        <v>9</v>
      </c>
      <c r="C64" s="3" t="s">
        <v>10</v>
      </c>
      <c r="D64" s="3" t="s">
        <v>11</v>
      </c>
      <c r="E64" s="3" t="s">
        <v>12</v>
      </c>
      <c r="F64" s="4" t="s">
        <v>13</v>
      </c>
      <c r="G64" s="5" t="s">
        <v>14</v>
      </c>
      <c r="H64" s="3" t="s">
        <v>15</v>
      </c>
      <c r="I64" s="3" t="s">
        <v>16</v>
      </c>
      <c r="J64" s="3" t="s">
        <v>17</v>
      </c>
      <c r="K64" s="3" t="s">
        <v>18</v>
      </c>
      <c r="L64" s="3" t="s">
        <v>19</v>
      </c>
      <c r="M64" s="3" t="s">
        <v>20</v>
      </c>
      <c r="N64" s="3" t="s">
        <v>21</v>
      </c>
      <c r="O64" s="3" t="s">
        <v>22</v>
      </c>
      <c r="P64" s="3" t="s">
        <v>23</v>
      </c>
      <c r="Q64" s="3" t="s">
        <v>24</v>
      </c>
      <c r="R64" s="3" t="s">
        <v>25</v>
      </c>
    </row>
    <row r="65" spans="1:18" ht="49.95" customHeight="1" x14ac:dyDescent="0.3">
      <c r="A65" s="139" t="s">
        <v>44</v>
      </c>
      <c r="B65" s="139" t="s">
        <v>1424</v>
      </c>
      <c r="C65" s="139">
        <v>0.3263888888888889</v>
      </c>
      <c r="D65" s="139" t="s">
        <v>46</v>
      </c>
      <c r="E65" s="139" t="s">
        <v>47</v>
      </c>
      <c r="F65" s="139" t="s">
        <v>1429</v>
      </c>
      <c r="G65" s="335"/>
      <c r="H65" s="162" t="s">
        <v>1426</v>
      </c>
      <c r="I65" s="163">
        <v>0.79330000000000001</v>
      </c>
      <c r="J65" s="164">
        <v>142</v>
      </c>
      <c r="K65" s="165" t="s">
        <v>50</v>
      </c>
      <c r="L65" s="164">
        <v>3</v>
      </c>
      <c r="M65" s="164">
        <v>0</v>
      </c>
      <c r="N65" s="164">
        <v>2</v>
      </c>
      <c r="O65" s="165" t="s">
        <v>352</v>
      </c>
      <c r="P65" s="165">
        <v>0.3263888888888889</v>
      </c>
      <c r="Q65" s="164">
        <v>179</v>
      </c>
      <c r="R65" s="166" t="s">
        <v>1450</v>
      </c>
    </row>
    <row r="66" spans="1:18" ht="17.399999999999999" customHeight="1" x14ac:dyDescent="0.3">
      <c r="A66" s="360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1"/>
      <c r="P66" s="361"/>
      <c r="Q66" s="361"/>
      <c r="R66" s="362"/>
    </row>
    <row r="67" spans="1:18" ht="22.05" customHeight="1" x14ac:dyDescent="0.3">
      <c r="A67" s="323" t="s">
        <v>6</v>
      </c>
      <c r="B67" s="324"/>
      <c r="C67" s="324"/>
      <c r="D67" s="324"/>
      <c r="E67" s="324"/>
      <c r="F67" s="324"/>
      <c r="G67" s="2">
        <v>46000</v>
      </c>
      <c r="H67" s="323" t="s">
        <v>7</v>
      </c>
      <c r="I67" s="324"/>
      <c r="J67" s="324"/>
      <c r="K67" s="324"/>
      <c r="L67" s="324"/>
      <c r="M67" s="324"/>
      <c r="N67" s="324"/>
      <c r="O67" s="324"/>
      <c r="P67" s="324"/>
      <c r="Q67" s="324"/>
      <c r="R67" s="324"/>
    </row>
    <row r="68" spans="1:18" ht="24" customHeight="1" x14ac:dyDescent="0.3">
      <c r="A68" s="3" t="s">
        <v>8</v>
      </c>
      <c r="B68" s="3" t="s">
        <v>9</v>
      </c>
      <c r="C68" s="3" t="s">
        <v>10</v>
      </c>
      <c r="D68" s="3" t="s">
        <v>11</v>
      </c>
      <c r="E68" s="3" t="s">
        <v>12</v>
      </c>
      <c r="F68" s="4" t="s">
        <v>13</v>
      </c>
      <c r="G68" s="5" t="s">
        <v>14</v>
      </c>
      <c r="H68" s="3" t="s">
        <v>15</v>
      </c>
      <c r="I68" s="3" t="s">
        <v>16</v>
      </c>
      <c r="J68" s="3" t="s">
        <v>17</v>
      </c>
      <c r="K68" s="3" t="s">
        <v>18</v>
      </c>
      <c r="L68" s="3" t="s">
        <v>19</v>
      </c>
      <c r="M68" s="3" t="s">
        <v>20</v>
      </c>
      <c r="N68" s="3" t="s">
        <v>21</v>
      </c>
      <c r="O68" s="3" t="s">
        <v>22</v>
      </c>
      <c r="P68" s="3" t="s">
        <v>23</v>
      </c>
      <c r="Q68" s="3" t="s">
        <v>24</v>
      </c>
      <c r="R68" s="3" t="s">
        <v>25</v>
      </c>
    </row>
    <row r="69" spans="1:18" ht="49.95" customHeight="1" x14ac:dyDescent="0.3">
      <c r="A69" s="6" t="s">
        <v>410</v>
      </c>
      <c r="B69" s="6" t="s">
        <v>1423</v>
      </c>
      <c r="C69" s="6">
        <v>0.17708333333333329</v>
      </c>
      <c r="D69" s="6" t="s">
        <v>46</v>
      </c>
      <c r="E69" s="6" t="s">
        <v>314</v>
      </c>
      <c r="F69" s="6" t="s">
        <v>1451</v>
      </c>
      <c r="G69" s="335"/>
      <c r="H69" s="218"/>
      <c r="I69" s="219"/>
      <c r="J69" s="219"/>
      <c r="K69" s="219"/>
      <c r="L69" s="219"/>
      <c r="M69" s="219"/>
      <c r="N69" s="219"/>
      <c r="O69" s="219"/>
      <c r="P69" s="219"/>
      <c r="Q69" s="219"/>
      <c r="R69" s="220"/>
    </row>
    <row r="70" spans="1:18" ht="49.95" customHeight="1" x14ac:dyDescent="0.3">
      <c r="A70" s="126" t="s">
        <v>44</v>
      </c>
      <c r="B70" s="126" t="s">
        <v>1424</v>
      </c>
      <c r="C70" s="126">
        <v>0.99305555555555547</v>
      </c>
      <c r="D70" s="126" t="s">
        <v>46</v>
      </c>
      <c r="E70" s="126" t="s">
        <v>121</v>
      </c>
      <c r="F70" s="126" t="s">
        <v>1172</v>
      </c>
      <c r="G70" s="328"/>
      <c r="H70" s="178" t="s">
        <v>1426</v>
      </c>
      <c r="I70" s="307">
        <v>0.87150000000000005</v>
      </c>
      <c r="J70" s="180">
        <v>156</v>
      </c>
      <c r="K70" s="181" t="s">
        <v>50</v>
      </c>
      <c r="L70" s="180">
        <v>11</v>
      </c>
      <c r="M70" s="180">
        <v>0</v>
      </c>
      <c r="N70" s="180">
        <v>3</v>
      </c>
      <c r="O70" s="181" t="s">
        <v>846</v>
      </c>
      <c r="P70" s="181">
        <v>0.99305555555555547</v>
      </c>
      <c r="Q70" s="180">
        <v>179</v>
      </c>
      <c r="R70" s="182" t="s">
        <v>1452</v>
      </c>
    </row>
    <row r="71" spans="1:18" ht="17.399999999999999" customHeight="1" x14ac:dyDescent="0.3">
      <c r="A71" s="360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1"/>
      <c r="P71" s="361"/>
      <c r="Q71" s="361"/>
      <c r="R71" s="362"/>
    </row>
    <row r="72" spans="1:18" ht="22.05" customHeight="1" x14ac:dyDescent="0.3">
      <c r="A72" s="323" t="s">
        <v>6</v>
      </c>
      <c r="B72" s="324"/>
      <c r="C72" s="324"/>
      <c r="D72" s="324"/>
      <c r="E72" s="324"/>
      <c r="F72" s="324"/>
      <c r="G72" s="2">
        <v>46001</v>
      </c>
      <c r="H72" s="323" t="s">
        <v>7</v>
      </c>
      <c r="I72" s="324"/>
      <c r="J72" s="324"/>
      <c r="K72" s="324"/>
      <c r="L72" s="324"/>
      <c r="M72" s="324"/>
      <c r="N72" s="324"/>
      <c r="O72" s="324"/>
      <c r="P72" s="324"/>
      <c r="Q72" s="324"/>
      <c r="R72" s="324"/>
    </row>
    <row r="73" spans="1:18" ht="24" customHeight="1" x14ac:dyDescent="0.3">
      <c r="A73" s="3" t="s">
        <v>8</v>
      </c>
      <c r="B73" s="3" t="s">
        <v>9</v>
      </c>
      <c r="C73" s="3" t="s">
        <v>10</v>
      </c>
      <c r="D73" s="3" t="s">
        <v>11</v>
      </c>
      <c r="E73" s="3" t="s">
        <v>12</v>
      </c>
      <c r="F73" s="4" t="s">
        <v>13</v>
      </c>
      <c r="G73" s="5" t="s">
        <v>14</v>
      </c>
      <c r="H73" s="3" t="s">
        <v>15</v>
      </c>
      <c r="I73" s="3" t="s">
        <v>16</v>
      </c>
      <c r="J73" s="3" t="s">
        <v>17</v>
      </c>
      <c r="K73" s="3" t="s">
        <v>18</v>
      </c>
      <c r="L73" s="3" t="s">
        <v>19</v>
      </c>
      <c r="M73" s="3" t="s">
        <v>20</v>
      </c>
      <c r="N73" s="3" t="s">
        <v>21</v>
      </c>
      <c r="O73" s="3" t="s">
        <v>22</v>
      </c>
      <c r="P73" s="3" t="s">
        <v>23</v>
      </c>
      <c r="Q73" s="3" t="s">
        <v>24</v>
      </c>
      <c r="R73" s="3" t="s">
        <v>25</v>
      </c>
    </row>
    <row r="74" spans="1:18" ht="49.95" customHeight="1" x14ac:dyDescent="0.3">
      <c r="A74" s="75" t="s">
        <v>44</v>
      </c>
      <c r="B74" s="75" t="s">
        <v>1424</v>
      </c>
      <c r="C74" s="75">
        <v>0.98611111111111116</v>
      </c>
      <c r="D74" s="75" t="s">
        <v>46</v>
      </c>
      <c r="E74" s="75" t="s">
        <v>121</v>
      </c>
      <c r="F74" s="75" t="s">
        <v>1435</v>
      </c>
      <c r="G74" s="335"/>
      <c r="H74" s="157" t="s">
        <v>1426</v>
      </c>
      <c r="I74" s="306">
        <v>0.97209999999999996</v>
      </c>
      <c r="J74" s="159">
        <v>174</v>
      </c>
      <c r="K74" s="160" t="s">
        <v>311</v>
      </c>
      <c r="L74" s="159">
        <v>8</v>
      </c>
      <c r="M74" s="159">
        <v>0</v>
      </c>
      <c r="N74" s="159">
        <v>0</v>
      </c>
      <c r="O74" s="160" t="s">
        <v>897</v>
      </c>
      <c r="P74" s="160">
        <v>0.98611111111111116</v>
      </c>
      <c r="Q74" s="159">
        <v>179</v>
      </c>
      <c r="R74" s="161" t="s">
        <v>1453</v>
      </c>
    </row>
  </sheetData>
  <mergeCells count="70">
    <mergeCell ref="G74"/>
    <mergeCell ref="G33"/>
    <mergeCell ref="A45:R45"/>
    <mergeCell ref="G11:G12"/>
    <mergeCell ref="H14:R14"/>
    <mergeCell ref="A72:F72"/>
    <mergeCell ref="A22:R22"/>
    <mergeCell ref="N1:R1"/>
    <mergeCell ref="A62:R62"/>
    <mergeCell ref="A63:F63"/>
    <mergeCell ref="G61"/>
    <mergeCell ref="A19:F19"/>
    <mergeCell ref="A9:F9"/>
    <mergeCell ref="A67:F67"/>
    <mergeCell ref="A31:F31"/>
    <mergeCell ref="A13:R13"/>
    <mergeCell ref="H72:R72"/>
    <mergeCell ref="K2:R2"/>
    <mergeCell ref="G57"/>
    <mergeCell ref="H19:R19"/>
    <mergeCell ref="G16:G17"/>
    <mergeCell ref="A71:R71"/>
    <mergeCell ref="A23:F23"/>
    <mergeCell ref="G21"/>
    <mergeCell ref="H46:R46"/>
    <mergeCell ref="G6:G7"/>
    <mergeCell ref="H59:R59"/>
    <mergeCell ref="A35:F35"/>
    <mergeCell ref="H51:R51"/>
    <mergeCell ref="A8:R8"/>
    <mergeCell ref="A58:R58"/>
    <mergeCell ref="A34:R34"/>
    <mergeCell ref="A40:R40"/>
    <mergeCell ref="A59:F59"/>
    <mergeCell ref="G53"/>
    <mergeCell ref="H27:R27"/>
    <mergeCell ref="A30:R30"/>
    <mergeCell ref="G69:G70"/>
    <mergeCell ref="H55:R55"/>
    <mergeCell ref="H4:R4"/>
    <mergeCell ref="A55:F55"/>
    <mergeCell ref="A18:R18"/>
    <mergeCell ref="A50:R50"/>
    <mergeCell ref="H9:R9"/>
    <mergeCell ref="A26:R26"/>
    <mergeCell ref="H31:R31"/>
    <mergeCell ref="A14:F14"/>
    <mergeCell ref="A4:F4"/>
    <mergeCell ref="G37:G39"/>
    <mergeCell ref="A51:F51"/>
    <mergeCell ref="H67:R67"/>
    <mergeCell ref="H1:L1"/>
    <mergeCell ref="A1:E1"/>
    <mergeCell ref="G25"/>
    <mergeCell ref="H63:R63"/>
    <mergeCell ref="A66:R66"/>
    <mergeCell ref="H41:R41"/>
    <mergeCell ref="A2:F2"/>
    <mergeCell ref="A3:R3"/>
    <mergeCell ref="G2:J2"/>
    <mergeCell ref="H23:R23"/>
    <mergeCell ref="A41:F41"/>
    <mergeCell ref="G65"/>
    <mergeCell ref="G43:G44"/>
    <mergeCell ref="A46:F46"/>
    <mergeCell ref="H35:R35"/>
    <mergeCell ref="A54:R54"/>
    <mergeCell ref="G48:G49"/>
    <mergeCell ref="G29"/>
    <mergeCell ref="A27:F2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18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109375" style="343" bestFit="1" customWidth="1"/>
    <col min="6" max="6" width="4.21875" style="343" bestFit="1" customWidth="1"/>
    <col min="7" max="7" width="10" style="343" bestFit="1" customWidth="1"/>
    <col min="8" max="10" width="8.5546875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4" width="3.88671875" style="343" bestFit="1" customWidth="1"/>
    <col min="25" max="25" width="4.44140625" style="343" bestFit="1" customWidth="1"/>
    <col min="26" max="26" width="3.88671875" style="343" bestFit="1" customWidth="1"/>
    <col min="27" max="27" width="5" style="343" bestFit="1" customWidth="1"/>
    <col min="28" max="29" width="4.21875" style="343" bestFit="1" customWidth="1"/>
    <col min="30" max="31" width="4.5546875" style="343" bestFit="1" customWidth="1"/>
    <col min="32" max="32" width="3.88671875" style="343" bestFit="1" customWidth="1"/>
    <col min="33" max="33" width="4.21875" style="343" bestFit="1" customWidth="1"/>
    <col min="34" max="34" width="3.88671875" style="343" bestFit="1" customWidth="1"/>
    <col min="35" max="35" width="5.21875" style="343" bestFit="1" customWidth="1"/>
    <col min="36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212</v>
      </c>
      <c r="B2" s="345">
        <v>45986</v>
      </c>
      <c r="C2" s="346" t="s">
        <v>1426</v>
      </c>
      <c r="D2" s="347" t="s">
        <v>1454</v>
      </c>
      <c r="E2" s="346" t="s">
        <v>1422</v>
      </c>
      <c r="F2" s="346" t="s">
        <v>214</v>
      </c>
      <c r="G2" s="348">
        <v>0.94969999999999999</v>
      </c>
      <c r="H2" s="349">
        <v>179</v>
      </c>
      <c r="I2" s="349">
        <v>170</v>
      </c>
      <c r="J2" s="349">
        <v>158</v>
      </c>
      <c r="K2" s="346" t="s">
        <v>215</v>
      </c>
      <c r="L2" s="350" t="s">
        <v>311</v>
      </c>
      <c r="M2" s="349">
        <v>0</v>
      </c>
      <c r="N2" s="349">
        <v>0</v>
      </c>
      <c r="O2" s="349">
        <v>3</v>
      </c>
      <c r="P2" s="346" t="s">
        <v>851</v>
      </c>
      <c r="Q2" s="342"/>
      <c r="R2" s="342"/>
      <c r="S2" s="342"/>
      <c r="T2" s="342"/>
      <c r="U2" s="342"/>
      <c r="V2" s="342"/>
      <c r="W2" s="342"/>
      <c r="X2" s="349" t="s">
        <v>357</v>
      </c>
      <c r="Y2" s="342"/>
      <c r="Z2" s="349" t="s">
        <v>345</v>
      </c>
      <c r="AA2" s="342"/>
      <c r="AB2" s="342"/>
      <c r="AC2" s="349" t="s">
        <v>387</v>
      </c>
      <c r="AD2" s="342"/>
      <c r="AE2" s="342"/>
      <c r="AF2" s="342"/>
      <c r="AG2" s="342"/>
      <c r="AH2" s="342"/>
      <c r="AI2" s="349" t="s">
        <v>785</v>
      </c>
      <c r="AJ2" s="342"/>
    </row>
    <row r="3" spans="1:36" x14ac:dyDescent="0.3">
      <c r="A3" s="344" t="s">
        <v>331</v>
      </c>
      <c r="B3" s="345">
        <v>45987</v>
      </c>
      <c r="C3" s="346" t="s">
        <v>1426</v>
      </c>
      <c r="D3" s="347" t="s">
        <v>1455</v>
      </c>
      <c r="E3" s="346" t="s">
        <v>1422</v>
      </c>
      <c r="F3" s="346" t="s">
        <v>214</v>
      </c>
      <c r="G3" s="348">
        <v>0.86029999999999995</v>
      </c>
      <c r="H3" s="349">
        <v>179</v>
      </c>
      <c r="I3" s="349">
        <v>154</v>
      </c>
      <c r="J3" s="349">
        <v>117</v>
      </c>
      <c r="K3" s="346" t="s">
        <v>215</v>
      </c>
      <c r="L3" s="350" t="s">
        <v>63</v>
      </c>
      <c r="M3" s="349">
        <v>0</v>
      </c>
      <c r="N3" s="349">
        <v>0</v>
      </c>
      <c r="O3" s="349">
        <v>12</v>
      </c>
      <c r="P3" s="346" t="s">
        <v>352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9" t="s">
        <v>705</v>
      </c>
      <c r="AB3" s="349" t="s">
        <v>1456</v>
      </c>
      <c r="AC3" s="349" t="s">
        <v>235</v>
      </c>
      <c r="AD3" s="349" t="s">
        <v>262</v>
      </c>
      <c r="AE3" s="349" t="s">
        <v>586</v>
      </c>
      <c r="AF3" s="349" t="s">
        <v>612</v>
      </c>
      <c r="AG3" s="342"/>
      <c r="AH3" s="342"/>
      <c r="AI3" s="349" t="s">
        <v>689</v>
      </c>
      <c r="AJ3" s="342"/>
    </row>
    <row r="4" spans="1:36" x14ac:dyDescent="0.3">
      <c r="A4" s="344" t="s">
        <v>240</v>
      </c>
      <c r="B4" s="345">
        <v>45988</v>
      </c>
      <c r="C4" s="346" t="s">
        <v>1426</v>
      </c>
      <c r="D4" s="347" t="s">
        <v>1457</v>
      </c>
      <c r="E4" s="346" t="s">
        <v>1422</v>
      </c>
      <c r="F4" s="346" t="s">
        <v>214</v>
      </c>
      <c r="G4" s="348">
        <v>0.95530000000000004</v>
      </c>
      <c r="H4" s="349">
        <v>179</v>
      </c>
      <c r="I4" s="349">
        <v>171</v>
      </c>
      <c r="J4" s="349">
        <v>137</v>
      </c>
      <c r="K4" s="346" t="s">
        <v>215</v>
      </c>
      <c r="L4" s="350" t="s">
        <v>50</v>
      </c>
      <c r="M4" s="349">
        <v>0</v>
      </c>
      <c r="N4" s="349">
        <v>2</v>
      </c>
      <c r="O4" s="349">
        <v>4</v>
      </c>
      <c r="P4" s="346" t="s">
        <v>1432</v>
      </c>
      <c r="Q4" s="342"/>
      <c r="R4" s="342"/>
      <c r="S4" s="342"/>
      <c r="T4" s="342"/>
      <c r="U4" s="342"/>
      <c r="V4" s="349" t="s">
        <v>1247</v>
      </c>
      <c r="W4" s="349" t="s">
        <v>1458</v>
      </c>
      <c r="X4" s="342"/>
      <c r="Y4" s="342"/>
      <c r="Z4" s="342"/>
      <c r="AA4" s="349" t="s">
        <v>1337</v>
      </c>
      <c r="AB4" s="349" t="s">
        <v>908</v>
      </c>
      <c r="AC4" s="349" t="s">
        <v>1459</v>
      </c>
      <c r="AD4" s="342"/>
      <c r="AE4" s="342"/>
      <c r="AF4" s="342"/>
      <c r="AG4" s="342"/>
      <c r="AH4" s="342"/>
      <c r="AI4" s="349" t="s">
        <v>280</v>
      </c>
      <c r="AJ4" s="342"/>
    </row>
    <row r="5" spans="1:36" x14ac:dyDescent="0.3">
      <c r="A5" s="344" t="s">
        <v>724</v>
      </c>
      <c r="B5" s="345">
        <v>45989</v>
      </c>
      <c r="C5" s="346" t="s">
        <v>1426</v>
      </c>
      <c r="D5" s="347" t="s">
        <v>325</v>
      </c>
      <c r="E5" s="346" t="s">
        <v>1422</v>
      </c>
      <c r="F5" s="346" t="s">
        <v>214</v>
      </c>
      <c r="G5" s="348">
        <v>0.83240000000000003</v>
      </c>
      <c r="H5" s="349">
        <v>179</v>
      </c>
      <c r="I5" s="349">
        <v>149</v>
      </c>
      <c r="J5" s="349">
        <v>40</v>
      </c>
      <c r="K5" s="346" t="s">
        <v>215</v>
      </c>
      <c r="L5" s="350" t="s">
        <v>175</v>
      </c>
      <c r="M5" s="349">
        <v>2</v>
      </c>
      <c r="N5" s="349">
        <v>1</v>
      </c>
      <c r="O5" s="349">
        <v>47</v>
      </c>
      <c r="P5" s="346" t="s">
        <v>738</v>
      </c>
      <c r="Q5" s="342"/>
      <c r="R5" s="342"/>
      <c r="S5" s="342"/>
      <c r="T5" s="342"/>
      <c r="U5" s="342"/>
      <c r="V5" s="342"/>
      <c r="W5" s="349" t="s">
        <v>327</v>
      </c>
      <c r="X5" s="342"/>
      <c r="Y5" s="342"/>
      <c r="Z5" s="349" t="s">
        <v>244</v>
      </c>
      <c r="AA5" s="349" t="s">
        <v>579</v>
      </c>
      <c r="AB5" s="349" t="s">
        <v>1460</v>
      </c>
      <c r="AC5" s="349" t="s">
        <v>226</v>
      </c>
      <c r="AD5" s="349" t="s">
        <v>1461</v>
      </c>
      <c r="AE5" s="349" t="s">
        <v>237</v>
      </c>
      <c r="AF5" s="349" t="s">
        <v>1336</v>
      </c>
      <c r="AG5" s="342"/>
      <c r="AH5" s="342"/>
      <c r="AI5" s="349" t="s">
        <v>1462</v>
      </c>
      <c r="AJ5" s="342"/>
    </row>
    <row r="6" spans="1:36" x14ac:dyDescent="0.3">
      <c r="A6" s="344" t="s">
        <v>248</v>
      </c>
      <c r="B6" s="345">
        <v>45990</v>
      </c>
      <c r="C6" s="346" t="s">
        <v>1426</v>
      </c>
      <c r="D6" s="347" t="s">
        <v>1463</v>
      </c>
      <c r="E6" s="346" t="s">
        <v>1422</v>
      </c>
      <c r="F6" s="346" t="s">
        <v>214</v>
      </c>
      <c r="G6" s="348">
        <v>0.94410000000000005</v>
      </c>
      <c r="H6" s="349">
        <v>179</v>
      </c>
      <c r="I6" s="349">
        <v>169</v>
      </c>
      <c r="J6" s="349">
        <v>137</v>
      </c>
      <c r="K6" s="346" t="s">
        <v>215</v>
      </c>
      <c r="L6" s="350" t="s">
        <v>50</v>
      </c>
      <c r="M6" s="349">
        <v>0</v>
      </c>
      <c r="N6" s="349">
        <v>3</v>
      </c>
      <c r="O6" s="349">
        <v>10</v>
      </c>
      <c r="P6" s="346" t="s">
        <v>841</v>
      </c>
      <c r="Q6" s="349" t="s">
        <v>350</v>
      </c>
      <c r="R6" s="342"/>
      <c r="S6" s="342"/>
      <c r="T6" s="342"/>
      <c r="U6" s="342"/>
      <c r="V6" s="342"/>
      <c r="W6" s="342"/>
      <c r="X6" s="342"/>
      <c r="Y6" s="349" t="s">
        <v>1464</v>
      </c>
      <c r="Z6" s="342"/>
      <c r="AA6" s="349" t="s">
        <v>695</v>
      </c>
      <c r="AB6" s="342"/>
      <c r="AC6" s="349" t="s">
        <v>334</v>
      </c>
      <c r="AD6" s="349" t="s">
        <v>277</v>
      </c>
      <c r="AE6" s="349" t="s">
        <v>286</v>
      </c>
      <c r="AF6" s="349" t="s">
        <v>217</v>
      </c>
      <c r="AG6" s="342"/>
      <c r="AH6" s="342"/>
      <c r="AI6" s="349" t="s">
        <v>280</v>
      </c>
      <c r="AJ6" s="342"/>
    </row>
    <row r="7" spans="1:36" x14ac:dyDescent="0.3">
      <c r="A7" s="344" t="s">
        <v>254</v>
      </c>
      <c r="B7" s="345">
        <v>45991</v>
      </c>
      <c r="C7" s="346" t="s">
        <v>1426</v>
      </c>
      <c r="D7" s="347" t="s">
        <v>1259</v>
      </c>
      <c r="E7" s="346" t="s">
        <v>1422</v>
      </c>
      <c r="F7" s="346" t="s">
        <v>214</v>
      </c>
      <c r="G7" s="348">
        <v>0.96650000000000003</v>
      </c>
      <c r="H7" s="349">
        <v>179</v>
      </c>
      <c r="I7" s="349">
        <v>173</v>
      </c>
      <c r="J7" s="349">
        <v>89</v>
      </c>
      <c r="K7" s="346" t="s">
        <v>215</v>
      </c>
      <c r="L7" s="350" t="s">
        <v>50</v>
      </c>
      <c r="M7" s="349">
        <v>0</v>
      </c>
      <c r="N7" s="349">
        <v>1</v>
      </c>
      <c r="O7" s="349">
        <v>23</v>
      </c>
      <c r="P7" s="346" t="s">
        <v>64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333</v>
      </c>
      <c r="AA7" s="349" t="s">
        <v>695</v>
      </c>
      <c r="AB7" s="349" t="s">
        <v>1465</v>
      </c>
      <c r="AC7" s="349" t="s">
        <v>334</v>
      </c>
      <c r="AD7" s="349" t="s">
        <v>1019</v>
      </c>
      <c r="AE7" s="349" t="s">
        <v>740</v>
      </c>
      <c r="AF7" s="349" t="s">
        <v>715</v>
      </c>
      <c r="AG7" s="342"/>
      <c r="AH7" s="342"/>
      <c r="AI7" s="349" t="s">
        <v>289</v>
      </c>
      <c r="AJ7" s="342"/>
    </row>
    <row r="8" spans="1:36" x14ac:dyDescent="0.3">
      <c r="A8" s="344" t="s">
        <v>391</v>
      </c>
      <c r="B8" s="345">
        <v>45992</v>
      </c>
      <c r="C8" s="346" t="s">
        <v>1426</v>
      </c>
      <c r="D8" s="347" t="s">
        <v>325</v>
      </c>
      <c r="E8" s="346" t="s">
        <v>1422</v>
      </c>
      <c r="F8" s="346" t="s">
        <v>214</v>
      </c>
      <c r="G8" s="348">
        <v>0.88270000000000004</v>
      </c>
      <c r="H8" s="349">
        <v>179</v>
      </c>
      <c r="I8" s="349">
        <v>158</v>
      </c>
      <c r="J8" s="349">
        <v>130</v>
      </c>
      <c r="K8" s="346" t="s">
        <v>215</v>
      </c>
      <c r="L8" s="350" t="s">
        <v>175</v>
      </c>
      <c r="M8" s="349">
        <v>1</v>
      </c>
      <c r="N8" s="349">
        <v>1</v>
      </c>
      <c r="O8" s="349">
        <v>11</v>
      </c>
      <c r="P8" s="346" t="s">
        <v>1337</v>
      </c>
      <c r="Q8" s="342"/>
      <c r="R8" s="342"/>
      <c r="S8" s="342"/>
      <c r="T8" s="342"/>
      <c r="U8" s="342"/>
      <c r="V8" s="342"/>
      <c r="W8" s="342"/>
      <c r="X8" s="342"/>
      <c r="Y8" s="342"/>
      <c r="Z8" s="349" t="s">
        <v>273</v>
      </c>
      <c r="AA8" s="349" t="s">
        <v>1466</v>
      </c>
      <c r="AB8" s="342"/>
      <c r="AC8" s="342"/>
      <c r="AD8" s="342"/>
      <c r="AE8" s="342"/>
      <c r="AF8" s="349" t="s">
        <v>547</v>
      </c>
      <c r="AG8" s="342"/>
      <c r="AH8" s="342"/>
      <c r="AI8" s="349" t="s">
        <v>354</v>
      </c>
      <c r="AJ8" s="342"/>
    </row>
    <row r="9" spans="1:36" x14ac:dyDescent="0.3">
      <c r="A9" s="344" t="s">
        <v>212</v>
      </c>
      <c r="B9" s="345">
        <v>45993</v>
      </c>
      <c r="C9" s="346" t="s">
        <v>1426</v>
      </c>
      <c r="D9" s="347" t="s">
        <v>1454</v>
      </c>
      <c r="E9" s="346" t="s">
        <v>1422</v>
      </c>
      <c r="F9" s="346" t="s">
        <v>214</v>
      </c>
      <c r="G9" s="348">
        <v>0.93300000000000005</v>
      </c>
      <c r="H9" s="349">
        <v>179</v>
      </c>
      <c r="I9" s="349">
        <v>167</v>
      </c>
      <c r="J9" s="349">
        <v>156</v>
      </c>
      <c r="K9" s="346" t="s">
        <v>215</v>
      </c>
      <c r="L9" s="350" t="s">
        <v>590</v>
      </c>
      <c r="M9" s="349">
        <v>0</v>
      </c>
      <c r="N9" s="349">
        <v>0</v>
      </c>
      <c r="O9" s="349">
        <v>4</v>
      </c>
      <c r="P9" s="346" t="s">
        <v>1441</v>
      </c>
      <c r="Q9" s="342"/>
      <c r="R9" s="342"/>
      <c r="S9" s="342"/>
      <c r="T9" s="342"/>
      <c r="U9" s="342"/>
      <c r="V9" s="342"/>
      <c r="W9" s="342"/>
      <c r="X9" s="342"/>
      <c r="Y9" s="342"/>
      <c r="Z9" s="349" t="s">
        <v>333</v>
      </c>
      <c r="AA9" s="349" t="s">
        <v>1467</v>
      </c>
      <c r="AB9" s="342"/>
      <c r="AC9" s="342"/>
      <c r="AD9" s="342"/>
      <c r="AE9" s="342"/>
      <c r="AF9" s="342"/>
      <c r="AG9" s="342"/>
      <c r="AH9" s="342"/>
      <c r="AI9" s="349" t="s">
        <v>1468</v>
      </c>
      <c r="AJ9" s="342"/>
    </row>
    <row r="10" spans="1:36" x14ac:dyDescent="0.3">
      <c r="A10" s="344" t="s">
        <v>331</v>
      </c>
      <c r="B10" s="345">
        <v>45994</v>
      </c>
      <c r="C10" s="346" t="s">
        <v>1426</v>
      </c>
      <c r="D10" s="347" t="s">
        <v>1455</v>
      </c>
      <c r="E10" s="346" t="s">
        <v>1422</v>
      </c>
      <c r="F10" s="346" t="s">
        <v>214</v>
      </c>
      <c r="G10" s="348">
        <v>0.68159999999999998</v>
      </c>
      <c r="H10" s="349">
        <v>179</v>
      </c>
      <c r="I10" s="349">
        <v>122</v>
      </c>
      <c r="J10" s="349">
        <v>106</v>
      </c>
      <c r="K10" s="346" t="s">
        <v>215</v>
      </c>
      <c r="L10" s="350" t="s">
        <v>175</v>
      </c>
      <c r="M10" s="349">
        <v>1</v>
      </c>
      <c r="N10" s="349">
        <v>0</v>
      </c>
      <c r="O10" s="349">
        <v>15</v>
      </c>
      <c r="P10" s="346" t="s">
        <v>1283</v>
      </c>
      <c r="Q10" s="342"/>
      <c r="R10" s="342"/>
      <c r="S10" s="342"/>
      <c r="T10" s="342"/>
      <c r="U10" s="342"/>
      <c r="V10" s="342"/>
      <c r="W10" s="342"/>
      <c r="X10" s="342"/>
      <c r="Y10" s="342"/>
      <c r="Z10" s="349" t="s">
        <v>345</v>
      </c>
      <c r="AA10" s="349" t="s">
        <v>1337</v>
      </c>
      <c r="AB10" s="349" t="s">
        <v>924</v>
      </c>
      <c r="AC10" s="349" t="s">
        <v>387</v>
      </c>
      <c r="AD10" s="342"/>
      <c r="AE10" s="342"/>
      <c r="AF10" s="342"/>
      <c r="AG10" s="342"/>
      <c r="AH10" s="342"/>
      <c r="AI10" s="349" t="s">
        <v>1469</v>
      </c>
      <c r="AJ10" s="342"/>
    </row>
    <row r="11" spans="1:36" x14ac:dyDescent="0.3">
      <c r="A11" s="344" t="s">
        <v>240</v>
      </c>
      <c r="B11" s="345">
        <v>45995</v>
      </c>
      <c r="C11" s="346" t="s">
        <v>1426</v>
      </c>
      <c r="D11" s="347" t="s">
        <v>1457</v>
      </c>
      <c r="E11" s="346" t="s">
        <v>1422</v>
      </c>
      <c r="F11" s="346" t="s">
        <v>214</v>
      </c>
      <c r="G11" s="348">
        <v>0.94410000000000005</v>
      </c>
      <c r="H11" s="349">
        <v>179</v>
      </c>
      <c r="I11" s="349">
        <v>169</v>
      </c>
      <c r="J11" s="349">
        <v>157</v>
      </c>
      <c r="K11" s="346" t="s">
        <v>215</v>
      </c>
      <c r="L11" s="350" t="s">
        <v>311</v>
      </c>
      <c r="M11" s="349">
        <v>0</v>
      </c>
      <c r="N11" s="349">
        <v>0</v>
      </c>
      <c r="O11" s="349">
        <v>65</v>
      </c>
      <c r="P11" s="346" t="s">
        <v>1445</v>
      </c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9" t="s">
        <v>1467</v>
      </c>
      <c r="AB11" s="342"/>
      <c r="AC11" s="342"/>
      <c r="AD11" s="342"/>
      <c r="AE11" s="342"/>
      <c r="AF11" s="342"/>
      <c r="AG11" s="342"/>
      <c r="AH11" s="342"/>
      <c r="AI11" s="349" t="s">
        <v>926</v>
      </c>
      <c r="AJ11" s="349" t="s">
        <v>275</v>
      </c>
    </row>
    <row r="12" spans="1:36" x14ac:dyDescent="0.3">
      <c r="A12" s="344" t="s">
        <v>724</v>
      </c>
      <c r="B12" s="345">
        <v>45996</v>
      </c>
      <c r="C12" s="346" t="s">
        <v>1426</v>
      </c>
      <c r="D12" s="347" t="s">
        <v>325</v>
      </c>
      <c r="E12" s="346" t="s">
        <v>1422</v>
      </c>
      <c r="F12" s="346" t="s">
        <v>214</v>
      </c>
      <c r="G12" s="348">
        <v>0.93300000000000005</v>
      </c>
      <c r="H12" s="349">
        <v>179</v>
      </c>
      <c r="I12" s="349">
        <v>167</v>
      </c>
      <c r="J12" s="349">
        <v>85</v>
      </c>
      <c r="K12" s="346" t="s">
        <v>215</v>
      </c>
      <c r="L12" s="350" t="s">
        <v>63</v>
      </c>
      <c r="M12" s="349">
        <v>0</v>
      </c>
      <c r="N12" s="349">
        <v>0</v>
      </c>
      <c r="O12" s="349">
        <v>17</v>
      </c>
      <c r="P12" s="346" t="s">
        <v>244</v>
      </c>
      <c r="Q12" s="342"/>
      <c r="R12" s="342"/>
      <c r="S12" s="342"/>
      <c r="T12" s="342"/>
      <c r="U12" s="342"/>
      <c r="V12" s="342"/>
      <c r="W12" s="342"/>
      <c r="X12" s="342"/>
      <c r="Y12" s="342"/>
      <c r="Z12" s="349" t="s">
        <v>258</v>
      </c>
      <c r="AA12" s="349" t="s">
        <v>738</v>
      </c>
      <c r="AB12" s="349" t="s">
        <v>915</v>
      </c>
      <c r="AC12" s="349" t="s">
        <v>329</v>
      </c>
      <c r="AD12" s="349" t="s">
        <v>227</v>
      </c>
      <c r="AE12" s="349" t="s">
        <v>1470</v>
      </c>
      <c r="AF12" s="349" t="s">
        <v>356</v>
      </c>
      <c r="AG12" s="342"/>
      <c r="AH12" s="342"/>
      <c r="AI12" s="349" t="s">
        <v>1471</v>
      </c>
      <c r="AJ12" s="342"/>
    </row>
    <row r="13" spans="1:36" x14ac:dyDescent="0.3">
      <c r="A13" s="344" t="s">
        <v>248</v>
      </c>
      <c r="B13" s="345">
        <v>45997</v>
      </c>
      <c r="C13" s="346" t="s">
        <v>1426</v>
      </c>
      <c r="D13" s="347" t="s">
        <v>1463</v>
      </c>
      <c r="E13" s="346" t="s">
        <v>1422</v>
      </c>
      <c r="F13" s="346" t="s">
        <v>214</v>
      </c>
      <c r="G13" s="348">
        <v>0.99439999999999995</v>
      </c>
      <c r="H13" s="349">
        <v>179</v>
      </c>
      <c r="I13" s="349">
        <v>178</v>
      </c>
      <c r="J13" s="349">
        <v>169</v>
      </c>
      <c r="K13" s="346" t="s">
        <v>215</v>
      </c>
      <c r="L13" s="350" t="s">
        <v>311</v>
      </c>
      <c r="M13" s="349">
        <v>0</v>
      </c>
      <c r="N13" s="349">
        <v>0</v>
      </c>
      <c r="O13" s="349">
        <v>49</v>
      </c>
      <c r="P13" s="346" t="s">
        <v>64</v>
      </c>
      <c r="Q13" s="342"/>
      <c r="R13" s="342"/>
      <c r="S13" s="342"/>
      <c r="T13" s="342"/>
      <c r="U13" s="342"/>
      <c r="V13" s="342"/>
      <c r="W13" s="342"/>
      <c r="X13" s="342"/>
      <c r="Y13" s="342"/>
      <c r="Z13" s="349" t="s">
        <v>333</v>
      </c>
      <c r="AA13" s="349" t="s">
        <v>579</v>
      </c>
      <c r="AB13" s="342"/>
      <c r="AC13" s="342"/>
      <c r="AD13" s="342"/>
      <c r="AE13" s="342"/>
      <c r="AF13" s="342"/>
      <c r="AG13" s="349" t="s">
        <v>1472</v>
      </c>
      <c r="AH13" s="342"/>
      <c r="AI13" s="349" t="s">
        <v>786</v>
      </c>
      <c r="AJ13" s="342"/>
    </row>
    <row r="14" spans="1:36" x14ac:dyDescent="0.3">
      <c r="A14" s="344" t="s">
        <v>254</v>
      </c>
      <c r="B14" s="345">
        <v>45998</v>
      </c>
      <c r="C14" s="346" t="s">
        <v>1426</v>
      </c>
      <c r="D14" s="347" t="s">
        <v>1259</v>
      </c>
      <c r="E14" s="346" t="s">
        <v>1422</v>
      </c>
      <c r="F14" s="346" t="s">
        <v>214</v>
      </c>
      <c r="G14" s="348">
        <v>0.92179999999999995</v>
      </c>
      <c r="H14" s="349">
        <v>179</v>
      </c>
      <c r="I14" s="349">
        <v>165</v>
      </c>
      <c r="J14" s="349">
        <v>162</v>
      </c>
      <c r="K14" s="346" t="s">
        <v>215</v>
      </c>
      <c r="L14" s="350" t="s">
        <v>50</v>
      </c>
      <c r="M14" s="349">
        <v>0</v>
      </c>
      <c r="N14" s="349">
        <v>2</v>
      </c>
      <c r="O14" s="349">
        <v>4</v>
      </c>
      <c r="P14" s="346" t="s">
        <v>51</v>
      </c>
      <c r="Q14" s="342"/>
      <c r="R14" s="342"/>
      <c r="S14" s="342"/>
      <c r="T14" s="342"/>
      <c r="U14" s="342"/>
      <c r="V14" s="342"/>
      <c r="W14" s="342"/>
      <c r="X14" s="342"/>
      <c r="Y14" s="349" t="s">
        <v>173</v>
      </c>
      <c r="Z14" s="349" t="s">
        <v>244</v>
      </c>
      <c r="AA14" s="342"/>
      <c r="AB14" s="342"/>
      <c r="AC14" s="342"/>
      <c r="AD14" s="342"/>
      <c r="AE14" s="342"/>
      <c r="AF14" s="342"/>
      <c r="AG14" s="342"/>
      <c r="AH14" s="342"/>
      <c r="AI14" s="349" t="s">
        <v>1473</v>
      </c>
      <c r="AJ14" s="342"/>
    </row>
    <row r="15" spans="1:36" x14ac:dyDescent="0.3">
      <c r="A15" s="344" t="s">
        <v>391</v>
      </c>
      <c r="B15" s="345">
        <v>45999</v>
      </c>
      <c r="C15" s="346" t="s">
        <v>1426</v>
      </c>
      <c r="D15" s="347" t="s">
        <v>325</v>
      </c>
      <c r="E15" s="346" t="s">
        <v>1422</v>
      </c>
      <c r="F15" s="346" t="s">
        <v>214</v>
      </c>
      <c r="G15" s="348">
        <v>0.79330000000000001</v>
      </c>
      <c r="H15" s="349">
        <v>179</v>
      </c>
      <c r="I15" s="349">
        <v>142</v>
      </c>
      <c r="J15" s="349">
        <v>129</v>
      </c>
      <c r="K15" s="346" t="s">
        <v>215</v>
      </c>
      <c r="L15" s="350" t="s">
        <v>50</v>
      </c>
      <c r="M15" s="349">
        <v>0</v>
      </c>
      <c r="N15" s="349">
        <v>2</v>
      </c>
      <c r="O15" s="349">
        <v>3</v>
      </c>
      <c r="P15" s="346" t="s">
        <v>352</v>
      </c>
      <c r="Q15" s="342"/>
      <c r="R15" s="342"/>
      <c r="S15" s="342"/>
      <c r="T15" s="342"/>
      <c r="U15" s="342"/>
      <c r="V15" s="342"/>
      <c r="W15" s="342"/>
      <c r="X15" s="342"/>
      <c r="Y15" s="349" t="s">
        <v>682</v>
      </c>
      <c r="Z15" s="349" t="s">
        <v>345</v>
      </c>
      <c r="AA15" s="349" t="s">
        <v>1467</v>
      </c>
      <c r="AB15" s="342"/>
      <c r="AC15" s="342"/>
      <c r="AD15" s="342"/>
      <c r="AE15" s="342"/>
      <c r="AF15" s="342"/>
      <c r="AG15" s="342"/>
      <c r="AH15" s="342"/>
      <c r="AI15" s="349" t="s">
        <v>902</v>
      </c>
      <c r="AJ15" s="342"/>
    </row>
    <row r="16" spans="1:36" x14ac:dyDescent="0.3">
      <c r="A16" s="344" t="s">
        <v>212</v>
      </c>
      <c r="B16" s="345">
        <v>46000</v>
      </c>
      <c r="C16" s="346" t="s">
        <v>1426</v>
      </c>
      <c r="D16" s="347" t="s">
        <v>1454</v>
      </c>
      <c r="E16" s="346" t="s">
        <v>1422</v>
      </c>
      <c r="F16" s="346" t="s">
        <v>214</v>
      </c>
      <c r="G16" s="348">
        <v>0.87150000000000005</v>
      </c>
      <c r="H16" s="349">
        <v>179</v>
      </c>
      <c r="I16" s="349">
        <v>156</v>
      </c>
      <c r="J16" s="349">
        <v>142</v>
      </c>
      <c r="K16" s="346" t="s">
        <v>215</v>
      </c>
      <c r="L16" s="350" t="s">
        <v>50</v>
      </c>
      <c r="M16" s="349">
        <v>0</v>
      </c>
      <c r="N16" s="349">
        <v>3</v>
      </c>
      <c r="O16" s="349">
        <v>11</v>
      </c>
      <c r="P16" s="346" t="s">
        <v>846</v>
      </c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9" t="s">
        <v>1474</v>
      </c>
      <c r="AB16" s="342"/>
      <c r="AC16" s="342"/>
      <c r="AD16" s="342"/>
      <c r="AE16" s="342"/>
      <c r="AF16" s="342"/>
      <c r="AG16" s="342"/>
      <c r="AH16" s="342"/>
      <c r="AI16" s="349" t="s">
        <v>1475</v>
      </c>
      <c r="AJ16" s="342"/>
    </row>
    <row r="17" spans="1:36" x14ac:dyDescent="0.3">
      <c r="A17" s="344" t="s">
        <v>331</v>
      </c>
      <c r="B17" s="345">
        <v>46001</v>
      </c>
      <c r="C17" s="346" t="s">
        <v>1426</v>
      </c>
      <c r="D17" s="347" t="s">
        <v>1455</v>
      </c>
      <c r="E17" s="346" t="s">
        <v>1422</v>
      </c>
      <c r="F17" s="346" t="s">
        <v>214</v>
      </c>
      <c r="G17" s="348">
        <v>0.97209999999999996</v>
      </c>
      <c r="H17" s="349">
        <v>179</v>
      </c>
      <c r="I17" s="349">
        <v>174</v>
      </c>
      <c r="J17" s="349">
        <v>165</v>
      </c>
      <c r="K17" s="346" t="s">
        <v>215</v>
      </c>
      <c r="L17" s="350" t="s">
        <v>311</v>
      </c>
      <c r="M17" s="349">
        <v>0</v>
      </c>
      <c r="N17" s="349">
        <v>0</v>
      </c>
      <c r="O17" s="349">
        <v>8</v>
      </c>
      <c r="P17" s="346" t="s">
        <v>897</v>
      </c>
      <c r="Q17" s="342"/>
      <c r="R17" s="342"/>
      <c r="S17" s="342"/>
      <c r="T17" s="342"/>
      <c r="U17" s="342"/>
      <c r="V17" s="342"/>
      <c r="W17" s="342"/>
      <c r="X17" s="342"/>
      <c r="Y17" s="342"/>
      <c r="Z17" s="349" t="s">
        <v>258</v>
      </c>
      <c r="AA17" s="349" t="s">
        <v>846</v>
      </c>
      <c r="AB17" s="342"/>
      <c r="AC17" s="342"/>
      <c r="AD17" s="342"/>
      <c r="AE17" s="342"/>
      <c r="AF17" s="342"/>
      <c r="AG17" s="342"/>
      <c r="AH17" s="342"/>
      <c r="AI17" s="349" t="s">
        <v>1476</v>
      </c>
      <c r="AJ17" s="342"/>
    </row>
    <row r="18" spans="1:36" ht="21" x14ac:dyDescent="0.3">
      <c r="A18" s="351" t="s">
        <v>1574</v>
      </c>
      <c r="B18" s="352"/>
      <c r="C18" s="351">
        <f>SUBTOTAL(103,YNB_CAI_LF_LEGACY[Flt])</f>
        <v>16</v>
      </c>
      <c r="D18" s="351"/>
      <c r="E18" s="351">
        <f>SUBTOTAL(103,YNB_CAI_LF_LEGACY[Brd-Off])</f>
        <v>16</v>
      </c>
      <c r="F18" s="351"/>
      <c r="G18" s="353">
        <f>SUBTOTAL(101,YNB_CAI_LF_LEGACY[LF%])</f>
        <v>0.90223749999999991</v>
      </c>
      <c r="H18" s="354">
        <f>SUBTOTAL(109,YNB_CAI_LF_LEGACY[CAP])</f>
        <v>2864</v>
      </c>
      <c r="I18" s="354">
        <f>SUBTOTAL(109,YNB_CAI_LF_LEGACY[BKG(Y)])</f>
        <v>2584</v>
      </c>
      <c r="J18" s="354">
        <f>SUBTOTAL(109,YNB_CAI_LF_LEGACY[GRP(Y)])</f>
        <v>2079</v>
      </c>
      <c r="K18" s="351"/>
      <c r="L18" s="352"/>
      <c r="M18" s="354">
        <f>SUBTOTAL(109,YNB_CAI_LF_LEGACY[TO-DAY])</f>
        <v>4</v>
      </c>
      <c r="N18" s="354">
        <f>SUBTOTAL(109,YNB_CAI_LF_LEGACY[Y-DAY])</f>
        <v>15</v>
      </c>
      <c r="O18" s="354">
        <f>SUBTOTAL(109,YNB_CAI_LF_LEGACY[WEEKLY])</f>
        <v>286</v>
      </c>
      <c r="P18" s="355"/>
      <c r="Q18" s="354">
        <f>SUBTOTAL(109,YNB_CAI_LF_LEGACY[Y])</f>
        <v>0</v>
      </c>
      <c r="R18" s="354">
        <f>SUBTOTAL(109,YNB_CAI_LF_LEGACY[B])</f>
        <v>0</v>
      </c>
      <c r="S18" s="354">
        <f>SUBTOTAL(109,YNB_CAI_LF_LEGACY[M])</f>
        <v>0</v>
      </c>
      <c r="T18" s="354">
        <f>SUBTOTAL(109,YNB_CAI_LF_LEGACY[H])</f>
        <v>0</v>
      </c>
      <c r="U18" s="354">
        <f>SUBTOTAL(109,YNB_CAI_LF_LEGACY[Q])</f>
        <v>0</v>
      </c>
      <c r="V18" s="354">
        <f>SUBTOTAL(109,YNB_CAI_LF_LEGACY[K])</f>
        <v>0</v>
      </c>
      <c r="W18" s="354">
        <f>SUBTOTAL(109,YNB_CAI_LF_LEGACY[V])</f>
        <v>0</v>
      </c>
      <c r="X18" s="354">
        <f>SUBTOTAL(109,YNB_CAI_LF_LEGACY[L])</f>
        <v>0</v>
      </c>
      <c r="Y18" s="354">
        <f>SUBTOTAL(109,YNB_CAI_LF_LEGACY[G])</f>
        <v>0</v>
      </c>
      <c r="Z18" s="354">
        <f>SUBTOTAL(109,YNB_CAI_LF_LEGACY[S])</f>
        <v>0</v>
      </c>
      <c r="AA18" s="354">
        <f>SUBTOTAL(109,YNB_CAI_LF_LEGACY[W])</f>
        <v>0</v>
      </c>
      <c r="AB18" s="354">
        <f>SUBTOTAL(109,YNB_CAI_LF_LEGACY[T])</f>
        <v>0</v>
      </c>
      <c r="AC18" s="354">
        <f>SUBTOTAL(109,YNB_CAI_LF_LEGACY[X])</f>
        <v>0</v>
      </c>
      <c r="AD18" s="354">
        <f>SUBTOTAL(109,YNB_CAI_LF_LEGACY[U])</f>
        <v>0</v>
      </c>
      <c r="AE18" s="354">
        <f>SUBTOTAL(109,YNB_CAI_LF_LEGACY[O])</f>
        <v>0</v>
      </c>
      <c r="AF18" s="354">
        <f>SUBTOTAL(109,YNB_CAI_LF_LEGACY[I])</f>
        <v>0</v>
      </c>
      <c r="AG18" s="354">
        <f>SUBTOTAL(109,YNB_CAI_LF_LEGACY[E])</f>
        <v>0</v>
      </c>
      <c r="AH18" s="354">
        <f>SUBTOTAL(109,YNB_CAI_LF_LEGACY[A])</f>
        <v>0</v>
      </c>
      <c r="AI18" s="354">
        <f>SUBTOTAL(109,YNB_CAI_LF_LEGACY[P])</f>
        <v>0</v>
      </c>
      <c r="AJ18" s="354">
        <f>SUBTOTAL(103,YNB_CAI_LF_LEGACY[N])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25"/>
  <sheetViews>
    <sheetView workbookViewId="0"/>
  </sheetViews>
  <sheetFormatPr defaultRowHeight="14.4" x14ac:dyDescent="0.3"/>
  <cols>
    <col min="1" max="1" width="11.886718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  <col min="9" max="9" width="192.777343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410</v>
      </c>
      <c r="C2" s="95" t="s">
        <v>1423</v>
      </c>
      <c r="D2" s="94" t="s">
        <v>1422</v>
      </c>
      <c r="E2" s="94" t="s">
        <v>1477</v>
      </c>
      <c r="F2" s="94" t="s">
        <v>46</v>
      </c>
      <c r="G2" s="96">
        <v>9</v>
      </c>
      <c r="H2" s="97">
        <v>471</v>
      </c>
      <c r="I2" s="88"/>
    </row>
    <row r="3" spans="1:9" ht="19.8" customHeight="1" x14ac:dyDescent="0.3">
      <c r="A3" s="140" t="s">
        <v>292</v>
      </c>
      <c r="B3" s="109" t="s">
        <v>44</v>
      </c>
      <c r="C3" s="110" t="s">
        <v>1424</v>
      </c>
      <c r="D3" s="109" t="s">
        <v>1422</v>
      </c>
      <c r="E3" s="109" t="s">
        <v>1454</v>
      </c>
      <c r="F3" s="109" t="s">
        <v>46</v>
      </c>
      <c r="G3" s="141">
        <v>9</v>
      </c>
      <c r="H3" s="143">
        <v>988</v>
      </c>
      <c r="I3" s="88"/>
    </row>
    <row r="4" spans="1:9" ht="19.8" customHeight="1" x14ac:dyDescent="0.3">
      <c r="A4" s="103">
        <v>45987</v>
      </c>
      <c r="B4" s="94" t="s">
        <v>404</v>
      </c>
      <c r="C4" s="95" t="s">
        <v>1428</v>
      </c>
      <c r="D4" s="94" t="s">
        <v>1422</v>
      </c>
      <c r="E4" s="104">
        <v>1.5902777777777779</v>
      </c>
      <c r="F4" s="94" t="s">
        <v>406</v>
      </c>
      <c r="G4" s="96">
        <v>2</v>
      </c>
      <c r="H4" s="97">
        <v>745</v>
      </c>
      <c r="I4" s="88"/>
    </row>
    <row r="5" spans="1:9" ht="19.8" customHeight="1" x14ac:dyDescent="0.3">
      <c r="A5" s="108">
        <v>45987</v>
      </c>
      <c r="B5" s="109" t="s">
        <v>44</v>
      </c>
      <c r="C5" s="110" t="s">
        <v>1424</v>
      </c>
      <c r="D5" s="109" t="s">
        <v>1422</v>
      </c>
      <c r="E5" s="111">
        <v>1.9861111111111109</v>
      </c>
      <c r="F5" s="109" t="s">
        <v>46</v>
      </c>
      <c r="G5" s="141">
        <v>9</v>
      </c>
      <c r="H5" s="143">
        <v>748</v>
      </c>
      <c r="I5" s="88"/>
    </row>
    <row r="6" spans="1:9" ht="19.8" customHeight="1" x14ac:dyDescent="0.3">
      <c r="A6" s="103">
        <v>45988</v>
      </c>
      <c r="B6" s="94" t="s">
        <v>410</v>
      </c>
      <c r="C6" s="95" t="s">
        <v>1423</v>
      </c>
      <c r="D6" s="94" t="s">
        <v>1422</v>
      </c>
      <c r="E6" s="104">
        <v>1.177083333333333</v>
      </c>
      <c r="F6" s="94" t="s">
        <v>46</v>
      </c>
      <c r="G6" s="96">
        <v>9</v>
      </c>
      <c r="H6" s="97">
        <v>471</v>
      </c>
      <c r="I6" s="88"/>
    </row>
    <row r="7" spans="1:9" ht="19.8" customHeight="1" x14ac:dyDescent="0.3">
      <c r="A7" s="108">
        <v>45988</v>
      </c>
      <c r="B7" s="109" t="s">
        <v>44</v>
      </c>
      <c r="C7" s="110" t="s">
        <v>1424</v>
      </c>
      <c r="D7" s="109" t="s">
        <v>1422</v>
      </c>
      <c r="E7" s="111">
        <v>1.5972222222222221</v>
      </c>
      <c r="F7" s="109" t="s">
        <v>46</v>
      </c>
      <c r="G7" s="141">
        <v>8</v>
      </c>
      <c r="H7" s="112" t="s">
        <v>1431</v>
      </c>
      <c r="I7" s="88"/>
    </row>
    <row r="8" spans="1:9" ht="19.8" customHeight="1" x14ac:dyDescent="0.3">
      <c r="A8" s="108">
        <v>45989</v>
      </c>
      <c r="B8" s="109" t="s">
        <v>44</v>
      </c>
      <c r="C8" s="110" t="s">
        <v>1424</v>
      </c>
      <c r="D8" s="109" t="s">
        <v>1422</v>
      </c>
      <c r="E8" s="111">
        <v>1.3263888888888891</v>
      </c>
      <c r="F8" s="109" t="s">
        <v>46</v>
      </c>
      <c r="G8" s="141">
        <v>3</v>
      </c>
      <c r="H8" s="143">
        <v>628</v>
      </c>
      <c r="I8" s="88"/>
    </row>
    <row r="9" spans="1:9" ht="19.8" customHeight="1" x14ac:dyDescent="0.3">
      <c r="A9" s="108">
        <v>45990</v>
      </c>
      <c r="B9" s="109" t="s">
        <v>44</v>
      </c>
      <c r="C9" s="110" t="s">
        <v>1424</v>
      </c>
      <c r="D9" s="109" t="s">
        <v>1422</v>
      </c>
      <c r="E9" s="111">
        <v>1.2847222222222221</v>
      </c>
      <c r="F9" s="109" t="s">
        <v>46</v>
      </c>
      <c r="G9" s="141">
        <v>8</v>
      </c>
      <c r="H9" s="143">
        <v>868</v>
      </c>
      <c r="I9" s="88"/>
    </row>
    <row r="10" spans="1:9" ht="19.8" customHeight="1" x14ac:dyDescent="0.3">
      <c r="A10" s="108">
        <v>45991</v>
      </c>
      <c r="B10" s="109" t="s">
        <v>44</v>
      </c>
      <c r="C10" s="110" t="s">
        <v>1424</v>
      </c>
      <c r="D10" s="109" t="s">
        <v>1422</v>
      </c>
      <c r="E10" s="111">
        <v>1.375</v>
      </c>
      <c r="F10" s="109"/>
      <c r="G10" s="109"/>
      <c r="H10" s="112" t="s">
        <v>62</v>
      </c>
      <c r="I10" s="88"/>
    </row>
    <row r="11" spans="1:9" ht="19.8" customHeight="1" x14ac:dyDescent="0.3">
      <c r="A11" s="108">
        <v>45992</v>
      </c>
      <c r="B11" s="109" t="s">
        <v>44</v>
      </c>
      <c r="C11" s="110" t="s">
        <v>1424</v>
      </c>
      <c r="D11" s="109" t="s">
        <v>1422</v>
      </c>
      <c r="E11" s="111">
        <v>1.3263888888888891</v>
      </c>
      <c r="F11" s="109" t="s">
        <v>46</v>
      </c>
      <c r="G11" s="141">
        <v>6</v>
      </c>
      <c r="H11" s="143">
        <v>628</v>
      </c>
      <c r="I11" s="88"/>
    </row>
    <row r="12" spans="1:9" ht="19.8" customHeight="1" x14ac:dyDescent="0.3">
      <c r="A12" s="103">
        <v>45993</v>
      </c>
      <c r="B12" s="94" t="s">
        <v>410</v>
      </c>
      <c r="C12" s="95" t="s">
        <v>1423</v>
      </c>
      <c r="D12" s="94" t="s">
        <v>1422</v>
      </c>
      <c r="E12" s="104">
        <v>1.177083333333333</v>
      </c>
      <c r="F12" s="94" t="s">
        <v>46</v>
      </c>
      <c r="G12" s="96">
        <v>1</v>
      </c>
      <c r="H12" s="97">
        <v>521</v>
      </c>
      <c r="I12" s="88"/>
    </row>
    <row r="13" spans="1:9" ht="19.8" customHeight="1" x14ac:dyDescent="0.3">
      <c r="A13" s="103">
        <v>45993</v>
      </c>
      <c r="B13" s="94" t="s">
        <v>404</v>
      </c>
      <c r="C13" s="95" t="s">
        <v>1428</v>
      </c>
      <c r="D13" s="94" t="s">
        <v>1422</v>
      </c>
      <c r="E13" s="104">
        <v>1.4965277777777779</v>
      </c>
      <c r="F13" s="94" t="s">
        <v>406</v>
      </c>
      <c r="G13" s="96">
        <v>1</v>
      </c>
      <c r="H13" s="97">
        <v>745</v>
      </c>
      <c r="I13" s="88"/>
    </row>
    <row r="14" spans="1:9" ht="19.8" customHeight="1" x14ac:dyDescent="0.3">
      <c r="A14" s="108">
        <v>45993</v>
      </c>
      <c r="B14" s="109" t="s">
        <v>44</v>
      </c>
      <c r="C14" s="110" t="s">
        <v>1424</v>
      </c>
      <c r="D14" s="109" t="s">
        <v>1422</v>
      </c>
      <c r="E14" s="111">
        <v>1.993055555555556</v>
      </c>
      <c r="F14" s="109" t="s">
        <v>46</v>
      </c>
      <c r="G14" s="141">
        <v>8</v>
      </c>
      <c r="H14" s="112" t="s">
        <v>1440</v>
      </c>
      <c r="I14" s="88"/>
    </row>
    <row r="15" spans="1:9" ht="19.8" customHeight="1" x14ac:dyDescent="0.3">
      <c r="A15" s="105">
        <v>45994</v>
      </c>
      <c r="B15" s="99" t="s">
        <v>44</v>
      </c>
      <c r="C15" s="100" t="s">
        <v>1424</v>
      </c>
      <c r="D15" s="99" t="s">
        <v>1422</v>
      </c>
      <c r="E15" s="106">
        <v>1.9861111111111109</v>
      </c>
      <c r="F15" s="99" t="s">
        <v>46</v>
      </c>
      <c r="G15" s="101">
        <v>3</v>
      </c>
      <c r="H15" s="102">
        <v>538</v>
      </c>
      <c r="I15" s="88"/>
    </row>
    <row r="16" spans="1:9" ht="19.8" customHeight="1" x14ac:dyDescent="0.3">
      <c r="A16" s="113">
        <v>45994</v>
      </c>
      <c r="B16" s="114" t="s">
        <v>404</v>
      </c>
      <c r="C16" s="115" t="s">
        <v>1428</v>
      </c>
      <c r="D16" s="114" t="s">
        <v>1422</v>
      </c>
      <c r="E16" s="116">
        <v>1.5902777777777779</v>
      </c>
      <c r="F16" s="114" t="s">
        <v>406</v>
      </c>
      <c r="G16" s="117">
        <v>2</v>
      </c>
      <c r="H16" s="142">
        <v>745</v>
      </c>
      <c r="I16" s="88"/>
    </row>
    <row r="17" spans="1:9" ht="19.8" customHeight="1" x14ac:dyDescent="0.3">
      <c r="A17" s="103">
        <v>45995</v>
      </c>
      <c r="B17" s="94" t="s">
        <v>410</v>
      </c>
      <c r="C17" s="95" t="s">
        <v>1423</v>
      </c>
      <c r="D17" s="94" t="s">
        <v>1422</v>
      </c>
      <c r="E17" s="104">
        <v>1.177083333333333</v>
      </c>
      <c r="F17" s="94" t="s">
        <v>46</v>
      </c>
      <c r="G17" s="96">
        <v>4</v>
      </c>
      <c r="H17" s="97">
        <v>521</v>
      </c>
      <c r="I17" s="88"/>
    </row>
    <row r="18" spans="1:9" ht="19.8" customHeight="1" x14ac:dyDescent="0.3">
      <c r="A18" s="108">
        <v>45995</v>
      </c>
      <c r="B18" s="109" t="s">
        <v>44</v>
      </c>
      <c r="C18" s="110" t="s">
        <v>1424</v>
      </c>
      <c r="D18" s="109" t="s">
        <v>1422</v>
      </c>
      <c r="E18" s="111">
        <v>1.5972222222222221</v>
      </c>
      <c r="F18" s="109" t="s">
        <v>46</v>
      </c>
      <c r="G18" s="141">
        <v>1</v>
      </c>
      <c r="H18" s="112" t="s">
        <v>1444</v>
      </c>
      <c r="I18" s="88"/>
    </row>
    <row r="19" spans="1:9" ht="19.8" customHeight="1" x14ac:dyDescent="0.3">
      <c r="A19" s="108">
        <v>45996</v>
      </c>
      <c r="B19" s="109" t="s">
        <v>44</v>
      </c>
      <c r="C19" s="110" t="s">
        <v>1424</v>
      </c>
      <c r="D19" s="109" t="s">
        <v>1422</v>
      </c>
      <c r="E19" s="111">
        <v>1.3263888888888891</v>
      </c>
      <c r="F19" s="109" t="s">
        <v>46</v>
      </c>
      <c r="G19" s="141">
        <v>1</v>
      </c>
      <c r="H19" s="143">
        <v>748</v>
      </c>
      <c r="I19" s="88"/>
    </row>
    <row r="20" spans="1:9" ht="19.8" customHeight="1" x14ac:dyDescent="0.3">
      <c r="A20" s="108">
        <v>45997</v>
      </c>
      <c r="B20" s="109" t="s">
        <v>44</v>
      </c>
      <c r="C20" s="110" t="s">
        <v>1424</v>
      </c>
      <c r="D20" s="109" t="s">
        <v>1422</v>
      </c>
      <c r="E20" s="111">
        <v>1.2847222222222221</v>
      </c>
      <c r="F20" s="109"/>
      <c r="G20" s="109"/>
      <c r="H20" s="112" t="s">
        <v>62</v>
      </c>
      <c r="I20" s="88"/>
    </row>
    <row r="21" spans="1:9" ht="19.8" customHeight="1" x14ac:dyDescent="0.3">
      <c r="A21" s="108">
        <v>45998</v>
      </c>
      <c r="B21" s="109" t="s">
        <v>44</v>
      </c>
      <c r="C21" s="110" t="s">
        <v>1424</v>
      </c>
      <c r="D21" s="109" t="s">
        <v>1422</v>
      </c>
      <c r="E21" s="111">
        <v>1.375</v>
      </c>
      <c r="F21" s="109" t="s">
        <v>46</v>
      </c>
      <c r="G21" s="141">
        <v>9</v>
      </c>
      <c r="H21" s="143">
        <v>868</v>
      </c>
      <c r="I21" s="88"/>
    </row>
    <row r="22" spans="1:9" ht="19.8" customHeight="1" x14ac:dyDescent="0.3">
      <c r="A22" s="108">
        <v>45999</v>
      </c>
      <c r="B22" s="109" t="s">
        <v>44</v>
      </c>
      <c r="C22" s="110" t="s">
        <v>1424</v>
      </c>
      <c r="D22" s="109" t="s">
        <v>1422</v>
      </c>
      <c r="E22" s="111">
        <v>1.3263888888888891</v>
      </c>
      <c r="F22" s="109" t="s">
        <v>46</v>
      </c>
      <c r="G22" s="141">
        <v>9</v>
      </c>
      <c r="H22" s="143">
        <v>748</v>
      </c>
      <c r="I22" s="88"/>
    </row>
    <row r="23" spans="1:9" ht="19.8" customHeight="1" x14ac:dyDescent="0.3">
      <c r="A23" s="103">
        <v>46000</v>
      </c>
      <c r="B23" s="94" t="s">
        <v>410</v>
      </c>
      <c r="C23" s="95" t="s">
        <v>1423</v>
      </c>
      <c r="D23" s="94" t="s">
        <v>1422</v>
      </c>
      <c r="E23" s="104">
        <v>1.177083333333333</v>
      </c>
      <c r="F23" s="94" t="s">
        <v>46</v>
      </c>
      <c r="G23" s="96">
        <v>8</v>
      </c>
      <c r="H23" s="97">
        <v>571</v>
      </c>
      <c r="I23" s="88"/>
    </row>
    <row r="24" spans="1:9" ht="19.8" customHeight="1" x14ac:dyDescent="0.3">
      <c r="A24" s="108">
        <v>46000</v>
      </c>
      <c r="B24" s="109" t="s">
        <v>44</v>
      </c>
      <c r="C24" s="110" t="s">
        <v>1424</v>
      </c>
      <c r="D24" s="109" t="s">
        <v>1422</v>
      </c>
      <c r="E24" s="111">
        <v>1.993055555555556</v>
      </c>
      <c r="F24" s="109" t="s">
        <v>46</v>
      </c>
      <c r="G24" s="141">
        <v>5</v>
      </c>
      <c r="H24" s="143">
        <v>628</v>
      </c>
      <c r="I24" s="88"/>
    </row>
    <row r="25" spans="1:9" ht="19.8" customHeight="1" x14ac:dyDescent="0.3">
      <c r="A25" s="108">
        <v>46001</v>
      </c>
      <c r="B25" s="109" t="s">
        <v>44</v>
      </c>
      <c r="C25" s="110" t="s">
        <v>1424</v>
      </c>
      <c r="D25" s="109" t="s">
        <v>1422</v>
      </c>
      <c r="E25" s="111">
        <v>1.9861111111111109</v>
      </c>
      <c r="F25" s="109" t="s">
        <v>46</v>
      </c>
      <c r="G25" s="141">
        <v>5</v>
      </c>
      <c r="H25" s="143">
        <v>868</v>
      </c>
      <c r="I25" s="88"/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R73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1093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1.664062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1478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45982.804333526386</v>
      </c>
      <c r="H2" s="330"/>
      <c r="I2" s="330"/>
      <c r="J2" s="330"/>
      <c r="K2" s="334">
        <v>45982.804333526721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6" t="s">
        <v>410</v>
      </c>
      <c r="B6" s="6" t="s">
        <v>1479</v>
      </c>
      <c r="C6" s="6">
        <v>0.95833333333333337</v>
      </c>
      <c r="D6" s="6" t="s">
        <v>46</v>
      </c>
      <c r="E6" s="6" t="s">
        <v>81</v>
      </c>
      <c r="F6" s="6" t="s">
        <v>1480</v>
      </c>
      <c r="G6" s="335"/>
      <c r="H6" s="7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49.95" customHeight="1" x14ac:dyDescent="0.3">
      <c r="A7" s="11" t="s">
        <v>456</v>
      </c>
      <c r="B7" s="11" t="s">
        <v>1481</v>
      </c>
      <c r="C7" s="11">
        <v>0.2951388888888889</v>
      </c>
      <c r="D7" s="11" t="s">
        <v>458</v>
      </c>
      <c r="E7" s="11" t="s">
        <v>123</v>
      </c>
      <c r="F7" s="11" t="s">
        <v>1482</v>
      </c>
      <c r="G7" s="328"/>
      <c r="H7" s="7"/>
      <c r="I7" s="8"/>
      <c r="J7" s="8"/>
      <c r="K7" s="8"/>
      <c r="L7" s="8"/>
      <c r="M7" s="8"/>
      <c r="N7" s="8"/>
      <c r="O7" s="8"/>
      <c r="P7" s="8"/>
      <c r="Q7" s="8"/>
      <c r="R7" s="9"/>
    </row>
    <row r="8" spans="1:18" ht="49.95" customHeight="1" x14ac:dyDescent="0.3">
      <c r="A8" s="27" t="s">
        <v>456</v>
      </c>
      <c r="B8" s="27" t="s">
        <v>1481</v>
      </c>
      <c r="C8" s="27">
        <v>0.2951388888888889</v>
      </c>
      <c r="D8" s="27" t="s">
        <v>34</v>
      </c>
      <c r="E8" s="27" t="s">
        <v>124</v>
      </c>
      <c r="F8" s="27" t="s">
        <v>1483</v>
      </c>
      <c r="G8" s="328"/>
      <c r="H8" s="28"/>
      <c r="I8" s="29"/>
      <c r="J8" s="29"/>
      <c r="K8" s="29"/>
      <c r="L8" s="29"/>
      <c r="M8" s="29"/>
      <c r="N8" s="29"/>
      <c r="O8" s="29"/>
      <c r="P8" s="29"/>
      <c r="Q8" s="29"/>
      <c r="R8" s="30"/>
    </row>
    <row r="9" spans="1:18" ht="17.399999999999999" customHeigh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2"/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22.05" customHeight="1" x14ac:dyDescent="0.3">
      <c r="A11" s="323" t="s">
        <v>6</v>
      </c>
      <c r="B11" s="324"/>
      <c r="C11" s="324"/>
      <c r="D11" s="324"/>
      <c r="E11" s="324"/>
      <c r="F11" s="324"/>
      <c r="G11" s="2">
        <v>45988</v>
      </c>
      <c r="H11" s="323" t="s">
        <v>7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</row>
    <row r="12" spans="1:18" ht="24" customHeight="1" x14ac:dyDescent="0.3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4" t="s">
        <v>13</v>
      </c>
      <c r="G12" s="5" t="s">
        <v>14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  <c r="Q12" s="3" t="s">
        <v>24</v>
      </c>
      <c r="R12" s="3" t="s">
        <v>25</v>
      </c>
    </row>
    <row r="13" spans="1:18" ht="49.95" customHeight="1" x14ac:dyDescent="0.3">
      <c r="A13" s="75" t="s">
        <v>44</v>
      </c>
      <c r="B13" s="75" t="s">
        <v>1484</v>
      </c>
      <c r="C13" s="75">
        <v>4.5138888888888888E-2</v>
      </c>
      <c r="D13" s="75" t="s">
        <v>46</v>
      </c>
      <c r="E13" s="75" t="s">
        <v>121</v>
      </c>
      <c r="F13" s="75" t="s">
        <v>886</v>
      </c>
      <c r="G13" s="335"/>
      <c r="H13" s="76" t="s">
        <v>1485</v>
      </c>
      <c r="I13" s="208">
        <v>0.45240000000000002</v>
      </c>
      <c r="J13" s="78">
        <v>76</v>
      </c>
      <c r="K13" s="79" t="s">
        <v>175</v>
      </c>
      <c r="L13" s="78">
        <v>53</v>
      </c>
      <c r="M13" s="78">
        <v>11</v>
      </c>
      <c r="N13" s="78">
        <v>6</v>
      </c>
      <c r="O13" s="79" t="s">
        <v>387</v>
      </c>
      <c r="P13" s="79">
        <v>4.5138888888888888E-2</v>
      </c>
      <c r="Q13" s="78">
        <v>168</v>
      </c>
      <c r="R13" s="80" t="s">
        <v>1486</v>
      </c>
    </row>
    <row r="14" spans="1:18" ht="49.95" customHeight="1" x14ac:dyDescent="0.3">
      <c r="A14" s="50" t="s">
        <v>410</v>
      </c>
      <c r="B14" s="50" t="s">
        <v>1479</v>
      </c>
      <c r="C14" s="50">
        <v>0.99652777777777779</v>
      </c>
      <c r="D14" s="50" t="s">
        <v>46</v>
      </c>
      <c r="E14" s="50" t="s">
        <v>47</v>
      </c>
      <c r="F14" s="50" t="s">
        <v>1451</v>
      </c>
      <c r="G14" s="328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30"/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22.05" customHeight="1" x14ac:dyDescent="0.3">
      <c r="A16" s="323" t="s">
        <v>6</v>
      </c>
      <c r="B16" s="324"/>
      <c r="C16" s="324"/>
      <c r="D16" s="324"/>
      <c r="E16" s="324"/>
      <c r="F16" s="324"/>
      <c r="G16" s="2">
        <v>45989</v>
      </c>
      <c r="H16" s="323" t="s">
        <v>7</v>
      </c>
      <c r="I16" s="324"/>
      <c r="J16" s="324"/>
      <c r="K16" s="324"/>
      <c r="L16" s="324"/>
      <c r="M16" s="324"/>
      <c r="N16" s="324"/>
      <c r="O16" s="324"/>
      <c r="P16" s="324"/>
      <c r="Q16" s="324"/>
      <c r="R16" s="324"/>
    </row>
    <row r="17" spans="1:18" ht="24" customHeight="1" x14ac:dyDescent="0.3">
      <c r="A17" s="3" t="s">
        <v>8</v>
      </c>
      <c r="B17" s="3" t="s">
        <v>9</v>
      </c>
      <c r="C17" s="3" t="s">
        <v>10</v>
      </c>
      <c r="D17" s="3" t="s">
        <v>11</v>
      </c>
      <c r="E17" s="3" t="s">
        <v>12</v>
      </c>
      <c r="F17" s="4" t="s">
        <v>13</v>
      </c>
      <c r="G17" s="5" t="s">
        <v>14</v>
      </c>
      <c r="H17" s="3" t="s">
        <v>15</v>
      </c>
      <c r="I17" s="3" t="s">
        <v>16</v>
      </c>
      <c r="J17" s="3" t="s">
        <v>17</v>
      </c>
      <c r="K17" s="3" t="s">
        <v>18</v>
      </c>
      <c r="L17" s="3" t="s">
        <v>19</v>
      </c>
      <c r="M17" s="3" t="s">
        <v>20</v>
      </c>
      <c r="N17" s="3" t="s">
        <v>21</v>
      </c>
      <c r="O17" s="3" t="s">
        <v>22</v>
      </c>
      <c r="P17" s="3" t="s">
        <v>23</v>
      </c>
      <c r="Q17" s="3" t="s">
        <v>24</v>
      </c>
      <c r="R17" s="3" t="s">
        <v>25</v>
      </c>
    </row>
    <row r="18" spans="1:18" ht="49.95" customHeight="1" x14ac:dyDescent="0.3">
      <c r="A18" s="12" t="s">
        <v>44</v>
      </c>
      <c r="B18" s="12" t="s">
        <v>1487</v>
      </c>
      <c r="C18" s="12">
        <v>3.472222222222222E-3</v>
      </c>
      <c r="D18" s="12" t="s">
        <v>46</v>
      </c>
      <c r="E18" s="12" t="s">
        <v>47</v>
      </c>
      <c r="F18" s="12" t="s">
        <v>886</v>
      </c>
      <c r="G18" s="335"/>
      <c r="H18" s="13" t="s">
        <v>1488</v>
      </c>
      <c r="I18" s="14">
        <v>0.41070000000000001</v>
      </c>
      <c r="J18" s="15">
        <v>69</v>
      </c>
      <c r="K18" s="16" t="s">
        <v>175</v>
      </c>
      <c r="L18" s="15">
        <v>33</v>
      </c>
      <c r="M18" s="15">
        <v>3</v>
      </c>
      <c r="N18" s="15">
        <v>5</v>
      </c>
      <c r="O18" s="16" t="s">
        <v>265</v>
      </c>
      <c r="P18" s="16">
        <v>3.472222222222222E-3</v>
      </c>
      <c r="Q18" s="15">
        <v>168</v>
      </c>
      <c r="R18" s="17" t="s">
        <v>1489</v>
      </c>
    </row>
    <row r="19" spans="1:18" ht="49.95" customHeight="1" x14ac:dyDescent="0.3">
      <c r="A19" s="11" t="s">
        <v>456</v>
      </c>
      <c r="B19" s="11" t="s">
        <v>1481</v>
      </c>
      <c r="C19" s="11">
        <v>0.91666666666666663</v>
      </c>
      <c r="D19" s="11" t="s">
        <v>458</v>
      </c>
      <c r="E19" s="11" t="s">
        <v>123</v>
      </c>
      <c r="F19" s="11" t="s">
        <v>838</v>
      </c>
      <c r="G19" s="328"/>
      <c r="H19" s="7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ht="49.95" customHeight="1" x14ac:dyDescent="0.3">
      <c r="A20" s="27" t="s">
        <v>456</v>
      </c>
      <c r="B20" s="27" t="s">
        <v>1481</v>
      </c>
      <c r="C20" s="27">
        <v>0.91666666666666663</v>
      </c>
      <c r="D20" s="27" t="s">
        <v>34</v>
      </c>
      <c r="E20" s="27" t="s">
        <v>124</v>
      </c>
      <c r="F20" s="27" t="s">
        <v>1490</v>
      </c>
      <c r="G20" s="3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30"/>
    </row>
    <row r="21" spans="1:18" ht="17.399999999999999" customHeight="1" x14ac:dyDescent="0.3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ht="22.05" customHeight="1" x14ac:dyDescent="0.3">
      <c r="A22" s="323" t="s">
        <v>6</v>
      </c>
      <c r="B22" s="324"/>
      <c r="C22" s="324"/>
      <c r="D22" s="324"/>
      <c r="E22" s="324"/>
      <c r="F22" s="324"/>
      <c r="G22" s="2">
        <v>45990</v>
      </c>
      <c r="H22" s="323" t="s">
        <v>7</v>
      </c>
      <c r="I22" s="324"/>
      <c r="J22" s="324"/>
      <c r="K22" s="324"/>
      <c r="L22" s="324"/>
      <c r="M22" s="324"/>
      <c r="N22" s="324"/>
      <c r="O22" s="324"/>
      <c r="P22" s="324"/>
      <c r="Q22" s="324"/>
      <c r="R22" s="324"/>
    </row>
    <row r="23" spans="1:18" ht="24" customHeight="1" x14ac:dyDescent="0.3">
      <c r="A23" s="3" t="s">
        <v>8</v>
      </c>
      <c r="B23" s="3" t="s">
        <v>9</v>
      </c>
      <c r="C23" s="3" t="s">
        <v>10</v>
      </c>
      <c r="D23" s="3" t="s">
        <v>11</v>
      </c>
      <c r="E23" s="3" t="s">
        <v>12</v>
      </c>
      <c r="F23" s="4" t="s">
        <v>13</v>
      </c>
      <c r="G23" s="5" t="s">
        <v>14</v>
      </c>
      <c r="H23" s="3" t="s">
        <v>15</v>
      </c>
      <c r="I23" s="3" t="s">
        <v>16</v>
      </c>
      <c r="J23" s="3" t="s">
        <v>17</v>
      </c>
      <c r="K23" s="3" t="s">
        <v>18</v>
      </c>
      <c r="L23" s="3" t="s">
        <v>19</v>
      </c>
      <c r="M23" s="3" t="s">
        <v>20</v>
      </c>
      <c r="N23" s="3" t="s">
        <v>21</v>
      </c>
      <c r="O23" s="3" t="s">
        <v>22</v>
      </c>
      <c r="P23" s="3" t="s">
        <v>23</v>
      </c>
      <c r="Q23" s="3" t="s">
        <v>24</v>
      </c>
      <c r="R23" s="3" t="s">
        <v>25</v>
      </c>
    </row>
    <row r="24" spans="1:18" ht="49.95" customHeight="1" x14ac:dyDescent="0.3">
      <c r="A24" s="125" t="s">
        <v>410</v>
      </c>
      <c r="B24" s="125" t="s">
        <v>1491</v>
      </c>
      <c r="C24" s="125">
        <v>0.19791666666666671</v>
      </c>
      <c r="D24" s="125" t="s">
        <v>46</v>
      </c>
      <c r="E24" s="125" t="s">
        <v>134</v>
      </c>
      <c r="F24" s="125" t="s">
        <v>1492</v>
      </c>
      <c r="G24" s="335"/>
      <c r="H24" s="28"/>
      <c r="I24" s="29"/>
      <c r="J24" s="29"/>
      <c r="K24" s="29"/>
      <c r="L24" s="29"/>
      <c r="M24" s="29"/>
      <c r="N24" s="29"/>
      <c r="O24" s="29"/>
      <c r="P24" s="29"/>
      <c r="Q24" s="29"/>
      <c r="R24" s="30"/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  <row r="26" spans="1:18" ht="22.05" customHeight="1" x14ac:dyDescent="0.3">
      <c r="A26" s="323" t="s">
        <v>6</v>
      </c>
      <c r="B26" s="324"/>
      <c r="C26" s="324"/>
      <c r="D26" s="324"/>
      <c r="E26" s="324"/>
      <c r="F26" s="324"/>
      <c r="G26" s="2">
        <v>45991</v>
      </c>
      <c r="H26" s="323" t="s">
        <v>7</v>
      </c>
      <c r="I26" s="324"/>
      <c r="J26" s="324"/>
      <c r="K26" s="324"/>
      <c r="L26" s="324"/>
      <c r="M26" s="324"/>
      <c r="N26" s="324"/>
      <c r="O26" s="324"/>
      <c r="P26" s="324"/>
      <c r="Q26" s="324"/>
      <c r="R26" s="324"/>
    </row>
    <row r="27" spans="1:18" ht="24" customHeight="1" x14ac:dyDescent="0.3">
      <c r="A27" s="3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4" t="s">
        <v>13</v>
      </c>
      <c r="G27" s="5" t="s">
        <v>14</v>
      </c>
      <c r="H27" s="3" t="s">
        <v>15</v>
      </c>
      <c r="I27" s="3" t="s">
        <v>16</v>
      </c>
      <c r="J27" s="3" t="s">
        <v>17</v>
      </c>
      <c r="K27" s="3" t="s">
        <v>18</v>
      </c>
      <c r="L27" s="3" t="s">
        <v>19</v>
      </c>
      <c r="M27" s="3" t="s">
        <v>20</v>
      </c>
      <c r="N27" s="3" t="s">
        <v>21</v>
      </c>
      <c r="O27" s="3" t="s">
        <v>22</v>
      </c>
      <c r="P27" s="3" t="s">
        <v>23</v>
      </c>
      <c r="Q27" s="3" t="s">
        <v>24</v>
      </c>
      <c r="R27" s="3" t="s">
        <v>25</v>
      </c>
    </row>
    <row r="28" spans="1:18" ht="49.95" customHeight="1" x14ac:dyDescent="0.3">
      <c r="A28" s="6" t="s">
        <v>410</v>
      </c>
      <c r="B28" s="6" t="s">
        <v>1479</v>
      </c>
      <c r="C28" s="6">
        <v>0.91666666666666663</v>
      </c>
      <c r="D28" s="6" t="s">
        <v>46</v>
      </c>
      <c r="E28" s="6" t="s">
        <v>121</v>
      </c>
      <c r="F28" s="6" t="s">
        <v>1492</v>
      </c>
      <c r="G28" s="335"/>
      <c r="H28" s="7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ht="49.95" customHeight="1" x14ac:dyDescent="0.3">
      <c r="A29" s="133" t="s">
        <v>44</v>
      </c>
      <c r="B29" s="133" t="s">
        <v>1487</v>
      </c>
      <c r="C29" s="133">
        <v>3.472222222222222E-3</v>
      </c>
      <c r="D29" s="133" t="s">
        <v>46</v>
      </c>
      <c r="E29" s="133" t="s">
        <v>47</v>
      </c>
      <c r="F29" s="133" t="s">
        <v>886</v>
      </c>
      <c r="G29" s="328"/>
      <c r="H29" s="134" t="s">
        <v>1488</v>
      </c>
      <c r="I29" s="292">
        <v>0.35709999999999997</v>
      </c>
      <c r="J29" s="136">
        <v>60</v>
      </c>
      <c r="K29" s="137" t="s">
        <v>175</v>
      </c>
      <c r="L29" s="136">
        <v>19</v>
      </c>
      <c r="M29" s="136">
        <v>1</v>
      </c>
      <c r="N29" s="136">
        <v>5</v>
      </c>
      <c r="O29" s="137" t="s">
        <v>265</v>
      </c>
      <c r="P29" s="137">
        <v>3.472222222222222E-3</v>
      </c>
      <c r="Q29" s="136">
        <v>168</v>
      </c>
      <c r="R29" s="138" t="s">
        <v>1493</v>
      </c>
    </row>
    <row r="30" spans="1:18" ht="17.399999999999999" customHeight="1" x14ac:dyDescent="0.3">
      <c r="A30" s="360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2"/>
    </row>
    <row r="31" spans="1:18" ht="22.05" customHeight="1" x14ac:dyDescent="0.3">
      <c r="A31" s="323" t="s">
        <v>6</v>
      </c>
      <c r="B31" s="324"/>
      <c r="C31" s="324"/>
      <c r="D31" s="324"/>
      <c r="E31" s="324"/>
      <c r="F31" s="324"/>
      <c r="G31" s="2">
        <v>45992</v>
      </c>
      <c r="H31" s="323" t="s">
        <v>7</v>
      </c>
      <c r="I31" s="324"/>
      <c r="J31" s="324"/>
      <c r="K31" s="324"/>
      <c r="L31" s="324"/>
      <c r="M31" s="324"/>
      <c r="N31" s="324"/>
      <c r="O31" s="324"/>
      <c r="P31" s="324"/>
      <c r="Q31" s="324"/>
      <c r="R31" s="324"/>
    </row>
    <row r="32" spans="1:18" ht="24" customHeight="1" x14ac:dyDescent="0.3">
      <c r="A32" s="3" t="s">
        <v>8</v>
      </c>
      <c r="B32" s="3" t="s">
        <v>9</v>
      </c>
      <c r="C32" s="3" t="s">
        <v>10</v>
      </c>
      <c r="D32" s="3" t="s">
        <v>11</v>
      </c>
      <c r="E32" s="3" t="s">
        <v>12</v>
      </c>
      <c r="F32" s="4" t="s">
        <v>13</v>
      </c>
      <c r="G32" s="5" t="s">
        <v>14</v>
      </c>
      <c r="H32" s="3" t="s">
        <v>15</v>
      </c>
      <c r="I32" s="3" t="s">
        <v>16</v>
      </c>
      <c r="J32" s="3" t="s">
        <v>17</v>
      </c>
      <c r="K32" s="3" t="s">
        <v>18</v>
      </c>
      <c r="L32" s="3" t="s">
        <v>19</v>
      </c>
      <c r="M32" s="3" t="s">
        <v>20</v>
      </c>
      <c r="N32" s="3" t="s">
        <v>21</v>
      </c>
      <c r="O32" s="3" t="s">
        <v>22</v>
      </c>
      <c r="P32" s="3" t="s">
        <v>23</v>
      </c>
      <c r="Q32" s="3" t="s">
        <v>24</v>
      </c>
      <c r="R32" s="3" t="s">
        <v>25</v>
      </c>
    </row>
    <row r="33" spans="1:18" ht="49.95" customHeight="1" x14ac:dyDescent="0.3">
      <c r="A33" s="6" t="s">
        <v>456</v>
      </c>
      <c r="B33" s="6" t="s">
        <v>1494</v>
      </c>
      <c r="C33" s="6">
        <v>0.21875</v>
      </c>
      <c r="D33" s="6" t="s">
        <v>458</v>
      </c>
      <c r="E33" s="6" t="s">
        <v>123</v>
      </c>
      <c r="F33" s="6" t="s">
        <v>1495</v>
      </c>
      <c r="G33" s="335"/>
      <c r="H33" s="7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ht="49.95" customHeight="1" x14ac:dyDescent="0.3">
      <c r="A34" s="27" t="s">
        <v>456</v>
      </c>
      <c r="B34" s="27" t="s">
        <v>1494</v>
      </c>
      <c r="C34" s="27">
        <v>0.21875</v>
      </c>
      <c r="D34" s="27" t="s">
        <v>34</v>
      </c>
      <c r="E34" s="27" t="s">
        <v>124</v>
      </c>
      <c r="F34" s="27" t="s">
        <v>1496</v>
      </c>
      <c r="G34" s="328"/>
      <c r="H34" s="28"/>
      <c r="I34" s="29"/>
      <c r="J34" s="29"/>
      <c r="K34" s="29"/>
      <c r="L34" s="29"/>
      <c r="M34" s="29"/>
      <c r="N34" s="29"/>
      <c r="O34" s="29"/>
      <c r="P34" s="29"/>
      <c r="Q34" s="29"/>
      <c r="R34" s="30"/>
    </row>
    <row r="35" spans="1:18" ht="17.399999999999999" customHeight="1" x14ac:dyDescent="0.3">
      <c r="A35" s="360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2"/>
    </row>
    <row r="36" spans="1:18" ht="22.05" customHeight="1" x14ac:dyDescent="0.3">
      <c r="A36" s="323" t="s">
        <v>6</v>
      </c>
      <c r="B36" s="324"/>
      <c r="C36" s="324"/>
      <c r="D36" s="324"/>
      <c r="E36" s="324"/>
      <c r="F36" s="324"/>
      <c r="G36" s="2">
        <v>45993</v>
      </c>
      <c r="H36" s="323" t="s">
        <v>7</v>
      </c>
      <c r="I36" s="324"/>
      <c r="J36" s="324"/>
      <c r="K36" s="324"/>
      <c r="L36" s="324"/>
      <c r="M36" s="324"/>
      <c r="N36" s="324"/>
      <c r="O36" s="324"/>
      <c r="P36" s="324"/>
      <c r="Q36" s="324"/>
      <c r="R36" s="324"/>
    </row>
    <row r="37" spans="1:18" ht="24" customHeight="1" x14ac:dyDescent="0.3">
      <c r="A37" s="3" t="s">
        <v>8</v>
      </c>
      <c r="B37" s="3" t="s">
        <v>9</v>
      </c>
      <c r="C37" s="3" t="s">
        <v>10</v>
      </c>
      <c r="D37" s="3" t="s">
        <v>11</v>
      </c>
      <c r="E37" s="3" t="s">
        <v>12</v>
      </c>
      <c r="F37" s="4" t="s">
        <v>13</v>
      </c>
      <c r="G37" s="5" t="s">
        <v>14</v>
      </c>
      <c r="H37" s="3" t="s">
        <v>15</v>
      </c>
      <c r="I37" s="3" t="s">
        <v>16</v>
      </c>
      <c r="J37" s="3" t="s">
        <v>17</v>
      </c>
      <c r="K37" s="3" t="s">
        <v>18</v>
      </c>
      <c r="L37" s="3" t="s">
        <v>19</v>
      </c>
      <c r="M37" s="3" t="s">
        <v>20</v>
      </c>
      <c r="N37" s="3" t="s">
        <v>21</v>
      </c>
      <c r="O37" s="3" t="s">
        <v>22</v>
      </c>
      <c r="P37" s="3" t="s">
        <v>23</v>
      </c>
      <c r="Q37" s="3" t="s">
        <v>24</v>
      </c>
      <c r="R37" s="3" t="s">
        <v>25</v>
      </c>
    </row>
    <row r="38" spans="1:18" ht="49.95" customHeight="1" x14ac:dyDescent="0.3">
      <c r="A38" s="125" t="s">
        <v>410</v>
      </c>
      <c r="B38" s="125" t="s">
        <v>1479</v>
      </c>
      <c r="C38" s="125">
        <v>0.95833333333333337</v>
      </c>
      <c r="D38" s="125" t="s">
        <v>46</v>
      </c>
      <c r="E38" s="125" t="s">
        <v>47</v>
      </c>
      <c r="F38" s="125" t="s">
        <v>1492</v>
      </c>
      <c r="G38" s="335"/>
      <c r="H38" s="28"/>
      <c r="I38" s="29"/>
      <c r="J38" s="29"/>
      <c r="K38" s="29"/>
      <c r="L38" s="29"/>
      <c r="M38" s="29"/>
      <c r="N38" s="29"/>
      <c r="O38" s="29"/>
      <c r="P38" s="29"/>
      <c r="Q38" s="29"/>
      <c r="R38" s="30"/>
    </row>
    <row r="39" spans="1:18" ht="17.399999999999999" customHeight="1" x14ac:dyDescent="0.3">
      <c r="A39" s="360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2"/>
    </row>
    <row r="40" spans="1:18" ht="22.05" customHeight="1" x14ac:dyDescent="0.3">
      <c r="A40" s="323" t="s">
        <v>6</v>
      </c>
      <c r="B40" s="324"/>
      <c r="C40" s="324"/>
      <c r="D40" s="324"/>
      <c r="E40" s="324"/>
      <c r="F40" s="324"/>
      <c r="G40" s="2">
        <v>45994</v>
      </c>
      <c r="H40" s="323" t="s">
        <v>7</v>
      </c>
      <c r="I40" s="324"/>
      <c r="J40" s="324"/>
      <c r="K40" s="324"/>
      <c r="L40" s="324"/>
      <c r="M40" s="324"/>
      <c r="N40" s="324"/>
      <c r="O40" s="324"/>
      <c r="P40" s="324"/>
      <c r="Q40" s="324"/>
      <c r="R40" s="324"/>
    </row>
    <row r="41" spans="1:18" ht="24" customHeight="1" x14ac:dyDescent="0.3">
      <c r="A41" s="3" t="s">
        <v>8</v>
      </c>
      <c r="B41" s="3" t="s">
        <v>9</v>
      </c>
      <c r="C41" s="3" t="s">
        <v>10</v>
      </c>
      <c r="D41" s="3" t="s">
        <v>11</v>
      </c>
      <c r="E41" s="3" t="s">
        <v>12</v>
      </c>
      <c r="F41" s="4" t="s">
        <v>13</v>
      </c>
      <c r="G41" s="5" t="s">
        <v>14</v>
      </c>
      <c r="H41" s="3" t="s">
        <v>15</v>
      </c>
      <c r="I41" s="3" t="s">
        <v>16</v>
      </c>
      <c r="J41" s="3" t="s">
        <v>17</v>
      </c>
      <c r="K41" s="3" t="s">
        <v>18</v>
      </c>
      <c r="L41" s="3" t="s">
        <v>19</v>
      </c>
      <c r="M41" s="3" t="s">
        <v>20</v>
      </c>
      <c r="N41" s="3" t="s">
        <v>21</v>
      </c>
      <c r="O41" s="3" t="s">
        <v>22</v>
      </c>
      <c r="P41" s="3" t="s">
        <v>23</v>
      </c>
      <c r="Q41" s="3" t="s">
        <v>24</v>
      </c>
      <c r="R41" s="3" t="s">
        <v>25</v>
      </c>
    </row>
    <row r="42" spans="1:18" ht="49.95" customHeight="1" x14ac:dyDescent="0.3">
      <c r="A42" s="6" t="s">
        <v>456</v>
      </c>
      <c r="B42" s="6" t="s">
        <v>1494</v>
      </c>
      <c r="C42" s="6">
        <v>0.21875</v>
      </c>
      <c r="D42" s="6" t="s">
        <v>458</v>
      </c>
      <c r="E42" s="6" t="s">
        <v>123</v>
      </c>
      <c r="F42" s="6" t="s">
        <v>1495</v>
      </c>
      <c r="G42" s="335"/>
      <c r="H42" s="7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ht="49.95" customHeight="1" x14ac:dyDescent="0.3">
      <c r="A43" s="27" t="s">
        <v>456</v>
      </c>
      <c r="B43" s="27" t="s">
        <v>1494</v>
      </c>
      <c r="C43" s="27">
        <v>0.21875</v>
      </c>
      <c r="D43" s="27" t="s">
        <v>34</v>
      </c>
      <c r="E43" s="27" t="s">
        <v>124</v>
      </c>
      <c r="F43" s="27" t="s">
        <v>1496</v>
      </c>
      <c r="G43" s="328"/>
      <c r="H43" s="28"/>
      <c r="I43" s="29"/>
      <c r="J43" s="29"/>
      <c r="K43" s="29"/>
      <c r="L43" s="29"/>
      <c r="M43" s="29"/>
      <c r="N43" s="29"/>
      <c r="O43" s="29"/>
      <c r="P43" s="29"/>
      <c r="Q43" s="29"/>
      <c r="R43" s="30"/>
    </row>
    <row r="44" spans="1:18" ht="17.399999999999999" customHeight="1" x14ac:dyDescent="0.3">
      <c r="A44" s="360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2"/>
    </row>
    <row r="45" spans="1:18" ht="22.05" customHeight="1" x14ac:dyDescent="0.3">
      <c r="A45" s="323" t="s">
        <v>6</v>
      </c>
      <c r="B45" s="324"/>
      <c r="C45" s="324"/>
      <c r="D45" s="324"/>
      <c r="E45" s="324"/>
      <c r="F45" s="324"/>
      <c r="G45" s="2">
        <v>45995</v>
      </c>
      <c r="H45" s="323" t="s">
        <v>7</v>
      </c>
      <c r="I45" s="324"/>
      <c r="J45" s="324"/>
      <c r="K45" s="324"/>
      <c r="L45" s="324"/>
      <c r="M45" s="324"/>
      <c r="N45" s="324"/>
      <c r="O45" s="324"/>
      <c r="P45" s="324"/>
      <c r="Q45" s="324"/>
      <c r="R45" s="324"/>
    </row>
    <row r="46" spans="1:18" ht="24" customHeight="1" x14ac:dyDescent="0.3">
      <c r="A46" s="3" t="s">
        <v>8</v>
      </c>
      <c r="B46" s="3" t="s">
        <v>9</v>
      </c>
      <c r="C46" s="3" t="s">
        <v>10</v>
      </c>
      <c r="D46" s="3" t="s">
        <v>11</v>
      </c>
      <c r="E46" s="3" t="s">
        <v>12</v>
      </c>
      <c r="F46" s="4" t="s">
        <v>13</v>
      </c>
      <c r="G46" s="5" t="s">
        <v>14</v>
      </c>
      <c r="H46" s="3" t="s">
        <v>15</v>
      </c>
      <c r="I46" s="3" t="s">
        <v>16</v>
      </c>
      <c r="J46" s="3" t="s">
        <v>17</v>
      </c>
      <c r="K46" s="3" t="s">
        <v>18</v>
      </c>
      <c r="L46" s="3" t="s">
        <v>19</v>
      </c>
      <c r="M46" s="3" t="s">
        <v>20</v>
      </c>
      <c r="N46" s="3" t="s">
        <v>21</v>
      </c>
      <c r="O46" s="3" t="s">
        <v>22</v>
      </c>
      <c r="P46" s="3" t="s">
        <v>23</v>
      </c>
      <c r="Q46" s="3" t="s">
        <v>24</v>
      </c>
      <c r="R46" s="3" t="s">
        <v>25</v>
      </c>
    </row>
    <row r="47" spans="1:18" ht="49.95" customHeight="1" x14ac:dyDescent="0.3">
      <c r="A47" s="44" t="s">
        <v>44</v>
      </c>
      <c r="B47" s="44" t="s">
        <v>1484</v>
      </c>
      <c r="C47" s="44">
        <v>4.5138888888888888E-2</v>
      </c>
      <c r="D47" s="44" t="s">
        <v>46</v>
      </c>
      <c r="E47" s="44" t="s">
        <v>47</v>
      </c>
      <c r="F47" s="44" t="s">
        <v>886</v>
      </c>
      <c r="G47" s="335"/>
      <c r="H47" s="45" t="s">
        <v>1485</v>
      </c>
      <c r="I47" s="191">
        <v>0.1845</v>
      </c>
      <c r="J47" s="47">
        <v>31</v>
      </c>
      <c r="K47" s="48" t="s">
        <v>175</v>
      </c>
      <c r="L47" s="47">
        <v>14</v>
      </c>
      <c r="M47" s="47">
        <v>3</v>
      </c>
      <c r="N47" s="47">
        <v>1</v>
      </c>
      <c r="O47" s="48" t="s">
        <v>265</v>
      </c>
      <c r="P47" s="48">
        <v>4.5138888888888888E-2</v>
      </c>
      <c r="Q47" s="47">
        <v>168</v>
      </c>
      <c r="R47" s="49" t="s">
        <v>1497</v>
      </c>
    </row>
    <row r="48" spans="1:18" ht="49.95" customHeight="1" x14ac:dyDescent="0.3">
      <c r="A48" s="50" t="s">
        <v>410</v>
      </c>
      <c r="B48" s="50" t="s">
        <v>1479</v>
      </c>
      <c r="C48" s="50">
        <v>0.95833333333333337</v>
      </c>
      <c r="D48" s="50" t="s">
        <v>46</v>
      </c>
      <c r="E48" s="50" t="s">
        <v>29</v>
      </c>
      <c r="F48" s="50" t="s">
        <v>952</v>
      </c>
      <c r="G48" s="328"/>
      <c r="H48" s="28"/>
      <c r="I48" s="29"/>
      <c r="J48" s="29"/>
      <c r="K48" s="29"/>
      <c r="L48" s="29"/>
      <c r="M48" s="29"/>
      <c r="N48" s="29"/>
      <c r="O48" s="29"/>
      <c r="P48" s="29"/>
      <c r="Q48" s="29"/>
      <c r="R48" s="30"/>
    </row>
    <row r="49" spans="1:18" ht="17.399999999999999" customHeight="1" x14ac:dyDescent="0.3">
      <c r="A49" s="360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2"/>
    </row>
    <row r="50" spans="1:18" ht="22.05" customHeight="1" x14ac:dyDescent="0.3">
      <c r="A50" s="323" t="s">
        <v>6</v>
      </c>
      <c r="B50" s="324"/>
      <c r="C50" s="324"/>
      <c r="D50" s="324"/>
      <c r="E50" s="324"/>
      <c r="F50" s="324"/>
      <c r="G50" s="2">
        <v>45996</v>
      </c>
      <c r="H50" s="323" t="s">
        <v>7</v>
      </c>
      <c r="I50" s="324"/>
      <c r="J50" s="324"/>
      <c r="K50" s="324"/>
      <c r="L50" s="324"/>
      <c r="M50" s="324"/>
      <c r="N50" s="324"/>
      <c r="O50" s="324"/>
      <c r="P50" s="324"/>
      <c r="Q50" s="324"/>
      <c r="R50" s="324"/>
    </row>
    <row r="51" spans="1:18" ht="24" customHeight="1" x14ac:dyDescent="0.3">
      <c r="A51" s="3" t="s">
        <v>8</v>
      </c>
      <c r="B51" s="3" t="s">
        <v>9</v>
      </c>
      <c r="C51" s="3" t="s">
        <v>10</v>
      </c>
      <c r="D51" s="3" t="s">
        <v>11</v>
      </c>
      <c r="E51" s="3" t="s">
        <v>12</v>
      </c>
      <c r="F51" s="4" t="s">
        <v>13</v>
      </c>
      <c r="G51" s="5" t="s">
        <v>14</v>
      </c>
      <c r="H51" s="3" t="s">
        <v>15</v>
      </c>
      <c r="I51" s="3" t="s">
        <v>16</v>
      </c>
      <c r="J51" s="3" t="s">
        <v>17</v>
      </c>
      <c r="K51" s="3" t="s">
        <v>18</v>
      </c>
      <c r="L51" s="3" t="s">
        <v>19</v>
      </c>
      <c r="M51" s="3" t="s">
        <v>20</v>
      </c>
      <c r="N51" s="3" t="s">
        <v>21</v>
      </c>
      <c r="O51" s="3" t="s">
        <v>22</v>
      </c>
      <c r="P51" s="3" t="s">
        <v>23</v>
      </c>
      <c r="Q51" s="3" t="s">
        <v>24</v>
      </c>
      <c r="R51" s="3" t="s">
        <v>25</v>
      </c>
    </row>
    <row r="52" spans="1:18" ht="49.95" customHeight="1" x14ac:dyDescent="0.3">
      <c r="A52" s="149" t="s">
        <v>44</v>
      </c>
      <c r="B52" s="149" t="s">
        <v>1487</v>
      </c>
      <c r="C52" s="149">
        <v>3.472222222222222E-3</v>
      </c>
      <c r="D52" s="149" t="s">
        <v>46</v>
      </c>
      <c r="E52" s="149" t="s">
        <v>29</v>
      </c>
      <c r="F52" s="149" t="s">
        <v>1498</v>
      </c>
      <c r="G52" s="335"/>
      <c r="H52" s="64" t="s">
        <v>1488</v>
      </c>
      <c r="I52" s="308">
        <v>0.33929999999999999</v>
      </c>
      <c r="J52" s="66">
        <v>57</v>
      </c>
      <c r="K52" s="67" t="s">
        <v>175</v>
      </c>
      <c r="L52" s="66">
        <v>24</v>
      </c>
      <c r="M52" s="66">
        <v>5</v>
      </c>
      <c r="N52" s="66">
        <v>1</v>
      </c>
      <c r="O52" s="67" t="s">
        <v>260</v>
      </c>
      <c r="P52" s="67">
        <v>3.472222222222222E-3</v>
      </c>
      <c r="Q52" s="66">
        <v>168</v>
      </c>
      <c r="R52" s="68" t="s">
        <v>1499</v>
      </c>
    </row>
    <row r="53" spans="1:18" ht="17.399999999999999" customHeight="1" x14ac:dyDescent="0.3">
      <c r="A53" s="360"/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2"/>
    </row>
    <row r="54" spans="1:18" ht="22.05" customHeight="1" x14ac:dyDescent="0.3">
      <c r="A54" s="323" t="s">
        <v>6</v>
      </c>
      <c r="B54" s="324"/>
      <c r="C54" s="324"/>
      <c r="D54" s="324"/>
      <c r="E54" s="324"/>
      <c r="F54" s="324"/>
      <c r="G54" s="2">
        <v>45997</v>
      </c>
      <c r="H54" s="323" t="s">
        <v>7</v>
      </c>
      <c r="I54" s="324"/>
      <c r="J54" s="324"/>
      <c r="K54" s="324"/>
      <c r="L54" s="324"/>
      <c r="M54" s="324"/>
      <c r="N54" s="324"/>
      <c r="O54" s="324"/>
      <c r="P54" s="324"/>
      <c r="Q54" s="324"/>
      <c r="R54" s="324"/>
    </row>
    <row r="55" spans="1:18" ht="24" customHeight="1" x14ac:dyDescent="0.3">
      <c r="A55" s="3" t="s">
        <v>8</v>
      </c>
      <c r="B55" s="3" t="s">
        <v>9</v>
      </c>
      <c r="C55" s="3" t="s">
        <v>10</v>
      </c>
      <c r="D55" s="3" t="s">
        <v>11</v>
      </c>
      <c r="E55" s="3" t="s">
        <v>12</v>
      </c>
      <c r="F55" s="4" t="s">
        <v>13</v>
      </c>
      <c r="G55" s="5" t="s">
        <v>14</v>
      </c>
      <c r="H55" s="3" t="s">
        <v>15</v>
      </c>
      <c r="I55" s="3" t="s">
        <v>16</v>
      </c>
      <c r="J55" s="3" t="s">
        <v>17</v>
      </c>
      <c r="K55" s="3" t="s">
        <v>18</v>
      </c>
      <c r="L55" s="3" t="s">
        <v>19</v>
      </c>
      <c r="M55" s="3" t="s">
        <v>20</v>
      </c>
      <c r="N55" s="3" t="s">
        <v>21</v>
      </c>
      <c r="O55" s="3" t="s">
        <v>22</v>
      </c>
      <c r="P55" s="3" t="s">
        <v>23</v>
      </c>
      <c r="Q55" s="3" t="s">
        <v>24</v>
      </c>
      <c r="R55" s="3" t="s">
        <v>25</v>
      </c>
    </row>
    <row r="56" spans="1:18" ht="49.95" customHeight="1" x14ac:dyDescent="0.3">
      <c r="A56" s="125" t="s">
        <v>410</v>
      </c>
      <c r="B56" s="125" t="s">
        <v>1491</v>
      </c>
      <c r="C56" s="125">
        <v>0.19791666666666671</v>
      </c>
      <c r="D56" s="125" t="s">
        <v>46</v>
      </c>
      <c r="E56" s="125" t="s">
        <v>121</v>
      </c>
      <c r="F56" s="125" t="s">
        <v>1451</v>
      </c>
      <c r="G56" s="335"/>
      <c r="H56" s="28"/>
      <c r="I56" s="29"/>
      <c r="J56" s="29"/>
      <c r="K56" s="29"/>
      <c r="L56" s="29"/>
      <c r="M56" s="29"/>
      <c r="N56" s="29"/>
      <c r="O56" s="29"/>
      <c r="P56" s="29"/>
      <c r="Q56" s="29"/>
      <c r="R56" s="30"/>
    </row>
    <row r="57" spans="1:18" ht="17.399999999999999" customHeight="1" x14ac:dyDescent="0.3">
      <c r="A57" s="360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2"/>
    </row>
    <row r="58" spans="1:18" ht="22.05" customHeight="1" x14ac:dyDescent="0.3">
      <c r="A58" s="323" t="s">
        <v>6</v>
      </c>
      <c r="B58" s="324"/>
      <c r="C58" s="324"/>
      <c r="D58" s="324"/>
      <c r="E58" s="324"/>
      <c r="F58" s="324"/>
      <c r="G58" s="2">
        <v>45998</v>
      </c>
      <c r="H58" s="323" t="s">
        <v>7</v>
      </c>
      <c r="I58" s="324"/>
      <c r="J58" s="324"/>
      <c r="K58" s="324"/>
      <c r="L58" s="324"/>
      <c r="M58" s="324"/>
      <c r="N58" s="324"/>
      <c r="O58" s="324"/>
      <c r="P58" s="324"/>
      <c r="Q58" s="324"/>
      <c r="R58" s="324"/>
    </row>
    <row r="59" spans="1:18" ht="24" customHeight="1" x14ac:dyDescent="0.3">
      <c r="A59" s="3" t="s">
        <v>8</v>
      </c>
      <c r="B59" s="3" t="s">
        <v>9</v>
      </c>
      <c r="C59" s="3" t="s">
        <v>10</v>
      </c>
      <c r="D59" s="3" t="s">
        <v>11</v>
      </c>
      <c r="E59" s="3" t="s">
        <v>12</v>
      </c>
      <c r="F59" s="4" t="s">
        <v>13</v>
      </c>
      <c r="G59" s="5" t="s">
        <v>14</v>
      </c>
      <c r="H59" s="3" t="s">
        <v>15</v>
      </c>
      <c r="I59" s="3" t="s">
        <v>16</v>
      </c>
      <c r="J59" s="3" t="s">
        <v>17</v>
      </c>
      <c r="K59" s="3" t="s">
        <v>18</v>
      </c>
      <c r="L59" s="3" t="s">
        <v>19</v>
      </c>
      <c r="M59" s="3" t="s">
        <v>20</v>
      </c>
      <c r="N59" s="3" t="s">
        <v>21</v>
      </c>
      <c r="O59" s="3" t="s">
        <v>22</v>
      </c>
      <c r="P59" s="3" t="s">
        <v>23</v>
      </c>
      <c r="Q59" s="3" t="s">
        <v>24</v>
      </c>
      <c r="R59" s="3" t="s">
        <v>25</v>
      </c>
    </row>
    <row r="60" spans="1:18" ht="49.95" customHeight="1" x14ac:dyDescent="0.3">
      <c r="A60" s="6" t="s">
        <v>410</v>
      </c>
      <c r="B60" s="6" t="s">
        <v>1479</v>
      </c>
      <c r="C60" s="6">
        <v>0.91666666666666663</v>
      </c>
      <c r="D60" s="6" t="s">
        <v>46</v>
      </c>
      <c r="E60" s="6" t="s">
        <v>102</v>
      </c>
      <c r="F60" s="6" t="s">
        <v>1492</v>
      </c>
      <c r="G60" s="335"/>
      <c r="H60" s="7"/>
      <c r="I60" s="8"/>
      <c r="J60" s="8"/>
      <c r="K60" s="8"/>
      <c r="L60" s="8"/>
      <c r="M60" s="8"/>
      <c r="N60" s="8"/>
      <c r="O60" s="8"/>
      <c r="P60" s="8"/>
      <c r="Q60" s="8"/>
      <c r="R60" s="9"/>
    </row>
    <row r="61" spans="1:18" ht="49.95" customHeight="1" x14ac:dyDescent="0.3">
      <c r="A61" s="32" t="s">
        <v>44</v>
      </c>
      <c r="B61" s="32" t="s">
        <v>1487</v>
      </c>
      <c r="C61" s="32">
        <v>3.472222222222222E-3</v>
      </c>
      <c r="D61" s="32" t="s">
        <v>46</v>
      </c>
      <c r="E61" s="32" t="s">
        <v>47</v>
      </c>
      <c r="F61" s="32" t="s">
        <v>886</v>
      </c>
      <c r="G61" s="328"/>
      <c r="H61" s="33" t="s">
        <v>1488</v>
      </c>
      <c r="I61" s="291">
        <v>0.11899999999999999</v>
      </c>
      <c r="J61" s="35">
        <v>20</v>
      </c>
      <c r="K61" s="36" t="s">
        <v>940</v>
      </c>
      <c r="L61" s="35">
        <v>0</v>
      </c>
      <c r="M61" s="35">
        <v>0</v>
      </c>
      <c r="N61" s="35">
        <v>0</v>
      </c>
      <c r="O61" s="36" t="s">
        <v>265</v>
      </c>
      <c r="P61" s="36">
        <v>3.472222222222222E-3</v>
      </c>
      <c r="Q61" s="35">
        <v>168</v>
      </c>
      <c r="R61" s="37" t="s">
        <v>1500</v>
      </c>
    </row>
    <row r="62" spans="1:18" ht="17.399999999999999" customHeight="1" x14ac:dyDescent="0.3">
      <c r="A62" s="360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2"/>
    </row>
    <row r="63" spans="1:18" ht="17.399999999999999" customHeight="1" x14ac:dyDescent="0.3">
      <c r="A63" s="360"/>
      <c r="B63" s="361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2"/>
    </row>
    <row r="64" spans="1:18" ht="22.05" customHeight="1" x14ac:dyDescent="0.3">
      <c r="A64" s="323" t="s">
        <v>6</v>
      </c>
      <c r="B64" s="324"/>
      <c r="C64" s="324"/>
      <c r="D64" s="324"/>
      <c r="E64" s="324"/>
      <c r="F64" s="324"/>
      <c r="G64" s="2">
        <v>46000</v>
      </c>
      <c r="H64" s="323" t="s">
        <v>7</v>
      </c>
      <c r="I64" s="324"/>
      <c r="J64" s="324"/>
      <c r="K64" s="324"/>
      <c r="L64" s="324"/>
      <c r="M64" s="324"/>
      <c r="N64" s="324"/>
      <c r="O64" s="324"/>
      <c r="P64" s="324"/>
      <c r="Q64" s="324"/>
      <c r="R64" s="324"/>
    </row>
    <row r="65" spans="1:18" ht="24" customHeight="1" x14ac:dyDescent="0.3">
      <c r="A65" s="3" t="s">
        <v>8</v>
      </c>
      <c r="B65" s="3" t="s">
        <v>9</v>
      </c>
      <c r="C65" s="3" t="s">
        <v>10</v>
      </c>
      <c r="D65" s="3" t="s">
        <v>11</v>
      </c>
      <c r="E65" s="3" t="s">
        <v>12</v>
      </c>
      <c r="F65" s="4" t="s">
        <v>13</v>
      </c>
      <c r="G65" s="5" t="s">
        <v>14</v>
      </c>
      <c r="H65" s="3" t="s">
        <v>15</v>
      </c>
      <c r="I65" s="3" t="s">
        <v>16</v>
      </c>
      <c r="J65" s="3" t="s">
        <v>17</v>
      </c>
      <c r="K65" s="3" t="s">
        <v>18</v>
      </c>
      <c r="L65" s="3" t="s">
        <v>19</v>
      </c>
      <c r="M65" s="3" t="s">
        <v>20</v>
      </c>
      <c r="N65" s="3" t="s">
        <v>21</v>
      </c>
      <c r="O65" s="3" t="s">
        <v>22</v>
      </c>
      <c r="P65" s="3" t="s">
        <v>23</v>
      </c>
      <c r="Q65" s="3" t="s">
        <v>24</v>
      </c>
      <c r="R65" s="3" t="s">
        <v>25</v>
      </c>
    </row>
    <row r="66" spans="1:18" ht="49.95" customHeight="1" x14ac:dyDescent="0.3">
      <c r="A66" s="6" t="s">
        <v>456</v>
      </c>
      <c r="B66" s="6" t="s">
        <v>1481</v>
      </c>
      <c r="C66" s="6">
        <v>0.2951388888888889</v>
      </c>
      <c r="D66" s="6" t="s">
        <v>458</v>
      </c>
      <c r="E66" s="6" t="s">
        <v>123</v>
      </c>
      <c r="F66" s="6" t="s">
        <v>1495</v>
      </c>
      <c r="G66" s="335"/>
      <c r="H66" s="7"/>
      <c r="I66" s="8"/>
      <c r="J66" s="8"/>
      <c r="K66" s="8"/>
      <c r="L66" s="8"/>
      <c r="M66" s="8"/>
      <c r="N66" s="8"/>
      <c r="O66" s="8"/>
      <c r="P66" s="8"/>
      <c r="Q66" s="8"/>
      <c r="R66" s="9"/>
    </row>
    <row r="67" spans="1:18" ht="49.95" customHeight="1" x14ac:dyDescent="0.3">
      <c r="A67" s="10" t="s">
        <v>456</v>
      </c>
      <c r="B67" s="10" t="s">
        <v>1481</v>
      </c>
      <c r="C67" s="10">
        <v>0.2951388888888889</v>
      </c>
      <c r="D67" s="10" t="s">
        <v>34</v>
      </c>
      <c r="E67" s="10" t="s">
        <v>124</v>
      </c>
      <c r="F67" s="10" t="s">
        <v>1496</v>
      </c>
      <c r="G67" s="328"/>
      <c r="H67" s="7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ht="49.95" customHeight="1" x14ac:dyDescent="0.3">
      <c r="A68" s="50" t="s">
        <v>410</v>
      </c>
      <c r="B68" s="50" t="s">
        <v>1479</v>
      </c>
      <c r="C68" s="50">
        <v>0.95833333333333337</v>
      </c>
      <c r="D68" s="50" t="s">
        <v>46</v>
      </c>
      <c r="E68" s="50" t="s">
        <v>102</v>
      </c>
      <c r="F68" s="50" t="s">
        <v>1492</v>
      </c>
      <c r="G68" s="328"/>
      <c r="H68" s="28"/>
      <c r="I68" s="29"/>
      <c r="J68" s="29"/>
      <c r="K68" s="29"/>
      <c r="L68" s="29"/>
      <c r="M68" s="29"/>
      <c r="N68" s="29"/>
      <c r="O68" s="29"/>
      <c r="P68" s="29"/>
      <c r="Q68" s="29"/>
      <c r="R68" s="30"/>
    </row>
    <row r="69" spans="1:18" ht="17.399999999999999" customHeight="1" x14ac:dyDescent="0.3">
      <c r="A69" s="360"/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2"/>
    </row>
    <row r="70" spans="1:18" ht="22.05" customHeight="1" x14ac:dyDescent="0.3">
      <c r="A70" s="323" t="s">
        <v>6</v>
      </c>
      <c r="B70" s="324"/>
      <c r="C70" s="324"/>
      <c r="D70" s="324"/>
      <c r="E70" s="324"/>
      <c r="F70" s="324"/>
      <c r="G70" s="2">
        <v>46001</v>
      </c>
      <c r="H70" s="323" t="s">
        <v>7</v>
      </c>
      <c r="I70" s="324"/>
      <c r="J70" s="324"/>
      <c r="K70" s="324"/>
      <c r="L70" s="324"/>
      <c r="M70" s="324"/>
      <c r="N70" s="324"/>
      <c r="O70" s="324"/>
      <c r="P70" s="324"/>
      <c r="Q70" s="324"/>
      <c r="R70" s="324"/>
    </row>
    <row r="71" spans="1:18" ht="24" customHeight="1" x14ac:dyDescent="0.3">
      <c r="A71" s="3" t="s">
        <v>8</v>
      </c>
      <c r="B71" s="3" t="s">
        <v>9</v>
      </c>
      <c r="C71" s="3" t="s">
        <v>10</v>
      </c>
      <c r="D71" s="3" t="s">
        <v>11</v>
      </c>
      <c r="E71" s="3" t="s">
        <v>12</v>
      </c>
      <c r="F71" s="4" t="s">
        <v>13</v>
      </c>
      <c r="G71" s="5" t="s">
        <v>14</v>
      </c>
      <c r="H71" s="3" t="s">
        <v>15</v>
      </c>
      <c r="I71" s="3" t="s">
        <v>16</v>
      </c>
      <c r="J71" s="3" t="s">
        <v>17</v>
      </c>
      <c r="K71" s="3" t="s">
        <v>18</v>
      </c>
      <c r="L71" s="3" t="s">
        <v>19</v>
      </c>
      <c r="M71" s="3" t="s">
        <v>20</v>
      </c>
      <c r="N71" s="3" t="s">
        <v>21</v>
      </c>
      <c r="O71" s="3" t="s">
        <v>22</v>
      </c>
      <c r="P71" s="3" t="s">
        <v>23</v>
      </c>
      <c r="Q71" s="3" t="s">
        <v>24</v>
      </c>
      <c r="R71" s="3" t="s">
        <v>25</v>
      </c>
    </row>
    <row r="72" spans="1:18" ht="49.95" customHeight="1" x14ac:dyDescent="0.3">
      <c r="A72" s="6" t="s">
        <v>456</v>
      </c>
      <c r="B72" s="6" t="s">
        <v>1494</v>
      </c>
      <c r="C72" s="6">
        <v>0.21875</v>
      </c>
      <c r="D72" s="6" t="s">
        <v>458</v>
      </c>
      <c r="E72" s="6" t="s">
        <v>123</v>
      </c>
      <c r="F72" s="6" t="s">
        <v>1495</v>
      </c>
      <c r="G72" s="335"/>
      <c r="H72" s="7"/>
      <c r="I72" s="8"/>
      <c r="J72" s="8"/>
      <c r="K72" s="8"/>
      <c r="L72" s="8"/>
      <c r="M72" s="8"/>
      <c r="N72" s="8"/>
      <c r="O72" s="8"/>
      <c r="P72" s="8"/>
      <c r="Q72" s="8"/>
      <c r="R72" s="9"/>
    </row>
    <row r="73" spans="1:18" ht="49.95" customHeight="1" x14ac:dyDescent="0.3">
      <c r="A73" s="27" t="s">
        <v>456</v>
      </c>
      <c r="B73" s="27" t="s">
        <v>1494</v>
      </c>
      <c r="C73" s="27">
        <v>0.21875</v>
      </c>
      <c r="D73" s="27" t="s">
        <v>34</v>
      </c>
      <c r="E73" s="27" t="s">
        <v>124</v>
      </c>
      <c r="F73" s="27" t="s">
        <v>1496</v>
      </c>
      <c r="G73" s="328"/>
      <c r="H73" s="28"/>
      <c r="I73" s="29"/>
      <c r="J73" s="29"/>
      <c r="K73" s="29"/>
      <c r="L73" s="29"/>
      <c r="M73" s="29"/>
      <c r="N73" s="29"/>
      <c r="O73" s="29"/>
      <c r="P73" s="29"/>
      <c r="Q73" s="29"/>
      <c r="R73" s="30"/>
    </row>
  </sheetData>
  <mergeCells count="64">
    <mergeCell ref="G72:G73"/>
    <mergeCell ref="H22:R22"/>
    <mergeCell ref="A64:F64"/>
    <mergeCell ref="G66:G68"/>
    <mergeCell ref="A11:F11"/>
    <mergeCell ref="A30:R30"/>
    <mergeCell ref="A39:R39"/>
    <mergeCell ref="A15:R15"/>
    <mergeCell ref="A36:F36"/>
    <mergeCell ref="G47:G48"/>
    <mergeCell ref="A49:R49"/>
    <mergeCell ref="A45:F45"/>
    <mergeCell ref="A70:F70"/>
    <mergeCell ref="G24"/>
    <mergeCell ref="G18:G20"/>
    <mergeCell ref="H70:R70"/>
    <mergeCell ref="A53:R53"/>
    <mergeCell ref="H11:R11"/>
    <mergeCell ref="G33:G34"/>
    <mergeCell ref="A63:R63"/>
    <mergeCell ref="H16:R16"/>
    <mergeCell ref="G60:G61"/>
    <mergeCell ref="A31:F31"/>
    <mergeCell ref="H45:R45"/>
    <mergeCell ref="A58:F58"/>
    <mergeCell ref="A40:F40"/>
    <mergeCell ref="A44:R44"/>
    <mergeCell ref="G38"/>
    <mergeCell ref="G2:J2"/>
    <mergeCell ref="A4:F4"/>
    <mergeCell ref="H36:R36"/>
    <mergeCell ref="A35:R35"/>
    <mergeCell ref="N1:R1"/>
    <mergeCell ref="A10:R10"/>
    <mergeCell ref="K2:R2"/>
    <mergeCell ref="A9:R9"/>
    <mergeCell ref="G6:G8"/>
    <mergeCell ref="G13:G14"/>
    <mergeCell ref="G42:G43"/>
    <mergeCell ref="H54:R54"/>
    <mergeCell ref="H1:L1"/>
    <mergeCell ref="A1:E1"/>
    <mergeCell ref="A50:F50"/>
    <mergeCell ref="A26:F26"/>
    <mergeCell ref="H4:R4"/>
    <mergeCell ref="H50:R50"/>
    <mergeCell ref="H40:R40"/>
    <mergeCell ref="A2:F2"/>
    <mergeCell ref="A3:R3"/>
    <mergeCell ref="A21:R21"/>
    <mergeCell ref="H31:R31"/>
    <mergeCell ref="G52"/>
    <mergeCell ref="G28:G29"/>
    <mergeCell ref="A16:F16"/>
    <mergeCell ref="A54:F54"/>
    <mergeCell ref="H26:R26"/>
    <mergeCell ref="A69:R69"/>
    <mergeCell ref="A25:R25"/>
    <mergeCell ref="H58:R58"/>
    <mergeCell ref="A57:R57"/>
    <mergeCell ref="G56"/>
    <mergeCell ref="H64:R64"/>
    <mergeCell ref="A22:F22"/>
    <mergeCell ref="A62:R6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8"/>
  <sheetViews>
    <sheetView workbookViewId="0"/>
  </sheetViews>
  <sheetFormatPr defaultRowHeight="15.6" outlineLevelCol="1" x14ac:dyDescent="0.3"/>
  <cols>
    <col min="1" max="1" width="9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109375" style="343" bestFit="1" customWidth="1"/>
    <col min="6" max="6" width="4.21875" style="343" bestFit="1" customWidth="1"/>
    <col min="7" max="7" width="10" style="343" bestFit="1" customWidth="1"/>
    <col min="8" max="8" width="8.5546875" style="343" bestFit="1" customWidth="1"/>
    <col min="9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8" width="3.88671875" style="343" bestFit="1" customWidth="1"/>
    <col min="29" max="29" width="4.2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240</v>
      </c>
      <c r="B2" s="345">
        <v>45988</v>
      </c>
      <c r="C2" s="346" t="s">
        <v>1485</v>
      </c>
      <c r="D2" s="347" t="s">
        <v>792</v>
      </c>
      <c r="E2" s="346" t="s">
        <v>1478</v>
      </c>
      <c r="F2" s="346" t="s">
        <v>214</v>
      </c>
      <c r="G2" s="348">
        <v>0.45240000000000002</v>
      </c>
      <c r="H2" s="349">
        <v>168</v>
      </c>
      <c r="I2" s="349">
        <v>76</v>
      </c>
      <c r="J2" s="349">
        <v>0</v>
      </c>
      <c r="K2" s="346" t="s">
        <v>215</v>
      </c>
      <c r="L2" s="350" t="s">
        <v>175</v>
      </c>
      <c r="M2" s="349">
        <v>11</v>
      </c>
      <c r="N2" s="349">
        <v>6</v>
      </c>
      <c r="O2" s="349">
        <v>53</v>
      </c>
      <c r="P2" s="346" t="s">
        <v>387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345</v>
      </c>
      <c r="AA2" s="349" t="s">
        <v>259</v>
      </c>
      <c r="AB2" s="349" t="s">
        <v>1465</v>
      </c>
      <c r="AC2" s="349" t="s">
        <v>1501</v>
      </c>
      <c r="AD2" s="342"/>
      <c r="AE2" s="349" t="s">
        <v>586</v>
      </c>
      <c r="AF2" s="342"/>
      <c r="AG2" s="342"/>
      <c r="AH2" s="342"/>
      <c r="AI2" s="342"/>
      <c r="AJ2" s="342"/>
    </row>
    <row r="3" spans="1:36" x14ac:dyDescent="0.3">
      <c r="A3" s="344" t="s">
        <v>724</v>
      </c>
      <c r="B3" s="345">
        <v>45989</v>
      </c>
      <c r="C3" s="346" t="s">
        <v>1488</v>
      </c>
      <c r="D3" s="347" t="s">
        <v>1502</v>
      </c>
      <c r="E3" s="346" t="s">
        <v>1478</v>
      </c>
      <c r="F3" s="346" t="s">
        <v>214</v>
      </c>
      <c r="G3" s="348">
        <v>0.41070000000000001</v>
      </c>
      <c r="H3" s="349">
        <v>168</v>
      </c>
      <c r="I3" s="349">
        <v>69</v>
      </c>
      <c r="J3" s="349">
        <v>0</v>
      </c>
      <c r="K3" s="346" t="s">
        <v>215</v>
      </c>
      <c r="L3" s="350" t="s">
        <v>175</v>
      </c>
      <c r="M3" s="349">
        <v>3</v>
      </c>
      <c r="N3" s="349">
        <v>5</v>
      </c>
      <c r="O3" s="349">
        <v>33</v>
      </c>
      <c r="P3" s="346" t="s">
        <v>265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9" t="s">
        <v>738</v>
      </c>
      <c r="AB3" s="349" t="s">
        <v>339</v>
      </c>
      <c r="AC3" s="349" t="s">
        <v>1503</v>
      </c>
      <c r="AD3" s="349" t="s">
        <v>364</v>
      </c>
      <c r="AE3" s="349" t="s">
        <v>228</v>
      </c>
      <c r="AF3" s="342"/>
      <c r="AG3" s="342"/>
      <c r="AH3" s="342"/>
      <c r="AI3" s="342"/>
      <c r="AJ3" s="342"/>
    </row>
    <row r="4" spans="1:36" x14ac:dyDescent="0.3">
      <c r="A4" s="344" t="s">
        <v>254</v>
      </c>
      <c r="B4" s="345">
        <v>45991</v>
      </c>
      <c r="C4" s="346" t="s">
        <v>1488</v>
      </c>
      <c r="D4" s="347" t="s">
        <v>1502</v>
      </c>
      <c r="E4" s="346" t="s">
        <v>1478</v>
      </c>
      <c r="F4" s="346" t="s">
        <v>214</v>
      </c>
      <c r="G4" s="348">
        <v>0.35709999999999997</v>
      </c>
      <c r="H4" s="349">
        <v>168</v>
      </c>
      <c r="I4" s="349">
        <v>60</v>
      </c>
      <c r="J4" s="349">
        <v>0</v>
      </c>
      <c r="K4" s="346" t="s">
        <v>215</v>
      </c>
      <c r="L4" s="350" t="s">
        <v>175</v>
      </c>
      <c r="M4" s="349">
        <v>1</v>
      </c>
      <c r="N4" s="349">
        <v>5</v>
      </c>
      <c r="O4" s="349">
        <v>19</v>
      </c>
      <c r="P4" s="346" t="s">
        <v>265</v>
      </c>
      <c r="Q4" s="342"/>
      <c r="R4" s="342"/>
      <c r="S4" s="342"/>
      <c r="T4" s="342"/>
      <c r="U4" s="342"/>
      <c r="V4" s="342"/>
      <c r="W4" s="342"/>
      <c r="X4" s="342"/>
      <c r="Y4" s="342"/>
      <c r="Z4" s="349" t="s">
        <v>244</v>
      </c>
      <c r="AA4" s="349" t="s">
        <v>695</v>
      </c>
      <c r="AB4" s="349" t="s">
        <v>908</v>
      </c>
      <c r="AC4" s="349" t="s">
        <v>1504</v>
      </c>
      <c r="AD4" s="349" t="s">
        <v>245</v>
      </c>
      <c r="AE4" s="349" t="s">
        <v>237</v>
      </c>
      <c r="AF4" s="349" t="s">
        <v>347</v>
      </c>
      <c r="AG4" s="342"/>
      <c r="AH4" s="342"/>
      <c r="AI4" s="342"/>
      <c r="AJ4" s="342"/>
    </row>
    <row r="5" spans="1:36" x14ac:dyDescent="0.3">
      <c r="A5" s="344" t="s">
        <v>240</v>
      </c>
      <c r="B5" s="345">
        <v>45995</v>
      </c>
      <c r="C5" s="346" t="s">
        <v>1485</v>
      </c>
      <c r="D5" s="347" t="s">
        <v>792</v>
      </c>
      <c r="E5" s="346" t="s">
        <v>1478</v>
      </c>
      <c r="F5" s="346" t="s">
        <v>214</v>
      </c>
      <c r="G5" s="348">
        <v>0.1845</v>
      </c>
      <c r="H5" s="349">
        <v>168</v>
      </c>
      <c r="I5" s="349">
        <v>31</v>
      </c>
      <c r="J5" s="349">
        <v>0</v>
      </c>
      <c r="K5" s="346" t="s">
        <v>215</v>
      </c>
      <c r="L5" s="350" t="s">
        <v>175</v>
      </c>
      <c r="M5" s="349">
        <v>3</v>
      </c>
      <c r="N5" s="349">
        <v>1</v>
      </c>
      <c r="O5" s="349">
        <v>14</v>
      </c>
      <c r="P5" s="346" t="s">
        <v>265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345</v>
      </c>
      <c r="AA5" s="342"/>
      <c r="AB5" s="342"/>
      <c r="AC5" s="349" t="s">
        <v>393</v>
      </c>
      <c r="AD5" s="349" t="s">
        <v>282</v>
      </c>
      <c r="AE5" s="349" t="s">
        <v>394</v>
      </c>
      <c r="AF5" s="342"/>
      <c r="AG5" s="342"/>
      <c r="AH5" s="342"/>
      <c r="AI5" s="342"/>
      <c r="AJ5" s="342"/>
    </row>
    <row r="6" spans="1:36" x14ac:dyDescent="0.3">
      <c r="A6" s="344" t="s">
        <v>724</v>
      </c>
      <c r="B6" s="345">
        <v>45996</v>
      </c>
      <c r="C6" s="346" t="s">
        <v>1488</v>
      </c>
      <c r="D6" s="347" t="s">
        <v>1502</v>
      </c>
      <c r="E6" s="346" t="s">
        <v>1478</v>
      </c>
      <c r="F6" s="346" t="s">
        <v>214</v>
      </c>
      <c r="G6" s="348">
        <v>0.33929999999999999</v>
      </c>
      <c r="H6" s="349">
        <v>168</v>
      </c>
      <c r="I6" s="349">
        <v>57</v>
      </c>
      <c r="J6" s="349">
        <v>0</v>
      </c>
      <c r="K6" s="346" t="s">
        <v>215</v>
      </c>
      <c r="L6" s="350" t="s">
        <v>175</v>
      </c>
      <c r="M6" s="349">
        <v>5</v>
      </c>
      <c r="N6" s="349">
        <v>1</v>
      </c>
      <c r="O6" s="349">
        <v>24</v>
      </c>
      <c r="P6" s="346" t="s">
        <v>260</v>
      </c>
      <c r="Q6" s="342"/>
      <c r="R6" s="342"/>
      <c r="S6" s="342"/>
      <c r="T6" s="342"/>
      <c r="U6" s="342"/>
      <c r="V6" s="342"/>
      <c r="W6" s="342"/>
      <c r="X6" s="342"/>
      <c r="Y6" s="349" t="s">
        <v>173</v>
      </c>
      <c r="Z6" s="349" t="s">
        <v>345</v>
      </c>
      <c r="AA6" s="349" t="s">
        <v>579</v>
      </c>
      <c r="AB6" s="349" t="s">
        <v>260</v>
      </c>
      <c r="AC6" s="349" t="s">
        <v>1505</v>
      </c>
      <c r="AD6" s="349" t="s">
        <v>736</v>
      </c>
      <c r="AE6" s="349" t="s">
        <v>586</v>
      </c>
      <c r="AF6" s="342"/>
      <c r="AG6" s="342"/>
      <c r="AH6" s="342"/>
      <c r="AI6" s="342"/>
      <c r="AJ6" s="342"/>
    </row>
    <row r="7" spans="1:36" x14ac:dyDescent="0.3">
      <c r="A7" s="344" t="s">
        <v>254</v>
      </c>
      <c r="B7" s="345">
        <v>45998</v>
      </c>
      <c r="C7" s="346" t="s">
        <v>1488</v>
      </c>
      <c r="D7" s="347" t="s">
        <v>1502</v>
      </c>
      <c r="E7" s="346" t="s">
        <v>1478</v>
      </c>
      <c r="F7" s="346" t="s">
        <v>214</v>
      </c>
      <c r="G7" s="348">
        <v>0.11899999999999999</v>
      </c>
      <c r="H7" s="349">
        <v>168</v>
      </c>
      <c r="I7" s="349">
        <v>20</v>
      </c>
      <c r="J7" s="349">
        <v>0</v>
      </c>
      <c r="K7" s="346" t="s">
        <v>215</v>
      </c>
      <c r="L7" s="350" t="s">
        <v>940</v>
      </c>
      <c r="M7" s="349">
        <v>0</v>
      </c>
      <c r="N7" s="349">
        <v>0</v>
      </c>
      <c r="O7" s="349">
        <v>0</v>
      </c>
      <c r="P7" s="346" t="s">
        <v>265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244</v>
      </c>
      <c r="AA7" s="342"/>
      <c r="AB7" s="342"/>
      <c r="AC7" s="349" t="s">
        <v>895</v>
      </c>
      <c r="AD7" s="349" t="s">
        <v>262</v>
      </c>
      <c r="AE7" s="349" t="s">
        <v>263</v>
      </c>
      <c r="AF7" s="342"/>
      <c r="AG7" s="342"/>
      <c r="AH7" s="342"/>
      <c r="AI7" s="342"/>
      <c r="AJ7" s="342"/>
    </row>
    <row r="8" spans="1:36" ht="21" x14ac:dyDescent="0.3">
      <c r="A8" s="351" t="s">
        <v>1574</v>
      </c>
      <c r="B8" s="352"/>
      <c r="C8" s="351">
        <f>SUBTOTAL(103,AHB_CAI_LF_LEGACY[Flt])</f>
        <v>6</v>
      </c>
      <c r="D8" s="351"/>
      <c r="E8" s="351">
        <f>SUBTOTAL(103,AHB_CAI_LF_LEGACY[Brd-Off])</f>
        <v>6</v>
      </c>
      <c r="F8" s="351"/>
      <c r="G8" s="353">
        <f>SUBTOTAL(101,AHB_CAI_LF_LEGACY[LF%])</f>
        <v>0.3105</v>
      </c>
      <c r="H8" s="354">
        <f>SUBTOTAL(109,AHB_CAI_LF_LEGACY[CAP])</f>
        <v>1008</v>
      </c>
      <c r="I8" s="354">
        <f>SUBTOTAL(109,AHB_CAI_LF_LEGACY[BKG(Y)])</f>
        <v>313</v>
      </c>
      <c r="J8" s="354">
        <f>SUBTOTAL(109,AHB_CAI_LF_LEGACY[GRP(Y)])</f>
        <v>0</v>
      </c>
      <c r="K8" s="351"/>
      <c r="L8" s="352"/>
      <c r="M8" s="354">
        <f>SUBTOTAL(109,AHB_CAI_LF_LEGACY[TO-DAY])</f>
        <v>23</v>
      </c>
      <c r="N8" s="354">
        <f>SUBTOTAL(109,AHB_CAI_LF_LEGACY[Y-DAY])</f>
        <v>18</v>
      </c>
      <c r="O8" s="354">
        <f>SUBTOTAL(109,AHB_CAI_LF_LEGACY[WEEKLY])</f>
        <v>143</v>
      </c>
      <c r="P8" s="355"/>
      <c r="Q8" s="354">
        <f>SUBTOTAL(109,AHB_CAI_LF_LEGACY[Y])</f>
        <v>0</v>
      </c>
      <c r="R8" s="354">
        <f>SUBTOTAL(109,AHB_CAI_LF_LEGACY[B])</f>
        <v>0</v>
      </c>
      <c r="S8" s="354">
        <f>SUBTOTAL(109,AHB_CAI_LF_LEGACY[M])</f>
        <v>0</v>
      </c>
      <c r="T8" s="354">
        <f>SUBTOTAL(109,AHB_CAI_LF_LEGACY[H])</f>
        <v>0</v>
      </c>
      <c r="U8" s="354">
        <f>SUBTOTAL(109,AHB_CAI_LF_LEGACY[Q])</f>
        <v>0</v>
      </c>
      <c r="V8" s="354">
        <f>SUBTOTAL(109,AHB_CAI_LF_LEGACY[K])</f>
        <v>0</v>
      </c>
      <c r="W8" s="354">
        <f>SUBTOTAL(109,AHB_CAI_LF_LEGACY[V])</f>
        <v>0</v>
      </c>
      <c r="X8" s="354">
        <f>SUBTOTAL(109,AHB_CAI_LF_LEGACY[L])</f>
        <v>0</v>
      </c>
      <c r="Y8" s="354">
        <f>SUBTOTAL(109,AHB_CAI_LF_LEGACY[G])</f>
        <v>0</v>
      </c>
      <c r="Z8" s="354">
        <f>SUBTOTAL(109,AHB_CAI_LF_LEGACY[S])</f>
        <v>0</v>
      </c>
      <c r="AA8" s="354">
        <f>SUBTOTAL(109,AHB_CAI_LF_LEGACY[W])</f>
        <v>0</v>
      </c>
      <c r="AB8" s="354">
        <f>SUBTOTAL(109,AHB_CAI_LF_LEGACY[T])</f>
        <v>0</v>
      </c>
      <c r="AC8" s="354">
        <f>SUBTOTAL(109,AHB_CAI_LF_LEGACY[X])</f>
        <v>0</v>
      </c>
      <c r="AD8" s="354">
        <f>SUBTOTAL(109,AHB_CAI_LF_LEGACY[U])</f>
        <v>0</v>
      </c>
      <c r="AE8" s="354">
        <f>SUBTOTAL(109,AHB_CAI_LF_LEGACY[O])</f>
        <v>0</v>
      </c>
      <c r="AF8" s="354">
        <f>SUBTOTAL(109,AHB_CAI_LF_LEGACY[I])</f>
        <v>0</v>
      </c>
      <c r="AG8" s="354">
        <f>SUBTOTAL(109,AHB_CAI_LF_LEGACY[E])</f>
        <v>0</v>
      </c>
      <c r="AH8" s="354">
        <f>SUBTOTAL(109,AHB_CAI_LF_LEGACY[A])</f>
        <v>0</v>
      </c>
      <c r="AI8" s="354">
        <f>SUBTOTAL(109,AHB_CAI_LF_LEGACY[P])</f>
        <v>0</v>
      </c>
      <c r="AJ8" s="354">
        <f>SUBTOTAL(103,AHB_CAI_LF_LEGACY[N])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2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9.777343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410</v>
      </c>
      <c r="C2" s="95" t="s">
        <v>1479</v>
      </c>
      <c r="D2" s="94" t="s">
        <v>1478</v>
      </c>
      <c r="E2" s="94" t="s">
        <v>1340</v>
      </c>
      <c r="F2" s="94" t="s">
        <v>46</v>
      </c>
      <c r="G2" s="96">
        <v>6</v>
      </c>
      <c r="H2" s="97">
        <v>763</v>
      </c>
      <c r="I2" s="88"/>
    </row>
    <row r="3" spans="1:9" ht="19.8" customHeight="1" x14ac:dyDescent="0.3">
      <c r="A3" s="93" t="s">
        <v>292</v>
      </c>
      <c r="B3" s="94" t="s">
        <v>456</v>
      </c>
      <c r="C3" s="95" t="s">
        <v>1481</v>
      </c>
      <c r="D3" s="94" t="s">
        <v>1478</v>
      </c>
      <c r="E3" s="94" t="s">
        <v>1506</v>
      </c>
      <c r="F3" s="94" t="s">
        <v>458</v>
      </c>
      <c r="G3" s="96">
        <v>9</v>
      </c>
      <c r="H3" s="97">
        <v>862</v>
      </c>
      <c r="I3" s="88"/>
    </row>
    <row r="4" spans="1:9" ht="19.8" customHeight="1" x14ac:dyDescent="0.3">
      <c r="A4" s="284" t="s">
        <v>292</v>
      </c>
      <c r="B4" s="114" t="s">
        <v>456</v>
      </c>
      <c r="C4" s="115" t="s">
        <v>1481</v>
      </c>
      <c r="D4" s="114" t="s">
        <v>1478</v>
      </c>
      <c r="E4" s="114" t="s">
        <v>1506</v>
      </c>
      <c r="F4" s="114" t="s">
        <v>34</v>
      </c>
      <c r="G4" s="117">
        <v>9</v>
      </c>
      <c r="H4" s="142">
        <v>990</v>
      </c>
      <c r="I4" s="88"/>
    </row>
    <row r="5" spans="1:9" ht="19.8" customHeight="1" x14ac:dyDescent="0.3">
      <c r="A5" s="98" t="s">
        <v>1089</v>
      </c>
      <c r="B5" s="99" t="s">
        <v>44</v>
      </c>
      <c r="C5" s="100" t="s">
        <v>1484</v>
      </c>
      <c r="D5" s="99" t="s">
        <v>1478</v>
      </c>
      <c r="E5" s="99" t="s">
        <v>792</v>
      </c>
      <c r="F5" s="99" t="s">
        <v>46</v>
      </c>
      <c r="G5" s="101">
        <v>5</v>
      </c>
      <c r="H5" s="102">
        <v>564</v>
      </c>
      <c r="I5" s="88"/>
    </row>
    <row r="6" spans="1:9" ht="19.8" customHeight="1" x14ac:dyDescent="0.3">
      <c r="A6" s="113">
        <v>45988</v>
      </c>
      <c r="B6" s="114" t="s">
        <v>410</v>
      </c>
      <c r="C6" s="115" t="s">
        <v>1479</v>
      </c>
      <c r="D6" s="114" t="s">
        <v>1478</v>
      </c>
      <c r="E6" s="116">
        <v>1.9965277777777779</v>
      </c>
      <c r="F6" s="114" t="s">
        <v>46</v>
      </c>
      <c r="G6" s="117">
        <v>9</v>
      </c>
      <c r="H6" s="142">
        <v>571</v>
      </c>
      <c r="I6" s="88"/>
    </row>
    <row r="7" spans="1:9" ht="19.8" customHeight="1" x14ac:dyDescent="0.3">
      <c r="A7" s="105">
        <v>45989</v>
      </c>
      <c r="B7" s="99" t="s">
        <v>44</v>
      </c>
      <c r="C7" s="100" t="s">
        <v>1487</v>
      </c>
      <c r="D7" s="99" t="s">
        <v>1478</v>
      </c>
      <c r="E7" s="106">
        <v>1.0034722222222221</v>
      </c>
      <c r="F7" s="99" t="s">
        <v>46</v>
      </c>
      <c r="G7" s="101">
        <v>9</v>
      </c>
      <c r="H7" s="102">
        <v>564</v>
      </c>
      <c r="I7" s="88"/>
    </row>
    <row r="8" spans="1:9" ht="19.8" customHeight="1" x14ac:dyDescent="0.3">
      <c r="A8" s="103">
        <v>45989</v>
      </c>
      <c r="B8" s="94" t="s">
        <v>456</v>
      </c>
      <c r="C8" s="95" t="s">
        <v>1481</v>
      </c>
      <c r="D8" s="94" t="s">
        <v>1478</v>
      </c>
      <c r="E8" s="104">
        <v>1.916666666666667</v>
      </c>
      <c r="F8" s="94" t="s">
        <v>458</v>
      </c>
      <c r="G8" s="96">
        <v>9</v>
      </c>
      <c r="H8" s="97">
        <v>575</v>
      </c>
      <c r="I8" s="88"/>
    </row>
    <row r="9" spans="1:9" ht="19.8" customHeight="1" x14ac:dyDescent="0.3">
      <c r="A9" s="113">
        <v>45989</v>
      </c>
      <c r="B9" s="114" t="s">
        <v>456</v>
      </c>
      <c r="C9" s="115" t="s">
        <v>1481</v>
      </c>
      <c r="D9" s="114" t="s">
        <v>1478</v>
      </c>
      <c r="E9" s="116">
        <v>1.916666666666667</v>
      </c>
      <c r="F9" s="114" t="s">
        <v>34</v>
      </c>
      <c r="G9" s="117">
        <v>9</v>
      </c>
      <c r="H9" s="142">
        <v>703</v>
      </c>
      <c r="I9" s="88"/>
    </row>
    <row r="10" spans="1:9" ht="19.8" customHeight="1" x14ac:dyDescent="0.3">
      <c r="A10" s="113">
        <v>45990</v>
      </c>
      <c r="B10" s="114" t="s">
        <v>410</v>
      </c>
      <c r="C10" s="115" t="s">
        <v>1491</v>
      </c>
      <c r="D10" s="114" t="s">
        <v>1478</v>
      </c>
      <c r="E10" s="116">
        <v>1.197916666666667</v>
      </c>
      <c r="F10" s="114" t="s">
        <v>46</v>
      </c>
      <c r="G10" s="117">
        <v>7</v>
      </c>
      <c r="H10" s="142">
        <v>550</v>
      </c>
      <c r="I10" s="88"/>
    </row>
    <row r="11" spans="1:9" ht="19.8" customHeight="1" x14ac:dyDescent="0.3">
      <c r="A11" s="103">
        <v>45991</v>
      </c>
      <c r="B11" s="94" t="s">
        <v>410</v>
      </c>
      <c r="C11" s="95" t="s">
        <v>1479</v>
      </c>
      <c r="D11" s="94" t="s">
        <v>1478</v>
      </c>
      <c r="E11" s="104">
        <v>1.916666666666667</v>
      </c>
      <c r="F11" s="94" t="s">
        <v>46</v>
      </c>
      <c r="G11" s="96">
        <v>5</v>
      </c>
      <c r="H11" s="97">
        <v>550</v>
      </c>
      <c r="I11" s="88"/>
    </row>
    <row r="12" spans="1:9" ht="19.8" customHeight="1" x14ac:dyDescent="0.3">
      <c r="A12" s="108">
        <v>45991</v>
      </c>
      <c r="B12" s="109" t="s">
        <v>44</v>
      </c>
      <c r="C12" s="110" t="s">
        <v>1487</v>
      </c>
      <c r="D12" s="109" t="s">
        <v>1478</v>
      </c>
      <c r="E12" s="111">
        <v>1.0034722222222221</v>
      </c>
      <c r="F12" s="109" t="s">
        <v>46</v>
      </c>
      <c r="G12" s="141">
        <v>9</v>
      </c>
      <c r="H12" s="143">
        <v>564</v>
      </c>
      <c r="I12" s="88"/>
    </row>
    <row r="13" spans="1:9" ht="19.8" customHeight="1" x14ac:dyDescent="0.3">
      <c r="A13" s="103">
        <v>45992</v>
      </c>
      <c r="B13" s="94" t="s">
        <v>456</v>
      </c>
      <c r="C13" s="95" t="s">
        <v>1494</v>
      </c>
      <c r="D13" s="94" t="s">
        <v>1478</v>
      </c>
      <c r="E13" s="104">
        <v>1.21875</v>
      </c>
      <c r="F13" s="94" t="s">
        <v>458</v>
      </c>
      <c r="G13" s="96">
        <v>9</v>
      </c>
      <c r="H13" s="97">
        <v>534</v>
      </c>
      <c r="I13" s="88"/>
    </row>
    <row r="14" spans="1:9" ht="19.8" customHeight="1" x14ac:dyDescent="0.3">
      <c r="A14" s="113">
        <v>45992</v>
      </c>
      <c r="B14" s="114" t="s">
        <v>456</v>
      </c>
      <c r="C14" s="115" t="s">
        <v>1494</v>
      </c>
      <c r="D14" s="114" t="s">
        <v>1478</v>
      </c>
      <c r="E14" s="116">
        <v>1.21875</v>
      </c>
      <c r="F14" s="114" t="s">
        <v>34</v>
      </c>
      <c r="G14" s="117">
        <v>9</v>
      </c>
      <c r="H14" s="142">
        <v>657</v>
      </c>
      <c r="I14" s="88"/>
    </row>
    <row r="15" spans="1:9" ht="19.8" customHeight="1" x14ac:dyDescent="0.3">
      <c r="A15" s="113">
        <v>45993</v>
      </c>
      <c r="B15" s="114" t="s">
        <v>410</v>
      </c>
      <c r="C15" s="115" t="s">
        <v>1479</v>
      </c>
      <c r="D15" s="114" t="s">
        <v>1478</v>
      </c>
      <c r="E15" s="116">
        <v>1.958333333333333</v>
      </c>
      <c r="F15" s="114" t="s">
        <v>46</v>
      </c>
      <c r="G15" s="117">
        <v>9</v>
      </c>
      <c r="H15" s="142">
        <v>550</v>
      </c>
      <c r="I15" s="88"/>
    </row>
    <row r="16" spans="1:9" ht="19.8" customHeight="1" x14ac:dyDescent="0.3">
      <c r="A16" s="103">
        <v>45994</v>
      </c>
      <c r="B16" s="94" t="s">
        <v>456</v>
      </c>
      <c r="C16" s="95" t="s">
        <v>1494</v>
      </c>
      <c r="D16" s="94" t="s">
        <v>1478</v>
      </c>
      <c r="E16" s="104">
        <v>1.21875</v>
      </c>
      <c r="F16" s="94" t="s">
        <v>458</v>
      </c>
      <c r="G16" s="96">
        <v>9</v>
      </c>
      <c r="H16" s="97">
        <v>534</v>
      </c>
      <c r="I16" s="88"/>
    </row>
    <row r="17" spans="1:9" ht="19.8" customHeight="1" x14ac:dyDescent="0.3">
      <c r="A17" s="113">
        <v>45994</v>
      </c>
      <c r="B17" s="114" t="s">
        <v>456</v>
      </c>
      <c r="C17" s="115" t="s">
        <v>1494</v>
      </c>
      <c r="D17" s="114" t="s">
        <v>1478</v>
      </c>
      <c r="E17" s="116">
        <v>1.21875</v>
      </c>
      <c r="F17" s="114" t="s">
        <v>34</v>
      </c>
      <c r="G17" s="117">
        <v>9</v>
      </c>
      <c r="H17" s="142">
        <v>657</v>
      </c>
      <c r="I17" s="88"/>
    </row>
    <row r="18" spans="1:9" ht="19.8" customHeight="1" x14ac:dyDescent="0.3">
      <c r="A18" s="105">
        <v>45995</v>
      </c>
      <c r="B18" s="99" t="s">
        <v>44</v>
      </c>
      <c r="C18" s="100" t="s">
        <v>1484</v>
      </c>
      <c r="D18" s="99" t="s">
        <v>1478</v>
      </c>
      <c r="E18" s="106">
        <v>1.0451388888888891</v>
      </c>
      <c r="F18" s="99" t="s">
        <v>46</v>
      </c>
      <c r="G18" s="101">
        <v>9</v>
      </c>
      <c r="H18" s="102">
        <v>564</v>
      </c>
      <c r="I18" s="88"/>
    </row>
    <row r="19" spans="1:9" ht="19.8" customHeight="1" x14ac:dyDescent="0.3">
      <c r="A19" s="113">
        <v>45995</v>
      </c>
      <c r="B19" s="114" t="s">
        <v>410</v>
      </c>
      <c r="C19" s="115" t="s">
        <v>1479</v>
      </c>
      <c r="D19" s="114" t="s">
        <v>1478</v>
      </c>
      <c r="E19" s="116">
        <v>1.958333333333333</v>
      </c>
      <c r="F19" s="114" t="s">
        <v>46</v>
      </c>
      <c r="G19" s="117">
        <v>4</v>
      </c>
      <c r="H19" s="142">
        <v>640</v>
      </c>
      <c r="I19" s="88"/>
    </row>
    <row r="20" spans="1:9" ht="19.8" customHeight="1" x14ac:dyDescent="0.3">
      <c r="A20" s="108">
        <v>45996</v>
      </c>
      <c r="B20" s="109" t="s">
        <v>44</v>
      </c>
      <c r="C20" s="110" t="s">
        <v>1487</v>
      </c>
      <c r="D20" s="109" t="s">
        <v>1478</v>
      </c>
      <c r="E20" s="111">
        <v>1.0034722222222221</v>
      </c>
      <c r="F20" s="109" t="s">
        <v>46</v>
      </c>
      <c r="G20" s="141">
        <v>4</v>
      </c>
      <c r="H20" s="143">
        <v>591</v>
      </c>
      <c r="I20" s="88"/>
    </row>
    <row r="21" spans="1:9" ht="19.8" customHeight="1" x14ac:dyDescent="0.3">
      <c r="A21" s="113">
        <v>45997</v>
      </c>
      <c r="B21" s="114" t="s">
        <v>410</v>
      </c>
      <c r="C21" s="115" t="s">
        <v>1491</v>
      </c>
      <c r="D21" s="114" t="s">
        <v>1478</v>
      </c>
      <c r="E21" s="116">
        <v>1.197916666666667</v>
      </c>
      <c r="F21" s="114" t="s">
        <v>46</v>
      </c>
      <c r="G21" s="117">
        <v>5</v>
      </c>
      <c r="H21" s="142">
        <v>571</v>
      </c>
      <c r="I21" s="88"/>
    </row>
    <row r="22" spans="1:9" ht="19.8" customHeight="1" x14ac:dyDescent="0.3">
      <c r="A22" s="103">
        <v>45998</v>
      </c>
      <c r="B22" s="94" t="s">
        <v>410</v>
      </c>
      <c r="C22" s="95" t="s">
        <v>1479</v>
      </c>
      <c r="D22" s="94" t="s">
        <v>1478</v>
      </c>
      <c r="E22" s="104">
        <v>1.916666666666667</v>
      </c>
      <c r="F22" s="94" t="s">
        <v>46</v>
      </c>
      <c r="G22" s="96">
        <v>2</v>
      </c>
      <c r="H22" s="97">
        <v>550</v>
      </c>
      <c r="I22" s="88"/>
    </row>
    <row r="23" spans="1:9" ht="19.8" customHeight="1" x14ac:dyDescent="0.3">
      <c r="A23" s="108">
        <v>45998</v>
      </c>
      <c r="B23" s="109" t="s">
        <v>44</v>
      </c>
      <c r="C23" s="110" t="s">
        <v>1487</v>
      </c>
      <c r="D23" s="109" t="s">
        <v>1478</v>
      </c>
      <c r="E23" s="111">
        <v>1.0034722222222221</v>
      </c>
      <c r="F23" s="109" t="s">
        <v>46</v>
      </c>
      <c r="G23" s="141">
        <v>9</v>
      </c>
      <c r="H23" s="143">
        <v>564</v>
      </c>
      <c r="I23" s="88"/>
    </row>
    <row r="24" spans="1:9" ht="19.8" customHeight="1" x14ac:dyDescent="0.3">
      <c r="A24" s="103">
        <v>46000</v>
      </c>
      <c r="B24" s="94" t="s">
        <v>456</v>
      </c>
      <c r="C24" s="95" t="s">
        <v>1481</v>
      </c>
      <c r="D24" s="94" t="s">
        <v>1478</v>
      </c>
      <c r="E24" s="104">
        <v>1.2951388888888891</v>
      </c>
      <c r="F24" s="94" t="s">
        <v>458</v>
      </c>
      <c r="G24" s="96">
        <v>9</v>
      </c>
      <c r="H24" s="97">
        <v>534</v>
      </c>
      <c r="I24" s="88"/>
    </row>
    <row r="25" spans="1:9" ht="19.8" customHeight="1" x14ac:dyDescent="0.3">
      <c r="A25" s="103">
        <v>46000</v>
      </c>
      <c r="B25" s="94" t="s">
        <v>410</v>
      </c>
      <c r="C25" s="95" t="s">
        <v>1479</v>
      </c>
      <c r="D25" s="94" t="s">
        <v>1478</v>
      </c>
      <c r="E25" s="104">
        <v>1.958333333333333</v>
      </c>
      <c r="F25" s="94" t="s">
        <v>46</v>
      </c>
      <c r="G25" s="96">
        <v>2</v>
      </c>
      <c r="H25" s="97">
        <v>550</v>
      </c>
      <c r="I25" s="88"/>
    </row>
    <row r="26" spans="1:9" ht="19.8" customHeight="1" x14ac:dyDescent="0.3">
      <c r="A26" s="113">
        <v>46000</v>
      </c>
      <c r="B26" s="114" t="s">
        <v>456</v>
      </c>
      <c r="C26" s="115" t="s">
        <v>1481</v>
      </c>
      <c r="D26" s="114" t="s">
        <v>1478</v>
      </c>
      <c r="E26" s="116">
        <v>1.2951388888888891</v>
      </c>
      <c r="F26" s="114" t="s">
        <v>34</v>
      </c>
      <c r="G26" s="117">
        <v>9</v>
      </c>
      <c r="H26" s="142">
        <v>657</v>
      </c>
      <c r="I26" s="88"/>
    </row>
    <row r="27" spans="1:9" ht="19.8" customHeight="1" x14ac:dyDescent="0.3">
      <c r="A27" s="103">
        <v>46001</v>
      </c>
      <c r="B27" s="94" t="s">
        <v>456</v>
      </c>
      <c r="C27" s="95" t="s">
        <v>1494</v>
      </c>
      <c r="D27" s="94" t="s">
        <v>1478</v>
      </c>
      <c r="E27" s="104">
        <v>1.21875</v>
      </c>
      <c r="F27" s="94" t="s">
        <v>458</v>
      </c>
      <c r="G27" s="96">
        <v>9</v>
      </c>
      <c r="H27" s="97">
        <v>534</v>
      </c>
      <c r="I27" s="88"/>
    </row>
    <row r="28" spans="1:9" ht="19.8" customHeight="1" x14ac:dyDescent="0.3">
      <c r="A28" s="113">
        <v>46001</v>
      </c>
      <c r="B28" s="114" t="s">
        <v>456</v>
      </c>
      <c r="C28" s="115" t="s">
        <v>1494</v>
      </c>
      <c r="D28" s="114" t="s">
        <v>1478</v>
      </c>
      <c r="E28" s="116">
        <v>1.21875</v>
      </c>
      <c r="F28" s="114" t="s">
        <v>34</v>
      </c>
      <c r="G28" s="117">
        <v>9</v>
      </c>
      <c r="H28" s="142">
        <v>657</v>
      </c>
      <c r="I28" s="88"/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32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0.21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3.3320312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1507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45982.804335375033</v>
      </c>
      <c r="H2" s="330"/>
      <c r="I2" s="330"/>
      <c r="J2" s="330"/>
      <c r="K2" s="334">
        <v>45982.804335375396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17.399999999999999" customHeight="1" x14ac:dyDescent="0.3">
      <c r="A5" s="363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5"/>
    </row>
    <row r="6" spans="1:18" ht="17.399999999999999" customHeight="1" x14ac:dyDescent="0.3">
      <c r="A6" s="360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2"/>
    </row>
    <row r="7" spans="1:18" ht="22.05" customHeight="1" x14ac:dyDescent="0.3">
      <c r="A7" s="323" t="s">
        <v>6</v>
      </c>
      <c r="B7" s="324"/>
      <c r="C7" s="324"/>
      <c r="D7" s="324"/>
      <c r="E7" s="324"/>
      <c r="F7" s="324"/>
      <c r="G7" s="2">
        <v>45989</v>
      </c>
      <c r="H7" s="323" t="s">
        <v>7</v>
      </c>
      <c r="I7" s="324"/>
      <c r="J7" s="324"/>
      <c r="K7" s="324"/>
      <c r="L7" s="324"/>
      <c r="M7" s="324"/>
      <c r="N7" s="324"/>
      <c r="O7" s="324"/>
      <c r="P7" s="324"/>
      <c r="Q7" s="324"/>
      <c r="R7" s="324"/>
    </row>
    <row r="8" spans="1:18" ht="24" customHeight="1" x14ac:dyDescent="0.3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4" t="s">
        <v>13</v>
      </c>
      <c r="G8" s="5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3" t="s">
        <v>24</v>
      </c>
      <c r="R8" s="3" t="s">
        <v>25</v>
      </c>
    </row>
    <row r="9" spans="1:18" ht="49.95" customHeight="1" x14ac:dyDescent="0.3">
      <c r="A9" s="51" t="s">
        <v>44</v>
      </c>
      <c r="B9" s="51" t="s">
        <v>1508</v>
      </c>
      <c r="C9" s="51">
        <v>0.76041666666666663</v>
      </c>
      <c r="D9" s="51" t="s">
        <v>46</v>
      </c>
      <c r="E9" s="51" t="s">
        <v>47</v>
      </c>
      <c r="F9" s="51" t="s">
        <v>1161</v>
      </c>
      <c r="G9" s="328"/>
      <c r="H9" s="296" t="s">
        <v>1509</v>
      </c>
      <c r="I9" s="297">
        <v>0.27379999999999999</v>
      </c>
      <c r="J9" s="298">
        <v>46</v>
      </c>
      <c r="K9" s="299" t="s">
        <v>175</v>
      </c>
      <c r="L9" s="298">
        <v>13</v>
      </c>
      <c r="M9" s="298">
        <v>4</v>
      </c>
      <c r="N9" s="298">
        <v>2</v>
      </c>
      <c r="O9" s="299" t="s">
        <v>51</v>
      </c>
      <c r="P9" s="299">
        <v>0.76041666666666663</v>
      </c>
      <c r="Q9" s="298">
        <v>168</v>
      </c>
      <c r="R9" s="300" t="s">
        <v>1510</v>
      </c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22.05" customHeight="1" x14ac:dyDescent="0.3">
      <c r="A11" s="323" t="s">
        <v>6</v>
      </c>
      <c r="B11" s="324"/>
      <c r="C11" s="324"/>
      <c r="D11" s="324"/>
      <c r="E11" s="324"/>
      <c r="F11" s="324"/>
      <c r="G11" s="2">
        <v>45990</v>
      </c>
      <c r="H11" s="323" t="s">
        <v>7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</row>
    <row r="12" spans="1:18" ht="24" customHeight="1" x14ac:dyDescent="0.3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4" t="s">
        <v>13</v>
      </c>
      <c r="G12" s="5" t="s">
        <v>14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  <c r="Q12" s="3" t="s">
        <v>24</v>
      </c>
      <c r="R12" s="3" t="s">
        <v>25</v>
      </c>
    </row>
    <row r="13" spans="1:18" ht="15.6" x14ac:dyDescent="0.3">
      <c r="A13" s="340" t="s">
        <v>1511</v>
      </c>
      <c r="B13" s="341"/>
      <c r="C13" s="341"/>
      <c r="D13" s="341"/>
      <c r="E13" s="341"/>
      <c r="F13" s="341"/>
      <c r="G13" s="337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</row>
    <row r="14" spans="1:18" ht="49.95" customHeight="1" x14ac:dyDescent="0.3">
      <c r="A14" s="155" t="s">
        <v>44</v>
      </c>
      <c r="B14" s="155" t="s">
        <v>367</v>
      </c>
      <c r="C14" s="155" t="s">
        <v>368</v>
      </c>
      <c r="D14" s="155" t="s">
        <v>369</v>
      </c>
      <c r="E14" s="155" t="s">
        <v>370</v>
      </c>
      <c r="F14" s="155" t="s">
        <v>371</v>
      </c>
      <c r="G14" s="337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</row>
    <row r="15" spans="1:18" ht="17.399999999999999" customHeight="1" x14ac:dyDescent="0.3">
      <c r="A15" s="360"/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2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17.399999999999999" customHeight="1" x14ac:dyDescent="0.3">
      <c r="A20" s="360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2"/>
    </row>
    <row r="21" spans="1:18" ht="22.05" customHeight="1" x14ac:dyDescent="0.3">
      <c r="A21" s="323" t="s">
        <v>6</v>
      </c>
      <c r="B21" s="324"/>
      <c r="C21" s="324"/>
      <c r="D21" s="324"/>
      <c r="E21" s="324"/>
      <c r="F21" s="324"/>
      <c r="G21" s="2">
        <v>45996</v>
      </c>
      <c r="H21" s="323" t="s">
        <v>7</v>
      </c>
      <c r="I21" s="324"/>
      <c r="J21" s="324"/>
      <c r="K21" s="324"/>
      <c r="L21" s="324"/>
      <c r="M21" s="324"/>
      <c r="N21" s="324"/>
      <c r="O21" s="324"/>
      <c r="P21" s="324"/>
      <c r="Q21" s="324"/>
      <c r="R21" s="324"/>
    </row>
    <row r="22" spans="1:18" ht="24" customHeight="1" x14ac:dyDescent="0.3">
      <c r="A22" s="3" t="s">
        <v>8</v>
      </c>
      <c r="B22" s="3" t="s">
        <v>9</v>
      </c>
      <c r="C22" s="3" t="s">
        <v>10</v>
      </c>
      <c r="D22" s="3" t="s">
        <v>11</v>
      </c>
      <c r="E22" s="3" t="s">
        <v>12</v>
      </c>
      <c r="F22" s="4" t="s">
        <v>13</v>
      </c>
      <c r="G22" s="5" t="s">
        <v>14</v>
      </c>
      <c r="H22" s="3" t="s">
        <v>15</v>
      </c>
      <c r="I22" s="3" t="s">
        <v>16</v>
      </c>
      <c r="J22" s="3" t="s">
        <v>17</v>
      </c>
      <c r="K22" s="3" t="s">
        <v>18</v>
      </c>
      <c r="L22" s="3" t="s">
        <v>19</v>
      </c>
      <c r="M22" s="3" t="s">
        <v>20</v>
      </c>
      <c r="N22" s="3" t="s">
        <v>21</v>
      </c>
      <c r="O22" s="3" t="s">
        <v>22</v>
      </c>
      <c r="P22" s="3" t="s">
        <v>23</v>
      </c>
      <c r="Q22" s="3" t="s">
        <v>24</v>
      </c>
      <c r="R22" s="3" t="s">
        <v>25</v>
      </c>
    </row>
    <row r="23" spans="1:18" ht="49.95" customHeight="1" x14ac:dyDescent="0.3">
      <c r="A23" s="75" t="s">
        <v>44</v>
      </c>
      <c r="B23" s="75" t="s">
        <v>1508</v>
      </c>
      <c r="C23" s="75">
        <v>0.76041666666666663</v>
      </c>
      <c r="D23" s="75" t="s">
        <v>46</v>
      </c>
      <c r="E23" s="75" t="s">
        <v>47</v>
      </c>
      <c r="F23" s="75" t="s">
        <v>1161</v>
      </c>
      <c r="G23" s="328"/>
      <c r="H23" s="33" t="s">
        <v>1509</v>
      </c>
      <c r="I23" s="291">
        <v>0.1845</v>
      </c>
      <c r="J23" s="35">
        <v>31</v>
      </c>
      <c r="K23" s="36" t="s">
        <v>50</v>
      </c>
      <c r="L23" s="35">
        <v>7</v>
      </c>
      <c r="M23" s="35">
        <v>0</v>
      </c>
      <c r="N23" s="35">
        <v>1</v>
      </c>
      <c r="O23" s="36" t="s">
        <v>51</v>
      </c>
      <c r="P23" s="36">
        <v>0.76041666666666663</v>
      </c>
      <c r="Q23" s="35">
        <v>168</v>
      </c>
      <c r="R23" s="37" t="s">
        <v>1512</v>
      </c>
    </row>
    <row r="24" spans="1:18" ht="17.399999999999999" customHeight="1" x14ac:dyDescent="0.3">
      <c r="A24" s="360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2"/>
    </row>
    <row r="25" spans="1:18" ht="22.05" customHeight="1" x14ac:dyDescent="0.3">
      <c r="A25" s="323" t="s">
        <v>6</v>
      </c>
      <c r="B25" s="324"/>
      <c r="C25" s="324"/>
      <c r="D25" s="324"/>
      <c r="E25" s="324"/>
      <c r="F25" s="324"/>
      <c r="G25" s="2">
        <v>45997</v>
      </c>
      <c r="H25" s="323" t="s">
        <v>7</v>
      </c>
      <c r="I25" s="324"/>
      <c r="J25" s="324"/>
      <c r="K25" s="324"/>
      <c r="L25" s="324"/>
      <c r="M25" s="324"/>
      <c r="N25" s="324"/>
      <c r="O25" s="324"/>
      <c r="P25" s="324"/>
      <c r="Q25" s="324"/>
      <c r="R25" s="324"/>
    </row>
    <row r="26" spans="1:18" ht="24" customHeight="1" x14ac:dyDescent="0.3">
      <c r="A26" s="3" t="s">
        <v>8</v>
      </c>
      <c r="B26" s="3" t="s">
        <v>9</v>
      </c>
      <c r="C26" s="3" t="s">
        <v>10</v>
      </c>
      <c r="D26" s="3" t="s">
        <v>11</v>
      </c>
      <c r="E26" s="3" t="s">
        <v>12</v>
      </c>
      <c r="F26" s="4" t="s">
        <v>13</v>
      </c>
      <c r="G26" s="5" t="s">
        <v>14</v>
      </c>
      <c r="H26" s="3" t="s">
        <v>15</v>
      </c>
      <c r="I26" s="3" t="s">
        <v>16</v>
      </c>
      <c r="J26" s="3" t="s">
        <v>17</v>
      </c>
      <c r="K26" s="3" t="s">
        <v>18</v>
      </c>
      <c r="L26" s="3" t="s">
        <v>19</v>
      </c>
      <c r="M26" s="3" t="s">
        <v>20</v>
      </c>
      <c r="N26" s="3" t="s">
        <v>21</v>
      </c>
      <c r="O26" s="3" t="s">
        <v>22</v>
      </c>
      <c r="P26" s="3" t="s">
        <v>23</v>
      </c>
      <c r="Q26" s="3" t="s">
        <v>24</v>
      </c>
      <c r="R26" s="3" t="s">
        <v>25</v>
      </c>
    </row>
    <row r="27" spans="1:18" ht="15.6" x14ac:dyDescent="0.3">
      <c r="A27" s="340" t="s">
        <v>1511</v>
      </c>
      <c r="B27" s="341"/>
      <c r="C27" s="341"/>
      <c r="D27" s="341"/>
      <c r="E27" s="341"/>
      <c r="F27" s="341"/>
      <c r="G27" s="337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</row>
    <row r="28" spans="1:18" ht="49.95" customHeight="1" x14ac:dyDescent="0.3">
      <c r="A28" s="155" t="s">
        <v>44</v>
      </c>
      <c r="B28" s="155" t="s">
        <v>367</v>
      </c>
      <c r="C28" s="155" t="s">
        <v>368</v>
      </c>
      <c r="D28" s="155" t="s">
        <v>369</v>
      </c>
      <c r="E28" s="155" t="s">
        <v>377</v>
      </c>
      <c r="F28" s="155" t="s">
        <v>371</v>
      </c>
      <c r="G28" s="337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</row>
    <row r="29" spans="1:18" ht="17.399999999999999" customHeight="1" x14ac:dyDescent="0.3">
      <c r="A29" s="360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2"/>
    </row>
    <row r="30" spans="1:18" ht="17.399999999999999" customHeight="1" x14ac:dyDescent="0.3">
      <c r="A30" s="360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2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17.399999999999999" customHeight="1" x14ac:dyDescent="0.3">
      <c r="A32" s="360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2"/>
    </row>
  </sheetData>
  <mergeCells count="36">
    <mergeCell ref="A30:R30"/>
    <mergeCell ref="A15:R15"/>
    <mergeCell ref="G27:G28"/>
    <mergeCell ref="A24:R24"/>
    <mergeCell ref="A6:R6"/>
    <mergeCell ref="A7:F7"/>
    <mergeCell ref="A25:F25"/>
    <mergeCell ref="A32:R32"/>
    <mergeCell ref="G2:J2"/>
    <mergeCell ref="A5:R5"/>
    <mergeCell ref="A17:R17"/>
    <mergeCell ref="A4:R4"/>
    <mergeCell ref="A20:R20"/>
    <mergeCell ref="G23"/>
    <mergeCell ref="A29:R29"/>
    <mergeCell ref="H11:R11"/>
    <mergeCell ref="A13:F13"/>
    <mergeCell ref="A19:R19"/>
    <mergeCell ref="A10:R10"/>
    <mergeCell ref="H7:R7"/>
    <mergeCell ref="K2:R2"/>
    <mergeCell ref="A31:R31"/>
    <mergeCell ref="A11:F11"/>
    <mergeCell ref="A16:R16"/>
    <mergeCell ref="G13:G14"/>
    <mergeCell ref="A27:F27"/>
    <mergeCell ref="H1:L1"/>
    <mergeCell ref="A1:E1"/>
    <mergeCell ref="A21:F21"/>
    <mergeCell ref="A18:R18"/>
    <mergeCell ref="G9"/>
    <mergeCell ref="A2:F2"/>
    <mergeCell ref="A3:R3"/>
    <mergeCell ref="H25:R25"/>
    <mergeCell ref="H21:R21"/>
    <mergeCell ref="N1:R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4"/>
  <sheetViews>
    <sheetView workbookViewId="0"/>
  </sheetViews>
  <sheetFormatPr defaultRowHeight="15.6" outlineLevelCol="1" x14ac:dyDescent="0.3"/>
  <cols>
    <col min="1" max="1" width="6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33203125" style="343" bestFit="1" customWidth="1"/>
    <col min="6" max="6" width="4.21875" style="343" bestFit="1" customWidth="1"/>
    <col min="7" max="7" width="10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4" width="3.88671875" style="343" bestFit="1" customWidth="1"/>
    <col min="25" max="25" width="4.44140625" style="343" bestFit="1" customWidth="1"/>
    <col min="26" max="26" width="4.109375" style="343" bestFit="1" customWidth="1"/>
    <col min="27" max="27" width="5" style="343" bestFit="1" customWidth="1"/>
    <col min="28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724</v>
      </c>
      <c r="B2" s="345">
        <v>45989</v>
      </c>
      <c r="C2" s="346" t="s">
        <v>1509</v>
      </c>
      <c r="D2" s="347" t="s">
        <v>1254</v>
      </c>
      <c r="E2" s="346" t="s">
        <v>1507</v>
      </c>
      <c r="F2" s="346" t="s">
        <v>214</v>
      </c>
      <c r="G2" s="348">
        <v>0.27379999999999999</v>
      </c>
      <c r="H2" s="349">
        <v>168</v>
      </c>
      <c r="I2" s="349">
        <v>46</v>
      </c>
      <c r="J2" s="349">
        <v>0</v>
      </c>
      <c r="K2" s="346" t="s">
        <v>215</v>
      </c>
      <c r="L2" s="350" t="s">
        <v>175</v>
      </c>
      <c r="M2" s="349">
        <v>4</v>
      </c>
      <c r="N2" s="349">
        <v>2</v>
      </c>
      <c r="O2" s="349">
        <v>13</v>
      </c>
      <c r="P2" s="346" t="s">
        <v>51</v>
      </c>
      <c r="Q2" s="342"/>
      <c r="R2" s="342"/>
      <c r="S2" s="342"/>
      <c r="T2" s="342"/>
      <c r="U2" s="342"/>
      <c r="V2" s="342"/>
      <c r="W2" s="342"/>
      <c r="X2" s="349" t="s">
        <v>357</v>
      </c>
      <c r="Y2" s="349" t="s">
        <v>1513</v>
      </c>
      <c r="Z2" s="349" t="s">
        <v>343</v>
      </c>
      <c r="AA2" s="349" t="s">
        <v>224</v>
      </c>
      <c r="AB2" s="342"/>
      <c r="AC2" s="342"/>
      <c r="AD2" s="342"/>
      <c r="AE2" s="342"/>
      <c r="AF2" s="342"/>
      <c r="AG2" s="342"/>
      <c r="AH2" s="342"/>
      <c r="AI2" s="342"/>
      <c r="AJ2" s="342"/>
    </row>
    <row r="3" spans="1:36" x14ac:dyDescent="0.3">
      <c r="A3" s="344" t="s">
        <v>724</v>
      </c>
      <c r="B3" s="345">
        <v>45996</v>
      </c>
      <c r="C3" s="346" t="s">
        <v>1509</v>
      </c>
      <c r="D3" s="347" t="s">
        <v>1254</v>
      </c>
      <c r="E3" s="346" t="s">
        <v>1507</v>
      </c>
      <c r="F3" s="346" t="s">
        <v>214</v>
      </c>
      <c r="G3" s="348">
        <v>0.1845</v>
      </c>
      <c r="H3" s="349">
        <v>168</v>
      </c>
      <c r="I3" s="349">
        <v>31</v>
      </c>
      <c r="J3" s="349">
        <v>0</v>
      </c>
      <c r="K3" s="346" t="s">
        <v>215</v>
      </c>
      <c r="L3" s="350" t="s">
        <v>50</v>
      </c>
      <c r="M3" s="349">
        <v>0</v>
      </c>
      <c r="N3" s="349">
        <v>1</v>
      </c>
      <c r="O3" s="349">
        <v>7</v>
      </c>
      <c r="P3" s="346" t="s">
        <v>51</v>
      </c>
      <c r="Q3" s="342"/>
      <c r="R3" s="342"/>
      <c r="S3" s="342"/>
      <c r="T3" s="342"/>
      <c r="U3" s="342"/>
      <c r="V3" s="342"/>
      <c r="W3" s="342"/>
      <c r="X3" s="342"/>
      <c r="Y3" s="349" t="s">
        <v>1514</v>
      </c>
      <c r="Z3" s="349" t="s">
        <v>345</v>
      </c>
      <c r="AA3" s="349" t="s">
        <v>846</v>
      </c>
      <c r="AB3" s="349" t="s">
        <v>969</v>
      </c>
      <c r="AC3" s="349" t="s">
        <v>265</v>
      </c>
      <c r="AD3" s="342"/>
      <c r="AE3" s="349" t="s">
        <v>646</v>
      </c>
      <c r="AF3" s="342"/>
      <c r="AG3" s="342"/>
      <c r="AH3" s="342"/>
      <c r="AI3" s="342"/>
      <c r="AJ3" s="342"/>
    </row>
    <row r="4" spans="1:36" ht="21" x14ac:dyDescent="0.3">
      <c r="A4" s="351" t="s">
        <v>1574</v>
      </c>
      <c r="B4" s="352"/>
      <c r="C4" s="351">
        <f>SUBTOTAL(103,AHB_ATZ_LF_LEGACY[Flt])</f>
        <v>2</v>
      </c>
      <c r="D4" s="351"/>
      <c r="E4" s="351">
        <f>SUBTOTAL(103,AHB_ATZ_LF_LEGACY[Brd-Off])</f>
        <v>2</v>
      </c>
      <c r="F4" s="351"/>
      <c r="G4" s="353">
        <f>SUBTOTAL(101,AHB_ATZ_LF_LEGACY[LF%])</f>
        <v>0.22914999999999999</v>
      </c>
      <c r="H4" s="354">
        <f>SUBTOTAL(109,AHB_ATZ_LF_LEGACY[CAP])</f>
        <v>336</v>
      </c>
      <c r="I4" s="354">
        <f>SUBTOTAL(109,AHB_ATZ_LF_LEGACY[BKG(Y)])</f>
        <v>77</v>
      </c>
      <c r="J4" s="354">
        <f>SUBTOTAL(109,AHB_ATZ_LF_LEGACY[GRP(Y)])</f>
        <v>0</v>
      </c>
      <c r="K4" s="351"/>
      <c r="L4" s="352"/>
      <c r="M4" s="354">
        <f>SUBTOTAL(109,AHB_ATZ_LF_LEGACY[TO-DAY])</f>
        <v>4</v>
      </c>
      <c r="N4" s="354">
        <f>SUBTOTAL(109,AHB_ATZ_LF_LEGACY[Y-DAY])</f>
        <v>3</v>
      </c>
      <c r="O4" s="354">
        <f>SUBTOTAL(109,AHB_ATZ_LF_LEGACY[WEEKLY])</f>
        <v>20</v>
      </c>
      <c r="P4" s="355"/>
      <c r="Q4" s="354">
        <f>SUBTOTAL(109,AHB_ATZ_LF_LEGACY[Y])</f>
        <v>0</v>
      </c>
      <c r="R4" s="354">
        <f>SUBTOTAL(109,AHB_ATZ_LF_LEGACY[B])</f>
        <v>0</v>
      </c>
      <c r="S4" s="354">
        <f>SUBTOTAL(109,AHB_ATZ_LF_LEGACY[M])</f>
        <v>0</v>
      </c>
      <c r="T4" s="354">
        <f>SUBTOTAL(109,AHB_ATZ_LF_LEGACY[H])</f>
        <v>0</v>
      </c>
      <c r="U4" s="354">
        <f>SUBTOTAL(109,AHB_ATZ_LF_LEGACY[Q])</f>
        <v>0</v>
      </c>
      <c r="V4" s="354">
        <f>SUBTOTAL(109,AHB_ATZ_LF_LEGACY[K])</f>
        <v>0</v>
      </c>
      <c r="W4" s="354">
        <f>SUBTOTAL(109,AHB_ATZ_LF_LEGACY[V])</f>
        <v>0</v>
      </c>
      <c r="X4" s="354">
        <f>SUBTOTAL(109,AHB_ATZ_LF_LEGACY[L])</f>
        <v>0</v>
      </c>
      <c r="Y4" s="354">
        <f>SUBTOTAL(109,AHB_ATZ_LF_LEGACY[G])</f>
        <v>0</v>
      </c>
      <c r="Z4" s="354">
        <f>SUBTOTAL(109,AHB_ATZ_LF_LEGACY[S])</f>
        <v>0</v>
      </c>
      <c r="AA4" s="354">
        <f>SUBTOTAL(109,AHB_ATZ_LF_LEGACY[W])</f>
        <v>0</v>
      </c>
      <c r="AB4" s="354">
        <f>SUBTOTAL(109,AHB_ATZ_LF_LEGACY[T])</f>
        <v>0</v>
      </c>
      <c r="AC4" s="354">
        <f>SUBTOTAL(109,AHB_ATZ_LF_LEGACY[X])</f>
        <v>0</v>
      </c>
      <c r="AD4" s="354">
        <f>SUBTOTAL(109,AHB_ATZ_LF_LEGACY[U])</f>
        <v>0</v>
      </c>
      <c r="AE4" s="354">
        <f>SUBTOTAL(109,AHB_ATZ_LF_LEGACY[O])</f>
        <v>0</v>
      </c>
      <c r="AF4" s="354">
        <f>SUBTOTAL(109,AHB_ATZ_LF_LEGACY[I])</f>
        <v>0</v>
      </c>
      <c r="AG4" s="354">
        <f>SUBTOTAL(109,AHB_ATZ_LF_LEGACY[E])</f>
        <v>0</v>
      </c>
      <c r="AH4" s="354">
        <f>SUBTOTAL(109,AHB_ATZ_LF_LEGACY[A])</f>
        <v>0</v>
      </c>
      <c r="AI4" s="354">
        <f>SUBTOTAL(109,AHB_ATZ_LF_LEGACY[P])</f>
        <v>0</v>
      </c>
      <c r="AJ4" s="354">
        <f>SUBTOTAL(103,AHB_ATZ_LF_LEGACY[N])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77734375" bestFit="1" customWidth="1"/>
    <col min="7" max="7" width="20" bestFit="1" customWidth="1"/>
    <col min="8" max="8" width="23.6640625" bestFit="1" customWidth="1"/>
    <col min="9" max="9" width="170.55468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1355</v>
      </c>
      <c r="B2" s="109" t="s">
        <v>44</v>
      </c>
      <c r="C2" s="110" t="s">
        <v>1508</v>
      </c>
      <c r="D2" s="109" t="s">
        <v>1507</v>
      </c>
      <c r="E2" s="109" t="s">
        <v>1254</v>
      </c>
      <c r="F2" s="109" t="s">
        <v>46</v>
      </c>
      <c r="G2" s="141">
        <v>9</v>
      </c>
      <c r="H2" s="143">
        <v>786</v>
      </c>
      <c r="I2" s="88"/>
    </row>
    <row r="3" spans="1:9" ht="19.8" customHeight="1" x14ac:dyDescent="0.3">
      <c r="A3" s="183"/>
      <c r="B3" s="184"/>
      <c r="C3" s="184"/>
      <c r="D3" s="184"/>
      <c r="E3" s="184"/>
      <c r="F3" s="185" t="s">
        <v>1515</v>
      </c>
      <c r="G3" s="184"/>
      <c r="H3" s="186"/>
      <c r="I3" s="88"/>
    </row>
    <row r="4" spans="1:9" ht="19.8" customHeight="1" x14ac:dyDescent="0.3">
      <c r="A4" s="113">
        <v>45990</v>
      </c>
      <c r="B4" s="114" t="s">
        <v>44</v>
      </c>
      <c r="C4" s="115" t="s">
        <v>367</v>
      </c>
      <c r="D4" s="114" t="s">
        <v>1478</v>
      </c>
      <c r="E4" s="116">
        <v>1.9375</v>
      </c>
      <c r="F4" s="114" t="s">
        <v>369</v>
      </c>
      <c r="G4" s="117">
        <v>2</v>
      </c>
      <c r="H4" s="118" t="s">
        <v>371</v>
      </c>
      <c r="I4" s="88"/>
    </row>
    <row r="5" spans="1:9" ht="19.8" customHeight="1" x14ac:dyDescent="0.3">
      <c r="A5" s="108">
        <v>45996</v>
      </c>
      <c r="B5" s="109" t="s">
        <v>44</v>
      </c>
      <c r="C5" s="110" t="s">
        <v>1508</v>
      </c>
      <c r="D5" s="109" t="s">
        <v>1507</v>
      </c>
      <c r="E5" s="111">
        <v>1.760416666666667</v>
      </c>
      <c r="F5" s="109" t="s">
        <v>46</v>
      </c>
      <c r="G5" s="141">
        <v>9</v>
      </c>
      <c r="H5" s="143">
        <v>786</v>
      </c>
      <c r="I5" s="88"/>
    </row>
    <row r="6" spans="1:9" ht="19.8" customHeight="1" x14ac:dyDescent="0.3">
      <c r="A6" s="183"/>
      <c r="B6" s="184"/>
      <c r="C6" s="184"/>
      <c r="D6" s="184"/>
      <c r="E6" s="184"/>
      <c r="F6" s="185" t="s">
        <v>1515</v>
      </c>
      <c r="G6" s="184"/>
      <c r="H6" s="186"/>
      <c r="I6" s="88"/>
    </row>
    <row r="7" spans="1:9" ht="19.8" customHeight="1" x14ac:dyDescent="0.3">
      <c r="A7" s="113">
        <v>45997</v>
      </c>
      <c r="B7" s="114" t="s">
        <v>44</v>
      </c>
      <c r="C7" s="115" t="s">
        <v>367</v>
      </c>
      <c r="D7" s="114" t="s">
        <v>1478</v>
      </c>
      <c r="E7" s="116">
        <v>1.9375</v>
      </c>
      <c r="F7" s="114" t="s">
        <v>369</v>
      </c>
      <c r="G7" s="117">
        <v>9</v>
      </c>
      <c r="H7" s="118" t="s">
        <v>371</v>
      </c>
      <c r="I7" s="88"/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102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9.3320312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1516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45982.804336131463</v>
      </c>
      <c r="H2" s="330"/>
      <c r="I2" s="330"/>
      <c r="J2" s="330"/>
      <c r="K2" s="334">
        <v>45982.804336131783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6" t="s">
        <v>404</v>
      </c>
      <c r="B6" s="6" t="s">
        <v>1517</v>
      </c>
      <c r="C6" s="6">
        <v>0.60763888888888895</v>
      </c>
      <c r="D6" s="6" t="s">
        <v>46</v>
      </c>
      <c r="E6" s="6" t="s">
        <v>47</v>
      </c>
      <c r="F6" s="6" t="s">
        <v>657</v>
      </c>
      <c r="G6" s="335"/>
      <c r="H6" s="7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49.95" customHeight="1" x14ac:dyDescent="0.3">
      <c r="A7" s="11" t="s">
        <v>410</v>
      </c>
      <c r="B7" s="11" t="s">
        <v>1518</v>
      </c>
      <c r="C7" s="11">
        <v>0.65625</v>
      </c>
      <c r="D7" s="11" t="s">
        <v>46</v>
      </c>
      <c r="E7" s="11" t="s">
        <v>132</v>
      </c>
      <c r="F7" s="11" t="s">
        <v>657</v>
      </c>
      <c r="G7" s="328"/>
      <c r="H7" s="7"/>
      <c r="I7" s="8"/>
      <c r="J7" s="8"/>
      <c r="K7" s="8"/>
      <c r="L7" s="8"/>
      <c r="M7" s="8"/>
      <c r="N7" s="8"/>
      <c r="O7" s="8"/>
      <c r="P7" s="8"/>
      <c r="Q7" s="8"/>
      <c r="R7" s="9"/>
    </row>
    <row r="8" spans="1:18" ht="49.95" customHeight="1" x14ac:dyDescent="0.3">
      <c r="A8" s="50" t="s">
        <v>66</v>
      </c>
      <c r="B8" s="50" t="s">
        <v>1519</v>
      </c>
      <c r="C8" s="50">
        <v>3.4722222222222217E-2</v>
      </c>
      <c r="D8" s="50" t="s">
        <v>68</v>
      </c>
      <c r="E8" s="50" t="s">
        <v>47</v>
      </c>
      <c r="F8" s="50" t="s">
        <v>1520</v>
      </c>
      <c r="G8" s="328"/>
      <c r="H8" s="28"/>
      <c r="I8" s="29"/>
      <c r="J8" s="29"/>
      <c r="K8" s="29"/>
      <c r="L8" s="29"/>
      <c r="M8" s="29"/>
      <c r="N8" s="29"/>
      <c r="O8" s="29"/>
      <c r="P8" s="29"/>
      <c r="Q8" s="29"/>
      <c r="R8" s="30"/>
    </row>
    <row r="9" spans="1:18" ht="17.399999999999999" customHeigh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2"/>
    </row>
    <row r="10" spans="1:18" ht="22.05" customHeight="1" x14ac:dyDescent="0.3">
      <c r="A10" s="323" t="s">
        <v>6</v>
      </c>
      <c r="B10" s="324"/>
      <c r="C10" s="324"/>
      <c r="D10" s="324"/>
      <c r="E10" s="324"/>
      <c r="F10" s="324"/>
      <c r="G10" s="2">
        <v>45987</v>
      </c>
      <c r="H10" s="323" t="s">
        <v>7</v>
      </c>
      <c r="I10" s="324"/>
      <c r="J10" s="324"/>
      <c r="K10" s="324"/>
      <c r="L10" s="324"/>
      <c r="M10" s="324"/>
      <c r="N10" s="324"/>
      <c r="O10" s="324"/>
      <c r="P10" s="324"/>
      <c r="Q10" s="324"/>
      <c r="R10" s="324"/>
    </row>
    <row r="11" spans="1:18" ht="24" customHeight="1" x14ac:dyDescent="0.3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4" t="s">
        <v>13</v>
      </c>
      <c r="G11" s="5" t="s">
        <v>14</v>
      </c>
      <c r="H11" s="3" t="s">
        <v>15</v>
      </c>
      <c r="I11" s="3" t="s">
        <v>16</v>
      </c>
      <c r="J11" s="3" t="s">
        <v>17</v>
      </c>
      <c r="K11" s="3" t="s">
        <v>18</v>
      </c>
      <c r="L11" s="3" t="s">
        <v>19</v>
      </c>
      <c r="M11" s="3" t="s">
        <v>20</v>
      </c>
      <c r="N11" s="3" t="s">
        <v>21</v>
      </c>
      <c r="O11" s="3" t="s">
        <v>22</v>
      </c>
      <c r="P11" s="3" t="s">
        <v>23</v>
      </c>
      <c r="Q11" s="3" t="s">
        <v>24</v>
      </c>
      <c r="R11" s="3" t="s">
        <v>25</v>
      </c>
    </row>
    <row r="12" spans="1:18" ht="49.95" customHeight="1" x14ac:dyDescent="0.3">
      <c r="A12" s="6" t="s">
        <v>456</v>
      </c>
      <c r="B12" s="6" t="s">
        <v>1521</v>
      </c>
      <c r="C12" s="6">
        <v>0.9375</v>
      </c>
      <c r="D12" s="6" t="s">
        <v>458</v>
      </c>
      <c r="E12" s="6" t="s">
        <v>123</v>
      </c>
      <c r="F12" s="6" t="s">
        <v>1522</v>
      </c>
      <c r="G12" s="335"/>
      <c r="H12" s="7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ht="49.95" customHeight="1" x14ac:dyDescent="0.3">
      <c r="A13" s="10" t="s">
        <v>456</v>
      </c>
      <c r="B13" s="10" t="s">
        <v>1521</v>
      </c>
      <c r="C13" s="10">
        <v>0.9375</v>
      </c>
      <c r="D13" s="10" t="s">
        <v>34</v>
      </c>
      <c r="E13" s="10" t="s">
        <v>124</v>
      </c>
      <c r="F13" s="10" t="s">
        <v>572</v>
      </c>
      <c r="G13" s="328"/>
      <c r="H13" s="7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ht="49.95" customHeight="1" x14ac:dyDescent="0.3">
      <c r="A14" s="11" t="s">
        <v>404</v>
      </c>
      <c r="B14" s="11" t="s">
        <v>1517</v>
      </c>
      <c r="C14" s="11">
        <v>0.625</v>
      </c>
      <c r="D14" s="11" t="s">
        <v>46</v>
      </c>
      <c r="E14" s="11" t="s">
        <v>47</v>
      </c>
      <c r="F14" s="11" t="s">
        <v>657</v>
      </c>
      <c r="G14" s="328"/>
      <c r="H14" s="7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 ht="49.95" customHeight="1" x14ac:dyDescent="0.3">
      <c r="A15" s="50" t="s">
        <v>410</v>
      </c>
      <c r="B15" s="50" t="s">
        <v>1518</v>
      </c>
      <c r="C15" s="50">
        <v>0.65625</v>
      </c>
      <c r="D15" s="50" t="s">
        <v>46</v>
      </c>
      <c r="E15" s="50" t="s">
        <v>134</v>
      </c>
      <c r="F15" s="50" t="s">
        <v>657</v>
      </c>
      <c r="G15" s="328"/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30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22.05" customHeight="1" x14ac:dyDescent="0.3">
      <c r="A17" s="323" t="s">
        <v>6</v>
      </c>
      <c r="B17" s="324"/>
      <c r="C17" s="324"/>
      <c r="D17" s="324"/>
      <c r="E17" s="324"/>
      <c r="F17" s="324"/>
      <c r="G17" s="2">
        <v>45988</v>
      </c>
      <c r="H17" s="323" t="s">
        <v>7</v>
      </c>
      <c r="I17" s="324"/>
      <c r="J17" s="324"/>
      <c r="K17" s="324"/>
      <c r="L17" s="324"/>
      <c r="M17" s="324"/>
      <c r="N17" s="324"/>
      <c r="O17" s="324"/>
      <c r="P17" s="324"/>
      <c r="Q17" s="324"/>
      <c r="R17" s="324"/>
    </row>
    <row r="18" spans="1:18" ht="24" customHeight="1" x14ac:dyDescent="0.3">
      <c r="A18" s="3" t="s">
        <v>8</v>
      </c>
      <c r="B18" s="3" t="s">
        <v>9</v>
      </c>
      <c r="C18" s="3" t="s">
        <v>10</v>
      </c>
      <c r="D18" s="3" t="s">
        <v>11</v>
      </c>
      <c r="E18" s="3" t="s">
        <v>12</v>
      </c>
      <c r="F18" s="4" t="s">
        <v>13</v>
      </c>
      <c r="G18" s="5" t="s">
        <v>14</v>
      </c>
      <c r="H18" s="3" t="s">
        <v>15</v>
      </c>
      <c r="I18" s="3" t="s">
        <v>16</v>
      </c>
      <c r="J18" s="3" t="s">
        <v>17</v>
      </c>
      <c r="K18" s="3" t="s">
        <v>18</v>
      </c>
      <c r="L18" s="3" t="s">
        <v>19</v>
      </c>
      <c r="M18" s="3" t="s">
        <v>20</v>
      </c>
      <c r="N18" s="3" t="s">
        <v>21</v>
      </c>
      <c r="O18" s="3" t="s">
        <v>22</v>
      </c>
      <c r="P18" s="3" t="s">
        <v>23</v>
      </c>
      <c r="Q18" s="3" t="s">
        <v>24</v>
      </c>
      <c r="R18" s="3" t="s">
        <v>25</v>
      </c>
    </row>
    <row r="19" spans="1:18" ht="15" customHeight="1" x14ac:dyDescent="0.3">
      <c r="A19" s="6" t="s">
        <v>404</v>
      </c>
      <c r="B19" s="6" t="s">
        <v>1517</v>
      </c>
      <c r="C19" s="6">
        <v>0.625</v>
      </c>
      <c r="D19" s="6" t="s">
        <v>46</v>
      </c>
      <c r="E19" s="6" t="s">
        <v>29</v>
      </c>
      <c r="F19" s="6" t="s">
        <v>1523</v>
      </c>
      <c r="G19" s="335"/>
      <c r="H19" s="7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ht="15" customHeight="1" x14ac:dyDescent="0.3">
      <c r="A20" s="11" t="s">
        <v>66</v>
      </c>
      <c r="B20" s="11" t="s">
        <v>1519</v>
      </c>
      <c r="C20" s="11">
        <v>3.4722222222222217E-2</v>
      </c>
      <c r="D20" s="11" t="s">
        <v>829</v>
      </c>
      <c r="E20" s="11" t="s">
        <v>47</v>
      </c>
      <c r="F20" s="11" t="s">
        <v>1151</v>
      </c>
      <c r="G20" s="328"/>
      <c r="H20" s="7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ht="15" customHeight="1" x14ac:dyDescent="0.3">
      <c r="A21" s="11" t="s">
        <v>456</v>
      </c>
      <c r="B21" s="11" t="s">
        <v>1521</v>
      </c>
      <c r="C21" s="11">
        <v>0.9375</v>
      </c>
      <c r="D21" s="11" t="s">
        <v>458</v>
      </c>
      <c r="E21" s="11" t="s">
        <v>123</v>
      </c>
      <c r="F21" s="11" t="s">
        <v>1522</v>
      </c>
      <c r="G21" s="328"/>
      <c r="H21" s="7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1:18" ht="15" customHeight="1" x14ac:dyDescent="0.3">
      <c r="A22" s="10" t="s">
        <v>456</v>
      </c>
      <c r="B22" s="10" t="s">
        <v>1521</v>
      </c>
      <c r="C22" s="10">
        <v>0.9375</v>
      </c>
      <c r="D22" s="10" t="s">
        <v>34</v>
      </c>
      <c r="E22" s="10" t="s">
        <v>124</v>
      </c>
      <c r="F22" s="10" t="s">
        <v>572</v>
      </c>
      <c r="G22" s="328"/>
      <c r="H22" s="7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1:18" ht="15" customHeight="1" x14ac:dyDescent="0.3">
      <c r="A23" s="11" t="s">
        <v>410</v>
      </c>
      <c r="B23" s="11" t="s">
        <v>1518</v>
      </c>
      <c r="C23" s="11">
        <v>0.65625</v>
      </c>
      <c r="D23" s="11" t="s">
        <v>46</v>
      </c>
      <c r="E23" s="11" t="s">
        <v>129</v>
      </c>
      <c r="F23" s="11" t="s">
        <v>657</v>
      </c>
      <c r="G23" s="328"/>
      <c r="H23" s="7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1:18" ht="15" customHeight="1" x14ac:dyDescent="0.3">
      <c r="A24" s="133" t="s">
        <v>44</v>
      </c>
      <c r="B24" s="133" t="s">
        <v>1524</v>
      </c>
      <c r="C24" s="133">
        <v>0.79861111111111116</v>
      </c>
      <c r="D24" s="133" t="s">
        <v>46</v>
      </c>
      <c r="E24" s="133" t="s">
        <v>47</v>
      </c>
      <c r="F24" s="133" t="s">
        <v>623</v>
      </c>
      <c r="G24" s="328"/>
      <c r="H24" s="134" t="s">
        <v>1525</v>
      </c>
      <c r="I24" s="292">
        <v>0.35120000000000001</v>
      </c>
      <c r="J24" s="136">
        <v>59</v>
      </c>
      <c r="K24" s="137" t="s">
        <v>175</v>
      </c>
      <c r="L24" s="136">
        <v>25</v>
      </c>
      <c r="M24" s="136">
        <v>2</v>
      </c>
      <c r="N24" s="136">
        <v>2</v>
      </c>
      <c r="O24" s="137" t="s">
        <v>237</v>
      </c>
      <c r="P24" s="137">
        <v>0.79861111111111116</v>
      </c>
      <c r="Q24" s="136">
        <v>168</v>
      </c>
      <c r="R24" s="138" t="s">
        <v>1526</v>
      </c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  <row r="26" spans="1:18" ht="22.05" customHeight="1" x14ac:dyDescent="0.3">
      <c r="A26" s="323" t="s">
        <v>6</v>
      </c>
      <c r="B26" s="324"/>
      <c r="C26" s="324"/>
      <c r="D26" s="324"/>
      <c r="E26" s="324"/>
      <c r="F26" s="324"/>
      <c r="G26" s="2">
        <v>45989</v>
      </c>
      <c r="H26" s="323" t="s">
        <v>7</v>
      </c>
      <c r="I26" s="324"/>
      <c r="J26" s="324"/>
      <c r="K26" s="324"/>
      <c r="L26" s="324"/>
      <c r="M26" s="324"/>
      <c r="N26" s="324"/>
      <c r="O26" s="324"/>
      <c r="P26" s="324"/>
      <c r="Q26" s="324"/>
      <c r="R26" s="324"/>
    </row>
    <row r="27" spans="1:18" ht="24" customHeight="1" x14ac:dyDescent="0.3">
      <c r="A27" s="3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4" t="s">
        <v>13</v>
      </c>
      <c r="G27" s="5" t="s">
        <v>14</v>
      </c>
      <c r="H27" s="3" t="s">
        <v>15</v>
      </c>
      <c r="I27" s="3" t="s">
        <v>16</v>
      </c>
      <c r="J27" s="3" t="s">
        <v>17</v>
      </c>
      <c r="K27" s="3" t="s">
        <v>18</v>
      </c>
      <c r="L27" s="3" t="s">
        <v>19</v>
      </c>
      <c r="M27" s="3" t="s">
        <v>20</v>
      </c>
      <c r="N27" s="3" t="s">
        <v>21</v>
      </c>
      <c r="O27" s="3" t="s">
        <v>22</v>
      </c>
      <c r="P27" s="3" t="s">
        <v>23</v>
      </c>
      <c r="Q27" s="3" t="s">
        <v>24</v>
      </c>
      <c r="R27" s="3" t="s">
        <v>25</v>
      </c>
    </row>
    <row r="28" spans="1:18" ht="49.95" customHeight="1" x14ac:dyDescent="0.3">
      <c r="A28" s="6" t="s">
        <v>404</v>
      </c>
      <c r="B28" s="6" t="s">
        <v>1517</v>
      </c>
      <c r="C28" s="6">
        <v>0.86805555555555547</v>
      </c>
      <c r="D28" s="6" t="s">
        <v>46</v>
      </c>
      <c r="E28" s="6" t="s">
        <v>47</v>
      </c>
      <c r="F28" s="6" t="s">
        <v>1523</v>
      </c>
      <c r="G28" s="335"/>
      <c r="H28" s="7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ht="49.95" customHeight="1" x14ac:dyDescent="0.3">
      <c r="A29" s="11" t="s">
        <v>410</v>
      </c>
      <c r="B29" s="11" t="s">
        <v>1518</v>
      </c>
      <c r="C29" s="11">
        <v>0.65625</v>
      </c>
      <c r="D29" s="11" t="s">
        <v>46</v>
      </c>
      <c r="E29" s="11" t="s">
        <v>134</v>
      </c>
      <c r="F29" s="11" t="s">
        <v>657</v>
      </c>
      <c r="G29" s="328"/>
      <c r="H29" s="7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ht="49.95" customHeight="1" x14ac:dyDescent="0.3">
      <c r="A30" s="50" t="s">
        <v>66</v>
      </c>
      <c r="B30" s="50" t="s">
        <v>1519</v>
      </c>
      <c r="C30" s="50">
        <v>3.4722222222222217E-2</v>
      </c>
      <c r="D30" s="50" t="s">
        <v>68</v>
      </c>
      <c r="E30" s="50" t="s">
        <v>47</v>
      </c>
      <c r="F30" s="50" t="s">
        <v>1520</v>
      </c>
      <c r="G30" s="328"/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30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22.05" customHeight="1" x14ac:dyDescent="0.3">
      <c r="A32" s="323" t="s">
        <v>6</v>
      </c>
      <c r="B32" s="324"/>
      <c r="C32" s="324"/>
      <c r="D32" s="324"/>
      <c r="E32" s="324"/>
      <c r="F32" s="324"/>
      <c r="G32" s="2">
        <v>45990</v>
      </c>
      <c r="H32" s="323" t="s">
        <v>7</v>
      </c>
      <c r="I32" s="324"/>
      <c r="J32" s="324"/>
      <c r="K32" s="324"/>
      <c r="L32" s="324"/>
      <c r="M32" s="324"/>
      <c r="N32" s="324"/>
      <c r="O32" s="324"/>
      <c r="P32" s="324"/>
      <c r="Q32" s="324"/>
      <c r="R32" s="324"/>
    </row>
    <row r="33" spans="1:18" ht="24" customHeight="1" x14ac:dyDescent="0.3">
      <c r="A33" s="3" t="s">
        <v>8</v>
      </c>
      <c r="B33" s="3" t="s">
        <v>9</v>
      </c>
      <c r="C33" s="3" t="s">
        <v>10</v>
      </c>
      <c r="D33" s="3" t="s">
        <v>11</v>
      </c>
      <c r="E33" s="3" t="s">
        <v>12</v>
      </c>
      <c r="F33" s="4" t="s">
        <v>13</v>
      </c>
      <c r="G33" s="5" t="s">
        <v>14</v>
      </c>
      <c r="H33" s="3" t="s">
        <v>15</v>
      </c>
      <c r="I33" s="3" t="s">
        <v>16</v>
      </c>
      <c r="J33" s="3" t="s">
        <v>17</v>
      </c>
      <c r="K33" s="3" t="s">
        <v>18</v>
      </c>
      <c r="L33" s="3" t="s">
        <v>19</v>
      </c>
      <c r="M33" s="3" t="s">
        <v>20</v>
      </c>
      <c r="N33" s="3" t="s">
        <v>21</v>
      </c>
      <c r="O33" s="3" t="s">
        <v>22</v>
      </c>
      <c r="P33" s="3" t="s">
        <v>23</v>
      </c>
      <c r="Q33" s="3" t="s">
        <v>24</v>
      </c>
      <c r="R33" s="3" t="s">
        <v>25</v>
      </c>
    </row>
    <row r="34" spans="1:18" ht="49.95" customHeight="1" x14ac:dyDescent="0.3">
      <c r="A34" s="6" t="s">
        <v>66</v>
      </c>
      <c r="B34" s="6" t="s">
        <v>1519</v>
      </c>
      <c r="C34" s="6">
        <v>3.4722222222222217E-2</v>
      </c>
      <c r="D34" s="6" t="s">
        <v>369</v>
      </c>
      <c r="E34" s="6" t="s">
        <v>47</v>
      </c>
      <c r="F34" s="6" t="s">
        <v>1527</v>
      </c>
      <c r="G34" s="335"/>
      <c r="H34" s="7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ht="49.95" customHeight="1" x14ac:dyDescent="0.3">
      <c r="A35" s="11" t="s">
        <v>410</v>
      </c>
      <c r="B35" s="11" t="s">
        <v>1528</v>
      </c>
      <c r="C35" s="11">
        <v>0.97916666666666663</v>
      </c>
      <c r="D35" s="11" t="s">
        <v>46</v>
      </c>
      <c r="E35" s="11" t="s">
        <v>47</v>
      </c>
      <c r="F35" s="11" t="s">
        <v>657</v>
      </c>
      <c r="G35" s="328"/>
      <c r="H35" s="7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ht="49.95" customHeight="1" x14ac:dyDescent="0.3">
      <c r="A36" s="32" t="s">
        <v>44</v>
      </c>
      <c r="B36" s="32" t="s">
        <v>1524</v>
      </c>
      <c r="C36" s="32">
        <v>6.9444444444444447E-4</v>
      </c>
      <c r="D36" s="32" t="s">
        <v>46</v>
      </c>
      <c r="E36" s="32" t="s">
        <v>47</v>
      </c>
      <c r="F36" s="32" t="s">
        <v>623</v>
      </c>
      <c r="G36" s="328"/>
      <c r="H36" s="33" t="s">
        <v>1525</v>
      </c>
      <c r="I36" s="291">
        <v>0.1012</v>
      </c>
      <c r="J36" s="35">
        <v>17</v>
      </c>
      <c r="K36" s="36" t="s">
        <v>50</v>
      </c>
      <c r="L36" s="35">
        <v>1</v>
      </c>
      <c r="M36" s="35">
        <v>0</v>
      </c>
      <c r="N36" s="35">
        <v>1</v>
      </c>
      <c r="O36" s="36" t="s">
        <v>237</v>
      </c>
      <c r="P36" s="36">
        <v>6.9444444444444447E-4</v>
      </c>
      <c r="Q36" s="35">
        <v>168</v>
      </c>
      <c r="R36" s="37" t="s">
        <v>1529</v>
      </c>
    </row>
    <row r="37" spans="1:18" ht="17.399999999999999" customHeight="1" x14ac:dyDescent="0.3">
      <c r="A37" s="360"/>
      <c r="B37" s="361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2"/>
    </row>
    <row r="38" spans="1:18" ht="22.05" customHeight="1" x14ac:dyDescent="0.3">
      <c r="A38" s="323" t="s">
        <v>6</v>
      </c>
      <c r="B38" s="324"/>
      <c r="C38" s="324"/>
      <c r="D38" s="324"/>
      <c r="E38" s="324"/>
      <c r="F38" s="324"/>
      <c r="G38" s="2">
        <v>45991</v>
      </c>
      <c r="H38" s="323" t="s">
        <v>7</v>
      </c>
      <c r="I38" s="324"/>
      <c r="J38" s="324"/>
      <c r="K38" s="324"/>
      <c r="L38" s="324"/>
      <c r="M38" s="324"/>
      <c r="N38" s="324"/>
      <c r="O38" s="324"/>
      <c r="P38" s="324"/>
      <c r="Q38" s="324"/>
      <c r="R38" s="324"/>
    </row>
    <row r="39" spans="1:18" ht="24" customHeight="1" x14ac:dyDescent="0.3">
      <c r="A39" s="3" t="s">
        <v>8</v>
      </c>
      <c r="B39" s="3" t="s">
        <v>9</v>
      </c>
      <c r="C39" s="3" t="s">
        <v>10</v>
      </c>
      <c r="D39" s="3" t="s">
        <v>11</v>
      </c>
      <c r="E39" s="3" t="s">
        <v>12</v>
      </c>
      <c r="F39" s="4" t="s">
        <v>13</v>
      </c>
      <c r="G39" s="5" t="s">
        <v>14</v>
      </c>
      <c r="H39" s="3" t="s">
        <v>15</v>
      </c>
      <c r="I39" s="3" t="s">
        <v>16</v>
      </c>
      <c r="J39" s="3" t="s">
        <v>17</v>
      </c>
      <c r="K39" s="3" t="s">
        <v>18</v>
      </c>
      <c r="L39" s="3" t="s">
        <v>19</v>
      </c>
      <c r="M39" s="3" t="s">
        <v>20</v>
      </c>
      <c r="N39" s="3" t="s">
        <v>21</v>
      </c>
      <c r="O39" s="3" t="s">
        <v>22</v>
      </c>
      <c r="P39" s="3" t="s">
        <v>23</v>
      </c>
      <c r="Q39" s="3" t="s">
        <v>24</v>
      </c>
      <c r="R39" s="3" t="s">
        <v>25</v>
      </c>
    </row>
    <row r="40" spans="1:18" ht="49.95" customHeight="1" x14ac:dyDescent="0.3">
      <c r="A40" s="6" t="s">
        <v>404</v>
      </c>
      <c r="B40" s="6" t="s">
        <v>1517</v>
      </c>
      <c r="C40" s="6">
        <v>0.60763888888888895</v>
      </c>
      <c r="D40" s="6" t="s">
        <v>46</v>
      </c>
      <c r="E40" s="6" t="s">
        <v>47</v>
      </c>
      <c r="F40" s="6" t="s">
        <v>1523</v>
      </c>
      <c r="G40" s="335"/>
      <c r="H40" s="7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ht="49.95" customHeight="1" x14ac:dyDescent="0.3">
      <c r="A41" s="11" t="s">
        <v>66</v>
      </c>
      <c r="B41" s="11" t="s">
        <v>1519</v>
      </c>
      <c r="C41" s="11">
        <v>3.125E-2</v>
      </c>
      <c r="D41" s="11" t="s">
        <v>369</v>
      </c>
      <c r="E41" s="11" t="s">
        <v>47</v>
      </c>
      <c r="F41" s="11" t="s">
        <v>1527</v>
      </c>
      <c r="G41" s="328"/>
      <c r="H41" s="7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ht="49.95" customHeight="1" x14ac:dyDescent="0.3">
      <c r="A42" s="11" t="s">
        <v>410</v>
      </c>
      <c r="B42" s="11" t="s">
        <v>1518</v>
      </c>
      <c r="C42" s="11">
        <v>0.65625</v>
      </c>
      <c r="D42" s="11" t="s">
        <v>46</v>
      </c>
      <c r="E42" s="11" t="s">
        <v>134</v>
      </c>
      <c r="F42" s="11" t="s">
        <v>657</v>
      </c>
      <c r="G42" s="328"/>
      <c r="H42" s="7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ht="49.95" customHeight="1" x14ac:dyDescent="0.3">
      <c r="A43" s="38" t="s">
        <v>44</v>
      </c>
      <c r="B43" s="38" t="s">
        <v>1524</v>
      </c>
      <c r="C43" s="38">
        <v>0.79861111111111116</v>
      </c>
      <c r="D43" s="38" t="s">
        <v>46</v>
      </c>
      <c r="E43" s="38" t="s">
        <v>134</v>
      </c>
      <c r="F43" s="38" t="s">
        <v>623</v>
      </c>
      <c r="G43" s="328"/>
      <c r="H43" s="39" t="s">
        <v>1525</v>
      </c>
      <c r="I43" s="293">
        <v>0.4345</v>
      </c>
      <c r="J43" s="41">
        <v>73</v>
      </c>
      <c r="K43" s="42" t="s">
        <v>63</v>
      </c>
      <c r="L43" s="41">
        <v>18</v>
      </c>
      <c r="M43" s="41">
        <v>0</v>
      </c>
      <c r="N43" s="41">
        <v>0</v>
      </c>
      <c r="O43" s="42" t="s">
        <v>346</v>
      </c>
      <c r="P43" s="42">
        <v>0.79861111111111116</v>
      </c>
      <c r="Q43" s="41">
        <v>168</v>
      </c>
      <c r="R43" s="43" t="s">
        <v>1530</v>
      </c>
    </row>
    <row r="44" spans="1:18" ht="17.399999999999999" customHeight="1" x14ac:dyDescent="0.3">
      <c r="A44" s="360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2"/>
    </row>
    <row r="45" spans="1:18" ht="22.05" customHeight="1" x14ac:dyDescent="0.3">
      <c r="A45" s="323" t="s">
        <v>6</v>
      </c>
      <c r="B45" s="324"/>
      <c r="C45" s="324"/>
      <c r="D45" s="324"/>
      <c r="E45" s="324"/>
      <c r="F45" s="324"/>
      <c r="G45" s="2">
        <v>45992</v>
      </c>
      <c r="H45" s="323" t="s">
        <v>7</v>
      </c>
      <c r="I45" s="324"/>
      <c r="J45" s="324"/>
      <c r="K45" s="324"/>
      <c r="L45" s="324"/>
      <c r="M45" s="324"/>
      <c r="N45" s="324"/>
      <c r="O45" s="324"/>
      <c r="P45" s="324"/>
      <c r="Q45" s="324"/>
      <c r="R45" s="324"/>
    </row>
    <row r="46" spans="1:18" ht="24" customHeight="1" x14ac:dyDescent="0.3">
      <c r="A46" s="3" t="s">
        <v>8</v>
      </c>
      <c r="B46" s="3" t="s">
        <v>9</v>
      </c>
      <c r="C46" s="3" t="s">
        <v>10</v>
      </c>
      <c r="D46" s="3" t="s">
        <v>11</v>
      </c>
      <c r="E46" s="3" t="s">
        <v>12</v>
      </c>
      <c r="F46" s="4" t="s">
        <v>13</v>
      </c>
      <c r="G46" s="5" t="s">
        <v>14</v>
      </c>
      <c r="H46" s="3" t="s">
        <v>15</v>
      </c>
      <c r="I46" s="3" t="s">
        <v>16</v>
      </c>
      <c r="J46" s="3" t="s">
        <v>17</v>
      </c>
      <c r="K46" s="3" t="s">
        <v>18</v>
      </c>
      <c r="L46" s="3" t="s">
        <v>19</v>
      </c>
      <c r="M46" s="3" t="s">
        <v>20</v>
      </c>
      <c r="N46" s="3" t="s">
        <v>21</v>
      </c>
      <c r="O46" s="3" t="s">
        <v>22</v>
      </c>
      <c r="P46" s="3" t="s">
        <v>23</v>
      </c>
      <c r="Q46" s="3" t="s">
        <v>24</v>
      </c>
      <c r="R46" s="3" t="s">
        <v>25</v>
      </c>
    </row>
    <row r="47" spans="1:18" ht="49.95" customHeight="1" x14ac:dyDescent="0.3">
      <c r="A47" s="125" t="s">
        <v>410</v>
      </c>
      <c r="B47" s="125" t="s">
        <v>1518</v>
      </c>
      <c r="C47" s="125">
        <v>0.65625</v>
      </c>
      <c r="D47" s="125" t="s">
        <v>46</v>
      </c>
      <c r="E47" s="125" t="s">
        <v>47</v>
      </c>
      <c r="F47" s="125" t="s">
        <v>657</v>
      </c>
      <c r="G47" s="335"/>
      <c r="H47" s="28"/>
      <c r="I47" s="29"/>
      <c r="J47" s="29"/>
      <c r="K47" s="29"/>
      <c r="L47" s="29"/>
      <c r="M47" s="29"/>
      <c r="N47" s="29"/>
      <c r="O47" s="29"/>
      <c r="P47" s="29"/>
      <c r="Q47" s="29"/>
      <c r="R47" s="30"/>
    </row>
    <row r="48" spans="1:18" ht="17.399999999999999" customHeight="1" x14ac:dyDescent="0.3">
      <c r="A48" s="360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2"/>
    </row>
    <row r="49" spans="1:18" ht="22.05" customHeight="1" x14ac:dyDescent="0.3">
      <c r="A49" s="323" t="s">
        <v>6</v>
      </c>
      <c r="B49" s="324"/>
      <c r="C49" s="324"/>
      <c r="D49" s="324"/>
      <c r="E49" s="324"/>
      <c r="F49" s="324"/>
      <c r="G49" s="2">
        <v>45993</v>
      </c>
      <c r="H49" s="323" t="s">
        <v>7</v>
      </c>
      <c r="I49" s="324"/>
      <c r="J49" s="324"/>
      <c r="K49" s="324"/>
      <c r="L49" s="324"/>
      <c r="M49" s="324"/>
      <c r="N49" s="324"/>
      <c r="O49" s="324"/>
      <c r="P49" s="324"/>
      <c r="Q49" s="324"/>
      <c r="R49" s="324"/>
    </row>
    <row r="50" spans="1:18" ht="24" customHeight="1" x14ac:dyDescent="0.3">
      <c r="A50" s="3" t="s">
        <v>8</v>
      </c>
      <c r="B50" s="3" t="s">
        <v>9</v>
      </c>
      <c r="C50" s="3" t="s">
        <v>10</v>
      </c>
      <c r="D50" s="3" t="s">
        <v>11</v>
      </c>
      <c r="E50" s="3" t="s">
        <v>12</v>
      </c>
      <c r="F50" s="4" t="s">
        <v>13</v>
      </c>
      <c r="G50" s="5" t="s">
        <v>14</v>
      </c>
      <c r="H50" s="3" t="s">
        <v>15</v>
      </c>
      <c r="I50" s="3" t="s">
        <v>16</v>
      </c>
      <c r="J50" s="3" t="s">
        <v>17</v>
      </c>
      <c r="K50" s="3" t="s">
        <v>18</v>
      </c>
      <c r="L50" s="3" t="s">
        <v>19</v>
      </c>
      <c r="M50" s="3" t="s">
        <v>20</v>
      </c>
      <c r="N50" s="3" t="s">
        <v>21</v>
      </c>
      <c r="O50" s="3" t="s">
        <v>22</v>
      </c>
      <c r="P50" s="3" t="s">
        <v>23</v>
      </c>
      <c r="Q50" s="3" t="s">
        <v>24</v>
      </c>
      <c r="R50" s="3" t="s">
        <v>25</v>
      </c>
    </row>
    <row r="51" spans="1:18" ht="49.95" customHeight="1" x14ac:dyDescent="0.3">
      <c r="A51" s="6" t="s">
        <v>456</v>
      </c>
      <c r="B51" s="6" t="s">
        <v>1521</v>
      </c>
      <c r="C51" s="6">
        <v>0.9375</v>
      </c>
      <c r="D51" s="6" t="s">
        <v>458</v>
      </c>
      <c r="E51" s="6" t="s">
        <v>123</v>
      </c>
      <c r="F51" s="6" t="s">
        <v>1522</v>
      </c>
      <c r="G51" s="335"/>
      <c r="H51" s="7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1:18" ht="49.95" customHeight="1" x14ac:dyDescent="0.3">
      <c r="A52" s="10" t="s">
        <v>456</v>
      </c>
      <c r="B52" s="10" t="s">
        <v>1521</v>
      </c>
      <c r="C52" s="10">
        <v>0.9375</v>
      </c>
      <c r="D52" s="10" t="s">
        <v>34</v>
      </c>
      <c r="E52" s="10" t="s">
        <v>124</v>
      </c>
      <c r="F52" s="10" t="s">
        <v>572</v>
      </c>
      <c r="G52" s="328"/>
      <c r="H52" s="7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1:18" ht="49.95" customHeight="1" x14ac:dyDescent="0.3">
      <c r="A53" s="11" t="s">
        <v>404</v>
      </c>
      <c r="B53" s="11" t="s">
        <v>1517</v>
      </c>
      <c r="C53" s="11">
        <v>0.60763888888888895</v>
      </c>
      <c r="D53" s="11" t="s">
        <v>46</v>
      </c>
      <c r="E53" s="11" t="s">
        <v>47</v>
      </c>
      <c r="F53" s="11" t="s">
        <v>657</v>
      </c>
      <c r="G53" s="328"/>
      <c r="H53" s="7"/>
      <c r="I53" s="8"/>
      <c r="J53" s="8"/>
      <c r="K53" s="8"/>
      <c r="L53" s="8"/>
      <c r="M53" s="8"/>
      <c r="N53" s="8"/>
      <c r="O53" s="8"/>
      <c r="P53" s="8"/>
      <c r="Q53" s="8"/>
      <c r="R53" s="9"/>
    </row>
    <row r="54" spans="1:18" ht="49.95" customHeight="1" x14ac:dyDescent="0.3">
      <c r="A54" s="11" t="s">
        <v>410</v>
      </c>
      <c r="B54" s="11" t="s">
        <v>1518</v>
      </c>
      <c r="C54" s="11">
        <v>0.65625</v>
      </c>
      <c r="D54" s="11" t="s">
        <v>46</v>
      </c>
      <c r="E54" s="11" t="s">
        <v>129</v>
      </c>
      <c r="F54" s="11" t="s">
        <v>657</v>
      </c>
      <c r="G54" s="328"/>
      <c r="H54" s="7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1:18" ht="49.95" customHeight="1" x14ac:dyDescent="0.3">
      <c r="A55" s="50" t="s">
        <v>66</v>
      </c>
      <c r="B55" s="50" t="s">
        <v>1519</v>
      </c>
      <c r="C55" s="50">
        <v>3.125E-2</v>
      </c>
      <c r="D55" s="50" t="s">
        <v>68</v>
      </c>
      <c r="E55" s="50" t="s">
        <v>47</v>
      </c>
      <c r="F55" s="50" t="s">
        <v>1520</v>
      </c>
      <c r="G55" s="328"/>
      <c r="H55" s="28"/>
      <c r="I55" s="29"/>
      <c r="J55" s="29"/>
      <c r="K55" s="29"/>
      <c r="L55" s="29"/>
      <c r="M55" s="29"/>
      <c r="N55" s="29"/>
      <c r="O55" s="29"/>
      <c r="P55" s="29"/>
      <c r="Q55" s="29"/>
      <c r="R55" s="30"/>
    </row>
    <row r="56" spans="1:18" ht="17.399999999999999" customHeight="1" x14ac:dyDescent="0.3">
      <c r="A56" s="360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1"/>
      <c r="P56" s="361"/>
      <c r="Q56" s="361"/>
      <c r="R56" s="362"/>
    </row>
    <row r="57" spans="1:18" ht="22.05" customHeight="1" x14ac:dyDescent="0.3">
      <c r="A57" s="323" t="s">
        <v>6</v>
      </c>
      <c r="B57" s="324"/>
      <c r="C57" s="324"/>
      <c r="D57" s="324"/>
      <c r="E57" s="324"/>
      <c r="F57" s="324"/>
      <c r="G57" s="2">
        <v>45994</v>
      </c>
      <c r="H57" s="323" t="s">
        <v>7</v>
      </c>
      <c r="I57" s="324"/>
      <c r="J57" s="324"/>
      <c r="K57" s="324"/>
      <c r="L57" s="324"/>
      <c r="M57" s="324"/>
      <c r="N57" s="324"/>
      <c r="O57" s="324"/>
      <c r="P57" s="324"/>
      <c r="Q57" s="324"/>
      <c r="R57" s="324"/>
    </row>
    <row r="58" spans="1:18" ht="24" customHeight="1" x14ac:dyDescent="0.3">
      <c r="A58" s="3" t="s">
        <v>8</v>
      </c>
      <c r="B58" s="3" t="s">
        <v>9</v>
      </c>
      <c r="C58" s="3" t="s">
        <v>10</v>
      </c>
      <c r="D58" s="3" t="s">
        <v>11</v>
      </c>
      <c r="E58" s="3" t="s">
        <v>12</v>
      </c>
      <c r="F58" s="4" t="s">
        <v>13</v>
      </c>
      <c r="G58" s="5" t="s">
        <v>14</v>
      </c>
      <c r="H58" s="3" t="s">
        <v>15</v>
      </c>
      <c r="I58" s="3" t="s">
        <v>16</v>
      </c>
      <c r="J58" s="3" t="s">
        <v>17</v>
      </c>
      <c r="K58" s="3" t="s">
        <v>18</v>
      </c>
      <c r="L58" s="3" t="s">
        <v>19</v>
      </c>
      <c r="M58" s="3" t="s">
        <v>20</v>
      </c>
      <c r="N58" s="3" t="s">
        <v>21</v>
      </c>
      <c r="O58" s="3" t="s">
        <v>22</v>
      </c>
      <c r="P58" s="3" t="s">
        <v>23</v>
      </c>
      <c r="Q58" s="3" t="s">
        <v>24</v>
      </c>
      <c r="R58" s="3" t="s">
        <v>25</v>
      </c>
    </row>
    <row r="59" spans="1:18" ht="49.95" customHeight="1" x14ac:dyDescent="0.3">
      <c r="A59" s="125" t="s">
        <v>410</v>
      </c>
      <c r="B59" s="125" t="s">
        <v>1518</v>
      </c>
      <c r="C59" s="125">
        <v>0.65625</v>
      </c>
      <c r="D59" s="125" t="s">
        <v>46</v>
      </c>
      <c r="E59" s="125" t="s">
        <v>129</v>
      </c>
      <c r="F59" s="125" t="s">
        <v>657</v>
      </c>
      <c r="G59" s="335"/>
      <c r="H59" s="28"/>
      <c r="I59" s="29"/>
      <c r="J59" s="29"/>
      <c r="K59" s="29"/>
      <c r="L59" s="29"/>
      <c r="M59" s="29"/>
      <c r="N59" s="29"/>
      <c r="O59" s="29"/>
      <c r="P59" s="29"/>
      <c r="Q59" s="29"/>
      <c r="R59" s="30"/>
    </row>
    <row r="60" spans="1:18" ht="17.399999999999999" customHeight="1" x14ac:dyDescent="0.3">
      <c r="A60" s="360"/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2"/>
    </row>
    <row r="61" spans="1:18" ht="22.05" customHeight="1" x14ac:dyDescent="0.3">
      <c r="A61" s="323" t="s">
        <v>6</v>
      </c>
      <c r="B61" s="324"/>
      <c r="C61" s="324"/>
      <c r="D61" s="324"/>
      <c r="E61" s="324"/>
      <c r="F61" s="324"/>
      <c r="G61" s="2">
        <v>45995</v>
      </c>
      <c r="H61" s="323" t="s">
        <v>7</v>
      </c>
      <c r="I61" s="324"/>
      <c r="J61" s="324"/>
      <c r="K61" s="324"/>
      <c r="L61" s="324"/>
      <c r="M61" s="324"/>
      <c r="N61" s="324"/>
      <c r="O61" s="324"/>
      <c r="P61" s="324"/>
      <c r="Q61" s="324"/>
      <c r="R61" s="324"/>
    </row>
    <row r="62" spans="1:18" ht="24" customHeight="1" x14ac:dyDescent="0.3">
      <c r="A62" s="3" t="s">
        <v>8</v>
      </c>
      <c r="B62" s="3" t="s">
        <v>9</v>
      </c>
      <c r="C62" s="3" t="s">
        <v>10</v>
      </c>
      <c r="D62" s="3" t="s">
        <v>11</v>
      </c>
      <c r="E62" s="3" t="s">
        <v>12</v>
      </c>
      <c r="F62" s="4" t="s">
        <v>13</v>
      </c>
      <c r="G62" s="5" t="s">
        <v>14</v>
      </c>
      <c r="H62" s="3" t="s">
        <v>15</v>
      </c>
      <c r="I62" s="3" t="s">
        <v>16</v>
      </c>
      <c r="J62" s="3" t="s">
        <v>17</v>
      </c>
      <c r="K62" s="3" t="s">
        <v>18</v>
      </c>
      <c r="L62" s="3" t="s">
        <v>19</v>
      </c>
      <c r="M62" s="3" t="s">
        <v>20</v>
      </c>
      <c r="N62" s="3" t="s">
        <v>21</v>
      </c>
      <c r="O62" s="3" t="s">
        <v>22</v>
      </c>
      <c r="P62" s="3" t="s">
        <v>23</v>
      </c>
      <c r="Q62" s="3" t="s">
        <v>24</v>
      </c>
      <c r="R62" s="3" t="s">
        <v>25</v>
      </c>
    </row>
    <row r="63" spans="1:18" ht="49.95" customHeight="1" x14ac:dyDescent="0.3">
      <c r="A63" s="6" t="s">
        <v>404</v>
      </c>
      <c r="B63" s="6" t="s">
        <v>1517</v>
      </c>
      <c r="C63" s="6">
        <v>0.625</v>
      </c>
      <c r="D63" s="6" t="s">
        <v>46</v>
      </c>
      <c r="E63" s="6" t="s">
        <v>47</v>
      </c>
      <c r="F63" s="6" t="s">
        <v>657</v>
      </c>
      <c r="G63" s="335"/>
      <c r="H63" s="7"/>
      <c r="I63" s="8"/>
      <c r="J63" s="8"/>
      <c r="K63" s="8"/>
      <c r="L63" s="8"/>
      <c r="M63" s="8"/>
      <c r="N63" s="8"/>
      <c r="O63" s="8"/>
      <c r="P63" s="8"/>
      <c r="Q63" s="8"/>
      <c r="R63" s="9"/>
    </row>
    <row r="64" spans="1:18" ht="49.95" customHeight="1" x14ac:dyDescent="0.3">
      <c r="A64" s="11" t="s">
        <v>410</v>
      </c>
      <c r="B64" s="11" t="s">
        <v>1518</v>
      </c>
      <c r="C64" s="11">
        <v>0.65625</v>
      </c>
      <c r="D64" s="11" t="s">
        <v>46</v>
      </c>
      <c r="E64" s="11" t="s">
        <v>121</v>
      </c>
      <c r="F64" s="11" t="s">
        <v>657</v>
      </c>
      <c r="G64" s="328"/>
      <c r="H64" s="7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 spans="1:18" ht="49.95" customHeight="1" x14ac:dyDescent="0.3">
      <c r="A65" s="149" t="s">
        <v>44</v>
      </c>
      <c r="B65" s="149" t="s">
        <v>1524</v>
      </c>
      <c r="C65" s="149">
        <v>0.79861111111111116</v>
      </c>
      <c r="D65" s="149" t="s">
        <v>46</v>
      </c>
      <c r="E65" s="149" t="s">
        <v>47</v>
      </c>
      <c r="F65" s="149" t="s">
        <v>623</v>
      </c>
      <c r="G65" s="328"/>
      <c r="H65" s="19" t="s">
        <v>1525</v>
      </c>
      <c r="I65" s="188">
        <v>0.40479999999999999</v>
      </c>
      <c r="J65" s="21">
        <v>68</v>
      </c>
      <c r="K65" s="22" t="s">
        <v>175</v>
      </c>
      <c r="L65" s="21">
        <v>15</v>
      </c>
      <c r="M65" s="21">
        <v>2</v>
      </c>
      <c r="N65" s="21">
        <v>4</v>
      </c>
      <c r="O65" s="22" t="s">
        <v>237</v>
      </c>
      <c r="P65" s="22">
        <v>0.79861111111111116</v>
      </c>
      <c r="Q65" s="21">
        <v>168</v>
      </c>
      <c r="R65" s="23" t="s">
        <v>1531</v>
      </c>
    </row>
    <row r="66" spans="1:18" ht="49.95" customHeight="1" x14ac:dyDescent="0.3">
      <c r="A66" s="50" t="s">
        <v>66</v>
      </c>
      <c r="B66" s="50" t="s">
        <v>1519</v>
      </c>
      <c r="C66" s="50">
        <v>3.125E-2</v>
      </c>
      <c r="D66" s="50" t="s">
        <v>68</v>
      </c>
      <c r="E66" s="50" t="s">
        <v>47</v>
      </c>
      <c r="F66" s="50" t="s">
        <v>1532</v>
      </c>
      <c r="G66" s="328"/>
      <c r="H66" s="28"/>
      <c r="I66" s="29"/>
      <c r="J66" s="29"/>
      <c r="K66" s="29"/>
      <c r="L66" s="29"/>
      <c r="M66" s="29"/>
      <c r="N66" s="29"/>
      <c r="O66" s="29"/>
      <c r="P66" s="29"/>
      <c r="Q66" s="29"/>
      <c r="R66" s="30"/>
    </row>
    <row r="67" spans="1:18" ht="17.399999999999999" customHeight="1" x14ac:dyDescent="0.3">
      <c r="A67" s="360"/>
      <c r="B67" s="361"/>
      <c r="C67" s="361"/>
      <c r="D67" s="361"/>
      <c r="E67" s="361"/>
      <c r="F67" s="361"/>
      <c r="G67" s="361"/>
      <c r="H67" s="361"/>
      <c r="I67" s="361"/>
      <c r="J67" s="361"/>
      <c r="K67" s="361"/>
      <c r="L67" s="361"/>
      <c r="M67" s="361"/>
      <c r="N67" s="361"/>
      <c r="O67" s="361"/>
      <c r="P67" s="361"/>
      <c r="Q67" s="361"/>
      <c r="R67" s="362"/>
    </row>
    <row r="68" spans="1:18" ht="22.05" customHeight="1" x14ac:dyDescent="0.3">
      <c r="A68" s="323" t="s">
        <v>6</v>
      </c>
      <c r="B68" s="324"/>
      <c r="C68" s="324"/>
      <c r="D68" s="324"/>
      <c r="E68" s="324"/>
      <c r="F68" s="324"/>
      <c r="G68" s="2">
        <v>45996</v>
      </c>
      <c r="H68" s="323" t="s">
        <v>7</v>
      </c>
      <c r="I68" s="324"/>
      <c r="J68" s="324"/>
      <c r="K68" s="324"/>
      <c r="L68" s="324"/>
      <c r="M68" s="324"/>
      <c r="N68" s="324"/>
      <c r="O68" s="324"/>
      <c r="P68" s="324"/>
      <c r="Q68" s="324"/>
      <c r="R68" s="324"/>
    </row>
    <row r="69" spans="1:18" ht="24" customHeight="1" x14ac:dyDescent="0.3">
      <c r="A69" s="3" t="s">
        <v>8</v>
      </c>
      <c r="B69" s="3" t="s">
        <v>9</v>
      </c>
      <c r="C69" s="3" t="s">
        <v>10</v>
      </c>
      <c r="D69" s="3" t="s">
        <v>11</v>
      </c>
      <c r="E69" s="3" t="s">
        <v>12</v>
      </c>
      <c r="F69" s="4" t="s">
        <v>13</v>
      </c>
      <c r="G69" s="5" t="s">
        <v>14</v>
      </c>
      <c r="H69" s="3" t="s">
        <v>15</v>
      </c>
      <c r="I69" s="3" t="s">
        <v>16</v>
      </c>
      <c r="J69" s="3" t="s">
        <v>17</v>
      </c>
      <c r="K69" s="3" t="s">
        <v>18</v>
      </c>
      <c r="L69" s="3" t="s">
        <v>19</v>
      </c>
      <c r="M69" s="3" t="s">
        <v>20</v>
      </c>
      <c r="N69" s="3" t="s">
        <v>21</v>
      </c>
      <c r="O69" s="3" t="s">
        <v>22</v>
      </c>
      <c r="P69" s="3" t="s">
        <v>23</v>
      </c>
      <c r="Q69" s="3" t="s">
        <v>24</v>
      </c>
      <c r="R69" s="3" t="s">
        <v>25</v>
      </c>
    </row>
    <row r="70" spans="1:18" ht="49.95" customHeight="1" x14ac:dyDescent="0.3">
      <c r="A70" s="6" t="s">
        <v>410</v>
      </c>
      <c r="B70" s="6" t="s">
        <v>1518</v>
      </c>
      <c r="C70" s="6">
        <v>0.65625</v>
      </c>
      <c r="D70" s="6" t="s">
        <v>46</v>
      </c>
      <c r="E70" s="6" t="s">
        <v>102</v>
      </c>
      <c r="F70" s="6" t="s">
        <v>657</v>
      </c>
      <c r="G70" s="335"/>
      <c r="H70" s="7"/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ht="49.95" customHeight="1" x14ac:dyDescent="0.3">
      <c r="A71" s="50" t="s">
        <v>66</v>
      </c>
      <c r="B71" s="50" t="s">
        <v>1519</v>
      </c>
      <c r="C71" s="50">
        <v>3.125E-2</v>
      </c>
      <c r="D71" s="50" t="s">
        <v>68</v>
      </c>
      <c r="E71" s="50" t="s">
        <v>47</v>
      </c>
      <c r="F71" s="50" t="s">
        <v>1532</v>
      </c>
      <c r="G71" s="328"/>
      <c r="H71" s="28"/>
      <c r="I71" s="29"/>
      <c r="J71" s="29"/>
      <c r="K71" s="29"/>
      <c r="L71" s="29"/>
      <c r="M71" s="29"/>
      <c r="N71" s="29"/>
      <c r="O71" s="29"/>
      <c r="P71" s="29"/>
      <c r="Q71" s="29"/>
      <c r="R71" s="30"/>
    </row>
    <row r="72" spans="1:18" ht="17.399999999999999" customHeight="1" x14ac:dyDescent="0.3">
      <c r="A72" s="360"/>
      <c r="B72" s="361"/>
      <c r="C72" s="361"/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61"/>
      <c r="P72" s="361"/>
      <c r="Q72" s="361"/>
      <c r="R72" s="362"/>
    </row>
    <row r="73" spans="1:18" ht="22.05" customHeight="1" x14ac:dyDescent="0.3">
      <c r="A73" s="323" t="s">
        <v>6</v>
      </c>
      <c r="B73" s="324"/>
      <c r="C73" s="324"/>
      <c r="D73" s="324"/>
      <c r="E73" s="324"/>
      <c r="F73" s="324"/>
      <c r="G73" s="2">
        <v>45997</v>
      </c>
      <c r="H73" s="323" t="s">
        <v>7</v>
      </c>
      <c r="I73" s="324"/>
      <c r="J73" s="324"/>
      <c r="K73" s="324"/>
      <c r="L73" s="324"/>
      <c r="M73" s="324"/>
      <c r="N73" s="324"/>
      <c r="O73" s="324"/>
      <c r="P73" s="324"/>
      <c r="Q73" s="324"/>
      <c r="R73" s="324"/>
    </row>
    <row r="74" spans="1:18" ht="24" customHeight="1" x14ac:dyDescent="0.3">
      <c r="A74" s="3" t="s">
        <v>8</v>
      </c>
      <c r="B74" s="3" t="s">
        <v>9</v>
      </c>
      <c r="C74" s="3" t="s">
        <v>10</v>
      </c>
      <c r="D74" s="3" t="s">
        <v>11</v>
      </c>
      <c r="E74" s="3" t="s">
        <v>12</v>
      </c>
      <c r="F74" s="4" t="s">
        <v>13</v>
      </c>
      <c r="G74" s="5" t="s">
        <v>14</v>
      </c>
      <c r="H74" s="3" t="s">
        <v>15</v>
      </c>
      <c r="I74" s="3" t="s">
        <v>16</v>
      </c>
      <c r="J74" s="3" t="s">
        <v>17</v>
      </c>
      <c r="K74" s="3" t="s">
        <v>18</v>
      </c>
      <c r="L74" s="3" t="s">
        <v>19</v>
      </c>
      <c r="M74" s="3" t="s">
        <v>20</v>
      </c>
      <c r="N74" s="3" t="s">
        <v>21</v>
      </c>
      <c r="O74" s="3" t="s">
        <v>22</v>
      </c>
      <c r="P74" s="3" t="s">
        <v>23</v>
      </c>
      <c r="Q74" s="3" t="s">
        <v>24</v>
      </c>
      <c r="R74" s="3" t="s">
        <v>25</v>
      </c>
    </row>
    <row r="75" spans="1:18" ht="49.95" customHeight="1" x14ac:dyDescent="0.3">
      <c r="A75" s="6" t="s">
        <v>404</v>
      </c>
      <c r="B75" s="6" t="s">
        <v>1517</v>
      </c>
      <c r="C75" s="6">
        <v>0.60763888888888895</v>
      </c>
      <c r="D75" s="6" t="s">
        <v>46</v>
      </c>
      <c r="E75" s="6" t="s">
        <v>47</v>
      </c>
      <c r="F75" s="6" t="s">
        <v>657</v>
      </c>
      <c r="G75" s="335"/>
      <c r="H75" s="7"/>
      <c r="I75" s="8"/>
      <c r="J75" s="8"/>
      <c r="K75" s="8"/>
      <c r="L75" s="8"/>
      <c r="M75" s="8"/>
      <c r="N75" s="8"/>
      <c r="O75" s="8"/>
      <c r="P75" s="8"/>
      <c r="Q75" s="8"/>
      <c r="R75" s="9"/>
    </row>
    <row r="76" spans="1:18" ht="49.95" customHeight="1" x14ac:dyDescent="0.3">
      <c r="A76" s="11" t="s">
        <v>410</v>
      </c>
      <c r="B76" s="11" t="s">
        <v>1528</v>
      </c>
      <c r="C76" s="11">
        <v>0.97916666666666663</v>
      </c>
      <c r="D76" s="11" t="s">
        <v>46</v>
      </c>
      <c r="E76" s="11" t="s">
        <v>121</v>
      </c>
      <c r="F76" s="11" t="s">
        <v>657</v>
      </c>
      <c r="G76" s="328"/>
      <c r="H76" s="7"/>
      <c r="I76" s="8"/>
      <c r="J76" s="8"/>
      <c r="K76" s="8"/>
      <c r="L76" s="8"/>
      <c r="M76" s="8"/>
      <c r="N76" s="8"/>
      <c r="O76" s="8"/>
      <c r="P76" s="8"/>
      <c r="Q76" s="8"/>
      <c r="R76" s="9"/>
    </row>
    <row r="77" spans="1:18" ht="49.95" customHeight="1" x14ac:dyDescent="0.3">
      <c r="A77" s="139" t="s">
        <v>44</v>
      </c>
      <c r="B77" s="139" t="s">
        <v>1524</v>
      </c>
      <c r="C77" s="139">
        <v>6.9444444444444447E-4</v>
      </c>
      <c r="D77" s="139" t="s">
        <v>46</v>
      </c>
      <c r="E77" s="139" t="s">
        <v>47</v>
      </c>
      <c r="F77" s="139" t="s">
        <v>623</v>
      </c>
      <c r="G77" s="328"/>
      <c r="H77" s="194" t="s">
        <v>1525</v>
      </c>
      <c r="I77" s="200">
        <v>0.13100000000000001</v>
      </c>
      <c r="J77" s="196">
        <v>22</v>
      </c>
      <c r="K77" s="197" t="s">
        <v>175</v>
      </c>
      <c r="L77" s="196">
        <v>8</v>
      </c>
      <c r="M77" s="196">
        <v>1</v>
      </c>
      <c r="N77" s="196">
        <v>0</v>
      </c>
      <c r="O77" s="197" t="s">
        <v>237</v>
      </c>
      <c r="P77" s="197">
        <v>6.9444444444444447E-4</v>
      </c>
      <c r="Q77" s="196">
        <v>168</v>
      </c>
      <c r="R77" s="198" t="s">
        <v>1533</v>
      </c>
    </row>
    <row r="78" spans="1:18" ht="49.95" customHeight="1" x14ac:dyDescent="0.3">
      <c r="A78" s="50" t="s">
        <v>66</v>
      </c>
      <c r="B78" s="50" t="s">
        <v>1519</v>
      </c>
      <c r="C78" s="50">
        <v>3.125E-2</v>
      </c>
      <c r="D78" s="50" t="s">
        <v>68</v>
      </c>
      <c r="E78" s="50" t="s">
        <v>47</v>
      </c>
      <c r="F78" s="50" t="s">
        <v>1532</v>
      </c>
      <c r="G78" s="328"/>
      <c r="H78" s="28"/>
      <c r="I78" s="29"/>
      <c r="J78" s="29"/>
      <c r="K78" s="29"/>
      <c r="L78" s="29"/>
      <c r="M78" s="29"/>
      <c r="N78" s="29"/>
      <c r="O78" s="29"/>
      <c r="P78" s="29"/>
      <c r="Q78" s="29"/>
      <c r="R78" s="30"/>
    </row>
    <row r="79" spans="1:18" ht="17.399999999999999" customHeight="1" x14ac:dyDescent="0.3">
      <c r="A79" s="360"/>
      <c r="B79" s="361"/>
      <c r="C79" s="361"/>
      <c r="D79" s="361"/>
      <c r="E79" s="361"/>
      <c r="F79" s="361"/>
      <c r="G79" s="361"/>
      <c r="H79" s="361"/>
      <c r="I79" s="361"/>
      <c r="J79" s="361"/>
      <c r="K79" s="361"/>
      <c r="L79" s="361"/>
      <c r="M79" s="361"/>
      <c r="N79" s="361"/>
      <c r="O79" s="361"/>
      <c r="P79" s="361"/>
      <c r="Q79" s="361"/>
      <c r="R79" s="362"/>
    </row>
    <row r="80" spans="1:18" ht="22.05" customHeight="1" x14ac:dyDescent="0.3">
      <c r="A80" s="323" t="s">
        <v>6</v>
      </c>
      <c r="B80" s="324"/>
      <c r="C80" s="324"/>
      <c r="D80" s="324"/>
      <c r="E80" s="324"/>
      <c r="F80" s="324"/>
      <c r="G80" s="2">
        <v>45998</v>
      </c>
      <c r="H80" s="323" t="s">
        <v>7</v>
      </c>
      <c r="I80" s="324"/>
      <c r="J80" s="324"/>
      <c r="K80" s="324"/>
      <c r="L80" s="324"/>
      <c r="M80" s="324"/>
      <c r="N80" s="324"/>
      <c r="O80" s="324"/>
      <c r="P80" s="324"/>
      <c r="Q80" s="324"/>
      <c r="R80" s="324"/>
    </row>
    <row r="81" spans="1:18" ht="24" customHeight="1" x14ac:dyDescent="0.3">
      <c r="A81" s="3" t="s">
        <v>8</v>
      </c>
      <c r="B81" s="3" t="s">
        <v>9</v>
      </c>
      <c r="C81" s="3" t="s">
        <v>10</v>
      </c>
      <c r="D81" s="3" t="s">
        <v>11</v>
      </c>
      <c r="E81" s="3" t="s">
        <v>12</v>
      </c>
      <c r="F81" s="4" t="s">
        <v>13</v>
      </c>
      <c r="G81" s="5" t="s">
        <v>14</v>
      </c>
      <c r="H81" s="3" t="s">
        <v>15</v>
      </c>
      <c r="I81" s="3" t="s">
        <v>16</v>
      </c>
      <c r="J81" s="3" t="s">
        <v>17</v>
      </c>
      <c r="K81" s="3" t="s">
        <v>18</v>
      </c>
      <c r="L81" s="3" t="s">
        <v>19</v>
      </c>
      <c r="M81" s="3" t="s">
        <v>20</v>
      </c>
      <c r="N81" s="3" t="s">
        <v>21</v>
      </c>
      <c r="O81" s="3" t="s">
        <v>22</v>
      </c>
      <c r="P81" s="3" t="s">
        <v>23</v>
      </c>
      <c r="Q81" s="3" t="s">
        <v>24</v>
      </c>
      <c r="R81" s="3" t="s">
        <v>25</v>
      </c>
    </row>
    <row r="82" spans="1:18" ht="49.95" customHeight="1" x14ac:dyDescent="0.3">
      <c r="A82" s="6" t="s">
        <v>410</v>
      </c>
      <c r="B82" s="6" t="s">
        <v>1518</v>
      </c>
      <c r="C82" s="6">
        <v>0.65625</v>
      </c>
      <c r="D82" s="6" t="s">
        <v>46</v>
      </c>
      <c r="E82" s="6" t="s">
        <v>121</v>
      </c>
      <c r="F82" s="6" t="s">
        <v>657</v>
      </c>
      <c r="G82" s="335"/>
      <c r="H82" s="7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1:18" ht="49.95" customHeight="1" x14ac:dyDescent="0.3">
      <c r="A83" s="51" t="s">
        <v>44</v>
      </c>
      <c r="B83" s="51" t="s">
        <v>1524</v>
      </c>
      <c r="C83" s="51">
        <v>0.79861111111111116</v>
      </c>
      <c r="D83" s="51" t="s">
        <v>46</v>
      </c>
      <c r="E83" s="51" t="s">
        <v>47</v>
      </c>
      <c r="F83" s="51" t="s">
        <v>623</v>
      </c>
      <c r="G83" s="328"/>
      <c r="H83" s="52" t="s">
        <v>1525</v>
      </c>
      <c r="I83" s="203">
        <v>0.25600000000000001</v>
      </c>
      <c r="J83" s="54">
        <v>43</v>
      </c>
      <c r="K83" s="55" t="s">
        <v>50</v>
      </c>
      <c r="L83" s="54">
        <v>9</v>
      </c>
      <c r="M83" s="54">
        <v>0</v>
      </c>
      <c r="N83" s="54">
        <v>5</v>
      </c>
      <c r="O83" s="55" t="s">
        <v>237</v>
      </c>
      <c r="P83" s="55">
        <v>0.79861111111111116</v>
      </c>
      <c r="Q83" s="54">
        <v>168</v>
      </c>
      <c r="R83" s="56" t="s">
        <v>1534</v>
      </c>
    </row>
    <row r="84" spans="1:18" ht="49.95" customHeight="1" x14ac:dyDescent="0.3">
      <c r="A84" s="50" t="s">
        <v>66</v>
      </c>
      <c r="B84" s="50" t="s">
        <v>1519</v>
      </c>
      <c r="C84" s="50">
        <v>3.125E-2</v>
      </c>
      <c r="D84" s="50" t="s">
        <v>68</v>
      </c>
      <c r="E84" s="50" t="s">
        <v>47</v>
      </c>
      <c r="F84" s="50" t="s">
        <v>1532</v>
      </c>
      <c r="G84" s="328"/>
      <c r="H84" s="28"/>
      <c r="I84" s="29"/>
      <c r="J84" s="29"/>
      <c r="K84" s="29"/>
      <c r="L84" s="29"/>
      <c r="M84" s="29"/>
      <c r="N84" s="29"/>
      <c r="O84" s="29"/>
      <c r="P84" s="29"/>
      <c r="Q84" s="29"/>
      <c r="R84" s="30"/>
    </row>
    <row r="85" spans="1:18" ht="17.399999999999999" customHeight="1" x14ac:dyDescent="0.3">
      <c r="A85" s="360"/>
      <c r="B85" s="361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  <c r="O85" s="361"/>
      <c r="P85" s="361"/>
      <c r="Q85" s="361"/>
      <c r="R85" s="362"/>
    </row>
    <row r="86" spans="1:18" ht="22.05" customHeight="1" x14ac:dyDescent="0.3">
      <c r="A86" s="323" t="s">
        <v>6</v>
      </c>
      <c r="B86" s="324"/>
      <c r="C86" s="324"/>
      <c r="D86" s="324"/>
      <c r="E86" s="324"/>
      <c r="F86" s="324"/>
      <c r="G86" s="2">
        <v>45999</v>
      </c>
      <c r="H86" s="323" t="s">
        <v>7</v>
      </c>
      <c r="I86" s="324"/>
      <c r="J86" s="324"/>
      <c r="K86" s="324"/>
      <c r="L86" s="324"/>
      <c r="M86" s="324"/>
      <c r="N86" s="324"/>
      <c r="O86" s="324"/>
      <c r="P86" s="324"/>
      <c r="Q86" s="324"/>
      <c r="R86" s="324"/>
    </row>
    <row r="87" spans="1:18" ht="24" customHeight="1" x14ac:dyDescent="0.3">
      <c r="A87" s="3" t="s">
        <v>8</v>
      </c>
      <c r="B87" s="3" t="s">
        <v>9</v>
      </c>
      <c r="C87" s="3" t="s">
        <v>10</v>
      </c>
      <c r="D87" s="3" t="s">
        <v>11</v>
      </c>
      <c r="E87" s="3" t="s">
        <v>12</v>
      </c>
      <c r="F87" s="4" t="s">
        <v>13</v>
      </c>
      <c r="G87" s="5" t="s">
        <v>14</v>
      </c>
      <c r="H87" s="3" t="s">
        <v>15</v>
      </c>
      <c r="I87" s="3" t="s">
        <v>16</v>
      </c>
      <c r="J87" s="3" t="s">
        <v>17</v>
      </c>
      <c r="K87" s="3" t="s">
        <v>18</v>
      </c>
      <c r="L87" s="3" t="s">
        <v>19</v>
      </c>
      <c r="M87" s="3" t="s">
        <v>20</v>
      </c>
      <c r="N87" s="3" t="s">
        <v>21</v>
      </c>
      <c r="O87" s="3" t="s">
        <v>22</v>
      </c>
      <c r="P87" s="3" t="s">
        <v>23</v>
      </c>
      <c r="Q87" s="3" t="s">
        <v>24</v>
      </c>
      <c r="R87" s="3" t="s">
        <v>25</v>
      </c>
    </row>
    <row r="88" spans="1:18" ht="49.95" customHeight="1" x14ac:dyDescent="0.3">
      <c r="A88" s="6" t="s">
        <v>456</v>
      </c>
      <c r="B88" s="6" t="s">
        <v>1521</v>
      </c>
      <c r="C88" s="6">
        <v>0.9375</v>
      </c>
      <c r="D88" s="6" t="s">
        <v>458</v>
      </c>
      <c r="E88" s="6" t="s">
        <v>123</v>
      </c>
      <c r="F88" s="6" t="s">
        <v>1522</v>
      </c>
      <c r="G88" s="335"/>
      <c r="H88" s="7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1:18" ht="49.95" customHeight="1" x14ac:dyDescent="0.3">
      <c r="A89" s="10" t="s">
        <v>456</v>
      </c>
      <c r="B89" s="10" t="s">
        <v>1521</v>
      </c>
      <c r="C89" s="10">
        <v>0.9375</v>
      </c>
      <c r="D89" s="10" t="s">
        <v>34</v>
      </c>
      <c r="E89" s="10" t="s">
        <v>124</v>
      </c>
      <c r="F89" s="10" t="s">
        <v>572</v>
      </c>
      <c r="G89" s="328"/>
      <c r="H89" s="7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1:18" ht="49.95" customHeight="1" x14ac:dyDescent="0.3">
      <c r="A90" s="50" t="s">
        <v>410</v>
      </c>
      <c r="B90" s="50" t="s">
        <v>1518</v>
      </c>
      <c r="C90" s="50">
        <v>0.65625</v>
      </c>
      <c r="D90" s="50" t="s">
        <v>46</v>
      </c>
      <c r="E90" s="50" t="s">
        <v>121</v>
      </c>
      <c r="F90" s="50" t="s">
        <v>657</v>
      </c>
      <c r="G90" s="328"/>
      <c r="H90" s="28"/>
      <c r="I90" s="29"/>
      <c r="J90" s="29"/>
      <c r="K90" s="29"/>
      <c r="L90" s="29"/>
      <c r="M90" s="29"/>
      <c r="N90" s="29"/>
      <c r="O90" s="29"/>
      <c r="P90" s="29"/>
      <c r="Q90" s="29"/>
      <c r="R90" s="30"/>
    </row>
    <row r="91" spans="1:18" ht="17.399999999999999" customHeight="1" x14ac:dyDescent="0.3">
      <c r="A91" s="360"/>
      <c r="B91" s="361"/>
      <c r="C91" s="361"/>
      <c r="D91" s="361"/>
      <c r="E91" s="361"/>
      <c r="F91" s="361"/>
      <c r="G91" s="361"/>
      <c r="H91" s="361"/>
      <c r="I91" s="361"/>
      <c r="J91" s="361"/>
      <c r="K91" s="361"/>
      <c r="L91" s="361"/>
      <c r="M91" s="361"/>
      <c r="N91" s="361"/>
      <c r="O91" s="361"/>
      <c r="P91" s="361"/>
      <c r="Q91" s="361"/>
      <c r="R91" s="362"/>
    </row>
    <row r="92" spans="1:18" ht="22.05" customHeight="1" x14ac:dyDescent="0.3">
      <c r="A92" s="323" t="s">
        <v>6</v>
      </c>
      <c r="B92" s="324"/>
      <c r="C92" s="324"/>
      <c r="D92" s="324"/>
      <c r="E92" s="324"/>
      <c r="F92" s="324"/>
      <c r="G92" s="2">
        <v>46000</v>
      </c>
      <c r="H92" s="323" t="s">
        <v>7</v>
      </c>
      <c r="I92" s="324"/>
      <c r="J92" s="324"/>
      <c r="K92" s="324"/>
      <c r="L92" s="324"/>
      <c r="M92" s="324"/>
      <c r="N92" s="324"/>
      <c r="O92" s="324"/>
      <c r="P92" s="324"/>
      <c r="Q92" s="324"/>
      <c r="R92" s="324"/>
    </row>
    <row r="93" spans="1:18" ht="24" customHeight="1" x14ac:dyDescent="0.3">
      <c r="A93" s="3" t="s">
        <v>8</v>
      </c>
      <c r="B93" s="3" t="s">
        <v>9</v>
      </c>
      <c r="C93" s="3" t="s">
        <v>10</v>
      </c>
      <c r="D93" s="3" t="s">
        <v>11</v>
      </c>
      <c r="E93" s="3" t="s">
        <v>12</v>
      </c>
      <c r="F93" s="4" t="s">
        <v>13</v>
      </c>
      <c r="G93" s="5" t="s">
        <v>14</v>
      </c>
      <c r="H93" s="3" t="s">
        <v>15</v>
      </c>
      <c r="I93" s="3" t="s">
        <v>16</v>
      </c>
      <c r="J93" s="3" t="s">
        <v>17</v>
      </c>
      <c r="K93" s="3" t="s">
        <v>18</v>
      </c>
      <c r="L93" s="3" t="s">
        <v>19</v>
      </c>
      <c r="M93" s="3" t="s">
        <v>20</v>
      </c>
      <c r="N93" s="3" t="s">
        <v>21</v>
      </c>
      <c r="O93" s="3" t="s">
        <v>22</v>
      </c>
      <c r="P93" s="3" t="s">
        <v>23</v>
      </c>
      <c r="Q93" s="3" t="s">
        <v>24</v>
      </c>
      <c r="R93" s="3" t="s">
        <v>25</v>
      </c>
    </row>
    <row r="94" spans="1:18" ht="49.95" customHeight="1" x14ac:dyDescent="0.3">
      <c r="A94" s="6" t="s">
        <v>66</v>
      </c>
      <c r="B94" s="6" t="s">
        <v>1519</v>
      </c>
      <c r="C94" s="6">
        <v>3.125E-2</v>
      </c>
      <c r="D94" s="6" t="s">
        <v>369</v>
      </c>
      <c r="E94" s="6" t="s">
        <v>47</v>
      </c>
      <c r="F94" s="6" t="s">
        <v>1527</v>
      </c>
      <c r="G94" s="335"/>
      <c r="H94" s="7"/>
      <c r="I94" s="8"/>
      <c r="J94" s="8"/>
      <c r="K94" s="8"/>
      <c r="L94" s="8"/>
      <c r="M94" s="8"/>
      <c r="N94" s="8"/>
      <c r="O94" s="8"/>
      <c r="P94" s="8"/>
      <c r="Q94" s="8"/>
      <c r="R94" s="9"/>
    </row>
    <row r="95" spans="1:18" ht="49.95" customHeight="1" x14ac:dyDescent="0.3">
      <c r="A95" s="11" t="s">
        <v>404</v>
      </c>
      <c r="B95" s="11" t="s">
        <v>1517</v>
      </c>
      <c r="C95" s="11">
        <v>0.60763888888888895</v>
      </c>
      <c r="D95" s="11" t="s">
        <v>46</v>
      </c>
      <c r="E95" s="11" t="s">
        <v>47</v>
      </c>
      <c r="F95" s="11" t="s">
        <v>657</v>
      </c>
      <c r="G95" s="328"/>
      <c r="H95" s="7"/>
      <c r="I95" s="8"/>
      <c r="J95" s="8"/>
      <c r="K95" s="8"/>
      <c r="L95" s="8"/>
      <c r="M95" s="8"/>
      <c r="N95" s="8"/>
      <c r="O95" s="8"/>
      <c r="P95" s="8"/>
      <c r="Q95" s="8"/>
      <c r="R95" s="9"/>
    </row>
    <row r="96" spans="1:18" ht="49.95" customHeight="1" x14ac:dyDescent="0.3">
      <c r="A96" s="50" t="s">
        <v>410</v>
      </c>
      <c r="B96" s="50" t="s">
        <v>1518</v>
      </c>
      <c r="C96" s="50">
        <v>0.65625</v>
      </c>
      <c r="D96" s="50" t="s">
        <v>46</v>
      </c>
      <c r="E96" s="50" t="s">
        <v>81</v>
      </c>
      <c r="F96" s="50" t="s">
        <v>657</v>
      </c>
      <c r="G96" s="328"/>
      <c r="H96" s="28"/>
      <c r="I96" s="29"/>
      <c r="J96" s="29"/>
      <c r="K96" s="29"/>
      <c r="L96" s="29"/>
      <c r="M96" s="29"/>
      <c r="N96" s="29"/>
      <c r="O96" s="29"/>
      <c r="P96" s="29"/>
      <c r="Q96" s="29"/>
      <c r="R96" s="30"/>
    </row>
    <row r="97" spans="1:18" ht="17.399999999999999" customHeight="1" x14ac:dyDescent="0.3">
      <c r="A97" s="360"/>
      <c r="B97" s="361"/>
      <c r="C97" s="361"/>
      <c r="D97" s="361"/>
      <c r="E97" s="361"/>
      <c r="F97" s="361"/>
      <c r="G97" s="361"/>
      <c r="H97" s="361"/>
      <c r="I97" s="361"/>
      <c r="J97" s="361"/>
      <c r="K97" s="361"/>
      <c r="L97" s="361"/>
      <c r="M97" s="361"/>
      <c r="N97" s="361"/>
      <c r="O97" s="361"/>
      <c r="P97" s="361"/>
      <c r="Q97" s="361"/>
      <c r="R97" s="362"/>
    </row>
    <row r="98" spans="1:18" ht="22.05" customHeight="1" x14ac:dyDescent="0.3">
      <c r="A98" s="323" t="s">
        <v>6</v>
      </c>
      <c r="B98" s="324"/>
      <c r="C98" s="324"/>
      <c r="D98" s="324"/>
      <c r="E98" s="324"/>
      <c r="F98" s="324"/>
      <c r="G98" s="2">
        <v>46001</v>
      </c>
      <c r="H98" s="323" t="s">
        <v>7</v>
      </c>
      <c r="I98" s="324"/>
      <c r="J98" s="324"/>
      <c r="K98" s="324"/>
      <c r="L98" s="324"/>
      <c r="M98" s="324"/>
      <c r="N98" s="324"/>
      <c r="O98" s="324"/>
      <c r="P98" s="324"/>
      <c r="Q98" s="324"/>
      <c r="R98" s="324"/>
    </row>
    <row r="99" spans="1:18" ht="24" customHeight="1" x14ac:dyDescent="0.3">
      <c r="A99" s="3" t="s">
        <v>8</v>
      </c>
      <c r="B99" s="3" t="s">
        <v>9</v>
      </c>
      <c r="C99" s="3" t="s">
        <v>10</v>
      </c>
      <c r="D99" s="3" t="s">
        <v>11</v>
      </c>
      <c r="E99" s="3" t="s">
        <v>12</v>
      </c>
      <c r="F99" s="4" t="s">
        <v>13</v>
      </c>
      <c r="G99" s="5" t="s">
        <v>14</v>
      </c>
      <c r="H99" s="3" t="s">
        <v>15</v>
      </c>
      <c r="I99" s="3" t="s">
        <v>16</v>
      </c>
      <c r="J99" s="3" t="s">
        <v>17</v>
      </c>
      <c r="K99" s="3" t="s">
        <v>18</v>
      </c>
      <c r="L99" s="3" t="s">
        <v>19</v>
      </c>
      <c r="M99" s="3" t="s">
        <v>20</v>
      </c>
      <c r="N99" s="3" t="s">
        <v>21</v>
      </c>
      <c r="O99" s="3" t="s">
        <v>22</v>
      </c>
      <c r="P99" s="3" t="s">
        <v>23</v>
      </c>
      <c r="Q99" s="3" t="s">
        <v>24</v>
      </c>
      <c r="R99" s="3" t="s">
        <v>25</v>
      </c>
    </row>
    <row r="100" spans="1:18" ht="49.95" customHeight="1" x14ac:dyDescent="0.3">
      <c r="A100" s="6" t="s">
        <v>456</v>
      </c>
      <c r="B100" s="6" t="s">
        <v>1521</v>
      </c>
      <c r="C100" s="6">
        <v>0.9375</v>
      </c>
      <c r="D100" s="6" t="s">
        <v>458</v>
      </c>
      <c r="E100" s="6" t="s">
        <v>123</v>
      </c>
      <c r="F100" s="6" t="s">
        <v>1535</v>
      </c>
      <c r="G100" s="335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9"/>
    </row>
    <row r="101" spans="1:18" ht="49.95" customHeight="1" x14ac:dyDescent="0.3">
      <c r="A101" s="10" t="s">
        <v>456</v>
      </c>
      <c r="B101" s="10" t="s">
        <v>1521</v>
      </c>
      <c r="C101" s="10">
        <v>0.9375</v>
      </c>
      <c r="D101" s="10" t="s">
        <v>34</v>
      </c>
      <c r="E101" s="10" t="s">
        <v>124</v>
      </c>
      <c r="F101" s="10" t="s">
        <v>531</v>
      </c>
      <c r="G101" s="32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9"/>
    </row>
    <row r="102" spans="1:18" ht="49.95" customHeight="1" x14ac:dyDescent="0.3">
      <c r="A102" s="50" t="s">
        <v>410</v>
      </c>
      <c r="B102" s="50" t="s">
        <v>1518</v>
      </c>
      <c r="C102" s="50">
        <v>0.65625</v>
      </c>
      <c r="D102" s="50" t="s">
        <v>46</v>
      </c>
      <c r="E102" s="50" t="s">
        <v>121</v>
      </c>
      <c r="F102" s="50" t="s">
        <v>1439</v>
      </c>
      <c r="G102" s="328"/>
      <c r="H102" s="28"/>
      <c r="I102" s="29"/>
      <c r="J102" s="29"/>
      <c r="K102" s="29"/>
      <c r="L102" s="29"/>
      <c r="M102" s="29"/>
      <c r="N102" s="29"/>
      <c r="O102" s="29"/>
      <c r="P102" s="29"/>
      <c r="Q102" s="29"/>
      <c r="R102" s="30"/>
    </row>
  </sheetData>
  <mergeCells count="70">
    <mergeCell ref="A98:F98"/>
    <mergeCell ref="A45:F45"/>
    <mergeCell ref="H86:R86"/>
    <mergeCell ref="G34:G36"/>
    <mergeCell ref="A60:R60"/>
    <mergeCell ref="A61:F61"/>
    <mergeCell ref="A79:R79"/>
    <mergeCell ref="G40:G43"/>
    <mergeCell ref="G100:G102"/>
    <mergeCell ref="H68:R68"/>
    <mergeCell ref="A32:F32"/>
    <mergeCell ref="G59"/>
    <mergeCell ref="A85:R85"/>
    <mergeCell ref="H98:R98"/>
    <mergeCell ref="H73:R73"/>
    <mergeCell ref="H49:R49"/>
    <mergeCell ref="A91:R91"/>
    <mergeCell ref="A97:R97"/>
    <mergeCell ref="A38:F38"/>
    <mergeCell ref="H61:R61"/>
    <mergeCell ref="A72:R72"/>
    <mergeCell ref="A68:F68"/>
    <mergeCell ref="H45:R45"/>
    <mergeCell ref="A44:R44"/>
    <mergeCell ref="G94:G96"/>
    <mergeCell ref="H4:R4"/>
    <mergeCell ref="A86:F86"/>
    <mergeCell ref="A56:R56"/>
    <mergeCell ref="A57:F57"/>
    <mergeCell ref="G88:G90"/>
    <mergeCell ref="G51:G55"/>
    <mergeCell ref="A17:F17"/>
    <mergeCell ref="A4:F4"/>
    <mergeCell ref="G19:G24"/>
    <mergeCell ref="A10:F10"/>
    <mergeCell ref="H17:R17"/>
    <mergeCell ref="G82:G84"/>
    <mergeCell ref="H32:R32"/>
    <mergeCell ref="A9:R9"/>
    <mergeCell ref="H57:R57"/>
    <mergeCell ref="H1:L1"/>
    <mergeCell ref="A1:E1"/>
    <mergeCell ref="A37:R37"/>
    <mergeCell ref="H10:R10"/>
    <mergeCell ref="A26:F26"/>
    <mergeCell ref="A2:F2"/>
    <mergeCell ref="A3:R3"/>
    <mergeCell ref="G2:J2"/>
    <mergeCell ref="N1:R1"/>
    <mergeCell ref="K2:R2"/>
    <mergeCell ref="A31:R31"/>
    <mergeCell ref="G28:G30"/>
    <mergeCell ref="G12:G15"/>
    <mergeCell ref="G6:G8"/>
    <mergeCell ref="H92:R92"/>
    <mergeCell ref="G70:G71"/>
    <mergeCell ref="H26:R26"/>
    <mergeCell ref="A25:R25"/>
    <mergeCell ref="A16:R16"/>
    <mergeCell ref="H38:R38"/>
    <mergeCell ref="A80:F80"/>
    <mergeCell ref="G47"/>
    <mergeCell ref="A67:R67"/>
    <mergeCell ref="A92:F92"/>
    <mergeCell ref="G63:G66"/>
    <mergeCell ref="H80:R80"/>
    <mergeCell ref="A48:R48"/>
    <mergeCell ref="A73:F73"/>
    <mergeCell ref="A49:F49"/>
    <mergeCell ref="G75:G7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8"/>
  <sheetViews>
    <sheetView workbookViewId="0"/>
  </sheetViews>
  <sheetFormatPr defaultRowHeight="15.6" outlineLevelCol="1" x14ac:dyDescent="0.3"/>
  <cols>
    <col min="1" max="1" width="9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7.88671875" style="343" bestFit="1" customWidth="1"/>
    <col min="6" max="6" width="4.21875" style="343" bestFit="1" customWidth="1"/>
    <col min="7" max="7" width="10" style="343" bestFit="1" customWidth="1"/>
    <col min="8" max="8" width="8.5546875" style="343" bestFit="1" customWidth="1"/>
    <col min="9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9" width="3.8867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240</v>
      </c>
      <c r="B2" s="345">
        <v>45988</v>
      </c>
      <c r="C2" s="346" t="s">
        <v>1525</v>
      </c>
      <c r="D2" s="347" t="s">
        <v>1536</v>
      </c>
      <c r="E2" s="346" t="s">
        <v>1516</v>
      </c>
      <c r="F2" s="346" t="s">
        <v>214</v>
      </c>
      <c r="G2" s="348">
        <v>0.35120000000000001</v>
      </c>
      <c r="H2" s="349">
        <v>168</v>
      </c>
      <c r="I2" s="349">
        <v>59</v>
      </c>
      <c r="J2" s="349">
        <v>0</v>
      </c>
      <c r="K2" s="346" t="s">
        <v>215</v>
      </c>
      <c r="L2" s="350" t="s">
        <v>175</v>
      </c>
      <c r="M2" s="349">
        <v>2</v>
      </c>
      <c r="N2" s="349">
        <v>2</v>
      </c>
      <c r="O2" s="349">
        <v>25</v>
      </c>
      <c r="P2" s="346" t="s">
        <v>237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244</v>
      </c>
      <c r="AA2" s="349" t="s">
        <v>695</v>
      </c>
      <c r="AB2" s="342"/>
      <c r="AC2" s="342"/>
      <c r="AD2" s="342"/>
      <c r="AE2" s="349" t="s">
        <v>228</v>
      </c>
      <c r="AF2" s="349" t="s">
        <v>1334</v>
      </c>
      <c r="AG2" s="342"/>
      <c r="AH2" s="342"/>
      <c r="AI2" s="342"/>
      <c r="AJ2" s="342"/>
    </row>
    <row r="3" spans="1:36" x14ac:dyDescent="0.3">
      <c r="A3" s="344" t="s">
        <v>248</v>
      </c>
      <c r="B3" s="345">
        <v>45990</v>
      </c>
      <c r="C3" s="346" t="s">
        <v>1525</v>
      </c>
      <c r="D3" s="347" t="s">
        <v>1537</v>
      </c>
      <c r="E3" s="346" t="s">
        <v>1516</v>
      </c>
      <c r="F3" s="346" t="s">
        <v>214</v>
      </c>
      <c r="G3" s="348">
        <v>0.1012</v>
      </c>
      <c r="H3" s="349">
        <v>168</v>
      </c>
      <c r="I3" s="349">
        <v>17</v>
      </c>
      <c r="J3" s="349">
        <v>0</v>
      </c>
      <c r="K3" s="346" t="s">
        <v>215</v>
      </c>
      <c r="L3" s="350" t="s">
        <v>50</v>
      </c>
      <c r="M3" s="349">
        <v>0</v>
      </c>
      <c r="N3" s="349">
        <v>1</v>
      </c>
      <c r="O3" s="349">
        <v>1</v>
      </c>
      <c r="P3" s="346" t="s">
        <v>237</v>
      </c>
      <c r="Q3" s="342"/>
      <c r="R3" s="342"/>
      <c r="S3" s="342"/>
      <c r="T3" s="342"/>
      <c r="U3" s="342"/>
      <c r="V3" s="342"/>
      <c r="W3" s="342"/>
      <c r="X3" s="342"/>
      <c r="Y3" s="342"/>
      <c r="Z3" s="349" t="s">
        <v>333</v>
      </c>
      <c r="AA3" s="349" t="s">
        <v>259</v>
      </c>
      <c r="AB3" s="342"/>
      <c r="AC3" s="342"/>
      <c r="AD3" s="342"/>
      <c r="AE3" s="349" t="s">
        <v>713</v>
      </c>
      <c r="AF3" s="342"/>
      <c r="AG3" s="342"/>
      <c r="AH3" s="342"/>
      <c r="AI3" s="342"/>
      <c r="AJ3" s="342"/>
    </row>
    <row r="4" spans="1:36" x14ac:dyDescent="0.3">
      <c r="A4" s="344" t="s">
        <v>254</v>
      </c>
      <c r="B4" s="345">
        <v>45991</v>
      </c>
      <c r="C4" s="346" t="s">
        <v>1525</v>
      </c>
      <c r="D4" s="347" t="s">
        <v>1536</v>
      </c>
      <c r="E4" s="346" t="s">
        <v>1516</v>
      </c>
      <c r="F4" s="346" t="s">
        <v>214</v>
      </c>
      <c r="G4" s="348">
        <v>0.4345</v>
      </c>
      <c r="H4" s="349">
        <v>168</v>
      </c>
      <c r="I4" s="349">
        <v>73</v>
      </c>
      <c r="J4" s="349">
        <v>0</v>
      </c>
      <c r="K4" s="346" t="s">
        <v>215</v>
      </c>
      <c r="L4" s="350" t="s">
        <v>63</v>
      </c>
      <c r="M4" s="349">
        <v>0</v>
      </c>
      <c r="N4" s="349">
        <v>0</v>
      </c>
      <c r="O4" s="349">
        <v>18</v>
      </c>
      <c r="P4" s="346" t="s">
        <v>346</v>
      </c>
      <c r="Q4" s="342"/>
      <c r="R4" s="342"/>
      <c r="S4" s="342"/>
      <c r="T4" s="342"/>
      <c r="U4" s="342"/>
      <c r="V4" s="342"/>
      <c r="W4" s="342"/>
      <c r="X4" s="342"/>
      <c r="Y4" s="342"/>
      <c r="Z4" s="349" t="s">
        <v>683</v>
      </c>
      <c r="AA4" s="349" t="s">
        <v>259</v>
      </c>
      <c r="AB4" s="342"/>
      <c r="AC4" s="342"/>
      <c r="AD4" s="342"/>
      <c r="AE4" s="349" t="s">
        <v>1538</v>
      </c>
      <c r="AF4" s="342"/>
      <c r="AG4" s="342"/>
      <c r="AH4" s="342"/>
      <c r="AI4" s="342"/>
      <c r="AJ4" s="342"/>
    </row>
    <row r="5" spans="1:36" x14ac:dyDescent="0.3">
      <c r="A5" s="344" t="s">
        <v>240</v>
      </c>
      <c r="B5" s="345">
        <v>45995</v>
      </c>
      <c r="C5" s="346" t="s">
        <v>1525</v>
      </c>
      <c r="D5" s="347" t="s">
        <v>1536</v>
      </c>
      <c r="E5" s="346" t="s">
        <v>1516</v>
      </c>
      <c r="F5" s="346" t="s">
        <v>214</v>
      </c>
      <c r="G5" s="348">
        <v>0.40479999999999999</v>
      </c>
      <c r="H5" s="349">
        <v>168</v>
      </c>
      <c r="I5" s="349">
        <v>68</v>
      </c>
      <c r="J5" s="349">
        <v>0</v>
      </c>
      <c r="K5" s="346" t="s">
        <v>215</v>
      </c>
      <c r="L5" s="350" t="s">
        <v>175</v>
      </c>
      <c r="M5" s="349">
        <v>2</v>
      </c>
      <c r="N5" s="349">
        <v>4</v>
      </c>
      <c r="O5" s="349">
        <v>15</v>
      </c>
      <c r="P5" s="346" t="s">
        <v>237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244</v>
      </c>
      <c r="AA5" s="342"/>
      <c r="AB5" s="349" t="s">
        <v>908</v>
      </c>
      <c r="AC5" s="349" t="s">
        <v>917</v>
      </c>
      <c r="AD5" s="349" t="s">
        <v>227</v>
      </c>
      <c r="AE5" s="349" t="s">
        <v>1539</v>
      </c>
      <c r="AF5" s="342"/>
      <c r="AG5" s="342"/>
      <c r="AH5" s="342"/>
      <c r="AI5" s="342"/>
      <c r="AJ5" s="342"/>
    </row>
    <row r="6" spans="1:36" x14ac:dyDescent="0.3">
      <c r="A6" s="344" t="s">
        <v>248</v>
      </c>
      <c r="B6" s="345">
        <v>45997</v>
      </c>
      <c r="C6" s="346" t="s">
        <v>1525</v>
      </c>
      <c r="D6" s="347" t="s">
        <v>1537</v>
      </c>
      <c r="E6" s="346" t="s">
        <v>1516</v>
      </c>
      <c r="F6" s="346" t="s">
        <v>214</v>
      </c>
      <c r="G6" s="348">
        <v>0.13100000000000001</v>
      </c>
      <c r="H6" s="349">
        <v>168</v>
      </c>
      <c r="I6" s="349">
        <v>22</v>
      </c>
      <c r="J6" s="349">
        <v>0</v>
      </c>
      <c r="K6" s="346" t="s">
        <v>215</v>
      </c>
      <c r="L6" s="350" t="s">
        <v>175</v>
      </c>
      <c r="M6" s="349">
        <v>1</v>
      </c>
      <c r="N6" s="349">
        <v>0</v>
      </c>
      <c r="O6" s="349">
        <v>8</v>
      </c>
      <c r="P6" s="346" t="s">
        <v>237</v>
      </c>
      <c r="Q6" s="342"/>
      <c r="R6" s="342"/>
      <c r="S6" s="342"/>
      <c r="T6" s="342"/>
      <c r="U6" s="342"/>
      <c r="V6" s="342"/>
      <c r="W6" s="342"/>
      <c r="X6" s="342"/>
      <c r="Y6" s="342"/>
      <c r="Z6" s="349" t="s">
        <v>333</v>
      </c>
      <c r="AA6" s="342"/>
      <c r="AB6" s="342"/>
      <c r="AC6" s="349" t="s">
        <v>279</v>
      </c>
      <c r="AD6" s="349" t="s">
        <v>364</v>
      </c>
      <c r="AE6" s="349" t="s">
        <v>228</v>
      </c>
      <c r="AF6" s="342"/>
      <c r="AG6" s="342"/>
      <c r="AH6" s="342"/>
      <c r="AI6" s="342"/>
      <c r="AJ6" s="342"/>
    </row>
    <row r="7" spans="1:36" x14ac:dyDescent="0.3">
      <c r="A7" s="344" t="s">
        <v>254</v>
      </c>
      <c r="B7" s="345">
        <v>45998</v>
      </c>
      <c r="C7" s="346" t="s">
        <v>1525</v>
      </c>
      <c r="D7" s="347" t="s">
        <v>1536</v>
      </c>
      <c r="E7" s="346" t="s">
        <v>1516</v>
      </c>
      <c r="F7" s="346" t="s">
        <v>214</v>
      </c>
      <c r="G7" s="348">
        <v>0.25600000000000001</v>
      </c>
      <c r="H7" s="349">
        <v>168</v>
      </c>
      <c r="I7" s="349">
        <v>43</v>
      </c>
      <c r="J7" s="349">
        <v>0</v>
      </c>
      <c r="K7" s="346" t="s">
        <v>215</v>
      </c>
      <c r="L7" s="350" t="s">
        <v>50</v>
      </c>
      <c r="M7" s="349">
        <v>0</v>
      </c>
      <c r="N7" s="349">
        <v>5</v>
      </c>
      <c r="O7" s="349">
        <v>9</v>
      </c>
      <c r="P7" s="346" t="s">
        <v>237</v>
      </c>
      <c r="Q7" s="342"/>
      <c r="R7" s="342"/>
      <c r="S7" s="342"/>
      <c r="T7" s="342"/>
      <c r="U7" s="342"/>
      <c r="V7" s="342"/>
      <c r="W7" s="342"/>
      <c r="X7" s="342"/>
      <c r="Y7" s="342"/>
      <c r="Z7" s="349" t="s">
        <v>244</v>
      </c>
      <c r="AA7" s="342"/>
      <c r="AB7" s="342"/>
      <c r="AC7" s="342"/>
      <c r="AD7" s="349" t="s">
        <v>364</v>
      </c>
      <c r="AE7" s="349" t="s">
        <v>1540</v>
      </c>
      <c r="AF7" s="342"/>
      <c r="AG7" s="342"/>
      <c r="AH7" s="342"/>
      <c r="AI7" s="342"/>
      <c r="AJ7" s="342"/>
    </row>
    <row r="8" spans="1:36" ht="21" x14ac:dyDescent="0.3">
      <c r="A8" s="351" t="s">
        <v>1574</v>
      </c>
      <c r="B8" s="352"/>
      <c r="C8" s="351">
        <f>SUBTOTAL(103,ELQ_CAI_LF_LEGACY[Flt])</f>
        <v>6</v>
      </c>
      <c r="D8" s="351"/>
      <c r="E8" s="351">
        <f>SUBTOTAL(103,ELQ_CAI_LF_LEGACY[Brd-Off])</f>
        <v>6</v>
      </c>
      <c r="F8" s="351"/>
      <c r="G8" s="353">
        <f>SUBTOTAL(101,ELQ_CAI_LF_LEGACY[LF%])</f>
        <v>0.27978333333333333</v>
      </c>
      <c r="H8" s="354">
        <f>SUBTOTAL(109,ELQ_CAI_LF_LEGACY[CAP])</f>
        <v>1008</v>
      </c>
      <c r="I8" s="354">
        <f>SUBTOTAL(109,ELQ_CAI_LF_LEGACY[BKG(Y)])</f>
        <v>282</v>
      </c>
      <c r="J8" s="354">
        <f>SUBTOTAL(109,ELQ_CAI_LF_LEGACY[GRP(Y)])</f>
        <v>0</v>
      </c>
      <c r="K8" s="351"/>
      <c r="L8" s="352"/>
      <c r="M8" s="354">
        <f>SUBTOTAL(109,ELQ_CAI_LF_LEGACY[TO-DAY])</f>
        <v>5</v>
      </c>
      <c r="N8" s="354">
        <f>SUBTOTAL(109,ELQ_CAI_LF_LEGACY[Y-DAY])</f>
        <v>12</v>
      </c>
      <c r="O8" s="354">
        <f>SUBTOTAL(109,ELQ_CAI_LF_LEGACY[WEEKLY])</f>
        <v>76</v>
      </c>
      <c r="P8" s="355"/>
      <c r="Q8" s="354">
        <f>SUBTOTAL(109,ELQ_CAI_LF_LEGACY[Y])</f>
        <v>0</v>
      </c>
      <c r="R8" s="354">
        <f>SUBTOTAL(109,ELQ_CAI_LF_LEGACY[B])</f>
        <v>0</v>
      </c>
      <c r="S8" s="354">
        <f>SUBTOTAL(109,ELQ_CAI_LF_LEGACY[M])</f>
        <v>0</v>
      </c>
      <c r="T8" s="354">
        <f>SUBTOTAL(109,ELQ_CAI_LF_LEGACY[H])</f>
        <v>0</v>
      </c>
      <c r="U8" s="354">
        <f>SUBTOTAL(109,ELQ_CAI_LF_LEGACY[Q])</f>
        <v>0</v>
      </c>
      <c r="V8" s="354">
        <f>SUBTOTAL(109,ELQ_CAI_LF_LEGACY[K])</f>
        <v>0</v>
      </c>
      <c r="W8" s="354">
        <f>SUBTOTAL(109,ELQ_CAI_LF_LEGACY[V])</f>
        <v>0</v>
      </c>
      <c r="X8" s="354">
        <f>SUBTOTAL(109,ELQ_CAI_LF_LEGACY[L])</f>
        <v>0</v>
      </c>
      <c r="Y8" s="354">
        <f>SUBTOTAL(109,ELQ_CAI_LF_LEGACY[G])</f>
        <v>0</v>
      </c>
      <c r="Z8" s="354">
        <f>SUBTOTAL(109,ELQ_CAI_LF_LEGACY[S])</f>
        <v>0</v>
      </c>
      <c r="AA8" s="354">
        <f>SUBTOTAL(109,ELQ_CAI_LF_LEGACY[W])</f>
        <v>0</v>
      </c>
      <c r="AB8" s="354">
        <f>SUBTOTAL(109,ELQ_CAI_LF_LEGACY[T])</f>
        <v>0</v>
      </c>
      <c r="AC8" s="354">
        <f>SUBTOTAL(109,ELQ_CAI_LF_LEGACY[X])</f>
        <v>0</v>
      </c>
      <c r="AD8" s="354">
        <f>SUBTOTAL(109,ELQ_CAI_LF_LEGACY[U])</f>
        <v>0</v>
      </c>
      <c r="AE8" s="354">
        <f>SUBTOTAL(109,ELQ_CAI_LF_LEGACY[O])</f>
        <v>0</v>
      </c>
      <c r="AF8" s="354">
        <f>SUBTOTAL(109,ELQ_CAI_LF_LEGACY[I])</f>
        <v>0</v>
      </c>
      <c r="AG8" s="354">
        <f>SUBTOTAL(109,ELQ_CAI_LF_LEGACY[E])</f>
        <v>0</v>
      </c>
      <c r="AH8" s="354">
        <f>SUBTOTAL(109,ELQ_CAI_LF_LEGACY[A])</f>
        <v>0</v>
      </c>
      <c r="AI8" s="354">
        <f>SUBTOTAL(109,ELQ_CAI_LF_LEGACY[P])</f>
        <v>0</v>
      </c>
      <c r="AJ8" s="354">
        <f>SUBTOTAL(103,ELQ_CAI_LF_LEGACY[N])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5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0.4414062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93" t="s">
        <v>292</v>
      </c>
      <c r="B2" s="94" t="s">
        <v>404</v>
      </c>
      <c r="C2" s="95" t="s">
        <v>1517</v>
      </c>
      <c r="D2" s="94" t="s">
        <v>1516</v>
      </c>
      <c r="E2" s="94" t="s">
        <v>1541</v>
      </c>
      <c r="F2" s="94" t="s">
        <v>46</v>
      </c>
      <c r="G2" s="96">
        <v>9</v>
      </c>
      <c r="H2" s="97">
        <v>350</v>
      </c>
      <c r="I2" s="88"/>
    </row>
    <row r="3" spans="1:9" ht="19.8" customHeight="1" x14ac:dyDescent="0.3">
      <c r="A3" s="93" t="s">
        <v>292</v>
      </c>
      <c r="B3" s="94" t="s">
        <v>410</v>
      </c>
      <c r="C3" s="95" t="s">
        <v>1518</v>
      </c>
      <c r="D3" s="94" t="s">
        <v>1516</v>
      </c>
      <c r="E3" s="94" t="s">
        <v>898</v>
      </c>
      <c r="F3" s="94" t="s">
        <v>46</v>
      </c>
      <c r="G3" s="96">
        <v>1</v>
      </c>
      <c r="H3" s="97">
        <v>350</v>
      </c>
      <c r="I3" s="88"/>
    </row>
    <row r="4" spans="1:9" ht="19.8" customHeight="1" x14ac:dyDescent="0.3">
      <c r="A4" s="284" t="s">
        <v>292</v>
      </c>
      <c r="B4" s="114" t="s">
        <v>66</v>
      </c>
      <c r="C4" s="115" t="s">
        <v>1519</v>
      </c>
      <c r="D4" s="114" t="s">
        <v>1516</v>
      </c>
      <c r="E4" s="114" t="s">
        <v>1542</v>
      </c>
      <c r="F4" s="114" t="s">
        <v>68</v>
      </c>
      <c r="G4" s="117">
        <v>9</v>
      </c>
      <c r="H4" s="142">
        <v>451</v>
      </c>
      <c r="I4" s="88"/>
    </row>
    <row r="5" spans="1:9" ht="19.8" customHeight="1" x14ac:dyDescent="0.3">
      <c r="A5" s="93" t="s">
        <v>401</v>
      </c>
      <c r="B5" s="94" t="s">
        <v>456</v>
      </c>
      <c r="C5" s="95" t="s">
        <v>1521</v>
      </c>
      <c r="D5" s="94" t="s">
        <v>1516</v>
      </c>
      <c r="E5" s="94" t="s">
        <v>368</v>
      </c>
      <c r="F5" s="94" t="s">
        <v>458</v>
      </c>
      <c r="G5" s="96">
        <v>9</v>
      </c>
      <c r="H5" s="97">
        <v>324</v>
      </c>
      <c r="I5" s="88"/>
    </row>
    <row r="6" spans="1:9" ht="19.8" customHeight="1" x14ac:dyDescent="0.3">
      <c r="A6" s="93" t="s">
        <v>401</v>
      </c>
      <c r="B6" s="94" t="s">
        <v>404</v>
      </c>
      <c r="C6" s="95" t="s">
        <v>1517</v>
      </c>
      <c r="D6" s="94" t="s">
        <v>1516</v>
      </c>
      <c r="E6" s="94" t="s">
        <v>1253</v>
      </c>
      <c r="F6" s="94" t="s">
        <v>46</v>
      </c>
      <c r="G6" s="96">
        <v>9</v>
      </c>
      <c r="H6" s="97">
        <v>350</v>
      </c>
      <c r="I6" s="88"/>
    </row>
    <row r="7" spans="1:9" ht="19.8" customHeight="1" x14ac:dyDescent="0.3">
      <c r="A7" s="93" t="s">
        <v>401</v>
      </c>
      <c r="B7" s="94" t="s">
        <v>410</v>
      </c>
      <c r="C7" s="95" t="s">
        <v>1518</v>
      </c>
      <c r="D7" s="94" t="s">
        <v>1516</v>
      </c>
      <c r="E7" s="94" t="s">
        <v>898</v>
      </c>
      <c r="F7" s="94" t="s">
        <v>46</v>
      </c>
      <c r="G7" s="96">
        <v>7</v>
      </c>
      <c r="H7" s="97">
        <v>350</v>
      </c>
      <c r="I7" s="88"/>
    </row>
    <row r="8" spans="1:9" ht="19.8" customHeight="1" x14ac:dyDescent="0.3">
      <c r="A8" s="284" t="s">
        <v>401</v>
      </c>
      <c r="B8" s="114" t="s">
        <v>456</v>
      </c>
      <c r="C8" s="115" t="s">
        <v>1521</v>
      </c>
      <c r="D8" s="114" t="s">
        <v>1516</v>
      </c>
      <c r="E8" s="114" t="s">
        <v>368</v>
      </c>
      <c r="F8" s="114" t="s">
        <v>34</v>
      </c>
      <c r="G8" s="117">
        <v>9</v>
      </c>
      <c r="H8" s="142">
        <v>447</v>
      </c>
      <c r="I8" s="88"/>
    </row>
    <row r="9" spans="1:9" ht="19.8" customHeight="1" x14ac:dyDescent="0.3">
      <c r="A9" s="93" t="s">
        <v>1089</v>
      </c>
      <c r="B9" s="94" t="s">
        <v>404</v>
      </c>
      <c r="C9" s="95" t="s">
        <v>1517</v>
      </c>
      <c r="D9" s="94" t="s">
        <v>1516</v>
      </c>
      <c r="E9" s="94" t="s">
        <v>1253</v>
      </c>
      <c r="F9" s="94" t="s">
        <v>46</v>
      </c>
      <c r="G9" s="96">
        <v>4</v>
      </c>
      <c r="H9" s="97">
        <v>300</v>
      </c>
      <c r="I9" s="88"/>
    </row>
    <row r="10" spans="1:9" ht="19.8" customHeight="1" x14ac:dyDescent="0.3">
      <c r="A10" s="93" t="s">
        <v>1089</v>
      </c>
      <c r="B10" s="94" t="s">
        <v>66</v>
      </c>
      <c r="C10" s="95" t="s">
        <v>1519</v>
      </c>
      <c r="D10" s="94" t="s">
        <v>1516</v>
      </c>
      <c r="E10" s="94" t="s">
        <v>1542</v>
      </c>
      <c r="F10" s="94" t="s">
        <v>829</v>
      </c>
      <c r="G10" s="96">
        <v>9</v>
      </c>
      <c r="H10" s="97">
        <v>305</v>
      </c>
      <c r="I10" s="88"/>
    </row>
    <row r="11" spans="1:9" ht="19.8" customHeight="1" x14ac:dyDescent="0.3">
      <c r="A11" s="93" t="s">
        <v>1089</v>
      </c>
      <c r="B11" s="94" t="s">
        <v>456</v>
      </c>
      <c r="C11" s="95" t="s">
        <v>1521</v>
      </c>
      <c r="D11" s="94" t="s">
        <v>1516</v>
      </c>
      <c r="E11" s="94" t="s">
        <v>368</v>
      </c>
      <c r="F11" s="94" t="s">
        <v>458</v>
      </c>
      <c r="G11" s="96">
        <v>9</v>
      </c>
      <c r="H11" s="97">
        <v>324</v>
      </c>
      <c r="I11" s="88"/>
    </row>
    <row r="12" spans="1:9" ht="19.8" customHeight="1" x14ac:dyDescent="0.3">
      <c r="A12" s="93" t="s">
        <v>1089</v>
      </c>
      <c r="B12" s="94" t="s">
        <v>410</v>
      </c>
      <c r="C12" s="95" t="s">
        <v>1518</v>
      </c>
      <c r="D12" s="94" t="s">
        <v>1516</v>
      </c>
      <c r="E12" s="94" t="s">
        <v>898</v>
      </c>
      <c r="F12" s="94" t="s">
        <v>46</v>
      </c>
      <c r="G12" s="96">
        <v>3</v>
      </c>
      <c r="H12" s="97">
        <v>350</v>
      </c>
      <c r="I12" s="88"/>
    </row>
    <row r="13" spans="1:9" ht="19.8" customHeight="1" x14ac:dyDescent="0.3">
      <c r="A13" s="98" t="s">
        <v>1089</v>
      </c>
      <c r="B13" s="99" t="s">
        <v>44</v>
      </c>
      <c r="C13" s="100" t="s">
        <v>1524</v>
      </c>
      <c r="D13" s="99" t="s">
        <v>1516</v>
      </c>
      <c r="E13" s="99" t="s">
        <v>1536</v>
      </c>
      <c r="F13" s="99" t="s">
        <v>46</v>
      </c>
      <c r="G13" s="101">
        <v>9</v>
      </c>
      <c r="H13" s="102">
        <v>355</v>
      </c>
      <c r="I13" s="88"/>
    </row>
    <row r="14" spans="1:9" ht="19.8" customHeight="1" x14ac:dyDescent="0.3">
      <c r="A14" s="113">
        <v>45988</v>
      </c>
      <c r="B14" s="114" t="s">
        <v>456</v>
      </c>
      <c r="C14" s="115" t="s">
        <v>1521</v>
      </c>
      <c r="D14" s="114" t="s">
        <v>1516</v>
      </c>
      <c r="E14" s="116">
        <v>1.9375</v>
      </c>
      <c r="F14" s="114" t="s">
        <v>34</v>
      </c>
      <c r="G14" s="117">
        <v>9</v>
      </c>
      <c r="H14" s="142">
        <v>447</v>
      </c>
      <c r="I14" s="88"/>
    </row>
    <row r="15" spans="1:9" ht="19.8" customHeight="1" x14ac:dyDescent="0.3">
      <c r="A15" s="103">
        <v>45989</v>
      </c>
      <c r="B15" s="94" t="s">
        <v>404</v>
      </c>
      <c r="C15" s="95" t="s">
        <v>1517</v>
      </c>
      <c r="D15" s="94" t="s">
        <v>1516</v>
      </c>
      <c r="E15" s="104">
        <v>1.868055555555556</v>
      </c>
      <c r="F15" s="94" t="s">
        <v>46</v>
      </c>
      <c r="G15" s="96">
        <v>9</v>
      </c>
      <c r="H15" s="97">
        <v>300</v>
      </c>
      <c r="I15" s="88"/>
    </row>
    <row r="16" spans="1:9" ht="19.8" customHeight="1" x14ac:dyDescent="0.3">
      <c r="A16" s="103">
        <v>45989</v>
      </c>
      <c r="B16" s="94" t="s">
        <v>410</v>
      </c>
      <c r="C16" s="95" t="s">
        <v>1518</v>
      </c>
      <c r="D16" s="94" t="s">
        <v>1516</v>
      </c>
      <c r="E16" s="104">
        <v>1.65625</v>
      </c>
      <c r="F16" s="94" t="s">
        <v>46</v>
      </c>
      <c r="G16" s="96">
        <v>7</v>
      </c>
      <c r="H16" s="97">
        <v>350</v>
      </c>
      <c r="I16" s="88"/>
    </row>
    <row r="17" spans="1:9" ht="19.8" customHeight="1" x14ac:dyDescent="0.3">
      <c r="A17" s="113">
        <v>45989</v>
      </c>
      <c r="B17" s="114" t="s">
        <v>66</v>
      </c>
      <c r="C17" s="115" t="s">
        <v>1519</v>
      </c>
      <c r="D17" s="114" t="s">
        <v>1516</v>
      </c>
      <c r="E17" s="116">
        <v>1.0347222222222221</v>
      </c>
      <c r="F17" s="114" t="s">
        <v>68</v>
      </c>
      <c r="G17" s="117">
        <v>9</v>
      </c>
      <c r="H17" s="142">
        <v>451</v>
      </c>
      <c r="I17" s="88"/>
    </row>
    <row r="18" spans="1:9" ht="19.8" customHeight="1" x14ac:dyDescent="0.3">
      <c r="A18" s="103">
        <v>45990</v>
      </c>
      <c r="B18" s="94" t="s">
        <v>66</v>
      </c>
      <c r="C18" s="95" t="s">
        <v>1519</v>
      </c>
      <c r="D18" s="94" t="s">
        <v>1516</v>
      </c>
      <c r="E18" s="104">
        <v>1.0347222222222221</v>
      </c>
      <c r="F18" s="94" t="s">
        <v>369</v>
      </c>
      <c r="G18" s="96">
        <v>9</v>
      </c>
      <c r="H18" s="97">
        <v>327</v>
      </c>
      <c r="I18" s="88"/>
    </row>
    <row r="19" spans="1:9" ht="19.8" customHeight="1" x14ac:dyDescent="0.3">
      <c r="A19" s="103">
        <v>45990</v>
      </c>
      <c r="B19" s="94" t="s">
        <v>410</v>
      </c>
      <c r="C19" s="95" t="s">
        <v>1528</v>
      </c>
      <c r="D19" s="94" t="s">
        <v>1516</v>
      </c>
      <c r="E19" s="104">
        <v>1.979166666666667</v>
      </c>
      <c r="F19" s="94" t="s">
        <v>46</v>
      </c>
      <c r="G19" s="96">
        <v>9</v>
      </c>
      <c r="H19" s="97">
        <v>350</v>
      </c>
      <c r="I19" s="88"/>
    </row>
    <row r="20" spans="1:9" ht="19.8" customHeight="1" x14ac:dyDescent="0.3">
      <c r="A20" s="108">
        <v>45990</v>
      </c>
      <c r="B20" s="109" t="s">
        <v>44</v>
      </c>
      <c r="C20" s="110" t="s">
        <v>1524</v>
      </c>
      <c r="D20" s="109" t="s">
        <v>1516</v>
      </c>
      <c r="E20" s="111">
        <v>1.000694444444445</v>
      </c>
      <c r="F20" s="109" t="s">
        <v>46</v>
      </c>
      <c r="G20" s="141">
        <v>9</v>
      </c>
      <c r="H20" s="143">
        <v>355</v>
      </c>
      <c r="I20" s="88"/>
    </row>
    <row r="21" spans="1:9" ht="19.8" customHeight="1" x14ac:dyDescent="0.3">
      <c r="A21" s="103">
        <v>45991</v>
      </c>
      <c r="B21" s="94" t="s">
        <v>404</v>
      </c>
      <c r="C21" s="95" t="s">
        <v>1517</v>
      </c>
      <c r="D21" s="94" t="s">
        <v>1516</v>
      </c>
      <c r="E21" s="104">
        <v>1.6076388888888891</v>
      </c>
      <c r="F21" s="94" t="s">
        <v>46</v>
      </c>
      <c r="G21" s="96">
        <v>9</v>
      </c>
      <c r="H21" s="97">
        <v>300</v>
      </c>
      <c r="I21" s="88"/>
    </row>
    <row r="22" spans="1:9" ht="19.8" customHeight="1" x14ac:dyDescent="0.3">
      <c r="A22" s="103">
        <v>45991</v>
      </c>
      <c r="B22" s="94" t="s">
        <v>66</v>
      </c>
      <c r="C22" s="95" t="s">
        <v>1519</v>
      </c>
      <c r="D22" s="94" t="s">
        <v>1516</v>
      </c>
      <c r="E22" s="104">
        <v>1.03125</v>
      </c>
      <c r="F22" s="94" t="s">
        <v>369</v>
      </c>
      <c r="G22" s="96">
        <v>9</v>
      </c>
      <c r="H22" s="97">
        <v>327</v>
      </c>
      <c r="I22" s="88"/>
    </row>
    <row r="23" spans="1:9" ht="19.8" customHeight="1" x14ac:dyDescent="0.3">
      <c r="A23" s="103">
        <v>45991</v>
      </c>
      <c r="B23" s="94" t="s">
        <v>410</v>
      </c>
      <c r="C23" s="95" t="s">
        <v>1518</v>
      </c>
      <c r="D23" s="94" t="s">
        <v>1516</v>
      </c>
      <c r="E23" s="104">
        <v>1.65625</v>
      </c>
      <c r="F23" s="94" t="s">
        <v>46</v>
      </c>
      <c r="G23" s="96">
        <v>7</v>
      </c>
      <c r="H23" s="97">
        <v>350</v>
      </c>
      <c r="I23" s="88"/>
    </row>
    <row r="24" spans="1:9" ht="19.8" customHeight="1" x14ac:dyDescent="0.3">
      <c r="A24" s="108">
        <v>45991</v>
      </c>
      <c r="B24" s="109" t="s">
        <v>44</v>
      </c>
      <c r="C24" s="110" t="s">
        <v>1524</v>
      </c>
      <c r="D24" s="109" t="s">
        <v>1516</v>
      </c>
      <c r="E24" s="111">
        <v>1.7986111111111109</v>
      </c>
      <c r="F24" s="109" t="s">
        <v>46</v>
      </c>
      <c r="G24" s="141">
        <v>7</v>
      </c>
      <c r="H24" s="143">
        <v>355</v>
      </c>
      <c r="I24" s="88"/>
    </row>
    <row r="25" spans="1:9" ht="19.8" customHeight="1" x14ac:dyDescent="0.3">
      <c r="A25" s="113">
        <v>45992</v>
      </c>
      <c r="B25" s="114" t="s">
        <v>410</v>
      </c>
      <c r="C25" s="115" t="s">
        <v>1518</v>
      </c>
      <c r="D25" s="114" t="s">
        <v>1516</v>
      </c>
      <c r="E25" s="116">
        <v>1.65625</v>
      </c>
      <c r="F25" s="114" t="s">
        <v>46</v>
      </c>
      <c r="G25" s="117">
        <v>9</v>
      </c>
      <c r="H25" s="142">
        <v>350</v>
      </c>
      <c r="I25" s="88"/>
    </row>
    <row r="26" spans="1:9" ht="19.8" customHeight="1" x14ac:dyDescent="0.3">
      <c r="A26" s="103">
        <v>45993</v>
      </c>
      <c r="B26" s="94" t="s">
        <v>456</v>
      </c>
      <c r="C26" s="95" t="s">
        <v>1521</v>
      </c>
      <c r="D26" s="94" t="s">
        <v>1516</v>
      </c>
      <c r="E26" s="104">
        <v>1.9375</v>
      </c>
      <c r="F26" s="94" t="s">
        <v>458</v>
      </c>
      <c r="G26" s="96">
        <v>9</v>
      </c>
      <c r="H26" s="97">
        <v>324</v>
      </c>
      <c r="I26" s="88"/>
    </row>
    <row r="27" spans="1:9" ht="19.8" customHeight="1" x14ac:dyDescent="0.3">
      <c r="A27" s="103">
        <v>45993</v>
      </c>
      <c r="B27" s="94" t="s">
        <v>404</v>
      </c>
      <c r="C27" s="95" t="s">
        <v>1517</v>
      </c>
      <c r="D27" s="94" t="s">
        <v>1516</v>
      </c>
      <c r="E27" s="104">
        <v>1.6076388888888891</v>
      </c>
      <c r="F27" s="94" t="s">
        <v>46</v>
      </c>
      <c r="G27" s="96">
        <v>9</v>
      </c>
      <c r="H27" s="97">
        <v>350</v>
      </c>
      <c r="I27" s="88"/>
    </row>
    <row r="28" spans="1:9" ht="19.8" customHeight="1" x14ac:dyDescent="0.3">
      <c r="A28" s="103">
        <v>45993</v>
      </c>
      <c r="B28" s="94" t="s">
        <v>410</v>
      </c>
      <c r="C28" s="95" t="s">
        <v>1518</v>
      </c>
      <c r="D28" s="94" t="s">
        <v>1516</v>
      </c>
      <c r="E28" s="104">
        <v>1.65625</v>
      </c>
      <c r="F28" s="94" t="s">
        <v>46</v>
      </c>
      <c r="G28" s="96">
        <v>3</v>
      </c>
      <c r="H28" s="97">
        <v>350</v>
      </c>
      <c r="I28" s="88"/>
    </row>
    <row r="29" spans="1:9" ht="19.8" customHeight="1" x14ac:dyDescent="0.3">
      <c r="A29" s="103">
        <v>45993</v>
      </c>
      <c r="B29" s="94" t="s">
        <v>456</v>
      </c>
      <c r="C29" s="95" t="s">
        <v>1521</v>
      </c>
      <c r="D29" s="94" t="s">
        <v>1516</v>
      </c>
      <c r="E29" s="104">
        <v>1.9375</v>
      </c>
      <c r="F29" s="94" t="s">
        <v>34</v>
      </c>
      <c r="G29" s="96">
        <v>9</v>
      </c>
      <c r="H29" s="97">
        <v>447</v>
      </c>
      <c r="I29" s="88"/>
    </row>
    <row r="30" spans="1:9" ht="19.8" customHeight="1" x14ac:dyDescent="0.3">
      <c r="A30" s="113">
        <v>45993</v>
      </c>
      <c r="B30" s="114" t="s">
        <v>66</v>
      </c>
      <c r="C30" s="115" t="s">
        <v>1519</v>
      </c>
      <c r="D30" s="114" t="s">
        <v>1516</v>
      </c>
      <c r="E30" s="116">
        <v>1.03125</v>
      </c>
      <c r="F30" s="114" t="s">
        <v>68</v>
      </c>
      <c r="G30" s="117">
        <v>9</v>
      </c>
      <c r="H30" s="142">
        <v>451</v>
      </c>
      <c r="I30" s="88"/>
    </row>
    <row r="31" spans="1:9" ht="19.8" customHeight="1" x14ac:dyDescent="0.3">
      <c r="A31" s="113">
        <v>45994</v>
      </c>
      <c r="B31" s="114" t="s">
        <v>410</v>
      </c>
      <c r="C31" s="115" t="s">
        <v>1518</v>
      </c>
      <c r="D31" s="114" t="s">
        <v>1516</v>
      </c>
      <c r="E31" s="116">
        <v>1.65625</v>
      </c>
      <c r="F31" s="114" t="s">
        <v>46</v>
      </c>
      <c r="G31" s="117">
        <v>3</v>
      </c>
      <c r="H31" s="142">
        <v>350</v>
      </c>
      <c r="I31" s="88"/>
    </row>
    <row r="32" spans="1:9" ht="19.8" customHeight="1" x14ac:dyDescent="0.3">
      <c r="A32" s="103">
        <v>45995</v>
      </c>
      <c r="B32" s="94" t="s">
        <v>404</v>
      </c>
      <c r="C32" s="95" t="s">
        <v>1517</v>
      </c>
      <c r="D32" s="94" t="s">
        <v>1516</v>
      </c>
      <c r="E32" s="104">
        <v>1.625</v>
      </c>
      <c r="F32" s="94" t="s">
        <v>46</v>
      </c>
      <c r="G32" s="96">
        <v>9</v>
      </c>
      <c r="H32" s="97">
        <v>350</v>
      </c>
      <c r="I32" s="88"/>
    </row>
    <row r="33" spans="1:9" ht="19.8" customHeight="1" x14ac:dyDescent="0.3">
      <c r="A33" s="103">
        <v>45995</v>
      </c>
      <c r="B33" s="94" t="s">
        <v>410</v>
      </c>
      <c r="C33" s="95" t="s">
        <v>1518</v>
      </c>
      <c r="D33" s="94" t="s">
        <v>1516</v>
      </c>
      <c r="E33" s="104">
        <v>1.65625</v>
      </c>
      <c r="F33" s="94" t="s">
        <v>46</v>
      </c>
      <c r="G33" s="96">
        <v>5</v>
      </c>
      <c r="H33" s="97">
        <v>350</v>
      </c>
      <c r="I33" s="88"/>
    </row>
    <row r="34" spans="1:9" ht="19.8" customHeight="1" x14ac:dyDescent="0.3">
      <c r="A34" s="105">
        <v>45995</v>
      </c>
      <c r="B34" s="99" t="s">
        <v>44</v>
      </c>
      <c r="C34" s="100" t="s">
        <v>1524</v>
      </c>
      <c r="D34" s="99" t="s">
        <v>1516</v>
      </c>
      <c r="E34" s="106">
        <v>1.7986111111111109</v>
      </c>
      <c r="F34" s="99" t="s">
        <v>46</v>
      </c>
      <c r="G34" s="101">
        <v>9</v>
      </c>
      <c r="H34" s="102">
        <v>355</v>
      </c>
      <c r="I34" s="88"/>
    </row>
    <row r="35" spans="1:9" ht="19.8" customHeight="1" x14ac:dyDescent="0.3">
      <c r="A35" s="113">
        <v>45995</v>
      </c>
      <c r="B35" s="114" t="s">
        <v>66</v>
      </c>
      <c r="C35" s="115" t="s">
        <v>1519</v>
      </c>
      <c r="D35" s="114" t="s">
        <v>1516</v>
      </c>
      <c r="E35" s="116">
        <v>1.03125</v>
      </c>
      <c r="F35" s="114" t="s">
        <v>68</v>
      </c>
      <c r="G35" s="117">
        <v>9</v>
      </c>
      <c r="H35" s="142">
        <v>372</v>
      </c>
      <c r="I35" s="88"/>
    </row>
    <row r="36" spans="1:9" ht="19.8" customHeight="1" x14ac:dyDescent="0.3">
      <c r="A36" s="103">
        <v>45996</v>
      </c>
      <c r="B36" s="94" t="s">
        <v>410</v>
      </c>
      <c r="C36" s="95" t="s">
        <v>1518</v>
      </c>
      <c r="D36" s="94" t="s">
        <v>1516</v>
      </c>
      <c r="E36" s="104">
        <v>1.65625</v>
      </c>
      <c r="F36" s="94" t="s">
        <v>46</v>
      </c>
      <c r="G36" s="96">
        <v>2</v>
      </c>
      <c r="H36" s="97">
        <v>350</v>
      </c>
      <c r="I36" s="88"/>
    </row>
    <row r="37" spans="1:9" ht="19.8" customHeight="1" x14ac:dyDescent="0.3">
      <c r="A37" s="113">
        <v>45996</v>
      </c>
      <c r="B37" s="114" t="s">
        <v>66</v>
      </c>
      <c r="C37" s="115" t="s">
        <v>1519</v>
      </c>
      <c r="D37" s="114" t="s">
        <v>1516</v>
      </c>
      <c r="E37" s="116">
        <v>1.03125</v>
      </c>
      <c r="F37" s="114" t="s">
        <v>68</v>
      </c>
      <c r="G37" s="117">
        <v>9</v>
      </c>
      <c r="H37" s="142">
        <v>372</v>
      </c>
      <c r="I37" s="88"/>
    </row>
    <row r="38" spans="1:9" ht="19.8" customHeight="1" x14ac:dyDescent="0.3">
      <c r="A38" s="103">
        <v>45997</v>
      </c>
      <c r="B38" s="94" t="s">
        <v>404</v>
      </c>
      <c r="C38" s="95" t="s">
        <v>1517</v>
      </c>
      <c r="D38" s="94" t="s">
        <v>1516</v>
      </c>
      <c r="E38" s="104">
        <v>1.6076388888888891</v>
      </c>
      <c r="F38" s="94" t="s">
        <v>46</v>
      </c>
      <c r="G38" s="96">
        <v>9</v>
      </c>
      <c r="H38" s="97">
        <v>350</v>
      </c>
      <c r="I38" s="88"/>
    </row>
    <row r="39" spans="1:9" ht="19.8" customHeight="1" x14ac:dyDescent="0.3">
      <c r="A39" s="103">
        <v>45997</v>
      </c>
      <c r="B39" s="94" t="s">
        <v>410</v>
      </c>
      <c r="C39" s="95" t="s">
        <v>1528</v>
      </c>
      <c r="D39" s="94" t="s">
        <v>1516</v>
      </c>
      <c r="E39" s="104">
        <v>1.979166666666667</v>
      </c>
      <c r="F39" s="94" t="s">
        <v>46</v>
      </c>
      <c r="G39" s="96">
        <v>5</v>
      </c>
      <c r="H39" s="97">
        <v>350</v>
      </c>
      <c r="I39" s="88"/>
    </row>
    <row r="40" spans="1:9" ht="19.8" customHeight="1" x14ac:dyDescent="0.3">
      <c r="A40" s="105">
        <v>45997</v>
      </c>
      <c r="B40" s="99" t="s">
        <v>44</v>
      </c>
      <c r="C40" s="100" t="s">
        <v>1524</v>
      </c>
      <c r="D40" s="99" t="s">
        <v>1516</v>
      </c>
      <c r="E40" s="106">
        <v>1.000694444444445</v>
      </c>
      <c r="F40" s="99" t="s">
        <v>46</v>
      </c>
      <c r="G40" s="101">
        <v>9</v>
      </c>
      <c r="H40" s="102">
        <v>355</v>
      </c>
      <c r="I40" s="88"/>
    </row>
    <row r="41" spans="1:9" ht="19.8" customHeight="1" x14ac:dyDescent="0.3">
      <c r="A41" s="113">
        <v>45997</v>
      </c>
      <c r="B41" s="114" t="s">
        <v>66</v>
      </c>
      <c r="C41" s="115" t="s">
        <v>1519</v>
      </c>
      <c r="D41" s="114" t="s">
        <v>1516</v>
      </c>
      <c r="E41" s="116">
        <v>1.03125</v>
      </c>
      <c r="F41" s="114" t="s">
        <v>68</v>
      </c>
      <c r="G41" s="117">
        <v>9</v>
      </c>
      <c r="H41" s="142">
        <v>372</v>
      </c>
      <c r="I41" s="88"/>
    </row>
    <row r="42" spans="1:9" ht="19.8" customHeight="1" x14ac:dyDescent="0.3">
      <c r="A42" s="103">
        <v>45998</v>
      </c>
      <c r="B42" s="94" t="s">
        <v>410</v>
      </c>
      <c r="C42" s="95" t="s">
        <v>1518</v>
      </c>
      <c r="D42" s="94" t="s">
        <v>1516</v>
      </c>
      <c r="E42" s="104">
        <v>1.65625</v>
      </c>
      <c r="F42" s="94" t="s">
        <v>46</v>
      </c>
      <c r="G42" s="96">
        <v>5</v>
      </c>
      <c r="H42" s="97">
        <v>350</v>
      </c>
      <c r="I42" s="88"/>
    </row>
    <row r="43" spans="1:9" ht="19.8" customHeight="1" x14ac:dyDescent="0.3">
      <c r="A43" s="105">
        <v>45998</v>
      </c>
      <c r="B43" s="99" t="s">
        <v>44</v>
      </c>
      <c r="C43" s="100" t="s">
        <v>1524</v>
      </c>
      <c r="D43" s="99" t="s">
        <v>1516</v>
      </c>
      <c r="E43" s="106">
        <v>1.7986111111111109</v>
      </c>
      <c r="F43" s="99" t="s">
        <v>46</v>
      </c>
      <c r="G43" s="101">
        <v>9</v>
      </c>
      <c r="H43" s="102">
        <v>355</v>
      </c>
      <c r="I43" s="88"/>
    </row>
    <row r="44" spans="1:9" ht="19.8" customHeight="1" x14ac:dyDescent="0.3">
      <c r="A44" s="113">
        <v>45998</v>
      </c>
      <c r="B44" s="114" t="s">
        <v>66</v>
      </c>
      <c r="C44" s="115" t="s">
        <v>1519</v>
      </c>
      <c r="D44" s="114" t="s">
        <v>1516</v>
      </c>
      <c r="E44" s="116">
        <v>1.03125</v>
      </c>
      <c r="F44" s="114" t="s">
        <v>68</v>
      </c>
      <c r="G44" s="117">
        <v>9</v>
      </c>
      <c r="H44" s="142">
        <v>372</v>
      </c>
      <c r="I44" s="88"/>
    </row>
    <row r="45" spans="1:9" ht="19.8" customHeight="1" x14ac:dyDescent="0.3">
      <c r="A45" s="103">
        <v>45999</v>
      </c>
      <c r="B45" s="94" t="s">
        <v>456</v>
      </c>
      <c r="C45" s="95" t="s">
        <v>1521</v>
      </c>
      <c r="D45" s="94" t="s">
        <v>1516</v>
      </c>
      <c r="E45" s="104">
        <v>1.9375</v>
      </c>
      <c r="F45" s="94" t="s">
        <v>458</v>
      </c>
      <c r="G45" s="96">
        <v>9</v>
      </c>
      <c r="H45" s="97">
        <v>324</v>
      </c>
      <c r="I45" s="88"/>
    </row>
    <row r="46" spans="1:9" ht="19.8" customHeight="1" x14ac:dyDescent="0.3">
      <c r="A46" s="103">
        <v>45999</v>
      </c>
      <c r="B46" s="94" t="s">
        <v>410</v>
      </c>
      <c r="C46" s="95" t="s">
        <v>1518</v>
      </c>
      <c r="D46" s="94" t="s">
        <v>1516</v>
      </c>
      <c r="E46" s="104">
        <v>1.65625</v>
      </c>
      <c r="F46" s="94" t="s">
        <v>46</v>
      </c>
      <c r="G46" s="96">
        <v>5</v>
      </c>
      <c r="H46" s="97">
        <v>350</v>
      </c>
      <c r="I46" s="88"/>
    </row>
    <row r="47" spans="1:9" ht="19.8" customHeight="1" x14ac:dyDescent="0.3">
      <c r="A47" s="113">
        <v>45999</v>
      </c>
      <c r="B47" s="114" t="s">
        <v>456</v>
      </c>
      <c r="C47" s="115" t="s">
        <v>1521</v>
      </c>
      <c r="D47" s="114" t="s">
        <v>1516</v>
      </c>
      <c r="E47" s="116">
        <v>1.9375</v>
      </c>
      <c r="F47" s="114" t="s">
        <v>34</v>
      </c>
      <c r="G47" s="117">
        <v>9</v>
      </c>
      <c r="H47" s="142">
        <v>447</v>
      </c>
      <c r="I47" s="88"/>
    </row>
    <row r="48" spans="1:9" ht="19.8" customHeight="1" x14ac:dyDescent="0.3">
      <c r="A48" s="103">
        <v>46000</v>
      </c>
      <c r="B48" s="94" t="s">
        <v>66</v>
      </c>
      <c r="C48" s="95" t="s">
        <v>1519</v>
      </c>
      <c r="D48" s="94" t="s">
        <v>1516</v>
      </c>
      <c r="E48" s="104">
        <v>1.03125</v>
      </c>
      <c r="F48" s="94" t="s">
        <v>369</v>
      </c>
      <c r="G48" s="96">
        <v>9</v>
      </c>
      <c r="H48" s="97">
        <v>327</v>
      </c>
      <c r="I48" s="88"/>
    </row>
    <row r="49" spans="1:9" ht="19.8" customHeight="1" x14ac:dyDescent="0.3">
      <c r="A49" s="103">
        <v>46000</v>
      </c>
      <c r="B49" s="94" t="s">
        <v>404</v>
      </c>
      <c r="C49" s="95" t="s">
        <v>1517</v>
      </c>
      <c r="D49" s="94" t="s">
        <v>1516</v>
      </c>
      <c r="E49" s="104">
        <v>1.6076388888888891</v>
      </c>
      <c r="F49" s="94" t="s">
        <v>46</v>
      </c>
      <c r="G49" s="96">
        <v>9</v>
      </c>
      <c r="H49" s="97">
        <v>350</v>
      </c>
      <c r="I49" s="88"/>
    </row>
    <row r="50" spans="1:9" ht="19.8" customHeight="1" x14ac:dyDescent="0.3">
      <c r="A50" s="113">
        <v>46000</v>
      </c>
      <c r="B50" s="114" t="s">
        <v>410</v>
      </c>
      <c r="C50" s="115" t="s">
        <v>1518</v>
      </c>
      <c r="D50" s="114" t="s">
        <v>1516</v>
      </c>
      <c r="E50" s="116">
        <v>1.65625</v>
      </c>
      <c r="F50" s="114" t="s">
        <v>46</v>
      </c>
      <c r="G50" s="117">
        <v>6</v>
      </c>
      <c r="H50" s="142">
        <v>350</v>
      </c>
      <c r="I50" s="88"/>
    </row>
    <row r="51" spans="1:9" ht="19.8" customHeight="1" x14ac:dyDescent="0.3">
      <c r="A51" s="103">
        <v>46001</v>
      </c>
      <c r="B51" s="94" t="s">
        <v>456</v>
      </c>
      <c r="C51" s="95" t="s">
        <v>1521</v>
      </c>
      <c r="D51" s="94" t="s">
        <v>1516</v>
      </c>
      <c r="E51" s="104">
        <v>1.9375</v>
      </c>
      <c r="F51" s="94" t="s">
        <v>458</v>
      </c>
      <c r="G51" s="96">
        <v>9</v>
      </c>
      <c r="H51" s="97">
        <v>345</v>
      </c>
      <c r="I51" s="88"/>
    </row>
    <row r="52" spans="1:9" ht="19.8" customHeight="1" x14ac:dyDescent="0.3">
      <c r="A52" s="103">
        <v>46001</v>
      </c>
      <c r="B52" s="94" t="s">
        <v>456</v>
      </c>
      <c r="C52" s="95" t="s">
        <v>1521</v>
      </c>
      <c r="D52" s="94" t="s">
        <v>1516</v>
      </c>
      <c r="E52" s="104">
        <v>1.9375</v>
      </c>
      <c r="F52" s="94" t="s">
        <v>34</v>
      </c>
      <c r="G52" s="96">
        <v>9</v>
      </c>
      <c r="H52" s="97">
        <v>469</v>
      </c>
      <c r="I52" s="88"/>
    </row>
    <row r="53" spans="1:9" ht="19.8" customHeight="1" x14ac:dyDescent="0.3">
      <c r="A53" s="113">
        <v>46001</v>
      </c>
      <c r="B53" s="114" t="s">
        <v>410</v>
      </c>
      <c r="C53" s="115" t="s">
        <v>1518</v>
      </c>
      <c r="D53" s="114" t="s">
        <v>1516</v>
      </c>
      <c r="E53" s="116">
        <v>1.65625</v>
      </c>
      <c r="F53" s="114" t="s">
        <v>46</v>
      </c>
      <c r="G53" s="117">
        <v>5</v>
      </c>
      <c r="H53" s="142">
        <v>521</v>
      </c>
      <c r="I53" s="88"/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37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3.7773437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1543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45982.8043386059</v>
      </c>
      <c r="H2" s="330"/>
      <c r="I2" s="330"/>
      <c r="J2" s="330"/>
      <c r="K2" s="334">
        <v>45982.804338606271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17.399999999999999" customHeight="1" x14ac:dyDescent="0.3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5"/>
    </row>
    <row r="5" spans="1:18" ht="22.05" customHeight="1" x14ac:dyDescent="0.3">
      <c r="A5" s="323" t="s">
        <v>6</v>
      </c>
      <c r="B5" s="324"/>
      <c r="C5" s="324"/>
      <c r="D5" s="324"/>
      <c r="E5" s="324"/>
      <c r="F5" s="324"/>
      <c r="G5" s="2">
        <v>45987</v>
      </c>
      <c r="H5" s="323" t="s">
        <v>7</v>
      </c>
      <c r="I5" s="324"/>
      <c r="J5" s="324"/>
      <c r="K5" s="324"/>
      <c r="L5" s="324"/>
      <c r="M5" s="324"/>
      <c r="N5" s="324"/>
      <c r="O5" s="324"/>
      <c r="P5" s="324"/>
      <c r="Q5" s="324"/>
      <c r="R5" s="324"/>
    </row>
    <row r="6" spans="1:18" ht="24" customHeight="1" x14ac:dyDescent="0.3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4" t="s">
        <v>13</v>
      </c>
      <c r="G6" s="5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25</v>
      </c>
    </row>
    <row r="7" spans="1:18" ht="49.95" customHeight="1" x14ac:dyDescent="0.3">
      <c r="A7" s="127" t="s">
        <v>44</v>
      </c>
      <c r="B7" s="127" t="s">
        <v>1544</v>
      </c>
      <c r="C7" s="127">
        <v>2.0833333333333329E-2</v>
      </c>
      <c r="D7" s="127" t="s">
        <v>46</v>
      </c>
      <c r="E7" s="127" t="s">
        <v>47</v>
      </c>
      <c r="F7" s="127" t="s">
        <v>1545</v>
      </c>
      <c r="G7" s="335"/>
      <c r="H7" s="249" t="s">
        <v>1546</v>
      </c>
      <c r="I7" s="250">
        <v>0.41670000000000001</v>
      </c>
      <c r="J7" s="251">
        <v>70</v>
      </c>
      <c r="K7" s="252" t="s">
        <v>50</v>
      </c>
      <c r="L7" s="251">
        <v>43</v>
      </c>
      <c r="M7" s="251">
        <v>0</v>
      </c>
      <c r="N7" s="251">
        <v>7</v>
      </c>
      <c r="O7" s="252" t="s">
        <v>237</v>
      </c>
      <c r="P7" s="252">
        <v>2.0833333333333329E-2</v>
      </c>
      <c r="Q7" s="251">
        <v>168</v>
      </c>
      <c r="R7" s="253" t="s">
        <v>1547</v>
      </c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17.399999999999999" customHeigh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2"/>
    </row>
    <row r="10" spans="1:18" ht="17.399999999999999" customHeight="1" x14ac:dyDescent="0.3">
      <c r="A10" s="360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2"/>
    </row>
    <row r="11" spans="1:18" ht="22.05" customHeight="1" x14ac:dyDescent="0.3">
      <c r="A11" s="323" t="s">
        <v>6</v>
      </c>
      <c r="B11" s="324"/>
      <c r="C11" s="324"/>
      <c r="D11" s="324"/>
      <c r="E11" s="324"/>
      <c r="F11" s="324"/>
      <c r="G11" s="2">
        <v>45990</v>
      </c>
      <c r="H11" s="323" t="s">
        <v>7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</row>
    <row r="12" spans="1:18" ht="24" customHeight="1" x14ac:dyDescent="0.3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4" t="s">
        <v>13</v>
      </c>
      <c r="G12" s="5" t="s">
        <v>14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  <c r="Q12" s="3" t="s">
        <v>24</v>
      </c>
      <c r="R12" s="3" t="s">
        <v>25</v>
      </c>
    </row>
    <row r="13" spans="1:18" ht="49.95" customHeight="1" x14ac:dyDescent="0.3">
      <c r="A13" s="127" t="s">
        <v>44</v>
      </c>
      <c r="B13" s="127" t="s">
        <v>1544</v>
      </c>
      <c r="C13" s="127">
        <v>0.85416666666666663</v>
      </c>
      <c r="D13" s="127" t="s">
        <v>46</v>
      </c>
      <c r="E13" s="127" t="s">
        <v>102</v>
      </c>
      <c r="F13" s="127" t="s">
        <v>1548</v>
      </c>
      <c r="G13" s="336"/>
      <c r="H13" s="269" t="s">
        <v>1546</v>
      </c>
      <c r="I13" s="309">
        <v>0.29170000000000001</v>
      </c>
      <c r="J13" s="271">
        <v>49</v>
      </c>
      <c r="K13" s="272" t="s">
        <v>175</v>
      </c>
      <c r="L13" s="271">
        <v>22</v>
      </c>
      <c r="M13" s="271">
        <v>1</v>
      </c>
      <c r="N13" s="271">
        <v>6</v>
      </c>
      <c r="O13" s="272" t="s">
        <v>643</v>
      </c>
      <c r="P13" s="272">
        <v>0.85416666666666663</v>
      </c>
      <c r="Q13" s="271">
        <v>168</v>
      </c>
      <c r="R13" s="273" t="s">
        <v>1549</v>
      </c>
    </row>
    <row r="14" spans="1:18" ht="15.6" x14ac:dyDescent="0.3">
      <c r="A14" s="338" t="s">
        <v>1550</v>
      </c>
      <c r="B14" s="339"/>
      <c r="C14" s="339"/>
      <c r="D14" s="339"/>
      <c r="E14" s="339"/>
      <c r="F14" s="339"/>
      <c r="G14" s="32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</row>
    <row r="15" spans="1:18" ht="49.95" customHeight="1" x14ac:dyDescent="0.3">
      <c r="A15" s="155" t="s">
        <v>44</v>
      </c>
      <c r="B15" s="155" t="s">
        <v>367</v>
      </c>
      <c r="C15" s="155" t="s">
        <v>368</v>
      </c>
      <c r="D15" s="155" t="s">
        <v>369</v>
      </c>
      <c r="E15" s="155" t="s">
        <v>370</v>
      </c>
      <c r="F15" s="155" t="s">
        <v>371</v>
      </c>
      <c r="G15" s="337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</row>
    <row r="16" spans="1:18" ht="17.399999999999999" customHeight="1" x14ac:dyDescent="0.3">
      <c r="A16" s="360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2"/>
    </row>
    <row r="17" spans="1:18" ht="17.399999999999999" customHeight="1" x14ac:dyDescent="0.3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2"/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17.399999999999999" customHeight="1" x14ac:dyDescent="0.3">
      <c r="A19" s="360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2"/>
    </row>
    <row r="20" spans="1:18" ht="22.05" customHeight="1" x14ac:dyDescent="0.3">
      <c r="A20" s="323" t="s">
        <v>6</v>
      </c>
      <c r="B20" s="324"/>
      <c r="C20" s="324"/>
      <c r="D20" s="324"/>
      <c r="E20" s="324"/>
      <c r="F20" s="324"/>
      <c r="G20" s="2">
        <v>45994</v>
      </c>
      <c r="H20" s="323" t="s">
        <v>7</v>
      </c>
      <c r="I20" s="324"/>
      <c r="J20" s="324"/>
      <c r="K20" s="324"/>
      <c r="L20" s="324"/>
      <c r="M20" s="324"/>
      <c r="N20" s="324"/>
      <c r="O20" s="324"/>
      <c r="P20" s="324"/>
      <c r="Q20" s="324"/>
      <c r="R20" s="324"/>
    </row>
    <row r="21" spans="1:18" ht="24" customHeight="1" x14ac:dyDescent="0.3">
      <c r="A21" s="3" t="s">
        <v>8</v>
      </c>
      <c r="B21" s="3" t="s">
        <v>9</v>
      </c>
      <c r="C21" s="3" t="s">
        <v>10</v>
      </c>
      <c r="D21" s="3" t="s">
        <v>11</v>
      </c>
      <c r="E21" s="3" t="s">
        <v>12</v>
      </c>
      <c r="F21" s="4" t="s">
        <v>13</v>
      </c>
      <c r="G21" s="5" t="s">
        <v>14</v>
      </c>
      <c r="H21" s="3" t="s">
        <v>15</v>
      </c>
      <c r="I21" s="3" t="s">
        <v>16</v>
      </c>
      <c r="J21" s="3" t="s">
        <v>17</v>
      </c>
      <c r="K21" s="3" t="s">
        <v>18</v>
      </c>
      <c r="L21" s="3" t="s">
        <v>19</v>
      </c>
      <c r="M21" s="3" t="s">
        <v>20</v>
      </c>
      <c r="N21" s="3" t="s">
        <v>21</v>
      </c>
      <c r="O21" s="3" t="s">
        <v>22</v>
      </c>
      <c r="P21" s="3" t="s">
        <v>23</v>
      </c>
      <c r="Q21" s="3" t="s">
        <v>24</v>
      </c>
      <c r="R21" s="3" t="s">
        <v>25</v>
      </c>
    </row>
    <row r="22" spans="1:18" ht="49.95" customHeight="1" x14ac:dyDescent="0.3">
      <c r="A22" s="51" t="s">
        <v>44</v>
      </c>
      <c r="B22" s="51" t="s">
        <v>1544</v>
      </c>
      <c r="C22" s="51">
        <v>2.0833333333333329E-2</v>
      </c>
      <c r="D22" s="51" t="s">
        <v>46</v>
      </c>
      <c r="E22" s="51" t="s">
        <v>47</v>
      </c>
      <c r="F22" s="51" t="s">
        <v>1548</v>
      </c>
      <c r="G22" s="335"/>
      <c r="H22" s="277" t="s">
        <v>1546</v>
      </c>
      <c r="I22" s="301">
        <v>0.2321</v>
      </c>
      <c r="J22" s="279">
        <v>39</v>
      </c>
      <c r="K22" s="280" t="s">
        <v>63</v>
      </c>
      <c r="L22" s="279">
        <v>17</v>
      </c>
      <c r="M22" s="279">
        <v>0</v>
      </c>
      <c r="N22" s="279">
        <v>0</v>
      </c>
      <c r="O22" s="280" t="s">
        <v>364</v>
      </c>
      <c r="P22" s="280">
        <v>2.0833333333333329E-2</v>
      </c>
      <c r="Q22" s="279">
        <v>168</v>
      </c>
      <c r="R22" s="281" t="s">
        <v>1551</v>
      </c>
    </row>
    <row r="23" spans="1:18" ht="17.399999999999999" customHeight="1" x14ac:dyDescent="0.3">
      <c r="A23" s="360"/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2"/>
    </row>
    <row r="24" spans="1:18" ht="17.399999999999999" customHeight="1" x14ac:dyDescent="0.3">
      <c r="A24" s="360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2"/>
    </row>
    <row r="25" spans="1:18" ht="17.399999999999999" customHeight="1" x14ac:dyDescent="0.3">
      <c r="A25" s="360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2"/>
    </row>
    <row r="26" spans="1:18" ht="22.05" customHeight="1" x14ac:dyDescent="0.3">
      <c r="A26" s="323" t="s">
        <v>6</v>
      </c>
      <c r="B26" s="324"/>
      <c r="C26" s="324"/>
      <c r="D26" s="324"/>
      <c r="E26" s="324"/>
      <c r="F26" s="324"/>
      <c r="G26" s="2">
        <v>45997</v>
      </c>
      <c r="H26" s="323" t="s">
        <v>7</v>
      </c>
      <c r="I26" s="324"/>
      <c r="J26" s="324"/>
      <c r="K26" s="324"/>
      <c r="L26" s="324"/>
      <c r="M26" s="324"/>
      <c r="N26" s="324"/>
      <c r="O26" s="324"/>
      <c r="P26" s="324"/>
      <c r="Q26" s="324"/>
      <c r="R26" s="324"/>
    </row>
    <row r="27" spans="1:18" ht="24" customHeight="1" x14ac:dyDescent="0.3">
      <c r="A27" s="3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4" t="s">
        <v>13</v>
      </c>
      <c r="G27" s="5" t="s">
        <v>14</v>
      </c>
      <c r="H27" s="3" t="s">
        <v>15</v>
      </c>
      <c r="I27" s="3" t="s">
        <v>16</v>
      </c>
      <c r="J27" s="3" t="s">
        <v>17</v>
      </c>
      <c r="K27" s="3" t="s">
        <v>18</v>
      </c>
      <c r="L27" s="3" t="s">
        <v>19</v>
      </c>
      <c r="M27" s="3" t="s">
        <v>20</v>
      </c>
      <c r="N27" s="3" t="s">
        <v>21</v>
      </c>
      <c r="O27" s="3" t="s">
        <v>22</v>
      </c>
      <c r="P27" s="3" t="s">
        <v>23</v>
      </c>
      <c r="Q27" s="3" t="s">
        <v>24</v>
      </c>
      <c r="R27" s="3" t="s">
        <v>25</v>
      </c>
    </row>
    <row r="28" spans="1:18" ht="49.95" customHeight="1" x14ac:dyDescent="0.3">
      <c r="A28" s="149" t="s">
        <v>44</v>
      </c>
      <c r="B28" s="149" t="s">
        <v>1544</v>
      </c>
      <c r="C28" s="149">
        <v>0.85416666666666663</v>
      </c>
      <c r="D28" s="149" t="s">
        <v>46</v>
      </c>
      <c r="E28" s="149" t="s">
        <v>47</v>
      </c>
      <c r="F28" s="149" t="s">
        <v>1545</v>
      </c>
      <c r="G28" s="336"/>
      <c r="H28" s="150" t="s">
        <v>1546</v>
      </c>
      <c r="I28" s="151">
        <v>0.1845</v>
      </c>
      <c r="J28" s="152">
        <v>31</v>
      </c>
      <c r="K28" s="153" t="s">
        <v>50</v>
      </c>
      <c r="L28" s="152">
        <v>6</v>
      </c>
      <c r="M28" s="152">
        <v>0</v>
      </c>
      <c r="N28" s="152">
        <v>2</v>
      </c>
      <c r="O28" s="153" t="s">
        <v>237</v>
      </c>
      <c r="P28" s="153">
        <v>0.85416666666666663</v>
      </c>
      <c r="Q28" s="152">
        <v>168</v>
      </c>
      <c r="R28" s="154" t="s">
        <v>1552</v>
      </c>
    </row>
    <row r="29" spans="1:18" ht="15.6" x14ac:dyDescent="0.3">
      <c r="A29" s="338" t="s">
        <v>1550</v>
      </c>
      <c r="B29" s="339"/>
      <c r="C29" s="339"/>
      <c r="D29" s="339"/>
      <c r="E29" s="339"/>
      <c r="F29" s="339"/>
      <c r="G29" s="32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</row>
    <row r="30" spans="1:18" ht="49.95" customHeight="1" x14ac:dyDescent="0.3">
      <c r="A30" s="155" t="s">
        <v>44</v>
      </c>
      <c r="B30" s="155" t="s">
        <v>367</v>
      </c>
      <c r="C30" s="155" t="s">
        <v>368</v>
      </c>
      <c r="D30" s="155" t="s">
        <v>369</v>
      </c>
      <c r="E30" s="155" t="s">
        <v>377</v>
      </c>
      <c r="F30" s="155" t="s">
        <v>371</v>
      </c>
      <c r="G30" s="337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17.399999999999999" customHeight="1" x14ac:dyDescent="0.3">
      <c r="A32" s="360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2"/>
    </row>
    <row r="33" spans="1:18" ht="17.399999999999999" customHeight="1" x14ac:dyDescent="0.3">
      <c r="A33" s="360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2"/>
    </row>
    <row r="34" spans="1:18" ht="17.399999999999999" customHeight="1" x14ac:dyDescent="0.3">
      <c r="A34" s="360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2"/>
    </row>
    <row r="35" spans="1:18" ht="22.05" customHeight="1" x14ac:dyDescent="0.3">
      <c r="A35" s="323" t="s">
        <v>6</v>
      </c>
      <c r="B35" s="324"/>
      <c r="C35" s="324"/>
      <c r="D35" s="324"/>
      <c r="E35" s="324"/>
      <c r="F35" s="324"/>
      <c r="G35" s="2">
        <v>46001</v>
      </c>
      <c r="H35" s="323" t="s">
        <v>7</v>
      </c>
      <c r="I35" s="324"/>
      <c r="J35" s="324"/>
      <c r="K35" s="324"/>
      <c r="L35" s="324"/>
      <c r="M35" s="324"/>
      <c r="N35" s="324"/>
      <c r="O35" s="324"/>
      <c r="P35" s="324"/>
      <c r="Q35" s="324"/>
      <c r="R35" s="324"/>
    </row>
    <row r="36" spans="1:18" ht="24" customHeight="1" x14ac:dyDescent="0.3">
      <c r="A36" s="3" t="s">
        <v>8</v>
      </c>
      <c r="B36" s="3" t="s">
        <v>9</v>
      </c>
      <c r="C36" s="3" t="s">
        <v>10</v>
      </c>
      <c r="D36" s="3" t="s">
        <v>11</v>
      </c>
      <c r="E36" s="3" t="s">
        <v>12</v>
      </c>
      <c r="F36" s="4" t="s">
        <v>13</v>
      </c>
      <c r="G36" s="5" t="s">
        <v>14</v>
      </c>
      <c r="H36" s="3" t="s">
        <v>15</v>
      </c>
      <c r="I36" s="3" t="s">
        <v>16</v>
      </c>
      <c r="J36" s="3" t="s">
        <v>17</v>
      </c>
      <c r="K36" s="3" t="s">
        <v>18</v>
      </c>
      <c r="L36" s="3" t="s">
        <v>19</v>
      </c>
      <c r="M36" s="3" t="s">
        <v>20</v>
      </c>
      <c r="N36" s="3" t="s">
        <v>21</v>
      </c>
      <c r="O36" s="3" t="s">
        <v>22</v>
      </c>
      <c r="P36" s="3" t="s">
        <v>23</v>
      </c>
      <c r="Q36" s="3" t="s">
        <v>24</v>
      </c>
      <c r="R36" s="3" t="s">
        <v>25</v>
      </c>
    </row>
    <row r="37" spans="1:18" ht="49.95" customHeight="1" x14ac:dyDescent="0.3">
      <c r="A37" s="127" t="s">
        <v>44</v>
      </c>
      <c r="B37" s="127" t="s">
        <v>1544</v>
      </c>
      <c r="C37" s="127">
        <v>2.0833333333333329E-2</v>
      </c>
      <c r="D37" s="127" t="s">
        <v>46</v>
      </c>
      <c r="E37" s="127" t="s">
        <v>47</v>
      </c>
      <c r="F37" s="127" t="s">
        <v>1545</v>
      </c>
      <c r="G37" s="335"/>
      <c r="H37" s="249" t="s">
        <v>1546</v>
      </c>
      <c r="I37" s="250">
        <v>0.3095</v>
      </c>
      <c r="J37" s="251">
        <v>52</v>
      </c>
      <c r="K37" s="252" t="s">
        <v>175</v>
      </c>
      <c r="L37" s="251">
        <v>30</v>
      </c>
      <c r="M37" s="251">
        <v>3</v>
      </c>
      <c r="N37" s="251">
        <v>7</v>
      </c>
      <c r="O37" s="252" t="s">
        <v>237</v>
      </c>
      <c r="P37" s="252">
        <v>2.0833333333333329E-2</v>
      </c>
      <c r="Q37" s="251">
        <v>168</v>
      </c>
      <c r="R37" s="253" t="s">
        <v>1553</v>
      </c>
    </row>
  </sheetData>
  <mergeCells count="39">
    <mergeCell ref="K2:R2"/>
    <mergeCell ref="A9:R9"/>
    <mergeCell ref="A31:R31"/>
    <mergeCell ref="A34:R34"/>
    <mergeCell ref="G37"/>
    <mergeCell ref="A11:F11"/>
    <mergeCell ref="A24:R24"/>
    <mergeCell ref="G28:G30"/>
    <mergeCell ref="H5:R5"/>
    <mergeCell ref="H11:R11"/>
    <mergeCell ref="A19:R19"/>
    <mergeCell ref="A10:R10"/>
    <mergeCell ref="G7"/>
    <mergeCell ref="G13:G15"/>
    <mergeCell ref="H1:L1"/>
    <mergeCell ref="A1:E1"/>
    <mergeCell ref="A26:F26"/>
    <mergeCell ref="A18:R18"/>
    <mergeCell ref="G22"/>
    <mergeCell ref="A2:F2"/>
    <mergeCell ref="A3:R3"/>
    <mergeCell ref="A14:F14"/>
    <mergeCell ref="A5:F5"/>
    <mergeCell ref="G2:J2"/>
    <mergeCell ref="A17:R17"/>
    <mergeCell ref="A23:R23"/>
    <mergeCell ref="A20:F20"/>
    <mergeCell ref="A8:R8"/>
    <mergeCell ref="A4:R4"/>
    <mergeCell ref="N1:R1"/>
    <mergeCell ref="H26:R26"/>
    <mergeCell ref="A25:R25"/>
    <mergeCell ref="H35:R35"/>
    <mergeCell ref="A16:R16"/>
    <mergeCell ref="H20:R20"/>
    <mergeCell ref="A33:R33"/>
    <mergeCell ref="A32:R32"/>
    <mergeCell ref="A35:F35"/>
    <mergeCell ref="A29:F29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7"/>
  <sheetViews>
    <sheetView workbookViewId="0"/>
  </sheetViews>
  <sheetFormatPr defaultRowHeight="15.6" outlineLevelCol="1" x14ac:dyDescent="0.3"/>
  <cols>
    <col min="1" max="1" width="11.5546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8.109375" style="343" bestFit="1" customWidth="1"/>
    <col min="6" max="6" width="4.21875" style="343" bestFit="1" customWidth="1"/>
    <col min="7" max="7" width="10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9" width="3.88671875" style="343" bestFit="1" customWidth="1"/>
    <col min="30" max="31" width="4.5546875" style="343" bestFit="1" customWidth="1"/>
    <col min="32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331</v>
      </c>
      <c r="B2" s="345">
        <v>45987</v>
      </c>
      <c r="C2" s="346" t="s">
        <v>1546</v>
      </c>
      <c r="D2" s="347" t="s">
        <v>1554</v>
      </c>
      <c r="E2" s="346" t="s">
        <v>1543</v>
      </c>
      <c r="F2" s="346" t="s">
        <v>214</v>
      </c>
      <c r="G2" s="348">
        <v>0.41670000000000001</v>
      </c>
      <c r="H2" s="349">
        <v>168</v>
      </c>
      <c r="I2" s="349">
        <v>70</v>
      </c>
      <c r="J2" s="349">
        <v>0</v>
      </c>
      <c r="K2" s="346" t="s">
        <v>215</v>
      </c>
      <c r="L2" s="350" t="s">
        <v>50</v>
      </c>
      <c r="M2" s="349">
        <v>0</v>
      </c>
      <c r="N2" s="349">
        <v>7</v>
      </c>
      <c r="O2" s="349">
        <v>43</v>
      </c>
      <c r="P2" s="346" t="s">
        <v>237</v>
      </c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9" t="s">
        <v>705</v>
      </c>
      <c r="AB2" s="342"/>
      <c r="AC2" s="349" t="s">
        <v>279</v>
      </c>
      <c r="AD2" s="349" t="s">
        <v>364</v>
      </c>
      <c r="AE2" s="349" t="s">
        <v>1555</v>
      </c>
      <c r="AF2" s="342"/>
      <c r="AG2" s="342"/>
      <c r="AH2" s="342"/>
      <c r="AI2" s="342"/>
      <c r="AJ2" s="342"/>
    </row>
    <row r="3" spans="1:36" x14ac:dyDescent="0.3">
      <c r="A3" s="344" t="s">
        <v>248</v>
      </c>
      <c r="B3" s="345">
        <v>45990</v>
      </c>
      <c r="C3" s="346" t="s">
        <v>1546</v>
      </c>
      <c r="D3" s="347" t="s">
        <v>1556</v>
      </c>
      <c r="E3" s="346" t="s">
        <v>1543</v>
      </c>
      <c r="F3" s="346" t="s">
        <v>214</v>
      </c>
      <c r="G3" s="348">
        <v>0.29170000000000001</v>
      </c>
      <c r="H3" s="349">
        <v>168</v>
      </c>
      <c r="I3" s="349">
        <v>49</v>
      </c>
      <c r="J3" s="349">
        <v>0</v>
      </c>
      <c r="K3" s="346" t="s">
        <v>215</v>
      </c>
      <c r="L3" s="350" t="s">
        <v>175</v>
      </c>
      <c r="M3" s="349">
        <v>1</v>
      </c>
      <c r="N3" s="349">
        <v>6</v>
      </c>
      <c r="O3" s="349">
        <v>22</v>
      </c>
      <c r="P3" s="346" t="s">
        <v>643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9" t="s">
        <v>705</v>
      </c>
      <c r="AB3" s="342"/>
      <c r="AC3" s="342"/>
      <c r="AD3" s="349" t="s">
        <v>1019</v>
      </c>
      <c r="AE3" s="349" t="s">
        <v>389</v>
      </c>
      <c r="AF3" s="342"/>
      <c r="AG3" s="342"/>
      <c r="AH3" s="342"/>
      <c r="AI3" s="342"/>
      <c r="AJ3" s="342"/>
    </row>
    <row r="4" spans="1:36" x14ac:dyDescent="0.3">
      <c r="A4" s="344" t="s">
        <v>331</v>
      </c>
      <c r="B4" s="345">
        <v>45994</v>
      </c>
      <c r="C4" s="346" t="s">
        <v>1546</v>
      </c>
      <c r="D4" s="347" t="s">
        <v>1554</v>
      </c>
      <c r="E4" s="346" t="s">
        <v>1543</v>
      </c>
      <c r="F4" s="346" t="s">
        <v>214</v>
      </c>
      <c r="G4" s="348">
        <v>0.2321</v>
      </c>
      <c r="H4" s="349">
        <v>168</v>
      </c>
      <c r="I4" s="349">
        <v>39</v>
      </c>
      <c r="J4" s="349">
        <v>0</v>
      </c>
      <c r="K4" s="346" t="s">
        <v>215</v>
      </c>
      <c r="L4" s="350" t="s">
        <v>63</v>
      </c>
      <c r="M4" s="349">
        <v>0</v>
      </c>
      <c r="N4" s="349">
        <v>0</v>
      </c>
      <c r="O4" s="349">
        <v>17</v>
      </c>
      <c r="P4" s="346" t="s">
        <v>364</v>
      </c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9" t="s">
        <v>563</v>
      </c>
      <c r="AD4" s="349" t="s">
        <v>282</v>
      </c>
      <c r="AE4" s="349" t="s">
        <v>389</v>
      </c>
      <c r="AF4" s="342"/>
      <c r="AG4" s="342"/>
      <c r="AH4" s="342"/>
      <c r="AI4" s="342"/>
      <c r="AJ4" s="342"/>
    </row>
    <row r="5" spans="1:36" x14ac:dyDescent="0.3">
      <c r="A5" s="344" t="s">
        <v>248</v>
      </c>
      <c r="B5" s="345">
        <v>45997</v>
      </c>
      <c r="C5" s="346" t="s">
        <v>1546</v>
      </c>
      <c r="D5" s="347" t="s">
        <v>1556</v>
      </c>
      <c r="E5" s="346" t="s">
        <v>1543</v>
      </c>
      <c r="F5" s="346" t="s">
        <v>214</v>
      </c>
      <c r="G5" s="348">
        <v>0.1845</v>
      </c>
      <c r="H5" s="349">
        <v>168</v>
      </c>
      <c r="I5" s="349">
        <v>31</v>
      </c>
      <c r="J5" s="349">
        <v>0</v>
      </c>
      <c r="K5" s="346" t="s">
        <v>215</v>
      </c>
      <c r="L5" s="350" t="s">
        <v>50</v>
      </c>
      <c r="M5" s="349">
        <v>0</v>
      </c>
      <c r="N5" s="349">
        <v>2</v>
      </c>
      <c r="O5" s="349">
        <v>6</v>
      </c>
      <c r="P5" s="346" t="s">
        <v>237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333</v>
      </c>
      <c r="AA5" s="342"/>
      <c r="AB5" s="342"/>
      <c r="AC5" s="342"/>
      <c r="AD5" s="349" t="s">
        <v>262</v>
      </c>
      <c r="AE5" s="349" t="s">
        <v>383</v>
      </c>
      <c r="AF5" s="342"/>
      <c r="AG5" s="342"/>
      <c r="AH5" s="342"/>
      <c r="AI5" s="342"/>
      <c r="AJ5" s="342"/>
    </row>
    <row r="6" spans="1:36" x14ac:dyDescent="0.3">
      <c r="A6" s="344" t="s">
        <v>331</v>
      </c>
      <c r="B6" s="345">
        <v>46001</v>
      </c>
      <c r="C6" s="346" t="s">
        <v>1546</v>
      </c>
      <c r="D6" s="347" t="s">
        <v>1554</v>
      </c>
      <c r="E6" s="346" t="s">
        <v>1543</v>
      </c>
      <c r="F6" s="346" t="s">
        <v>214</v>
      </c>
      <c r="G6" s="348">
        <v>0.3095</v>
      </c>
      <c r="H6" s="349">
        <v>168</v>
      </c>
      <c r="I6" s="349">
        <v>52</v>
      </c>
      <c r="J6" s="349">
        <v>0</v>
      </c>
      <c r="K6" s="346" t="s">
        <v>215</v>
      </c>
      <c r="L6" s="350" t="s">
        <v>175</v>
      </c>
      <c r="M6" s="349">
        <v>3</v>
      </c>
      <c r="N6" s="349">
        <v>7</v>
      </c>
      <c r="O6" s="349">
        <v>30</v>
      </c>
      <c r="P6" s="346" t="s">
        <v>237</v>
      </c>
      <c r="Q6" s="342"/>
      <c r="R6" s="342"/>
      <c r="S6" s="342"/>
      <c r="T6" s="342"/>
      <c r="U6" s="342"/>
      <c r="V6" s="342"/>
      <c r="W6" s="342"/>
      <c r="X6" s="342"/>
      <c r="Y6" s="342"/>
      <c r="Z6" s="349" t="s">
        <v>333</v>
      </c>
      <c r="AA6" s="342"/>
      <c r="AB6" s="342"/>
      <c r="AC6" s="349" t="s">
        <v>279</v>
      </c>
      <c r="AD6" s="349" t="s">
        <v>245</v>
      </c>
      <c r="AE6" s="349" t="s">
        <v>1557</v>
      </c>
      <c r="AF6" s="342"/>
      <c r="AG6" s="342"/>
      <c r="AH6" s="342"/>
      <c r="AI6" s="342"/>
      <c r="AJ6" s="342"/>
    </row>
    <row r="7" spans="1:36" ht="21" x14ac:dyDescent="0.3">
      <c r="A7" s="351" t="s">
        <v>1574</v>
      </c>
      <c r="B7" s="352"/>
      <c r="C7" s="351">
        <f>SUBTOTAL(103,ELQ_ATZ_LF_LEGACY[Flt])</f>
        <v>5</v>
      </c>
      <c r="D7" s="351"/>
      <c r="E7" s="351">
        <f>SUBTOTAL(103,ELQ_ATZ_LF_LEGACY[Brd-Off])</f>
        <v>5</v>
      </c>
      <c r="F7" s="351"/>
      <c r="G7" s="353">
        <f>SUBTOTAL(101,ELQ_ATZ_LF_LEGACY[LF%])</f>
        <v>0.28689999999999999</v>
      </c>
      <c r="H7" s="354">
        <f>SUBTOTAL(109,ELQ_ATZ_LF_LEGACY[CAP])</f>
        <v>840</v>
      </c>
      <c r="I7" s="354">
        <f>SUBTOTAL(109,ELQ_ATZ_LF_LEGACY[BKG(Y)])</f>
        <v>241</v>
      </c>
      <c r="J7" s="354">
        <f>SUBTOTAL(109,ELQ_ATZ_LF_LEGACY[GRP(Y)])</f>
        <v>0</v>
      </c>
      <c r="K7" s="351"/>
      <c r="L7" s="352"/>
      <c r="M7" s="354">
        <f>SUBTOTAL(109,ELQ_ATZ_LF_LEGACY[TO-DAY])</f>
        <v>4</v>
      </c>
      <c r="N7" s="354">
        <f>SUBTOTAL(109,ELQ_ATZ_LF_LEGACY[Y-DAY])</f>
        <v>22</v>
      </c>
      <c r="O7" s="354">
        <f>SUBTOTAL(109,ELQ_ATZ_LF_LEGACY[WEEKLY])</f>
        <v>118</v>
      </c>
      <c r="P7" s="355"/>
      <c r="Q7" s="354">
        <f>SUBTOTAL(109,ELQ_ATZ_LF_LEGACY[Y])</f>
        <v>0</v>
      </c>
      <c r="R7" s="354">
        <f>SUBTOTAL(109,ELQ_ATZ_LF_LEGACY[B])</f>
        <v>0</v>
      </c>
      <c r="S7" s="354">
        <f>SUBTOTAL(109,ELQ_ATZ_LF_LEGACY[M])</f>
        <v>0</v>
      </c>
      <c r="T7" s="354">
        <f>SUBTOTAL(109,ELQ_ATZ_LF_LEGACY[H])</f>
        <v>0</v>
      </c>
      <c r="U7" s="354">
        <f>SUBTOTAL(109,ELQ_ATZ_LF_LEGACY[Q])</f>
        <v>0</v>
      </c>
      <c r="V7" s="354">
        <f>SUBTOTAL(109,ELQ_ATZ_LF_LEGACY[K])</f>
        <v>0</v>
      </c>
      <c r="W7" s="354">
        <f>SUBTOTAL(109,ELQ_ATZ_LF_LEGACY[V])</f>
        <v>0</v>
      </c>
      <c r="X7" s="354">
        <f>SUBTOTAL(109,ELQ_ATZ_LF_LEGACY[L])</f>
        <v>0</v>
      </c>
      <c r="Y7" s="354">
        <f>SUBTOTAL(109,ELQ_ATZ_LF_LEGACY[G])</f>
        <v>0</v>
      </c>
      <c r="Z7" s="354">
        <f>SUBTOTAL(109,ELQ_ATZ_LF_LEGACY[S])</f>
        <v>0</v>
      </c>
      <c r="AA7" s="354">
        <f>SUBTOTAL(109,ELQ_ATZ_LF_LEGACY[W])</f>
        <v>0</v>
      </c>
      <c r="AB7" s="354">
        <f>SUBTOTAL(109,ELQ_ATZ_LF_LEGACY[T])</f>
        <v>0</v>
      </c>
      <c r="AC7" s="354">
        <f>SUBTOTAL(109,ELQ_ATZ_LF_LEGACY[X])</f>
        <v>0</v>
      </c>
      <c r="AD7" s="354">
        <f>SUBTOTAL(109,ELQ_ATZ_LF_LEGACY[U])</f>
        <v>0</v>
      </c>
      <c r="AE7" s="354">
        <f>SUBTOTAL(109,ELQ_ATZ_LF_LEGACY[O])</f>
        <v>0</v>
      </c>
      <c r="AF7" s="354">
        <f>SUBTOTAL(109,ELQ_ATZ_LF_LEGACY[I])</f>
        <v>0</v>
      </c>
      <c r="AG7" s="354">
        <f>SUBTOTAL(109,ELQ_ATZ_LF_LEGACY[E])</f>
        <v>0</v>
      </c>
      <c r="AH7" s="354">
        <f>SUBTOTAL(109,ELQ_ATZ_LF_LEGACY[A])</f>
        <v>0</v>
      </c>
      <c r="AI7" s="354">
        <f>SUBTOTAL(109,ELQ_ATZ_LF_LEGACY[P])</f>
        <v>0</v>
      </c>
      <c r="AJ7" s="354">
        <f>SUBTOTAL(103,ELQ_ATZ_LF_LEGACY[N])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10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33203125" bestFit="1" customWidth="1"/>
    <col min="7" max="7" width="20" bestFit="1" customWidth="1"/>
    <col min="8" max="8" width="23.6640625" bestFit="1" customWidth="1"/>
    <col min="9" max="9" width="16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140" t="s">
        <v>401</v>
      </c>
      <c r="B2" s="109" t="s">
        <v>44</v>
      </c>
      <c r="C2" s="110" t="s">
        <v>1544</v>
      </c>
      <c r="D2" s="109" t="s">
        <v>1543</v>
      </c>
      <c r="E2" s="109" t="s">
        <v>1554</v>
      </c>
      <c r="F2" s="109" t="s">
        <v>46</v>
      </c>
      <c r="G2" s="141">
        <v>9</v>
      </c>
      <c r="H2" s="143">
        <v>363</v>
      </c>
      <c r="I2" s="88"/>
    </row>
    <row r="3" spans="1:9" ht="19.8" customHeight="1" x14ac:dyDescent="0.3">
      <c r="A3" s="105">
        <v>45990</v>
      </c>
      <c r="B3" s="99" t="s">
        <v>44</v>
      </c>
      <c r="C3" s="100" t="s">
        <v>1544</v>
      </c>
      <c r="D3" s="99" t="s">
        <v>1543</v>
      </c>
      <c r="E3" s="106">
        <v>1.854166666666667</v>
      </c>
      <c r="F3" s="99" t="s">
        <v>46</v>
      </c>
      <c r="G3" s="101">
        <v>2</v>
      </c>
      <c r="H3" s="102">
        <v>413</v>
      </c>
      <c r="I3" s="88"/>
    </row>
    <row r="4" spans="1:9" ht="19.8" customHeight="1" x14ac:dyDescent="0.3">
      <c r="A4" s="183"/>
      <c r="B4" s="184"/>
      <c r="C4" s="184"/>
      <c r="D4" s="184"/>
      <c r="E4" s="184"/>
      <c r="F4" s="185" t="s">
        <v>1558</v>
      </c>
      <c r="G4" s="184"/>
      <c r="H4" s="186"/>
      <c r="I4" s="88"/>
    </row>
    <row r="5" spans="1:9" ht="19.8" customHeight="1" x14ac:dyDescent="0.3">
      <c r="A5" s="113">
        <v>45990</v>
      </c>
      <c r="B5" s="114" t="s">
        <v>44</v>
      </c>
      <c r="C5" s="115" t="s">
        <v>367</v>
      </c>
      <c r="D5" s="114" t="s">
        <v>1516</v>
      </c>
      <c r="E5" s="116">
        <v>1.9375</v>
      </c>
      <c r="F5" s="114" t="s">
        <v>369</v>
      </c>
      <c r="G5" s="117">
        <v>2</v>
      </c>
      <c r="H5" s="118" t="s">
        <v>371</v>
      </c>
      <c r="I5" s="88"/>
    </row>
    <row r="6" spans="1:9" ht="19.8" customHeight="1" x14ac:dyDescent="0.3">
      <c r="A6" s="108">
        <v>45994</v>
      </c>
      <c r="B6" s="109" t="s">
        <v>44</v>
      </c>
      <c r="C6" s="110" t="s">
        <v>1544</v>
      </c>
      <c r="D6" s="109" t="s">
        <v>1543</v>
      </c>
      <c r="E6" s="111">
        <v>1.020833333333333</v>
      </c>
      <c r="F6" s="109" t="s">
        <v>46</v>
      </c>
      <c r="G6" s="141">
        <v>9</v>
      </c>
      <c r="H6" s="143">
        <v>413</v>
      </c>
      <c r="I6" s="88"/>
    </row>
    <row r="7" spans="1:9" ht="19.8" customHeight="1" x14ac:dyDescent="0.3">
      <c r="A7" s="105">
        <v>45997</v>
      </c>
      <c r="B7" s="99" t="s">
        <v>44</v>
      </c>
      <c r="C7" s="100" t="s">
        <v>1544</v>
      </c>
      <c r="D7" s="99" t="s">
        <v>1543</v>
      </c>
      <c r="E7" s="106">
        <v>1.854166666666667</v>
      </c>
      <c r="F7" s="99" t="s">
        <v>46</v>
      </c>
      <c r="G7" s="101">
        <v>9</v>
      </c>
      <c r="H7" s="102">
        <v>363</v>
      </c>
      <c r="I7" s="88"/>
    </row>
    <row r="8" spans="1:9" ht="19.8" customHeight="1" x14ac:dyDescent="0.3">
      <c r="A8" s="183"/>
      <c r="B8" s="184"/>
      <c r="C8" s="184"/>
      <c r="D8" s="184"/>
      <c r="E8" s="184"/>
      <c r="F8" s="185" t="s">
        <v>1558</v>
      </c>
      <c r="G8" s="184"/>
      <c r="H8" s="186"/>
      <c r="I8" s="88"/>
    </row>
    <row r="9" spans="1:9" ht="19.8" customHeight="1" x14ac:dyDescent="0.3">
      <c r="A9" s="113">
        <v>45997</v>
      </c>
      <c r="B9" s="114" t="s">
        <v>44</v>
      </c>
      <c r="C9" s="115" t="s">
        <v>367</v>
      </c>
      <c r="D9" s="114" t="s">
        <v>1516</v>
      </c>
      <c r="E9" s="116">
        <v>1.9375</v>
      </c>
      <c r="F9" s="114" t="s">
        <v>369</v>
      </c>
      <c r="G9" s="117">
        <v>9</v>
      </c>
      <c r="H9" s="118" t="s">
        <v>371</v>
      </c>
      <c r="I9" s="88"/>
    </row>
    <row r="10" spans="1:9" ht="19.8" customHeight="1" x14ac:dyDescent="0.3">
      <c r="A10" s="108">
        <v>46001</v>
      </c>
      <c r="B10" s="109" t="s">
        <v>44</v>
      </c>
      <c r="C10" s="110" t="s">
        <v>1544</v>
      </c>
      <c r="D10" s="109" t="s">
        <v>1543</v>
      </c>
      <c r="E10" s="111">
        <v>1.020833333333333</v>
      </c>
      <c r="F10" s="109" t="s">
        <v>46</v>
      </c>
      <c r="G10" s="141">
        <v>9</v>
      </c>
      <c r="H10" s="143">
        <v>363</v>
      </c>
      <c r="I10" s="88"/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R59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0.4414062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4.44140625" bestFit="1" customWidth="1"/>
  </cols>
  <sheetData>
    <row r="1" spans="1:18" ht="25.05" customHeight="1" x14ac:dyDescent="0.3">
      <c r="A1" s="327" t="s">
        <v>0</v>
      </c>
      <c r="B1" s="326"/>
      <c r="C1" s="326"/>
      <c r="D1" s="326"/>
      <c r="E1" s="326"/>
      <c r="F1" s="1" t="s">
        <v>1559</v>
      </c>
      <c r="G1" s="1" t="s">
        <v>2</v>
      </c>
      <c r="H1" s="325">
        <v>45986</v>
      </c>
      <c r="I1" s="326"/>
      <c r="J1" s="326"/>
      <c r="K1" s="326"/>
      <c r="L1" s="326"/>
      <c r="M1" s="1" t="s">
        <v>3</v>
      </c>
      <c r="N1" s="333">
        <v>46001</v>
      </c>
      <c r="O1" s="326"/>
      <c r="P1" s="326"/>
      <c r="Q1" s="326"/>
      <c r="R1" s="326"/>
    </row>
    <row r="2" spans="1:18" ht="18" customHeight="1" x14ac:dyDescent="0.45">
      <c r="A2" s="329" t="s">
        <v>4</v>
      </c>
      <c r="B2" s="330"/>
      <c r="C2" s="330"/>
      <c r="D2" s="330"/>
      <c r="E2" s="330"/>
      <c r="F2" s="330"/>
      <c r="G2" s="332">
        <v>45982.804339551229</v>
      </c>
      <c r="H2" s="330"/>
      <c r="I2" s="330"/>
      <c r="J2" s="330"/>
      <c r="K2" s="334">
        <v>45982.804339551607</v>
      </c>
      <c r="L2" s="330"/>
      <c r="M2" s="330"/>
      <c r="N2" s="330"/>
      <c r="O2" s="330"/>
      <c r="P2" s="330"/>
      <c r="Q2" s="330"/>
      <c r="R2" s="330"/>
    </row>
    <row r="3" spans="1:18" ht="24" customHeight="1" x14ac:dyDescent="0.3">
      <c r="A3" s="331" t="s">
        <v>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</row>
    <row r="4" spans="1:18" ht="22.05" customHeight="1" x14ac:dyDescent="0.3">
      <c r="A4" s="323" t="s">
        <v>6</v>
      </c>
      <c r="B4" s="324"/>
      <c r="C4" s="324"/>
      <c r="D4" s="324"/>
      <c r="E4" s="324"/>
      <c r="F4" s="324"/>
      <c r="G4" s="2">
        <v>45986</v>
      </c>
      <c r="H4" s="323" t="s">
        <v>7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24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</row>
    <row r="6" spans="1:18" ht="49.95" customHeight="1" x14ac:dyDescent="0.3">
      <c r="A6" s="125" t="s">
        <v>410</v>
      </c>
      <c r="B6" s="125" t="s">
        <v>1560</v>
      </c>
      <c r="C6" s="125">
        <v>0.54166666666666663</v>
      </c>
      <c r="D6" s="125" t="s">
        <v>46</v>
      </c>
      <c r="E6" s="125" t="s">
        <v>47</v>
      </c>
      <c r="F6" s="125" t="s">
        <v>1561</v>
      </c>
      <c r="G6" s="335"/>
      <c r="H6" s="28"/>
      <c r="I6" s="29"/>
      <c r="J6" s="29"/>
      <c r="K6" s="29"/>
      <c r="L6" s="29"/>
      <c r="M6" s="29"/>
      <c r="N6" s="29"/>
      <c r="O6" s="29"/>
      <c r="P6" s="29"/>
      <c r="Q6" s="29"/>
      <c r="R6" s="30"/>
    </row>
    <row r="7" spans="1:18" ht="17.399999999999999" customHeight="1" x14ac:dyDescent="0.3">
      <c r="A7" s="360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2"/>
    </row>
    <row r="8" spans="1:18" ht="17.399999999999999" customHeight="1" x14ac:dyDescent="0.3">
      <c r="A8" s="360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2"/>
    </row>
    <row r="9" spans="1:18" ht="22.05" customHeight="1" x14ac:dyDescent="0.3">
      <c r="A9" s="323" t="s">
        <v>6</v>
      </c>
      <c r="B9" s="324"/>
      <c r="C9" s="324"/>
      <c r="D9" s="324"/>
      <c r="E9" s="324"/>
      <c r="F9" s="324"/>
      <c r="G9" s="2">
        <v>45988</v>
      </c>
      <c r="H9" s="323" t="s">
        <v>7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</row>
    <row r="10" spans="1:18" ht="24" customHeight="1" x14ac:dyDescent="0.3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4" t="s">
        <v>13</v>
      </c>
      <c r="G10" s="5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</row>
    <row r="11" spans="1:18" ht="49.95" customHeight="1" x14ac:dyDescent="0.3">
      <c r="A11" s="125" t="s">
        <v>410</v>
      </c>
      <c r="B11" s="125" t="s">
        <v>1560</v>
      </c>
      <c r="C11" s="125">
        <v>0.54166666666666663</v>
      </c>
      <c r="D11" s="125" t="s">
        <v>46</v>
      </c>
      <c r="E11" s="125" t="s">
        <v>102</v>
      </c>
      <c r="F11" s="125" t="s">
        <v>1562</v>
      </c>
      <c r="G11" s="335"/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399999999999999" customHeight="1" x14ac:dyDescent="0.3">
      <c r="A12" s="360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2"/>
    </row>
    <row r="13" spans="1:18" ht="22.05" customHeight="1" x14ac:dyDescent="0.3">
      <c r="A13" s="323" t="s">
        <v>6</v>
      </c>
      <c r="B13" s="324"/>
      <c r="C13" s="324"/>
      <c r="D13" s="324"/>
      <c r="E13" s="324"/>
      <c r="F13" s="324"/>
      <c r="G13" s="2">
        <v>45989</v>
      </c>
      <c r="H13" s="323" t="s">
        <v>7</v>
      </c>
      <c r="I13" s="324"/>
      <c r="J13" s="324"/>
      <c r="K13" s="324"/>
      <c r="L13" s="324"/>
      <c r="M13" s="324"/>
      <c r="N13" s="324"/>
      <c r="O13" s="324"/>
      <c r="P13" s="324"/>
      <c r="Q13" s="324"/>
      <c r="R13" s="324"/>
    </row>
    <row r="14" spans="1:18" ht="24" customHeight="1" x14ac:dyDescent="0.3">
      <c r="A14" s="3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4" t="s">
        <v>13</v>
      </c>
      <c r="G14" s="5" t="s">
        <v>14</v>
      </c>
      <c r="H14" s="3" t="s">
        <v>15</v>
      </c>
      <c r="I14" s="3" t="s">
        <v>16</v>
      </c>
      <c r="J14" s="3" t="s">
        <v>17</v>
      </c>
      <c r="K14" s="3" t="s">
        <v>18</v>
      </c>
      <c r="L14" s="3" t="s">
        <v>19</v>
      </c>
      <c r="M14" s="3" t="s">
        <v>20</v>
      </c>
      <c r="N14" s="3" t="s">
        <v>21</v>
      </c>
      <c r="O14" s="3" t="s">
        <v>22</v>
      </c>
      <c r="P14" s="3" t="s">
        <v>23</v>
      </c>
      <c r="Q14" s="3" t="s">
        <v>24</v>
      </c>
      <c r="R14" s="3" t="s">
        <v>25</v>
      </c>
    </row>
    <row r="15" spans="1:18" ht="49.95" customHeight="1" x14ac:dyDescent="0.3">
      <c r="A15" s="6" t="s">
        <v>456</v>
      </c>
      <c r="B15" s="6" t="s">
        <v>1563</v>
      </c>
      <c r="C15" s="6">
        <v>0.1736111111111111</v>
      </c>
      <c r="D15" s="6" t="s">
        <v>458</v>
      </c>
      <c r="E15" s="6" t="s">
        <v>123</v>
      </c>
      <c r="F15" s="6" t="s">
        <v>628</v>
      </c>
      <c r="G15" s="335"/>
      <c r="H15" s="7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 ht="49.95" customHeight="1" x14ac:dyDescent="0.3">
      <c r="A16" s="10" t="s">
        <v>456</v>
      </c>
      <c r="B16" s="10" t="s">
        <v>1563</v>
      </c>
      <c r="C16" s="10">
        <v>0.1736111111111111</v>
      </c>
      <c r="D16" s="10" t="s">
        <v>34</v>
      </c>
      <c r="E16" s="10" t="s">
        <v>124</v>
      </c>
      <c r="F16" s="10" t="s">
        <v>1204</v>
      </c>
      <c r="G16" s="328"/>
      <c r="H16" s="7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ht="49.95" customHeight="1" x14ac:dyDescent="0.3">
      <c r="A17" s="310" t="s">
        <v>44</v>
      </c>
      <c r="B17" s="310" t="s">
        <v>1564</v>
      </c>
      <c r="C17" s="310">
        <v>2.0833333333333329E-2</v>
      </c>
      <c r="D17" s="310" t="s">
        <v>46</v>
      </c>
      <c r="E17" s="310" t="s">
        <v>314</v>
      </c>
      <c r="F17" s="310" t="s">
        <v>797</v>
      </c>
      <c r="G17" s="328"/>
      <c r="H17" s="128" t="s">
        <v>1565</v>
      </c>
      <c r="I17" s="290">
        <v>0.30359999999999998</v>
      </c>
      <c r="J17" s="130">
        <v>51</v>
      </c>
      <c r="K17" s="131" t="s">
        <v>175</v>
      </c>
      <c r="L17" s="130">
        <v>15</v>
      </c>
      <c r="M17" s="130">
        <v>2</v>
      </c>
      <c r="N17" s="130">
        <v>4</v>
      </c>
      <c r="O17" s="131" t="s">
        <v>329</v>
      </c>
      <c r="P17" s="131">
        <v>2.0833333333333329E-2</v>
      </c>
      <c r="Q17" s="130">
        <v>168</v>
      </c>
      <c r="R17" s="132" t="s">
        <v>1566</v>
      </c>
    </row>
    <row r="18" spans="1:18" ht="17.399999999999999" customHeight="1" x14ac:dyDescent="0.3">
      <c r="A18" s="360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2"/>
    </row>
    <row r="19" spans="1:18" ht="22.05" customHeight="1" x14ac:dyDescent="0.3">
      <c r="A19" s="323" t="s">
        <v>6</v>
      </c>
      <c r="B19" s="324"/>
      <c r="C19" s="324"/>
      <c r="D19" s="324"/>
      <c r="E19" s="324"/>
      <c r="F19" s="324"/>
      <c r="G19" s="2">
        <v>45990</v>
      </c>
      <c r="H19" s="323" t="s">
        <v>7</v>
      </c>
      <c r="I19" s="324"/>
      <c r="J19" s="324"/>
      <c r="K19" s="324"/>
      <c r="L19" s="324"/>
      <c r="M19" s="324"/>
      <c r="N19" s="324"/>
      <c r="O19" s="324"/>
      <c r="P19" s="324"/>
      <c r="Q19" s="324"/>
      <c r="R19" s="324"/>
    </row>
    <row r="20" spans="1:18" ht="24" customHeight="1" x14ac:dyDescent="0.3">
      <c r="A20" s="3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4" t="s">
        <v>13</v>
      </c>
      <c r="G20" s="5" t="s">
        <v>14</v>
      </c>
      <c r="H20" s="3" t="s">
        <v>15</v>
      </c>
      <c r="I20" s="3" t="s">
        <v>16</v>
      </c>
      <c r="J20" s="3" t="s">
        <v>17</v>
      </c>
      <c r="K20" s="3" t="s">
        <v>18</v>
      </c>
      <c r="L20" s="3" t="s">
        <v>19</v>
      </c>
      <c r="M20" s="3" t="s">
        <v>20</v>
      </c>
      <c r="N20" s="3" t="s">
        <v>21</v>
      </c>
      <c r="O20" s="3" t="s">
        <v>22</v>
      </c>
      <c r="P20" s="3" t="s">
        <v>23</v>
      </c>
      <c r="Q20" s="3" t="s">
        <v>24</v>
      </c>
      <c r="R20" s="3" t="s">
        <v>25</v>
      </c>
    </row>
    <row r="21" spans="1:18" ht="49.95" customHeight="1" x14ac:dyDescent="0.3">
      <c r="A21" s="125" t="s">
        <v>410</v>
      </c>
      <c r="B21" s="125" t="s">
        <v>1560</v>
      </c>
      <c r="C21" s="125">
        <v>0.54166666666666663</v>
      </c>
      <c r="D21" s="125" t="s">
        <v>46</v>
      </c>
      <c r="E21" s="125" t="s">
        <v>134</v>
      </c>
      <c r="F21" s="125" t="s">
        <v>854</v>
      </c>
      <c r="G21" s="335"/>
      <c r="H21" s="28"/>
      <c r="I21" s="29"/>
      <c r="J21" s="29"/>
      <c r="K21" s="29"/>
      <c r="L21" s="29"/>
      <c r="M21" s="29"/>
      <c r="N21" s="29"/>
      <c r="O21" s="29"/>
      <c r="P21" s="29"/>
      <c r="Q21" s="29"/>
      <c r="R21" s="30"/>
    </row>
    <row r="22" spans="1:18" ht="17.399999999999999" customHeight="1" x14ac:dyDescent="0.3">
      <c r="A22" s="360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2"/>
    </row>
    <row r="23" spans="1:18" ht="22.05" customHeight="1" x14ac:dyDescent="0.3">
      <c r="A23" s="323" t="s">
        <v>6</v>
      </c>
      <c r="B23" s="324"/>
      <c r="C23" s="324"/>
      <c r="D23" s="324"/>
      <c r="E23" s="324"/>
      <c r="F23" s="324"/>
      <c r="G23" s="2">
        <v>45991</v>
      </c>
      <c r="H23" s="323" t="s">
        <v>7</v>
      </c>
      <c r="I23" s="324"/>
      <c r="J23" s="324"/>
      <c r="K23" s="324"/>
      <c r="L23" s="324"/>
      <c r="M23" s="324"/>
      <c r="N23" s="324"/>
      <c r="O23" s="324"/>
      <c r="P23" s="324"/>
      <c r="Q23" s="324"/>
      <c r="R23" s="324"/>
    </row>
    <row r="24" spans="1:18" ht="24" customHeight="1" x14ac:dyDescent="0.3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4" t="s">
        <v>13</v>
      </c>
      <c r="G24" s="5" t="s">
        <v>14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M24" s="3" t="s">
        <v>20</v>
      </c>
      <c r="N24" s="3" t="s">
        <v>21</v>
      </c>
      <c r="O24" s="3" t="s">
        <v>22</v>
      </c>
      <c r="P24" s="3" t="s">
        <v>23</v>
      </c>
      <c r="Q24" s="3" t="s">
        <v>24</v>
      </c>
      <c r="R24" s="3" t="s">
        <v>25</v>
      </c>
    </row>
    <row r="25" spans="1:18" ht="49.95" customHeight="1" x14ac:dyDescent="0.3">
      <c r="A25" s="12" t="s">
        <v>44</v>
      </c>
      <c r="B25" s="12" t="s">
        <v>1564</v>
      </c>
      <c r="C25" s="12">
        <v>2.0833333333333329E-2</v>
      </c>
      <c r="D25" s="12" t="s">
        <v>46</v>
      </c>
      <c r="E25" s="12" t="s">
        <v>134</v>
      </c>
      <c r="F25" s="12" t="s">
        <v>622</v>
      </c>
      <c r="G25" s="335"/>
      <c r="H25" s="120" t="s">
        <v>1565</v>
      </c>
      <c r="I25" s="287">
        <v>0.25</v>
      </c>
      <c r="J25" s="122">
        <v>42</v>
      </c>
      <c r="K25" s="123" t="s">
        <v>50</v>
      </c>
      <c r="L25" s="122">
        <v>11</v>
      </c>
      <c r="M25" s="122">
        <v>0</v>
      </c>
      <c r="N25" s="122">
        <v>1</v>
      </c>
      <c r="O25" s="123" t="s">
        <v>282</v>
      </c>
      <c r="P25" s="123">
        <v>2.0833333333333329E-2</v>
      </c>
      <c r="Q25" s="122">
        <v>168</v>
      </c>
      <c r="R25" s="124" t="s">
        <v>1567</v>
      </c>
    </row>
    <row r="26" spans="1:18" ht="17.399999999999999" customHeight="1" x14ac:dyDescent="0.3">
      <c r="A26" s="360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2"/>
    </row>
    <row r="27" spans="1:18" ht="22.05" customHeight="1" x14ac:dyDescent="0.3">
      <c r="A27" s="323" t="s">
        <v>6</v>
      </c>
      <c r="B27" s="324"/>
      <c r="C27" s="324"/>
      <c r="D27" s="324"/>
      <c r="E27" s="324"/>
      <c r="F27" s="324"/>
      <c r="G27" s="2">
        <v>45992</v>
      </c>
      <c r="H27" s="323" t="s">
        <v>7</v>
      </c>
      <c r="I27" s="324"/>
      <c r="J27" s="324"/>
      <c r="K27" s="324"/>
      <c r="L27" s="324"/>
      <c r="M27" s="324"/>
      <c r="N27" s="324"/>
      <c r="O27" s="324"/>
      <c r="P27" s="324"/>
      <c r="Q27" s="324"/>
      <c r="R27" s="324"/>
    </row>
    <row r="28" spans="1:18" ht="24" customHeight="1" x14ac:dyDescent="0.3">
      <c r="A28" s="3" t="s">
        <v>8</v>
      </c>
      <c r="B28" s="3" t="s">
        <v>9</v>
      </c>
      <c r="C28" s="3" t="s">
        <v>10</v>
      </c>
      <c r="D28" s="3" t="s">
        <v>11</v>
      </c>
      <c r="E28" s="3" t="s">
        <v>12</v>
      </c>
      <c r="F28" s="4" t="s">
        <v>13</v>
      </c>
      <c r="G28" s="5" t="s">
        <v>14</v>
      </c>
      <c r="H28" s="3" t="s">
        <v>15</v>
      </c>
      <c r="I28" s="3" t="s">
        <v>16</v>
      </c>
      <c r="J28" s="3" t="s">
        <v>17</v>
      </c>
      <c r="K28" s="3" t="s">
        <v>18</v>
      </c>
      <c r="L28" s="3" t="s">
        <v>19</v>
      </c>
      <c r="M28" s="3" t="s">
        <v>20</v>
      </c>
      <c r="N28" s="3" t="s">
        <v>21</v>
      </c>
      <c r="O28" s="3" t="s">
        <v>22</v>
      </c>
      <c r="P28" s="3" t="s">
        <v>23</v>
      </c>
      <c r="Q28" s="3" t="s">
        <v>24</v>
      </c>
      <c r="R28" s="3" t="s">
        <v>25</v>
      </c>
    </row>
    <row r="29" spans="1:18" ht="49.95" customHeight="1" x14ac:dyDescent="0.3">
      <c r="A29" s="6" t="s">
        <v>456</v>
      </c>
      <c r="B29" s="6" t="s">
        <v>1563</v>
      </c>
      <c r="C29" s="6">
        <v>0.96875</v>
      </c>
      <c r="D29" s="6" t="s">
        <v>458</v>
      </c>
      <c r="E29" s="6" t="s">
        <v>123</v>
      </c>
      <c r="F29" s="6" t="s">
        <v>874</v>
      </c>
      <c r="G29" s="335"/>
      <c r="H29" s="7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ht="49.95" customHeight="1" x14ac:dyDescent="0.3">
      <c r="A30" s="27" t="s">
        <v>456</v>
      </c>
      <c r="B30" s="27" t="s">
        <v>1563</v>
      </c>
      <c r="C30" s="27">
        <v>0.96875</v>
      </c>
      <c r="D30" s="27" t="s">
        <v>34</v>
      </c>
      <c r="E30" s="27" t="s">
        <v>124</v>
      </c>
      <c r="F30" s="27" t="s">
        <v>607</v>
      </c>
      <c r="G30" s="328"/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30"/>
    </row>
    <row r="31" spans="1:18" ht="17.399999999999999" customHeight="1" x14ac:dyDescent="0.3">
      <c r="A31" s="360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2"/>
    </row>
    <row r="32" spans="1:18" ht="22.05" customHeight="1" x14ac:dyDescent="0.3">
      <c r="A32" s="323" t="s">
        <v>6</v>
      </c>
      <c r="B32" s="324"/>
      <c r="C32" s="324"/>
      <c r="D32" s="324"/>
      <c r="E32" s="324"/>
      <c r="F32" s="324"/>
      <c r="G32" s="2">
        <v>45993</v>
      </c>
      <c r="H32" s="323" t="s">
        <v>7</v>
      </c>
      <c r="I32" s="324"/>
      <c r="J32" s="324"/>
      <c r="K32" s="324"/>
      <c r="L32" s="324"/>
      <c r="M32" s="324"/>
      <c r="N32" s="324"/>
      <c r="O32" s="324"/>
      <c r="P32" s="324"/>
      <c r="Q32" s="324"/>
      <c r="R32" s="324"/>
    </row>
    <row r="33" spans="1:18" ht="24" customHeight="1" x14ac:dyDescent="0.3">
      <c r="A33" s="3" t="s">
        <v>8</v>
      </c>
      <c r="B33" s="3" t="s">
        <v>9</v>
      </c>
      <c r="C33" s="3" t="s">
        <v>10</v>
      </c>
      <c r="D33" s="3" t="s">
        <v>11</v>
      </c>
      <c r="E33" s="3" t="s">
        <v>12</v>
      </c>
      <c r="F33" s="4" t="s">
        <v>13</v>
      </c>
      <c r="G33" s="5" t="s">
        <v>14</v>
      </c>
      <c r="H33" s="3" t="s">
        <v>15</v>
      </c>
      <c r="I33" s="3" t="s">
        <v>16</v>
      </c>
      <c r="J33" s="3" t="s">
        <v>17</v>
      </c>
      <c r="K33" s="3" t="s">
        <v>18</v>
      </c>
      <c r="L33" s="3" t="s">
        <v>19</v>
      </c>
      <c r="M33" s="3" t="s">
        <v>20</v>
      </c>
      <c r="N33" s="3" t="s">
        <v>21</v>
      </c>
      <c r="O33" s="3" t="s">
        <v>22</v>
      </c>
      <c r="P33" s="3" t="s">
        <v>23</v>
      </c>
      <c r="Q33" s="3" t="s">
        <v>24</v>
      </c>
      <c r="R33" s="3" t="s">
        <v>25</v>
      </c>
    </row>
    <row r="34" spans="1:18" ht="49.95" customHeight="1" x14ac:dyDescent="0.3">
      <c r="A34" s="125" t="s">
        <v>410</v>
      </c>
      <c r="B34" s="125" t="s">
        <v>1560</v>
      </c>
      <c r="C34" s="125">
        <v>0.54166666666666663</v>
      </c>
      <c r="D34" s="125" t="s">
        <v>46</v>
      </c>
      <c r="E34" s="125" t="s">
        <v>129</v>
      </c>
      <c r="F34" s="125" t="s">
        <v>854</v>
      </c>
      <c r="G34" s="335"/>
      <c r="H34" s="28"/>
      <c r="I34" s="29"/>
      <c r="J34" s="29"/>
      <c r="K34" s="29"/>
      <c r="L34" s="29"/>
      <c r="M34" s="29"/>
      <c r="N34" s="29"/>
      <c r="O34" s="29"/>
      <c r="P34" s="29"/>
      <c r="Q34" s="29"/>
      <c r="R34" s="30"/>
    </row>
    <row r="35" spans="1:18" ht="17.399999999999999" customHeight="1" x14ac:dyDescent="0.3">
      <c r="A35" s="360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2"/>
    </row>
    <row r="36" spans="1:18" ht="17.399999999999999" customHeight="1" x14ac:dyDescent="0.3">
      <c r="A36" s="360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2"/>
    </row>
    <row r="37" spans="1:18" ht="22.05" customHeight="1" x14ac:dyDescent="0.3">
      <c r="A37" s="323" t="s">
        <v>6</v>
      </c>
      <c r="B37" s="324"/>
      <c r="C37" s="324"/>
      <c r="D37" s="324"/>
      <c r="E37" s="324"/>
      <c r="F37" s="324"/>
      <c r="G37" s="2">
        <v>45995</v>
      </c>
      <c r="H37" s="323" t="s">
        <v>7</v>
      </c>
      <c r="I37" s="324"/>
      <c r="J37" s="324"/>
      <c r="K37" s="324"/>
      <c r="L37" s="324"/>
      <c r="M37" s="324"/>
      <c r="N37" s="324"/>
      <c r="O37" s="324"/>
      <c r="P37" s="324"/>
      <c r="Q37" s="324"/>
      <c r="R37" s="324"/>
    </row>
    <row r="38" spans="1:18" ht="24" customHeight="1" x14ac:dyDescent="0.3">
      <c r="A38" s="3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4" t="s">
        <v>13</v>
      </c>
      <c r="G38" s="5" t="s">
        <v>14</v>
      </c>
      <c r="H38" s="3" t="s">
        <v>15</v>
      </c>
      <c r="I38" s="3" t="s">
        <v>16</v>
      </c>
      <c r="J38" s="3" t="s">
        <v>17</v>
      </c>
      <c r="K38" s="3" t="s">
        <v>18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  <c r="Q38" s="3" t="s">
        <v>24</v>
      </c>
      <c r="R38" s="3" t="s">
        <v>25</v>
      </c>
    </row>
    <row r="39" spans="1:18" ht="49.95" customHeight="1" x14ac:dyDescent="0.3">
      <c r="A39" s="125" t="s">
        <v>410</v>
      </c>
      <c r="B39" s="125" t="s">
        <v>1560</v>
      </c>
      <c r="C39" s="125">
        <v>0.54166666666666663</v>
      </c>
      <c r="D39" s="125" t="s">
        <v>46</v>
      </c>
      <c r="E39" s="125" t="s">
        <v>134</v>
      </c>
      <c r="F39" s="125" t="s">
        <v>854</v>
      </c>
      <c r="G39" s="335"/>
      <c r="H39" s="28"/>
      <c r="I39" s="29"/>
      <c r="J39" s="29"/>
      <c r="K39" s="29"/>
      <c r="L39" s="29"/>
      <c r="M39" s="29"/>
      <c r="N39" s="29"/>
      <c r="O39" s="29"/>
      <c r="P39" s="29"/>
      <c r="Q39" s="29"/>
      <c r="R39" s="30"/>
    </row>
    <row r="40" spans="1:18" ht="17.399999999999999" customHeight="1" x14ac:dyDescent="0.3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2"/>
    </row>
    <row r="41" spans="1:18" ht="22.05" customHeight="1" x14ac:dyDescent="0.3">
      <c r="A41" s="323" t="s">
        <v>6</v>
      </c>
      <c r="B41" s="324"/>
      <c r="C41" s="324"/>
      <c r="D41" s="324"/>
      <c r="E41" s="324"/>
      <c r="F41" s="324"/>
      <c r="G41" s="2">
        <v>45996</v>
      </c>
      <c r="H41" s="323" t="s">
        <v>7</v>
      </c>
      <c r="I41" s="324"/>
      <c r="J41" s="324"/>
      <c r="K41" s="324"/>
      <c r="L41" s="324"/>
      <c r="M41" s="324"/>
      <c r="N41" s="324"/>
      <c r="O41" s="324"/>
      <c r="P41" s="324"/>
      <c r="Q41" s="324"/>
      <c r="R41" s="324"/>
    </row>
    <row r="42" spans="1:18" ht="24" customHeight="1" x14ac:dyDescent="0.3">
      <c r="A42" s="3" t="s">
        <v>8</v>
      </c>
      <c r="B42" s="3" t="s">
        <v>9</v>
      </c>
      <c r="C42" s="3" t="s">
        <v>10</v>
      </c>
      <c r="D42" s="3" t="s">
        <v>11</v>
      </c>
      <c r="E42" s="3" t="s">
        <v>12</v>
      </c>
      <c r="F42" s="4" t="s">
        <v>13</v>
      </c>
      <c r="G42" s="5" t="s">
        <v>14</v>
      </c>
      <c r="H42" s="3" t="s">
        <v>15</v>
      </c>
      <c r="I42" s="3" t="s">
        <v>16</v>
      </c>
      <c r="J42" s="3" t="s">
        <v>17</v>
      </c>
      <c r="K42" s="3" t="s">
        <v>18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23</v>
      </c>
      <c r="Q42" s="3" t="s">
        <v>24</v>
      </c>
      <c r="R42" s="3" t="s">
        <v>25</v>
      </c>
    </row>
    <row r="43" spans="1:18" ht="49.95" customHeight="1" x14ac:dyDescent="0.3">
      <c r="A43" s="6" t="s">
        <v>456</v>
      </c>
      <c r="B43" s="6" t="s">
        <v>1563</v>
      </c>
      <c r="C43" s="6">
        <v>0.1736111111111111</v>
      </c>
      <c r="D43" s="6" t="s">
        <v>458</v>
      </c>
      <c r="E43" s="6" t="s">
        <v>123</v>
      </c>
      <c r="F43" s="6" t="s">
        <v>628</v>
      </c>
      <c r="G43" s="335"/>
      <c r="H43" s="7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1:18" ht="49.95" customHeight="1" x14ac:dyDescent="0.3">
      <c r="A44" s="10" t="s">
        <v>456</v>
      </c>
      <c r="B44" s="10" t="s">
        <v>1563</v>
      </c>
      <c r="C44" s="10">
        <v>0.1736111111111111</v>
      </c>
      <c r="D44" s="10" t="s">
        <v>34</v>
      </c>
      <c r="E44" s="10" t="s">
        <v>124</v>
      </c>
      <c r="F44" s="10" t="s">
        <v>1204</v>
      </c>
      <c r="G44" s="328"/>
      <c r="H44" s="7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ht="49.95" customHeight="1" x14ac:dyDescent="0.3">
      <c r="A45" s="133" t="s">
        <v>44</v>
      </c>
      <c r="B45" s="133" t="s">
        <v>1564</v>
      </c>
      <c r="C45" s="133">
        <v>2.0833333333333329E-2</v>
      </c>
      <c r="D45" s="133" t="s">
        <v>46</v>
      </c>
      <c r="E45" s="133" t="s">
        <v>47</v>
      </c>
      <c r="F45" s="133" t="s">
        <v>622</v>
      </c>
      <c r="G45" s="328"/>
      <c r="H45" s="134" t="s">
        <v>1565</v>
      </c>
      <c r="I45" s="292">
        <v>0.13689999999999999</v>
      </c>
      <c r="J45" s="136">
        <v>23</v>
      </c>
      <c r="K45" s="137" t="s">
        <v>175</v>
      </c>
      <c r="L45" s="136">
        <v>14</v>
      </c>
      <c r="M45" s="136">
        <v>2</v>
      </c>
      <c r="N45" s="136">
        <v>0</v>
      </c>
      <c r="O45" s="137" t="s">
        <v>364</v>
      </c>
      <c r="P45" s="137">
        <v>2.0833333333333329E-2</v>
      </c>
      <c r="Q45" s="136">
        <v>168</v>
      </c>
      <c r="R45" s="138" t="s">
        <v>1568</v>
      </c>
    </row>
    <row r="46" spans="1:18" ht="17.399999999999999" customHeight="1" x14ac:dyDescent="0.3">
      <c r="A46" s="360"/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2"/>
    </row>
    <row r="47" spans="1:18" ht="22.05" customHeight="1" x14ac:dyDescent="0.3">
      <c r="A47" s="323" t="s">
        <v>6</v>
      </c>
      <c r="B47" s="324"/>
      <c r="C47" s="324"/>
      <c r="D47" s="324"/>
      <c r="E47" s="324"/>
      <c r="F47" s="324"/>
      <c r="G47" s="2">
        <v>45997</v>
      </c>
      <c r="H47" s="323" t="s">
        <v>7</v>
      </c>
      <c r="I47" s="324"/>
      <c r="J47" s="324"/>
      <c r="K47" s="324"/>
      <c r="L47" s="324"/>
      <c r="M47" s="324"/>
      <c r="N47" s="324"/>
      <c r="O47" s="324"/>
      <c r="P47" s="324"/>
      <c r="Q47" s="324"/>
      <c r="R47" s="324"/>
    </row>
    <row r="48" spans="1:18" ht="24" customHeight="1" x14ac:dyDescent="0.3">
      <c r="A48" s="3" t="s">
        <v>8</v>
      </c>
      <c r="B48" s="3" t="s">
        <v>9</v>
      </c>
      <c r="C48" s="3" t="s">
        <v>10</v>
      </c>
      <c r="D48" s="3" t="s">
        <v>11</v>
      </c>
      <c r="E48" s="3" t="s">
        <v>12</v>
      </c>
      <c r="F48" s="4" t="s">
        <v>13</v>
      </c>
      <c r="G48" s="5" t="s">
        <v>14</v>
      </c>
      <c r="H48" s="3" t="s">
        <v>15</v>
      </c>
      <c r="I48" s="3" t="s">
        <v>16</v>
      </c>
      <c r="J48" s="3" t="s">
        <v>17</v>
      </c>
      <c r="K48" s="3" t="s">
        <v>18</v>
      </c>
      <c r="L48" s="3" t="s">
        <v>19</v>
      </c>
      <c r="M48" s="3" t="s">
        <v>20</v>
      </c>
      <c r="N48" s="3" t="s">
        <v>21</v>
      </c>
      <c r="O48" s="3" t="s">
        <v>22</v>
      </c>
      <c r="P48" s="3" t="s">
        <v>23</v>
      </c>
      <c r="Q48" s="3" t="s">
        <v>24</v>
      </c>
      <c r="R48" s="3" t="s">
        <v>25</v>
      </c>
    </row>
    <row r="49" spans="1:18" ht="49.95" customHeight="1" x14ac:dyDescent="0.3">
      <c r="A49" s="125" t="s">
        <v>410</v>
      </c>
      <c r="B49" s="125" t="s">
        <v>1560</v>
      </c>
      <c r="C49" s="125">
        <v>0.54166666666666663</v>
      </c>
      <c r="D49" s="125" t="s">
        <v>46</v>
      </c>
      <c r="E49" s="125" t="s">
        <v>47</v>
      </c>
      <c r="F49" s="125" t="s">
        <v>854</v>
      </c>
      <c r="G49" s="335"/>
      <c r="H49" s="28"/>
      <c r="I49" s="29"/>
      <c r="J49" s="29"/>
      <c r="K49" s="29"/>
      <c r="L49" s="29"/>
      <c r="M49" s="29"/>
      <c r="N49" s="29"/>
      <c r="O49" s="29"/>
      <c r="P49" s="29"/>
      <c r="Q49" s="29"/>
      <c r="R49" s="30"/>
    </row>
    <row r="50" spans="1:18" ht="17.399999999999999" customHeight="1" x14ac:dyDescent="0.3">
      <c r="A50" s="360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2"/>
    </row>
    <row r="51" spans="1:18" ht="22.05" customHeight="1" x14ac:dyDescent="0.3">
      <c r="A51" s="323" t="s">
        <v>6</v>
      </c>
      <c r="B51" s="324"/>
      <c r="C51" s="324"/>
      <c r="D51" s="324"/>
      <c r="E51" s="324"/>
      <c r="F51" s="324"/>
      <c r="G51" s="2">
        <v>45998</v>
      </c>
      <c r="H51" s="323" t="s">
        <v>7</v>
      </c>
      <c r="I51" s="324"/>
      <c r="J51" s="324"/>
      <c r="K51" s="324"/>
      <c r="L51" s="324"/>
      <c r="M51" s="324"/>
      <c r="N51" s="324"/>
      <c r="O51" s="324"/>
      <c r="P51" s="324"/>
      <c r="Q51" s="324"/>
      <c r="R51" s="324"/>
    </row>
    <row r="52" spans="1:18" ht="24" customHeight="1" x14ac:dyDescent="0.3">
      <c r="A52" s="3" t="s">
        <v>8</v>
      </c>
      <c r="B52" s="3" t="s">
        <v>9</v>
      </c>
      <c r="C52" s="3" t="s">
        <v>10</v>
      </c>
      <c r="D52" s="3" t="s">
        <v>11</v>
      </c>
      <c r="E52" s="3" t="s">
        <v>12</v>
      </c>
      <c r="F52" s="4" t="s">
        <v>13</v>
      </c>
      <c r="G52" s="5" t="s">
        <v>14</v>
      </c>
      <c r="H52" s="3" t="s">
        <v>15</v>
      </c>
      <c r="I52" s="3" t="s">
        <v>16</v>
      </c>
      <c r="J52" s="3" t="s">
        <v>17</v>
      </c>
      <c r="K52" s="3" t="s">
        <v>18</v>
      </c>
      <c r="L52" s="3" t="s">
        <v>19</v>
      </c>
      <c r="M52" s="3" t="s">
        <v>20</v>
      </c>
      <c r="N52" s="3" t="s">
        <v>21</v>
      </c>
      <c r="O52" s="3" t="s">
        <v>22</v>
      </c>
      <c r="P52" s="3" t="s">
        <v>23</v>
      </c>
      <c r="Q52" s="3" t="s">
        <v>24</v>
      </c>
      <c r="R52" s="3" t="s">
        <v>25</v>
      </c>
    </row>
    <row r="53" spans="1:18" ht="49.95" customHeight="1" x14ac:dyDescent="0.3">
      <c r="A53" s="127" t="s">
        <v>44</v>
      </c>
      <c r="B53" s="127" t="s">
        <v>1564</v>
      </c>
      <c r="C53" s="127">
        <v>2.0833333333333329E-2</v>
      </c>
      <c r="D53" s="127" t="s">
        <v>46</v>
      </c>
      <c r="E53" s="127" t="s">
        <v>47</v>
      </c>
      <c r="F53" s="127" t="s">
        <v>622</v>
      </c>
      <c r="G53" s="335"/>
      <c r="H53" s="128" t="s">
        <v>1565</v>
      </c>
      <c r="I53" s="290">
        <v>5.9499999999999997E-2</v>
      </c>
      <c r="J53" s="130">
        <v>10</v>
      </c>
      <c r="K53" s="131" t="s">
        <v>63</v>
      </c>
      <c r="L53" s="130">
        <v>4</v>
      </c>
      <c r="M53" s="130">
        <v>0</v>
      </c>
      <c r="N53" s="130">
        <v>0</v>
      </c>
      <c r="O53" s="131" t="s">
        <v>364</v>
      </c>
      <c r="P53" s="131">
        <v>2.0833333333333329E-2</v>
      </c>
      <c r="Q53" s="130">
        <v>168</v>
      </c>
      <c r="R53" s="132" t="s">
        <v>1569</v>
      </c>
    </row>
    <row r="54" spans="1:18" ht="17.399999999999999" customHeight="1" x14ac:dyDescent="0.3">
      <c r="A54" s="360"/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  <c r="N54" s="361"/>
      <c r="O54" s="361"/>
      <c r="P54" s="361"/>
      <c r="Q54" s="361"/>
      <c r="R54" s="362"/>
    </row>
    <row r="55" spans="1:18" ht="17.399999999999999" customHeight="1" x14ac:dyDescent="0.3">
      <c r="A55" s="360"/>
      <c r="B55" s="361"/>
      <c r="C55" s="361"/>
      <c r="D55" s="361"/>
      <c r="E55" s="361"/>
      <c r="F55" s="361"/>
      <c r="G55" s="361"/>
      <c r="H55" s="361"/>
      <c r="I55" s="361"/>
      <c r="J55" s="361"/>
      <c r="K55" s="361"/>
      <c r="L55" s="361"/>
      <c r="M55" s="361"/>
      <c r="N55" s="361"/>
      <c r="O55" s="361"/>
      <c r="P55" s="361"/>
      <c r="Q55" s="361"/>
      <c r="R55" s="362"/>
    </row>
    <row r="56" spans="1:18" ht="22.05" customHeight="1" x14ac:dyDescent="0.3">
      <c r="A56" s="323" t="s">
        <v>6</v>
      </c>
      <c r="B56" s="324"/>
      <c r="C56" s="324"/>
      <c r="D56" s="324"/>
      <c r="E56" s="324"/>
      <c r="F56" s="324"/>
      <c r="G56" s="2">
        <v>46000</v>
      </c>
      <c r="H56" s="323" t="s">
        <v>7</v>
      </c>
      <c r="I56" s="324"/>
      <c r="J56" s="324"/>
      <c r="K56" s="324"/>
      <c r="L56" s="324"/>
      <c r="M56" s="324"/>
      <c r="N56" s="324"/>
      <c r="O56" s="324"/>
      <c r="P56" s="324"/>
      <c r="Q56" s="324"/>
      <c r="R56" s="324"/>
    </row>
    <row r="57" spans="1:18" ht="24" customHeight="1" x14ac:dyDescent="0.3">
      <c r="A57" s="3" t="s">
        <v>8</v>
      </c>
      <c r="B57" s="3" t="s">
        <v>9</v>
      </c>
      <c r="C57" s="3" t="s">
        <v>10</v>
      </c>
      <c r="D57" s="3" t="s">
        <v>11</v>
      </c>
      <c r="E57" s="3" t="s">
        <v>12</v>
      </c>
      <c r="F57" s="4" t="s">
        <v>13</v>
      </c>
      <c r="G57" s="5" t="s">
        <v>14</v>
      </c>
      <c r="H57" s="3" t="s">
        <v>15</v>
      </c>
      <c r="I57" s="3" t="s">
        <v>16</v>
      </c>
      <c r="J57" s="3" t="s">
        <v>17</v>
      </c>
      <c r="K57" s="3" t="s">
        <v>18</v>
      </c>
      <c r="L57" s="3" t="s">
        <v>19</v>
      </c>
      <c r="M57" s="3" t="s">
        <v>20</v>
      </c>
      <c r="N57" s="3" t="s">
        <v>21</v>
      </c>
      <c r="O57" s="3" t="s">
        <v>22</v>
      </c>
      <c r="P57" s="3" t="s">
        <v>23</v>
      </c>
      <c r="Q57" s="3" t="s">
        <v>24</v>
      </c>
      <c r="R57" s="3" t="s">
        <v>25</v>
      </c>
    </row>
    <row r="58" spans="1:18" ht="49.95" customHeight="1" x14ac:dyDescent="0.3">
      <c r="A58" s="125" t="s">
        <v>410</v>
      </c>
      <c r="B58" s="125" t="s">
        <v>1560</v>
      </c>
      <c r="C58" s="125">
        <v>0.54166666666666663</v>
      </c>
      <c r="D58" s="125" t="s">
        <v>46</v>
      </c>
      <c r="E58" s="125" t="s">
        <v>81</v>
      </c>
      <c r="F58" s="125" t="s">
        <v>1562</v>
      </c>
      <c r="G58" s="335"/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30"/>
    </row>
    <row r="59" spans="1:18" ht="17.399999999999999" customHeight="1" x14ac:dyDescent="0.3">
      <c r="A59" s="360"/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2"/>
    </row>
  </sheetData>
  <mergeCells count="58">
    <mergeCell ref="A59:R59"/>
    <mergeCell ref="G49"/>
    <mergeCell ref="G34"/>
    <mergeCell ref="A36:R36"/>
    <mergeCell ref="G15:G17"/>
    <mergeCell ref="G58"/>
    <mergeCell ref="N1:R1"/>
    <mergeCell ref="G29:G30"/>
    <mergeCell ref="G39"/>
    <mergeCell ref="A13:F13"/>
    <mergeCell ref="A19:F19"/>
    <mergeCell ref="A9:F9"/>
    <mergeCell ref="K2:R2"/>
    <mergeCell ref="H32:R32"/>
    <mergeCell ref="H19:R19"/>
    <mergeCell ref="A31:R31"/>
    <mergeCell ref="H37:R37"/>
    <mergeCell ref="G6"/>
    <mergeCell ref="H13:R13"/>
    <mergeCell ref="H27:R27"/>
    <mergeCell ref="G2:J2"/>
    <mergeCell ref="G11"/>
    <mergeCell ref="A4:F4"/>
    <mergeCell ref="H51:R51"/>
    <mergeCell ref="A8:R8"/>
    <mergeCell ref="A22:R22"/>
    <mergeCell ref="A35:R35"/>
    <mergeCell ref="A40:R40"/>
    <mergeCell ref="A51:F51"/>
    <mergeCell ref="H47:R47"/>
    <mergeCell ref="H1:L1"/>
    <mergeCell ref="A1:E1"/>
    <mergeCell ref="G25"/>
    <mergeCell ref="A56:F56"/>
    <mergeCell ref="H41:R41"/>
    <mergeCell ref="H4:R4"/>
    <mergeCell ref="A12:R12"/>
    <mergeCell ref="A18:R18"/>
    <mergeCell ref="A50:R50"/>
    <mergeCell ref="A2:F2"/>
    <mergeCell ref="A3:R3"/>
    <mergeCell ref="H9:R9"/>
    <mergeCell ref="A26:R26"/>
    <mergeCell ref="A47:F47"/>
    <mergeCell ref="A55:R55"/>
    <mergeCell ref="H56:R56"/>
    <mergeCell ref="H23:R23"/>
    <mergeCell ref="A41:F41"/>
    <mergeCell ref="A7:R7"/>
    <mergeCell ref="A54:R54"/>
    <mergeCell ref="A37:F37"/>
    <mergeCell ref="A27:F27"/>
    <mergeCell ref="A46:R46"/>
    <mergeCell ref="A23:F23"/>
    <mergeCell ref="A32:F32"/>
    <mergeCell ref="G21"/>
    <mergeCell ref="G43:G45"/>
    <mergeCell ref="G5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6"/>
  <sheetViews>
    <sheetView workbookViewId="0"/>
  </sheetViews>
  <sheetFormatPr defaultRowHeight="15.6" outlineLevelCol="1" x14ac:dyDescent="0.3"/>
  <cols>
    <col min="1" max="1" width="7.88671875" style="343" bestFit="1" customWidth="1"/>
    <col min="2" max="2" width="10.44140625" style="343" bestFit="1" customWidth="1"/>
    <col min="3" max="3" width="6.77734375" style="343" bestFit="1" customWidth="1"/>
    <col min="4" max="4" width="5.5546875" style="343" bestFit="1" customWidth="1"/>
    <col min="5" max="5" width="7.44140625" style="343" bestFit="1" customWidth="1"/>
    <col min="6" max="6" width="4.21875" style="343" bestFit="1" customWidth="1"/>
    <col min="7" max="7" width="10" style="343" bestFit="1" customWidth="1"/>
    <col min="8" max="10" width="7" style="343" bestFit="1" customWidth="1"/>
    <col min="11" max="11" width="10.5546875" style="343" bestFit="1" customWidth="1"/>
    <col min="12" max="12" width="18.109375" style="343" bestFit="1" customWidth="1"/>
    <col min="13" max="13" width="7.6640625" style="343" bestFit="1" customWidth="1" outlineLevel="1"/>
    <col min="14" max="14" width="6.33203125" style="343" bestFit="1" customWidth="1" outlineLevel="1"/>
    <col min="15" max="15" width="8" style="343" bestFit="1" customWidth="1" outlineLevel="1"/>
    <col min="16" max="16" width="13.6640625" style="343" bestFit="1" customWidth="1"/>
    <col min="17" max="26" width="3.88671875" style="343" bestFit="1" customWidth="1"/>
    <col min="27" max="27" width="4" style="343" bestFit="1" customWidth="1"/>
    <col min="28" max="28" width="3.88671875" style="343" bestFit="1" customWidth="1"/>
    <col min="29" max="29" width="4.21875" style="343" bestFit="1" customWidth="1"/>
    <col min="30" max="30" width="4.5546875" style="343" bestFit="1" customWidth="1"/>
    <col min="31" max="36" width="3.88671875" style="343" bestFit="1" customWidth="1"/>
    <col min="37" max="16384" width="8.88671875" style="343"/>
  </cols>
  <sheetData>
    <row r="1" spans="1:36" x14ac:dyDescent="0.3">
      <c r="A1" s="342" t="s">
        <v>183</v>
      </c>
      <c r="B1" s="342" t="s">
        <v>184</v>
      </c>
      <c r="C1" s="342" t="s">
        <v>185</v>
      </c>
      <c r="D1" s="342" t="s">
        <v>23</v>
      </c>
      <c r="E1" s="342" t="s">
        <v>186</v>
      </c>
      <c r="F1" s="342" t="s">
        <v>187</v>
      </c>
      <c r="G1" s="342" t="s">
        <v>16</v>
      </c>
      <c r="H1" s="342" t="s">
        <v>188</v>
      </c>
      <c r="I1" s="342" t="s">
        <v>189</v>
      </c>
      <c r="J1" s="342" t="s">
        <v>190</v>
      </c>
      <c r="K1" s="342" t="s">
        <v>191</v>
      </c>
      <c r="L1" s="342" t="s">
        <v>18</v>
      </c>
      <c r="M1" s="342" t="s">
        <v>20</v>
      </c>
      <c r="N1" s="342" t="s">
        <v>21</v>
      </c>
      <c r="O1" s="342" t="s">
        <v>19</v>
      </c>
      <c r="P1" s="342" t="s">
        <v>22</v>
      </c>
      <c r="Q1" s="342" t="s">
        <v>192</v>
      </c>
      <c r="R1" s="342" t="s">
        <v>193</v>
      </c>
      <c r="S1" s="342" t="s">
        <v>194</v>
      </c>
      <c r="T1" s="342" t="s">
        <v>195</v>
      </c>
      <c r="U1" s="342" t="s">
        <v>196</v>
      </c>
      <c r="V1" s="342" t="s">
        <v>197</v>
      </c>
      <c r="W1" s="342" t="s">
        <v>198</v>
      </c>
      <c r="X1" s="342" t="s">
        <v>199</v>
      </c>
      <c r="Y1" s="342" t="s">
        <v>200</v>
      </c>
      <c r="Z1" s="342" t="s">
        <v>201</v>
      </c>
      <c r="AA1" s="342" t="s">
        <v>202</v>
      </c>
      <c r="AB1" s="342" t="s">
        <v>203</v>
      </c>
      <c r="AC1" s="342" t="s">
        <v>204</v>
      </c>
      <c r="AD1" s="342" t="s">
        <v>205</v>
      </c>
      <c r="AE1" s="342" t="s">
        <v>206</v>
      </c>
      <c r="AF1" s="342" t="s">
        <v>207</v>
      </c>
      <c r="AG1" s="342" t="s">
        <v>208</v>
      </c>
      <c r="AH1" s="342" t="s">
        <v>209</v>
      </c>
      <c r="AI1" s="342" t="s">
        <v>210</v>
      </c>
      <c r="AJ1" s="342" t="s">
        <v>211</v>
      </c>
    </row>
    <row r="2" spans="1:36" x14ac:dyDescent="0.3">
      <c r="A2" s="344" t="s">
        <v>724</v>
      </c>
      <c r="B2" s="345">
        <v>45989</v>
      </c>
      <c r="C2" s="346" t="s">
        <v>1565</v>
      </c>
      <c r="D2" s="347" t="s">
        <v>1554</v>
      </c>
      <c r="E2" s="346" t="s">
        <v>1559</v>
      </c>
      <c r="F2" s="346" t="s">
        <v>214</v>
      </c>
      <c r="G2" s="348">
        <v>0.30359999999999998</v>
      </c>
      <c r="H2" s="349">
        <v>168</v>
      </c>
      <c r="I2" s="349">
        <v>51</v>
      </c>
      <c r="J2" s="349">
        <v>0</v>
      </c>
      <c r="K2" s="346" t="s">
        <v>215</v>
      </c>
      <c r="L2" s="350" t="s">
        <v>175</v>
      </c>
      <c r="M2" s="349">
        <v>2</v>
      </c>
      <c r="N2" s="349">
        <v>4</v>
      </c>
      <c r="O2" s="349">
        <v>15</v>
      </c>
      <c r="P2" s="346" t="s">
        <v>329</v>
      </c>
      <c r="Q2" s="342"/>
      <c r="R2" s="342"/>
      <c r="S2" s="342"/>
      <c r="T2" s="342"/>
      <c r="U2" s="342"/>
      <c r="V2" s="342"/>
      <c r="W2" s="342"/>
      <c r="X2" s="342"/>
      <c r="Y2" s="342"/>
      <c r="Z2" s="349" t="s">
        <v>244</v>
      </c>
      <c r="AA2" s="349" t="s">
        <v>846</v>
      </c>
      <c r="AB2" s="342"/>
      <c r="AC2" s="349" t="s">
        <v>226</v>
      </c>
      <c r="AD2" s="349" t="s">
        <v>1570</v>
      </c>
      <c r="AE2" s="342"/>
      <c r="AF2" s="342"/>
      <c r="AG2" s="342"/>
      <c r="AH2" s="342"/>
      <c r="AI2" s="342"/>
      <c r="AJ2" s="342"/>
    </row>
    <row r="3" spans="1:36" x14ac:dyDescent="0.3">
      <c r="A3" s="344" t="s">
        <v>254</v>
      </c>
      <c r="B3" s="345">
        <v>45991</v>
      </c>
      <c r="C3" s="346" t="s">
        <v>1565</v>
      </c>
      <c r="D3" s="347" t="s">
        <v>1554</v>
      </c>
      <c r="E3" s="346" t="s">
        <v>1559</v>
      </c>
      <c r="F3" s="346" t="s">
        <v>214</v>
      </c>
      <c r="G3" s="348">
        <v>0.25</v>
      </c>
      <c r="H3" s="349">
        <v>168</v>
      </c>
      <c r="I3" s="349">
        <v>42</v>
      </c>
      <c r="J3" s="349">
        <v>0</v>
      </c>
      <c r="K3" s="346" t="s">
        <v>215</v>
      </c>
      <c r="L3" s="350" t="s">
        <v>50</v>
      </c>
      <c r="M3" s="349">
        <v>0</v>
      </c>
      <c r="N3" s="349">
        <v>1</v>
      </c>
      <c r="O3" s="349">
        <v>11</v>
      </c>
      <c r="P3" s="346" t="s">
        <v>282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9" t="s">
        <v>387</v>
      </c>
      <c r="AD3" s="349" t="s">
        <v>1571</v>
      </c>
      <c r="AE3" s="349" t="s">
        <v>526</v>
      </c>
      <c r="AF3" s="349" t="s">
        <v>356</v>
      </c>
      <c r="AG3" s="342"/>
      <c r="AH3" s="342"/>
      <c r="AI3" s="342"/>
      <c r="AJ3" s="342"/>
    </row>
    <row r="4" spans="1:36" x14ac:dyDescent="0.3">
      <c r="A4" s="344" t="s">
        <v>724</v>
      </c>
      <c r="B4" s="345">
        <v>45996</v>
      </c>
      <c r="C4" s="346" t="s">
        <v>1565</v>
      </c>
      <c r="D4" s="347" t="s">
        <v>1554</v>
      </c>
      <c r="E4" s="346" t="s">
        <v>1559</v>
      </c>
      <c r="F4" s="346" t="s">
        <v>214</v>
      </c>
      <c r="G4" s="348">
        <v>0.13689999999999999</v>
      </c>
      <c r="H4" s="349">
        <v>168</v>
      </c>
      <c r="I4" s="349">
        <v>23</v>
      </c>
      <c r="J4" s="349">
        <v>0</v>
      </c>
      <c r="K4" s="346" t="s">
        <v>215</v>
      </c>
      <c r="L4" s="350" t="s">
        <v>175</v>
      </c>
      <c r="M4" s="349">
        <v>2</v>
      </c>
      <c r="N4" s="349">
        <v>0</v>
      </c>
      <c r="O4" s="349">
        <v>14</v>
      </c>
      <c r="P4" s="346" t="s">
        <v>364</v>
      </c>
      <c r="Q4" s="342"/>
      <c r="R4" s="342"/>
      <c r="S4" s="342"/>
      <c r="T4" s="342"/>
      <c r="U4" s="342"/>
      <c r="V4" s="342"/>
      <c r="W4" s="342"/>
      <c r="X4" s="342"/>
      <c r="Y4" s="342"/>
      <c r="Z4" s="349" t="s">
        <v>333</v>
      </c>
      <c r="AA4" s="342"/>
      <c r="AB4" s="342"/>
      <c r="AC4" s="342"/>
      <c r="AD4" s="349" t="s">
        <v>696</v>
      </c>
      <c r="AE4" s="349" t="s">
        <v>526</v>
      </c>
      <c r="AF4" s="342"/>
      <c r="AG4" s="342"/>
      <c r="AH4" s="342"/>
      <c r="AI4" s="342"/>
      <c r="AJ4" s="342"/>
    </row>
    <row r="5" spans="1:36" x14ac:dyDescent="0.3">
      <c r="A5" s="344" t="s">
        <v>254</v>
      </c>
      <c r="B5" s="345">
        <v>45998</v>
      </c>
      <c r="C5" s="346" t="s">
        <v>1565</v>
      </c>
      <c r="D5" s="347" t="s">
        <v>1554</v>
      </c>
      <c r="E5" s="346" t="s">
        <v>1559</v>
      </c>
      <c r="F5" s="346" t="s">
        <v>214</v>
      </c>
      <c r="G5" s="348">
        <v>5.9499999999999997E-2</v>
      </c>
      <c r="H5" s="349">
        <v>168</v>
      </c>
      <c r="I5" s="349">
        <v>10</v>
      </c>
      <c r="J5" s="349">
        <v>0</v>
      </c>
      <c r="K5" s="346" t="s">
        <v>215</v>
      </c>
      <c r="L5" s="350" t="s">
        <v>63</v>
      </c>
      <c r="M5" s="349">
        <v>0</v>
      </c>
      <c r="N5" s="349">
        <v>0</v>
      </c>
      <c r="O5" s="349">
        <v>4</v>
      </c>
      <c r="P5" s="346" t="s">
        <v>364</v>
      </c>
      <c r="Q5" s="342"/>
      <c r="R5" s="342"/>
      <c r="S5" s="342"/>
      <c r="T5" s="342"/>
      <c r="U5" s="342"/>
      <c r="V5" s="342"/>
      <c r="W5" s="342"/>
      <c r="X5" s="342"/>
      <c r="Y5" s="342"/>
      <c r="Z5" s="349" t="s">
        <v>333</v>
      </c>
      <c r="AA5" s="342"/>
      <c r="AB5" s="342"/>
      <c r="AC5" s="342"/>
      <c r="AD5" s="349" t="s">
        <v>236</v>
      </c>
      <c r="AE5" s="349" t="s">
        <v>394</v>
      </c>
      <c r="AF5" s="342"/>
      <c r="AG5" s="342"/>
      <c r="AH5" s="342"/>
      <c r="AI5" s="342"/>
      <c r="AJ5" s="342"/>
    </row>
    <row r="6" spans="1:36" ht="21" x14ac:dyDescent="0.3">
      <c r="A6" s="351" t="s">
        <v>1574</v>
      </c>
      <c r="B6" s="352"/>
      <c r="C6" s="351">
        <f>SUBTOTAL(103,GIZ_CAI_LF_LEGACY[Flt])</f>
        <v>4</v>
      </c>
      <c r="D6" s="351"/>
      <c r="E6" s="351">
        <f>SUBTOTAL(103,GIZ_CAI_LF_LEGACY[Brd-Off])</f>
        <v>4</v>
      </c>
      <c r="F6" s="351"/>
      <c r="G6" s="353">
        <f>SUBTOTAL(101,GIZ_CAI_LF_LEGACY[LF%])</f>
        <v>0.1875</v>
      </c>
      <c r="H6" s="354">
        <f>SUBTOTAL(109,GIZ_CAI_LF_LEGACY[CAP])</f>
        <v>672</v>
      </c>
      <c r="I6" s="354">
        <f>SUBTOTAL(109,GIZ_CAI_LF_LEGACY[BKG(Y)])</f>
        <v>126</v>
      </c>
      <c r="J6" s="354">
        <f>SUBTOTAL(109,GIZ_CAI_LF_LEGACY[GRP(Y)])</f>
        <v>0</v>
      </c>
      <c r="K6" s="351"/>
      <c r="L6" s="352"/>
      <c r="M6" s="354">
        <f>SUBTOTAL(109,GIZ_CAI_LF_LEGACY[TO-DAY])</f>
        <v>4</v>
      </c>
      <c r="N6" s="354">
        <f>SUBTOTAL(109,GIZ_CAI_LF_LEGACY[Y-DAY])</f>
        <v>5</v>
      </c>
      <c r="O6" s="354">
        <f>SUBTOTAL(109,GIZ_CAI_LF_LEGACY[WEEKLY])</f>
        <v>44</v>
      </c>
      <c r="P6" s="355"/>
      <c r="Q6" s="354">
        <f>SUBTOTAL(109,GIZ_CAI_LF_LEGACY[Y])</f>
        <v>0</v>
      </c>
      <c r="R6" s="354">
        <f>SUBTOTAL(109,GIZ_CAI_LF_LEGACY[B])</f>
        <v>0</v>
      </c>
      <c r="S6" s="354">
        <f>SUBTOTAL(109,GIZ_CAI_LF_LEGACY[M])</f>
        <v>0</v>
      </c>
      <c r="T6" s="354">
        <f>SUBTOTAL(109,GIZ_CAI_LF_LEGACY[H])</f>
        <v>0</v>
      </c>
      <c r="U6" s="354">
        <f>SUBTOTAL(109,GIZ_CAI_LF_LEGACY[Q])</f>
        <v>0</v>
      </c>
      <c r="V6" s="354">
        <f>SUBTOTAL(109,GIZ_CAI_LF_LEGACY[K])</f>
        <v>0</v>
      </c>
      <c r="W6" s="354">
        <f>SUBTOTAL(109,GIZ_CAI_LF_LEGACY[V])</f>
        <v>0</v>
      </c>
      <c r="X6" s="354">
        <f>SUBTOTAL(109,GIZ_CAI_LF_LEGACY[L])</f>
        <v>0</v>
      </c>
      <c r="Y6" s="354">
        <f>SUBTOTAL(109,GIZ_CAI_LF_LEGACY[G])</f>
        <v>0</v>
      </c>
      <c r="Z6" s="354">
        <f>SUBTOTAL(109,GIZ_CAI_LF_LEGACY[S])</f>
        <v>0</v>
      </c>
      <c r="AA6" s="354">
        <f>SUBTOTAL(109,GIZ_CAI_LF_LEGACY[W])</f>
        <v>0</v>
      </c>
      <c r="AB6" s="354">
        <f>SUBTOTAL(109,GIZ_CAI_LF_LEGACY[T])</f>
        <v>0</v>
      </c>
      <c r="AC6" s="354">
        <f>SUBTOTAL(109,GIZ_CAI_LF_LEGACY[X])</f>
        <v>0</v>
      </c>
      <c r="AD6" s="354">
        <f>SUBTOTAL(109,GIZ_CAI_LF_LEGACY[U])</f>
        <v>0</v>
      </c>
      <c r="AE6" s="354">
        <f>SUBTOTAL(109,GIZ_CAI_LF_LEGACY[O])</f>
        <v>0</v>
      </c>
      <c r="AF6" s="354">
        <f>SUBTOTAL(109,GIZ_CAI_LF_LEGACY[I])</f>
        <v>0</v>
      </c>
      <c r="AG6" s="354">
        <f>SUBTOTAL(109,GIZ_CAI_LF_LEGACY[E])</f>
        <v>0</v>
      </c>
      <c r="AH6" s="354">
        <f>SUBTOTAL(109,GIZ_CAI_LF_LEGACY[A])</f>
        <v>0</v>
      </c>
      <c r="AI6" s="354">
        <f>SUBTOTAL(109,GIZ_CAI_LF_LEGACY[P])</f>
        <v>0</v>
      </c>
      <c r="AJ6" s="354">
        <f>SUBTOTAL(103,GIZ_CAI_LF_LEGACY[N])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1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66.21875" hidden="1" customWidth="1"/>
  </cols>
  <sheetData>
    <row r="1" spans="1:9" ht="18" x14ac:dyDescent="0.3">
      <c r="A1" s="90" t="s">
        <v>290</v>
      </c>
      <c r="B1" s="91" t="s">
        <v>8</v>
      </c>
      <c r="C1" s="91" t="s">
        <v>9</v>
      </c>
      <c r="D1" s="91" t="s">
        <v>291</v>
      </c>
      <c r="E1" s="91" t="s">
        <v>10</v>
      </c>
      <c r="F1" s="91" t="s">
        <v>11</v>
      </c>
      <c r="G1" s="91" t="s">
        <v>12</v>
      </c>
      <c r="H1" s="92" t="s">
        <v>13</v>
      </c>
      <c r="I1" s="88"/>
    </row>
    <row r="2" spans="1:9" ht="19.8" customHeight="1" x14ac:dyDescent="0.3">
      <c r="A2" s="284" t="s">
        <v>292</v>
      </c>
      <c r="B2" s="114" t="s">
        <v>410</v>
      </c>
      <c r="C2" s="115" t="s">
        <v>1560</v>
      </c>
      <c r="D2" s="114" t="s">
        <v>1559</v>
      </c>
      <c r="E2" s="114" t="s">
        <v>1572</v>
      </c>
      <c r="F2" s="114" t="s">
        <v>46</v>
      </c>
      <c r="G2" s="117">
        <v>9</v>
      </c>
      <c r="H2" s="142">
        <v>730</v>
      </c>
      <c r="I2" s="88"/>
    </row>
    <row r="3" spans="1:9" ht="19.8" customHeight="1" x14ac:dyDescent="0.3">
      <c r="A3" s="284" t="s">
        <v>1089</v>
      </c>
      <c r="B3" s="114" t="s">
        <v>410</v>
      </c>
      <c r="C3" s="115" t="s">
        <v>1560</v>
      </c>
      <c r="D3" s="114" t="s">
        <v>1559</v>
      </c>
      <c r="E3" s="114" t="s">
        <v>1572</v>
      </c>
      <c r="F3" s="114" t="s">
        <v>46</v>
      </c>
      <c r="G3" s="117">
        <v>2</v>
      </c>
      <c r="H3" s="142">
        <v>558</v>
      </c>
      <c r="I3" s="88"/>
    </row>
    <row r="4" spans="1:9" ht="19.8" customHeight="1" x14ac:dyDescent="0.3">
      <c r="A4" s="93" t="s">
        <v>1355</v>
      </c>
      <c r="B4" s="94" t="s">
        <v>456</v>
      </c>
      <c r="C4" s="95" t="s">
        <v>1563</v>
      </c>
      <c r="D4" s="94" t="s">
        <v>1559</v>
      </c>
      <c r="E4" s="94" t="s">
        <v>1573</v>
      </c>
      <c r="F4" s="94" t="s">
        <v>458</v>
      </c>
      <c r="G4" s="96">
        <v>9</v>
      </c>
      <c r="H4" s="97">
        <v>497</v>
      </c>
      <c r="I4" s="88"/>
    </row>
    <row r="5" spans="1:9" ht="19.8" customHeight="1" x14ac:dyDescent="0.3">
      <c r="A5" s="98" t="s">
        <v>1355</v>
      </c>
      <c r="B5" s="99" t="s">
        <v>44</v>
      </c>
      <c r="C5" s="100" t="s">
        <v>1564</v>
      </c>
      <c r="D5" s="99" t="s">
        <v>1559</v>
      </c>
      <c r="E5" s="99" t="s">
        <v>1554</v>
      </c>
      <c r="F5" s="99" t="s">
        <v>46</v>
      </c>
      <c r="G5" s="101">
        <v>8</v>
      </c>
      <c r="H5" s="102">
        <v>578</v>
      </c>
      <c r="I5" s="88"/>
    </row>
    <row r="6" spans="1:9" ht="19.8" customHeight="1" x14ac:dyDescent="0.3">
      <c r="A6" s="113">
        <v>45989</v>
      </c>
      <c r="B6" s="114" t="s">
        <v>456</v>
      </c>
      <c r="C6" s="115" t="s">
        <v>1563</v>
      </c>
      <c r="D6" s="114" t="s">
        <v>1559</v>
      </c>
      <c r="E6" s="116">
        <v>1.1736111111111109</v>
      </c>
      <c r="F6" s="114" t="s">
        <v>34</v>
      </c>
      <c r="G6" s="117">
        <v>9</v>
      </c>
      <c r="H6" s="142">
        <v>620</v>
      </c>
      <c r="I6" s="88"/>
    </row>
    <row r="7" spans="1:9" ht="19.8" customHeight="1" x14ac:dyDescent="0.3">
      <c r="A7" s="113">
        <v>45990</v>
      </c>
      <c r="B7" s="114" t="s">
        <v>410</v>
      </c>
      <c r="C7" s="115" t="s">
        <v>1560</v>
      </c>
      <c r="D7" s="114" t="s">
        <v>1559</v>
      </c>
      <c r="E7" s="116">
        <v>1.541666666666667</v>
      </c>
      <c r="F7" s="114" t="s">
        <v>46</v>
      </c>
      <c r="G7" s="117">
        <v>7</v>
      </c>
      <c r="H7" s="142">
        <v>621</v>
      </c>
      <c r="I7" s="88"/>
    </row>
    <row r="8" spans="1:9" ht="19.8" customHeight="1" x14ac:dyDescent="0.3">
      <c r="A8" s="108">
        <v>45991</v>
      </c>
      <c r="B8" s="109" t="s">
        <v>44</v>
      </c>
      <c r="C8" s="110" t="s">
        <v>1564</v>
      </c>
      <c r="D8" s="109" t="s">
        <v>1559</v>
      </c>
      <c r="E8" s="111">
        <v>1.020833333333333</v>
      </c>
      <c r="F8" s="109" t="s">
        <v>46</v>
      </c>
      <c r="G8" s="141">
        <v>7</v>
      </c>
      <c r="H8" s="143">
        <v>519</v>
      </c>
      <c r="I8" s="88"/>
    </row>
    <row r="9" spans="1:9" ht="19.8" customHeight="1" x14ac:dyDescent="0.3">
      <c r="A9" s="103">
        <v>45992</v>
      </c>
      <c r="B9" s="94" t="s">
        <v>456</v>
      </c>
      <c r="C9" s="95" t="s">
        <v>1563</v>
      </c>
      <c r="D9" s="94" t="s">
        <v>1559</v>
      </c>
      <c r="E9" s="104">
        <v>1.96875</v>
      </c>
      <c r="F9" s="94" t="s">
        <v>458</v>
      </c>
      <c r="G9" s="96">
        <v>9</v>
      </c>
      <c r="H9" s="97">
        <v>491</v>
      </c>
      <c r="I9" s="88"/>
    </row>
    <row r="10" spans="1:9" ht="19.8" customHeight="1" x14ac:dyDescent="0.3">
      <c r="A10" s="113">
        <v>45992</v>
      </c>
      <c r="B10" s="114" t="s">
        <v>456</v>
      </c>
      <c r="C10" s="115" t="s">
        <v>1563</v>
      </c>
      <c r="D10" s="114" t="s">
        <v>1559</v>
      </c>
      <c r="E10" s="116">
        <v>1.96875</v>
      </c>
      <c r="F10" s="114" t="s">
        <v>34</v>
      </c>
      <c r="G10" s="117">
        <v>9</v>
      </c>
      <c r="H10" s="142">
        <v>615</v>
      </c>
      <c r="I10" s="88"/>
    </row>
    <row r="11" spans="1:9" ht="19.8" customHeight="1" x14ac:dyDescent="0.3">
      <c r="A11" s="113">
        <v>45993</v>
      </c>
      <c r="B11" s="114" t="s">
        <v>410</v>
      </c>
      <c r="C11" s="115" t="s">
        <v>1560</v>
      </c>
      <c r="D11" s="114" t="s">
        <v>1559</v>
      </c>
      <c r="E11" s="116">
        <v>1.541666666666667</v>
      </c>
      <c r="F11" s="114" t="s">
        <v>46</v>
      </c>
      <c r="G11" s="117">
        <v>3</v>
      </c>
      <c r="H11" s="142">
        <v>621</v>
      </c>
      <c r="I11" s="88"/>
    </row>
    <row r="12" spans="1:9" ht="19.8" customHeight="1" x14ac:dyDescent="0.3">
      <c r="A12" s="113">
        <v>45995</v>
      </c>
      <c r="B12" s="114" t="s">
        <v>410</v>
      </c>
      <c r="C12" s="115" t="s">
        <v>1560</v>
      </c>
      <c r="D12" s="114" t="s">
        <v>1559</v>
      </c>
      <c r="E12" s="116">
        <v>1.541666666666667</v>
      </c>
      <c r="F12" s="114" t="s">
        <v>46</v>
      </c>
      <c r="G12" s="117">
        <v>7</v>
      </c>
      <c r="H12" s="142">
        <v>621</v>
      </c>
      <c r="I12" s="88"/>
    </row>
    <row r="13" spans="1:9" ht="19.8" customHeight="1" x14ac:dyDescent="0.3">
      <c r="A13" s="103">
        <v>45996</v>
      </c>
      <c r="B13" s="94" t="s">
        <v>456</v>
      </c>
      <c r="C13" s="95" t="s">
        <v>1563</v>
      </c>
      <c r="D13" s="94" t="s">
        <v>1559</v>
      </c>
      <c r="E13" s="104">
        <v>1.1736111111111109</v>
      </c>
      <c r="F13" s="94" t="s">
        <v>458</v>
      </c>
      <c r="G13" s="96">
        <v>9</v>
      </c>
      <c r="H13" s="97">
        <v>497</v>
      </c>
      <c r="I13" s="88"/>
    </row>
    <row r="14" spans="1:9" ht="19.8" customHeight="1" x14ac:dyDescent="0.3">
      <c r="A14" s="105">
        <v>45996</v>
      </c>
      <c r="B14" s="99" t="s">
        <v>44</v>
      </c>
      <c r="C14" s="100" t="s">
        <v>1564</v>
      </c>
      <c r="D14" s="99" t="s">
        <v>1559</v>
      </c>
      <c r="E14" s="106">
        <v>1.020833333333333</v>
      </c>
      <c r="F14" s="99" t="s">
        <v>46</v>
      </c>
      <c r="G14" s="101">
        <v>9</v>
      </c>
      <c r="H14" s="102">
        <v>519</v>
      </c>
      <c r="I14" s="88"/>
    </row>
    <row r="15" spans="1:9" ht="19.8" customHeight="1" x14ac:dyDescent="0.3">
      <c r="A15" s="113">
        <v>45996</v>
      </c>
      <c r="B15" s="114" t="s">
        <v>456</v>
      </c>
      <c r="C15" s="115" t="s">
        <v>1563</v>
      </c>
      <c r="D15" s="114" t="s">
        <v>1559</v>
      </c>
      <c r="E15" s="116">
        <v>1.1736111111111109</v>
      </c>
      <c r="F15" s="114" t="s">
        <v>34</v>
      </c>
      <c r="G15" s="117">
        <v>9</v>
      </c>
      <c r="H15" s="142">
        <v>620</v>
      </c>
      <c r="I15" s="88"/>
    </row>
    <row r="16" spans="1:9" ht="19.8" customHeight="1" x14ac:dyDescent="0.3">
      <c r="A16" s="113">
        <v>45997</v>
      </c>
      <c r="B16" s="114" t="s">
        <v>410</v>
      </c>
      <c r="C16" s="115" t="s">
        <v>1560</v>
      </c>
      <c r="D16" s="114" t="s">
        <v>1559</v>
      </c>
      <c r="E16" s="116">
        <v>1.541666666666667</v>
      </c>
      <c r="F16" s="114" t="s">
        <v>46</v>
      </c>
      <c r="G16" s="117">
        <v>9</v>
      </c>
      <c r="H16" s="142">
        <v>621</v>
      </c>
      <c r="I16" s="88"/>
    </row>
    <row r="17" spans="1:9" ht="19.8" customHeight="1" x14ac:dyDescent="0.3">
      <c r="A17" s="108">
        <v>45998</v>
      </c>
      <c r="B17" s="109" t="s">
        <v>44</v>
      </c>
      <c r="C17" s="110" t="s">
        <v>1564</v>
      </c>
      <c r="D17" s="109" t="s">
        <v>1559</v>
      </c>
      <c r="E17" s="111">
        <v>1.020833333333333</v>
      </c>
      <c r="F17" s="109" t="s">
        <v>46</v>
      </c>
      <c r="G17" s="141">
        <v>9</v>
      </c>
      <c r="H17" s="143">
        <v>519</v>
      </c>
      <c r="I17" s="88"/>
    </row>
    <row r="18" spans="1:9" ht="19.8" customHeight="1" x14ac:dyDescent="0.3">
      <c r="A18" s="113">
        <v>46000</v>
      </c>
      <c r="B18" s="114" t="s">
        <v>410</v>
      </c>
      <c r="C18" s="115" t="s">
        <v>1560</v>
      </c>
      <c r="D18" s="114" t="s">
        <v>1559</v>
      </c>
      <c r="E18" s="116">
        <v>1.541666666666667</v>
      </c>
      <c r="F18" s="114" t="s">
        <v>46</v>
      </c>
      <c r="G18" s="117">
        <v>6</v>
      </c>
      <c r="H18" s="142">
        <v>558</v>
      </c>
      <c r="I18" s="88"/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286"/>
  <sheetViews>
    <sheetView workbookViewId="0">
      <pane ySplit="1" topLeftCell="A2" activePane="bottomLeft" state="frozen"/>
      <selection pane="bottomLeft"/>
    </sheetView>
  </sheetViews>
  <sheetFormatPr defaultRowHeight="14.4" outlineLevelCol="1" x14ac:dyDescent="0.3"/>
  <cols>
    <col min="1" max="1" width="13.109375" bestFit="1" customWidth="1"/>
    <col min="2" max="2" width="10.21875" bestFit="1" customWidth="1"/>
    <col min="3" max="3" width="7.33203125" bestFit="1" customWidth="1"/>
    <col min="4" max="4" width="6.109375" bestFit="1" customWidth="1"/>
    <col min="5" max="5" width="9.33203125" bestFit="1" customWidth="1"/>
    <col min="6" max="6" width="4.33203125" bestFit="1" customWidth="1"/>
    <col min="7" max="7" width="7.5546875" bestFit="1" customWidth="1"/>
    <col min="8" max="8" width="4.5546875" bestFit="1" customWidth="1"/>
    <col min="9" max="10" width="6.88671875" bestFit="1" customWidth="1"/>
    <col min="11" max="11" width="11.77734375" bestFit="1" customWidth="1"/>
    <col min="12" max="12" width="20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4" width="3.6640625" bestFit="1" customWidth="1"/>
    <col min="25" max="28" width="5" bestFit="1" customWidth="1"/>
    <col min="29" max="32" width="6.33203125" bestFit="1" customWidth="1"/>
    <col min="33" max="33" width="5" bestFit="1" customWidth="1"/>
    <col min="34" max="34" width="2.33203125" bestFit="1" customWidth="1"/>
    <col min="35" max="35" width="7.6640625" bestFit="1" customWidth="1"/>
    <col min="36" max="36" width="3.6640625" bestFit="1" customWidth="1"/>
  </cols>
  <sheetData>
    <row r="1" spans="1:36" x14ac:dyDescent="0.3">
      <c r="A1" s="88" t="s">
        <v>183</v>
      </c>
      <c r="B1" s="88" t="s">
        <v>184</v>
      </c>
      <c r="C1" s="88" t="s">
        <v>185</v>
      </c>
      <c r="D1" s="88" t="s">
        <v>23</v>
      </c>
      <c r="E1" s="88" t="s">
        <v>186</v>
      </c>
      <c r="F1" s="88" t="s">
        <v>187</v>
      </c>
      <c r="G1" s="88" t="s">
        <v>16</v>
      </c>
      <c r="H1" s="88" t="s">
        <v>188</v>
      </c>
      <c r="I1" s="88" t="s">
        <v>189</v>
      </c>
      <c r="J1" s="88" t="s">
        <v>190</v>
      </c>
      <c r="K1" s="88" t="s">
        <v>191</v>
      </c>
      <c r="L1" s="88" t="s">
        <v>18</v>
      </c>
      <c r="M1" s="88" t="s">
        <v>20</v>
      </c>
      <c r="N1" s="88" t="s">
        <v>21</v>
      </c>
      <c r="O1" s="88" t="s">
        <v>19</v>
      </c>
      <c r="P1" s="88" t="s">
        <v>22</v>
      </c>
      <c r="Q1" s="88" t="s">
        <v>192</v>
      </c>
      <c r="R1" s="88" t="s">
        <v>193</v>
      </c>
      <c r="S1" s="88" t="s">
        <v>194</v>
      </c>
      <c r="T1" s="88" t="s">
        <v>195</v>
      </c>
      <c r="U1" s="88" t="s">
        <v>196</v>
      </c>
      <c r="V1" s="88" t="s">
        <v>197</v>
      </c>
      <c r="W1" s="88" t="s">
        <v>198</v>
      </c>
      <c r="X1" s="88" t="s">
        <v>199</v>
      </c>
      <c r="Y1" s="88" t="s">
        <v>200</v>
      </c>
      <c r="Z1" s="88" t="s">
        <v>201</v>
      </c>
      <c r="AA1" s="88" t="s">
        <v>202</v>
      </c>
      <c r="AB1" s="88" t="s">
        <v>203</v>
      </c>
      <c r="AC1" s="88" t="s">
        <v>204</v>
      </c>
      <c r="AD1" s="88" t="s">
        <v>205</v>
      </c>
      <c r="AE1" s="88" t="s">
        <v>206</v>
      </c>
      <c r="AF1" s="88" t="s">
        <v>207</v>
      </c>
      <c r="AG1" s="88" t="s">
        <v>208</v>
      </c>
      <c r="AH1" s="88" t="s">
        <v>209</v>
      </c>
      <c r="AI1" s="88" t="s">
        <v>210</v>
      </c>
      <c r="AJ1" s="88" t="s">
        <v>211</v>
      </c>
    </row>
    <row r="2" spans="1:36" x14ac:dyDescent="0.3">
      <c r="A2" s="311" t="s">
        <v>212</v>
      </c>
      <c r="B2" s="312">
        <v>45986</v>
      </c>
      <c r="C2" s="88" t="s">
        <v>423</v>
      </c>
      <c r="D2" s="313" t="s">
        <v>698</v>
      </c>
      <c r="E2" s="88" t="s">
        <v>403</v>
      </c>
      <c r="F2" s="88" t="s">
        <v>214</v>
      </c>
      <c r="G2" s="314">
        <v>0.70950000000000002</v>
      </c>
      <c r="H2" s="89">
        <v>179</v>
      </c>
      <c r="I2" s="89">
        <v>127</v>
      </c>
      <c r="J2" s="89">
        <v>86</v>
      </c>
      <c r="K2" s="89" t="s">
        <v>215</v>
      </c>
      <c r="L2" s="315" t="s">
        <v>175</v>
      </c>
      <c r="M2" s="89">
        <v>5</v>
      </c>
      <c r="N2" s="89">
        <v>2</v>
      </c>
      <c r="O2" s="89">
        <v>18</v>
      </c>
      <c r="P2" s="89" t="s">
        <v>237</v>
      </c>
      <c r="Q2" s="89">
        <v>0</v>
      </c>
      <c r="R2" s="89">
        <v>0</v>
      </c>
      <c r="S2" s="89">
        <v>0</v>
      </c>
      <c r="T2" s="89">
        <v>0</v>
      </c>
      <c r="U2" s="89">
        <v>0</v>
      </c>
      <c r="V2" s="89">
        <v>0</v>
      </c>
      <c r="W2" s="89">
        <v>0</v>
      </c>
      <c r="X2" s="89">
        <v>0</v>
      </c>
      <c r="Y2" s="89">
        <v>0</v>
      </c>
      <c r="Z2" s="89">
        <v>2</v>
      </c>
      <c r="AA2" s="89">
        <v>0</v>
      </c>
      <c r="AB2" s="89">
        <v>0</v>
      </c>
      <c r="AC2" s="89">
        <v>4</v>
      </c>
      <c r="AD2" s="89">
        <v>5</v>
      </c>
      <c r="AE2" s="89">
        <v>15</v>
      </c>
      <c r="AF2" s="89">
        <v>15</v>
      </c>
      <c r="AG2" s="89">
        <v>0</v>
      </c>
      <c r="AH2" s="89">
        <v>0</v>
      </c>
      <c r="AI2" s="89">
        <v>86</v>
      </c>
      <c r="AJ2" s="89">
        <v>0</v>
      </c>
    </row>
    <row r="3" spans="1:36" x14ac:dyDescent="0.3">
      <c r="A3" s="311" t="s">
        <v>212</v>
      </c>
      <c r="B3" s="312">
        <v>45986</v>
      </c>
      <c r="C3" s="88" t="s">
        <v>1036</v>
      </c>
      <c r="D3" s="313" t="s">
        <v>904</v>
      </c>
      <c r="E3" s="88" t="s">
        <v>1033</v>
      </c>
      <c r="F3" s="88" t="s">
        <v>214</v>
      </c>
      <c r="G3" s="314">
        <v>1.0713999999999999</v>
      </c>
      <c r="H3" s="89">
        <v>168</v>
      </c>
      <c r="I3" s="89">
        <v>180</v>
      </c>
      <c r="J3" s="89">
        <v>180</v>
      </c>
      <c r="K3" s="89" t="s">
        <v>215</v>
      </c>
      <c r="L3" s="315" t="s">
        <v>311</v>
      </c>
      <c r="M3" s="89">
        <v>0</v>
      </c>
      <c r="N3" s="89">
        <v>0</v>
      </c>
      <c r="O3" s="89">
        <v>6</v>
      </c>
      <c r="P3" s="89" t="s">
        <v>64</v>
      </c>
      <c r="Q3" s="89">
        <v>0</v>
      </c>
      <c r="R3" s="89">
        <v>0</v>
      </c>
      <c r="S3" s="89">
        <v>0</v>
      </c>
      <c r="T3" s="89">
        <v>0</v>
      </c>
      <c r="U3" s="89">
        <v>0</v>
      </c>
      <c r="V3" s="89">
        <v>0</v>
      </c>
      <c r="W3" s="89">
        <v>0</v>
      </c>
      <c r="X3" s="89">
        <v>0</v>
      </c>
      <c r="Y3" s="89">
        <v>0</v>
      </c>
      <c r="Z3" s="89">
        <v>0</v>
      </c>
      <c r="AA3" s="89">
        <v>0</v>
      </c>
      <c r="AB3" s="89">
        <v>0</v>
      </c>
      <c r="AC3" s="89">
        <v>45</v>
      </c>
      <c r="AD3" s="89">
        <v>135</v>
      </c>
      <c r="AE3" s="89">
        <v>0</v>
      </c>
      <c r="AF3" s="89">
        <v>0</v>
      </c>
      <c r="AG3" s="89">
        <v>0</v>
      </c>
      <c r="AH3" s="89">
        <v>0</v>
      </c>
      <c r="AI3" s="89">
        <v>0</v>
      </c>
      <c r="AJ3" s="89">
        <v>0</v>
      </c>
    </row>
    <row r="4" spans="1:36" x14ac:dyDescent="0.3">
      <c r="A4" s="311" t="s">
        <v>212</v>
      </c>
      <c r="B4" s="312">
        <v>45986</v>
      </c>
      <c r="C4" s="88" t="s">
        <v>1295</v>
      </c>
      <c r="D4" s="313" t="s">
        <v>1333</v>
      </c>
      <c r="E4" s="88" t="s">
        <v>1288</v>
      </c>
      <c r="F4" s="88" t="s">
        <v>214</v>
      </c>
      <c r="G4" s="314">
        <v>0.38690000000000002</v>
      </c>
      <c r="H4" s="89">
        <v>168</v>
      </c>
      <c r="I4" s="89">
        <v>65</v>
      </c>
      <c r="J4" s="89">
        <v>0</v>
      </c>
      <c r="K4" s="89" t="s">
        <v>215</v>
      </c>
      <c r="L4" s="315" t="s">
        <v>175</v>
      </c>
      <c r="M4" s="89">
        <v>3</v>
      </c>
      <c r="N4" s="89">
        <v>15</v>
      </c>
      <c r="O4" s="89">
        <v>29</v>
      </c>
      <c r="P4" s="89" t="s">
        <v>646</v>
      </c>
      <c r="Q4" s="89">
        <v>0</v>
      </c>
      <c r="R4" s="89">
        <v>0</v>
      </c>
      <c r="S4" s="89">
        <v>0</v>
      </c>
      <c r="T4" s="89">
        <v>0</v>
      </c>
      <c r="U4" s="89">
        <v>0</v>
      </c>
      <c r="V4" s="89">
        <v>0</v>
      </c>
      <c r="W4" s="89">
        <v>0</v>
      </c>
      <c r="X4" s="89">
        <v>0</v>
      </c>
      <c r="Y4" s="89">
        <v>0</v>
      </c>
      <c r="Z4" s="89">
        <v>8</v>
      </c>
      <c r="AA4" s="89">
        <v>5</v>
      </c>
      <c r="AB4" s="89">
        <v>0</v>
      </c>
      <c r="AC4" s="89">
        <v>0</v>
      </c>
      <c r="AD4" s="89">
        <v>0</v>
      </c>
      <c r="AE4" s="89">
        <v>6</v>
      </c>
      <c r="AF4" s="89">
        <v>46</v>
      </c>
      <c r="AG4" s="89">
        <v>0</v>
      </c>
      <c r="AH4" s="89">
        <v>0</v>
      </c>
      <c r="AI4" s="89">
        <v>0</v>
      </c>
      <c r="AJ4" s="89">
        <v>0</v>
      </c>
    </row>
    <row r="5" spans="1:36" x14ac:dyDescent="0.3">
      <c r="A5" s="311" t="s">
        <v>212</v>
      </c>
      <c r="B5" s="312">
        <v>45986</v>
      </c>
      <c r="C5" s="88" t="s">
        <v>1426</v>
      </c>
      <c r="D5" s="313" t="s">
        <v>1454</v>
      </c>
      <c r="E5" s="88" t="s">
        <v>1422</v>
      </c>
      <c r="F5" s="88" t="s">
        <v>214</v>
      </c>
      <c r="G5" s="314">
        <v>0.94969999999999999</v>
      </c>
      <c r="H5" s="89">
        <v>179</v>
      </c>
      <c r="I5" s="89">
        <v>170</v>
      </c>
      <c r="J5" s="89">
        <v>158</v>
      </c>
      <c r="K5" s="89" t="s">
        <v>215</v>
      </c>
      <c r="L5" s="315" t="s">
        <v>311</v>
      </c>
      <c r="M5" s="89">
        <v>0</v>
      </c>
      <c r="N5" s="89">
        <v>0</v>
      </c>
      <c r="O5" s="89">
        <v>3</v>
      </c>
      <c r="P5" s="89" t="s">
        <v>851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0</v>
      </c>
      <c r="W5" s="89">
        <v>0</v>
      </c>
      <c r="X5" s="89">
        <v>3</v>
      </c>
      <c r="Y5" s="89">
        <v>0</v>
      </c>
      <c r="Z5" s="89">
        <v>3</v>
      </c>
      <c r="AA5" s="89">
        <v>0</v>
      </c>
      <c r="AB5" s="89">
        <v>0</v>
      </c>
      <c r="AC5" s="89">
        <v>5</v>
      </c>
      <c r="AD5" s="89">
        <v>0</v>
      </c>
      <c r="AE5" s="89">
        <v>0</v>
      </c>
      <c r="AF5" s="89">
        <v>0</v>
      </c>
      <c r="AG5" s="89">
        <v>0</v>
      </c>
      <c r="AH5" s="89">
        <v>0</v>
      </c>
      <c r="AI5" s="89">
        <v>159</v>
      </c>
      <c r="AJ5" s="89">
        <v>0</v>
      </c>
    </row>
    <row r="6" spans="1:36" x14ac:dyDescent="0.3">
      <c r="A6" s="311" t="s">
        <v>212</v>
      </c>
      <c r="B6" s="312">
        <v>45986</v>
      </c>
      <c r="C6" s="88" t="s">
        <v>810</v>
      </c>
      <c r="D6" s="313" t="s">
        <v>893</v>
      </c>
      <c r="E6" s="88" t="s">
        <v>793</v>
      </c>
      <c r="F6" s="88" t="s">
        <v>214</v>
      </c>
      <c r="G6" s="314">
        <v>0.98880000000000001</v>
      </c>
      <c r="H6" s="89">
        <v>179</v>
      </c>
      <c r="I6" s="89">
        <v>177</v>
      </c>
      <c r="J6" s="89">
        <v>159</v>
      </c>
      <c r="K6" s="89" t="s">
        <v>215</v>
      </c>
      <c r="L6" s="315" t="s">
        <v>63</v>
      </c>
      <c r="M6" s="89">
        <v>0</v>
      </c>
      <c r="N6" s="89">
        <v>0</v>
      </c>
      <c r="O6" s="89">
        <v>5</v>
      </c>
      <c r="P6" s="89" t="s">
        <v>231</v>
      </c>
      <c r="Q6" s="89">
        <v>0</v>
      </c>
      <c r="R6" s="89">
        <v>0</v>
      </c>
      <c r="S6" s="89">
        <v>0</v>
      </c>
      <c r="T6" s="89">
        <v>0</v>
      </c>
      <c r="U6" s="89">
        <v>1</v>
      </c>
      <c r="V6" s="89">
        <v>0</v>
      </c>
      <c r="W6" s="89">
        <v>0</v>
      </c>
      <c r="X6" s="89">
        <v>5</v>
      </c>
      <c r="Y6" s="89">
        <v>0</v>
      </c>
      <c r="Z6" s="89">
        <v>1</v>
      </c>
      <c r="AA6" s="89">
        <v>0</v>
      </c>
      <c r="AB6" s="89">
        <v>0</v>
      </c>
      <c r="AC6" s="89">
        <v>11</v>
      </c>
      <c r="AD6" s="89">
        <v>0</v>
      </c>
      <c r="AE6" s="89">
        <v>0</v>
      </c>
      <c r="AF6" s="89">
        <v>0</v>
      </c>
      <c r="AG6" s="89">
        <v>0</v>
      </c>
      <c r="AH6" s="89">
        <v>0</v>
      </c>
      <c r="AI6" s="89">
        <v>159</v>
      </c>
      <c r="AJ6" s="89">
        <v>0</v>
      </c>
    </row>
    <row r="7" spans="1:36" x14ac:dyDescent="0.3">
      <c r="A7" s="311" t="s">
        <v>212</v>
      </c>
      <c r="B7" s="312">
        <v>45986</v>
      </c>
      <c r="C7" s="88" t="s">
        <v>935</v>
      </c>
      <c r="D7" s="313" t="s">
        <v>1003</v>
      </c>
      <c r="E7" s="88" t="s">
        <v>934</v>
      </c>
      <c r="F7" s="88" t="s">
        <v>214</v>
      </c>
      <c r="G7" s="314">
        <v>0.93300000000000005</v>
      </c>
      <c r="H7" s="89">
        <v>179</v>
      </c>
      <c r="I7" s="89">
        <v>167</v>
      </c>
      <c r="J7" s="89">
        <v>155</v>
      </c>
      <c r="K7" s="89" t="s">
        <v>215</v>
      </c>
      <c r="L7" s="315" t="s">
        <v>157</v>
      </c>
      <c r="M7" s="89">
        <v>0</v>
      </c>
      <c r="N7" s="89">
        <v>0</v>
      </c>
      <c r="O7" s="89">
        <v>0</v>
      </c>
      <c r="P7" s="89" t="s">
        <v>257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4</v>
      </c>
      <c r="AA7" s="89">
        <v>0</v>
      </c>
      <c r="AB7" s="89">
        <v>0</v>
      </c>
      <c r="AC7" s="89">
        <v>0</v>
      </c>
      <c r="AD7" s="89">
        <v>8</v>
      </c>
      <c r="AE7" s="89">
        <v>0</v>
      </c>
      <c r="AF7" s="89">
        <v>0</v>
      </c>
      <c r="AG7" s="89">
        <v>0</v>
      </c>
      <c r="AH7" s="89">
        <v>0</v>
      </c>
      <c r="AI7" s="89">
        <v>155</v>
      </c>
      <c r="AJ7" s="89">
        <v>0</v>
      </c>
    </row>
    <row r="8" spans="1:36" x14ac:dyDescent="0.3">
      <c r="A8" s="311" t="s">
        <v>212</v>
      </c>
      <c r="B8" s="312">
        <v>45986</v>
      </c>
      <c r="C8" s="88" t="s">
        <v>938</v>
      </c>
      <c r="D8" s="313" t="s">
        <v>928</v>
      </c>
      <c r="E8" s="88" t="s">
        <v>934</v>
      </c>
      <c r="F8" s="88" t="s">
        <v>214</v>
      </c>
      <c r="G8" s="314">
        <v>0.97770000000000001</v>
      </c>
      <c r="H8" s="89">
        <v>179</v>
      </c>
      <c r="I8" s="89">
        <v>175</v>
      </c>
      <c r="J8" s="89">
        <v>167</v>
      </c>
      <c r="K8" s="89" t="s">
        <v>215</v>
      </c>
      <c r="L8" s="315" t="s">
        <v>940</v>
      </c>
      <c r="M8" s="89">
        <v>0</v>
      </c>
      <c r="N8" s="89">
        <v>0</v>
      </c>
      <c r="O8" s="89">
        <v>0</v>
      </c>
      <c r="P8" s="89" t="s">
        <v>256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1</v>
      </c>
      <c r="Y8" s="89">
        <v>0</v>
      </c>
      <c r="Z8" s="89">
        <v>1</v>
      </c>
      <c r="AA8" s="89">
        <v>0</v>
      </c>
      <c r="AB8" s="89">
        <v>0</v>
      </c>
      <c r="AC8" s="89">
        <v>3</v>
      </c>
      <c r="AD8" s="89">
        <v>0</v>
      </c>
      <c r="AE8" s="89">
        <v>0</v>
      </c>
      <c r="AF8" s="89">
        <v>3</v>
      </c>
      <c r="AG8" s="89">
        <v>0</v>
      </c>
      <c r="AH8" s="89">
        <v>0</v>
      </c>
      <c r="AI8" s="89">
        <v>167</v>
      </c>
      <c r="AJ8" s="89">
        <v>0</v>
      </c>
    </row>
    <row r="9" spans="1:36" x14ac:dyDescent="0.3">
      <c r="A9" s="311" t="s">
        <v>212</v>
      </c>
      <c r="B9" s="312">
        <v>45986</v>
      </c>
      <c r="C9" s="88" t="s">
        <v>430</v>
      </c>
      <c r="D9" s="313" t="s">
        <v>694</v>
      </c>
      <c r="E9" s="88" t="s">
        <v>403</v>
      </c>
      <c r="F9" s="88" t="s">
        <v>214</v>
      </c>
      <c r="G9" s="314">
        <v>0.91059999999999997</v>
      </c>
      <c r="H9" s="89">
        <v>179</v>
      </c>
      <c r="I9" s="89">
        <v>163</v>
      </c>
      <c r="J9" s="89">
        <v>116</v>
      </c>
      <c r="K9" s="89" t="s">
        <v>215</v>
      </c>
      <c r="L9" s="315" t="s">
        <v>63</v>
      </c>
      <c r="M9" s="89">
        <v>0</v>
      </c>
      <c r="N9" s="89">
        <v>0</v>
      </c>
      <c r="O9" s="89">
        <v>23</v>
      </c>
      <c r="P9" s="89" t="s">
        <v>277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1</v>
      </c>
      <c r="AA9" s="89">
        <v>2</v>
      </c>
      <c r="AB9" s="89">
        <v>0</v>
      </c>
      <c r="AC9" s="89">
        <v>4</v>
      </c>
      <c r="AD9" s="89">
        <v>16</v>
      </c>
      <c r="AE9" s="89">
        <v>15</v>
      </c>
      <c r="AF9" s="89">
        <v>9</v>
      </c>
      <c r="AG9" s="89">
        <v>0</v>
      </c>
      <c r="AH9" s="89">
        <v>0</v>
      </c>
      <c r="AI9" s="89">
        <v>116</v>
      </c>
      <c r="AJ9" s="89">
        <v>0</v>
      </c>
    </row>
    <row r="10" spans="1:36" x14ac:dyDescent="0.3">
      <c r="A10" s="311" t="s">
        <v>212</v>
      </c>
      <c r="B10" s="312">
        <v>45986</v>
      </c>
      <c r="C10" s="88" t="s">
        <v>1265</v>
      </c>
      <c r="D10" s="313" t="s">
        <v>691</v>
      </c>
      <c r="E10" s="88" t="s">
        <v>1263</v>
      </c>
      <c r="F10" s="88" t="s">
        <v>214</v>
      </c>
      <c r="G10" s="314">
        <v>0.42859999999999998</v>
      </c>
      <c r="H10" s="89">
        <v>168</v>
      </c>
      <c r="I10" s="89">
        <v>72</v>
      </c>
      <c r="J10" s="89">
        <v>0</v>
      </c>
      <c r="K10" s="89" t="s">
        <v>215</v>
      </c>
      <c r="L10" s="315" t="s">
        <v>175</v>
      </c>
      <c r="M10" s="89">
        <v>3</v>
      </c>
      <c r="N10" s="89">
        <v>5</v>
      </c>
      <c r="O10" s="89">
        <v>18</v>
      </c>
      <c r="P10" s="89" t="s">
        <v>346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4</v>
      </c>
      <c r="AA10" s="89">
        <v>2</v>
      </c>
      <c r="AB10" s="89">
        <v>0</v>
      </c>
      <c r="AC10" s="89">
        <v>0</v>
      </c>
      <c r="AD10" s="89">
        <v>8</v>
      </c>
      <c r="AE10" s="89">
        <v>38</v>
      </c>
      <c r="AF10" s="89">
        <v>20</v>
      </c>
      <c r="AG10" s="89">
        <v>0</v>
      </c>
      <c r="AH10" s="89">
        <v>0</v>
      </c>
      <c r="AI10" s="89">
        <v>0</v>
      </c>
      <c r="AJ10" s="89">
        <v>0</v>
      </c>
    </row>
    <row r="11" spans="1:36" x14ac:dyDescent="0.3">
      <c r="A11" s="311" t="s">
        <v>212</v>
      </c>
      <c r="B11" s="312">
        <v>45986</v>
      </c>
      <c r="C11" s="88" t="s">
        <v>1122</v>
      </c>
      <c r="D11" s="313" t="s">
        <v>1244</v>
      </c>
      <c r="E11" s="88" t="s">
        <v>1098</v>
      </c>
      <c r="F11" s="88" t="s">
        <v>214</v>
      </c>
      <c r="G11" s="314">
        <v>0.625</v>
      </c>
      <c r="H11" s="89">
        <v>168</v>
      </c>
      <c r="I11" s="89">
        <v>105</v>
      </c>
      <c r="J11" s="89">
        <v>0</v>
      </c>
      <c r="K11" s="89" t="s">
        <v>215</v>
      </c>
      <c r="L11" s="315" t="s">
        <v>175</v>
      </c>
      <c r="M11" s="89">
        <v>4</v>
      </c>
      <c r="N11" s="89">
        <v>13</v>
      </c>
      <c r="O11" s="89">
        <v>44</v>
      </c>
      <c r="P11" s="89" t="s">
        <v>237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1</v>
      </c>
      <c r="AA11" s="89">
        <v>0</v>
      </c>
      <c r="AB11" s="89">
        <v>0</v>
      </c>
      <c r="AC11" s="89">
        <v>0</v>
      </c>
      <c r="AD11" s="89">
        <v>3</v>
      </c>
      <c r="AE11" s="89">
        <v>21</v>
      </c>
      <c r="AF11" s="89">
        <v>80</v>
      </c>
      <c r="AG11" s="89">
        <v>0</v>
      </c>
      <c r="AH11" s="89">
        <v>0</v>
      </c>
      <c r="AI11" s="89">
        <v>0</v>
      </c>
      <c r="AJ11" s="89">
        <v>0</v>
      </c>
    </row>
    <row r="12" spans="1:36" x14ac:dyDescent="0.3">
      <c r="A12" s="311" t="s">
        <v>212</v>
      </c>
      <c r="B12" s="312">
        <v>45986</v>
      </c>
      <c r="C12" s="88" t="s">
        <v>420</v>
      </c>
      <c r="D12" s="313" t="s">
        <v>681</v>
      </c>
      <c r="E12" s="88" t="s">
        <v>403</v>
      </c>
      <c r="F12" s="88" t="s">
        <v>214</v>
      </c>
      <c r="G12" s="314">
        <v>0.4078</v>
      </c>
      <c r="H12" s="89">
        <v>179</v>
      </c>
      <c r="I12" s="89">
        <v>73</v>
      </c>
      <c r="J12" s="89">
        <v>0</v>
      </c>
      <c r="K12" s="89" t="s">
        <v>215</v>
      </c>
      <c r="L12" s="315" t="s">
        <v>175</v>
      </c>
      <c r="M12" s="89">
        <v>8</v>
      </c>
      <c r="N12" s="89">
        <v>10</v>
      </c>
      <c r="O12" s="89">
        <v>55</v>
      </c>
      <c r="P12" s="89" t="s">
        <v>237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1</v>
      </c>
      <c r="Z12" s="89">
        <v>8</v>
      </c>
      <c r="AA12" s="89">
        <v>0</v>
      </c>
      <c r="AB12" s="89">
        <v>0</v>
      </c>
      <c r="AC12" s="89">
        <v>3</v>
      </c>
      <c r="AD12" s="89">
        <v>10</v>
      </c>
      <c r="AE12" s="89">
        <v>21</v>
      </c>
      <c r="AF12" s="89">
        <v>30</v>
      </c>
      <c r="AG12" s="89">
        <v>0</v>
      </c>
      <c r="AH12" s="89">
        <v>0</v>
      </c>
      <c r="AI12" s="89">
        <v>0</v>
      </c>
      <c r="AJ12" s="89">
        <v>0</v>
      </c>
    </row>
    <row r="13" spans="1:36" x14ac:dyDescent="0.3">
      <c r="A13" s="311" t="s">
        <v>212</v>
      </c>
      <c r="B13" s="312">
        <v>45986</v>
      </c>
      <c r="C13" s="88" t="s">
        <v>417</v>
      </c>
      <c r="D13" s="313" t="s">
        <v>699</v>
      </c>
      <c r="E13" s="88" t="s">
        <v>403</v>
      </c>
      <c r="F13" s="88" t="s">
        <v>214</v>
      </c>
      <c r="G13" s="314">
        <v>0.59219999999999995</v>
      </c>
      <c r="H13" s="89">
        <v>179</v>
      </c>
      <c r="I13" s="89">
        <v>106</v>
      </c>
      <c r="J13" s="89">
        <v>46</v>
      </c>
      <c r="K13" s="89" t="s">
        <v>215</v>
      </c>
      <c r="L13" s="315" t="s">
        <v>175</v>
      </c>
      <c r="M13" s="89">
        <v>1</v>
      </c>
      <c r="N13" s="89">
        <v>5</v>
      </c>
      <c r="O13" s="89">
        <v>35</v>
      </c>
      <c r="P13" s="89" t="s">
        <v>237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89">
        <v>0</v>
      </c>
      <c r="AC13" s="89">
        <v>1</v>
      </c>
      <c r="AD13" s="89">
        <v>10</v>
      </c>
      <c r="AE13" s="89">
        <v>19</v>
      </c>
      <c r="AF13" s="89">
        <v>30</v>
      </c>
      <c r="AG13" s="89">
        <v>0</v>
      </c>
      <c r="AH13" s="89">
        <v>0</v>
      </c>
      <c r="AI13" s="89">
        <v>46</v>
      </c>
      <c r="AJ13" s="89">
        <v>0</v>
      </c>
    </row>
    <row r="14" spans="1:36" x14ac:dyDescent="0.3">
      <c r="A14" s="311" t="s">
        <v>212</v>
      </c>
      <c r="B14" s="312">
        <v>45986</v>
      </c>
      <c r="C14" s="88" t="s">
        <v>427</v>
      </c>
      <c r="D14" s="313" t="s">
        <v>691</v>
      </c>
      <c r="E14" s="88" t="s">
        <v>403</v>
      </c>
      <c r="F14" s="88" t="s">
        <v>214</v>
      </c>
      <c r="G14" s="314">
        <v>0.88270000000000004</v>
      </c>
      <c r="H14" s="89">
        <v>179</v>
      </c>
      <c r="I14" s="89">
        <v>158</v>
      </c>
      <c r="J14" s="89">
        <v>82</v>
      </c>
      <c r="K14" s="89" t="s">
        <v>215</v>
      </c>
      <c r="L14" s="315" t="s">
        <v>175</v>
      </c>
      <c r="M14" s="89">
        <v>7</v>
      </c>
      <c r="N14" s="89">
        <v>15</v>
      </c>
      <c r="O14" s="89">
        <v>41</v>
      </c>
      <c r="P14" s="89" t="s">
        <v>364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  <c r="Z14" s="89">
        <v>5</v>
      </c>
      <c r="AA14" s="89">
        <v>0</v>
      </c>
      <c r="AB14" s="89">
        <v>0</v>
      </c>
      <c r="AC14" s="89">
        <v>7</v>
      </c>
      <c r="AD14" s="89">
        <v>14</v>
      </c>
      <c r="AE14" s="89">
        <v>35</v>
      </c>
      <c r="AF14" s="89">
        <v>15</v>
      </c>
      <c r="AG14" s="89">
        <v>0</v>
      </c>
      <c r="AH14" s="89">
        <v>0</v>
      </c>
      <c r="AI14" s="89">
        <v>82</v>
      </c>
      <c r="AJ14" s="89">
        <v>0</v>
      </c>
    </row>
    <row r="15" spans="1:36" x14ac:dyDescent="0.3">
      <c r="A15" s="311" t="s">
        <v>212</v>
      </c>
      <c r="B15" s="312">
        <v>45986</v>
      </c>
      <c r="C15" s="88" t="s">
        <v>432</v>
      </c>
      <c r="D15" s="313" t="s">
        <v>686</v>
      </c>
      <c r="E15" s="88" t="s">
        <v>403</v>
      </c>
      <c r="F15" s="88" t="s">
        <v>214</v>
      </c>
      <c r="G15" s="314">
        <v>0.9385</v>
      </c>
      <c r="H15" s="89">
        <v>179</v>
      </c>
      <c r="I15" s="89">
        <v>168</v>
      </c>
      <c r="J15" s="89">
        <v>117</v>
      </c>
      <c r="K15" s="89" t="s">
        <v>215</v>
      </c>
      <c r="L15" s="315" t="s">
        <v>433</v>
      </c>
      <c r="M15" s="89">
        <v>0</v>
      </c>
      <c r="N15" s="89">
        <v>0</v>
      </c>
      <c r="O15" s="89">
        <v>25</v>
      </c>
      <c r="P15" s="89" t="s">
        <v>64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2</v>
      </c>
      <c r="AA15" s="89">
        <v>0</v>
      </c>
      <c r="AB15" s="89">
        <v>0</v>
      </c>
      <c r="AC15" s="89">
        <v>1</v>
      </c>
      <c r="AD15" s="89">
        <v>15</v>
      </c>
      <c r="AE15" s="89">
        <v>15</v>
      </c>
      <c r="AF15" s="89">
        <v>15</v>
      </c>
      <c r="AG15" s="89">
        <v>0</v>
      </c>
      <c r="AH15" s="89">
        <v>0</v>
      </c>
      <c r="AI15" s="89">
        <v>117</v>
      </c>
      <c r="AJ15" s="89">
        <v>3</v>
      </c>
    </row>
    <row r="16" spans="1:36" x14ac:dyDescent="0.3">
      <c r="A16" s="311" t="s">
        <v>212</v>
      </c>
      <c r="B16" s="312">
        <v>45986</v>
      </c>
      <c r="C16" s="88" t="s">
        <v>1034</v>
      </c>
      <c r="D16" s="313" t="s">
        <v>712</v>
      </c>
      <c r="E16" s="88" t="s">
        <v>1033</v>
      </c>
      <c r="F16" s="88" t="s">
        <v>214</v>
      </c>
      <c r="G16" s="314">
        <v>1.0713999999999999</v>
      </c>
      <c r="H16" s="89">
        <v>168</v>
      </c>
      <c r="I16" s="89">
        <v>180</v>
      </c>
      <c r="J16" s="89">
        <v>180</v>
      </c>
      <c r="K16" s="89" t="s">
        <v>215</v>
      </c>
      <c r="L16" s="315" t="s">
        <v>311</v>
      </c>
      <c r="M16" s="89">
        <v>0</v>
      </c>
      <c r="N16" s="89">
        <v>0</v>
      </c>
      <c r="O16" s="89">
        <v>8</v>
      </c>
      <c r="P16" s="89" t="s">
        <v>64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  <c r="Z16" s="89">
        <v>0</v>
      </c>
      <c r="AA16" s="89">
        <v>0</v>
      </c>
      <c r="AB16" s="89">
        <v>0</v>
      </c>
      <c r="AC16" s="89">
        <v>83</v>
      </c>
      <c r="AD16" s="89">
        <v>97</v>
      </c>
      <c r="AE16" s="89">
        <v>0</v>
      </c>
      <c r="AF16" s="89">
        <v>0</v>
      </c>
      <c r="AG16" s="89">
        <v>0</v>
      </c>
      <c r="AH16" s="89">
        <v>0</v>
      </c>
      <c r="AI16" s="89">
        <v>0</v>
      </c>
      <c r="AJ16" s="89">
        <v>0</v>
      </c>
    </row>
    <row r="17" spans="1:36" x14ac:dyDescent="0.3">
      <c r="A17" s="311" t="s">
        <v>212</v>
      </c>
      <c r="B17" s="312">
        <v>45986</v>
      </c>
      <c r="C17" s="88" t="s">
        <v>1040</v>
      </c>
      <c r="D17" s="313" t="s">
        <v>911</v>
      </c>
      <c r="E17" s="88" t="s">
        <v>1033</v>
      </c>
      <c r="F17" s="88" t="s">
        <v>214</v>
      </c>
      <c r="G17" s="314">
        <v>1.0713999999999999</v>
      </c>
      <c r="H17" s="89">
        <v>168</v>
      </c>
      <c r="I17" s="89">
        <v>180</v>
      </c>
      <c r="J17" s="89">
        <v>180</v>
      </c>
      <c r="K17" s="89" t="s">
        <v>215</v>
      </c>
      <c r="L17" s="315" t="s">
        <v>157</v>
      </c>
      <c r="M17" s="89">
        <v>0</v>
      </c>
      <c r="N17" s="89">
        <v>0</v>
      </c>
      <c r="O17" s="89">
        <v>0</v>
      </c>
      <c r="P17" s="89" t="s">
        <v>64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  <c r="AC17" s="89">
        <v>45</v>
      </c>
      <c r="AD17" s="89">
        <v>135</v>
      </c>
      <c r="AE17" s="89">
        <v>0</v>
      </c>
      <c r="AF17" s="89">
        <v>0</v>
      </c>
      <c r="AG17" s="89">
        <v>0</v>
      </c>
      <c r="AH17" s="89">
        <v>0</v>
      </c>
      <c r="AI17" s="89">
        <v>0</v>
      </c>
      <c r="AJ17" s="89">
        <v>0</v>
      </c>
    </row>
    <row r="18" spans="1:36" x14ac:dyDescent="0.3">
      <c r="A18" s="311" t="s">
        <v>212</v>
      </c>
      <c r="B18" s="312">
        <v>45986</v>
      </c>
      <c r="C18" s="88" t="s">
        <v>298</v>
      </c>
      <c r="D18" s="313" t="s">
        <v>325</v>
      </c>
      <c r="E18" s="88" t="s">
        <v>295</v>
      </c>
      <c r="F18" s="88" t="s">
        <v>214</v>
      </c>
      <c r="G18" s="314">
        <v>0.96650000000000003</v>
      </c>
      <c r="H18" s="89">
        <v>179</v>
      </c>
      <c r="I18" s="89">
        <v>173</v>
      </c>
      <c r="J18" s="89">
        <v>153</v>
      </c>
      <c r="K18" s="89" t="s">
        <v>215</v>
      </c>
      <c r="L18" s="315" t="s">
        <v>175</v>
      </c>
      <c r="M18" s="89">
        <v>3</v>
      </c>
      <c r="N18" s="89">
        <v>1</v>
      </c>
      <c r="O18" s="89">
        <v>10</v>
      </c>
      <c r="P18" s="89" t="s">
        <v>299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4</v>
      </c>
      <c r="W18" s="89">
        <v>2</v>
      </c>
      <c r="X18" s="89">
        <v>6</v>
      </c>
      <c r="Y18" s="89">
        <v>0</v>
      </c>
      <c r="Z18" s="89">
        <v>0</v>
      </c>
      <c r="AA18" s="89">
        <v>0</v>
      </c>
      <c r="AB18" s="89">
        <v>0</v>
      </c>
      <c r="AC18" s="89">
        <v>8</v>
      </c>
      <c r="AD18" s="89">
        <v>0</v>
      </c>
      <c r="AE18" s="89">
        <v>0</v>
      </c>
      <c r="AF18" s="89">
        <v>0</v>
      </c>
      <c r="AG18" s="89">
        <v>0</v>
      </c>
      <c r="AH18" s="89">
        <v>0</v>
      </c>
      <c r="AI18" s="89">
        <v>153</v>
      </c>
      <c r="AJ18" s="89">
        <v>0</v>
      </c>
    </row>
    <row r="19" spans="1:36" x14ac:dyDescent="0.3">
      <c r="A19" s="311" t="s">
        <v>212</v>
      </c>
      <c r="B19" s="312">
        <v>45986</v>
      </c>
      <c r="C19" s="88" t="s">
        <v>49</v>
      </c>
      <c r="D19" s="313" t="s">
        <v>220</v>
      </c>
      <c r="E19" s="88" t="s">
        <v>1</v>
      </c>
      <c r="F19" s="88" t="s">
        <v>214</v>
      </c>
      <c r="G19" s="314">
        <v>0.52980000000000005</v>
      </c>
      <c r="H19" s="89">
        <v>168</v>
      </c>
      <c r="I19" s="89">
        <v>89</v>
      </c>
      <c r="J19" s="89">
        <v>0</v>
      </c>
      <c r="K19" s="89" t="s">
        <v>215</v>
      </c>
      <c r="L19" s="315" t="s">
        <v>50</v>
      </c>
      <c r="M19" s="89">
        <v>0</v>
      </c>
      <c r="N19" s="89">
        <v>4</v>
      </c>
      <c r="O19" s="89">
        <v>20</v>
      </c>
      <c r="P19" s="89" t="s">
        <v>51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5</v>
      </c>
      <c r="Y19" s="89">
        <v>14</v>
      </c>
      <c r="Z19" s="89">
        <v>10</v>
      </c>
      <c r="AA19" s="89">
        <v>10</v>
      </c>
      <c r="AB19" s="89">
        <v>10</v>
      </c>
      <c r="AC19" s="89">
        <v>10</v>
      </c>
      <c r="AD19" s="89">
        <v>10</v>
      </c>
      <c r="AE19" s="89">
        <v>10</v>
      </c>
      <c r="AF19" s="89">
        <v>10</v>
      </c>
      <c r="AG19" s="89">
        <v>0</v>
      </c>
      <c r="AH19" s="89">
        <v>0</v>
      </c>
      <c r="AI19" s="89">
        <v>0</v>
      </c>
      <c r="AJ19" s="89">
        <v>0</v>
      </c>
    </row>
    <row r="20" spans="1:36" x14ac:dyDescent="0.3">
      <c r="A20" s="311" t="s">
        <v>212</v>
      </c>
      <c r="B20" s="312">
        <v>45986</v>
      </c>
      <c r="C20" s="88" t="s">
        <v>60</v>
      </c>
      <c r="D20" s="313" t="s">
        <v>230</v>
      </c>
      <c r="E20" s="88" t="s">
        <v>1</v>
      </c>
      <c r="F20" s="88" t="s">
        <v>214</v>
      </c>
      <c r="G20" s="314">
        <v>1</v>
      </c>
      <c r="H20" s="89">
        <v>179</v>
      </c>
      <c r="I20" s="89">
        <v>179</v>
      </c>
      <c r="J20" s="89">
        <v>123</v>
      </c>
      <c r="K20" s="89" t="s">
        <v>215</v>
      </c>
      <c r="L20" s="315" t="s">
        <v>63</v>
      </c>
      <c r="M20" s="89">
        <v>0</v>
      </c>
      <c r="N20" s="89">
        <v>0</v>
      </c>
      <c r="O20" s="89">
        <v>6</v>
      </c>
      <c r="P20" s="89" t="s">
        <v>64</v>
      </c>
      <c r="Q20" s="89">
        <v>0</v>
      </c>
      <c r="R20" s="89">
        <v>0</v>
      </c>
      <c r="S20" s="89">
        <v>0</v>
      </c>
      <c r="T20" s="89">
        <v>0</v>
      </c>
      <c r="U20" s="89">
        <v>2</v>
      </c>
      <c r="V20" s="89">
        <v>5</v>
      </c>
      <c r="W20" s="89">
        <v>4</v>
      </c>
      <c r="X20" s="89">
        <v>0</v>
      </c>
      <c r="Y20" s="89">
        <v>0</v>
      </c>
      <c r="Z20" s="89">
        <v>11</v>
      </c>
      <c r="AA20" s="89">
        <v>0</v>
      </c>
      <c r="AB20" s="89">
        <v>0</v>
      </c>
      <c r="AC20" s="89">
        <v>3</v>
      </c>
      <c r="AD20" s="89">
        <v>5</v>
      </c>
      <c r="AE20" s="89">
        <v>9</v>
      </c>
      <c r="AF20" s="89">
        <v>17</v>
      </c>
      <c r="AG20" s="89">
        <v>0</v>
      </c>
      <c r="AH20" s="89">
        <v>0</v>
      </c>
      <c r="AI20" s="89">
        <v>123</v>
      </c>
      <c r="AJ20" s="89">
        <v>0</v>
      </c>
    </row>
    <row r="21" spans="1:36" x14ac:dyDescent="0.3">
      <c r="A21" s="311" t="s">
        <v>212</v>
      </c>
      <c r="B21" s="312">
        <v>45986</v>
      </c>
      <c r="C21" s="88" t="s">
        <v>56</v>
      </c>
      <c r="D21" s="313" t="s">
        <v>213</v>
      </c>
      <c r="E21" s="88" t="s">
        <v>1</v>
      </c>
      <c r="F21" s="88" t="s">
        <v>214</v>
      </c>
      <c r="G21" s="314">
        <v>0.91059999999999997</v>
      </c>
      <c r="H21" s="89">
        <v>179</v>
      </c>
      <c r="I21" s="89">
        <v>163</v>
      </c>
      <c r="J21" s="89">
        <v>158</v>
      </c>
      <c r="K21" s="89" t="s">
        <v>215</v>
      </c>
      <c r="L21" s="315" t="s">
        <v>57</v>
      </c>
      <c r="M21" s="89">
        <v>0</v>
      </c>
      <c r="N21" s="89">
        <v>0</v>
      </c>
      <c r="O21" s="89">
        <v>0</v>
      </c>
      <c r="P21" s="89" t="s">
        <v>58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1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0</v>
      </c>
      <c r="AF21" s="89">
        <v>4</v>
      </c>
      <c r="AG21" s="89">
        <v>44</v>
      </c>
      <c r="AH21" s="89">
        <v>0</v>
      </c>
      <c r="AI21" s="89">
        <v>114</v>
      </c>
      <c r="AJ21" s="89">
        <v>0</v>
      </c>
    </row>
    <row r="22" spans="1:36" x14ac:dyDescent="0.3">
      <c r="A22" s="311" t="s">
        <v>212</v>
      </c>
      <c r="B22" s="312">
        <v>45986</v>
      </c>
      <c r="C22" s="88" t="s">
        <v>1038</v>
      </c>
      <c r="D22" s="313" t="s">
        <v>914</v>
      </c>
      <c r="E22" s="88" t="s">
        <v>1033</v>
      </c>
      <c r="F22" s="88" t="s">
        <v>214</v>
      </c>
      <c r="G22" s="314">
        <v>1.0713999999999999</v>
      </c>
      <c r="H22" s="89">
        <v>168</v>
      </c>
      <c r="I22" s="89">
        <v>180</v>
      </c>
      <c r="J22" s="89">
        <v>180</v>
      </c>
      <c r="K22" s="89" t="s">
        <v>215</v>
      </c>
      <c r="L22" s="315" t="s">
        <v>635</v>
      </c>
      <c r="M22" s="89">
        <v>0</v>
      </c>
      <c r="N22" s="89">
        <v>0</v>
      </c>
      <c r="O22" s="89">
        <v>0</v>
      </c>
      <c r="P22" s="89" t="s">
        <v>64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1</v>
      </c>
      <c r="AD22" s="89">
        <v>179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</row>
    <row r="23" spans="1:36" x14ac:dyDescent="0.3">
      <c r="A23" s="311" t="s">
        <v>212</v>
      </c>
      <c r="B23" s="312">
        <v>45986</v>
      </c>
      <c r="C23" s="88" t="s">
        <v>1395</v>
      </c>
      <c r="D23" s="313" t="s">
        <v>729</v>
      </c>
      <c r="E23" s="88" t="s">
        <v>1393</v>
      </c>
      <c r="F23" s="88" t="s">
        <v>214</v>
      </c>
      <c r="G23" s="314">
        <v>0.63690000000000002</v>
      </c>
      <c r="H23" s="89">
        <v>168</v>
      </c>
      <c r="I23" s="89">
        <v>107</v>
      </c>
      <c r="J23" s="89">
        <v>0</v>
      </c>
      <c r="K23" s="89" t="s">
        <v>215</v>
      </c>
      <c r="L23" s="315" t="s">
        <v>175</v>
      </c>
      <c r="M23" s="89">
        <v>2</v>
      </c>
      <c r="N23" s="89">
        <v>12</v>
      </c>
      <c r="O23" s="89">
        <v>63</v>
      </c>
      <c r="P23" s="89" t="s">
        <v>917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1</v>
      </c>
      <c r="AA23" s="89">
        <v>0</v>
      </c>
      <c r="AB23" s="89">
        <v>2</v>
      </c>
      <c r="AC23" s="89">
        <v>24</v>
      </c>
      <c r="AD23" s="89">
        <v>20</v>
      </c>
      <c r="AE23" s="89">
        <v>25</v>
      </c>
      <c r="AF23" s="89">
        <v>35</v>
      </c>
      <c r="AG23" s="89">
        <v>0</v>
      </c>
      <c r="AH23" s="89">
        <v>0</v>
      </c>
      <c r="AI23" s="89">
        <v>0</v>
      </c>
      <c r="AJ23" s="89">
        <v>0</v>
      </c>
    </row>
    <row r="24" spans="1:36" x14ac:dyDescent="0.3">
      <c r="A24" s="311" t="s">
        <v>331</v>
      </c>
      <c r="B24" s="312">
        <v>45987</v>
      </c>
      <c r="C24" s="88" t="s">
        <v>1366</v>
      </c>
      <c r="D24" s="313" t="s">
        <v>1378</v>
      </c>
      <c r="E24" s="88" t="s">
        <v>1357</v>
      </c>
      <c r="F24" s="88" t="s">
        <v>214</v>
      </c>
      <c r="G24" s="314">
        <v>0.17860000000000001</v>
      </c>
      <c r="H24" s="89">
        <v>168</v>
      </c>
      <c r="I24" s="89">
        <v>30</v>
      </c>
      <c r="J24" s="89">
        <v>0</v>
      </c>
      <c r="K24" s="89" t="s">
        <v>215</v>
      </c>
      <c r="L24" s="315" t="s">
        <v>50</v>
      </c>
      <c r="M24" s="89">
        <v>0</v>
      </c>
      <c r="N24" s="89">
        <v>6</v>
      </c>
      <c r="O24" s="89">
        <v>10</v>
      </c>
      <c r="P24" s="89" t="s">
        <v>237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1</v>
      </c>
      <c r="Z24" s="89">
        <v>0</v>
      </c>
      <c r="AA24" s="89">
        <v>0</v>
      </c>
      <c r="AB24" s="89">
        <v>0</v>
      </c>
      <c r="AC24" s="89">
        <v>0</v>
      </c>
      <c r="AD24" s="89">
        <v>0</v>
      </c>
      <c r="AE24" s="89">
        <v>11</v>
      </c>
      <c r="AF24" s="89">
        <v>18</v>
      </c>
      <c r="AG24" s="89">
        <v>0</v>
      </c>
      <c r="AH24" s="89">
        <v>0</v>
      </c>
      <c r="AI24" s="89">
        <v>0</v>
      </c>
      <c r="AJ24" s="89">
        <v>0</v>
      </c>
    </row>
    <row r="25" spans="1:36" x14ac:dyDescent="0.3">
      <c r="A25" s="311" t="s">
        <v>331</v>
      </c>
      <c r="B25" s="312">
        <v>45987</v>
      </c>
      <c r="C25" s="88" t="s">
        <v>1546</v>
      </c>
      <c r="D25" s="313" t="s">
        <v>1554</v>
      </c>
      <c r="E25" s="88" t="s">
        <v>1543</v>
      </c>
      <c r="F25" s="88" t="s">
        <v>214</v>
      </c>
      <c r="G25" s="314">
        <v>0.41670000000000001</v>
      </c>
      <c r="H25" s="89">
        <v>168</v>
      </c>
      <c r="I25" s="89">
        <v>70</v>
      </c>
      <c r="J25" s="89">
        <v>0</v>
      </c>
      <c r="K25" s="89" t="s">
        <v>215</v>
      </c>
      <c r="L25" s="315" t="s">
        <v>50</v>
      </c>
      <c r="M25" s="89">
        <v>0</v>
      </c>
      <c r="N25" s="89">
        <v>7</v>
      </c>
      <c r="O25" s="89">
        <v>43</v>
      </c>
      <c r="P25" s="89" t="s">
        <v>237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  <c r="Z25" s="89">
        <v>0</v>
      </c>
      <c r="AA25" s="89">
        <v>1</v>
      </c>
      <c r="AB25" s="89">
        <v>0</v>
      </c>
      <c r="AC25" s="89">
        <v>1</v>
      </c>
      <c r="AD25" s="89">
        <v>9</v>
      </c>
      <c r="AE25" s="89">
        <v>59</v>
      </c>
      <c r="AF25" s="89">
        <v>0</v>
      </c>
      <c r="AG25" s="89">
        <v>0</v>
      </c>
      <c r="AH25" s="89">
        <v>0</v>
      </c>
      <c r="AI25" s="89">
        <v>0</v>
      </c>
      <c r="AJ25" s="89">
        <v>0</v>
      </c>
    </row>
    <row r="26" spans="1:36" x14ac:dyDescent="0.3">
      <c r="A26" s="311" t="s">
        <v>331</v>
      </c>
      <c r="B26" s="312">
        <v>45987</v>
      </c>
      <c r="C26" s="88" t="s">
        <v>1426</v>
      </c>
      <c r="D26" s="313" t="s">
        <v>1455</v>
      </c>
      <c r="E26" s="88" t="s">
        <v>1422</v>
      </c>
      <c r="F26" s="88" t="s">
        <v>214</v>
      </c>
      <c r="G26" s="314">
        <v>0.86029999999999995</v>
      </c>
      <c r="H26" s="89">
        <v>179</v>
      </c>
      <c r="I26" s="89">
        <v>154</v>
      </c>
      <c r="J26" s="89">
        <v>117</v>
      </c>
      <c r="K26" s="89" t="s">
        <v>215</v>
      </c>
      <c r="L26" s="315" t="s">
        <v>63</v>
      </c>
      <c r="M26" s="89">
        <v>0</v>
      </c>
      <c r="N26" s="89">
        <v>0</v>
      </c>
      <c r="O26" s="89">
        <v>12</v>
      </c>
      <c r="P26" s="89" t="s">
        <v>352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  <c r="Z26" s="89">
        <v>0</v>
      </c>
      <c r="AA26" s="89">
        <v>1</v>
      </c>
      <c r="AB26" s="89">
        <v>13</v>
      </c>
      <c r="AC26" s="89">
        <v>3</v>
      </c>
      <c r="AD26" s="89">
        <v>4</v>
      </c>
      <c r="AE26" s="89">
        <v>1</v>
      </c>
      <c r="AF26" s="89">
        <v>15</v>
      </c>
      <c r="AG26" s="89">
        <v>0</v>
      </c>
      <c r="AH26" s="89">
        <v>0</v>
      </c>
      <c r="AI26" s="89">
        <v>117</v>
      </c>
      <c r="AJ26" s="89">
        <v>0</v>
      </c>
    </row>
    <row r="27" spans="1:36" x14ac:dyDescent="0.3">
      <c r="A27" s="311" t="s">
        <v>331</v>
      </c>
      <c r="B27" s="312">
        <v>45987</v>
      </c>
      <c r="C27" s="88" t="s">
        <v>810</v>
      </c>
      <c r="D27" s="313" t="s">
        <v>898</v>
      </c>
      <c r="E27" s="88" t="s">
        <v>793</v>
      </c>
      <c r="F27" s="88" t="s">
        <v>214</v>
      </c>
      <c r="G27" s="314">
        <v>1</v>
      </c>
      <c r="H27" s="89">
        <v>179</v>
      </c>
      <c r="I27" s="89">
        <v>179</v>
      </c>
      <c r="J27" s="89">
        <v>126</v>
      </c>
      <c r="K27" s="89" t="s">
        <v>215</v>
      </c>
      <c r="L27" s="315" t="s">
        <v>433</v>
      </c>
      <c r="M27" s="89">
        <v>0</v>
      </c>
      <c r="N27" s="89">
        <v>0</v>
      </c>
      <c r="O27" s="89">
        <v>16</v>
      </c>
      <c r="P27" s="89" t="s">
        <v>64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4</v>
      </c>
      <c r="Z27" s="89">
        <v>5</v>
      </c>
      <c r="AA27" s="89">
        <v>10</v>
      </c>
      <c r="AB27" s="89">
        <v>0</v>
      </c>
      <c r="AC27" s="89">
        <v>7</v>
      </c>
      <c r="AD27" s="89">
        <v>8</v>
      </c>
      <c r="AE27" s="89">
        <v>10</v>
      </c>
      <c r="AF27" s="89">
        <v>9</v>
      </c>
      <c r="AG27" s="89">
        <v>0</v>
      </c>
      <c r="AH27" s="89">
        <v>0</v>
      </c>
      <c r="AI27" s="89">
        <v>126</v>
      </c>
      <c r="AJ27" s="89">
        <v>0</v>
      </c>
    </row>
    <row r="28" spans="1:36" x14ac:dyDescent="0.3">
      <c r="A28" s="311" t="s">
        <v>331</v>
      </c>
      <c r="B28" s="312">
        <v>45987</v>
      </c>
      <c r="C28" s="88" t="s">
        <v>935</v>
      </c>
      <c r="D28" s="313" t="s">
        <v>1006</v>
      </c>
      <c r="E28" s="88" t="s">
        <v>934</v>
      </c>
      <c r="F28" s="88" t="s">
        <v>214</v>
      </c>
      <c r="G28" s="314">
        <v>0.65359999999999996</v>
      </c>
      <c r="H28" s="89">
        <v>179</v>
      </c>
      <c r="I28" s="89">
        <v>117</v>
      </c>
      <c r="J28" s="89">
        <v>84</v>
      </c>
      <c r="K28" s="89" t="s">
        <v>215</v>
      </c>
      <c r="L28" s="315" t="s">
        <v>175</v>
      </c>
      <c r="M28" s="89">
        <v>3</v>
      </c>
      <c r="N28" s="89">
        <v>4</v>
      </c>
      <c r="O28" s="89">
        <v>16</v>
      </c>
      <c r="P28" s="89" t="s">
        <v>353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  <c r="Z28" s="89">
        <v>0</v>
      </c>
      <c r="AA28" s="89">
        <v>0</v>
      </c>
      <c r="AB28" s="89">
        <v>0</v>
      </c>
      <c r="AC28" s="89">
        <v>0</v>
      </c>
      <c r="AD28" s="89">
        <v>3</v>
      </c>
      <c r="AE28" s="89">
        <v>9</v>
      </c>
      <c r="AF28" s="89">
        <v>21</v>
      </c>
      <c r="AG28" s="89">
        <v>43</v>
      </c>
      <c r="AH28" s="89">
        <v>0</v>
      </c>
      <c r="AI28" s="89">
        <v>41</v>
      </c>
      <c r="AJ28" s="89">
        <v>0</v>
      </c>
    </row>
    <row r="29" spans="1:36" x14ac:dyDescent="0.3">
      <c r="A29" s="311" t="s">
        <v>331</v>
      </c>
      <c r="B29" s="312">
        <v>45987</v>
      </c>
      <c r="C29" s="88" t="s">
        <v>822</v>
      </c>
      <c r="D29" s="313" t="s">
        <v>900</v>
      </c>
      <c r="E29" s="88" t="s">
        <v>793</v>
      </c>
      <c r="F29" s="88" t="s">
        <v>214</v>
      </c>
      <c r="G29" s="314">
        <v>1</v>
      </c>
      <c r="H29" s="89">
        <v>179</v>
      </c>
      <c r="I29" s="89">
        <v>179</v>
      </c>
      <c r="J29" s="89">
        <v>129</v>
      </c>
      <c r="K29" s="89" t="s">
        <v>215</v>
      </c>
      <c r="L29" s="315" t="s">
        <v>175</v>
      </c>
      <c r="M29" s="89">
        <v>1</v>
      </c>
      <c r="N29" s="89">
        <v>2</v>
      </c>
      <c r="O29" s="89">
        <v>15</v>
      </c>
      <c r="P29" s="89" t="s">
        <v>64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9</v>
      </c>
      <c r="AA29" s="89">
        <v>15</v>
      </c>
      <c r="AB29" s="89">
        <v>0</v>
      </c>
      <c r="AC29" s="89">
        <v>7</v>
      </c>
      <c r="AD29" s="89">
        <v>6</v>
      </c>
      <c r="AE29" s="89">
        <v>7</v>
      </c>
      <c r="AF29" s="89">
        <v>6</v>
      </c>
      <c r="AG29" s="89">
        <v>0</v>
      </c>
      <c r="AH29" s="89">
        <v>0</v>
      </c>
      <c r="AI29" s="89">
        <v>129</v>
      </c>
      <c r="AJ29" s="89">
        <v>0</v>
      </c>
    </row>
    <row r="30" spans="1:36" x14ac:dyDescent="0.3">
      <c r="A30" s="311" t="s">
        <v>331</v>
      </c>
      <c r="B30" s="312">
        <v>45987</v>
      </c>
      <c r="C30" s="88" t="s">
        <v>430</v>
      </c>
      <c r="D30" s="313" t="s">
        <v>704</v>
      </c>
      <c r="E30" s="88" t="s">
        <v>403</v>
      </c>
      <c r="F30" s="88" t="s">
        <v>214</v>
      </c>
      <c r="G30" s="314">
        <v>0.71509999999999996</v>
      </c>
      <c r="H30" s="89">
        <v>179</v>
      </c>
      <c r="I30" s="89">
        <v>128</v>
      </c>
      <c r="J30" s="89">
        <v>47</v>
      </c>
      <c r="K30" s="89" t="s">
        <v>215</v>
      </c>
      <c r="L30" s="315" t="s">
        <v>175</v>
      </c>
      <c r="M30" s="89">
        <v>4</v>
      </c>
      <c r="N30" s="89">
        <v>10</v>
      </c>
      <c r="O30" s="89">
        <v>59</v>
      </c>
      <c r="P30" s="89" t="s">
        <v>353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5</v>
      </c>
      <c r="AA30" s="89">
        <v>1</v>
      </c>
      <c r="AB30" s="89">
        <v>0</v>
      </c>
      <c r="AC30" s="89">
        <v>0</v>
      </c>
      <c r="AD30" s="89">
        <v>7</v>
      </c>
      <c r="AE30" s="89">
        <v>18</v>
      </c>
      <c r="AF30" s="89">
        <v>50</v>
      </c>
      <c r="AG30" s="89">
        <v>0</v>
      </c>
      <c r="AH30" s="89">
        <v>0</v>
      </c>
      <c r="AI30" s="89">
        <v>47</v>
      </c>
      <c r="AJ30" s="89">
        <v>0</v>
      </c>
    </row>
    <row r="31" spans="1:36" x14ac:dyDescent="0.3">
      <c r="A31" s="311" t="s">
        <v>331</v>
      </c>
      <c r="B31" s="312">
        <v>45987</v>
      </c>
      <c r="C31" s="88" t="s">
        <v>1155</v>
      </c>
      <c r="D31" s="313" t="s">
        <v>1246</v>
      </c>
      <c r="E31" s="88" t="s">
        <v>1098</v>
      </c>
      <c r="F31" s="88" t="s">
        <v>214</v>
      </c>
      <c r="G31" s="314">
        <v>0.53569999999999995</v>
      </c>
      <c r="H31" s="89">
        <v>168</v>
      </c>
      <c r="I31" s="89">
        <v>90</v>
      </c>
      <c r="J31" s="89">
        <v>0</v>
      </c>
      <c r="K31" s="89" t="s">
        <v>215</v>
      </c>
      <c r="L31" s="315" t="s">
        <v>175</v>
      </c>
      <c r="M31" s="89">
        <v>2</v>
      </c>
      <c r="N31" s="89">
        <v>14</v>
      </c>
      <c r="O31" s="89">
        <v>39</v>
      </c>
      <c r="P31" s="89" t="s">
        <v>237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3</v>
      </c>
      <c r="W31" s="89">
        <v>0</v>
      </c>
      <c r="X31" s="89">
        <v>0</v>
      </c>
      <c r="Y31" s="89">
        <v>0</v>
      </c>
      <c r="Z31" s="89">
        <v>0</v>
      </c>
      <c r="AA31" s="89">
        <v>0</v>
      </c>
      <c r="AB31" s="89">
        <v>0</v>
      </c>
      <c r="AC31" s="89">
        <v>0</v>
      </c>
      <c r="AD31" s="89">
        <v>0</v>
      </c>
      <c r="AE31" s="89">
        <v>29</v>
      </c>
      <c r="AF31" s="89">
        <v>58</v>
      </c>
      <c r="AG31" s="89">
        <v>0</v>
      </c>
      <c r="AH31" s="89">
        <v>0</v>
      </c>
      <c r="AI31" s="89">
        <v>0</v>
      </c>
      <c r="AJ31" s="89">
        <v>0</v>
      </c>
    </row>
    <row r="32" spans="1:36" x14ac:dyDescent="0.3">
      <c r="A32" s="311" t="s">
        <v>331</v>
      </c>
      <c r="B32" s="312">
        <v>45987</v>
      </c>
      <c r="C32" s="88" t="s">
        <v>1269</v>
      </c>
      <c r="D32" s="313" t="s">
        <v>1280</v>
      </c>
      <c r="E32" s="88" t="s">
        <v>1263</v>
      </c>
      <c r="F32" s="88" t="s">
        <v>214</v>
      </c>
      <c r="G32" s="314">
        <v>0.49399999999999999</v>
      </c>
      <c r="H32" s="89">
        <v>168</v>
      </c>
      <c r="I32" s="89">
        <v>83</v>
      </c>
      <c r="J32" s="89">
        <v>0</v>
      </c>
      <c r="K32" s="89" t="s">
        <v>215</v>
      </c>
      <c r="L32" s="315" t="s">
        <v>175</v>
      </c>
      <c r="M32" s="89">
        <v>2</v>
      </c>
      <c r="N32" s="89">
        <v>4</v>
      </c>
      <c r="O32" s="89">
        <v>37</v>
      </c>
      <c r="P32" s="89" t="s">
        <v>237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  <c r="Z32" s="89">
        <v>5</v>
      </c>
      <c r="AA32" s="89">
        <v>4</v>
      </c>
      <c r="AB32" s="89">
        <v>1</v>
      </c>
      <c r="AC32" s="89">
        <v>0</v>
      </c>
      <c r="AD32" s="89">
        <v>4</v>
      </c>
      <c r="AE32" s="89">
        <v>57</v>
      </c>
      <c r="AF32" s="89">
        <v>12</v>
      </c>
      <c r="AG32" s="89">
        <v>0</v>
      </c>
      <c r="AH32" s="89">
        <v>0</v>
      </c>
      <c r="AI32" s="89">
        <v>0</v>
      </c>
      <c r="AJ32" s="89">
        <v>0</v>
      </c>
    </row>
    <row r="33" spans="1:36" x14ac:dyDescent="0.3">
      <c r="A33" s="311" t="s">
        <v>331</v>
      </c>
      <c r="B33" s="312">
        <v>45987</v>
      </c>
      <c r="C33" s="88" t="s">
        <v>1122</v>
      </c>
      <c r="D33" s="313" t="s">
        <v>1249</v>
      </c>
      <c r="E33" s="88" t="s">
        <v>1098</v>
      </c>
      <c r="F33" s="88" t="s">
        <v>214</v>
      </c>
      <c r="G33" s="314">
        <v>0.44640000000000002</v>
      </c>
      <c r="H33" s="89">
        <v>168</v>
      </c>
      <c r="I33" s="89">
        <v>75</v>
      </c>
      <c r="J33" s="89">
        <v>0</v>
      </c>
      <c r="K33" s="89" t="s">
        <v>215</v>
      </c>
      <c r="L33" s="315" t="s">
        <v>175</v>
      </c>
      <c r="M33" s="89">
        <v>8</v>
      </c>
      <c r="N33" s="89">
        <v>15</v>
      </c>
      <c r="O33" s="89">
        <v>53</v>
      </c>
      <c r="P33" s="89" t="s">
        <v>237</v>
      </c>
      <c r="Q33" s="89">
        <v>0</v>
      </c>
      <c r="R33" s="89">
        <v>0</v>
      </c>
      <c r="S33" s="89">
        <v>0</v>
      </c>
      <c r="T33" s="89">
        <v>0</v>
      </c>
      <c r="U33" s="89">
        <v>2</v>
      </c>
      <c r="V33" s="89">
        <v>1</v>
      </c>
      <c r="W33" s="89">
        <v>0</v>
      </c>
      <c r="X33" s="89">
        <v>0</v>
      </c>
      <c r="Y33" s="89">
        <v>0</v>
      </c>
      <c r="Z33" s="89">
        <v>1</v>
      </c>
      <c r="AA33" s="89">
        <v>1</v>
      </c>
      <c r="AB33" s="89">
        <v>0</v>
      </c>
      <c r="AC33" s="89">
        <v>0</v>
      </c>
      <c r="AD33" s="89">
        <v>0</v>
      </c>
      <c r="AE33" s="89">
        <v>0</v>
      </c>
      <c r="AF33" s="89">
        <v>70</v>
      </c>
      <c r="AG33" s="89">
        <v>0</v>
      </c>
      <c r="AH33" s="89">
        <v>0</v>
      </c>
      <c r="AI33" s="89">
        <v>0</v>
      </c>
      <c r="AJ33" s="89">
        <v>0</v>
      </c>
    </row>
    <row r="34" spans="1:36" x14ac:dyDescent="0.3">
      <c r="A34" s="311" t="s">
        <v>331</v>
      </c>
      <c r="B34" s="312">
        <v>45987</v>
      </c>
      <c r="C34" s="88" t="s">
        <v>819</v>
      </c>
      <c r="D34" s="313" t="s">
        <v>896</v>
      </c>
      <c r="E34" s="88" t="s">
        <v>793</v>
      </c>
      <c r="F34" s="88" t="s">
        <v>214</v>
      </c>
      <c r="G34" s="314">
        <v>0.97209999999999996</v>
      </c>
      <c r="H34" s="89">
        <v>179</v>
      </c>
      <c r="I34" s="89">
        <v>174</v>
      </c>
      <c r="J34" s="89">
        <v>159</v>
      </c>
      <c r="K34" s="89" t="s">
        <v>215</v>
      </c>
      <c r="L34" s="315" t="s">
        <v>63</v>
      </c>
      <c r="M34" s="89">
        <v>0</v>
      </c>
      <c r="N34" s="89">
        <v>0</v>
      </c>
      <c r="O34" s="89">
        <v>11</v>
      </c>
      <c r="P34" s="89" t="s">
        <v>232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0</v>
      </c>
      <c r="X34" s="89">
        <v>5</v>
      </c>
      <c r="Y34" s="89">
        <v>5</v>
      </c>
      <c r="Z34" s="89">
        <v>3</v>
      </c>
      <c r="AA34" s="89">
        <v>0</v>
      </c>
      <c r="AB34" s="89">
        <v>0</v>
      </c>
      <c r="AC34" s="89">
        <v>2</v>
      </c>
      <c r="AD34" s="89">
        <v>0</v>
      </c>
      <c r="AE34" s="89">
        <v>0</v>
      </c>
      <c r="AF34" s="89">
        <v>0</v>
      </c>
      <c r="AG34" s="89">
        <v>0</v>
      </c>
      <c r="AH34" s="89">
        <v>0</v>
      </c>
      <c r="AI34" s="89">
        <v>159</v>
      </c>
      <c r="AJ34" s="89">
        <v>0</v>
      </c>
    </row>
    <row r="35" spans="1:36" x14ac:dyDescent="0.3">
      <c r="A35" s="311" t="s">
        <v>331</v>
      </c>
      <c r="B35" s="312">
        <v>45987</v>
      </c>
      <c r="C35" s="88" t="s">
        <v>417</v>
      </c>
      <c r="D35" s="313" t="s">
        <v>702</v>
      </c>
      <c r="E35" s="88" t="s">
        <v>403</v>
      </c>
      <c r="F35" s="88" t="s">
        <v>214</v>
      </c>
      <c r="G35" s="314">
        <v>0.4078</v>
      </c>
      <c r="H35" s="89">
        <v>179</v>
      </c>
      <c r="I35" s="89">
        <v>73</v>
      </c>
      <c r="J35" s="89">
        <v>0</v>
      </c>
      <c r="K35" s="89" t="s">
        <v>215</v>
      </c>
      <c r="L35" s="315" t="s">
        <v>175</v>
      </c>
      <c r="M35" s="89">
        <v>5</v>
      </c>
      <c r="N35" s="89">
        <v>3</v>
      </c>
      <c r="O35" s="89">
        <v>51</v>
      </c>
      <c r="P35" s="89" t="s">
        <v>353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0</v>
      </c>
      <c r="X35" s="89">
        <v>0</v>
      </c>
      <c r="Y35" s="89">
        <v>0</v>
      </c>
      <c r="Z35" s="89">
        <v>0</v>
      </c>
      <c r="AA35" s="89">
        <v>0</v>
      </c>
      <c r="AB35" s="89">
        <v>0</v>
      </c>
      <c r="AC35" s="89">
        <v>0</v>
      </c>
      <c r="AD35" s="89">
        <v>2</v>
      </c>
      <c r="AE35" s="89">
        <v>21</v>
      </c>
      <c r="AF35" s="89">
        <v>50</v>
      </c>
      <c r="AG35" s="89">
        <v>0</v>
      </c>
      <c r="AH35" s="89">
        <v>0</v>
      </c>
      <c r="AI35" s="89">
        <v>0</v>
      </c>
      <c r="AJ35" s="89">
        <v>0</v>
      </c>
    </row>
    <row r="36" spans="1:36" x14ac:dyDescent="0.3">
      <c r="A36" s="311" t="s">
        <v>331</v>
      </c>
      <c r="B36" s="312">
        <v>45987</v>
      </c>
      <c r="C36" s="88" t="s">
        <v>427</v>
      </c>
      <c r="D36" s="313" t="s">
        <v>691</v>
      </c>
      <c r="E36" s="88" t="s">
        <v>403</v>
      </c>
      <c r="F36" s="88" t="s">
        <v>214</v>
      </c>
      <c r="G36" s="314">
        <v>0.63129999999999997</v>
      </c>
      <c r="H36" s="89">
        <v>179</v>
      </c>
      <c r="I36" s="89">
        <v>113</v>
      </c>
      <c r="J36" s="89">
        <v>45</v>
      </c>
      <c r="K36" s="89" t="s">
        <v>215</v>
      </c>
      <c r="L36" s="315" t="s">
        <v>175</v>
      </c>
      <c r="M36" s="89">
        <v>4</v>
      </c>
      <c r="N36" s="89">
        <v>0</v>
      </c>
      <c r="O36" s="89">
        <v>27</v>
      </c>
      <c r="P36" s="89" t="s">
        <v>237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0</v>
      </c>
      <c r="Z36" s="89">
        <v>2</v>
      </c>
      <c r="AA36" s="89">
        <v>0</v>
      </c>
      <c r="AB36" s="89">
        <v>0</v>
      </c>
      <c r="AC36" s="89">
        <v>0</v>
      </c>
      <c r="AD36" s="89">
        <v>17</v>
      </c>
      <c r="AE36" s="89">
        <v>22</v>
      </c>
      <c r="AF36" s="89">
        <v>25</v>
      </c>
      <c r="AG36" s="89">
        <v>0</v>
      </c>
      <c r="AH36" s="89">
        <v>0</v>
      </c>
      <c r="AI36" s="89">
        <v>45</v>
      </c>
      <c r="AJ36" s="89">
        <v>2</v>
      </c>
    </row>
    <row r="37" spans="1:36" x14ac:dyDescent="0.3">
      <c r="A37" s="311" t="s">
        <v>331</v>
      </c>
      <c r="B37" s="312">
        <v>45987</v>
      </c>
      <c r="C37" s="88" t="s">
        <v>298</v>
      </c>
      <c r="D37" s="313" t="s">
        <v>332</v>
      </c>
      <c r="E37" s="88" t="s">
        <v>295</v>
      </c>
      <c r="F37" s="88" t="s">
        <v>214</v>
      </c>
      <c r="G37" s="314">
        <v>0.94410000000000005</v>
      </c>
      <c r="H37" s="89">
        <v>179</v>
      </c>
      <c r="I37" s="89">
        <v>169</v>
      </c>
      <c r="J37" s="89">
        <v>135</v>
      </c>
      <c r="K37" s="89" t="s">
        <v>215</v>
      </c>
      <c r="L37" s="315" t="s">
        <v>50</v>
      </c>
      <c r="M37" s="89">
        <v>0</v>
      </c>
      <c r="N37" s="89">
        <v>2</v>
      </c>
      <c r="O37" s="89">
        <v>2</v>
      </c>
      <c r="P37" s="89" t="s">
        <v>302</v>
      </c>
      <c r="Q37" s="89">
        <v>0</v>
      </c>
      <c r="R37" s="89">
        <v>0</v>
      </c>
      <c r="S37" s="89">
        <v>0</v>
      </c>
      <c r="T37" s="89">
        <v>0</v>
      </c>
      <c r="U37" s="89">
        <v>3</v>
      </c>
      <c r="V37" s="89">
        <v>0</v>
      </c>
      <c r="W37" s="89">
        <v>0</v>
      </c>
      <c r="X37" s="89">
        <v>0</v>
      </c>
      <c r="Y37" s="89">
        <v>0</v>
      </c>
      <c r="Z37" s="89">
        <v>2</v>
      </c>
      <c r="AA37" s="89">
        <v>0</v>
      </c>
      <c r="AB37" s="89">
        <v>0</v>
      </c>
      <c r="AC37" s="89">
        <v>7</v>
      </c>
      <c r="AD37" s="89">
        <v>8</v>
      </c>
      <c r="AE37" s="89">
        <v>8</v>
      </c>
      <c r="AF37" s="89">
        <v>6</v>
      </c>
      <c r="AG37" s="89">
        <v>0</v>
      </c>
      <c r="AH37" s="89">
        <v>0</v>
      </c>
      <c r="AI37" s="89">
        <v>135</v>
      </c>
      <c r="AJ37" s="89">
        <v>0</v>
      </c>
    </row>
    <row r="38" spans="1:36" x14ac:dyDescent="0.3">
      <c r="A38" s="311" t="s">
        <v>331</v>
      </c>
      <c r="B38" s="312">
        <v>45987</v>
      </c>
      <c r="C38" s="88" t="s">
        <v>361</v>
      </c>
      <c r="D38" s="313" t="s">
        <v>381</v>
      </c>
      <c r="E38" s="88" t="s">
        <v>358</v>
      </c>
      <c r="F38" s="88" t="s">
        <v>214</v>
      </c>
      <c r="G38" s="314">
        <v>0.77380000000000004</v>
      </c>
      <c r="H38" s="89">
        <v>168</v>
      </c>
      <c r="I38" s="89">
        <v>130</v>
      </c>
      <c r="J38" s="89">
        <v>50</v>
      </c>
      <c r="K38" s="89" t="s">
        <v>215</v>
      </c>
      <c r="L38" s="315" t="s">
        <v>175</v>
      </c>
      <c r="M38" s="89">
        <v>1</v>
      </c>
      <c r="N38" s="89">
        <v>15</v>
      </c>
      <c r="O38" s="89">
        <v>36</v>
      </c>
      <c r="P38" s="89" t="s">
        <v>245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12</v>
      </c>
      <c r="AA38" s="89">
        <v>0</v>
      </c>
      <c r="AB38" s="89">
        <v>0</v>
      </c>
      <c r="AC38" s="89">
        <v>4</v>
      </c>
      <c r="AD38" s="89">
        <v>14</v>
      </c>
      <c r="AE38" s="89">
        <v>25</v>
      </c>
      <c r="AF38" s="89">
        <v>25</v>
      </c>
      <c r="AG38" s="89">
        <v>0</v>
      </c>
      <c r="AH38" s="89">
        <v>0</v>
      </c>
      <c r="AI38" s="89">
        <v>50</v>
      </c>
      <c r="AJ38" s="89">
        <v>0</v>
      </c>
    </row>
    <row r="39" spans="1:36" x14ac:dyDescent="0.3">
      <c r="A39" s="311" t="s">
        <v>331</v>
      </c>
      <c r="B39" s="312">
        <v>45987</v>
      </c>
      <c r="C39" s="88" t="s">
        <v>949</v>
      </c>
      <c r="D39" s="313" t="s">
        <v>717</v>
      </c>
      <c r="E39" s="88" t="s">
        <v>934</v>
      </c>
      <c r="F39" s="88" t="s">
        <v>214</v>
      </c>
      <c r="G39" s="314">
        <v>0.86899999999999999</v>
      </c>
      <c r="H39" s="89">
        <v>168</v>
      </c>
      <c r="I39" s="89">
        <v>146</v>
      </c>
      <c r="J39" s="89">
        <v>108</v>
      </c>
      <c r="K39" s="89" t="s">
        <v>215</v>
      </c>
      <c r="L39" s="315" t="s">
        <v>175</v>
      </c>
      <c r="M39" s="89">
        <v>4</v>
      </c>
      <c r="N39" s="89">
        <v>2</v>
      </c>
      <c r="O39" s="89">
        <v>20</v>
      </c>
      <c r="P39" s="89" t="s">
        <v>353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0</v>
      </c>
      <c r="AB39" s="89">
        <v>0</v>
      </c>
      <c r="AC39" s="89">
        <v>0</v>
      </c>
      <c r="AD39" s="89">
        <v>7</v>
      </c>
      <c r="AE39" s="89">
        <v>11</v>
      </c>
      <c r="AF39" s="89">
        <v>20</v>
      </c>
      <c r="AG39" s="89">
        <v>30</v>
      </c>
      <c r="AH39" s="89">
        <v>0</v>
      </c>
      <c r="AI39" s="89">
        <v>78</v>
      </c>
      <c r="AJ39" s="89">
        <v>0</v>
      </c>
    </row>
    <row r="40" spans="1:36" x14ac:dyDescent="0.3">
      <c r="A40" s="311" t="s">
        <v>240</v>
      </c>
      <c r="B40" s="312">
        <v>45988</v>
      </c>
      <c r="C40" s="88" t="s">
        <v>1366</v>
      </c>
      <c r="D40" s="313" t="s">
        <v>1378</v>
      </c>
      <c r="E40" s="88" t="s">
        <v>1357</v>
      </c>
      <c r="F40" s="88" t="s">
        <v>214</v>
      </c>
      <c r="G40" s="314">
        <v>0.30359999999999998</v>
      </c>
      <c r="H40" s="89">
        <v>168</v>
      </c>
      <c r="I40" s="89">
        <v>51</v>
      </c>
      <c r="J40" s="89">
        <v>0</v>
      </c>
      <c r="K40" s="89" t="s">
        <v>215</v>
      </c>
      <c r="L40" s="315" t="s">
        <v>175</v>
      </c>
      <c r="M40" s="89">
        <v>1</v>
      </c>
      <c r="N40" s="89">
        <v>1</v>
      </c>
      <c r="O40" s="89">
        <v>15</v>
      </c>
      <c r="P40" s="89" t="s">
        <v>237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0</v>
      </c>
      <c r="AC40" s="89">
        <v>1</v>
      </c>
      <c r="AD40" s="89">
        <v>3</v>
      </c>
      <c r="AE40" s="89">
        <v>29</v>
      </c>
      <c r="AF40" s="89">
        <v>18</v>
      </c>
      <c r="AG40" s="89">
        <v>0</v>
      </c>
      <c r="AH40" s="89">
        <v>0</v>
      </c>
      <c r="AI40" s="89">
        <v>0</v>
      </c>
      <c r="AJ40" s="89">
        <v>0</v>
      </c>
    </row>
    <row r="41" spans="1:36" x14ac:dyDescent="0.3">
      <c r="A41" s="311" t="s">
        <v>240</v>
      </c>
      <c r="B41" s="312">
        <v>45988</v>
      </c>
      <c r="C41" s="88" t="s">
        <v>954</v>
      </c>
      <c r="D41" s="313" t="s">
        <v>751</v>
      </c>
      <c r="E41" s="88" t="s">
        <v>934</v>
      </c>
      <c r="F41" s="88" t="s">
        <v>214</v>
      </c>
      <c r="G41" s="314">
        <v>0.14879999999999999</v>
      </c>
      <c r="H41" s="89">
        <v>168</v>
      </c>
      <c r="I41" s="89">
        <v>25</v>
      </c>
      <c r="J41" s="89">
        <v>0</v>
      </c>
      <c r="K41" s="89" t="s">
        <v>215</v>
      </c>
      <c r="L41" s="315" t="s">
        <v>50</v>
      </c>
      <c r="M41" s="89">
        <v>0</v>
      </c>
      <c r="N41" s="89">
        <v>3</v>
      </c>
      <c r="O41" s="89">
        <v>7</v>
      </c>
      <c r="P41" s="89" t="s">
        <v>353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89">
        <v>0</v>
      </c>
      <c r="Y41" s="89">
        <v>0</v>
      </c>
      <c r="Z41" s="89">
        <v>1</v>
      </c>
      <c r="AA41" s="89">
        <v>0</v>
      </c>
      <c r="AB41" s="89">
        <v>0</v>
      </c>
      <c r="AC41" s="89">
        <v>0</v>
      </c>
      <c r="AD41" s="89">
        <v>6</v>
      </c>
      <c r="AE41" s="89">
        <v>2</v>
      </c>
      <c r="AF41" s="89">
        <v>16</v>
      </c>
      <c r="AG41" s="89">
        <v>0</v>
      </c>
      <c r="AH41" s="89">
        <v>0</v>
      </c>
      <c r="AI41" s="89">
        <v>0</v>
      </c>
      <c r="AJ41" s="89">
        <v>0</v>
      </c>
    </row>
    <row r="42" spans="1:36" x14ac:dyDescent="0.3">
      <c r="A42" s="311" t="s">
        <v>240</v>
      </c>
      <c r="B42" s="312">
        <v>45988</v>
      </c>
      <c r="C42" s="88" t="s">
        <v>423</v>
      </c>
      <c r="D42" s="313" t="s">
        <v>213</v>
      </c>
      <c r="E42" s="88" t="s">
        <v>403</v>
      </c>
      <c r="F42" s="88" t="s">
        <v>214</v>
      </c>
      <c r="G42" s="314">
        <v>0.48039999999999999</v>
      </c>
      <c r="H42" s="89">
        <v>179</v>
      </c>
      <c r="I42" s="89">
        <v>86</v>
      </c>
      <c r="J42" s="89">
        <v>84</v>
      </c>
      <c r="K42" s="89" t="s">
        <v>215</v>
      </c>
      <c r="L42" s="315" t="s">
        <v>63</v>
      </c>
      <c r="M42" s="89">
        <v>0</v>
      </c>
      <c r="N42" s="89">
        <v>0</v>
      </c>
      <c r="O42" s="89">
        <v>2</v>
      </c>
      <c r="P42" s="89" t="s">
        <v>237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0</v>
      </c>
      <c r="X42" s="89">
        <v>0</v>
      </c>
      <c r="Y42" s="89">
        <v>0</v>
      </c>
      <c r="Z42" s="89">
        <v>0</v>
      </c>
      <c r="AA42" s="89">
        <v>0</v>
      </c>
      <c r="AB42" s="89">
        <v>0</v>
      </c>
      <c r="AC42" s="89">
        <v>1</v>
      </c>
      <c r="AD42" s="89">
        <v>1</v>
      </c>
      <c r="AE42" s="89">
        <v>0</v>
      </c>
      <c r="AF42" s="89">
        <v>0</v>
      </c>
      <c r="AG42" s="89">
        <v>0</v>
      </c>
      <c r="AH42" s="89">
        <v>0</v>
      </c>
      <c r="AI42" s="89">
        <v>84</v>
      </c>
      <c r="AJ42" s="89">
        <v>0</v>
      </c>
    </row>
    <row r="43" spans="1:36" x14ac:dyDescent="0.3">
      <c r="A43" s="311" t="s">
        <v>240</v>
      </c>
      <c r="B43" s="312">
        <v>45988</v>
      </c>
      <c r="C43" s="88" t="s">
        <v>1525</v>
      </c>
      <c r="D43" s="313" t="s">
        <v>1536</v>
      </c>
      <c r="E43" s="88" t="s">
        <v>1516</v>
      </c>
      <c r="F43" s="88" t="s">
        <v>214</v>
      </c>
      <c r="G43" s="314">
        <v>0.35120000000000001</v>
      </c>
      <c r="H43" s="89">
        <v>168</v>
      </c>
      <c r="I43" s="89">
        <v>59</v>
      </c>
      <c r="J43" s="89">
        <v>0</v>
      </c>
      <c r="K43" s="89" t="s">
        <v>215</v>
      </c>
      <c r="L43" s="315" t="s">
        <v>175</v>
      </c>
      <c r="M43" s="89">
        <v>2</v>
      </c>
      <c r="N43" s="89">
        <v>2</v>
      </c>
      <c r="O43" s="89">
        <v>25</v>
      </c>
      <c r="P43" s="89" t="s">
        <v>237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  <c r="Z43" s="89">
        <v>1</v>
      </c>
      <c r="AA43" s="89">
        <v>2</v>
      </c>
      <c r="AB43" s="89">
        <v>0</v>
      </c>
      <c r="AC43" s="89">
        <v>0</v>
      </c>
      <c r="AD43" s="89">
        <v>0</v>
      </c>
      <c r="AE43" s="89">
        <v>10</v>
      </c>
      <c r="AF43" s="89">
        <v>46</v>
      </c>
      <c r="AG43" s="89">
        <v>0</v>
      </c>
      <c r="AH43" s="89">
        <v>0</v>
      </c>
      <c r="AI43" s="89">
        <v>0</v>
      </c>
      <c r="AJ43" s="89">
        <v>0</v>
      </c>
    </row>
    <row r="44" spans="1:36" x14ac:dyDescent="0.3">
      <c r="A44" s="311" t="s">
        <v>240</v>
      </c>
      <c r="B44" s="312">
        <v>45988</v>
      </c>
      <c r="C44" s="88" t="s">
        <v>524</v>
      </c>
      <c r="D44" s="313" t="s">
        <v>718</v>
      </c>
      <c r="E44" s="88" t="s">
        <v>403</v>
      </c>
      <c r="F44" s="88" t="s">
        <v>214</v>
      </c>
      <c r="G44" s="314">
        <v>0.27929999999999999</v>
      </c>
      <c r="H44" s="89">
        <v>179</v>
      </c>
      <c r="I44" s="89">
        <v>50</v>
      </c>
      <c r="J44" s="89">
        <v>0</v>
      </c>
      <c r="K44" s="89" t="s">
        <v>215</v>
      </c>
      <c r="L44" s="315" t="s">
        <v>175</v>
      </c>
      <c r="M44" s="89">
        <v>5</v>
      </c>
      <c r="N44" s="89">
        <v>4</v>
      </c>
      <c r="O44" s="89">
        <v>29</v>
      </c>
      <c r="P44" s="89" t="s">
        <v>353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  <c r="Z44" s="89">
        <v>1</v>
      </c>
      <c r="AA44" s="89">
        <v>0</v>
      </c>
      <c r="AB44" s="89">
        <v>0</v>
      </c>
      <c r="AC44" s="89">
        <v>0</v>
      </c>
      <c r="AD44" s="89">
        <v>0</v>
      </c>
      <c r="AE44" s="89">
        <v>6</v>
      </c>
      <c r="AF44" s="89">
        <v>43</v>
      </c>
      <c r="AG44" s="89">
        <v>0</v>
      </c>
      <c r="AH44" s="89">
        <v>0</v>
      </c>
      <c r="AI44" s="89">
        <v>0</v>
      </c>
      <c r="AJ44" s="89">
        <v>0</v>
      </c>
    </row>
    <row r="45" spans="1:36" x14ac:dyDescent="0.3">
      <c r="A45" s="311" t="s">
        <v>240</v>
      </c>
      <c r="B45" s="312">
        <v>45988</v>
      </c>
      <c r="C45" s="88" t="s">
        <v>1295</v>
      </c>
      <c r="D45" s="313" t="s">
        <v>1249</v>
      </c>
      <c r="E45" s="88" t="s">
        <v>1288</v>
      </c>
      <c r="F45" s="88" t="s">
        <v>214</v>
      </c>
      <c r="G45" s="314">
        <v>0.23810000000000001</v>
      </c>
      <c r="H45" s="89">
        <v>168</v>
      </c>
      <c r="I45" s="89">
        <v>40</v>
      </c>
      <c r="J45" s="89">
        <v>0</v>
      </c>
      <c r="K45" s="89" t="s">
        <v>215</v>
      </c>
      <c r="L45" s="315" t="s">
        <v>50</v>
      </c>
      <c r="M45" s="89">
        <v>0</v>
      </c>
      <c r="N45" s="89">
        <v>5</v>
      </c>
      <c r="O45" s="89">
        <v>15</v>
      </c>
      <c r="P45" s="89" t="s">
        <v>353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1</v>
      </c>
      <c r="Y45" s="89">
        <v>0</v>
      </c>
      <c r="Z45" s="89">
        <v>2</v>
      </c>
      <c r="AA45" s="89">
        <v>4</v>
      </c>
      <c r="AB45" s="89">
        <v>0</v>
      </c>
      <c r="AC45" s="89">
        <v>1</v>
      </c>
      <c r="AD45" s="89">
        <v>4</v>
      </c>
      <c r="AE45" s="89">
        <v>1</v>
      </c>
      <c r="AF45" s="89">
        <v>27</v>
      </c>
      <c r="AG45" s="89">
        <v>0</v>
      </c>
      <c r="AH45" s="89">
        <v>0</v>
      </c>
      <c r="AI45" s="89">
        <v>0</v>
      </c>
      <c r="AJ45" s="89">
        <v>0</v>
      </c>
    </row>
    <row r="46" spans="1:36" x14ac:dyDescent="0.3">
      <c r="A46" s="311" t="s">
        <v>240</v>
      </c>
      <c r="B46" s="312">
        <v>45988</v>
      </c>
      <c r="C46" s="88" t="s">
        <v>1426</v>
      </c>
      <c r="D46" s="313" t="s">
        <v>1457</v>
      </c>
      <c r="E46" s="88" t="s">
        <v>1422</v>
      </c>
      <c r="F46" s="88" t="s">
        <v>214</v>
      </c>
      <c r="G46" s="314">
        <v>0.95530000000000004</v>
      </c>
      <c r="H46" s="89">
        <v>179</v>
      </c>
      <c r="I46" s="89">
        <v>171</v>
      </c>
      <c r="J46" s="89">
        <v>137</v>
      </c>
      <c r="K46" s="89" t="s">
        <v>215</v>
      </c>
      <c r="L46" s="315" t="s">
        <v>50</v>
      </c>
      <c r="M46" s="89">
        <v>0</v>
      </c>
      <c r="N46" s="89">
        <v>2</v>
      </c>
      <c r="O46" s="89">
        <v>4</v>
      </c>
      <c r="P46" s="89" t="s">
        <v>1432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3</v>
      </c>
      <c r="W46" s="89">
        <v>3</v>
      </c>
      <c r="X46" s="89">
        <v>0</v>
      </c>
      <c r="Y46" s="89">
        <v>0</v>
      </c>
      <c r="Z46" s="89">
        <v>0</v>
      </c>
      <c r="AA46" s="89">
        <v>6</v>
      </c>
      <c r="AB46" s="89">
        <v>1</v>
      </c>
      <c r="AC46" s="89">
        <v>21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137</v>
      </c>
      <c r="AJ46" s="89">
        <v>0</v>
      </c>
    </row>
    <row r="47" spans="1:36" x14ac:dyDescent="0.3">
      <c r="A47" s="311" t="s">
        <v>240</v>
      </c>
      <c r="B47" s="312">
        <v>45988</v>
      </c>
      <c r="C47" s="88" t="s">
        <v>1485</v>
      </c>
      <c r="D47" s="313" t="s">
        <v>792</v>
      </c>
      <c r="E47" s="88" t="s">
        <v>1478</v>
      </c>
      <c r="F47" s="88" t="s">
        <v>214</v>
      </c>
      <c r="G47" s="314">
        <v>0.45240000000000002</v>
      </c>
      <c r="H47" s="89">
        <v>168</v>
      </c>
      <c r="I47" s="89">
        <v>76</v>
      </c>
      <c r="J47" s="89">
        <v>0</v>
      </c>
      <c r="K47" s="89" t="s">
        <v>215</v>
      </c>
      <c r="L47" s="315" t="s">
        <v>175</v>
      </c>
      <c r="M47" s="89">
        <v>11</v>
      </c>
      <c r="N47" s="89">
        <v>6</v>
      </c>
      <c r="O47" s="89">
        <v>53</v>
      </c>
      <c r="P47" s="89" t="s">
        <v>387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3</v>
      </c>
      <c r="AA47" s="89">
        <v>4</v>
      </c>
      <c r="AB47" s="89">
        <v>6</v>
      </c>
      <c r="AC47" s="89">
        <v>62</v>
      </c>
      <c r="AD47" s="89">
        <v>0</v>
      </c>
      <c r="AE47" s="89">
        <v>1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</row>
    <row r="48" spans="1:36" x14ac:dyDescent="0.3">
      <c r="A48" s="311" t="s">
        <v>240</v>
      </c>
      <c r="B48" s="312">
        <v>45988</v>
      </c>
      <c r="C48" s="88" t="s">
        <v>518</v>
      </c>
      <c r="D48" s="313" t="s">
        <v>714</v>
      </c>
      <c r="E48" s="88" t="s">
        <v>403</v>
      </c>
      <c r="F48" s="88" t="s">
        <v>214</v>
      </c>
      <c r="G48" s="314">
        <v>0.32400000000000001</v>
      </c>
      <c r="H48" s="89">
        <v>179</v>
      </c>
      <c r="I48" s="89">
        <v>58</v>
      </c>
      <c r="J48" s="89">
        <v>29</v>
      </c>
      <c r="K48" s="89" t="s">
        <v>215</v>
      </c>
      <c r="L48" s="315" t="s">
        <v>175</v>
      </c>
      <c r="M48" s="89">
        <v>1</v>
      </c>
      <c r="N48" s="89">
        <v>5</v>
      </c>
      <c r="O48" s="89">
        <v>22</v>
      </c>
      <c r="P48" s="89" t="s">
        <v>353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29</v>
      </c>
      <c r="AG48" s="89">
        <v>28</v>
      </c>
      <c r="AH48" s="89">
        <v>0</v>
      </c>
      <c r="AI48" s="89">
        <v>0</v>
      </c>
      <c r="AJ48" s="89">
        <v>1</v>
      </c>
    </row>
    <row r="49" spans="1:36" x14ac:dyDescent="0.3">
      <c r="A49" s="311" t="s">
        <v>240</v>
      </c>
      <c r="B49" s="312">
        <v>45988</v>
      </c>
      <c r="C49" s="88" t="s">
        <v>810</v>
      </c>
      <c r="D49" s="313" t="s">
        <v>791</v>
      </c>
      <c r="E49" s="88" t="s">
        <v>793</v>
      </c>
      <c r="F49" s="88" t="s">
        <v>214</v>
      </c>
      <c r="G49" s="314">
        <v>0.97770000000000001</v>
      </c>
      <c r="H49" s="89">
        <v>179</v>
      </c>
      <c r="I49" s="89">
        <v>175</v>
      </c>
      <c r="J49" s="89">
        <v>171</v>
      </c>
      <c r="K49" s="89" t="s">
        <v>215</v>
      </c>
      <c r="L49" s="315" t="s">
        <v>50</v>
      </c>
      <c r="M49" s="89">
        <v>0</v>
      </c>
      <c r="N49" s="89">
        <v>2</v>
      </c>
      <c r="O49" s="89">
        <v>2</v>
      </c>
      <c r="P49" s="89" t="s">
        <v>256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2</v>
      </c>
      <c r="Y49" s="89">
        <v>0</v>
      </c>
      <c r="Z49" s="89">
        <v>1</v>
      </c>
      <c r="AA49" s="89">
        <v>0</v>
      </c>
      <c r="AB49" s="89">
        <v>0</v>
      </c>
      <c r="AC49" s="89">
        <v>1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171</v>
      </c>
      <c r="AJ49" s="89">
        <v>0</v>
      </c>
    </row>
    <row r="50" spans="1:36" x14ac:dyDescent="0.3">
      <c r="A50" s="311" t="s">
        <v>240</v>
      </c>
      <c r="B50" s="312">
        <v>45988</v>
      </c>
      <c r="C50" s="88" t="s">
        <v>935</v>
      </c>
      <c r="D50" s="313" t="s">
        <v>913</v>
      </c>
      <c r="E50" s="88" t="s">
        <v>934</v>
      </c>
      <c r="F50" s="88" t="s">
        <v>214</v>
      </c>
      <c r="G50" s="314">
        <v>0.6845</v>
      </c>
      <c r="H50" s="89">
        <v>168</v>
      </c>
      <c r="I50" s="89">
        <v>115</v>
      </c>
      <c r="J50" s="89">
        <v>96</v>
      </c>
      <c r="K50" s="89" t="s">
        <v>215</v>
      </c>
      <c r="L50" s="315" t="s">
        <v>175</v>
      </c>
      <c r="M50" s="89">
        <v>1</v>
      </c>
      <c r="N50" s="89">
        <v>0</v>
      </c>
      <c r="O50" s="89">
        <v>12</v>
      </c>
      <c r="P50" s="89" t="s">
        <v>353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9">
        <v>0</v>
      </c>
      <c r="Y50" s="89">
        <v>0</v>
      </c>
      <c r="Z50" s="89">
        <v>0</v>
      </c>
      <c r="AA50" s="89">
        <v>0</v>
      </c>
      <c r="AB50" s="89">
        <v>0</v>
      </c>
      <c r="AC50" s="89">
        <v>0</v>
      </c>
      <c r="AD50" s="89">
        <v>1</v>
      </c>
      <c r="AE50" s="89">
        <v>8</v>
      </c>
      <c r="AF50" s="89">
        <v>10</v>
      </c>
      <c r="AG50" s="89">
        <v>1</v>
      </c>
      <c r="AH50" s="89">
        <v>0</v>
      </c>
      <c r="AI50" s="89">
        <v>95</v>
      </c>
      <c r="AJ50" s="89">
        <v>0</v>
      </c>
    </row>
    <row r="51" spans="1:36" x14ac:dyDescent="0.3">
      <c r="A51" s="311" t="s">
        <v>240</v>
      </c>
      <c r="B51" s="312">
        <v>45988</v>
      </c>
      <c r="C51" s="88" t="s">
        <v>938</v>
      </c>
      <c r="D51" s="313" t="s">
        <v>893</v>
      </c>
      <c r="E51" s="88" t="s">
        <v>934</v>
      </c>
      <c r="F51" s="88" t="s">
        <v>214</v>
      </c>
      <c r="G51" s="314">
        <v>0.47489999999999999</v>
      </c>
      <c r="H51" s="89">
        <v>179</v>
      </c>
      <c r="I51" s="89">
        <v>85</v>
      </c>
      <c r="J51" s="89">
        <v>44</v>
      </c>
      <c r="K51" s="89" t="s">
        <v>215</v>
      </c>
      <c r="L51" s="315" t="s">
        <v>175</v>
      </c>
      <c r="M51" s="89">
        <v>4</v>
      </c>
      <c r="N51" s="89">
        <v>5</v>
      </c>
      <c r="O51" s="89">
        <v>27</v>
      </c>
      <c r="P51" s="89" t="s">
        <v>353</v>
      </c>
      <c r="Q51" s="89">
        <v>0</v>
      </c>
      <c r="R51" s="89">
        <v>0</v>
      </c>
      <c r="S51" s="89">
        <v>0</v>
      </c>
      <c r="T51" s="89">
        <v>0</v>
      </c>
      <c r="U51" s="89">
        <v>0</v>
      </c>
      <c r="V51" s="89">
        <v>0</v>
      </c>
      <c r="W51" s="89">
        <v>0</v>
      </c>
      <c r="X51" s="89">
        <v>0</v>
      </c>
      <c r="Y51" s="89">
        <v>0</v>
      </c>
      <c r="Z51" s="89">
        <v>0</v>
      </c>
      <c r="AA51" s="89">
        <v>0</v>
      </c>
      <c r="AB51" s="89">
        <v>2</v>
      </c>
      <c r="AC51" s="89">
        <v>2</v>
      </c>
      <c r="AD51" s="89">
        <v>9</v>
      </c>
      <c r="AE51" s="89">
        <v>5</v>
      </c>
      <c r="AF51" s="89">
        <v>23</v>
      </c>
      <c r="AG51" s="89">
        <v>0</v>
      </c>
      <c r="AH51" s="89">
        <v>0</v>
      </c>
      <c r="AI51" s="89">
        <v>44</v>
      </c>
      <c r="AJ51" s="89">
        <v>0</v>
      </c>
    </row>
    <row r="52" spans="1:36" x14ac:dyDescent="0.3">
      <c r="A52" s="311" t="s">
        <v>240</v>
      </c>
      <c r="B52" s="312">
        <v>45988</v>
      </c>
      <c r="C52" s="88" t="s">
        <v>1155</v>
      </c>
      <c r="D52" s="313" t="s">
        <v>1246</v>
      </c>
      <c r="E52" s="88" t="s">
        <v>1098</v>
      </c>
      <c r="F52" s="88" t="s">
        <v>214</v>
      </c>
      <c r="G52" s="314">
        <v>0.54759999999999998</v>
      </c>
      <c r="H52" s="89">
        <v>168</v>
      </c>
      <c r="I52" s="89">
        <v>92</v>
      </c>
      <c r="J52" s="89">
        <v>0</v>
      </c>
      <c r="K52" s="89" t="s">
        <v>215</v>
      </c>
      <c r="L52" s="315" t="s">
        <v>175</v>
      </c>
      <c r="M52" s="89">
        <v>2</v>
      </c>
      <c r="N52" s="89">
        <v>4</v>
      </c>
      <c r="O52" s="89">
        <v>20</v>
      </c>
      <c r="P52" s="89" t="s">
        <v>364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2</v>
      </c>
      <c r="W52" s="89">
        <v>0</v>
      </c>
      <c r="X52" s="89">
        <v>0</v>
      </c>
      <c r="Y52" s="89">
        <v>0</v>
      </c>
      <c r="Z52" s="89">
        <v>2</v>
      </c>
      <c r="AA52" s="89">
        <v>3</v>
      </c>
      <c r="AB52" s="89">
        <v>0</v>
      </c>
      <c r="AC52" s="89">
        <v>2</v>
      </c>
      <c r="AD52" s="89">
        <v>13</v>
      </c>
      <c r="AE52" s="89">
        <v>10</v>
      </c>
      <c r="AF52" s="89">
        <v>60</v>
      </c>
      <c r="AG52" s="89">
        <v>0</v>
      </c>
      <c r="AH52" s="89">
        <v>0</v>
      </c>
      <c r="AI52" s="89">
        <v>0</v>
      </c>
      <c r="AJ52" s="89">
        <v>0</v>
      </c>
    </row>
    <row r="53" spans="1:36" x14ac:dyDescent="0.3">
      <c r="A53" s="311" t="s">
        <v>240</v>
      </c>
      <c r="B53" s="312">
        <v>45988</v>
      </c>
      <c r="C53" s="88" t="s">
        <v>420</v>
      </c>
      <c r="D53" s="313" t="s">
        <v>712</v>
      </c>
      <c r="E53" s="88" t="s">
        <v>403</v>
      </c>
      <c r="F53" s="88" t="s">
        <v>214</v>
      </c>
      <c r="G53" s="314">
        <v>0.27929999999999999</v>
      </c>
      <c r="H53" s="89">
        <v>179</v>
      </c>
      <c r="I53" s="89">
        <v>50</v>
      </c>
      <c r="J53" s="89">
        <v>0</v>
      </c>
      <c r="K53" s="89" t="s">
        <v>215</v>
      </c>
      <c r="L53" s="315" t="s">
        <v>175</v>
      </c>
      <c r="M53" s="89">
        <v>1</v>
      </c>
      <c r="N53" s="89">
        <v>5</v>
      </c>
      <c r="O53" s="89">
        <v>32</v>
      </c>
      <c r="P53" s="89" t="s">
        <v>237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v>0</v>
      </c>
      <c r="W53" s="89">
        <v>0</v>
      </c>
      <c r="X53" s="89">
        <v>0</v>
      </c>
      <c r="Y53" s="89">
        <v>0</v>
      </c>
      <c r="Z53" s="89">
        <v>5</v>
      </c>
      <c r="AA53" s="89">
        <v>0</v>
      </c>
      <c r="AB53" s="89">
        <v>0</v>
      </c>
      <c r="AC53" s="89">
        <v>0</v>
      </c>
      <c r="AD53" s="89">
        <v>4</v>
      </c>
      <c r="AE53" s="89">
        <v>11</v>
      </c>
      <c r="AF53" s="89">
        <v>30</v>
      </c>
      <c r="AG53" s="89">
        <v>0</v>
      </c>
      <c r="AH53" s="89">
        <v>0</v>
      </c>
      <c r="AI53" s="89">
        <v>0</v>
      </c>
      <c r="AJ53" s="89">
        <v>0</v>
      </c>
    </row>
    <row r="54" spans="1:36" x14ac:dyDescent="0.3">
      <c r="A54" s="311" t="s">
        <v>240</v>
      </c>
      <c r="B54" s="312">
        <v>45988</v>
      </c>
      <c r="C54" s="88" t="s">
        <v>417</v>
      </c>
      <c r="D54" s="313" t="s">
        <v>717</v>
      </c>
      <c r="E54" s="88" t="s">
        <v>403</v>
      </c>
      <c r="F54" s="88" t="s">
        <v>214</v>
      </c>
      <c r="G54" s="314">
        <v>0.80449999999999999</v>
      </c>
      <c r="H54" s="89">
        <v>179</v>
      </c>
      <c r="I54" s="89">
        <v>144</v>
      </c>
      <c r="J54" s="89">
        <v>132</v>
      </c>
      <c r="K54" s="89" t="s">
        <v>215</v>
      </c>
      <c r="L54" s="315" t="s">
        <v>50</v>
      </c>
      <c r="M54" s="89">
        <v>0</v>
      </c>
      <c r="N54" s="89">
        <v>1</v>
      </c>
      <c r="O54" s="89">
        <v>2</v>
      </c>
      <c r="P54" s="89" t="s">
        <v>526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89">
        <v>0</v>
      </c>
      <c r="W54" s="89">
        <v>0</v>
      </c>
      <c r="X54" s="89">
        <v>0</v>
      </c>
      <c r="Y54" s="89">
        <v>0</v>
      </c>
      <c r="Z54" s="89">
        <v>0</v>
      </c>
      <c r="AA54" s="89">
        <v>0</v>
      </c>
      <c r="AB54" s="89">
        <v>0</v>
      </c>
      <c r="AC54" s="89">
        <v>0</v>
      </c>
      <c r="AD54" s="89">
        <v>0</v>
      </c>
      <c r="AE54" s="89">
        <v>2</v>
      </c>
      <c r="AF54" s="89">
        <v>10</v>
      </c>
      <c r="AG54" s="89">
        <v>0</v>
      </c>
      <c r="AH54" s="89">
        <v>0</v>
      </c>
      <c r="AI54" s="89">
        <v>132</v>
      </c>
      <c r="AJ54" s="89">
        <v>0</v>
      </c>
    </row>
    <row r="55" spans="1:36" x14ac:dyDescent="0.3">
      <c r="A55" s="311" t="s">
        <v>240</v>
      </c>
      <c r="B55" s="312">
        <v>45988</v>
      </c>
      <c r="C55" s="88" t="s">
        <v>427</v>
      </c>
      <c r="D55" s="313" t="s">
        <v>720</v>
      </c>
      <c r="E55" s="88" t="s">
        <v>403</v>
      </c>
      <c r="F55" s="88" t="s">
        <v>214</v>
      </c>
      <c r="G55" s="314">
        <v>0.78769999999999996</v>
      </c>
      <c r="H55" s="89">
        <v>179</v>
      </c>
      <c r="I55" s="89">
        <v>141</v>
      </c>
      <c r="J55" s="89">
        <v>89</v>
      </c>
      <c r="K55" s="89" t="s">
        <v>215</v>
      </c>
      <c r="L55" s="315" t="s">
        <v>175</v>
      </c>
      <c r="M55" s="89">
        <v>4</v>
      </c>
      <c r="N55" s="89">
        <v>8</v>
      </c>
      <c r="O55" s="89">
        <v>27</v>
      </c>
      <c r="P55" s="89" t="s">
        <v>353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9">
        <v>0</v>
      </c>
      <c r="Y55" s="89">
        <v>0</v>
      </c>
      <c r="Z55" s="89">
        <v>3</v>
      </c>
      <c r="AA55" s="89">
        <v>0</v>
      </c>
      <c r="AB55" s="89">
        <v>0</v>
      </c>
      <c r="AC55" s="89">
        <v>0</v>
      </c>
      <c r="AD55" s="89">
        <v>3</v>
      </c>
      <c r="AE55" s="89">
        <v>22</v>
      </c>
      <c r="AF55" s="89">
        <v>24</v>
      </c>
      <c r="AG55" s="89">
        <v>0</v>
      </c>
      <c r="AH55" s="89">
        <v>0</v>
      </c>
      <c r="AI55" s="89">
        <v>89</v>
      </c>
      <c r="AJ55" s="89">
        <v>0</v>
      </c>
    </row>
    <row r="56" spans="1:36" x14ac:dyDescent="0.3">
      <c r="A56" s="311" t="s">
        <v>240</v>
      </c>
      <c r="B56" s="312">
        <v>45988</v>
      </c>
      <c r="C56" s="88" t="s">
        <v>432</v>
      </c>
      <c r="D56" s="313" t="s">
        <v>722</v>
      </c>
      <c r="E56" s="88" t="s">
        <v>403</v>
      </c>
      <c r="F56" s="88" t="s">
        <v>214</v>
      </c>
      <c r="G56" s="314">
        <v>0.60340000000000005</v>
      </c>
      <c r="H56" s="89">
        <v>179</v>
      </c>
      <c r="I56" s="89">
        <v>108</v>
      </c>
      <c r="J56" s="89">
        <v>44</v>
      </c>
      <c r="K56" s="89" t="s">
        <v>215</v>
      </c>
      <c r="L56" s="315" t="s">
        <v>175</v>
      </c>
      <c r="M56" s="89">
        <v>15</v>
      </c>
      <c r="N56" s="89">
        <v>13</v>
      </c>
      <c r="O56" s="89">
        <v>43</v>
      </c>
      <c r="P56" s="89" t="s">
        <v>353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1</v>
      </c>
      <c r="AA56" s="89">
        <v>0</v>
      </c>
      <c r="AB56" s="89">
        <v>0</v>
      </c>
      <c r="AC56" s="89">
        <v>0</v>
      </c>
      <c r="AD56" s="89">
        <v>4</v>
      </c>
      <c r="AE56" s="89">
        <v>25</v>
      </c>
      <c r="AF56" s="89">
        <v>32</v>
      </c>
      <c r="AG56" s="89">
        <v>44</v>
      </c>
      <c r="AH56" s="89">
        <v>0</v>
      </c>
      <c r="AI56" s="89">
        <v>0</v>
      </c>
      <c r="AJ56" s="89">
        <v>2</v>
      </c>
    </row>
    <row r="57" spans="1:36" x14ac:dyDescent="0.3">
      <c r="A57" s="311" t="s">
        <v>240</v>
      </c>
      <c r="B57" s="312">
        <v>45988</v>
      </c>
      <c r="C57" s="88" t="s">
        <v>298</v>
      </c>
      <c r="D57" s="313" t="s">
        <v>336</v>
      </c>
      <c r="E57" s="88" t="s">
        <v>295</v>
      </c>
      <c r="F57" s="88" t="s">
        <v>214</v>
      </c>
      <c r="G57" s="314">
        <v>0.97770000000000001</v>
      </c>
      <c r="H57" s="89">
        <v>179</v>
      </c>
      <c r="I57" s="89">
        <v>175</v>
      </c>
      <c r="J57" s="89">
        <v>121</v>
      </c>
      <c r="K57" s="89" t="s">
        <v>215</v>
      </c>
      <c r="L57" s="315" t="s">
        <v>50</v>
      </c>
      <c r="M57" s="89">
        <v>0</v>
      </c>
      <c r="N57" s="89">
        <v>2</v>
      </c>
      <c r="O57" s="89">
        <v>7</v>
      </c>
      <c r="P57" s="89" t="s">
        <v>304</v>
      </c>
      <c r="Q57" s="89">
        <v>0</v>
      </c>
      <c r="R57" s="89">
        <v>0</v>
      </c>
      <c r="S57" s="89">
        <v>0</v>
      </c>
      <c r="T57" s="89">
        <v>0</v>
      </c>
      <c r="U57" s="89">
        <v>0</v>
      </c>
      <c r="V57" s="89">
        <v>0</v>
      </c>
      <c r="W57" s="89">
        <v>1</v>
      </c>
      <c r="X57" s="89">
        <v>6</v>
      </c>
      <c r="Y57" s="89">
        <v>0</v>
      </c>
      <c r="Z57" s="89">
        <v>29</v>
      </c>
      <c r="AA57" s="89">
        <v>0</v>
      </c>
      <c r="AB57" s="89">
        <v>8</v>
      </c>
      <c r="AC57" s="89">
        <v>10</v>
      </c>
      <c r="AD57" s="89">
        <v>0</v>
      </c>
      <c r="AE57" s="89">
        <v>0</v>
      </c>
      <c r="AF57" s="89">
        <v>0</v>
      </c>
      <c r="AG57" s="89">
        <v>0</v>
      </c>
      <c r="AH57" s="89">
        <v>0</v>
      </c>
      <c r="AI57" s="89">
        <v>121</v>
      </c>
      <c r="AJ57" s="89">
        <v>0</v>
      </c>
    </row>
    <row r="58" spans="1:36" x14ac:dyDescent="0.3">
      <c r="A58" s="311" t="s">
        <v>240</v>
      </c>
      <c r="B58" s="312">
        <v>45988</v>
      </c>
      <c r="C58" s="88" t="s">
        <v>60</v>
      </c>
      <c r="D58" s="313" t="s">
        <v>241</v>
      </c>
      <c r="E58" s="88" t="s">
        <v>1</v>
      </c>
      <c r="F58" s="88" t="s">
        <v>214</v>
      </c>
      <c r="G58" s="314">
        <v>0.98280000000000001</v>
      </c>
      <c r="H58" s="89">
        <v>174</v>
      </c>
      <c r="I58" s="89">
        <v>171</v>
      </c>
      <c r="J58" s="89">
        <v>128</v>
      </c>
      <c r="K58" s="89" t="s">
        <v>215</v>
      </c>
      <c r="L58" s="315" t="s">
        <v>50</v>
      </c>
      <c r="M58" s="89">
        <v>0</v>
      </c>
      <c r="N58" s="89">
        <v>1</v>
      </c>
      <c r="O58" s="89">
        <v>7</v>
      </c>
      <c r="P58" s="89" t="s">
        <v>119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89">
        <v>0</v>
      </c>
      <c r="W58" s="89">
        <v>7</v>
      </c>
      <c r="X58" s="89">
        <v>2</v>
      </c>
      <c r="Y58" s="89">
        <v>0</v>
      </c>
      <c r="Z58" s="89">
        <v>1</v>
      </c>
      <c r="AA58" s="89">
        <v>0</v>
      </c>
      <c r="AB58" s="89">
        <v>0</v>
      </c>
      <c r="AC58" s="89">
        <v>0</v>
      </c>
      <c r="AD58" s="89">
        <v>6</v>
      </c>
      <c r="AE58" s="89">
        <v>9</v>
      </c>
      <c r="AF58" s="89">
        <v>17</v>
      </c>
      <c r="AG58" s="89">
        <v>0</v>
      </c>
      <c r="AH58" s="89">
        <v>0</v>
      </c>
      <c r="AI58" s="89">
        <v>128</v>
      </c>
      <c r="AJ58" s="89">
        <v>1</v>
      </c>
    </row>
    <row r="59" spans="1:36" x14ac:dyDescent="0.3">
      <c r="A59" s="311" t="s">
        <v>240</v>
      </c>
      <c r="B59" s="312">
        <v>45988</v>
      </c>
      <c r="C59" s="88" t="s">
        <v>1395</v>
      </c>
      <c r="D59" s="313" t="s">
        <v>1244</v>
      </c>
      <c r="E59" s="88" t="s">
        <v>1393</v>
      </c>
      <c r="F59" s="88" t="s">
        <v>214</v>
      </c>
      <c r="G59" s="314">
        <v>0.35120000000000001</v>
      </c>
      <c r="H59" s="89">
        <v>168</v>
      </c>
      <c r="I59" s="89">
        <v>59</v>
      </c>
      <c r="J59" s="89">
        <v>0</v>
      </c>
      <c r="K59" s="89" t="s">
        <v>215</v>
      </c>
      <c r="L59" s="315" t="s">
        <v>175</v>
      </c>
      <c r="M59" s="89">
        <v>1</v>
      </c>
      <c r="N59" s="89">
        <v>10</v>
      </c>
      <c r="O59" s="89">
        <v>47</v>
      </c>
      <c r="P59" s="89" t="s">
        <v>237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9">
        <v>0</v>
      </c>
      <c r="Y59" s="89">
        <v>0</v>
      </c>
      <c r="Z59" s="89">
        <v>0</v>
      </c>
      <c r="AA59" s="89">
        <v>0</v>
      </c>
      <c r="AB59" s="89">
        <v>0</v>
      </c>
      <c r="AC59" s="89">
        <v>1</v>
      </c>
      <c r="AD59" s="89">
        <v>0</v>
      </c>
      <c r="AE59" s="89">
        <v>21</v>
      </c>
      <c r="AF59" s="89">
        <v>37</v>
      </c>
      <c r="AG59" s="89">
        <v>0</v>
      </c>
      <c r="AH59" s="89">
        <v>0</v>
      </c>
      <c r="AI59" s="89">
        <v>0</v>
      </c>
      <c r="AJ59" s="89">
        <v>0</v>
      </c>
    </row>
    <row r="60" spans="1:36" x14ac:dyDescent="0.3">
      <c r="A60" s="311" t="s">
        <v>724</v>
      </c>
      <c r="B60" s="312">
        <v>45989</v>
      </c>
      <c r="C60" s="88" t="s">
        <v>1386</v>
      </c>
      <c r="D60" s="313" t="s">
        <v>702</v>
      </c>
      <c r="E60" s="88" t="s">
        <v>1385</v>
      </c>
      <c r="F60" s="88" t="s">
        <v>214</v>
      </c>
      <c r="G60" s="314">
        <v>0.27979999999999999</v>
      </c>
      <c r="H60" s="89">
        <v>168</v>
      </c>
      <c r="I60" s="89">
        <v>47</v>
      </c>
      <c r="J60" s="89">
        <v>0</v>
      </c>
      <c r="K60" s="89" t="s">
        <v>215</v>
      </c>
      <c r="L60" s="315" t="s">
        <v>175</v>
      </c>
      <c r="M60" s="89">
        <v>3</v>
      </c>
      <c r="N60" s="89">
        <v>4</v>
      </c>
      <c r="O60" s="89">
        <v>20</v>
      </c>
      <c r="P60" s="89" t="s">
        <v>237</v>
      </c>
      <c r="Q60" s="89">
        <v>0</v>
      </c>
      <c r="R60" s="89">
        <v>0</v>
      </c>
      <c r="S60" s="89">
        <v>0</v>
      </c>
      <c r="T60" s="89">
        <v>0</v>
      </c>
      <c r="U60" s="89">
        <v>0</v>
      </c>
      <c r="V60" s="89">
        <v>0</v>
      </c>
      <c r="W60" s="89">
        <v>0</v>
      </c>
      <c r="X60" s="89">
        <v>0</v>
      </c>
      <c r="Y60" s="89">
        <v>0</v>
      </c>
      <c r="Z60" s="89">
        <v>0</v>
      </c>
      <c r="AA60" s="89">
        <v>0</v>
      </c>
      <c r="AB60" s="89">
        <v>0</v>
      </c>
      <c r="AC60" s="89">
        <v>0</v>
      </c>
      <c r="AD60" s="89">
        <v>3</v>
      </c>
      <c r="AE60" s="89">
        <v>34</v>
      </c>
      <c r="AF60" s="89">
        <v>10</v>
      </c>
      <c r="AG60" s="89">
        <v>0</v>
      </c>
      <c r="AH60" s="89">
        <v>0</v>
      </c>
      <c r="AI60" s="89">
        <v>0</v>
      </c>
      <c r="AJ60" s="89">
        <v>0</v>
      </c>
    </row>
    <row r="61" spans="1:36" x14ac:dyDescent="0.3">
      <c r="A61" s="311" t="s">
        <v>724</v>
      </c>
      <c r="B61" s="312">
        <v>45989</v>
      </c>
      <c r="C61" s="88" t="s">
        <v>1565</v>
      </c>
      <c r="D61" s="313" t="s">
        <v>1554</v>
      </c>
      <c r="E61" s="88" t="s">
        <v>1559</v>
      </c>
      <c r="F61" s="88" t="s">
        <v>214</v>
      </c>
      <c r="G61" s="314">
        <v>0.30359999999999998</v>
      </c>
      <c r="H61" s="89">
        <v>168</v>
      </c>
      <c r="I61" s="89">
        <v>51</v>
      </c>
      <c r="J61" s="89">
        <v>0</v>
      </c>
      <c r="K61" s="89" t="s">
        <v>215</v>
      </c>
      <c r="L61" s="315" t="s">
        <v>175</v>
      </c>
      <c r="M61" s="89">
        <v>2</v>
      </c>
      <c r="N61" s="89">
        <v>4</v>
      </c>
      <c r="O61" s="89">
        <v>15</v>
      </c>
      <c r="P61" s="89" t="s">
        <v>329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1</v>
      </c>
      <c r="AA61" s="89">
        <v>5</v>
      </c>
      <c r="AB61" s="89">
        <v>0</v>
      </c>
      <c r="AC61" s="89">
        <v>10</v>
      </c>
      <c r="AD61" s="89">
        <v>35</v>
      </c>
      <c r="AE61" s="89">
        <v>0</v>
      </c>
      <c r="AF61" s="89">
        <v>0</v>
      </c>
      <c r="AG61" s="89">
        <v>0</v>
      </c>
      <c r="AH61" s="89">
        <v>0</v>
      </c>
      <c r="AI61" s="89">
        <v>0</v>
      </c>
      <c r="AJ61" s="89">
        <v>0</v>
      </c>
    </row>
    <row r="62" spans="1:36" x14ac:dyDescent="0.3">
      <c r="A62" s="311" t="s">
        <v>724</v>
      </c>
      <c r="B62" s="312">
        <v>45989</v>
      </c>
      <c r="C62" s="88" t="s">
        <v>423</v>
      </c>
      <c r="D62" s="313" t="s">
        <v>712</v>
      </c>
      <c r="E62" s="88" t="s">
        <v>403</v>
      </c>
      <c r="F62" s="88" t="s">
        <v>214</v>
      </c>
      <c r="G62" s="314">
        <v>0.25140000000000001</v>
      </c>
      <c r="H62" s="89">
        <v>179</v>
      </c>
      <c r="I62" s="89">
        <v>45</v>
      </c>
      <c r="J62" s="89">
        <v>0</v>
      </c>
      <c r="K62" s="89" t="s">
        <v>215</v>
      </c>
      <c r="L62" s="315" t="s">
        <v>50</v>
      </c>
      <c r="M62" s="89">
        <v>0</v>
      </c>
      <c r="N62" s="89">
        <v>4</v>
      </c>
      <c r="O62" s="89">
        <v>26</v>
      </c>
      <c r="P62" s="89" t="s">
        <v>353</v>
      </c>
      <c r="Q62" s="89">
        <v>0</v>
      </c>
      <c r="R62" s="89">
        <v>1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0</v>
      </c>
      <c r="Z62" s="89">
        <v>0</v>
      </c>
      <c r="AA62" s="89">
        <v>0</v>
      </c>
      <c r="AB62" s="89">
        <v>0</v>
      </c>
      <c r="AC62" s="89">
        <v>0</v>
      </c>
      <c r="AD62" s="89">
        <v>4</v>
      </c>
      <c r="AE62" s="89">
        <v>9</v>
      </c>
      <c r="AF62" s="89">
        <v>31</v>
      </c>
      <c r="AG62" s="89">
        <v>0</v>
      </c>
      <c r="AH62" s="89">
        <v>0</v>
      </c>
      <c r="AI62" s="89">
        <v>0</v>
      </c>
      <c r="AJ62" s="89">
        <v>0</v>
      </c>
    </row>
    <row r="63" spans="1:36" x14ac:dyDescent="0.3">
      <c r="A63" s="311" t="s">
        <v>724</v>
      </c>
      <c r="B63" s="312">
        <v>45989</v>
      </c>
      <c r="C63" s="88" t="s">
        <v>1295</v>
      </c>
      <c r="D63" s="313" t="s">
        <v>1335</v>
      </c>
      <c r="E63" s="88" t="s">
        <v>1288</v>
      </c>
      <c r="F63" s="88" t="s">
        <v>214</v>
      </c>
      <c r="G63" s="314">
        <v>0.29759999999999998</v>
      </c>
      <c r="H63" s="89">
        <v>168</v>
      </c>
      <c r="I63" s="89">
        <v>50</v>
      </c>
      <c r="J63" s="89">
        <v>0</v>
      </c>
      <c r="K63" s="89" t="s">
        <v>215</v>
      </c>
      <c r="L63" s="315" t="s">
        <v>175</v>
      </c>
      <c r="M63" s="89">
        <v>2</v>
      </c>
      <c r="N63" s="89">
        <v>1</v>
      </c>
      <c r="O63" s="89">
        <v>17</v>
      </c>
      <c r="P63" s="89" t="s">
        <v>347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89">
        <v>3</v>
      </c>
      <c r="Z63" s="89">
        <v>11</v>
      </c>
      <c r="AA63" s="89">
        <v>1</v>
      </c>
      <c r="AB63" s="89">
        <v>0</v>
      </c>
      <c r="AC63" s="89">
        <v>0</v>
      </c>
      <c r="AD63" s="89">
        <v>0</v>
      </c>
      <c r="AE63" s="89">
        <v>7</v>
      </c>
      <c r="AF63" s="89">
        <v>28</v>
      </c>
      <c r="AG63" s="89">
        <v>0</v>
      </c>
      <c r="AH63" s="89">
        <v>0</v>
      </c>
      <c r="AI63" s="89">
        <v>0</v>
      </c>
      <c r="AJ63" s="89">
        <v>0</v>
      </c>
    </row>
    <row r="64" spans="1:36" x14ac:dyDescent="0.3">
      <c r="A64" s="311" t="s">
        <v>724</v>
      </c>
      <c r="B64" s="312">
        <v>45989</v>
      </c>
      <c r="C64" s="88" t="s">
        <v>1344</v>
      </c>
      <c r="D64" s="313" t="s">
        <v>1011</v>
      </c>
      <c r="E64" s="88" t="s">
        <v>1341</v>
      </c>
      <c r="F64" s="88" t="s">
        <v>214</v>
      </c>
      <c r="G64" s="314">
        <v>0.39290000000000003</v>
      </c>
      <c r="H64" s="89">
        <v>168</v>
      </c>
      <c r="I64" s="89">
        <v>66</v>
      </c>
      <c r="J64" s="89">
        <v>0</v>
      </c>
      <c r="K64" s="89" t="s">
        <v>215</v>
      </c>
      <c r="L64" s="315" t="s">
        <v>175</v>
      </c>
      <c r="M64" s="89">
        <v>6</v>
      </c>
      <c r="N64" s="89">
        <v>2</v>
      </c>
      <c r="O64" s="89">
        <v>22</v>
      </c>
      <c r="P64" s="89" t="s">
        <v>364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2</v>
      </c>
      <c r="AA64" s="89">
        <v>3</v>
      </c>
      <c r="AB64" s="89">
        <v>1</v>
      </c>
      <c r="AC64" s="89">
        <v>2</v>
      </c>
      <c r="AD64" s="89">
        <v>29</v>
      </c>
      <c r="AE64" s="89">
        <v>19</v>
      </c>
      <c r="AF64" s="89">
        <v>10</v>
      </c>
      <c r="AG64" s="89">
        <v>0</v>
      </c>
      <c r="AH64" s="89">
        <v>0</v>
      </c>
      <c r="AI64" s="89">
        <v>0</v>
      </c>
      <c r="AJ64" s="89">
        <v>0</v>
      </c>
    </row>
    <row r="65" spans="1:36" x14ac:dyDescent="0.3">
      <c r="A65" s="311" t="s">
        <v>724</v>
      </c>
      <c r="B65" s="312">
        <v>45989</v>
      </c>
      <c r="C65" s="88" t="s">
        <v>1426</v>
      </c>
      <c r="D65" s="313" t="s">
        <v>325</v>
      </c>
      <c r="E65" s="88" t="s">
        <v>1422</v>
      </c>
      <c r="F65" s="88" t="s">
        <v>214</v>
      </c>
      <c r="G65" s="314">
        <v>0.83240000000000003</v>
      </c>
      <c r="H65" s="89">
        <v>179</v>
      </c>
      <c r="I65" s="89">
        <v>149</v>
      </c>
      <c r="J65" s="89">
        <v>40</v>
      </c>
      <c r="K65" s="89" t="s">
        <v>215</v>
      </c>
      <c r="L65" s="315" t="s">
        <v>175</v>
      </c>
      <c r="M65" s="89">
        <v>2</v>
      </c>
      <c r="N65" s="89">
        <v>1</v>
      </c>
      <c r="O65" s="89">
        <v>47</v>
      </c>
      <c r="P65" s="89" t="s">
        <v>738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2</v>
      </c>
      <c r="X65" s="89">
        <v>0</v>
      </c>
      <c r="Y65" s="89">
        <v>0</v>
      </c>
      <c r="Z65" s="89">
        <v>1</v>
      </c>
      <c r="AA65" s="89">
        <v>7</v>
      </c>
      <c r="AB65" s="89">
        <v>20</v>
      </c>
      <c r="AC65" s="89">
        <v>10</v>
      </c>
      <c r="AD65" s="89">
        <v>32</v>
      </c>
      <c r="AE65" s="89">
        <v>9</v>
      </c>
      <c r="AF65" s="89">
        <v>28</v>
      </c>
      <c r="AG65" s="89">
        <v>0</v>
      </c>
      <c r="AH65" s="89">
        <v>0</v>
      </c>
      <c r="AI65" s="89">
        <v>40</v>
      </c>
      <c r="AJ65" s="89">
        <v>0</v>
      </c>
    </row>
    <row r="66" spans="1:36" x14ac:dyDescent="0.3">
      <c r="A66" s="311" t="s">
        <v>724</v>
      </c>
      <c r="B66" s="312">
        <v>45989</v>
      </c>
      <c r="C66" s="88" t="s">
        <v>1488</v>
      </c>
      <c r="D66" s="313" t="s">
        <v>1502</v>
      </c>
      <c r="E66" s="88" t="s">
        <v>1478</v>
      </c>
      <c r="F66" s="88" t="s">
        <v>214</v>
      </c>
      <c r="G66" s="314">
        <v>0.41070000000000001</v>
      </c>
      <c r="H66" s="89">
        <v>168</v>
      </c>
      <c r="I66" s="89">
        <v>69</v>
      </c>
      <c r="J66" s="89">
        <v>0</v>
      </c>
      <c r="K66" s="89" t="s">
        <v>215</v>
      </c>
      <c r="L66" s="315" t="s">
        <v>175</v>
      </c>
      <c r="M66" s="89">
        <v>3</v>
      </c>
      <c r="N66" s="89">
        <v>5</v>
      </c>
      <c r="O66" s="89">
        <v>33</v>
      </c>
      <c r="P66" s="89" t="s">
        <v>265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9">
        <v>0</v>
      </c>
      <c r="Y66" s="89">
        <v>0</v>
      </c>
      <c r="Z66" s="89">
        <v>0</v>
      </c>
      <c r="AA66" s="89">
        <v>3</v>
      </c>
      <c r="AB66" s="89">
        <v>8</v>
      </c>
      <c r="AC66" s="89">
        <v>39</v>
      </c>
      <c r="AD66" s="89">
        <v>9</v>
      </c>
      <c r="AE66" s="89">
        <v>10</v>
      </c>
      <c r="AF66" s="89">
        <v>0</v>
      </c>
      <c r="AG66" s="89">
        <v>0</v>
      </c>
      <c r="AH66" s="89">
        <v>0</v>
      </c>
      <c r="AI66" s="89">
        <v>0</v>
      </c>
      <c r="AJ66" s="89">
        <v>0</v>
      </c>
    </row>
    <row r="67" spans="1:36" x14ac:dyDescent="0.3">
      <c r="A67" s="311" t="s">
        <v>724</v>
      </c>
      <c r="B67" s="312">
        <v>45989</v>
      </c>
      <c r="C67" s="88" t="s">
        <v>1509</v>
      </c>
      <c r="D67" s="313" t="s">
        <v>1254</v>
      </c>
      <c r="E67" s="88" t="s">
        <v>1507</v>
      </c>
      <c r="F67" s="88" t="s">
        <v>214</v>
      </c>
      <c r="G67" s="314">
        <v>0.27379999999999999</v>
      </c>
      <c r="H67" s="89">
        <v>168</v>
      </c>
      <c r="I67" s="89">
        <v>46</v>
      </c>
      <c r="J67" s="89">
        <v>0</v>
      </c>
      <c r="K67" s="89" t="s">
        <v>215</v>
      </c>
      <c r="L67" s="315" t="s">
        <v>175</v>
      </c>
      <c r="M67" s="89">
        <v>4</v>
      </c>
      <c r="N67" s="89">
        <v>2</v>
      </c>
      <c r="O67" s="89">
        <v>13</v>
      </c>
      <c r="P67" s="89" t="s">
        <v>51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3</v>
      </c>
      <c r="Y67" s="89">
        <v>19</v>
      </c>
      <c r="Z67" s="89">
        <v>14</v>
      </c>
      <c r="AA67" s="89">
        <v>10</v>
      </c>
      <c r="AB67" s="89">
        <v>0</v>
      </c>
      <c r="AC67" s="89">
        <v>0</v>
      </c>
      <c r="AD67" s="89">
        <v>0</v>
      </c>
      <c r="AE67" s="89">
        <v>0</v>
      </c>
      <c r="AF67" s="89">
        <v>0</v>
      </c>
      <c r="AG67" s="89">
        <v>0</v>
      </c>
      <c r="AH67" s="89">
        <v>0</v>
      </c>
      <c r="AI67" s="89">
        <v>0</v>
      </c>
      <c r="AJ67" s="89">
        <v>0</v>
      </c>
    </row>
    <row r="68" spans="1:36" x14ac:dyDescent="0.3">
      <c r="A68" s="311" t="s">
        <v>724</v>
      </c>
      <c r="B68" s="312">
        <v>45989</v>
      </c>
      <c r="C68" s="88" t="s">
        <v>810</v>
      </c>
      <c r="D68" s="313" t="s">
        <v>904</v>
      </c>
      <c r="E68" s="88" t="s">
        <v>793</v>
      </c>
      <c r="F68" s="88" t="s">
        <v>214</v>
      </c>
      <c r="G68" s="314">
        <v>0.48809999999999998</v>
      </c>
      <c r="H68" s="89">
        <v>168</v>
      </c>
      <c r="I68" s="89">
        <v>82</v>
      </c>
      <c r="J68" s="89">
        <v>0</v>
      </c>
      <c r="K68" s="89" t="s">
        <v>215</v>
      </c>
      <c r="L68" s="315" t="s">
        <v>175</v>
      </c>
      <c r="M68" s="89">
        <v>4</v>
      </c>
      <c r="N68" s="89">
        <v>13</v>
      </c>
      <c r="O68" s="89">
        <v>53</v>
      </c>
      <c r="P68" s="89" t="s">
        <v>738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5</v>
      </c>
      <c r="AA68" s="89">
        <v>18</v>
      </c>
      <c r="AB68" s="89">
        <v>17</v>
      </c>
      <c r="AC68" s="89">
        <v>27</v>
      </c>
      <c r="AD68" s="89">
        <v>15</v>
      </c>
      <c r="AE68" s="89">
        <v>0</v>
      </c>
      <c r="AF68" s="89">
        <v>0</v>
      </c>
      <c r="AG68" s="89">
        <v>0</v>
      </c>
      <c r="AH68" s="89">
        <v>0</v>
      </c>
      <c r="AI68" s="89">
        <v>0</v>
      </c>
      <c r="AJ68" s="89">
        <v>0</v>
      </c>
    </row>
    <row r="69" spans="1:36" x14ac:dyDescent="0.3">
      <c r="A69" s="311" t="s">
        <v>724</v>
      </c>
      <c r="B69" s="312">
        <v>45989</v>
      </c>
      <c r="C69" s="88" t="s">
        <v>430</v>
      </c>
      <c r="D69" s="313" t="s">
        <v>368</v>
      </c>
      <c r="E69" s="88" t="s">
        <v>403</v>
      </c>
      <c r="F69" s="88" t="s">
        <v>214</v>
      </c>
      <c r="G69" s="314">
        <v>0.92179999999999995</v>
      </c>
      <c r="H69" s="89">
        <v>179</v>
      </c>
      <c r="I69" s="89">
        <v>165</v>
      </c>
      <c r="J69" s="89">
        <v>114</v>
      </c>
      <c r="K69" s="89" t="s">
        <v>215</v>
      </c>
      <c r="L69" s="315" t="s">
        <v>63</v>
      </c>
      <c r="M69" s="89">
        <v>0</v>
      </c>
      <c r="N69" s="89">
        <v>0</v>
      </c>
      <c r="O69" s="89">
        <v>17</v>
      </c>
      <c r="P69" s="89" t="s">
        <v>543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5</v>
      </c>
      <c r="AA69" s="89">
        <v>3</v>
      </c>
      <c r="AB69" s="89">
        <v>0</v>
      </c>
      <c r="AC69" s="89">
        <v>0</v>
      </c>
      <c r="AD69" s="89">
        <v>13</v>
      </c>
      <c r="AE69" s="89">
        <v>20</v>
      </c>
      <c r="AF69" s="89">
        <v>10</v>
      </c>
      <c r="AG69" s="89">
        <v>0</v>
      </c>
      <c r="AH69" s="89">
        <v>0</v>
      </c>
      <c r="AI69" s="89">
        <v>114</v>
      </c>
      <c r="AJ69" s="89">
        <v>0</v>
      </c>
    </row>
    <row r="70" spans="1:36" x14ac:dyDescent="0.3">
      <c r="A70" s="311" t="s">
        <v>724</v>
      </c>
      <c r="B70" s="312">
        <v>45989</v>
      </c>
      <c r="C70" s="88" t="s">
        <v>1155</v>
      </c>
      <c r="D70" s="313" t="s">
        <v>933</v>
      </c>
      <c r="E70" s="88" t="s">
        <v>1098</v>
      </c>
      <c r="F70" s="88" t="s">
        <v>214</v>
      </c>
      <c r="G70" s="314">
        <v>0.48809999999999998</v>
      </c>
      <c r="H70" s="89">
        <v>168</v>
      </c>
      <c r="I70" s="89">
        <v>82</v>
      </c>
      <c r="J70" s="89">
        <v>0</v>
      </c>
      <c r="K70" s="89" t="s">
        <v>215</v>
      </c>
      <c r="L70" s="315" t="s">
        <v>175</v>
      </c>
      <c r="M70" s="89">
        <v>6</v>
      </c>
      <c r="N70" s="89">
        <v>6</v>
      </c>
      <c r="O70" s="89">
        <v>37</v>
      </c>
      <c r="P70" s="89" t="s">
        <v>394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1</v>
      </c>
      <c r="W70" s="89">
        <v>0</v>
      </c>
      <c r="X70" s="89">
        <v>0</v>
      </c>
      <c r="Y70" s="89">
        <v>0</v>
      </c>
      <c r="Z70" s="89">
        <v>1</v>
      </c>
      <c r="AA70" s="89">
        <v>0</v>
      </c>
      <c r="AB70" s="89">
        <v>0</v>
      </c>
      <c r="AC70" s="89">
        <v>0</v>
      </c>
      <c r="AD70" s="89">
        <v>3</v>
      </c>
      <c r="AE70" s="89">
        <v>27</v>
      </c>
      <c r="AF70" s="89">
        <v>50</v>
      </c>
      <c r="AG70" s="89">
        <v>0</v>
      </c>
      <c r="AH70" s="89">
        <v>0</v>
      </c>
      <c r="AI70" s="89">
        <v>0</v>
      </c>
      <c r="AJ70" s="89">
        <v>0</v>
      </c>
    </row>
    <row r="71" spans="1:36" x14ac:dyDescent="0.3">
      <c r="A71" s="311" t="s">
        <v>724</v>
      </c>
      <c r="B71" s="312">
        <v>45989</v>
      </c>
      <c r="C71" s="88" t="s">
        <v>1122</v>
      </c>
      <c r="D71" s="313" t="s">
        <v>1249</v>
      </c>
      <c r="E71" s="88" t="s">
        <v>1098</v>
      </c>
      <c r="F71" s="88" t="s">
        <v>214</v>
      </c>
      <c r="G71" s="314">
        <v>0.38100000000000001</v>
      </c>
      <c r="H71" s="89">
        <v>168</v>
      </c>
      <c r="I71" s="89">
        <v>64</v>
      </c>
      <c r="J71" s="89">
        <v>0</v>
      </c>
      <c r="K71" s="89" t="s">
        <v>215</v>
      </c>
      <c r="L71" s="315" t="s">
        <v>175</v>
      </c>
      <c r="M71" s="89">
        <v>5</v>
      </c>
      <c r="N71" s="89">
        <v>16</v>
      </c>
      <c r="O71" s="89">
        <v>38</v>
      </c>
      <c r="P71" s="89" t="s">
        <v>353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0</v>
      </c>
      <c r="Z71" s="89">
        <v>0</v>
      </c>
      <c r="AA71" s="89">
        <v>4</v>
      </c>
      <c r="AB71" s="89">
        <v>0</v>
      </c>
      <c r="AC71" s="89">
        <v>0</v>
      </c>
      <c r="AD71" s="89">
        <v>0</v>
      </c>
      <c r="AE71" s="89">
        <v>0</v>
      </c>
      <c r="AF71" s="89">
        <v>60</v>
      </c>
      <c r="AG71" s="89">
        <v>0</v>
      </c>
      <c r="AH71" s="89">
        <v>0</v>
      </c>
      <c r="AI71" s="89">
        <v>0</v>
      </c>
      <c r="AJ71" s="89">
        <v>0</v>
      </c>
    </row>
    <row r="72" spans="1:36" x14ac:dyDescent="0.3">
      <c r="A72" s="311" t="s">
        <v>724</v>
      </c>
      <c r="B72" s="312">
        <v>45989</v>
      </c>
      <c r="C72" s="88" t="s">
        <v>420</v>
      </c>
      <c r="D72" s="313" t="s">
        <v>735</v>
      </c>
      <c r="E72" s="88" t="s">
        <v>403</v>
      </c>
      <c r="F72" s="88" t="s">
        <v>214</v>
      </c>
      <c r="G72" s="314">
        <v>0.44690000000000002</v>
      </c>
      <c r="H72" s="89">
        <v>179</v>
      </c>
      <c r="I72" s="89">
        <v>80</v>
      </c>
      <c r="J72" s="89">
        <v>0</v>
      </c>
      <c r="K72" s="89" t="s">
        <v>215</v>
      </c>
      <c r="L72" s="315" t="s">
        <v>175</v>
      </c>
      <c r="M72" s="89">
        <v>15</v>
      </c>
      <c r="N72" s="89">
        <v>7</v>
      </c>
      <c r="O72" s="89">
        <v>43</v>
      </c>
      <c r="P72" s="89" t="s">
        <v>237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4</v>
      </c>
      <c r="AA72" s="89">
        <v>0</v>
      </c>
      <c r="AB72" s="89">
        <v>0</v>
      </c>
      <c r="AC72" s="89">
        <v>0</v>
      </c>
      <c r="AD72" s="89">
        <v>11</v>
      </c>
      <c r="AE72" s="89">
        <v>27</v>
      </c>
      <c r="AF72" s="89">
        <v>36</v>
      </c>
      <c r="AG72" s="89">
        <v>0</v>
      </c>
      <c r="AH72" s="89">
        <v>0</v>
      </c>
      <c r="AI72" s="89">
        <v>0</v>
      </c>
      <c r="AJ72" s="89">
        <v>2</v>
      </c>
    </row>
    <row r="73" spans="1:36" x14ac:dyDescent="0.3">
      <c r="A73" s="311" t="s">
        <v>724</v>
      </c>
      <c r="B73" s="312">
        <v>45989</v>
      </c>
      <c r="C73" s="88" t="s">
        <v>417</v>
      </c>
      <c r="D73" s="313" t="s">
        <v>727</v>
      </c>
      <c r="E73" s="88" t="s">
        <v>403</v>
      </c>
      <c r="F73" s="88" t="s">
        <v>214</v>
      </c>
      <c r="G73" s="314">
        <v>0.26819999999999999</v>
      </c>
      <c r="H73" s="89">
        <v>179</v>
      </c>
      <c r="I73" s="89">
        <v>48</v>
      </c>
      <c r="J73" s="89">
        <v>0</v>
      </c>
      <c r="K73" s="89" t="s">
        <v>215</v>
      </c>
      <c r="L73" s="315" t="s">
        <v>50</v>
      </c>
      <c r="M73" s="89">
        <v>0</v>
      </c>
      <c r="N73" s="89">
        <v>2</v>
      </c>
      <c r="O73" s="89">
        <v>38</v>
      </c>
      <c r="P73" s="89" t="s">
        <v>353</v>
      </c>
      <c r="Q73" s="89">
        <v>0</v>
      </c>
      <c r="R73" s="89">
        <v>0</v>
      </c>
      <c r="S73" s="89">
        <v>0</v>
      </c>
      <c r="T73" s="89">
        <v>0</v>
      </c>
      <c r="U73" s="89">
        <v>0</v>
      </c>
      <c r="V73" s="89">
        <v>0</v>
      </c>
      <c r="W73" s="89">
        <v>0</v>
      </c>
      <c r="X73" s="89">
        <v>0</v>
      </c>
      <c r="Y73" s="89">
        <v>0</v>
      </c>
      <c r="Z73" s="89">
        <v>3</v>
      </c>
      <c r="AA73" s="89">
        <v>0</v>
      </c>
      <c r="AB73" s="89">
        <v>0</v>
      </c>
      <c r="AC73" s="89">
        <v>0</v>
      </c>
      <c r="AD73" s="89">
        <v>0</v>
      </c>
      <c r="AE73" s="89">
        <v>9</v>
      </c>
      <c r="AF73" s="89">
        <v>36</v>
      </c>
      <c r="AG73" s="89">
        <v>0</v>
      </c>
      <c r="AH73" s="89">
        <v>0</v>
      </c>
      <c r="AI73" s="89">
        <v>0</v>
      </c>
      <c r="AJ73" s="89">
        <v>0</v>
      </c>
    </row>
    <row r="74" spans="1:36" x14ac:dyDescent="0.3">
      <c r="A74" s="311" t="s">
        <v>724</v>
      </c>
      <c r="B74" s="312">
        <v>45989</v>
      </c>
      <c r="C74" s="88" t="s">
        <v>427</v>
      </c>
      <c r="D74" s="313" t="s">
        <v>729</v>
      </c>
      <c r="E74" s="88" t="s">
        <v>403</v>
      </c>
      <c r="F74" s="88" t="s">
        <v>214</v>
      </c>
      <c r="G74" s="314">
        <v>0.3911</v>
      </c>
      <c r="H74" s="89">
        <v>179</v>
      </c>
      <c r="I74" s="89">
        <v>70</v>
      </c>
      <c r="J74" s="89">
        <v>39</v>
      </c>
      <c r="K74" s="89" t="s">
        <v>215</v>
      </c>
      <c r="L74" s="315" t="s">
        <v>175</v>
      </c>
      <c r="M74" s="89">
        <v>5</v>
      </c>
      <c r="N74" s="89">
        <v>4</v>
      </c>
      <c r="O74" s="89">
        <v>21</v>
      </c>
      <c r="P74" s="89" t="s">
        <v>353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89">
        <v>0</v>
      </c>
      <c r="Z74" s="89">
        <v>0</v>
      </c>
      <c r="AA74" s="89">
        <v>0</v>
      </c>
      <c r="AB74" s="89">
        <v>0</v>
      </c>
      <c r="AC74" s="89">
        <v>0</v>
      </c>
      <c r="AD74" s="89">
        <v>0</v>
      </c>
      <c r="AE74" s="89">
        <v>18</v>
      </c>
      <c r="AF74" s="89">
        <v>13</v>
      </c>
      <c r="AG74" s="89">
        <v>0</v>
      </c>
      <c r="AH74" s="89">
        <v>0</v>
      </c>
      <c r="AI74" s="89">
        <v>39</v>
      </c>
      <c r="AJ74" s="89">
        <v>0</v>
      </c>
    </row>
    <row r="75" spans="1:36" x14ac:dyDescent="0.3">
      <c r="A75" s="311" t="s">
        <v>724</v>
      </c>
      <c r="B75" s="312">
        <v>45989</v>
      </c>
      <c r="C75" s="88" t="s">
        <v>432</v>
      </c>
      <c r="D75" s="313" t="s">
        <v>691</v>
      </c>
      <c r="E75" s="88" t="s">
        <v>403</v>
      </c>
      <c r="F75" s="88" t="s">
        <v>214</v>
      </c>
      <c r="G75" s="314">
        <v>0.65359999999999996</v>
      </c>
      <c r="H75" s="89">
        <v>179</v>
      </c>
      <c r="I75" s="89">
        <v>117</v>
      </c>
      <c r="J75" s="89">
        <v>68</v>
      </c>
      <c r="K75" s="89" t="s">
        <v>215</v>
      </c>
      <c r="L75" s="315" t="s">
        <v>175</v>
      </c>
      <c r="M75" s="89">
        <v>1</v>
      </c>
      <c r="N75" s="89">
        <v>9</v>
      </c>
      <c r="O75" s="89">
        <v>29</v>
      </c>
      <c r="P75" s="89" t="s">
        <v>353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1</v>
      </c>
      <c r="Y75" s="89">
        <v>1</v>
      </c>
      <c r="Z75" s="89">
        <v>1</v>
      </c>
      <c r="AA75" s="89">
        <v>0</v>
      </c>
      <c r="AB75" s="89">
        <v>0</v>
      </c>
      <c r="AC75" s="89">
        <v>0</v>
      </c>
      <c r="AD75" s="89">
        <v>3</v>
      </c>
      <c r="AE75" s="89">
        <v>29</v>
      </c>
      <c r="AF75" s="89">
        <v>14</v>
      </c>
      <c r="AG75" s="89">
        <v>0</v>
      </c>
      <c r="AH75" s="89">
        <v>0</v>
      </c>
      <c r="AI75" s="89">
        <v>68</v>
      </c>
      <c r="AJ75" s="89">
        <v>0</v>
      </c>
    </row>
    <row r="76" spans="1:36" x14ac:dyDescent="0.3">
      <c r="A76" s="311" t="s">
        <v>724</v>
      </c>
      <c r="B76" s="312">
        <v>45989</v>
      </c>
      <c r="C76" s="88" t="s">
        <v>949</v>
      </c>
      <c r="D76" s="313" t="s">
        <v>1011</v>
      </c>
      <c r="E76" s="88" t="s">
        <v>934</v>
      </c>
      <c r="F76" s="88" t="s">
        <v>214</v>
      </c>
      <c r="G76" s="314">
        <v>0.49399999999999999</v>
      </c>
      <c r="H76" s="89">
        <v>168</v>
      </c>
      <c r="I76" s="89">
        <v>83</v>
      </c>
      <c r="J76" s="89">
        <v>2</v>
      </c>
      <c r="K76" s="89" t="s">
        <v>215</v>
      </c>
      <c r="L76" s="315" t="s">
        <v>50</v>
      </c>
      <c r="M76" s="89">
        <v>0</v>
      </c>
      <c r="N76" s="89">
        <v>12</v>
      </c>
      <c r="O76" s="89">
        <v>49</v>
      </c>
      <c r="P76" s="89" t="s">
        <v>353</v>
      </c>
      <c r="Q76" s="89">
        <v>0</v>
      </c>
      <c r="R76" s="89">
        <v>0</v>
      </c>
      <c r="S76" s="89">
        <v>0</v>
      </c>
      <c r="T76" s="89">
        <v>0</v>
      </c>
      <c r="U76" s="89">
        <v>0</v>
      </c>
      <c r="V76" s="89">
        <v>0</v>
      </c>
      <c r="W76" s="89">
        <v>0</v>
      </c>
      <c r="X76" s="89">
        <v>0</v>
      </c>
      <c r="Y76" s="89">
        <v>0</v>
      </c>
      <c r="Z76" s="89">
        <v>3</v>
      </c>
      <c r="AA76" s="89">
        <v>1</v>
      </c>
      <c r="AB76" s="89">
        <v>0</v>
      </c>
      <c r="AC76" s="89">
        <v>6</v>
      </c>
      <c r="AD76" s="89">
        <v>11</v>
      </c>
      <c r="AE76" s="89">
        <v>20</v>
      </c>
      <c r="AF76" s="89">
        <v>40</v>
      </c>
      <c r="AG76" s="89">
        <v>0</v>
      </c>
      <c r="AH76" s="89">
        <v>0</v>
      </c>
      <c r="AI76" s="89">
        <v>2</v>
      </c>
      <c r="AJ76" s="89">
        <v>0</v>
      </c>
    </row>
    <row r="77" spans="1:36" x14ac:dyDescent="0.3">
      <c r="A77" s="311" t="s">
        <v>724</v>
      </c>
      <c r="B77" s="312">
        <v>45989</v>
      </c>
      <c r="C77" s="88" t="s">
        <v>1414</v>
      </c>
      <c r="D77" s="313" t="s">
        <v>1383</v>
      </c>
      <c r="E77" s="88" t="s">
        <v>1413</v>
      </c>
      <c r="F77" s="88" t="s">
        <v>214</v>
      </c>
      <c r="G77" s="314">
        <v>0.42859999999999998</v>
      </c>
      <c r="H77" s="89">
        <v>168</v>
      </c>
      <c r="I77" s="89">
        <v>72</v>
      </c>
      <c r="J77" s="89">
        <v>0</v>
      </c>
      <c r="K77" s="89" t="s">
        <v>215</v>
      </c>
      <c r="L77" s="315" t="s">
        <v>175</v>
      </c>
      <c r="M77" s="89">
        <v>2</v>
      </c>
      <c r="N77" s="89">
        <v>11</v>
      </c>
      <c r="O77" s="89">
        <v>49</v>
      </c>
      <c r="P77" s="89" t="s">
        <v>364</v>
      </c>
      <c r="Q77" s="89">
        <v>0</v>
      </c>
      <c r="R77" s="89">
        <v>0</v>
      </c>
      <c r="S77" s="89">
        <v>0</v>
      </c>
      <c r="T77" s="89">
        <v>0</v>
      </c>
      <c r="U77" s="89">
        <v>0</v>
      </c>
      <c r="V77" s="89">
        <v>0</v>
      </c>
      <c r="W77" s="89">
        <v>0</v>
      </c>
      <c r="X77" s="89">
        <v>0</v>
      </c>
      <c r="Y77" s="89">
        <v>0</v>
      </c>
      <c r="Z77" s="89">
        <v>0</v>
      </c>
      <c r="AA77" s="89">
        <v>0</v>
      </c>
      <c r="AB77" s="89">
        <v>0</v>
      </c>
      <c r="AC77" s="89">
        <v>0</v>
      </c>
      <c r="AD77" s="89">
        <v>22</v>
      </c>
      <c r="AE77" s="89">
        <v>49</v>
      </c>
      <c r="AF77" s="89">
        <v>1</v>
      </c>
      <c r="AG77" s="89">
        <v>0</v>
      </c>
      <c r="AH77" s="89">
        <v>0</v>
      </c>
      <c r="AI77" s="89">
        <v>0</v>
      </c>
      <c r="AJ77" s="89">
        <v>0</v>
      </c>
    </row>
    <row r="78" spans="1:36" x14ac:dyDescent="0.3">
      <c r="A78" s="311" t="s">
        <v>248</v>
      </c>
      <c r="B78" s="312">
        <v>45990</v>
      </c>
      <c r="C78" s="88" t="s">
        <v>1366</v>
      </c>
      <c r="D78" s="313" t="s">
        <v>1379</v>
      </c>
      <c r="E78" s="88" t="s">
        <v>1357</v>
      </c>
      <c r="F78" s="88" t="s">
        <v>214</v>
      </c>
      <c r="G78" s="314">
        <v>0.16070000000000001</v>
      </c>
      <c r="H78" s="89">
        <v>168</v>
      </c>
      <c r="I78" s="89">
        <v>27</v>
      </c>
      <c r="J78" s="89">
        <v>0</v>
      </c>
      <c r="K78" s="89" t="s">
        <v>215</v>
      </c>
      <c r="L78" s="315" t="s">
        <v>50</v>
      </c>
      <c r="M78" s="89">
        <v>0</v>
      </c>
      <c r="N78" s="89">
        <v>4</v>
      </c>
      <c r="O78" s="89">
        <v>12</v>
      </c>
      <c r="P78" s="89" t="s">
        <v>237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9">
        <v>0</v>
      </c>
      <c r="AB78" s="89">
        <v>0</v>
      </c>
      <c r="AC78" s="89">
        <v>0</v>
      </c>
      <c r="AD78" s="89">
        <v>0</v>
      </c>
      <c r="AE78" s="89">
        <v>12</v>
      </c>
      <c r="AF78" s="89">
        <v>15</v>
      </c>
      <c r="AG78" s="89">
        <v>0</v>
      </c>
      <c r="AH78" s="89">
        <v>0</v>
      </c>
      <c r="AI78" s="89">
        <v>0</v>
      </c>
      <c r="AJ78" s="89">
        <v>0</v>
      </c>
    </row>
    <row r="79" spans="1:36" x14ac:dyDescent="0.3">
      <c r="A79" s="311" t="s">
        <v>248</v>
      </c>
      <c r="B79" s="312">
        <v>45990</v>
      </c>
      <c r="C79" s="88" t="s">
        <v>1525</v>
      </c>
      <c r="D79" s="313" t="s">
        <v>1537</v>
      </c>
      <c r="E79" s="88" t="s">
        <v>1516</v>
      </c>
      <c r="F79" s="88" t="s">
        <v>214</v>
      </c>
      <c r="G79" s="314">
        <v>0.1012</v>
      </c>
      <c r="H79" s="89">
        <v>168</v>
      </c>
      <c r="I79" s="89">
        <v>17</v>
      </c>
      <c r="J79" s="89">
        <v>0</v>
      </c>
      <c r="K79" s="89" t="s">
        <v>215</v>
      </c>
      <c r="L79" s="315" t="s">
        <v>50</v>
      </c>
      <c r="M79" s="89">
        <v>0</v>
      </c>
      <c r="N79" s="89">
        <v>1</v>
      </c>
      <c r="O79" s="89">
        <v>1</v>
      </c>
      <c r="P79" s="89" t="s">
        <v>237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2</v>
      </c>
      <c r="AA79" s="89">
        <v>4</v>
      </c>
      <c r="AB79" s="89">
        <v>0</v>
      </c>
      <c r="AC79" s="89">
        <v>0</v>
      </c>
      <c r="AD79" s="89">
        <v>0</v>
      </c>
      <c r="AE79" s="89">
        <v>11</v>
      </c>
      <c r="AF79" s="89">
        <v>0</v>
      </c>
      <c r="AG79" s="89">
        <v>0</v>
      </c>
      <c r="AH79" s="89">
        <v>0</v>
      </c>
      <c r="AI79" s="89">
        <v>0</v>
      </c>
      <c r="AJ79" s="89">
        <v>0</v>
      </c>
    </row>
    <row r="80" spans="1:36" x14ac:dyDescent="0.3">
      <c r="A80" s="311" t="s">
        <v>248</v>
      </c>
      <c r="B80" s="312">
        <v>45990</v>
      </c>
      <c r="C80" s="88" t="s">
        <v>1295</v>
      </c>
      <c r="D80" s="313" t="s">
        <v>1249</v>
      </c>
      <c r="E80" s="88" t="s">
        <v>1288</v>
      </c>
      <c r="F80" s="88" t="s">
        <v>214</v>
      </c>
      <c r="G80" s="314">
        <v>0.17860000000000001</v>
      </c>
      <c r="H80" s="89">
        <v>168</v>
      </c>
      <c r="I80" s="89">
        <v>30</v>
      </c>
      <c r="J80" s="89">
        <v>0</v>
      </c>
      <c r="K80" s="89" t="s">
        <v>215</v>
      </c>
      <c r="L80" s="315" t="s">
        <v>433</v>
      </c>
      <c r="M80" s="89">
        <v>0</v>
      </c>
      <c r="N80" s="89">
        <v>0</v>
      </c>
      <c r="O80" s="89">
        <v>1</v>
      </c>
      <c r="P80" s="89" t="s">
        <v>353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2</v>
      </c>
      <c r="Y80" s="89">
        <v>1</v>
      </c>
      <c r="Z80" s="89">
        <v>7</v>
      </c>
      <c r="AA80" s="89">
        <v>6</v>
      </c>
      <c r="AB80" s="89">
        <v>0</v>
      </c>
      <c r="AC80" s="89">
        <v>0</v>
      </c>
      <c r="AD80" s="89">
        <v>1</v>
      </c>
      <c r="AE80" s="89">
        <v>0</v>
      </c>
      <c r="AF80" s="89">
        <v>13</v>
      </c>
      <c r="AG80" s="89">
        <v>0</v>
      </c>
      <c r="AH80" s="89">
        <v>0</v>
      </c>
      <c r="AI80" s="89">
        <v>0</v>
      </c>
      <c r="AJ80" s="89">
        <v>0</v>
      </c>
    </row>
    <row r="81" spans="1:36" x14ac:dyDescent="0.3">
      <c r="A81" s="311" t="s">
        <v>248</v>
      </c>
      <c r="B81" s="312">
        <v>45990</v>
      </c>
      <c r="C81" s="88" t="s">
        <v>1546</v>
      </c>
      <c r="D81" s="313" t="s">
        <v>1556</v>
      </c>
      <c r="E81" s="88" t="s">
        <v>1543</v>
      </c>
      <c r="F81" s="88" t="s">
        <v>214</v>
      </c>
      <c r="G81" s="314">
        <v>0.29170000000000001</v>
      </c>
      <c r="H81" s="89">
        <v>168</v>
      </c>
      <c r="I81" s="89">
        <v>49</v>
      </c>
      <c r="J81" s="89">
        <v>0</v>
      </c>
      <c r="K81" s="89" t="s">
        <v>215</v>
      </c>
      <c r="L81" s="315" t="s">
        <v>175</v>
      </c>
      <c r="M81" s="89">
        <v>1</v>
      </c>
      <c r="N81" s="89">
        <v>6</v>
      </c>
      <c r="O81" s="89">
        <v>22</v>
      </c>
      <c r="P81" s="89" t="s">
        <v>643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 s="89">
        <v>0</v>
      </c>
      <c r="Y81" s="89">
        <v>0</v>
      </c>
      <c r="Z81" s="89">
        <v>0</v>
      </c>
      <c r="AA81" s="89">
        <v>1</v>
      </c>
      <c r="AB81" s="89">
        <v>0</v>
      </c>
      <c r="AC81" s="89">
        <v>0</v>
      </c>
      <c r="AD81" s="89">
        <v>18</v>
      </c>
      <c r="AE81" s="89">
        <v>30</v>
      </c>
      <c r="AF81" s="89">
        <v>0</v>
      </c>
      <c r="AG81" s="89">
        <v>0</v>
      </c>
      <c r="AH81" s="89">
        <v>0</v>
      </c>
      <c r="AI81" s="89">
        <v>0</v>
      </c>
      <c r="AJ81" s="89">
        <v>0</v>
      </c>
    </row>
    <row r="82" spans="1:36" x14ac:dyDescent="0.3">
      <c r="A82" s="311" t="s">
        <v>248</v>
      </c>
      <c r="B82" s="312">
        <v>45990</v>
      </c>
      <c r="C82" s="88" t="s">
        <v>1426</v>
      </c>
      <c r="D82" s="313" t="s">
        <v>1463</v>
      </c>
      <c r="E82" s="88" t="s">
        <v>1422</v>
      </c>
      <c r="F82" s="88" t="s">
        <v>214</v>
      </c>
      <c r="G82" s="314">
        <v>0.94410000000000005</v>
      </c>
      <c r="H82" s="89">
        <v>179</v>
      </c>
      <c r="I82" s="89">
        <v>169</v>
      </c>
      <c r="J82" s="89">
        <v>137</v>
      </c>
      <c r="K82" s="89" t="s">
        <v>215</v>
      </c>
      <c r="L82" s="315" t="s">
        <v>50</v>
      </c>
      <c r="M82" s="89">
        <v>0</v>
      </c>
      <c r="N82" s="89">
        <v>3</v>
      </c>
      <c r="O82" s="89">
        <v>10</v>
      </c>
      <c r="P82" s="89" t="s">
        <v>841</v>
      </c>
      <c r="Q82" s="89">
        <v>1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9">
        <v>0</v>
      </c>
      <c r="Y82" s="89">
        <v>11</v>
      </c>
      <c r="Z82" s="89">
        <v>0</v>
      </c>
      <c r="AA82" s="89">
        <v>2</v>
      </c>
      <c r="AB82" s="89">
        <v>0</v>
      </c>
      <c r="AC82" s="89">
        <v>7</v>
      </c>
      <c r="AD82" s="89">
        <v>1</v>
      </c>
      <c r="AE82" s="89">
        <v>6</v>
      </c>
      <c r="AF82" s="89">
        <v>4</v>
      </c>
      <c r="AG82" s="89">
        <v>0</v>
      </c>
      <c r="AH82" s="89">
        <v>0</v>
      </c>
      <c r="AI82" s="89">
        <v>137</v>
      </c>
      <c r="AJ82" s="89">
        <v>0</v>
      </c>
    </row>
    <row r="83" spans="1:36" x14ac:dyDescent="0.3">
      <c r="A83" s="311" t="s">
        <v>248</v>
      </c>
      <c r="B83" s="312">
        <v>45990</v>
      </c>
      <c r="C83" s="88" t="s">
        <v>518</v>
      </c>
      <c r="D83" s="313" t="s">
        <v>741</v>
      </c>
      <c r="E83" s="88" t="s">
        <v>403</v>
      </c>
      <c r="F83" s="88" t="s">
        <v>214</v>
      </c>
      <c r="G83" s="314">
        <v>0.71509999999999996</v>
      </c>
      <c r="H83" s="89">
        <v>179</v>
      </c>
      <c r="I83" s="89">
        <v>128</v>
      </c>
      <c r="J83" s="89">
        <v>73</v>
      </c>
      <c r="K83" s="89" t="s">
        <v>215</v>
      </c>
      <c r="L83" s="315" t="s">
        <v>175</v>
      </c>
      <c r="M83" s="89">
        <v>1</v>
      </c>
      <c r="N83" s="89">
        <v>14</v>
      </c>
      <c r="O83" s="89">
        <v>87</v>
      </c>
      <c r="P83" s="89" t="s">
        <v>547</v>
      </c>
      <c r="Q83" s="89">
        <v>0</v>
      </c>
      <c r="R83" s="89">
        <v>0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 s="89">
        <v>0</v>
      </c>
      <c r="Y83" s="89">
        <v>0</v>
      </c>
      <c r="Z83" s="89">
        <v>2</v>
      </c>
      <c r="AA83" s="89">
        <v>1</v>
      </c>
      <c r="AB83" s="89">
        <v>0</v>
      </c>
      <c r="AC83" s="89">
        <v>3</v>
      </c>
      <c r="AD83" s="89">
        <v>2</v>
      </c>
      <c r="AE83" s="89">
        <v>29</v>
      </c>
      <c r="AF83" s="89">
        <v>18</v>
      </c>
      <c r="AG83" s="89">
        <v>0</v>
      </c>
      <c r="AH83" s="89">
        <v>0</v>
      </c>
      <c r="AI83" s="89">
        <v>73</v>
      </c>
      <c r="AJ83" s="89">
        <v>0</v>
      </c>
    </row>
    <row r="84" spans="1:36" x14ac:dyDescent="0.3">
      <c r="A84" s="311" t="s">
        <v>248</v>
      </c>
      <c r="B84" s="312">
        <v>45990</v>
      </c>
      <c r="C84" s="88" t="s">
        <v>810</v>
      </c>
      <c r="D84" s="313" t="s">
        <v>911</v>
      </c>
      <c r="E84" s="88" t="s">
        <v>793</v>
      </c>
      <c r="F84" s="88" t="s">
        <v>214</v>
      </c>
      <c r="G84" s="314">
        <v>0.95240000000000002</v>
      </c>
      <c r="H84" s="89">
        <v>168</v>
      </c>
      <c r="I84" s="89">
        <v>160</v>
      </c>
      <c r="J84" s="89">
        <v>119</v>
      </c>
      <c r="K84" s="89" t="s">
        <v>215</v>
      </c>
      <c r="L84" s="315" t="s">
        <v>378</v>
      </c>
      <c r="M84" s="89">
        <v>0</v>
      </c>
      <c r="N84" s="89">
        <v>0</v>
      </c>
      <c r="O84" s="89">
        <v>1</v>
      </c>
      <c r="P84" s="89" t="s">
        <v>841</v>
      </c>
      <c r="Q84" s="89">
        <v>0</v>
      </c>
      <c r="R84" s="89">
        <v>0</v>
      </c>
      <c r="S84" s="89">
        <v>0</v>
      </c>
      <c r="T84" s="89">
        <v>0</v>
      </c>
      <c r="U84" s="89">
        <v>0</v>
      </c>
      <c r="V84" s="89">
        <v>0</v>
      </c>
      <c r="W84" s="89">
        <v>0</v>
      </c>
      <c r="X84" s="89">
        <v>0</v>
      </c>
      <c r="Y84" s="89">
        <v>2</v>
      </c>
      <c r="Z84" s="89">
        <v>11</v>
      </c>
      <c r="AA84" s="89">
        <v>0</v>
      </c>
      <c r="AB84" s="89">
        <v>0</v>
      </c>
      <c r="AC84" s="89">
        <v>7</v>
      </c>
      <c r="AD84" s="89">
        <v>7</v>
      </c>
      <c r="AE84" s="89">
        <v>6</v>
      </c>
      <c r="AF84" s="89">
        <v>8</v>
      </c>
      <c r="AG84" s="89">
        <v>0</v>
      </c>
      <c r="AH84" s="89">
        <v>0</v>
      </c>
      <c r="AI84" s="89">
        <v>119</v>
      </c>
      <c r="AJ84" s="89">
        <v>0</v>
      </c>
    </row>
    <row r="85" spans="1:36" x14ac:dyDescent="0.3">
      <c r="A85" s="311" t="s">
        <v>248</v>
      </c>
      <c r="B85" s="312">
        <v>45990</v>
      </c>
      <c r="C85" s="88" t="s">
        <v>938</v>
      </c>
      <c r="D85" s="313" t="s">
        <v>914</v>
      </c>
      <c r="E85" s="88" t="s">
        <v>934</v>
      </c>
      <c r="F85" s="88" t="s">
        <v>214</v>
      </c>
      <c r="G85" s="314">
        <v>0.92859999999999998</v>
      </c>
      <c r="H85" s="89">
        <v>168</v>
      </c>
      <c r="I85" s="89">
        <v>156</v>
      </c>
      <c r="J85" s="89">
        <v>135</v>
      </c>
      <c r="K85" s="89" t="s">
        <v>215</v>
      </c>
      <c r="L85" s="315" t="s">
        <v>50</v>
      </c>
      <c r="M85" s="89">
        <v>0</v>
      </c>
      <c r="N85" s="89">
        <v>3</v>
      </c>
      <c r="O85" s="89">
        <v>6</v>
      </c>
      <c r="P85" s="89" t="s">
        <v>265</v>
      </c>
      <c r="Q85" s="89">
        <v>0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 s="89">
        <v>0</v>
      </c>
      <c r="Y85" s="89">
        <v>0</v>
      </c>
      <c r="Z85" s="89">
        <v>1</v>
      </c>
      <c r="AA85" s="89">
        <v>1</v>
      </c>
      <c r="AB85" s="89">
        <v>2</v>
      </c>
      <c r="AC85" s="89">
        <v>1</v>
      </c>
      <c r="AD85" s="89">
        <v>12</v>
      </c>
      <c r="AE85" s="89">
        <v>0</v>
      </c>
      <c r="AF85" s="89">
        <v>4</v>
      </c>
      <c r="AG85" s="89">
        <v>0</v>
      </c>
      <c r="AH85" s="89">
        <v>0</v>
      </c>
      <c r="AI85" s="89">
        <v>135</v>
      </c>
      <c r="AJ85" s="89">
        <v>0</v>
      </c>
    </row>
    <row r="86" spans="1:36" x14ac:dyDescent="0.3">
      <c r="A86" s="311" t="s">
        <v>248</v>
      </c>
      <c r="B86" s="312">
        <v>45990</v>
      </c>
      <c r="C86" s="88" t="s">
        <v>822</v>
      </c>
      <c r="D86" s="313" t="s">
        <v>729</v>
      </c>
      <c r="E86" s="88" t="s">
        <v>793</v>
      </c>
      <c r="F86" s="88" t="s">
        <v>214</v>
      </c>
      <c r="G86" s="314">
        <v>0.97619999999999996</v>
      </c>
      <c r="H86" s="89">
        <v>168</v>
      </c>
      <c r="I86" s="89">
        <v>164</v>
      </c>
      <c r="J86" s="89">
        <v>138</v>
      </c>
      <c r="K86" s="89" t="s">
        <v>215</v>
      </c>
      <c r="L86" s="315" t="s">
        <v>433</v>
      </c>
      <c r="M86" s="89">
        <v>0</v>
      </c>
      <c r="N86" s="89">
        <v>0</v>
      </c>
      <c r="O86" s="89">
        <v>2</v>
      </c>
      <c r="P86" s="89" t="s">
        <v>319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4</v>
      </c>
      <c r="Z86" s="89">
        <v>3</v>
      </c>
      <c r="AA86" s="89">
        <v>0</v>
      </c>
      <c r="AB86" s="89">
        <v>1</v>
      </c>
      <c r="AC86" s="89">
        <v>17</v>
      </c>
      <c r="AD86" s="89">
        <v>0</v>
      </c>
      <c r="AE86" s="89">
        <v>0</v>
      </c>
      <c r="AF86" s="89">
        <v>0</v>
      </c>
      <c r="AG86" s="89">
        <v>0</v>
      </c>
      <c r="AH86" s="89">
        <v>0</v>
      </c>
      <c r="AI86" s="89">
        <v>139</v>
      </c>
      <c r="AJ86" s="89">
        <v>0</v>
      </c>
    </row>
    <row r="87" spans="1:36" x14ac:dyDescent="0.3">
      <c r="A87" s="311" t="s">
        <v>248</v>
      </c>
      <c r="B87" s="312">
        <v>45990</v>
      </c>
      <c r="C87" s="88" t="s">
        <v>1155</v>
      </c>
      <c r="D87" s="313" t="s">
        <v>1246</v>
      </c>
      <c r="E87" s="88" t="s">
        <v>1098</v>
      </c>
      <c r="F87" s="88" t="s">
        <v>214</v>
      </c>
      <c r="G87" s="314">
        <v>0.49399999999999999</v>
      </c>
      <c r="H87" s="89">
        <v>168</v>
      </c>
      <c r="I87" s="89">
        <v>83</v>
      </c>
      <c r="J87" s="89">
        <v>0</v>
      </c>
      <c r="K87" s="89" t="s">
        <v>215</v>
      </c>
      <c r="L87" s="315" t="s">
        <v>175</v>
      </c>
      <c r="M87" s="89">
        <v>6</v>
      </c>
      <c r="N87" s="89">
        <v>3</v>
      </c>
      <c r="O87" s="89">
        <v>32</v>
      </c>
      <c r="P87" s="89" t="s">
        <v>263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1</v>
      </c>
      <c r="W87" s="89">
        <v>0</v>
      </c>
      <c r="X87" s="89">
        <v>0</v>
      </c>
      <c r="Y87" s="89">
        <v>0</v>
      </c>
      <c r="Z87" s="89">
        <v>1</v>
      </c>
      <c r="AA87" s="89">
        <v>1</v>
      </c>
      <c r="AB87" s="89">
        <v>0</v>
      </c>
      <c r="AC87" s="89">
        <v>0</v>
      </c>
      <c r="AD87" s="89">
        <v>2</v>
      </c>
      <c r="AE87" s="89">
        <v>18</v>
      </c>
      <c r="AF87" s="89">
        <v>60</v>
      </c>
      <c r="AG87" s="89">
        <v>0</v>
      </c>
      <c r="AH87" s="89">
        <v>0</v>
      </c>
      <c r="AI87" s="89">
        <v>0</v>
      </c>
      <c r="AJ87" s="89">
        <v>0</v>
      </c>
    </row>
    <row r="88" spans="1:36" x14ac:dyDescent="0.3">
      <c r="A88" s="311" t="s">
        <v>248</v>
      </c>
      <c r="B88" s="312">
        <v>45990</v>
      </c>
      <c r="C88" s="88" t="s">
        <v>417</v>
      </c>
      <c r="D88" s="313" t="s">
        <v>717</v>
      </c>
      <c r="E88" s="88" t="s">
        <v>403</v>
      </c>
      <c r="F88" s="88" t="s">
        <v>214</v>
      </c>
      <c r="G88" s="314">
        <v>0.81010000000000004</v>
      </c>
      <c r="H88" s="89">
        <v>179</v>
      </c>
      <c r="I88" s="89">
        <v>145</v>
      </c>
      <c r="J88" s="89">
        <v>98</v>
      </c>
      <c r="K88" s="89" t="s">
        <v>215</v>
      </c>
      <c r="L88" s="315" t="s">
        <v>175</v>
      </c>
      <c r="M88" s="89">
        <v>10</v>
      </c>
      <c r="N88" s="89">
        <v>5</v>
      </c>
      <c r="O88" s="89">
        <v>31</v>
      </c>
      <c r="P88" s="89" t="s">
        <v>335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3</v>
      </c>
      <c r="AA88" s="89">
        <v>0</v>
      </c>
      <c r="AB88" s="89">
        <v>0</v>
      </c>
      <c r="AC88" s="89">
        <v>1</v>
      </c>
      <c r="AD88" s="89">
        <v>10</v>
      </c>
      <c r="AE88" s="89">
        <v>14</v>
      </c>
      <c r="AF88" s="89">
        <v>19</v>
      </c>
      <c r="AG88" s="89">
        <v>3</v>
      </c>
      <c r="AH88" s="89">
        <v>0</v>
      </c>
      <c r="AI88" s="89">
        <v>95</v>
      </c>
      <c r="AJ88" s="89">
        <v>0</v>
      </c>
    </row>
    <row r="89" spans="1:36" x14ac:dyDescent="0.3">
      <c r="A89" s="311" t="s">
        <v>248</v>
      </c>
      <c r="B89" s="312">
        <v>45990</v>
      </c>
      <c r="C89" s="88" t="s">
        <v>427</v>
      </c>
      <c r="D89" s="313" t="s">
        <v>747</v>
      </c>
      <c r="E89" s="88" t="s">
        <v>403</v>
      </c>
      <c r="F89" s="88" t="s">
        <v>214</v>
      </c>
      <c r="G89" s="314">
        <v>0.77090000000000003</v>
      </c>
      <c r="H89" s="89">
        <v>179</v>
      </c>
      <c r="I89" s="89">
        <v>138</v>
      </c>
      <c r="J89" s="89">
        <v>107</v>
      </c>
      <c r="K89" s="89" t="s">
        <v>215</v>
      </c>
      <c r="L89" s="315" t="s">
        <v>50</v>
      </c>
      <c r="M89" s="89">
        <v>0</v>
      </c>
      <c r="N89" s="89">
        <v>8</v>
      </c>
      <c r="O89" s="89">
        <v>27</v>
      </c>
      <c r="P89" s="89" t="s">
        <v>237</v>
      </c>
      <c r="Q89" s="89">
        <v>0</v>
      </c>
      <c r="R89" s="89">
        <v>0</v>
      </c>
      <c r="S89" s="89">
        <v>0</v>
      </c>
      <c r="T89" s="89">
        <v>0</v>
      </c>
      <c r="U89" s="89">
        <v>0</v>
      </c>
      <c r="V89" s="89">
        <v>0</v>
      </c>
      <c r="W89" s="89">
        <v>0</v>
      </c>
      <c r="X89" s="89">
        <v>0</v>
      </c>
      <c r="Y89" s="89">
        <v>0</v>
      </c>
      <c r="Z89" s="89">
        <v>1</v>
      </c>
      <c r="AA89" s="89">
        <v>0</v>
      </c>
      <c r="AB89" s="89">
        <v>9</v>
      </c>
      <c r="AC89" s="89">
        <v>9</v>
      </c>
      <c r="AD89" s="89">
        <v>0</v>
      </c>
      <c r="AE89" s="89">
        <v>7</v>
      </c>
      <c r="AF89" s="89">
        <v>0</v>
      </c>
      <c r="AG89" s="89">
        <v>0</v>
      </c>
      <c r="AH89" s="89">
        <v>0</v>
      </c>
      <c r="AI89" s="89">
        <v>102</v>
      </c>
      <c r="AJ89" s="89">
        <v>10</v>
      </c>
    </row>
    <row r="90" spans="1:36" x14ac:dyDescent="0.3">
      <c r="A90" s="311" t="s">
        <v>248</v>
      </c>
      <c r="B90" s="312">
        <v>45990</v>
      </c>
      <c r="C90" s="88" t="s">
        <v>49</v>
      </c>
      <c r="D90" s="313" t="s">
        <v>386</v>
      </c>
      <c r="E90" s="88" t="s">
        <v>358</v>
      </c>
      <c r="F90" s="88" t="s">
        <v>214</v>
      </c>
      <c r="G90" s="314">
        <v>0.48809999999999998</v>
      </c>
      <c r="H90" s="89">
        <v>168</v>
      </c>
      <c r="I90" s="89">
        <v>82</v>
      </c>
      <c r="J90" s="89">
        <v>0</v>
      </c>
      <c r="K90" s="89" t="s">
        <v>215</v>
      </c>
      <c r="L90" s="315" t="s">
        <v>175</v>
      </c>
      <c r="M90" s="89">
        <v>1</v>
      </c>
      <c r="N90" s="89">
        <v>0</v>
      </c>
      <c r="O90" s="89">
        <v>43</v>
      </c>
      <c r="P90" s="89" t="s">
        <v>364</v>
      </c>
      <c r="Q90" s="89">
        <v>0</v>
      </c>
      <c r="R90" s="89">
        <v>0</v>
      </c>
      <c r="S90" s="89">
        <v>0</v>
      </c>
      <c r="T90" s="89">
        <v>0</v>
      </c>
      <c r="U90" s="89">
        <v>0</v>
      </c>
      <c r="V90" s="89">
        <v>0</v>
      </c>
      <c r="W90" s="89">
        <v>0</v>
      </c>
      <c r="X90" s="89">
        <v>0</v>
      </c>
      <c r="Y90" s="89">
        <v>0</v>
      </c>
      <c r="Z90" s="89">
        <v>6</v>
      </c>
      <c r="AA90" s="89">
        <v>0</v>
      </c>
      <c r="AB90" s="89">
        <v>0</v>
      </c>
      <c r="AC90" s="89">
        <v>5</v>
      </c>
      <c r="AD90" s="89">
        <v>21</v>
      </c>
      <c r="AE90" s="89">
        <v>30</v>
      </c>
      <c r="AF90" s="89">
        <v>20</v>
      </c>
      <c r="AG90" s="89">
        <v>0</v>
      </c>
      <c r="AH90" s="89">
        <v>0</v>
      </c>
      <c r="AI90" s="89">
        <v>0</v>
      </c>
      <c r="AJ90" s="89">
        <v>0</v>
      </c>
    </row>
    <row r="91" spans="1:36" x14ac:dyDescent="0.3">
      <c r="A91" s="311" t="s">
        <v>248</v>
      </c>
      <c r="B91" s="312">
        <v>45990</v>
      </c>
      <c r="C91" s="88" t="s">
        <v>949</v>
      </c>
      <c r="D91" s="313" t="s">
        <v>1013</v>
      </c>
      <c r="E91" s="88" t="s">
        <v>934</v>
      </c>
      <c r="F91" s="88" t="s">
        <v>214</v>
      </c>
      <c r="G91" s="314">
        <v>0.71430000000000005</v>
      </c>
      <c r="H91" s="89">
        <v>168</v>
      </c>
      <c r="I91" s="89">
        <v>120</v>
      </c>
      <c r="J91" s="89">
        <v>95</v>
      </c>
      <c r="K91" s="89" t="s">
        <v>215</v>
      </c>
      <c r="L91" s="315" t="s">
        <v>50</v>
      </c>
      <c r="M91" s="89">
        <v>0</v>
      </c>
      <c r="N91" s="89">
        <v>2</v>
      </c>
      <c r="O91" s="89">
        <v>3</v>
      </c>
      <c r="P91" s="89" t="s">
        <v>364</v>
      </c>
      <c r="Q91" s="89">
        <v>0</v>
      </c>
      <c r="R91" s="89">
        <v>0</v>
      </c>
      <c r="S91" s="89">
        <v>0</v>
      </c>
      <c r="T91" s="89">
        <v>0</v>
      </c>
      <c r="U91" s="89">
        <v>0</v>
      </c>
      <c r="V91" s="89">
        <v>0</v>
      </c>
      <c r="W91" s="89">
        <v>0</v>
      </c>
      <c r="X91" s="89">
        <v>0</v>
      </c>
      <c r="Y91" s="89">
        <v>0</v>
      </c>
      <c r="Z91" s="89">
        <v>4</v>
      </c>
      <c r="AA91" s="89">
        <v>1</v>
      </c>
      <c r="AB91" s="89">
        <v>0</v>
      </c>
      <c r="AC91" s="89">
        <v>12</v>
      </c>
      <c r="AD91" s="89">
        <v>2</v>
      </c>
      <c r="AE91" s="89">
        <v>2</v>
      </c>
      <c r="AF91" s="89">
        <v>4</v>
      </c>
      <c r="AG91" s="89">
        <v>0</v>
      </c>
      <c r="AH91" s="89">
        <v>0</v>
      </c>
      <c r="AI91" s="89">
        <v>95</v>
      </c>
      <c r="AJ91" s="89">
        <v>0</v>
      </c>
    </row>
    <row r="92" spans="1:36" x14ac:dyDescent="0.3">
      <c r="A92" s="311" t="s">
        <v>248</v>
      </c>
      <c r="B92" s="312">
        <v>45990</v>
      </c>
      <c r="C92" s="88" t="s">
        <v>60</v>
      </c>
      <c r="D92" s="313" t="s">
        <v>249</v>
      </c>
      <c r="E92" s="88" t="s">
        <v>1</v>
      </c>
      <c r="F92" s="88" t="s">
        <v>214</v>
      </c>
      <c r="G92" s="314">
        <v>1.0298</v>
      </c>
      <c r="H92" s="89">
        <v>168</v>
      </c>
      <c r="I92" s="89">
        <v>173</v>
      </c>
      <c r="J92" s="89">
        <v>131</v>
      </c>
      <c r="K92" s="89" t="s">
        <v>215</v>
      </c>
      <c r="L92" s="315" t="s">
        <v>130</v>
      </c>
      <c r="M92" s="89">
        <v>0</v>
      </c>
      <c r="N92" s="89">
        <v>0</v>
      </c>
      <c r="O92" s="89">
        <v>0</v>
      </c>
      <c r="P92" s="89" t="s">
        <v>64</v>
      </c>
      <c r="Q92" s="89">
        <v>0</v>
      </c>
      <c r="R92" s="89">
        <v>0</v>
      </c>
      <c r="S92" s="89">
        <v>0</v>
      </c>
      <c r="T92" s="89">
        <v>0</v>
      </c>
      <c r="U92" s="89">
        <v>0</v>
      </c>
      <c r="V92" s="89">
        <v>0</v>
      </c>
      <c r="W92" s="89">
        <v>0</v>
      </c>
      <c r="X92" s="89">
        <v>0</v>
      </c>
      <c r="Y92" s="89">
        <v>2</v>
      </c>
      <c r="Z92" s="89">
        <v>12</v>
      </c>
      <c r="AA92" s="89">
        <v>0</v>
      </c>
      <c r="AB92" s="89">
        <v>0</v>
      </c>
      <c r="AC92" s="89">
        <v>0</v>
      </c>
      <c r="AD92" s="89">
        <v>0</v>
      </c>
      <c r="AE92" s="89">
        <v>0</v>
      </c>
      <c r="AF92" s="89">
        <v>22</v>
      </c>
      <c r="AG92" s="89">
        <v>0</v>
      </c>
      <c r="AH92" s="89">
        <v>0</v>
      </c>
      <c r="AI92" s="89">
        <v>133</v>
      </c>
      <c r="AJ92" s="89">
        <v>4</v>
      </c>
    </row>
    <row r="93" spans="1:36" x14ac:dyDescent="0.3">
      <c r="A93" s="311" t="s">
        <v>248</v>
      </c>
      <c r="B93" s="312">
        <v>45990</v>
      </c>
      <c r="C93" s="88" t="s">
        <v>1395</v>
      </c>
      <c r="D93" s="313" t="s">
        <v>1378</v>
      </c>
      <c r="E93" s="88" t="s">
        <v>1393</v>
      </c>
      <c r="F93" s="88" t="s">
        <v>214</v>
      </c>
      <c r="G93" s="314">
        <v>0.22620000000000001</v>
      </c>
      <c r="H93" s="89">
        <v>168</v>
      </c>
      <c r="I93" s="89">
        <v>38</v>
      </c>
      <c r="J93" s="89">
        <v>0</v>
      </c>
      <c r="K93" s="89" t="s">
        <v>215</v>
      </c>
      <c r="L93" s="315" t="s">
        <v>175</v>
      </c>
      <c r="M93" s="89">
        <v>4</v>
      </c>
      <c r="N93" s="89">
        <v>1</v>
      </c>
      <c r="O93" s="89">
        <v>25</v>
      </c>
      <c r="P93" s="89" t="s">
        <v>237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1</v>
      </c>
      <c r="AB93" s="89">
        <v>0</v>
      </c>
      <c r="AC93" s="89">
        <v>0</v>
      </c>
      <c r="AD93" s="89">
        <v>0</v>
      </c>
      <c r="AE93" s="89">
        <v>36</v>
      </c>
      <c r="AF93" s="89">
        <v>1</v>
      </c>
      <c r="AG93" s="89">
        <v>0</v>
      </c>
      <c r="AH93" s="89">
        <v>0</v>
      </c>
      <c r="AI93" s="89">
        <v>0</v>
      </c>
      <c r="AJ93" s="89">
        <v>0</v>
      </c>
    </row>
    <row r="94" spans="1:36" x14ac:dyDescent="0.3">
      <c r="A94" s="311" t="s">
        <v>254</v>
      </c>
      <c r="B94" s="312">
        <v>45991</v>
      </c>
      <c r="C94" s="88" t="s">
        <v>1565</v>
      </c>
      <c r="D94" s="313" t="s">
        <v>1554</v>
      </c>
      <c r="E94" s="88" t="s">
        <v>1559</v>
      </c>
      <c r="F94" s="88" t="s">
        <v>214</v>
      </c>
      <c r="G94" s="314">
        <v>0.25</v>
      </c>
      <c r="H94" s="89">
        <v>168</v>
      </c>
      <c r="I94" s="89">
        <v>42</v>
      </c>
      <c r="J94" s="89">
        <v>0</v>
      </c>
      <c r="K94" s="89" t="s">
        <v>215</v>
      </c>
      <c r="L94" s="315" t="s">
        <v>50</v>
      </c>
      <c r="M94" s="89">
        <v>0</v>
      </c>
      <c r="N94" s="89">
        <v>1</v>
      </c>
      <c r="O94" s="89">
        <v>11</v>
      </c>
      <c r="P94" s="89" t="s">
        <v>282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5</v>
      </c>
      <c r="AD94" s="89">
        <v>27</v>
      </c>
      <c r="AE94" s="89">
        <v>5</v>
      </c>
      <c r="AF94" s="89">
        <v>5</v>
      </c>
      <c r="AG94" s="89">
        <v>0</v>
      </c>
      <c r="AH94" s="89">
        <v>0</v>
      </c>
      <c r="AI94" s="89">
        <v>0</v>
      </c>
      <c r="AJ94" s="89">
        <v>0</v>
      </c>
    </row>
    <row r="95" spans="1:36" x14ac:dyDescent="0.3">
      <c r="A95" s="311" t="s">
        <v>254</v>
      </c>
      <c r="B95" s="312">
        <v>45991</v>
      </c>
      <c r="C95" s="88" t="s">
        <v>423</v>
      </c>
      <c r="D95" s="313" t="s">
        <v>751</v>
      </c>
      <c r="E95" s="88" t="s">
        <v>403</v>
      </c>
      <c r="F95" s="88" t="s">
        <v>214</v>
      </c>
      <c r="G95" s="314">
        <v>0.64249999999999996</v>
      </c>
      <c r="H95" s="89">
        <v>179</v>
      </c>
      <c r="I95" s="89">
        <v>115</v>
      </c>
      <c r="J95" s="89">
        <v>95</v>
      </c>
      <c r="K95" s="89" t="s">
        <v>215</v>
      </c>
      <c r="L95" s="315" t="s">
        <v>50</v>
      </c>
      <c r="M95" s="89">
        <v>0</v>
      </c>
      <c r="N95" s="89">
        <v>1</v>
      </c>
      <c r="O95" s="89">
        <v>15</v>
      </c>
      <c r="P95" s="89" t="s">
        <v>237</v>
      </c>
      <c r="Q95" s="89">
        <v>0</v>
      </c>
      <c r="R95" s="89">
        <v>0</v>
      </c>
      <c r="S95" s="89">
        <v>0</v>
      </c>
      <c r="T95" s="89">
        <v>0</v>
      </c>
      <c r="U95" s="89">
        <v>0</v>
      </c>
      <c r="V95" s="89">
        <v>0</v>
      </c>
      <c r="W95" s="89">
        <v>0</v>
      </c>
      <c r="X95" s="89">
        <v>0</v>
      </c>
      <c r="Y95" s="89">
        <v>0</v>
      </c>
      <c r="Z95" s="89">
        <v>2</v>
      </c>
      <c r="AA95" s="89">
        <v>2</v>
      </c>
      <c r="AB95" s="89">
        <v>0</v>
      </c>
      <c r="AC95" s="89">
        <v>3</v>
      </c>
      <c r="AD95" s="89">
        <v>10</v>
      </c>
      <c r="AE95" s="89">
        <v>2</v>
      </c>
      <c r="AF95" s="89">
        <v>1</v>
      </c>
      <c r="AG95" s="89">
        <v>0</v>
      </c>
      <c r="AH95" s="89">
        <v>0</v>
      </c>
      <c r="AI95" s="89">
        <v>95</v>
      </c>
      <c r="AJ95" s="89">
        <v>0</v>
      </c>
    </row>
    <row r="96" spans="1:36" x14ac:dyDescent="0.3">
      <c r="A96" s="311" t="s">
        <v>254</v>
      </c>
      <c r="B96" s="312">
        <v>45991</v>
      </c>
      <c r="C96" s="88" t="s">
        <v>1525</v>
      </c>
      <c r="D96" s="313" t="s">
        <v>1536</v>
      </c>
      <c r="E96" s="88" t="s">
        <v>1516</v>
      </c>
      <c r="F96" s="88" t="s">
        <v>214</v>
      </c>
      <c r="G96" s="314">
        <v>0.4345</v>
      </c>
      <c r="H96" s="89">
        <v>168</v>
      </c>
      <c r="I96" s="89">
        <v>73</v>
      </c>
      <c r="J96" s="89">
        <v>0</v>
      </c>
      <c r="K96" s="89" t="s">
        <v>215</v>
      </c>
      <c r="L96" s="315" t="s">
        <v>63</v>
      </c>
      <c r="M96" s="89">
        <v>0</v>
      </c>
      <c r="N96" s="89">
        <v>0</v>
      </c>
      <c r="O96" s="89">
        <v>18</v>
      </c>
      <c r="P96" s="89" t="s">
        <v>346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8</v>
      </c>
      <c r="AA96" s="89">
        <v>4</v>
      </c>
      <c r="AB96" s="89">
        <v>0</v>
      </c>
      <c r="AC96" s="89">
        <v>0</v>
      </c>
      <c r="AD96" s="89">
        <v>0</v>
      </c>
      <c r="AE96" s="89">
        <v>61</v>
      </c>
      <c r="AF96" s="89">
        <v>0</v>
      </c>
      <c r="AG96" s="89">
        <v>0</v>
      </c>
      <c r="AH96" s="89">
        <v>0</v>
      </c>
      <c r="AI96" s="89">
        <v>0</v>
      </c>
      <c r="AJ96" s="89">
        <v>0</v>
      </c>
    </row>
    <row r="97" spans="1:36" x14ac:dyDescent="0.3">
      <c r="A97" s="311" t="s">
        <v>254</v>
      </c>
      <c r="B97" s="312">
        <v>45991</v>
      </c>
      <c r="C97" s="88" t="s">
        <v>524</v>
      </c>
      <c r="D97" s="313" t="s">
        <v>717</v>
      </c>
      <c r="E97" s="88" t="s">
        <v>403</v>
      </c>
      <c r="F97" s="88" t="s">
        <v>214</v>
      </c>
      <c r="G97" s="314">
        <v>0.60709999999999997</v>
      </c>
      <c r="H97" s="89">
        <v>168</v>
      </c>
      <c r="I97" s="89">
        <v>102</v>
      </c>
      <c r="J97" s="89">
        <v>83</v>
      </c>
      <c r="K97" s="89" t="s">
        <v>215</v>
      </c>
      <c r="L97" s="315" t="s">
        <v>433</v>
      </c>
      <c r="M97" s="89">
        <v>0</v>
      </c>
      <c r="N97" s="89">
        <v>0</v>
      </c>
      <c r="O97" s="89">
        <v>5</v>
      </c>
      <c r="P97" s="89" t="s">
        <v>237</v>
      </c>
      <c r="Q97" s="89">
        <v>0</v>
      </c>
      <c r="R97" s="89">
        <v>0</v>
      </c>
      <c r="S97" s="89">
        <v>0</v>
      </c>
      <c r="T97" s="89">
        <v>0</v>
      </c>
      <c r="U97" s="89">
        <v>0</v>
      </c>
      <c r="V97" s="89">
        <v>0</v>
      </c>
      <c r="W97" s="89">
        <v>0</v>
      </c>
      <c r="X97" s="89">
        <v>0</v>
      </c>
      <c r="Y97" s="89">
        <v>0</v>
      </c>
      <c r="Z97" s="89">
        <v>0</v>
      </c>
      <c r="AA97" s="89">
        <v>0</v>
      </c>
      <c r="AB97" s="89">
        <v>0</v>
      </c>
      <c r="AC97" s="89">
        <v>0</v>
      </c>
      <c r="AD97" s="89">
        <v>4</v>
      </c>
      <c r="AE97" s="89">
        <v>10</v>
      </c>
      <c r="AF97" s="89">
        <v>5</v>
      </c>
      <c r="AG97" s="89">
        <v>0</v>
      </c>
      <c r="AH97" s="89">
        <v>0</v>
      </c>
      <c r="AI97" s="89">
        <v>83</v>
      </c>
      <c r="AJ97" s="89">
        <v>0</v>
      </c>
    </row>
    <row r="98" spans="1:36" x14ac:dyDescent="0.3">
      <c r="A98" s="311" t="s">
        <v>254</v>
      </c>
      <c r="B98" s="312">
        <v>45991</v>
      </c>
      <c r="C98" s="88" t="s">
        <v>1426</v>
      </c>
      <c r="D98" s="313" t="s">
        <v>1259</v>
      </c>
      <c r="E98" s="88" t="s">
        <v>1422</v>
      </c>
      <c r="F98" s="88" t="s">
        <v>214</v>
      </c>
      <c r="G98" s="314">
        <v>0.96650000000000003</v>
      </c>
      <c r="H98" s="89">
        <v>179</v>
      </c>
      <c r="I98" s="89">
        <v>173</v>
      </c>
      <c r="J98" s="89">
        <v>89</v>
      </c>
      <c r="K98" s="89" t="s">
        <v>215</v>
      </c>
      <c r="L98" s="315" t="s">
        <v>50</v>
      </c>
      <c r="M98" s="89">
        <v>0</v>
      </c>
      <c r="N98" s="89">
        <v>1</v>
      </c>
      <c r="O98" s="89">
        <v>23</v>
      </c>
      <c r="P98" s="89" t="s">
        <v>64</v>
      </c>
      <c r="Q98" s="89">
        <v>0</v>
      </c>
      <c r="R98" s="89">
        <v>0</v>
      </c>
      <c r="S98" s="89">
        <v>0</v>
      </c>
      <c r="T98" s="89">
        <v>0</v>
      </c>
      <c r="U98" s="89">
        <v>0</v>
      </c>
      <c r="V98" s="89">
        <v>0</v>
      </c>
      <c r="W98" s="89">
        <v>0</v>
      </c>
      <c r="X98" s="89">
        <v>0</v>
      </c>
      <c r="Y98" s="89">
        <v>0</v>
      </c>
      <c r="Z98" s="89">
        <v>2</v>
      </c>
      <c r="AA98" s="89">
        <v>2</v>
      </c>
      <c r="AB98" s="89">
        <v>6</v>
      </c>
      <c r="AC98" s="89">
        <v>7</v>
      </c>
      <c r="AD98" s="89">
        <v>18</v>
      </c>
      <c r="AE98" s="89">
        <v>20</v>
      </c>
      <c r="AF98" s="89">
        <v>29</v>
      </c>
      <c r="AG98" s="89">
        <v>0</v>
      </c>
      <c r="AH98" s="89">
        <v>0</v>
      </c>
      <c r="AI98" s="89">
        <v>89</v>
      </c>
      <c r="AJ98" s="89">
        <v>0</v>
      </c>
    </row>
    <row r="99" spans="1:36" x14ac:dyDescent="0.3">
      <c r="A99" s="311" t="s">
        <v>254</v>
      </c>
      <c r="B99" s="312">
        <v>45991</v>
      </c>
      <c r="C99" s="88" t="s">
        <v>1488</v>
      </c>
      <c r="D99" s="313" t="s">
        <v>1502</v>
      </c>
      <c r="E99" s="88" t="s">
        <v>1478</v>
      </c>
      <c r="F99" s="88" t="s">
        <v>214</v>
      </c>
      <c r="G99" s="314">
        <v>0.35709999999999997</v>
      </c>
      <c r="H99" s="89">
        <v>168</v>
      </c>
      <c r="I99" s="89">
        <v>60</v>
      </c>
      <c r="J99" s="89">
        <v>0</v>
      </c>
      <c r="K99" s="89" t="s">
        <v>215</v>
      </c>
      <c r="L99" s="315" t="s">
        <v>175</v>
      </c>
      <c r="M99" s="89">
        <v>1</v>
      </c>
      <c r="N99" s="89">
        <v>5</v>
      </c>
      <c r="O99" s="89">
        <v>19</v>
      </c>
      <c r="P99" s="89" t="s">
        <v>265</v>
      </c>
      <c r="Q99" s="89">
        <v>0</v>
      </c>
      <c r="R99" s="89">
        <v>0</v>
      </c>
      <c r="S99" s="89">
        <v>0</v>
      </c>
      <c r="T99" s="89">
        <v>0</v>
      </c>
      <c r="U99" s="89">
        <v>0</v>
      </c>
      <c r="V99" s="89">
        <v>0</v>
      </c>
      <c r="W99" s="89">
        <v>0</v>
      </c>
      <c r="X99" s="89">
        <v>0</v>
      </c>
      <c r="Y99" s="89">
        <v>0</v>
      </c>
      <c r="Z99" s="89">
        <v>1</v>
      </c>
      <c r="AA99" s="89">
        <v>2</v>
      </c>
      <c r="AB99" s="89">
        <v>1</v>
      </c>
      <c r="AC99" s="89">
        <v>33</v>
      </c>
      <c r="AD99" s="89">
        <v>6</v>
      </c>
      <c r="AE99" s="89">
        <v>9</v>
      </c>
      <c r="AF99" s="89">
        <v>8</v>
      </c>
      <c r="AG99" s="89">
        <v>0</v>
      </c>
      <c r="AH99" s="89">
        <v>0</v>
      </c>
      <c r="AI99" s="89">
        <v>0</v>
      </c>
      <c r="AJ99" s="89">
        <v>0</v>
      </c>
    </row>
    <row r="100" spans="1:36" x14ac:dyDescent="0.3">
      <c r="A100" s="311" t="s">
        <v>254</v>
      </c>
      <c r="B100" s="312">
        <v>45991</v>
      </c>
      <c r="C100" s="88" t="s">
        <v>810</v>
      </c>
      <c r="D100" s="313" t="s">
        <v>914</v>
      </c>
      <c r="E100" s="88" t="s">
        <v>793</v>
      </c>
      <c r="F100" s="88" t="s">
        <v>214</v>
      </c>
      <c r="G100" s="314">
        <v>0.97019999999999995</v>
      </c>
      <c r="H100" s="89">
        <v>168</v>
      </c>
      <c r="I100" s="89">
        <v>163</v>
      </c>
      <c r="J100" s="89">
        <v>138</v>
      </c>
      <c r="K100" s="89" t="s">
        <v>215</v>
      </c>
      <c r="L100" s="315" t="s">
        <v>175</v>
      </c>
      <c r="M100" s="89">
        <v>2</v>
      </c>
      <c r="N100" s="89">
        <v>0</v>
      </c>
      <c r="O100" s="89">
        <v>4</v>
      </c>
      <c r="P100" s="89" t="s">
        <v>846</v>
      </c>
      <c r="Q100" s="89">
        <v>0</v>
      </c>
      <c r="R100" s="89">
        <v>0</v>
      </c>
      <c r="S100" s="89">
        <v>0</v>
      </c>
      <c r="T100" s="89">
        <v>0</v>
      </c>
      <c r="U100" s="89">
        <v>0</v>
      </c>
      <c r="V100" s="89">
        <v>0</v>
      </c>
      <c r="W100" s="89">
        <v>0</v>
      </c>
      <c r="X100" s="89">
        <v>0</v>
      </c>
      <c r="Y100" s="89">
        <v>1</v>
      </c>
      <c r="Z100" s="89">
        <v>3</v>
      </c>
      <c r="AA100" s="89">
        <v>2</v>
      </c>
      <c r="AB100" s="89">
        <v>7</v>
      </c>
      <c r="AC100" s="89">
        <v>10</v>
      </c>
      <c r="AD100" s="89">
        <v>0</v>
      </c>
      <c r="AE100" s="89">
        <v>0</v>
      </c>
      <c r="AF100" s="89">
        <v>0</v>
      </c>
      <c r="AG100" s="89">
        <v>0</v>
      </c>
      <c r="AH100" s="89">
        <v>0</v>
      </c>
      <c r="AI100" s="89">
        <v>138</v>
      </c>
      <c r="AJ100" s="89">
        <v>2</v>
      </c>
    </row>
    <row r="101" spans="1:36" x14ac:dyDescent="0.3">
      <c r="A101" s="311" t="s">
        <v>254</v>
      </c>
      <c r="B101" s="312">
        <v>45991</v>
      </c>
      <c r="C101" s="88" t="s">
        <v>938</v>
      </c>
      <c r="D101" s="313" t="s">
        <v>1016</v>
      </c>
      <c r="E101" s="88" t="s">
        <v>934</v>
      </c>
      <c r="F101" s="88" t="s">
        <v>214</v>
      </c>
      <c r="G101" s="314">
        <v>0.55359999999999998</v>
      </c>
      <c r="H101" s="89">
        <v>168</v>
      </c>
      <c r="I101" s="89">
        <v>93</v>
      </c>
      <c r="J101" s="89">
        <v>45</v>
      </c>
      <c r="K101" s="89" t="s">
        <v>215</v>
      </c>
      <c r="L101" s="315" t="s">
        <v>175</v>
      </c>
      <c r="M101" s="89">
        <v>9</v>
      </c>
      <c r="N101" s="89">
        <v>5</v>
      </c>
      <c r="O101" s="89">
        <v>33</v>
      </c>
      <c r="P101" s="89" t="s">
        <v>966</v>
      </c>
      <c r="Q101" s="89">
        <v>0</v>
      </c>
      <c r="R101" s="89">
        <v>0</v>
      </c>
      <c r="S101" s="89">
        <v>0</v>
      </c>
      <c r="T101" s="89">
        <v>0</v>
      </c>
      <c r="U101" s="89">
        <v>0</v>
      </c>
      <c r="V101" s="89">
        <v>0</v>
      </c>
      <c r="W101" s="89">
        <v>0</v>
      </c>
      <c r="X101" s="89">
        <v>0</v>
      </c>
      <c r="Y101" s="89">
        <v>0</v>
      </c>
      <c r="Z101" s="89">
        <v>1</v>
      </c>
      <c r="AA101" s="89">
        <v>2</v>
      </c>
      <c r="AB101" s="89">
        <v>0</v>
      </c>
      <c r="AC101" s="89">
        <v>5</v>
      </c>
      <c r="AD101" s="89">
        <v>7</v>
      </c>
      <c r="AE101" s="89">
        <v>0</v>
      </c>
      <c r="AF101" s="89">
        <v>33</v>
      </c>
      <c r="AG101" s="89">
        <v>45</v>
      </c>
      <c r="AH101" s="89">
        <v>0</v>
      </c>
      <c r="AI101" s="89">
        <v>0</v>
      </c>
      <c r="AJ101" s="89">
        <v>0</v>
      </c>
    </row>
    <row r="102" spans="1:36" x14ac:dyDescent="0.3">
      <c r="A102" s="311" t="s">
        <v>254</v>
      </c>
      <c r="B102" s="312">
        <v>45991</v>
      </c>
      <c r="C102" s="88" t="s">
        <v>822</v>
      </c>
      <c r="D102" s="313" t="s">
        <v>913</v>
      </c>
      <c r="E102" s="88" t="s">
        <v>793</v>
      </c>
      <c r="F102" s="88" t="s">
        <v>214</v>
      </c>
      <c r="G102" s="314">
        <v>0.98809999999999998</v>
      </c>
      <c r="H102" s="89">
        <v>168</v>
      </c>
      <c r="I102" s="89">
        <v>166</v>
      </c>
      <c r="J102" s="89">
        <v>137</v>
      </c>
      <c r="K102" s="89" t="s">
        <v>215</v>
      </c>
      <c r="L102" s="315" t="s">
        <v>130</v>
      </c>
      <c r="M102" s="89">
        <v>0</v>
      </c>
      <c r="N102" s="89">
        <v>0</v>
      </c>
      <c r="O102" s="89">
        <v>0</v>
      </c>
      <c r="P102" s="89" t="s">
        <v>173</v>
      </c>
      <c r="Q102" s="89">
        <v>0</v>
      </c>
      <c r="R102" s="89">
        <v>0</v>
      </c>
      <c r="S102" s="89">
        <v>0</v>
      </c>
      <c r="T102" s="89">
        <v>0</v>
      </c>
      <c r="U102" s="89">
        <v>0</v>
      </c>
      <c r="V102" s="89">
        <v>0</v>
      </c>
      <c r="W102" s="89">
        <v>0</v>
      </c>
      <c r="X102" s="89">
        <v>0</v>
      </c>
      <c r="Y102" s="89">
        <v>0</v>
      </c>
      <c r="Z102" s="89">
        <v>1</v>
      </c>
      <c r="AA102" s="89">
        <v>0</v>
      </c>
      <c r="AB102" s="89">
        <v>0</v>
      </c>
      <c r="AC102" s="89">
        <v>4</v>
      </c>
      <c r="AD102" s="89">
        <v>7</v>
      </c>
      <c r="AE102" s="89">
        <v>8</v>
      </c>
      <c r="AF102" s="89">
        <v>8</v>
      </c>
      <c r="AG102" s="89">
        <v>0</v>
      </c>
      <c r="AH102" s="89">
        <v>0</v>
      </c>
      <c r="AI102" s="89">
        <v>137</v>
      </c>
      <c r="AJ102" s="89">
        <v>1</v>
      </c>
    </row>
    <row r="103" spans="1:36" x14ac:dyDescent="0.3">
      <c r="A103" s="311" t="s">
        <v>254</v>
      </c>
      <c r="B103" s="312">
        <v>45991</v>
      </c>
      <c r="C103" s="88" t="s">
        <v>430</v>
      </c>
      <c r="D103" s="313" t="s">
        <v>754</v>
      </c>
      <c r="E103" s="88" t="s">
        <v>403</v>
      </c>
      <c r="F103" s="88" t="s">
        <v>214</v>
      </c>
      <c r="G103" s="314">
        <v>0.9274</v>
      </c>
      <c r="H103" s="89">
        <v>179</v>
      </c>
      <c r="I103" s="89">
        <v>166</v>
      </c>
      <c r="J103" s="89">
        <v>157</v>
      </c>
      <c r="K103" s="89" t="s">
        <v>215</v>
      </c>
      <c r="L103" s="315" t="s">
        <v>63</v>
      </c>
      <c r="M103" s="89">
        <v>0</v>
      </c>
      <c r="N103" s="89">
        <v>0</v>
      </c>
      <c r="O103" s="89">
        <v>3</v>
      </c>
      <c r="P103" s="89" t="s">
        <v>563</v>
      </c>
      <c r="Q103" s="89">
        <v>0</v>
      </c>
      <c r="R103" s="89">
        <v>0</v>
      </c>
      <c r="S103" s="89">
        <v>0</v>
      </c>
      <c r="T103" s="89">
        <v>0</v>
      </c>
      <c r="U103" s="89">
        <v>0</v>
      </c>
      <c r="V103" s="89">
        <v>0</v>
      </c>
      <c r="W103" s="89">
        <v>0</v>
      </c>
      <c r="X103" s="89">
        <v>0</v>
      </c>
      <c r="Y103" s="89">
        <v>0</v>
      </c>
      <c r="Z103" s="89">
        <v>0</v>
      </c>
      <c r="AA103" s="89">
        <v>0</v>
      </c>
      <c r="AB103" s="89">
        <v>0</v>
      </c>
      <c r="AC103" s="89">
        <v>0</v>
      </c>
      <c r="AD103" s="89">
        <v>0</v>
      </c>
      <c r="AE103" s="89">
        <v>4</v>
      </c>
      <c r="AF103" s="89">
        <v>5</v>
      </c>
      <c r="AG103" s="89">
        <v>0</v>
      </c>
      <c r="AH103" s="89">
        <v>0</v>
      </c>
      <c r="AI103" s="89">
        <v>157</v>
      </c>
      <c r="AJ103" s="89">
        <v>0</v>
      </c>
    </row>
    <row r="104" spans="1:36" x14ac:dyDescent="0.3">
      <c r="A104" s="311" t="s">
        <v>254</v>
      </c>
      <c r="B104" s="312">
        <v>45991</v>
      </c>
      <c r="C104" s="88" t="s">
        <v>1155</v>
      </c>
      <c r="D104" s="313" t="s">
        <v>1253</v>
      </c>
      <c r="E104" s="88" t="s">
        <v>1098</v>
      </c>
      <c r="F104" s="88" t="s">
        <v>214</v>
      </c>
      <c r="G104" s="314">
        <v>0.4405</v>
      </c>
      <c r="H104" s="89">
        <v>168</v>
      </c>
      <c r="I104" s="89">
        <v>74</v>
      </c>
      <c r="J104" s="89">
        <v>0</v>
      </c>
      <c r="K104" s="89" t="s">
        <v>215</v>
      </c>
      <c r="L104" s="315" t="s">
        <v>50</v>
      </c>
      <c r="M104" s="89">
        <v>0</v>
      </c>
      <c r="N104" s="89">
        <v>7</v>
      </c>
      <c r="O104" s="89">
        <v>24</v>
      </c>
      <c r="P104" s="89" t="s">
        <v>364</v>
      </c>
      <c r="Q104" s="89">
        <v>0</v>
      </c>
      <c r="R104" s="89">
        <v>0</v>
      </c>
      <c r="S104" s="89">
        <v>0</v>
      </c>
      <c r="T104" s="89">
        <v>0</v>
      </c>
      <c r="U104" s="89">
        <v>0</v>
      </c>
      <c r="V104" s="89">
        <v>1</v>
      </c>
      <c r="W104" s="89">
        <v>0</v>
      </c>
      <c r="X104" s="89">
        <v>0</v>
      </c>
      <c r="Y104" s="89">
        <v>0</v>
      </c>
      <c r="Z104" s="89">
        <v>1</v>
      </c>
      <c r="AA104" s="89">
        <v>1</v>
      </c>
      <c r="AB104" s="89">
        <v>0</v>
      </c>
      <c r="AC104" s="89">
        <v>0</v>
      </c>
      <c r="AD104" s="89">
        <v>1</v>
      </c>
      <c r="AE104" s="89">
        <v>20</v>
      </c>
      <c r="AF104" s="89">
        <v>50</v>
      </c>
      <c r="AG104" s="89">
        <v>0</v>
      </c>
      <c r="AH104" s="89">
        <v>0</v>
      </c>
      <c r="AI104" s="89">
        <v>0</v>
      </c>
      <c r="AJ104" s="89">
        <v>0</v>
      </c>
    </row>
    <row r="105" spans="1:36" x14ac:dyDescent="0.3">
      <c r="A105" s="311" t="s">
        <v>254</v>
      </c>
      <c r="B105" s="312">
        <v>45991</v>
      </c>
      <c r="C105" s="88" t="s">
        <v>1265</v>
      </c>
      <c r="D105" s="313" t="s">
        <v>1246</v>
      </c>
      <c r="E105" s="88" t="s">
        <v>1263</v>
      </c>
      <c r="F105" s="88" t="s">
        <v>214</v>
      </c>
      <c r="G105" s="314">
        <v>0.50600000000000001</v>
      </c>
      <c r="H105" s="89">
        <v>168</v>
      </c>
      <c r="I105" s="89">
        <v>85</v>
      </c>
      <c r="J105" s="89">
        <v>0</v>
      </c>
      <c r="K105" s="89" t="s">
        <v>215</v>
      </c>
      <c r="L105" s="315" t="s">
        <v>175</v>
      </c>
      <c r="M105" s="89">
        <v>3</v>
      </c>
      <c r="N105" s="89">
        <v>2</v>
      </c>
      <c r="O105" s="89">
        <v>27</v>
      </c>
      <c r="P105" s="89" t="s">
        <v>265</v>
      </c>
      <c r="Q105" s="89">
        <v>0</v>
      </c>
      <c r="R105" s="89">
        <v>0</v>
      </c>
      <c r="S105" s="89">
        <v>0</v>
      </c>
      <c r="T105" s="89">
        <v>0</v>
      </c>
      <c r="U105" s="89">
        <v>0</v>
      </c>
      <c r="V105" s="89">
        <v>0</v>
      </c>
      <c r="W105" s="89">
        <v>0</v>
      </c>
      <c r="X105" s="89">
        <v>0</v>
      </c>
      <c r="Y105" s="89">
        <v>0</v>
      </c>
      <c r="Z105" s="89">
        <v>5</v>
      </c>
      <c r="AA105" s="89">
        <v>3</v>
      </c>
      <c r="AB105" s="89">
        <v>0</v>
      </c>
      <c r="AC105" s="89">
        <v>7</v>
      </c>
      <c r="AD105" s="89">
        <v>20</v>
      </c>
      <c r="AE105" s="89">
        <v>49</v>
      </c>
      <c r="AF105" s="89">
        <v>1</v>
      </c>
      <c r="AG105" s="89">
        <v>0</v>
      </c>
      <c r="AH105" s="89">
        <v>0</v>
      </c>
      <c r="AI105" s="89">
        <v>0</v>
      </c>
      <c r="AJ105" s="89">
        <v>0</v>
      </c>
    </row>
    <row r="106" spans="1:36" x14ac:dyDescent="0.3">
      <c r="A106" s="311" t="s">
        <v>254</v>
      </c>
      <c r="B106" s="312">
        <v>45991</v>
      </c>
      <c r="C106" s="88" t="s">
        <v>417</v>
      </c>
      <c r="D106" s="313" t="s">
        <v>727</v>
      </c>
      <c r="E106" s="88" t="s">
        <v>403</v>
      </c>
      <c r="F106" s="88" t="s">
        <v>214</v>
      </c>
      <c r="G106" s="314">
        <v>0.62009999999999998</v>
      </c>
      <c r="H106" s="89">
        <v>179</v>
      </c>
      <c r="I106" s="89">
        <v>111</v>
      </c>
      <c r="J106" s="89">
        <v>47</v>
      </c>
      <c r="K106" s="89" t="s">
        <v>215</v>
      </c>
      <c r="L106" s="315" t="s">
        <v>175</v>
      </c>
      <c r="M106" s="89">
        <v>12</v>
      </c>
      <c r="N106" s="89">
        <v>8</v>
      </c>
      <c r="O106" s="89">
        <v>47</v>
      </c>
      <c r="P106" s="89" t="s">
        <v>353</v>
      </c>
      <c r="Q106" s="89">
        <v>0</v>
      </c>
      <c r="R106" s="89">
        <v>0</v>
      </c>
      <c r="S106" s="89">
        <v>0</v>
      </c>
      <c r="T106" s="89">
        <v>0</v>
      </c>
      <c r="U106" s="89">
        <v>0</v>
      </c>
      <c r="V106" s="89">
        <v>0</v>
      </c>
      <c r="W106" s="89">
        <v>0</v>
      </c>
      <c r="X106" s="89">
        <v>0</v>
      </c>
      <c r="Y106" s="89">
        <v>0</v>
      </c>
      <c r="Z106" s="89">
        <v>2</v>
      </c>
      <c r="AA106" s="89">
        <v>0</v>
      </c>
      <c r="AB106" s="89">
        <v>0</v>
      </c>
      <c r="AC106" s="89">
        <v>0</v>
      </c>
      <c r="AD106" s="89">
        <v>4</v>
      </c>
      <c r="AE106" s="89">
        <v>28</v>
      </c>
      <c r="AF106" s="89">
        <v>30</v>
      </c>
      <c r="AG106" s="89">
        <v>0</v>
      </c>
      <c r="AH106" s="89">
        <v>0</v>
      </c>
      <c r="AI106" s="89">
        <v>47</v>
      </c>
      <c r="AJ106" s="89">
        <v>0</v>
      </c>
    </row>
    <row r="107" spans="1:36" x14ac:dyDescent="0.3">
      <c r="A107" s="311" t="s">
        <v>254</v>
      </c>
      <c r="B107" s="312">
        <v>45991</v>
      </c>
      <c r="C107" s="88" t="s">
        <v>427</v>
      </c>
      <c r="D107" s="313" t="s">
        <v>756</v>
      </c>
      <c r="E107" s="88" t="s">
        <v>403</v>
      </c>
      <c r="F107" s="88" t="s">
        <v>214</v>
      </c>
      <c r="G107" s="314">
        <v>0.96650000000000003</v>
      </c>
      <c r="H107" s="89">
        <v>179</v>
      </c>
      <c r="I107" s="89">
        <v>173</v>
      </c>
      <c r="J107" s="89">
        <v>135</v>
      </c>
      <c r="K107" s="89" t="s">
        <v>215</v>
      </c>
      <c r="L107" s="315" t="s">
        <v>175</v>
      </c>
      <c r="M107" s="89">
        <v>3</v>
      </c>
      <c r="N107" s="89">
        <v>0</v>
      </c>
      <c r="O107" s="89">
        <v>6</v>
      </c>
      <c r="P107" s="89" t="s">
        <v>64</v>
      </c>
      <c r="Q107" s="89">
        <v>0</v>
      </c>
      <c r="R107" s="89">
        <v>0</v>
      </c>
      <c r="S107" s="89">
        <v>0</v>
      </c>
      <c r="T107" s="89">
        <v>0</v>
      </c>
      <c r="U107" s="89">
        <v>0</v>
      </c>
      <c r="V107" s="89">
        <v>1</v>
      </c>
      <c r="W107" s="89">
        <v>0</v>
      </c>
      <c r="X107" s="89">
        <v>0</v>
      </c>
      <c r="Y107" s="89">
        <v>0</v>
      </c>
      <c r="Z107" s="89">
        <v>4</v>
      </c>
      <c r="AA107" s="89">
        <v>0</v>
      </c>
      <c r="AB107" s="89">
        <v>0</v>
      </c>
      <c r="AC107" s="89">
        <v>7</v>
      </c>
      <c r="AD107" s="89">
        <v>8</v>
      </c>
      <c r="AE107" s="89">
        <v>8</v>
      </c>
      <c r="AF107" s="89">
        <v>8</v>
      </c>
      <c r="AG107" s="89">
        <v>43</v>
      </c>
      <c r="AH107" s="89">
        <v>0</v>
      </c>
      <c r="AI107" s="89">
        <v>92</v>
      </c>
      <c r="AJ107" s="89">
        <v>2</v>
      </c>
    </row>
    <row r="108" spans="1:36" x14ac:dyDescent="0.3">
      <c r="A108" s="311" t="s">
        <v>254</v>
      </c>
      <c r="B108" s="312">
        <v>45991</v>
      </c>
      <c r="C108" s="88" t="s">
        <v>298</v>
      </c>
      <c r="D108" s="313" t="s">
        <v>341</v>
      </c>
      <c r="E108" s="88" t="s">
        <v>295</v>
      </c>
      <c r="F108" s="88" t="s">
        <v>214</v>
      </c>
      <c r="G108" s="314">
        <v>0.94969999999999999</v>
      </c>
      <c r="H108" s="89">
        <v>179</v>
      </c>
      <c r="I108" s="89">
        <v>170</v>
      </c>
      <c r="J108" s="89">
        <v>144</v>
      </c>
      <c r="K108" s="89" t="s">
        <v>215</v>
      </c>
      <c r="L108" s="315" t="s">
        <v>50</v>
      </c>
      <c r="M108" s="89">
        <v>0</v>
      </c>
      <c r="N108" s="89">
        <v>2</v>
      </c>
      <c r="O108" s="89">
        <v>6</v>
      </c>
      <c r="P108" s="89" t="s">
        <v>309</v>
      </c>
      <c r="Q108" s="89">
        <v>0</v>
      </c>
      <c r="R108" s="89">
        <v>0</v>
      </c>
      <c r="S108" s="89">
        <v>0</v>
      </c>
      <c r="T108" s="89">
        <v>3</v>
      </c>
      <c r="U108" s="89">
        <v>0</v>
      </c>
      <c r="V108" s="89">
        <v>0</v>
      </c>
      <c r="W108" s="89">
        <v>0</v>
      </c>
      <c r="X108" s="89">
        <v>0</v>
      </c>
      <c r="Y108" s="89">
        <v>0</v>
      </c>
      <c r="Z108" s="89">
        <v>14</v>
      </c>
      <c r="AA108" s="89">
        <v>0</v>
      </c>
      <c r="AB108" s="89">
        <v>0</v>
      </c>
      <c r="AC108" s="89">
        <v>9</v>
      </c>
      <c r="AD108" s="89">
        <v>0</v>
      </c>
      <c r="AE108" s="89">
        <v>0</v>
      </c>
      <c r="AF108" s="89">
        <v>0</v>
      </c>
      <c r="AG108" s="89">
        <v>0</v>
      </c>
      <c r="AH108" s="89">
        <v>0</v>
      </c>
      <c r="AI108" s="89">
        <v>144</v>
      </c>
      <c r="AJ108" s="89">
        <v>0</v>
      </c>
    </row>
    <row r="109" spans="1:36" x14ac:dyDescent="0.3">
      <c r="A109" s="311" t="s">
        <v>254</v>
      </c>
      <c r="B109" s="312">
        <v>45991</v>
      </c>
      <c r="C109" s="88" t="s">
        <v>949</v>
      </c>
      <c r="D109" s="313" t="s">
        <v>1015</v>
      </c>
      <c r="E109" s="88" t="s">
        <v>934</v>
      </c>
      <c r="F109" s="88" t="s">
        <v>214</v>
      </c>
      <c r="G109" s="314">
        <v>0.72619999999999996</v>
      </c>
      <c r="H109" s="89">
        <v>168</v>
      </c>
      <c r="I109" s="89">
        <v>122</v>
      </c>
      <c r="J109" s="89">
        <v>75</v>
      </c>
      <c r="K109" s="89" t="s">
        <v>215</v>
      </c>
      <c r="L109" s="315" t="s">
        <v>50</v>
      </c>
      <c r="M109" s="89">
        <v>0</v>
      </c>
      <c r="N109" s="89">
        <v>5</v>
      </c>
      <c r="O109" s="89">
        <v>18</v>
      </c>
      <c r="P109" s="89" t="s">
        <v>237</v>
      </c>
      <c r="Q109" s="89">
        <v>0</v>
      </c>
      <c r="R109" s="89">
        <v>0</v>
      </c>
      <c r="S109" s="89">
        <v>0</v>
      </c>
      <c r="T109" s="89">
        <v>0</v>
      </c>
      <c r="U109" s="89">
        <v>0</v>
      </c>
      <c r="V109" s="89">
        <v>0</v>
      </c>
      <c r="W109" s="89">
        <v>0</v>
      </c>
      <c r="X109" s="89">
        <v>0</v>
      </c>
      <c r="Y109" s="89">
        <v>0</v>
      </c>
      <c r="Z109" s="89">
        <v>7</v>
      </c>
      <c r="AA109" s="89">
        <v>0</v>
      </c>
      <c r="AB109" s="89">
        <v>0</v>
      </c>
      <c r="AC109" s="89">
        <v>4</v>
      </c>
      <c r="AD109" s="89">
        <v>14</v>
      </c>
      <c r="AE109" s="89">
        <v>2</v>
      </c>
      <c r="AF109" s="89">
        <v>20</v>
      </c>
      <c r="AG109" s="89">
        <v>0</v>
      </c>
      <c r="AH109" s="89">
        <v>0</v>
      </c>
      <c r="AI109" s="89">
        <v>75</v>
      </c>
      <c r="AJ109" s="89">
        <v>0</v>
      </c>
    </row>
    <row r="110" spans="1:36" x14ac:dyDescent="0.3">
      <c r="A110" s="311" t="s">
        <v>254</v>
      </c>
      <c r="B110" s="312">
        <v>45991</v>
      </c>
      <c r="C110" s="88" t="s">
        <v>60</v>
      </c>
      <c r="D110" s="313" t="s">
        <v>255</v>
      </c>
      <c r="E110" s="88" t="s">
        <v>1</v>
      </c>
      <c r="F110" s="88" t="s">
        <v>214</v>
      </c>
      <c r="G110" s="314">
        <v>0.96550000000000002</v>
      </c>
      <c r="H110" s="89">
        <v>174</v>
      </c>
      <c r="I110" s="89">
        <v>168</v>
      </c>
      <c r="J110" s="89">
        <v>133</v>
      </c>
      <c r="K110" s="89" t="s">
        <v>215</v>
      </c>
      <c r="L110" s="315" t="s">
        <v>140</v>
      </c>
      <c r="M110" s="89">
        <v>0</v>
      </c>
      <c r="N110" s="89">
        <v>0</v>
      </c>
      <c r="O110" s="89">
        <v>2</v>
      </c>
      <c r="P110" s="89" t="s">
        <v>141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 s="89">
        <v>4</v>
      </c>
      <c r="Y110" s="89">
        <v>3</v>
      </c>
      <c r="Z110" s="89">
        <v>4</v>
      </c>
      <c r="AA110" s="89">
        <v>4</v>
      </c>
      <c r="AB110" s="89">
        <v>4</v>
      </c>
      <c r="AC110" s="89">
        <v>4</v>
      </c>
      <c r="AD110" s="89">
        <v>4</v>
      </c>
      <c r="AE110" s="89">
        <v>4</v>
      </c>
      <c r="AF110" s="89">
        <v>4</v>
      </c>
      <c r="AG110" s="89">
        <v>0</v>
      </c>
      <c r="AH110" s="89">
        <v>0</v>
      </c>
      <c r="AI110" s="89">
        <v>133</v>
      </c>
      <c r="AJ110" s="89">
        <v>0</v>
      </c>
    </row>
    <row r="111" spans="1:36" x14ac:dyDescent="0.3">
      <c r="A111" s="311" t="s">
        <v>391</v>
      </c>
      <c r="B111" s="312">
        <v>45992</v>
      </c>
      <c r="C111" s="88" t="s">
        <v>1064</v>
      </c>
      <c r="D111" s="313" t="s">
        <v>714</v>
      </c>
      <c r="E111" s="88" t="s">
        <v>1063</v>
      </c>
      <c r="F111" s="88" t="s">
        <v>214</v>
      </c>
      <c r="G111" s="314">
        <v>1.0713999999999999</v>
      </c>
      <c r="H111" s="89">
        <v>168</v>
      </c>
      <c r="I111" s="89">
        <v>180</v>
      </c>
      <c r="J111" s="89">
        <v>180</v>
      </c>
      <c r="K111" s="89" t="s">
        <v>215</v>
      </c>
      <c r="L111" s="315" t="s">
        <v>378</v>
      </c>
      <c r="M111" s="89">
        <v>0</v>
      </c>
      <c r="N111" s="89">
        <v>0</v>
      </c>
      <c r="O111" s="89">
        <v>180</v>
      </c>
      <c r="P111" s="89" t="s">
        <v>64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 s="89">
        <v>0</v>
      </c>
      <c r="Y111" s="89">
        <v>0</v>
      </c>
      <c r="Z111" s="89">
        <v>0</v>
      </c>
      <c r="AA111" s="89">
        <v>0</v>
      </c>
      <c r="AB111" s="89">
        <v>0</v>
      </c>
      <c r="AC111" s="89">
        <v>0</v>
      </c>
      <c r="AD111" s="89">
        <v>180</v>
      </c>
      <c r="AE111" s="89">
        <v>0</v>
      </c>
      <c r="AF111" s="89">
        <v>0</v>
      </c>
      <c r="AG111" s="89">
        <v>0</v>
      </c>
      <c r="AH111" s="89">
        <v>0</v>
      </c>
      <c r="AI111" s="89">
        <v>0</v>
      </c>
      <c r="AJ111" s="89">
        <v>0</v>
      </c>
    </row>
    <row r="112" spans="1:36" x14ac:dyDescent="0.3">
      <c r="A112" s="311" t="s">
        <v>391</v>
      </c>
      <c r="B112" s="312">
        <v>45992</v>
      </c>
      <c r="C112" s="88" t="s">
        <v>1344</v>
      </c>
      <c r="D112" s="313" t="s">
        <v>754</v>
      </c>
      <c r="E112" s="88" t="s">
        <v>1341</v>
      </c>
      <c r="F112" s="88" t="s">
        <v>214</v>
      </c>
      <c r="G112" s="314">
        <v>0.45240000000000002</v>
      </c>
      <c r="H112" s="89">
        <v>168</v>
      </c>
      <c r="I112" s="89">
        <v>76</v>
      </c>
      <c r="J112" s="89">
        <v>0</v>
      </c>
      <c r="K112" s="89" t="s">
        <v>215</v>
      </c>
      <c r="L112" s="315" t="s">
        <v>50</v>
      </c>
      <c r="M112" s="89">
        <v>0</v>
      </c>
      <c r="N112" s="89">
        <v>7</v>
      </c>
      <c r="O112" s="89">
        <v>24</v>
      </c>
      <c r="P112" s="89" t="s">
        <v>748</v>
      </c>
      <c r="Q112" s="89">
        <v>0</v>
      </c>
      <c r="R112" s="89">
        <v>0</v>
      </c>
      <c r="S112" s="89">
        <v>0</v>
      </c>
      <c r="T112" s="89">
        <v>0</v>
      </c>
      <c r="U112" s="89">
        <v>0</v>
      </c>
      <c r="V112" s="89">
        <v>0</v>
      </c>
      <c r="W112" s="89">
        <v>0</v>
      </c>
      <c r="X112" s="89">
        <v>0</v>
      </c>
      <c r="Y112" s="89">
        <v>0</v>
      </c>
      <c r="Z112" s="89">
        <v>0</v>
      </c>
      <c r="AA112" s="89">
        <v>0</v>
      </c>
      <c r="AB112" s="89">
        <v>1</v>
      </c>
      <c r="AC112" s="89">
        <v>15</v>
      </c>
      <c r="AD112" s="89">
        <v>30</v>
      </c>
      <c r="AE112" s="89">
        <v>15</v>
      </c>
      <c r="AF112" s="89">
        <v>15</v>
      </c>
      <c r="AG112" s="89">
        <v>0</v>
      </c>
      <c r="AH112" s="89">
        <v>0</v>
      </c>
      <c r="AI112" s="89">
        <v>0</v>
      </c>
      <c r="AJ112" s="89">
        <v>0</v>
      </c>
    </row>
    <row r="113" spans="1:36" x14ac:dyDescent="0.3">
      <c r="A113" s="311" t="s">
        <v>391</v>
      </c>
      <c r="B113" s="312">
        <v>45992</v>
      </c>
      <c r="C113" s="88" t="s">
        <v>1426</v>
      </c>
      <c r="D113" s="313" t="s">
        <v>325</v>
      </c>
      <c r="E113" s="88" t="s">
        <v>1422</v>
      </c>
      <c r="F113" s="88" t="s">
        <v>214</v>
      </c>
      <c r="G113" s="314">
        <v>0.88270000000000004</v>
      </c>
      <c r="H113" s="89">
        <v>179</v>
      </c>
      <c r="I113" s="89">
        <v>158</v>
      </c>
      <c r="J113" s="89">
        <v>130</v>
      </c>
      <c r="K113" s="89" t="s">
        <v>215</v>
      </c>
      <c r="L113" s="315" t="s">
        <v>175</v>
      </c>
      <c r="M113" s="89">
        <v>1</v>
      </c>
      <c r="N113" s="89">
        <v>1</v>
      </c>
      <c r="O113" s="89">
        <v>11</v>
      </c>
      <c r="P113" s="89" t="s">
        <v>1337</v>
      </c>
      <c r="Q113" s="89">
        <v>0</v>
      </c>
      <c r="R113" s="89">
        <v>0</v>
      </c>
      <c r="S113" s="89">
        <v>0</v>
      </c>
      <c r="T113" s="89">
        <v>0</v>
      </c>
      <c r="U113" s="89">
        <v>0</v>
      </c>
      <c r="V113" s="89">
        <v>0</v>
      </c>
      <c r="W113" s="89">
        <v>0</v>
      </c>
      <c r="X113" s="89">
        <v>0</v>
      </c>
      <c r="Y113" s="89">
        <v>0</v>
      </c>
      <c r="Z113" s="89">
        <v>5</v>
      </c>
      <c r="AA113" s="89">
        <v>16</v>
      </c>
      <c r="AB113" s="89">
        <v>0</v>
      </c>
      <c r="AC113" s="89">
        <v>0</v>
      </c>
      <c r="AD113" s="89">
        <v>0</v>
      </c>
      <c r="AE113" s="89">
        <v>0</v>
      </c>
      <c r="AF113" s="89">
        <v>7</v>
      </c>
      <c r="AG113" s="89">
        <v>0</v>
      </c>
      <c r="AH113" s="89">
        <v>0</v>
      </c>
      <c r="AI113" s="89">
        <v>130</v>
      </c>
      <c r="AJ113" s="89">
        <v>0</v>
      </c>
    </row>
    <row r="114" spans="1:36" x14ac:dyDescent="0.3">
      <c r="A114" s="311" t="s">
        <v>391</v>
      </c>
      <c r="B114" s="312">
        <v>45992</v>
      </c>
      <c r="C114" s="88" t="s">
        <v>810</v>
      </c>
      <c r="D114" s="313" t="s">
        <v>336</v>
      </c>
      <c r="E114" s="88" t="s">
        <v>793</v>
      </c>
      <c r="F114" s="88" t="s">
        <v>214</v>
      </c>
      <c r="G114" s="314">
        <v>1</v>
      </c>
      <c r="H114" s="89">
        <v>168</v>
      </c>
      <c r="I114" s="89">
        <v>168</v>
      </c>
      <c r="J114" s="89">
        <v>123</v>
      </c>
      <c r="K114" s="89" t="s">
        <v>215</v>
      </c>
      <c r="L114" s="315" t="s">
        <v>63</v>
      </c>
      <c r="M114" s="89">
        <v>0</v>
      </c>
      <c r="N114" s="89">
        <v>0</v>
      </c>
      <c r="O114" s="89">
        <v>1</v>
      </c>
      <c r="P114" s="89" t="s">
        <v>64</v>
      </c>
      <c r="Q114" s="89">
        <v>0</v>
      </c>
      <c r="R114" s="89">
        <v>0</v>
      </c>
      <c r="S114" s="89">
        <v>0</v>
      </c>
      <c r="T114" s="89">
        <v>0</v>
      </c>
      <c r="U114" s="89">
        <v>0</v>
      </c>
      <c r="V114" s="89">
        <v>0</v>
      </c>
      <c r="W114" s="89">
        <v>0</v>
      </c>
      <c r="X114" s="89">
        <v>0</v>
      </c>
      <c r="Y114" s="89">
        <v>3</v>
      </c>
      <c r="Z114" s="89">
        <v>8</v>
      </c>
      <c r="AA114" s="89">
        <v>0</v>
      </c>
      <c r="AB114" s="89">
        <v>0</v>
      </c>
      <c r="AC114" s="89">
        <v>2</v>
      </c>
      <c r="AD114" s="89">
        <v>11</v>
      </c>
      <c r="AE114" s="89">
        <v>8</v>
      </c>
      <c r="AF114" s="89">
        <v>13</v>
      </c>
      <c r="AG114" s="89">
        <v>0</v>
      </c>
      <c r="AH114" s="89">
        <v>0</v>
      </c>
      <c r="AI114" s="89">
        <v>123</v>
      </c>
      <c r="AJ114" s="89">
        <v>0</v>
      </c>
    </row>
    <row r="115" spans="1:36" x14ac:dyDescent="0.3">
      <c r="A115" s="311" t="s">
        <v>391</v>
      </c>
      <c r="B115" s="312">
        <v>45992</v>
      </c>
      <c r="C115" s="88" t="s">
        <v>935</v>
      </c>
      <c r="D115" s="313" t="s">
        <v>699</v>
      </c>
      <c r="E115" s="88" t="s">
        <v>934</v>
      </c>
      <c r="F115" s="88" t="s">
        <v>214</v>
      </c>
      <c r="G115" s="314">
        <v>0.375</v>
      </c>
      <c r="H115" s="89">
        <v>168</v>
      </c>
      <c r="I115" s="89">
        <v>63</v>
      </c>
      <c r="J115" s="89">
        <v>32</v>
      </c>
      <c r="K115" s="89" t="s">
        <v>215</v>
      </c>
      <c r="L115" s="315" t="s">
        <v>175</v>
      </c>
      <c r="M115" s="89">
        <v>3</v>
      </c>
      <c r="N115" s="89">
        <v>3</v>
      </c>
      <c r="O115" s="89">
        <v>10</v>
      </c>
      <c r="P115" s="89" t="s">
        <v>608</v>
      </c>
      <c r="Q115" s="89">
        <v>0</v>
      </c>
      <c r="R115" s="89">
        <v>0</v>
      </c>
      <c r="S115" s="89">
        <v>0</v>
      </c>
      <c r="T115" s="89">
        <v>0</v>
      </c>
      <c r="U115" s="89">
        <v>0</v>
      </c>
      <c r="V115" s="89">
        <v>0</v>
      </c>
      <c r="W115" s="89">
        <v>0</v>
      </c>
      <c r="X115" s="89">
        <v>0</v>
      </c>
      <c r="Y115" s="89">
        <v>0</v>
      </c>
      <c r="Z115" s="89">
        <v>2</v>
      </c>
      <c r="AA115" s="89">
        <v>1</v>
      </c>
      <c r="AB115" s="89">
        <v>0</v>
      </c>
      <c r="AC115" s="89">
        <v>0</v>
      </c>
      <c r="AD115" s="89">
        <v>9</v>
      </c>
      <c r="AE115" s="89">
        <v>7</v>
      </c>
      <c r="AF115" s="89">
        <v>12</v>
      </c>
      <c r="AG115" s="89">
        <v>0</v>
      </c>
      <c r="AH115" s="89">
        <v>0</v>
      </c>
      <c r="AI115" s="89">
        <v>32</v>
      </c>
      <c r="AJ115" s="89">
        <v>0</v>
      </c>
    </row>
    <row r="116" spans="1:36" x14ac:dyDescent="0.3">
      <c r="A116" s="311" t="s">
        <v>391</v>
      </c>
      <c r="B116" s="312">
        <v>45992</v>
      </c>
      <c r="C116" s="88" t="s">
        <v>822</v>
      </c>
      <c r="D116" s="313" t="s">
        <v>916</v>
      </c>
      <c r="E116" s="88" t="s">
        <v>793</v>
      </c>
      <c r="F116" s="88" t="s">
        <v>214</v>
      </c>
      <c r="G116" s="314">
        <v>0.93300000000000005</v>
      </c>
      <c r="H116" s="89">
        <v>179</v>
      </c>
      <c r="I116" s="89">
        <v>167</v>
      </c>
      <c r="J116" s="89">
        <v>135</v>
      </c>
      <c r="K116" s="89" t="s">
        <v>215</v>
      </c>
      <c r="L116" s="315" t="s">
        <v>311</v>
      </c>
      <c r="M116" s="89">
        <v>0</v>
      </c>
      <c r="N116" s="89">
        <v>0</v>
      </c>
      <c r="O116" s="89">
        <v>11</v>
      </c>
      <c r="P116" s="89" t="s">
        <v>851</v>
      </c>
      <c r="Q116" s="89">
        <v>0</v>
      </c>
      <c r="R116" s="89">
        <v>0</v>
      </c>
      <c r="S116" s="89">
        <v>0</v>
      </c>
      <c r="T116" s="89">
        <v>0</v>
      </c>
      <c r="U116" s="89">
        <v>0</v>
      </c>
      <c r="V116" s="89">
        <v>0</v>
      </c>
      <c r="W116" s="89">
        <v>0</v>
      </c>
      <c r="X116" s="89">
        <v>0</v>
      </c>
      <c r="Y116" s="89">
        <v>0</v>
      </c>
      <c r="Z116" s="89">
        <v>5</v>
      </c>
      <c r="AA116" s="89">
        <v>0</v>
      </c>
      <c r="AB116" s="89">
        <v>0</v>
      </c>
      <c r="AC116" s="89">
        <v>6</v>
      </c>
      <c r="AD116" s="89">
        <v>11</v>
      </c>
      <c r="AE116" s="89">
        <v>10</v>
      </c>
      <c r="AF116" s="89">
        <v>0</v>
      </c>
      <c r="AG116" s="89">
        <v>0</v>
      </c>
      <c r="AH116" s="89">
        <v>0</v>
      </c>
      <c r="AI116" s="89">
        <v>135</v>
      </c>
      <c r="AJ116" s="89">
        <v>0</v>
      </c>
    </row>
    <row r="117" spans="1:36" x14ac:dyDescent="0.3">
      <c r="A117" s="311" t="s">
        <v>391</v>
      </c>
      <c r="B117" s="312">
        <v>45992</v>
      </c>
      <c r="C117" s="88" t="s">
        <v>430</v>
      </c>
      <c r="D117" s="313" t="s">
        <v>230</v>
      </c>
      <c r="E117" s="88" t="s">
        <v>403</v>
      </c>
      <c r="F117" s="88" t="s">
        <v>214</v>
      </c>
      <c r="G117" s="314">
        <v>0.89390000000000003</v>
      </c>
      <c r="H117" s="89">
        <v>179</v>
      </c>
      <c r="I117" s="89">
        <v>160</v>
      </c>
      <c r="J117" s="89">
        <v>116</v>
      </c>
      <c r="K117" s="89" t="s">
        <v>215</v>
      </c>
      <c r="L117" s="315" t="s">
        <v>50</v>
      </c>
      <c r="M117" s="89">
        <v>0</v>
      </c>
      <c r="N117" s="89">
        <v>1</v>
      </c>
      <c r="O117" s="89">
        <v>23</v>
      </c>
      <c r="P117" s="89" t="s">
        <v>282</v>
      </c>
      <c r="Q117" s="89">
        <v>0</v>
      </c>
      <c r="R117" s="89">
        <v>0</v>
      </c>
      <c r="S117" s="89">
        <v>0</v>
      </c>
      <c r="T117" s="89">
        <v>0</v>
      </c>
      <c r="U117" s="89">
        <v>0</v>
      </c>
      <c r="V117" s="89">
        <v>0</v>
      </c>
      <c r="W117" s="89">
        <v>0</v>
      </c>
      <c r="X117" s="89">
        <v>0</v>
      </c>
      <c r="Y117" s="89">
        <v>0</v>
      </c>
      <c r="Z117" s="89">
        <v>1</v>
      </c>
      <c r="AA117" s="89">
        <v>0</v>
      </c>
      <c r="AB117" s="89">
        <v>0</v>
      </c>
      <c r="AC117" s="89">
        <v>0</v>
      </c>
      <c r="AD117" s="89">
        <v>3</v>
      </c>
      <c r="AE117" s="89">
        <v>20</v>
      </c>
      <c r="AF117" s="89">
        <v>20</v>
      </c>
      <c r="AG117" s="89">
        <v>41</v>
      </c>
      <c r="AH117" s="89">
        <v>0</v>
      </c>
      <c r="AI117" s="89">
        <v>75</v>
      </c>
      <c r="AJ117" s="89">
        <v>0</v>
      </c>
    </row>
    <row r="118" spans="1:36" x14ac:dyDescent="0.3">
      <c r="A118" s="311" t="s">
        <v>391</v>
      </c>
      <c r="B118" s="312">
        <v>45992</v>
      </c>
      <c r="C118" s="88" t="s">
        <v>1122</v>
      </c>
      <c r="D118" s="313" t="s">
        <v>1249</v>
      </c>
      <c r="E118" s="88" t="s">
        <v>1098</v>
      </c>
      <c r="F118" s="88" t="s">
        <v>214</v>
      </c>
      <c r="G118" s="314">
        <v>2.98E-2</v>
      </c>
      <c r="H118" s="89">
        <v>168</v>
      </c>
      <c r="I118" s="89">
        <v>5</v>
      </c>
      <c r="J118" s="89">
        <v>0</v>
      </c>
      <c r="K118" s="89" t="s">
        <v>215</v>
      </c>
      <c r="L118" s="315" t="s">
        <v>175</v>
      </c>
      <c r="M118" s="89">
        <v>2</v>
      </c>
      <c r="N118" s="89">
        <v>0</v>
      </c>
      <c r="O118" s="89">
        <v>3</v>
      </c>
      <c r="P118" s="89" t="s">
        <v>353</v>
      </c>
      <c r="Q118" s="89">
        <v>0</v>
      </c>
      <c r="R118" s="89">
        <v>0</v>
      </c>
      <c r="S118" s="89">
        <v>0</v>
      </c>
      <c r="T118" s="89">
        <v>0</v>
      </c>
      <c r="U118" s="89">
        <v>0</v>
      </c>
      <c r="V118" s="89">
        <v>1</v>
      </c>
      <c r="W118" s="89">
        <v>0</v>
      </c>
      <c r="X118" s="89">
        <v>0</v>
      </c>
      <c r="Y118" s="89">
        <v>0</v>
      </c>
      <c r="Z118" s="89">
        <v>0</v>
      </c>
      <c r="AA118" s="89">
        <v>0</v>
      </c>
      <c r="AB118" s="89">
        <v>0</v>
      </c>
      <c r="AC118" s="89">
        <v>0</v>
      </c>
      <c r="AD118" s="89">
        <v>0</v>
      </c>
      <c r="AE118" s="89">
        <v>0</v>
      </c>
      <c r="AF118" s="89">
        <v>4</v>
      </c>
      <c r="AG118" s="89">
        <v>0</v>
      </c>
      <c r="AH118" s="89">
        <v>0</v>
      </c>
      <c r="AI118" s="89">
        <v>0</v>
      </c>
      <c r="AJ118" s="89">
        <v>0</v>
      </c>
    </row>
    <row r="119" spans="1:36" x14ac:dyDescent="0.3">
      <c r="A119" s="311" t="s">
        <v>391</v>
      </c>
      <c r="B119" s="312">
        <v>45992</v>
      </c>
      <c r="C119" s="88" t="s">
        <v>417</v>
      </c>
      <c r="D119" s="313" t="s">
        <v>761</v>
      </c>
      <c r="E119" s="88" t="s">
        <v>403</v>
      </c>
      <c r="F119" s="88" t="s">
        <v>214</v>
      </c>
      <c r="G119" s="314">
        <v>0.9274</v>
      </c>
      <c r="H119" s="89">
        <v>179</v>
      </c>
      <c r="I119" s="89">
        <v>166</v>
      </c>
      <c r="J119" s="89">
        <v>135</v>
      </c>
      <c r="K119" s="89" t="s">
        <v>215</v>
      </c>
      <c r="L119" s="315" t="s">
        <v>50</v>
      </c>
      <c r="M119" s="89">
        <v>0</v>
      </c>
      <c r="N119" s="89">
        <v>2</v>
      </c>
      <c r="O119" s="89">
        <v>57</v>
      </c>
      <c r="P119" s="89" t="s">
        <v>579</v>
      </c>
      <c r="Q119" s="89">
        <v>0</v>
      </c>
      <c r="R119" s="89">
        <v>0</v>
      </c>
      <c r="S119" s="89">
        <v>0</v>
      </c>
      <c r="T119" s="89">
        <v>0</v>
      </c>
      <c r="U119" s="89">
        <v>0</v>
      </c>
      <c r="V119" s="89">
        <v>0</v>
      </c>
      <c r="W119" s="89">
        <v>0</v>
      </c>
      <c r="X119" s="89">
        <v>0</v>
      </c>
      <c r="Y119" s="89">
        <v>0</v>
      </c>
      <c r="Z119" s="89">
        <v>2</v>
      </c>
      <c r="AA119" s="89">
        <v>0</v>
      </c>
      <c r="AB119" s="89">
        <v>0</v>
      </c>
      <c r="AC119" s="89">
        <v>0</v>
      </c>
      <c r="AD119" s="89">
        <v>0</v>
      </c>
      <c r="AE119" s="89">
        <v>19</v>
      </c>
      <c r="AF119" s="89">
        <v>10</v>
      </c>
      <c r="AG119" s="89">
        <v>0</v>
      </c>
      <c r="AH119" s="89">
        <v>0</v>
      </c>
      <c r="AI119" s="89">
        <v>135</v>
      </c>
      <c r="AJ119" s="89">
        <v>0</v>
      </c>
    </row>
    <row r="120" spans="1:36" x14ac:dyDescent="0.3">
      <c r="A120" s="311" t="s">
        <v>391</v>
      </c>
      <c r="B120" s="312">
        <v>45992</v>
      </c>
      <c r="C120" s="88" t="s">
        <v>427</v>
      </c>
      <c r="D120" s="313" t="s">
        <v>691</v>
      </c>
      <c r="E120" s="88" t="s">
        <v>403</v>
      </c>
      <c r="F120" s="88" t="s">
        <v>214</v>
      </c>
      <c r="G120" s="314">
        <v>0.86029999999999995</v>
      </c>
      <c r="H120" s="89">
        <v>179</v>
      </c>
      <c r="I120" s="89">
        <v>154</v>
      </c>
      <c r="J120" s="89">
        <v>102</v>
      </c>
      <c r="K120" s="89" t="s">
        <v>215</v>
      </c>
      <c r="L120" s="315" t="s">
        <v>50</v>
      </c>
      <c r="M120" s="89">
        <v>0</v>
      </c>
      <c r="N120" s="89">
        <v>4</v>
      </c>
      <c r="O120" s="89">
        <v>28</v>
      </c>
      <c r="P120" s="89" t="s">
        <v>563</v>
      </c>
      <c r="Q120" s="89">
        <v>0</v>
      </c>
      <c r="R120" s="89">
        <v>0</v>
      </c>
      <c r="S120" s="89">
        <v>0</v>
      </c>
      <c r="T120" s="89">
        <v>0</v>
      </c>
      <c r="U120" s="89">
        <v>0</v>
      </c>
      <c r="V120" s="89">
        <v>0</v>
      </c>
      <c r="W120" s="89">
        <v>0</v>
      </c>
      <c r="X120" s="89">
        <v>0</v>
      </c>
      <c r="Y120" s="89">
        <v>0</v>
      </c>
      <c r="Z120" s="89">
        <v>4</v>
      </c>
      <c r="AA120" s="89">
        <v>0</v>
      </c>
      <c r="AB120" s="89">
        <v>0</v>
      </c>
      <c r="AC120" s="89">
        <v>8</v>
      </c>
      <c r="AD120" s="89">
        <v>11</v>
      </c>
      <c r="AE120" s="89">
        <v>15</v>
      </c>
      <c r="AF120" s="89">
        <v>10</v>
      </c>
      <c r="AG120" s="89">
        <v>0</v>
      </c>
      <c r="AH120" s="89">
        <v>0</v>
      </c>
      <c r="AI120" s="89">
        <v>102</v>
      </c>
      <c r="AJ120" s="89">
        <v>4</v>
      </c>
    </row>
    <row r="121" spans="1:36" x14ac:dyDescent="0.3">
      <c r="A121" s="311" t="s">
        <v>391</v>
      </c>
      <c r="B121" s="312">
        <v>45992</v>
      </c>
      <c r="C121" s="88" t="s">
        <v>432</v>
      </c>
      <c r="D121" s="313" t="s">
        <v>760</v>
      </c>
      <c r="E121" s="88" t="s">
        <v>403</v>
      </c>
      <c r="F121" s="88" t="s">
        <v>214</v>
      </c>
      <c r="G121" s="314">
        <v>0.88270000000000004</v>
      </c>
      <c r="H121" s="89">
        <v>179</v>
      </c>
      <c r="I121" s="89">
        <v>158</v>
      </c>
      <c r="J121" s="89">
        <v>132</v>
      </c>
      <c r="K121" s="89" t="s">
        <v>215</v>
      </c>
      <c r="L121" s="315" t="s">
        <v>378</v>
      </c>
      <c r="M121" s="89">
        <v>0</v>
      </c>
      <c r="N121" s="89">
        <v>0</v>
      </c>
      <c r="O121" s="89">
        <v>8</v>
      </c>
      <c r="P121" s="89" t="s">
        <v>579</v>
      </c>
      <c r="Q121" s="89">
        <v>0</v>
      </c>
      <c r="R121" s="89">
        <v>0</v>
      </c>
      <c r="S121" s="89">
        <v>0</v>
      </c>
      <c r="T121" s="89">
        <v>0</v>
      </c>
      <c r="U121" s="89">
        <v>0</v>
      </c>
      <c r="V121" s="89">
        <v>0</v>
      </c>
      <c r="W121" s="89">
        <v>0</v>
      </c>
      <c r="X121" s="89">
        <v>0</v>
      </c>
      <c r="Y121" s="89">
        <v>0</v>
      </c>
      <c r="Z121" s="89">
        <v>4</v>
      </c>
      <c r="AA121" s="89">
        <v>0</v>
      </c>
      <c r="AB121" s="89">
        <v>0</v>
      </c>
      <c r="AC121" s="89">
        <v>1</v>
      </c>
      <c r="AD121" s="89">
        <v>3</v>
      </c>
      <c r="AE121" s="89">
        <v>8</v>
      </c>
      <c r="AF121" s="89">
        <v>10</v>
      </c>
      <c r="AG121" s="89">
        <v>0</v>
      </c>
      <c r="AH121" s="89">
        <v>0</v>
      </c>
      <c r="AI121" s="89">
        <v>132</v>
      </c>
      <c r="AJ121" s="89">
        <v>0</v>
      </c>
    </row>
    <row r="122" spans="1:36" x14ac:dyDescent="0.3">
      <c r="A122" s="311" t="s">
        <v>391</v>
      </c>
      <c r="B122" s="312">
        <v>45992</v>
      </c>
      <c r="C122" s="88" t="s">
        <v>49</v>
      </c>
      <c r="D122" s="313" t="s">
        <v>392</v>
      </c>
      <c r="E122" s="88" t="s">
        <v>358</v>
      </c>
      <c r="F122" s="88" t="s">
        <v>214</v>
      </c>
      <c r="G122" s="314">
        <v>0.73809999999999998</v>
      </c>
      <c r="H122" s="89">
        <v>168</v>
      </c>
      <c r="I122" s="89">
        <v>124</v>
      </c>
      <c r="J122" s="89">
        <v>86</v>
      </c>
      <c r="K122" s="89" t="s">
        <v>215</v>
      </c>
      <c r="L122" s="315" t="s">
        <v>175</v>
      </c>
      <c r="M122" s="89">
        <v>1</v>
      </c>
      <c r="N122" s="89">
        <v>2</v>
      </c>
      <c r="O122" s="89">
        <v>11</v>
      </c>
      <c r="P122" s="89" t="s">
        <v>279</v>
      </c>
      <c r="Q122" s="89">
        <v>0</v>
      </c>
      <c r="R122" s="89">
        <v>0</v>
      </c>
      <c r="S122" s="89">
        <v>0</v>
      </c>
      <c r="T122" s="89">
        <v>0</v>
      </c>
      <c r="U122" s="89">
        <v>0</v>
      </c>
      <c r="V122" s="89">
        <v>0</v>
      </c>
      <c r="W122" s="89">
        <v>0</v>
      </c>
      <c r="X122" s="89">
        <v>0</v>
      </c>
      <c r="Y122" s="89">
        <v>0</v>
      </c>
      <c r="Z122" s="89">
        <v>3</v>
      </c>
      <c r="AA122" s="89">
        <v>0</v>
      </c>
      <c r="AB122" s="89">
        <v>0</v>
      </c>
      <c r="AC122" s="89">
        <v>18</v>
      </c>
      <c r="AD122" s="89">
        <v>5</v>
      </c>
      <c r="AE122" s="89">
        <v>3</v>
      </c>
      <c r="AF122" s="89">
        <v>9</v>
      </c>
      <c r="AG122" s="89">
        <v>0</v>
      </c>
      <c r="AH122" s="89">
        <v>0</v>
      </c>
      <c r="AI122" s="89">
        <v>86</v>
      </c>
      <c r="AJ122" s="89">
        <v>0</v>
      </c>
    </row>
    <row r="123" spans="1:36" x14ac:dyDescent="0.3">
      <c r="A123" s="311" t="s">
        <v>391</v>
      </c>
      <c r="B123" s="312">
        <v>45992</v>
      </c>
      <c r="C123" s="88" t="s">
        <v>949</v>
      </c>
      <c r="D123" s="313" t="s">
        <v>1018</v>
      </c>
      <c r="E123" s="88" t="s">
        <v>934</v>
      </c>
      <c r="F123" s="88" t="s">
        <v>214</v>
      </c>
      <c r="G123" s="314">
        <v>0.82140000000000002</v>
      </c>
      <c r="H123" s="89">
        <v>168</v>
      </c>
      <c r="I123" s="89">
        <v>138</v>
      </c>
      <c r="J123" s="89">
        <v>72</v>
      </c>
      <c r="K123" s="89" t="s">
        <v>215</v>
      </c>
      <c r="L123" s="315" t="s">
        <v>50</v>
      </c>
      <c r="M123" s="89">
        <v>0</v>
      </c>
      <c r="N123" s="89">
        <v>84</v>
      </c>
      <c r="O123" s="89">
        <v>95</v>
      </c>
      <c r="P123" s="89" t="s">
        <v>969</v>
      </c>
      <c r="Q123" s="89">
        <v>0</v>
      </c>
      <c r="R123" s="89">
        <v>0</v>
      </c>
      <c r="S123" s="89">
        <v>0</v>
      </c>
      <c r="T123" s="89">
        <v>0</v>
      </c>
      <c r="U123" s="89">
        <v>0</v>
      </c>
      <c r="V123" s="89">
        <v>0</v>
      </c>
      <c r="W123" s="89">
        <v>0</v>
      </c>
      <c r="X123" s="89">
        <v>0</v>
      </c>
      <c r="Y123" s="89">
        <v>0</v>
      </c>
      <c r="Z123" s="89">
        <v>1</v>
      </c>
      <c r="AA123" s="89">
        <v>4</v>
      </c>
      <c r="AB123" s="89">
        <v>0</v>
      </c>
      <c r="AC123" s="89">
        <v>7</v>
      </c>
      <c r="AD123" s="89">
        <v>18</v>
      </c>
      <c r="AE123" s="89">
        <v>4</v>
      </c>
      <c r="AF123" s="89">
        <v>32</v>
      </c>
      <c r="AG123" s="89">
        <v>0</v>
      </c>
      <c r="AH123" s="89">
        <v>0</v>
      </c>
      <c r="AI123" s="89">
        <v>72</v>
      </c>
      <c r="AJ123" s="89">
        <v>0</v>
      </c>
    </row>
    <row r="124" spans="1:36" x14ac:dyDescent="0.3">
      <c r="A124" s="311" t="s">
        <v>391</v>
      </c>
      <c r="B124" s="312">
        <v>45992</v>
      </c>
      <c r="C124" s="88" t="s">
        <v>1066</v>
      </c>
      <c r="D124" s="313" t="s">
        <v>893</v>
      </c>
      <c r="E124" s="88" t="s">
        <v>1063</v>
      </c>
      <c r="F124" s="88" t="s">
        <v>214</v>
      </c>
      <c r="G124" s="314">
        <v>1.0713999999999999</v>
      </c>
      <c r="H124" s="89">
        <v>168</v>
      </c>
      <c r="I124" s="89">
        <v>180</v>
      </c>
      <c r="J124" s="89">
        <v>180</v>
      </c>
      <c r="K124" s="89" t="s">
        <v>215</v>
      </c>
      <c r="L124" s="315" t="s">
        <v>378</v>
      </c>
      <c r="M124" s="89">
        <v>0</v>
      </c>
      <c r="N124" s="89">
        <v>0</v>
      </c>
      <c r="O124" s="89">
        <v>180</v>
      </c>
      <c r="P124" s="89" t="s">
        <v>64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 s="89">
        <v>0</v>
      </c>
      <c r="Y124" s="89">
        <v>0</v>
      </c>
      <c r="Z124" s="89">
        <v>0</v>
      </c>
      <c r="AA124" s="89">
        <v>0</v>
      </c>
      <c r="AB124" s="89">
        <v>0</v>
      </c>
      <c r="AC124" s="89">
        <v>0</v>
      </c>
      <c r="AD124" s="89">
        <v>179</v>
      </c>
      <c r="AE124" s="89">
        <v>1</v>
      </c>
      <c r="AF124" s="89">
        <v>0</v>
      </c>
      <c r="AG124" s="89">
        <v>0</v>
      </c>
      <c r="AH124" s="89">
        <v>0</v>
      </c>
      <c r="AI124" s="89">
        <v>0</v>
      </c>
      <c r="AJ124" s="89">
        <v>0</v>
      </c>
    </row>
    <row r="125" spans="1:36" x14ac:dyDescent="0.3">
      <c r="A125" s="311" t="s">
        <v>212</v>
      </c>
      <c r="B125" s="312">
        <v>45993</v>
      </c>
      <c r="C125" s="88" t="s">
        <v>423</v>
      </c>
      <c r="D125" s="313" t="s">
        <v>698</v>
      </c>
      <c r="E125" s="88" t="s">
        <v>403</v>
      </c>
      <c r="F125" s="88" t="s">
        <v>214</v>
      </c>
      <c r="G125" s="314">
        <v>0.38550000000000001</v>
      </c>
      <c r="H125" s="89">
        <v>179</v>
      </c>
      <c r="I125" s="89">
        <v>69</v>
      </c>
      <c r="J125" s="89">
        <v>42</v>
      </c>
      <c r="K125" s="89" t="s">
        <v>215</v>
      </c>
      <c r="L125" s="315" t="s">
        <v>50</v>
      </c>
      <c r="M125" s="89">
        <v>0</v>
      </c>
      <c r="N125" s="89">
        <v>5</v>
      </c>
      <c r="O125" s="89">
        <v>14</v>
      </c>
      <c r="P125" s="89" t="s">
        <v>586</v>
      </c>
      <c r="Q125" s="89">
        <v>0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 s="89">
        <v>0</v>
      </c>
      <c r="Y125" s="89">
        <v>0</v>
      </c>
      <c r="Z125" s="89">
        <v>0</v>
      </c>
      <c r="AA125" s="89">
        <v>0</v>
      </c>
      <c r="AB125" s="89">
        <v>0</v>
      </c>
      <c r="AC125" s="89">
        <v>0</v>
      </c>
      <c r="AD125" s="89">
        <v>3</v>
      </c>
      <c r="AE125" s="89">
        <v>14</v>
      </c>
      <c r="AF125" s="89">
        <v>10</v>
      </c>
      <c r="AG125" s="89">
        <v>0</v>
      </c>
      <c r="AH125" s="89">
        <v>0</v>
      </c>
      <c r="AI125" s="89">
        <v>42</v>
      </c>
      <c r="AJ125" s="89">
        <v>0</v>
      </c>
    </row>
    <row r="126" spans="1:36" x14ac:dyDescent="0.3">
      <c r="A126" s="311" t="s">
        <v>212</v>
      </c>
      <c r="B126" s="312">
        <v>45993</v>
      </c>
      <c r="C126" s="88" t="s">
        <v>1036</v>
      </c>
      <c r="D126" s="313" t="s">
        <v>904</v>
      </c>
      <c r="E126" s="88" t="s">
        <v>1033</v>
      </c>
      <c r="F126" s="88" t="s">
        <v>214</v>
      </c>
      <c r="G126" s="314">
        <v>1.0536000000000001</v>
      </c>
      <c r="H126" s="89">
        <v>168</v>
      </c>
      <c r="I126" s="89">
        <v>177</v>
      </c>
      <c r="J126" s="89">
        <v>177</v>
      </c>
      <c r="K126" s="89" t="s">
        <v>215</v>
      </c>
      <c r="L126" s="315" t="s">
        <v>311</v>
      </c>
      <c r="M126" s="89">
        <v>0</v>
      </c>
      <c r="N126" s="89">
        <v>0</v>
      </c>
      <c r="O126" s="89">
        <v>177</v>
      </c>
      <c r="P126" s="89" t="s">
        <v>64</v>
      </c>
      <c r="Q126" s="89">
        <v>0</v>
      </c>
      <c r="R126" s="89">
        <v>0</v>
      </c>
      <c r="S126" s="89">
        <v>0</v>
      </c>
      <c r="T126" s="89">
        <v>0</v>
      </c>
      <c r="U126" s="89">
        <v>0</v>
      </c>
      <c r="V126" s="89">
        <v>0</v>
      </c>
      <c r="W126" s="89">
        <v>0</v>
      </c>
      <c r="X126" s="89">
        <v>0</v>
      </c>
      <c r="Y126" s="89">
        <v>0</v>
      </c>
      <c r="Z126" s="89">
        <v>0</v>
      </c>
      <c r="AA126" s="89">
        <v>0</v>
      </c>
      <c r="AB126" s="89">
        <v>0</v>
      </c>
      <c r="AC126" s="89">
        <v>94</v>
      </c>
      <c r="AD126" s="89">
        <v>83</v>
      </c>
      <c r="AE126" s="89">
        <v>0</v>
      </c>
      <c r="AF126" s="89">
        <v>0</v>
      </c>
      <c r="AG126" s="89">
        <v>0</v>
      </c>
      <c r="AH126" s="89">
        <v>0</v>
      </c>
      <c r="AI126" s="89">
        <v>0</v>
      </c>
      <c r="AJ126" s="89">
        <v>0</v>
      </c>
    </row>
    <row r="127" spans="1:36" x14ac:dyDescent="0.3">
      <c r="A127" s="311" t="s">
        <v>212</v>
      </c>
      <c r="B127" s="312">
        <v>45993</v>
      </c>
      <c r="C127" s="88" t="s">
        <v>1295</v>
      </c>
      <c r="D127" s="313" t="s">
        <v>1333</v>
      </c>
      <c r="E127" s="88" t="s">
        <v>1288</v>
      </c>
      <c r="F127" s="88" t="s">
        <v>214</v>
      </c>
      <c r="G127" s="314">
        <v>0.29759999999999998</v>
      </c>
      <c r="H127" s="89">
        <v>168</v>
      </c>
      <c r="I127" s="89">
        <v>50</v>
      </c>
      <c r="J127" s="89">
        <v>0</v>
      </c>
      <c r="K127" s="89" t="s">
        <v>215</v>
      </c>
      <c r="L127" s="315" t="s">
        <v>175</v>
      </c>
      <c r="M127" s="89">
        <v>2</v>
      </c>
      <c r="N127" s="89">
        <v>1</v>
      </c>
      <c r="O127" s="89">
        <v>17</v>
      </c>
      <c r="P127" s="89" t="s">
        <v>286</v>
      </c>
      <c r="Q127" s="89">
        <v>0</v>
      </c>
      <c r="R127" s="89">
        <v>0</v>
      </c>
      <c r="S127" s="89">
        <v>0</v>
      </c>
      <c r="T127" s="89">
        <v>0</v>
      </c>
      <c r="U127" s="89">
        <v>0</v>
      </c>
      <c r="V127" s="89">
        <v>0</v>
      </c>
      <c r="W127" s="89">
        <v>0</v>
      </c>
      <c r="X127" s="89">
        <v>0</v>
      </c>
      <c r="Y127" s="89">
        <v>0</v>
      </c>
      <c r="Z127" s="89">
        <v>9</v>
      </c>
      <c r="AA127" s="89">
        <v>0</v>
      </c>
      <c r="AB127" s="89">
        <v>2</v>
      </c>
      <c r="AC127" s="89">
        <v>7</v>
      </c>
      <c r="AD127" s="89">
        <v>2</v>
      </c>
      <c r="AE127" s="89">
        <v>4</v>
      </c>
      <c r="AF127" s="89">
        <v>26</v>
      </c>
      <c r="AG127" s="89">
        <v>0</v>
      </c>
      <c r="AH127" s="89">
        <v>0</v>
      </c>
      <c r="AI127" s="89">
        <v>0</v>
      </c>
      <c r="AJ127" s="89">
        <v>0</v>
      </c>
    </row>
    <row r="128" spans="1:36" x14ac:dyDescent="0.3">
      <c r="A128" s="311" t="s">
        <v>212</v>
      </c>
      <c r="B128" s="312">
        <v>45993</v>
      </c>
      <c r="C128" s="88" t="s">
        <v>1426</v>
      </c>
      <c r="D128" s="313" t="s">
        <v>1454</v>
      </c>
      <c r="E128" s="88" t="s">
        <v>1422</v>
      </c>
      <c r="F128" s="88" t="s">
        <v>214</v>
      </c>
      <c r="G128" s="314">
        <v>0.93300000000000005</v>
      </c>
      <c r="H128" s="89">
        <v>179</v>
      </c>
      <c r="I128" s="89">
        <v>167</v>
      </c>
      <c r="J128" s="89">
        <v>156</v>
      </c>
      <c r="K128" s="89" t="s">
        <v>215</v>
      </c>
      <c r="L128" s="315" t="s">
        <v>590</v>
      </c>
      <c r="M128" s="89">
        <v>0</v>
      </c>
      <c r="N128" s="89">
        <v>0</v>
      </c>
      <c r="O128" s="89">
        <v>4</v>
      </c>
      <c r="P128" s="89" t="s">
        <v>1441</v>
      </c>
      <c r="Q128" s="89">
        <v>0</v>
      </c>
      <c r="R128" s="89">
        <v>0</v>
      </c>
      <c r="S128" s="89">
        <v>0</v>
      </c>
      <c r="T128" s="89">
        <v>0</v>
      </c>
      <c r="U128" s="89">
        <v>0</v>
      </c>
      <c r="V128" s="89">
        <v>0</v>
      </c>
      <c r="W128" s="89">
        <v>0</v>
      </c>
      <c r="X128" s="89">
        <v>0</v>
      </c>
      <c r="Y128" s="89">
        <v>0</v>
      </c>
      <c r="Z128" s="89">
        <v>2</v>
      </c>
      <c r="AA128" s="89">
        <v>9</v>
      </c>
      <c r="AB128" s="89">
        <v>0</v>
      </c>
      <c r="AC128" s="89">
        <v>0</v>
      </c>
      <c r="AD128" s="89">
        <v>0</v>
      </c>
      <c r="AE128" s="89">
        <v>0</v>
      </c>
      <c r="AF128" s="89">
        <v>0</v>
      </c>
      <c r="AG128" s="89">
        <v>0</v>
      </c>
      <c r="AH128" s="89">
        <v>0</v>
      </c>
      <c r="AI128" s="89">
        <v>156</v>
      </c>
      <c r="AJ128" s="89">
        <v>0</v>
      </c>
    </row>
    <row r="129" spans="1:36" x14ac:dyDescent="0.3">
      <c r="A129" s="311" t="s">
        <v>212</v>
      </c>
      <c r="B129" s="312">
        <v>45993</v>
      </c>
      <c r="C129" s="88" t="s">
        <v>810</v>
      </c>
      <c r="D129" s="313" t="s">
        <v>893</v>
      </c>
      <c r="E129" s="88" t="s">
        <v>793</v>
      </c>
      <c r="F129" s="88" t="s">
        <v>214</v>
      </c>
      <c r="G129" s="314">
        <v>0.95240000000000002</v>
      </c>
      <c r="H129" s="89">
        <v>168</v>
      </c>
      <c r="I129" s="89">
        <v>160</v>
      </c>
      <c r="J129" s="89">
        <v>124</v>
      </c>
      <c r="K129" s="89" t="s">
        <v>215</v>
      </c>
      <c r="L129" s="315" t="s">
        <v>175</v>
      </c>
      <c r="M129" s="89">
        <v>1</v>
      </c>
      <c r="N129" s="89">
        <v>2</v>
      </c>
      <c r="O129" s="89">
        <v>8</v>
      </c>
      <c r="P129" s="89" t="s">
        <v>260</v>
      </c>
      <c r="Q129" s="89">
        <v>0</v>
      </c>
      <c r="R129" s="89">
        <v>0</v>
      </c>
      <c r="S129" s="89">
        <v>0</v>
      </c>
      <c r="T129" s="89">
        <v>0</v>
      </c>
      <c r="U129" s="89">
        <v>0</v>
      </c>
      <c r="V129" s="89">
        <v>0</v>
      </c>
      <c r="W129" s="89">
        <v>0</v>
      </c>
      <c r="X129" s="89">
        <v>0</v>
      </c>
      <c r="Y129" s="89">
        <v>0</v>
      </c>
      <c r="Z129" s="89">
        <v>1</v>
      </c>
      <c r="AA129" s="89">
        <v>0</v>
      </c>
      <c r="AB129" s="89">
        <v>1</v>
      </c>
      <c r="AC129" s="89">
        <v>10</v>
      </c>
      <c r="AD129" s="89">
        <v>8</v>
      </c>
      <c r="AE129" s="89">
        <v>8</v>
      </c>
      <c r="AF129" s="89">
        <v>8</v>
      </c>
      <c r="AG129" s="89">
        <v>0</v>
      </c>
      <c r="AH129" s="89">
        <v>0</v>
      </c>
      <c r="AI129" s="89">
        <v>124</v>
      </c>
      <c r="AJ129" s="89">
        <v>0</v>
      </c>
    </row>
    <row r="130" spans="1:36" x14ac:dyDescent="0.3">
      <c r="A130" s="311" t="s">
        <v>212</v>
      </c>
      <c r="B130" s="312">
        <v>45993</v>
      </c>
      <c r="C130" s="88" t="s">
        <v>935</v>
      </c>
      <c r="D130" s="313" t="s">
        <v>1003</v>
      </c>
      <c r="E130" s="88" t="s">
        <v>934</v>
      </c>
      <c r="F130" s="88" t="s">
        <v>214</v>
      </c>
      <c r="G130" s="314">
        <v>0.97209999999999996</v>
      </c>
      <c r="H130" s="89">
        <v>179</v>
      </c>
      <c r="I130" s="89">
        <v>174</v>
      </c>
      <c r="J130" s="89">
        <v>172</v>
      </c>
      <c r="K130" s="89" t="s">
        <v>215</v>
      </c>
      <c r="L130" s="315" t="s">
        <v>972</v>
      </c>
      <c r="M130" s="89">
        <v>0</v>
      </c>
      <c r="N130" s="89">
        <v>0</v>
      </c>
      <c r="O130" s="89">
        <v>0</v>
      </c>
      <c r="P130" s="89" t="s">
        <v>897</v>
      </c>
      <c r="Q130" s="89">
        <v>0</v>
      </c>
      <c r="R130" s="89">
        <v>0</v>
      </c>
      <c r="S130" s="89">
        <v>0</v>
      </c>
      <c r="T130" s="89">
        <v>0</v>
      </c>
      <c r="U130" s="89">
        <v>0</v>
      </c>
      <c r="V130" s="89">
        <v>0</v>
      </c>
      <c r="W130" s="89">
        <v>0</v>
      </c>
      <c r="X130" s="89">
        <v>0</v>
      </c>
      <c r="Y130" s="89">
        <v>0</v>
      </c>
      <c r="Z130" s="89">
        <v>0</v>
      </c>
      <c r="AA130" s="89">
        <v>0</v>
      </c>
      <c r="AB130" s="89">
        <v>0</v>
      </c>
      <c r="AC130" s="89">
        <v>0</v>
      </c>
      <c r="AD130" s="89">
        <v>2</v>
      </c>
      <c r="AE130" s="89">
        <v>0</v>
      </c>
      <c r="AF130" s="89">
        <v>0</v>
      </c>
      <c r="AG130" s="89">
        <v>0</v>
      </c>
      <c r="AH130" s="89">
        <v>0</v>
      </c>
      <c r="AI130" s="89">
        <v>172</v>
      </c>
      <c r="AJ130" s="89">
        <v>0</v>
      </c>
    </row>
    <row r="131" spans="1:36" x14ac:dyDescent="0.3">
      <c r="A131" s="311" t="s">
        <v>212</v>
      </c>
      <c r="B131" s="312">
        <v>45993</v>
      </c>
      <c r="C131" s="88" t="s">
        <v>938</v>
      </c>
      <c r="D131" s="313" t="s">
        <v>914</v>
      </c>
      <c r="E131" s="88" t="s">
        <v>934</v>
      </c>
      <c r="F131" s="88" t="s">
        <v>214</v>
      </c>
      <c r="G131" s="314">
        <v>0.88690000000000002</v>
      </c>
      <c r="H131" s="89">
        <v>168</v>
      </c>
      <c r="I131" s="89">
        <v>149</v>
      </c>
      <c r="J131" s="89">
        <v>132</v>
      </c>
      <c r="K131" s="89" t="s">
        <v>215</v>
      </c>
      <c r="L131" s="315" t="s">
        <v>50</v>
      </c>
      <c r="M131" s="89">
        <v>0</v>
      </c>
      <c r="N131" s="89">
        <v>2</v>
      </c>
      <c r="O131" s="89">
        <v>5</v>
      </c>
      <c r="P131" s="89" t="s">
        <v>265</v>
      </c>
      <c r="Q131" s="89">
        <v>0</v>
      </c>
      <c r="R131" s="89">
        <v>0</v>
      </c>
      <c r="S131" s="89">
        <v>0</v>
      </c>
      <c r="T131" s="89">
        <v>0</v>
      </c>
      <c r="U131" s="89">
        <v>0</v>
      </c>
      <c r="V131" s="89">
        <v>0</v>
      </c>
      <c r="W131" s="89">
        <v>0</v>
      </c>
      <c r="X131" s="89">
        <v>0</v>
      </c>
      <c r="Y131" s="89">
        <v>0</v>
      </c>
      <c r="Z131" s="89">
        <v>2</v>
      </c>
      <c r="AA131" s="89">
        <v>0</v>
      </c>
      <c r="AB131" s="89">
        <v>0</v>
      </c>
      <c r="AC131" s="89">
        <v>6</v>
      </c>
      <c r="AD131" s="89">
        <v>9</v>
      </c>
      <c r="AE131" s="89">
        <v>0</v>
      </c>
      <c r="AF131" s="89">
        <v>0</v>
      </c>
      <c r="AG131" s="89">
        <v>0</v>
      </c>
      <c r="AH131" s="89">
        <v>0</v>
      </c>
      <c r="AI131" s="89">
        <v>132</v>
      </c>
      <c r="AJ131" s="89">
        <v>0</v>
      </c>
    </row>
    <row r="132" spans="1:36" x14ac:dyDescent="0.3">
      <c r="A132" s="311" t="s">
        <v>212</v>
      </c>
      <c r="B132" s="312">
        <v>45993</v>
      </c>
      <c r="C132" s="88" t="s">
        <v>430</v>
      </c>
      <c r="D132" s="313" t="s">
        <v>694</v>
      </c>
      <c r="E132" s="88" t="s">
        <v>403</v>
      </c>
      <c r="F132" s="88" t="s">
        <v>214</v>
      </c>
      <c r="G132" s="314">
        <v>0.65359999999999996</v>
      </c>
      <c r="H132" s="89">
        <v>179</v>
      </c>
      <c r="I132" s="89">
        <v>117</v>
      </c>
      <c r="J132" s="89">
        <v>96</v>
      </c>
      <c r="K132" s="89" t="s">
        <v>215</v>
      </c>
      <c r="L132" s="315" t="s">
        <v>590</v>
      </c>
      <c r="M132" s="89">
        <v>0</v>
      </c>
      <c r="N132" s="89">
        <v>0</v>
      </c>
      <c r="O132" s="89">
        <v>2</v>
      </c>
      <c r="P132" s="89" t="s">
        <v>364</v>
      </c>
      <c r="Q132" s="89">
        <v>0</v>
      </c>
      <c r="R132" s="89">
        <v>0</v>
      </c>
      <c r="S132" s="89">
        <v>0</v>
      </c>
      <c r="T132" s="89">
        <v>0</v>
      </c>
      <c r="U132" s="89">
        <v>0</v>
      </c>
      <c r="V132" s="89">
        <v>0</v>
      </c>
      <c r="W132" s="89">
        <v>0</v>
      </c>
      <c r="X132" s="89">
        <v>0</v>
      </c>
      <c r="Y132" s="89">
        <v>0</v>
      </c>
      <c r="Z132" s="89">
        <v>0</v>
      </c>
      <c r="AA132" s="89">
        <v>0</v>
      </c>
      <c r="AB132" s="89">
        <v>0</v>
      </c>
      <c r="AC132" s="89">
        <v>0</v>
      </c>
      <c r="AD132" s="89">
        <v>0</v>
      </c>
      <c r="AE132" s="89">
        <v>10</v>
      </c>
      <c r="AF132" s="89">
        <v>10</v>
      </c>
      <c r="AG132" s="89">
        <v>0</v>
      </c>
      <c r="AH132" s="89">
        <v>0</v>
      </c>
      <c r="AI132" s="89">
        <v>96</v>
      </c>
      <c r="AJ132" s="89">
        <v>1</v>
      </c>
    </row>
    <row r="133" spans="1:36" x14ac:dyDescent="0.3">
      <c r="A133" s="311" t="s">
        <v>212</v>
      </c>
      <c r="B133" s="312">
        <v>45993</v>
      </c>
      <c r="C133" s="88" t="s">
        <v>1265</v>
      </c>
      <c r="D133" s="313" t="s">
        <v>691</v>
      </c>
      <c r="E133" s="88" t="s">
        <v>1263</v>
      </c>
      <c r="F133" s="88" t="s">
        <v>214</v>
      </c>
      <c r="G133" s="314">
        <v>0.375</v>
      </c>
      <c r="H133" s="89">
        <v>168</v>
      </c>
      <c r="I133" s="89">
        <v>63</v>
      </c>
      <c r="J133" s="89">
        <v>0</v>
      </c>
      <c r="K133" s="89" t="s">
        <v>215</v>
      </c>
      <c r="L133" s="315" t="s">
        <v>175</v>
      </c>
      <c r="M133" s="89">
        <v>1</v>
      </c>
      <c r="N133" s="89">
        <v>2</v>
      </c>
      <c r="O133" s="89">
        <v>11</v>
      </c>
      <c r="P133" s="89" t="s">
        <v>265</v>
      </c>
      <c r="Q133" s="89">
        <v>0</v>
      </c>
      <c r="R133" s="89">
        <v>0</v>
      </c>
      <c r="S133" s="89">
        <v>0</v>
      </c>
      <c r="T133" s="89">
        <v>0</v>
      </c>
      <c r="U133" s="89">
        <v>0</v>
      </c>
      <c r="V133" s="89">
        <v>0</v>
      </c>
      <c r="W133" s="89">
        <v>0</v>
      </c>
      <c r="X133" s="89">
        <v>0</v>
      </c>
      <c r="Y133" s="89">
        <v>0</v>
      </c>
      <c r="Z133" s="89">
        <v>2</v>
      </c>
      <c r="AA133" s="89">
        <v>0</v>
      </c>
      <c r="AB133" s="89">
        <v>0</v>
      </c>
      <c r="AC133" s="89">
        <v>11</v>
      </c>
      <c r="AD133" s="89">
        <v>20</v>
      </c>
      <c r="AE133" s="89">
        <v>10</v>
      </c>
      <c r="AF133" s="89">
        <v>20</v>
      </c>
      <c r="AG133" s="89">
        <v>0</v>
      </c>
      <c r="AH133" s="89">
        <v>0</v>
      </c>
      <c r="AI133" s="89">
        <v>0</v>
      </c>
      <c r="AJ133" s="89">
        <v>0</v>
      </c>
    </row>
    <row r="134" spans="1:36" x14ac:dyDescent="0.3">
      <c r="A134" s="311" t="s">
        <v>212</v>
      </c>
      <c r="B134" s="312">
        <v>45993</v>
      </c>
      <c r="C134" s="88" t="s">
        <v>1122</v>
      </c>
      <c r="D134" s="313" t="s">
        <v>1244</v>
      </c>
      <c r="E134" s="88" t="s">
        <v>1098</v>
      </c>
      <c r="F134" s="88" t="s">
        <v>214</v>
      </c>
      <c r="G134" s="314">
        <v>7.7399999999999997E-2</v>
      </c>
      <c r="H134" s="89">
        <v>168</v>
      </c>
      <c r="I134" s="89">
        <v>13</v>
      </c>
      <c r="J134" s="89">
        <v>0</v>
      </c>
      <c r="K134" s="89" t="s">
        <v>215</v>
      </c>
      <c r="L134" s="315" t="s">
        <v>175</v>
      </c>
      <c r="M134" s="89">
        <v>1</v>
      </c>
      <c r="N134" s="89">
        <v>0</v>
      </c>
      <c r="O134" s="89">
        <v>5</v>
      </c>
      <c r="P134" s="89" t="s">
        <v>353</v>
      </c>
      <c r="Q134" s="89">
        <v>0</v>
      </c>
      <c r="R134" s="89">
        <v>0</v>
      </c>
      <c r="S134" s="89">
        <v>0</v>
      </c>
      <c r="T134" s="89">
        <v>0</v>
      </c>
      <c r="U134" s="89">
        <v>0</v>
      </c>
      <c r="V134" s="89">
        <v>0</v>
      </c>
      <c r="W134" s="89">
        <v>0</v>
      </c>
      <c r="X134" s="89">
        <v>0</v>
      </c>
      <c r="Y134" s="89">
        <v>0</v>
      </c>
      <c r="Z134" s="89">
        <v>1</v>
      </c>
      <c r="AA134" s="89">
        <v>0</v>
      </c>
      <c r="AB134" s="89">
        <v>0</v>
      </c>
      <c r="AC134" s="89">
        <v>0</v>
      </c>
      <c r="AD134" s="89">
        <v>0</v>
      </c>
      <c r="AE134" s="89">
        <v>0</v>
      </c>
      <c r="AF134" s="89">
        <v>11</v>
      </c>
      <c r="AG134" s="89">
        <v>0</v>
      </c>
      <c r="AH134" s="89">
        <v>0</v>
      </c>
      <c r="AI134" s="89">
        <v>0</v>
      </c>
      <c r="AJ134" s="89">
        <v>1</v>
      </c>
    </row>
    <row r="135" spans="1:36" x14ac:dyDescent="0.3">
      <c r="A135" s="311" t="s">
        <v>212</v>
      </c>
      <c r="B135" s="312">
        <v>45993</v>
      </c>
      <c r="C135" s="88" t="s">
        <v>420</v>
      </c>
      <c r="D135" s="313" t="s">
        <v>681</v>
      </c>
      <c r="E135" s="88" t="s">
        <v>403</v>
      </c>
      <c r="F135" s="88" t="s">
        <v>214</v>
      </c>
      <c r="G135" s="314">
        <v>0.16200000000000001</v>
      </c>
      <c r="H135" s="89">
        <v>179</v>
      </c>
      <c r="I135" s="89">
        <v>29</v>
      </c>
      <c r="J135" s="89">
        <v>0</v>
      </c>
      <c r="K135" s="89" t="s">
        <v>215</v>
      </c>
      <c r="L135" s="315" t="s">
        <v>175</v>
      </c>
      <c r="M135" s="89">
        <v>1</v>
      </c>
      <c r="N135" s="89">
        <v>1</v>
      </c>
      <c r="O135" s="89">
        <v>17</v>
      </c>
      <c r="P135" s="89" t="s">
        <v>217</v>
      </c>
      <c r="Q135" s="89">
        <v>0</v>
      </c>
      <c r="R135" s="89">
        <v>0</v>
      </c>
      <c r="S135" s="89">
        <v>0</v>
      </c>
      <c r="T135" s="89">
        <v>0</v>
      </c>
      <c r="U135" s="89">
        <v>0</v>
      </c>
      <c r="V135" s="89">
        <v>0</v>
      </c>
      <c r="W135" s="89">
        <v>0</v>
      </c>
      <c r="X135" s="89">
        <v>0</v>
      </c>
      <c r="Y135" s="89">
        <v>0</v>
      </c>
      <c r="Z135" s="89">
        <v>3</v>
      </c>
      <c r="AA135" s="89">
        <v>0</v>
      </c>
      <c r="AB135" s="89">
        <v>0</v>
      </c>
      <c r="AC135" s="89">
        <v>0</v>
      </c>
      <c r="AD135" s="89">
        <v>0</v>
      </c>
      <c r="AE135" s="89">
        <v>0</v>
      </c>
      <c r="AF135" s="89">
        <v>26</v>
      </c>
      <c r="AG135" s="89">
        <v>0</v>
      </c>
      <c r="AH135" s="89">
        <v>0</v>
      </c>
      <c r="AI135" s="89">
        <v>0</v>
      </c>
      <c r="AJ135" s="89">
        <v>0</v>
      </c>
    </row>
    <row r="136" spans="1:36" x14ac:dyDescent="0.3">
      <c r="A136" s="311" t="s">
        <v>212</v>
      </c>
      <c r="B136" s="312">
        <v>45993</v>
      </c>
      <c r="C136" s="88" t="s">
        <v>417</v>
      </c>
      <c r="D136" s="313" t="s">
        <v>699</v>
      </c>
      <c r="E136" s="88" t="s">
        <v>403</v>
      </c>
      <c r="F136" s="88" t="s">
        <v>214</v>
      </c>
      <c r="G136" s="314">
        <v>0.65920000000000001</v>
      </c>
      <c r="H136" s="89">
        <v>179</v>
      </c>
      <c r="I136" s="89">
        <v>118</v>
      </c>
      <c r="J136" s="89">
        <v>92</v>
      </c>
      <c r="K136" s="89" t="s">
        <v>215</v>
      </c>
      <c r="L136" s="315" t="s">
        <v>175</v>
      </c>
      <c r="M136" s="89">
        <v>1</v>
      </c>
      <c r="N136" s="89">
        <v>2</v>
      </c>
      <c r="O136" s="89">
        <v>13</v>
      </c>
      <c r="P136" s="89" t="s">
        <v>364</v>
      </c>
      <c r="Q136" s="89">
        <v>0</v>
      </c>
      <c r="R136" s="89">
        <v>0</v>
      </c>
      <c r="S136" s="89">
        <v>0</v>
      </c>
      <c r="T136" s="89">
        <v>0</v>
      </c>
      <c r="U136" s="89">
        <v>0</v>
      </c>
      <c r="V136" s="89">
        <v>0</v>
      </c>
      <c r="W136" s="89">
        <v>0</v>
      </c>
      <c r="X136" s="89">
        <v>0</v>
      </c>
      <c r="Y136" s="89">
        <v>0</v>
      </c>
      <c r="Z136" s="89">
        <v>0</v>
      </c>
      <c r="AA136" s="89">
        <v>0</v>
      </c>
      <c r="AB136" s="89">
        <v>0</v>
      </c>
      <c r="AC136" s="89">
        <v>0</v>
      </c>
      <c r="AD136" s="89">
        <v>1</v>
      </c>
      <c r="AE136" s="89">
        <v>10</v>
      </c>
      <c r="AF136" s="89">
        <v>15</v>
      </c>
      <c r="AG136" s="89">
        <v>0</v>
      </c>
      <c r="AH136" s="89">
        <v>0</v>
      </c>
      <c r="AI136" s="89">
        <v>92</v>
      </c>
      <c r="AJ136" s="89">
        <v>0</v>
      </c>
    </row>
    <row r="137" spans="1:36" x14ac:dyDescent="0.3">
      <c r="A137" s="311" t="s">
        <v>212</v>
      </c>
      <c r="B137" s="312">
        <v>45993</v>
      </c>
      <c r="C137" s="88" t="s">
        <v>427</v>
      </c>
      <c r="D137" s="313" t="s">
        <v>691</v>
      </c>
      <c r="E137" s="88" t="s">
        <v>403</v>
      </c>
      <c r="F137" s="88" t="s">
        <v>214</v>
      </c>
      <c r="G137" s="314">
        <v>0.64249999999999996</v>
      </c>
      <c r="H137" s="89">
        <v>179</v>
      </c>
      <c r="I137" s="89">
        <v>115</v>
      </c>
      <c r="J137" s="89">
        <v>83</v>
      </c>
      <c r="K137" s="89" t="s">
        <v>215</v>
      </c>
      <c r="L137" s="315" t="s">
        <v>50</v>
      </c>
      <c r="M137" s="89">
        <v>0</v>
      </c>
      <c r="N137" s="89">
        <v>4</v>
      </c>
      <c r="O137" s="89">
        <v>15</v>
      </c>
      <c r="P137" s="89" t="s">
        <v>543</v>
      </c>
      <c r="Q137" s="89">
        <v>0</v>
      </c>
      <c r="R137" s="89">
        <v>0</v>
      </c>
      <c r="S137" s="89">
        <v>0</v>
      </c>
      <c r="T137" s="89">
        <v>0</v>
      </c>
      <c r="U137" s="89">
        <v>0</v>
      </c>
      <c r="V137" s="89">
        <v>0</v>
      </c>
      <c r="W137" s="89">
        <v>0</v>
      </c>
      <c r="X137" s="89">
        <v>0</v>
      </c>
      <c r="Y137" s="89">
        <v>0</v>
      </c>
      <c r="Z137" s="89">
        <v>3</v>
      </c>
      <c r="AA137" s="89">
        <v>0</v>
      </c>
      <c r="AB137" s="89">
        <v>0</v>
      </c>
      <c r="AC137" s="89">
        <v>0</v>
      </c>
      <c r="AD137" s="89">
        <v>8</v>
      </c>
      <c r="AE137" s="89">
        <v>10</v>
      </c>
      <c r="AF137" s="89">
        <v>10</v>
      </c>
      <c r="AG137" s="89">
        <v>0</v>
      </c>
      <c r="AH137" s="89">
        <v>0</v>
      </c>
      <c r="AI137" s="89">
        <v>84</v>
      </c>
      <c r="AJ137" s="89">
        <v>0</v>
      </c>
    </row>
    <row r="138" spans="1:36" x14ac:dyDescent="0.3">
      <c r="A138" s="311" t="s">
        <v>212</v>
      </c>
      <c r="B138" s="312">
        <v>45993</v>
      </c>
      <c r="C138" s="88" t="s">
        <v>432</v>
      </c>
      <c r="D138" s="313" t="s">
        <v>686</v>
      </c>
      <c r="E138" s="88" t="s">
        <v>403</v>
      </c>
      <c r="F138" s="88" t="s">
        <v>214</v>
      </c>
      <c r="G138" s="314">
        <v>0.62570000000000003</v>
      </c>
      <c r="H138" s="89">
        <v>179</v>
      </c>
      <c r="I138" s="89">
        <v>112</v>
      </c>
      <c r="J138" s="89">
        <v>90</v>
      </c>
      <c r="K138" s="89" t="s">
        <v>215</v>
      </c>
      <c r="L138" s="315" t="s">
        <v>63</v>
      </c>
      <c r="M138" s="89">
        <v>0</v>
      </c>
      <c r="N138" s="89">
        <v>0</v>
      </c>
      <c r="O138" s="89">
        <v>12</v>
      </c>
      <c r="P138" s="89" t="s">
        <v>394</v>
      </c>
      <c r="Q138" s="89">
        <v>0</v>
      </c>
      <c r="R138" s="89">
        <v>0</v>
      </c>
      <c r="S138" s="89">
        <v>0</v>
      </c>
      <c r="T138" s="89">
        <v>0</v>
      </c>
      <c r="U138" s="89">
        <v>0</v>
      </c>
      <c r="V138" s="89">
        <v>0</v>
      </c>
      <c r="W138" s="89">
        <v>0</v>
      </c>
      <c r="X138" s="89">
        <v>0</v>
      </c>
      <c r="Y138" s="89">
        <v>0</v>
      </c>
      <c r="Z138" s="89">
        <v>0</v>
      </c>
      <c r="AA138" s="89">
        <v>0</v>
      </c>
      <c r="AB138" s="89">
        <v>0</v>
      </c>
      <c r="AC138" s="89">
        <v>0</v>
      </c>
      <c r="AD138" s="89">
        <v>0</v>
      </c>
      <c r="AE138" s="89">
        <v>12</v>
      </c>
      <c r="AF138" s="89">
        <v>10</v>
      </c>
      <c r="AG138" s="89">
        <v>0</v>
      </c>
      <c r="AH138" s="89">
        <v>0</v>
      </c>
      <c r="AI138" s="89">
        <v>90</v>
      </c>
      <c r="AJ138" s="89">
        <v>0</v>
      </c>
    </row>
    <row r="139" spans="1:36" x14ac:dyDescent="0.3">
      <c r="A139" s="311" t="s">
        <v>212</v>
      </c>
      <c r="B139" s="312">
        <v>45993</v>
      </c>
      <c r="C139" s="88" t="s">
        <v>1034</v>
      </c>
      <c r="D139" s="313" t="s">
        <v>712</v>
      </c>
      <c r="E139" s="88" t="s">
        <v>1033</v>
      </c>
      <c r="F139" s="88" t="s">
        <v>214</v>
      </c>
      <c r="G139" s="314">
        <v>1.0832999999999999</v>
      </c>
      <c r="H139" s="89">
        <v>168</v>
      </c>
      <c r="I139" s="89">
        <v>182</v>
      </c>
      <c r="J139" s="89">
        <v>182</v>
      </c>
      <c r="K139" s="89" t="s">
        <v>215</v>
      </c>
      <c r="L139" s="315" t="s">
        <v>311</v>
      </c>
      <c r="M139" s="89">
        <v>0</v>
      </c>
      <c r="N139" s="89">
        <v>0</v>
      </c>
      <c r="O139" s="89">
        <v>182</v>
      </c>
      <c r="P139" s="89" t="s">
        <v>64</v>
      </c>
      <c r="Q139" s="89">
        <v>0</v>
      </c>
      <c r="R139" s="89">
        <v>0</v>
      </c>
      <c r="S139" s="89">
        <v>0</v>
      </c>
      <c r="T139" s="89">
        <v>0</v>
      </c>
      <c r="U139" s="89">
        <v>0</v>
      </c>
      <c r="V139" s="89">
        <v>0</v>
      </c>
      <c r="W139" s="89">
        <v>0</v>
      </c>
      <c r="X139" s="89">
        <v>0</v>
      </c>
      <c r="Y139" s="89">
        <v>0</v>
      </c>
      <c r="Z139" s="89">
        <v>0</v>
      </c>
      <c r="AA139" s="89">
        <v>0</v>
      </c>
      <c r="AB139" s="89">
        <v>0</v>
      </c>
      <c r="AC139" s="89">
        <v>133</v>
      </c>
      <c r="AD139" s="89">
        <v>49</v>
      </c>
      <c r="AE139" s="89">
        <v>0</v>
      </c>
      <c r="AF139" s="89">
        <v>0</v>
      </c>
      <c r="AG139" s="89">
        <v>0</v>
      </c>
      <c r="AH139" s="89">
        <v>0</v>
      </c>
      <c r="AI139" s="89">
        <v>0</v>
      </c>
      <c r="AJ139" s="89">
        <v>0</v>
      </c>
    </row>
    <row r="140" spans="1:36" x14ac:dyDescent="0.3">
      <c r="A140" s="311" t="s">
        <v>212</v>
      </c>
      <c r="B140" s="312">
        <v>45993</v>
      </c>
      <c r="C140" s="88" t="s">
        <v>1040</v>
      </c>
      <c r="D140" s="313" t="s">
        <v>911</v>
      </c>
      <c r="E140" s="88" t="s">
        <v>1033</v>
      </c>
      <c r="F140" s="88" t="s">
        <v>214</v>
      </c>
      <c r="G140" s="314">
        <v>0.79759999999999998</v>
      </c>
      <c r="H140" s="89">
        <v>168</v>
      </c>
      <c r="I140" s="89">
        <v>134</v>
      </c>
      <c r="J140" s="89">
        <v>134</v>
      </c>
      <c r="K140" s="89" t="s">
        <v>215</v>
      </c>
      <c r="L140" s="315" t="s">
        <v>311</v>
      </c>
      <c r="M140" s="89">
        <v>0</v>
      </c>
      <c r="N140" s="89">
        <v>0</v>
      </c>
      <c r="O140" s="89">
        <v>122</v>
      </c>
      <c r="P140" s="89" t="s">
        <v>64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 s="89">
        <v>0</v>
      </c>
      <c r="Y140" s="89">
        <v>0</v>
      </c>
      <c r="Z140" s="89">
        <v>0</v>
      </c>
      <c r="AA140" s="89">
        <v>0</v>
      </c>
      <c r="AB140" s="89">
        <v>0</v>
      </c>
      <c r="AC140" s="89">
        <v>12</v>
      </c>
      <c r="AD140" s="89">
        <v>122</v>
      </c>
      <c r="AE140" s="89">
        <v>0</v>
      </c>
      <c r="AF140" s="89">
        <v>0</v>
      </c>
      <c r="AG140" s="89">
        <v>0</v>
      </c>
      <c r="AH140" s="89">
        <v>0</v>
      </c>
      <c r="AI140" s="89">
        <v>0</v>
      </c>
      <c r="AJ140" s="89">
        <v>0</v>
      </c>
    </row>
    <row r="141" spans="1:36" x14ac:dyDescent="0.3">
      <c r="A141" s="311" t="s">
        <v>212</v>
      </c>
      <c r="B141" s="312">
        <v>45993</v>
      </c>
      <c r="C141" s="88" t="s">
        <v>298</v>
      </c>
      <c r="D141" s="313" t="s">
        <v>325</v>
      </c>
      <c r="E141" s="88" t="s">
        <v>295</v>
      </c>
      <c r="F141" s="88" t="s">
        <v>214</v>
      </c>
      <c r="G141" s="314">
        <v>1</v>
      </c>
      <c r="H141" s="89">
        <v>179</v>
      </c>
      <c r="I141" s="89">
        <v>179</v>
      </c>
      <c r="J141" s="89">
        <v>161</v>
      </c>
      <c r="K141" s="89" t="s">
        <v>215</v>
      </c>
      <c r="L141" s="315" t="s">
        <v>311</v>
      </c>
      <c r="M141" s="89">
        <v>0</v>
      </c>
      <c r="N141" s="89">
        <v>0</v>
      </c>
      <c r="O141" s="89">
        <v>3</v>
      </c>
      <c r="P141" s="89" t="s">
        <v>64</v>
      </c>
      <c r="Q141" s="89">
        <v>0</v>
      </c>
      <c r="R141" s="89">
        <v>0</v>
      </c>
      <c r="S141" s="89">
        <v>0</v>
      </c>
      <c r="T141" s="89">
        <v>0</v>
      </c>
      <c r="U141" s="89">
        <v>0</v>
      </c>
      <c r="V141" s="89">
        <v>0</v>
      </c>
      <c r="W141" s="89">
        <v>0</v>
      </c>
      <c r="X141" s="89">
        <v>0</v>
      </c>
      <c r="Y141" s="89">
        <v>0</v>
      </c>
      <c r="Z141" s="89">
        <v>3</v>
      </c>
      <c r="AA141" s="89">
        <v>0</v>
      </c>
      <c r="AB141" s="89">
        <v>0</v>
      </c>
      <c r="AC141" s="89">
        <v>0</v>
      </c>
      <c r="AD141" s="89">
        <v>0</v>
      </c>
      <c r="AE141" s="89">
        <v>7</v>
      </c>
      <c r="AF141" s="89">
        <v>8</v>
      </c>
      <c r="AG141" s="89">
        <v>0</v>
      </c>
      <c r="AH141" s="89">
        <v>0</v>
      </c>
      <c r="AI141" s="89">
        <v>161</v>
      </c>
      <c r="AJ141" s="89">
        <v>0</v>
      </c>
    </row>
    <row r="142" spans="1:36" x14ac:dyDescent="0.3">
      <c r="A142" s="311" t="s">
        <v>212</v>
      </c>
      <c r="B142" s="312">
        <v>45993</v>
      </c>
      <c r="C142" s="88" t="s">
        <v>49</v>
      </c>
      <c r="D142" s="313" t="s">
        <v>220</v>
      </c>
      <c r="E142" s="88" t="s">
        <v>1</v>
      </c>
      <c r="F142" s="88" t="s">
        <v>214</v>
      </c>
      <c r="G142" s="314">
        <v>0.77980000000000005</v>
      </c>
      <c r="H142" s="89">
        <v>168</v>
      </c>
      <c r="I142" s="89">
        <v>131</v>
      </c>
      <c r="J142" s="89">
        <v>41</v>
      </c>
      <c r="K142" s="89" t="s">
        <v>215</v>
      </c>
      <c r="L142" s="315" t="s">
        <v>50</v>
      </c>
      <c r="M142" s="89">
        <v>0</v>
      </c>
      <c r="N142" s="89">
        <v>2</v>
      </c>
      <c r="O142" s="89">
        <v>75</v>
      </c>
      <c r="P142" s="89" t="s">
        <v>150</v>
      </c>
      <c r="Q142" s="89">
        <v>0</v>
      </c>
      <c r="R142" s="89">
        <v>0</v>
      </c>
      <c r="S142" s="89">
        <v>0</v>
      </c>
      <c r="T142" s="89">
        <v>0</v>
      </c>
      <c r="U142" s="89">
        <v>0</v>
      </c>
      <c r="V142" s="89">
        <v>0</v>
      </c>
      <c r="W142" s="89">
        <v>0</v>
      </c>
      <c r="X142" s="89">
        <v>10</v>
      </c>
      <c r="Y142" s="89">
        <v>10</v>
      </c>
      <c r="Z142" s="89">
        <v>10</v>
      </c>
      <c r="AA142" s="89">
        <v>10</v>
      </c>
      <c r="AB142" s="89">
        <v>10</v>
      </c>
      <c r="AC142" s="89">
        <v>10</v>
      </c>
      <c r="AD142" s="89">
        <v>10</v>
      </c>
      <c r="AE142" s="89">
        <v>10</v>
      </c>
      <c r="AF142" s="89">
        <v>10</v>
      </c>
      <c r="AG142" s="89">
        <v>0</v>
      </c>
      <c r="AH142" s="89">
        <v>0</v>
      </c>
      <c r="AI142" s="89">
        <v>41</v>
      </c>
      <c r="AJ142" s="89">
        <v>0</v>
      </c>
    </row>
    <row r="143" spans="1:36" x14ac:dyDescent="0.3">
      <c r="A143" s="311" t="s">
        <v>212</v>
      </c>
      <c r="B143" s="312">
        <v>45993</v>
      </c>
      <c r="C143" s="88" t="s">
        <v>60</v>
      </c>
      <c r="D143" s="313" t="s">
        <v>230</v>
      </c>
      <c r="E143" s="88" t="s">
        <v>1</v>
      </c>
      <c r="F143" s="88" t="s">
        <v>214</v>
      </c>
      <c r="G143" s="314">
        <v>1.006</v>
      </c>
      <c r="H143" s="89">
        <v>168</v>
      </c>
      <c r="I143" s="89">
        <v>169</v>
      </c>
      <c r="J143" s="89">
        <v>136</v>
      </c>
      <c r="K143" s="89" t="s">
        <v>215</v>
      </c>
      <c r="L143" s="315" t="s">
        <v>157</v>
      </c>
      <c r="M143" s="89">
        <v>0</v>
      </c>
      <c r="N143" s="89">
        <v>0</v>
      </c>
      <c r="O143" s="89">
        <v>0</v>
      </c>
      <c r="P143" s="89" t="s">
        <v>64</v>
      </c>
      <c r="Q143" s="89">
        <v>0</v>
      </c>
      <c r="R143" s="89">
        <v>0</v>
      </c>
      <c r="S143" s="89">
        <v>0</v>
      </c>
      <c r="T143" s="89">
        <v>0</v>
      </c>
      <c r="U143" s="89">
        <v>0</v>
      </c>
      <c r="V143" s="89">
        <v>0</v>
      </c>
      <c r="W143" s="89">
        <v>0</v>
      </c>
      <c r="X143" s="89">
        <v>0</v>
      </c>
      <c r="Y143" s="89">
        <v>0</v>
      </c>
      <c r="Z143" s="89">
        <v>5</v>
      </c>
      <c r="AA143" s="89">
        <v>0</v>
      </c>
      <c r="AB143" s="89">
        <v>0</v>
      </c>
      <c r="AC143" s="89">
        <v>0</v>
      </c>
      <c r="AD143" s="89">
        <v>0</v>
      </c>
      <c r="AE143" s="89">
        <v>9</v>
      </c>
      <c r="AF143" s="89">
        <v>17</v>
      </c>
      <c r="AG143" s="89">
        <v>46</v>
      </c>
      <c r="AH143" s="89">
        <v>0</v>
      </c>
      <c r="AI143" s="89">
        <v>90</v>
      </c>
      <c r="AJ143" s="89">
        <v>2</v>
      </c>
    </row>
    <row r="144" spans="1:36" x14ac:dyDescent="0.3">
      <c r="A144" s="311" t="s">
        <v>212</v>
      </c>
      <c r="B144" s="312">
        <v>45993</v>
      </c>
      <c r="C144" s="88" t="s">
        <v>56</v>
      </c>
      <c r="D144" s="313" t="s">
        <v>213</v>
      </c>
      <c r="E144" s="88" t="s">
        <v>1</v>
      </c>
      <c r="F144" s="88" t="s">
        <v>214</v>
      </c>
      <c r="G144" s="314">
        <v>0.96</v>
      </c>
      <c r="H144" s="89">
        <v>175</v>
      </c>
      <c r="I144" s="89">
        <v>168</v>
      </c>
      <c r="J144" s="89">
        <v>120</v>
      </c>
      <c r="K144" s="89" t="s">
        <v>215</v>
      </c>
      <c r="L144" s="315" t="s">
        <v>154</v>
      </c>
      <c r="M144" s="89">
        <v>0</v>
      </c>
      <c r="N144" s="89">
        <v>0</v>
      </c>
      <c r="O144" s="89">
        <v>0</v>
      </c>
      <c r="P144" s="89" t="s">
        <v>155</v>
      </c>
      <c r="Q144" s="89">
        <v>0</v>
      </c>
      <c r="R144" s="89">
        <v>0</v>
      </c>
      <c r="S144" s="89">
        <v>0</v>
      </c>
      <c r="T144" s="89">
        <v>0</v>
      </c>
      <c r="U144" s="89">
        <v>0</v>
      </c>
      <c r="V144" s="89">
        <v>0</v>
      </c>
      <c r="W144" s="89">
        <v>0</v>
      </c>
      <c r="X144" s="89">
        <v>0</v>
      </c>
      <c r="Y144" s="89">
        <v>0</v>
      </c>
      <c r="Z144" s="89">
        <v>6</v>
      </c>
      <c r="AA144" s="89">
        <v>0</v>
      </c>
      <c r="AB144" s="89">
        <v>0</v>
      </c>
      <c r="AC144" s="89">
        <v>9</v>
      </c>
      <c r="AD144" s="89">
        <v>8</v>
      </c>
      <c r="AE144" s="89">
        <v>8</v>
      </c>
      <c r="AF144" s="89">
        <v>17</v>
      </c>
      <c r="AG144" s="89">
        <v>29</v>
      </c>
      <c r="AH144" s="89">
        <v>0</v>
      </c>
      <c r="AI144" s="89">
        <v>90</v>
      </c>
      <c r="AJ144" s="89">
        <v>1</v>
      </c>
    </row>
    <row r="145" spans="1:36" x14ac:dyDescent="0.3">
      <c r="A145" s="311" t="s">
        <v>212</v>
      </c>
      <c r="B145" s="312">
        <v>45993</v>
      </c>
      <c r="C145" s="88" t="s">
        <v>1068</v>
      </c>
      <c r="D145" s="313" t="s">
        <v>1070</v>
      </c>
      <c r="E145" s="88" t="s">
        <v>1063</v>
      </c>
      <c r="F145" s="88" t="s">
        <v>214</v>
      </c>
      <c r="G145" s="314">
        <v>1.0713999999999999</v>
      </c>
      <c r="H145" s="89">
        <v>168</v>
      </c>
      <c r="I145" s="89">
        <v>180</v>
      </c>
      <c r="J145" s="89">
        <v>180</v>
      </c>
      <c r="K145" s="89" t="s">
        <v>215</v>
      </c>
      <c r="L145" s="315" t="s">
        <v>311</v>
      </c>
      <c r="M145" s="89">
        <v>0</v>
      </c>
      <c r="N145" s="89">
        <v>0</v>
      </c>
      <c r="O145" s="89">
        <v>180</v>
      </c>
      <c r="P145" s="89" t="s">
        <v>64</v>
      </c>
      <c r="Q145" s="89">
        <v>0</v>
      </c>
      <c r="R145" s="89">
        <v>0</v>
      </c>
      <c r="S145" s="89">
        <v>0</v>
      </c>
      <c r="T145" s="89">
        <v>0</v>
      </c>
      <c r="U145" s="89">
        <v>0</v>
      </c>
      <c r="V145" s="89">
        <v>0</v>
      </c>
      <c r="W145" s="89">
        <v>0</v>
      </c>
      <c r="X145" s="89">
        <v>0</v>
      </c>
      <c r="Y145" s="89">
        <v>0</v>
      </c>
      <c r="Z145" s="89">
        <v>0</v>
      </c>
      <c r="AA145" s="89">
        <v>0</v>
      </c>
      <c r="AB145" s="89">
        <v>0</v>
      </c>
      <c r="AC145" s="89">
        <v>180</v>
      </c>
      <c r="AD145" s="89">
        <v>0</v>
      </c>
      <c r="AE145" s="89">
        <v>0</v>
      </c>
      <c r="AF145" s="89">
        <v>0</v>
      </c>
      <c r="AG145" s="89">
        <v>0</v>
      </c>
      <c r="AH145" s="89">
        <v>0</v>
      </c>
      <c r="AI145" s="89">
        <v>0</v>
      </c>
      <c r="AJ145" s="89">
        <v>0</v>
      </c>
    </row>
    <row r="146" spans="1:36" x14ac:dyDescent="0.3">
      <c r="A146" s="311" t="s">
        <v>212</v>
      </c>
      <c r="B146" s="312">
        <v>45993</v>
      </c>
      <c r="C146" s="88" t="s">
        <v>1395</v>
      </c>
      <c r="D146" s="313" t="s">
        <v>729</v>
      </c>
      <c r="E146" s="88" t="s">
        <v>1393</v>
      </c>
      <c r="F146" s="88" t="s">
        <v>214</v>
      </c>
      <c r="G146" s="314">
        <v>0.23810000000000001</v>
      </c>
      <c r="H146" s="89">
        <v>168</v>
      </c>
      <c r="I146" s="89">
        <v>40</v>
      </c>
      <c r="J146" s="89">
        <v>0</v>
      </c>
      <c r="K146" s="89" t="s">
        <v>215</v>
      </c>
      <c r="L146" s="315" t="s">
        <v>50</v>
      </c>
      <c r="M146" s="89">
        <v>0</v>
      </c>
      <c r="N146" s="89">
        <v>5</v>
      </c>
      <c r="O146" s="89">
        <v>17</v>
      </c>
      <c r="P146" s="89" t="s">
        <v>237</v>
      </c>
      <c r="Q146" s="89">
        <v>0</v>
      </c>
      <c r="R146" s="89">
        <v>0</v>
      </c>
      <c r="S146" s="89">
        <v>0</v>
      </c>
      <c r="T146" s="89">
        <v>0</v>
      </c>
      <c r="U146" s="89">
        <v>0</v>
      </c>
      <c r="V146" s="89">
        <v>0</v>
      </c>
      <c r="W146" s="89">
        <v>0</v>
      </c>
      <c r="X146" s="89">
        <v>0</v>
      </c>
      <c r="Y146" s="89">
        <v>0</v>
      </c>
      <c r="Z146" s="89">
        <v>2</v>
      </c>
      <c r="AA146" s="89">
        <v>0</v>
      </c>
      <c r="AB146" s="89">
        <v>0</v>
      </c>
      <c r="AC146" s="89">
        <v>0</v>
      </c>
      <c r="AD146" s="89">
        <v>0</v>
      </c>
      <c r="AE146" s="89">
        <v>37</v>
      </c>
      <c r="AF146" s="89">
        <v>1</v>
      </c>
      <c r="AG146" s="89">
        <v>0</v>
      </c>
      <c r="AH146" s="89">
        <v>0</v>
      </c>
      <c r="AI146" s="89">
        <v>0</v>
      </c>
      <c r="AJ146" s="89">
        <v>0</v>
      </c>
    </row>
    <row r="147" spans="1:36" x14ac:dyDescent="0.3">
      <c r="A147" s="311" t="s">
        <v>331</v>
      </c>
      <c r="B147" s="312">
        <v>45994</v>
      </c>
      <c r="C147" s="88" t="s">
        <v>1366</v>
      </c>
      <c r="D147" s="313" t="s">
        <v>1378</v>
      </c>
      <c r="E147" s="88" t="s">
        <v>1357</v>
      </c>
      <c r="F147" s="88" t="s">
        <v>1380</v>
      </c>
      <c r="G147" s="314">
        <v>0.41239999999999999</v>
      </c>
      <c r="H147" s="89">
        <v>97</v>
      </c>
      <c r="I147" s="89">
        <v>40</v>
      </c>
      <c r="J147" s="89">
        <v>0</v>
      </c>
      <c r="K147" s="89" t="s">
        <v>215</v>
      </c>
      <c r="L147" s="315" t="s">
        <v>63</v>
      </c>
      <c r="M147" s="89">
        <v>0</v>
      </c>
      <c r="N147" s="89">
        <v>0</v>
      </c>
      <c r="O147" s="89">
        <v>3</v>
      </c>
      <c r="P147" s="89" t="s">
        <v>237</v>
      </c>
      <c r="Q147" s="89">
        <v>0</v>
      </c>
      <c r="R147" s="89">
        <v>0</v>
      </c>
      <c r="S147" s="89">
        <v>0</v>
      </c>
      <c r="T147" s="89">
        <v>0</v>
      </c>
      <c r="U147" s="89">
        <v>0</v>
      </c>
      <c r="V147" s="89">
        <v>0</v>
      </c>
      <c r="W147" s="89">
        <v>0</v>
      </c>
      <c r="X147" s="89">
        <v>0</v>
      </c>
      <c r="Y147" s="89">
        <v>0</v>
      </c>
      <c r="Z147" s="89">
        <v>0</v>
      </c>
      <c r="AA147" s="89">
        <v>0</v>
      </c>
      <c r="AB147" s="89">
        <v>0</v>
      </c>
      <c r="AC147" s="89">
        <v>0</v>
      </c>
      <c r="AD147" s="89">
        <v>0</v>
      </c>
      <c r="AE147" s="89">
        <v>20</v>
      </c>
      <c r="AF147" s="89">
        <v>20</v>
      </c>
      <c r="AG147" s="89">
        <v>0</v>
      </c>
      <c r="AH147" s="89">
        <v>0</v>
      </c>
      <c r="AI147" s="89">
        <v>0</v>
      </c>
      <c r="AJ147" s="89">
        <v>0</v>
      </c>
    </row>
    <row r="148" spans="1:36" x14ac:dyDescent="0.3">
      <c r="A148" s="311" t="s">
        <v>331</v>
      </c>
      <c r="B148" s="312">
        <v>45994</v>
      </c>
      <c r="C148" s="88" t="s">
        <v>1546</v>
      </c>
      <c r="D148" s="313" t="s">
        <v>1554</v>
      </c>
      <c r="E148" s="88" t="s">
        <v>1543</v>
      </c>
      <c r="F148" s="88" t="s">
        <v>214</v>
      </c>
      <c r="G148" s="314">
        <v>0.2321</v>
      </c>
      <c r="H148" s="89">
        <v>168</v>
      </c>
      <c r="I148" s="89">
        <v>39</v>
      </c>
      <c r="J148" s="89">
        <v>0</v>
      </c>
      <c r="K148" s="89" t="s">
        <v>215</v>
      </c>
      <c r="L148" s="315" t="s">
        <v>63</v>
      </c>
      <c r="M148" s="89">
        <v>0</v>
      </c>
      <c r="N148" s="89">
        <v>0</v>
      </c>
      <c r="O148" s="89">
        <v>17</v>
      </c>
      <c r="P148" s="89" t="s">
        <v>364</v>
      </c>
      <c r="Q148" s="89">
        <v>0</v>
      </c>
      <c r="R148" s="89">
        <v>0</v>
      </c>
      <c r="S148" s="89">
        <v>0</v>
      </c>
      <c r="T148" s="89">
        <v>0</v>
      </c>
      <c r="U148" s="89">
        <v>0</v>
      </c>
      <c r="V148" s="89">
        <v>0</v>
      </c>
      <c r="W148" s="89">
        <v>0</v>
      </c>
      <c r="X148" s="89">
        <v>0</v>
      </c>
      <c r="Y148" s="89">
        <v>0</v>
      </c>
      <c r="Z148" s="89">
        <v>0</v>
      </c>
      <c r="AA148" s="89">
        <v>0</v>
      </c>
      <c r="AB148" s="89">
        <v>0</v>
      </c>
      <c r="AC148" s="89">
        <v>2</v>
      </c>
      <c r="AD148" s="89">
        <v>7</v>
      </c>
      <c r="AE148" s="89">
        <v>30</v>
      </c>
      <c r="AF148" s="89">
        <v>0</v>
      </c>
      <c r="AG148" s="89">
        <v>0</v>
      </c>
      <c r="AH148" s="89">
        <v>0</v>
      </c>
      <c r="AI148" s="89">
        <v>0</v>
      </c>
      <c r="AJ148" s="89">
        <v>0</v>
      </c>
    </row>
    <row r="149" spans="1:36" x14ac:dyDescent="0.3">
      <c r="A149" s="311" t="s">
        <v>331</v>
      </c>
      <c r="B149" s="312">
        <v>45994</v>
      </c>
      <c r="C149" s="88" t="s">
        <v>1426</v>
      </c>
      <c r="D149" s="313" t="s">
        <v>1455</v>
      </c>
      <c r="E149" s="88" t="s">
        <v>1422</v>
      </c>
      <c r="F149" s="88" t="s">
        <v>214</v>
      </c>
      <c r="G149" s="314">
        <v>0.68159999999999998</v>
      </c>
      <c r="H149" s="89">
        <v>179</v>
      </c>
      <c r="I149" s="89">
        <v>122</v>
      </c>
      <c r="J149" s="89">
        <v>106</v>
      </c>
      <c r="K149" s="89" t="s">
        <v>215</v>
      </c>
      <c r="L149" s="315" t="s">
        <v>175</v>
      </c>
      <c r="M149" s="89">
        <v>1</v>
      </c>
      <c r="N149" s="89">
        <v>0</v>
      </c>
      <c r="O149" s="89">
        <v>15</v>
      </c>
      <c r="P149" s="89" t="s">
        <v>1283</v>
      </c>
      <c r="Q149" s="89">
        <v>0</v>
      </c>
      <c r="R149" s="89">
        <v>0</v>
      </c>
      <c r="S149" s="89">
        <v>0</v>
      </c>
      <c r="T149" s="89">
        <v>0</v>
      </c>
      <c r="U149" s="89">
        <v>0</v>
      </c>
      <c r="V149" s="89">
        <v>0</v>
      </c>
      <c r="W149" s="89">
        <v>0</v>
      </c>
      <c r="X149" s="89">
        <v>0</v>
      </c>
      <c r="Y149" s="89">
        <v>0</v>
      </c>
      <c r="Z149" s="89">
        <v>3</v>
      </c>
      <c r="AA149" s="89">
        <v>6</v>
      </c>
      <c r="AB149" s="89">
        <v>2</v>
      </c>
      <c r="AC149" s="89">
        <v>5</v>
      </c>
      <c r="AD149" s="89">
        <v>0</v>
      </c>
      <c r="AE149" s="89">
        <v>0</v>
      </c>
      <c r="AF149" s="89">
        <v>0</v>
      </c>
      <c r="AG149" s="89">
        <v>0</v>
      </c>
      <c r="AH149" s="89">
        <v>0</v>
      </c>
      <c r="AI149" s="89">
        <v>106</v>
      </c>
      <c r="AJ149" s="89">
        <v>0</v>
      </c>
    </row>
    <row r="150" spans="1:36" x14ac:dyDescent="0.3">
      <c r="A150" s="311" t="s">
        <v>331</v>
      </c>
      <c r="B150" s="312">
        <v>45994</v>
      </c>
      <c r="C150" s="88" t="s">
        <v>810</v>
      </c>
      <c r="D150" s="313" t="s">
        <v>898</v>
      </c>
      <c r="E150" s="88" t="s">
        <v>793</v>
      </c>
      <c r="F150" s="88" t="s">
        <v>214</v>
      </c>
      <c r="G150" s="314">
        <v>0.89290000000000003</v>
      </c>
      <c r="H150" s="89">
        <v>168</v>
      </c>
      <c r="I150" s="89">
        <v>150</v>
      </c>
      <c r="J150" s="89">
        <v>128</v>
      </c>
      <c r="K150" s="89" t="s">
        <v>215</v>
      </c>
      <c r="L150" s="315" t="s">
        <v>175</v>
      </c>
      <c r="M150" s="89">
        <v>1</v>
      </c>
      <c r="N150" s="89">
        <v>3</v>
      </c>
      <c r="O150" s="89">
        <v>13</v>
      </c>
      <c r="P150" s="89" t="s">
        <v>263</v>
      </c>
      <c r="Q150" s="89">
        <v>0</v>
      </c>
      <c r="R150" s="89">
        <v>0</v>
      </c>
      <c r="S150" s="89">
        <v>0</v>
      </c>
      <c r="T150" s="89">
        <v>0</v>
      </c>
      <c r="U150" s="89">
        <v>0</v>
      </c>
      <c r="V150" s="89">
        <v>0</v>
      </c>
      <c r="W150" s="89">
        <v>0</v>
      </c>
      <c r="X150" s="89">
        <v>0</v>
      </c>
      <c r="Y150" s="89">
        <v>0</v>
      </c>
      <c r="Z150" s="89">
        <v>1</v>
      </c>
      <c r="AA150" s="89">
        <v>0</v>
      </c>
      <c r="AB150" s="89">
        <v>0</v>
      </c>
      <c r="AC150" s="89">
        <v>0</v>
      </c>
      <c r="AD150" s="89">
        <v>0</v>
      </c>
      <c r="AE150" s="89">
        <v>21</v>
      </c>
      <c r="AF150" s="89">
        <v>0</v>
      </c>
      <c r="AG150" s="89">
        <v>0</v>
      </c>
      <c r="AH150" s="89">
        <v>0</v>
      </c>
      <c r="AI150" s="89">
        <v>128</v>
      </c>
      <c r="AJ150" s="89">
        <v>0</v>
      </c>
    </row>
    <row r="151" spans="1:36" x14ac:dyDescent="0.3">
      <c r="A151" s="311" t="s">
        <v>331</v>
      </c>
      <c r="B151" s="312">
        <v>45994</v>
      </c>
      <c r="C151" s="88" t="s">
        <v>935</v>
      </c>
      <c r="D151" s="313" t="s">
        <v>1006</v>
      </c>
      <c r="E151" s="88" t="s">
        <v>934</v>
      </c>
      <c r="F151" s="88" t="s">
        <v>214</v>
      </c>
      <c r="G151" s="314">
        <v>0.88690000000000002</v>
      </c>
      <c r="H151" s="89">
        <v>168</v>
      </c>
      <c r="I151" s="89">
        <v>149</v>
      </c>
      <c r="J151" s="89">
        <v>134</v>
      </c>
      <c r="K151" s="89" t="s">
        <v>215</v>
      </c>
      <c r="L151" s="315" t="s">
        <v>175</v>
      </c>
      <c r="M151" s="89">
        <v>2</v>
      </c>
      <c r="N151" s="89">
        <v>2</v>
      </c>
      <c r="O151" s="89">
        <v>14</v>
      </c>
      <c r="P151" s="89" t="s">
        <v>643</v>
      </c>
      <c r="Q151" s="89">
        <v>0</v>
      </c>
      <c r="R151" s="89">
        <v>0</v>
      </c>
      <c r="S151" s="89">
        <v>0</v>
      </c>
      <c r="T151" s="89">
        <v>0</v>
      </c>
      <c r="U151" s="89">
        <v>0</v>
      </c>
      <c r="V151" s="89">
        <v>0</v>
      </c>
      <c r="W151" s="89">
        <v>0</v>
      </c>
      <c r="X151" s="89">
        <v>0</v>
      </c>
      <c r="Y151" s="89">
        <v>0</v>
      </c>
      <c r="Z151" s="89">
        <v>1</v>
      </c>
      <c r="AA151" s="89">
        <v>1</v>
      </c>
      <c r="AB151" s="89">
        <v>0</v>
      </c>
      <c r="AC151" s="89">
        <v>0</v>
      </c>
      <c r="AD151" s="89">
        <v>13</v>
      </c>
      <c r="AE151" s="89">
        <v>0</v>
      </c>
      <c r="AF151" s="89">
        <v>0</v>
      </c>
      <c r="AG151" s="89">
        <v>44</v>
      </c>
      <c r="AH151" s="89">
        <v>0</v>
      </c>
      <c r="AI151" s="89">
        <v>90</v>
      </c>
      <c r="AJ151" s="89">
        <v>0</v>
      </c>
    </row>
    <row r="152" spans="1:36" x14ac:dyDescent="0.3">
      <c r="A152" s="311" t="s">
        <v>331</v>
      </c>
      <c r="B152" s="312">
        <v>45994</v>
      </c>
      <c r="C152" s="88" t="s">
        <v>822</v>
      </c>
      <c r="D152" s="313" t="s">
        <v>900</v>
      </c>
      <c r="E152" s="88" t="s">
        <v>793</v>
      </c>
      <c r="F152" s="88" t="s">
        <v>214</v>
      </c>
      <c r="G152" s="314">
        <v>0.89290000000000003</v>
      </c>
      <c r="H152" s="89">
        <v>168</v>
      </c>
      <c r="I152" s="89">
        <v>150</v>
      </c>
      <c r="J152" s="89">
        <v>109</v>
      </c>
      <c r="K152" s="89" t="s">
        <v>215</v>
      </c>
      <c r="L152" s="315" t="s">
        <v>175</v>
      </c>
      <c r="M152" s="89">
        <v>2</v>
      </c>
      <c r="N152" s="89">
        <v>3</v>
      </c>
      <c r="O152" s="89">
        <v>17</v>
      </c>
      <c r="P152" s="89" t="s">
        <v>265</v>
      </c>
      <c r="Q152" s="89">
        <v>0</v>
      </c>
      <c r="R152" s="89">
        <v>0</v>
      </c>
      <c r="S152" s="89">
        <v>0</v>
      </c>
      <c r="T152" s="89">
        <v>0</v>
      </c>
      <c r="U152" s="89">
        <v>0</v>
      </c>
      <c r="V152" s="89">
        <v>0</v>
      </c>
      <c r="W152" s="89">
        <v>0</v>
      </c>
      <c r="X152" s="89">
        <v>0</v>
      </c>
      <c r="Y152" s="89">
        <v>0</v>
      </c>
      <c r="Z152" s="89">
        <v>4</v>
      </c>
      <c r="AA152" s="89">
        <v>0</v>
      </c>
      <c r="AB152" s="89">
        <v>0</v>
      </c>
      <c r="AC152" s="89">
        <v>0</v>
      </c>
      <c r="AD152" s="89">
        <v>12</v>
      </c>
      <c r="AE152" s="89">
        <v>14</v>
      </c>
      <c r="AF152" s="89">
        <v>11</v>
      </c>
      <c r="AG152" s="89">
        <v>0</v>
      </c>
      <c r="AH152" s="89">
        <v>0</v>
      </c>
      <c r="AI152" s="89">
        <v>109</v>
      </c>
      <c r="AJ152" s="89">
        <v>0</v>
      </c>
    </row>
    <row r="153" spans="1:36" x14ac:dyDescent="0.3">
      <c r="A153" s="311" t="s">
        <v>331</v>
      </c>
      <c r="B153" s="312">
        <v>45994</v>
      </c>
      <c r="C153" s="88" t="s">
        <v>430</v>
      </c>
      <c r="D153" s="313" t="s">
        <v>704</v>
      </c>
      <c r="E153" s="88" t="s">
        <v>403</v>
      </c>
      <c r="F153" s="88" t="s">
        <v>214</v>
      </c>
      <c r="G153" s="314">
        <v>0.93300000000000005</v>
      </c>
      <c r="H153" s="89">
        <v>179</v>
      </c>
      <c r="I153" s="89">
        <v>167</v>
      </c>
      <c r="J153" s="89">
        <v>150</v>
      </c>
      <c r="K153" s="89" t="s">
        <v>215</v>
      </c>
      <c r="L153" s="315" t="s">
        <v>140</v>
      </c>
      <c r="M153" s="89">
        <v>0</v>
      </c>
      <c r="N153" s="89">
        <v>0</v>
      </c>
      <c r="O153" s="89">
        <v>3</v>
      </c>
      <c r="P153" s="89" t="s">
        <v>604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 s="89">
        <v>0</v>
      </c>
      <c r="Y153" s="89">
        <v>0</v>
      </c>
      <c r="Z153" s="89">
        <v>1</v>
      </c>
      <c r="AA153" s="89">
        <v>0</v>
      </c>
      <c r="AB153" s="89">
        <v>0</v>
      </c>
      <c r="AC153" s="89">
        <v>2</v>
      </c>
      <c r="AD153" s="89">
        <v>0</v>
      </c>
      <c r="AE153" s="89">
        <v>1</v>
      </c>
      <c r="AF153" s="89">
        <v>13</v>
      </c>
      <c r="AG153" s="89">
        <v>0</v>
      </c>
      <c r="AH153" s="89">
        <v>0</v>
      </c>
      <c r="AI153" s="89">
        <v>150</v>
      </c>
      <c r="AJ153" s="89">
        <v>0</v>
      </c>
    </row>
    <row r="154" spans="1:36" x14ac:dyDescent="0.3">
      <c r="A154" s="311" t="s">
        <v>331</v>
      </c>
      <c r="B154" s="312">
        <v>45994</v>
      </c>
      <c r="C154" s="88" t="s">
        <v>1155</v>
      </c>
      <c r="D154" s="313" t="s">
        <v>1246</v>
      </c>
      <c r="E154" s="88" t="s">
        <v>1098</v>
      </c>
      <c r="F154" s="88" t="s">
        <v>214</v>
      </c>
      <c r="G154" s="314">
        <v>0.125</v>
      </c>
      <c r="H154" s="89">
        <v>168</v>
      </c>
      <c r="I154" s="89">
        <v>21</v>
      </c>
      <c r="J154" s="89">
        <v>0</v>
      </c>
      <c r="K154" s="89" t="s">
        <v>215</v>
      </c>
      <c r="L154" s="315" t="s">
        <v>50</v>
      </c>
      <c r="M154" s="89">
        <v>0</v>
      </c>
      <c r="N154" s="89">
        <v>1</v>
      </c>
      <c r="O154" s="89">
        <v>11</v>
      </c>
      <c r="P154" s="89" t="s">
        <v>375</v>
      </c>
      <c r="Q154" s="89">
        <v>0</v>
      </c>
      <c r="R154" s="89">
        <v>0</v>
      </c>
      <c r="S154" s="89">
        <v>0</v>
      </c>
      <c r="T154" s="89">
        <v>0</v>
      </c>
      <c r="U154" s="89">
        <v>0</v>
      </c>
      <c r="V154" s="89">
        <v>1</v>
      </c>
      <c r="W154" s="89">
        <v>0</v>
      </c>
      <c r="X154" s="89">
        <v>0</v>
      </c>
      <c r="Y154" s="89">
        <v>0</v>
      </c>
      <c r="Z154" s="89">
        <v>1</v>
      </c>
      <c r="AA154" s="89">
        <v>0</v>
      </c>
      <c r="AB154" s="89">
        <v>0</v>
      </c>
      <c r="AC154" s="89">
        <v>0</v>
      </c>
      <c r="AD154" s="89">
        <v>0</v>
      </c>
      <c r="AE154" s="89">
        <v>0</v>
      </c>
      <c r="AF154" s="89">
        <v>19</v>
      </c>
      <c r="AG154" s="89">
        <v>0</v>
      </c>
      <c r="AH154" s="89">
        <v>0</v>
      </c>
      <c r="AI154" s="89">
        <v>0</v>
      </c>
      <c r="AJ154" s="89">
        <v>0</v>
      </c>
    </row>
    <row r="155" spans="1:36" x14ac:dyDescent="0.3">
      <c r="A155" s="311" t="s">
        <v>331</v>
      </c>
      <c r="B155" s="312">
        <v>45994</v>
      </c>
      <c r="C155" s="88" t="s">
        <v>1269</v>
      </c>
      <c r="D155" s="313" t="s">
        <v>1280</v>
      </c>
      <c r="E155" s="88" t="s">
        <v>1263</v>
      </c>
      <c r="F155" s="88" t="s">
        <v>214</v>
      </c>
      <c r="G155" s="314">
        <v>0.35709999999999997</v>
      </c>
      <c r="H155" s="89">
        <v>168</v>
      </c>
      <c r="I155" s="89">
        <v>60</v>
      </c>
      <c r="J155" s="89">
        <v>0</v>
      </c>
      <c r="K155" s="89" t="s">
        <v>215</v>
      </c>
      <c r="L155" s="315" t="s">
        <v>175</v>
      </c>
      <c r="M155" s="89">
        <v>1</v>
      </c>
      <c r="N155" s="89">
        <v>2</v>
      </c>
      <c r="O155" s="89">
        <v>12</v>
      </c>
      <c r="P155" s="89" t="s">
        <v>261</v>
      </c>
      <c r="Q155" s="89">
        <v>0</v>
      </c>
      <c r="R155" s="89">
        <v>0</v>
      </c>
      <c r="S155" s="89">
        <v>0</v>
      </c>
      <c r="T155" s="89">
        <v>0</v>
      </c>
      <c r="U155" s="89">
        <v>0</v>
      </c>
      <c r="V155" s="89">
        <v>0</v>
      </c>
      <c r="W155" s="89">
        <v>0</v>
      </c>
      <c r="X155" s="89">
        <v>0</v>
      </c>
      <c r="Y155" s="89">
        <v>0</v>
      </c>
      <c r="Z155" s="89">
        <v>1</v>
      </c>
      <c r="AA155" s="89">
        <v>0</v>
      </c>
      <c r="AB155" s="89">
        <v>3</v>
      </c>
      <c r="AC155" s="89">
        <v>17</v>
      </c>
      <c r="AD155" s="89">
        <v>14</v>
      </c>
      <c r="AE155" s="89">
        <v>25</v>
      </c>
      <c r="AF155" s="89">
        <v>0</v>
      </c>
      <c r="AG155" s="89">
        <v>0</v>
      </c>
      <c r="AH155" s="89">
        <v>0</v>
      </c>
      <c r="AI155" s="89">
        <v>0</v>
      </c>
      <c r="AJ155" s="89">
        <v>0</v>
      </c>
    </row>
    <row r="156" spans="1:36" x14ac:dyDescent="0.3">
      <c r="A156" s="311" t="s">
        <v>331</v>
      </c>
      <c r="B156" s="312">
        <v>45994</v>
      </c>
      <c r="C156" s="88" t="s">
        <v>1122</v>
      </c>
      <c r="D156" s="313" t="s">
        <v>1249</v>
      </c>
      <c r="E156" s="88" t="s">
        <v>1098</v>
      </c>
      <c r="F156" s="88" t="s">
        <v>214</v>
      </c>
      <c r="G156" s="314">
        <v>2.98E-2</v>
      </c>
      <c r="H156" s="89">
        <v>168</v>
      </c>
      <c r="I156" s="89">
        <v>5</v>
      </c>
      <c r="J156" s="89">
        <v>0</v>
      </c>
      <c r="K156" s="89" t="s">
        <v>215</v>
      </c>
      <c r="L156" s="315" t="s">
        <v>1201</v>
      </c>
      <c r="M156" s="89">
        <v>0</v>
      </c>
      <c r="N156" s="89">
        <v>0</v>
      </c>
      <c r="O156" s="89">
        <v>0</v>
      </c>
      <c r="P156" s="89" t="s">
        <v>353</v>
      </c>
      <c r="Q156" s="89">
        <v>0</v>
      </c>
      <c r="R156" s="89">
        <v>0</v>
      </c>
      <c r="S156" s="89">
        <v>0</v>
      </c>
      <c r="T156" s="89">
        <v>0</v>
      </c>
      <c r="U156" s="89">
        <v>0</v>
      </c>
      <c r="V156" s="89">
        <v>0</v>
      </c>
      <c r="W156" s="89">
        <v>0</v>
      </c>
      <c r="X156" s="89">
        <v>0</v>
      </c>
      <c r="Y156" s="89">
        <v>0</v>
      </c>
      <c r="Z156" s="89">
        <v>0</v>
      </c>
      <c r="AA156" s="89">
        <v>0</v>
      </c>
      <c r="AB156" s="89">
        <v>0</v>
      </c>
      <c r="AC156" s="89">
        <v>0</v>
      </c>
      <c r="AD156" s="89">
        <v>0</v>
      </c>
      <c r="AE156" s="89">
        <v>2</v>
      </c>
      <c r="AF156" s="89">
        <v>3</v>
      </c>
      <c r="AG156" s="89">
        <v>0</v>
      </c>
      <c r="AH156" s="89">
        <v>0</v>
      </c>
      <c r="AI156" s="89">
        <v>0</v>
      </c>
      <c r="AJ156" s="89">
        <v>0</v>
      </c>
    </row>
    <row r="157" spans="1:36" x14ac:dyDescent="0.3">
      <c r="A157" s="311" t="s">
        <v>331</v>
      </c>
      <c r="B157" s="312">
        <v>45994</v>
      </c>
      <c r="C157" s="88" t="s">
        <v>819</v>
      </c>
      <c r="D157" s="313" t="s">
        <v>896</v>
      </c>
      <c r="E157" s="88" t="s">
        <v>793</v>
      </c>
      <c r="F157" s="88" t="s">
        <v>214</v>
      </c>
      <c r="G157" s="314">
        <v>0.9405</v>
      </c>
      <c r="H157" s="89">
        <v>168</v>
      </c>
      <c r="I157" s="89">
        <v>158</v>
      </c>
      <c r="J157" s="89">
        <v>135</v>
      </c>
      <c r="K157" s="89" t="s">
        <v>215</v>
      </c>
      <c r="L157" s="315" t="s">
        <v>50</v>
      </c>
      <c r="M157" s="89">
        <v>0</v>
      </c>
      <c r="N157" s="89">
        <v>3</v>
      </c>
      <c r="O157" s="89">
        <v>15</v>
      </c>
      <c r="P157" s="89" t="s">
        <v>266</v>
      </c>
      <c r="Q157" s="89">
        <v>0</v>
      </c>
      <c r="R157" s="89">
        <v>0</v>
      </c>
      <c r="S157" s="89">
        <v>0</v>
      </c>
      <c r="T157" s="89">
        <v>0</v>
      </c>
      <c r="U157" s="89">
        <v>0</v>
      </c>
      <c r="V157" s="89">
        <v>0</v>
      </c>
      <c r="W157" s="89">
        <v>0</v>
      </c>
      <c r="X157" s="89">
        <v>0</v>
      </c>
      <c r="Y157" s="89">
        <v>0</v>
      </c>
      <c r="Z157" s="89">
        <v>0</v>
      </c>
      <c r="AA157" s="89">
        <v>0</v>
      </c>
      <c r="AB157" s="89">
        <v>0</v>
      </c>
      <c r="AC157" s="89">
        <v>0</v>
      </c>
      <c r="AD157" s="89">
        <v>0</v>
      </c>
      <c r="AE157" s="89">
        <v>23</v>
      </c>
      <c r="AF157" s="89">
        <v>0</v>
      </c>
      <c r="AG157" s="89">
        <v>1</v>
      </c>
      <c r="AH157" s="89">
        <v>0</v>
      </c>
      <c r="AI157" s="89">
        <v>134</v>
      </c>
      <c r="AJ157" s="89">
        <v>0</v>
      </c>
    </row>
    <row r="158" spans="1:36" x14ac:dyDescent="0.3">
      <c r="A158" s="311" t="s">
        <v>331</v>
      </c>
      <c r="B158" s="312">
        <v>45994</v>
      </c>
      <c r="C158" s="88" t="s">
        <v>417</v>
      </c>
      <c r="D158" s="313" t="s">
        <v>702</v>
      </c>
      <c r="E158" s="88" t="s">
        <v>403</v>
      </c>
      <c r="F158" s="88" t="s">
        <v>214</v>
      </c>
      <c r="G158" s="314">
        <v>0.62009999999999998</v>
      </c>
      <c r="H158" s="89">
        <v>179</v>
      </c>
      <c r="I158" s="89">
        <v>111</v>
      </c>
      <c r="J158" s="89">
        <v>82</v>
      </c>
      <c r="K158" s="89" t="s">
        <v>215</v>
      </c>
      <c r="L158" s="315" t="s">
        <v>50</v>
      </c>
      <c r="M158" s="89">
        <v>0</v>
      </c>
      <c r="N158" s="89">
        <v>5</v>
      </c>
      <c r="O158" s="89">
        <v>14</v>
      </c>
      <c r="P158" s="89" t="s">
        <v>245</v>
      </c>
      <c r="Q158" s="89">
        <v>0</v>
      </c>
      <c r="R158" s="89">
        <v>0</v>
      </c>
      <c r="S158" s="89">
        <v>0</v>
      </c>
      <c r="T158" s="89">
        <v>0</v>
      </c>
      <c r="U158" s="89">
        <v>0</v>
      </c>
      <c r="V158" s="89">
        <v>0</v>
      </c>
      <c r="W158" s="89">
        <v>0</v>
      </c>
      <c r="X158" s="89">
        <v>0</v>
      </c>
      <c r="Y158" s="89">
        <v>0</v>
      </c>
      <c r="Z158" s="89">
        <v>4</v>
      </c>
      <c r="AA158" s="89">
        <v>0</v>
      </c>
      <c r="AB158" s="89">
        <v>0</v>
      </c>
      <c r="AC158" s="89">
        <v>0</v>
      </c>
      <c r="AD158" s="89">
        <v>5</v>
      </c>
      <c r="AE158" s="89">
        <v>10</v>
      </c>
      <c r="AF158" s="89">
        <v>10</v>
      </c>
      <c r="AG158" s="89">
        <v>0</v>
      </c>
      <c r="AH158" s="89">
        <v>0</v>
      </c>
      <c r="AI158" s="89">
        <v>82</v>
      </c>
      <c r="AJ158" s="89">
        <v>0</v>
      </c>
    </row>
    <row r="159" spans="1:36" x14ac:dyDescent="0.3">
      <c r="A159" s="311" t="s">
        <v>331</v>
      </c>
      <c r="B159" s="312">
        <v>45994</v>
      </c>
      <c r="C159" s="88" t="s">
        <v>427</v>
      </c>
      <c r="D159" s="313" t="s">
        <v>691</v>
      </c>
      <c r="E159" s="88" t="s">
        <v>403</v>
      </c>
      <c r="F159" s="88" t="s">
        <v>214</v>
      </c>
      <c r="G159" s="314">
        <v>0.62160000000000004</v>
      </c>
      <c r="H159" s="89">
        <v>185</v>
      </c>
      <c r="I159" s="89">
        <v>115</v>
      </c>
      <c r="J159" s="89">
        <v>84</v>
      </c>
      <c r="K159" s="89" t="s">
        <v>215</v>
      </c>
      <c r="L159" s="315" t="s">
        <v>175</v>
      </c>
      <c r="M159" s="89">
        <v>3</v>
      </c>
      <c r="N159" s="89">
        <v>6</v>
      </c>
      <c r="O159" s="89">
        <v>15</v>
      </c>
      <c r="P159" s="89" t="s">
        <v>265</v>
      </c>
      <c r="Q159" s="89">
        <v>0</v>
      </c>
      <c r="R159" s="89">
        <v>0</v>
      </c>
      <c r="S159" s="89">
        <v>0</v>
      </c>
      <c r="T159" s="89">
        <v>0</v>
      </c>
      <c r="U159" s="89">
        <v>0</v>
      </c>
      <c r="V159" s="89">
        <v>0</v>
      </c>
      <c r="W159" s="89">
        <v>0</v>
      </c>
      <c r="X159" s="89">
        <v>0</v>
      </c>
      <c r="Y159" s="89">
        <v>0</v>
      </c>
      <c r="Z159" s="89">
        <v>0</v>
      </c>
      <c r="AA159" s="89">
        <v>0</v>
      </c>
      <c r="AB159" s="89">
        <v>0</v>
      </c>
      <c r="AC159" s="89">
        <v>0</v>
      </c>
      <c r="AD159" s="89">
        <v>11</v>
      </c>
      <c r="AE159" s="89">
        <v>10</v>
      </c>
      <c r="AF159" s="89">
        <v>10</v>
      </c>
      <c r="AG159" s="89">
        <v>0</v>
      </c>
      <c r="AH159" s="89">
        <v>0</v>
      </c>
      <c r="AI159" s="89">
        <v>84</v>
      </c>
      <c r="AJ159" s="89">
        <v>0</v>
      </c>
    </row>
    <row r="160" spans="1:36" x14ac:dyDescent="0.3">
      <c r="A160" s="311" t="s">
        <v>331</v>
      </c>
      <c r="B160" s="312">
        <v>45994</v>
      </c>
      <c r="C160" s="88" t="s">
        <v>298</v>
      </c>
      <c r="D160" s="313" t="s">
        <v>332</v>
      </c>
      <c r="E160" s="88" t="s">
        <v>295</v>
      </c>
      <c r="F160" s="88" t="s">
        <v>214</v>
      </c>
      <c r="G160" s="314">
        <v>1</v>
      </c>
      <c r="H160" s="89">
        <v>179</v>
      </c>
      <c r="I160" s="89">
        <v>179</v>
      </c>
      <c r="J160" s="89">
        <v>173</v>
      </c>
      <c r="K160" s="89" t="s">
        <v>215</v>
      </c>
      <c r="L160" s="315" t="s">
        <v>311</v>
      </c>
      <c r="M160" s="89">
        <v>0</v>
      </c>
      <c r="N160" s="89">
        <v>0</v>
      </c>
      <c r="O160" s="89">
        <v>2</v>
      </c>
      <c r="P160" s="89" t="s">
        <v>64</v>
      </c>
      <c r="Q160" s="89">
        <v>0</v>
      </c>
      <c r="R160" s="89">
        <v>0</v>
      </c>
      <c r="S160" s="89">
        <v>0</v>
      </c>
      <c r="T160" s="89">
        <v>0</v>
      </c>
      <c r="U160" s="89">
        <v>0</v>
      </c>
      <c r="V160" s="89">
        <v>0</v>
      </c>
      <c r="W160" s="89">
        <v>0</v>
      </c>
      <c r="X160" s="89">
        <v>0</v>
      </c>
      <c r="Y160" s="89">
        <v>0</v>
      </c>
      <c r="Z160" s="89">
        <v>2</v>
      </c>
      <c r="AA160" s="89">
        <v>0</v>
      </c>
      <c r="AB160" s="89">
        <v>0</v>
      </c>
      <c r="AC160" s="89">
        <v>0</v>
      </c>
      <c r="AD160" s="89">
        <v>0</v>
      </c>
      <c r="AE160" s="89">
        <v>0</v>
      </c>
      <c r="AF160" s="89">
        <v>4</v>
      </c>
      <c r="AG160" s="89">
        <v>0</v>
      </c>
      <c r="AH160" s="89">
        <v>0</v>
      </c>
      <c r="AI160" s="89">
        <v>173</v>
      </c>
      <c r="AJ160" s="89">
        <v>0</v>
      </c>
    </row>
    <row r="161" spans="1:36" x14ac:dyDescent="0.3">
      <c r="A161" s="311" t="s">
        <v>331</v>
      </c>
      <c r="B161" s="312">
        <v>45994</v>
      </c>
      <c r="C161" s="88" t="s">
        <v>361</v>
      </c>
      <c r="D161" s="313" t="s">
        <v>381</v>
      </c>
      <c r="E161" s="88" t="s">
        <v>358</v>
      </c>
      <c r="F161" s="88" t="s">
        <v>214</v>
      </c>
      <c r="G161" s="314">
        <v>0.75</v>
      </c>
      <c r="H161" s="89">
        <v>168</v>
      </c>
      <c r="I161" s="89">
        <v>126</v>
      </c>
      <c r="J161" s="89">
        <v>79</v>
      </c>
      <c r="K161" s="89" t="s">
        <v>215</v>
      </c>
      <c r="L161" s="315" t="s">
        <v>175</v>
      </c>
      <c r="M161" s="89">
        <v>2</v>
      </c>
      <c r="N161" s="89">
        <v>2</v>
      </c>
      <c r="O161" s="89">
        <v>11</v>
      </c>
      <c r="P161" s="89" t="s">
        <v>334</v>
      </c>
      <c r="Q161" s="89">
        <v>0</v>
      </c>
      <c r="R161" s="89">
        <v>0</v>
      </c>
      <c r="S161" s="89">
        <v>0</v>
      </c>
      <c r="T161" s="89">
        <v>0</v>
      </c>
      <c r="U161" s="89">
        <v>0</v>
      </c>
      <c r="V161" s="89">
        <v>0</v>
      </c>
      <c r="W161" s="89">
        <v>0</v>
      </c>
      <c r="X161" s="89">
        <v>0</v>
      </c>
      <c r="Y161" s="89">
        <v>0</v>
      </c>
      <c r="Z161" s="89">
        <v>4</v>
      </c>
      <c r="AA161" s="89">
        <v>0</v>
      </c>
      <c r="AB161" s="89">
        <v>0</v>
      </c>
      <c r="AC161" s="89">
        <v>3</v>
      </c>
      <c r="AD161" s="89">
        <v>8</v>
      </c>
      <c r="AE161" s="89">
        <v>9</v>
      </c>
      <c r="AF161" s="89">
        <v>23</v>
      </c>
      <c r="AG161" s="89">
        <v>0</v>
      </c>
      <c r="AH161" s="89">
        <v>0</v>
      </c>
      <c r="AI161" s="89">
        <v>79</v>
      </c>
      <c r="AJ161" s="89">
        <v>0</v>
      </c>
    </row>
    <row r="162" spans="1:36" x14ac:dyDescent="0.3">
      <c r="A162" s="311" t="s">
        <v>331</v>
      </c>
      <c r="B162" s="312">
        <v>45994</v>
      </c>
      <c r="C162" s="88" t="s">
        <v>949</v>
      </c>
      <c r="D162" s="313" t="s">
        <v>717</v>
      </c>
      <c r="E162" s="88" t="s">
        <v>934</v>
      </c>
      <c r="F162" s="88" t="s">
        <v>214</v>
      </c>
      <c r="G162" s="314">
        <v>0.88100000000000001</v>
      </c>
      <c r="H162" s="89">
        <v>168</v>
      </c>
      <c r="I162" s="89">
        <v>148</v>
      </c>
      <c r="J162" s="89">
        <v>129</v>
      </c>
      <c r="K162" s="89" t="s">
        <v>215</v>
      </c>
      <c r="L162" s="315" t="s">
        <v>311</v>
      </c>
      <c r="M162" s="89">
        <v>0</v>
      </c>
      <c r="N162" s="89">
        <v>0</v>
      </c>
      <c r="O162" s="89">
        <v>52</v>
      </c>
      <c r="P162" s="89" t="s">
        <v>258</v>
      </c>
      <c r="Q162" s="89">
        <v>0</v>
      </c>
      <c r="R162" s="89">
        <v>0</v>
      </c>
      <c r="S162" s="89">
        <v>0</v>
      </c>
      <c r="T162" s="89">
        <v>0</v>
      </c>
      <c r="U162" s="89">
        <v>0</v>
      </c>
      <c r="V162" s="89">
        <v>0</v>
      </c>
      <c r="W162" s="89">
        <v>0</v>
      </c>
      <c r="X162" s="89">
        <v>0</v>
      </c>
      <c r="Y162" s="89">
        <v>1</v>
      </c>
      <c r="Z162" s="89">
        <v>5</v>
      </c>
      <c r="AA162" s="89">
        <v>0</v>
      </c>
      <c r="AB162" s="89">
        <v>0</v>
      </c>
      <c r="AC162" s="89">
        <v>2</v>
      </c>
      <c r="AD162" s="89">
        <v>3</v>
      </c>
      <c r="AE162" s="89">
        <v>2</v>
      </c>
      <c r="AF162" s="89">
        <v>4</v>
      </c>
      <c r="AG162" s="89">
        <v>0</v>
      </c>
      <c r="AH162" s="89">
        <v>0</v>
      </c>
      <c r="AI162" s="89">
        <v>131</v>
      </c>
      <c r="AJ162" s="89">
        <v>0</v>
      </c>
    </row>
    <row r="163" spans="1:36" x14ac:dyDescent="0.3">
      <c r="A163" s="311" t="s">
        <v>240</v>
      </c>
      <c r="B163" s="312">
        <v>45995</v>
      </c>
      <c r="C163" s="88" t="s">
        <v>1366</v>
      </c>
      <c r="D163" s="313" t="s">
        <v>1378</v>
      </c>
      <c r="E163" s="88" t="s">
        <v>1357</v>
      </c>
      <c r="F163" s="88" t="s">
        <v>214</v>
      </c>
      <c r="G163" s="314">
        <v>0.34520000000000001</v>
      </c>
      <c r="H163" s="89">
        <v>168</v>
      </c>
      <c r="I163" s="89">
        <v>58</v>
      </c>
      <c r="J163" s="89">
        <v>0</v>
      </c>
      <c r="K163" s="89" t="s">
        <v>215</v>
      </c>
      <c r="L163" s="315" t="s">
        <v>175</v>
      </c>
      <c r="M163" s="89">
        <v>2</v>
      </c>
      <c r="N163" s="89">
        <v>3</v>
      </c>
      <c r="O163" s="89">
        <v>11</v>
      </c>
      <c r="P163" s="89" t="s">
        <v>237</v>
      </c>
      <c r="Q163" s="89">
        <v>0</v>
      </c>
      <c r="R163" s="89">
        <v>0</v>
      </c>
      <c r="S163" s="89">
        <v>0</v>
      </c>
      <c r="T163" s="89">
        <v>0</v>
      </c>
      <c r="U163" s="89">
        <v>0</v>
      </c>
      <c r="V163" s="89">
        <v>0</v>
      </c>
      <c r="W163" s="89">
        <v>0</v>
      </c>
      <c r="X163" s="89">
        <v>0</v>
      </c>
      <c r="Y163" s="89">
        <v>0</v>
      </c>
      <c r="Z163" s="89">
        <v>0</v>
      </c>
      <c r="AA163" s="89">
        <v>0</v>
      </c>
      <c r="AB163" s="89">
        <v>0</v>
      </c>
      <c r="AC163" s="89">
        <v>0</v>
      </c>
      <c r="AD163" s="89">
        <v>0</v>
      </c>
      <c r="AE163" s="89">
        <v>22</v>
      </c>
      <c r="AF163" s="89">
        <v>36</v>
      </c>
      <c r="AG163" s="89">
        <v>0</v>
      </c>
      <c r="AH163" s="89">
        <v>0</v>
      </c>
      <c r="AI163" s="89">
        <v>0</v>
      </c>
      <c r="AJ163" s="89">
        <v>0</v>
      </c>
    </row>
    <row r="164" spans="1:36" x14ac:dyDescent="0.3">
      <c r="A164" s="311" t="s">
        <v>240</v>
      </c>
      <c r="B164" s="312">
        <v>45995</v>
      </c>
      <c r="C164" s="88" t="s">
        <v>954</v>
      </c>
      <c r="D164" s="313" t="s">
        <v>751</v>
      </c>
      <c r="E164" s="88" t="s">
        <v>934</v>
      </c>
      <c r="F164" s="88" t="s">
        <v>214</v>
      </c>
      <c r="G164" s="314">
        <v>0.6845</v>
      </c>
      <c r="H164" s="89">
        <v>168</v>
      </c>
      <c r="I164" s="89">
        <v>115</v>
      </c>
      <c r="J164" s="89">
        <v>97</v>
      </c>
      <c r="K164" s="89" t="s">
        <v>215</v>
      </c>
      <c r="L164" s="315" t="s">
        <v>50</v>
      </c>
      <c r="M164" s="89">
        <v>0</v>
      </c>
      <c r="N164" s="89">
        <v>3</v>
      </c>
      <c r="O164" s="89">
        <v>20</v>
      </c>
      <c r="P164" s="89" t="s">
        <v>526</v>
      </c>
      <c r="Q164" s="89">
        <v>0</v>
      </c>
      <c r="R164" s="89">
        <v>0</v>
      </c>
      <c r="S164" s="89">
        <v>0</v>
      </c>
      <c r="T164" s="89">
        <v>0</v>
      </c>
      <c r="U164" s="89">
        <v>0</v>
      </c>
      <c r="V164" s="89">
        <v>0</v>
      </c>
      <c r="W164" s="89">
        <v>0</v>
      </c>
      <c r="X164" s="89">
        <v>0</v>
      </c>
      <c r="Y164" s="89">
        <v>0</v>
      </c>
      <c r="Z164" s="89">
        <v>0</v>
      </c>
      <c r="AA164" s="89">
        <v>0</v>
      </c>
      <c r="AB164" s="89">
        <v>0</v>
      </c>
      <c r="AC164" s="89">
        <v>0</v>
      </c>
      <c r="AD164" s="89">
        <v>3</v>
      </c>
      <c r="AE164" s="89">
        <v>10</v>
      </c>
      <c r="AF164" s="89">
        <v>5</v>
      </c>
      <c r="AG164" s="89">
        <v>0</v>
      </c>
      <c r="AH164" s="89">
        <v>0</v>
      </c>
      <c r="AI164" s="89">
        <v>97</v>
      </c>
      <c r="AJ164" s="89">
        <v>0</v>
      </c>
    </row>
    <row r="165" spans="1:36" x14ac:dyDescent="0.3">
      <c r="A165" s="311" t="s">
        <v>240</v>
      </c>
      <c r="B165" s="312">
        <v>45995</v>
      </c>
      <c r="C165" s="88" t="s">
        <v>423</v>
      </c>
      <c r="D165" s="313" t="s">
        <v>213</v>
      </c>
      <c r="E165" s="88" t="s">
        <v>403</v>
      </c>
      <c r="F165" s="88" t="s">
        <v>214</v>
      </c>
      <c r="G165" s="314">
        <v>0.5978</v>
      </c>
      <c r="H165" s="89">
        <v>179</v>
      </c>
      <c r="I165" s="89">
        <v>107</v>
      </c>
      <c r="J165" s="89">
        <v>75</v>
      </c>
      <c r="K165" s="89" t="s">
        <v>215</v>
      </c>
      <c r="L165" s="315" t="s">
        <v>50</v>
      </c>
      <c r="M165" s="89">
        <v>0</v>
      </c>
      <c r="N165" s="89">
        <v>4</v>
      </c>
      <c r="O165" s="89">
        <v>14</v>
      </c>
      <c r="P165" s="89" t="s">
        <v>237</v>
      </c>
      <c r="Q165" s="89">
        <v>0</v>
      </c>
      <c r="R165" s="89">
        <v>0</v>
      </c>
      <c r="S165" s="89">
        <v>0</v>
      </c>
      <c r="T165" s="89">
        <v>0</v>
      </c>
      <c r="U165" s="89">
        <v>0</v>
      </c>
      <c r="V165" s="89">
        <v>0</v>
      </c>
      <c r="W165" s="89">
        <v>0</v>
      </c>
      <c r="X165" s="89">
        <v>0</v>
      </c>
      <c r="Y165" s="89">
        <v>0</v>
      </c>
      <c r="Z165" s="89">
        <v>1</v>
      </c>
      <c r="AA165" s="89">
        <v>0</v>
      </c>
      <c r="AB165" s="89">
        <v>0</v>
      </c>
      <c r="AC165" s="89">
        <v>0</v>
      </c>
      <c r="AD165" s="89">
        <v>0</v>
      </c>
      <c r="AE165" s="89">
        <v>1</v>
      </c>
      <c r="AF165" s="89">
        <v>30</v>
      </c>
      <c r="AG165" s="89">
        <v>0</v>
      </c>
      <c r="AH165" s="89">
        <v>0</v>
      </c>
      <c r="AI165" s="89">
        <v>75</v>
      </c>
      <c r="AJ165" s="89">
        <v>0</v>
      </c>
    </row>
    <row r="166" spans="1:36" x14ac:dyDescent="0.3">
      <c r="A166" s="311" t="s">
        <v>240</v>
      </c>
      <c r="B166" s="312">
        <v>45995</v>
      </c>
      <c r="C166" s="88" t="s">
        <v>1525</v>
      </c>
      <c r="D166" s="313" t="s">
        <v>1536</v>
      </c>
      <c r="E166" s="88" t="s">
        <v>1516</v>
      </c>
      <c r="F166" s="88" t="s">
        <v>214</v>
      </c>
      <c r="G166" s="314">
        <v>0.40479999999999999</v>
      </c>
      <c r="H166" s="89">
        <v>168</v>
      </c>
      <c r="I166" s="89">
        <v>68</v>
      </c>
      <c r="J166" s="89">
        <v>0</v>
      </c>
      <c r="K166" s="89" t="s">
        <v>215</v>
      </c>
      <c r="L166" s="315" t="s">
        <v>175</v>
      </c>
      <c r="M166" s="89">
        <v>2</v>
      </c>
      <c r="N166" s="89">
        <v>4</v>
      </c>
      <c r="O166" s="89">
        <v>15</v>
      </c>
      <c r="P166" s="89" t="s">
        <v>237</v>
      </c>
      <c r="Q166" s="89">
        <v>0</v>
      </c>
      <c r="R166" s="89">
        <v>0</v>
      </c>
      <c r="S166" s="89">
        <v>0</v>
      </c>
      <c r="T166" s="89">
        <v>0</v>
      </c>
      <c r="U166" s="89">
        <v>0</v>
      </c>
      <c r="V166" s="89">
        <v>0</v>
      </c>
      <c r="W166" s="89">
        <v>0</v>
      </c>
      <c r="X166" s="89">
        <v>0</v>
      </c>
      <c r="Y166" s="89">
        <v>0</v>
      </c>
      <c r="Z166" s="89">
        <v>1</v>
      </c>
      <c r="AA166" s="89">
        <v>0</v>
      </c>
      <c r="AB166" s="89">
        <v>1</v>
      </c>
      <c r="AC166" s="89">
        <v>6</v>
      </c>
      <c r="AD166" s="89">
        <v>10</v>
      </c>
      <c r="AE166" s="89">
        <v>50</v>
      </c>
      <c r="AF166" s="89">
        <v>0</v>
      </c>
      <c r="AG166" s="89">
        <v>0</v>
      </c>
      <c r="AH166" s="89">
        <v>0</v>
      </c>
      <c r="AI166" s="89">
        <v>0</v>
      </c>
      <c r="AJ166" s="89">
        <v>0</v>
      </c>
    </row>
    <row r="167" spans="1:36" x14ac:dyDescent="0.3">
      <c r="A167" s="311" t="s">
        <v>240</v>
      </c>
      <c r="B167" s="312">
        <v>45995</v>
      </c>
      <c r="C167" s="88" t="s">
        <v>524</v>
      </c>
      <c r="D167" s="313" t="s">
        <v>718</v>
      </c>
      <c r="E167" s="88" t="s">
        <v>403</v>
      </c>
      <c r="F167" s="88" t="s">
        <v>214</v>
      </c>
      <c r="G167" s="314">
        <v>8.3799999999999999E-2</v>
      </c>
      <c r="H167" s="89">
        <v>179</v>
      </c>
      <c r="I167" s="89">
        <v>15</v>
      </c>
      <c r="J167" s="89">
        <v>0</v>
      </c>
      <c r="K167" s="89" t="s">
        <v>215</v>
      </c>
      <c r="L167" s="315" t="s">
        <v>50</v>
      </c>
      <c r="M167" s="89">
        <v>0</v>
      </c>
      <c r="N167" s="89">
        <v>5</v>
      </c>
      <c r="O167" s="89">
        <v>11</v>
      </c>
      <c r="P167" s="89" t="s">
        <v>237</v>
      </c>
      <c r="Q167" s="89">
        <v>0</v>
      </c>
      <c r="R167" s="89">
        <v>0</v>
      </c>
      <c r="S167" s="89">
        <v>0</v>
      </c>
      <c r="T167" s="89">
        <v>0</v>
      </c>
      <c r="U167" s="89">
        <v>0</v>
      </c>
      <c r="V167" s="89">
        <v>0</v>
      </c>
      <c r="W167" s="89">
        <v>0</v>
      </c>
      <c r="X167" s="89">
        <v>0</v>
      </c>
      <c r="Y167" s="89">
        <v>0</v>
      </c>
      <c r="Z167" s="89">
        <v>0</v>
      </c>
      <c r="AA167" s="89">
        <v>0</v>
      </c>
      <c r="AB167" s="89">
        <v>0</v>
      </c>
      <c r="AC167" s="89">
        <v>0</v>
      </c>
      <c r="AD167" s="89">
        <v>0</v>
      </c>
      <c r="AE167" s="89">
        <v>0</v>
      </c>
      <c r="AF167" s="89">
        <v>15</v>
      </c>
      <c r="AG167" s="89">
        <v>0</v>
      </c>
      <c r="AH167" s="89">
        <v>0</v>
      </c>
      <c r="AI167" s="89">
        <v>0</v>
      </c>
      <c r="AJ167" s="89">
        <v>0</v>
      </c>
    </row>
    <row r="168" spans="1:36" x14ac:dyDescent="0.3">
      <c r="A168" s="311" t="s">
        <v>240</v>
      </c>
      <c r="B168" s="312">
        <v>45995</v>
      </c>
      <c r="C168" s="88" t="s">
        <v>1295</v>
      </c>
      <c r="D168" s="313" t="s">
        <v>1249</v>
      </c>
      <c r="E168" s="88" t="s">
        <v>1288</v>
      </c>
      <c r="F168" s="88" t="s">
        <v>214</v>
      </c>
      <c r="G168" s="314">
        <v>0.27379999999999999</v>
      </c>
      <c r="H168" s="89">
        <v>168</v>
      </c>
      <c r="I168" s="89">
        <v>46</v>
      </c>
      <c r="J168" s="89">
        <v>0</v>
      </c>
      <c r="K168" s="89" t="s">
        <v>215</v>
      </c>
      <c r="L168" s="315" t="s">
        <v>175</v>
      </c>
      <c r="M168" s="89">
        <v>1</v>
      </c>
      <c r="N168" s="89">
        <v>2</v>
      </c>
      <c r="O168" s="89">
        <v>13</v>
      </c>
      <c r="P168" s="89" t="s">
        <v>335</v>
      </c>
      <c r="Q168" s="89">
        <v>0</v>
      </c>
      <c r="R168" s="89">
        <v>0</v>
      </c>
      <c r="S168" s="89">
        <v>0</v>
      </c>
      <c r="T168" s="89">
        <v>0</v>
      </c>
      <c r="U168" s="89">
        <v>0</v>
      </c>
      <c r="V168" s="89">
        <v>0</v>
      </c>
      <c r="W168" s="89">
        <v>0</v>
      </c>
      <c r="X168" s="89">
        <v>0</v>
      </c>
      <c r="Y168" s="89">
        <v>0</v>
      </c>
      <c r="Z168" s="89">
        <v>4</v>
      </c>
      <c r="AA168" s="89">
        <v>2</v>
      </c>
      <c r="AB168" s="89">
        <v>10</v>
      </c>
      <c r="AC168" s="89">
        <v>3</v>
      </c>
      <c r="AD168" s="89">
        <v>4</v>
      </c>
      <c r="AE168" s="89">
        <v>3</v>
      </c>
      <c r="AF168" s="89">
        <v>20</v>
      </c>
      <c r="AG168" s="89">
        <v>0</v>
      </c>
      <c r="AH168" s="89">
        <v>0</v>
      </c>
      <c r="AI168" s="89">
        <v>0</v>
      </c>
      <c r="AJ168" s="89">
        <v>0</v>
      </c>
    </row>
    <row r="169" spans="1:36" x14ac:dyDescent="0.3">
      <c r="A169" s="311" t="s">
        <v>240</v>
      </c>
      <c r="B169" s="312">
        <v>45995</v>
      </c>
      <c r="C169" s="88" t="s">
        <v>1426</v>
      </c>
      <c r="D169" s="313" t="s">
        <v>1457</v>
      </c>
      <c r="E169" s="88" t="s">
        <v>1422</v>
      </c>
      <c r="F169" s="88" t="s">
        <v>214</v>
      </c>
      <c r="G169" s="314">
        <v>0.94410000000000005</v>
      </c>
      <c r="H169" s="89">
        <v>179</v>
      </c>
      <c r="I169" s="89">
        <v>169</v>
      </c>
      <c r="J169" s="89">
        <v>157</v>
      </c>
      <c r="K169" s="89" t="s">
        <v>215</v>
      </c>
      <c r="L169" s="315" t="s">
        <v>311</v>
      </c>
      <c r="M169" s="89">
        <v>0</v>
      </c>
      <c r="N169" s="89">
        <v>0</v>
      </c>
      <c r="O169" s="89">
        <v>65</v>
      </c>
      <c r="P169" s="89" t="s">
        <v>1445</v>
      </c>
      <c r="Q169" s="89">
        <v>0</v>
      </c>
      <c r="R169" s="89">
        <v>0</v>
      </c>
      <c r="S169" s="89">
        <v>0</v>
      </c>
      <c r="T169" s="89">
        <v>0</v>
      </c>
      <c r="U169" s="89">
        <v>0</v>
      </c>
      <c r="V169" s="89">
        <v>0</v>
      </c>
      <c r="W169" s="89">
        <v>0</v>
      </c>
      <c r="X169" s="89">
        <v>0</v>
      </c>
      <c r="Y169" s="89">
        <v>0</v>
      </c>
      <c r="Z169" s="89">
        <v>0</v>
      </c>
      <c r="AA169" s="89">
        <v>9</v>
      </c>
      <c r="AB169" s="89">
        <v>0</v>
      </c>
      <c r="AC169" s="89">
        <v>0</v>
      </c>
      <c r="AD169" s="89">
        <v>0</v>
      </c>
      <c r="AE169" s="89">
        <v>0</v>
      </c>
      <c r="AF169" s="89">
        <v>0</v>
      </c>
      <c r="AG169" s="89">
        <v>0</v>
      </c>
      <c r="AH169" s="89">
        <v>0</v>
      </c>
      <c r="AI169" s="89">
        <v>158</v>
      </c>
      <c r="AJ169" s="89">
        <v>2</v>
      </c>
    </row>
    <row r="170" spans="1:36" x14ac:dyDescent="0.3">
      <c r="A170" s="311" t="s">
        <v>240</v>
      </c>
      <c r="B170" s="312">
        <v>45995</v>
      </c>
      <c r="C170" s="88" t="s">
        <v>1485</v>
      </c>
      <c r="D170" s="313" t="s">
        <v>792</v>
      </c>
      <c r="E170" s="88" t="s">
        <v>1478</v>
      </c>
      <c r="F170" s="88" t="s">
        <v>214</v>
      </c>
      <c r="G170" s="314">
        <v>0.1845</v>
      </c>
      <c r="H170" s="89">
        <v>168</v>
      </c>
      <c r="I170" s="89">
        <v>31</v>
      </c>
      <c r="J170" s="89">
        <v>0</v>
      </c>
      <c r="K170" s="89" t="s">
        <v>215</v>
      </c>
      <c r="L170" s="315" t="s">
        <v>175</v>
      </c>
      <c r="M170" s="89">
        <v>3</v>
      </c>
      <c r="N170" s="89">
        <v>1</v>
      </c>
      <c r="O170" s="89">
        <v>14</v>
      </c>
      <c r="P170" s="89" t="s">
        <v>265</v>
      </c>
      <c r="Q170" s="89">
        <v>0</v>
      </c>
      <c r="R170" s="89">
        <v>0</v>
      </c>
      <c r="S170" s="89">
        <v>0</v>
      </c>
      <c r="T170" s="89">
        <v>0</v>
      </c>
      <c r="U170" s="89">
        <v>0</v>
      </c>
      <c r="V170" s="89">
        <v>0</v>
      </c>
      <c r="W170" s="89">
        <v>0</v>
      </c>
      <c r="X170" s="89">
        <v>0</v>
      </c>
      <c r="Y170" s="89">
        <v>0</v>
      </c>
      <c r="Z170" s="89">
        <v>3</v>
      </c>
      <c r="AA170" s="89">
        <v>0</v>
      </c>
      <c r="AB170" s="89">
        <v>0</v>
      </c>
      <c r="AC170" s="89">
        <v>18</v>
      </c>
      <c r="AD170" s="89">
        <v>7</v>
      </c>
      <c r="AE170" s="89">
        <v>3</v>
      </c>
      <c r="AF170" s="89">
        <v>0</v>
      </c>
      <c r="AG170" s="89">
        <v>0</v>
      </c>
      <c r="AH170" s="89">
        <v>0</v>
      </c>
      <c r="AI170" s="89">
        <v>0</v>
      </c>
      <c r="AJ170" s="89">
        <v>0</v>
      </c>
    </row>
    <row r="171" spans="1:36" x14ac:dyDescent="0.3">
      <c r="A171" s="311" t="s">
        <v>240</v>
      </c>
      <c r="B171" s="312">
        <v>45995</v>
      </c>
      <c r="C171" s="88" t="s">
        <v>518</v>
      </c>
      <c r="D171" s="313" t="s">
        <v>714</v>
      </c>
      <c r="E171" s="88" t="s">
        <v>403</v>
      </c>
      <c r="F171" s="88" t="s">
        <v>214</v>
      </c>
      <c r="G171" s="314">
        <v>0.36309999999999998</v>
      </c>
      <c r="H171" s="89">
        <v>179</v>
      </c>
      <c r="I171" s="89">
        <v>65</v>
      </c>
      <c r="J171" s="89">
        <v>37</v>
      </c>
      <c r="K171" s="89" t="s">
        <v>215</v>
      </c>
      <c r="L171" s="315" t="s">
        <v>175</v>
      </c>
      <c r="M171" s="89">
        <v>1</v>
      </c>
      <c r="N171" s="89">
        <v>8</v>
      </c>
      <c r="O171" s="89">
        <v>25</v>
      </c>
      <c r="P171" s="89" t="s">
        <v>608</v>
      </c>
      <c r="Q171" s="89">
        <v>0</v>
      </c>
      <c r="R171" s="89">
        <v>0</v>
      </c>
      <c r="S171" s="89">
        <v>0</v>
      </c>
      <c r="T171" s="89">
        <v>0</v>
      </c>
      <c r="U171" s="89">
        <v>0</v>
      </c>
      <c r="V171" s="89">
        <v>0</v>
      </c>
      <c r="W171" s="89">
        <v>0</v>
      </c>
      <c r="X171" s="89">
        <v>0</v>
      </c>
      <c r="Y171" s="89">
        <v>0</v>
      </c>
      <c r="Z171" s="89">
        <v>1</v>
      </c>
      <c r="AA171" s="89">
        <v>0</v>
      </c>
      <c r="AB171" s="89">
        <v>0</v>
      </c>
      <c r="AC171" s="89">
        <v>0</v>
      </c>
      <c r="AD171" s="89">
        <v>0</v>
      </c>
      <c r="AE171" s="89">
        <v>0</v>
      </c>
      <c r="AF171" s="89">
        <v>27</v>
      </c>
      <c r="AG171" s="89">
        <v>0</v>
      </c>
      <c r="AH171" s="89">
        <v>0</v>
      </c>
      <c r="AI171" s="89">
        <v>37</v>
      </c>
      <c r="AJ171" s="89">
        <v>0</v>
      </c>
    </row>
    <row r="172" spans="1:36" x14ac:dyDescent="0.3">
      <c r="A172" s="311" t="s">
        <v>240</v>
      </c>
      <c r="B172" s="312">
        <v>45995</v>
      </c>
      <c r="C172" s="88" t="s">
        <v>810</v>
      </c>
      <c r="D172" s="313" t="s">
        <v>791</v>
      </c>
      <c r="E172" s="88" t="s">
        <v>793</v>
      </c>
      <c r="F172" s="88" t="s">
        <v>214</v>
      </c>
      <c r="G172" s="314">
        <v>0.9345</v>
      </c>
      <c r="H172" s="89">
        <v>168</v>
      </c>
      <c r="I172" s="89">
        <v>157</v>
      </c>
      <c r="J172" s="89">
        <v>135</v>
      </c>
      <c r="K172" s="89" t="s">
        <v>215</v>
      </c>
      <c r="L172" s="315" t="s">
        <v>50</v>
      </c>
      <c r="M172" s="89">
        <v>0</v>
      </c>
      <c r="N172" s="89">
        <v>1</v>
      </c>
      <c r="O172" s="89">
        <v>5</v>
      </c>
      <c r="P172" s="89" t="s">
        <v>245</v>
      </c>
      <c r="Q172" s="89">
        <v>0</v>
      </c>
      <c r="R172" s="89">
        <v>0</v>
      </c>
      <c r="S172" s="89">
        <v>0</v>
      </c>
      <c r="T172" s="89">
        <v>0</v>
      </c>
      <c r="U172" s="89">
        <v>0</v>
      </c>
      <c r="V172" s="89">
        <v>0</v>
      </c>
      <c r="W172" s="89">
        <v>0</v>
      </c>
      <c r="X172" s="89">
        <v>0</v>
      </c>
      <c r="Y172" s="89">
        <v>0</v>
      </c>
      <c r="Z172" s="89">
        <v>7</v>
      </c>
      <c r="AA172" s="89">
        <v>0</v>
      </c>
      <c r="AB172" s="89">
        <v>0</v>
      </c>
      <c r="AC172" s="89">
        <v>0</v>
      </c>
      <c r="AD172" s="89">
        <v>5</v>
      </c>
      <c r="AE172" s="89">
        <v>10</v>
      </c>
      <c r="AF172" s="89">
        <v>0</v>
      </c>
      <c r="AG172" s="89">
        <v>45</v>
      </c>
      <c r="AH172" s="89">
        <v>0</v>
      </c>
      <c r="AI172" s="89">
        <v>90</v>
      </c>
      <c r="AJ172" s="89">
        <v>0</v>
      </c>
    </row>
    <row r="173" spans="1:36" x14ac:dyDescent="0.3">
      <c r="A173" s="311" t="s">
        <v>240</v>
      </c>
      <c r="B173" s="312">
        <v>45995</v>
      </c>
      <c r="C173" s="88" t="s">
        <v>935</v>
      </c>
      <c r="D173" s="313" t="s">
        <v>702</v>
      </c>
      <c r="E173" s="88" t="s">
        <v>934</v>
      </c>
      <c r="F173" s="88" t="s">
        <v>214</v>
      </c>
      <c r="G173" s="314">
        <v>0.35709999999999997</v>
      </c>
      <c r="H173" s="89">
        <v>168</v>
      </c>
      <c r="I173" s="89">
        <v>60</v>
      </c>
      <c r="J173" s="89">
        <v>44</v>
      </c>
      <c r="K173" s="89" t="s">
        <v>215</v>
      </c>
      <c r="L173" s="315" t="s">
        <v>50</v>
      </c>
      <c r="M173" s="89">
        <v>0</v>
      </c>
      <c r="N173" s="89">
        <v>1</v>
      </c>
      <c r="O173" s="89">
        <v>7</v>
      </c>
      <c r="P173" s="89" t="s">
        <v>364</v>
      </c>
      <c r="Q173" s="89">
        <v>0</v>
      </c>
      <c r="R173" s="89">
        <v>0</v>
      </c>
      <c r="S173" s="89">
        <v>0</v>
      </c>
      <c r="T173" s="89">
        <v>0</v>
      </c>
      <c r="U173" s="89">
        <v>0</v>
      </c>
      <c r="V173" s="89">
        <v>0</v>
      </c>
      <c r="W173" s="89">
        <v>0</v>
      </c>
      <c r="X173" s="89">
        <v>0</v>
      </c>
      <c r="Y173" s="89">
        <v>0</v>
      </c>
      <c r="Z173" s="89">
        <v>1</v>
      </c>
      <c r="AA173" s="89">
        <v>0</v>
      </c>
      <c r="AB173" s="89">
        <v>0</v>
      </c>
      <c r="AC173" s="89">
        <v>0</v>
      </c>
      <c r="AD173" s="89">
        <v>13</v>
      </c>
      <c r="AE173" s="89">
        <v>0</v>
      </c>
      <c r="AF173" s="89">
        <v>2</v>
      </c>
      <c r="AG173" s="89">
        <v>0</v>
      </c>
      <c r="AH173" s="89">
        <v>0</v>
      </c>
      <c r="AI173" s="89">
        <v>44</v>
      </c>
      <c r="AJ173" s="89">
        <v>0</v>
      </c>
    </row>
    <row r="174" spans="1:36" x14ac:dyDescent="0.3">
      <c r="A174" s="311" t="s">
        <v>240</v>
      </c>
      <c r="B174" s="312">
        <v>45995</v>
      </c>
      <c r="C174" s="88" t="s">
        <v>938</v>
      </c>
      <c r="D174" s="313" t="s">
        <v>893</v>
      </c>
      <c r="E174" s="88" t="s">
        <v>934</v>
      </c>
      <c r="F174" s="88" t="s">
        <v>214</v>
      </c>
      <c r="G174" s="314">
        <v>0.66669999999999996</v>
      </c>
      <c r="H174" s="89">
        <v>168</v>
      </c>
      <c r="I174" s="89">
        <v>112</v>
      </c>
      <c r="J174" s="89">
        <v>68</v>
      </c>
      <c r="K174" s="89" t="s">
        <v>215</v>
      </c>
      <c r="L174" s="315" t="s">
        <v>175</v>
      </c>
      <c r="M174" s="89">
        <v>2</v>
      </c>
      <c r="N174" s="89">
        <v>2</v>
      </c>
      <c r="O174" s="89">
        <v>33</v>
      </c>
      <c r="P174" s="89" t="s">
        <v>646</v>
      </c>
      <c r="Q174" s="89">
        <v>0</v>
      </c>
      <c r="R174" s="89">
        <v>0</v>
      </c>
      <c r="S174" s="89">
        <v>0</v>
      </c>
      <c r="T174" s="89">
        <v>0</v>
      </c>
      <c r="U174" s="89">
        <v>0</v>
      </c>
      <c r="V174" s="89">
        <v>0</v>
      </c>
      <c r="W174" s="89">
        <v>0</v>
      </c>
      <c r="X174" s="89">
        <v>0</v>
      </c>
      <c r="Y174" s="89">
        <v>0</v>
      </c>
      <c r="Z174" s="89">
        <v>2</v>
      </c>
      <c r="AA174" s="89">
        <v>1</v>
      </c>
      <c r="AB174" s="89">
        <v>0</v>
      </c>
      <c r="AC174" s="89">
        <v>1</v>
      </c>
      <c r="AD174" s="89">
        <v>9</v>
      </c>
      <c r="AE174" s="89">
        <v>16</v>
      </c>
      <c r="AF174" s="89">
        <v>15</v>
      </c>
      <c r="AG174" s="89">
        <v>45</v>
      </c>
      <c r="AH174" s="89">
        <v>0</v>
      </c>
      <c r="AI174" s="89">
        <v>23</v>
      </c>
      <c r="AJ174" s="89">
        <v>0</v>
      </c>
    </row>
    <row r="175" spans="1:36" x14ac:dyDescent="0.3">
      <c r="A175" s="311" t="s">
        <v>240</v>
      </c>
      <c r="B175" s="312">
        <v>45995</v>
      </c>
      <c r="C175" s="88" t="s">
        <v>1155</v>
      </c>
      <c r="D175" s="313" t="s">
        <v>1246</v>
      </c>
      <c r="E175" s="88" t="s">
        <v>1098</v>
      </c>
      <c r="F175" s="88" t="s">
        <v>214</v>
      </c>
      <c r="G175" s="314">
        <v>0.1429</v>
      </c>
      <c r="H175" s="89">
        <v>168</v>
      </c>
      <c r="I175" s="89">
        <v>24</v>
      </c>
      <c r="J175" s="89">
        <v>0</v>
      </c>
      <c r="K175" s="89" t="s">
        <v>215</v>
      </c>
      <c r="L175" s="315" t="s">
        <v>50</v>
      </c>
      <c r="M175" s="89">
        <v>0</v>
      </c>
      <c r="N175" s="89">
        <v>5</v>
      </c>
      <c r="O175" s="89">
        <v>14</v>
      </c>
      <c r="P175" s="89" t="s">
        <v>586</v>
      </c>
      <c r="Q175" s="89">
        <v>0</v>
      </c>
      <c r="R175" s="89">
        <v>0</v>
      </c>
      <c r="S175" s="89">
        <v>0</v>
      </c>
      <c r="T175" s="89">
        <v>0</v>
      </c>
      <c r="U175" s="89">
        <v>0</v>
      </c>
      <c r="V175" s="89">
        <v>0</v>
      </c>
      <c r="W175" s="89">
        <v>0</v>
      </c>
      <c r="X175" s="89">
        <v>0</v>
      </c>
      <c r="Y175" s="89">
        <v>0</v>
      </c>
      <c r="Z175" s="89">
        <v>0</v>
      </c>
      <c r="AA175" s="89">
        <v>0</v>
      </c>
      <c r="AB175" s="89">
        <v>0</v>
      </c>
      <c r="AC175" s="89">
        <v>0</v>
      </c>
      <c r="AD175" s="89">
        <v>5</v>
      </c>
      <c r="AE175" s="89">
        <v>19</v>
      </c>
      <c r="AF175" s="89">
        <v>0</v>
      </c>
      <c r="AG175" s="89">
        <v>0</v>
      </c>
      <c r="AH175" s="89">
        <v>0</v>
      </c>
      <c r="AI175" s="89">
        <v>0</v>
      </c>
      <c r="AJ175" s="89">
        <v>0</v>
      </c>
    </row>
    <row r="176" spans="1:36" x14ac:dyDescent="0.3">
      <c r="A176" s="311" t="s">
        <v>240</v>
      </c>
      <c r="B176" s="312">
        <v>45995</v>
      </c>
      <c r="C176" s="88" t="s">
        <v>420</v>
      </c>
      <c r="D176" s="313" t="s">
        <v>712</v>
      </c>
      <c r="E176" s="88" t="s">
        <v>403</v>
      </c>
      <c r="F176" s="88" t="s">
        <v>214</v>
      </c>
      <c r="G176" s="314">
        <v>0.1341</v>
      </c>
      <c r="H176" s="89">
        <v>179</v>
      </c>
      <c r="I176" s="89">
        <v>24</v>
      </c>
      <c r="J176" s="89">
        <v>0</v>
      </c>
      <c r="K176" s="89" t="s">
        <v>215</v>
      </c>
      <c r="L176" s="315" t="s">
        <v>175</v>
      </c>
      <c r="M176" s="89">
        <v>2</v>
      </c>
      <c r="N176" s="89">
        <v>3</v>
      </c>
      <c r="O176" s="89">
        <v>16</v>
      </c>
      <c r="P176" s="89" t="s">
        <v>346</v>
      </c>
      <c r="Q176" s="89">
        <v>0</v>
      </c>
      <c r="R176" s="89">
        <v>0</v>
      </c>
      <c r="S176" s="89">
        <v>0</v>
      </c>
      <c r="T176" s="89">
        <v>0</v>
      </c>
      <c r="U176" s="89">
        <v>0</v>
      </c>
      <c r="V176" s="89">
        <v>0</v>
      </c>
      <c r="W176" s="89">
        <v>0</v>
      </c>
      <c r="X176" s="89">
        <v>0</v>
      </c>
      <c r="Y176" s="89">
        <v>0</v>
      </c>
      <c r="Z176" s="89">
        <v>1</v>
      </c>
      <c r="AA176" s="89">
        <v>0</v>
      </c>
      <c r="AB176" s="89">
        <v>0</v>
      </c>
      <c r="AC176" s="89">
        <v>0</v>
      </c>
      <c r="AD176" s="89">
        <v>0</v>
      </c>
      <c r="AE176" s="89">
        <v>3</v>
      </c>
      <c r="AF176" s="89">
        <v>20</v>
      </c>
      <c r="AG176" s="89">
        <v>0</v>
      </c>
      <c r="AH176" s="89">
        <v>0</v>
      </c>
      <c r="AI176" s="89">
        <v>0</v>
      </c>
      <c r="AJ176" s="89">
        <v>0</v>
      </c>
    </row>
    <row r="177" spans="1:36" x14ac:dyDescent="0.3">
      <c r="A177" s="311" t="s">
        <v>240</v>
      </c>
      <c r="B177" s="312">
        <v>45995</v>
      </c>
      <c r="C177" s="88" t="s">
        <v>417</v>
      </c>
      <c r="D177" s="313" t="s">
        <v>717</v>
      </c>
      <c r="E177" s="88" t="s">
        <v>403</v>
      </c>
      <c r="F177" s="88" t="s">
        <v>214</v>
      </c>
      <c r="G177" s="314">
        <v>0.78769999999999996</v>
      </c>
      <c r="H177" s="89">
        <v>179</v>
      </c>
      <c r="I177" s="89">
        <v>141</v>
      </c>
      <c r="J177" s="89">
        <v>116</v>
      </c>
      <c r="K177" s="89" t="s">
        <v>215</v>
      </c>
      <c r="L177" s="315" t="s">
        <v>175</v>
      </c>
      <c r="M177" s="89">
        <v>1</v>
      </c>
      <c r="N177" s="89">
        <v>3</v>
      </c>
      <c r="O177" s="89">
        <v>94</v>
      </c>
      <c r="P177" s="89" t="s">
        <v>217</v>
      </c>
      <c r="Q177" s="89">
        <v>0</v>
      </c>
      <c r="R177" s="89">
        <v>0</v>
      </c>
      <c r="S177" s="89">
        <v>0</v>
      </c>
      <c r="T177" s="89">
        <v>0</v>
      </c>
      <c r="U177" s="89">
        <v>0</v>
      </c>
      <c r="V177" s="89">
        <v>0</v>
      </c>
      <c r="W177" s="89">
        <v>0</v>
      </c>
      <c r="X177" s="89">
        <v>0</v>
      </c>
      <c r="Y177" s="89">
        <v>0</v>
      </c>
      <c r="Z177" s="89">
        <v>4</v>
      </c>
      <c r="AA177" s="89">
        <v>0</v>
      </c>
      <c r="AB177" s="89">
        <v>0</v>
      </c>
      <c r="AC177" s="89">
        <v>0</v>
      </c>
      <c r="AD177" s="89">
        <v>0</v>
      </c>
      <c r="AE177" s="89">
        <v>0</v>
      </c>
      <c r="AF177" s="89">
        <v>21</v>
      </c>
      <c r="AG177" s="89">
        <v>0</v>
      </c>
      <c r="AH177" s="89">
        <v>0</v>
      </c>
      <c r="AI177" s="89">
        <v>116</v>
      </c>
      <c r="AJ177" s="89">
        <v>0</v>
      </c>
    </row>
    <row r="178" spans="1:36" x14ac:dyDescent="0.3">
      <c r="A178" s="311" t="s">
        <v>240</v>
      </c>
      <c r="B178" s="312">
        <v>45995</v>
      </c>
      <c r="C178" s="88" t="s">
        <v>427</v>
      </c>
      <c r="D178" s="313" t="s">
        <v>720</v>
      </c>
      <c r="E178" s="88" t="s">
        <v>403</v>
      </c>
      <c r="F178" s="88" t="s">
        <v>214</v>
      </c>
      <c r="G178" s="314">
        <v>0.88270000000000004</v>
      </c>
      <c r="H178" s="89">
        <v>179</v>
      </c>
      <c r="I178" s="89">
        <v>158</v>
      </c>
      <c r="J178" s="89">
        <v>125</v>
      </c>
      <c r="K178" s="89" t="s">
        <v>215</v>
      </c>
      <c r="L178" s="315" t="s">
        <v>63</v>
      </c>
      <c r="M178" s="89">
        <v>0</v>
      </c>
      <c r="N178" s="89">
        <v>0</v>
      </c>
      <c r="O178" s="89">
        <v>50</v>
      </c>
      <c r="P178" s="89" t="s">
        <v>579</v>
      </c>
      <c r="Q178" s="89">
        <v>0</v>
      </c>
      <c r="R178" s="89">
        <v>0</v>
      </c>
      <c r="S178" s="89">
        <v>0</v>
      </c>
      <c r="T178" s="89">
        <v>0</v>
      </c>
      <c r="U178" s="89">
        <v>0</v>
      </c>
      <c r="V178" s="89">
        <v>0</v>
      </c>
      <c r="W178" s="89">
        <v>0</v>
      </c>
      <c r="X178" s="89">
        <v>0</v>
      </c>
      <c r="Y178" s="89">
        <v>0</v>
      </c>
      <c r="Z178" s="89">
        <v>8</v>
      </c>
      <c r="AA178" s="89">
        <v>0</v>
      </c>
      <c r="AB178" s="89">
        <v>0</v>
      </c>
      <c r="AC178" s="89">
        <v>0</v>
      </c>
      <c r="AD178" s="89">
        <v>5</v>
      </c>
      <c r="AE178" s="89">
        <v>10</v>
      </c>
      <c r="AF178" s="89">
        <v>10</v>
      </c>
      <c r="AG178" s="89">
        <v>34</v>
      </c>
      <c r="AH178" s="89">
        <v>0</v>
      </c>
      <c r="AI178" s="89">
        <v>91</v>
      </c>
      <c r="AJ178" s="89">
        <v>0</v>
      </c>
    </row>
    <row r="179" spans="1:36" x14ac:dyDescent="0.3">
      <c r="A179" s="311" t="s">
        <v>240</v>
      </c>
      <c r="B179" s="312">
        <v>45995</v>
      </c>
      <c r="C179" s="88" t="s">
        <v>432</v>
      </c>
      <c r="D179" s="313" t="s">
        <v>722</v>
      </c>
      <c r="E179" s="88" t="s">
        <v>403</v>
      </c>
      <c r="F179" s="88" t="s">
        <v>214</v>
      </c>
      <c r="G179" s="314">
        <v>0.76539999999999997</v>
      </c>
      <c r="H179" s="89">
        <v>179</v>
      </c>
      <c r="I179" s="89">
        <v>137</v>
      </c>
      <c r="J179" s="89">
        <v>99</v>
      </c>
      <c r="K179" s="89" t="s">
        <v>215</v>
      </c>
      <c r="L179" s="315" t="s">
        <v>175</v>
      </c>
      <c r="M179" s="89">
        <v>4</v>
      </c>
      <c r="N179" s="89">
        <v>12</v>
      </c>
      <c r="O179" s="89">
        <v>21</v>
      </c>
      <c r="P179" s="89" t="s">
        <v>586</v>
      </c>
      <c r="Q179" s="89">
        <v>0</v>
      </c>
      <c r="R179" s="89">
        <v>0</v>
      </c>
      <c r="S179" s="89">
        <v>0</v>
      </c>
      <c r="T179" s="89">
        <v>0</v>
      </c>
      <c r="U179" s="89">
        <v>0</v>
      </c>
      <c r="V179" s="89">
        <v>0</v>
      </c>
      <c r="W179" s="89">
        <v>0</v>
      </c>
      <c r="X179" s="89">
        <v>0</v>
      </c>
      <c r="Y179" s="89">
        <v>0</v>
      </c>
      <c r="Z179" s="89">
        <v>7</v>
      </c>
      <c r="AA179" s="89">
        <v>0</v>
      </c>
      <c r="AB179" s="89">
        <v>0</v>
      </c>
      <c r="AC179" s="89">
        <v>2</v>
      </c>
      <c r="AD179" s="89">
        <v>5</v>
      </c>
      <c r="AE179" s="89">
        <v>14</v>
      </c>
      <c r="AF179" s="89">
        <v>10</v>
      </c>
      <c r="AG179" s="89">
        <v>0</v>
      </c>
      <c r="AH179" s="89">
        <v>0</v>
      </c>
      <c r="AI179" s="89">
        <v>99</v>
      </c>
      <c r="AJ179" s="89">
        <v>0</v>
      </c>
    </row>
    <row r="180" spans="1:36" x14ac:dyDescent="0.3">
      <c r="A180" s="311" t="s">
        <v>240</v>
      </c>
      <c r="B180" s="312">
        <v>45995</v>
      </c>
      <c r="C180" s="88" t="s">
        <v>298</v>
      </c>
      <c r="D180" s="313" t="s">
        <v>336</v>
      </c>
      <c r="E180" s="88" t="s">
        <v>295</v>
      </c>
      <c r="F180" s="88" t="s">
        <v>214</v>
      </c>
      <c r="G180" s="314">
        <v>0.94969999999999999</v>
      </c>
      <c r="H180" s="89">
        <v>179</v>
      </c>
      <c r="I180" s="89">
        <v>170</v>
      </c>
      <c r="J180" s="89">
        <v>130</v>
      </c>
      <c r="K180" s="89" t="s">
        <v>215</v>
      </c>
      <c r="L180" s="315" t="s">
        <v>50</v>
      </c>
      <c r="M180" s="89">
        <v>0</v>
      </c>
      <c r="N180" s="89">
        <v>1</v>
      </c>
      <c r="O180" s="89">
        <v>10</v>
      </c>
      <c r="P180" s="89" t="s">
        <v>317</v>
      </c>
      <c r="Q180" s="89">
        <v>1</v>
      </c>
      <c r="R180" s="89">
        <v>0</v>
      </c>
      <c r="S180" s="89">
        <v>0</v>
      </c>
      <c r="T180" s="89">
        <v>0</v>
      </c>
      <c r="U180" s="89">
        <v>0</v>
      </c>
      <c r="V180" s="89">
        <v>0</v>
      </c>
      <c r="W180" s="89">
        <v>0</v>
      </c>
      <c r="X180" s="89">
        <v>7</v>
      </c>
      <c r="Y180" s="89">
        <v>0</v>
      </c>
      <c r="Z180" s="89">
        <v>9</v>
      </c>
      <c r="AA180" s="89">
        <v>0</v>
      </c>
      <c r="AB180" s="89">
        <v>0</v>
      </c>
      <c r="AC180" s="89">
        <v>0</v>
      </c>
      <c r="AD180" s="89">
        <v>4</v>
      </c>
      <c r="AE180" s="89">
        <v>10</v>
      </c>
      <c r="AF180" s="89">
        <v>9</v>
      </c>
      <c r="AG180" s="89">
        <v>0</v>
      </c>
      <c r="AH180" s="89">
        <v>0</v>
      </c>
      <c r="AI180" s="89">
        <v>130</v>
      </c>
      <c r="AJ180" s="89">
        <v>0</v>
      </c>
    </row>
    <row r="181" spans="1:36" x14ac:dyDescent="0.3">
      <c r="A181" s="311" t="s">
        <v>240</v>
      </c>
      <c r="B181" s="312">
        <v>45995</v>
      </c>
      <c r="C181" s="88" t="s">
        <v>60</v>
      </c>
      <c r="D181" s="313" t="s">
        <v>241</v>
      </c>
      <c r="E181" s="88" t="s">
        <v>1</v>
      </c>
      <c r="F181" s="88" t="s">
        <v>214</v>
      </c>
      <c r="G181" s="314">
        <v>1.006</v>
      </c>
      <c r="H181" s="89">
        <v>168</v>
      </c>
      <c r="I181" s="89">
        <v>169</v>
      </c>
      <c r="J181" s="89">
        <v>135</v>
      </c>
      <c r="K181" s="89" t="s">
        <v>215</v>
      </c>
      <c r="L181" s="315" t="s">
        <v>50</v>
      </c>
      <c r="M181" s="89">
        <v>0</v>
      </c>
      <c r="N181" s="89">
        <v>1</v>
      </c>
      <c r="O181" s="89">
        <v>1</v>
      </c>
      <c r="P181" s="89" t="s">
        <v>64</v>
      </c>
      <c r="Q181" s="89">
        <v>3</v>
      </c>
      <c r="R181" s="89">
        <v>0</v>
      </c>
      <c r="S181" s="89">
        <v>0</v>
      </c>
      <c r="T181" s="89">
        <v>0</v>
      </c>
      <c r="U181" s="89">
        <v>0</v>
      </c>
      <c r="V181" s="89">
        <v>0</v>
      </c>
      <c r="W181" s="89">
        <v>0</v>
      </c>
      <c r="X181" s="89">
        <v>0</v>
      </c>
      <c r="Y181" s="89">
        <v>0</v>
      </c>
      <c r="Z181" s="89">
        <v>4</v>
      </c>
      <c r="AA181" s="89">
        <v>0</v>
      </c>
      <c r="AB181" s="89">
        <v>0</v>
      </c>
      <c r="AC181" s="89">
        <v>0</v>
      </c>
      <c r="AD181" s="89">
        <v>1</v>
      </c>
      <c r="AE181" s="89">
        <v>9</v>
      </c>
      <c r="AF181" s="89">
        <v>17</v>
      </c>
      <c r="AG181" s="89">
        <v>0</v>
      </c>
      <c r="AH181" s="89">
        <v>0</v>
      </c>
      <c r="AI181" s="89">
        <v>135</v>
      </c>
      <c r="AJ181" s="89">
        <v>0</v>
      </c>
    </row>
    <row r="182" spans="1:36" x14ac:dyDescent="0.3">
      <c r="A182" s="311" t="s">
        <v>240</v>
      </c>
      <c r="B182" s="312">
        <v>45995</v>
      </c>
      <c r="C182" s="88" t="s">
        <v>1395</v>
      </c>
      <c r="D182" s="313" t="s">
        <v>1244</v>
      </c>
      <c r="E182" s="88" t="s">
        <v>1393</v>
      </c>
      <c r="F182" s="88" t="s">
        <v>214</v>
      </c>
      <c r="G182" s="314">
        <v>0.14879999999999999</v>
      </c>
      <c r="H182" s="89">
        <v>168</v>
      </c>
      <c r="I182" s="89">
        <v>25</v>
      </c>
      <c r="J182" s="89">
        <v>0</v>
      </c>
      <c r="K182" s="89" t="s">
        <v>215</v>
      </c>
      <c r="L182" s="315" t="s">
        <v>63</v>
      </c>
      <c r="M182" s="89">
        <v>0</v>
      </c>
      <c r="N182" s="89">
        <v>0</v>
      </c>
      <c r="O182" s="89">
        <v>5</v>
      </c>
      <c r="P182" s="89" t="s">
        <v>237</v>
      </c>
      <c r="Q182" s="89">
        <v>0</v>
      </c>
      <c r="R182" s="89">
        <v>0</v>
      </c>
      <c r="S182" s="89">
        <v>0</v>
      </c>
      <c r="T182" s="89">
        <v>0</v>
      </c>
      <c r="U182" s="89">
        <v>0</v>
      </c>
      <c r="V182" s="89">
        <v>0</v>
      </c>
      <c r="W182" s="89">
        <v>0</v>
      </c>
      <c r="X182" s="89">
        <v>0</v>
      </c>
      <c r="Y182" s="89">
        <v>0</v>
      </c>
      <c r="Z182" s="89">
        <v>0</v>
      </c>
      <c r="AA182" s="89">
        <v>0</v>
      </c>
      <c r="AB182" s="89">
        <v>0</v>
      </c>
      <c r="AC182" s="89">
        <v>0</v>
      </c>
      <c r="AD182" s="89">
        <v>0</v>
      </c>
      <c r="AE182" s="89">
        <v>7</v>
      </c>
      <c r="AF182" s="89">
        <v>18</v>
      </c>
      <c r="AG182" s="89">
        <v>0</v>
      </c>
      <c r="AH182" s="89">
        <v>0</v>
      </c>
      <c r="AI182" s="89">
        <v>0</v>
      </c>
      <c r="AJ182" s="89">
        <v>0</v>
      </c>
    </row>
    <row r="183" spans="1:36" x14ac:dyDescent="0.3">
      <c r="A183" s="311" t="s">
        <v>724</v>
      </c>
      <c r="B183" s="312">
        <v>45996</v>
      </c>
      <c r="C183" s="88" t="s">
        <v>1386</v>
      </c>
      <c r="D183" s="313" t="s">
        <v>702</v>
      </c>
      <c r="E183" s="88" t="s">
        <v>1385</v>
      </c>
      <c r="F183" s="88" t="s">
        <v>214</v>
      </c>
      <c r="G183" s="314">
        <v>0.13100000000000001</v>
      </c>
      <c r="H183" s="89">
        <v>168</v>
      </c>
      <c r="I183" s="89">
        <v>22</v>
      </c>
      <c r="J183" s="89">
        <v>0</v>
      </c>
      <c r="K183" s="89" t="s">
        <v>215</v>
      </c>
      <c r="L183" s="315" t="s">
        <v>175</v>
      </c>
      <c r="M183" s="89">
        <v>2</v>
      </c>
      <c r="N183" s="89">
        <v>1</v>
      </c>
      <c r="O183" s="89">
        <v>10</v>
      </c>
      <c r="P183" s="89" t="s">
        <v>643</v>
      </c>
      <c r="Q183" s="89">
        <v>0</v>
      </c>
      <c r="R183" s="89">
        <v>0</v>
      </c>
      <c r="S183" s="89">
        <v>0</v>
      </c>
      <c r="T183" s="89">
        <v>0</v>
      </c>
      <c r="U183" s="89">
        <v>0</v>
      </c>
      <c r="V183" s="89">
        <v>0</v>
      </c>
      <c r="W183" s="89">
        <v>0</v>
      </c>
      <c r="X183" s="89">
        <v>0</v>
      </c>
      <c r="Y183" s="89">
        <v>0</v>
      </c>
      <c r="Z183" s="89">
        <v>0</v>
      </c>
      <c r="AA183" s="89">
        <v>0</v>
      </c>
      <c r="AB183" s="89">
        <v>0</v>
      </c>
      <c r="AC183" s="89">
        <v>4</v>
      </c>
      <c r="AD183" s="89">
        <v>15</v>
      </c>
      <c r="AE183" s="89">
        <v>3</v>
      </c>
      <c r="AF183" s="89">
        <v>0</v>
      </c>
      <c r="AG183" s="89">
        <v>0</v>
      </c>
      <c r="AH183" s="89">
        <v>0</v>
      </c>
      <c r="AI183" s="89">
        <v>0</v>
      </c>
      <c r="AJ183" s="89">
        <v>0</v>
      </c>
    </row>
    <row r="184" spans="1:36" x14ac:dyDescent="0.3">
      <c r="A184" s="311" t="s">
        <v>724</v>
      </c>
      <c r="B184" s="312">
        <v>45996</v>
      </c>
      <c r="C184" s="88" t="s">
        <v>1565</v>
      </c>
      <c r="D184" s="313" t="s">
        <v>1554</v>
      </c>
      <c r="E184" s="88" t="s">
        <v>1559</v>
      </c>
      <c r="F184" s="88" t="s">
        <v>214</v>
      </c>
      <c r="G184" s="314">
        <v>0.13689999999999999</v>
      </c>
      <c r="H184" s="89">
        <v>168</v>
      </c>
      <c r="I184" s="89">
        <v>23</v>
      </c>
      <c r="J184" s="89">
        <v>0</v>
      </c>
      <c r="K184" s="89" t="s">
        <v>215</v>
      </c>
      <c r="L184" s="315" t="s">
        <v>175</v>
      </c>
      <c r="M184" s="89">
        <v>2</v>
      </c>
      <c r="N184" s="89">
        <v>0</v>
      </c>
      <c r="O184" s="89">
        <v>14</v>
      </c>
      <c r="P184" s="89" t="s">
        <v>364</v>
      </c>
      <c r="Q184" s="89">
        <v>0</v>
      </c>
      <c r="R184" s="89">
        <v>0</v>
      </c>
      <c r="S184" s="89">
        <v>0</v>
      </c>
      <c r="T184" s="89">
        <v>0</v>
      </c>
      <c r="U184" s="89">
        <v>0</v>
      </c>
      <c r="V184" s="89">
        <v>0</v>
      </c>
      <c r="W184" s="89">
        <v>0</v>
      </c>
      <c r="X184" s="89">
        <v>0</v>
      </c>
      <c r="Y184" s="89">
        <v>0</v>
      </c>
      <c r="Z184" s="89">
        <v>2</v>
      </c>
      <c r="AA184" s="89">
        <v>0</v>
      </c>
      <c r="AB184" s="89">
        <v>0</v>
      </c>
      <c r="AC184" s="89">
        <v>0</v>
      </c>
      <c r="AD184" s="89">
        <v>16</v>
      </c>
      <c r="AE184" s="89">
        <v>5</v>
      </c>
      <c r="AF184" s="89">
        <v>0</v>
      </c>
      <c r="AG184" s="89">
        <v>0</v>
      </c>
      <c r="AH184" s="89">
        <v>0</v>
      </c>
      <c r="AI184" s="89">
        <v>0</v>
      </c>
      <c r="AJ184" s="89">
        <v>0</v>
      </c>
    </row>
    <row r="185" spans="1:36" x14ac:dyDescent="0.3">
      <c r="A185" s="311" t="s">
        <v>724</v>
      </c>
      <c r="B185" s="312">
        <v>45996</v>
      </c>
      <c r="C185" s="88" t="s">
        <v>423</v>
      </c>
      <c r="D185" s="313" t="s">
        <v>712</v>
      </c>
      <c r="E185" s="88" t="s">
        <v>403</v>
      </c>
      <c r="F185" s="88" t="s">
        <v>214</v>
      </c>
      <c r="G185" s="314">
        <v>0.1676</v>
      </c>
      <c r="H185" s="89">
        <v>179</v>
      </c>
      <c r="I185" s="89">
        <v>30</v>
      </c>
      <c r="J185" s="89">
        <v>0</v>
      </c>
      <c r="K185" s="89" t="s">
        <v>215</v>
      </c>
      <c r="L185" s="315" t="s">
        <v>50</v>
      </c>
      <c r="M185" s="89">
        <v>0</v>
      </c>
      <c r="N185" s="89">
        <v>2</v>
      </c>
      <c r="O185" s="89">
        <v>21</v>
      </c>
      <c r="P185" s="89" t="s">
        <v>586</v>
      </c>
      <c r="Q185" s="89">
        <v>0</v>
      </c>
      <c r="R185" s="89">
        <v>0</v>
      </c>
      <c r="S185" s="89">
        <v>0</v>
      </c>
      <c r="T185" s="89">
        <v>0</v>
      </c>
      <c r="U185" s="89">
        <v>0</v>
      </c>
      <c r="V185" s="89">
        <v>0</v>
      </c>
      <c r="W185" s="89">
        <v>0</v>
      </c>
      <c r="X185" s="89">
        <v>0</v>
      </c>
      <c r="Y185" s="89">
        <v>0</v>
      </c>
      <c r="Z185" s="89">
        <v>1</v>
      </c>
      <c r="AA185" s="89">
        <v>0</v>
      </c>
      <c r="AB185" s="89">
        <v>0</v>
      </c>
      <c r="AC185" s="89">
        <v>0</v>
      </c>
      <c r="AD185" s="89">
        <v>0</v>
      </c>
      <c r="AE185" s="89">
        <v>9</v>
      </c>
      <c r="AF185" s="89">
        <v>20</v>
      </c>
      <c r="AG185" s="89">
        <v>0</v>
      </c>
      <c r="AH185" s="89">
        <v>0</v>
      </c>
      <c r="AI185" s="89">
        <v>0</v>
      </c>
      <c r="AJ185" s="89">
        <v>0</v>
      </c>
    </row>
    <row r="186" spans="1:36" x14ac:dyDescent="0.3">
      <c r="A186" s="311" t="s">
        <v>724</v>
      </c>
      <c r="B186" s="312">
        <v>45996</v>
      </c>
      <c r="C186" s="88" t="s">
        <v>1295</v>
      </c>
      <c r="D186" s="313" t="s">
        <v>1335</v>
      </c>
      <c r="E186" s="88" t="s">
        <v>1288</v>
      </c>
      <c r="F186" s="88" t="s">
        <v>214</v>
      </c>
      <c r="G186" s="314">
        <v>0.33929999999999999</v>
      </c>
      <c r="H186" s="89">
        <v>168</v>
      </c>
      <c r="I186" s="89">
        <v>57</v>
      </c>
      <c r="J186" s="89">
        <v>0</v>
      </c>
      <c r="K186" s="89" t="s">
        <v>215</v>
      </c>
      <c r="L186" s="315" t="s">
        <v>50</v>
      </c>
      <c r="M186" s="89">
        <v>0</v>
      </c>
      <c r="N186" s="89">
        <v>1</v>
      </c>
      <c r="O186" s="89">
        <v>12</v>
      </c>
      <c r="P186" s="89" t="s">
        <v>586</v>
      </c>
      <c r="Q186" s="89">
        <v>0</v>
      </c>
      <c r="R186" s="89">
        <v>0</v>
      </c>
      <c r="S186" s="89">
        <v>0</v>
      </c>
      <c r="T186" s="89">
        <v>0</v>
      </c>
      <c r="U186" s="89">
        <v>0</v>
      </c>
      <c r="V186" s="89">
        <v>0</v>
      </c>
      <c r="W186" s="89">
        <v>0</v>
      </c>
      <c r="X186" s="89">
        <v>0</v>
      </c>
      <c r="Y186" s="89">
        <v>0</v>
      </c>
      <c r="Z186" s="89">
        <v>6</v>
      </c>
      <c r="AA186" s="89">
        <v>0</v>
      </c>
      <c r="AB186" s="89">
        <v>0</v>
      </c>
      <c r="AC186" s="89">
        <v>8</v>
      </c>
      <c r="AD186" s="89">
        <v>10</v>
      </c>
      <c r="AE186" s="89">
        <v>7</v>
      </c>
      <c r="AF186" s="89">
        <v>26</v>
      </c>
      <c r="AG186" s="89">
        <v>0</v>
      </c>
      <c r="AH186" s="89">
        <v>0</v>
      </c>
      <c r="AI186" s="89">
        <v>0</v>
      </c>
      <c r="AJ186" s="89">
        <v>0</v>
      </c>
    </row>
    <row r="187" spans="1:36" x14ac:dyDescent="0.3">
      <c r="A187" s="311" t="s">
        <v>724</v>
      </c>
      <c r="B187" s="312">
        <v>45996</v>
      </c>
      <c r="C187" s="88" t="s">
        <v>1344</v>
      </c>
      <c r="D187" s="313" t="s">
        <v>1011</v>
      </c>
      <c r="E187" s="88" t="s">
        <v>1341</v>
      </c>
      <c r="F187" s="88" t="s">
        <v>214</v>
      </c>
      <c r="G187" s="314">
        <v>0.19639999999999999</v>
      </c>
      <c r="H187" s="89">
        <v>168</v>
      </c>
      <c r="I187" s="89">
        <v>33</v>
      </c>
      <c r="J187" s="89">
        <v>0</v>
      </c>
      <c r="K187" s="89" t="s">
        <v>215</v>
      </c>
      <c r="L187" s="315" t="s">
        <v>50</v>
      </c>
      <c r="M187" s="89">
        <v>0</v>
      </c>
      <c r="N187" s="89">
        <v>4</v>
      </c>
      <c r="O187" s="89">
        <v>11</v>
      </c>
      <c r="P187" s="89" t="s">
        <v>364</v>
      </c>
      <c r="Q187" s="89">
        <v>0</v>
      </c>
      <c r="R187" s="89">
        <v>0</v>
      </c>
      <c r="S187" s="89">
        <v>0</v>
      </c>
      <c r="T187" s="89">
        <v>0</v>
      </c>
      <c r="U187" s="89">
        <v>0</v>
      </c>
      <c r="V187" s="89">
        <v>0</v>
      </c>
      <c r="W187" s="89">
        <v>0</v>
      </c>
      <c r="X187" s="89">
        <v>0</v>
      </c>
      <c r="Y187" s="89">
        <v>0</v>
      </c>
      <c r="Z187" s="89">
        <v>3</v>
      </c>
      <c r="AA187" s="89">
        <v>0</v>
      </c>
      <c r="AB187" s="89">
        <v>0</v>
      </c>
      <c r="AC187" s="89">
        <v>5</v>
      </c>
      <c r="AD187" s="89">
        <v>22</v>
      </c>
      <c r="AE187" s="89">
        <v>3</v>
      </c>
      <c r="AF187" s="89">
        <v>0</v>
      </c>
      <c r="AG187" s="89">
        <v>0</v>
      </c>
      <c r="AH187" s="89">
        <v>0</v>
      </c>
      <c r="AI187" s="89">
        <v>0</v>
      </c>
      <c r="AJ187" s="89">
        <v>0</v>
      </c>
    </row>
    <row r="188" spans="1:36" x14ac:dyDescent="0.3">
      <c r="A188" s="311" t="s">
        <v>724</v>
      </c>
      <c r="B188" s="312">
        <v>45996</v>
      </c>
      <c r="C188" s="88" t="s">
        <v>1426</v>
      </c>
      <c r="D188" s="313" t="s">
        <v>325</v>
      </c>
      <c r="E188" s="88" t="s">
        <v>1422</v>
      </c>
      <c r="F188" s="88" t="s">
        <v>214</v>
      </c>
      <c r="G188" s="314">
        <v>0.93300000000000005</v>
      </c>
      <c r="H188" s="89">
        <v>179</v>
      </c>
      <c r="I188" s="89">
        <v>167</v>
      </c>
      <c r="J188" s="89">
        <v>85</v>
      </c>
      <c r="K188" s="89" t="s">
        <v>215</v>
      </c>
      <c r="L188" s="315" t="s">
        <v>63</v>
      </c>
      <c r="M188" s="89">
        <v>0</v>
      </c>
      <c r="N188" s="89">
        <v>0</v>
      </c>
      <c r="O188" s="89">
        <v>17</v>
      </c>
      <c r="P188" s="89" t="s">
        <v>244</v>
      </c>
      <c r="Q188" s="89">
        <v>0</v>
      </c>
      <c r="R188" s="89">
        <v>0</v>
      </c>
      <c r="S188" s="89">
        <v>0</v>
      </c>
      <c r="T188" s="89">
        <v>0</v>
      </c>
      <c r="U188" s="89">
        <v>0</v>
      </c>
      <c r="V188" s="89">
        <v>0</v>
      </c>
      <c r="W188" s="89">
        <v>0</v>
      </c>
      <c r="X188" s="89">
        <v>0</v>
      </c>
      <c r="Y188" s="89">
        <v>0</v>
      </c>
      <c r="Z188" s="89">
        <v>4</v>
      </c>
      <c r="AA188" s="89">
        <v>3</v>
      </c>
      <c r="AB188" s="89">
        <v>7</v>
      </c>
      <c r="AC188" s="89">
        <v>8</v>
      </c>
      <c r="AD188" s="89">
        <v>10</v>
      </c>
      <c r="AE188" s="89">
        <v>45</v>
      </c>
      <c r="AF188" s="89">
        <v>5</v>
      </c>
      <c r="AG188" s="89">
        <v>0</v>
      </c>
      <c r="AH188" s="89">
        <v>0</v>
      </c>
      <c r="AI188" s="89">
        <v>85</v>
      </c>
      <c r="AJ188" s="89">
        <v>0</v>
      </c>
    </row>
    <row r="189" spans="1:36" x14ac:dyDescent="0.3">
      <c r="A189" s="311" t="s">
        <v>724</v>
      </c>
      <c r="B189" s="312">
        <v>45996</v>
      </c>
      <c r="C189" s="88" t="s">
        <v>1488</v>
      </c>
      <c r="D189" s="313" t="s">
        <v>1502</v>
      </c>
      <c r="E189" s="88" t="s">
        <v>1478</v>
      </c>
      <c r="F189" s="88" t="s">
        <v>214</v>
      </c>
      <c r="G189" s="314">
        <v>0.33929999999999999</v>
      </c>
      <c r="H189" s="89">
        <v>168</v>
      </c>
      <c r="I189" s="89">
        <v>57</v>
      </c>
      <c r="J189" s="89">
        <v>0</v>
      </c>
      <c r="K189" s="89" t="s">
        <v>215</v>
      </c>
      <c r="L189" s="315" t="s">
        <v>175</v>
      </c>
      <c r="M189" s="89">
        <v>5</v>
      </c>
      <c r="N189" s="89">
        <v>1</v>
      </c>
      <c r="O189" s="89">
        <v>24</v>
      </c>
      <c r="P189" s="89" t="s">
        <v>260</v>
      </c>
      <c r="Q189" s="89">
        <v>0</v>
      </c>
      <c r="R189" s="89">
        <v>0</v>
      </c>
      <c r="S189" s="89">
        <v>0</v>
      </c>
      <c r="T189" s="89">
        <v>0</v>
      </c>
      <c r="U189" s="89">
        <v>0</v>
      </c>
      <c r="V189" s="89">
        <v>0</v>
      </c>
      <c r="W189" s="89">
        <v>0</v>
      </c>
      <c r="X189" s="89">
        <v>0</v>
      </c>
      <c r="Y189" s="89">
        <v>2</v>
      </c>
      <c r="Z189" s="89">
        <v>3</v>
      </c>
      <c r="AA189" s="89">
        <v>7</v>
      </c>
      <c r="AB189" s="89">
        <v>4</v>
      </c>
      <c r="AC189" s="89">
        <v>29</v>
      </c>
      <c r="AD189" s="89">
        <v>11</v>
      </c>
      <c r="AE189" s="89">
        <v>1</v>
      </c>
      <c r="AF189" s="89">
        <v>0</v>
      </c>
      <c r="AG189" s="89">
        <v>0</v>
      </c>
      <c r="AH189" s="89">
        <v>0</v>
      </c>
      <c r="AI189" s="89">
        <v>0</v>
      </c>
      <c r="AJ189" s="89">
        <v>0</v>
      </c>
    </row>
    <row r="190" spans="1:36" x14ac:dyDescent="0.3">
      <c r="A190" s="311" t="s">
        <v>724</v>
      </c>
      <c r="B190" s="312">
        <v>45996</v>
      </c>
      <c r="C190" s="88" t="s">
        <v>1509</v>
      </c>
      <c r="D190" s="313" t="s">
        <v>1254</v>
      </c>
      <c r="E190" s="88" t="s">
        <v>1507</v>
      </c>
      <c r="F190" s="88" t="s">
        <v>214</v>
      </c>
      <c r="G190" s="314">
        <v>0.1845</v>
      </c>
      <c r="H190" s="89">
        <v>168</v>
      </c>
      <c r="I190" s="89">
        <v>31</v>
      </c>
      <c r="J190" s="89">
        <v>0</v>
      </c>
      <c r="K190" s="89" t="s">
        <v>215</v>
      </c>
      <c r="L190" s="315" t="s">
        <v>50</v>
      </c>
      <c r="M190" s="89">
        <v>0</v>
      </c>
      <c r="N190" s="89">
        <v>1</v>
      </c>
      <c r="O190" s="89">
        <v>7</v>
      </c>
      <c r="P190" s="89" t="s">
        <v>51</v>
      </c>
      <c r="Q190" s="89">
        <v>0</v>
      </c>
      <c r="R190" s="89">
        <v>0</v>
      </c>
      <c r="S190" s="89">
        <v>0</v>
      </c>
      <c r="T190" s="89">
        <v>0</v>
      </c>
      <c r="U190" s="89">
        <v>0</v>
      </c>
      <c r="V190" s="89">
        <v>0</v>
      </c>
      <c r="W190" s="89">
        <v>0</v>
      </c>
      <c r="X190" s="89">
        <v>0</v>
      </c>
      <c r="Y190" s="89">
        <v>7</v>
      </c>
      <c r="Z190" s="89">
        <v>3</v>
      </c>
      <c r="AA190" s="89">
        <v>5</v>
      </c>
      <c r="AB190" s="89">
        <v>5</v>
      </c>
      <c r="AC190" s="89">
        <v>9</v>
      </c>
      <c r="AD190" s="89">
        <v>0</v>
      </c>
      <c r="AE190" s="89">
        <v>2</v>
      </c>
      <c r="AF190" s="89">
        <v>0</v>
      </c>
      <c r="AG190" s="89">
        <v>0</v>
      </c>
      <c r="AH190" s="89">
        <v>0</v>
      </c>
      <c r="AI190" s="89">
        <v>0</v>
      </c>
      <c r="AJ190" s="89">
        <v>0</v>
      </c>
    </row>
    <row r="191" spans="1:36" x14ac:dyDescent="0.3">
      <c r="A191" s="311" t="s">
        <v>724</v>
      </c>
      <c r="B191" s="312">
        <v>45996</v>
      </c>
      <c r="C191" s="88" t="s">
        <v>810</v>
      </c>
      <c r="D191" s="313" t="s">
        <v>904</v>
      </c>
      <c r="E191" s="88" t="s">
        <v>793</v>
      </c>
      <c r="F191" s="88" t="s">
        <v>214</v>
      </c>
      <c r="G191" s="314">
        <v>0.77980000000000005</v>
      </c>
      <c r="H191" s="89">
        <v>168</v>
      </c>
      <c r="I191" s="89">
        <v>131</v>
      </c>
      <c r="J191" s="89">
        <v>95</v>
      </c>
      <c r="K191" s="89" t="s">
        <v>215</v>
      </c>
      <c r="L191" s="315" t="s">
        <v>175</v>
      </c>
      <c r="M191" s="89">
        <v>1</v>
      </c>
      <c r="N191" s="89">
        <v>1</v>
      </c>
      <c r="O191" s="89">
        <v>12</v>
      </c>
      <c r="P191" s="89" t="s">
        <v>265</v>
      </c>
      <c r="Q191" s="89">
        <v>0</v>
      </c>
      <c r="R191" s="89">
        <v>0</v>
      </c>
      <c r="S191" s="89">
        <v>0</v>
      </c>
      <c r="T191" s="89">
        <v>0</v>
      </c>
      <c r="U191" s="89">
        <v>0</v>
      </c>
      <c r="V191" s="89">
        <v>0</v>
      </c>
      <c r="W191" s="89">
        <v>0</v>
      </c>
      <c r="X191" s="89">
        <v>0</v>
      </c>
      <c r="Y191" s="89">
        <v>0</v>
      </c>
      <c r="Z191" s="89">
        <v>2</v>
      </c>
      <c r="AA191" s="89">
        <v>0</v>
      </c>
      <c r="AB191" s="89">
        <v>2</v>
      </c>
      <c r="AC191" s="89">
        <v>11</v>
      </c>
      <c r="AD191" s="89">
        <v>11</v>
      </c>
      <c r="AE191" s="89">
        <v>10</v>
      </c>
      <c r="AF191" s="89">
        <v>0</v>
      </c>
      <c r="AG191" s="89">
        <v>0</v>
      </c>
      <c r="AH191" s="89">
        <v>0</v>
      </c>
      <c r="AI191" s="89">
        <v>95</v>
      </c>
      <c r="AJ191" s="89">
        <v>0</v>
      </c>
    </row>
    <row r="192" spans="1:36" x14ac:dyDescent="0.3">
      <c r="A192" s="311" t="s">
        <v>724</v>
      </c>
      <c r="B192" s="312">
        <v>45996</v>
      </c>
      <c r="C192" s="88" t="s">
        <v>430</v>
      </c>
      <c r="D192" s="313" t="s">
        <v>368</v>
      </c>
      <c r="E192" s="88" t="s">
        <v>403</v>
      </c>
      <c r="F192" s="88" t="s">
        <v>214</v>
      </c>
      <c r="G192" s="314">
        <v>0.91620000000000001</v>
      </c>
      <c r="H192" s="89">
        <v>179</v>
      </c>
      <c r="I192" s="89">
        <v>164</v>
      </c>
      <c r="J192" s="89">
        <v>140</v>
      </c>
      <c r="K192" s="89" t="s">
        <v>215</v>
      </c>
      <c r="L192" s="315" t="s">
        <v>635</v>
      </c>
      <c r="M192" s="89">
        <v>0</v>
      </c>
      <c r="N192" s="89">
        <v>0</v>
      </c>
      <c r="O192" s="89">
        <v>0</v>
      </c>
      <c r="P192" s="89" t="s">
        <v>51</v>
      </c>
      <c r="Q192" s="89">
        <v>0</v>
      </c>
      <c r="R192" s="89">
        <v>0</v>
      </c>
      <c r="S192" s="89">
        <v>0</v>
      </c>
      <c r="T192" s="89">
        <v>0</v>
      </c>
      <c r="U192" s="89">
        <v>0</v>
      </c>
      <c r="V192" s="89">
        <v>0</v>
      </c>
      <c r="W192" s="89">
        <v>0</v>
      </c>
      <c r="X192" s="89">
        <v>0</v>
      </c>
      <c r="Y192" s="89">
        <v>0</v>
      </c>
      <c r="Z192" s="89">
        <v>5</v>
      </c>
      <c r="AA192" s="89">
        <v>0</v>
      </c>
      <c r="AB192" s="89">
        <v>0</v>
      </c>
      <c r="AC192" s="89">
        <v>0</v>
      </c>
      <c r="AD192" s="89">
        <v>0</v>
      </c>
      <c r="AE192" s="89">
        <v>9</v>
      </c>
      <c r="AF192" s="89">
        <v>10</v>
      </c>
      <c r="AG192" s="89">
        <v>0</v>
      </c>
      <c r="AH192" s="89">
        <v>0</v>
      </c>
      <c r="AI192" s="89">
        <v>140</v>
      </c>
      <c r="AJ192" s="89">
        <v>0</v>
      </c>
    </row>
    <row r="193" spans="1:36" x14ac:dyDescent="0.3">
      <c r="A193" s="311" t="s">
        <v>724</v>
      </c>
      <c r="B193" s="312">
        <v>45996</v>
      </c>
      <c r="C193" s="88" t="s">
        <v>1155</v>
      </c>
      <c r="D193" s="313" t="s">
        <v>933</v>
      </c>
      <c r="E193" s="88" t="s">
        <v>1098</v>
      </c>
      <c r="F193" s="88" t="s">
        <v>214</v>
      </c>
      <c r="G193" s="314">
        <v>0.13689999999999999</v>
      </c>
      <c r="H193" s="89">
        <v>168</v>
      </c>
      <c r="I193" s="89">
        <v>23</v>
      </c>
      <c r="J193" s="89">
        <v>0</v>
      </c>
      <c r="K193" s="89" t="s">
        <v>215</v>
      </c>
      <c r="L193" s="315" t="s">
        <v>175</v>
      </c>
      <c r="M193" s="89">
        <v>2</v>
      </c>
      <c r="N193" s="89">
        <v>0</v>
      </c>
      <c r="O193" s="89">
        <v>13</v>
      </c>
      <c r="P193" s="89" t="s">
        <v>237</v>
      </c>
      <c r="Q193" s="89">
        <v>0</v>
      </c>
      <c r="R193" s="89">
        <v>0</v>
      </c>
      <c r="S193" s="89">
        <v>0</v>
      </c>
      <c r="T193" s="89">
        <v>0</v>
      </c>
      <c r="U193" s="89">
        <v>0</v>
      </c>
      <c r="V193" s="89">
        <v>1</v>
      </c>
      <c r="W193" s="89">
        <v>0</v>
      </c>
      <c r="X193" s="89">
        <v>0</v>
      </c>
      <c r="Y193" s="89">
        <v>0</v>
      </c>
      <c r="Z193" s="89">
        <v>1</v>
      </c>
      <c r="AA193" s="89">
        <v>0</v>
      </c>
      <c r="AB193" s="89">
        <v>0</v>
      </c>
      <c r="AC193" s="89">
        <v>0</v>
      </c>
      <c r="AD193" s="89">
        <v>0</v>
      </c>
      <c r="AE193" s="89">
        <v>4</v>
      </c>
      <c r="AF193" s="89">
        <v>17</v>
      </c>
      <c r="AG193" s="89">
        <v>0</v>
      </c>
      <c r="AH193" s="89">
        <v>0</v>
      </c>
      <c r="AI193" s="89">
        <v>0</v>
      </c>
      <c r="AJ193" s="89">
        <v>0</v>
      </c>
    </row>
    <row r="194" spans="1:36" x14ac:dyDescent="0.3">
      <c r="A194" s="311" t="s">
        <v>724</v>
      </c>
      <c r="B194" s="312">
        <v>45996</v>
      </c>
      <c r="C194" s="88" t="s">
        <v>1122</v>
      </c>
      <c r="D194" s="313" t="s">
        <v>1249</v>
      </c>
      <c r="E194" s="88" t="s">
        <v>1098</v>
      </c>
      <c r="F194" s="88" t="s">
        <v>214</v>
      </c>
      <c r="G194" s="314">
        <v>0.1845</v>
      </c>
      <c r="H194" s="89">
        <v>168</v>
      </c>
      <c r="I194" s="89">
        <v>31</v>
      </c>
      <c r="J194" s="89">
        <v>0</v>
      </c>
      <c r="K194" s="89" t="s">
        <v>215</v>
      </c>
      <c r="L194" s="315" t="s">
        <v>50</v>
      </c>
      <c r="M194" s="89">
        <v>0</v>
      </c>
      <c r="N194" s="89">
        <v>3</v>
      </c>
      <c r="O194" s="89">
        <v>25</v>
      </c>
      <c r="P194" s="89" t="s">
        <v>394</v>
      </c>
      <c r="Q194" s="89">
        <v>0</v>
      </c>
      <c r="R194" s="89">
        <v>0</v>
      </c>
      <c r="S194" s="89">
        <v>0</v>
      </c>
      <c r="T194" s="89">
        <v>0</v>
      </c>
      <c r="U194" s="89">
        <v>0</v>
      </c>
      <c r="V194" s="89">
        <v>0</v>
      </c>
      <c r="W194" s="89">
        <v>0</v>
      </c>
      <c r="X194" s="89">
        <v>0</v>
      </c>
      <c r="Y194" s="89">
        <v>0</v>
      </c>
      <c r="Z194" s="89">
        <v>0</v>
      </c>
      <c r="AA194" s="89">
        <v>0</v>
      </c>
      <c r="AB194" s="89">
        <v>0</v>
      </c>
      <c r="AC194" s="89">
        <v>0</v>
      </c>
      <c r="AD194" s="89">
        <v>0</v>
      </c>
      <c r="AE194" s="89">
        <v>14</v>
      </c>
      <c r="AF194" s="89">
        <v>17</v>
      </c>
      <c r="AG194" s="89">
        <v>0</v>
      </c>
      <c r="AH194" s="89">
        <v>0</v>
      </c>
      <c r="AI194" s="89">
        <v>0</v>
      </c>
      <c r="AJ194" s="89">
        <v>0</v>
      </c>
    </row>
    <row r="195" spans="1:36" x14ac:dyDescent="0.3">
      <c r="A195" s="311" t="s">
        <v>724</v>
      </c>
      <c r="B195" s="312">
        <v>45996</v>
      </c>
      <c r="C195" s="88" t="s">
        <v>420</v>
      </c>
      <c r="D195" s="313" t="s">
        <v>735</v>
      </c>
      <c r="E195" s="88" t="s">
        <v>403</v>
      </c>
      <c r="F195" s="88" t="s">
        <v>214</v>
      </c>
      <c r="G195" s="314">
        <v>0.48599999999999999</v>
      </c>
      <c r="H195" s="89">
        <v>179</v>
      </c>
      <c r="I195" s="89">
        <v>87</v>
      </c>
      <c r="J195" s="89">
        <v>45</v>
      </c>
      <c r="K195" s="89" t="s">
        <v>215</v>
      </c>
      <c r="L195" s="315" t="s">
        <v>175</v>
      </c>
      <c r="M195" s="89">
        <v>1</v>
      </c>
      <c r="N195" s="89">
        <v>8</v>
      </c>
      <c r="O195" s="89">
        <v>63</v>
      </c>
      <c r="P195" s="89" t="s">
        <v>277</v>
      </c>
      <c r="Q195" s="89">
        <v>0</v>
      </c>
      <c r="R195" s="89">
        <v>0</v>
      </c>
      <c r="S195" s="89">
        <v>0</v>
      </c>
      <c r="T195" s="89">
        <v>0</v>
      </c>
      <c r="U195" s="89">
        <v>0</v>
      </c>
      <c r="V195" s="89">
        <v>0</v>
      </c>
      <c r="W195" s="89">
        <v>0</v>
      </c>
      <c r="X195" s="89">
        <v>0</v>
      </c>
      <c r="Y195" s="89">
        <v>0</v>
      </c>
      <c r="Z195" s="89">
        <v>2</v>
      </c>
      <c r="AA195" s="89">
        <v>0</v>
      </c>
      <c r="AB195" s="89">
        <v>0</v>
      </c>
      <c r="AC195" s="89">
        <v>0</v>
      </c>
      <c r="AD195" s="89">
        <v>20</v>
      </c>
      <c r="AE195" s="89">
        <v>8</v>
      </c>
      <c r="AF195" s="89">
        <v>12</v>
      </c>
      <c r="AG195" s="89">
        <v>0</v>
      </c>
      <c r="AH195" s="89">
        <v>0</v>
      </c>
      <c r="AI195" s="89">
        <v>45</v>
      </c>
      <c r="AJ195" s="89">
        <v>0</v>
      </c>
    </row>
    <row r="196" spans="1:36" x14ac:dyDescent="0.3">
      <c r="A196" s="311" t="s">
        <v>724</v>
      </c>
      <c r="B196" s="312">
        <v>45996</v>
      </c>
      <c r="C196" s="88" t="s">
        <v>417</v>
      </c>
      <c r="D196" s="313" t="s">
        <v>727</v>
      </c>
      <c r="E196" s="88" t="s">
        <v>403</v>
      </c>
      <c r="F196" s="88" t="s">
        <v>214</v>
      </c>
      <c r="G196" s="314">
        <v>0.1173</v>
      </c>
      <c r="H196" s="89">
        <v>179</v>
      </c>
      <c r="I196" s="89">
        <v>21</v>
      </c>
      <c r="J196" s="89">
        <v>0</v>
      </c>
      <c r="K196" s="89" t="s">
        <v>215</v>
      </c>
      <c r="L196" s="315" t="s">
        <v>50</v>
      </c>
      <c r="M196" s="89">
        <v>0</v>
      </c>
      <c r="N196" s="89">
        <v>1</v>
      </c>
      <c r="O196" s="89">
        <v>2</v>
      </c>
      <c r="P196" s="89" t="s">
        <v>237</v>
      </c>
      <c r="Q196" s="89">
        <v>0</v>
      </c>
      <c r="R196" s="89">
        <v>0</v>
      </c>
      <c r="S196" s="89">
        <v>0</v>
      </c>
      <c r="T196" s="89">
        <v>0</v>
      </c>
      <c r="U196" s="89">
        <v>0</v>
      </c>
      <c r="V196" s="89">
        <v>0</v>
      </c>
      <c r="W196" s="89">
        <v>0</v>
      </c>
      <c r="X196" s="89">
        <v>0</v>
      </c>
      <c r="Y196" s="89">
        <v>0</v>
      </c>
      <c r="Z196" s="89">
        <v>0</v>
      </c>
      <c r="AA196" s="89">
        <v>0</v>
      </c>
      <c r="AB196" s="89">
        <v>0</v>
      </c>
      <c r="AC196" s="89">
        <v>0</v>
      </c>
      <c r="AD196" s="89">
        <v>0</v>
      </c>
      <c r="AE196" s="89">
        <v>11</v>
      </c>
      <c r="AF196" s="89">
        <v>10</v>
      </c>
      <c r="AG196" s="89">
        <v>0</v>
      </c>
      <c r="AH196" s="89">
        <v>0</v>
      </c>
      <c r="AI196" s="89">
        <v>0</v>
      </c>
      <c r="AJ196" s="89">
        <v>0</v>
      </c>
    </row>
    <row r="197" spans="1:36" x14ac:dyDescent="0.3">
      <c r="A197" s="311" t="s">
        <v>724</v>
      </c>
      <c r="B197" s="312">
        <v>45996</v>
      </c>
      <c r="C197" s="88" t="s">
        <v>427</v>
      </c>
      <c r="D197" s="313" t="s">
        <v>729</v>
      </c>
      <c r="E197" s="88" t="s">
        <v>403</v>
      </c>
      <c r="F197" s="88" t="s">
        <v>214</v>
      </c>
      <c r="G197" s="314">
        <v>0.14530000000000001</v>
      </c>
      <c r="H197" s="89">
        <v>179</v>
      </c>
      <c r="I197" s="89">
        <v>26</v>
      </c>
      <c r="J197" s="89">
        <v>0</v>
      </c>
      <c r="K197" s="89" t="s">
        <v>215</v>
      </c>
      <c r="L197" s="315" t="s">
        <v>50</v>
      </c>
      <c r="M197" s="89">
        <v>0</v>
      </c>
      <c r="N197" s="89">
        <v>1</v>
      </c>
      <c r="O197" s="89">
        <v>9</v>
      </c>
      <c r="P197" s="89" t="s">
        <v>263</v>
      </c>
      <c r="Q197" s="89">
        <v>0</v>
      </c>
      <c r="R197" s="89">
        <v>0</v>
      </c>
      <c r="S197" s="89">
        <v>0</v>
      </c>
      <c r="T197" s="89">
        <v>0</v>
      </c>
      <c r="U197" s="89">
        <v>0</v>
      </c>
      <c r="V197" s="89">
        <v>0</v>
      </c>
      <c r="W197" s="89">
        <v>0</v>
      </c>
      <c r="X197" s="89">
        <v>0</v>
      </c>
      <c r="Y197" s="89">
        <v>0</v>
      </c>
      <c r="Z197" s="89">
        <v>0</v>
      </c>
      <c r="AA197" s="89">
        <v>0</v>
      </c>
      <c r="AB197" s="89">
        <v>0</v>
      </c>
      <c r="AC197" s="89">
        <v>0</v>
      </c>
      <c r="AD197" s="89">
        <v>0</v>
      </c>
      <c r="AE197" s="89">
        <v>16</v>
      </c>
      <c r="AF197" s="89">
        <v>10</v>
      </c>
      <c r="AG197" s="89">
        <v>0</v>
      </c>
      <c r="AH197" s="89">
        <v>0</v>
      </c>
      <c r="AI197" s="89">
        <v>0</v>
      </c>
      <c r="AJ197" s="89">
        <v>0</v>
      </c>
    </row>
    <row r="198" spans="1:36" x14ac:dyDescent="0.3">
      <c r="A198" s="311" t="s">
        <v>724</v>
      </c>
      <c r="B198" s="312">
        <v>45996</v>
      </c>
      <c r="C198" s="88" t="s">
        <v>432</v>
      </c>
      <c r="D198" s="313" t="s">
        <v>691</v>
      </c>
      <c r="E198" s="88" t="s">
        <v>403</v>
      </c>
      <c r="F198" s="88" t="s">
        <v>214</v>
      </c>
      <c r="G198" s="314">
        <v>0.3911</v>
      </c>
      <c r="H198" s="89">
        <v>179</v>
      </c>
      <c r="I198" s="89">
        <v>70</v>
      </c>
      <c r="J198" s="89">
        <v>45</v>
      </c>
      <c r="K198" s="89" t="s">
        <v>215</v>
      </c>
      <c r="L198" s="315" t="s">
        <v>590</v>
      </c>
      <c r="M198" s="89">
        <v>0</v>
      </c>
      <c r="N198" s="89">
        <v>0</v>
      </c>
      <c r="O198" s="89">
        <v>3</v>
      </c>
      <c r="P198" s="89" t="s">
        <v>364</v>
      </c>
      <c r="Q198" s="89">
        <v>0</v>
      </c>
      <c r="R198" s="89">
        <v>0</v>
      </c>
      <c r="S198" s="89">
        <v>0</v>
      </c>
      <c r="T198" s="89">
        <v>0</v>
      </c>
      <c r="U198" s="89">
        <v>0</v>
      </c>
      <c r="V198" s="89">
        <v>0</v>
      </c>
      <c r="W198" s="89">
        <v>0</v>
      </c>
      <c r="X198" s="89">
        <v>0</v>
      </c>
      <c r="Y198" s="89">
        <v>0</v>
      </c>
      <c r="Z198" s="89">
        <v>0</v>
      </c>
      <c r="AA198" s="89">
        <v>0</v>
      </c>
      <c r="AB198" s="89">
        <v>0</v>
      </c>
      <c r="AC198" s="89">
        <v>0</v>
      </c>
      <c r="AD198" s="89">
        <v>4</v>
      </c>
      <c r="AE198" s="89">
        <v>10</v>
      </c>
      <c r="AF198" s="89">
        <v>10</v>
      </c>
      <c r="AG198" s="89">
        <v>0</v>
      </c>
      <c r="AH198" s="89">
        <v>0</v>
      </c>
      <c r="AI198" s="89">
        <v>46</v>
      </c>
      <c r="AJ198" s="89">
        <v>0</v>
      </c>
    </row>
    <row r="199" spans="1:36" x14ac:dyDescent="0.3">
      <c r="A199" s="311" t="s">
        <v>724</v>
      </c>
      <c r="B199" s="312">
        <v>45996</v>
      </c>
      <c r="C199" s="88" t="s">
        <v>949</v>
      </c>
      <c r="D199" s="313" t="s">
        <v>1011</v>
      </c>
      <c r="E199" s="88" t="s">
        <v>934</v>
      </c>
      <c r="F199" s="88" t="s">
        <v>214</v>
      </c>
      <c r="G199" s="314">
        <v>0.15479999999999999</v>
      </c>
      <c r="H199" s="89">
        <v>168</v>
      </c>
      <c r="I199" s="89">
        <v>26</v>
      </c>
      <c r="J199" s="89">
        <v>0</v>
      </c>
      <c r="K199" s="89" t="s">
        <v>215</v>
      </c>
      <c r="L199" s="315" t="s">
        <v>175</v>
      </c>
      <c r="M199" s="89">
        <v>1</v>
      </c>
      <c r="N199" s="89">
        <v>0</v>
      </c>
      <c r="O199" s="89">
        <v>5</v>
      </c>
      <c r="P199" s="89" t="s">
        <v>329</v>
      </c>
      <c r="Q199" s="89">
        <v>0</v>
      </c>
      <c r="R199" s="89">
        <v>0</v>
      </c>
      <c r="S199" s="89">
        <v>0</v>
      </c>
      <c r="T199" s="89">
        <v>0</v>
      </c>
      <c r="U199" s="89">
        <v>0</v>
      </c>
      <c r="V199" s="89">
        <v>0</v>
      </c>
      <c r="W199" s="89">
        <v>0</v>
      </c>
      <c r="X199" s="89">
        <v>0</v>
      </c>
      <c r="Y199" s="89">
        <v>1</v>
      </c>
      <c r="Z199" s="89">
        <v>4</v>
      </c>
      <c r="AA199" s="89">
        <v>1</v>
      </c>
      <c r="AB199" s="89">
        <v>0</v>
      </c>
      <c r="AC199" s="89">
        <v>10</v>
      </c>
      <c r="AD199" s="89">
        <v>3</v>
      </c>
      <c r="AE199" s="89">
        <v>2</v>
      </c>
      <c r="AF199" s="89">
        <v>4</v>
      </c>
      <c r="AG199" s="89">
        <v>0</v>
      </c>
      <c r="AH199" s="89">
        <v>0</v>
      </c>
      <c r="AI199" s="89">
        <v>1</v>
      </c>
      <c r="AJ199" s="89">
        <v>0</v>
      </c>
    </row>
    <row r="200" spans="1:36" x14ac:dyDescent="0.3">
      <c r="A200" s="311" t="s">
        <v>724</v>
      </c>
      <c r="B200" s="312">
        <v>45996</v>
      </c>
      <c r="C200" s="88" t="s">
        <v>1414</v>
      </c>
      <c r="D200" s="313" t="s">
        <v>1383</v>
      </c>
      <c r="E200" s="88" t="s">
        <v>1413</v>
      </c>
      <c r="F200" s="88" t="s">
        <v>214</v>
      </c>
      <c r="G200" s="314">
        <v>0.19639999999999999</v>
      </c>
      <c r="H200" s="89">
        <v>168</v>
      </c>
      <c r="I200" s="89">
        <v>33</v>
      </c>
      <c r="J200" s="89">
        <v>0</v>
      </c>
      <c r="K200" s="89" t="s">
        <v>215</v>
      </c>
      <c r="L200" s="315" t="s">
        <v>175</v>
      </c>
      <c r="M200" s="89">
        <v>1</v>
      </c>
      <c r="N200" s="89">
        <v>6</v>
      </c>
      <c r="O200" s="89">
        <v>20</v>
      </c>
      <c r="P200" s="89" t="s">
        <v>237</v>
      </c>
      <c r="Q200" s="89">
        <v>0</v>
      </c>
      <c r="R200" s="89">
        <v>0</v>
      </c>
      <c r="S200" s="89">
        <v>0</v>
      </c>
      <c r="T200" s="89">
        <v>0</v>
      </c>
      <c r="U200" s="89">
        <v>0</v>
      </c>
      <c r="V200" s="89">
        <v>0</v>
      </c>
      <c r="W200" s="89">
        <v>0</v>
      </c>
      <c r="X200" s="89">
        <v>0</v>
      </c>
      <c r="Y200" s="89">
        <v>0</v>
      </c>
      <c r="Z200" s="89">
        <v>0</v>
      </c>
      <c r="AA200" s="89">
        <v>0</v>
      </c>
      <c r="AB200" s="89">
        <v>0</v>
      </c>
      <c r="AC200" s="89">
        <v>0</v>
      </c>
      <c r="AD200" s="89">
        <v>0</v>
      </c>
      <c r="AE200" s="89">
        <v>31</v>
      </c>
      <c r="AF200" s="89">
        <v>2</v>
      </c>
      <c r="AG200" s="89">
        <v>0</v>
      </c>
      <c r="AH200" s="89">
        <v>0</v>
      </c>
      <c r="AI200" s="89">
        <v>0</v>
      </c>
      <c r="AJ200" s="89">
        <v>0</v>
      </c>
    </row>
    <row r="201" spans="1:36" x14ac:dyDescent="0.3">
      <c r="A201" s="311" t="s">
        <v>248</v>
      </c>
      <c r="B201" s="312">
        <v>45997</v>
      </c>
      <c r="C201" s="88" t="s">
        <v>1366</v>
      </c>
      <c r="D201" s="313" t="s">
        <v>1379</v>
      </c>
      <c r="E201" s="88" t="s">
        <v>1357</v>
      </c>
      <c r="F201" s="88" t="s">
        <v>1380</v>
      </c>
      <c r="G201" s="314">
        <v>1.03E-2</v>
      </c>
      <c r="H201" s="89">
        <v>97</v>
      </c>
      <c r="I201" s="89">
        <v>1</v>
      </c>
      <c r="J201" s="89">
        <v>0</v>
      </c>
      <c r="K201" s="89" t="s">
        <v>215</v>
      </c>
      <c r="L201" s="315" t="s">
        <v>1376</v>
      </c>
      <c r="M201" s="89">
        <v>0</v>
      </c>
      <c r="N201" s="89">
        <v>0</v>
      </c>
      <c r="O201" s="89">
        <v>0</v>
      </c>
      <c r="P201" s="89" t="s">
        <v>237</v>
      </c>
      <c r="Q201" s="89">
        <v>0</v>
      </c>
      <c r="R201" s="89">
        <v>0</v>
      </c>
      <c r="S201" s="89">
        <v>0</v>
      </c>
      <c r="T201" s="89">
        <v>0</v>
      </c>
      <c r="U201" s="89">
        <v>0</v>
      </c>
      <c r="V201" s="89">
        <v>0</v>
      </c>
      <c r="W201" s="89">
        <v>0</v>
      </c>
      <c r="X201" s="89">
        <v>0</v>
      </c>
      <c r="Y201" s="89">
        <v>0</v>
      </c>
      <c r="Z201" s="89">
        <v>0</v>
      </c>
      <c r="AA201" s="89">
        <v>0</v>
      </c>
      <c r="AB201" s="89">
        <v>0</v>
      </c>
      <c r="AC201" s="89">
        <v>0</v>
      </c>
      <c r="AD201" s="89">
        <v>0</v>
      </c>
      <c r="AE201" s="89">
        <v>1</v>
      </c>
      <c r="AF201" s="89">
        <v>0</v>
      </c>
      <c r="AG201" s="89">
        <v>0</v>
      </c>
      <c r="AH201" s="89">
        <v>0</v>
      </c>
      <c r="AI201" s="89">
        <v>0</v>
      </c>
      <c r="AJ201" s="89">
        <v>0</v>
      </c>
    </row>
    <row r="202" spans="1:36" x14ac:dyDescent="0.3">
      <c r="A202" s="311" t="s">
        <v>248</v>
      </c>
      <c r="B202" s="312">
        <v>45997</v>
      </c>
      <c r="C202" s="88" t="s">
        <v>1525</v>
      </c>
      <c r="D202" s="313" t="s">
        <v>1537</v>
      </c>
      <c r="E202" s="88" t="s">
        <v>1516</v>
      </c>
      <c r="F202" s="88" t="s">
        <v>214</v>
      </c>
      <c r="G202" s="314">
        <v>0.13100000000000001</v>
      </c>
      <c r="H202" s="89">
        <v>168</v>
      </c>
      <c r="I202" s="89">
        <v>22</v>
      </c>
      <c r="J202" s="89">
        <v>0</v>
      </c>
      <c r="K202" s="89" t="s">
        <v>215</v>
      </c>
      <c r="L202" s="315" t="s">
        <v>175</v>
      </c>
      <c r="M202" s="89">
        <v>1</v>
      </c>
      <c r="N202" s="89">
        <v>0</v>
      </c>
      <c r="O202" s="89">
        <v>8</v>
      </c>
      <c r="P202" s="89" t="s">
        <v>237</v>
      </c>
      <c r="Q202" s="89">
        <v>0</v>
      </c>
      <c r="R202" s="89">
        <v>0</v>
      </c>
      <c r="S202" s="89">
        <v>0</v>
      </c>
      <c r="T202" s="89">
        <v>0</v>
      </c>
      <c r="U202" s="89">
        <v>0</v>
      </c>
      <c r="V202" s="89">
        <v>0</v>
      </c>
      <c r="W202" s="89">
        <v>0</v>
      </c>
      <c r="X202" s="89">
        <v>0</v>
      </c>
      <c r="Y202" s="89">
        <v>0</v>
      </c>
      <c r="Z202" s="89">
        <v>2</v>
      </c>
      <c r="AA202" s="89">
        <v>0</v>
      </c>
      <c r="AB202" s="89">
        <v>0</v>
      </c>
      <c r="AC202" s="89">
        <v>1</v>
      </c>
      <c r="AD202" s="89">
        <v>9</v>
      </c>
      <c r="AE202" s="89">
        <v>10</v>
      </c>
      <c r="AF202" s="89">
        <v>0</v>
      </c>
      <c r="AG202" s="89">
        <v>0</v>
      </c>
      <c r="AH202" s="89">
        <v>0</v>
      </c>
      <c r="AI202" s="89">
        <v>0</v>
      </c>
      <c r="AJ202" s="89">
        <v>0</v>
      </c>
    </row>
    <row r="203" spans="1:36" x14ac:dyDescent="0.3">
      <c r="A203" s="311" t="s">
        <v>248</v>
      </c>
      <c r="B203" s="312">
        <v>45997</v>
      </c>
      <c r="C203" s="88" t="s">
        <v>1295</v>
      </c>
      <c r="D203" s="313" t="s">
        <v>1249</v>
      </c>
      <c r="E203" s="88" t="s">
        <v>1288</v>
      </c>
      <c r="F203" s="88" t="s">
        <v>214</v>
      </c>
      <c r="G203" s="314">
        <v>0.11899999999999999</v>
      </c>
      <c r="H203" s="89">
        <v>168</v>
      </c>
      <c r="I203" s="89">
        <v>20</v>
      </c>
      <c r="J203" s="89">
        <v>0</v>
      </c>
      <c r="K203" s="89" t="s">
        <v>215</v>
      </c>
      <c r="L203" s="315" t="s">
        <v>590</v>
      </c>
      <c r="M203" s="89">
        <v>0</v>
      </c>
      <c r="N203" s="89">
        <v>0</v>
      </c>
      <c r="O203" s="89">
        <v>1</v>
      </c>
      <c r="P203" s="89" t="s">
        <v>353</v>
      </c>
      <c r="Q203" s="89">
        <v>0</v>
      </c>
      <c r="R203" s="89">
        <v>0</v>
      </c>
      <c r="S203" s="89">
        <v>0</v>
      </c>
      <c r="T203" s="89">
        <v>0</v>
      </c>
      <c r="U203" s="89">
        <v>0</v>
      </c>
      <c r="V203" s="89">
        <v>0</v>
      </c>
      <c r="W203" s="89">
        <v>0</v>
      </c>
      <c r="X203" s="89">
        <v>0</v>
      </c>
      <c r="Y203" s="89">
        <v>0</v>
      </c>
      <c r="Z203" s="89">
        <v>1</v>
      </c>
      <c r="AA203" s="89">
        <v>0</v>
      </c>
      <c r="AB203" s="89">
        <v>0</v>
      </c>
      <c r="AC203" s="89">
        <v>0</v>
      </c>
      <c r="AD203" s="89">
        <v>8</v>
      </c>
      <c r="AE203" s="89">
        <v>2</v>
      </c>
      <c r="AF203" s="89">
        <v>9</v>
      </c>
      <c r="AG203" s="89">
        <v>0</v>
      </c>
      <c r="AH203" s="89">
        <v>0</v>
      </c>
      <c r="AI203" s="89">
        <v>0</v>
      </c>
      <c r="AJ203" s="89">
        <v>0</v>
      </c>
    </row>
    <row r="204" spans="1:36" x14ac:dyDescent="0.3">
      <c r="A204" s="311" t="s">
        <v>248</v>
      </c>
      <c r="B204" s="312">
        <v>45997</v>
      </c>
      <c r="C204" s="88" t="s">
        <v>1546</v>
      </c>
      <c r="D204" s="313" t="s">
        <v>1556</v>
      </c>
      <c r="E204" s="88" t="s">
        <v>1543</v>
      </c>
      <c r="F204" s="88" t="s">
        <v>214</v>
      </c>
      <c r="G204" s="314">
        <v>0.1845</v>
      </c>
      <c r="H204" s="89">
        <v>168</v>
      </c>
      <c r="I204" s="89">
        <v>31</v>
      </c>
      <c r="J204" s="89">
        <v>0</v>
      </c>
      <c r="K204" s="89" t="s">
        <v>215</v>
      </c>
      <c r="L204" s="315" t="s">
        <v>50</v>
      </c>
      <c r="M204" s="89">
        <v>0</v>
      </c>
      <c r="N204" s="89">
        <v>2</v>
      </c>
      <c r="O204" s="89">
        <v>6</v>
      </c>
      <c r="P204" s="89" t="s">
        <v>237</v>
      </c>
      <c r="Q204" s="89">
        <v>0</v>
      </c>
      <c r="R204" s="89">
        <v>0</v>
      </c>
      <c r="S204" s="89">
        <v>0</v>
      </c>
      <c r="T204" s="89">
        <v>0</v>
      </c>
      <c r="U204" s="89">
        <v>0</v>
      </c>
      <c r="V204" s="89">
        <v>0</v>
      </c>
      <c r="W204" s="89">
        <v>0</v>
      </c>
      <c r="X204" s="89">
        <v>0</v>
      </c>
      <c r="Y204" s="89">
        <v>0</v>
      </c>
      <c r="Z204" s="89">
        <v>2</v>
      </c>
      <c r="AA204" s="89">
        <v>0</v>
      </c>
      <c r="AB204" s="89">
        <v>0</v>
      </c>
      <c r="AC204" s="89">
        <v>0</v>
      </c>
      <c r="AD204" s="89">
        <v>4</v>
      </c>
      <c r="AE204" s="89">
        <v>25</v>
      </c>
      <c r="AF204" s="89">
        <v>0</v>
      </c>
      <c r="AG204" s="89">
        <v>0</v>
      </c>
      <c r="AH204" s="89">
        <v>0</v>
      </c>
      <c r="AI204" s="89">
        <v>0</v>
      </c>
      <c r="AJ204" s="89">
        <v>0</v>
      </c>
    </row>
    <row r="205" spans="1:36" x14ac:dyDescent="0.3">
      <c r="A205" s="311" t="s">
        <v>248</v>
      </c>
      <c r="B205" s="312">
        <v>45997</v>
      </c>
      <c r="C205" s="88" t="s">
        <v>1426</v>
      </c>
      <c r="D205" s="313" t="s">
        <v>1463</v>
      </c>
      <c r="E205" s="88" t="s">
        <v>1422</v>
      </c>
      <c r="F205" s="88" t="s">
        <v>214</v>
      </c>
      <c r="G205" s="314">
        <v>0.99439999999999995</v>
      </c>
      <c r="H205" s="89">
        <v>179</v>
      </c>
      <c r="I205" s="89">
        <v>178</v>
      </c>
      <c r="J205" s="89">
        <v>169</v>
      </c>
      <c r="K205" s="89" t="s">
        <v>215</v>
      </c>
      <c r="L205" s="315" t="s">
        <v>311</v>
      </c>
      <c r="M205" s="89">
        <v>0</v>
      </c>
      <c r="N205" s="89">
        <v>0</v>
      </c>
      <c r="O205" s="89">
        <v>49</v>
      </c>
      <c r="P205" s="89" t="s">
        <v>64</v>
      </c>
      <c r="Q205" s="89">
        <v>0</v>
      </c>
      <c r="R205" s="89">
        <v>0</v>
      </c>
      <c r="S205" s="89">
        <v>0</v>
      </c>
      <c r="T205" s="89">
        <v>0</v>
      </c>
      <c r="U205" s="89">
        <v>0</v>
      </c>
      <c r="V205" s="89">
        <v>0</v>
      </c>
      <c r="W205" s="89">
        <v>0</v>
      </c>
      <c r="X205" s="89">
        <v>0</v>
      </c>
      <c r="Y205" s="89">
        <v>0</v>
      </c>
      <c r="Z205" s="89">
        <v>2</v>
      </c>
      <c r="AA205" s="89">
        <v>7</v>
      </c>
      <c r="AB205" s="89">
        <v>0</v>
      </c>
      <c r="AC205" s="89">
        <v>0</v>
      </c>
      <c r="AD205" s="89">
        <v>0</v>
      </c>
      <c r="AE205" s="89">
        <v>0</v>
      </c>
      <c r="AF205" s="89">
        <v>0</v>
      </c>
      <c r="AG205" s="89">
        <v>49</v>
      </c>
      <c r="AH205" s="89">
        <v>0</v>
      </c>
      <c r="AI205" s="89">
        <v>120</v>
      </c>
      <c r="AJ205" s="89">
        <v>0</v>
      </c>
    </row>
    <row r="206" spans="1:36" x14ac:dyDescent="0.3">
      <c r="A206" s="311" t="s">
        <v>248</v>
      </c>
      <c r="B206" s="312">
        <v>45997</v>
      </c>
      <c r="C206" s="88" t="s">
        <v>518</v>
      </c>
      <c r="D206" s="313" t="s">
        <v>741</v>
      </c>
      <c r="E206" s="88" t="s">
        <v>403</v>
      </c>
      <c r="F206" s="88" t="s">
        <v>214</v>
      </c>
      <c r="G206" s="314">
        <v>0.3352</v>
      </c>
      <c r="H206" s="89">
        <v>179</v>
      </c>
      <c r="I206" s="89">
        <v>60</v>
      </c>
      <c r="J206" s="89">
        <v>29</v>
      </c>
      <c r="K206" s="89" t="s">
        <v>215</v>
      </c>
      <c r="L206" s="315" t="s">
        <v>50</v>
      </c>
      <c r="M206" s="89">
        <v>0</v>
      </c>
      <c r="N206" s="89">
        <v>1</v>
      </c>
      <c r="O206" s="89">
        <v>12</v>
      </c>
      <c r="P206" s="89" t="s">
        <v>263</v>
      </c>
      <c r="Q206" s="89">
        <v>0</v>
      </c>
      <c r="R206" s="89">
        <v>0</v>
      </c>
      <c r="S206" s="89">
        <v>0</v>
      </c>
      <c r="T206" s="89">
        <v>0</v>
      </c>
      <c r="U206" s="89">
        <v>0</v>
      </c>
      <c r="V206" s="89">
        <v>0</v>
      </c>
      <c r="W206" s="89">
        <v>0</v>
      </c>
      <c r="X206" s="89">
        <v>0</v>
      </c>
      <c r="Y206" s="89">
        <v>0</v>
      </c>
      <c r="Z206" s="89">
        <v>3</v>
      </c>
      <c r="AA206" s="89">
        <v>0</v>
      </c>
      <c r="AB206" s="89">
        <v>0</v>
      </c>
      <c r="AC206" s="89">
        <v>0</v>
      </c>
      <c r="AD206" s="89">
        <v>2</v>
      </c>
      <c r="AE206" s="89">
        <v>16</v>
      </c>
      <c r="AF206" s="89">
        <v>10</v>
      </c>
      <c r="AG206" s="89">
        <v>0</v>
      </c>
      <c r="AH206" s="89">
        <v>0</v>
      </c>
      <c r="AI206" s="89">
        <v>29</v>
      </c>
      <c r="AJ206" s="89">
        <v>0</v>
      </c>
    </row>
    <row r="207" spans="1:36" x14ac:dyDescent="0.3">
      <c r="A207" s="311" t="s">
        <v>248</v>
      </c>
      <c r="B207" s="312">
        <v>45997</v>
      </c>
      <c r="C207" s="88" t="s">
        <v>810</v>
      </c>
      <c r="D207" s="313" t="s">
        <v>911</v>
      </c>
      <c r="E207" s="88" t="s">
        <v>793</v>
      </c>
      <c r="F207" s="88" t="s">
        <v>214</v>
      </c>
      <c r="G207" s="314">
        <v>1</v>
      </c>
      <c r="H207" s="89">
        <v>168</v>
      </c>
      <c r="I207" s="89">
        <v>168</v>
      </c>
      <c r="J207" s="89">
        <v>135</v>
      </c>
      <c r="K207" s="89" t="s">
        <v>215</v>
      </c>
      <c r="L207" s="315" t="s">
        <v>378</v>
      </c>
      <c r="M207" s="89">
        <v>0</v>
      </c>
      <c r="N207" s="89">
        <v>0</v>
      </c>
      <c r="O207" s="89">
        <v>6</v>
      </c>
      <c r="P207" s="89" t="s">
        <v>64</v>
      </c>
      <c r="Q207" s="89">
        <v>0</v>
      </c>
      <c r="R207" s="89">
        <v>0</v>
      </c>
      <c r="S207" s="89">
        <v>0</v>
      </c>
      <c r="T207" s="89">
        <v>0</v>
      </c>
      <c r="U207" s="89">
        <v>0</v>
      </c>
      <c r="V207" s="89">
        <v>0</v>
      </c>
      <c r="W207" s="89">
        <v>0</v>
      </c>
      <c r="X207" s="89">
        <v>1</v>
      </c>
      <c r="Y207" s="89">
        <v>0</v>
      </c>
      <c r="Z207" s="89">
        <v>2</v>
      </c>
      <c r="AA207" s="89">
        <v>0</v>
      </c>
      <c r="AB207" s="89">
        <v>0</v>
      </c>
      <c r="AC207" s="89">
        <v>5</v>
      </c>
      <c r="AD207" s="89">
        <v>11</v>
      </c>
      <c r="AE207" s="89">
        <v>10</v>
      </c>
      <c r="AF207" s="89">
        <v>0</v>
      </c>
      <c r="AG207" s="89">
        <v>0</v>
      </c>
      <c r="AH207" s="89">
        <v>0</v>
      </c>
      <c r="AI207" s="89">
        <v>135</v>
      </c>
      <c r="AJ207" s="89">
        <v>4</v>
      </c>
    </row>
    <row r="208" spans="1:36" x14ac:dyDescent="0.3">
      <c r="A208" s="311" t="s">
        <v>248</v>
      </c>
      <c r="B208" s="312">
        <v>45997</v>
      </c>
      <c r="C208" s="88" t="s">
        <v>935</v>
      </c>
      <c r="D208" s="313" t="s">
        <v>1027</v>
      </c>
      <c r="E208" s="88" t="s">
        <v>934</v>
      </c>
      <c r="F208" s="88" t="s">
        <v>214</v>
      </c>
      <c r="G208" s="314">
        <v>0.58330000000000004</v>
      </c>
      <c r="H208" s="89">
        <v>168</v>
      </c>
      <c r="I208" s="89">
        <v>98</v>
      </c>
      <c r="J208" s="89">
        <v>84</v>
      </c>
      <c r="K208" s="89" t="s">
        <v>215</v>
      </c>
      <c r="L208" s="315" t="s">
        <v>50</v>
      </c>
      <c r="M208" s="89">
        <v>0</v>
      </c>
      <c r="N208" s="89">
        <v>2</v>
      </c>
      <c r="O208" s="89">
        <v>9</v>
      </c>
      <c r="P208" s="89" t="s">
        <v>282</v>
      </c>
      <c r="Q208" s="89">
        <v>0</v>
      </c>
      <c r="R208" s="89">
        <v>0</v>
      </c>
      <c r="S208" s="89">
        <v>0</v>
      </c>
      <c r="T208" s="89">
        <v>0</v>
      </c>
      <c r="U208" s="89">
        <v>0</v>
      </c>
      <c r="V208" s="89">
        <v>0</v>
      </c>
      <c r="W208" s="89">
        <v>0</v>
      </c>
      <c r="X208" s="89">
        <v>0</v>
      </c>
      <c r="Y208" s="89">
        <v>0</v>
      </c>
      <c r="Z208" s="89">
        <v>2</v>
      </c>
      <c r="AA208" s="89">
        <v>0</v>
      </c>
      <c r="AB208" s="89">
        <v>0</v>
      </c>
      <c r="AC208" s="89">
        <v>0</v>
      </c>
      <c r="AD208" s="89">
        <v>12</v>
      </c>
      <c r="AE208" s="89">
        <v>0</v>
      </c>
      <c r="AF208" s="89">
        <v>0</v>
      </c>
      <c r="AG208" s="89">
        <v>0</v>
      </c>
      <c r="AH208" s="89">
        <v>0</v>
      </c>
      <c r="AI208" s="89">
        <v>84</v>
      </c>
      <c r="AJ208" s="89">
        <v>0</v>
      </c>
    </row>
    <row r="209" spans="1:36" x14ac:dyDescent="0.3">
      <c r="A209" s="311" t="s">
        <v>248</v>
      </c>
      <c r="B209" s="312">
        <v>45997</v>
      </c>
      <c r="C209" s="88" t="s">
        <v>938</v>
      </c>
      <c r="D209" s="313" t="s">
        <v>914</v>
      </c>
      <c r="E209" s="88" t="s">
        <v>934</v>
      </c>
      <c r="F209" s="88" t="s">
        <v>214</v>
      </c>
      <c r="G209" s="314">
        <v>0.85709999999999997</v>
      </c>
      <c r="H209" s="89">
        <v>168</v>
      </c>
      <c r="I209" s="89">
        <v>144</v>
      </c>
      <c r="J209" s="89">
        <v>125</v>
      </c>
      <c r="K209" s="89" t="s">
        <v>215</v>
      </c>
      <c r="L209" s="315" t="s">
        <v>50</v>
      </c>
      <c r="M209" s="89">
        <v>0</v>
      </c>
      <c r="N209" s="89">
        <v>1</v>
      </c>
      <c r="O209" s="89">
        <v>50</v>
      </c>
      <c r="P209" s="89" t="s">
        <v>329</v>
      </c>
      <c r="Q209" s="89">
        <v>0</v>
      </c>
      <c r="R209" s="89">
        <v>0</v>
      </c>
      <c r="S209" s="89">
        <v>0</v>
      </c>
      <c r="T209" s="89">
        <v>0</v>
      </c>
      <c r="U209" s="89">
        <v>0</v>
      </c>
      <c r="V209" s="89">
        <v>0</v>
      </c>
      <c r="W209" s="89">
        <v>0</v>
      </c>
      <c r="X209" s="89">
        <v>0</v>
      </c>
      <c r="Y209" s="89">
        <v>0</v>
      </c>
      <c r="Z209" s="89">
        <v>0</v>
      </c>
      <c r="AA209" s="89">
        <v>0</v>
      </c>
      <c r="AB209" s="89">
        <v>0</v>
      </c>
      <c r="AC209" s="89">
        <v>0</v>
      </c>
      <c r="AD209" s="89">
        <v>18</v>
      </c>
      <c r="AE209" s="89">
        <v>0</v>
      </c>
      <c r="AF209" s="89">
        <v>1</v>
      </c>
      <c r="AG209" s="89">
        <v>0</v>
      </c>
      <c r="AH209" s="89">
        <v>0</v>
      </c>
      <c r="AI209" s="89">
        <v>125</v>
      </c>
      <c r="AJ209" s="89">
        <v>0</v>
      </c>
    </row>
    <row r="210" spans="1:36" x14ac:dyDescent="0.3">
      <c r="A210" s="311" t="s">
        <v>248</v>
      </c>
      <c r="B210" s="312">
        <v>45997</v>
      </c>
      <c r="C210" s="88" t="s">
        <v>822</v>
      </c>
      <c r="D210" s="313" t="s">
        <v>729</v>
      </c>
      <c r="E210" s="88" t="s">
        <v>793</v>
      </c>
      <c r="F210" s="88" t="s">
        <v>214</v>
      </c>
      <c r="G210" s="314">
        <v>0.99399999999999999</v>
      </c>
      <c r="H210" s="89">
        <v>168</v>
      </c>
      <c r="I210" s="89">
        <v>167</v>
      </c>
      <c r="J210" s="89">
        <v>142</v>
      </c>
      <c r="K210" s="89" t="s">
        <v>215</v>
      </c>
      <c r="L210" s="315" t="s">
        <v>311</v>
      </c>
      <c r="M210" s="89">
        <v>0</v>
      </c>
      <c r="N210" s="89">
        <v>0</v>
      </c>
      <c r="O210" s="89">
        <v>8</v>
      </c>
      <c r="P210" s="89" t="s">
        <v>279</v>
      </c>
      <c r="Q210" s="89">
        <v>0</v>
      </c>
      <c r="R210" s="89">
        <v>0</v>
      </c>
      <c r="S210" s="89">
        <v>0</v>
      </c>
      <c r="T210" s="89">
        <v>0</v>
      </c>
      <c r="U210" s="89">
        <v>0</v>
      </c>
      <c r="V210" s="89">
        <v>0</v>
      </c>
      <c r="W210" s="89">
        <v>0</v>
      </c>
      <c r="X210" s="89">
        <v>0</v>
      </c>
      <c r="Y210" s="89">
        <v>0</v>
      </c>
      <c r="Z210" s="89">
        <v>3</v>
      </c>
      <c r="AA210" s="89">
        <v>0</v>
      </c>
      <c r="AB210" s="89">
        <v>0</v>
      </c>
      <c r="AC210" s="89">
        <v>1</v>
      </c>
      <c r="AD210" s="89">
        <v>11</v>
      </c>
      <c r="AE210" s="89">
        <v>10</v>
      </c>
      <c r="AF210" s="89">
        <v>0</v>
      </c>
      <c r="AG210" s="89">
        <v>0</v>
      </c>
      <c r="AH210" s="89">
        <v>0</v>
      </c>
      <c r="AI210" s="89">
        <v>142</v>
      </c>
      <c r="AJ210" s="89">
        <v>0</v>
      </c>
    </row>
    <row r="211" spans="1:36" x14ac:dyDescent="0.3">
      <c r="A211" s="311" t="s">
        <v>248</v>
      </c>
      <c r="B211" s="312">
        <v>45997</v>
      </c>
      <c r="C211" s="88" t="s">
        <v>1155</v>
      </c>
      <c r="D211" s="313" t="s">
        <v>1246</v>
      </c>
      <c r="E211" s="88" t="s">
        <v>1098</v>
      </c>
      <c r="F211" s="88" t="s">
        <v>214</v>
      </c>
      <c r="G211" s="314">
        <v>5.9499999999999997E-2</v>
      </c>
      <c r="H211" s="89">
        <v>168</v>
      </c>
      <c r="I211" s="89">
        <v>10</v>
      </c>
      <c r="J211" s="89">
        <v>0</v>
      </c>
      <c r="K211" s="89" t="s">
        <v>215</v>
      </c>
      <c r="L211" s="315" t="s">
        <v>311</v>
      </c>
      <c r="M211" s="89">
        <v>0</v>
      </c>
      <c r="N211" s="89">
        <v>0</v>
      </c>
      <c r="O211" s="89">
        <v>2</v>
      </c>
      <c r="P211" s="89" t="s">
        <v>353</v>
      </c>
      <c r="Q211" s="89">
        <v>0</v>
      </c>
      <c r="R211" s="89">
        <v>0</v>
      </c>
      <c r="S211" s="89">
        <v>0</v>
      </c>
      <c r="T211" s="89">
        <v>0</v>
      </c>
      <c r="U211" s="89">
        <v>0</v>
      </c>
      <c r="V211" s="89">
        <v>1</v>
      </c>
      <c r="W211" s="89">
        <v>0</v>
      </c>
      <c r="X211" s="89">
        <v>0</v>
      </c>
      <c r="Y211" s="89">
        <v>0</v>
      </c>
      <c r="Z211" s="89">
        <v>0</v>
      </c>
      <c r="AA211" s="89">
        <v>0</v>
      </c>
      <c r="AB211" s="89">
        <v>0</v>
      </c>
      <c r="AC211" s="89">
        <v>0</v>
      </c>
      <c r="AD211" s="89">
        <v>0</v>
      </c>
      <c r="AE211" s="89">
        <v>0</v>
      </c>
      <c r="AF211" s="89">
        <v>9</v>
      </c>
      <c r="AG211" s="89">
        <v>0</v>
      </c>
      <c r="AH211" s="89">
        <v>0</v>
      </c>
      <c r="AI211" s="89">
        <v>0</v>
      </c>
      <c r="AJ211" s="89">
        <v>0</v>
      </c>
    </row>
    <row r="212" spans="1:36" x14ac:dyDescent="0.3">
      <c r="A212" s="311" t="s">
        <v>248</v>
      </c>
      <c r="B212" s="312">
        <v>45997</v>
      </c>
      <c r="C212" s="88" t="s">
        <v>417</v>
      </c>
      <c r="D212" s="313" t="s">
        <v>717</v>
      </c>
      <c r="E212" s="88" t="s">
        <v>403</v>
      </c>
      <c r="F212" s="88" t="s">
        <v>214</v>
      </c>
      <c r="G212" s="314">
        <v>0.86029999999999995</v>
      </c>
      <c r="H212" s="89">
        <v>179</v>
      </c>
      <c r="I212" s="89">
        <v>154</v>
      </c>
      <c r="J212" s="89">
        <v>113</v>
      </c>
      <c r="K212" s="89" t="s">
        <v>215</v>
      </c>
      <c r="L212" s="315" t="s">
        <v>175</v>
      </c>
      <c r="M212" s="89">
        <v>1</v>
      </c>
      <c r="N212" s="89">
        <v>4</v>
      </c>
      <c r="O212" s="89">
        <v>34</v>
      </c>
      <c r="P212" s="89" t="s">
        <v>643</v>
      </c>
      <c r="Q212" s="89">
        <v>0</v>
      </c>
      <c r="R212" s="89">
        <v>0</v>
      </c>
      <c r="S212" s="89">
        <v>0</v>
      </c>
      <c r="T212" s="89">
        <v>0</v>
      </c>
      <c r="U212" s="89">
        <v>0</v>
      </c>
      <c r="V212" s="89">
        <v>0</v>
      </c>
      <c r="W212" s="89">
        <v>0</v>
      </c>
      <c r="X212" s="89">
        <v>0</v>
      </c>
      <c r="Y212" s="89">
        <v>0</v>
      </c>
      <c r="Z212" s="89">
        <v>1</v>
      </c>
      <c r="AA212" s="89">
        <v>0</v>
      </c>
      <c r="AB212" s="89">
        <v>0</v>
      </c>
      <c r="AC212" s="89">
        <v>1</v>
      </c>
      <c r="AD212" s="89">
        <v>9</v>
      </c>
      <c r="AE212" s="89">
        <v>20</v>
      </c>
      <c r="AF212" s="89">
        <v>10</v>
      </c>
      <c r="AG212" s="89">
        <v>0</v>
      </c>
      <c r="AH212" s="89">
        <v>0</v>
      </c>
      <c r="AI212" s="89">
        <v>113</v>
      </c>
      <c r="AJ212" s="89">
        <v>0</v>
      </c>
    </row>
    <row r="213" spans="1:36" x14ac:dyDescent="0.3">
      <c r="A213" s="311" t="s">
        <v>248</v>
      </c>
      <c r="B213" s="312">
        <v>45997</v>
      </c>
      <c r="C213" s="88" t="s">
        <v>427</v>
      </c>
      <c r="D213" s="313" t="s">
        <v>747</v>
      </c>
      <c r="E213" s="88" t="s">
        <v>403</v>
      </c>
      <c r="F213" s="88" t="s">
        <v>214</v>
      </c>
      <c r="G213" s="314">
        <v>1.0223</v>
      </c>
      <c r="H213" s="89">
        <v>179</v>
      </c>
      <c r="I213" s="89">
        <v>183</v>
      </c>
      <c r="J213" s="89">
        <v>178</v>
      </c>
      <c r="K213" s="89" t="s">
        <v>215</v>
      </c>
      <c r="L213" s="315" t="s">
        <v>433</v>
      </c>
      <c r="M213" s="89">
        <v>0</v>
      </c>
      <c r="N213" s="89">
        <v>0</v>
      </c>
      <c r="O213" s="89">
        <v>46</v>
      </c>
      <c r="P213" s="89" t="s">
        <v>64</v>
      </c>
      <c r="Q213" s="89">
        <v>0</v>
      </c>
      <c r="R213" s="89">
        <v>0</v>
      </c>
      <c r="S213" s="89">
        <v>0</v>
      </c>
      <c r="T213" s="89">
        <v>0</v>
      </c>
      <c r="U213" s="89">
        <v>0</v>
      </c>
      <c r="V213" s="89">
        <v>0</v>
      </c>
      <c r="W213" s="89">
        <v>0</v>
      </c>
      <c r="X213" s="89">
        <v>0</v>
      </c>
      <c r="Y213" s="89">
        <v>0</v>
      </c>
      <c r="Z213" s="89">
        <v>0</v>
      </c>
      <c r="AA213" s="89">
        <v>0</v>
      </c>
      <c r="AB213" s="89">
        <v>0</v>
      </c>
      <c r="AC213" s="89">
        <v>0</v>
      </c>
      <c r="AD213" s="89">
        <v>0</v>
      </c>
      <c r="AE213" s="89">
        <v>0</v>
      </c>
      <c r="AF213" s="89">
        <v>5</v>
      </c>
      <c r="AG213" s="89">
        <v>45</v>
      </c>
      <c r="AH213" s="89">
        <v>0</v>
      </c>
      <c r="AI213" s="89">
        <v>130</v>
      </c>
      <c r="AJ213" s="89">
        <v>3</v>
      </c>
    </row>
    <row r="214" spans="1:36" x14ac:dyDescent="0.3">
      <c r="A214" s="311" t="s">
        <v>248</v>
      </c>
      <c r="B214" s="312">
        <v>45997</v>
      </c>
      <c r="C214" s="88" t="s">
        <v>49</v>
      </c>
      <c r="D214" s="313" t="s">
        <v>386</v>
      </c>
      <c r="E214" s="88" t="s">
        <v>358</v>
      </c>
      <c r="F214" s="88" t="s">
        <v>214</v>
      </c>
      <c r="G214" s="314">
        <v>0.16070000000000001</v>
      </c>
      <c r="H214" s="89">
        <v>168</v>
      </c>
      <c r="I214" s="89">
        <v>27</v>
      </c>
      <c r="J214" s="89">
        <v>0</v>
      </c>
      <c r="K214" s="89" t="s">
        <v>215</v>
      </c>
      <c r="L214" s="315" t="s">
        <v>175</v>
      </c>
      <c r="M214" s="89">
        <v>1</v>
      </c>
      <c r="N214" s="89">
        <v>3</v>
      </c>
      <c r="O214" s="89">
        <v>15</v>
      </c>
      <c r="P214" s="89" t="s">
        <v>375</v>
      </c>
      <c r="Q214" s="89">
        <v>0</v>
      </c>
      <c r="R214" s="89">
        <v>0</v>
      </c>
      <c r="S214" s="89">
        <v>0</v>
      </c>
      <c r="T214" s="89">
        <v>0</v>
      </c>
      <c r="U214" s="89">
        <v>0</v>
      </c>
      <c r="V214" s="89">
        <v>0</v>
      </c>
      <c r="W214" s="89">
        <v>0</v>
      </c>
      <c r="X214" s="89">
        <v>0</v>
      </c>
      <c r="Y214" s="89">
        <v>0</v>
      </c>
      <c r="Z214" s="89">
        <v>0</v>
      </c>
      <c r="AA214" s="89">
        <v>0</v>
      </c>
      <c r="AB214" s="89">
        <v>0</v>
      </c>
      <c r="AC214" s="89">
        <v>1</v>
      </c>
      <c r="AD214" s="89">
        <v>1</v>
      </c>
      <c r="AE214" s="89">
        <v>6</v>
      </c>
      <c r="AF214" s="89">
        <v>19</v>
      </c>
      <c r="AG214" s="89">
        <v>0</v>
      </c>
      <c r="AH214" s="89">
        <v>0</v>
      </c>
      <c r="AI214" s="89">
        <v>0</v>
      </c>
      <c r="AJ214" s="89">
        <v>0</v>
      </c>
    </row>
    <row r="215" spans="1:36" x14ac:dyDescent="0.3">
      <c r="A215" s="311" t="s">
        <v>248</v>
      </c>
      <c r="B215" s="312">
        <v>45997</v>
      </c>
      <c r="C215" s="88" t="s">
        <v>949</v>
      </c>
      <c r="D215" s="313" t="s">
        <v>1013</v>
      </c>
      <c r="E215" s="88" t="s">
        <v>934</v>
      </c>
      <c r="F215" s="88" t="s">
        <v>214</v>
      </c>
      <c r="G215" s="314">
        <v>0.48209999999999997</v>
      </c>
      <c r="H215" s="89">
        <v>168</v>
      </c>
      <c r="I215" s="89">
        <v>81</v>
      </c>
      <c r="J215" s="89">
        <v>70</v>
      </c>
      <c r="K215" s="89" t="s">
        <v>215</v>
      </c>
      <c r="L215" s="315" t="s">
        <v>986</v>
      </c>
      <c r="M215" s="89">
        <v>0</v>
      </c>
      <c r="N215" s="89">
        <v>0</v>
      </c>
      <c r="O215" s="89">
        <v>0</v>
      </c>
      <c r="P215" s="89" t="s">
        <v>364</v>
      </c>
      <c r="Q215" s="89">
        <v>0</v>
      </c>
      <c r="R215" s="89">
        <v>0</v>
      </c>
      <c r="S215" s="89">
        <v>0</v>
      </c>
      <c r="T215" s="89">
        <v>0</v>
      </c>
      <c r="U215" s="89">
        <v>0</v>
      </c>
      <c r="V215" s="89">
        <v>0</v>
      </c>
      <c r="W215" s="89">
        <v>0</v>
      </c>
      <c r="X215" s="89">
        <v>0</v>
      </c>
      <c r="Y215" s="89">
        <v>0</v>
      </c>
      <c r="Z215" s="89">
        <v>2</v>
      </c>
      <c r="AA215" s="89">
        <v>0</v>
      </c>
      <c r="AB215" s="89">
        <v>0</v>
      </c>
      <c r="AC215" s="89">
        <v>0</v>
      </c>
      <c r="AD215" s="89">
        <v>3</v>
      </c>
      <c r="AE215" s="89">
        <v>2</v>
      </c>
      <c r="AF215" s="89">
        <v>4</v>
      </c>
      <c r="AG215" s="89">
        <v>0</v>
      </c>
      <c r="AH215" s="89">
        <v>0</v>
      </c>
      <c r="AI215" s="89">
        <v>70</v>
      </c>
      <c r="AJ215" s="89">
        <v>0</v>
      </c>
    </row>
    <row r="216" spans="1:36" x14ac:dyDescent="0.3">
      <c r="A216" s="311" t="s">
        <v>248</v>
      </c>
      <c r="B216" s="312">
        <v>45997</v>
      </c>
      <c r="C216" s="88" t="s">
        <v>60</v>
      </c>
      <c r="D216" s="313" t="s">
        <v>249</v>
      </c>
      <c r="E216" s="88" t="s">
        <v>1</v>
      </c>
      <c r="F216" s="88" t="s">
        <v>214</v>
      </c>
      <c r="G216" s="314">
        <v>1.0417000000000001</v>
      </c>
      <c r="H216" s="89">
        <v>168</v>
      </c>
      <c r="I216" s="89">
        <v>175</v>
      </c>
      <c r="J216" s="89">
        <v>137</v>
      </c>
      <c r="K216" s="89" t="s">
        <v>215</v>
      </c>
      <c r="L216" s="315" t="s">
        <v>63</v>
      </c>
      <c r="M216" s="89">
        <v>0</v>
      </c>
      <c r="N216" s="89">
        <v>0</v>
      </c>
      <c r="O216" s="89">
        <v>13</v>
      </c>
      <c r="P216" s="89" t="s">
        <v>64</v>
      </c>
      <c r="Q216" s="89">
        <v>0</v>
      </c>
      <c r="R216" s="89">
        <v>0</v>
      </c>
      <c r="S216" s="89">
        <v>0</v>
      </c>
      <c r="T216" s="89">
        <v>0</v>
      </c>
      <c r="U216" s="89">
        <v>0</v>
      </c>
      <c r="V216" s="89">
        <v>0</v>
      </c>
      <c r="W216" s="89">
        <v>0</v>
      </c>
      <c r="X216" s="89">
        <v>0</v>
      </c>
      <c r="Y216" s="89">
        <v>0</v>
      </c>
      <c r="Z216" s="89">
        <v>1</v>
      </c>
      <c r="AA216" s="89">
        <v>0</v>
      </c>
      <c r="AB216" s="89">
        <v>0</v>
      </c>
      <c r="AC216" s="89">
        <v>1</v>
      </c>
      <c r="AD216" s="89">
        <v>8</v>
      </c>
      <c r="AE216" s="89">
        <v>9</v>
      </c>
      <c r="AF216" s="89">
        <v>17</v>
      </c>
      <c r="AG216" s="89">
        <v>0</v>
      </c>
      <c r="AH216" s="89">
        <v>0</v>
      </c>
      <c r="AI216" s="89">
        <v>137</v>
      </c>
      <c r="AJ216" s="89">
        <v>2</v>
      </c>
    </row>
    <row r="217" spans="1:36" x14ac:dyDescent="0.3">
      <c r="A217" s="311" t="s">
        <v>248</v>
      </c>
      <c r="B217" s="312">
        <v>45997</v>
      </c>
      <c r="C217" s="88" t="s">
        <v>1395</v>
      </c>
      <c r="D217" s="313" t="s">
        <v>1378</v>
      </c>
      <c r="E217" s="88" t="s">
        <v>1393</v>
      </c>
      <c r="F217" s="88" t="s">
        <v>214</v>
      </c>
      <c r="G217" s="314">
        <v>5.3600000000000002E-2</v>
      </c>
      <c r="H217" s="89">
        <v>168</v>
      </c>
      <c r="I217" s="89">
        <v>9</v>
      </c>
      <c r="J217" s="89">
        <v>0</v>
      </c>
      <c r="K217" s="89" t="s">
        <v>215</v>
      </c>
      <c r="L217" s="315" t="s">
        <v>63</v>
      </c>
      <c r="M217" s="89">
        <v>0</v>
      </c>
      <c r="N217" s="89">
        <v>0</v>
      </c>
      <c r="O217" s="89">
        <v>4</v>
      </c>
      <c r="P217" s="89" t="s">
        <v>237</v>
      </c>
      <c r="Q217" s="89">
        <v>0</v>
      </c>
      <c r="R217" s="89">
        <v>0</v>
      </c>
      <c r="S217" s="89">
        <v>0</v>
      </c>
      <c r="T217" s="89">
        <v>0</v>
      </c>
      <c r="U217" s="89">
        <v>0</v>
      </c>
      <c r="V217" s="89">
        <v>0</v>
      </c>
      <c r="W217" s="89">
        <v>0</v>
      </c>
      <c r="X217" s="89">
        <v>0</v>
      </c>
      <c r="Y217" s="89">
        <v>0</v>
      </c>
      <c r="Z217" s="89">
        <v>0</v>
      </c>
      <c r="AA217" s="89">
        <v>0</v>
      </c>
      <c r="AB217" s="89">
        <v>0</v>
      </c>
      <c r="AC217" s="89">
        <v>0</v>
      </c>
      <c r="AD217" s="89">
        <v>0</v>
      </c>
      <c r="AE217" s="89">
        <v>6</v>
      </c>
      <c r="AF217" s="89">
        <v>3</v>
      </c>
      <c r="AG217" s="89">
        <v>0</v>
      </c>
      <c r="AH217" s="89">
        <v>0</v>
      </c>
      <c r="AI217" s="89">
        <v>0</v>
      </c>
      <c r="AJ217" s="89">
        <v>0</v>
      </c>
    </row>
    <row r="218" spans="1:36" x14ac:dyDescent="0.3">
      <c r="A218" s="311" t="s">
        <v>254</v>
      </c>
      <c r="B218" s="312">
        <v>45998</v>
      </c>
      <c r="C218" s="88" t="s">
        <v>1565</v>
      </c>
      <c r="D218" s="313" t="s">
        <v>1554</v>
      </c>
      <c r="E218" s="88" t="s">
        <v>1559</v>
      </c>
      <c r="F218" s="88" t="s">
        <v>214</v>
      </c>
      <c r="G218" s="314">
        <v>5.9499999999999997E-2</v>
      </c>
      <c r="H218" s="89">
        <v>168</v>
      </c>
      <c r="I218" s="89">
        <v>10</v>
      </c>
      <c r="J218" s="89">
        <v>0</v>
      </c>
      <c r="K218" s="89" t="s">
        <v>215</v>
      </c>
      <c r="L218" s="315" t="s">
        <v>63</v>
      </c>
      <c r="M218" s="89">
        <v>0</v>
      </c>
      <c r="N218" s="89">
        <v>0</v>
      </c>
      <c r="O218" s="89">
        <v>4</v>
      </c>
      <c r="P218" s="89" t="s">
        <v>364</v>
      </c>
      <c r="Q218" s="89">
        <v>0</v>
      </c>
      <c r="R218" s="89">
        <v>0</v>
      </c>
      <c r="S218" s="89">
        <v>0</v>
      </c>
      <c r="T218" s="89">
        <v>0</v>
      </c>
      <c r="U218" s="89">
        <v>0</v>
      </c>
      <c r="V218" s="89">
        <v>0</v>
      </c>
      <c r="W218" s="89">
        <v>0</v>
      </c>
      <c r="X218" s="89">
        <v>0</v>
      </c>
      <c r="Y218" s="89">
        <v>0</v>
      </c>
      <c r="Z218" s="89">
        <v>2</v>
      </c>
      <c r="AA218" s="89">
        <v>0</v>
      </c>
      <c r="AB218" s="89">
        <v>0</v>
      </c>
      <c r="AC218" s="89">
        <v>0</v>
      </c>
      <c r="AD218" s="89">
        <v>5</v>
      </c>
      <c r="AE218" s="89">
        <v>3</v>
      </c>
      <c r="AF218" s="89">
        <v>0</v>
      </c>
      <c r="AG218" s="89">
        <v>0</v>
      </c>
      <c r="AH218" s="89">
        <v>0</v>
      </c>
      <c r="AI218" s="89">
        <v>0</v>
      </c>
      <c r="AJ218" s="89">
        <v>0</v>
      </c>
    </row>
    <row r="219" spans="1:36" x14ac:dyDescent="0.3">
      <c r="A219" s="311" t="s">
        <v>254</v>
      </c>
      <c r="B219" s="312">
        <v>45998</v>
      </c>
      <c r="C219" s="88" t="s">
        <v>423</v>
      </c>
      <c r="D219" s="313" t="s">
        <v>751</v>
      </c>
      <c r="E219" s="88" t="s">
        <v>403</v>
      </c>
      <c r="F219" s="88" t="s">
        <v>214</v>
      </c>
      <c r="G219" s="314">
        <v>0.48599999999999999</v>
      </c>
      <c r="H219" s="89">
        <v>179</v>
      </c>
      <c r="I219" s="89">
        <v>87</v>
      </c>
      <c r="J219" s="89">
        <v>61</v>
      </c>
      <c r="K219" s="89" t="s">
        <v>215</v>
      </c>
      <c r="L219" s="315" t="s">
        <v>175</v>
      </c>
      <c r="M219" s="89">
        <v>1</v>
      </c>
      <c r="N219" s="89">
        <v>1</v>
      </c>
      <c r="O219" s="89">
        <v>7</v>
      </c>
      <c r="P219" s="89" t="s">
        <v>237</v>
      </c>
      <c r="Q219" s="89">
        <v>0</v>
      </c>
      <c r="R219" s="89">
        <v>0</v>
      </c>
      <c r="S219" s="89">
        <v>0</v>
      </c>
      <c r="T219" s="89">
        <v>0</v>
      </c>
      <c r="U219" s="89">
        <v>0</v>
      </c>
      <c r="V219" s="89">
        <v>0</v>
      </c>
      <c r="W219" s="89">
        <v>0</v>
      </c>
      <c r="X219" s="89">
        <v>0</v>
      </c>
      <c r="Y219" s="89">
        <v>0</v>
      </c>
      <c r="Z219" s="89">
        <v>0</v>
      </c>
      <c r="AA219" s="89">
        <v>0</v>
      </c>
      <c r="AB219" s="89">
        <v>0</v>
      </c>
      <c r="AC219" s="89">
        <v>5</v>
      </c>
      <c r="AD219" s="89">
        <v>1</v>
      </c>
      <c r="AE219" s="89">
        <v>10</v>
      </c>
      <c r="AF219" s="89">
        <v>10</v>
      </c>
      <c r="AG219" s="89">
        <v>25</v>
      </c>
      <c r="AH219" s="89">
        <v>0</v>
      </c>
      <c r="AI219" s="89">
        <v>36</v>
      </c>
      <c r="AJ219" s="89">
        <v>0</v>
      </c>
    </row>
    <row r="220" spans="1:36" x14ac:dyDescent="0.3">
      <c r="A220" s="311" t="s">
        <v>254</v>
      </c>
      <c r="B220" s="312">
        <v>45998</v>
      </c>
      <c r="C220" s="88" t="s">
        <v>1525</v>
      </c>
      <c r="D220" s="313" t="s">
        <v>1536</v>
      </c>
      <c r="E220" s="88" t="s">
        <v>1516</v>
      </c>
      <c r="F220" s="88" t="s">
        <v>214</v>
      </c>
      <c r="G220" s="314">
        <v>0.25600000000000001</v>
      </c>
      <c r="H220" s="89">
        <v>168</v>
      </c>
      <c r="I220" s="89">
        <v>43</v>
      </c>
      <c r="J220" s="89">
        <v>0</v>
      </c>
      <c r="K220" s="89" t="s">
        <v>215</v>
      </c>
      <c r="L220" s="315" t="s">
        <v>50</v>
      </c>
      <c r="M220" s="89">
        <v>0</v>
      </c>
      <c r="N220" s="89">
        <v>5</v>
      </c>
      <c r="O220" s="89">
        <v>9</v>
      </c>
      <c r="P220" s="89" t="s">
        <v>237</v>
      </c>
      <c r="Q220" s="89">
        <v>0</v>
      </c>
      <c r="R220" s="89">
        <v>0</v>
      </c>
      <c r="S220" s="89">
        <v>0</v>
      </c>
      <c r="T220" s="89">
        <v>0</v>
      </c>
      <c r="U220" s="89">
        <v>0</v>
      </c>
      <c r="V220" s="89">
        <v>0</v>
      </c>
      <c r="W220" s="89">
        <v>0</v>
      </c>
      <c r="X220" s="89">
        <v>0</v>
      </c>
      <c r="Y220" s="89">
        <v>0</v>
      </c>
      <c r="Z220" s="89">
        <v>1</v>
      </c>
      <c r="AA220" s="89">
        <v>0</v>
      </c>
      <c r="AB220" s="89">
        <v>0</v>
      </c>
      <c r="AC220" s="89">
        <v>0</v>
      </c>
      <c r="AD220" s="89">
        <v>9</v>
      </c>
      <c r="AE220" s="89">
        <v>33</v>
      </c>
      <c r="AF220" s="89">
        <v>0</v>
      </c>
      <c r="AG220" s="89">
        <v>0</v>
      </c>
      <c r="AH220" s="89">
        <v>0</v>
      </c>
      <c r="AI220" s="89">
        <v>0</v>
      </c>
      <c r="AJ220" s="89">
        <v>0</v>
      </c>
    </row>
    <row r="221" spans="1:36" x14ac:dyDescent="0.3">
      <c r="A221" s="311" t="s">
        <v>254</v>
      </c>
      <c r="B221" s="312">
        <v>45998</v>
      </c>
      <c r="C221" s="88" t="s">
        <v>524</v>
      </c>
      <c r="D221" s="313" t="s">
        <v>717</v>
      </c>
      <c r="E221" s="88" t="s">
        <v>403</v>
      </c>
      <c r="F221" s="88" t="s">
        <v>214</v>
      </c>
      <c r="G221" s="314">
        <v>0.1726</v>
      </c>
      <c r="H221" s="89">
        <v>168</v>
      </c>
      <c r="I221" s="89">
        <v>29</v>
      </c>
      <c r="J221" s="89">
        <v>0</v>
      </c>
      <c r="K221" s="89" t="s">
        <v>215</v>
      </c>
      <c r="L221" s="315" t="s">
        <v>175</v>
      </c>
      <c r="M221" s="89">
        <v>2</v>
      </c>
      <c r="N221" s="89">
        <v>0</v>
      </c>
      <c r="O221" s="89">
        <v>19</v>
      </c>
      <c r="P221" s="89" t="s">
        <v>236</v>
      </c>
      <c r="Q221" s="89">
        <v>0</v>
      </c>
      <c r="R221" s="89">
        <v>0</v>
      </c>
      <c r="S221" s="89">
        <v>0</v>
      </c>
      <c r="T221" s="89">
        <v>0</v>
      </c>
      <c r="U221" s="89">
        <v>0</v>
      </c>
      <c r="V221" s="89">
        <v>0</v>
      </c>
      <c r="W221" s="89">
        <v>0</v>
      </c>
      <c r="X221" s="89">
        <v>0</v>
      </c>
      <c r="Y221" s="89">
        <v>0</v>
      </c>
      <c r="Z221" s="89">
        <v>9</v>
      </c>
      <c r="AA221" s="89">
        <v>0</v>
      </c>
      <c r="AB221" s="89">
        <v>0</v>
      </c>
      <c r="AC221" s="89">
        <v>0</v>
      </c>
      <c r="AD221" s="89">
        <v>0</v>
      </c>
      <c r="AE221" s="89">
        <v>10</v>
      </c>
      <c r="AF221" s="89">
        <v>10</v>
      </c>
      <c r="AG221" s="89">
        <v>0</v>
      </c>
      <c r="AH221" s="89">
        <v>0</v>
      </c>
      <c r="AI221" s="89">
        <v>0</v>
      </c>
      <c r="AJ221" s="89">
        <v>0</v>
      </c>
    </row>
    <row r="222" spans="1:36" x14ac:dyDescent="0.3">
      <c r="A222" s="311" t="s">
        <v>254</v>
      </c>
      <c r="B222" s="312">
        <v>45998</v>
      </c>
      <c r="C222" s="88" t="s">
        <v>1426</v>
      </c>
      <c r="D222" s="313" t="s">
        <v>1259</v>
      </c>
      <c r="E222" s="88" t="s">
        <v>1422</v>
      </c>
      <c r="F222" s="88" t="s">
        <v>214</v>
      </c>
      <c r="G222" s="314">
        <v>0.92179999999999995</v>
      </c>
      <c r="H222" s="89">
        <v>179</v>
      </c>
      <c r="I222" s="89">
        <v>165</v>
      </c>
      <c r="J222" s="89">
        <v>162</v>
      </c>
      <c r="K222" s="89" t="s">
        <v>215</v>
      </c>
      <c r="L222" s="315" t="s">
        <v>50</v>
      </c>
      <c r="M222" s="89">
        <v>0</v>
      </c>
      <c r="N222" s="89">
        <v>2</v>
      </c>
      <c r="O222" s="89">
        <v>4</v>
      </c>
      <c r="P222" s="89" t="s">
        <v>51</v>
      </c>
      <c r="Q222" s="89">
        <v>0</v>
      </c>
      <c r="R222" s="89">
        <v>0</v>
      </c>
      <c r="S222" s="89">
        <v>0</v>
      </c>
      <c r="T222" s="89">
        <v>0</v>
      </c>
      <c r="U222" s="89">
        <v>0</v>
      </c>
      <c r="V222" s="89">
        <v>0</v>
      </c>
      <c r="W222" s="89">
        <v>0</v>
      </c>
      <c r="X222" s="89">
        <v>0</v>
      </c>
      <c r="Y222" s="89">
        <v>2</v>
      </c>
      <c r="Z222" s="89">
        <v>1</v>
      </c>
      <c r="AA222" s="89">
        <v>0</v>
      </c>
      <c r="AB222" s="89">
        <v>0</v>
      </c>
      <c r="AC222" s="89">
        <v>0</v>
      </c>
      <c r="AD222" s="89">
        <v>0</v>
      </c>
      <c r="AE222" s="89">
        <v>0</v>
      </c>
      <c r="AF222" s="89">
        <v>0</v>
      </c>
      <c r="AG222" s="89">
        <v>0</v>
      </c>
      <c r="AH222" s="89">
        <v>0</v>
      </c>
      <c r="AI222" s="89">
        <v>162</v>
      </c>
      <c r="AJ222" s="89">
        <v>0</v>
      </c>
    </row>
    <row r="223" spans="1:36" x14ac:dyDescent="0.3">
      <c r="A223" s="311" t="s">
        <v>254</v>
      </c>
      <c r="B223" s="312">
        <v>45998</v>
      </c>
      <c r="C223" s="88" t="s">
        <v>1488</v>
      </c>
      <c r="D223" s="313" t="s">
        <v>1502</v>
      </c>
      <c r="E223" s="88" t="s">
        <v>1478</v>
      </c>
      <c r="F223" s="88" t="s">
        <v>214</v>
      </c>
      <c r="G223" s="314">
        <v>0.11899999999999999</v>
      </c>
      <c r="H223" s="89">
        <v>168</v>
      </c>
      <c r="I223" s="89">
        <v>20</v>
      </c>
      <c r="J223" s="89">
        <v>0</v>
      </c>
      <c r="K223" s="89" t="s">
        <v>215</v>
      </c>
      <c r="L223" s="315" t="s">
        <v>940</v>
      </c>
      <c r="M223" s="89">
        <v>0</v>
      </c>
      <c r="N223" s="89">
        <v>0</v>
      </c>
      <c r="O223" s="89">
        <v>0</v>
      </c>
      <c r="P223" s="89" t="s">
        <v>265</v>
      </c>
      <c r="Q223" s="89">
        <v>0</v>
      </c>
      <c r="R223" s="89">
        <v>0</v>
      </c>
      <c r="S223" s="89">
        <v>0</v>
      </c>
      <c r="T223" s="89">
        <v>0</v>
      </c>
      <c r="U223" s="89">
        <v>0</v>
      </c>
      <c r="V223" s="89">
        <v>0</v>
      </c>
      <c r="W223" s="89">
        <v>0</v>
      </c>
      <c r="X223" s="89">
        <v>0</v>
      </c>
      <c r="Y223" s="89">
        <v>0</v>
      </c>
      <c r="Z223" s="89">
        <v>1</v>
      </c>
      <c r="AA223" s="89">
        <v>0</v>
      </c>
      <c r="AB223" s="89">
        <v>0</v>
      </c>
      <c r="AC223" s="89">
        <v>11</v>
      </c>
      <c r="AD223" s="89">
        <v>4</v>
      </c>
      <c r="AE223" s="89">
        <v>4</v>
      </c>
      <c r="AF223" s="89">
        <v>0</v>
      </c>
      <c r="AG223" s="89">
        <v>0</v>
      </c>
      <c r="AH223" s="89">
        <v>0</v>
      </c>
      <c r="AI223" s="89">
        <v>0</v>
      </c>
      <c r="AJ223" s="89">
        <v>0</v>
      </c>
    </row>
    <row r="224" spans="1:36" x14ac:dyDescent="0.3">
      <c r="A224" s="311" t="s">
        <v>254</v>
      </c>
      <c r="B224" s="312">
        <v>45998</v>
      </c>
      <c r="C224" s="88" t="s">
        <v>810</v>
      </c>
      <c r="D224" s="313" t="s">
        <v>914</v>
      </c>
      <c r="E224" s="88" t="s">
        <v>793</v>
      </c>
      <c r="F224" s="88" t="s">
        <v>214</v>
      </c>
      <c r="G224" s="314">
        <v>1</v>
      </c>
      <c r="H224" s="89">
        <v>168</v>
      </c>
      <c r="I224" s="89">
        <v>168</v>
      </c>
      <c r="J224" s="89">
        <v>158</v>
      </c>
      <c r="K224" s="89" t="s">
        <v>215</v>
      </c>
      <c r="L224" s="315" t="s">
        <v>63</v>
      </c>
      <c r="M224" s="89">
        <v>0</v>
      </c>
      <c r="N224" s="89">
        <v>0</v>
      </c>
      <c r="O224" s="89">
        <v>5</v>
      </c>
      <c r="P224" s="89" t="s">
        <v>64</v>
      </c>
      <c r="Q224" s="89">
        <v>0</v>
      </c>
      <c r="R224" s="89">
        <v>0</v>
      </c>
      <c r="S224" s="89">
        <v>0</v>
      </c>
      <c r="T224" s="89">
        <v>0</v>
      </c>
      <c r="U224" s="89">
        <v>0</v>
      </c>
      <c r="V224" s="89">
        <v>0</v>
      </c>
      <c r="W224" s="89">
        <v>0</v>
      </c>
      <c r="X224" s="89">
        <v>0</v>
      </c>
      <c r="Y224" s="89">
        <v>1</v>
      </c>
      <c r="Z224" s="89">
        <v>0</v>
      </c>
      <c r="AA224" s="89">
        <v>0</v>
      </c>
      <c r="AB224" s="89">
        <v>0</v>
      </c>
      <c r="AC224" s="89">
        <v>0</v>
      </c>
      <c r="AD224" s="89">
        <v>0</v>
      </c>
      <c r="AE224" s="89">
        <v>9</v>
      </c>
      <c r="AF224" s="89">
        <v>0</v>
      </c>
      <c r="AG224" s="89">
        <v>0</v>
      </c>
      <c r="AH224" s="89">
        <v>0</v>
      </c>
      <c r="AI224" s="89">
        <v>158</v>
      </c>
      <c r="AJ224" s="89">
        <v>0</v>
      </c>
    </row>
    <row r="225" spans="1:36" x14ac:dyDescent="0.3">
      <c r="A225" s="311" t="s">
        <v>254</v>
      </c>
      <c r="B225" s="312">
        <v>45998</v>
      </c>
      <c r="C225" s="88" t="s">
        <v>938</v>
      </c>
      <c r="D225" s="313" t="s">
        <v>1016</v>
      </c>
      <c r="E225" s="88" t="s">
        <v>934</v>
      </c>
      <c r="F225" s="88" t="s">
        <v>214</v>
      </c>
      <c r="G225" s="314">
        <v>0.57740000000000002</v>
      </c>
      <c r="H225" s="89">
        <v>168</v>
      </c>
      <c r="I225" s="89">
        <v>97</v>
      </c>
      <c r="J225" s="89">
        <v>90</v>
      </c>
      <c r="K225" s="89" t="s">
        <v>215</v>
      </c>
      <c r="L225" s="315" t="s">
        <v>175</v>
      </c>
      <c r="M225" s="89">
        <v>1</v>
      </c>
      <c r="N225" s="89">
        <v>2</v>
      </c>
      <c r="O225" s="89">
        <v>6</v>
      </c>
      <c r="P225" s="89" t="s">
        <v>394</v>
      </c>
      <c r="Q225" s="89">
        <v>0</v>
      </c>
      <c r="R225" s="89">
        <v>0</v>
      </c>
      <c r="S225" s="89">
        <v>0</v>
      </c>
      <c r="T225" s="89">
        <v>0</v>
      </c>
      <c r="U225" s="89">
        <v>0</v>
      </c>
      <c r="V225" s="89">
        <v>0</v>
      </c>
      <c r="W225" s="89">
        <v>0</v>
      </c>
      <c r="X225" s="89">
        <v>0</v>
      </c>
      <c r="Y225" s="89">
        <v>0</v>
      </c>
      <c r="Z225" s="89">
        <v>0</v>
      </c>
      <c r="AA225" s="89">
        <v>0</v>
      </c>
      <c r="AB225" s="89">
        <v>0</v>
      </c>
      <c r="AC225" s="89">
        <v>0</v>
      </c>
      <c r="AD225" s="89">
        <v>4</v>
      </c>
      <c r="AE225" s="89">
        <v>3</v>
      </c>
      <c r="AF225" s="89">
        <v>0</v>
      </c>
      <c r="AG225" s="89">
        <v>0</v>
      </c>
      <c r="AH225" s="89">
        <v>0</v>
      </c>
      <c r="AI225" s="89">
        <v>90</v>
      </c>
      <c r="AJ225" s="89">
        <v>0</v>
      </c>
    </row>
    <row r="226" spans="1:36" x14ac:dyDescent="0.3">
      <c r="A226" s="311" t="s">
        <v>254</v>
      </c>
      <c r="B226" s="312">
        <v>45998</v>
      </c>
      <c r="C226" s="88" t="s">
        <v>822</v>
      </c>
      <c r="D226" s="313" t="s">
        <v>913</v>
      </c>
      <c r="E226" s="88" t="s">
        <v>793</v>
      </c>
      <c r="F226" s="88" t="s">
        <v>214</v>
      </c>
      <c r="G226" s="314">
        <v>1.0298</v>
      </c>
      <c r="H226" s="89">
        <v>168</v>
      </c>
      <c r="I226" s="89">
        <v>173</v>
      </c>
      <c r="J226" s="89">
        <v>161</v>
      </c>
      <c r="K226" s="89" t="s">
        <v>215</v>
      </c>
      <c r="L226" s="315" t="s">
        <v>880</v>
      </c>
      <c r="M226" s="89">
        <v>0</v>
      </c>
      <c r="N226" s="89">
        <v>0</v>
      </c>
      <c r="O226" s="89">
        <v>0</v>
      </c>
      <c r="P226" s="89" t="s">
        <v>64</v>
      </c>
      <c r="Q226" s="89">
        <v>0</v>
      </c>
      <c r="R226" s="89">
        <v>0</v>
      </c>
      <c r="S226" s="89">
        <v>0</v>
      </c>
      <c r="T226" s="89">
        <v>0</v>
      </c>
      <c r="U226" s="89">
        <v>0</v>
      </c>
      <c r="V226" s="89">
        <v>0</v>
      </c>
      <c r="W226" s="89">
        <v>0</v>
      </c>
      <c r="X226" s="89">
        <v>0</v>
      </c>
      <c r="Y226" s="89">
        <v>0</v>
      </c>
      <c r="Z226" s="89">
        <v>0</v>
      </c>
      <c r="AA226" s="89">
        <v>0</v>
      </c>
      <c r="AB226" s="89">
        <v>0</v>
      </c>
      <c r="AC226" s="89">
        <v>0</v>
      </c>
      <c r="AD226" s="89">
        <v>0</v>
      </c>
      <c r="AE226" s="89">
        <v>3</v>
      </c>
      <c r="AF226" s="89">
        <v>9</v>
      </c>
      <c r="AG226" s="89">
        <v>0</v>
      </c>
      <c r="AH226" s="89">
        <v>0</v>
      </c>
      <c r="AI226" s="89">
        <v>161</v>
      </c>
      <c r="AJ226" s="89">
        <v>0</v>
      </c>
    </row>
    <row r="227" spans="1:36" x14ac:dyDescent="0.3">
      <c r="A227" s="311" t="s">
        <v>254</v>
      </c>
      <c r="B227" s="312">
        <v>45998</v>
      </c>
      <c r="C227" s="88" t="s">
        <v>430</v>
      </c>
      <c r="D227" s="313" t="s">
        <v>754</v>
      </c>
      <c r="E227" s="88" t="s">
        <v>403</v>
      </c>
      <c r="F227" s="88" t="s">
        <v>214</v>
      </c>
      <c r="G227" s="314">
        <v>0.85470000000000002</v>
      </c>
      <c r="H227" s="89">
        <v>179</v>
      </c>
      <c r="I227" s="89">
        <v>153</v>
      </c>
      <c r="J227" s="89">
        <v>130</v>
      </c>
      <c r="K227" s="89" t="s">
        <v>215</v>
      </c>
      <c r="L227" s="315" t="s">
        <v>433</v>
      </c>
      <c r="M227" s="89">
        <v>0</v>
      </c>
      <c r="N227" s="89">
        <v>0</v>
      </c>
      <c r="O227" s="89">
        <v>44</v>
      </c>
      <c r="P227" s="89" t="s">
        <v>352</v>
      </c>
      <c r="Q227" s="89">
        <v>0</v>
      </c>
      <c r="R227" s="89">
        <v>0</v>
      </c>
      <c r="S227" s="89">
        <v>0</v>
      </c>
      <c r="T227" s="89">
        <v>0</v>
      </c>
      <c r="U227" s="89">
        <v>0</v>
      </c>
      <c r="V227" s="89">
        <v>0</v>
      </c>
      <c r="W227" s="89">
        <v>0</v>
      </c>
      <c r="X227" s="89">
        <v>0</v>
      </c>
      <c r="Y227" s="89">
        <v>0</v>
      </c>
      <c r="Z227" s="89">
        <v>2</v>
      </c>
      <c r="AA227" s="89">
        <v>0</v>
      </c>
      <c r="AB227" s="89">
        <v>0</v>
      </c>
      <c r="AC227" s="89">
        <v>0</v>
      </c>
      <c r="AD227" s="89">
        <v>3</v>
      </c>
      <c r="AE227" s="89">
        <v>9</v>
      </c>
      <c r="AF227" s="89">
        <v>9</v>
      </c>
      <c r="AG227" s="89">
        <v>0</v>
      </c>
      <c r="AH227" s="89">
        <v>0</v>
      </c>
      <c r="AI227" s="89">
        <v>130</v>
      </c>
      <c r="AJ227" s="89">
        <v>0</v>
      </c>
    </row>
    <row r="228" spans="1:36" x14ac:dyDescent="0.3">
      <c r="A228" s="311" t="s">
        <v>254</v>
      </c>
      <c r="B228" s="312">
        <v>45998</v>
      </c>
      <c r="C228" s="88" t="s">
        <v>1155</v>
      </c>
      <c r="D228" s="313" t="s">
        <v>1253</v>
      </c>
      <c r="E228" s="88" t="s">
        <v>1098</v>
      </c>
      <c r="F228" s="88" t="s">
        <v>214</v>
      </c>
      <c r="G228" s="314">
        <v>4.1700000000000001E-2</v>
      </c>
      <c r="H228" s="89">
        <v>168</v>
      </c>
      <c r="I228" s="89">
        <v>7</v>
      </c>
      <c r="J228" s="89">
        <v>0</v>
      </c>
      <c r="K228" s="89" t="s">
        <v>215</v>
      </c>
      <c r="L228" s="315" t="s">
        <v>63</v>
      </c>
      <c r="M228" s="89">
        <v>0</v>
      </c>
      <c r="N228" s="89">
        <v>0</v>
      </c>
      <c r="O228" s="89">
        <v>4</v>
      </c>
      <c r="P228" s="89" t="s">
        <v>353</v>
      </c>
      <c r="Q228" s="89">
        <v>0</v>
      </c>
      <c r="R228" s="89">
        <v>0</v>
      </c>
      <c r="S228" s="89">
        <v>0</v>
      </c>
      <c r="T228" s="89">
        <v>0</v>
      </c>
      <c r="U228" s="89">
        <v>0</v>
      </c>
      <c r="V228" s="89">
        <v>0</v>
      </c>
      <c r="W228" s="89">
        <v>0</v>
      </c>
      <c r="X228" s="89">
        <v>0</v>
      </c>
      <c r="Y228" s="89">
        <v>0</v>
      </c>
      <c r="Z228" s="89">
        <v>0</v>
      </c>
      <c r="AA228" s="89">
        <v>0</v>
      </c>
      <c r="AB228" s="89">
        <v>0</v>
      </c>
      <c r="AC228" s="89">
        <v>0</v>
      </c>
      <c r="AD228" s="89">
        <v>0</v>
      </c>
      <c r="AE228" s="89">
        <v>1</v>
      </c>
      <c r="AF228" s="89">
        <v>6</v>
      </c>
      <c r="AG228" s="89">
        <v>0</v>
      </c>
      <c r="AH228" s="89">
        <v>0</v>
      </c>
      <c r="AI228" s="89">
        <v>0</v>
      </c>
      <c r="AJ228" s="89">
        <v>0</v>
      </c>
    </row>
    <row r="229" spans="1:36" x14ac:dyDescent="0.3">
      <c r="A229" s="311" t="s">
        <v>254</v>
      </c>
      <c r="B229" s="312">
        <v>45998</v>
      </c>
      <c r="C229" s="88" t="s">
        <v>1265</v>
      </c>
      <c r="D229" s="313" t="s">
        <v>1246</v>
      </c>
      <c r="E229" s="88" t="s">
        <v>1263</v>
      </c>
      <c r="F229" s="88" t="s">
        <v>214</v>
      </c>
      <c r="G229" s="314">
        <v>0.35120000000000001</v>
      </c>
      <c r="H229" s="89">
        <v>168</v>
      </c>
      <c r="I229" s="89">
        <v>59</v>
      </c>
      <c r="J229" s="89">
        <v>0</v>
      </c>
      <c r="K229" s="89" t="s">
        <v>215</v>
      </c>
      <c r="L229" s="315" t="s">
        <v>175</v>
      </c>
      <c r="M229" s="89">
        <v>3</v>
      </c>
      <c r="N229" s="89">
        <v>4</v>
      </c>
      <c r="O229" s="89">
        <v>17</v>
      </c>
      <c r="P229" s="89" t="s">
        <v>265</v>
      </c>
      <c r="Q229" s="89">
        <v>0</v>
      </c>
      <c r="R229" s="89">
        <v>0</v>
      </c>
      <c r="S229" s="89">
        <v>0</v>
      </c>
      <c r="T229" s="89">
        <v>0</v>
      </c>
      <c r="U229" s="89">
        <v>0</v>
      </c>
      <c r="V229" s="89">
        <v>0</v>
      </c>
      <c r="W229" s="89">
        <v>0</v>
      </c>
      <c r="X229" s="89">
        <v>0</v>
      </c>
      <c r="Y229" s="89">
        <v>0</v>
      </c>
      <c r="Z229" s="89">
        <v>4</v>
      </c>
      <c r="AA229" s="89">
        <v>1</v>
      </c>
      <c r="AB229" s="89">
        <v>3</v>
      </c>
      <c r="AC229" s="89">
        <v>1</v>
      </c>
      <c r="AD229" s="89">
        <v>24</v>
      </c>
      <c r="AE229" s="89">
        <v>26</v>
      </c>
      <c r="AF229" s="89">
        <v>0</v>
      </c>
      <c r="AG229" s="89">
        <v>0</v>
      </c>
      <c r="AH229" s="89">
        <v>0</v>
      </c>
      <c r="AI229" s="89">
        <v>0</v>
      </c>
      <c r="AJ229" s="89">
        <v>0</v>
      </c>
    </row>
    <row r="230" spans="1:36" x14ac:dyDescent="0.3">
      <c r="A230" s="311" t="s">
        <v>254</v>
      </c>
      <c r="B230" s="312">
        <v>45998</v>
      </c>
      <c r="C230" s="88" t="s">
        <v>417</v>
      </c>
      <c r="D230" s="313" t="s">
        <v>727</v>
      </c>
      <c r="E230" s="88" t="s">
        <v>403</v>
      </c>
      <c r="F230" s="88" t="s">
        <v>214</v>
      </c>
      <c r="G230" s="314">
        <v>0.15640000000000001</v>
      </c>
      <c r="H230" s="89">
        <v>179</v>
      </c>
      <c r="I230" s="89">
        <v>28</v>
      </c>
      <c r="J230" s="89">
        <v>0</v>
      </c>
      <c r="K230" s="89" t="s">
        <v>215</v>
      </c>
      <c r="L230" s="315" t="s">
        <v>50</v>
      </c>
      <c r="M230" s="89">
        <v>0</v>
      </c>
      <c r="N230" s="89">
        <v>3</v>
      </c>
      <c r="O230" s="89">
        <v>18</v>
      </c>
      <c r="P230" s="89" t="s">
        <v>646</v>
      </c>
      <c r="Q230" s="89">
        <v>0</v>
      </c>
      <c r="R230" s="89">
        <v>0</v>
      </c>
      <c r="S230" s="89">
        <v>0</v>
      </c>
      <c r="T230" s="89">
        <v>0</v>
      </c>
      <c r="U230" s="89">
        <v>0</v>
      </c>
      <c r="V230" s="89">
        <v>0</v>
      </c>
      <c r="W230" s="89">
        <v>0</v>
      </c>
      <c r="X230" s="89">
        <v>0</v>
      </c>
      <c r="Y230" s="89">
        <v>0</v>
      </c>
      <c r="Z230" s="89">
        <v>0</v>
      </c>
      <c r="AA230" s="89">
        <v>0</v>
      </c>
      <c r="AB230" s="89">
        <v>0</v>
      </c>
      <c r="AC230" s="89">
        <v>0</v>
      </c>
      <c r="AD230" s="89">
        <v>0</v>
      </c>
      <c r="AE230" s="89">
        <v>8</v>
      </c>
      <c r="AF230" s="89">
        <v>20</v>
      </c>
      <c r="AG230" s="89">
        <v>0</v>
      </c>
      <c r="AH230" s="89">
        <v>0</v>
      </c>
      <c r="AI230" s="89">
        <v>0</v>
      </c>
      <c r="AJ230" s="89">
        <v>0</v>
      </c>
    </row>
    <row r="231" spans="1:36" x14ac:dyDescent="0.3">
      <c r="A231" s="311" t="s">
        <v>254</v>
      </c>
      <c r="B231" s="312">
        <v>45998</v>
      </c>
      <c r="C231" s="88" t="s">
        <v>427</v>
      </c>
      <c r="D231" s="313" t="s">
        <v>756</v>
      </c>
      <c r="E231" s="88" t="s">
        <v>403</v>
      </c>
      <c r="F231" s="88" t="s">
        <v>214</v>
      </c>
      <c r="G231" s="314">
        <v>0.98880000000000001</v>
      </c>
      <c r="H231" s="89">
        <v>179</v>
      </c>
      <c r="I231" s="89">
        <v>177</v>
      </c>
      <c r="J231" s="89">
        <v>159</v>
      </c>
      <c r="K231" s="89" t="s">
        <v>215</v>
      </c>
      <c r="L231" s="315" t="s">
        <v>175</v>
      </c>
      <c r="M231" s="89">
        <v>4</v>
      </c>
      <c r="N231" s="89">
        <v>0</v>
      </c>
      <c r="O231" s="89">
        <v>4</v>
      </c>
      <c r="P231" s="89" t="s">
        <v>653</v>
      </c>
      <c r="Q231" s="89">
        <v>0</v>
      </c>
      <c r="R231" s="89">
        <v>0</v>
      </c>
      <c r="S231" s="89">
        <v>0</v>
      </c>
      <c r="T231" s="89">
        <v>0</v>
      </c>
      <c r="U231" s="89">
        <v>0</v>
      </c>
      <c r="V231" s="89">
        <v>0</v>
      </c>
      <c r="W231" s="89">
        <v>0</v>
      </c>
      <c r="X231" s="89">
        <v>0</v>
      </c>
      <c r="Y231" s="89">
        <v>0</v>
      </c>
      <c r="Z231" s="89">
        <v>0</v>
      </c>
      <c r="AA231" s="89">
        <v>0</v>
      </c>
      <c r="AB231" s="89">
        <v>0</v>
      </c>
      <c r="AC231" s="89">
        <v>0</v>
      </c>
      <c r="AD231" s="89">
        <v>0</v>
      </c>
      <c r="AE231" s="89">
        <v>8</v>
      </c>
      <c r="AF231" s="89">
        <v>10</v>
      </c>
      <c r="AG231" s="89">
        <v>0</v>
      </c>
      <c r="AH231" s="89">
        <v>0</v>
      </c>
      <c r="AI231" s="89">
        <v>159</v>
      </c>
      <c r="AJ231" s="89">
        <v>0</v>
      </c>
    </row>
    <row r="232" spans="1:36" x14ac:dyDescent="0.3">
      <c r="A232" s="311" t="s">
        <v>254</v>
      </c>
      <c r="B232" s="312">
        <v>45998</v>
      </c>
      <c r="C232" s="88" t="s">
        <v>298</v>
      </c>
      <c r="D232" s="313" t="s">
        <v>341</v>
      </c>
      <c r="E232" s="88" t="s">
        <v>295</v>
      </c>
      <c r="F232" s="88" t="s">
        <v>214</v>
      </c>
      <c r="G232" s="314">
        <v>0.95530000000000004</v>
      </c>
      <c r="H232" s="89">
        <v>179</v>
      </c>
      <c r="I232" s="89">
        <v>171</v>
      </c>
      <c r="J232" s="89">
        <v>134</v>
      </c>
      <c r="K232" s="89" t="s">
        <v>215</v>
      </c>
      <c r="L232" s="315" t="s">
        <v>50</v>
      </c>
      <c r="M232" s="89">
        <v>0</v>
      </c>
      <c r="N232" s="89">
        <v>4</v>
      </c>
      <c r="O232" s="89">
        <v>6</v>
      </c>
      <c r="P232" s="89" t="s">
        <v>319</v>
      </c>
      <c r="Q232" s="89">
        <v>0</v>
      </c>
      <c r="R232" s="89">
        <v>0</v>
      </c>
      <c r="S232" s="89">
        <v>0</v>
      </c>
      <c r="T232" s="89">
        <v>0</v>
      </c>
      <c r="U232" s="89">
        <v>0</v>
      </c>
      <c r="V232" s="89">
        <v>0</v>
      </c>
      <c r="W232" s="89">
        <v>0</v>
      </c>
      <c r="X232" s="89">
        <v>0</v>
      </c>
      <c r="Y232" s="89">
        <v>4</v>
      </c>
      <c r="Z232" s="89">
        <v>6</v>
      </c>
      <c r="AA232" s="89">
        <v>0</v>
      </c>
      <c r="AB232" s="89">
        <v>0</v>
      </c>
      <c r="AC232" s="89">
        <v>1</v>
      </c>
      <c r="AD232" s="89">
        <v>6</v>
      </c>
      <c r="AE232" s="89">
        <v>10</v>
      </c>
      <c r="AF232" s="89">
        <v>10</v>
      </c>
      <c r="AG232" s="89">
        <v>0</v>
      </c>
      <c r="AH232" s="89">
        <v>0</v>
      </c>
      <c r="AI232" s="89">
        <v>134</v>
      </c>
      <c r="AJ232" s="89">
        <v>0</v>
      </c>
    </row>
    <row r="233" spans="1:36" x14ac:dyDescent="0.3">
      <c r="A233" s="311" t="s">
        <v>254</v>
      </c>
      <c r="B233" s="312">
        <v>45998</v>
      </c>
      <c r="C233" s="88" t="s">
        <v>949</v>
      </c>
      <c r="D233" s="313" t="s">
        <v>1015</v>
      </c>
      <c r="E233" s="88" t="s">
        <v>934</v>
      </c>
      <c r="F233" s="88" t="s">
        <v>214</v>
      </c>
      <c r="G233" s="314">
        <v>0.76790000000000003</v>
      </c>
      <c r="H233" s="89">
        <v>168</v>
      </c>
      <c r="I233" s="89">
        <v>129</v>
      </c>
      <c r="J233" s="89">
        <v>115</v>
      </c>
      <c r="K233" s="89" t="s">
        <v>215</v>
      </c>
      <c r="L233" s="315" t="s">
        <v>50</v>
      </c>
      <c r="M233" s="89">
        <v>0</v>
      </c>
      <c r="N233" s="89">
        <v>1</v>
      </c>
      <c r="O233" s="89">
        <v>8</v>
      </c>
      <c r="P233" s="89" t="s">
        <v>265</v>
      </c>
      <c r="Q233" s="89">
        <v>0</v>
      </c>
      <c r="R233" s="89">
        <v>0</v>
      </c>
      <c r="S233" s="89">
        <v>0</v>
      </c>
      <c r="T233" s="89">
        <v>0</v>
      </c>
      <c r="U233" s="89">
        <v>0</v>
      </c>
      <c r="V233" s="89">
        <v>0</v>
      </c>
      <c r="W233" s="89">
        <v>0</v>
      </c>
      <c r="X233" s="89">
        <v>0</v>
      </c>
      <c r="Y233" s="89">
        <v>0</v>
      </c>
      <c r="Z233" s="89">
        <v>0</v>
      </c>
      <c r="AA233" s="89">
        <v>0</v>
      </c>
      <c r="AB233" s="89">
        <v>0</v>
      </c>
      <c r="AC233" s="89">
        <v>5</v>
      </c>
      <c r="AD233" s="89">
        <v>3</v>
      </c>
      <c r="AE233" s="89">
        <v>2</v>
      </c>
      <c r="AF233" s="89">
        <v>4</v>
      </c>
      <c r="AG233" s="89">
        <v>0</v>
      </c>
      <c r="AH233" s="89">
        <v>0</v>
      </c>
      <c r="AI233" s="89">
        <v>115</v>
      </c>
      <c r="AJ233" s="89">
        <v>0</v>
      </c>
    </row>
    <row r="234" spans="1:36" x14ac:dyDescent="0.3">
      <c r="A234" s="311" t="s">
        <v>254</v>
      </c>
      <c r="B234" s="312">
        <v>45998</v>
      </c>
      <c r="C234" s="88" t="s">
        <v>60</v>
      </c>
      <c r="D234" s="313" t="s">
        <v>255</v>
      </c>
      <c r="E234" s="88" t="s">
        <v>1</v>
      </c>
      <c r="F234" s="88" t="s">
        <v>214</v>
      </c>
      <c r="G234" s="314">
        <v>1.0595000000000001</v>
      </c>
      <c r="H234" s="89">
        <v>168</v>
      </c>
      <c r="I234" s="89">
        <v>178</v>
      </c>
      <c r="J234" s="89">
        <v>145</v>
      </c>
      <c r="K234" s="89" t="s">
        <v>215</v>
      </c>
      <c r="L234" s="315" t="s">
        <v>63</v>
      </c>
      <c r="M234" s="89">
        <v>0</v>
      </c>
      <c r="N234" s="89">
        <v>0</v>
      </c>
      <c r="O234" s="89">
        <v>11</v>
      </c>
      <c r="P234" s="89" t="s">
        <v>64</v>
      </c>
      <c r="Q234" s="89">
        <v>0</v>
      </c>
      <c r="R234" s="89">
        <v>0</v>
      </c>
      <c r="S234" s="89">
        <v>0</v>
      </c>
      <c r="T234" s="89">
        <v>0</v>
      </c>
      <c r="U234" s="89">
        <v>0</v>
      </c>
      <c r="V234" s="89">
        <v>0</v>
      </c>
      <c r="W234" s="89">
        <v>0</v>
      </c>
      <c r="X234" s="89">
        <v>0</v>
      </c>
      <c r="Y234" s="89">
        <v>3</v>
      </c>
      <c r="Z234" s="89">
        <v>4</v>
      </c>
      <c r="AA234" s="89">
        <v>4</v>
      </c>
      <c r="AB234" s="89">
        <v>4</v>
      </c>
      <c r="AC234" s="89">
        <v>4</v>
      </c>
      <c r="AD234" s="89">
        <v>6</v>
      </c>
      <c r="AE234" s="89">
        <v>4</v>
      </c>
      <c r="AF234" s="89">
        <v>4</v>
      </c>
      <c r="AG234" s="89">
        <v>0</v>
      </c>
      <c r="AH234" s="89">
        <v>0</v>
      </c>
      <c r="AI234" s="89">
        <v>145</v>
      </c>
      <c r="AJ234" s="89">
        <v>0</v>
      </c>
    </row>
    <row r="235" spans="1:36" x14ac:dyDescent="0.3">
      <c r="A235" s="311" t="s">
        <v>391</v>
      </c>
      <c r="B235" s="312">
        <v>45999</v>
      </c>
      <c r="C235" s="88" t="s">
        <v>954</v>
      </c>
      <c r="D235" s="313" t="s">
        <v>1018</v>
      </c>
      <c r="E235" s="88" t="s">
        <v>934</v>
      </c>
      <c r="F235" s="88" t="s">
        <v>214</v>
      </c>
      <c r="G235" s="314">
        <v>0.72619999999999996</v>
      </c>
      <c r="H235" s="89">
        <v>168</v>
      </c>
      <c r="I235" s="89">
        <v>122</v>
      </c>
      <c r="J235" s="89">
        <v>100</v>
      </c>
      <c r="K235" s="89" t="s">
        <v>215</v>
      </c>
      <c r="L235" s="315" t="s">
        <v>50</v>
      </c>
      <c r="M235" s="89">
        <v>0</v>
      </c>
      <c r="N235" s="89">
        <v>21</v>
      </c>
      <c r="O235" s="89">
        <v>21</v>
      </c>
      <c r="P235" s="89" t="s">
        <v>748</v>
      </c>
      <c r="Q235" s="89">
        <v>0</v>
      </c>
      <c r="R235" s="89">
        <v>0</v>
      </c>
      <c r="S235" s="89">
        <v>0</v>
      </c>
      <c r="T235" s="89">
        <v>0</v>
      </c>
      <c r="U235" s="89">
        <v>0</v>
      </c>
      <c r="V235" s="89">
        <v>0</v>
      </c>
      <c r="W235" s="89">
        <v>0</v>
      </c>
      <c r="X235" s="89">
        <v>0</v>
      </c>
      <c r="Y235" s="89">
        <v>0</v>
      </c>
      <c r="Z235" s="89">
        <v>0</v>
      </c>
      <c r="AA235" s="89">
        <v>0</v>
      </c>
      <c r="AB235" s="89">
        <v>0</v>
      </c>
      <c r="AC235" s="89">
        <v>0</v>
      </c>
      <c r="AD235" s="89">
        <v>1</v>
      </c>
      <c r="AE235" s="89">
        <v>6</v>
      </c>
      <c r="AF235" s="89">
        <v>15</v>
      </c>
      <c r="AG235" s="89">
        <v>0</v>
      </c>
      <c r="AH235" s="89">
        <v>0</v>
      </c>
      <c r="AI235" s="89">
        <v>100</v>
      </c>
      <c r="AJ235" s="89">
        <v>0</v>
      </c>
    </row>
    <row r="236" spans="1:36" x14ac:dyDescent="0.3">
      <c r="A236" s="311" t="s">
        <v>391</v>
      </c>
      <c r="B236" s="312">
        <v>45999</v>
      </c>
      <c r="C236" s="88" t="s">
        <v>1344</v>
      </c>
      <c r="D236" s="313" t="s">
        <v>754</v>
      </c>
      <c r="E236" s="88" t="s">
        <v>1341</v>
      </c>
      <c r="F236" s="88" t="s">
        <v>214</v>
      </c>
      <c r="G236" s="314">
        <v>0.26190000000000002</v>
      </c>
      <c r="H236" s="89">
        <v>168</v>
      </c>
      <c r="I236" s="89">
        <v>44</v>
      </c>
      <c r="J236" s="89">
        <v>0</v>
      </c>
      <c r="K236" s="89" t="s">
        <v>215</v>
      </c>
      <c r="L236" s="315" t="s">
        <v>175</v>
      </c>
      <c r="M236" s="89">
        <v>4</v>
      </c>
      <c r="N236" s="89">
        <v>2</v>
      </c>
      <c r="O236" s="89">
        <v>13</v>
      </c>
      <c r="P236" s="89" t="s">
        <v>586</v>
      </c>
      <c r="Q236" s="89">
        <v>0</v>
      </c>
      <c r="R236" s="89">
        <v>0</v>
      </c>
      <c r="S236" s="89">
        <v>0</v>
      </c>
      <c r="T236" s="89">
        <v>0</v>
      </c>
      <c r="U236" s="89">
        <v>0</v>
      </c>
      <c r="V236" s="89">
        <v>0</v>
      </c>
      <c r="W236" s="89">
        <v>0</v>
      </c>
      <c r="X236" s="89">
        <v>0</v>
      </c>
      <c r="Y236" s="89">
        <v>0</v>
      </c>
      <c r="Z236" s="89">
        <v>0</v>
      </c>
      <c r="AA236" s="89">
        <v>0</v>
      </c>
      <c r="AB236" s="89">
        <v>0</v>
      </c>
      <c r="AC236" s="89">
        <v>0</v>
      </c>
      <c r="AD236" s="89">
        <v>5</v>
      </c>
      <c r="AE236" s="89">
        <v>24</v>
      </c>
      <c r="AF236" s="89">
        <v>15</v>
      </c>
      <c r="AG236" s="89">
        <v>0</v>
      </c>
      <c r="AH236" s="89">
        <v>0</v>
      </c>
      <c r="AI236" s="89">
        <v>0</v>
      </c>
      <c r="AJ236" s="89">
        <v>0</v>
      </c>
    </row>
    <row r="237" spans="1:36" x14ac:dyDescent="0.3">
      <c r="A237" s="311" t="s">
        <v>391</v>
      </c>
      <c r="B237" s="312">
        <v>45999</v>
      </c>
      <c r="C237" s="88" t="s">
        <v>1426</v>
      </c>
      <c r="D237" s="313" t="s">
        <v>325</v>
      </c>
      <c r="E237" s="88" t="s">
        <v>1422</v>
      </c>
      <c r="F237" s="88" t="s">
        <v>214</v>
      </c>
      <c r="G237" s="314">
        <v>0.79330000000000001</v>
      </c>
      <c r="H237" s="89">
        <v>179</v>
      </c>
      <c r="I237" s="89">
        <v>142</v>
      </c>
      <c r="J237" s="89">
        <v>129</v>
      </c>
      <c r="K237" s="89" t="s">
        <v>215</v>
      </c>
      <c r="L237" s="315" t="s">
        <v>50</v>
      </c>
      <c r="M237" s="89">
        <v>0</v>
      </c>
      <c r="N237" s="89">
        <v>2</v>
      </c>
      <c r="O237" s="89">
        <v>3</v>
      </c>
      <c r="P237" s="89" t="s">
        <v>352</v>
      </c>
      <c r="Q237" s="89">
        <v>0</v>
      </c>
      <c r="R237" s="89">
        <v>0</v>
      </c>
      <c r="S237" s="89">
        <v>0</v>
      </c>
      <c r="T237" s="89">
        <v>0</v>
      </c>
      <c r="U237" s="89">
        <v>0</v>
      </c>
      <c r="V237" s="89">
        <v>0</v>
      </c>
      <c r="W237" s="89">
        <v>0</v>
      </c>
      <c r="X237" s="89">
        <v>0</v>
      </c>
      <c r="Y237" s="89">
        <v>1</v>
      </c>
      <c r="Z237" s="89">
        <v>3</v>
      </c>
      <c r="AA237" s="89">
        <v>9</v>
      </c>
      <c r="AB237" s="89">
        <v>0</v>
      </c>
      <c r="AC237" s="89">
        <v>0</v>
      </c>
      <c r="AD237" s="89">
        <v>0</v>
      </c>
      <c r="AE237" s="89">
        <v>0</v>
      </c>
      <c r="AF237" s="89">
        <v>0</v>
      </c>
      <c r="AG237" s="89">
        <v>0</v>
      </c>
      <c r="AH237" s="89">
        <v>0</v>
      </c>
      <c r="AI237" s="89">
        <v>129</v>
      </c>
      <c r="AJ237" s="89">
        <v>0</v>
      </c>
    </row>
    <row r="238" spans="1:36" x14ac:dyDescent="0.3">
      <c r="A238" s="311" t="s">
        <v>391</v>
      </c>
      <c r="B238" s="312">
        <v>45999</v>
      </c>
      <c r="C238" s="88" t="s">
        <v>810</v>
      </c>
      <c r="D238" s="313" t="s">
        <v>336</v>
      </c>
      <c r="E238" s="88" t="s">
        <v>793</v>
      </c>
      <c r="F238" s="88" t="s">
        <v>214</v>
      </c>
      <c r="G238" s="314">
        <v>1</v>
      </c>
      <c r="H238" s="89">
        <v>168</v>
      </c>
      <c r="I238" s="89">
        <v>168</v>
      </c>
      <c r="J238" s="89">
        <v>131</v>
      </c>
      <c r="K238" s="89" t="s">
        <v>215</v>
      </c>
      <c r="L238" s="315" t="s">
        <v>50</v>
      </c>
      <c r="M238" s="89">
        <v>0</v>
      </c>
      <c r="N238" s="89">
        <v>3</v>
      </c>
      <c r="O238" s="89">
        <v>10</v>
      </c>
      <c r="P238" s="89" t="s">
        <v>64</v>
      </c>
      <c r="Q238" s="89">
        <v>0</v>
      </c>
      <c r="R238" s="89">
        <v>0</v>
      </c>
      <c r="S238" s="89">
        <v>0</v>
      </c>
      <c r="T238" s="89">
        <v>0</v>
      </c>
      <c r="U238" s="89">
        <v>0</v>
      </c>
      <c r="V238" s="89">
        <v>0</v>
      </c>
      <c r="W238" s="89">
        <v>0</v>
      </c>
      <c r="X238" s="89">
        <v>0</v>
      </c>
      <c r="Y238" s="89">
        <v>0</v>
      </c>
      <c r="Z238" s="89">
        <v>2</v>
      </c>
      <c r="AA238" s="89">
        <v>0</v>
      </c>
      <c r="AB238" s="89">
        <v>0</v>
      </c>
      <c r="AC238" s="89">
        <v>4</v>
      </c>
      <c r="AD238" s="89">
        <v>10</v>
      </c>
      <c r="AE238" s="89">
        <v>10</v>
      </c>
      <c r="AF238" s="89">
        <v>11</v>
      </c>
      <c r="AG238" s="89">
        <v>0</v>
      </c>
      <c r="AH238" s="89">
        <v>0</v>
      </c>
      <c r="AI238" s="89">
        <v>131</v>
      </c>
      <c r="AJ238" s="89">
        <v>0</v>
      </c>
    </row>
    <row r="239" spans="1:36" x14ac:dyDescent="0.3">
      <c r="A239" s="311" t="s">
        <v>391</v>
      </c>
      <c r="B239" s="312">
        <v>45999</v>
      </c>
      <c r="C239" s="88" t="s">
        <v>935</v>
      </c>
      <c r="D239" s="313" t="s">
        <v>1030</v>
      </c>
      <c r="E239" s="88" t="s">
        <v>934</v>
      </c>
      <c r="F239" s="88" t="s">
        <v>214</v>
      </c>
      <c r="G239" s="314">
        <v>0.625</v>
      </c>
      <c r="H239" s="89">
        <v>168</v>
      </c>
      <c r="I239" s="89">
        <v>105</v>
      </c>
      <c r="J239" s="89">
        <v>90</v>
      </c>
      <c r="K239" s="89" t="s">
        <v>215</v>
      </c>
      <c r="L239" s="315" t="s">
        <v>50</v>
      </c>
      <c r="M239" s="89">
        <v>0</v>
      </c>
      <c r="N239" s="89">
        <v>3</v>
      </c>
      <c r="O239" s="89">
        <v>11</v>
      </c>
      <c r="P239" s="89" t="s">
        <v>237</v>
      </c>
      <c r="Q239" s="89">
        <v>0</v>
      </c>
      <c r="R239" s="89">
        <v>0</v>
      </c>
      <c r="S239" s="89">
        <v>0</v>
      </c>
      <c r="T239" s="89">
        <v>0</v>
      </c>
      <c r="U239" s="89">
        <v>0</v>
      </c>
      <c r="V239" s="89">
        <v>0</v>
      </c>
      <c r="W239" s="89">
        <v>0</v>
      </c>
      <c r="X239" s="89">
        <v>0</v>
      </c>
      <c r="Y239" s="89">
        <v>0</v>
      </c>
      <c r="Z239" s="89">
        <v>1</v>
      </c>
      <c r="AA239" s="89">
        <v>0</v>
      </c>
      <c r="AB239" s="89">
        <v>0</v>
      </c>
      <c r="AC239" s="89">
        <v>0</v>
      </c>
      <c r="AD239" s="89">
        <v>0</v>
      </c>
      <c r="AE239" s="89">
        <v>3</v>
      </c>
      <c r="AF239" s="89">
        <v>11</v>
      </c>
      <c r="AG239" s="89">
        <v>0</v>
      </c>
      <c r="AH239" s="89">
        <v>0</v>
      </c>
      <c r="AI239" s="89">
        <v>90</v>
      </c>
      <c r="AJ239" s="89">
        <v>0</v>
      </c>
    </row>
    <row r="240" spans="1:36" x14ac:dyDescent="0.3">
      <c r="A240" s="311" t="s">
        <v>391</v>
      </c>
      <c r="B240" s="312">
        <v>45999</v>
      </c>
      <c r="C240" s="88" t="s">
        <v>822</v>
      </c>
      <c r="D240" s="313" t="s">
        <v>916</v>
      </c>
      <c r="E240" s="88" t="s">
        <v>793</v>
      </c>
      <c r="F240" s="88" t="s">
        <v>214</v>
      </c>
      <c r="G240" s="314">
        <v>0.88690000000000002</v>
      </c>
      <c r="H240" s="89">
        <v>168</v>
      </c>
      <c r="I240" s="89">
        <v>149</v>
      </c>
      <c r="J240" s="89">
        <v>134</v>
      </c>
      <c r="K240" s="89" t="s">
        <v>215</v>
      </c>
      <c r="L240" s="315" t="s">
        <v>50</v>
      </c>
      <c r="M240" s="89">
        <v>0</v>
      </c>
      <c r="N240" s="89">
        <v>3</v>
      </c>
      <c r="O240" s="89">
        <v>6</v>
      </c>
      <c r="P240" s="89" t="s">
        <v>543</v>
      </c>
      <c r="Q240" s="89">
        <v>0</v>
      </c>
      <c r="R240" s="89">
        <v>0</v>
      </c>
      <c r="S240" s="89">
        <v>0</v>
      </c>
      <c r="T240" s="89">
        <v>0</v>
      </c>
      <c r="U240" s="89">
        <v>0</v>
      </c>
      <c r="V240" s="89">
        <v>0</v>
      </c>
      <c r="W240" s="89">
        <v>0</v>
      </c>
      <c r="X240" s="89">
        <v>0</v>
      </c>
      <c r="Y240" s="89">
        <v>0</v>
      </c>
      <c r="Z240" s="89">
        <v>0</v>
      </c>
      <c r="AA240" s="89">
        <v>0</v>
      </c>
      <c r="AB240" s="89">
        <v>0</v>
      </c>
      <c r="AC240" s="89">
        <v>0</v>
      </c>
      <c r="AD240" s="89">
        <v>3</v>
      </c>
      <c r="AE240" s="89">
        <v>6</v>
      </c>
      <c r="AF240" s="89">
        <v>6</v>
      </c>
      <c r="AG240" s="89">
        <v>0</v>
      </c>
      <c r="AH240" s="89">
        <v>0</v>
      </c>
      <c r="AI240" s="89">
        <v>134</v>
      </c>
      <c r="AJ240" s="89">
        <v>0</v>
      </c>
    </row>
    <row r="241" spans="1:36" x14ac:dyDescent="0.3">
      <c r="A241" s="311" t="s">
        <v>391</v>
      </c>
      <c r="B241" s="312">
        <v>45999</v>
      </c>
      <c r="C241" s="88" t="s">
        <v>430</v>
      </c>
      <c r="D241" s="313" t="s">
        <v>230</v>
      </c>
      <c r="E241" s="88" t="s">
        <v>403</v>
      </c>
      <c r="F241" s="88" t="s">
        <v>214</v>
      </c>
      <c r="G241" s="314">
        <v>0.87150000000000005</v>
      </c>
      <c r="H241" s="89">
        <v>179</v>
      </c>
      <c r="I241" s="89">
        <v>156</v>
      </c>
      <c r="J241" s="89">
        <v>136</v>
      </c>
      <c r="K241" s="89" t="s">
        <v>215</v>
      </c>
      <c r="L241" s="315" t="s">
        <v>50</v>
      </c>
      <c r="M241" s="89">
        <v>0</v>
      </c>
      <c r="N241" s="89">
        <v>5</v>
      </c>
      <c r="O241" s="89">
        <v>11</v>
      </c>
      <c r="P241" s="89" t="s">
        <v>364</v>
      </c>
      <c r="Q241" s="89">
        <v>0</v>
      </c>
      <c r="R241" s="89">
        <v>0</v>
      </c>
      <c r="S241" s="89">
        <v>0</v>
      </c>
      <c r="T241" s="89">
        <v>0</v>
      </c>
      <c r="U241" s="89">
        <v>0</v>
      </c>
      <c r="V241" s="89">
        <v>0</v>
      </c>
      <c r="W241" s="89">
        <v>0</v>
      </c>
      <c r="X241" s="89">
        <v>0</v>
      </c>
      <c r="Y241" s="89">
        <v>0</v>
      </c>
      <c r="Z241" s="89">
        <v>0</v>
      </c>
      <c r="AA241" s="89">
        <v>0</v>
      </c>
      <c r="AB241" s="89">
        <v>0</v>
      </c>
      <c r="AC241" s="89">
        <v>0</v>
      </c>
      <c r="AD241" s="89">
        <v>0</v>
      </c>
      <c r="AE241" s="89">
        <v>10</v>
      </c>
      <c r="AF241" s="89">
        <v>10</v>
      </c>
      <c r="AG241" s="89">
        <v>0</v>
      </c>
      <c r="AH241" s="89">
        <v>0</v>
      </c>
      <c r="AI241" s="89">
        <v>136</v>
      </c>
      <c r="AJ241" s="89">
        <v>0</v>
      </c>
    </row>
    <row r="242" spans="1:36" x14ac:dyDescent="0.3">
      <c r="A242" s="311" t="s">
        <v>391</v>
      </c>
      <c r="B242" s="312">
        <v>45999</v>
      </c>
      <c r="C242" s="88" t="s">
        <v>1122</v>
      </c>
      <c r="D242" s="313" t="s">
        <v>1249</v>
      </c>
      <c r="E242" s="88" t="s">
        <v>1098</v>
      </c>
      <c r="F242" s="88" t="s">
        <v>214</v>
      </c>
      <c r="G242" s="314">
        <v>8.9300000000000004E-2</v>
      </c>
      <c r="H242" s="89">
        <v>168</v>
      </c>
      <c r="I242" s="89">
        <v>15</v>
      </c>
      <c r="J242" s="89">
        <v>0</v>
      </c>
      <c r="K242" s="89" t="s">
        <v>215</v>
      </c>
      <c r="L242" s="315" t="s">
        <v>63</v>
      </c>
      <c r="M242" s="89">
        <v>0</v>
      </c>
      <c r="N242" s="89">
        <v>0</v>
      </c>
      <c r="O242" s="89">
        <v>2</v>
      </c>
      <c r="P242" s="89" t="s">
        <v>353</v>
      </c>
      <c r="Q242" s="89">
        <v>0</v>
      </c>
      <c r="R242" s="89">
        <v>0</v>
      </c>
      <c r="S242" s="89">
        <v>0</v>
      </c>
      <c r="T242" s="89">
        <v>0</v>
      </c>
      <c r="U242" s="89">
        <v>0</v>
      </c>
      <c r="V242" s="89">
        <v>0</v>
      </c>
      <c r="W242" s="89">
        <v>0</v>
      </c>
      <c r="X242" s="89">
        <v>0</v>
      </c>
      <c r="Y242" s="89">
        <v>0</v>
      </c>
      <c r="Z242" s="89">
        <v>1</v>
      </c>
      <c r="AA242" s="89">
        <v>0</v>
      </c>
      <c r="AB242" s="89">
        <v>0</v>
      </c>
      <c r="AC242" s="89">
        <v>0</v>
      </c>
      <c r="AD242" s="89">
        <v>4</v>
      </c>
      <c r="AE242" s="89">
        <v>1</v>
      </c>
      <c r="AF242" s="89">
        <v>9</v>
      </c>
      <c r="AG242" s="89">
        <v>0</v>
      </c>
      <c r="AH242" s="89">
        <v>0</v>
      </c>
      <c r="AI242" s="89">
        <v>0</v>
      </c>
      <c r="AJ242" s="89">
        <v>0</v>
      </c>
    </row>
    <row r="243" spans="1:36" x14ac:dyDescent="0.3">
      <c r="A243" s="311" t="s">
        <v>391</v>
      </c>
      <c r="B243" s="312">
        <v>45999</v>
      </c>
      <c r="C243" s="88" t="s">
        <v>417</v>
      </c>
      <c r="D243" s="313" t="s">
        <v>761</v>
      </c>
      <c r="E243" s="88" t="s">
        <v>403</v>
      </c>
      <c r="F243" s="88" t="s">
        <v>214</v>
      </c>
      <c r="G243" s="314">
        <v>0.8659</v>
      </c>
      <c r="H243" s="89">
        <v>179</v>
      </c>
      <c r="I243" s="89">
        <v>155</v>
      </c>
      <c r="J243" s="89">
        <v>134</v>
      </c>
      <c r="K243" s="89" t="s">
        <v>215</v>
      </c>
      <c r="L243" s="315" t="s">
        <v>63</v>
      </c>
      <c r="M243" s="89">
        <v>0</v>
      </c>
      <c r="N243" s="89">
        <v>0</v>
      </c>
      <c r="O243" s="89">
        <v>10</v>
      </c>
      <c r="P243" s="89" t="s">
        <v>364</v>
      </c>
      <c r="Q243" s="89">
        <v>0</v>
      </c>
      <c r="R243" s="89">
        <v>0</v>
      </c>
      <c r="S243" s="89">
        <v>0</v>
      </c>
      <c r="T243" s="89">
        <v>0</v>
      </c>
      <c r="U243" s="89">
        <v>0</v>
      </c>
      <c r="V243" s="89">
        <v>0</v>
      </c>
      <c r="W243" s="89">
        <v>0</v>
      </c>
      <c r="X243" s="89">
        <v>0</v>
      </c>
      <c r="Y243" s="89">
        <v>0</v>
      </c>
      <c r="Z243" s="89">
        <v>1</v>
      </c>
      <c r="AA243" s="89">
        <v>0</v>
      </c>
      <c r="AB243" s="89">
        <v>0</v>
      </c>
      <c r="AC243" s="89">
        <v>0</v>
      </c>
      <c r="AD243" s="89">
        <v>0</v>
      </c>
      <c r="AE243" s="89">
        <v>10</v>
      </c>
      <c r="AF243" s="89">
        <v>10</v>
      </c>
      <c r="AG243" s="89">
        <v>0</v>
      </c>
      <c r="AH243" s="89">
        <v>0</v>
      </c>
      <c r="AI243" s="89">
        <v>134</v>
      </c>
      <c r="AJ243" s="89">
        <v>0</v>
      </c>
    </row>
    <row r="244" spans="1:36" x14ac:dyDescent="0.3">
      <c r="A244" s="311" t="s">
        <v>391</v>
      </c>
      <c r="B244" s="312">
        <v>45999</v>
      </c>
      <c r="C244" s="88" t="s">
        <v>427</v>
      </c>
      <c r="D244" s="313" t="s">
        <v>691</v>
      </c>
      <c r="E244" s="88" t="s">
        <v>403</v>
      </c>
      <c r="F244" s="88" t="s">
        <v>214</v>
      </c>
      <c r="G244" s="314">
        <v>0.78769999999999996</v>
      </c>
      <c r="H244" s="89">
        <v>179</v>
      </c>
      <c r="I244" s="89">
        <v>141</v>
      </c>
      <c r="J244" s="89">
        <v>120</v>
      </c>
      <c r="K244" s="89" t="s">
        <v>215</v>
      </c>
      <c r="L244" s="315" t="s">
        <v>433</v>
      </c>
      <c r="M244" s="89">
        <v>0</v>
      </c>
      <c r="N244" s="89">
        <v>0</v>
      </c>
      <c r="O244" s="89">
        <v>5</v>
      </c>
      <c r="P244" s="89" t="s">
        <v>364</v>
      </c>
      <c r="Q244" s="89">
        <v>0</v>
      </c>
      <c r="R244" s="89">
        <v>0</v>
      </c>
      <c r="S244" s="89">
        <v>0</v>
      </c>
      <c r="T244" s="89">
        <v>0</v>
      </c>
      <c r="U244" s="89">
        <v>0</v>
      </c>
      <c r="V244" s="89">
        <v>0</v>
      </c>
      <c r="W244" s="89">
        <v>0</v>
      </c>
      <c r="X244" s="89">
        <v>0</v>
      </c>
      <c r="Y244" s="89">
        <v>0</v>
      </c>
      <c r="Z244" s="89">
        <v>0</v>
      </c>
      <c r="AA244" s="89">
        <v>0</v>
      </c>
      <c r="AB244" s="89">
        <v>0</v>
      </c>
      <c r="AC244" s="89">
        <v>0</v>
      </c>
      <c r="AD244" s="89">
        <v>1</v>
      </c>
      <c r="AE244" s="89">
        <v>10</v>
      </c>
      <c r="AF244" s="89">
        <v>10</v>
      </c>
      <c r="AG244" s="89">
        <v>0</v>
      </c>
      <c r="AH244" s="89">
        <v>0</v>
      </c>
      <c r="AI244" s="89">
        <v>120</v>
      </c>
      <c r="AJ244" s="89">
        <v>0</v>
      </c>
    </row>
    <row r="245" spans="1:36" x14ac:dyDescent="0.3">
      <c r="A245" s="311" t="s">
        <v>391</v>
      </c>
      <c r="B245" s="312">
        <v>45999</v>
      </c>
      <c r="C245" s="88" t="s">
        <v>432</v>
      </c>
      <c r="D245" s="313" t="s">
        <v>760</v>
      </c>
      <c r="E245" s="88" t="s">
        <v>403</v>
      </c>
      <c r="F245" s="88" t="s">
        <v>214</v>
      </c>
      <c r="G245" s="314">
        <v>0.85470000000000002</v>
      </c>
      <c r="H245" s="89">
        <v>179</v>
      </c>
      <c r="I245" s="89">
        <v>153</v>
      </c>
      <c r="J245" s="89">
        <v>133</v>
      </c>
      <c r="K245" s="89" t="s">
        <v>215</v>
      </c>
      <c r="L245" s="315" t="s">
        <v>50</v>
      </c>
      <c r="M245" s="89">
        <v>0</v>
      </c>
      <c r="N245" s="89">
        <v>1</v>
      </c>
      <c r="O245" s="89">
        <v>13</v>
      </c>
      <c r="P245" s="89" t="s">
        <v>364</v>
      </c>
      <c r="Q245" s="89">
        <v>0</v>
      </c>
      <c r="R245" s="89">
        <v>0</v>
      </c>
      <c r="S245" s="89">
        <v>0</v>
      </c>
      <c r="T245" s="89">
        <v>0</v>
      </c>
      <c r="U245" s="89">
        <v>0</v>
      </c>
      <c r="V245" s="89">
        <v>0</v>
      </c>
      <c r="W245" s="89">
        <v>0</v>
      </c>
      <c r="X245" s="89">
        <v>0</v>
      </c>
      <c r="Y245" s="89">
        <v>0</v>
      </c>
      <c r="Z245" s="89">
        <v>0</v>
      </c>
      <c r="AA245" s="89">
        <v>0</v>
      </c>
      <c r="AB245" s="89">
        <v>0</v>
      </c>
      <c r="AC245" s="89">
        <v>0</v>
      </c>
      <c r="AD245" s="89">
        <v>0</v>
      </c>
      <c r="AE245" s="89">
        <v>10</v>
      </c>
      <c r="AF245" s="89">
        <v>10</v>
      </c>
      <c r="AG245" s="89">
        <v>0</v>
      </c>
      <c r="AH245" s="89">
        <v>0</v>
      </c>
      <c r="AI245" s="89">
        <v>133</v>
      </c>
      <c r="AJ245" s="89">
        <v>0</v>
      </c>
    </row>
    <row r="246" spans="1:36" x14ac:dyDescent="0.3">
      <c r="A246" s="311" t="s">
        <v>391</v>
      </c>
      <c r="B246" s="312">
        <v>45999</v>
      </c>
      <c r="C246" s="88" t="s">
        <v>49</v>
      </c>
      <c r="D246" s="313" t="s">
        <v>392</v>
      </c>
      <c r="E246" s="88" t="s">
        <v>358</v>
      </c>
      <c r="F246" s="88" t="s">
        <v>214</v>
      </c>
      <c r="G246" s="314">
        <v>0.47020000000000001</v>
      </c>
      <c r="H246" s="89">
        <v>168</v>
      </c>
      <c r="I246" s="89">
        <v>79</v>
      </c>
      <c r="J246" s="89">
        <v>52</v>
      </c>
      <c r="K246" s="89" t="s">
        <v>215</v>
      </c>
      <c r="L246" s="315" t="s">
        <v>378</v>
      </c>
      <c r="M246" s="89">
        <v>0</v>
      </c>
      <c r="N246" s="89">
        <v>0</v>
      </c>
      <c r="O246" s="89">
        <v>7</v>
      </c>
      <c r="P246" s="89" t="s">
        <v>265</v>
      </c>
      <c r="Q246" s="89">
        <v>0</v>
      </c>
      <c r="R246" s="89">
        <v>0</v>
      </c>
      <c r="S246" s="89">
        <v>0</v>
      </c>
      <c r="T246" s="89">
        <v>0</v>
      </c>
      <c r="U246" s="89">
        <v>0</v>
      </c>
      <c r="V246" s="89">
        <v>0</v>
      </c>
      <c r="W246" s="89">
        <v>0</v>
      </c>
      <c r="X246" s="89">
        <v>0</v>
      </c>
      <c r="Y246" s="89">
        <v>0</v>
      </c>
      <c r="Z246" s="89">
        <v>3</v>
      </c>
      <c r="AA246" s="89">
        <v>0</v>
      </c>
      <c r="AB246" s="89">
        <v>0</v>
      </c>
      <c r="AC246" s="89">
        <v>7</v>
      </c>
      <c r="AD246" s="89">
        <v>5</v>
      </c>
      <c r="AE246" s="89">
        <v>3</v>
      </c>
      <c r="AF246" s="89">
        <v>9</v>
      </c>
      <c r="AG246" s="89">
        <v>0</v>
      </c>
      <c r="AH246" s="89">
        <v>0</v>
      </c>
      <c r="AI246" s="89">
        <v>52</v>
      </c>
      <c r="AJ246" s="89">
        <v>0</v>
      </c>
    </row>
    <row r="247" spans="1:36" x14ac:dyDescent="0.3">
      <c r="A247" s="311" t="s">
        <v>391</v>
      </c>
      <c r="B247" s="312">
        <v>45999</v>
      </c>
      <c r="C247" s="88" t="s">
        <v>949</v>
      </c>
      <c r="D247" s="313" t="s">
        <v>714</v>
      </c>
      <c r="E247" s="88" t="s">
        <v>934</v>
      </c>
      <c r="F247" s="88" t="s">
        <v>214</v>
      </c>
      <c r="G247" s="314">
        <v>0.35120000000000001</v>
      </c>
      <c r="H247" s="89">
        <v>168</v>
      </c>
      <c r="I247" s="89">
        <v>59</v>
      </c>
      <c r="J247" s="89">
        <v>50</v>
      </c>
      <c r="K247" s="89" t="s">
        <v>215</v>
      </c>
      <c r="L247" s="315" t="s">
        <v>50</v>
      </c>
      <c r="M247" s="89">
        <v>0</v>
      </c>
      <c r="N247" s="89">
        <v>6</v>
      </c>
      <c r="O247" s="89">
        <v>53</v>
      </c>
      <c r="P247" s="89" t="s">
        <v>237</v>
      </c>
      <c r="Q247" s="89">
        <v>0</v>
      </c>
      <c r="R247" s="89">
        <v>0</v>
      </c>
      <c r="S247" s="89">
        <v>0</v>
      </c>
      <c r="T247" s="89">
        <v>0</v>
      </c>
      <c r="U247" s="89">
        <v>0</v>
      </c>
      <c r="V247" s="89">
        <v>0</v>
      </c>
      <c r="W247" s="89">
        <v>0</v>
      </c>
      <c r="X247" s="89">
        <v>0</v>
      </c>
      <c r="Y247" s="89">
        <v>0</v>
      </c>
      <c r="Z247" s="89">
        <v>4</v>
      </c>
      <c r="AA247" s="89">
        <v>0</v>
      </c>
      <c r="AB247" s="89">
        <v>0</v>
      </c>
      <c r="AC247" s="89">
        <v>0</v>
      </c>
      <c r="AD247" s="89">
        <v>0</v>
      </c>
      <c r="AE247" s="89">
        <v>1</v>
      </c>
      <c r="AF247" s="89">
        <v>4</v>
      </c>
      <c r="AG247" s="89">
        <v>0</v>
      </c>
      <c r="AH247" s="89">
        <v>0</v>
      </c>
      <c r="AI247" s="89">
        <v>50</v>
      </c>
      <c r="AJ247" s="89">
        <v>0</v>
      </c>
    </row>
    <row r="248" spans="1:36" x14ac:dyDescent="0.3">
      <c r="A248" s="311" t="s">
        <v>212</v>
      </c>
      <c r="B248" s="312">
        <v>46000</v>
      </c>
      <c r="C248" s="88" t="s">
        <v>423</v>
      </c>
      <c r="D248" s="313" t="s">
        <v>698</v>
      </c>
      <c r="E248" s="88" t="s">
        <v>403</v>
      </c>
      <c r="F248" s="88" t="s">
        <v>214</v>
      </c>
      <c r="G248" s="314">
        <v>0.88829999999999998</v>
      </c>
      <c r="H248" s="89">
        <v>179</v>
      </c>
      <c r="I248" s="89">
        <v>159</v>
      </c>
      <c r="J248" s="89">
        <v>138</v>
      </c>
      <c r="K248" s="89" t="s">
        <v>215</v>
      </c>
      <c r="L248" s="315" t="s">
        <v>50</v>
      </c>
      <c r="M248" s="89">
        <v>0</v>
      </c>
      <c r="N248" s="89">
        <v>2</v>
      </c>
      <c r="O248" s="89">
        <v>12</v>
      </c>
      <c r="P248" s="89" t="s">
        <v>286</v>
      </c>
      <c r="Q248" s="89">
        <v>0</v>
      </c>
      <c r="R248" s="89">
        <v>0</v>
      </c>
      <c r="S248" s="89">
        <v>0</v>
      </c>
      <c r="T248" s="89">
        <v>0</v>
      </c>
      <c r="U248" s="89">
        <v>0</v>
      </c>
      <c r="V248" s="89">
        <v>0</v>
      </c>
      <c r="W248" s="89">
        <v>0</v>
      </c>
      <c r="X248" s="89">
        <v>0</v>
      </c>
      <c r="Y248" s="89">
        <v>0</v>
      </c>
      <c r="Z248" s="89">
        <v>0</v>
      </c>
      <c r="AA248" s="89">
        <v>0</v>
      </c>
      <c r="AB248" s="89">
        <v>0</v>
      </c>
      <c r="AC248" s="89">
        <v>0</v>
      </c>
      <c r="AD248" s="89">
        <v>0</v>
      </c>
      <c r="AE248" s="89">
        <v>1</v>
      </c>
      <c r="AF248" s="89">
        <v>20</v>
      </c>
      <c r="AG248" s="89">
        <v>0</v>
      </c>
      <c r="AH248" s="89">
        <v>0</v>
      </c>
      <c r="AI248" s="89">
        <v>138</v>
      </c>
      <c r="AJ248" s="89">
        <v>0</v>
      </c>
    </row>
    <row r="249" spans="1:36" x14ac:dyDescent="0.3">
      <c r="A249" s="311" t="s">
        <v>212</v>
      </c>
      <c r="B249" s="312">
        <v>46000</v>
      </c>
      <c r="C249" s="88" t="s">
        <v>1036</v>
      </c>
      <c r="D249" s="313" t="s">
        <v>904</v>
      </c>
      <c r="E249" s="88" t="s">
        <v>1033</v>
      </c>
      <c r="F249" s="88" t="s">
        <v>214</v>
      </c>
      <c r="G249" s="314">
        <v>0</v>
      </c>
      <c r="H249" s="89">
        <v>168</v>
      </c>
      <c r="I249" s="89">
        <v>0</v>
      </c>
      <c r="J249" s="89">
        <v>0</v>
      </c>
      <c r="K249" s="89" t="s">
        <v>215</v>
      </c>
      <c r="L249" s="315" t="s">
        <v>1047</v>
      </c>
      <c r="M249" s="89">
        <v>0</v>
      </c>
      <c r="N249" s="89">
        <v>0</v>
      </c>
      <c r="O249" s="89">
        <v>0</v>
      </c>
      <c r="P249" s="89" t="s">
        <v>64</v>
      </c>
      <c r="Q249" s="89">
        <v>0</v>
      </c>
      <c r="R249" s="89">
        <v>0</v>
      </c>
      <c r="S249" s="89">
        <v>0</v>
      </c>
      <c r="T249" s="89">
        <v>0</v>
      </c>
      <c r="U249" s="89">
        <v>0</v>
      </c>
      <c r="V249" s="89">
        <v>0</v>
      </c>
      <c r="W249" s="89">
        <v>0</v>
      </c>
      <c r="X249" s="89">
        <v>0</v>
      </c>
      <c r="Y249" s="89">
        <v>0</v>
      </c>
      <c r="Z249" s="89">
        <v>0</v>
      </c>
      <c r="AA249" s="89">
        <v>0</v>
      </c>
      <c r="AB249" s="89">
        <v>0</v>
      </c>
      <c r="AC249" s="89">
        <v>0</v>
      </c>
      <c r="AD249" s="89">
        <v>0</v>
      </c>
      <c r="AE249" s="89">
        <v>0</v>
      </c>
      <c r="AF249" s="89">
        <v>0</v>
      </c>
      <c r="AG249" s="89">
        <v>0</v>
      </c>
      <c r="AH249" s="89">
        <v>0</v>
      </c>
      <c r="AI249" s="89">
        <v>0</v>
      </c>
      <c r="AJ249" s="89">
        <v>0</v>
      </c>
    </row>
    <row r="250" spans="1:36" x14ac:dyDescent="0.3">
      <c r="A250" s="311" t="s">
        <v>212</v>
      </c>
      <c r="B250" s="312">
        <v>46000</v>
      </c>
      <c r="C250" s="88" t="s">
        <v>1295</v>
      </c>
      <c r="D250" s="313" t="s">
        <v>1333</v>
      </c>
      <c r="E250" s="88" t="s">
        <v>1288</v>
      </c>
      <c r="F250" s="88" t="s">
        <v>214</v>
      </c>
      <c r="G250" s="314">
        <v>0.20830000000000001</v>
      </c>
      <c r="H250" s="89">
        <v>168</v>
      </c>
      <c r="I250" s="89">
        <v>35</v>
      </c>
      <c r="J250" s="89">
        <v>0</v>
      </c>
      <c r="K250" s="89" t="s">
        <v>215</v>
      </c>
      <c r="L250" s="315" t="s">
        <v>50</v>
      </c>
      <c r="M250" s="89">
        <v>0</v>
      </c>
      <c r="N250" s="89">
        <v>1</v>
      </c>
      <c r="O250" s="89">
        <v>8</v>
      </c>
      <c r="P250" s="89" t="s">
        <v>353</v>
      </c>
      <c r="Q250" s="89">
        <v>0</v>
      </c>
      <c r="R250" s="89">
        <v>0</v>
      </c>
      <c r="S250" s="89">
        <v>0</v>
      </c>
      <c r="T250" s="89">
        <v>0</v>
      </c>
      <c r="U250" s="89">
        <v>0</v>
      </c>
      <c r="V250" s="89">
        <v>0</v>
      </c>
      <c r="W250" s="89">
        <v>0</v>
      </c>
      <c r="X250" s="89">
        <v>0</v>
      </c>
      <c r="Y250" s="89">
        <v>0</v>
      </c>
      <c r="Z250" s="89">
        <v>7</v>
      </c>
      <c r="AA250" s="89">
        <v>0</v>
      </c>
      <c r="AB250" s="89">
        <v>0</v>
      </c>
      <c r="AC250" s="89">
        <v>7</v>
      </c>
      <c r="AD250" s="89">
        <v>4</v>
      </c>
      <c r="AE250" s="89">
        <v>1</v>
      </c>
      <c r="AF250" s="89">
        <v>16</v>
      </c>
      <c r="AG250" s="89">
        <v>0</v>
      </c>
      <c r="AH250" s="89">
        <v>0</v>
      </c>
      <c r="AI250" s="89">
        <v>0</v>
      </c>
      <c r="AJ250" s="89">
        <v>0</v>
      </c>
    </row>
    <row r="251" spans="1:36" x14ac:dyDescent="0.3">
      <c r="A251" s="311" t="s">
        <v>212</v>
      </c>
      <c r="B251" s="312">
        <v>46000</v>
      </c>
      <c r="C251" s="88" t="s">
        <v>1426</v>
      </c>
      <c r="D251" s="313" t="s">
        <v>1454</v>
      </c>
      <c r="E251" s="88" t="s">
        <v>1422</v>
      </c>
      <c r="F251" s="88" t="s">
        <v>214</v>
      </c>
      <c r="G251" s="314">
        <v>0.87150000000000005</v>
      </c>
      <c r="H251" s="89">
        <v>179</v>
      </c>
      <c r="I251" s="89">
        <v>156</v>
      </c>
      <c r="J251" s="89">
        <v>142</v>
      </c>
      <c r="K251" s="89" t="s">
        <v>215</v>
      </c>
      <c r="L251" s="315" t="s">
        <v>50</v>
      </c>
      <c r="M251" s="89">
        <v>0</v>
      </c>
      <c r="N251" s="89">
        <v>3</v>
      </c>
      <c r="O251" s="89">
        <v>11</v>
      </c>
      <c r="P251" s="89" t="s">
        <v>846</v>
      </c>
      <c r="Q251" s="89">
        <v>0</v>
      </c>
      <c r="R251" s="89">
        <v>0</v>
      </c>
      <c r="S251" s="89">
        <v>0</v>
      </c>
      <c r="T251" s="89">
        <v>0</v>
      </c>
      <c r="U251" s="89">
        <v>0</v>
      </c>
      <c r="V251" s="89">
        <v>0</v>
      </c>
      <c r="W251" s="89">
        <v>0</v>
      </c>
      <c r="X251" s="89">
        <v>0</v>
      </c>
      <c r="Y251" s="89">
        <v>0</v>
      </c>
      <c r="Z251" s="89">
        <v>0</v>
      </c>
      <c r="AA251" s="89">
        <v>13</v>
      </c>
      <c r="AB251" s="89">
        <v>0</v>
      </c>
      <c r="AC251" s="89">
        <v>0</v>
      </c>
      <c r="AD251" s="89">
        <v>0</v>
      </c>
      <c r="AE251" s="89">
        <v>0</v>
      </c>
      <c r="AF251" s="89">
        <v>0</v>
      </c>
      <c r="AG251" s="89">
        <v>0</v>
      </c>
      <c r="AH251" s="89">
        <v>0</v>
      </c>
      <c r="AI251" s="89">
        <v>143</v>
      </c>
      <c r="AJ251" s="89">
        <v>0</v>
      </c>
    </row>
    <row r="252" spans="1:36" x14ac:dyDescent="0.3">
      <c r="A252" s="311" t="s">
        <v>212</v>
      </c>
      <c r="B252" s="312">
        <v>46000</v>
      </c>
      <c r="C252" s="88" t="s">
        <v>810</v>
      </c>
      <c r="D252" s="313" t="s">
        <v>928</v>
      </c>
      <c r="E252" s="88" t="s">
        <v>793</v>
      </c>
      <c r="F252" s="88" t="s">
        <v>214</v>
      </c>
      <c r="G252" s="314">
        <v>1.0238</v>
      </c>
      <c r="H252" s="89">
        <v>168</v>
      </c>
      <c r="I252" s="89">
        <v>172</v>
      </c>
      <c r="J252" s="89">
        <v>166</v>
      </c>
      <c r="K252" s="89" t="s">
        <v>215</v>
      </c>
      <c r="L252" s="315" t="s">
        <v>63</v>
      </c>
      <c r="M252" s="89">
        <v>0</v>
      </c>
      <c r="N252" s="89">
        <v>0</v>
      </c>
      <c r="O252" s="89">
        <v>42</v>
      </c>
      <c r="P252" s="89" t="s">
        <v>64</v>
      </c>
      <c r="Q252" s="89">
        <v>0</v>
      </c>
      <c r="R252" s="89">
        <v>0</v>
      </c>
      <c r="S252" s="89">
        <v>0</v>
      </c>
      <c r="T252" s="89">
        <v>0</v>
      </c>
      <c r="U252" s="89">
        <v>0</v>
      </c>
      <c r="V252" s="89">
        <v>0</v>
      </c>
      <c r="W252" s="89">
        <v>0</v>
      </c>
      <c r="X252" s="89">
        <v>0</v>
      </c>
      <c r="Y252" s="89">
        <v>0</v>
      </c>
      <c r="Z252" s="89">
        <v>1</v>
      </c>
      <c r="AA252" s="89">
        <v>0</v>
      </c>
      <c r="AB252" s="89">
        <v>0</v>
      </c>
      <c r="AC252" s="89">
        <v>0</v>
      </c>
      <c r="AD252" s="89">
        <v>0</v>
      </c>
      <c r="AE252" s="89">
        <v>5</v>
      </c>
      <c r="AF252" s="89">
        <v>0</v>
      </c>
      <c r="AG252" s="89">
        <v>41</v>
      </c>
      <c r="AH252" s="89">
        <v>0</v>
      </c>
      <c r="AI252" s="89">
        <v>125</v>
      </c>
      <c r="AJ252" s="89">
        <v>0</v>
      </c>
    </row>
    <row r="253" spans="1:36" x14ac:dyDescent="0.3">
      <c r="A253" s="311" t="s">
        <v>212</v>
      </c>
      <c r="B253" s="312">
        <v>46000</v>
      </c>
      <c r="C253" s="88" t="s">
        <v>935</v>
      </c>
      <c r="D253" s="313" t="s">
        <v>1003</v>
      </c>
      <c r="E253" s="88" t="s">
        <v>934</v>
      </c>
      <c r="F253" s="88" t="s">
        <v>214</v>
      </c>
      <c r="G253" s="314">
        <v>0.33329999999999999</v>
      </c>
      <c r="H253" s="89">
        <v>168</v>
      </c>
      <c r="I253" s="89">
        <v>56</v>
      </c>
      <c r="J253" s="89">
        <v>45</v>
      </c>
      <c r="K253" s="89" t="s">
        <v>215</v>
      </c>
      <c r="L253" s="315" t="s">
        <v>175</v>
      </c>
      <c r="M253" s="89">
        <v>2</v>
      </c>
      <c r="N253" s="89">
        <v>0</v>
      </c>
      <c r="O253" s="89">
        <v>8</v>
      </c>
      <c r="P253" s="89" t="s">
        <v>335</v>
      </c>
      <c r="Q253" s="89">
        <v>0</v>
      </c>
      <c r="R253" s="89">
        <v>0</v>
      </c>
      <c r="S253" s="89">
        <v>0</v>
      </c>
      <c r="T253" s="89">
        <v>0</v>
      </c>
      <c r="U253" s="89">
        <v>0</v>
      </c>
      <c r="V253" s="89">
        <v>0</v>
      </c>
      <c r="W253" s="89">
        <v>0</v>
      </c>
      <c r="X253" s="89">
        <v>0</v>
      </c>
      <c r="Y253" s="89">
        <v>0</v>
      </c>
      <c r="Z253" s="89">
        <v>1</v>
      </c>
      <c r="AA253" s="89">
        <v>0</v>
      </c>
      <c r="AB253" s="89">
        <v>0</v>
      </c>
      <c r="AC253" s="89">
        <v>0</v>
      </c>
      <c r="AD253" s="89">
        <v>6</v>
      </c>
      <c r="AE253" s="89">
        <v>0</v>
      </c>
      <c r="AF253" s="89">
        <v>4</v>
      </c>
      <c r="AG253" s="89">
        <v>0</v>
      </c>
      <c r="AH253" s="89">
        <v>0</v>
      </c>
      <c r="AI253" s="89">
        <v>45</v>
      </c>
      <c r="AJ253" s="89">
        <v>0</v>
      </c>
    </row>
    <row r="254" spans="1:36" x14ac:dyDescent="0.3">
      <c r="A254" s="311" t="s">
        <v>212</v>
      </c>
      <c r="B254" s="312">
        <v>46000</v>
      </c>
      <c r="C254" s="88" t="s">
        <v>938</v>
      </c>
      <c r="D254" s="313" t="s">
        <v>914</v>
      </c>
      <c r="E254" s="88" t="s">
        <v>934</v>
      </c>
      <c r="F254" s="88" t="s">
        <v>214</v>
      </c>
      <c r="G254" s="314">
        <v>0.35709999999999997</v>
      </c>
      <c r="H254" s="89">
        <v>168</v>
      </c>
      <c r="I254" s="89">
        <v>60</v>
      </c>
      <c r="J254" s="89">
        <v>51</v>
      </c>
      <c r="K254" s="89" t="s">
        <v>215</v>
      </c>
      <c r="L254" s="315" t="s">
        <v>175</v>
      </c>
      <c r="M254" s="89">
        <v>3</v>
      </c>
      <c r="N254" s="89">
        <v>2</v>
      </c>
      <c r="O254" s="89">
        <v>9</v>
      </c>
      <c r="P254" s="89" t="s">
        <v>217</v>
      </c>
      <c r="Q254" s="89">
        <v>0</v>
      </c>
      <c r="R254" s="89">
        <v>0</v>
      </c>
      <c r="S254" s="89">
        <v>0</v>
      </c>
      <c r="T254" s="89">
        <v>0</v>
      </c>
      <c r="U254" s="89">
        <v>0</v>
      </c>
      <c r="V254" s="89">
        <v>0</v>
      </c>
      <c r="W254" s="89">
        <v>0</v>
      </c>
      <c r="X254" s="89">
        <v>0</v>
      </c>
      <c r="Y254" s="89">
        <v>0</v>
      </c>
      <c r="Z254" s="89">
        <v>0</v>
      </c>
      <c r="AA254" s="89">
        <v>0</v>
      </c>
      <c r="AB254" s="89">
        <v>1</v>
      </c>
      <c r="AC254" s="89">
        <v>0</v>
      </c>
      <c r="AD254" s="89">
        <v>2</v>
      </c>
      <c r="AE254" s="89">
        <v>0</v>
      </c>
      <c r="AF254" s="89">
        <v>6</v>
      </c>
      <c r="AG254" s="89">
        <v>0</v>
      </c>
      <c r="AH254" s="89">
        <v>0</v>
      </c>
      <c r="AI254" s="89">
        <v>51</v>
      </c>
      <c r="AJ254" s="89">
        <v>0</v>
      </c>
    </row>
    <row r="255" spans="1:36" x14ac:dyDescent="0.3">
      <c r="A255" s="311" t="s">
        <v>212</v>
      </c>
      <c r="B255" s="312">
        <v>46000</v>
      </c>
      <c r="C255" s="88" t="s">
        <v>430</v>
      </c>
      <c r="D255" s="313" t="s">
        <v>694</v>
      </c>
      <c r="E255" s="88" t="s">
        <v>403</v>
      </c>
      <c r="F255" s="88" t="s">
        <v>214</v>
      </c>
      <c r="G255" s="314">
        <v>0.5363</v>
      </c>
      <c r="H255" s="89">
        <v>179</v>
      </c>
      <c r="I255" s="89">
        <v>96</v>
      </c>
      <c r="J255" s="89">
        <v>76</v>
      </c>
      <c r="K255" s="89" t="s">
        <v>215</v>
      </c>
      <c r="L255" s="315" t="s">
        <v>378</v>
      </c>
      <c r="M255" s="89">
        <v>0</v>
      </c>
      <c r="N255" s="89">
        <v>0</v>
      </c>
      <c r="O255" s="89">
        <v>7</v>
      </c>
      <c r="P255" s="89" t="s">
        <v>237</v>
      </c>
      <c r="Q255" s="89">
        <v>0</v>
      </c>
      <c r="R255" s="89">
        <v>0</v>
      </c>
      <c r="S255" s="89">
        <v>0</v>
      </c>
      <c r="T255" s="89">
        <v>0</v>
      </c>
      <c r="U255" s="89">
        <v>0</v>
      </c>
      <c r="V255" s="89">
        <v>0</v>
      </c>
      <c r="W255" s="89">
        <v>0</v>
      </c>
      <c r="X255" s="89">
        <v>0</v>
      </c>
      <c r="Y255" s="89">
        <v>0</v>
      </c>
      <c r="Z255" s="89">
        <v>2</v>
      </c>
      <c r="AA255" s="89">
        <v>0</v>
      </c>
      <c r="AB255" s="89">
        <v>0</v>
      </c>
      <c r="AC255" s="89">
        <v>1</v>
      </c>
      <c r="AD255" s="89">
        <v>0</v>
      </c>
      <c r="AE255" s="89">
        <v>7</v>
      </c>
      <c r="AF255" s="89">
        <v>10</v>
      </c>
      <c r="AG255" s="89">
        <v>0</v>
      </c>
      <c r="AH255" s="89">
        <v>0</v>
      </c>
      <c r="AI255" s="89">
        <v>76</v>
      </c>
      <c r="AJ255" s="89">
        <v>0</v>
      </c>
    </row>
    <row r="256" spans="1:36" x14ac:dyDescent="0.3">
      <c r="A256" s="311" t="s">
        <v>212</v>
      </c>
      <c r="B256" s="312">
        <v>46000</v>
      </c>
      <c r="C256" s="88" t="s">
        <v>1265</v>
      </c>
      <c r="D256" s="313" t="s">
        <v>691</v>
      </c>
      <c r="E256" s="88" t="s">
        <v>1263</v>
      </c>
      <c r="F256" s="88" t="s">
        <v>214</v>
      </c>
      <c r="G256" s="314">
        <v>0.17860000000000001</v>
      </c>
      <c r="H256" s="89">
        <v>168</v>
      </c>
      <c r="I256" s="89">
        <v>30</v>
      </c>
      <c r="J256" s="89">
        <v>0</v>
      </c>
      <c r="K256" s="89" t="s">
        <v>215</v>
      </c>
      <c r="L256" s="315" t="s">
        <v>311</v>
      </c>
      <c r="M256" s="89">
        <v>0</v>
      </c>
      <c r="N256" s="89">
        <v>0</v>
      </c>
      <c r="O256" s="89">
        <v>12</v>
      </c>
      <c r="P256" s="89" t="s">
        <v>364</v>
      </c>
      <c r="Q256" s="89">
        <v>0</v>
      </c>
      <c r="R256" s="89">
        <v>0</v>
      </c>
      <c r="S256" s="89">
        <v>0</v>
      </c>
      <c r="T256" s="89">
        <v>0</v>
      </c>
      <c r="U256" s="89">
        <v>0</v>
      </c>
      <c r="V256" s="89">
        <v>0</v>
      </c>
      <c r="W256" s="89">
        <v>0</v>
      </c>
      <c r="X256" s="89">
        <v>0</v>
      </c>
      <c r="Y256" s="89">
        <v>0</v>
      </c>
      <c r="Z256" s="89">
        <v>0</v>
      </c>
      <c r="AA256" s="89">
        <v>0</v>
      </c>
      <c r="AB256" s="89">
        <v>0</v>
      </c>
      <c r="AC256" s="89">
        <v>0</v>
      </c>
      <c r="AD256" s="89">
        <v>4</v>
      </c>
      <c r="AE256" s="89">
        <v>26</v>
      </c>
      <c r="AF256" s="89">
        <v>0</v>
      </c>
      <c r="AG256" s="89">
        <v>0</v>
      </c>
      <c r="AH256" s="89">
        <v>0</v>
      </c>
      <c r="AI256" s="89">
        <v>0</v>
      </c>
      <c r="AJ256" s="89">
        <v>0</v>
      </c>
    </row>
    <row r="257" spans="1:36" x14ac:dyDescent="0.3">
      <c r="A257" s="311" t="s">
        <v>212</v>
      </c>
      <c r="B257" s="312">
        <v>46000</v>
      </c>
      <c r="C257" s="88" t="s">
        <v>1122</v>
      </c>
      <c r="D257" s="313" t="s">
        <v>1244</v>
      </c>
      <c r="E257" s="88" t="s">
        <v>1098</v>
      </c>
      <c r="F257" s="88" t="s">
        <v>214</v>
      </c>
      <c r="G257" s="314">
        <v>7.1400000000000005E-2</v>
      </c>
      <c r="H257" s="89">
        <v>168</v>
      </c>
      <c r="I257" s="89">
        <v>12</v>
      </c>
      <c r="J257" s="89">
        <v>0</v>
      </c>
      <c r="K257" s="89" t="s">
        <v>215</v>
      </c>
      <c r="L257" s="315" t="s">
        <v>63</v>
      </c>
      <c r="M257" s="89">
        <v>0</v>
      </c>
      <c r="N257" s="89">
        <v>0</v>
      </c>
      <c r="O257" s="89">
        <v>4</v>
      </c>
      <c r="P257" s="89" t="s">
        <v>353</v>
      </c>
      <c r="Q257" s="89">
        <v>0</v>
      </c>
      <c r="R257" s="89">
        <v>0</v>
      </c>
      <c r="S257" s="89">
        <v>0</v>
      </c>
      <c r="T257" s="89">
        <v>0</v>
      </c>
      <c r="U257" s="89">
        <v>0</v>
      </c>
      <c r="V257" s="89">
        <v>0</v>
      </c>
      <c r="W257" s="89">
        <v>0</v>
      </c>
      <c r="X257" s="89">
        <v>0</v>
      </c>
      <c r="Y257" s="89">
        <v>0</v>
      </c>
      <c r="Z257" s="89">
        <v>1</v>
      </c>
      <c r="AA257" s="89">
        <v>0</v>
      </c>
      <c r="AB257" s="89">
        <v>0</v>
      </c>
      <c r="AC257" s="89">
        <v>0</v>
      </c>
      <c r="AD257" s="89">
        <v>5</v>
      </c>
      <c r="AE257" s="89">
        <v>2</v>
      </c>
      <c r="AF257" s="89">
        <v>4</v>
      </c>
      <c r="AG257" s="89">
        <v>0</v>
      </c>
      <c r="AH257" s="89">
        <v>0</v>
      </c>
      <c r="AI257" s="89">
        <v>0</v>
      </c>
      <c r="AJ257" s="89">
        <v>0</v>
      </c>
    </row>
    <row r="258" spans="1:36" x14ac:dyDescent="0.3">
      <c r="A258" s="311" t="s">
        <v>212</v>
      </c>
      <c r="B258" s="312">
        <v>46000</v>
      </c>
      <c r="C258" s="88" t="s">
        <v>420</v>
      </c>
      <c r="D258" s="313" t="s">
        <v>681</v>
      </c>
      <c r="E258" s="88" t="s">
        <v>403</v>
      </c>
      <c r="F258" s="88" t="s">
        <v>214</v>
      </c>
      <c r="G258" s="314">
        <v>9.5000000000000001E-2</v>
      </c>
      <c r="H258" s="89">
        <v>179</v>
      </c>
      <c r="I258" s="89">
        <v>17</v>
      </c>
      <c r="J258" s="89">
        <v>0</v>
      </c>
      <c r="K258" s="89" t="s">
        <v>215</v>
      </c>
      <c r="L258" s="315" t="s">
        <v>175</v>
      </c>
      <c r="M258" s="89">
        <v>2</v>
      </c>
      <c r="N258" s="89">
        <v>1</v>
      </c>
      <c r="O258" s="89">
        <v>6</v>
      </c>
      <c r="P258" s="89" t="s">
        <v>356</v>
      </c>
      <c r="Q258" s="89">
        <v>0</v>
      </c>
      <c r="R258" s="89">
        <v>0</v>
      </c>
      <c r="S258" s="89">
        <v>0</v>
      </c>
      <c r="T258" s="89">
        <v>0</v>
      </c>
      <c r="U258" s="89">
        <v>0</v>
      </c>
      <c r="V258" s="89">
        <v>0</v>
      </c>
      <c r="W258" s="89">
        <v>0</v>
      </c>
      <c r="X258" s="89">
        <v>0</v>
      </c>
      <c r="Y258" s="89">
        <v>0</v>
      </c>
      <c r="Z258" s="89">
        <v>0</v>
      </c>
      <c r="AA258" s="89">
        <v>0</v>
      </c>
      <c r="AB258" s="89">
        <v>0</v>
      </c>
      <c r="AC258" s="89">
        <v>2</v>
      </c>
      <c r="AD258" s="89">
        <v>0</v>
      </c>
      <c r="AE258" s="89">
        <v>0</v>
      </c>
      <c r="AF258" s="89">
        <v>15</v>
      </c>
      <c r="AG258" s="89">
        <v>0</v>
      </c>
      <c r="AH258" s="89">
        <v>0</v>
      </c>
      <c r="AI258" s="89">
        <v>0</v>
      </c>
      <c r="AJ258" s="89">
        <v>0</v>
      </c>
    </row>
    <row r="259" spans="1:36" x14ac:dyDescent="0.3">
      <c r="A259" s="311" t="s">
        <v>212</v>
      </c>
      <c r="B259" s="312">
        <v>46000</v>
      </c>
      <c r="C259" s="88" t="s">
        <v>417</v>
      </c>
      <c r="D259" s="313" t="s">
        <v>699</v>
      </c>
      <c r="E259" s="88" t="s">
        <v>403</v>
      </c>
      <c r="F259" s="88" t="s">
        <v>214</v>
      </c>
      <c r="G259" s="314">
        <v>0.1173</v>
      </c>
      <c r="H259" s="89">
        <v>179</v>
      </c>
      <c r="I259" s="89">
        <v>21</v>
      </c>
      <c r="J259" s="89">
        <v>0</v>
      </c>
      <c r="K259" s="89" t="s">
        <v>215</v>
      </c>
      <c r="L259" s="315" t="s">
        <v>311</v>
      </c>
      <c r="M259" s="89">
        <v>0</v>
      </c>
      <c r="N259" s="89">
        <v>0</v>
      </c>
      <c r="O259" s="89">
        <v>11</v>
      </c>
      <c r="P259" s="89" t="s">
        <v>237</v>
      </c>
      <c r="Q259" s="89">
        <v>0</v>
      </c>
      <c r="R259" s="89">
        <v>0</v>
      </c>
      <c r="S259" s="89">
        <v>0</v>
      </c>
      <c r="T259" s="89">
        <v>0</v>
      </c>
      <c r="U259" s="89">
        <v>0</v>
      </c>
      <c r="V259" s="89">
        <v>0</v>
      </c>
      <c r="W259" s="89">
        <v>0</v>
      </c>
      <c r="X259" s="89">
        <v>0</v>
      </c>
      <c r="Y259" s="89">
        <v>0</v>
      </c>
      <c r="Z259" s="89">
        <v>0</v>
      </c>
      <c r="AA259" s="89">
        <v>0</v>
      </c>
      <c r="AB259" s="89">
        <v>0</v>
      </c>
      <c r="AC259" s="89">
        <v>0</v>
      </c>
      <c r="AD259" s="89">
        <v>2</v>
      </c>
      <c r="AE259" s="89">
        <v>9</v>
      </c>
      <c r="AF259" s="89">
        <v>10</v>
      </c>
      <c r="AG259" s="89">
        <v>0</v>
      </c>
      <c r="AH259" s="89">
        <v>0</v>
      </c>
      <c r="AI259" s="89">
        <v>0</v>
      </c>
      <c r="AJ259" s="89">
        <v>0</v>
      </c>
    </row>
    <row r="260" spans="1:36" x14ac:dyDescent="0.3">
      <c r="A260" s="311" t="s">
        <v>212</v>
      </c>
      <c r="B260" s="312">
        <v>46000</v>
      </c>
      <c r="C260" s="88" t="s">
        <v>427</v>
      </c>
      <c r="D260" s="313" t="s">
        <v>691</v>
      </c>
      <c r="E260" s="88" t="s">
        <v>403</v>
      </c>
      <c r="F260" s="88" t="s">
        <v>214</v>
      </c>
      <c r="G260" s="314">
        <v>0.83799999999999997</v>
      </c>
      <c r="H260" s="89">
        <v>179</v>
      </c>
      <c r="I260" s="89">
        <v>150</v>
      </c>
      <c r="J260" s="89">
        <v>135</v>
      </c>
      <c r="K260" s="89" t="s">
        <v>215</v>
      </c>
      <c r="L260" s="315" t="s">
        <v>378</v>
      </c>
      <c r="M260" s="89">
        <v>0</v>
      </c>
      <c r="N260" s="89">
        <v>0</v>
      </c>
      <c r="O260" s="89">
        <v>6</v>
      </c>
      <c r="P260" s="89" t="s">
        <v>526</v>
      </c>
      <c r="Q260" s="89">
        <v>0</v>
      </c>
      <c r="R260" s="89">
        <v>0</v>
      </c>
      <c r="S260" s="89">
        <v>0</v>
      </c>
      <c r="T260" s="89">
        <v>0</v>
      </c>
      <c r="U260" s="89">
        <v>0</v>
      </c>
      <c r="V260" s="89">
        <v>0</v>
      </c>
      <c r="W260" s="89">
        <v>0</v>
      </c>
      <c r="X260" s="89">
        <v>0</v>
      </c>
      <c r="Y260" s="89">
        <v>0</v>
      </c>
      <c r="Z260" s="89">
        <v>0</v>
      </c>
      <c r="AA260" s="89">
        <v>0</v>
      </c>
      <c r="AB260" s="89">
        <v>0</v>
      </c>
      <c r="AC260" s="89">
        <v>0</v>
      </c>
      <c r="AD260" s="89">
        <v>0</v>
      </c>
      <c r="AE260" s="89">
        <v>5</v>
      </c>
      <c r="AF260" s="89">
        <v>10</v>
      </c>
      <c r="AG260" s="89">
        <v>45</v>
      </c>
      <c r="AH260" s="89">
        <v>0</v>
      </c>
      <c r="AI260" s="89">
        <v>90</v>
      </c>
      <c r="AJ260" s="89">
        <v>0</v>
      </c>
    </row>
    <row r="261" spans="1:36" x14ac:dyDescent="0.3">
      <c r="A261" s="311" t="s">
        <v>212</v>
      </c>
      <c r="B261" s="312">
        <v>46000</v>
      </c>
      <c r="C261" s="88" t="s">
        <v>432</v>
      </c>
      <c r="D261" s="313" t="s">
        <v>686</v>
      </c>
      <c r="E261" s="88" t="s">
        <v>403</v>
      </c>
      <c r="F261" s="88" t="s">
        <v>214</v>
      </c>
      <c r="G261" s="314">
        <v>0.57540000000000002</v>
      </c>
      <c r="H261" s="89">
        <v>179</v>
      </c>
      <c r="I261" s="89">
        <v>103</v>
      </c>
      <c r="J261" s="89">
        <v>90</v>
      </c>
      <c r="K261" s="89" t="s">
        <v>215</v>
      </c>
      <c r="L261" s="315" t="s">
        <v>50</v>
      </c>
      <c r="M261" s="89">
        <v>0</v>
      </c>
      <c r="N261" s="89">
        <v>2</v>
      </c>
      <c r="O261" s="89">
        <v>3</v>
      </c>
      <c r="P261" s="89" t="s">
        <v>547</v>
      </c>
      <c r="Q261" s="89">
        <v>0</v>
      </c>
      <c r="R261" s="89">
        <v>0</v>
      </c>
      <c r="S261" s="89">
        <v>0</v>
      </c>
      <c r="T261" s="89">
        <v>0</v>
      </c>
      <c r="U261" s="89">
        <v>0</v>
      </c>
      <c r="V261" s="89">
        <v>0</v>
      </c>
      <c r="W261" s="89">
        <v>0</v>
      </c>
      <c r="X261" s="89">
        <v>0</v>
      </c>
      <c r="Y261" s="89">
        <v>0</v>
      </c>
      <c r="Z261" s="89">
        <v>0</v>
      </c>
      <c r="AA261" s="89">
        <v>0</v>
      </c>
      <c r="AB261" s="89">
        <v>0</v>
      </c>
      <c r="AC261" s="89">
        <v>0</v>
      </c>
      <c r="AD261" s="89">
        <v>0</v>
      </c>
      <c r="AE261" s="89">
        <v>0</v>
      </c>
      <c r="AF261" s="89">
        <v>13</v>
      </c>
      <c r="AG261" s="89">
        <v>0</v>
      </c>
      <c r="AH261" s="89">
        <v>0</v>
      </c>
      <c r="AI261" s="89">
        <v>90</v>
      </c>
      <c r="AJ261" s="89">
        <v>0</v>
      </c>
    </row>
    <row r="262" spans="1:36" x14ac:dyDescent="0.3">
      <c r="A262" s="311" t="s">
        <v>212</v>
      </c>
      <c r="B262" s="312">
        <v>46000</v>
      </c>
      <c r="C262" s="88" t="s">
        <v>1034</v>
      </c>
      <c r="D262" s="313" t="s">
        <v>712</v>
      </c>
      <c r="E262" s="88" t="s">
        <v>1033</v>
      </c>
      <c r="F262" s="88" t="s">
        <v>214</v>
      </c>
      <c r="G262" s="314">
        <v>0</v>
      </c>
      <c r="H262" s="89">
        <v>168</v>
      </c>
      <c r="I262" s="89">
        <v>0</v>
      </c>
      <c r="J262" s="89">
        <v>0</v>
      </c>
      <c r="K262" s="89" t="s">
        <v>215</v>
      </c>
      <c r="L262" s="315" t="s">
        <v>1047</v>
      </c>
      <c r="M262" s="89">
        <v>0</v>
      </c>
      <c r="N262" s="89">
        <v>0</v>
      </c>
      <c r="O262" s="89">
        <v>0</v>
      </c>
      <c r="P262" s="89" t="s">
        <v>64</v>
      </c>
      <c r="Q262" s="89">
        <v>0</v>
      </c>
      <c r="R262" s="89">
        <v>0</v>
      </c>
      <c r="S262" s="89">
        <v>0</v>
      </c>
      <c r="T262" s="89">
        <v>0</v>
      </c>
      <c r="U262" s="89">
        <v>0</v>
      </c>
      <c r="V262" s="89">
        <v>0</v>
      </c>
      <c r="W262" s="89">
        <v>0</v>
      </c>
      <c r="X262" s="89">
        <v>0</v>
      </c>
      <c r="Y262" s="89">
        <v>0</v>
      </c>
      <c r="Z262" s="89">
        <v>0</v>
      </c>
      <c r="AA262" s="89">
        <v>0</v>
      </c>
      <c r="AB262" s="89">
        <v>0</v>
      </c>
      <c r="AC262" s="89">
        <v>0</v>
      </c>
      <c r="AD262" s="89">
        <v>0</v>
      </c>
      <c r="AE262" s="89">
        <v>0</v>
      </c>
      <c r="AF262" s="89">
        <v>0</v>
      </c>
      <c r="AG262" s="89">
        <v>0</v>
      </c>
      <c r="AH262" s="89">
        <v>0</v>
      </c>
      <c r="AI262" s="89">
        <v>0</v>
      </c>
      <c r="AJ262" s="89">
        <v>0</v>
      </c>
    </row>
    <row r="263" spans="1:36" x14ac:dyDescent="0.3">
      <c r="A263" s="311" t="s">
        <v>212</v>
      </c>
      <c r="B263" s="312">
        <v>46000</v>
      </c>
      <c r="C263" s="88" t="s">
        <v>1040</v>
      </c>
      <c r="D263" s="313" t="s">
        <v>911</v>
      </c>
      <c r="E263" s="88" t="s">
        <v>1033</v>
      </c>
      <c r="F263" s="88" t="s">
        <v>214</v>
      </c>
      <c r="G263" s="314">
        <v>0.27379999999999999</v>
      </c>
      <c r="H263" s="89">
        <v>168</v>
      </c>
      <c r="I263" s="89">
        <v>46</v>
      </c>
      <c r="J263" s="89">
        <v>46</v>
      </c>
      <c r="K263" s="89" t="s">
        <v>215</v>
      </c>
      <c r="L263" s="315" t="s">
        <v>311</v>
      </c>
      <c r="M263" s="89">
        <v>0</v>
      </c>
      <c r="N263" s="89">
        <v>0</v>
      </c>
      <c r="O263" s="89">
        <v>48</v>
      </c>
      <c r="P263" s="89" t="s">
        <v>64</v>
      </c>
      <c r="Q263" s="89">
        <v>0</v>
      </c>
      <c r="R263" s="89">
        <v>0</v>
      </c>
      <c r="S263" s="89">
        <v>0</v>
      </c>
      <c r="T263" s="89">
        <v>0</v>
      </c>
      <c r="U263" s="89">
        <v>0</v>
      </c>
      <c r="V263" s="89">
        <v>0</v>
      </c>
      <c r="W263" s="89">
        <v>0</v>
      </c>
      <c r="X263" s="89">
        <v>0</v>
      </c>
      <c r="Y263" s="89">
        <v>0</v>
      </c>
      <c r="Z263" s="89">
        <v>0</v>
      </c>
      <c r="AA263" s="89">
        <v>0</v>
      </c>
      <c r="AB263" s="89">
        <v>0</v>
      </c>
      <c r="AC263" s="89">
        <v>46</v>
      </c>
      <c r="AD263" s="89">
        <v>0</v>
      </c>
      <c r="AE263" s="89">
        <v>0</v>
      </c>
      <c r="AF263" s="89">
        <v>0</v>
      </c>
      <c r="AG263" s="89">
        <v>0</v>
      </c>
      <c r="AH263" s="89">
        <v>0</v>
      </c>
      <c r="AI263" s="89">
        <v>0</v>
      </c>
      <c r="AJ263" s="89">
        <v>0</v>
      </c>
    </row>
    <row r="264" spans="1:36" x14ac:dyDescent="0.3">
      <c r="A264" s="311" t="s">
        <v>212</v>
      </c>
      <c r="B264" s="312">
        <v>46000</v>
      </c>
      <c r="C264" s="88" t="s">
        <v>298</v>
      </c>
      <c r="D264" s="313" t="s">
        <v>325</v>
      </c>
      <c r="E264" s="88" t="s">
        <v>295</v>
      </c>
      <c r="F264" s="88" t="s">
        <v>214</v>
      </c>
      <c r="G264" s="314">
        <v>0.98880000000000001</v>
      </c>
      <c r="H264" s="89">
        <v>179</v>
      </c>
      <c r="I264" s="89">
        <v>177</v>
      </c>
      <c r="J264" s="89">
        <v>161</v>
      </c>
      <c r="K264" s="89" t="s">
        <v>215</v>
      </c>
      <c r="L264" s="315" t="s">
        <v>175</v>
      </c>
      <c r="M264" s="89">
        <v>4</v>
      </c>
      <c r="N264" s="89">
        <v>0</v>
      </c>
      <c r="O264" s="89">
        <v>9</v>
      </c>
      <c r="P264" s="89" t="s">
        <v>173</v>
      </c>
      <c r="Q264" s="89">
        <v>0</v>
      </c>
      <c r="R264" s="89">
        <v>0</v>
      </c>
      <c r="S264" s="89">
        <v>0</v>
      </c>
      <c r="T264" s="89">
        <v>0</v>
      </c>
      <c r="U264" s="89">
        <v>0</v>
      </c>
      <c r="V264" s="89">
        <v>0</v>
      </c>
      <c r="W264" s="89">
        <v>0</v>
      </c>
      <c r="X264" s="89">
        <v>0</v>
      </c>
      <c r="Y264" s="89">
        <v>9</v>
      </c>
      <c r="Z264" s="89">
        <v>2</v>
      </c>
      <c r="AA264" s="89">
        <v>0</v>
      </c>
      <c r="AB264" s="89">
        <v>0</v>
      </c>
      <c r="AC264" s="89">
        <v>0</v>
      </c>
      <c r="AD264" s="89">
        <v>0</v>
      </c>
      <c r="AE264" s="89">
        <v>0</v>
      </c>
      <c r="AF264" s="89">
        <v>5</v>
      </c>
      <c r="AG264" s="89">
        <v>0</v>
      </c>
      <c r="AH264" s="89">
        <v>0</v>
      </c>
      <c r="AI264" s="89">
        <v>161</v>
      </c>
      <c r="AJ264" s="89">
        <v>0</v>
      </c>
    </row>
    <row r="265" spans="1:36" x14ac:dyDescent="0.3">
      <c r="A265" s="311" t="s">
        <v>212</v>
      </c>
      <c r="B265" s="312">
        <v>46000</v>
      </c>
      <c r="C265" s="88" t="s">
        <v>49</v>
      </c>
      <c r="D265" s="313" t="s">
        <v>220</v>
      </c>
      <c r="E265" s="88" t="s">
        <v>1</v>
      </c>
      <c r="F265" s="88" t="s">
        <v>214</v>
      </c>
      <c r="G265" s="314">
        <v>0.98809999999999998</v>
      </c>
      <c r="H265" s="89">
        <v>168</v>
      </c>
      <c r="I265" s="89">
        <v>166</v>
      </c>
      <c r="J265" s="89">
        <v>90</v>
      </c>
      <c r="K265" s="89" t="s">
        <v>215</v>
      </c>
      <c r="L265" s="315" t="s">
        <v>50</v>
      </c>
      <c r="M265" s="89">
        <v>0</v>
      </c>
      <c r="N265" s="89">
        <v>1</v>
      </c>
      <c r="O265" s="89">
        <v>40</v>
      </c>
      <c r="P265" s="89" t="s">
        <v>173</v>
      </c>
      <c r="Q265" s="89">
        <v>0</v>
      </c>
      <c r="R265" s="89">
        <v>0</v>
      </c>
      <c r="S265" s="89">
        <v>0</v>
      </c>
      <c r="T265" s="89">
        <v>0</v>
      </c>
      <c r="U265" s="89">
        <v>0</v>
      </c>
      <c r="V265" s="89">
        <v>0</v>
      </c>
      <c r="W265" s="89">
        <v>0</v>
      </c>
      <c r="X265" s="89">
        <v>0</v>
      </c>
      <c r="Y265" s="89">
        <v>6</v>
      </c>
      <c r="Z265" s="89">
        <v>16</v>
      </c>
      <c r="AA265" s="89">
        <v>4</v>
      </c>
      <c r="AB265" s="89">
        <v>10</v>
      </c>
      <c r="AC265" s="89">
        <v>10</v>
      </c>
      <c r="AD265" s="89">
        <v>10</v>
      </c>
      <c r="AE265" s="89">
        <v>10</v>
      </c>
      <c r="AF265" s="89">
        <v>10</v>
      </c>
      <c r="AG265" s="89">
        <v>0</v>
      </c>
      <c r="AH265" s="89">
        <v>0</v>
      </c>
      <c r="AI265" s="89">
        <v>90</v>
      </c>
      <c r="AJ265" s="89">
        <v>0</v>
      </c>
    </row>
    <row r="266" spans="1:36" x14ac:dyDescent="0.3">
      <c r="A266" s="311" t="s">
        <v>212</v>
      </c>
      <c r="B266" s="312">
        <v>46000</v>
      </c>
      <c r="C266" s="88" t="s">
        <v>60</v>
      </c>
      <c r="D266" s="313" t="s">
        <v>230</v>
      </c>
      <c r="E266" s="88" t="s">
        <v>1</v>
      </c>
      <c r="F266" s="88" t="s">
        <v>214</v>
      </c>
      <c r="G266" s="314">
        <v>1.0119</v>
      </c>
      <c r="H266" s="89">
        <v>168</v>
      </c>
      <c r="I266" s="89">
        <v>170</v>
      </c>
      <c r="J266" s="89">
        <v>129</v>
      </c>
      <c r="K266" s="89" t="s">
        <v>215</v>
      </c>
      <c r="L266" s="315" t="s">
        <v>63</v>
      </c>
      <c r="M266" s="89">
        <v>0</v>
      </c>
      <c r="N266" s="89">
        <v>0</v>
      </c>
      <c r="O266" s="89">
        <v>44</v>
      </c>
      <c r="P266" s="89" t="s">
        <v>64</v>
      </c>
      <c r="Q266" s="89">
        <v>0</v>
      </c>
      <c r="R266" s="89">
        <v>0</v>
      </c>
      <c r="S266" s="89">
        <v>0</v>
      </c>
      <c r="T266" s="89">
        <v>0</v>
      </c>
      <c r="U266" s="89">
        <v>0</v>
      </c>
      <c r="V266" s="89">
        <v>0</v>
      </c>
      <c r="W266" s="89">
        <v>0</v>
      </c>
      <c r="X266" s="89">
        <v>0</v>
      </c>
      <c r="Y266" s="89">
        <v>0</v>
      </c>
      <c r="Z266" s="89">
        <v>4</v>
      </c>
      <c r="AA266" s="89">
        <v>0</v>
      </c>
      <c r="AB266" s="89">
        <v>0</v>
      </c>
      <c r="AC266" s="89">
        <v>0</v>
      </c>
      <c r="AD266" s="89">
        <v>8</v>
      </c>
      <c r="AE266" s="89">
        <v>6</v>
      </c>
      <c r="AF266" s="89">
        <v>19</v>
      </c>
      <c r="AG266" s="89">
        <v>40</v>
      </c>
      <c r="AH266" s="89">
        <v>0</v>
      </c>
      <c r="AI266" s="89">
        <v>89</v>
      </c>
      <c r="AJ266" s="89">
        <v>4</v>
      </c>
    </row>
    <row r="267" spans="1:36" x14ac:dyDescent="0.3">
      <c r="A267" s="311" t="s">
        <v>212</v>
      </c>
      <c r="B267" s="312">
        <v>46000</v>
      </c>
      <c r="C267" s="88" t="s">
        <v>56</v>
      </c>
      <c r="D267" s="313" t="s">
        <v>213</v>
      </c>
      <c r="E267" s="88" t="s">
        <v>1</v>
      </c>
      <c r="F267" s="88" t="s">
        <v>214</v>
      </c>
      <c r="G267" s="314">
        <v>1</v>
      </c>
      <c r="H267" s="89">
        <v>168</v>
      </c>
      <c r="I267" s="89">
        <v>168</v>
      </c>
      <c r="J267" s="89">
        <v>132</v>
      </c>
      <c r="K267" s="89" t="s">
        <v>215</v>
      </c>
      <c r="L267" s="315" t="s">
        <v>175</v>
      </c>
      <c r="M267" s="89">
        <v>2</v>
      </c>
      <c r="N267" s="89">
        <v>0</v>
      </c>
      <c r="O267" s="89">
        <v>4</v>
      </c>
      <c r="P267" s="89" t="s">
        <v>64</v>
      </c>
      <c r="Q267" s="89">
        <v>0</v>
      </c>
      <c r="R267" s="89">
        <v>0</v>
      </c>
      <c r="S267" s="89">
        <v>0</v>
      </c>
      <c r="T267" s="89">
        <v>0</v>
      </c>
      <c r="U267" s="89">
        <v>0</v>
      </c>
      <c r="V267" s="89">
        <v>0</v>
      </c>
      <c r="W267" s="89">
        <v>0</v>
      </c>
      <c r="X267" s="89">
        <v>0</v>
      </c>
      <c r="Y267" s="89">
        <v>0</v>
      </c>
      <c r="Z267" s="89">
        <v>1</v>
      </c>
      <c r="AA267" s="89">
        <v>0</v>
      </c>
      <c r="AB267" s="89">
        <v>0</v>
      </c>
      <c r="AC267" s="89">
        <v>3</v>
      </c>
      <c r="AD267" s="89">
        <v>7</v>
      </c>
      <c r="AE267" s="89">
        <v>8</v>
      </c>
      <c r="AF267" s="89">
        <v>17</v>
      </c>
      <c r="AG267" s="89">
        <v>0</v>
      </c>
      <c r="AH267" s="89">
        <v>0</v>
      </c>
      <c r="AI267" s="89">
        <v>132</v>
      </c>
      <c r="AJ267" s="89">
        <v>0</v>
      </c>
    </row>
    <row r="268" spans="1:36" x14ac:dyDescent="0.3">
      <c r="A268" s="311" t="s">
        <v>212</v>
      </c>
      <c r="B268" s="312">
        <v>46000</v>
      </c>
      <c r="C268" s="88" t="s">
        <v>1038</v>
      </c>
      <c r="D268" s="313" t="s">
        <v>893</v>
      </c>
      <c r="E268" s="88" t="s">
        <v>1033</v>
      </c>
      <c r="F268" s="88" t="s">
        <v>214</v>
      </c>
      <c r="G268" s="314">
        <v>0</v>
      </c>
      <c r="H268" s="89">
        <v>168</v>
      </c>
      <c r="I268" s="89">
        <v>0</v>
      </c>
      <c r="J268" s="89">
        <v>0</v>
      </c>
      <c r="K268" s="89" t="s">
        <v>215</v>
      </c>
      <c r="L268" s="315" t="s">
        <v>1047</v>
      </c>
      <c r="M268" s="89">
        <v>0</v>
      </c>
      <c r="N268" s="89">
        <v>0</v>
      </c>
      <c r="O268" s="89">
        <v>0</v>
      </c>
      <c r="P268" s="89" t="s">
        <v>64</v>
      </c>
      <c r="Q268" s="89">
        <v>0</v>
      </c>
      <c r="R268" s="89">
        <v>0</v>
      </c>
      <c r="S268" s="89">
        <v>0</v>
      </c>
      <c r="T268" s="89">
        <v>0</v>
      </c>
      <c r="U268" s="89">
        <v>0</v>
      </c>
      <c r="V268" s="89">
        <v>0</v>
      </c>
      <c r="W268" s="89">
        <v>0</v>
      </c>
      <c r="X268" s="89">
        <v>0</v>
      </c>
      <c r="Y268" s="89">
        <v>0</v>
      </c>
      <c r="Z268" s="89">
        <v>0</v>
      </c>
      <c r="AA268" s="89">
        <v>0</v>
      </c>
      <c r="AB268" s="89">
        <v>0</v>
      </c>
      <c r="AC268" s="89">
        <v>0</v>
      </c>
      <c r="AD268" s="89">
        <v>0</v>
      </c>
      <c r="AE268" s="89">
        <v>0</v>
      </c>
      <c r="AF268" s="89">
        <v>0</v>
      </c>
      <c r="AG268" s="89">
        <v>0</v>
      </c>
      <c r="AH268" s="89">
        <v>0</v>
      </c>
      <c r="AI268" s="89">
        <v>0</v>
      </c>
      <c r="AJ268" s="89">
        <v>0</v>
      </c>
    </row>
    <row r="269" spans="1:36" x14ac:dyDescent="0.3">
      <c r="A269" s="311" t="s">
        <v>212</v>
      </c>
      <c r="B269" s="312">
        <v>46000</v>
      </c>
      <c r="C269" s="88" t="s">
        <v>1395</v>
      </c>
      <c r="D269" s="313" t="s">
        <v>729</v>
      </c>
      <c r="E269" s="88" t="s">
        <v>1393</v>
      </c>
      <c r="F269" s="88" t="s">
        <v>214</v>
      </c>
      <c r="G269" s="314">
        <v>7.1400000000000005E-2</v>
      </c>
      <c r="H269" s="89">
        <v>168</v>
      </c>
      <c r="I269" s="89">
        <v>12</v>
      </c>
      <c r="J269" s="89">
        <v>0</v>
      </c>
      <c r="K269" s="89" t="s">
        <v>215</v>
      </c>
      <c r="L269" s="315" t="s">
        <v>63</v>
      </c>
      <c r="M269" s="89">
        <v>0</v>
      </c>
      <c r="N269" s="89">
        <v>0</v>
      </c>
      <c r="O269" s="89">
        <v>4</v>
      </c>
      <c r="P269" s="89" t="s">
        <v>237</v>
      </c>
      <c r="Q269" s="89">
        <v>0</v>
      </c>
      <c r="R269" s="89">
        <v>0</v>
      </c>
      <c r="S269" s="89">
        <v>0</v>
      </c>
      <c r="T269" s="89">
        <v>0</v>
      </c>
      <c r="U269" s="89">
        <v>0</v>
      </c>
      <c r="V269" s="89">
        <v>0</v>
      </c>
      <c r="W269" s="89">
        <v>0</v>
      </c>
      <c r="X269" s="89">
        <v>0</v>
      </c>
      <c r="Y269" s="89">
        <v>0</v>
      </c>
      <c r="Z269" s="89">
        <v>0</v>
      </c>
      <c r="AA269" s="89">
        <v>0</v>
      </c>
      <c r="AB269" s="89">
        <v>0</v>
      </c>
      <c r="AC269" s="89">
        <v>0</v>
      </c>
      <c r="AD269" s="89">
        <v>2</v>
      </c>
      <c r="AE269" s="89">
        <v>10</v>
      </c>
      <c r="AF269" s="89">
        <v>0</v>
      </c>
      <c r="AG269" s="89">
        <v>0</v>
      </c>
      <c r="AH269" s="89">
        <v>0</v>
      </c>
      <c r="AI269" s="89">
        <v>0</v>
      </c>
      <c r="AJ269" s="89">
        <v>0</v>
      </c>
    </row>
    <row r="270" spans="1:36" x14ac:dyDescent="0.3">
      <c r="A270" s="311" t="s">
        <v>331</v>
      </c>
      <c r="B270" s="312">
        <v>46001</v>
      </c>
      <c r="C270" s="88" t="s">
        <v>1366</v>
      </c>
      <c r="D270" s="313" t="s">
        <v>1378</v>
      </c>
      <c r="E270" s="88" t="s">
        <v>1357</v>
      </c>
      <c r="F270" s="88" t="s">
        <v>1380</v>
      </c>
      <c r="G270" s="314">
        <v>0.23710000000000001</v>
      </c>
      <c r="H270" s="89">
        <v>97</v>
      </c>
      <c r="I270" s="89">
        <v>23</v>
      </c>
      <c r="J270" s="89">
        <v>0</v>
      </c>
      <c r="K270" s="89" t="s">
        <v>215</v>
      </c>
      <c r="L270" s="315" t="s">
        <v>175</v>
      </c>
      <c r="M270" s="89">
        <v>3</v>
      </c>
      <c r="N270" s="89">
        <v>0</v>
      </c>
      <c r="O270" s="89">
        <v>4</v>
      </c>
      <c r="P270" s="89" t="s">
        <v>547</v>
      </c>
      <c r="Q270" s="89">
        <v>0</v>
      </c>
      <c r="R270" s="89">
        <v>0</v>
      </c>
      <c r="S270" s="89">
        <v>0</v>
      </c>
      <c r="T270" s="89">
        <v>0</v>
      </c>
      <c r="U270" s="89">
        <v>0</v>
      </c>
      <c r="V270" s="89">
        <v>0</v>
      </c>
      <c r="W270" s="89">
        <v>0</v>
      </c>
      <c r="X270" s="89">
        <v>0</v>
      </c>
      <c r="Y270" s="89">
        <v>0</v>
      </c>
      <c r="Z270" s="89">
        <v>0</v>
      </c>
      <c r="AA270" s="89">
        <v>0</v>
      </c>
      <c r="AB270" s="89">
        <v>0</v>
      </c>
      <c r="AC270" s="89">
        <v>0</v>
      </c>
      <c r="AD270" s="89">
        <v>0</v>
      </c>
      <c r="AE270" s="89">
        <v>5</v>
      </c>
      <c r="AF270" s="89">
        <v>18</v>
      </c>
      <c r="AG270" s="89">
        <v>0</v>
      </c>
      <c r="AH270" s="89">
        <v>0</v>
      </c>
      <c r="AI270" s="89">
        <v>0</v>
      </c>
      <c r="AJ270" s="89">
        <v>0</v>
      </c>
    </row>
    <row r="271" spans="1:36" x14ac:dyDescent="0.3">
      <c r="A271" s="311" t="s">
        <v>331</v>
      </c>
      <c r="B271" s="312">
        <v>46001</v>
      </c>
      <c r="C271" s="88" t="s">
        <v>1546</v>
      </c>
      <c r="D271" s="313" t="s">
        <v>1554</v>
      </c>
      <c r="E271" s="88" t="s">
        <v>1543</v>
      </c>
      <c r="F271" s="88" t="s">
        <v>214</v>
      </c>
      <c r="G271" s="314">
        <v>0.3095</v>
      </c>
      <c r="H271" s="89">
        <v>168</v>
      </c>
      <c r="I271" s="89">
        <v>52</v>
      </c>
      <c r="J271" s="89">
        <v>0</v>
      </c>
      <c r="K271" s="89" t="s">
        <v>215</v>
      </c>
      <c r="L271" s="315" t="s">
        <v>175</v>
      </c>
      <c r="M271" s="89">
        <v>3</v>
      </c>
      <c r="N271" s="89">
        <v>7</v>
      </c>
      <c r="O271" s="89">
        <v>30</v>
      </c>
      <c r="P271" s="89" t="s">
        <v>237</v>
      </c>
      <c r="Q271" s="89">
        <v>0</v>
      </c>
      <c r="R271" s="89">
        <v>0</v>
      </c>
      <c r="S271" s="89">
        <v>0</v>
      </c>
      <c r="T271" s="89">
        <v>0</v>
      </c>
      <c r="U271" s="89">
        <v>0</v>
      </c>
      <c r="V271" s="89">
        <v>0</v>
      </c>
      <c r="W271" s="89">
        <v>0</v>
      </c>
      <c r="X271" s="89">
        <v>0</v>
      </c>
      <c r="Y271" s="89">
        <v>0</v>
      </c>
      <c r="Z271" s="89">
        <v>2</v>
      </c>
      <c r="AA271" s="89">
        <v>0</v>
      </c>
      <c r="AB271" s="89">
        <v>0</v>
      </c>
      <c r="AC271" s="89">
        <v>1</v>
      </c>
      <c r="AD271" s="89">
        <v>6</v>
      </c>
      <c r="AE271" s="89">
        <v>43</v>
      </c>
      <c r="AF271" s="89">
        <v>0</v>
      </c>
      <c r="AG271" s="89">
        <v>0</v>
      </c>
      <c r="AH271" s="89">
        <v>0</v>
      </c>
      <c r="AI271" s="89">
        <v>0</v>
      </c>
      <c r="AJ271" s="89">
        <v>0</v>
      </c>
    </row>
    <row r="272" spans="1:36" x14ac:dyDescent="0.3">
      <c r="A272" s="311" t="s">
        <v>331</v>
      </c>
      <c r="B272" s="312">
        <v>46001</v>
      </c>
      <c r="C272" s="88" t="s">
        <v>1426</v>
      </c>
      <c r="D272" s="313" t="s">
        <v>1455</v>
      </c>
      <c r="E272" s="88" t="s">
        <v>1422</v>
      </c>
      <c r="F272" s="88" t="s">
        <v>214</v>
      </c>
      <c r="G272" s="314">
        <v>0.97209999999999996</v>
      </c>
      <c r="H272" s="89">
        <v>179</v>
      </c>
      <c r="I272" s="89">
        <v>174</v>
      </c>
      <c r="J272" s="89">
        <v>165</v>
      </c>
      <c r="K272" s="89" t="s">
        <v>215</v>
      </c>
      <c r="L272" s="315" t="s">
        <v>311</v>
      </c>
      <c r="M272" s="89">
        <v>0</v>
      </c>
      <c r="N272" s="89">
        <v>0</v>
      </c>
      <c r="O272" s="89">
        <v>8</v>
      </c>
      <c r="P272" s="89" t="s">
        <v>897</v>
      </c>
      <c r="Q272" s="89">
        <v>0</v>
      </c>
      <c r="R272" s="89">
        <v>0</v>
      </c>
      <c r="S272" s="89">
        <v>0</v>
      </c>
      <c r="T272" s="89">
        <v>0</v>
      </c>
      <c r="U272" s="89">
        <v>0</v>
      </c>
      <c r="V272" s="89">
        <v>0</v>
      </c>
      <c r="W272" s="89">
        <v>0</v>
      </c>
      <c r="X272" s="89">
        <v>0</v>
      </c>
      <c r="Y272" s="89">
        <v>0</v>
      </c>
      <c r="Z272" s="89">
        <v>4</v>
      </c>
      <c r="AA272" s="89">
        <v>5</v>
      </c>
      <c r="AB272" s="89">
        <v>0</v>
      </c>
      <c r="AC272" s="89">
        <v>0</v>
      </c>
      <c r="AD272" s="89">
        <v>0</v>
      </c>
      <c r="AE272" s="89">
        <v>0</v>
      </c>
      <c r="AF272" s="89">
        <v>0</v>
      </c>
      <c r="AG272" s="89">
        <v>0</v>
      </c>
      <c r="AH272" s="89">
        <v>0</v>
      </c>
      <c r="AI272" s="89">
        <v>165</v>
      </c>
      <c r="AJ272" s="89">
        <v>0</v>
      </c>
    </row>
    <row r="273" spans="1:36" x14ac:dyDescent="0.3">
      <c r="A273" s="311" t="s">
        <v>331</v>
      </c>
      <c r="B273" s="312">
        <v>46001</v>
      </c>
      <c r="C273" s="88" t="s">
        <v>810</v>
      </c>
      <c r="D273" s="313" t="s">
        <v>898</v>
      </c>
      <c r="E273" s="88" t="s">
        <v>793</v>
      </c>
      <c r="F273" s="88" t="s">
        <v>214</v>
      </c>
      <c r="G273" s="314">
        <v>1</v>
      </c>
      <c r="H273" s="89">
        <v>168</v>
      </c>
      <c r="I273" s="89">
        <v>168</v>
      </c>
      <c r="J273" s="89">
        <v>157</v>
      </c>
      <c r="K273" s="89" t="s">
        <v>215</v>
      </c>
      <c r="L273" s="315" t="s">
        <v>140</v>
      </c>
      <c r="M273" s="89">
        <v>0</v>
      </c>
      <c r="N273" s="89">
        <v>0</v>
      </c>
      <c r="O273" s="89">
        <v>1</v>
      </c>
      <c r="P273" s="89" t="s">
        <v>64</v>
      </c>
      <c r="Q273" s="89">
        <v>0</v>
      </c>
      <c r="R273" s="89">
        <v>0</v>
      </c>
      <c r="S273" s="89">
        <v>0</v>
      </c>
      <c r="T273" s="89">
        <v>0</v>
      </c>
      <c r="U273" s="89">
        <v>0</v>
      </c>
      <c r="V273" s="89">
        <v>0</v>
      </c>
      <c r="W273" s="89">
        <v>0</v>
      </c>
      <c r="X273" s="89">
        <v>0</v>
      </c>
      <c r="Y273" s="89">
        <v>0</v>
      </c>
      <c r="Z273" s="89">
        <v>1</v>
      </c>
      <c r="AA273" s="89">
        <v>0</v>
      </c>
      <c r="AB273" s="89">
        <v>0</v>
      </c>
      <c r="AC273" s="89">
        <v>0</v>
      </c>
      <c r="AD273" s="89">
        <v>0</v>
      </c>
      <c r="AE273" s="89">
        <v>5</v>
      </c>
      <c r="AF273" s="89">
        <v>5</v>
      </c>
      <c r="AG273" s="89">
        <v>0</v>
      </c>
      <c r="AH273" s="89">
        <v>0</v>
      </c>
      <c r="AI273" s="89">
        <v>157</v>
      </c>
      <c r="AJ273" s="89">
        <v>0</v>
      </c>
    </row>
    <row r="274" spans="1:36" x14ac:dyDescent="0.3">
      <c r="A274" s="311" t="s">
        <v>331</v>
      </c>
      <c r="B274" s="312">
        <v>46001</v>
      </c>
      <c r="C274" s="88" t="s">
        <v>935</v>
      </c>
      <c r="D274" s="313" t="s">
        <v>1006</v>
      </c>
      <c r="E274" s="88" t="s">
        <v>934</v>
      </c>
      <c r="F274" s="88" t="s">
        <v>214</v>
      </c>
      <c r="G274" s="314">
        <v>0.65480000000000005</v>
      </c>
      <c r="H274" s="89">
        <v>168</v>
      </c>
      <c r="I274" s="89">
        <v>110</v>
      </c>
      <c r="J274" s="89">
        <v>91</v>
      </c>
      <c r="K274" s="89" t="s">
        <v>215</v>
      </c>
      <c r="L274" s="315" t="s">
        <v>433</v>
      </c>
      <c r="M274" s="89">
        <v>0</v>
      </c>
      <c r="N274" s="89">
        <v>0</v>
      </c>
      <c r="O274" s="89">
        <v>1</v>
      </c>
      <c r="P274" s="89" t="s">
        <v>265</v>
      </c>
      <c r="Q274" s="89">
        <v>0</v>
      </c>
      <c r="R274" s="89">
        <v>0</v>
      </c>
      <c r="S274" s="89">
        <v>0</v>
      </c>
      <c r="T274" s="89">
        <v>0</v>
      </c>
      <c r="U274" s="89">
        <v>0</v>
      </c>
      <c r="V274" s="89">
        <v>0</v>
      </c>
      <c r="W274" s="89">
        <v>0</v>
      </c>
      <c r="X274" s="89">
        <v>0</v>
      </c>
      <c r="Y274" s="89">
        <v>0</v>
      </c>
      <c r="Z274" s="89">
        <v>5</v>
      </c>
      <c r="AA274" s="89">
        <v>0</v>
      </c>
      <c r="AB274" s="89">
        <v>0</v>
      </c>
      <c r="AC274" s="89">
        <v>5</v>
      </c>
      <c r="AD274" s="89">
        <v>6</v>
      </c>
      <c r="AE274" s="89">
        <v>0</v>
      </c>
      <c r="AF274" s="89">
        <v>3</v>
      </c>
      <c r="AG274" s="89">
        <v>0</v>
      </c>
      <c r="AH274" s="89">
        <v>0</v>
      </c>
      <c r="AI274" s="89">
        <v>91</v>
      </c>
      <c r="AJ274" s="89">
        <v>0</v>
      </c>
    </row>
    <row r="275" spans="1:36" x14ac:dyDescent="0.3">
      <c r="A275" s="311" t="s">
        <v>331</v>
      </c>
      <c r="B275" s="312">
        <v>46001</v>
      </c>
      <c r="C275" s="88" t="s">
        <v>822</v>
      </c>
      <c r="D275" s="313" t="s">
        <v>900</v>
      </c>
      <c r="E275" s="88" t="s">
        <v>793</v>
      </c>
      <c r="F275" s="88" t="s">
        <v>214</v>
      </c>
      <c r="G275" s="314">
        <v>0.9345</v>
      </c>
      <c r="H275" s="89">
        <v>168</v>
      </c>
      <c r="I275" s="89">
        <v>157</v>
      </c>
      <c r="J275" s="89">
        <v>125</v>
      </c>
      <c r="K275" s="89" t="s">
        <v>215</v>
      </c>
      <c r="L275" s="315" t="s">
        <v>175</v>
      </c>
      <c r="M275" s="89">
        <v>1</v>
      </c>
      <c r="N275" s="89">
        <v>4</v>
      </c>
      <c r="O275" s="89">
        <v>13</v>
      </c>
      <c r="P275" s="89" t="s">
        <v>387</v>
      </c>
      <c r="Q275" s="89">
        <v>0</v>
      </c>
      <c r="R275" s="89">
        <v>0</v>
      </c>
      <c r="S275" s="89">
        <v>0</v>
      </c>
      <c r="T275" s="89">
        <v>0</v>
      </c>
      <c r="U275" s="89">
        <v>0</v>
      </c>
      <c r="V275" s="89">
        <v>0</v>
      </c>
      <c r="W275" s="89">
        <v>0</v>
      </c>
      <c r="X275" s="89">
        <v>0</v>
      </c>
      <c r="Y275" s="89">
        <v>0</v>
      </c>
      <c r="Z275" s="89">
        <v>3</v>
      </c>
      <c r="AA275" s="89">
        <v>0</v>
      </c>
      <c r="AB275" s="89">
        <v>0</v>
      </c>
      <c r="AC275" s="89">
        <v>7</v>
      </c>
      <c r="AD275" s="89">
        <v>10</v>
      </c>
      <c r="AE275" s="89">
        <v>6</v>
      </c>
      <c r="AF275" s="89">
        <v>6</v>
      </c>
      <c r="AG275" s="89">
        <v>0</v>
      </c>
      <c r="AH275" s="89">
        <v>0</v>
      </c>
      <c r="AI275" s="89">
        <v>125</v>
      </c>
      <c r="AJ275" s="89">
        <v>0</v>
      </c>
    </row>
    <row r="276" spans="1:36" x14ac:dyDescent="0.3">
      <c r="A276" s="311" t="s">
        <v>331</v>
      </c>
      <c r="B276" s="312">
        <v>46001</v>
      </c>
      <c r="C276" s="88" t="s">
        <v>430</v>
      </c>
      <c r="D276" s="313" t="s">
        <v>704</v>
      </c>
      <c r="E276" s="88" t="s">
        <v>403</v>
      </c>
      <c r="F276" s="88" t="s">
        <v>214</v>
      </c>
      <c r="G276" s="314">
        <v>0.17319999999999999</v>
      </c>
      <c r="H276" s="89">
        <v>179</v>
      </c>
      <c r="I276" s="89">
        <v>31</v>
      </c>
      <c r="J276" s="89">
        <v>3</v>
      </c>
      <c r="K276" s="89" t="s">
        <v>215</v>
      </c>
      <c r="L276" s="315" t="s">
        <v>50</v>
      </c>
      <c r="M276" s="89">
        <v>0</v>
      </c>
      <c r="N276" s="89">
        <v>6</v>
      </c>
      <c r="O276" s="89">
        <v>12</v>
      </c>
      <c r="P276" s="89" t="s">
        <v>263</v>
      </c>
      <c r="Q276" s="89">
        <v>0</v>
      </c>
      <c r="R276" s="89">
        <v>0</v>
      </c>
      <c r="S276" s="89">
        <v>0</v>
      </c>
      <c r="T276" s="89">
        <v>0</v>
      </c>
      <c r="U276" s="89">
        <v>0</v>
      </c>
      <c r="V276" s="89">
        <v>0</v>
      </c>
      <c r="W276" s="89">
        <v>0</v>
      </c>
      <c r="X276" s="89">
        <v>0</v>
      </c>
      <c r="Y276" s="89">
        <v>0</v>
      </c>
      <c r="Z276" s="89">
        <v>2</v>
      </c>
      <c r="AA276" s="89">
        <v>0</v>
      </c>
      <c r="AB276" s="89">
        <v>0</v>
      </c>
      <c r="AC276" s="89">
        <v>0</v>
      </c>
      <c r="AD276" s="89">
        <v>0</v>
      </c>
      <c r="AE276" s="89">
        <v>16</v>
      </c>
      <c r="AF276" s="89">
        <v>10</v>
      </c>
      <c r="AG276" s="89">
        <v>0</v>
      </c>
      <c r="AH276" s="89">
        <v>0</v>
      </c>
      <c r="AI276" s="89">
        <v>3</v>
      </c>
      <c r="AJ276" s="89">
        <v>0</v>
      </c>
    </row>
    <row r="277" spans="1:36" x14ac:dyDescent="0.3">
      <c r="A277" s="311" t="s">
        <v>331</v>
      </c>
      <c r="B277" s="312">
        <v>46001</v>
      </c>
      <c r="C277" s="88" t="s">
        <v>1155</v>
      </c>
      <c r="D277" s="313" t="s">
        <v>1246</v>
      </c>
      <c r="E277" s="88" t="s">
        <v>1098</v>
      </c>
      <c r="F277" s="88" t="s">
        <v>214</v>
      </c>
      <c r="G277" s="314">
        <v>0.13689999999999999</v>
      </c>
      <c r="H277" s="89">
        <v>168</v>
      </c>
      <c r="I277" s="89">
        <v>23</v>
      </c>
      <c r="J277" s="89">
        <v>0</v>
      </c>
      <c r="K277" s="89" t="s">
        <v>215</v>
      </c>
      <c r="L277" s="315" t="s">
        <v>63</v>
      </c>
      <c r="M277" s="89">
        <v>0</v>
      </c>
      <c r="N277" s="89">
        <v>0</v>
      </c>
      <c r="O277" s="89">
        <v>8</v>
      </c>
      <c r="P277" s="89" t="s">
        <v>353</v>
      </c>
      <c r="Q277" s="89">
        <v>0</v>
      </c>
      <c r="R277" s="89">
        <v>0</v>
      </c>
      <c r="S277" s="89">
        <v>0</v>
      </c>
      <c r="T277" s="89">
        <v>0</v>
      </c>
      <c r="U277" s="89">
        <v>0</v>
      </c>
      <c r="V277" s="89">
        <v>1</v>
      </c>
      <c r="W277" s="89">
        <v>0</v>
      </c>
      <c r="X277" s="89">
        <v>0</v>
      </c>
      <c r="Y277" s="89">
        <v>0</v>
      </c>
      <c r="Z277" s="89">
        <v>0</v>
      </c>
      <c r="AA277" s="89">
        <v>0</v>
      </c>
      <c r="AB277" s="89">
        <v>0</v>
      </c>
      <c r="AC277" s="89">
        <v>1</v>
      </c>
      <c r="AD277" s="89">
        <v>1</v>
      </c>
      <c r="AE277" s="89">
        <v>5</v>
      </c>
      <c r="AF277" s="89">
        <v>15</v>
      </c>
      <c r="AG277" s="89">
        <v>0</v>
      </c>
      <c r="AH277" s="89">
        <v>0</v>
      </c>
      <c r="AI277" s="89">
        <v>0</v>
      </c>
      <c r="AJ277" s="89">
        <v>0</v>
      </c>
    </row>
    <row r="278" spans="1:36" x14ac:dyDescent="0.3">
      <c r="A278" s="311" t="s">
        <v>331</v>
      </c>
      <c r="B278" s="312">
        <v>46001</v>
      </c>
      <c r="C278" s="88" t="s">
        <v>1269</v>
      </c>
      <c r="D278" s="313" t="s">
        <v>1280</v>
      </c>
      <c r="E278" s="88" t="s">
        <v>1263</v>
      </c>
      <c r="F278" s="88" t="s">
        <v>214</v>
      </c>
      <c r="G278" s="314">
        <v>0.125</v>
      </c>
      <c r="H278" s="89">
        <v>168</v>
      </c>
      <c r="I278" s="89">
        <v>21</v>
      </c>
      <c r="J278" s="89">
        <v>0</v>
      </c>
      <c r="K278" s="89" t="s">
        <v>215</v>
      </c>
      <c r="L278" s="315" t="s">
        <v>378</v>
      </c>
      <c r="M278" s="89">
        <v>0</v>
      </c>
      <c r="N278" s="89">
        <v>0</v>
      </c>
      <c r="O278" s="89">
        <v>2</v>
      </c>
      <c r="P278" s="89" t="s">
        <v>364</v>
      </c>
      <c r="Q278" s="89">
        <v>0</v>
      </c>
      <c r="R278" s="89">
        <v>0</v>
      </c>
      <c r="S278" s="89">
        <v>0</v>
      </c>
      <c r="T278" s="89">
        <v>0</v>
      </c>
      <c r="U278" s="89">
        <v>0</v>
      </c>
      <c r="V278" s="89">
        <v>0</v>
      </c>
      <c r="W278" s="89">
        <v>0</v>
      </c>
      <c r="X278" s="89">
        <v>0</v>
      </c>
      <c r="Y278" s="89">
        <v>0</v>
      </c>
      <c r="Z278" s="89">
        <v>2</v>
      </c>
      <c r="AA278" s="89">
        <v>0</v>
      </c>
      <c r="AB278" s="89">
        <v>0</v>
      </c>
      <c r="AC278" s="89">
        <v>4</v>
      </c>
      <c r="AD278" s="89">
        <v>12</v>
      </c>
      <c r="AE278" s="89">
        <v>3</v>
      </c>
      <c r="AF278" s="89">
        <v>0</v>
      </c>
      <c r="AG278" s="89">
        <v>0</v>
      </c>
      <c r="AH278" s="89">
        <v>0</v>
      </c>
      <c r="AI278" s="89">
        <v>0</v>
      </c>
      <c r="AJ278" s="89">
        <v>0</v>
      </c>
    </row>
    <row r="279" spans="1:36" x14ac:dyDescent="0.3">
      <c r="A279" s="311" t="s">
        <v>331</v>
      </c>
      <c r="B279" s="312">
        <v>46001</v>
      </c>
      <c r="C279" s="88" t="s">
        <v>1122</v>
      </c>
      <c r="D279" s="313" t="s">
        <v>1249</v>
      </c>
      <c r="E279" s="88" t="s">
        <v>1098</v>
      </c>
      <c r="F279" s="88" t="s">
        <v>214</v>
      </c>
      <c r="G279" s="314">
        <v>9.5200000000000007E-2</v>
      </c>
      <c r="H279" s="89">
        <v>168</v>
      </c>
      <c r="I279" s="89">
        <v>16</v>
      </c>
      <c r="J279" s="89">
        <v>0</v>
      </c>
      <c r="K279" s="89" t="s">
        <v>215</v>
      </c>
      <c r="L279" s="315" t="s">
        <v>50</v>
      </c>
      <c r="M279" s="89">
        <v>0</v>
      </c>
      <c r="N279" s="89">
        <v>2</v>
      </c>
      <c r="O279" s="89">
        <v>4</v>
      </c>
      <c r="P279" s="89" t="s">
        <v>547</v>
      </c>
      <c r="Q279" s="89">
        <v>0</v>
      </c>
      <c r="R279" s="89">
        <v>0</v>
      </c>
      <c r="S279" s="89">
        <v>0</v>
      </c>
      <c r="T279" s="89">
        <v>0</v>
      </c>
      <c r="U279" s="89">
        <v>0</v>
      </c>
      <c r="V279" s="89">
        <v>0</v>
      </c>
      <c r="W279" s="89">
        <v>0</v>
      </c>
      <c r="X279" s="89">
        <v>0</v>
      </c>
      <c r="Y279" s="89">
        <v>0</v>
      </c>
      <c r="Z279" s="89">
        <v>0</v>
      </c>
      <c r="AA279" s="89">
        <v>0</v>
      </c>
      <c r="AB279" s="89">
        <v>0</v>
      </c>
      <c r="AC279" s="89">
        <v>0</v>
      </c>
      <c r="AD279" s="89">
        <v>1</v>
      </c>
      <c r="AE279" s="89">
        <v>5</v>
      </c>
      <c r="AF279" s="89">
        <v>10</v>
      </c>
      <c r="AG279" s="89">
        <v>0</v>
      </c>
      <c r="AH279" s="89">
        <v>0</v>
      </c>
      <c r="AI279" s="89">
        <v>0</v>
      </c>
      <c r="AJ279" s="89">
        <v>0</v>
      </c>
    </row>
    <row r="280" spans="1:36" x14ac:dyDescent="0.3">
      <c r="A280" s="311" t="s">
        <v>331</v>
      </c>
      <c r="B280" s="312">
        <v>46001</v>
      </c>
      <c r="C280" s="88" t="s">
        <v>819</v>
      </c>
      <c r="D280" s="313" t="s">
        <v>896</v>
      </c>
      <c r="E280" s="88" t="s">
        <v>793</v>
      </c>
      <c r="F280" s="88" t="s">
        <v>214</v>
      </c>
      <c r="G280" s="314">
        <v>0.97619999999999996</v>
      </c>
      <c r="H280" s="89">
        <v>168</v>
      </c>
      <c r="I280" s="89">
        <v>164</v>
      </c>
      <c r="J280" s="89">
        <v>135</v>
      </c>
      <c r="K280" s="89" t="s">
        <v>215</v>
      </c>
      <c r="L280" s="315" t="s">
        <v>433</v>
      </c>
      <c r="M280" s="89">
        <v>0</v>
      </c>
      <c r="N280" s="89">
        <v>0</v>
      </c>
      <c r="O280" s="89">
        <v>11</v>
      </c>
      <c r="P280" s="89" t="s">
        <v>261</v>
      </c>
      <c r="Q280" s="89">
        <v>0</v>
      </c>
      <c r="R280" s="89">
        <v>0</v>
      </c>
      <c r="S280" s="89">
        <v>0</v>
      </c>
      <c r="T280" s="89">
        <v>0</v>
      </c>
      <c r="U280" s="89">
        <v>0</v>
      </c>
      <c r="V280" s="89">
        <v>0</v>
      </c>
      <c r="W280" s="89">
        <v>0</v>
      </c>
      <c r="X280" s="89">
        <v>0</v>
      </c>
      <c r="Y280" s="89">
        <v>0</v>
      </c>
      <c r="Z280" s="89">
        <v>3</v>
      </c>
      <c r="AA280" s="89">
        <v>0</v>
      </c>
      <c r="AB280" s="89">
        <v>0</v>
      </c>
      <c r="AC280" s="89">
        <v>2</v>
      </c>
      <c r="AD280" s="89">
        <v>8</v>
      </c>
      <c r="AE280" s="89">
        <v>8</v>
      </c>
      <c r="AF280" s="89">
        <v>8</v>
      </c>
      <c r="AG280" s="89">
        <v>0</v>
      </c>
      <c r="AH280" s="89">
        <v>0</v>
      </c>
      <c r="AI280" s="89">
        <v>135</v>
      </c>
      <c r="AJ280" s="89">
        <v>0</v>
      </c>
    </row>
    <row r="281" spans="1:36" x14ac:dyDescent="0.3">
      <c r="A281" s="311" t="s">
        <v>331</v>
      </c>
      <c r="B281" s="312">
        <v>46001</v>
      </c>
      <c r="C281" s="88" t="s">
        <v>417</v>
      </c>
      <c r="D281" s="313" t="s">
        <v>702</v>
      </c>
      <c r="E281" s="88" t="s">
        <v>403</v>
      </c>
      <c r="F281" s="88" t="s">
        <v>214</v>
      </c>
      <c r="G281" s="314">
        <v>0.91059999999999997</v>
      </c>
      <c r="H281" s="89">
        <v>179</v>
      </c>
      <c r="I281" s="89">
        <v>163</v>
      </c>
      <c r="J281" s="89">
        <v>137</v>
      </c>
      <c r="K281" s="89" t="s">
        <v>215</v>
      </c>
      <c r="L281" s="315" t="s">
        <v>175</v>
      </c>
      <c r="M281" s="89">
        <v>1</v>
      </c>
      <c r="N281" s="89">
        <v>1</v>
      </c>
      <c r="O281" s="89">
        <v>12</v>
      </c>
      <c r="P281" s="89" t="s">
        <v>266</v>
      </c>
      <c r="Q281" s="89">
        <v>0</v>
      </c>
      <c r="R281" s="89">
        <v>0</v>
      </c>
      <c r="S281" s="89">
        <v>0</v>
      </c>
      <c r="T281" s="89">
        <v>0</v>
      </c>
      <c r="U281" s="89">
        <v>0</v>
      </c>
      <c r="V281" s="89">
        <v>0</v>
      </c>
      <c r="W281" s="89">
        <v>0</v>
      </c>
      <c r="X281" s="89">
        <v>0</v>
      </c>
      <c r="Y281" s="89">
        <v>0</v>
      </c>
      <c r="Z281" s="89">
        <v>3</v>
      </c>
      <c r="AA281" s="89">
        <v>0</v>
      </c>
      <c r="AB281" s="89">
        <v>0</v>
      </c>
      <c r="AC281" s="89">
        <v>0</v>
      </c>
      <c r="AD281" s="89">
        <v>3</v>
      </c>
      <c r="AE281" s="89">
        <v>10</v>
      </c>
      <c r="AF281" s="89">
        <v>10</v>
      </c>
      <c r="AG281" s="89">
        <v>0</v>
      </c>
      <c r="AH281" s="89">
        <v>0</v>
      </c>
      <c r="AI281" s="89">
        <v>137</v>
      </c>
      <c r="AJ281" s="89">
        <v>0</v>
      </c>
    </row>
    <row r="282" spans="1:36" x14ac:dyDescent="0.3">
      <c r="A282" s="311" t="s">
        <v>331</v>
      </c>
      <c r="B282" s="312">
        <v>46001</v>
      </c>
      <c r="C282" s="88" t="s">
        <v>427</v>
      </c>
      <c r="D282" s="313" t="s">
        <v>691</v>
      </c>
      <c r="E282" s="88" t="s">
        <v>403</v>
      </c>
      <c r="F282" s="88" t="s">
        <v>214</v>
      </c>
      <c r="G282" s="314">
        <v>0.17319999999999999</v>
      </c>
      <c r="H282" s="89">
        <v>179</v>
      </c>
      <c r="I282" s="89">
        <v>31</v>
      </c>
      <c r="J282" s="89">
        <v>0</v>
      </c>
      <c r="K282" s="89" t="s">
        <v>215</v>
      </c>
      <c r="L282" s="315" t="s">
        <v>175</v>
      </c>
      <c r="M282" s="89">
        <v>2</v>
      </c>
      <c r="N282" s="89">
        <v>2</v>
      </c>
      <c r="O282" s="89">
        <v>10</v>
      </c>
      <c r="P282" s="89" t="s">
        <v>526</v>
      </c>
      <c r="Q282" s="89">
        <v>0</v>
      </c>
      <c r="R282" s="89">
        <v>0</v>
      </c>
      <c r="S282" s="89">
        <v>0</v>
      </c>
      <c r="T282" s="89">
        <v>0</v>
      </c>
      <c r="U282" s="89">
        <v>0</v>
      </c>
      <c r="V282" s="89">
        <v>0</v>
      </c>
      <c r="W282" s="89">
        <v>0</v>
      </c>
      <c r="X282" s="89">
        <v>0</v>
      </c>
      <c r="Y282" s="89">
        <v>0</v>
      </c>
      <c r="Z282" s="89">
        <v>3</v>
      </c>
      <c r="AA282" s="89">
        <v>0</v>
      </c>
      <c r="AB282" s="89">
        <v>0</v>
      </c>
      <c r="AC282" s="89">
        <v>0</v>
      </c>
      <c r="AD282" s="89">
        <v>3</v>
      </c>
      <c r="AE282" s="89">
        <v>15</v>
      </c>
      <c r="AF282" s="89">
        <v>10</v>
      </c>
      <c r="AG282" s="89">
        <v>0</v>
      </c>
      <c r="AH282" s="89">
        <v>0</v>
      </c>
      <c r="AI282" s="89">
        <v>0</v>
      </c>
      <c r="AJ282" s="89">
        <v>0</v>
      </c>
    </row>
    <row r="283" spans="1:36" x14ac:dyDescent="0.3">
      <c r="A283" s="311" t="s">
        <v>331</v>
      </c>
      <c r="B283" s="312">
        <v>46001</v>
      </c>
      <c r="C283" s="88" t="s">
        <v>298</v>
      </c>
      <c r="D283" s="313" t="s">
        <v>332</v>
      </c>
      <c r="E283" s="88" t="s">
        <v>295</v>
      </c>
      <c r="F283" s="88" t="s">
        <v>214</v>
      </c>
      <c r="G283" s="314">
        <v>0.91620000000000001</v>
      </c>
      <c r="H283" s="89">
        <v>179</v>
      </c>
      <c r="I283" s="89">
        <v>164</v>
      </c>
      <c r="J283" s="89">
        <v>133</v>
      </c>
      <c r="K283" s="89" t="s">
        <v>215</v>
      </c>
      <c r="L283" s="315" t="s">
        <v>311</v>
      </c>
      <c r="M283" s="89">
        <v>0</v>
      </c>
      <c r="N283" s="89">
        <v>0</v>
      </c>
      <c r="O283" s="89">
        <v>20</v>
      </c>
      <c r="P283" s="89" t="s">
        <v>323</v>
      </c>
      <c r="Q283" s="89">
        <v>0</v>
      </c>
      <c r="R283" s="89">
        <v>0</v>
      </c>
      <c r="S283" s="89">
        <v>0</v>
      </c>
      <c r="T283" s="89">
        <v>0</v>
      </c>
      <c r="U283" s="89">
        <v>0</v>
      </c>
      <c r="V283" s="89">
        <v>0</v>
      </c>
      <c r="W283" s="89">
        <v>0</v>
      </c>
      <c r="X283" s="89">
        <v>3</v>
      </c>
      <c r="Y283" s="89">
        <v>4</v>
      </c>
      <c r="Z283" s="89">
        <v>4</v>
      </c>
      <c r="AA283" s="89">
        <v>4</v>
      </c>
      <c r="AB283" s="89">
        <v>8</v>
      </c>
      <c r="AC283" s="89">
        <v>8</v>
      </c>
      <c r="AD283" s="89">
        <v>0</v>
      </c>
      <c r="AE283" s="89">
        <v>0</v>
      </c>
      <c r="AF283" s="89">
        <v>0</v>
      </c>
      <c r="AG283" s="89">
        <v>0</v>
      </c>
      <c r="AH283" s="89">
        <v>0</v>
      </c>
      <c r="AI283" s="89">
        <v>133</v>
      </c>
      <c r="AJ283" s="89">
        <v>0</v>
      </c>
    </row>
    <row r="284" spans="1:36" x14ac:dyDescent="0.3">
      <c r="A284" s="311" t="s">
        <v>331</v>
      </c>
      <c r="B284" s="312">
        <v>46001</v>
      </c>
      <c r="C284" s="88" t="s">
        <v>361</v>
      </c>
      <c r="D284" s="313" t="s">
        <v>381</v>
      </c>
      <c r="E284" s="88" t="s">
        <v>358</v>
      </c>
      <c r="F284" s="88" t="s">
        <v>214</v>
      </c>
      <c r="G284" s="314">
        <v>0.51790000000000003</v>
      </c>
      <c r="H284" s="89">
        <v>168</v>
      </c>
      <c r="I284" s="89">
        <v>87</v>
      </c>
      <c r="J284" s="89">
        <v>49</v>
      </c>
      <c r="K284" s="89" t="s">
        <v>215</v>
      </c>
      <c r="L284" s="315" t="s">
        <v>175</v>
      </c>
      <c r="M284" s="89">
        <v>1</v>
      </c>
      <c r="N284" s="89">
        <v>0</v>
      </c>
      <c r="O284" s="89">
        <v>14</v>
      </c>
      <c r="P284" s="89" t="s">
        <v>364</v>
      </c>
      <c r="Q284" s="89">
        <v>0</v>
      </c>
      <c r="R284" s="89">
        <v>0</v>
      </c>
      <c r="S284" s="89">
        <v>0</v>
      </c>
      <c r="T284" s="89">
        <v>0</v>
      </c>
      <c r="U284" s="89">
        <v>0</v>
      </c>
      <c r="V284" s="89">
        <v>0</v>
      </c>
      <c r="W284" s="89">
        <v>0</v>
      </c>
      <c r="X284" s="89">
        <v>0</v>
      </c>
      <c r="Y284" s="89">
        <v>0</v>
      </c>
      <c r="Z284" s="89">
        <v>2</v>
      </c>
      <c r="AA284" s="89">
        <v>0</v>
      </c>
      <c r="AB284" s="89">
        <v>0</v>
      </c>
      <c r="AC284" s="89">
        <v>1</v>
      </c>
      <c r="AD284" s="89">
        <v>5</v>
      </c>
      <c r="AE284" s="89">
        <v>13</v>
      </c>
      <c r="AF284" s="89">
        <v>17</v>
      </c>
      <c r="AG284" s="89">
        <v>0</v>
      </c>
      <c r="AH284" s="89">
        <v>0</v>
      </c>
      <c r="AI284" s="89">
        <v>49</v>
      </c>
      <c r="AJ284" s="89">
        <v>0</v>
      </c>
    </row>
    <row r="285" spans="1:36" ht="15.6" x14ac:dyDescent="0.3">
      <c r="A285" s="316" t="s">
        <v>331</v>
      </c>
      <c r="B285" s="317">
        <v>46001</v>
      </c>
      <c r="C285" s="318" t="s">
        <v>949</v>
      </c>
      <c r="D285" s="319" t="s">
        <v>717</v>
      </c>
      <c r="E285" s="318" t="s">
        <v>934</v>
      </c>
      <c r="F285" s="318" t="s">
        <v>214</v>
      </c>
      <c r="G285" s="320">
        <v>1.0713999999999999</v>
      </c>
      <c r="H285" s="321" t="str">
        <f ca="1">SUBTOTAL(109,LF_ALL_ROUTES[CAP])</f>
        <v/>
      </c>
      <c r="I285" s="321" t="str">
        <f ca="1">SUBTOTAL(109,LF_ALL_ROUTES[BKG(Y)])</f>
        <v/>
      </c>
      <c r="J285" s="321" t="str">
        <f ca="1">SUBTOTAL(109,LF_ALL_ROUTES[GRP(Y)])</f>
        <v/>
      </c>
      <c r="K285" s="321" t="s">
        <v>215</v>
      </c>
      <c r="L285" s="322" t="s">
        <v>635</v>
      </c>
      <c r="M285" s="321" t="str">
        <f ca="1">SUBTOTAL(109,LF_ALL_ROUTES[TO-DAY])</f>
        <v/>
      </c>
      <c r="N285" s="321" t="str">
        <f ca="1">SUBTOTAL(109,LF_ALL_ROUTES[Y-DAY])</f>
        <v/>
      </c>
      <c r="O285" s="321" t="str">
        <f ca="1">SUBTOTAL(109,LF_ALL_ROUTES[WEEKLY])</f>
        <v/>
      </c>
      <c r="P285" s="321" t="s">
        <v>64</v>
      </c>
      <c r="Q285" s="321">
        <v>0</v>
      </c>
      <c r="R285" s="321">
        <v>0</v>
      </c>
      <c r="S285" s="321">
        <v>0</v>
      </c>
      <c r="T285" s="321">
        <v>0</v>
      </c>
      <c r="U285" s="321">
        <v>0</v>
      </c>
      <c r="V285" s="321">
        <v>0</v>
      </c>
      <c r="W285" s="321">
        <v>0</v>
      </c>
      <c r="X285" s="321">
        <v>0</v>
      </c>
      <c r="Y285" s="321">
        <v>0</v>
      </c>
      <c r="Z285" s="321">
        <v>1</v>
      </c>
      <c r="AA285" s="321">
        <v>0</v>
      </c>
      <c r="AB285" s="321">
        <v>0</v>
      </c>
      <c r="AC285" s="321">
        <v>0</v>
      </c>
      <c r="AD285" s="321">
        <v>0</v>
      </c>
      <c r="AE285" s="321">
        <v>0</v>
      </c>
      <c r="AF285" s="321">
        <v>4</v>
      </c>
      <c r="AG285" s="321">
        <v>45</v>
      </c>
      <c r="AH285" s="321">
        <v>0</v>
      </c>
      <c r="AI285" s="321">
        <v>130</v>
      </c>
      <c r="AJ285" s="321">
        <v>0</v>
      </c>
    </row>
    <row r="286" spans="1:36" ht="18" x14ac:dyDescent="0.35">
      <c r="A286" s="356" t="s">
        <v>1574</v>
      </c>
      <c r="B286" s="357"/>
      <c r="C286" s="356">
        <f>SUBTOTAL(103,LF_ALL_ROUTES[Flt])</f>
        <v>284</v>
      </c>
      <c r="D286" s="356"/>
      <c r="E286" s="356">
        <f>SUBTOTAL(103,LF_ALL_ROUTES[Brd-Off])</f>
        <v>284</v>
      </c>
      <c r="F286" s="356"/>
      <c r="G286" s="358">
        <f>SUBTOTAL(101,LF_ALL_ROUTES[LF%])</f>
        <v>0.59832922535211275</v>
      </c>
      <c r="H286" s="359">
        <f ca="1">SUBTOTAL(109,LF_ALL_ROUTES[CAP])</f>
        <v>0</v>
      </c>
      <c r="I286" s="359">
        <f ca="1">SUBTOTAL(109,LF_ALL_ROUTES[BKG(Y)])</f>
        <v>0</v>
      </c>
      <c r="J286" s="359">
        <f ca="1">SUBTOTAL(109,LF_ALL_ROUTES[GRP(Y)])</f>
        <v>0</v>
      </c>
      <c r="K286" s="356"/>
      <c r="L286" s="357"/>
      <c r="M286" s="359">
        <f ca="1">SUBTOTAL(109,LF_ALL_ROUTES[TO-DAY])</f>
        <v>0</v>
      </c>
      <c r="N286" s="359">
        <f ca="1">SUBTOTAL(109,LF_ALL_ROUTES[Y-DAY])</f>
        <v>0</v>
      </c>
      <c r="O286" s="359">
        <f ca="1">SUBTOTAL(109,LF_ALL_ROUTES[WEEKLY])</f>
        <v>0</v>
      </c>
      <c r="P286" s="359"/>
      <c r="Q286" s="359">
        <f>SUBTOTAL(109,LF_ALL_ROUTES[Y])</f>
        <v>5</v>
      </c>
      <c r="R286" s="359">
        <f>SUBTOTAL(109,LF_ALL_ROUTES[B])</f>
        <v>1</v>
      </c>
      <c r="S286" s="359">
        <f>SUBTOTAL(109,LF_ALL_ROUTES[M])</f>
        <v>0</v>
      </c>
      <c r="T286" s="359">
        <f>SUBTOTAL(109,LF_ALL_ROUTES[H])</f>
        <v>3</v>
      </c>
      <c r="U286" s="359">
        <f>SUBTOTAL(109,LF_ALL_ROUTES[Q])</f>
        <v>8</v>
      </c>
      <c r="V286" s="359">
        <f>SUBTOTAL(109,LF_ALL_ROUTES[K])</f>
        <v>27</v>
      </c>
      <c r="W286" s="359">
        <f>SUBTOTAL(109,LF_ALL_ROUTES[V])</f>
        <v>19</v>
      </c>
      <c r="X286" s="359">
        <f>SUBTOTAL(109,LF_ALL_ROUTES[L])</f>
        <v>68</v>
      </c>
      <c r="Y286" s="359">
        <f>SUBTOTAL(109,LF_ALL_ROUTES[G])</f>
        <v>126</v>
      </c>
      <c r="Z286" s="359">
        <f>SUBTOTAL(109,LF_ALL_ROUTES[S])</f>
        <v>651</v>
      </c>
      <c r="AA286" s="359">
        <f>SUBTOTAL(109,LF_ALL_ROUTES[W])</f>
        <v>288</v>
      </c>
      <c r="AB286" s="359">
        <f>SUBTOTAL(109,LF_ALL_ROUTES[T])</f>
        <v>193</v>
      </c>
      <c r="AC286" s="359">
        <f>SUBTOTAL(109,LF_ALL_ROUTES[X])</f>
        <v>1465</v>
      </c>
      <c r="AD286" s="359">
        <f>SUBTOTAL(109,LF_ALL_ROUTES[U])</f>
        <v>2555</v>
      </c>
      <c r="AE286" s="359">
        <f>SUBTOTAL(109,LF_ALL_ROUTES[O])</f>
        <v>2778</v>
      </c>
      <c r="AF286" s="359">
        <f>SUBTOTAL(109,LF_ALL_ROUTES[I])</f>
        <v>3328</v>
      </c>
      <c r="AG286" s="359">
        <f>SUBTOTAL(109,LF_ALL_ROUTES[E])</f>
        <v>856</v>
      </c>
      <c r="AH286" s="359">
        <f>SUBTOTAL(109,LF_ALL_ROUTES[A])</f>
        <v>0</v>
      </c>
      <c r="AI286" s="359">
        <f>SUBTOTAL(109,LF_ALL_ROUTES[P])</f>
        <v>16990</v>
      </c>
      <c r="AJ286" s="359">
        <f>SUBTOTAL(109,LF_ALL_ROUTES[N])</f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- FOCUS MODE</vt:lpstr>
      <vt:lpstr>MED-HBE</vt:lpstr>
      <vt:lpstr>MED-HBE LF LEGACY</vt:lpstr>
      <vt:lpstr>MED-HBE - FOCUS MODE</vt:lpstr>
      <vt:lpstr>MED-ATZ</vt:lpstr>
      <vt:lpstr>MED-ATZ LF LEGACY</vt:lpstr>
      <vt:lpstr>MED-ATZ - FOCUS MODE</vt:lpstr>
      <vt:lpstr>JED-CAI</vt:lpstr>
      <vt:lpstr>JED-CAI LF LEGACY</vt:lpstr>
      <vt:lpstr>JED-CAI - FOCUS MODE</vt:lpstr>
      <vt:lpstr>JED-HBE</vt:lpstr>
      <vt:lpstr>JED-HBE LF LEGACY</vt:lpstr>
      <vt:lpstr>JED-HBE - FOCUS MODE</vt:lpstr>
      <vt:lpstr>JED-ATZ</vt:lpstr>
      <vt:lpstr>JED-ATZ LF LEGACY</vt:lpstr>
      <vt:lpstr>JED-ATZ - FOCUS MODE</vt:lpstr>
      <vt:lpstr>JED-LXR</vt:lpstr>
      <vt:lpstr>JED-LXR LF LEGACY</vt:lpstr>
      <vt:lpstr>JED-LXR - FOCUS MODE</vt:lpstr>
      <vt:lpstr>JED-ASW</vt:lpstr>
      <vt:lpstr>JED-ASW LF LEGACY</vt:lpstr>
      <vt:lpstr>JED-ASW - FOCUS MODE</vt:lpstr>
      <vt:lpstr>JED-SSH</vt:lpstr>
      <vt:lpstr>JED-SSH LF LEGACY</vt:lpstr>
      <vt:lpstr>JED-SSH - FOCUS MODE</vt:lpstr>
      <vt:lpstr>JED-HRG</vt:lpstr>
      <vt:lpstr>JED-HRG LF LEGACY</vt:lpstr>
      <vt:lpstr>JED-HRG - FOCUS MODE</vt:lpstr>
      <vt:lpstr>RUH-CAI</vt:lpstr>
      <vt:lpstr>RUH-CAI LF LEGACY</vt:lpstr>
      <vt:lpstr>RUH-CAI - FOCUS MODE</vt:lpstr>
      <vt:lpstr>RUH-ATZ</vt:lpstr>
      <vt:lpstr>RUH-ATZ LF LEGACY</vt:lpstr>
      <vt:lpstr>RUH-ATZ - FOCUS MODE</vt:lpstr>
      <vt:lpstr>DMM-CAI</vt:lpstr>
      <vt:lpstr>DMM-CAI LF LEGACY</vt:lpstr>
      <vt:lpstr>DMM-CAI - FOCUS MODE</vt:lpstr>
      <vt:lpstr>DMM-ATZ</vt:lpstr>
      <vt:lpstr>DMM-ATZ LF LEGACY</vt:lpstr>
      <vt:lpstr>DMM-ATZ - FOCUS MODE</vt:lpstr>
      <vt:lpstr>TUU-CAI</vt:lpstr>
      <vt:lpstr>TUU-CAI LF LEGACY</vt:lpstr>
      <vt:lpstr>TUU-CAI - FOCUS MODE</vt:lpstr>
      <vt:lpstr>TUU-ATZ</vt:lpstr>
      <vt:lpstr>TUU-ATZ LF LEGACY</vt:lpstr>
      <vt:lpstr>TUU-ATZ - FOCUS MODE</vt:lpstr>
      <vt:lpstr>AJF-CAI</vt:lpstr>
      <vt:lpstr>AJF-CAI LF LEGACY</vt:lpstr>
      <vt:lpstr>AJF-CAI - FOCUS MODE</vt:lpstr>
      <vt:lpstr>AJF-ATZ</vt:lpstr>
      <vt:lpstr>AJF-ATZ LF LEGACY</vt:lpstr>
      <vt:lpstr>AJF-ATZ - FOCUS MODE</vt:lpstr>
      <vt:lpstr>YNB-CAI</vt:lpstr>
      <vt:lpstr>YNB-CAI LF LEGACY</vt:lpstr>
      <vt:lpstr>YNB-CAI - FOCUS MODE</vt:lpstr>
      <vt:lpstr>AHB-CAI</vt:lpstr>
      <vt:lpstr>AHB-CAI LF LEGACY</vt:lpstr>
      <vt:lpstr>AHB-CAI - FOCUS MODE</vt:lpstr>
      <vt:lpstr>AHB-ATZ</vt:lpstr>
      <vt:lpstr>AHB-ATZ LF LEGACY</vt:lpstr>
      <vt:lpstr>AHB-ATZ - FOCUS MODE</vt:lpstr>
      <vt:lpstr>ELQ-CAI</vt:lpstr>
      <vt:lpstr>ELQ-CAI LF LEGACY</vt:lpstr>
      <vt:lpstr>ELQ-CAI - FOCUS MODE</vt:lpstr>
      <vt:lpstr>ELQ-ATZ</vt:lpstr>
      <vt:lpstr>ELQ-ATZ LF LEGACY</vt:lpstr>
      <vt:lpstr>ELQ-ATZ - FOCUS MODE</vt:lpstr>
      <vt:lpstr>GIZ-CAI</vt:lpstr>
      <vt:lpstr>GIZ-CAI LF LEGACY</vt:lpstr>
      <vt:lpstr>GIZ-CAI -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2025-11-21T16:18:06Z</dcterms:created>
  <dcterms:modified xsi:type="dcterms:W3CDTF">2025-11-21T16:20:34Z</dcterms:modified>
</cp:coreProperties>
</file>