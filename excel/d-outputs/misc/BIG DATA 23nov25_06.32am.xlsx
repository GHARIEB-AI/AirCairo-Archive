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7BACA66-292B-488E-A037-B5590BEE9088}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LF_ALL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5" l="1"/>
  <c r="E23" i="5"/>
  <c r="G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C23" i="2"/>
  <c r="E23" i="2"/>
  <c r="G23" i="2"/>
  <c r="H23" i="2"/>
  <c r="I23" i="2"/>
  <c r="J23" i="2"/>
  <c r="M23" i="2"/>
  <c r="N23" i="2"/>
  <c r="O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M22" i="5"/>
  <c r="M23" i="5"/>
  <c r="H23" i="5"/>
  <c r="H22" i="5"/>
  <c r="N23" i="5"/>
  <c r="N22" i="5"/>
  <c r="O22" i="5"/>
  <c r="O23" i="5"/>
  <c r="I23" i="5"/>
  <c r="I22" i="5"/>
  <c r="J22" i="5"/>
  <c r="J2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20D7F5C9-BCD8-432D-872E-56FDBB2670C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174]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X3 &amp; U9 &amp; E45 &amp; P45</t>
        </r>
      </text>
    </comment>
    <comment ref="F3" authorId="0" shapeId="0" xr:uid="{6E77DC2E-92BB-44DC-9A9E-FE44DAFA288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14-NOV]_x000D_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G5 &amp; X3 &amp; U10 &amp; P135</t>
        </r>
      </text>
    </comment>
    <comment ref="F4" authorId="0" shapeId="0" xr:uid="{377BAC62-F3B3-4455-8238-70A575E77E8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X4 &amp; U10 &amp; P135</t>
        </r>
      </text>
    </comment>
    <comment ref="F5" authorId="0" shapeId="0" xr:uid="{2BD535E2-7AC4-480B-A509-43D6311C95D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36.3%]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 &amp; E60</t>
        </r>
      </text>
    </comment>
    <comment ref="F6" authorId="0" shapeId="0" xr:uid="{0F155170-4C97-4F45-A804-C43A07F542C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 &amp; P45</t>
        </r>
      </text>
    </comment>
    <comment ref="F7" authorId="0" shapeId="0" xr:uid="{6172C899-06C7-4C24-9F04-9EF6CB4B2E5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31-OCT]_x000D_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P135</t>
        </r>
      </text>
    </comment>
    <comment ref="F8" authorId="0" shapeId="0" xr:uid="{6EF70DFA-A9CB-4216-8803-AC49D124645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27-OCT]_x000D_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O7 &amp; I7 &amp; P135</t>
        </r>
      </text>
    </comment>
    <comment ref="F9" authorId="0" shapeId="0" xr:uid="{E1C545E2-61CB-47A1-A879-1BD8DDEFDEE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U4 &amp; E90</t>
        </r>
      </text>
    </comment>
    <comment ref="F10" authorId="0" shapeId="0" xr:uid="{7919E39A-2FFB-48FE-97FA-290E87C52CB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0.6%]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12-NOV]_x000D_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O3 &amp; I8 &amp; P168</t>
        </r>
      </text>
    </comment>
    <comment ref="F11" authorId="0" shapeId="0" xr:uid="{48C9CF51-4803-495E-A2A8-F40B3BCD6EA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81.5%]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05-NOV]_x000D_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U2 &amp; P135</t>
        </r>
      </text>
    </comment>
    <comment ref="F12" authorId="0" shapeId="0" xr:uid="{C699E872-6B42-402D-AAF1-E0422AAD9BB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54.8%]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U2 &amp; E45 &amp; P45</t>
        </r>
      </text>
    </comment>
    <comment ref="F13" authorId="0" shapeId="0" xr:uid="{5BB5EDC0-19AD-4188-9E0F-EE7AE067C74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U4 &amp; P135</t>
        </r>
      </text>
    </comment>
    <comment ref="F14" authorId="0" shapeId="0" xr:uid="{191B5197-AE62-4AA4-89BC-CFB35E5B375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20-OCT]_x000D_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U2</t>
        </r>
      </text>
    </comment>
    <comment ref="F15" authorId="0" shapeId="0" xr:uid="{97088A1D-0FE2-47EB-910C-107B45AAEE3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E45</t>
        </r>
      </text>
    </comment>
    <comment ref="F16" authorId="0" shapeId="0" xr:uid="{E1BC1BC9-F468-490E-ADE2-0F7AE27B124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82.7%]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03-NOV]_x000D_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U4 &amp; P135</t>
        </r>
      </text>
    </comment>
    <comment ref="F17" authorId="0" shapeId="0" xr:uid="{5CEAEAF4-6876-4494-B425-3B2BDF69C6A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28.6%]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U3 &amp; P45</t>
        </r>
      </text>
    </comment>
    <comment ref="F18" authorId="0" shapeId="0" xr:uid="{052445A4-286E-4262-B83C-F40DC71C562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17-NOV]_x000D_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 &amp; P45</t>
        </r>
      </text>
    </comment>
    <comment ref="F19" authorId="0" shapeId="0" xr:uid="{687731F1-BD46-4E0F-BE09-20ECD19F92C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31-OCT]_x000D_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P135</t>
        </r>
      </text>
    </comment>
    <comment ref="F20" authorId="0" shapeId="0" xr:uid="{5C69BDDD-8CEF-4189-85C1-9551BF396AF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14-OCT]_x000D_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U1 &amp; P45</t>
        </r>
      </text>
    </comment>
    <comment ref="F21" authorId="0" shapeId="0" xr:uid="{D6808CCA-AE39-4CB9-917D-07DCFAF2F86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85.1%]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15-NOV]_x000D_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G5 &amp; X7 &amp; U11 &amp; O11 &amp; I10 &amp; P135 &amp; N1</t>
        </r>
      </text>
    </comment>
    <comment ref="F22" authorId="0" shapeId="0" xr:uid="{BD9ACD6E-2A5F-4680-A01E-A185EB8EABB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56.0%]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08-NOV]_x000D_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U4 &amp; E45 &amp; P45</t>
        </r>
      </text>
    </comment>
  </commentList>
</comments>
</file>

<file path=xl/sharedStrings.xml><?xml version="1.0" encoding="utf-8"?>
<sst xmlns="http://schemas.openxmlformats.org/spreadsheetml/2006/main" count="777" uniqueCount="150">
  <si>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</si>
  <si>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</si>
  <si>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</si>
  <si>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</si>
  <si>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</si>
  <si>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</si>
  <si>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</si>
  <si>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</si>
  <si>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</si>
  <si>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</si>
  <si>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</si>
  <si>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</si>
  <si>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</si>
  <si>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</si>
  <si>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</si>
  <si>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</si>
  <si>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</si>
  <si>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</si>
  <si>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</si>
  <si>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</si>
  <si>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</si>
  <si>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</si>
  <si>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</si>
  <si>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</si>
  <si>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</si>
  <si>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</si>
  <si>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</si>
  <si>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SM-450</t>
  </si>
  <si>
    <t>30KG + 7KG CABIN</t>
  </si>
  <si>
    <t>SEATS AVAILABLE</t>
  </si>
  <si>
    <t>SM450</t>
  </si>
  <si>
    <t>U1</t>
  </si>
  <si>
    <t>X3 &amp; U9 &amp; E45 &amp; P45</t>
  </si>
  <si>
    <t>SM-476</t>
  </si>
  <si>
    <t>HIGH DEMAND</t>
  </si>
  <si>
    <t>SM476</t>
  </si>
  <si>
    <t>X9</t>
  </si>
  <si>
    <t>G5 &amp; X3 &amp; U10 &amp; P135</t>
  </si>
  <si>
    <t>SM-478</t>
  </si>
  <si>
    <t>SM478</t>
  </si>
  <si>
    <t>X8</t>
  </si>
  <si>
    <t>X4 &amp; U10 &amp; P135</t>
  </si>
  <si>
    <t>SM-424</t>
  </si>
  <si>
    <t>SM424</t>
  </si>
  <si>
    <t>U9</t>
  </si>
  <si>
    <t>U1 &amp; E60</t>
  </si>
  <si>
    <t>LOW DEMAND</t>
  </si>
  <si>
    <t>U1 &amp; P45</t>
  </si>
  <si>
    <t>SM-432</t>
  </si>
  <si>
    <t>SM432</t>
  </si>
  <si>
    <t>P135</t>
  </si>
  <si>
    <t>SM-460</t>
  </si>
  <si>
    <t>SM460</t>
  </si>
  <si>
    <t>U7</t>
  </si>
  <si>
    <t>O7 &amp; I7 &amp; P135</t>
  </si>
  <si>
    <t>U6</t>
  </si>
  <si>
    <t>U4 &amp; E90</t>
  </si>
  <si>
    <t>SM-480</t>
  </si>
  <si>
    <t>SM480</t>
  </si>
  <si>
    <t>L1 &amp; O3 &amp; I8 &amp; P168</t>
  </si>
  <si>
    <t>U8</t>
  </si>
  <si>
    <t>U2 &amp; P135</t>
  </si>
  <si>
    <t>U2 &amp; E45 &amp; P45</t>
  </si>
  <si>
    <t>U4 &amp; P135</t>
  </si>
  <si>
    <t>SM-472</t>
  </si>
  <si>
    <t>SM472</t>
  </si>
  <si>
    <t>U2</t>
  </si>
  <si>
    <t>E45</t>
  </si>
  <si>
    <t>U3 &amp; P45</t>
  </si>
  <si>
    <t>G5 &amp; X7 &amp; U11 &amp; O11 &amp; I10 &amp; P135 &amp; N1</t>
  </si>
  <si>
    <t>U4 &amp; E45 &amp; P45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</si>
  <si>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</si>
  <si>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</si>
  <si>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</si>
  <si>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</si>
  <si>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</si>
  <si>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</si>
  <si>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</si>
  <si>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</si>
  <si>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</si>
  <si>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</si>
  <si>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</si>
  <si>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</si>
  <si>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</si>
  <si>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</si>
  <si>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</si>
  <si>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</si>
  <si>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</si>
  <si>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</si>
  <si>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</si>
  <si>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</si>
  <si>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</si>
  <si>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</si>
  <si>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</si>
  <si>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</si>
  <si>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</si>
  <si>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</si>
  <si>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</si>
  <si>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</si>
  <si>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</si>
  <si>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</si>
  <si>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05:40</t>
  </si>
  <si>
    <t>320</t>
  </si>
  <si>
    <t>DEPARTED</t>
  </si>
  <si>
    <t>X3</t>
  </si>
  <si>
    <t>P45</t>
  </si>
  <si>
    <t>08:00</t>
  </si>
  <si>
    <t>G5</t>
  </si>
  <si>
    <t>U10</t>
  </si>
  <si>
    <t>16:20</t>
  </si>
  <si>
    <t>X4</t>
  </si>
  <si>
    <t>SATURDAY</t>
  </si>
  <si>
    <t>02:00</t>
  </si>
  <si>
    <t>E60</t>
  </si>
  <si>
    <t>07:40</t>
  </si>
  <si>
    <t>12:15</t>
  </si>
  <si>
    <t>O7</t>
  </si>
  <si>
    <t>I7</t>
  </si>
  <si>
    <t>15:10</t>
  </si>
  <si>
    <t>U4</t>
  </si>
  <si>
    <t>E90</t>
  </si>
  <si>
    <t>SUNDAY</t>
  </si>
  <si>
    <t>00:10</t>
  </si>
  <si>
    <t>L1</t>
  </si>
  <si>
    <t>O3</t>
  </si>
  <si>
    <t>I8</t>
  </si>
  <si>
    <t>P168</t>
  </si>
  <si>
    <t>10:10</t>
  </si>
  <si>
    <t>14:45</t>
  </si>
  <si>
    <t>23:30</t>
  </si>
  <si>
    <t>MONDAY</t>
  </si>
  <si>
    <t>05:30</t>
  </si>
  <si>
    <t>13:25</t>
  </si>
  <si>
    <t>17:30</t>
  </si>
  <si>
    <t>U3</t>
  </si>
  <si>
    <t>22:25</t>
  </si>
  <si>
    <t>23:15</t>
  </si>
  <si>
    <t>TUESDAY</t>
  </si>
  <si>
    <t>11:30</t>
  </si>
  <si>
    <t>12:30</t>
  </si>
  <si>
    <t>X7</t>
  </si>
  <si>
    <t>U11</t>
  </si>
  <si>
    <t>O11</t>
  </si>
  <si>
    <t>I10</t>
  </si>
  <si>
    <t>N1</t>
  </si>
  <si>
    <t>DATE</t>
  </si>
  <si>
    <t>ROUTE</t>
  </si>
  <si>
    <t>2025-01-10</t>
  </si>
  <si>
    <t>THREAT STATUS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</si>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</sst>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ddd"/>
    <numFmt numFmtId="172" formatCode="dd\-mmm\-yy"/>
    <numFmt numFmtId="173" formatCode="hh:mm"/>
    <numFmt numFmtId="174" formatCode="[$-409]d\-mmm\-yy;@"/>
    <numFmt numFmtId="175" formatCode="[$-409]d\-mmm;@"/>
    <numFmt numFmtId="176" formatCode="[$-F400]h:mm:ss\ AM/PM"/>
  </numFmts>
  <fonts count="3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3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i/>
      <sz val="20"/>
      <color theme="1"/>
      <name val="Calibri"/>
    </font>
    <font>
      <b/>
      <i/>
      <sz val="20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b/>
      <sz val="12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B4C7DC"/>
        <bgColor rgb="FFB4C7DC"/>
      </patternFill>
    </fill>
    <fill>
      <patternFill patternType="solid">
        <fgColor rgb="FF365492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7" fontId="20" fillId="5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3" fillId="8" borderId="3" xfId="0" applyNumberFormat="1" applyFont="1" applyFill="1" applyBorder="1" applyAlignment="1">
      <alignment horizontal="center" vertical="center"/>
    </xf>
    <xf numFmtId="170" fontId="13" fillId="8" borderId="3" xfId="0" applyNumberFormat="1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49" fontId="8" fillId="8" borderId="4" xfId="0" applyNumberFormat="1" applyFont="1" applyFill="1" applyBorder="1" applyAlignment="1">
      <alignment horizontal="center" vertical="center"/>
    </xf>
    <xf numFmtId="168" fontId="8" fillId="8" borderId="5" xfId="0" applyNumberFormat="1" applyFont="1" applyFill="1" applyBorder="1" applyAlignment="1">
      <alignment horizontal="center" vertical="center"/>
    </xf>
    <xf numFmtId="1" fontId="8" fillId="8" borderId="5" xfId="0" applyNumberFormat="1" applyFont="1" applyFill="1" applyBorder="1" applyAlignment="1">
      <alignment horizontal="center" vertical="center"/>
    </xf>
    <xf numFmtId="16" fontId="8" fillId="8" borderId="5" xfId="0" applyNumberFormat="1" applyFont="1" applyFill="1" applyBorder="1" applyAlignment="1">
      <alignment horizontal="center" vertical="center"/>
    </xf>
    <xf numFmtId="49" fontId="9" fillId="8" borderId="5" xfId="0" applyNumberFormat="1" applyFont="1" applyFill="1" applyBorder="1" applyAlignment="1">
      <alignment horizontal="center" vertical="center"/>
    </xf>
    <xf numFmtId="170" fontId="8" fillId="8" borderId="5" xfId="0" applyNumberFormat="1" applyFont="1" applyFill="1" applyBorder="1" applyAlignment="1">
      <alignment horizontal="center" vertical="center"/>
    </xf>
    <xf numFmtId="49" fontId="8" fillId="8" borderId="6" xfId="0" applyNumberFormat="1" applyFont="1" applyFill="1" applyBorder="1" applyAlignment="1">
      <alignment horizontal="center" vertical="center"/>
    </xf>
    <xf numFmtId="49" fontId="14" fillId="9" borderId="3" xfId="0" applyNumberFormat="1" applyFont="1" applyFill="1" applyBorder="1" applyAlignment="1">
      <alignment horizontal="center" vertical="center"/>
    </xf>
    <xf numFmtId="170" fontId="14" fillId="9" borderId="3" xfId="0" applyNumberFormat="1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49" fontId="8" fillId="9" borderId="4" xfId="0" applyNumberFormat="1" applyFont="1" applyFill="1" applyBorder="1" applyAlignment="1">
      <alignment horizontal="center" vertical="center"/>
    </xf>
    <xf numFmtId="168" fontId="15" fillId="9" borderId="5" xfId="0" applyNumberFormat="1" applyFont="1" applyFill="1" applyBorder="1" applyAlignment="1">
      <alignment horizontal="center" vertical="center"/>
    </xf>
    <xf numFmtId="1" fontId="8" fillId="9" borderId="5" xfId="0" applyNumberFormat="1" applyFont="1" applyFill="1" applyBorder="1" applyAlignment="1">
      <alignment horizontal="center" vertical="center"/>
    </xf>
    <xf numFmtId="16" fontId="8" fillId="9" borderId="5" xfId="0" applyNumberFormat="1" applyFont="1" applyFill="1" applyBorder="1" applyAlignment="1">
      <alignment horizontal="center" vertical="center"/>
    </xf>
    <xf numFmtId="49" fontId="9" fillId="9" borderId="5" xfId="0" applyNumberFormat="1" applyFont="1" applyFill="1" applyBorder="1" applyAlignment="1">
      <alignment horizontal="center" vertical="center"/>
    </xf>
    <xf numFmtId="170" fontId="8" fillId="9" borderId="5" xfId="0" applyNumberFormat="1" applyFont="1" applyFill="1" applyBorder="1" applyAlignment="1">
      <alignment horizontal="center" vertical="center"/>
    </xf>
    <xf numFmtId="49" fontId="8" fillId="9" borderId="6" xfId="0" applyNumberFormat="1" applyFont="1" applyFill="1" applyBorder="1" applyAlignment="1">
      <alignment horizontal="center" vertical="center"/>
    </xf>
    <xf numFmtId="49" fontId="14" fillId="10" borderId="10" xfId="0" applyNumberFormat="1" applyFont="1" applyFill="1" applyBorder="1" applyAlignment="1">
      <alignment horizontal="center" vertical="center"/>
    </xf>
    <xf numFmtId="170" fontId="14" fillId="10" borderId="10" xfId="0" applyNumberFormat="1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49" fontId="8" fillId="10" borderId="7" xfId="0" applyNumberFormat="1" applyFont="1" applyFill="1" applyBorder="1" applyAlignment="1">
      <alignment horizontal="center" vertical="center"/>
    </xf>
    <xf numFmtId="168" fontId="15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16" fontId="8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170" fontId="8" fillId="10" borderId="8" xfId="0" applyNumberFormat="1" applyFont="1" applyFill="1" applyBorder="1" applyAlignment="1">
      <alignment horizontal="center" vertical="center"/>
    </xf>
    <xf numFmtId="49" fontId="8" fillId="10" borderId="9" xfId="0" applyNumberFormat="1" applyFont="1" applyFill="1" applyBorder="1" applyAlignment="1">
      <alignment horizontal="center" vertical="center"/>
    </xf>
    <xf numFmtId="167" fontId="3" fillId="5" borderId="3" xfId="0" applyNumberFormat="1" applyFont="1" applyFill="1" applyBorder="1" applyAlignment="1">
      <alignment horizontal="center" vertical="center"/>
    </xf>
    <xf numFmtId="49" fontId="6" fillId="7" borderId="3" xfId="0" applyNumberFormat="1" applyFont="1" applyFill="1" applyBorder="1" applyAlignment="1">
      <alignment horizontal="center" vertical="center"/>
    </xf>
    <xf numFmtId="170" fontId="6" fillId="7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168" fontId="6" fillId="7" borderId="3" xfId="0" applyNumberFormat="1" applyFont="1" applyFill="1" applyBorder="1" applyAlignment="1">
      <alignment horizontal="center" vertical="center"/>
    </xf>
    <xf numFmtId="1" fontId="6" fillId="7" borderId="3" xfId="0" applyNumberFormat="1" applyFont="1" applyFill="1" applyBorder="1" applyAlignment="1">
      <alignment horizontal="center" vertical="center"/>
    </xf>
    <xf numFmtId="16" fontId="6" fillId="7" borderId="3" xfId="0" applyNumberFormat="1" applyFont="1" applyFill="1" applyBorder="1" applyAlignment="1">
      <alignment horizontal="center" vertical="center"/>
    </xf>
    <xf numFmtId="49" fontId="13" fillId="12" borderId="3" xfId="0" applyNumberFormat="1" applyFont="1" applyFill="1" applyBorder="1" applyAlignment="1">
      <alignment horizontal="center" vertical="center"/>
    </xf>
    <xf numFmtId="170" fontId="13" fillId="12" borderId="3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49" fontId="8" fillId="12" borderId="4" xfId="0" applyNumberFormat="1" applyFont="1" applyFill="1" applyBorder="1" applyAlignment="1">
      <alignment horizontal="center" vertical="center"/>
    </xf>
    <xf numFmtId="168" fontId="17" fillId="12" borderId="5" xfId="0" applyNumberFormat="1" applyFont="1" applyFill="1" applyBorder="1" applyAlignment="1">
      <alignment horizontal="center" vertical="center"/>
    </xf>
    <xf numFmtId="1" fontId="8" fillId="12" borderId="5" xfId="0" applyNumberFormat="1" applyFont="1" applyFill="1" applyBorder="1" applyAlignment="1">
      <alignment horizontal="center" vertical="center"/>
    </xf>
    <xf numFmtId="16" fontId="8" fillId="12" borderId="5" xfId="0" applyNumberFormat="1" applyFont="1" applyFill="1" applyBorder="1" applyAlignment="1">
      <alignment horizontal="center" vertical="center"/>
    </xf>
    <xf numFmtId="49" fontId="9" fillId="12" borderId="5" xfId="0" applyNumberFormat="1" applyFont="1" applyFill="1" applyBorder="1" applyAlignment="1">
      <alignment horizontal="center" vertical="center"/>
    </xf>
    <xf numFmtId="170" fontId="8" fillId="12" borderId="5" xfId="0" applyNumberFormat="1" applyFont="1" applyFill="1" applyBorder="1" applyAlignment="1">
      <alignment horizontal="center" vertical="center"/>
    </xf>
    <xf numFmtId="49" fontId="8" fillId="12" borderId="6" xfId="0" applyNumberFormat="1" applyFont="1" applyFill="1" applyBorder="1" applyAlignment="1">
      <alignment horizontal="center" vertical="center"/>
    </xf>
    <xf numFmtId="49" fontId="14" fillId="13" borderId="3" xfId="0" applyNumberFormat="1" applyFont="1" applyFill="1" applyBorder="1" applyAlignment="1">
      <alignment horizontal="center" vertical="center"/>
    </xf>
    <xf numFmtId="170" fontId="14" fillId="13" borderId="3" xfId="0" applyNumberFormat="1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49" fontId="8" fillId="13" borderId="4" xfId="0" applyNumberFormat="1" applyFont="1" applyFill="1" applyBorder="1" applyAlignment="1">
      <alignment horizontal="center" vertical="center"/>
    </xf>
    <xf numFmtId="168" fontId="17" fillId="13" borderId="5" xfId="0" applyNumberFormat="1" applyFont="1" applyFill="1" applyBorder="1" applyAlignment="1">
      <alignment horizontal="center" vertical="center"/>
    </xf>
    <xf numFmtId="1" fontId="8" fillId="13" borderId="5" xfId="0" applyNumberFormat="1" applyFont="1" applyFill="1" applyBorder="1" applyAlignment="1">
      <alignment horizontal="center" vertical="center"/>
    </xf>
    <xf numFmtId="16" fontId="8" fillId="13" borderId="5" xfId="0" applyNumberFormat="1" applyFont="1" applyFill="1" applyBorder="1" applyAlignment="1">
      <alignment horizontal="center" vertical="center"/>
    </xf>
    <xf numFmtId="49" fontId="9" fillId="13" borderId="5" xfId="0" applyNumberFormat="1" applyFont="1" applyFill="1" applyBorder="1" applyAlignment="1">
      <alignment horizontal="center" vertical="center"/>
    </xf>
    <xf numFmtId="170" fontId="8" fillId="13" borderId="5" xfId="0" applyNumberFormat="1" applyFont="1" applyFill="1" applyBorder="1" applyAlignment="1">
      <alignment horizontal="center" vertical="center"/>
    </xf>
    <xf numFmtId="49" fontId="8" fillId="13" borderId="6" xfId="0" applyNumberFormat="1" applyFont="1" applyFill="1" applyBorder="1" applyAlignment="1">
      <alignment horizontal="center" vertical="center"/>
    </xf>
    <xf numFmtId="49" fontId="14" fillId="10" borderId="3" xfId="0" applyNumberFormat="1" applyFont="1" applyFill="1" applyBorder="1" applyAlignment="1">
      <alignment horizontal="center" vertical="center"/>
    </xf>
    <xf numFmtId="170" fontId="14" fillId="10" borderId="3" xfId="0" applyNumberFormat="1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49" fontId="8" fillId="10" borderId="4" xfId="0" applyNumberFormat="1" applyFont="1" applyFill="1" applyBorder="1" applyAlignment="1">
      <alignment horizontal="center" vertical="center"/>
    </xf>
    <xf numFmtId="168" fontId="8" fillId="10" borderId="5" xfId="0" applyNumberFormat="1" applyFont="1" applyFill="1" applyBorder="1" applyAlignment="1">
      <alignment horizontal="center" vertical="center"/>
    </xf>
    <xf numFmtId="1" fontId="8" fillId="10" borderId="5" xfId="0" applyNumberFormat="1" applyFont="1" applyFill="1" applyBorder="1" applyAlignment="1">
      <alignment horizontal="center" vertical="center"/>
    </xf>
    <xf numFmtId="16" fontId="8" fillId="10" borderId="5" xfId="0" applyNumberFormat="1" applyFont="1" applyFill="1" applyBorder="1" applyAlignment="1">
      <alignment horizontal="center" vertical="center"/>
    </xf>
    <xf numFmtId="49" fontId="9" fillId="10" borderId="5" xfId="0" applyNumberFormat="1" applyFont="1" applyFill="1" applyBorder="1" applyAlignment="1">
      <alignment horizontal="center" vertical="center"/>
    </xf>
    <xf numFmtId="170" fontId="8" fillId="10" borderId="5" xfId="0" applyNumberFormat="1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center" vertical="center"/>
    </xf>
    <xf numFmtId="49" fontId="14" fillId="14" borderId="3" xfId="0" applyNumberFormat="1" applyFont="1" applyFill="1" applyBorder="1" applyAlignment="1">
      <alignment horizontal="center" vertical="center"/>
    </xf>
    <xf numFmtId="170" fontId="14" fillId="14" borderId="3" xfId="0" applyNumberFormat="1" applyFont="1" applyFill="1" applyBorder="1" applyAlignment="1">
      <alignment horizontal="center" vertical="center"/>
    </xf>
    <xf numFmtId="0" fontId="14" fillId="14" borderId="3" xfId="0" applyFont="1" applyFill="1" applyBorder="1" applyAlignment="1">
      <alignment horizontal="center" vertical="center"/>
    </xf>
    <xf numFmtId="49" fontId="8" fillId="14" borderId="4" xfId="0" applyNumberFormat="1" applyFont="1" applyFill="1" applyBorder="1" applyAlignment="1">
      <alignment horizontal="center" vertical="center"/>
    </xf>
    <xf numFmtId="168" fontId="15" fillId="14" borderId="5" xfId="0" applyNumberFormat="1" applyFont="1" applyFill="1" applyBorder="1" applyAlignment="1">
      <alignment horizontal="center" vertical="center"/>
    </xf>
    <xf numFmtId="1" fontId="8" fillId="14" borderId="5" xfId="0" applyNumberFormat="1" applyFont="1" applyFill="1" applyBorder="1" applyAlignment="1">
      <alignment horizontal="center" vertical="center"/>
    </xf>
    <xf numFmtId="16" fontId="8" fillId="14" borderId="5" xfId="0" applyNumberFormat="1" applyFont="1" applyFill="1" applyBorder="1" applyAlignment="1">
      <alignment horizontal="center" vertical="center"/>
    </xf>
    <xf numFmtId="49" fontId="9" fillId="14" borderId="5" xfId="0" applyNumberFormat="1" applyFont="1" applyFill="1" applyBorder="1" applyAlignment="1">
      <alignment horizontal="center" vertical="center"/>
    </xf>
    <xf numFmtId="170" fontId="8" fillId="14" borderId="5" xfId="0" applyNumberFormat="1" applyFont="1" applyFill="1" applyBorder="1" applyAlignment="1">
      <alignment horizontal="center" vertical="center"/>
    </xf>
    <xf numFmtId="49" fontId="8" fillId="14" borderId="6" xfId="0" applyNumberFormat="1" applyFont="1" applyFill="1" applyBorder="1" applyAlignment="1">
      <alignment horizontal="center" vertical="center"/>
    </xf>
    <xf numFmtId="49" fontId="14" fillId="12" borderId="10" xfId="0" applyNumberFormat="1" applyFont="1" applyFill="1" applyBorder="1" applyAlignment="1">
      <alignment horizontal="center" vertical="center"/>
    </xf>
    <xf numFmtId="170" fontId="14" fillId="12" borderId="10" xfId="0" applyNumberFormat="1" applyFont="1" applyFill="1" applyBorder="1" applyAlignment="1">
      <alignment horizontal="center" vertical="center"/>
    </xf>
    <xf numFmtId="0" fontId="14" fillId="12" borderId="10" xfId="0" applyFont="1" applyFill="1" applyBorder="1" applyAlignment="1">
      <alignment horizontal="center" vertical="center"/>
    </xf>
    <xf numFmtId="49" fontId="8" fillId="12" borderId="7" xfId="0" applyNumberFormat="1" applyFont="1" applyFill="1" applyBorder="1" applyAlignment="1">
      <alignment horizontal="center" vertical="center"/>
    </xf>
    <xf numFmtId="168" fontId="8" fillId="12" borderId="8" xfId="0" applyNumberFormat="1" applyFont="1" applyFill="1" applyBorder="1" applyAlignment="1">
      <alignment horizontal="center" vertical="center"/>
    </xf>
    <xf numFmtId="1" fontId="8" fillId="12" borderId="8" xfId="0" applyNumberFormat="1" applyFont="1" applyFill="1" applyBorder="1" applyAlignment="1">
      <alignment horizontal="center" vertical="center"/>
    </xf>
    <xf numFmtId="16" fontId="8" fillId="12" borderId="8" xfId="0" applyNumberFormat="1" applyFont="1" applyFill="1" applyBorder="1" applyAlignment="1">
      <alignment horizontal="center" vertical="center"/>
    </xf>
    <xf numFmtId="49" fontId="9" fillId="12" borderId="8" xfId="0" applyNumberFormat="1" applyFont="1" applyFill="1" applyBorder="1" applyAlignment="1">
      <alignment horizontal="center" vertical="center"/>
    </xf>
    <xf numFmtId="170" fontId="8" fillId="12" borderId="8" xfId="0" applyNumberFormat="1" applyFont="1" applyFill="1" applyBorder="1" applyAlignment="1">
      <alignment horizontal="center" vertical="center"/>
    </xf>
    <xf numFmtId="49" fontId="8" fillId="12" borderId="9" xfId="0" applyNumberFormat="1" applyFont="1" applyFill="1" applyBorder="1" applyAlignment="1">
      <alignment horizontal="center" vertical="center"/>
    </xf>
    <xf numFmtId="168" fontId="8" fillId="9" borderId="5" xfId="0" applyNumberFormat="1" applyFont="1" applyFill="1" applyBorder="1" applyAlignment="1">
      <alignment horizontal="center" vertical="center"/>
    </xf>
    <xf numFmtId="49" fontId="14" fillId="8" borderId="3" xfId="0" applyNumberFormat="1" applyFont="1" applyFill="1" applyBorder="1" applyAlignment="1">
      <alignment horizontal="center" vertical="center"/>
    </xf>
    <xf numFmtId="170" fontId="14" fillId="8" borderId="3" xfId="0" applyNumberFormat="1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168" fontId="17" fillId="8" borderId="5" xfId="0" applyNumberFormat="1" applyFont="1" applyFill="1" applyBorder="1" applyAlignment="1">
      <alignment horizontal="center" vertical="center"/>
    </xf>
    <xf numFmtId="49" fontId="14" fillId="15" borderId="3" xfId="0" applyNumberFormat="1" applyFont="1" applyFill="1" applyBorder="1" applyAlignment="1">
      <alignment horizontal="center" vertical="center"/>
    </xf>
    <xf numFmtId="170" fontId="14" fillId="15" borderId="3" xfId="0" applyNumberFormat="1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center" vertical="center"/>
    </xf>
    <xf numFmtId="49" fontId="8" fillId="15" borderId="4" xfId="0" applyNumberFormat="1" applyFont="1" applyFill="1" applyBorder="1" applyAlignment="1">
      <alignment horizontal="center" vertical="center"/>
    </xf>
    <xf numFmtId="168" fontId="17" fillId="15" borderId="5" xfId="0" applyNumberFormat="1" applyFont="1" applyFill="1" applyBorder="1" applyAlignment="1">
      <alignment horizontal="center" vertical="center"/>
    </xf>
    <xf numFmtId="1" fontId="8" fillId="15" borderId="5" xfId="0" applyNumberFormat="1" applyFont="1" applyFill="1" applyBorder="1" applyAlignment="1">
      <alignment horizontal="center" vertical="center"/>
    </xf>
    <xf numFmtId="16" fontId="8" fillId="15" borderId="5" xfId="0" applyNumberFormat="1" applyFont="1" applyFill="1" applyBorder="1" applyAlignment="1">
      <alignment horizontal="center" vertical="center"/>
    </xf>
    <xf numFmtId="49" fontId="9" fillId="15" borderId="5" xfId="0" applyNumberFormat="1" applyFont="1" applyFill="1" applyBorder="1" applyAlignment="1">
      <alignment horizontal="center" vertical="center"/>
    </xf>
    <xf numFmtId="170" fontId="8" fillId="15" borderId="5" xfId="0" applyNumberFormat="1" applyFont="1" applyFill="1" applyBorder="1" applyAlignment="1">
      <alignment horizontal="center" vertical="center"/>
    </xf>
    <xf numFmtId="49" fontId="8" fillId="15" borderId="6" xfId="0" applyNumberFormat="1" applyFont="1" applyFill="1" applyBorder="1" applyAlignment="1">
      <alignment horizontal="center" vertical="center"/>
    </xf>
    <xf numFmtId="168" fontId="8" fillId="14" borderId="5" xfId="0" applyNumberFormat="1" applyFont="1" applyFill="1" applyBorder="1" applyAlignment="1">
      <alignment horizontal="center" vertical="center"/>
    </xf>
    <xf numFmtId="49" fontId="14" fillId="12" borderId="3" xfId="0" applyNumberFormat="1" applyFont="1" applyFill="1" applyBorder="1" applyAlignment="1">
      <alignment horizontal="center" vertical="center"/>
    </xf>
    <xf numFmtId="170" fontId="14" fillId="12" borderId="3" xfId="0" applyNumberFormat="1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49" fontId="14" fillId="15" borderId="10" xfId="0" applyNumberFormat="1" applyFont="1" applyFill="1" applyBorder="1" applyAlignment="1">
      <alignment horizontal="center" vertical="center"/>
    </xf>
    <xf numFmtId="170" fontId="14" fillId="15" borderId="10" xfId="0" applyNumberFormat="1" applyFont="1" applyFill="1" applyBorder="1" applyAlignment="1">
      <alignment horizontal="center" vertical="center"/>
    </xf>
    <xf numFmtId="0" fontId="14" fillId="15" borderId="10" xfId="0" applyFont="1" applyFill="1" applyBorder="1" applyAlignment="1">
      <alignment horizontal="center" vertical="center"/>
    </xf>
    <xf numFmtId="49" fontId="8" fillId="15" borderId="7" xfId="0" applyNumberFormat="1" applyFont="1" applyFill="1" applyBorder="1" applyAlignment="1">
      <alignment horizontal="center" vertical="center"/>
    </xf>
    <xf numFmtId="168" fontId="8" fillId="15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6" fontId="8" fillId="15" borderId="8" xfId="0" applyNumberFormat="1" applyFont="1" applyFill="1" applyBorder="1" applyAlignment="1">
      <alignment horizontal="center" vertical="center"/>
    </xf>
    <xf numFmtId="49" fontId="9" fillId="15" borderId="8" xfId="0" applyNumberFormat="1" applyFont="1" applyFill="1" applyBorder="1" applyAlignment="1">
      <alignment horizontal="center" vertical="center"/>
    </xf>
    <xf numFmtId="170" fontId="8" fillId="15" borderId="8" xfId="0" applyNumberFormat="1" applyFont="1" applyFill="1" applyBorder="1" applyAlignment="1">
      <alignment horizontal="center" vertical="center"/>
    </xf>
    <xf numFmtId="49" fontId="8" fillId="15" borderId="9" xfId="0" applyNumberFormat="1" applyFont="1" applyFill="1" applyBorder="1" applyAlignment="1">
      <alignment horizontal="center" vertical="center"/>
    </xf>
    <xf numFmtId="49" fontId="13" fillId="15" borderId="3" xfId="0" applyNumberFormat="1" applyFont="1" applyFill="1" applyBorder="1" applyAlignment="1">
      <alignment horizontal="center" vertical="center"/>
    </xf>
    <xf numFmtId="170" fontId="13" fillId="15" borderId="3" xfId="0" applyNumberFormat="1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168" fontId="15" fillId="8" borderId="5" xfId="0" applyNumberFormat="1" applyFont="1" applyFill="1" applyBorder="1" applyAlignment="1">
      <alignment horizontal="center" vertical="center"/>
    </xf>
    <xf numFmtId="49" fontId="14" fillId="9" borderId="10" xfId="0" applyNumberFormat="1" applyFont="1" applyFill="1" applyBorder="1" applyAlignment="1">
      <alignment horizontal="center" vertical="center"/>
    </xf>
    <xf numFmtId="170" fontId="14" fillId="9" borderId="10" xfId="0" applyNumberFormat="1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168" fontId="8" fillId="9" borderId="8" xfId="0" applyNumberFormat="1" applyFont="1" applyFill="1" applyBorder="1" applyAlignment="1">
      <alignment horizontal="center" vertical="center"/>
    </xf>
    <xf numFmtId="1" fontId="8" fillId="9" borderId="8" xfId="0" applyNumberFormat="1" applyFont="1" applyFill="1" applyBorder="1" applyAlignment="1">
      <alignment horizontal="center" vertical="center"/>
    </xf>
    <xf numFmtId="16" fontId="8" fillId="9" borderId="8" xfId="0" applyNumberFormat="1" applyFont="1" applyFill="1" applyBorder="1" applyAlignment="1">
      <alignment horizontal="center" vertical="center"/>
    </xf>
    <xf numFmtId="49" fontId="9" fillId="9" borderId="8" xfId="0" applyNumberFormat="1" applyFont="1" applyFill="1" applyBorder="1" applyAlignment="1">
      <alignment horizontal="center" vertical="center"/>
    </xf>
    <xf numFmtId="170" fontId="8" fillId="9" borderId="8" xfId="0" applyNumberFormat="1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1" fillId="16" borderId="17" xfId="0" applyFont="1" applyFill="1" applyBorder="1" applyAlignment="1">
      <alignment horizontal="center" vertical="center"/>
    </xf>
    <xf numFmtId="0" fontId="21" fillId="16" borderId="16" xfId="0" applyFont="1" applyFill="1" applyBorder="1" applyAlignment="1">
      <alignment horizontal="center" vertical="center"/>
    </xf>
    <xf numFmtId="0" fontId="21" fillId="16" borderId="20" xfId="0" applyFont="1" applyFill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49" fontId="22" fillId="0" borderId="14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72" fontId="22" fillId="0" borderId="18" xfId="0" applyNumberFormat="1" applyFont="1" applyBorder="1" applyAlignment="1">
      <alignment horizontal="center" vertical="center"/>
    </xf>
    <xf numFmtId="173" fontId="22" fillId="0" borderId="14" xfId="0" applyNumberFormat="1" applyFont="1" applyBorder="1" applyAlignment="1">
      <alignment horizontal="center" vertical="center"/>
    </xf>
    <xf numFmtId="172" fontId="22" fillId="0" borderId="19" xfId="0" applyNumberFormat="1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49" fontId="22" fillId="0" borderId="15" xfId="0" applyNumberFormat="1" applyFont="1" applyBorder="1" applyAlignment="1">
      <alignment horizontal="center" vertical="center"/>
    </xf>
    <xf numFmtId="173" fontId="22" fillId="0" borderId="15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165" fontId="23" fillId="17" borderId="0" xfId="0" applyNumberFormat="1" applyFont="1" applyFill="1" applyAlignment="1">
      <alignment horizontal="center" vertical="center"/>
    </xf>
    <xf numFmtId="174" fontId="23" fillId="17" borderId="0" xfId="0" applyNumberFormat="1" applyFont="1" applyFill="1" applyAlignment="1">
      <alignment horizontal="center" vertical="center"/>
    </xf>
    <xf numFmtId="0" fontId="23" fillId="17" borderId="0" xfId="0" applyFont="1" applyFill="1" applyAlignment="1">
      <alignment horizontal="center" vertical="center"/>
    </xf>
    <xf numFmtId="176" fontId="23" fillId="17" borderId="0" xfId="0" applyNumberFormat="1" applyFont="1" applyFill="1" applyAlignment="1">
      <alignment horizontal="center" vertical="center"/>
    </xf>
    <xf numFmtId="9" fontId="23" fillId="17" borderId="0" xfId="0" applyNumberFormat="1" applyFont="1" applyFill="1" applyAlignment="1">
      <alignment horizontal="center" vertical="center"/>
    </xf>
    <xf numFmtId="1" fontId="23" fillId="17" borderId="0" xfId="0" applyNumberFormat="1" applyFont="1" applyFill="1" applyAlignment="1">
      <alignment horizontal="center" vertical="center"/>
    </xf>
    <xf numFmtId="175" fontId="23" fillId="17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1" fillId="4" borderId="3" xfId="0" applyNumberFormat="1" applyFont="1" applyFill="1" applyBorder="1" applyAlignment="1">
      <alignment horizontal="center" vertical="center"/>
    </xf>
    <xf numFmtId="0" fontId="12" fillId="0" borderId="3" xfId="0" applyFont="1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5" fillId="4" borderId="3" xfId="0" applyFont="1" applyFill="1" applyBorder="1" applyAlignment="1">
      <alignment horizontal="center" vertical="center"/>
    </xf>
    <xf numFmtId="0" fontId="18" fillId="0" borderId="11" xfId="0" applyFont="1" applyBorder="1"/>
    <xf numFmtId="0" fontId="0" fillId="0" borderId="12" xfId="0" applyBorder="1"/>
    <xf numFmtId="0" fontId="0" fillId="0" borderId="13" xfId="0" applyBorder="1"/>
    <xf numFmtId="0" fontId="10" fillId="3" borderId="0" xfId="0" applyFont="1" applyFill="1" applyAlignment="1">
      <alignment horizontal="right" vertical="center"/>
    </xf>
    <xf numFmtId="0" fontId="10" fillId="3" borderId="0" xfId="0" applyFont="1" applyFill="1"/>
    <xf numFmtId="0" fontId="4" fillId="0" borderId="0" xfId="0" applyFont="1" applyAlignment="1">
      <alignment horizontal="left" vertical="center"/>
    </xf>
    <xf numFmtId="0" fontId="0" fillId="0" borderId="0" xfId="0"/>
    <xf numFmtId="167" fontId="10" fillId="3" borderId="0" xfId="0" applyNumberFormat="1" applyFont="1" applyFill="1" applyAlignment="1">
      <alignment horizontal="left" vertical="center"/>
    </xf>
    <xf numFmtId="0" fontId="11" fillId="4" borderId="3" xfId="0" applyFont="1" applyFill="1" applyBorder="1" applyAlignment="1">
      <alignment horizontal="center" vertical="center"/>
    </xf>
    <xf numFmtId="0" fontId="19" fillId="0" borderId="3" xfId="0" applyFont="1" applyBorder="1"/>
    <xf numFmtId="0" fontId="0" fillId="0" borderId="11" xfId="0" applyBorder="1"/>
    <xf numFmtId="165" fontId="2" fillId="2" borderId="0" xfId="0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0" fontId="3" fillId="3" borderId="0" xfId="0" applyFont="1" applyFill="1"/>
    <xf numFmtId="0" fontId="24" fillId="0" borderId="0" xfId="0" applyFont="1" applyAlignment="1">
      <alignment horizontal="center" vertical="center"/>
    </xf>
    <xf numFmtId="0" fontId="24" fillId="0" borderId="0" xfId="0" applyFont="1"/>
    <xf numFmtId="171" fontId="24" fillId="0" borderId="0" xfId="0" applyNumberFormat="1" applyFont="1" applyAlignment="1">
      <alignment horizontal="center" vertical="center"/>
    </xf>
    <xf numFmtId="15" fontId="24" fillId="0" borderId="0" xfId="0" applyNumberFormat="1" applyFont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170" fontId="24" fillId="0" borderId="0" xfId="0" applyNumberFormat="1" applyFont="1" applyAlignment="1">
      <alignment horizontal="center" vertical="center"/>
    </xf>
    <xf numFmtId="168" fontId="24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5" fillId="18" borderId="0" xfId="0" applyFont="1" applyFill="1" applyAlignment="1">
      <alignment horizontal="center" vertical="center"/>
    </xf>
    <xf numFmtId="15" fontId="25" fillId="18" borderId="0" xfId="0" applyNumberFormat="1" applyFont="1" applyFill="1" applyAlignment="1">
      <alignment horizontal="center" vertical="center"/>
    </xf>
    <xf numFmtId="168" fontId="25" fillId="18" borderId="0" xfId="0" applyNumberFormat="1" applyFont="1" applyFill="1" applyAlignment="1">
      <alignment horizontal="center" vertical="center"/>
    </xf>
    <xf numFmtId="1" fontId="25" fillId="18" borderId="0" xfId="0" applyNumberFormat="1" applyFont="1" applyFill="1" applyAlignment="1">
      <alignment horizontal="center" vertical="center"/>
    </xf>
    <xf numFmtId="0" fontId="25" fillId="18" borderId="0" xfId="0" applyNumberFormat="1" applyFont="1" applyFill="1" applyAlignment="1">
      <alignment horizontal="center" vertical="center"/>
    </xf>
    <xf numFmtId="0" fontId="26" fillId="18" borderId="0" xfId="0" applyFont="1" applyFill="1" applyAlignment="1">
      <alignment horizontal="center"/>
    </xf>
    <xf numFmtId="15" fontId="26" fillId="18" borderId="0" xfId="0" applyNumberFormat="1" applyFont="1" applyFill="1" applyAlignment="1">
      <alignment horizontal="center"/>
    </xf>
    <xf numFmtId="168" fontId="26" fillId="18" borderId="0" xfId="0" applyNumberFormat="1" applyFont="1" applyFill="1" applyAlignment="1">
      <alignment horizontal="center"/>
    </xf>
    <xf numFmtId="1" fontId="26" fillId="18" borderId="0" xfId="0" applyNumberFormat="1" applyFont="1" applyFill="1" applyAlignment="1">
      <alignment horizontal="center"/>
    </xf>
    <xf numFmtId="0" fontId="16" fillId="11" borderId="23" xfId="0" applyFont="1" applyFill="1" applyBorder="1" applyAlignment="1">
      <alignment horizontal="center" vertical="center"/>
    </xf>
    <xf numFmtId="0" fontId="16" fillId="11" borderId="24" xfId="0" applyFont="1" applyFill="1" applyBorder="1" applyAlignment="1">
      <alignment horizontal="center" vertical="center"/>
    </xf>
    <xf numFmtId="0" fontId="16" fillId="11" borderId="25" xfId="0" applyFont="1" applyFill="1" applyBorder="1" applyAlignment="1">
      <alignment horizontal="center" vertical="center"/>
    </xf>
  </cellXfs>
  <cellStyles count="1">
    <cellStyle name="Normal" xfId="0" builtinId="0"/>
  </cellStyles>
  <dxfs count="112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3" totalsRowCount="1" headerRowDxfId="111" dataDxfId="74" totalsRowDxfId="37">
  <tableColumns count="36">
    <tableColumn id="1" xr3:uid="{00000000-0010-0000-0000-000001000000}" name="Day" totalsRowLabel="TOTAL" dataDxfId="110" totalsRowDxfId="73"/>
    <tableColumn id="2" xr3:uid="{00000000-0010-0000-0000-000002000000}" name="Flt Dt" dataDxfId="109" totalsRowDxfId="72"/>
    <tableColumn id="3" xr3:uid="{00000000-0010-0000-0000-000003000000}" name="Flt" totalsRowFunction="count" dataDxfId="108" totalsRowDxfId="71"/>
    <tableColumn id="4" xr3:uid="{00000000-0010-0000-0000-000004000000}" name="DEP" dataDxfId="107" totalsRowDxfId="70"/>
    <tableColumn id="5" xr3:uid="{00000000-0010-0000-0000-000005000000}" name="Brd-Off" totalsRowFunction="count" dataDxfId="106" totalsRowDxfId="69"/>
    <tableColumn id="6" xr3:uid="{00000000-0010-0000-0000-000006000000}" name="Eqp" dataDxfId="105" totalsRowDxfId="68"/>
    <tableColumn id="7" xr3:uid="{00000000-0010-0000-0000-000007000000}" name="LF%" totalsRowFunction="average" dataDxfId="104" totalsRowDxfId="67"/>
    <tableColumn id="8" xr3:uid="{00000000-0010-0000-0000-000008000000}" name="CAP" totalsRowFunction="sum" dataDxfId="103" totalsRowDxfId="66"/>
    <tableColumn id="9" xr3:uid="{00000000-0010-0000-0000-000009000000}" name="BKG(Y)" totalsRowFunction="sum" dataDxfId="102" totalsRowDxfId="65"/>
    <tableColumn id="10" xr3:uid="{00000000-0010-0000-0000-00000A000000}" name="GRP(Y)" totalsRowFunction="sum" dataDxfId="101" totalsRowDxfId="64"/>
    <tableColumn id="11" xr3:uid="{00000000-0010-0000-0000-00000B000000}" name="FLT ST" dataDxfId="100" totalsRowDxfId="63"/>
    <tableColumn id="12" xr3:uid="{00000000-0010-0000-0000-00000C000000}" name="LST-SOLD" dataDxfId="99" totalsRowDxfId="62"/>
    <tableColumn id="13" xr3:uid="{00000000-0010-0000-0000-00000D000000}" name="TO-DAY" totalsRowFunction="sum" dataDxfId="98" totalsRowDxfId="61"/>
    <tableColumn id="14" xr3:uid="{00000000-0010-0000-0000-00000E000000}" name="Y-DAY" totalsRowFunction="sum" dataDxfId="97" totalsRowDxfId="60"/>
    <tableColumn id="15" xr3:uid="{00000000-0010-0000-0000-00000F000000}" name="WEEKLY" totalsRowFunction="sum" dataDxfId="96" totalsRowDxfId="59"/>
    <tableColumn id="16" xr3:uid="{00000000-0010-0000-0000-000010000000}" name="LOWEST AVAIL" dataDxfId="95" totalsRowDxfId="58"/>
    <tableColumn id="17" xr3:uid="{00000000-0010-0000-0000-000011000000}" name="Y" totalsRowFunction="sum" dataDxfId="94" totalsRowDxfId="57"/>
    <tableColumn id="18" xr3:uid="{00000000-0010-0000-0000-000012000000}" name="B" totalsRowFunction="sum" dataDxfId="93" totalsRowDxfId="56"/>
    <tableColumn id="19" xr3:uid="{00000000-0010-0000-0000-000013000000}" name="M" totalsRowFunction="sum" dataDxfId="92" totalsRowDxfId="55"/>
    <tableColumn id="20" xr3:uid="{00000000-0010-0000-0000-000014000000}" name="H" totalsRowFunction="sum" dataDxfId="91" totalsRowDxfId="54"/>
    <tableColumn id="21" xr3:uid="{00000000-0010-0000-0000-000015000000}" name="Q" totalsRowFunction="sum" dataDxfId="90" totalsRowDxfId="53"/>
    <tableColumn id="22" xr3:uid="{00000000-0010-0000-0000-000016000000}" name="K" totalsRowFunction="sum" dataDxfId="89" totalsRowDxfId="52"/>
    <tableColumn id="23" xr3:uid="{00000000-0010-0000-0000-000017000000}" name="V" totalsRowFunction="sum" dataDxfId="88" totalsRowDxfId="51"/>
    <tableColumn id="24" xr3:uid="{00000000-0010-0000-0000-000018000000}" name="L" totalsRowFunction="sum" dataDxfId="87" totalsRowDxfId="50"/>
    <tableColumn id="25" xr3:uid="{00000000-0010-0000-0000-000019000000}" name="G" totalsRowFunction="sum" dataDxfId="86" totalsRowDxfId="49"/>
    <tableColumn id="26" xr3:uid="{00000000-0010-0000-0000-00001A000000}" name="S" totalsRowFunction="sum" dataDxfId="85" totalsRowDxfId="48"/>
    <tableColumn id="27" xr3:uid="{00000000-0010-0000-0000-00001B000000}" name="W" totalsRowFunction="sum" dataDxfId="84" totalsRowDxfId="47"/>
    <tableColumn id="28" xr3:uid="{00000000-0010-0000-0000-00001C000000}" name="T" totalsRowFunction="sum" dataDxfId="83" totalsRowDxfId="46"/>
    <tableColumn id="29" xr3:uid="{00000000-0010-0000-0000-00001D000000}" name="X" totalsRowFunction="sum" dataDxfId="82" totalsRowDxfId="45"/>
    <tableColumn id="30" xr3:uid="{00000000-0010-0000-0000-00001E000000}" name="U" totalsRowFunction="sum" dataDxfId="81" totalsRowDxfId="44"/>
    <tableColumn id="31" xr3:uid="{00000000-0010-0000-0000-00001F000000}" name="O" totalsRowFunction="sum" dataDxfId="80" totalsRowDxfId="43"/>
    <tableColumn id="32" xr3:uid="{00000000-0010-0000-0000-000020000000}" name="I" totalsRowFunction="sum" dataDxfId="79" totalsRowDxfId="42"/>
    <tableColumn id="33" xr3:uid="{00000000-0010-0000-0000-000021000000}" name="E" totalsRowFunction="sum" dataDxfId="78" totalsRowDxfId="41"/>
    <tableColumn id="34" xr3:uid="{00000000-0010-0000-0000-000022000000}" name="A" totalsRowFunction="sum" dataDxfId="77" totalsRowDxfId="40"/>
    <tableColumn id="35" xr3:uid="{00000000-0010-0000-0000-000023000000}" name="P" totalsRowFunction="sum" dataDxfId="76" totalsRowDxfId="39"/>
    <tableColumn id="36" xr3:uid="{00000000-0010-0000-0000-000024000000}" name="N" totalsRowFunction="count" dataDxfId="75" totalsRow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22" totalsRowShown="0">
  <autoFilter ref="A1:H22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F_ALL_ROUTES" displayName="LF_ALL_ROUTES" ref="A1:AJ23" totalsRowCount="1" totalsRowDxfId="0">
  <tableColumns count="36">
    <tableColumn id="1" xr3:uid="{00000000-0010-0000-0200-000001000000}" name="Day" totalsRowLabel="TOTAL" totalsRowDxfId="36"/>
    <tableColumn id="2" xr3:uid="{00000000-0010-0000-0200-000002000000}" name="Flt Dt" totalsRowDxfId="35"/>
    <tableColumn id="3" xr3:uid="{00000000-0010-0000-0200-000003000000}" name="Flt" totalsRowFunction="count" totalsRowDxfId="34"/>
    <tableColumn id="4" xr3:uid="{00000000-0010-0000-0200-000004000000}" name="DEP" totalsRowDxfId="33"/>
    <tableColumn id="5" xr3:uid="{00000000-0010-0000-0200-000005000000}" name="Brd-Off" totalsRowFunction="count" totalsRowDxfId="32"/>
    <tableColumn id="6" xr3:uid="{00000000-0010-0000-0200-000006000000}" name="Eqp" totalsRowDxfId="31"/>
    <tableColumn id="7" xr3:uid="{00000000-0010-0000-0200-000007000000}" name="LF%" totalsRowFunction="average" totalsRowDxfId="30"/>
    <tableColumn id="8" xr3:uid="{00000000-0010-0000-0200-000008000000}" name="CAP" totalsRowFunction="sum" totalsRowDxfId="29"/>
    <tableColumn id="9" xr3:uid="{00000000-0010-0000-0200-000009000000}" name="BKG(Y)" totalsRowFunction="sum" totalsRowDxfId="28"/>
    <tableColumn id="10" xr3:uid="{00000000-0010-0000-0200-00000A000000}" name="GRP(Y)" totalsRowFunction="sum" totalsRowDxfId="27"/>
    <tableColumn id="11" xr3:uid="{00000000-0010-0000-0200-00000B000000}" name="FLT ST" totalsRowDxfId="26"/>
    <tableColumn id="12" xr3:uid="{00000000-0010-0000-0200-00000C000000}" name="LST-SOLD" totalsRowDxfId="25"/>
    <tableColumn id="13" xr3:uid="{00000000-0010-0000-0200-00000D000000}" name="TO-DAY" totalsRowFunction="sum" totalsRowDxfId="24"/>
    <tableColumn id="14" xr3:uid="{00000000-0010-0000-0200-00000E000000}" name="Y-DAY" totalsRowFunction="sum" totalsRowDxfId="23"/>
    <tableColumn id="15" xr3:uid="{00000000-0010-0000-0200-00000F000000}" name="WEEKLY" totalsRowFunction="sum" totalsRowDxfId="22"/>
    <tableColumn id="16" xr3:uid="{00000000-0010-0000-0200-000010000000}" name="LOWEST AVAIL" totalsRowDxfId="21"/>
    <tableColumn id="17" xr3:uid="{00000000-0010-0000-0200-000011000000}" name="Y" totalsRowFunction="sum" totalsRowDxfId="20"/>
    <tableColumn id="18" xr3:uid="{00000000-0010-0000-0200-000012000000}" name="B" totalsRowFunction="sum" totalsRowDxfId="19"/>
    <tableColumn id="19" xr3:uid="{00000000-0010-0000-0200-000013000000}" name="M" totalsRowFunction="sum" totalsRowDxfId="18"/>
    <tableColumn id="20" xr3:uid="{00000000-0010-0000-0200-000014000000}" name="H" totalsRowFunction="sum" totalsRowDxfId="17"/>
    <tableColumn id="21" xr3:uid="{00000000-0010-0000-0200-000015000000}" name="Q" totalsRowFunction="sum" totalsRowDxfId="16"/>
    <tableColumn id="22" xr3:uid="{00000000-0010-0000-0200-000016000000}" name="K" totalsRowFunction="sum" totalsRowDxfId="15"/>
    <tableColumn id="23" xr3:uid="{00000000-0010-0000-0200-000017000000}" name="V" totalsRowFunction="sum" totalsRowDxfId="14"/>
    <tableColumn id="24" xr3:uid="{00000000-0010-0000-0200-000018000000}" name="L" totalsRowFunction="sum" totalsRowDxfId="13"/>
    <tableColumn id="25" xr3:uid="{00000000-0010-0000-0200-000019000000}" name="G" totalsRowFunction="sum" totalsRowDxfId="12"/>
    <tableColumn id="26" xr3:uid="{00000000-0010-0000-0200-00001A000000}" name="S" totalsRowFunction="sum" totalsRowDxfId="11"/>
    <tableColumn id="27" xr3:uid="{00000000-0010-0000-0200-00001B000000}" name="W" totalsRowFunction="sum" totalsRowDxfId="10"/>
    <tableColumn id="28" xr3:uid="{00000000-0010-0000-0200-00001C000000}" name="T" totalsRowFunction="sum" totalsRowDxfId="9"/>
    <tableColumn id="29" xr3:uid="{00000000-0010-0000-0200-00001D000000}" name="X" totalsRowFunction="sum" totalsRowDxfId="8"/>
    <tableColumn id="30" xr3:uid="{00000000-0010-0000-0200-00001E000000}" name="U" totalsRowFunction="sum" totalsRowDxfId="7"/>
    <tableColumn id="31" xr3:uid="{00000000-0010-0000-0200-00001F000000}" name="O" totalsRowFunction="sum" totalsRowDxfId="6"/>
    <tableColumn id="32" xr3:uid="{00000000-0010-0000-0200-000020000000}" name="I" totalsRowFunction="sum" totalsRowDxfId="5"/>
    <tableColumn id="33" xr3:uid="{00000000-0010-0000-0200-000021000000}" name="E" totalsRowFunction="sum" totalsRowDxfId="4"/>
    <tableColumn id="34" xr3:uid="{00000000-0010-0000-0200-000022000000}" name="A" totalsRowFunction="sum" totalsRowDxfId="3"/>
    <tableColumn id="35" xr3:uid="{00000000-0010-0000-0200-000023000000}" name="P" totalsRowFunction="sum" totalsRowDxfId="2"/>
    <tableColumn id="36" xr3:uid="{00000000-0010-0000-0200-000024000000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"/>
  <sheetViews>
    <sheetView tabSelected="1" zoomScale="85" workbookViewId="0">
      <selection sqref="A1:E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9.44140625" bestFit="1" customWidth="1"/>
    <col min="5" max="5" width="16.44140625" bestFit="1" customWidth="1"/>
    <col min="6" max="6" width="23.77734375" bestFit="1" customWidth="1"/>
    <col min="7" max="7" width="42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4.44140625" bestFit="1" customWidth="1"/>
  </cols>
  <sheetData>
    <row r="1" spans="1:92" ht="28.8" customHeight="1" x14ac:dyDescent="0.3">
      <c r="A1" s="170" t="s">
        <v>0</v>
      </c>
      <c r="B1" s="169"/>
      <c r="C1" s="169"/>
      <c r="D1" s="169"/>
      <c r="E1" s="169"/>
      <c r="F1" s="1" t="s">
        <v>1</v>
      </c>
      <c r="G1" s="1" t="s">
        <v>2</v>
      </c>
      <c r="H1" s="168">
        <v>45667</v>
      </c>
      <c r="I1" s="169"/>
      <c r="J1" s="169"/>
      <c r="K1" s="169"/>
      <c r="L1" s="169"/>
      <c r="M1" s="1" t="s">
        <v>3</v>
      </c>
      <c r="N1" s="187">
        <v>45671</v>
      </c>
      <c r="O1" s="169"/>
      <c r="P1" s="169"/>
      <c r="Q1" s="169"/>
      <c r="R1" s="169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179" t="s">
        <v>4</v>
      </c>
      <c r="B2" s="180"/>
      <c r="C2" s="180"/>
      <c r="D2" s="180"/>
      <c r="E2" s="180"/>
      <c r="F2" s="180"/>
      <c r="G2" s="183">
        <v>45984.272841673883</v>
      </c>
      <c r="H2" s="180"/>
      <c r="I2" s="180"/>
      <c r="J2" s="180"/>
      <c r="K2" s="188">
        <v>45984.272841674152</v>
      </c>
      <c r="L2" s="180"/>
      <c r="M2" s="180"/>
      <c r="N2" s="180"/>
      <c r="O2" s="180"/>
      <c r="P2" s="180"/>
      <c r="Q2" s="189"/>
      <c r="R2" s="189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81" t="s">
        <v>5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5">
      <c r="A4" s="184" t="s">
        <v>6</v>
      </c>
      <c r="B4" s="185"/>
      <c r="C4" s="185"/>
      <c r="D4" s="185"/>
      <c r="E4" s="185"/>
      <c r="F4" s="185"/>
      <c r="G4" s="5">
        <v>45667</v>
      </c>
      <c r="H4" s="175" t="s">
        <v>7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49.95" customHeight="1" x14ac:dyDescent="0.3">
      <c r="A6" s="9" t="s">
        <v>26</v>
      </c>
      <c r="B6" s="9" t="s">
        <v>27</v>
      </c>
      <c r="C6" s="10">
        <v>0.2361111111111111</v>
      </c>
      <c r="D6" s="9" t="s">
        <v>28</v>
      </c>
      <c r="E6" s="11"/>
      <c r="F6" s="9" t="s">
        <v>29</v>
      </c>
      <c r="G6" s="186"/>
      <c r="H6" s="12" t="s">
        <v>30</v>
      </c>
      <c r="I6" s="13">
        <v>0.58620000000000005</v>
      </c>
      <c r="J6" s="14">
        <v>102</v>
      </c>
      <c r="K6" s="15">
        <v>45983</v>
      </c>
      <c r="L6" s="14">
        <v>4</v>
      </c>
      <c r="M6" s="14">
        <v>0</v>
      </c>
      <c r="N6" s="14">
        <v>2</v>
      </c>
      <c r="O6" s="16" t="s">
        <v>31</v>
      </c>
      <c r="P6" s="17">
        <v>0.2361111111111111</v>
      </c>
      <c r="Q6" s="14">
        <v>174</v>
      </c>
      <c r="R6" s="18" t="s">
        <v>32</v>
      </c>
    </row>
    <row r="7" spans="1:92" ht="49.95" customHeight="1" x14ac:dyDescent="0.3">
      <c r="A7" s="19" t="s">
        <v>26</v>
      </c>
      <c r="B7" s="19" t="s">
        <v>33</v>
      </c>
      <c r="C7" s="20">
        <v>0.33333333333333331</v>
      </c>
      <c r="D7" s="19" t="s">
        <v>28</v>
      </c>
      <c r="E7" s="21"/>
      <c r="F7" s="19" t="s">
        <v>34</v>
      </c>
      <c r="G7" s="177"/>
      <c r="H7" s="22" t="s">
        <v>35</v>
      </c>
      <c r="I7" s="23">
        <v>0.91069999999999995</v>
      </c>
      <c r="J7" s="24">
        <v>153</v>
      </c>
      <c r="K7" s="25">
        <v>45975</v>
      </c>
      <c r="L7" s="24">
        <v>0</v>
      </c>
      <c r="M7" s="24">
        <v>0</v>
      </c>
      <c r="N7" s="24">
        <v>0</v>
      </c>
      <c r="O7" s="26" t="s">
        <v>36</v>
      </c>
      <c r="P7" s="27">
        <v>0.33333333333333331</v>
      </c>
      <c r="Q7" s="24">
        <v>168</v>
      </c>
      <c r="R7" s="28" t="s">
        <v>37</v>
      </c>
    </row>
    <row r="8" spans="1:92" ht="49.95" customHeight="1" thickBot="1" x14ac:dyDescent="0.35">
      <c r="A8" s="29" t="s">
        <v>26</v>
      </c>
      <c r="B8" s="29" t="s">
        <v>38</v>
      </c>
      <c r="C8" s="30">
        <v>0.68055555555555547</v>
      </c>
      <c r="D8" s="29" t="s">
        <v>28</v>
      </c>
      <c r="E8" s="31"/>
      <c r="F8" s="29" t="s">
        <v>34</v>
      </c>
      <c r="G8" s="178"/>
      <c r="H8" s="32" t="s">
        <v>39</v>
      </c>
      <c r="I8" s="33">
        <v>0.88690000000000002</v>
      </c>
      <c r="J8" s="34">
        <v>149</v>
      </c>
      <c r="K8" s="35">
        <v>45982</v>
      </c>
      <c r="L8" s="34">
        <v>2</v>
      </c>
      <c r="M8" s="34">
        <v>0</v>
      </c>
      <c r="N8" s="34">
        <v>0</v>
      </c>
      <c r="O8" s="36" t="s">
        <v>40</v>
      </c>
      <c r="P8" s="37">
        <v>0.68055555555555547</v>
      </c>
      <c r="Q8" s="34">
        <v>168</v>
      </c>
      <c r="R8" s="38" t="s">
        <v>41</v>
      </c>
    </row>
    <row r="9" spans="1:92" ht="17.399999999999999" customHeight="1" thickBot="1" x14ac:dyDescent="0.35">
      <c r="A9" s="208"/>
      <c r="B9" s="209"/>
      <c r="C9" s="209"/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10"/>
    </row>
    <row r="10" spans="1:92" ht="22.05" customHeight="1" thickTop="1" thickBot="1" x14ac:dyDescent="0.55000000000000004">
      <c r="A10" s="171" t="s">
        <v>6</v>
      </c>
      <c r="B10" s="172"/>
      <c r="C10" s="172"/>
      <c r="D10" s="172"/>
      <c r="E10" s="172"/>
      <c r="F10" s="172"/>
      <c r="G10" s="39">
        <v>45668</v>
      </c>
      <c r="H10" s="173" t="s">
        <v>7</v>
      </c>
      <c r="I10" s="174"/>
      <c r="J10" s="174"/>
      <c r="K10" s="174"/>
      <c r="L10" s="174"/>
      <c r="M10" s="174"/>
      <c r="N10" s="174"/>
      <c r="O10" s="174"/>
      <c r="P10" s="174"/>
      <c r="Q10" s="174"/>
      <c r="R10" s="174"/>
    </row>
    <row r="11" spans="1:92" ht="24" customHeight="1" x14ac:dyDescent="0.3">
      <c r="A11" s="40" t="s">
        <v>8</v>
      </c>
      <c r="B11" s="40" t="s">
        <v>9</v>
      </c>
      <c r="C11" s="41" t="s">
        <v>10</v>
      </c>
      <c r="D11" s="40" t="s">
        <v>11</v>
      </c>
      <c r="E11" s="40" t="s">
        <v>12</v>
      </c>
      <c r="F11" s="42" t="s">
        <v>13</v>
      </c>
      <c r="G11" s="43" t="s">
        <v>14</v>
      </c>
      <c r="H11" s="40" t="s">
        <v>15</v>
      </c>
      <c r="I11" s="44" t="s">
        <v>16</v>
      </c>
      <c r="J11" s="45" t="s">
        <v>17</v>
      </c>
      <c r="K11" s="46" t="s">
        <v>18</v>
      </c>
      <c r="L11" s="45" t="s">
        <v>19</v>
      </c>
      <c r="M11" s="45" t="s">
        <v>20</v>
      </c>
      <c r="N11" s="45" t="s">
        <v>21</v>
      </c>
      <c r="O11" s="40" t="s">
        <v>22</v>
      </c>
      <c r="P11" s="41" t="s">
        <v>23</v>
      </c>
      <c r="Q11" s="45" t="s">
        <v>24</v>
      </c>
      <c r="R11" s="40" t="s">
        <v>25</v>
      </c>
    </row>
    <row r="12" spans="1:92" ht="49.95" customHeight="1" x14ac:dyDescent="0.3">
      <c r="A12" s="47" t="s">
        <v>26</v>
      </c>
      <c r="B12" s="47" t="s">
        <v>42</v>
      </c>
      <c r="C12" s="48">
        <v>8.3333333333333329E-2</v>
      </c>
      <c r="D12" s="47" t="s">
        <v>28</v>
      </c>
      <c r="E12" s="49"/>
      <c r="F12" s="47" t="s">
        <v>29</v>
      </c>
      <c r="G12" s="186"/>
      <c r="H12" s="50" t="s">
        <v>43</v>
      </c>
      <c r="I12" s="51">
        <v>0.36309999999999998</v>
      </c>
      <c r="J12" s="52">
        <v>61</v>
      </c>
      <c r="K12" s="53">
        <v>45982</v>
      </c>
      <c r="L12" s="52">
        <v>2</v>
      </c>
      <c r="M12" s="52">
        <v>0</v>
      </c>
      <c r="N12" s="52">
        <v>0</v>
      </c>
      <c r="O12" s="54" t="s">
        <v>44</v>
      </c>
      <c r="P12" s="55">
        <v>8.3333333333333329E-2</v>
      </c>
      <c r="Q12" s="52">
        <v>168</v>
      </c>
      <c r="R12" s="56" t="s">
        <v>45</v>
      </c>
    </row>
    <row r="13" spans="1:92" ht="49.95" customHeight="1" x14ac:dyDescent="0.3">
      <c r="A13" s="57" t="s">
        <v>26</v>
      </c>
      <c r="B13" s="57" t="s">
        <v>33</v>
      </c>
      <c r="C13" s="58">
        <v>0.31944444444444448</v>
      </c>
      <c r="D13" s="57" t="s">
        <v>28</v>
      </c>
      <c r="E13" s="59"/>
      <c r="F13" s="57" t="s">
        <v>46</v>
      </c>
      <c r="G13" s="177"/>
      <c r="H13" s="60" t="s">
        <v>35</v>
      </c>
      <c r="I13" s="61">
        <v>0.27379999999999999</v>
      </c>
      <c r="J13" s="62">
        <v>46</v>
      </c>
      <c r="K13" s="63">
        <v>45978</v>
      </c>
      <c r="L13" s="62">
        <v>1</v>
      </c>
      <c r="M13" s="62">
        <v>0</v>
      </c>
      <c r="N13" s="62">
        <v>0</v>
      </c>
      <c r="O13" s="64" t="s">
        <v>44</v>
      </c>
      <c r="P13" s="65">
        <v>0.31944444444444448</v>
      </c>
      <c r="Q13" s="62">
        <v>168</v>
      </c>
      <c r="R13" s="66" t="s">
        <v>47</v>
      </c>
    </row>
    <row r="14" spans="1:92" ht="49.95" customHeight="1" x14ac:dyDescent="0.3">
      <c r="A14" s="67" t="s">
        <v>26</v>
      </c>
      <c r="B14" s="67" t="s">
        <v>48</v>
      </c>
      <c r="C14" s="68">
        <v>0.33333333333333331</v>
      </c>
      <c r="D14" s="67" t="s">
        <v>28</v>
      </c>
      <c r="E14" s="69"/>
      <c r="F14" s="67" t="s">
        <v>29</v>
      </c>
      <c r="G14" s="177"/>
      <c r="H14" s="70" t="s">
        <v>49</v>
      </c>
      <c r="I14" s="71">
        <v>0.80359999999999998</v>
      </c>
      <c r="J14" s="72">
        <v>135</v>
      </c>
      <c r="K14" s="73">
        <v>45961</v>
      </c>
      <c r="L14" s="72">
        <v>0</v>
      </c>
      <c r="M14" s="72">
        <v>0</v>
      </c>
      <c r="N14" s="72">
        <v>0</v>
      </c>
      <c r="O14" s="74" t="s">
        <v>36</v>
      </c>
      <c r="P14" s="75">
        <v>0.33333333333333331</v>
      </c>
      <c r="Q14" s="72">
        <v>168</v>
      </c>
      <c r="R14" s="76" t="s">
        <v>50</v>
      </c>
    </row>
    <row r="15" spans="1:92" ht="49.95" customHeight="1" x14ac:dyDescent="0.3">
      <c r="A15" s="77" t="s">
        <v>26</v>
      </c>
      <c r="B15" s="77" t="s">
        <v>51</v>
      </c>
      <c r="C15" s="78">
        <v>0.51041666666666663</v>
      </c>
      <c r="D15" s="77" t="s">
        <v>28</v>
      </c>
      <c r="E15" s="79"/>
      <c r="F15" s="77" t="s">
        <v>34</v>
      </c>
      <c r="G15" s="177"/>
      <c r="H15" s="80" t="s">
        <v>52</v>
      </c>
      <c r="I15" s="81">
        <v>0.88690000000000002</v>
      </c>
      <c r="J15" s="82">
        <v>149</v>
      </c>
      <c r="K15" s="83">
        <v>45957</v>
      </c>
      <c r="L15" s="82">
        <v>0</v>
      </c>
      <c r="M15" s="82">
        <v>0</v>
      </c>
      <c r="N15" s="82">
        <v>0</v>
      </c>
      <c r="O15" s="84" t="s">
        <v>53</v>
      </c>
      <c r="P15" s="85">
        <v>0.51041666666666663</v>
      </c>
      <c r="Q15" s="82">
        <v>168</v>
      </c>
      <c r="R15" s="86" t="s">
        <v>54</v>
      </c>
    </row>
    <row r="16" spans="1:92" ht="49.95" customHeight="1" thickBot="1" x14ac:dyDescent="0.35">
      <c r="A16" s="87" t="s">
        <v>26</v>
      </c>
      <c r="B16" s="87" t="s">
        <v>38</v>
      </c>
      <c r="C16" s="88">
        <v>0.63194444444444442</v>
      </c>
      <c r="D16" s="87" t="s">
        <v>28</v>
      </c>
      <c r="E16" s="89"/>
      <c r="F16" s="87" t="s">
        <v>29</v>
      </c>
      <c r="G16" s="178"/>
      <c r="H16" s="90" t="s">
        <v>39</v>
      </c>
      <c r="I16" s="91">
        <v>0.5595</v>
      </c>
      <c r="J16" s="92">
        <v>94</v>
      </c>
      <c r="K16" s="93">
        <v>45982</v>
      </c>
      <c r="L16" s="92">
        <v>3</v>
      </c>
      <c r="M16" s="92">
        <v>0</v>
      </c>
      <c r="N16" s="92">
        <v>0</v>
      </c>
      <c r="O16" s="94" t="s">
        <v>55</v>
      </c>
      <c r="P16" s="95">
        <v>0.63194444444444442</v>
      </c>
      <c r="Q16" s="92">
        <v>168</v>
      </c>
      <c r="R16" s="96" t="s">
        <v>56</v>
      </c>
    </row>
    <row r="17" spans="1:18" ht="17.399999999999999" customHeight="1" thickBot="1" x14ac:dyDescent="0.35">
      <c r="A17" s="208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10"/>
    </row>
    <row r="18" spans="1:18" ht="22.05" customHeight="1" thickTop="1" thickBot="1" x14ac:dyDescent="0.55000000000000004">
      <c r="A18" s="171" t="s">
        <v>6</v>
      </c>
      <c r="B18" s="172"/>
      <c r="C18" s="172"/>
      <c r="D18" s="172"/>
      <c r="E18" s="172"/>
      <c r="F18" s="172"/>
      <c r="G18" s="39">
        <v>45669</v>
      </c>
      <c r="H18" s="173" t="s">
        <v>7</v>
      </c>
      <c r="I18" s="174"/>
      <c r="J18" s="174"/>
      <c r="K18" s="174"/>
      <c r="L18" s="174"/>
      <c r="M18" s="174"/>
      <c r="N18" s="174"/>
      <c r="O18" s="174"/>
      <c r="P18" s="174"/>
      <c r="Q18" s="174"/>
      <c r="R18" s="174"/>
    </row>
    <row r="19" spans="1:18" ht="24" customHeight="1" x14ac:dyDescent="0.3">
      <c r="A19" s="40" t="s">
        <v>8</v>
      </c>
      <c r="B19" s="40" t="s">
        <v>9</v>
      </c>
      <c r="C19" s="41" t="s">
        <v>10</v>
      </c>
      <c r="D19" s="40" t="s">
        <v>11</v>
      </c>
      <c r="E19" s="40" t="s">
        <v>12</v>
      </c>
      <c r="F19" s="42" t="s">
        <v>13</v>
      </c>
      <c r="G19" s="43" t="s">
        <v>14</v>
      </c>
      <c r="H19" s="40" t="s">
        <v>15</v>
      </c>
      <c r="I19" s="44" t="s">
        <v>16</v>
      </c>
      <c r="J19" s="45" t="s">
        <v>17</v>
      </c>
      <c r="K19" s="46" t="s">
        <v>18</v>
      </c>
      <c r="L19" s="45" t="s">
        <v>19</v>
      </c>
      <c r="M19" s="45" t="s">
        <v>20</v>
      </c>
      <c r="N19" s="45" t="s">
        <v>21</v>
      </c>
      <c r="O19" s="40" t="s">
        <v>22</v>
      </c>
      <c r="P19" s="41" t="s">
        <v>23</v>
      </c>
      <c r="Q19" s="45" t="s">
        <v>24</v>
      </c>
      <c r="R19" s="40" t="s">
        <v>25</v>
      </c>
    </row>
    <row r="20" spans="1:18" ht="49.95" customHeight="1" x14ac:dyDescent="0.3">
      <c r="A20" s="47" t="s">
        <v>26</v>
      </c>
      <c r="B20" s="47" t="s">
        <v>57</v>
      </c>
      <c r="C20" s="48">
        <v>6.9444444444444441E-3</v>
      </c>
      <c r="D20" s="47" t="s">
        <v>28</v>
      </c>
      <c r="E20" s="49"/>
      <c r="F20" s="47" t="s">
        <v>46</v>
      </c>
      <c r="G20" s="186"/>
      <c r="H20" s="50" t="s">
        <v>58</v>
      </c>
      <c r="I20" s="51">
        <v>6.0000000000000001E-3</v>
      </c>
      <c r="J20" s="52">
        <v>1</v>
      </c>
      <c r="K20" s="53">
        <v>45973</v>
      </c>
      <c r="L20" s="52">
        <v>0</v>
      </c>
      <c r="M20" s="52">
        <v>0</v>
      </c>
      <c r="N20" s="52">
        <v>0</v>
      </c>
      <c r="O20" s="54" t="s">
        <v>44</v>
      </c>
      <c r="P20" s="55">
        <v>6.9444444444444441E-3</v>
      </c>
      <c r="Q20" s="52">
        <v>168</v>
      </c>
      <c r="R20" s="56" t="s">
        <v>59</v>
      </c>
    </row>
    <row r="21" spans="1:18" ht="49.95" customHeight="1" x14ac:dyDescent="0.3">
      <c r="A21" s="19" t="s">
        <v>26</v>
      </c>
      <c r="B21" s="19" t="s">
        <v>33</v>
      </c>
      <c r="C21" s="20">
        <v>0.4236111111111111</v>
      </c>
      <c r="D21" s="19" t="s">
        <v>28</v>
      </c>
      <c r="E21" s="21"/>
      <c r="F21" s="19" t="s">
        <v>29</v>
      </c>
      <c r="G21" s="177"/>
      <c r="H21" s="22" t="s">
        <v>35</v>
      </c>
      <c r="I21" s="97">
        <v>0.8155</v>
      </c>
      <c r="J21" s="24">
        <v>137</v>
      </c>
      <c r="K21" s="25">
        <v>45966</v>
      </c>
      <c r="L21" s="24">
        <v>0</v>
      </c>
      <c r="M21" s="24">
        <v>0</v>
      </c>
      <c r="N21" s="24">
        <v>0</v>
      </c>
      <c r="O21" s="26" t="s">
        <v>60</v>
      </c>
      <c r="P21" s="27">
        <v>0.4236111111111111</v>
      </c>
      <c r="Q21" s="24">
        <v>168</v>
      </c>
      <c r="R21" s="28" t="s">
        <v>61</v>
      </c>
    </row>
    <row r="22" spans="1:18" ht="49.95" customHeight="1" x14ac:dyDescent="0.3">
      <c r="A22" s="98" t="s">
        <v>26</v>
      </c>
      <c r="B22" s="98" t="s">
        <v>38</v>
      </c>
      <c r="C22" s="99">
        <v>0.61458333333333337</v>
      </c>
      <c r="D22" s="98" t="s">
        <v>28</v>
      </c>
      <c r="E22" s="100"/>
      <c r="F22" s="98" t="s">
        <v>29</v>
      </c>
      <c r="G22" s="177"/>
      <c r="H22" s="12" t="s">
        <v>39</v>
      </c>
      <c r="I22" s="101">
        <v>0.54759999999999998</v>
      </c>
      <c r="J22" s="14">
        <v>92</v>
      </c>
      <c r="K22" s="15">
        <v>45969</v>
      </c>
      <c r="L22" s="14">
        <v>0</v>
      </c>
      <c r="M22" s="14">
        <v>0</v>
      </c>
      <c r="N22" s="14">
        <v>0</v>
      </c>
      <c r="O22" s="16" t="s">
        <v>60</v>
      </c>
      <c r="P22" s="17">
        <v>0.61458333333333337</v>
      </c>
      <c r="Q22" s="14">
        <v>168</v>
      </c>
      <c r="R22" s="18" t="s">
        <v>62</v>
      </c>
    </row>
    <row r="23" spans="1:18" ht="49.95" customHeight="1" thickBot="1" x14ac:dyDescent="0.35">
      <c r="A23" s="87" t="s">
        <v>26</v>
      </c>
      <c r="B23" s="87" t="s">
        <v>51</v>
      </c>
      <c r="C23" s="88">
        <v>0.97916666666666663</v>
      </c>
      <c r="D23" s="87" t="s">
        <v>28</v>
      </c>
      <c r="E23" s="89"/>
      <c r="F23" s="87" t="s">
        <v>29</v>
      </c>
      <c r="G23" s="178"/>
      <c r="H23" s="90" t="s">
        <v>52</v>
      </c>
      <c r="I23" s="91">
        <v>0.82740000000000002</v>
      </c>
      <c r="J23" s="92">
        <v>139</v>
      </c>
      <c r="K23" s="93">
        <v>45974</v>
      </c>
      <c r="L23" s="92">
        <v>0</v>
      </c>
      <c r="M23" s="92">
        <v>0</v>
      </c>
      <c r="N23" s="92">
        <v>0</v>
      </c>
      <c r="O23" s="94" t="s">
        <v>55</v>
      </c>
      <c r="P23" s="95">
        <v>0.97916666666666663</v>
      </c>
      <c r="Q23" s="92">
        <v>168</v>
      </c>
      <c r="R23" s="96" t="s">
        <v>63</v>
      </c>
    </row>
    <row r="24" spans="1:18" ht="17.399999999999999" customHeight="1" thickBot="1" x14ac:dyDescent="0.35">
      <c r="A24" s="208"/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10"/>
    </row>
    <row r="25" spans="1:18" ht="22.05" customHeight="1" thickTop="1" thickBot="1" x14ac:dyDescent="0.55000000000000004">
      <c r="A25" s="171" t="s">
        <v>6</v>
      </c>
      <c r="B25" s="172"/>
      <c r="C25" s="172"/>
      <c r="D25" s="172"/>
      <c r="E25" s="172"/>
      <c r="F25" s="172"/>
      <c r="G25" s="39">
        <v>45670</v>
      </c>
      <c r="H25" s="173" t="s">
        <v>7</v>
      </c>
      <c r="I25" s="174"/>
      <c r="J25" s="174"/>
      <c r="K25" s="174"/>
      <c r="L25" s="174"/>
      <c r="M25" s="174"/>
      <c r="N25" s="174"/>
      <c r="O25" s="174"/>
      <c r="P25" s="174"/>
      <c r="Q25" s="174"/>
      <c r="R25" s="174"/>
    </row>
    <row r="26" spans="1:18" ht="24" customHeight="1" x14ac:dyDescent="0.3">
      <c r="A26" s="40" t="s">
        <v>8</v>
      </c>
      <c r="B26" s="40" t="s">
        <v>9</v>
      </c>
      <c r="C26" s="41" t="s">
        <v>10</v>
      </c>
      <c r="D26" s="40" t="s">
        <v>11</v>
      </c>
      <c r="E26" s="40" t="s">
        <v>12</v>
      </c>
      <c r="F26" s="42" t="s">
        <v>13</v>
      </c>
      <c r="G26" s="43" t="s">
        <v>14</v>
      </c>
      <c r="H26" s="40" t="s">
        <v>15</v>
      </c>
      <c r="I26" s="44" t="s">
        <v>16</v>
      </c>
      <c r="J26" s="45" t="s">
        <v>17</v>
      </c>
      <c r="K26" s="46" t="s">
        <v>18</v>
      </c>
      <c r="L26" s="45" t="s">
        <v>19</v>
      </c>
      <c r="M26" s="45" t="s">
        <v>20</v>
      </c>
      <c r="N26" s="45" t="s">
        <v>21</v>
      </c>
      <c r="O26" s="40" t="s">
        <v>22</v>
      </c>
      <c r="P26" s="41" t="s">
        <v>23</v>
      </c>
      <c r="Q26" s="45" t="s">
        <v>24</v>
      </c>
      <c r="R26" s="40" t="s">
        <v>25</v>
      </c>
    </row>
    <row r="27" spans="1:18" ht="15" customHeight="1" x14ac:dyDescent="0.3">
      <c r="A27" s="9" t="s">
        <v>26</v>
      </c>
      <c r="B27" s="9" t="s">
        <v>64</v>
      </c>
      <c r="C27" s="10">
        <v>0.22916666666666671</v>
      </c>
      <c r="D27" s="9" t="s">
        <v>28</v>
      </c>
      <c r="E27" s="11"/>
      <c r="F27" s="9" t="s">
        <v>46</v>
      </c>
      <c r="G27" s="176"/>
      <c r="H27" s="12" t="s">
        <v>65</v>
      </c>
      <c r="I27" s="101">
        <v>1.1900000000000001E-2</v>
      </c>
      <c r="J27" s="14">
        <v>2</v>
      </c>
      <c r="K27" s="15">
        <v>45950</v>
      </c>
      <c r="L27" s="14">
        <v>0</v>
      </c>
      <c r="M27" s="14">
        <v>0</v>
      </c>
      <c r="N27" s="14">
        <v>0</v>
      </c>
      <c r="O27" s="16" t="s">
        <v>60</v>
      </c>
      <c r="P27" s="17">
        <v>0.22916666666666671</v>
      </c>
      <c r="Q27" s="14">
        <v>168</v>
      </c>
      <c r="R27" s="18" t="s">
        <v>66</v>
      </c>
    </row>
    <row r="28" spans="1:18" ht="15" customHeight="1" x14ac:dyDescent="0.3">
      <c r="A28" s="102" t="s">
        <v>26</v>
      </c>
      <c r="B28" s="102" t="s">
        <v>57</v>
      </c>
      <c r="C28" s="103">
        <v>0.55902777777777779</v>
      </c>
      <c r="D28" s="102" t="s">
        <v>28</v>
      </c>
      <c r="E28" s="104"/>
      <c r="F28" s="102" t="s">
        <v>46</v>
      </c>
      <c r="G28" s="177"/>
      <c r="H28" s="105" t="s">
        <v>58</v>
      </c>
      <c r="I28" s="106">
        <v>0.26790000000000003</v>
      </c>
      <c r="J28" s="107">
        <v>45</v>
      </c>
      <c r="K28" s="108">
        <v>45969</v>
      </c>
      <c r="L28" s="107">
        <v>0</v>
      </c>
      <c r="M28" s="107">
        <v>0</v>
      </c>
      <c r="N28" s="107">
        <v>0</v>
      </c>
      <c r="O28" s="109" t="s">
        <v>44</v>
      </c>
      <c r="P28" s="110">
        <v>0.55902777777777779</v>
      </c>
      <c r="Q28" s="107">
        <v>168</v>
      </c>
      <c r="R28" s="111" t="s">
        <v>67</v>
      </c>
    </row>
    <row r="29" spans="1:18" ht="15" customHeight="1" x14ac:dyDescent="0.3">
      <c r="A29" s="77" t="s">
        <v>26</v>
      </c>
      <c r="B29" s="77" t="s">
        <v>38</v>
      </c>
      <c r="C29" s="78">
        <v>0.61458333333333337</v>
      </c>
      <c r="D29" s="77" t="s">
        <v>28</v>
      </c>
      <c r="E29" s="79"/>
      <c r="F29" s="77" t="s">
        <v>29</v>
      </c>
      <c r="G29" s="177"/>
      <c r="H29" s="80" t="s">
        <v>39</v>
      </c>
      <c r="I29" s="112">
        <v>0.82740000000000002</v>
      </c>
      <c r="J29" s="82">
        <v>139</v>
      </c>
      <c r="K29" s="83">
        <v>45964</v>
      </c>
      <c r="L29" s="82">
        <v>0</v>
      </c>
      <c r="M29" s="82">
        <v>0</v>
      </c>
      <c r="N29" s="82">
        <v>0</v>
      </c>
      <c r="O29" s="84" t="s">
        <v>55</v>
      </c>
      <c r="P29" s="85">
        <v>0.61458333333333337</v>
      </c>
      <c r="Q29" s="82">
        <v>168</v>
      </c>
      <c r="R29" s="86" t="s">
        <v>63</v>
      </c>
    </row>
    <row r="30" spans="1:18" ht="15" customHeight="1" x14ac:dyDescent="0.3">
      <c r="A30" s="113" t="s">
        <v>26</v>
      </c>
      <c r="B30" s="113" t="s">
        <v>51</v>
      </c>
      <c r="C30" s="114">
        <v>0.72916666666666663</v>
      </c>
      <c r="D30" s="113" t="s">
        <v>28</v>
      </c>
      <c r="E30" s="115"/>
      <c r="F30" s="113" t="s">
        <v>46</v>
      </c>
      <c r="G30" s="177"/>
      <c r="H30" s="50" t="s">
        <v>52</v>
      </c>
      <c r="I30" s="51">
        <v>0.28570000000000001</v>
      </c>
      <c r="J30" s="52">
        <v>48</v>
      </c>
      <c r="K30" s="53">
        <v>45982</v>
      </c>
      <c r="L30" s="52">
        <v>3</v>
      </c>
      <c r="M30" s="52">
        <v>0</v>
      </c>
      <c r="N30" s="52">
        <v>0</v>
      </c>
      <c r="O30" s="54" t="s">
        <v>53</v>
      </c>
      <c r="P30" s="55">
        <v>0.72916666666666663</v>
      </c>
      <c r="Q30" s="52">
        <v>168</v>
      </c>
      <c r="R30" s="56" t="s">
        <v>68</v>
      </c>
    </row>
    <row r="31" spans="1:18" ht="15" customHeight="1" x14ac:dyDescent="0.3">
      <c r="A31" s="98" t="s">
        <v>26</v>
      </c>
      <c r="B31" s="98" t="s">
        <v>42</v>
      </c>
      <c r="C31" s="99">
        <v>0.93402777777777779</v>
      </c>
      <c r="D31" s="98" t="s">
        <v>28</v>
      </c>
      <c r="E31" s="100"/>
      <c r="F31" s="98" t="s">
        <v>46</v>
      </c>
      <c r="G31" s="177"/>
      <c r="H31" s="12" t="s">
        <v>43</v>
      </c>
      <c r="I31" s="101">
        <v>0.27379999999999999</v>
      </c>
      <c r="J31" s="14">
        <v>46</v>
      </c>
      <c r="K31" s="15">
        <v>45978</v>
      </c>
      <c r="L31" s="14">
        <v>1</v>
      </c>
      <c r="M31" s="14">
        <v>0</v>
      </c>
      <c r="N31" s="14">
        <v>0</v>
      </c>
      <c r="O31" s="16" t="s">
        <v>44</v>
      </c>
      <c r="P31" s="17">
        <v>0.93402777777777779</v>
      </c>
      <c r="Q31" s="14">
        <v>168</v>
      </c>
      <c r="R31" s="18" t="s">
        <v>47</v>
      </c>
    </row>
    <row r="32" spans="1:18" ht="15" customHeight="1" thickBot="1" x14ac:dyDescent="0.35">
      <c r="A32" s="116" t="s">
        <v>26</v>
      </c>
      <c r="B32" s="116" t="s">
        <v>33</v>
      </c>
      <c r="C32" s="117">
        <v>0.96875</v>
      </c>
      <c r="D32" s="116" t="s">
        <v>28</v>
      </c>
      <c r="E32" s="118"/>
      <c r="F32" s="116" t="s">
        <v>29</v>
      </c>
      <c r="G32" s="178"/>
      <c r="H32" s="119" t="s">
        <v>35</v>
      </c>
      <c r="I32" s="120">
        <v>0.80359999999999998</v>
      </c>
      <c r="J32" s="121">
        <v>135</v>
      </c>
      <c r="K32" s="122">
        <v>45961</v>
      </c>
      <c r="L32" s="121">
        <v>0</v>
      </c>
      <c r="M32" s="121">
        <v>0</v>
      </c>
      <c r="N32" s="121">
        <v>0</v>
      </c>
      <c r="O32" s="123" t="s">
        <v>44</v>
      </c>
      <c r="P32" s="124">
        <v>0.96875</v>
      </c>
      <c r="Q32" s="121">
        <v>168</v>
      </c>
      <c r="R32" s="125" t="s">
        <v>50</v>
      </c>
    </row>
    <row r="33" spans="1:18" ht="17.399999999999999" customHeight="1" thickBot="1" x14ac:dyDescent="0.35">
      <c r="A33" s="208"/>
      <c r="B33" s="209"/>
      <c r="C33" s="209"/>
      <c r="D33" s="209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10"/>
    </row>
    <row r="34" spans="1:18" ht="22.05" customHeight="1" thickTop="1" thickBot="1" x14ac:dyDescent="0.55000000000000004">
      <c r="A34" s="171" t="s">
        <v>6</v>
      </c>
      <c r="B34" s="172"/>
      <c r="C34" s="172"/>
      <c r="D34" s="172"/>
      <c r="E34" s="172"/>
      <c r="F34" s="172"/>
      <c r="G34" s="39">
        <v>45671</v>
      </c>
      <c r="H34" s="173" t="s">
        <v>7</v>
      </c>
      <c r="I34" s="174"/>
      <c r="J34" s="174"/>
      <c r="K34" s="174"/>
      <c r="L34" s="174"/>
      <c r="M34" s="174"/>
      <c r="N34" s="174"/>
      <c r="O34" s="174"/>
      <c r="P34" s="174"/>
      <c r="Q34" s="174"/>
      <c r="R34" s="174"/>
    </row>
    <row r="35" spans="1:18" ht="24" customHeight="1" x14ac:dyDescent="0.3">
      <c r="A35" s="40" t="s">
        <v>8</v>
      </c>
      <c r="B35" s="40" t="s">
        <v>9</v>
      </c>
      <c r="C35" s="41" t="s">
        <v>10</v>
      </c>
      <c r="D35" s="40" t="s">
        <v>11</v>
      </c>
      <c r="E35" s="40" t="s">
        <v>12</v>
      </c>
      <c r="F35" s="42" t="s">
        <v>13</v>
      </c>
      <c r="G35" s="43" t="s">
        <v>14</v>
      </c>
      <c r="H35" s="40" t="s">
        <v>15</v>
      </c>
      <c r="I35" s="44" t="s">
        <v>16</v>
      </c>
      <c r="J35" s="45" t="s">
        <v>17</v>
      </c>
      <c r="K35" s="46" t="s">
        <v>18</v>
      </c>
      <c r="L35" s="45" t="s">
        <v>19</v>
      </c>
      <c r="M35" s="45" t="s">
        <v>20</v>
      </c>
      <c r="N35" s="45" t="s">
        <v>21</v>
      </c>
      <c r="O35" s="40" t="s">
        <v>22</v>
      </c>
      <c r="P35" s="41" t="s">
        <v>23</v>
      </c>
      <c r="Q35" s="45" t="s">
        <v>24</v>
      </c>
      <c r="R35" s="40" t="s">
        <v>25</v>
      </c>
    </row>
    <row r="36" spans="1:18" ht="49.95" customHeight="1" x14ac:dyDescent="0.3">
      <c r="A36" s="126" t="s">
        <v>26</v>
      </c>
      <c r="B36" s="126" t="s">
        <v>33</v>
      </c>
      <c r="C36" s="127">
        <v>0.47916666666666669</v>
      </c>
      <c r="D36" s="126" t="s">
        <v>28</v>
      </c>
      <c r="E36" s="128"/>
      <c r="F36" s="126" t="s">
        <v>46</v>
      </c>
      <c r="G36" s="176"/>
      <c r="H36" s="105" t="s">
        <v>35</v>
      </c>
      <c r="I36" s="106">
        <v>0.27379999999999999</v>
      </c>
      <c r="J36" s="107">
        <v>46</v>
      </c>
      <c r="K36" s="108">
        <v>45944</v>
      </c>
      <c r="L36" s="107">
        <v>0</v>
      </c>
      <c r="M36" s="107">
        <v>0</v>
      </c>
      <c r="N36" s="107">
        <v>0</v>
      </c>
      <c r="O36" s="109" t="s">
        <v>44</v>
      </c>
      <c r="P36" s="110">
        <v>0.47916666666666669</v>
      </c>
      <c r="Q36" s="107">
        <v>168</v>
      </c>
      <c r="R36" s="111" t="s">
        <v>47</v>
      </c>
    </row>
    <row r="37" spans="1:18" ht="49.95" customHeight="1" x14ac:dyDescent="0.3">
      <c r="A37" s="98" t="s">
        <v>26</v>
      </c>
      <c r="B37" s="98" t="s">
        <v>51</v>
      </c>
      <c r="C37" s="99">
        <v>0.52083333333333337</v>
      </c>
      <c r="D37" s="98" t="s">
        <v>28</v>
      </c>
      <c r="E37" s="100"/>
      <c r="F37" s="98" t="s">
        <v>34</v>
      </c>
      <c r="G37" s="177"/>
      <c r="H37" s="12" t="s">
        <v>52</v>
      </c>
      <c r="I37" s="129">
        <v>0.85119999999999996</v>
      </c>
      <c r="J37" s="14">
        <v>143</v>
      </c>
      <c r="K37" s="15">
        <v>45976</v>
      </c>
      <c r="L37" s="14">
        <v>0</v>
      </c>
      <c r="M37" s="14">
        <v>0</v>
      </c>
      <c r="N37" s="14">
        <v>0</v>
      </c>
      <c r="O37" s="16" t="s">
        <v>66</v>
      </c>
      <c r="P37" s="17">
        <v>0.52083333333333337</v>
      </c>
      <c r="Q37" s="14">
        <v>168</v>
      </c>
      <c r="R37" s="18" t="s">
        <v>69</v>
      </c>
    </row>
    <row r="38" spans="1:18" ht="49.95" customHeight="1" x14ac:dyDescent="0.3">
      <c r="A38" s="130" t="s">
        <v>26</v>
      </c>
      <c r="B38" s="130" t="s">
        <v>38</v>
      </c>
      <c r="C38" s="131">
        <v>0.61458333333333337</v>
      </c>
      <c r="D38" s="130" t="s">
        <v>28</v>
      </c>
      <c r="E38" s="132"/>
      <c r="F38" s="130" t="s">
        <v>29</v>
      </c>
      <c r="G38" s="178"/>
      <c r="H38" s="133" t="s">
        <v>39</v>
      </c>
      <c r="I38" s="134">
        <v>0.5595</v>
      </c>
      <c r="J38" s="135">
        <v>94</v>
      </c>
      <c r="K38" s="136">
        <v>45969</v>
      </c>
      <c r="L38" s="135">
        <v>0</v>
      </c>
      <c r="M38" s="135">
        <v>0</v>
      </c>
      <c r="N38" s="135">
        <v>0</v>
      </c>
      <c r="O38" s="137" t="s">
        <v>55</v>
      </c>
      <c r="P38" s="138">
        <v>0.61458333333333337</v>
      </c>
      <c r="Q38" s="135">
        <v>168</v>
      </c>
      <c r="R38" s="139" t="s">
        <v>70</v>
      </c>
    </row>
  </sheetData>
  <mergeCells count="26">
    <mergeCell ref="G36:G38"/>
    <mergeCell ref="A10:F10"/>
    <mergeCell ref="G20:G23"/>
    <mergeCell ref="K2:R2"/>
    <mergeCell ref="A34:F34"/>
    <mergeCell ref="A9:R9"/>
    <mergeCell ref="A24:R24"/>
    <mergeCell ref="G6:G8"/>
    <mergeCell ref="H18:R18"/>
    <mergeCell ref="A25:F25"/>
    <mergeCell ref="G27:G32"/>
    <mergeCell ref="A2:F2"/>
    <mergeCell ref="A3:R3"/>
    <mergeCell ref="H25:R25"/>
    <mergeCell ref="H34:R34"/>
    <mergeCell ref="A33:R33"/>
    <mergeCell ref="G2:J2"/>
    <mergeCell ref="A4:F4"/>
    <mergeCell ref="G12:G16"/>
    <mergeCell ref="A17:R17"/>
    <mergeCell ref="H1:L1"/>
    <mergeCell ref="A1:E1"/>
    <mergeCell ref="A18:F18"/>
    <mergeCell ref="H10:R10"/>
    <mergeCell ref="H4:R4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/>
  </sheetViews>
  <sheetFormatPr defaultRowHeight="15.6" outlineLevelCol="1" x14ac:dyDescent="0.3"/>
  <cols>
    <col min="1" max="2" width="9.77734375" style="191" bestFit="1" customWidth="1"/>
    <col min="3" max="3" width="6.77734375" style="191" bestFit="1" customWidth="1"/>
    <col min="4" max="4" width="5.5546875" style="191" bestFit="1" customWidth="1"/>
    <col min="5" max="5" width="7.5546875" style="191" bestFit="1" customWidth="1"/>
    <col min="6" max="6" width="4.21875" style="191" bestFit="1" customWidth="1"/>
    <col min="7" max="7" width="10" style="191" bestFit="1" customWidth="1"/>
    <col min="8" max="10" width="8.5546875" style="191" bestFit="1" customWidth="1"/>
    <col min="11" max="11" width="9.6640625" style="191" bestFit="1" customWidth="1"/>
    <col min="12" max="12" width="9.109375" style="191" bestFit="1" customWidth="1"/>
    <col min="13" max="13" width="7.6640625" style="191" bestFit="1" customWidth="1" outlineLevel="1"/>
    <col min="14" max="14" width="6.33203125" style="191" bestFit="1" customWidth="1" outlineLevel="1"/>
    <col min="15" max="15" width="8" style="191" bestFit="1" customWidth="1" outlineLevel="1"/>
    <col min="16" max="16" width="13.6640625" style="191" bestFit="1" customWidth="1"/>
    <col min="17" max="29" width="3.88671875" style="191" bestFit="1" customWidth="1"/>
    <col min="30" max="31" width="4.5546875" style="191" bestFit="1" customWidth="1"/>
    <col min="32" max="32" width="3.88671875" style="191" bestFit="1" customWidth="1"/>
    <col min="33" max="33" width="4.21875" style="191" bestFit="1" customWidth="1"/>
    <col min="34" max="34" width="3.88671875" style="191" bestFit="1" customWidth="1"/>
    <col min="35" max="35" width="5.21875" style="191" bestFit="1" customWidth="1"/>
    <col min="36" max="36" width="3.88671875" style="191" bestFit="1" customWidth="1"/>
    <col min="37" max="16384" width="8.88671875" style="191"/>
  </cols>
  <sheetData>
    <row r="1" spans="1:36" x14ac:dyDescent="0.3">
      <c r="A1" s="190" t="s">
        <v>71</v>
      </c>
      <c r="B1" s="190" t="s">
        <v>72</v>
      </c>
      <c r="C1" s="190" t="s">
        <v>73</v>
      </c>
      <c r="D1" s="190" t="s">
        <v>23</v>
      </c>
      <c r="E1" s="190" t="s">
        <v>74</v>
      </c>
      <c r="F1" s="190" t="s">
        <v>75</v>
      </c>
      <c r="G1" s="190" t="s">
        <v>16</v>
      </c>
      <c r="H1" s="190" t="s">
        <v>76</v>
      </c>
      <c r="I1" s="190" t="s">
        <v>77</v>
      </c>
      <c r="J1" s="190" t="s">
        <v>78</v>
      </c>
      <c r="K1" s="190" t="s">
        <v>79</v>
      </c>
      <c r="L1" s="190" t="s">
        <v>18</v>
      </c>
      <c r="M1" s="190" t="s">
        <v>20</v>
      </c>
      <c r="N1" s="190" t="s">
        <v>21</v>
      </c>
      <c r="O1" s="190" t="s">
        <v>19</v>
      </c>
      <c r="P1" s="190" t="s">
        <v>22</v>
      </c>
      <c r="Q1" s="190" t="s">
        <v>80</v>
      </c>
      <c r="R1" s="190" t="s">
        <v>81</v>
      </c>
      <c r="S1" s="190" t="s">
        <v>82</v>
      </c>
      <c r="T1" s="190" t="s">
        <v>83</v>
      </c>
      <c r="U1" s="190" t="s">
        <v>84</v>
      </c>
      <c r="V1" s="190" t="s">
        <v>85</v>
      </c>
      <c r="W1" s="190" t="s">
        <v>86</v>
      </c>
      <c r="X1" s="190" t="s">
        <v>87</v>
      </c>
      <c r="Y1" s="190" t="s">
        <v>88</v>
      </c>
      <c r="Z1" s="190" t="s">
        <v>89</v>
      </c>
      <c r="AA1" s="190" t="s">
        <v>90</v>
      </c>
      <c r="AB1" s="190" t="s">
        <v>91</v>
      </c>
      <c r="AC1" s="190" t="s">
        <v>92</v>
      </c>
      <c r="AD1" s="190" t="s">
        <v>93</v>
      </c>
      <c r="AE1" s="190" t="s">
        <v>94</v>
      </c>
      <c r="AF1" s="190" t="s">
        <v>95</v>
      </c>
      <c r="AG1" s="190" t="s">
        <v>96</v>
      </c>
      <c r="AH1" s="190" t="s">
        <v>97</v>
      </c>
      <c r="AI1" s="190" t="s">
        <v>98</v>
      </c>
      <c r="AJ1" s="190" t="s">
        <v>99</v>
      </c>
    </row>
    <row r="2" spans="1:36" x14ac:dyDescent="0.3">
      <c r="A2" s="192" t="s">
        <v>100</v>
      </c>
      <c r="B2" s="193">
        <v>45667</v>
      </c>
      <c r="C2" s="194" t="s">
        <v>30</v>
      </c>
      <c r="D2" s="195" t="s">
        <v>101</v>
      </c>
      <c r="E2" s="194" t="s">
        <v>1</v>
      </c>
      <c r="F2" s="194" t="s">
        <v>102</v>
      </c>
      <c r="G2" s="196">
        <v>0.58620000000000005</v>
      </c>
      <c r="H2" s="197">
        <v>174</v>
      </c>
      <c r="I2" s="197">
        <v>102</v>
      </c>
      <c r="J2" s="197">
        <v>90</v>
      </c>
      <c r="K2" s="194" t="s">
        <v>103</v>
      </c>
      <c r="L2" s="198">
        <v>45983</v>
      </c>
      <c r="M2" s="197">
        <v>0</v>
      </c>
      <c r="N2" s="197">
        <v>2</v>
      </c>
      <c r="O2" s="197">
        <v>4</v>
      </c>
      <c r="P2" s="194" t="s">
        <v>31</v>
      </c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7" t="s">
        <v>104</v>
      </c>
      <c r="AD2" s="197" t="s">
        <v>44</v>
      </c>
      <c r="AE2" s="190"/>
      <c r="AF2" s="190"/>
      <c r="AG2" s="197" t="s">
        <v>67</v>
      </c>
      <c r="AH2" s="190"/>
      <c r="AI2" s="197" t="s">
        <v>105</v>
      </c>
      <c r="AJ2" s="190"/>
    </row>
    <row r="3" spans="1:36" x14ac:dyDescent="0.3">
      <c r="A3" s="192" t="s">
        <v>100</v>
      </c>
      <c r="B3" s="193">
        <v>45667</v>
      </c>
      <c r="C3" s="194" t="s">
        <v>35</v>
      </c>
      <c r="D3" s="195" t="s">
        <v>106</v>
      </c>
      <c r="E3" s="194" t="s">
        <v>1</v>
      </c>
      <c r="F3" s="194" t="s">
        <v>102</v>
      </c>
      <c r="G3" s="196">
        <v>0.91069999999999995</v>
      </c>
      <c r="H3" s="197">
        <v>168</v>
      </c>
      <c r="I3" s="197">
        <v>153</v>
      </c>
      <c r="J3" s="197">
        <v>135</v>
      </c>
      <c r="K3" s="194" t="s">
        <v>103</v>
      </c>
      <c r="L3" s="198">
        <v>45975</v>
      </c>
      <c r="M3" s="197">
        <v>0</v>
      </c>
      <c r="N3" s="197">
        <v>0</v>
      </c>
      <c r="O3" s="197">
        <v>0</v>
      </c>
      <c r="P3" s="194" t="s">
        <v>36</v>
      </c>
      <c r="Q3" s="190"/>
      <c r="R3" s="190"/>
      <c r="S3" s="190"/>
      <c r="T3" s="190"/>
      <c r="U3" s="190"/>
      <c r="V3" s="190"/>
      <c r="W3" s="190"/>
      <c r="X3" s="190"/>
      <c r="Y3" s="197" t="s">
        <v>107</v>
      </c>
      <c r="Z3" s="190"/>
      <c r="AA3" s="190"/>
      <c r="AB3" s="190"/>
      <c r="AC3" s="197" t="s">
        <v>104</v>
      </c>
      <c r="AD3" s="197" t="s">
        <v>108</v>
      </c>
      <c r="AE3" s="190"/>
      <c r="AF3" s="190"/>
      <c r="AG3" s="190"/>
      <c r="AH3" s="190"/>
      <c r="AI3" s="197" t="s">
        <v>50</v>
      </c>
      <c r="AJ3" s="190"/>
    </row>
    <row r="4" spans="1:36" x14ac:dyDescent="0.3">
      <c r="A4" s="192" t="s">
        <v>100</v>
      </c>
      <c r="B4" s="193">
        <v>45667</v>
      </c>
      <c r="C4" s="194" t="s">
        <v>39</v>
      </c>
      <c r="D4" s="195" t="s">
        <v>109</v>
      </c>
      <c r="E4" s="194" t="s">
        <v>1</v>
      </c>
      <c r="F4" s="194" t="s">
        <v>102</v>
      </c>
      <c r="G4" s="196">
        <v>0.88690000000000002</v>
      </c>
      <c r="H4" s="197">
        <v>168</v>
      </c>
      <c r="I4" s="197">
        <v>149</v>
      </c>
      <c r="J4" s="197">
        <v>135</v>
      </c>
      <c r="K4" s="194" t="s">
        <v>103</v>
      </c>
      <c r="L4" s="198">
        <v>45982</v>
      </c>
      <c r="M4" s="197">
        <v>0</v>
      </c>
      <c r="N4" s="197">
        <v>0</v>
      </c>
      <c r="O4" s="197">
        <v>2</v>
      </c>
      <c r="P4" s="194" t="s">
        <v>40</v>
      </c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7" t="s">
        <v>110</v>
      </c>
      <c r="AD4" s="197" t="s">
        <v>108</v>
      </c>
      <c r="AE4" s="190"/>
      <c r="AF4" s="190"/>
      <c r="AG4" s="190"/>
      <c r="AH4" s="190"/>
      <c r="AI4" s="197" t="s">
        <v>50</v>
      </c>
      <c r="AJ4" s="190"/>
    </row>
    <row r="5" spans="1:36" x14ac:dyDescent="0.3">
      <c r="A5" s="192" t="s">
        <v>111</v>
      </c>
      <c r="B5" s="193">
        <v>45668</v>
      </c>
      <c r="C5" s="194" t="s">
        <v>43</v>
      </c>
      <c r="D5" s="195" t="s">
        <v>112</v>
      </c>
      <c r="E5" s="194" t="s">
        <v>1</v>
      </c>
      <c r="F5" s="194" t="s">
        <v>102</v>
      </c>
      <c r="G5" s="196">
        <v>0.36309999999999998</v>
      </c>
      <c r="H5" s="197">
        <v>168</v>
      </c>
      <c r="I5" s="197">
        <v>61</v>
      </c>
      <c r="J5" s="197">
        <v>60</v>
      </c>
      <c r="K5" s="194" t="s">
        <v>103</v>
      </c>
      <c r="L5" s="198">
        <v>45982</v>
      </c>
      <c r="M5" s="197">
        <v>0</v>
      </c>
      <c r="N5" s="197">
        <v>0</v>
      </c>
      <c r="O5" s="197">
        <v>2</v>
      </c>
      <c r="P5" s="194" t="s">
        <v>44</v>
      </c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7" t="s">
        <v>31</v>
      </c>
      <c r="AE5" s="190"/>
      <c r="AF5" s="190"/>
      <c r="AG5" s="197" t="s">
        <v>113</v>
      </c>
      <c r="AH5" s="190"/>
      <c r="AI5" s="190"/>
      <c r="AJ5" s="190"/>
    </row>
    <row r="6" spans="1:36" x14ac:dyDescent="0.3">
      <c r="A6" s="192" t="s">
        <v>111</v>
      </c>
      <c r="B6" s="193">
        <v>45668</v>
      </c>
      <c r="C6" s="194" t="s">
        <v>35</v>
      </c>
      <c r="D6" s="195" t="s">
        <v>114</v>
      </c>
      <c r="E6" s="194" t="s">
        <v>1</v>
      </c>
      <c r="F6" s="194" t="s">
        <v>102</v>
      </c>
      <c r="G6" s="196">
        <v>0.27379999999999999</v>
      </c>
      <c r="H6" s="197">
        <v>168</v>
      </c>
      <c r="I6" s="197">
        <v>46</v>
      </c>
      <c r="J6" s="197">
        <v>45</v>
      </c>
      <c r="K6" s="194" t="s">
        <v>103</v>
      </c>
      <c r="L6" s="198">
        <v>45978</v>
      </c>
      <c r="M6" s="197">
        <v>0</v>
      </c>
      <c r="N6" s="197">
        <v>0</v>
      </c>
      <c r="O6" s="197">
        <v>1</v>
      </c>
      <c r="P6" s="194" t="s">
        <v>44</v>
      </c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7" t="s">
        <v>31</v>
      </c>
      <c r="AE6" s="190"/>
      <c r="AF6" s="190"/>
      <c r="AG6" s="190"/>
      <c r="AH6" s="190"/>
      <c r="AI6" s="197" t="s">
        <v>105</v>
      </c>
      <c r="AJ6" s="190"/>
    </row>
    <row r="7" spans="1:36" x14ac:dyDescent="0.3">
      <c r="A7" s="192" t="s">
        <v>111</v>
      </c>
      <c r="B7" s="193">
        <v>45668</v>
      </c>
      <c r="C7" s="194" t="s">
        <v>49</v>
      </c>
      <c r="D7" s="195" t="s">
        <v>106</v>
      </c>
      <c r="E7" s="194" t="s">
        <v>1</v>
      </c>
      <c r="F7" s="194" t="s">
        <v>102</v>
      </c>
      <c r="G7" s="196">
        <v>0.80359999999999998</v>
      </c>
      <c r="H7" s="197">
        <v>168</v>
      </c>
      <c r="I7" s="197">
        <v>135</v>
      </c>
      <c r="J7" s="197">
        <v>135</v>
      </c>
      <c r="K7" s="194" t="s">
        <v>103</v>
      </c>
      <c r="L7" s="198">
        <v>45961</v>
      </c>
      <c r="M7" s="197">
        <v>0</v>
      </c>
      <c r="N7" s="197">
        <v>0</v>
      </c>
      <c r="O7" s="197">
        <v>0</v>
      </c>
      <c r="P7" s="194" t="s">
        <v>36</v>
      </c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7" t="s">
        <v>50</v>
      </c>
      <c r="AJ7" s="190"/>
    </row>
    <row r="8" spans="1:36" x14ac:dyDescent="0.3">
      <c r="A8" s="192" t="s">
        <v>111</v>
      </c>
      <c r="B8" s="193">
        <v>45668</v>
      </c>
      <c r="C8" s="194" t="s">
        <v>52</v>
      </c>
      <c r="D8" s="195" t="s">
        <v>115</v>
      </c>
      <c r="E8" s="194" t="s">
        <v>1</v>
      </c>
      <c r="F8" s="194" t="s">
        <v>102</v>
      </c>
      <c r="G8" s="196">
        <v>0.88690000000000002</v>
      </c>
      <c r="H8" s="197">
        <v>168</v>
      </c>
      <c r="I8" s="197">
        <v>149</v>
      </c>
      <c r="J8" s="197">
        <v>135</v>
      </c>
      <c r="K8" s="194" t="s">
        <v>103</v>
      </c>
      <c r="L8" s="198">
        <v>45957</v>
      </c>
      <c r="M8" s="197">
        <v>0</v>
      </c>
      <c r="N8" s="197">
        <v>0</v>
      </c>
      <c r="O8" s="197">
        <v>0</v>
      </c>
      <c r="P8" s="194" t="s">
        <v>53</v>
      </c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7" t="s">
        <v>116</v>
      </c>
      <c r="AF8" s="197" t="s">
        <v>117</v>
      </c>
      <c r="AG8" s="190"/>
      <c r="AH8" s="190"/>
      <c r="AI8" s="197" t="s">
        <v>50</v>
      </c>
      <c r="AJ8" s="190"/>
    </row>
    <row r="9" spans="1:36" x14ac:dyDescent="0.3">
      <c r="A9" s="192" t="s">
        <v>111</v>
      </c>
      <c r="B9" s="193">
        <v>45668</v>
      </c>
      <c r="C9" s="194" t="s">
        <v>39</v>
      </c>
      <c r="D9" s="195" t="s">
        <v>118</v>
      </c>
      <c r="E9" s="194" t="s">
        <v>1</v>
      </c>
      <c r="F9" s="194" t="s">
        <v>102</v>
      </c>
      <c r="G9" s="196">
        <v>0.5595</v>
      </c>
      <c r="H9" s="197">
        <v>168</v>
      </c>
      <c r="I9" s="197">
        <v>94</v>
      </c>
      <c r="J9" s="197">
        <v>90</v>
      </c>
      <c r="K9" s="194" t="s">
        <v>103</v>
      </c>
      <c r="L9" s="198">
        <v>45982</v>
      </c>
      <c r="M9" s="197">
        <v>0</v>
      </c>
      <c r="N9" s="197">
        <v>0</v>
      </c>
      <c r="O9" s="197">
        <v>3</v>
      </c>
      <c r="P9" s="194" t="s">
        <v>55</v>
      </c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7" t="s">
        <v>119</v>
      </c>
      <c r="AE9" s="190"/>
      <c r="AF9" s="190"/>
      <c r="AG9" s="197" t="s">
        <v>120</v>
      </c>
      <c r="AH9" s="190"/>
      <c r="AI9" s="190"/>
      <c r="AJ9" s="190"/>
    </row>
    <row r="10" spans="1:36" x14ac:dyDescent="0.3">
      <c r="A10" s="192" t="s">
        <v>121</v>
      </c>
      <c r="B10" s="193">
        <v>45669</v>
      </c>
      <c r="C10" s="194" t="s">
        <v>58</v>
      </c>
      <c r="D10" s="195" t="s">
        <v>122</v>
      </c>
      <c r="E10" s="194" t="s">
        <v>1</v>
      </c>
      <c r="F10" s="194" t="s">
        <v>102</v>
      </c>
      <c r="G10" s="196">
        <v>6.0000000000000001E-3</v>
      </c>
      <c r="H10" s="197">
        <v>168</v>
      </c>
      <c r="I10" s="197">
        <v>1</v>
      </c>
      <c r="J10" s="197">
        <v>0</v>
      </c>
      <c r="K10" s="194" t="s">
        <v>103</v>
      </c>
      <c r="L10" s="198">
        <v>45973</v>
      </c>
      <c r="M10" s="197">
        <v>0</v>
      </c>
      <c r="N10" s="197">
        <v>0</v>
      </c>
      <c r="O10" s="197">
        <v>0</v>
      </c>
      <c r="P10" s="194" t="s">
        <v>44</v>
      </c>
      <c r="Q10" s="190"/>
      <c r="R10" s="190"/>
      <c r="S10" s="190"/>
      <c r="T10" s="190"/>
      <c r="U10" s="190"/>
      <c r="V10" s="190"/>
      <c r="W10" s="190"/>
      <c r="X10" s="197" t="s">
        <v>123</v>
      </c>
      <c r="Y10" s="190"/>
      <c r="Z10" s="190"/>
      <c r="AA10" s="190"/>
      <c r="AB10" s="190"/>
      <c r="AC10" s="190"/>
      <c r="AD10" s="190"/>
      <c r="AE10" s="197" t="s">
        <v>124</v>
      </c>
      <c r="AF10" s="197" t="s">
        <v>125</v>
      </c>
      <c r="AG10" s="190"/>
      <c r="AH10" s="190"/>
      <c r="AI10" s="197" t="s">
        <v>126</v>
      </c>
      <c r="AJ10" s="190"/>
    </row>
    <row r="11" spans="1:36" x14ac:dyDescent="0.3">
      <c r="A11" s="192" t="s">
        <v>121</v>
      </c>
      <c r="B11" s="193">
        <v>45669</v>
      </c>
      <c r="C11" s="194" t="s">
        <v>35</v>
      </c>
      <c r="D11" s="195" t="s">
        <v>127</v>
      </c>
      <c r="E11" s="194" t="s">
        <v>1</v>
      </c>
      <c r="F11" s="194" t="s">
        <v>102</v>
      </c>
      <c r="G11" s="196">
        <v>0.8155</v>
      </c>
      <c r="H11" s="197">
        <v>168</v>
      </c>
      <c r="I11" s="197">
        <v>137</v>
      </c>
      <c r="J11" s="197">
        <v>135</v>
      </c>
      <c r="K11" s="194" t="s">
        <v>103</v>
      </c>
      <c r="L11" s="198">
        <v>45966</v>
      </c>
      <c r="M11" s="197">
        <v>0</v>
      </c>
      <c r="N11" s="197">
        <v>0</v>
      </c>
      <c r="O11" s="197">
        <v>0</v>
      </c>
      <c r="P11" s="194" t="s">
        <v>60</v>
      </c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7" t="s">
        <v>66</v>
      </c>
      <c r="AE11" s="190"/>
      <c r="AF11" s="190"/>
      <c r="AG11" s="190"/>
      <c r="AH11" s="190"/>
      <c r="AI11" s="197" t="s">
        <v>50</v>
      </c>
      <c r="AJ11" s="190"/>
    </row>
    <row r="12" spans="1:36" x14ac:dyDescent="0.3">
      <c r="A12" s="192" t="s">
        <v>121</v>
      </c>
      <c r="B12" s="193">
        <v>45669</v>
      </c>
      <c r="C12" s="194" t="s">
        <v>39</v>
      </c>
      <c r="D12" s="195" t="s">
        <v>128</v>
      </c>
      <c r="E12" s="194" t="s">
        <v>1</v>
      </c>
      <c r="F12" s="194" t="s">
        <v>102</v>
      </c>
      <c r="G12" s="196">
        <v>0.54759999999999998</v>
      </c>
      <c r="H12" s="197">
        <v>168</v>
      </c>
      <c r="I12" s="197">
        <v>92</v>
      </c>
      <c r="J12" s="197">
        <v>90</v>
      </c>
      <c r="K12" s="194" t="s">
        <v>103</v>
      </c>
      <c r="L12" s="198">
        <v>45969</v>
      </c>
      <c r="M12" s="197">
        <v>0</v>
      </c>
      <c r="N12" s="197">
        <v>0</v>
      </c>
      <c r="O12" s="197">
        <v>0</v>
      </c>
      <c r="P12" s="194" t="s">
        <v>60</v>
      </c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7" t="s">
        <v>66</v>
      </c>
      <c r="AE12" s="190"/>
      <c r="AF12" s="190"/>
      <c r="AG12" s="197" t="s">
        <v>67</v>
      </c>
      <c r="AH12" s="190"/>
      <c r="AI12" s="197" t="s">
        <v>105</v>
      </c>
      <c r="AJ12" s="190"/>
    </row>
    <row r="13" spans="1:36" x14ac:dyDescent="0.3">
      <c r="A13" s="192" t="s">
        <v>121</v>
      </c>
      <c r="B13" s="193">
        <v>45669</v>
      </c>
      <c r="C13" s="194" t="s">
        <v>52</v>
      </c>
      <c r="D13" s="195" t="s">
        <v>129</v>
      </c>
      <c r="E13" s="194" t="s">
        <v>1</v>
      </c>
      <c r="F13" s="194" t="s">
        <v>102</v>
      </c>
      <c r="G13" s="196">
        <v>0.82740000000000002</v>
      </c>
      <c r="H13" s="197">
        <v>168</v>
      </c>
      <c r="I13" s="197">
        <v>139</v>
      </c>
      <c r="J13" s="197">
        <v>135</v>
      </c>
      <c r="K13" s="194" t="s">
        <v>103</v>
      </c>
      <c r="L13" s="198">
        <v>45974</v>
      </c>
      <c r="M13" s="197">
        <v>0</v>
      </c>
      <c r="N13" s="197">
        <v>0</v>
      </c>
      <c r="O13" s="197">
        <v>0</v>
      </c>
      <c r="P13" s="194" t="s">
        <v>55</v>
      </c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7" t="s">
        <v>119</v>
      </c>
      <c r="AE13" s="190"/>
      <c r="AF13" s="190"/>
      <c r="AG13" s="190"/>
      <c r="AH13" s="190"/>
      <c r="AI13" s="197" t="s">
        <v>50</v>
      </c>
      <c r="AJ13" s="190"/>
    </row>
    <row r="14" spans="1:36" x14ac:dyDescent="0.3">
      <c r="A14" s="192" t="s">
        <v>130</v>
      </c>
      <c r="B14" s="193">
        <v>45670</v>
      </c>
      <c r="C14" s="194" t="s">
        <v>65</v>
      </c>
      <c r="D14" s="195" t="s">
        <v>131</v>
      </c>
      <c r="E14" s="194" t="s">
        <v>1</v>
      </c>
      <c r="F14" s="194" t="s">
        <v>102</v>
      </c>
      <c r="G14" s="196">
        <v>1.1900000000000001E-2</v>
      </c>
      <c r="H14" s="197">
        <v>168</v>
      </c>
      <c r="I14" s="197">
        <v>2</v>
      </c>
      <c r="J14" s="197">
        <v>0</v>
      </c>
      <c r="K14" s="194" t="s">
        <v>103</v>
      </c>
      <c r="L14" s="198">
        <v>45950</v>
      </c>
      <c r="M14" s="197">
        <v>0</v>
      </c>
      <c r="N14" s="197">
        <v>0</v>
      </c>
      <c r="O14" s="197">
        <v>0</v>
      </c>
      <c r="P14" s="194" t="s">
        <v>60</v>
      </c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7" t="s">
        <v>66</v>
      </c>
      <c r="AE14" s="190"/>
      <c r="AF14" s="190"/>
      <c r="AG14" s="190"/>
      <c r="AH14" s="190"/>
      <c r="AI14" s="190"/>
      <c r="AJ14" s="190"/>
    </row>
    <row r="15" spans="1:36" x14ac:dyDescent="0.3">
      <c r="A15" s="192" t="s">
        <v>130</v>
      </c>
      <c r="B15" s="193">
        <v>45670</v>
      </c>
      <c r="C15" s="194" t="s">
        <v>58</v>
      </c>
      <c r="D15" s="195" t="s">
        <v>132</v>
      </c>
      <c r="E15" s="194" t="s">
        <v>1</v>
      </c>
      <c r="F15" s="194" t="s">
        <v>102</v>
      </c>
      <c r="G15" s="196">
        <v>0.26790000000000003</v>
      </c>
      <c r="H15" s="197">
        <v>168</v>
      </c>
      <c r="I15" s="197">
        <v>45</v>
      </c>
      <c r="J15" s="197">
        <v>45</v>
      </c>
      <c r="K15" s="194" t="s">
        <v>103</v>
      </c>
      <c r="L15" s="198">
        <v>45969</v>
      </c>
      <c r="M15" s="197">
        <v>0</v>
      </c>
      <c r="N15" s="197">
        <v>0</v>
      </c>
      <c r="O15" s="197">
        <v>0</v>
      </c>
      <c r="P15" s="194" t="s">
        <v>44</v>
      </c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7" t="s">
        <v>67</v>
      </c>
      <c r="AH15" s="190"/>
      <c r="AI15" s="190"/>
      <c r="AJ15" s="190"/>
    </row>
    <row r="16" spans="1:36" x14ac:dyDescent="0.3">
      <c r="A16" s="192" t="s">
        <v>130</v>
      </c>
      <c r="B16" s="193">
        <v>45670</v>
      </c>
      <c r="C16" s="194" t="s">
        <v>39</v>
      </c>
      <c r="D16" s="195" t="s">
        <v>128</v>
      </c>
      <c r="E16" s="194" t="s">
        <v>1</v>
      </c>
      <c r="F16" s="194" t="s">
        <v>102</v>
      </c>
      <c r="G16" s="196">
        <v>0.82740000000000002</v>
      </c>
      <c r="H16" s="197">
        <v>168</v>
      </c>
      <c r="I16" s="197">
        <v>139</v>
      </c>
      <c r="J16" s="197">
        <v>135</v>
      </c>
      <c r="K16" s="194" t="s">
        <v>103</v>
      </c>
      <c r="L16" s="198">
        <v>45964</v>
      </c>
      <c r="M16" s="197">
        <v>0</v>
      </c>
      <c r="N16" s="197">
        <v>0</v>
      </c>
      <c r="O16" s="197">
        <v>0</v>
      </c>
      <c r="P16" s="194" t="s">
        <v>55</v>
      </c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7" t="s">
        <v>119</v>
      </c>
      <c r="AE16" s="190"/>
      <c r="AF16" s="190"/>
      <c r="AG16" s="190"/>
      <c r="AH16" s="190"/>
      <c r="AI16" s="197" t="s">
        <v>50</v>
      </c>
      <c r="AJ16" s="190"/>
    </row>
    <row r="17" spans="1:36" x14ac:dyDescent="0.3">
      <c r="A17" s="192" t="s">
        <v>130</v>
      </c>
      <c r="B17" s="193">
        <v>45670</v>
      </c>
      <c r="C17" s="194" t="s">
        <v>52</v>
      </c>
      <c r="D17" s="195" t="s">
        <v>133</v>
      </c>
      <c r="E17" s="194" t="s">
        <v>1</v>
      </c>
      <c r="F17" s="194" t="s">
        <v>102</v>
      </c>
      <c r="G17" s="196">
        <v>0.28570000000000001</v>
      </c>
      <c r="H17" s="197">
        <v>168</v>
      </c>
      <c r="I17" s="197">
        <v>48</v>
      </c>
      <c r="J17" s="197">
        <v>45</v>
      </c>
      <c r="K17" s="194" t="s">
        <v>103</v>
      </c>
      <c r="L17" s="198">
        <v>45982</v>
      </c>
      <c r="M17" s="197">
        <v>0</v>
      </c>
      <c r="N17" s="197">
        <v>0</v>
      </c>
      <c r="O17" s="197">
        <v>3</v>
      </c>
      <c r="P17" s="194" t="s">
        <v>53</v>
      </c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7" t="s">
        <v>134</v>
      </c>
      <c r="AE17" s="190"/>
      <c r="AF17" s="190"/>
      <c r="AG17" s="190"/>
      <c r="AH17" s="190"/>
      <c r="AI17" s="197" t="s">
        <v>105</v>
      </c>
      <c r="AJ17" s="190"/>
    </row>
    <row r="18" spans="1:36" x14ac:dyDescent="0.3">
      <c r="A18" s="192" t="s">
        <v>130</v>
      </c>
      <c r="B18" s="193">
        <v>45670</v>
      </c>
      <c r="C18" s="194" t="s">
        <v>43</v>
      </c>
      <c r="D18" s="195" t="s">
        <v>135</v>
      </c>
      <c r="E18" s="194" t="s">
        <v>1</v>
      </c>
      <c r="F18" s="194" t="s">
        <v>102</v>
      </c>
      <c r="G18" s="196">
        <v>0.27379999999999999</v>
      </c>
      <c r="H18" s="197">
        <v>168</v>
      </c>
      <c r="I18" s="197">
        <v>46</v>
      </c>
      <c r="J18" s="197">
        <v>45</v>
      </c>
      <c r="K18" s="194" t="s">
        <v>103</v>
      </c>
      <c r="L18" s="198">
        <v>45978</v>
      </c>
      <c r="M18" s="197">
        <v>0</v>
      </c>
      <c r="N18" s="197">
        <v>0</v>
      </c>
      <c r="O18" s="197">
        <v>1</v>
      </c>
      <c r="P18" s="194" t="s">
        <v>44</v>
      </c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7" t="s">
        <v>31</v>
      </c>
      <c r="AE18" s="190"/>
      <c r="AF18" s="190"/>
      <c r="AG18" s="190"/>
      <c r="AH18" s="190"/>
      <c r="AI18" s="197" t="s">
        <v>105</v>
      </c>
      <c r="AJ18" s="190"/>
    </row>
    <row r="19" spans="1:36" x14ac:dyDescent="0.3">
      <c r="A19" s="192" t="s">
        <v>130</v>
      </c>
      <c r="B19" s="193">
        <v>45670</v>
      </c>
      <c r="C19" s="194" t="s">
        <v>35</v>
      </c>
      <c r="D19" s="195" t="s">
        <v>136</v>
      </c>
      <c r="E19" s="194" t="s">
        <v>1</v>
      </c>
      <c r="F19" s="194" t="s">
        <v>102</v>
      </c>
      <c r="G19" s="196">
        <v>0.80359999999999998</v>
      </c>
      <c r="H19" s="197">
        <v>168</v>
      </c>
      <c r="I19" s="197">
        <v>135</v>
      </c>
      <c r="J19" s="197">
        <v>135</v>
      </c>
      <c r="K19" s="194" t="s">
        <v>103</v>
      </c>
      <c r="L19" s="198">
        <v>45961</v>
      </c>
      <c r="M19" s="197">
        <v>0</v>
      </c>
      <c r="N19" s="197">
        <v>0</v>
      </c>
      <c r="O19" s="197">
        <v>0</v>
      </c>
      <c r="P19" s="194" t="s">
        <v>44</v>
      </c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7" t="s">
        <v>50</v>
      </c>
      <c r="AJ19" s="190"/>
    </row>
    <row r="20" spans="1:36" x14ac:dyDescent="0.3">
      <c r="A20" s="192" t="s">
        <v>137</v>
      </c>
      <c r="B20" s="193">
        <v>45671</v>
      </c>
      <c r="C20" s="194" t="s">
        <v>35</v>
      </c>
      <c r="D20" s="195" t="s">
        <v>138</v>
      </c>
      <c r="E20" s="194" t="s">
        <v>1</v>
      </c>
      <c r="F20" s="194" t="s">
        <v>102</v>
      </c>
      <c r="G20" s="196">
        <v>0.27379999999999999</v>
      </c>
      <c r="H20" s="197">
        <v>168</v>
      </c>
      <c r="I20" s="197">
        <v>46</v>
      </c>
      <c r="J20" s="197">
        <v>45</v>
      </c>
      <c r="K20" s="194" t="s">
        <v>103</v>
      </c>
      <c r="L20" s="198">
        <v>45944</v>
      </c>
      <c r="M20" s="197">
        <v>0</v>
      </c>
      <c r="N20" s="197">
        <v>0</v>
      </c>
      <c r="O20" s="197">
        <v>0</v>
      </c>
      <c r="P20" s="194" t="s">
        <v>44</v>
      </c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7" t="s">
        <v>31</v>
      </c>
      <c r="AE20" s="190"/>
      <c r="AF20" s="190"/>
      <c r="AG20" s="190"/>
      <c r="AH20" s="190"/>
      <c r="AI20" s="197" t="s">
        <v>105</v>
      </c>
      <c r="AJ20" s="190"/>
    </row>
    <row r="21" spans="1:36" x14ac:dyDescent="0.3">
      <c r="A21" s="192" t="s">
        <v>137</v>
      </c>
      <c r="B21" s="193">
        <v>45671</v>
      </c>
      <c r="C21" s="194" t="s">
        <v>52</v>
      </c>
      <c r="D21" s="195" t="s">
        <v>139</v>
      </c>
      <c r="E21" s="194" t="s">
        <v>1</v>
      </c>
      <c r="F21" s="194" t="s">
        <v>102</v>
      </c>
      <c r="G21" s="196">
        <v>0.85119999999999996</v>
      </c>
      <c r="H21" s="197">
        <v>168</v>
      </c>
      <c r="I21" s="197">
        <v>143</v>
      </c>
      <c r="J21" s="197">
        <v>135</v>
      </c>
      <c r="K21" s="194" t="s">
        <v>103</v>
      </c>
      <c r="L21" s="198">
        <v>45976</v>
      </c>
      <c r="M21" s="197">
        <v>0</v>
      </c>
      <c r="N21" s="197">
        <v>0</v>
      </c>
      <c r="O21" s="197">
        <v>0</v>
      </c>
      <c r="P21" s="194" t="s">
        <v>66</v>
      </c>
      <c r="Q21" s="190"/>
      <c r="R21" s="190"/>
      <c r="S21" s="190"/>
      <c r="T21" s="190"/>
      <c r="U21" s="190"/>
      <c r="V21" s="190"/>
      <c r="W21" s="190"/>
      <c r="X21" s="190"/>
      <c r="Y21" s="197" t="s">
        <v>107</v>
      </c>
      <c r="Z21" s="190"/>
      <c r="AA21" s="190"/>
      <c r="AB21" s="190"/>
      <c r="AC21" s="197" t="s">
        <v>140</v>
      </c>
      <c r="AD21" s="197" t="s">
        <v>141</v>
      </c>
      <c r="AE21" s="197" t="s">
        <v>142</v>
      </c>
      <c r="AF21" s="197" t="s">
        <v>143</v>
      </c>
      <c r="AG21" s="190"/>
      <c r="AH21" s="190"/>
      <c r="AI21" s="197" t="s">
        <v>50</v>
      </c>
      <c r="AJ21" s="197" t="s">
        <v>144</v>
      </c>
    </row>
    <row r="22" spans="1:36" x14ac:dyDescent="0.3">
      <c r="A22" s="192" t="s">
        <v>137</v>
      </c>
      <c r="B22" s="193">
        <v>45671</v>
      </c>
      <c r="C22" s="194" t="s">
        <v>39</v>
      </c>
      <c r="D22" s="195" t="s">
        <v>128</v>
      </c>
      <c r="E22" s="194" t="s">
        <v>1</v>
      </c>
      <c r="F22" s="194" t="s">
        <v>102</v>
      </c>
      <c r="G22" s="196">
        <v>0.5595</v>
      </c>
      <c r="H22" s="197">
        <v>168</v>
      </c>
      <c r="I22" s="197">
        <v>94</v>
      </c>
      <c r="J22" s="197">
        <v>90</v>
      </c>
      <c r="K22" s="194" t="s">
        <v>103</v>
      </c>
      <c r="L22" s="198">
        <v>45969</v>
      </c>
      <c r="M22" s="197">
        <v>0</v>
      </c>
      <c r="N22" s="197">
        <v>0</v>
      </c>
      <c r="O22" s="197">
        <v>0</v>
      </c>
      <c r="P22" s="194" t="s">
        <v>55</v>
      </c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7" t="s">
        <v>119</v>
      </c>
      <c r="AE22" s="190"/>
      <c r="AF22" s="190"/>
      <c r="AG22" s="197" t="s">
        <v>67</v>
      </c>
      <c r="AH22" s="190"/>
      <c r="AI22" s="197" t="s">
        <v>105</v>
      </c>
      <c r="AJ22" s="190"/>
    </row>
    <row r="23" spans="1:36" ht="21" x14ac:dyDescent="0.3">
      <c r="A23" s="199" t="s">
        <v>149</v>
      </c>
      <c r="B23" s="200"/>
      <c r="C23" s="199">
        <f>SUBTOTAL(103,JED_CAI_LF_LEGACY[Flt])</f>
        <v>21</v>
      </c>
      <c r="D23" s="199"/>
      <c r="E23" s="199">
        <f>SUBTOTAL(103,JED_CAI_LF_LEGACY[Brd-Off])</f>
        <v>21</v>
      </c>
      <c r="F23" s="199"/>
      <c r="G23" s="201">
        <f>SUBTOTAL(101,JED_CAI_LF_LEGACY[LF%])</f>
        <v>0.55342857142857138</v>
      </c>
      <c r="H23" s="202">
        <f>SUBTOTAL(109,JED_CAI_LF_LEGACY[CAP])</f>
        <v>3534</v>
      </c>
      <c r="I23" s="202">
        <f>SUBTOTAL(109,JED_CAI_LF_LEGACY[BKG(Y)])</f>
        <v>1956</v>
      </c>
      <c r="J23" s="202">
        <f>SUBTOTAL(109,JED_CAI_LF_LEGACY[GRP(Y)])</f>
        <v>1860</v>
      </c>
      <c r="K23" s="199"/>
      <c r="L23" s="200"/>
      <c r="M23" s="202">
        <f>SUBTOTAL(109,JED_CAI_LF_LEGACY[TO-DAY])</f>
        <v>0</v>
      </c>
      <c r="N23" s="202">
        <f>SUBTOTAL(109,JED_CAI_LF_LEGACY[Y-DAY])</f>
        <v>2</v>
      </c>
      <c r="O23" s="202">
        <f>SUBTOTAL(109,JED_CAI_LF_LEGACY[WEEKLY])</f>
        <v>16</v>
      </c>
      <c r="P23" s="203"/>
      <c r="Q23" s="202">
        <f>SUBTOTAL(109,JED_CAI_LF_LEGACY[Y])</f>
        <v>0</v>
      </c>
      <c r="R23" s="202">
        <f>SUBTOTAL(109,JED_CAI_LF_LEGACY[B])</f>
        <v>0</v>
      </c>
      <c r="S23" s="202">
        <f>SUBTOTAL(109,JED_CAI_LF_LEGACY[M])</f>
        <v>0</v>
      </c>
      <c r="T23" s="202">
        <f>SUBTOTAL(109,JED_CAI_LF_LEGACY[H])</f>
        <v>0</v>
      </c>
      <c r="U23" s="202">
        <f>SUBTOTAL(109,JED_CAI_LF_LEGACY[Q])</f>
        <v>0</v>
      </c>
      <c r="V23" s="202">
        <f>SUBTOTAL(109,JED_CAI_LF_LEGACY[K])</f>
        <v>0</v>
      </c>
      <c r="W23" s="202">
        <f>SUBTOTAL(109,JED_CAI_LF_LEGACY[V])</f>
        <v>0</v>
      </c>
      <c r="X23" s="202">
        <f>SUBTOTAL(109,JED_CAI_LF_LEGACY[L])</f>
        <v>0</v>
      </c>
      <c r="Y23" s="202">
        <f>SUBTOTAL(109,JED_CAI_LF_LEGACY[G])</f>
        <v>0</v>
      </c>
      <c r="Z23" s="202">
        <f>SUBTOTAL(109,JED_CAI_LF_LEGACY[S])</f>
        <v>0</v>
      </c>
      <c r="AA23" s="202">
        <f>SUBTOTAL(109,JED_CAI_LF_LEGACY[W])</f>
        <v>0</v>
      </c>
      <c r="AB23" s="202">
        <f>SUBTOTAL(109,JED_CAI_LF_LEGACY[T])</f>
        <v>0</v>
      </c>
      <c r="AC23" s="202">
        <f>SUBTOTAL(109,JED_CAI_LF_LEGACY[X])</f>
        <v>0</v>
      </c>
      <c r="AD23" s="202">
        <f>SUBTOTAL(109,JED_CAI_LF_LEGACY[U])</f>
        <v>0</v>
      </c>
      <c r="AE23" s="202">
        <f>SUBTOTAL(109,JED_CAI_LF_LEGACY[O])</f>
        <v>0</v>
      </c>
      <c r="AF23" s="202">
        <f>SUBTOTAL(109,JED_CAI_LF_LEGACY[I])</f>
        <v>0</v>
      </c>
      <c r="AG23" s="202">
        <f>SUBTOTAL(109,JED_CAI_LF_LEGACY[E])</f>
        <v>0</v>
      </c>
      <c r="AH23" s="202">
        <f>SUBTOTAL(109,JED_CAI_LF_LEGACY[A])</f>
        <v>0</v>
      </c>
      <c r="AI23" s="202">
        <f>SUBTOTAL(109,JED_CAI_LF_LEGACY[P])</f>
        <v>0</v>
      </c>
      <c r="AJ23" s="202">
        <f>SUBTOTAL(103,JED_CAI_LF_LEGACY[N])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  <col min="9" max="9" width="180.77734375" hidden="1" customWidth="1"/>
  </cols>
  <sheetData>
    <row r="1" spans="1:9" ht="18" x14ac:dyDescent="0.3">
      <c r="A1" s="141" t="s">
        <v>145</v>
      </c>
      <c r="B1" s="142" t="s">
        <v>8</v>
      </c>
      <c r="C1" s="142" t="s">
        <v>9</v>
      </c>
      <c r="D1" s="142" t="s">
        <v>146</v>
      </c>
      <c r="E1" s="142" t="s">
        <v>10</v>
      </c>
      <c r="F1" s="142" t="s">
        <v>11</v>
      </c>
      <c r="G1" s="142" t="s">
        <v>12</v>
      </c>
      <c r="H1" s="143" t="s">
        <v>13</v>
      </c>
      <c r="I1" s="2"/>
    </row>
    <row r="2" spans="1:9" ht="19.8" customHeight="1" x14ac:dyDescent="0.3">
      <c r="A2" s="144" t="s">
        <v>147</v>
      </c>
      <c r="B2" s="145" t="s">
        <v>26</v>
      </c>
      <c r="C2" s="146" t="s">
        <v>27</v>
      </c>
      <c r="D2" s="145" t="s">
        <v>1</v>
      </c>
      <c r="E2" s="145" t="s">
        <v>101</v>
      </c>
      <c r="F2" s="145"/>
      <c r="G2" s="145"/>
      <c r="H2" s="147" t="s">
        <v>29</v>
      </c>
      <c r="I2" s="2"/>
    </row>
    <row r="3" spans="1:9" ht="19.8" customHeight="1" x14ac:dyDescent="0.3">
      <c r="A3" s="148">
        <v>45667</v>
      </c>
      <c r="B3" s="145" t="s">
        <v>26</v>
      </c>
      <c r="C3" s="146" t="s">
        <v>33</v>
      </c>
      <c r="D3" s="145" t="s">
        <v>1</v>
      </c>
      <c r="E3" s="149">
        <v>1.333333333333333</v>
      </c>
      <c r="F3" s="145"/>
      <c r="G3" s="145"/>
      <c r="H3" s="147" t="s">
        <v>34</v>
      </c>
      <c r="I3" s="2"/>
    </row>
    <row r="4" spans="1:9" ht="19.8" customHeight="1" x14ac:dyDescent="0.3">
      <c r="A4" s="150">
        <v>45667</v>
      </c>
      <c r="B4" s="151" t="s">
        <v>26</v>
      </c>
      <c r="C4" s="152" t="s">
        <v>38</v>
      </c>
      <c r="D4" s="151" t="s">
        <v>1</v>
      </c>
      <c r="E4" s="153">
        <v>1.680555555555556</v>
      </c>
      <c r="F4" s="151"/>
      <c r="G4" s="151"/>
      <c r="H4" s="154" t="s">
        <v>34</v>
      </c>
      <c r="I4" s="2"/>
    </row>
    <row r="5" spans="1:9" ht="19.8" customHeight="1" x14ac:dyDescent="0.3">
      <c r="A5" s="148">
        <v>45668</v>
      </c>
      <c r="B5" s="145" t="s">
        <v>26</v>
      </c>
      <c r="C5" s="146" t="s">
        <v>42</v>
      </c>
      <c r="D5" s="145" t="s">
        <v>1</v>
      </c>
      <c r="E5" s="149">
        <v>1.083333333333333</v>
      </c>
      <c r="F5" s="145"/>
      <c r="G5" s="145"/>
      <c r="H5" s="147" t="s">
        <v>29</v>
      </c>
      <c r="I5" s="2"/>
    </row>
    <row r="6" spans="1:9" ht="19.8" customHeight="1" x14ac:dyDescent="0.3">
      <c r="A6" s="148">
        <v>45668</v>
      </c>
      <c r="B6" s="145" t="s">
        <v>26</v>
      </c>
      <c r="C6" s="146" t="s">
        <v>33</v>
      </c>
      <c r="D6" s="145" t="s">
        <v>1</v>
      </c>
      <c r="E6" s="149">
        <v>1.319444444444444</v>
      </c>
      <c r="F6" s="145"/>
      <c r="G6" s="145"/>
      <c r="H6" s="147" t="s">
        <v>46</v>
      </c>
      <c r="I6" s="2"/>
    </row>
    <row r="7" spans="1:9" ht="19.8" customHeight="1" x14ac:dyDescent="0.3">
      <c r="A7" s="148">
        <v>45668</v>
      </c>
      <c r="B7" s="145" t="s">
        <v>26</v>
      </c>
      <c r="C7" s="146" t="s">
        <v>48</v>
      </c>
      <c r="D7" s="145" t="s">
        <v>1</v>
      </c>
      <c r="E7" s="149">
        <v>1.333333333333333</v>
      </c>
      <c r="F7" s="145"/>
      <c r="G7" s="145"/>
      <c r="H7" s="147" t="s">
        <v>29</v>
      </c>
      <c r="I7" s="2"/>
    </row>
    <row r="8" spans="1:9" ht="19.8" customHeight="1" x14ac:dyDescent="0.3">
      <c r="A8" s="148">
        <v>45668</v>
      </c>
      <c r="B8" s="145" t="s">
        <v>26</v>
      </c>
      <c r="C8" s="146" t="s">
        <v>51</v>
      </c>
      <c r="D8" s="145" t="s">
        <v>1</v>
      </c>
      <c r="E8" s="149">
        <v>1.510416666666667</v>
      </c>
      <c r="F8" s="145"/>
      <c r="G8" s="145"/>
      <c r="H8" s="147" t="s">
        <v>34</v>
      </c>
      <c r="I8" s="2"/>
    </row>
    <row r="9" spans="1:9" ht="19.8" customHeight="1" x14ac:dyDescent="0.3">
      <c r="A9" s="150">
        <v>45668</v>
      </c>
      <c r="B9" s="151" t="s">
        <v>26</v>
      </c>
      <c r="C9" s="152" t="s">
        <v>38</v>
      </c>
      <c r="D9" s="151" t="s">
        <v>1</v>
      </c>
      <c r="E9" s="153">
        <v>1.631944444444444</v>
      </c>
      <c r="F9" s="151"/>
      <c r="G9" s="151"/>
      <c r="H9" s="154" t="s">
        <v>29</v>
      </c>
      <c r="I9" s="2"/>
    </row>
    <row r="10" spans="1:9" ht="19.8" customHeight="1" x14ac:dyDescent="0.3">
      <c r="A10" s="148">
        <v>45669</v>
      </c>
      <c r="B10" s="145" t="s">
        <v>26</v>
      </c>
      <c r="C10" s="146" t="s">
        <v>57</v>
      </c>
      <c r="D10" s="145" t="s">
        <v>1</v>
      </c>
      <c r="E10" s="149">
        <v>1.006944444444444</v>
      </c>
      <c r="F10" s="145"/>
      <c r="G10" s="145"/>
      <c r="H10" s="147" t="s">
        <v>46</v>
      </c>
      <c r="I10" s="2"/>
    </row>
    <row r="11" spans="1:9" ht="19.8" customHeight="1" x14ac:dyDescent="0.3">
      <c r="A11" s="148">
        <v>45669</v>
      </c>
      <c r="B11" s="145" t="s">
        <v>26</v>
      </c>
      <c r="C11" s="146" t="s">
        <v>33</v>
      </c>
      <c r="D11" s="145" t="s">
        <v>1</v>
      </c>
      <c r="E11" s="149">
        <v>1.4236111111111109</v>
      </c>
      <c r="F11" s="145"/>
      <c r="G11" s="145"/>
      <c r="H11" s="147" t="s">
        <v>29</v>
      </c>
      <c r="I11" s="2"/>
    </row>
    <row r="12" spans="1:9" ht="19.8" customHeight="1" x14ac:dyDescent="0.3">
      <c r="A12" s="148">
        <v>45669</v>
      </c>
      <c r="B12" s="145" t="s">
        <v>26</v>
      </c>
      <c r="C12" s="146" t="s">
        <v>38</v>
      </c>
      <c r="D12" s="145" t="s">
        <v>1</v>
      </c>
      <c r="E12" s="149">
        <v>1.614583333333333</v>
      </c>
      <c r="F12" s="145"/>
      <c r="G12" s="145"/>
      <c r="H12" s="147" t="s">
        <v>29</v>
      </c>
      <c r="I12" s="2"/>
    </row>
    <row r="13" spans="1:9" ht="19.8" customHeight="1" x14ac:dyDescent="0.3">
      <c r="A13" s="150">
        <v>45669</v>
      </c>
      <c r="B13" s="151" t="s">
        <v>26</v>
      </c>
      <c r="C13" s="152" t="s">
        <v>51</v>
      </c>
      <c r="D13" s="151" t="s">
        <v>1</v>
      </c>
      <c r="E13" s="153">
        <v>1.979166666666667</v>
      </c>
      <c r="F13" s="151"/>
      <c r="G13" s="151"/>
      <c r="H13" s="154" t="s">
        <v>29</v>
      </c>
      <c r="I13" s="2"/>
    </row>
    <row r="14" spans="1:9" ht="19.8" customHeight="1" x14ac:dyDescent="0.3">
      <c r="A14" s="148">
        <v>45670</v>
      </c>
      <c r="B14" s="145" t="s">
        <v>26</v>
      </c>
      <c r="C14" s="146" t="s">
        <v>64</v>
      </c>
      <c r="D14" s="145" t="s">
        <v>1</v>
      </c>
      <c r="E14" s="149">
        <v>1.229166666666667</v>
      </c>
      <c r="F14" s="145"/>
      <c r="G14" s="145"/>
      <c r="H14" s="147" t="s">
        <v>46</v>
      </c>
      <c r="I14" s="2"/>
    </row>
    <row r="15" spans="1:9" ht="19.8" customHeight="1" x14ac:dyDescent="0.3">
      <c r="A15" s="148">
        <v>45670</v>
      </c>
      <c r="B15" s="145" t="s">
        <v>26</v>
      </c>
      <c r="C15" s="146" t="s">
        <v>57</v>
      </c>
      <c r="D15" s="145" t="s">
        <v>1</v>
      </c>
      <c r="E15" s="149">
        <v>1.5590277777777779</v>
      </c>
      <c r="F15" s="145"/>
      <c r="G15" s="145"/>
      <c r="H15" s="147" t="s">
        <v>46</v>
      </c>
      <c r="I15" s="2"/>
    </row>
    <row r="16" spans="1:9" ht="19.8" customHeight="1" x14ac:dyDescent="0.3">
      <c r="A16" s="148">
        <v>45670</v>
      </c>
      <c r="B16" s="145" t="s">
        <v>26</v>
      </c>
      <c r="C16" s="146" t="s">
        <v>38</v>
      </c>
      <c r="D16" s="145" t="s">
        <v>1</v>
      </c>
      <c r="E16" s="149">
        <v>1.614583333333333</v>
      </c>
      <c r="F16" s="145"/>
      <c r="G16" s="145"/>
      <c r="H16" s="147" t="s">
        <v>29</v>
      </c>
      <c r="I16" s="2"/>
    </row>
    <row r="17" spans="1:9" ht="19.8" customHeight="1" x14ac:dyDescent="0.3">
      <c r="A17" s="148">
        <v>45670</v>
      </c>
      <c r="B17" s="145" t="s">
        <v>26</v>
      </c>
      <c r="C17" s="146" t="s">
        <v>51</v>
      </c>
      <c r="D17" s="145" t="s">
        <v>1</v>
      </c>
      <c r="E17" s="149">
        <v>1.729166666666667</v>
      </c>
      <c r="F17" s="145"/>
      <c r="G17" s="145"/>
      <c r="H17" s="147" t="s">
        <v>46</v>
      </c>
      <c r="I17" s="2"/>
    </row>
    <row r="18" spans="1:9" ht="19.8" customHeight="1" x14ac:dyDescent="0.3">
      <c r="A18" s="148">
        <v>45670</v>
      </c>
      <c r="B18" s="145" t="s">
        <v>26</v>
      </c>
      <c r="C18" s="146" t="s">
        <v>42</v>
      </c>
      <c r="D18" s="145" t="s">
        <v>1</v>
      </c>
      <c r="E18" s="149">
        <v>1.9340277777777779</v>
      </c>
      <c r="F18" s="145"/>
      <c r="G18" s="145"/>
      <c r="H18" s="147" t="s">
        <v>46</v>
      </c>
      <c r="I18" s="2"/>
    </row>
    <row r="19" spans="1:9" ht="19.8" customHeight="1" x14ac:dyDescent="0.3">
      <c r="A19" s="150">
        <v>45670</v>
      </c>
      <c r="B19" s="151" t="s">
        <v>26</v>
      </c>
      <c r="C19" s="152" t="s">
        <v>33</v>
      </c>
      <c r="D19" s="151" t="s">
        <v>1</v>
      </c>
      <c r="E19" s="153">
        <v>1.96875</v>
      </c>
      <c r="F19" s="151"/>
      <c r="G19" s="151"/>
      <c r="H19" s="154" t="s">
        <v>29</v>
      </c>
      <c r="I19" s="2"/>
    </row>
    <row r="20" spans="1:9" ht="19.8" customHeight="1" x14ac:dyDescent="0.3">
      <c r="A20" s="148">
        <v>45671</v>
      </c>
      <c r="B20" s="145" t="s">
        <v>26</v>
      </c>
      <c r="C20" s="146" t="s">
        <v>33</v>
      </c>
      <c r="D20" s="145" t="s">
        <v>1</v>
      </c>
      <c r="E20" s="149">
        <v>1.479166666666667</v>
      </c>
      <c r="F20" s="145"/>
      <c r="G20" s="145"/>
      <c r="H20" s="147" t="s">
        <v>46</v>
      </c>
      <c r="I20" s="2"/>
    </row>
    <row r="21" spans="1:9" ht="19.8" customHeight="1" x14ac:dyDescent="0.3">
      <c r="A21" s="148">
        <v>45671</v>
      </c>
      <c r="B21" s="145" t="s">
        <v>26</v>
      </c>
      <c r="C21" s="146" t="s">
        <v>51</v>
      </c>
      <c r="D21" s="145" t="s">
        <v>1</v>
      </c>
      <c r="E21" s="149">
        <v>1.520833333333333</v>
      </c>
      <c r="F21" s="145"/>
      <c r="G21" s="145"/>
      <c r="H21" s="147" t="s">
        <v>34</v>
      </c>
      <c r="I21" s="2"/>
    </row>
    <row r="22" spans="1:9" ht="19.8" customHeight="1" x14ac:dyDescent="0.3">
      <c r="A22" s="150">
        <v>45671</v>
      </c>
      <c r="B22" s="151" t="s">
        <v>26</v>
      </c>
      <c r="C22" s="152" t="s">
        <v>38</v>
      </c>
      <c r="D22" s="151" t="s">
        <v>1</v>
      </c>
      <c r="E22" s="153">
        <v>1.614583333333333</v>
      </c>
      <c r="F22" s="151"/>
      <c r="G22" s="151"/>
      <c r="H22" s="154" t="s">
        <v>29</v>
      </c>
      <c r="I22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bestFit="1" customWidth="1"/>
    <col min="2" max="2" width="8.109375" bestFit="1" customWidth="1"/>
    <col min="3" max="3" width="12.77734375" bestFit="1" customWidth="1"/>
    <col min="4" max="4" width="7.44140625" bestFit="1" customWidth="1"/>
    <col min="5" max="5" width="12.21875" bestFit="1" customWidth="1"/>
    <col min="6" max="6" width="10.33203125" bestFit="1" customWidth="1"/>
    <col min="7" max="7" width="13.33203125" bestFit="1" customWidth="1"/>
    <col min="8" max="8" width="16.6640625" bestFit="1" customWidth="1"/>
    <col min="9" max="9" width="16" hidden="1" customWidth="1"/>
  </cols>
  <sheetData>
    <row r="1" spans="1:9" ht="15.6" x14ac:dyDescent="0.3">
      <c r="A1" s="155" t="s">
        <v>145</v>
      </c>
      <c r="B1" s="155" t="s">
        <v>8</v>
      </c>
      <c r="C1" s="155" t="s">
        <v>9</v>
      </c>
      <c r="D1" s="155" t="s">
        <v>146</v>
      </c>
      <c r="E1" s="155" t="s">
        <v>10</v>
      </c>
      <c r="F1" s="155" t="s">
        <v>11</v>
      </c>
      <c r="G1" s="155" t="s">
        <v>12</v>
      </c>
      <c r="H1" s="155" t="s">
        <v>13</v>
      </c>
      <c r="I1" s="155" t="s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outlineLevelCol="1" x14ac:dyDescent="0.3"/>
  <cols>
    <col min="1" max="1" width="9.77734375" bestFit="1" customWidth="1"/>
    <col min="2" max="2" width="9.88671875" bestFit="1" customWidth="1"/>
    <col min="3" max="3" width="7.33203125" bestFit="1" customWidth="1"/>
    <col min="4" max="4" width="6.109375" bestFit="1" customWidth="1"/>
    <col min="5" max="5" width="8.21875" bestFit="1" customWidth="1"/>
    <col min="6" max="6" width="4.33203125" bestFit="1" customWidth="1"/>
    <col min="7" max="7" width="7.5546875" bestFit="1" customWidth="1"/>
    <col min="8" max="8" width="4.5546875" bestFit="1" customWidth="1"/>
    <col min="9" max="10" width="6.88671875" bestFit="1" customWidth="1"/>
    <col min="11" max="11" width="11" bestFit="1" customWidth="1"/>
    <col min="12" max="12" width="9" bestFit="1" customWidth="1"/>
    <col min="13" max="13" width="7.5546875" bestFit="1" customWidth="1" outlineLevel="1"/>
    <col min="14" max="14" width="6.21875" bestFit="1" customWidth="1" outlineLevel="1"/>
    <col min="15" max="15" width="7.88671875" bestFit="1" customWidth="1" outlineLevel="1"/>
    <col min="16" max="16" width="13.6640625" bestFit="1" customWidth="1"/>
    <col min="17" max="18" width="2.33203125" bestFit="1" customWidth="1"/>
    <col min="19" max="19" width="2.88671875" bestFit="1" customWidth="1"/>
    <col min="20" max="20" width="2.33203125" bestFit="1" customWidth="1"/>
    <col min="21" max="21" width="2.44140625" bestFit="1" customWidth="1"/>
    <col min="22" max="24" width="2.33203125" bestFit="1" customWidth="1"/>
    <col min="25" max="25" width="3.6640625" bestFit="1" customWidth="1"/>
    <col min="26" max="26" width="2.33203125" bestFit="1" customWidth="1"/>
    <col min="27" max="27" width="2.88671875" bestFit="1" customWidth="1"/>
    <col min="28" max="28" width="2.33203125" bestFit="1" customWidth="1"/>
    <col min="29" max="32" width="3.6640625" bestFit="1" customWidth="1"/>
    <col min="33" max="33" width="5" bestFit="1" customWidth="1"/>
    <col min="34" max="34" width="2.33203125" bestFit="1" customWidth="1"/>
    <col min="35" max="35" width="6.33203125" bestFit="1" customWidth="1"/>
    <col min="36" max="36" width="2.44140625" bestFit="1" customWidth="1"/>
  </cols>
  <sheetData>
    <row r="1" spans="1:36" x14ac:dyDescent="0.3">
      <c r="A1" s="2" t="s">
        <v>71</v>
      </c>
      <c r="B1" s="2" t="s">
        <v>72</v>
      </c>
      <c r="C1" s="2" t="s">
        <v>73</v>
      </c>
      <c r="D1" s="2" t="s">
        <v>23</v>
      </c>
      <c r="E1" s="2" t="s">
        <v>74</v>
      </c>
      <c r="F1" s="2" t="s">
        <v>75</v>
      </c>
      <c r="G1" s="2" t="s">
        <v>16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18</v>
      </c>
      <c r="M1" s="2" t="s">
        <v>20</v>
      </c>
      <c r="N1" s="2" t="s">
        <v>21</v>
      </c>
      <c r="O1" s="2" t="s">
        <v>19</v>
      </c>
      <c r="P1" s="2" t="s">
        <v>22</v>
      </c>
      <c r="Q1" s="2" t="s">
        <v>80</v>
      </c>
      <c r="R1" s="2" t="s">
        <v>81</v>
      </c>
      <c r="S1" s="2" t="s">
        <v>82</v>
      </c>
      <c r="T1" s="2" t="s">
        <v>83</v>
      </c>
      <c r="U1" s="2" t="s">
        <v>84</v>
      </c>
      <c r="V1" s="2" t="s">
        <v>85</v>
      </c>
      <c r="W1" s="2" t="s">
        <v>86</v>
      </c>
      <c r="X1" s="2" t="s">
        <v>87</v>
      </c>
      <c r="Y1" s="2" t="s">
        <v>88</v>
      </c>
      <c r="Z1" s="2" t="s">
        <v>89</v>
      </c>
      <c r="AA1" s="2" t="s">
        <v>90</v>
      </c>
      <c r="AB1" s="2" t="s">
        <v>91</v>
      </c>
      <c r="AC1" s="2" t="s">
        <v>92</v>
      </c>
      <c r="AD1" s="2" t="s">
        <v>93</v>
      </c>
      <c r="AE1" s="2" t="s">
        <v>94</v>
      </c>
      <c r="AF1" s="2" t="s">
        <v>95</v>
      </c>
      <c r="AG1" s="2" t="s">
        <v>96</v>
      </c>
      <c r="AH1" s="2" t="s">
        <v>97</v>
      </c>
      <c r="AI1" s="2" t="s">
        <v>98</v>
      </c>
      <c r="AJ1" s="2" t="s">
        <v>99</v>
      </c>
    </row>
    <row r="2" spans="1:36" x14ac:dyDescent="0.3">
      <c r="A2" s="156" t="s">
        <v>100</v>
      </c>
      <c r="B2" s="157">
        <v>45667</v>
      </c>
      <c r="C2" s="2" t="s">
        <v>30</v>
      </c>
      <c r="D2" s="158" t="s">
        <v>101</v>
      </c>
      <c r="E2" s="2" t="s">
        <v>1</v>
      </c>
      <c r="F2" s="2" t="s">
        <v>102</v>
      </c>
      <c r="G2" s="159">
        <v>0.58620000000000005</v>
      </c>
      <c r="H2" s="140">
        <v>174</v>
      </c>
      <c r="I2" s="140">
        <v>102</v>
      </c>
      <c r="J2" s="140">
        <v>90</v>
      </c>
      <c r="K2" s="140" t="s">
        <v>103</v>
      </c>
      <c r="L2" s="160">
        <v>45983</v>
      </c>
      <c r="M2" s="140">
        <v>0</v>
      </c>
      <c r="N2" s="140">
        <v>2</v>
      </c>
      <c r="O2" s="140">
        <v>4</v>
      </c>
      <c r="P2" s="140" t="s">
        <v>31</v>
      </c>
      <c r="Q2" s="140">
        <v>0</v>
      </c>
      <c r="R2" s="140">
        <v>0</v>
      </c>
      <c r="S2" s="140">
        <v>0</v>
      </c>
      <c r="T2" s="140">
        <v>0</v>
      </c>
      <c r="U2" s="140">
        <v>0</v>
      </c>
      <c r="V2" s="140">
        <v>0</v>
      </c>
      <c r="W2" s="140">
        <v>0</v>
      </c>
      <c r="X2" s="140">
        <v>0</v>
      </c>
      <c r="Y2" s="140">
        <v>0</v>
      </c>
      <c r="Z2" s="140">
        <v>0</v>
      </c>
      <c r="AA2" s="140">
        <v>0</v>
      </c>
      <c r="AB2" s="140">
        <v>0</v>
      </c>
      <c r="AC2" s="140">
        <v>3</v>
      </c>
      <c r="AD2" s="140">
        <v>9</v>
      </c>
      <c r="AE2" s="140">
        <v>0</v>
      </c>
      <c r="AF2" s="140">
        <v>0</v>
      </c>
      <c r="AG2" s="140">
        <v>45</v>
      </c>
      <c r="AH2" s="140">
        <v>0</v>
      </c>
      <c r="AI2" s="140">
        <v>45</v>
      </c>
      <c r="AJ2" s="140">
        <v>0</v>
      </c>
    </row>
    <row r="3" spans="1:36" x14ac:dyDescent="0.3">
      <c r="A3" s="156" t="s">
        <v>100</v>
      </c>
      <c r="B3" s="157">
        <v>45667</v>
      </c>
      <c r="C3" s="2" t="s">
        <v>35</v>
      </c>
      <c r="D3" s="158" t="s">
        <v>106</v>
      </c>
      <c r="E3" s="2" t="s">
        <v>1</v>
      </c>
      <c r="F3" s="2" t="s">
        <v>102</v>
      </c>
      <c r="G3" s="159">
        <v>0.91069999999999995</v>
      </c>
      <c r="H3" s="140">
        <v>168</v>
      </c>
      <c r="I3" s="140">
        <v>153</v>
      </c>
      <c r="J3" s="140">
        <v>135</v>
      </c>
      <c r="K3" s="140" t="s">
        <v>103</v>
      </c>
      <c r="L3" s="160">
        <v>45975</v>
      </c>
      <c r="M3" s="140">
        <v>0</v>
      </c>
      <c r="N3" s="140">
        <v>0</v>
      </c>
      <c r="O3" s="140">
        <v>0</v>
      </c>
      <c r="P3" s="140" t="s">
        <v>36</v>
      </c>
      <c r="Q3" s="140">
        <v>0</v>
      </c>
      <c r="R3" s="140">
        <v>0</v>
      </c>
      <c r="S3" s="140">
        <v>0</v>
      </c>
      <c r="T3" s="140">
        <v>0</v>
      </c>
      <c r="U3" s="140">
        <v>0</v>
      </c>
      <c r="V3" s="140">
        <v>0</v>
      </c>
      <c r="W3" s="140">
        <v>0</v>
      </c>
      <c r="X3" s="140">
        <v>0</v>
      </c>
      <c r="Y3" s="140">
        <v>5</v>
      </c>
      <c r="Z3" s="140">
        <v>0</v>
      </c>
      <c r="AA3" s="140">
        <v>0</v>
      </c>
      <c r="AB3" s="140">
        <v>0</v>
      </c>
      <c r="AC3" s="140">
        <v>3</v>
      </c>
      <c r="AD3" s="140">
        <v>10</v>
      </c>
      <c r="AE3" s="140">
        <v>0</v>
      </c>
      <c r="AF3" s="140">
        <v>0</v>
      </c>
      <c r="AG3" s="140">
        <v>0</v>
      </c>
      <c r="AH3" s="140">
        <v>0</v>
      </c>
      <c r="AI3" s="140">
        <v>135</v>
      </c>
      <c r="AJ3" s="140">
        <v>0</v>
      </c>
    </row>
    <row r="4" spans="1:36" x14ac:dyDescent="0.3">
      <c r="A4" s="156" t="s">
        <v>100</v>
      </c>
      <c r="B4" s="157">
        <v>45667</v>
      </c>
      <c r="C4" s="2" t="s">
        <v>39</v>
      </c>
      <c r="D4" s="158" t="s">
        <v>109</v>
      </c>
      <c r="E4" s="2" t="s">
        <v>1</v>
      </c>
      <c r="F4" s="2" t="s">
        <v>102</v>
      </c>
      <c r="G4" s="159">
        <v>0.88690000000000002</v>
      </c>
      <c r="H4" s="140">
        <v>168</v>
      </c>
      <c r="I4" s="140">
        <v>149</v>
      </c>
      <c r="J4" s="140">
        <v>135</v>
      </c>
      <c r="K4" s="140" t="s">
        <v>103</v>
      </c>
      <c r="L4" s="160">
        <v>45982</v>
      </c>
      <c r="M4" s="140">
        <v>0</v>
      </c>
      <c r="N4" s="140">
        <v>0</v>
      </c>
      <c r="O4" s="140">
        <v>2</v>
      </c>
      <c r="P4" s="140" t="s">
        <v>40</v>
      </c>
      <c r="Q4" s="140">
        <v>0</v>
      </c>
      <c r="R4" s="140">
        <v>0</v>
      </c>
      <c r="S4" s="140">
        <v>0</v>
      </c>
      <c r="T4" s="140">
        <v>0</v>
      </c>
      <c r="U4" s="140">
        <v>0</v>
      </c>
      <c r="V4" s="140">
        <v>0</v>
      </c>
      <c r="W4" s="140">
        <v>0</v>
      </c>
      <c r="X4" s="140">
        <v>0</v>
      </c>
      <c r="Y4" s="140">
        <v>0</v>
      </c>
      <c r="Z4" s="140">
        <v>0</v>
      </c>
      <c r="AA4" s="140">
        <v>0</v>
      </c>
      <c r="AB4" s="140">
        <v>0</v>
      </c>
      <c r="AC4" s="140">
        <v>4</v>
      </c>
      <c r="AD4" s="140">
        <v>10</v>
      </c>
      <c r="AE4" s="140">
        <v>0</v>
      </c>
      <c r="AF4" s="140">
        <v>0</v>
      </c>
      <c r="AG4" s="140">
        <v>0</v>
      </c>
      <c r="AH4" s="140">
        <v>0</v>
      </c>
      <c r="AI4" s="140">
        <v>135</v>
      </c>
      <c r="AJ4" s="140">
        <v>0</v>
      </c>
    </row>
    <row r="5" spans="1:36" x14ac:dyDescent="0.3">
      <c r="A5" s="156" t="s">
        <v>111</v>
      </c>
      <c r="B5" s="157">
        <v>45668</v>
      </c>
      <c r="C5" s="2" t="s">
        <v>43</v>
      </c>
      <c r="D5" s="158" t="s">
        <v>112</v>
      </c>
      <c r="E5" s="2" t="s">
        <v>1</v>
      </c>
      <c r="F5" s="2" t="s">
        <v>102</v>
      </c>
      <c r="G5" s="159">
        <v>0.36309999999999998</v>
      </c>
      <c r="H5" s="140">
        <v>168</v>
      </c>
      <c r="I5" s="140">
        <v>61</v>
      </c>
      <c r="J5" s="140">
        <v>60</v>
      </c>
      <c r="K5" s="140" t="s">
        <v>103</v>
      </c>
      <c r="L5" s="160">
        <v>45982</v>
      </c>
      <c r="M5" s="140">
        <v>0</v>
      </c>
      <c r="N5" s="140">
        <v>0</v>
      </c>
      <c r="O5" s="140">
        <v>2</v>
      </c>
      <c r="P5" s="140" t="s">
        <v>44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Z5" s="140">
        <v>0</v>
      </c>
      <c r="AA5" s="140">
        <v>0</v>
      </c>
      <c r="AB5" s="140">
        <v>0</v>
      </c>
      <c r="AC5" s="140">
        <v>0</v>
      </c>
      <c r="AD5" s="140">
        <v>1</v>
      </c>
      <c r="AE5" s="140">
        <v>0</v>
      </c>
      <c r="AF5" s="140">
        <v>0</v>
      </c>
      <c r="AG5" s="140">
        <v>60</v>
      </c>
      <c r="AH5" s="140">
        <v>0</v>
      </c>
      <c r="AI5" s="140">
        <v>0</v>
      </c>
      <c r="AJ5" s="140">
        <v>0</v>
      </c>
    </row>
    <row r="6" spans="1:36" x14ac:dyDescent="0.3">
      <c r="A6" s="156" t="s">
        <v>111</v>
      </c>
      <c r="B6" s="157">
        <v>45668</v>
      </c>
      <c r="C6" s="2" t="s">
        <v>49</v>
      </c>
      <c r="D6" s="158" t="s">
        <v>106</v>
      </c>
      <c r="E6" s="2" t="s">
        <v>1</v>
      </c>
      <c r="F6" s="2" t="s">
        <v>102</v>
      </c>
      <c r="G6" s="159">
        <v>0.80359999999999998</v>
      </c>
      <c r="H6" s="140">
        <v>168</v>
      </c>
      <c r="I6" s="140">
        <v>135</v>
      </c>
      <c r="J6" s="140">
        <v>135</v>
      </c>
      <c r="K6" s="140" t="s">
        <v>103</v>
      </c>
      <c r="L6" s="160">
        <v>45961</v>
      </c>
      <c r="M6" s="140">
        <v>0</v>
      </c>
      <c r="N6" s="140">
        <v>0</v>
      </c>
      <c r="O6" s="140">
        <v>0</v>
      </c>
      <c r="P6" s="140" t="s">
        <v>36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Z6" s="140">
        <v>0</v>
      </c>
      <c r="AA6" s="140">
        <v>0</v>
      </c>
      <c r="AB6" s="140">
        <v>0</v>
      </c>
      <c r="AC6" s="140">
        <v>0</v>
      </c>
      <c r="AD6" s="140">
        <v>0</v>
      </c>
      <c r="AE6" s="140">
        <v>0</v>
      </c>
      <c r="AF6" s="140">
        <v>0</v>
      </c>
      <c r="AG6" s="140">
        <v>0</v>
      </c>
      <c r="AH6" s="140">
        <v>0</v>
      </c>
      <c r="AI6" s="140">
        <v>135</v>
      </c>
      <c r="AJ6" s="140">
        <v>0</v>
      </c>
    </row>
    <row r="7" spans="1:36" x14ac:dyDescent="0.3">
      <c r="A7" s="156" t="s">
        <v>111</v>
      </c>
      <c r="B7" s="157">
        <v>45668</v>
      </c>
      <c r="C7" s="2" t="s">
        <v>52</v>
      </c>
      <c r="D7" s="158" t="s">
        <v>115</v>
      </c>
      <c r="E7" s="2" t="s">
        <v>1</v>
      </c>
      <c r="F7" s="2" t="s">
        <v>102</v>
      </c>
      <c r="G7" s="159">
        <v>0.88690000000000002</v>
      </c>
      <c r="H7" s="140">
        <v>168</v>
      </c>
      <c r="I7" s="140">
        <v>149</v>
      </c>
      <c r="J7" s="140">
        <v>135</v>
      </c>
      <c r="K7" s="140" t="s">
        <v>103</v>
      </c>
      <c r="L7" s="160">
        <v>45957</v>
      </c>
      <c r="M7" s="140">
        <v>0</v>
      </c>
      <c r="N7" s="140">
        <v>0</v>
      </c>
      <c r="O7" s="140">
        <v>0</v>
      </c>
      <c r="P7" s="140" t="s">
        <v>53</v>
      </c>
      <c r="Q7" s="140">
        <v>0</v>
      </c>
      <c r="R7" s="140">
        <v>0</v>
      </c>
      <c r="S7" s="140">
        <v>0</v>
      </c>
      <c r="T7" s="140">
        <v>0</v>
      </c>
      <c r="U7" s="140">
        <v>0</v>
      </c>
      <c r="V7" s="140">
        <v>0</v>
      </c>
      <c r="W7" s="140">
        <v>0</v>
      </c>
      <c r="X7" s="140">
        <v>0</v>
      </c>
      <c r="Y7" s="140">
        <v>0</v>
      </c>
      <c r="Z7" s="140">
        <v>0</v>
      </c>
      <c r="AA7" s="140">
        <v>0</v>
      </c>
      <c r="AB7" s="140">
        <v>0</v>
      </c>
      <c r="AC7" s="140">
        <v>0</v>
      </c>
      <c r="AD7" s="140">
        <v>0</v>
      </c>
      <c r="AE7" s="140">
        <v>7</v>
      </c>
      <c r="AF7" s="140">
        <v>7</v>
      </c>
      <c r="AG7" s="140">
        <v>0</v>
      </c>
      <c r="AH7" s="140">
        <v>0</v>
      </c>
      <c r="AI7" s="140">
        <v>135</v>
      </c>
      <c r="AJ7" s="140">
        <v>0</v>
      </c>
    </row>
    <row r="8" spans="1:36" x14ac:dyDescent="0.3">
      <c r="A8" s="156" t="s">
        <v>111</v>
      </c>
      <c r="B8" s="157">
        <v>45668</v>
      </c>
      <c r="C8" s="2" t="s">
        <v>35</v>
      </c>
      <c r="D8" s="158" t="s">
        <v>114</v>
      </c>
      <c r="E8" s="2" t="s">
        <v>1</v>
      </c>
      <c r="F8" s="2" t="s">
        <v>102</v>
      </c>
      <c r="G8" s="159">
        <v>0.27379999999999999</v>
      </c>
      <c r="H8" s="140">
        <v>168</v>
      </c>
      <c r="I8" s="140">
        <v>46</v>
      </c>
      <c r="J8" s="140">
        <v>45</v>
      </c>
      <c r="K8" s="140" t="s">
        <v>103</v>
      </c>
      <c r="L8" s="160">
        <v>45978</v>
      </c>
      <c r="M8" s="140">
        <v>0</v>
      </c>
      <c r="N8" s="140">
        <v>0</v>
      </c>
      <c r="O8" s="140">
        <v>1</v>
      </c>
      <c r="P8" s="140" t="s">
        <v>44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Z8" s="140">
        <v>0</v>
      </c>
      <c r="AA8" s="140">
        <v>0</v>
      </c>
      <c r="AB8" s="140">
        <v>0</v>
      </c>
      <c r="AC8" s="140">
        <v>0</v>
      </c>
      <c r="AD8" s="140">
        <v>1</v>
      </c>
      <c r="AE8" s="140">
        <v>0</v>
      </c>
      <c r="AF8" s="140">
        <v>0</v>
      </c>
      <c r="AG8" s="140">
        <v>0</v>
      </c>
      <c r="AH8" s="140">
        <v>0</v>
      </c>
      <c r="AI8" s="140">
        <v>45</v>
      </c>
      <c r="AJ8" s="140">
        <v>0</v>
      </c>
    </row>
    <row r="9" spans="1:36" x14ac:dyDescent="0.3">
      <c r="A9" s="156" t="s">
        <v>111</v>
      </c>
      <c r="B9" s="157">
        <v>45668</v>
      </c>
      <c r="C9" s="2" t="s">
        <v>39</v>
      </c>
      <c r="D9" s="158" t="s">
        <v>118</v>
      </c>
      <c r="E9" s="2" t="s">
        <v>1</v>
      </c>
      <c r="F9" s="2" t="s">
        <v>102</v>
      </c>
      <c r="G9" s="159">
        <v>0.5595</v>
      </c>
      <c r="H9" s="140">
        <v>168</v>
      </c>
      <c r="I9" s="140">
        <v>94</v>
      </c>
      <c r="J9" s="140">
        <v>90</v>
      </c>
      <c r="K9" s="140" t="s">
        <v>103</v>
      </c>
      <c r="L9" s="160">
        <v>45982</v>
      </c>
      <c r="M9" s="140">
        <v>0</v>
      </c>
      <c r="N9" s="140">
        <v>0</v>
      </c>
      <c r="O9" s="140">
        <v>3</v>
      </c>
      <c r="P9" s="140" t="s">
        <v>55</v>
      </c>
      <c r="Q9" s="140">
        <v>0</v>
      </c>
      <c r="R9" s="140">
        <v>0</v>
      </c>
      <c r="S9" s="140">
        <v>0</v>
      </c>
      <c r="T9" s="140">
        <v>0</v>
      </c>
      <c r="U9" s="140">
        <v>0</v>
      </c>
      <c r="V9" s="140">
        <v>0</v>
      </c>
      <c r="W9" s="140">
        <v>0</v>
      </c>
      <c r="X9" s="140">
        <v>0</v>
      </c>
      <c r="Y9" s="140">
        <v>0</v>
      </c>
      <c r="Z9" s="140">
        <v>0</v>
      </c>
      <c r="AA9" s="140">
        <v>0</v>
      </c>
      <c r="AB9" s="140">
        <v>0</v>
      </c>
      <c r="AC9" s="140">
        <v>0</v>
      </c>
      <c r="AD9" s="140">
        <v>4</v>
      </c>
      <c r="AE9" s="140">
        <v>0</v>
      </c>
      <c r="AF9" s="140">
        <v>0</v>
      </c>
      <c r="AG9" s="140">
        <v>90</v>
      </c>
      <c r="AH9" s="140">
        <v>0</v>
      </c>
      <c r="AI9" s="140">
        <v>0</v>
      </c>
      <c r="AJ9" s="140">
        <v>0</v>
      </c>
    </row>
    <row r="10" spans="1:36" x14ac:dyDescent="0.3">
      <c r="A10" s="156" t="s">
        <v>121</v>
      </c>
      <c r="B10" s="157">
        <v>45669</v>
      </c>
      <c r="C10" s="2" t="s">
        <v>52</v>
      </c>
      <c r="D10" s="158" t="s">
        <v>129</v>
      </c>
      <c r="E10" s="2" t="s">
        <v>1</v>
      </c>
      <c r="F10" s="2" t="s">
        <v>102</v>
      </c>
      <c r="G10" s="159">
        <v>0.82740000000000002</v>
      </c>
      <c r="H10" s="140">
        <v>168</v>
      </c>
      <c r="I10" s="140">
        <v>139</v>
      </c>
      <c r="J10" s="140">
        <v>135</v>
      </c>
      <c r="K10" s="140" t="s">
        <v>103</v>
      </c>
      <c r="L10" s="160">
        <v>45974</v>
      </c>
      <c r="M10" s="140">
        <v>0</v>
      </c>
      <c r="N10" s="140">
        <v>0</v>
      </c>
      <c r="O10" s="140">
        <v>0</v>
      </c>
      <c r="P10" s="140" t="s">
        <v>55</v>
      </c>
      <c r="Q10" s="140">
        <v>0</v>
      </c>
      <c r="R10" s="140">
        <v>0</v>
      </c>
      <c r="S10" s="140">
        <v>0</v>
      </c>
      <c r="T10" s="140">
        <v>0</v>
      </c>
      <c r="U10" s="140">
        <v>0</v>
      </c>
      <c r="V10" s="140">
        <v>0</v>
      </c>
      <c r="W10" s="140">
        <v>0</v>
      </c>
      <c r="X10" s="140">
        <v>0</v>
      </c>
      <c r="Y10" s="140">
        <v>0</v>
      </c>
      <c r="Z10" s="140">
        <v>0</v>
      </c>
      <c r="AA10" s="140">
        <v>0</v>
      </c>
      <c r="AB10" s="140">
        <v>0</v>
      </c>
      <c r="AC10" s="140">
        <v>0</v>
      </c>
      <c r="AD10" s="140">
        <v>4</v>
      </c>
      <c r="AE10" s="140">
        <v>0</v>
      </c>
      <c r="AF10" s="140">
        <v>0</v>
      </c>
      <c r="AG10" s="140">
        <v>0</v>
      </c>
      <c r="AH10" s="140">
        <v>0</v>
      </c>
      <c r="AI10" s="140">
        <v>135</v>
      </c>
      <c r="AJ10" s="140">
        <v>0</v>
      </c>
    </row>
    <row r="11" spans="1:36" x14ac:dyDescent="0.3">
      <c r="A11" s="156" t="s">
        <v>121</v>
      </c>
      <c r="B11" s="157">
        <v>45669</v>
      </c>
      <c r="C11" s="2" t="s">
        <v>35</v>
      </c>
      <c r="D11" s="158" t="s">
        <v>127</v>
      </c>
      <c r="E11" s="2" t="s">
        <v>1</v>
      </c>
      <c r="F11" s="2" t="s">
        <v>102</v>
      </c>
      <c r="G11" s="159">
        <v>0.8155</v>
      </c>
      <c r="H11" s="140">
        <v>168</v>
      </c>
      <c r="I11" s="140">
        <v>137</v>
      </c>
      <c r="J11" s="140">
        <v>135</v>
      </c>
      <c r="K11" s="140" t="s">
        <v>103</v>
      </c>
      <c r="L11" s="160">
        <v>45966</v>
      </c>
      <c r="M11" s="140">
        <v>0</v>
      </c>
      <c r="N11" s="140">
        <v>0</v>
      </c>
      <c r="O11" s="140">
        <v>0</v>
      </c>
      <c r="P11" s="140" t="s">
        <v>60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Z11" s="140">
        <v>0</v>
      </c>
      <c r="AA11" s="140">
        <v>0</v>
      </c>
      <c r="AB11" s="140">
        <v>0</v>
      </c>
      <c r="AC11" s="140">
        <v>0</v>
      </c>
      <c r="AD11" s="140">
        <v>2</v>
      </c>
      <c r="AE11" s="140">
        <v>0</v>
      </c>
      <c r="AF11" s="140">
        <v>0</v>
      </c>
      <c r="AG11" s="140">
        <v>0</v>
      </c>
      <c r="AH11" s="140">
        <v>0</v>
      </c>
      <c r="AI11" s="140">
        <v>135</v>
      </c>
      <c r="AJ11" s="140">
        <v>0</v>
      </c>
    </row>
    <row r="12" spans="1:36" x14ac:dyDescent="0.3">
      <c r="A12" s="156" t="s">
        <v>121</v>
      </c>
      <c r="B12" s="157">
        <v>45669</v>
      </c>
      <c r="C12" s="2" t="s">
        <v>39</v>
      </c>
      <c r="D12" s="158" t="s">
        <v>128</v>
      </c>
      <c r="E12" s="2" t="s">
        <v>1</v>
      </c>
      <c r="F12" s="2" t="s">
        <v>102</v>
      </c>
      <c r="G12" s="159">
        <v>0.54759999999999998</v>
      </c>
      <c r="H12" s="140">
        <v>168</v>
      </c>
      <c r="I12" s="140">
        <v>92</v>
      </c>
      <c r="J12" s="140">
        <v>90</v>
      </c>
      <c r="K12" s="140" t="s">
        <v>103</v>
      </c>
      <c r="L12" s="160">
        <v>45969</v>
      </c>
      <c r="M12" s="140">
        <v>0</v>
      </c>
      <c r="N12" s="140">
        <v>0</v>
      </c>
      <c r="O12" s="140">
        <v>0</v>
      </c>
      <c r="P12" s="140" t="s">
        <v>60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Z12" s="140">
        <v>0</v>
      </c>
      <c r="AA12" s="140">
        <v>0</v>
      </c>
      <c r="AB12" s="140">
        <v>0</v>
      </c>
      <c r="AC12" s="140">
        <v>0</v>
      </c>
      <c r="AD12" s="140">
        <v>2</v>
      </c>
      <c r="AE12" s="140">
        <v>0</v>
      </c>
      <c r="AF12" s="140">
        <v>0</v>
      </c>
      <c r="AG12" s="140">
        <v>45</v>
      </c>
      <c r="AH12" s="140">
        <v>0</v>
      </c>
      <c r="AI12" s="140">
        <v>45</v>
      </c>
      <c r="AJ12" s="140">
        <v>0</v>
      </c>
    </row>
    <row r="13" spans="1:36" x14ac:dyDescent="0.3">
      <c r="A13" s="156" t="s">
        <v>121</v>
      </c>
      <c r="B13" s="157">
        <v>45669</v>
      </c>
      <c r="C13" s="2" t="s">
        <v>58</v>
      </c>
      <c r="D13" s="158" t="s">
        <v>122</v>
      </c>
      <c r="E13" s="2" t="s">
        <v>1</v>
      </c>
      <c r="F13" s="2" t="s">
        <v>102</v>
      </c>
      <c r="G13" s="159">
        <v>6.0000000000000001E-3</v>
      </c>
      <c r="H13" s="140">
        <v>168</v>
      </c>
      <c r="I13" s="140">
        <v>1</v>
      </c>
      <c r="J13" s="140">
        <v>0</v>
      </c>
      <c r="K13" s="140" t="s">
        <v>103</v>
      </c>
      <c r="L13" s="160">
        <v>45973</v>
      </c>
      <c r="M13" s="140">
        <v>0</v>
      </c>
      <c r="N13" s="140">
        <v>0</v>
      </c>
      <c r="O13" s="140">
        <v>0</v>
      </c>
      <c r="P13" s="140" t="s">
        <v>44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1</v>
      </c>
      <c r="Y13" s="140">
        <v>0</v>
      </c>
      <c r="Z13" s="140">
        <v>0</v>
      </c>
      <c r="AA13" s="140">
        <v>0</v>
      </c>
      <c r="AB13" s="140">
        <v>0</v>
      </c>
      <c r="AC13" s="140">
        <v>0</v>
      </c>
      <c r="AD13" s="140">
        <v>0</v>
      </c>
      <c r="AE13" s="140">
        <v>3</v>
      </c>
      <c r="AF13" s="140">
        <v>8</v>
      </c>
      <c r="AG13" s="140">
        <v>0</v>
      </c>
      <c r="AH13" s="140">
        <v>0</v>
      </c>
      <c r="AI13" s="140">
        <v>168</v>
      </c>
      <c r="AJ13" s="140">
        <v>0</v>
      </c>
    </row>
    <row r="14" spans="1:36" x14ac:dyDescent="0.3">
      <c r="A14" s="156" t="s">
        <v>130</v>
      </c>
      <c r="B14" s="157">
        <v>45670</v>
      </c>
      <c r="C14" s="2" t="s">
        <v>43</v>
      </c>
      <c r="D14" s="158" t="s">
        <v>135</v>
      </c>
      <c r="E14" s="2" t="s">
        <v>1</v>
      </c>
      <c r="F14" s="2" t="s">
        <v>102</v>
      </c>
      <c r="G14" s="159">
        <v>0.27379999999999999</v>
      </c>
      <c r="H14" s="140">
        <v>168</v>
      </c>
      <c r="I14" s="140">
        <v>46</v>
      </c>
      <c r="J14" s="140">
        <v>45</v>
      </c>
      <c r="K14" s="140" t="s">
        <v>103</v>
      </c>
      <c r="L14" s="160">
        <v>45978</v>
      </c>
      <c r="M14" s="140">
        <v>0</v>
      </c>
      <c r="N14" s="140">
        <v>0</v>
      </c>
      <c r="O14" s="140">
        <v>1</v>
      </c>
      <c r="P14" s="140" t="s">
        <v>44</v>
      </c>
      <c r="Q14" s="140">
        <v>0</v>
      </c>
      <c r="R14" s="140">
        <v>0</v>
      </c>
      <c r="S14" s="140">
        <v>0</v>
      </c>
      <c r="T14" s="140">
        <v>0</v>
      </c>
      <c r="U14" s="140">
        <v>0</v>
      </c>
      <c r="V14" s="140">
        <v>0</v>
      </c>
      <c r="W14" s="140">
        <v>0</v>
      </c>
      <c r="X14" s="140">
        <v>0</v>
      </c>
      <c r="Y14" s="140">
        <v>0</v>
      </c>
      <c r="Z14" s="140">
        <v>0</v>
      </c>
      <c r="AA14" s="140">
        <v>0</v>
      </c>
      <c r="AB14" s="140">
        <v>0</v>
      </c>
      <c r="AC14" s="140">
        <v>0</v>
      </c>
      <c r="AD14" s="140">
        <v>1</v>
      </c>
      <c r="AE14" s="140">
        <v>0</v>
      </c>
      <c r="AF14" s="140">
        <v>0</v>
      </c>
      <c r="AG14" s="140">
        <v>0</v>
      </c>
      <c r="AH14" s="140">
        <v>0</v>
      </c>
      <c r="AI14" s="140">
        <v>45</v>
      </c>
      <c r="AJ14" s="140">
        <v>0</v>
      </c>
    </row>
    <row r="15" spans="1:36" x14ac:dyDescent="0.3">
      <c r="A15" s="156" t="s">
        <v>130</v>
      </c>
      <c r="B15" s="157">
        <v>45670</v>
      </c>
      <c r="C15" s="2" t="s">
        <v>52</v>
      </c>
      <c r="D15" s="158" t="s">
        <v>133</v>
      </c>
      <c r="E15" s="2" t="s">
        <v>1</v>
      </c>
      <c r="F15" s="2" t="s">
        <v>102</v>
      </c>
      <c r="G15" s="159">
        <v>0.28570000000000001</v>
      </c>
      <c r="H15" s="140">
        <v>168</v>
      </c>
      <c r="I15" s="140">
        <v>48</v>
      </c>
      <c r="J15" s="140">
        <v>45</v>
      </c>
      <c r="K15" s="140" t="s">
        <v>103</v>
      </c>
      <c r="L15" s="160">
        <v>45982</v>
      </c>
      <c r="M15" s="140">
        <v>0</v>
      </c>
      <c r="N15" s="140">
        <v>0</v>
      </c>
      <c r="O15" s="140">
        <v>3</v>
      </c>
      <c r="P15" s="140" t="s">
        <v>53</v>
      </c>
      <c r="Q15" s="140">
        <v>0</v>
      </c>
      <c r="R15" s="140">
        <v>0</v>
      </c>
      <c r="S15" s="140">
        <v>0</v>
      </c>
      <c r="T15" s="140">
        <v>0</v>
      </c>
      <c r="U15" s="140">
        <v>0</v>
      </c>
      <c r="V15" s="140">
        <v>0</v>
      </c>
      <c r="W15" s="140">
        <v>0</v>
      </c>
      <c r="X15" s="140">
        <v>0</v>
      </c>
      <c r="Y15" s="140">
        <v>0</v>
      </c>
      <c r="Z15" s="140">
        <v>0</v>
      </c>
      <c r="AA15" s="140">
        <v>0</v>
      </c>
      <c r="AB15" s="140">
        <v>0</v>
      </c>
      <c r="AC15" s="140">
        <v>0</v>
      </c>
      <c r="AD15" s="140">
        <v>3</v>
      </c>
      <c r="AE15" s="140">
        <v>0</v>
      </c>
      <c r="AF15" s="140">
        <v>0</v>
      </c>
      <c r="AG15" s="140">
        <v>0</v>
      </c>
      <c r="AH15" s="140">
        <v>0</v>
      </c>
      <c r="AI15" s="140">
        <v>45</v>
      </c>
      <c r="AJ15" s="140">
        <v>0</v>
      </c>
    </row>
    <row r="16" spans="1:36" x14ac:dyDescent="0.3">
      <c r="A16" s="156" t="s">
        <v>130</v>
      </c>
      <c r="B16" s="157">
        <v>45670</v>
      </c>
      <c r="C16" s="2" t="s">
        <v>65</v>
      </c>
      <c r="D16" s="158" t="s">
        <v>131</v>
      </c>
      <c r="E16" s="2" t="s">
        <v>1</v>
      </c>
      <c r="F16" s="2" t="s">
        <v>102</v>
      </c>
      <c r="G16" s="159">
        <v>1.1900000000000001E-2</v>
      </c>
      <c r="H16" s="140">
        <v>168</v>
      </c>
      <c r="I16" s="140">
        <v>2</v>
      </c>
      <c r="J16" s="140">
        <v>0</v>
      </c>
      <c r="K16" s="140" t="s">
        <v>103</v>
      </c>
      <c r="L16" s="160">
        <v>45950</v>
      </c>
      <c r="M16" s="140">
        <v>0</v>
      </c>
      <c r="N16" s="140">
        <v>0</v>
      </c>
      <c r="O16" s="140">
        <v>0</v>
      </c>
      <c r="P16" s="140" t="s">
        <v>60</v>
      </c>
      <c r="Q16" s="140">
        <v>0</v>
      </c>
      <c r="R16" s="140">
        <v>0</v>
      </c>
      <c r="S16" s="140">
        <v>0</v>
      </c>
      <c r="T16" s="140">
        <v>0</v>
      </c>
      <c r="U16" s="140">
        <v>0</v>
      </c>
      <c r="V16" s="140">
        <v>0</v>
      </c>
      <c r="W16" s="140">
        <v>0</v>
      </c>
      <c r="X16" s="140">
        <v>0</v>
      </c>
      <c r="Y16" s="140">
        <v>0</v>
      </c>
      <c r="Z16" s="140">
        <v>0</v>
      </c>
      <c r="AA16" s="140">
        <v>0</v>
      </c>
      <c r="AB16" s="140">
        <v>0</v>
      </c>
      <c r="AC16" s="140">
        <v>0</v>
      </c>
      <c r="AD16" s="140">
        <v>2</v>
      </c>
      <c r="AE16" s="140">
        <v>0</v>
      </c>
      <c r="AF16" s="140">
        <v>0</v>
      </c>
      <c r="AG16" s="140">
        <v>0</v>
      </c>
      <c r="AH16" s="140">
        <v>0</v>
      </c>
      <c r="AI16" s="140">
        <v>0</v>
      </c>
      <c r="AJ16" s="140">
        <v>0</v>
      </c>
    </row>
    <row r="17" spans="1:36" x14ac:dyDescent="0.3">
      <c r="A17" s="156" t="s">
        <v>130</v>
      </c>
      <c r="B17" s="157">
        <v>45670</v>
      </c>
      <c r="C17" s="2" t="s">
        <v>35</v>
      </c>
      <c r="D17" s="158" t="s">
        <v>136</v>
      </c>
      <c r="E17" s="2" t="s">
        <v>1</v>
      </c>
      <c r="F17" s="2" t="s">
        <v>102</v>
      </c>
      <c r="G17" s="159">
        <v>0.80359999999999998</v>
      </c>
      <c r="H17" s="140">
        <v>168</v>
      </c>
      <c r="I17" s="140">
        <v>135</v>
      </c>
      <c r="J17" s="140">
        <v>135</v>
      </c>
      <c r="K17" s="140" t="s">
        <v>103</v>
      </c>
      <c r="L17" s="160">
        <v>45961</v>
      </c>
      <c r="M17" s="140">
        <v>0</v>
      </c>
      <c r="N17" s="140">
        <v>0</v>
      </c>
      <c r="O17" s="140">
        <v>0</v>
      </c>
      <c r="P17" s="140" t="s">
        <v>44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Z17" s="140">
        <v>0</v>
      </c>
      <c r="AA17" s="140">
        <v>0</v>
      </c>
      <c r="AB17" s="140">
        <v>0</v>
      </c>
      <c r="AC17" s="140">
        <v>0</v>
      </c>
      <c r="AD17" s="140">
        <v>0</v>
      </c>
      <c r="AE17" s="140">
        <v>0</v>
      </c>
      <c r="AF17" s="140">
        <v>0</v>
      </c>
      <c r="AG17" s="140">
        <v>0</v>
      </c>
      <c r="AH17" s="140">
        <v>0</v>
      </c>
      <c r="AI17" s="140">
        <v>135</v>
      </c>
      <c r="AJ17" s="140">
        <v>0</v>
      </c>
    </row>
    <row r="18" spans="1:36" x14ac:dyDescent="0.3">
      <c r="A18" s="156" t="s">
        <v>130</v>
      </c>
      <c r="B18" s="157">
        <v>45670</v>
      </c>
      <c r="C18" s="2" t="s">
        <v>39</v>
      </c>
      <c r="D18" s="158" t="s">
        <v>128</v>
      </c>
      <c r="E18" s="2" t="s">
        <v>1</v>
      </c>
      <c r="F18" s="2" t="s">
        <v>102</v>
      </c>
      <c r="G18" s="159">
        <v>0.82740000000000002</v>
      </c>
      <c r="H18" s="140">
        <v>168</v>
      </c>
      <c r="I18" s="140">
        <v>139</v>
      </c>
      <c r="J18" s="140">
        <v>135</v>
      </c>
      <c r="K18" s="140" t="s">
        <v>103</v>
      </c>
      <c r="L18" s="160">
        <v>45964</v>
      </c>
      <c r="M18" s="140">
        <v>0</v>
      </c>
      <c r="N18" s="140">
        <v>0</v>
      </c>
      <c r="O18" s="140">
        <v>0</v>
      </c>
      <c r="P18" s="140" t="s">
        <v>55</v>
      </c>
      <c r="Q18" s="140">
        <v>0</v>
      </c>
      <c r="R18" s="140">
        <v>0</v>
      </c>
      <c r="S18" s="140">
        <v>0</v>
      </c>
      <c r="T18" s="140">
        <v>0</v>
      </c>
      <c r="U18" s="140">
        <v>0</v>
      </c>
      <c r="V18" s="140">
        <v>0</v>
      </c>
      <c r="W18" s="140">
        <v>0</v>
      </c>
      <c r="X18" s="140">
        <v>0</v>
      </c>
      <c r="Y18" s="140">
        <v>0</v>
      </c>
      <c r="Z18" s="140">
        <v>0</v>
      </c>
      <c r="AA18" s="140">
        <v>0</v>
      </c>
      <c r="AB18" s="140">
        <v>0</v>
      </c>
      <c r="AC18" s="140">
        <v>0</v>
      </c>
      <c r="AD18" s="140">
        <v>4</v>
      </c>
      <c r="AE18" s="140">
        <v>0</v>
      </c>
      <c r="AF18" s="140">
        <v>0</v>
      </c>
      <c r="AG18" s="140">
        <v>0</v>
      </c>
      <c r="AH18" s="140">
        <v>0</v>
      </c>
      <c r="AI18" s="140">
        <v>135</v>
      </c>
      <c r="AJ18" s="140">
        <v>0</v>
      </c>
    </row>
    <row r="19" spans="1:36" x14ac:dyDescent="0.3">
      <c r="A19" s="156" t="s">
        <v>130</v>
      </c>
      <c r="B19" s="157">
        <v>45670</v>
      </c>
      <c r="C19" s="2" t="s">
        <v>58</v>
      </c>
      <c r="D19" s="158" t="s">
        <v>132</v>
      </c>
      <c r="E19" s="2" t="s">
        <v>1</v>
      </c>
      <c r="F19" s="2" t="s">
        <v>102</v>
      </c>
      <c r="G19" s="159">
        <v>0.26790000000000003</v>
      </c>
      <c r="H19" s="140">
        <v>168</v>
      </c>
      <c r="I19" s="140">
        <v>45</v>
      </c>
      <c r="J19" s="140">
        <v>45</v>
      </c>
      <c r="K19" s="140" t="s">
        <v>103</v>
      </c>
      <c r="L19" s="160">
        <v>45969</v>
      </c>
      <c r="M19" s="140">
        <v>0</v>
      </c>
      <c r="N19" s="140">
        <v>0</v>
      </c>
      <c r="O19" s="140">
        <v>0</v>
      </c>
      <c r="P19" s="140" t="s">
        <v>44</v>
      </c>
      <c r="Q19" s="140">
        <v>0</v>
      </c>
      <c r="R19" s="140">
        <v>0</v>
      </c>
      <c r="S19" s="140">
        <v>0</v>
      </c>
      <c r="T19" s="140">
        <v>0</v>
      </c>
      <c r="U19" s="140">
        <v>0</v>
      </c>
      <c r="V19" s="140">
        <v>0</v>
      </c>
      <c r="W19" s="140">
        <v>0</v>
      </c>
      <c r="X19" s="140">
        <v>0</v>
      </c>
      <c r="Y19" s="140">
        <v>0</v>
      </c>
      <c r="Z19" s="140">
        <v>0</v>
      </c>
      <c r="AA19" s="140">
        <v>0</v>
      </c>
      <c r="AB19" s="140">
        <v>0</v>
      </c>
      <c r="AC19" s="140">
        <v>0</v>
      </c>
      <c r="AD19" s="140">
        <v>0</v>
      </c>
      <c r="AE19" s="140">
        <v>0</v>
      </c>
      <c r="AF19" s="140">
        <v>0</v>
      </c>
      <c r="AG19" s="140">
        <v>45</v>
      </c>
      <c r="AH19" s="140">
        <v>0</v>
      </c>
      <c r="AI19" s="140">
        <v>0</v>
      </c>
      <c r="AJ19" s="140">
        <v>0</v>
      </c>
    </row>
    <row r="20" spans="1:36" x14ac:dyDescent="0.3">
      <c r="A20" s="156" t="s">
        <v>137</v>
      </c>
      <c r="B20" s="157">
        <v>45671</v>
      </c>
      <c r="C20" s="2" t="s">
        <v>52</v>
      </c>
      <c r="D20" s="158" t="s">
        <v>139</v>
      </c>
      <c r="E20" s="2" t="s">
        <v>1</v>
      </c>
      <c r="F20" s="2" t="s">
        <v>102</v>
      </c>
      <c r="G20" s="159">
        <v>0.85119999999999996</v>
      </c>
      <c r="H20" s="140">
        <v>168</v>
      </c>
      <c r="I20" s="140">
        <v>143</v>
      </c>
      <c r="J20" s="140">
        <v>135</v>
      </c>
      <c r="K20" s="140" t="s">
        <v>103</v>
      </c>
      <c r="L20" s="160">
        <v>45976</v>
      </c>
      <c r="M20" s="140">
        <v>0</v>
      </c>
      <c r="N20" s="140">
        <v>0</v>
      </c>
      <c r="O20" s="140">
        <v>0</v>
      </c>
      <c r="P20" s="140" t="s">
        <v>66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5</v>
      </c>
      <c r="Z20" s="140">
        <v>0</v>
      </c>
      <c r="AA20" s="140">
        <v>0</v>
      </c>
      <c r="AB20" s="140">
        <v>0</v>
      </c>
      <c r="AC20" s="140">
        <v>7</v>
      </c>
      <c r="AD20" s="140">
        <v>11</v>
      </c>
      <c r="AE20" s="140">
        <v>11</v>
      </c>
      <c r="AF20" s="140">
        <v>10</v>
      </c>
      <c r="AG20" s="140">
        <v>0</v>
      </c>
      <c r="AH20" s="140">
        <v>0</v>
      </c>
      <c r="AI20" s="140">
        <v>135</v>
      </c>
      <c r="AJ20" s="140">
        <v>1</v>
      </c>
    </row>
    <row r="21" spans="1:36" x14ac:dyDescent="0.3">
      <c r="A21" s="156" t="s">
        <v>137</v>
      </c>
      <c r="B21" s="157">
        <v>45671</v>
      </c>
      <c r="C21" s="2" t="s">
        <v>35</v>
      </c>
      <c r="D21" s="158" t="s">
        <v>138</v>
      </c>
      <c r="E21" s="2" t="s">
        <v>1</v>
      </c>
      <c r="F21" s="2" t="s">
        <v>102</v>
      </c>
      <c r="G21" s="159">
        <v>0.27379999999999999</v>
      </c>
      <c r="H21" s="140">
        <v>168</v>
      </c>
      <c r="I21" s="140">
        <v>46</v>
      </c>
      <c r="J21" s="140">
        <v>45</v>
      </c>
      <c r="K21" s="140" t="s">
        <v>103</v>
      </c>
      <c r="L21" s="160">
        <v>45944</v>
      </c>
      <c r="M21" s="140">
        <v>0</v>
      </c>
      <c r="N21" s="140">
        <v>0</v>
      </c>
      <c r="O21" s="140">
        <v>0</v>
      </c>
      <c r="P21" s="140" t="s">
        <v>44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Z21" s="140">
        <v>0</v>
      </c>
      <c r="AA21" s="140">
        <v>0</v>
      </c>
      <c r="AB21" s="140">
        <v>0</v>
      </c>
      <c r="AC21" s="140">
        <v>0</v>
      </c>
      <c r="AD21" s="140">
        <v>1</v>
      </c>
      <c r="AE21" s="140">
        <v>0</v>
      </c>
      <c r="AF21" s="140">
        <v>0</v>
      </c>
      <c r="AG21" s="140">
        <v>0</v>
      </c>
      <c r="AH21" s="140">
        <v>0</v>
      </c>
      <c r="AI21" s="140">
        <v>45</v>
      </c>
      <c r="AJ21" s="140">
        <v>0</v>
      </c>
    </row>
    <row r="22" spans="1:36" ht="15.6" x14ac:dyDescent="0.3">
      <c r="A22" s="161" t="s">
        <v>137</v>
      </c>
      <c r="B22" s="162">
        <v>45671</v>
      </c>
      <c r="C22" s="163" t="s">
        <v>39</v>
      </c>
      <c r="D22" s="164" t="s">
        <v>128</v>
      </c>
      <c r="E22" s="163" t="s">
        <v>1</v>
      </c>
      <c r="F22" s="163" t="s">
        <v>102</v>
      </c>
      <c r="G22" s="165">
        <v>0.5595</v>
      </c>
      <c r="H22" s="166" t="str">
        <f ca="1">SUBTOTAL(109,LF_ALL_ROUTES[CAP])</f>
        <v/>
      </c>
      <c r="I22" s="166" t="str">
        <f ca="1">SUBTOTAL(109,LF_ALL_ROUTES[BKG(Y)])</f>
        <v/>
      </c>
      <c r="J22" s="166" t="str">
        <f ca="1">SUBTOTAL(109,LF_ALL_ROUTES[GRP(Y)])</f>
        <v/>
      </c>
      <c r="K22" s="166" t="s">
        <v>103</v>
      </c>
      <c r="L22" s="167">
        <v>45969</v>
      </c>
      <c r="M22" s="166" t="str">
        <f ca="1">SUBTOTAL(109,LF_ALL_ROUTES[TO-DAY])</f>
        <v/>
      </c>
      <c r="N22" s="166" t="str">
        <f ca="1">SUBTOTAL(109,LF_ALL_ROUTES[Y-DAY])</f>
        <v/>
      </c>
      <c r="O22" s="166" t="str">
        <f ca="1">SUBTOTAL(109,LF_ALL_ROUTES[WEEKLY])</f>
        <v/>
      </c>
      <c r="P22" s="166" t="s">
        <v>55</v>
      </c>
      <c r="Q22" s="166">
        <v>0</v>
      </c>
      <c r="R22" s="166">
        <v>0</v>
      </c>
      <c r="S22" s="166">
        <v>0</v>
      </c>
      <c r="T22" s="166">
        <v>0</v>
      </c>
      <c r="U22" s="166">
        <v>0</v>
      </c>
      <c r="V22" s="166">
        <v>0</v>
      </c>
      <c r="W22" s="166">
        <v>0</v>
      </c>
      <c r="X22" s="166">
        <v>0</v>
      </c>
      <c r="Y22" s="166">
        <v>0</v>
      </c>
      <c r="Z22" s="166">
        <v>0</v>
      </c>
      <c r="AA22" s="166">
        <v>0</v>
      </c>
      <c r="AB22" s="166">
        <v>0</v>
      </c>
      <c r="AC22" s="166">
        <v>0</v>
      </c>
      <c r="AD22" s="166">
        <v>4</v>
      </c>
      <c r="AE22" s="166">
        <v>0</v>
      </c>
      <c r="AF22" s="166">
        <v>0</v>
      </c>
      <c r="AG22" s="166">
        <v>45</v>
      </c>
      <c r="AH22" s="166">
        <v>0</v>
      </c>
      <c r="AI22" s="166">
        <v>45</v>
      </c>
      <c r="AJ22" s="166">
        <v>0</v>
      </c>
    </row>
    <row r="23" spans="1:36" ht="18" x14ac:dyDescent="0.35">
      <c r="A23" s="204" t="s">
        <v>149</v>
      </c>
      <c r="B23" s="205"/>
      <c r="C23" s="204">
        <f>SUBTOTAL(103,LF_ALL_ROUTES[Flt])</f>
        <v>21</v>
      </c>
      <c r="D23" s="204"/>
      <c r="E23" s="204">
        <f>SUBTOTAL(103,LF_ALL_ROUTES[Brd-Off])</f>
        <v>21</v>
      </c>
      <c r="F23" s="204"/>
      <c r="G23" s="206">
        <f>SUBTOTAL(101,LF_ALL_ROUTES[LF%])</f>
        <v>0.55342857142857138</v>
      </c>
      <c r="H23" s="207">
        <f ca="1">SUBTOTAL(109,LF_ALL_ROUTES[CAP])</f>
        <v>0</v>
      </c>
      <c r="I23" s="207">
        <f ca="1">SUBTOTAL(109,LF_ALL_ROUTES[BKG(Y)])</f>
        <v>0</v>
      </c>
      <c r="J23" s="207">
        <f ca="1">SUBTOTAL(109,LF_ALL_ROUTES[GRP(Y)])</f>
        <v>0</v>
      </c>
      <c r="K23" s="204"/>
      <c r="L23" s="205"/>
      <c r="M23" s="207">
        <f ca="1">SUBTOTAL(109,LF_ALL_ROUTES[TO-DAY])</f>
        <v>0</v>
      </c>
      <c r="N23" s="207">
        <f ca="1">SUBTOTAL(109,LF_ALL_ROUTES[Y-DAY])</f>
        <v>0</v>
      </c>
      <c r="O23" s="207">
        <f ca="1">SUBTOTAL(109,LF_ALL_ROUTES[WEEKLY])</f>
        <v>0</v>
      </c>
      <c r="P23" s="207"/>
      <c r="Q23" s="207">
        <f>SUBTOTAL(109,LF_ALL_ROUTES[Y])</f>
        <v>0</v>
      </c>
      <c r="R23" s="207">
        <f>SUBTOTAL(109,LF_ALL_ROUTES[B])</f>
        <v>0</v>
      </c>
      <c r="S23" s="207">
        <f>SUBTOTAL(109,LF_ALL_ROUTES[M])</f>
        <v>0</v>
      </c>
      <c r="T23" s="207">
        <f>SUBTOTAL(109,LF_ALL_ROUTES[H])</f>
        <v>0</v>
      </c>
      <c r="U23" s="207">
        <f>SUBTOTAL(109,LF_ALL_ROUTES[Q])</f>
        <v>0</v>
      </c>
      <c r="V23" s="207">
        <f>SUBTOTAL(109,LF_ALL_ROUTES[K])</f>
        <v>0</v>
      </c>
      <c r="W23" s="207">
        <f>SUBTOTAL(109,LF_ALL_ROUTES[V])</f>
        <v>0</v>
      </c>
      <c r="X23" s="207">
        <f>SUBTOTAL(109,LF_ALL_ROUTES[L])</f>
        <v>1</v>
      </c>
      <c r="Y23" s="207">
        <f>SUBTOTAL(109,LF_ALL_ROUTES[G])</f>
        <v>10</v>
      </c>
      <c r="Z23" s="207">
        <f>SUBTOTAL(109,LF_ALL_ROUTES[S])</f>
        <v>0</v>
      </c>
      <c r="AA23" s="207">
        <f>SUBTOTAL(109,LF_ALL_ROUTES[W])</f>
        <v>0</v>
      </c>
      <c r="AB23" s="207">
        <f>SUBTOTAL(109,LF_ALL_ROUTES[T])</f>
        <v>0</v>
      </c>
      <c r="AC23" s="207">
        <f>SUBTOTAL(109,LF_ALL_ROUTES[X])</f>
        <v>17</v>
      </c>
      <c r="AD23" s="207">
        <f>SUBTOTAL(109,LF_ALL_ROUTES[U])</f>
        <v>69</v>
      </c>
      <c r="AE23" s="207">
        <f>SUBTOTAL(109,LF_ALL_ROUTES[O])</f>
        <v>21</v>
      </c>
      <c r="AF23" s="207">
        <f>SUBTOTAL(109,LF_ALL_ROUTES[I])</f>
        <v>25</v>
      </c>
      <c r="AG23" s="207">
        <f>SUBTOTAL(109,LF_ALL_ROUTES[E])</f>
        <v>330</v>
      </c>
      <c r="AH23" s="207">
        <f>SUBTOTAL(109,LF_ALL_ROUTES[A])</f>
        <v>0</v>
      </c>
      <c r="AI23" s="207">
        <f>SUBTOTAL(109,LF_ALL_ROUTES[P])</f>
        <v>1698</v>
      </c>
      <c r="AJ23" s="207">
        <f>SUBTOTAL(109,LF_ALL_ROUTES[N])</f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JED-CAI</vt:lpstr>
      <vt:lpstr>JED-CAI LF LEGACY</vt:lpstr>
      <vt:lpstr>JED-CAI - FOCUS MODE</vt:lpstr>
      <vt:lpstr>JED-CAI - OAL Threats Alert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2025-11-23T03:32:53Z</dcterms:created>
  <dcterms:modified xsi:type="dcterms:W3CDTF">2025-11-23T03:33:02Z</dcterms:modified>
</cp:coreProperties>
</file>