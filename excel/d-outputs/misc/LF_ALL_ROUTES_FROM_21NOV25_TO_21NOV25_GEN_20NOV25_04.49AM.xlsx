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D911248-2EC4-4B9B-964E-9257F055A0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E9" i="1"/>
  <c r="C9" i="1"/>
  <c r="AJ9" i="1"/>
</calcChain>
</file>

<file path=xl/sharedStrings.xml><?xml version="1.0" encoding="utf-8"?>
<sst xmlns="http://schemas.openxmlformats.org/spreadsheetml/2006/main" count="86" uniqueCount="62">
  <si>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</si>
  <si>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</si>
  <si>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</si>
  <si>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</si>
  <si>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</si>
  <si>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</si>
  <si>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</si>
  <si>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</si>
  <si>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</si>
  <si>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</si>
  <si>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</si>
  <si>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</si>
  <si>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</si>
  <si>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</si>
  <si>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</si>
  <si>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</si>
  <si>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</si>
  <si>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</si>
  <si>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</si>
  <si>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</si>
  <si>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</si>
  <si>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</si>
  <si>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</si>
  <si>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</si>
  <si>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</si>
  <si>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</si>
  <si>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</si>
  <si>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</si>
  <si>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</si>
  <si>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</si>
  <si>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</si>
  <si>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</si>
  <si>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</si>
  <si>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</si>
  <si>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</si>
  <si>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</si>
  <si>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</si>
  <si>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</si>
  <si>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</si>
  <si>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</si>
  <si>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</si>
  <si>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</si>
  <si>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G4</t>
  </si>
  <si>
    <t>SM452</t>
  </si>
  <si>
    <t>10:00</t>
  </si>
  <si>
    <t>JED-HBE</t>
  </si>
  <si>
    <t>H1</t>
  </si>
  <si>
    <t>SM460</t>
  </si>
  <si>
    <t>22:30</t>
  </si>
  <si>
    <t>CLOSED</t>
  </si>
  <si>
    <t>SM472</t>
  </si>
  <si>
    <t>17:40</t>
  </si>
  <si>
    <t>L4</t>
  </si>
  <si>
    <t>SM476</t>
  </si>
  <si>
    <t>07:40</t>
  </si>
  <si>
    <t>V7</t>
  </si>
  <si>
    <t>SM478</t>
  </si>
  <si>
    <t>11:00</t>
  </si>
  <si>
    <t>V9</t>
  </si>
  <si>
    <t>SM480</t>
  </si>
  <si>
    <t>14:45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</si>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</sst>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CF939-582A-4EE1-9333-7E3DA49ECC90}" name="LF_ALL_ROUTES" displayName="LF_ALL_ROUTES" ref="A1:AJ9" totalsRowCount="1" headerRowDxfId="37" totalsRowDxfId="0">
  <autoFilter ref="A1:AJ8" xr:uid="{F9BCF939-582A-4EE1-9333-7E3DA49ECC90}"/>
  <tableColumns count="36">
    <tableColumn id="1" xr3:uid="{9A3F66A1-F632-4D8B-B276-C94AF25AA391}" name="Day" totalsRowLabel="TOTAL" totalsRowDxfId="36"/>
    <tableColumn id="2" xr3:uid="{DC71BB04-88DD-4F7A-9461-AF3B50E44ABC}" name="Flt Dt" dataDxfId="39" totalsRowDxfId="35"/>
    <tableColumn id="3" xr3:uid="{B2547BB3-F3F9-477A-8DC3-2F19AB3832FC}" name="Flt" totalsRowFunction="count" totalsRowDxfId="34"/>
    <tableColumn id="4" xr3:uid="{F5172A3A-BD53-4DF5-A980-38CCEAF56ACB}" name="DEP" totalsRowDxfId="33"/>
    <tableColumn id="5" xr3:uid="{821B6F64-E97D-45F5-9C30-71B23085FAB0}" name="Brd-Off" totalsRowFunction="count" totalsRowDxfId="32"/>
    <tableColumn id="6" xr3:uid="{20CD1A16-E652-41B2-8953-F3B1AD5DDB99}" name="Eqp" totalsRowDxfId="31"/>
    <tableColumn id="7" xr3:uid="{EEB21B38-FD53-47FD-98B4-44F19E682329}" name="LF%" totalsRowFunction="average" totalsRowDxfId="30"/>
    <tableColumn id="8" xr3:uid="{3BCAD37D-CB20-4F0B-BB70-B106A1F70141}" name="CAP" totalsRowDxfId="29"/>
    <tableColumn id="9" xr3:uid="{70479F9D-BCB3-478B-8FE3-99A1D62C02BA}" name="BKG(Y)" totalsRowDxfId="28"/>
    <tableColumn id="10" xr3:uid="{B1C29EE9-681E-4E77-BD70-5CC267DF1A3C}" name="GRP(Y)" totalsRowDxfId="27"/>
    <tableColumn id="11" xr3:uid="{FFB37C0B-91B6-4549-9445-D69E7C6BF71D}" name="FLT ST" totalsRowDxfId="26"/>
    <tableColumn id="12" xr3:uid="{F1016AB4-1119-4552-8297-334B2EC296CD}" name="LST-SOLD" dataDxfId="38" totalsRowDxfId="25"/>
    <tableColumn id="13" xr3:uid="{BED58C66-5948-4744-9FEF-AC151499167F}" name="TO-DAY" totalsRowDxfId="24"/>
    <tableColumn id="14" xr3:uid="{1ED5331F-D2AD-4B43-AEE8-EA439E27AC0B}" name="Y-DAY" totalsRowDxfId="23"/>
    <tableColumn id="15" xr3:uid="{AFC2F3F7-D90F-4D9A-9F9D-B0252BB91527}" name="WEEKLY" totalsRowDxfId="22"/>
    <tableColumn id="16" xr3:uid="{5DDA8679-436D-4E8B-A7FF-C1F37A5D600B}" name="LOWEST AVAIL" totalsRowDxfId="21"/>
    <tableColumn id="17" xr3:uid="{2DCED51C-5A7B-4F72-B4D6-590454E731D8}" name="Y" totalsRowDxfId="20"/>
    <tableColumn id="18" xr3:uid="{37C37117-B6CA-421E-B094-8C708DDC0D8B}" name="B" totalsRowDxfId="19"/>
    <tableColumn id="19" xr3:uid="{55C11255-D949-42F8-994C-49C2E7699C4B}" name="M" totalsRowDxfId="18"/>
    <tableColumn id="20" xr3:uid="{5ED63F10-FC1F-4065-AE22-FA730D316CD7}" name="H" totalsRowDxfId="17"/>
    <tableColumn id="21" xr3:uid="{1D6740D3-9834-4643-B930-5005BB08983C}" name="Q" totalsRowDxfId="16"/>
    <tableColumn id="22" xr3:uid="{DED99740-8FC8-4BC1-A2FF-C46F30CC8DF1}" name="K" totalsRowDxfId="15"/>
    <tableColumn id="23" xr3:uid="{F88E3E77-D124-42A2-85F9-2A1BA0269C58}" name="V" totalsRowDxfId="14"/>
    <tableColumn id="24" xr3:uid="{30FBEE17-24FB-4EC4-A4C7-7998B2B4A5B1}" name="L" totalsRowDxfId="13"/>
    <tableColumn id="25" xr3:uid="{76C0BA8C-4EB6-4199-B462-E56FDF39087F}" name="G" totalsRowDxfId="12"/>
    <tableColumn id="26" xr3:uid="{9EA03B11-5AFA-4639-A9FE-CDCD3A7B59FB}" name="S" totalsRowDxfId="11"/>
    <tableColumn id="27" xr3:uid="{A6A54C69-9D1B-4A86-B0A6-840D7876AC06}" name="W" totalsRowDxfId="10"/>
    <tableColumn id="28" xr3:uid="{CFD0B073-1B71-4F28-92CE-974335E21D49}" name="T" totalsRowDxfId="9"/>
    <tableColumn id="29" xr3:uid="{1A095A6C-ABED-4A5C-8F8F-3E0B60F7C9C1}" name="X" totalsRowDxfId="8"/>
    <tableColumn id="30" xr3:uid="{28BB49E9-59D6-48AA-9F75-4D9F79D161B9}" name="U" totalsRowDxfId="7"/>
    <tableColumn id="31" xr3:uid="{053F003A-1EA3-41C3-A4FD-11BC1B12DBC4}" name="O" totalsRowDxfId="6"/>
    <tableColumn id="32" xr3:uid="{2FFBD7A6-87E2-4D58-BD31-C07602A4B686}" name="I" totalsRowDxfId="5"/>
    <tableColumn id="33" xr3:uid="{6AEEEE47-E900-41F2-9208-EDFCE58FA171}" name="E" totalsRowDxfId="4"/>
    <tableColumn id="34" xr3:uid="{2369F522-81A2-4101-AE57-370238B61E3C}" name="A" totalsRowDxfId="3"/>
    <tableColumn id="35" xr3:uid="{14B56339-E66A-4E66-B564-E9F776A606B3}" name="P" totalsRowDxfId="2"/>
    <tableColumn id="36" xr3:uid="{627D76C0-DE57-47EC-8B38-54311D1D63AE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/>
  </sheetViews>
  <sheetFormatPr defaultRowHeight="14.4" outlineLevelCol="1" x14ac:dyDescent="0.3"/>
  <cols>
    <col min="1" max="1" width="8.664062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45982</v>
      </c>
      <c r="C2" t="s">
        <v>37</v>
      </c>
      <c r="D2" t="s">
        <v>38</v>
      </c>
      <c r="E2" t="s">
        <v>39</v>
      </c>
      <c r="F2" t="s">
        <v>40</v>
      </c>
      <c r="G2">
        <v>0.52510000000000001</v>
      </c>
      <c r="H2">
        <v>179</v>
      </c>
      <c r="I2">
        <v>94</v>
      </c>
      <c r="J2">
        <v>0</v>
      </c>
      <c r="K2" t="s">
        <v>41</v>
      </c>
      <c r="L2" s="2">
        <v>45980</v>
      </c>
      <c r="M2">
        <v>0</v>
      </c>
      <c r="N2">
        <v>4</v>
      </c>
      <c r="O2">
        <v>23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30</v>
      </c>
      <c r="X2">
        <v>21</v>
      </c>
      <c r="Y2">
        <v>18</v>
      </c>
      <c r="Z2">
        <v>16</v>
      </c>
      <c r="AA2">
        <v>5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45982</v>
      </c>
      <c r="C3" t="s">
        <v>43</v>
      </c>
      <c r="D3" t="s">
        <v>44</v>
      </c>
      <c r="E3" t="s">
        <v>45</v>
      </c>
      <c r="F3" t="s">
        <v>40</v>
      </c>
      <c r="G3">
        <v>0.99439999999999995</v>
      </c>
      <c r="H3">
        <v>179</v>
      </c>
      <c r="I3">
        <v>178</v>
      </c>
      <c r="J3">
        <v>83</v>
      </c>
      <c r="K3" t="s">
        <v>41</v>
      </c>
      <c r="L3" s="2">
        <v>45980</v>
      </c>
      <c r="M3">
        <v>0</v>
      </c>
      <c r="N3">
        <v>1</v>
      </c>
      <c r="O3">
        <v>7</v>
      </c>
      <c r="P3" t="s">
        <v>46</v>
      </c>
      <c r="Q3">
        <v>0</v>
      </c>
      <c r="R3">
        <v>0</v>
      </c>
      <c r="S3">
        <v>0</v>
      </c>
      <c r="T3">
        <v>0</v>
      </c>
      <c r="U3">
        <v>5</v>
      </c>
      <c r="V3">
        <v>7</v>
      </c>
      <c r="W3">
        <v>0</v>
      </c>
      <c r="X3">
        <v>3</v>
      </c>
      <c r="Y3">
        <v>18</v>
      </c>
      <c r="Z3">
        <v>13</v>
      </c>
      <c r="AA3">
        <v>14</v>
      </c>
      <c r="AB3">
        <v>17</v>
      </c>
      <c r="AC3">
        <v>17</v>
      </c>
      <c r="AD3">
        <v>0</v>
      </c>
      <c r="AE3">
        <v>0</v>
      </c>
      <c r="AF3">
        <v>0</v>
      </c>
      <c r="AG3">
        <v>0</v>
      </c>
      <c r="AH3">
        <v>0</v>
      </c>
      <c r="AI3">
        <v>84</v>
      </c>
      <c r="AJ3">
        <v>0</v>
      </c>
    </row>
    <row r="4" spans="1:36" x14ac:dyDescent="0.3">
      <c r="A4" t="s">
        <v>36</v>
      </c>
      <c r="B4" s="2">
        <v>45982</v>
      </c>
      <c r="C4" t="s">
        <v>47</v>
      </c>
      <c r="D4" t="s">
        <v>48</v>
      </c>
      <c r="E4" t="s">
        <v>39</v>
      </c>
      <c r="F4" t="s">
        <v>40</v>
      </c>
      <c r="G4">
        <v>1.0115000000000001</v>
      </c>
      <c r="H4">
        <v>174</v>
      </c>
      <c r="I4">
        <v>176</v>
      </c>
      <c r="J4">
        <v>92</v>
      </c>
      <c r="K4" t="s">
        <v>41</v>
      </c>
      <c r="L4" s="2">
        <v>45979</v>
      </c>
      <c r="M4">
        <v>0</v>
      </c>
      <c r="N4">
        <v>0</v>
      </c>
      <c r="O4">
        <v>6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1</v>
      </c>
      <c r="Z4">
        <v>16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0</v>
      </c>
      <c r="AH4">
        <v>0</v>
      </c>
      <c r="AI4">
        <v>92</v>
      </c>
      <c r="AJ4">
        <v>0</v>
      </c>
    </row>
    <row r="5" spans="1:36" x14ac:dyDescent="0.3">
      <c r="A5" t="s">
        <v>36</v>
      </c>
      <c r="B5" s="2">
        <v>45982</v>
      </c>
      <c r="C5" t="s">
        <v>50</v>
      </c>
      <c r="D5" t="s">
        <v>51</v>
      </c>
      <c r="E5" t="s">
        <v>39</v>
      </c>
      <c r="F5" t="s">
        <v>40</v>
      </c>
      <c r="G5">
        <v>0.5363</v>
      </c>
      <c r="H5">
        <v>179</v>
      </c>
      <c r="I5">
        <v>96</v>
      </c>
      <c r="J5">
        <v>0</v>
      </c>
      <c r="K5" t="s">
        <v>41</v>
      </c>
      <c r="L5" s="2">
        <v>45980</v>
      </c>
      <c r="M5">
        <v>0</v>
      </c>
      <c r="N5">
        <v>1</v>
      </c>
      <c r="O5">
        <v>14</v>
      </c>
      <c r="P5" t="s">
        <v>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21</v>
      </c>
      <c r="X5">
        <v>17</v>
      </c>
      <c r="Y5">
        <v>22</v>
      </c>
      <c r="Z5">
        <v>31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45982</v>
      </c>
      <c r="C6" t="s">
        <v>53</v>
      </c>
      <c r="D6" t="s">
        <v>54</v>
      </c>
      <c r="E6" t="s">
        <v>39</v>
      </c>
      <c r="F6" t="s">
        <v>40</v>
      </c>
      <c r="G6">
        <v>0.5978</v>
      </c>
      <c r="H6">
        <v>179</v>
      </c>
      <c r="I6">
        <v>107</v>
      </c>
      <c r="J6">
        <v>1</v>
      </c>
      <c r="K6" t="s">
        <v>41</v>
      </c>
      <c r="L6" s="2">
        <v>45978</v>
      </c>
      <c r="M6">
        <v>0</v>
      </c>
      <c r="N6">
        <v>0</v>
      </c>
      <c r="O6">
        <v>12</v>
      </c>
      <c r="P6" t="s">
        <v>55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30</v>
      </c>
      <c r="X6">
        <v>15</v>
      </c>
      <c r="Y6">
        <v>17</v>
      </c>
      <c r="Z6">
        <v>11</v>
      </c>
      <c r="AA6">
        <v>5</v>
      </c>
      <c r="AB6">
        <v>2</v>
      </c>
      <c r="AC6">
        <v>5</v>
      </c>
      <c r="AD6">
        <v>6</v>
      </c>
      <c r="AE6">
        <v>4</v>
      </c>
      <c r="AF6">
        <v>5</v>
      </c>
      <c r="AG6">
        <v>0</v>
      </c>
      <c r="AH6">
        <v>0</v>
      </c>
      <c r="AI6">
        <v>1</v>
      </c>
      <c r="AJ6">
        <v>0</v>
      </c>
    </row>
    <row r="7" spans="1:36" x14ac:dyDescent="0.3">
      <c r="A7" t="s">
        <v>36</v>
      </c>
      <c r="B7" s="2">
        <v>45982</v>
      </c>
      <c r="C7" t="s">
        <v>56</v>
      </c>
      <c r="D7" t="s">
        <v>57</v>
      </c>
      <c r="E7" t="s">
        <v>39</v>
      </c>
      <c r="F7" t="s">
        <v>40</v>
      </c>
      <c r="G7">
        <v>0.58099999999999996</v>
      </c>
      <c r="H7">
        <v>179</v>
      </c>
      <c r="I7">
        <v>104</v>
      </c>
      <c r="J7">
        <v>0</v>
      </c>
      <c r="K7" t="s">
        <v>41</v>
      </c>
      <c r="L7" s="2">
        <v>45980</v>
      </c>
      <c r="M7">
        <v>0</v>
      </c>
      <c r="N7">
        <v>7</v>
      </c>
      <c r="O7">
        <v>12</v>
      </c>
      <c r="P7" t="s">
        <v>58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23</v>
      </c>
      <c r="Y7">
        <v>24</v>
      </c>
      <c r="Z7">
        <v>32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45982</v>
      </c>
      <c r="C8" t="s">
        <v>59</v>
      </c>
      <c r="D8" t="s">
        <v>60</v>
      </c>
      <c r="E8" t="s">
        <v>39</v>
      </c>
      <c r="F8" t="s">
        <v>40</v>
      </c>
      <c r="G8">
        <v>0.54190000000000005</v>
      </c>
      <c r="H8">
        <v>179</v>
      </c>
      <c r="I8">
        <v>97</v>
      </c>
      <c r="J8">
        <v>0</v>
      </c>
      <c r="K8" t="s">
        <v>41</v>
      </c>
      <c r="L8" s="2">
        <v>45980</v>
      </c>
      <c r="M8">
        <v>0</v>
      </c>
      <c r="N8">
        <v>2</v>
      </c>
      <c r="O8">
        <v>21</v>
      </c>
      <c r="P8" t="s">
        <v>52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</v>
      </c>
      <c r="X8">
        <v>46</v>
      </c>
      <c r="Y8">
        <v>17</v>
      </c>
      <c r="Z8">
        <v>13</v>
      </c>
      <c r="AA8">
        <v>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8" x14ac:dyDescent="0.35">
      <c r="A9" s="3" t="s">
        <v>61</v>
      </c>
      <c r="B9" s="4"/>
      <c r="C9" s="3">
        <f>SUBTOTAL(103,LF_ALL_ROUTES[Flt])</f>
        <v>7</v>
      </c>
      <c r="D9" s="3"/>
      <c r="E9" s="3">
        <f>SUBTOTAL(103,LF_ALL_ROUTES[Brd-Off])</f>
        <v>7</v>
      </c>
      <c r="F9" s="3"/>
      <c r="G9" s="5">
        <f>SUBTOTAL(101,LF_ALL_ROUTES[LF%])</f>
        <v>0.68399999999999994</v>
      </c>
      <c r="H9" s="3"/>
      <c r="I9" s="3"/>
      <c r="J9" s="3"/>
      <c r="K9" s="3"/>
      <c r="L9" s="4"/>
      <c r="M9" s="3"/>
      <c r="N9" s="3"/>
      <c r="O9" s="3"/>
      <c r="P9" s="3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2025-11-20T01:49:24Z</dcterms:created>
  <dcterms:modified xsi:type="dcterms:W3CDTF">2025-11-20T01:49:25Z</dcterms:modified>
</cp:coreProperties>
</file>