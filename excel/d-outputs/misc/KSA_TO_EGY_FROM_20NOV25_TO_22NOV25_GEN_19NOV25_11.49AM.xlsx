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comments10.xml" ContentType="application/vnd.openxmlformats-officedocument.spreadsheetml.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11.xml" ContentType="application/vnd.openxmlformats-officedocument.spreadsheetml.comments+xml"/>
  <Override PartName="/xl/tables/table21.xml" ContentType="application/vnd.openxmlformats-officedocument.spreadsheetml.table+xml"/>
  <Override PartName="/xl/comments12.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comments13.xml" ContentType="application/vnd.openxmlformats-officedocument.spreadsheetml.comments+xml"/>
  <Override PartName="/xl/tables/table24.xml" ContentType="application/vnd.openxmlformats-officedocument.spreadsheetml.table+xml"/>
  <Override PartName="/xl/tables/table25.xml" ContentType="application/vnd.openxmlformats-officedocument.spreadsheetml.table+xml"/>
  <Override PartName="/xl/comments14.xml" ContentType="application/vnd.openxmlformats-officedocument.spreadsheetml.comments+xml"/>
  <Override PartName="/xl/tables/table26.xml" ContentType="application/vnd.openxmlformats-officedocument.spreadsheetml.table+xml"/>
  <Override PartName="/xl/comments15.xml" ContentType="application/vnd.openxmlformats-officedocument.spreadsheetml.comments+xml"/>
  <Override PartName="/xl/tables/table27.xml" ContentType="application/vnd.openxmlformats-officedocument.spreadsheetml.table+xml"/>
  <Override PartName="/xl/tables/table28.xml" ContentType="application/vnd.openxmlformats-officedocument.spreadsheetml.table+xml"/>
  <Override PartName="/xl/comments16.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comments17.xml" ContentType="application/vnd.openxmlformats-officedocument.spreadsheetml.comments+xml"/>
  <Override PartName="/xl/tables/table31.xml" ContentType="application/vnd.openxmlformats-officedocument.spreadsheetml.table+xml"/>
  <Override PartName="/xl/comments18.xml" ContentType="application/vnd.openxmlformats-officedocument.spreadsheetml.comments+xml"/>
  <Override PartName="/xl/tables/table32.xml" ContentType="application/vnd.openxmlformats-officedocument.spreadsheetml.table+xml"/>
  <Override PartName="/xl/tables/table33.xml" ContentType="application/vnd.openxmlformats-officedocument.spreadsheetml.table+xml"/>
  <Override PartName="/xl/comments19.xml" ContentType="application/vnd.openxmlformats-officedocument.spreadsheetml.comments+xml"/>
  <Override PartName="/xl/tables/table34.xml" ContentType="application/vnd.openxmlformats-officedocument.spreadsheetml.table+xml"/>
  <Override PartName="/xl/tables/table35.xml" ContentType="application/vnd.openxmlformats-officedocument.spreadsheetml.table+xml"/>
  <Override PartName="/xl/comments20.xml" ContentType="application/vnd.openxmlformats-officedocument.spreadsheetml.comments+xml"/>
  <Override PartName="/xl/tables/table36.xml" ContentType="application/vnd.openxmlformats-officedocument.spreadsheetml.table+xml"/>
  <Override PartName="/xl/comments21.xml" ContentType="application/vnd.openxmlformats-officedocument.spreadsheetml.comments+xml"/>
  <Override PartName="/xl/tables/table37.xml" ContentType="application/vnd.openxmlformats-officedocument.spreadsheetml.table+xml"/>
  <Override PartName="/xl/tables/table38.xml" ContentType="application/vnd.openxmlformats-officedocument.spreadsheetml.table+xml"/>
  <Override PartName="/xl/comments22.xml" ContentType="application/vnd.openxmlformats-officedocument.spreadsheetml.comments+xml"/>
  <Override PartName="/xl/tables/table39.xml" ContentType="application/vnd.openxmlformats-officedocument.spreadsheetml.table+xml"/>
  <Override PartName="/xl/comments23.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4.xml" ContentType="application/vnd.openxmlformats-officedocument.spreadsheetml.comments+xml"/>
  <Override PartName="/xl/tables/table42.xml" ContentType="application/vnd.openxmlformats-officedocument.spreadsheetml.table+xml"/>
  <Override PartName="/xl/tables/table43.xml" ContentType="application/vnd.openxmlformats-officedocument.spreadsheetml.table+xml"/>
  <Override PartName="/xl/comments25.xml" ContentType="application/vnd.openxmlformats-officedocument.spreadsheetml.comments+xml"/>
  <Override PartName="/xl/tables/table44.xml" ContentType="application/vnd.openxmlformats-officedocument.spreadsheetml.table+xml"/>
  <Override PartName="/xl/comments26.xml" ContentType="application/vnd.openxmlformats-officedocument.spreadsheetml.comments+xml"/>
  <Override PartName="/xl/tables/table45.xml" ContentType="application/vnd.openxmlformats-officedocument.spreadsheetml.table+xml"/>
  <Override PartName="/xl/tables/table46.xml" ContentType="application/vnd.openxmlformats-officedocument.spreadsheetml.table+xml"/>
  <Override PartName="/xl/comments27.xml" ContentType="application/vnd.openxmlformats-officedocument.spreadsheetml.comments+xml"/>
  <Override PartName="/xl/tables/table47.xml" ContentType="application/vnd.openxmlformats-officedocument.spreadsheetml.table+xml"/>
  <Override PartName="/xl/tables/table48.xml" ContentType="application/vnd.openxmlformats-officedocument.spreadsheetml.table+xml"/>
  <Override PartName="/xl/comments28.xml" ContentType="application/vnd.openxmlformats-officedocument.spreadsheetml.comments+xml"/>
  <Override PartName="/xl/tables/table49.xml" ContentType="application/vnd.openxmlformats-officedocument.spreadsheetml.table+xml"/>
  <Override PartName="/xl/comments29.xml" ContentType="application/vnd.openxmlformats-officedocument.spreadsheetml.comments+xml"/>
  <Override PartName="/xl/tables/table5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86FA7B39-BD8C-4A0D-B239-145470151F78}"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CAI - OAL Threats Alert" sheetId="14" r:id="rId14"/>
    <sheet name="JED-HBE" sheetId="15" r:id="rId15"/>
    <sheet name="JED-HBE LF LEGACY" sheetId="16" r:id="rId16"/>
    <sheet name="JED-HBE - FOCUS MODE" sheetId="17" r:id="rId17"/>
    <sheet name="JED-ATZ" sheetId="18" r:id="rId18"/>
    <sheet name="JED-ATZ LF LEGACY" sheetId="19" r:id="rId19"/>
    <sheet name="JED-ATZ - FOCUS MODE" sheetId="20" r:id="rId20"/>
    <sheet name="JED-LXR" sheetId="21" r:id="rId21"/>
    <sheet name="JED-LXR LF LEGACY" sheetId="22" r:id="rId22"/>
    <sheet name="JED-LXR - FOCUS MODE" sheetId="23" r:id="rId23"/>
    <sheet name="JED-ASW" sheetId="24" r:id="rId24"/>
    <sheet name="JED-ASW LF LEGACY" sheetId="25" r:id="rId25"/>
    <sheet name="JED-ASW - FOCUS MODE" sheetId="26" r:id="rId26"/>
    <sheet name="JED-SSH" sheetId="27" r:id="rId27"/>
    <sheet name="JED-SSH LF LEGACY" sheetId="28" r:id="rId28"/>
    <sheet name="JED-SSH - FOCUS MODE" sheetId="29" r:id="rId29"/>
    <sheet name="JED-HRG" sheetId="30" r:id="rId30"/>
    <sheet name="JED-HRG LF LEGACY" sheetId="31" r:id="rId31"/>
    <sheet name="JED-HRG - FOCUS MODE" sheetId="32" r:id="rId32"/>
    <sheet name="RUH-CAI" sheetId="33" r:id="rId33"/>
    <sheet name="RUH-CAI LF LEGACY" sheetId="34" r:id="rId34"/>
    <sheet name="RUH-CAI - FOCUS MODE" sheetId="35" r:id="rId35"/>
    <sheet name="RUH-CAI - OAL Threats Alert" sheetId="36" r:id="rId36"/>
    <sheet name="RUH-ATZ" sheetId="37" r:id="rId37"/>
    <sheet name="RUH-ATZ LF LEGACY" sheetId="38" r:id="rId38"/>
    <sheet name="RUH-ATZ - FOCUS MODE" sheetId="39" r:id="rId39"/>
    <sheet name="DMM-CAI" sheetId="40" r:id="rId40"/>
    <sheet name="DMM-CAI LF LEGACY" sheetId="41" r:id="rId41"/>
    <sheet name="DMM-CAI - FOCUS MODE" sheetId="42" r:id="rId42"/>
    <sheet name="DMM-CAI - OAL Threats Alert" sheetId="43" r:id="rId43"/>
    <sheet name="DMM-ATZ" sheetId="44" r:id="rId44"/>
    <sheet name="DMM-ATZ LF LEGACY" sheetId="45" r:id="rId45"/>
    <sheet name="DMM-ATZ - FOCUS MODE" sheetId="46" r:id="rId46"/>
    <sheet name="TUU-CAI" sheetId="47" r:id="rId47"/>
    <sheet name="TUU-CAI LF LEGACY" sheetId="48" r:id="rId48"/>
    <sheet name="TUU-CAI - FOCUS MODE" sheetId="49" r:id="rId49"/>
    <sheet name="TUU-CAI - OAL Threats Alert" sheetId="50" r:id="rId50"/>
    <sheet name="TUU-ATZ" sheetId="51" r:id="rId51"/>
    <sheet name="TUU-ATZ LF LEGACY" sheetId="52" r:id="rId52"/>
    <sheet name="TUU-ATZ - FOCUS MODE" sheetId="53" r:id="rId53"/>
    <sheet name="AJF-CAI" sheetId="54" r:id="rId54"/>
    <sheet name="AJF-CAI LF LEGACY" sheetId="55" r:id="rId55"/>
    <sheet name="AJF-CAI - FOCUS MODE" sheetId="56" r:id="rId56"/>
    <sheet name="AJF-CAI - OAL Threats Alert" sheetId="57" r:id="rId57"/>
    <sheet name="AJF-ATZ" sheetId="58" r:id="rId58"/>
    <sheet name="AJF-ATZ LF LEGACY" sheetId="59" r:id="rId59"/>
    <sheet name="AJF-ATZ - FOCUS MODE" sheetId="60" r:id="rId60"/>
    <sheet name="YNB-CAI" sheetId="61" r:id="rId61"/>
    <sheet name="YNB-CAI LF LEGACY" sheetId="62" r:id="rId62"/>
    <sheet name="YNB-CAI - FOCUS MODE" sheetId="63" r:id="rId63"/>
    <sheet name="YNB-CAI - OAL Threats Alert" sheetId="64" r:id="rId64"/>
    <sheet name="AHB-CAI" sheetId="65" r:id="rId65"/>
    <sheet name="AHB-CAI LF LEGACY" sheetId="66" r:id="rId66"/>
    <sheet name="AHB-CAI - FOCUS MODE" sheetId="67" r:id="rId67"/>
    <sheet name="AHB-CAI - OAL Threats Alert" sheetId="68" r:id="rId68"/>
    <sheet name="AHB-ATZ" sheetId="69" r:id="rId69"/>
    <sheet name="AHB-ATZ LF LEGACY" sheetId="70" r:id="rId70"/>
    <sheet name="AHB-ATZ - FOCUS MODE" sheetId="71" r:id="rId71"/>
    <sheet name="ELQ-CAI" sheetId="72" r:id="rId72"/>
    <sheet name="ELQ-CAI LF LEGACY" sheetId="73" r:id="rId73"/>
    <sheet name="ELQ-CAI - FOCUS MODE" sheetId="74" r:id="rId74"/>
    <sheet name="ELQ-CAI - OAL Threats Alert" sheetId="75" r:id="rId75"/>
    <sheet name="ELQ-ATZ" sheetId="76" r:id="rId76"/>
    <sheet name="ELQ-ATZ LF LEGACY" sheetId="77" r:id="rId77"/>
    <sheet name="ELQ-ATZ - FOCUS MODE" sheetId="78" r:id="rId78"/>
    <sheet name="GIZ-CAI" sheetId="79" r:id="rId79"/>
    <sheet name="GIZ-CAI LF LEGACY" sheetId="80" r:id="rId80"/>
    <sheet name="GIZ-CAI - FOCUS MODE" sheetId="81" r:id="rId81"/>
    <sheet name="GIZ-CAI - OAL Threats Alert" sheetId="82" r:id="rId82"/>
    <sheet name="KSA_TO_EGY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80" l="1"/>
  <c r="E3" i="80"/>
  <c r="G3" i="80"/>
  <c r="H3" i="80"/>
  <c r="I3" i="80"/>
  <c r="J3" i="80"/>
  <c r="M3" i="80"/>
  <c r="N3" i="80"/>
  <c r="O3" i="80"/>
  <c r="Q3" i="80"/>
  <c r="R3" i="80"/>
  <c r="S3" i="80"/>
  <c r="T3" i="80"/>
  <c r="U3" i="80"/>
  <c r="V3" i="80"/>
  <c r="W3" i="80"/>
  <c r="X3" i="80"/>
  <c r="Y3" i="80"/>
  <c r="Z3" i="80"/>
  <c r="AA3" i="80"/>
  <c r="AB3" i="80"/>
  <c r="AC3" i="80"/>
  <c r="AD3" i="80"/>
  <c r="AE3" i="80"/>
  <c r="AF3" i="80"/>
  <c r="AG3" i="80"/>
  <c r="AH3" i="80"/>
  <c r="AI3" i="80"/>
  <c r="AJ3" i="80"/>
  <c r="C3" i="77"/>
  <c r="E3" i="77"/>
  <c r="G3" i="77"/>
  <c r="H3" i="77"/>
  <c r="I3" i="77"/>
  <c r="J3" i="77"/>
  <c r="M3" i="77"/>
  <c r="N3" i="77"/>
  <c r="O3" i="77"/>
  <c r="Q3" i="77"/>
  <c r="R3" i="77"/>
  <c r="S3" i="77"/>
  <c r="T3" i="77"/>
  <c r="U3" i="77"/>
  <c r="V3" i="77"/>
  <c r="W3" i="77"/>
  <c r="X3" i="77"/>
  <c r="Y3" i="77"/>
  <c r="Z3" i="77"/>
  <c r="AA3" i="77"/>
  <c r="AB3" i="77"/>
  <c r="AC3" i="77"/>
  <c r="AD3" i="77"/>
  <c r="AE3" i="77"/>
  <c r="AF3" i="77"/>
  <c r="AG3" i="77"/>
  <c r="AH3" i="77"/>
  <c r="AI3" i="77"/>
  <c r="AJ3" i="77"/>
  <c r="C4" i="73"/>
  <c r="E4" i="73"/>
  <c r="G4" i="73"/>
  <c r="H4" i="73"/>
  <c r="I4" i="73"/>
  <c r="J4" i="73"/>
  <c r="M4" i="73"/>
  <c r="N4" i="73"/>
  <c r="O4" i="73"/>
  <c r="Q4" i="73"/>
  <c r="R4" i="73"/>
  <c r="S4" i="73"/>
  <c r="T4" i="73"/>
  <c r="U4" i="73"/>
  <c r="V4" i="73"/>
  <c r="W4" i="73"/>
  <c r="X4" i="73"/>
  <c r="Y4" i="73"/>
  <c r="Z4" i="73"/>
  <c r="AA4" i="73"/>
  <c r="AB4" i="73"/>
  <c r="AC4" i="73"/>
  <c r="AD4" i="73"/>
  <c r="AE4" i="73"/>
  <c r="AF4" i="73"/>
  <c r="AG4" i="73"/>
  <c r="AH4" i="73"/>
  <c r="AI4" i="73"/>
  <c r="AJ4" i="73"/>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4" i="66"/>
  <c r="E4" i="66"/>
  <c r="G4" i="66"/>
  <c r="H4" i="66"/>
  <c r="I4" i="66"/>
  <c r="J4" i="66"/>
  <c r="M4" i="66"/>
  <c r="N4" i="66"/>
  <c r="O4" i="66"/>
  <c r="Q4" i="66"/>
  <c r="R4" i="66"/>
  <c r="S4" i="66"/>
  <c r="T4" i="66"/>
  <c r="U4" i="66"/>
  <c r="V4" i="66"/>
  <c r="W4" i="66"/>
  <c r="X4" i="66"/>
  <c r="Y4" i="66"/>
  <c r="Z4" i="66"/>
  <c r="AA4" i="66"/>
  <c r="AB4" i="66"/>
  <c r="AC4" i="66"/>
  <c r="AD4" i="66"/>
  <c r="AE4" i="66"/>
  <c r="AF4" i="66"/>
  <c r="AG4" i="66"/>
  <c r="AH4" i="66"/>
  <c r="AI4" i="66"/>
  <c r="AJ4" i="66"/>
  <c r="C5" i="62"/>
  <c r="E5" i="62"/>
  <c r="G5" i="62"/>
  <c r="H5" i="62"/>
  <c r="I5" i="62"/>
  <c r="J5" i="62"/>
  <c r="M5" i="62"/>
  <c r="N5" i="62"/>
  <c r="O5" i="62"/>
  <c r="Q5" i="62"/>
  <c r="R5" i="62"/>
  <c r="S5" i="62"/>
  <c r="T5" i="62"/>
  <c r="U5" i="62"/>
  <c r="V5" i="62"/>
  <c r="W5" i="62"/>
  <c r="X5" i="62"/>
  <c r="Y5" i="62"/>
  <c r="Z5" i="62"/>
  <c r="AA5" i="62"/>
  <c r="AB5" i="62"/>
  <c r="AC5" i="62"/>
  <c r="AD5" i="62"/>
  <c r="AE5" i="62"/>
  <c r="AF5" i="62"/>
  <c r="AG5" i="62"/>
  <c r="AH5" i="62"/>
  <c r="AI5" i="62"/>
  <c r="AJ5" i="62"/>
  <c r="C3" i="59"/>
  <c r="E3" i="59"/>
  <c r="G3" i="59"/>
  <c r="H3" i="59"/>
  <c r="I3" i="59"/>
  <c r="J3" i="59"/>
  <c r="M3" i="59"/>
  <c r="N3" i="59"/>
  <c r="O3" i="59"/>
  <c r="Q3" i="59"/>
  <c r="R3" i="59"/>
  <c r="S3" i="59"/>
  <c r="T3" i="59"/>
  <c r="U3" i="59"/>
  <c r="V3" i="59"/>
  <c r="W3" i="59"/>
  <c r="X3" i="59"/>
  <c r="Y3" i="59"/>
  <c r="Z3" i="59"/>
  <c r="AA3" i="59"/>
  <c r="AB3" i="59"/>
  <c r="AC3" i="59"/>
  <c r="AD3" i="59"/>
  <c r="AE3" i="59"/>
  <c r="AF3" i="59"/>
  <c r="AG3" i="59"/>
  <c r="AH3" i="59"/>
  <c r="AI3" i="59"/>
  <c r="AJ3" i="59"/>
  <c r="C4" i="55"/>
  <c r="E4" i="55"/>
  <c r="G4" i="55"/>
  <c r="H4" i="55"/>
  <c r="I4" i="55"/>
  <c r="J4" i="55"/>
  <c r="M4" i="55"/>
  <c r="N4" i="55"/>
  <c r="O4" i="55"/>
  <c r="Q4" i="55"/>
  <c r="R4" i="55"/>
  <c r="S4" i="55"/>
  <c r="T4" i="55"/>
  <c r="U4" i="55"/>
  <c r="V4" i="55"/>
  <c r="W4" i="55"/>
  <c r="X4" i="55"/>
  <c r="Y4" i="55"/>
  <c r="Z4" i="55"/>
  <c r="AA4" i="55"/>
  <c r="AB4" i="55"/>
  <c r="AC4" i="55"/>
  <c r="AD4" i="55"/>
  <c r="AE4" i="55"/>
  <c r="AF4" i="55"/>
  <c r="AG4" i="55"/>
  <c r="AH4" i="55"/>
  <c r="AI4" i="55"/>
  <c r="AJ4" i="55"/>
  <c r="C3" i="52"/>
  <c r="E3" i="52"/>
  <c r="G3" i="52"/>
  <c r="H3" i="52"/>
  <c r="I3" i="52"/>
  <c r="J3" i="52"/>
  <c r="M3" i="52"/>
  <c r="N3" i="52"/>
  <c r="O3" i="52"/>
  <c r="Q3" i="52"/>
  <c r="R3" i="52"/>
  <c r="S3" i="52"/>
  <c r="T3" i="52"/>
  <c r="U3" i="52"/>
  <c r="V3" i="52"/>
  <c r="W3" i="52"/>
  <c r="X3" i="52"/>
  <c r="Y3" i="52"/>
  <c r="Z3" i="52"/>
  <c r="AA3" i="52"/>
  <c r="AB3" i="52"/>
  <c r="AC3" i="52"/>
  <c r="AD3" i="52"/>
  <c r="AE3" i="52"/>
  <c r="AF3" i="52"/>
  <c r="AG3" i="52"/>
  <c r="AH3" i="52"/>
  <c r="AI3" i="52"/>
  <c r="AJ3" i="52"/>
  <c r="C4" i="48"/>
  <c r="E4" i="48"/>
  <c r="G4" i="48"/>
  <c r="H4" i="48"/>
  <c r="I4" i="48"/>
  <c r="J4" i="48"/>
  <c r="M4" i="48"/>
  <c r="N4" i="48"/>
  <c r="O4" i="48"/>
  <c r="Q4" i="48"/>
  <c r="R4" i="48"/>
  <c r="S4" i="48"/>
  <c r="T4" i="48"/>
  <c r="U4" i="48"/>
  <c r="V4" i="48"/>
  <c r="W4" i="48"/>
  <c r="X4" i="48"/>
  <c r="Y4" i="48"/>
  <c r="Z4" i="48"/>
  <c r="AA4" i="48"/>
  <c r="AB4" i="48"/>
  <c r="AC4" i="48"/>
  <c r="AD4" i="48"/>
  <c r="AE4" i="48"/>
  <c r="AF4" i="48"/>
  <c r="AG4" i="48"/>
  <c r="AH4" i="48"/>
  <c r="AI4" i="48"/>
  <c r="AJ4" i="48"/>
  <c r="C3" i="45"/>
  <c r="E3" i="45"/>
  <c r="G3" i="45"/>
  <c r="H3" i="45"/>
  <c r="I3" i="45"/>
  <c r="J3" i="45"/>
  <c r="M3" i="45"/>
  <c r="N3" i="45"/>
  <c r="O3" i="45"/>
  <c r="Q3" i="45"/>
  <c r="R3" i="45"/>
  <c r="S3" i="45"/>
  <c r="T3" i="45"/>
  <c r="U3" i="45"/>
  <c r="V3" i="45"/>
  <c r="W3" i="45"/>
  <c r="X3" i="45"/>
  <c r="Y3" i="45"/>
  <c r="Z3" i="45"/>
  <c r="AA3" i="45"/>
  <c r="AB3" i="45"/>
  <c r="AC3" i="45"/>
  <c r="AD3" i="45"/>
  <c r="AE3" i="45"/>
  <c r="AF3" i="45"/>
  <c r="AG3" i="45"/>
  <c r="AH3" i="45"/>
  <c r="AI3" i="45"/>
  <c r="AJ3" i="45"/>
  <c r="C5" i="41"/>
  <c r="E5" i="41"/>
  <c r="G5" i="41"/>
  <c r="H5" i="41"/>
  <c r="I5" i="41"/>
  <c r="J5" i="41"/>
  <c r="M5" i="41"/>
  <c r="N5" i="41"/>
  <c r="O5" i="41"/>
  <c r="Q5" i="41"/>
  <c r="R5" i="41"/>
  <c r="S5" i="41"/>
  <c r="T5" i="41"/>
  <c r="U5" i="41"/>
  <c r="V5" i="41"/>
  <c r="W5" i="41"/>
  <c r="X5" i="41"/>
  <c r="Y5" i="41"/>
  <c r="Z5" i="41"/>
  <c r="AA5" i="41"/>
  <c r="AB5" i="41"/>
  <c r="AC5" i="41"/>
  <c r="AD5" i="41"/>
  <c r="AE5" i="41"/>
  <c r="AF5" i="41"/>
  <c r="AG5" i="41"/>
  <c r="AH5" i="41"/>
  <c r="AI5" i="41"/>
  <c r="AJ5" i="41"/>
  <c r="C6" i="34"/>
  <c r="E6" i="34"/>
  <c r="G6" i="34"/>
  <c r="H6" i="34"/>
  <c r="I6" i="34"/>
  <c r="J6" i="34"/>
  <c r="M6" i="34"/>
  <c r="N6" i="34"/>
  <c r="O6" i="34"/>
  <c r="Q6" i="34"/>
  <c r="R6" i="34"/>
  <c r="S6" i="34"/>
  <c r="T6" i="34"/>
  <c r="U6" i="34"/>
  <c r="V6" i="34"/>
  <c r="W6" i="34"/>
  <c r="X6" i="34"/>
  <c r="Y6" i="34"/>
  <c r="Z6" i="34"/>
  <c r="AA6" i="34"/>
  <c r="AB6" i="34"/>
  <c r="AC6" i="34"/>
  <c r="AD6" i="34"/>
  <c r="AE6" i="34"/>
  <c r="AF6" i="34"/>
  <c r="AG6" i="34"/>
  <c r="AH6" i="34"/>
  <c r="AI6" i="34"/>
  <c r="AJ6" i="34"/>
  <c r="C8" i="19"/>
  <c r="E8" i="19"/>
  <c r="G8" i="19"/>
  <c r="H8" i="19"/>
  <c r="I8" i="19"/>
  <c r="J8" i="19"/>
  <c r="M8" i="19"/>
  <c r="N8" i="19"/>
  <c r="O8" i="19"/>
  <c r="Q8" i="19"/>
  <c r="R8" i="19"/>
  <c r="S8" i="19"/>
  <c r="T8" i="19"/>
  <c r="U8" i="19"/>
  <c r="V8" i="19"/>
  <c r="W8" i="19"/>
  <c r="X8" i="19"/>
  <c r="Y8" i="19"/>
  <c r="Z8" i="19"/>
  <c r="AA8" i="19"/>
  <c r="AB8" i="19"/>
  <c r="AC8" i="19"/>
  <c r="AD8" i="19"/>
  <c r="AE8" i="19"/>
  <c r="AF8" i="19"/>
  <c r="AG8" i="19"/>
  <c r="AH8" i="19"/>
  <c r="AI8" i="19"/>
  <c r="AJ8" i="19"/>
  <c r="C6" i="16"/>
  <c r="E6" i="16"/>
  <c r="G6" i="16"/>
  <c r="H6" i="16"/>
  <c r="I6" i="16"/>
  <c r="J6" i="16"/>
  <c r="M6" i="16"/>
  <c r="N6" i="16"/>
  <c r="O6" i="16"/>
  <c r="Q6" i="16"/>
  <c r="R6" i="16"/>
  <c r="S6" i="16"/>
  <c r="T6" i="16"/>
  <c r="U6" i="16"/>
  <c r="V6" i="16"/>
  <c r="W6" i="16"/>
  <c r="X6" i="16"/>
  <c r="Y6" i="16"/>
  <c r="Z6" i="16"/>
  <c r="AA6" i="16"/>
  <c r="AB6" i="16"/>
  <c r="AC6" i="16"/>
  <c r="AD6" i="16"/>
  <c r="AE6" i="16"/>
  <c r="AF6" i="16"/>
  <c r="AG6" i="16"/>
  <c r="AH6" i="16"/>
  <c r="AI6" i="16"/>
  <c r="AJ6" i="16"/>
  <c r="C18" i="12"/>
  <c r="E18" i="12"/>
  <c r="G18" i="12"/>
  <c r="H18" i="12"/>
  <c r="I18" i="12"/>
  <c r="J18" i="12"/>
  <c r="M18" i="12"/>
  <c r="N18" i="12"/>
  <c r="O18" i="12"/>
  <c r="Q18" i="12"/>
  <c r="R18" i="12"/>
  <c r="S18" i="12"/>
  <c r="T18" i="12"/>
  <c r="U18" i="12"/>
  <c r="V18" i="12"/>
  <c r="W18" i="12"/>
  <c r="X18" i="12"/>
  <c r="Y18" i="12"/>
  <c r="Z18" i="12"/>
  <c r="AA18" i="12"/>
  <c r="AB18" i="12"/>
  <c r="AC18" i="12"/>
  <c r="AD18" i="12"/>
  <c r="AE18" i="12"/>
  <c r="AF18" i="12"/>
  <c r="AG18" i="12"/>
  <c r="AH18" i="12"/>
  <c r="AI18" i="12"/>
  <c r="AJ18" i="12"/>
  <c r="C3" i="9"/>
  <c r="E3" i="9"/>
  <c r="G3" i="9"/>
  <c r="H3" i="9"/>
  <c r="I3" i="9"/>
  <c r="J3" i="9"/>
  <c r="M3" i="9"/>
  <c r="N3" i="9"/>
  <c r="O3" i="9"/>
  <c r="Q3" i="9"/>
  <c r="R3" i="9"/>
  <c r="S3" i="9"/>
  <c r="T3" i="9"/>
  <c r="U3" i="9"/>
  <c r="V3" i="9"/>
  <c r="W3" i="9"/>
  <c r="X3" i="9"/>
  <c r="Y3" i="9"/>
  <c r="Z3" i="9"/>
  <c r="AA3" i="9"/>
  <c r="AB3" i="9"/>
  <c r="AC3" i="9"/>
  <c r="AD3" i="9"/>
  <c r="AE3" i="9"/>
  <c r="AF3" i="9"/>
  <c r="AG3" i="9"/>
  <c r="AH3" i="9"/>
  <c r="AI3" i="9"/>
  <c r="AJ3" i="9"/>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3" authorId="0" shapeId="0" xr:uid="{BFCDCC37-A896-4FBA-8B9D-8301FB69F97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F55" authorId="0" shapeId="0" xr:uid="{22B47C59-1FDF-4B6D-869F-682F19B20113}">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31A7E60-74A1-43D8-A26B-C533D0E49F8F}">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F20" authorId="0" shapeId="0" xr:uid="{60C43AF2-7E42-4C9E-BB9E-E6595DA363A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E3FDCA32-04F6-46A3-859E-946812A64B28}">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L13 &amp; G4 &amp; S5 &amp; X4 &amp; U9 &amp; O10 &amp; I5 &amp; P110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8CFF7F25-06D8-460D-B034-C036E81DF281}">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0A130E12-006E-4F87-BA5B-C5DCB5755B0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87.2%]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S21 &amp; W31 &amp; E69 &amp; P1 &amp; N2</t>
        </r>
      </text>
    </comment>
    <comment ref="F19" authorId="0" shapeId="0" xr:uid="{69C45D67-0368-468A-B3BA-C7D669D21C7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20" authorId="0" shapeId="0" xr:uid="{EB3A31B6-CBEF-4357-8EE8-F27E9AD930A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21" authorId="0" shapeId="0" xr:uid="{961A3FB8-BAD0-4054-BA8A-4D3F16C7658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22" authorId="0" shapeId="0" xr:uid="{4116BEFC-765A-4051-98D8-CA3DA337433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25" authorId="0" shapeId="0" xr:uid="{A829EBFA-56BB-47A7-BFE0-BA314639CE2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31" authorId="0" shapeId="0" xr:uid="{4F775760-EA72-4A74-AB6C-F0523AA066C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52" authorId="0" shapeId="0" xr:uid="{299853B8-60D4-43F5-982C-8F2CE77B97B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53" authorId="0" shapeId="0" xr:uid="{79AE55F3-253C-4782-9399-C02B0202B24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54" authorId="0" shapeId="0" xr:uid="{819CEA35-1C02-41FC-B1C6-E7B9690DA93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55" authorId="0" shapeId="0" xr:uid="{022E8A17-66E8-4FDE-9A33-6AD9A2233BF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57" authorId="0" shapeId="0" xr:uid="{5089E3BE-2B7D-4198-8136-B9AC241AABE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85" authorId="0" shapeId="0" xr:uid="{5C88ED3A-AD4F-4113-A6C3-3C188D3A60E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115" authorId="0" shapeId="0" xr:uid="{4EEFA389-F6AC-40BF-BD95-0FE8FEB2480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116" authorId="0" shapeId="0" xr:uid="{EE325440-0D8A-46F0-A89F-6FB0DD7F213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117" authorId="0" shapeId="0" xr:uid="{12B0C9AF-26BE-4959-98EF-ADF4C5DDC64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E3CF79BE-CC9D-41D2-9B4F-1B3844E1E6B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87.2%]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S21 &amp; W31 &amp; E69 &amp; P1 &amp; N2</t>
        </r>
      </text>
    </comment>
    <comment ref="F7" authorId="0" shapeId="0" xr:uid="{AE89CA26-FB52-431B-8D40-966B02D01F0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8" authorId="0" shapeId="0" xr:uid="{162B7827-5613-4E3B-B301-12F5850356A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9" authorId="0" shapeId="0" xr:uid="{FF4B9878-8D49-494D-B586-8F874ED1903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10" authorId="0" shapeId="0" xr:uid="{9A46F4C5-B289-43AB-83EF-312EAF683DC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11" authorId="0" shapeId="0" xr:uid="{82BB86C3-12CD-4C64-9DE7-A6E30A67814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12" authorId="0" shapeId="0" xr:uid="{B8B72450-82C2-416E-892F-24808B8A94C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16" authorId="0" shapeId="0" xr:uid="{6860C93C-D8E3-4EA3-A729-5EC25B6BBF9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17" authorId="0" shapeId="0" xr:uid="{4F8DEE16-93D8-4875-98FE-A1C1F764DB6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18" authorId="0" shapeId="0" xr:uid="{BBB37AC2-407E-49C7-B26F-96AAF258409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19" authorId="0" shapeId="0" xr:uid="{95F4DFCE-39FD-4E3C-A994-878FEE28C70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21" authorId="0" shapeId="0" xr:uid="{DF041354-462F-472A-96E0-6110EA6EFC6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22" authorId="0" shapeId="0" xr:uid="{9759A19B-5A46-41EA-9C1E-36306A93032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23" authorId="0" shapeId="0" xr:uid="{E00FEFF9-A8FC-416F-83D0-2A2E46A6327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24" authorId="0" shapeId="0" xr:uid="{575BB3C6-F6CC-4BBD-BAA1-9DEF0A423F6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25" authorId="0" shapeId="0" xr:uid="{DFB8D35D-1A14-4E4F-8197-4FB5B403A70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8" authorId="0" shapeId="0" xr:uid="{23CC4FF1-5E07-447E-A140-4A9D610ED91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F20" authorId="0" shapeId="0" xr:uid="{2BFDAEF9-802A-4F69-83C3-3BD7B8E57F8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F35" authorId="0" shapeId="0" xr:uid="{8064E5A6-3704-4BB5-B63A-5FF44FA070D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F40" authorId="0" shapeId="0" xr:uid="{2CA54351-1C16-4721-B388-BAFFFAD745D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3470099E-E134-4E46-9A47-DDE3E8F8F15A}">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58.9%] - [</t>
        </r>
        <r>
          <rPr>
            <b/>
            <sz val="8.5"/>
            <color indexed="48"/>
            <rFont val="Calibri"/>
            <family val="2"/>
          </rPr>
          <t xml:space="preserve">SOLD </t>
        </r>
        <r>
          <rPr>
            <b/>
            <sz val="8.5"/>
            <color indexed="8"/>
            <rFont val="Calibri"/>
            <family val="2"/>
          </rPr>
          <t>» 99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I57 &amp; P1</t>
        </r>
      </text>
    </comment>
    <comment ref="F3" authorId="0" shapeId="0" xr:uid="{A81FED06-2EE4-40AB-95F2-881CC1D558CD}">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F5" authorId="0" shapeId="0" xr:uid="{111C9157-2756-4AE5-B1BA-CC72775E06A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X6 &amp; U17 &amp; O16 &amp; I5 &amp; P39</t>
        </r>
      </text>
    </comment>
    <comment ref="F17" authorId="0" shapeId="0" xr:uid="{90B1EBCA-0122-40DA-9F34-AD5FC8995D0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66.1%] - [</t>
        </r>
        <r>
          <rPr>
            <b/>
            <sz val="8.5"/>
            <color indexed="48"/>
            <rFont val="Calibri"/>
            <family val="2"/>
          </rPr>
          <t xml:space="preserve">SOLD </t>
        </r>
        <r>
          <rPr>
            <b/>
            <sz val="8.5"/>
            <color indexed="8"/>
            <rFont val="Calibri"/>
            <family val="2"/>
          </rPr>
          <t>» 111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U5]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U13 &amp; O38 &amp; I28 &amp; P3</t>
        </r>
      </text>
    </comment>
    <comment ref="F29" authorId="0" shapeId="0" xr:uid="{34BBDE72-FE1D-4D8D-8AD7-38BB2D2FE3F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F30" authorId="0" shapeId="0" xr:uid="{C0375690-0384-4777-A509-9D39831859A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6" authorId="0" shapeId="0" xr:uid="{05C6DE9E-6777-4C0D-A71F-3F73C727109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76.2%]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W25 &amp; X1 &amp; U9 &amp; O18 &amp; I3 &amp; N2</t>
        </r>
      </text>
    </comment>
    <comment ref="F60" authorId="0" shapeId="0" xr:uid="{7AB36CC7-CE10-4775-9357-6119754ECBF3}">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S19 &amp; W15 &amp; T58 &amp; X35</t>
        </r>
      </text>
    </comment>
    <comment ref="F85" authorId="0" shapeId="0" xr:uid="{AD21A388-9944-4B00-926E-2509F8FC40E7}">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F127" authorId="0" shapeId="0" xr:uid="{136431DF-CC39-439B-A0DB-54D19EA99A4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B783EE50-B2AD-410B-8CE2-226F95A8C67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76.2%]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W25 &amp; X1 &amp; U9 &amp; O18 &amp; I3 &amp; N2</t>
        </r>
      </text>
    </comment>
    <comment ref="F9" authorId="0" shapeId="0" xr:uid="{A9B64C71-853A-4270-9067-2C6D770DCEF0}">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S19 &amp; W15 &amp; T58 &amp; X35</t>
        </r>
      </text>
    </comment>
    <comment ref="F11" authorId="0" shapeId="0" xr:uid="{78BE0867-B017-4D09-A457-C3A05499B0EC}">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F19" authorId="0" shapeId="0" xr:uid="{9DC24655-63DE-4A68-887D-B7C5AFFE9657}">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5" authorId="0" shapeId="0" xr:uid="{60D26BF1-BCA2-46AE-A0A2-C206670A49D9}">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F23" authorId="0" shapeId="0" xr:uid="{4D7D3D94-3673-4CB1-88BA-B6A9338950DE}">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F39" authorId="0" shapeId="0" xr:uid="{E6F2CE83-5C12-4A06-AA7C-7F4B8B451FF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68718CB-18D8-4D2A-96BD-48F7BC44221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F3" authorId="0" shapeId="0" xr:uid="{13BF0547-645A-4B24-B176-AC460CA3C32C}">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F6" authorId="0" shapeId="0" xr:uid="{48CED672-B7E6-4E85-9E58-87EF868B2287}">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AA8FDAA4-521D-4487-9B30-535E33AB341C}">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62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S17 &amp; W20 &amp; T20 &amp; X20 &amp; U20 &amp; O20 &amp; I20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36504E7-9336-4B46-AC98-8DD8745DA0E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V8 &amp; L20 &amp; G22 &amp; S20 &amp; W10 &amp; T16 &amp; X7 &amp; U10 &amp; O17 &amp; I18</t>
        </r>
      </text>
    </comment>
    <comment ref="F10" authorId="0" shapeId="0" xr:uid="{DA3BFDDE-7B58-42D4-A311-B894A14CF386}">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9B4E043-9E9E-4650-B3B8-1E3D961B1023}">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V8 &amp; L20 &amp; G22 &amp; S20 &amp; W10 &amp; T16 &amp; X7 &amp; U10 &amp; O17 &amp; I18</t>
        </r>
      </text>
    </comment>
    <comment ref="F8" authorId="0" shapeId="0" xr:uid="{0D987F0F-67A0-4282-9441-0EBD8D618F3B}">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F27C6D29-382C-41D5-AEA9-285580A81004}">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1DA838FC-61E0-4BDB-9E30-D1B62B733E69}">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G16 &amp; S20 &amp; W4 &amp; T12 &amp; X1 &amp; U11 &amp; O23 &amp; I20</t>
        </r>
      </text>
    </comment>
    <comment ref="F4" authorId="0" shapeId="0" xr:uid="{7CF7986E-A29B-42CD-97E4-1111B53D47FC}">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T24 &amp; X4 &amp; U20 &amp; O77 &amp; I2</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193B548C-593D-4EBB-8C62-8C78CEA72B97}">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G16 &amp; S20 &amp; W4 &amp; T12 &amp; X1 &amp; U11 &amp; O23 &amp; I20</t>
        </r>
      </text>
    </comment>
    <comment ref="F4" authorId="0" shapeId="0" xr:uid="{4BD33424-DE28-4D42-A3A3-8EB4260B4A63}">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S9 &amp; W12 &amp; T24 &amp; X4 &amp; U20 &amp; O77 &amp; I2</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E2A90A4F-122A-4E5C-B860-BA39D6C3D00F}">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86.3%] - [</t>
        </r>
        <r>
          <rPr>
            <b/>
            <sz val="8.5"/>
            <color indexed="48"/>
            <rFont val="Calibri"/>
            <family val="2"/>
          </rPr>
          <t xml:space="preserve">SOLD </t>
        </r>
        <r>
          <rPr>
            <b/>
            <sz val="8.5"/>
            <color indexed="8"/>
            <rFont val="Calibri"/>
            <family val="2"/>
          </rPr>
          <t>» 145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S12 &amp; W3 &amp; T8 &amp; X25 &amp; U15 &amp; O52 &amp; I8</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90777B1F-D5AF-4590-83C3-35E8DF02E9C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G12 &amp; S16 &amp; W30 &amp; T43 &amp; X35 &amp; U10 &amp; O10 &amp; I20</t>
        </r>
      </text>
    </comment>
    <comment ref="F5" authorId="0" shapeId="0" xr:uid="{F9A0B328-F01A-434E-A95B-51D4A265F95B}">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94.4%] - [</t>
        </r>
        <r>
          <rPr>
            <b/>
            <sz val="8.5"/>
            <color indexed="48"/>
            <rFont val="Calibri"/>
            <family val="2"/>
          </rPr>
          <t xml:space="preserve">SOLD </t>
        </r>
        <r>
          <rPr>
            <b/>
            <sz val="8.5"/>
            <color indexed="8"/>
            <rFont val="Calibri"/>
            <family val="2"/>
          </rPr>
          <t>» 169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G7 &amp; S58 &amp; W47 &amp; T9 &amp; X18 &amp; U15 &amp; O10 &amp; I5</t>
        </r>
      </text>
    </comment>
    <comment ref="F6" authorId="0" shapeId="0" xr:uid="{8E23DE69-C19D-429F-AA5B-9D5273D1242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S20 &amp; W32 &amp; T9 &amp; X10 &amp; U18 &amp; P73</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C97AA40-EA3F-41E5-BA2B-161F1A6DF78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G12 &amp; S16 &amp; W30 &amp; T43 &amp; X35 &amp; U10 &amp; O10 &amp; I20</t>
        </r>
      </text>
    </comment>
    <comment ref="F3" authorId="0" shapeId="0" xr:uid="{F453E739-DE50-4F5E-8549-7297F295B14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94.4%] - [</t>
        </r>
        <r>
          <rPr>
            <b/>
            <sz val="8.5"/>
            <color indexed="48"/>
            <rFont val="Calibri"/>
            <family val="2"/>
          </rPr>
          <t xml:space="preserve">SOLD </t>
        </r>
        <r>
          <rPr>
            <b/>
            <sz val="8.5"/>
            <color indexed="8"/>
            <rFont val="Calibri"/>
            <family val="2"/>
          </rPr>
          <t>» 169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G7 &amp; S58 &amp; W47 &amp; T9 &amp; X18 &amp; U15 &amp; O10 &amp; I5</t>
        </r>
      </text>
    </comment>
    <comment ref="F4" authorId="0" shapeId="0" xr:uid="{EB37155C-43CD-4A0E-B816-874BDE41D00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S20 &amp; W32 &amp; T9 &amp; X10 &amp; U18 &amp; P73</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110F336-5F8F-4FE1-8C4A-114B5BBC497E}">
      <text>
        <r>
          <rPr>
            <b/>
            <sz val="8.5"/>
            <color indexed="8"/>
            <rFont val="Calibri"/>
            <family val="2"/>
          </rPr>
          <t xml:space="preserve">-{ </t>
        </r>
        <r>
          <rPr>
            <b/>
            <sz val="10"/>
            <color indexed="10"/>
            <rFont val="Calibri"/>
            <family val="2"/>
          </rPr>
          <t>SM448</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Q14 &amp; K18 &amp; V22 &amp; L33 &amp; G8 &amp; S2 &amp; W6</t>
        </r>
      </text>
    </comment>
    <comment ref="F4" authorId="0" shapeId="0" xr:uid="{D2B3C640-0496-424B-ACD7-7B5691D57579}">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65.5%]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6DFA728E-41D0-407E-9B64-A63D60CD28DD}">
      <text>
        <r>
          <rPr>
            <b/>
            <sz val="8.5"/>
            <color indexed="8"/>
            <rFont val="Calibri"/>
            <family val="2"/>
          </rPr>
          <t xml:space="preserve">-{ </t>
        </r>
        <r>
          <rPr>
            <b/>
            <sz val="10"/>
            <color indexed="10"/>
            <rFont val="Calibri"/>
            <family val="2"/>
          </rPr>
          <t>SM448</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Q14 &amp; K18 &amp; V22 &amp; L33 &amp; G8 &amp; S2 &amp; W6</t>
        </r>
      </text>
    </comment>
    <comment ref="F4" authorId="0" shapeId="0" xr:uid="{309F334C-FBC2-4CF5-8B24-F5BD73684505}">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65.5%]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3001BDB7-3A69-476E-9EC2-02D886C14CF8}">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49FC6338-93FD-4850-BEA5-D74D77A078C7}">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66.1%] - [</t>
        </r>
        <r>
          <rPr>
            <b/>
            <sz val="8.5"/>
            <color indexed="48"/>
            <rFont val="Calibri"/>
            <family val="2"/>
          </rPr>
          <t xml:space="preserve">SOLD </t>
        </r>
        <r>
          <rPr>
            <b/>
            <sz val="8.5"/>
            <color indexed="8"/>
            <rFont val="Calibri"/>
            <family val="2"/>
          </rPr>
          <t>» 111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V21 &amp; L23 &amp; G15 &amp; S37 &amp; X1 &amp; U6 &amp; O2 &amp; I2 &amp; N2</t>
        </r>
      </text>
    </comment>
    <comment ref="F13" authorId="0" shapeId="0" xr:uid="{78CE8209-2E2D-43BA-BF11-D2F055EB7740}">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64.9%]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S9 &amp; W14 &amp; T10 &amp; X20 &amp; U36 &amp; O19</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02CB644A-B5B6-46A5-9A93-F8E4075DB4E8}">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66.1%] - [</t>
        </r>
        <r>
          <rPr>
            <b/>
            <sz val="8.5"/>
            <color indexed="48"/>
            <rFont val="Calibri"/>
            <family val="2"/>
          </rPr>
          <t xml:space="preserve">SOLD </t>
        </r>
        <r>
          <rPr>
            <b/>
            <sz val="8.5"/>
            <color indexed="8"/>
            <rFont val="Calibri"/>
            <family val="2"/>
          </rPr>
          <t>» 111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V21 &amp; L23 &amp; G15 &amp; S37 &amp; X1 &amp; U6 &amp; O2 &amp; I2 &amp; N2</t>
        </r>
      </text>
    </comment>
    <comment ref="F9" authorId="0" shapeId="0" xr:uid="{6F87D1B4-0D93-4734-812B-7E57B4A61675}">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64.9%]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S9 &amp; W14 &amp; T10 &amp; X20 &amp; U36 &amp; O19</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4" authorId="0" shapeId="0" xr:uid="{42077E44-62FC-49E5-88A6-BCDDABB24F3C}">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47.0%]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X9 &amp; U20 &amp; O50</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DD9F2EBC-5402-4674-BE71-93C7CE4A3FBE}">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Q4]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Q11 &amp; K30 &amp; V10 &amp; L18 &amp; G17 &amp; S9 &amp; W8</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8A6E4F9A-633D-41F3-83DE-CAFB750806BA}">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Q4]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Q11 &amp; K30 &amp; V10 &amp; L18 &amp; G17 &amp; S9 &amp; W8</t>
        </r>
      </text>
    </comment>
  </commentList>
</comments>
</file>

<file path=xl/sharedStrings.xml><?xml version="1.0" encoding="utf-8"?>
<sst xmlns="http://schemas.openxmlformats.org/spreadsheetml/2006/main" count="10030" uniqueCount="977">
  <si>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</si>
  <si>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</si>
  <si>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</si>
  <si>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</si>
  <si>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</si>
  <si>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</si>
  <si>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</si>
  <si>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</si>
  <si>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</si>
  <si>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</si>
  <si>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</si>
  <si>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</si>
  <si>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</si>
  <si>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</si>
  <si>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</si>
  <si>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</si>
  <si>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</si>
  <si>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</si>
  <si>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</si>
  <si>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</si>
  <si>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</si>
  <si>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</si>
  <si>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</si>
  <si>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</si>
  <si>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</si>
  <si>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</si>
  <si>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</si>
  <si>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XY-576</t>
  </si>
  <si>
    <t>Cabin: 7 KG / Check-in: 20 KG</t>
  </si>
  <si>
    <r>
      <rPr>
        <b/>
        <i/>
        <sz val="13"/>
        <color rgb="FFBC0000"/>
        <rFont val="Calibri"/>
        <family val="2"/>
      </rPr>
      <t>9</t>
    </r>
    <r>
      <rPr>
        <b/>
        <i/>
        <sz val="10"/>
        <color rgb="FFBC0000"/>
        <rFont val="Calibri"/>
        <family val="2"/>
      </rPr>
      <t xml:space="preserve"> FOR SAME CLASS</t>
    </r>
  </si>
  <si>
    <t>559 SAR</t>
  </si>
  <si>
    <t>Cabin: 7 KG / Check-in: 30 KG</t>
  </si>
  <si>
    <r>
      <rPr>
        <i/>
        <sz val="13"/>
        <rFont val="Calibri"/>
        <family val="2"/>
      </rPr>
      <t>9</t>
    </r>
    <r>
      <rPr>
        <i/>
        <sz val="10"/>
        <rFont val="Calibri"/>
        <family val="2"/>
      </rPr>
      <t xml:space="preserve"> FOR SAME CLASS</t>
    </r>
  </si>
  <si>
    <t>659 SAR</t>
  </si>
  <si>
    <t>Cabin: 7 KG / Check-in: 2 x 40 KG</t>
  </si>
  <si>
    <t>749 SAR</t>
  </si>
  <si>
    <t>XY-793</t>
  </si>
  <si>
    <r>
      <rPr>
        <b/>
        <i/>
        <sz val="13"/>
        <rFont val="Calibri"/>
        <family val="2"/>
      </rPr>
      <t>9</t>
    </r>
    <r>
      <rPr>
        <b/>
        <i/>
        <sz val="10"/>
        <rFont val="Calibri"/>
        <family val="2"/>
      </rPr>
      <t xml:space="preserve"> FOR SAME CLASS</t>
    </r>
  </si>
  <si>
    <t>609 SAR</t>
  </si>
  <si>
    <t>709 SAR</t>
  </si>
  <si>
    <t>799 SAR</t>
  </si>
  <si>
    <t>flyadeal</t>
  </si>
  <si>
    <t>F3-769</t>
  </si>
  <si>
    <t>Check-in: 15 KG</t>
  </si>
  <si>
    <r>
      <rPr>
        <b/>
        <i/>
        <sz val="13"/>
        <color rgb="FFBC0000"/>
        <rFont val="Calibri"/>
        <family val="2"/>
      </rPr>
      <t>12</t>
    </r>
    <r>
      <rPr>
        <b/>
        <i/>
        <sz val="10"/>
        <color rgb="FFBC0000"/>
        <rFont val="Calibri"/>
        <family val="2"/>
      </rPr>
      <t xml:space="preserve"> FOR SAME CLASS</t>
    </r>
  </si>
  <si>
    <t>Cabin: 10 KG / Check-in: 25 KG</t>
  </si>
  <si>
    <r>
      <rPr>
        <i/>
        <sz val="13"/>
        <rFont val="Calibri"/>
        <family val="2"/>
      </rPr>
      <t>12</t>
    </r>
    <r>
      <rPr>
        <i/>
        <sz val="10"/>
        <rFont val="Calibri"/>
        <family val="2"/>
      </rPr>
      <t xml:space="preserve"> FOR SAME CLASS</t>
    </r>
  </si>
  <si>
    <t>Cabin: 10 KG / Check-in: 2 x 40 KG</t>
  </si>
  <si>
    <t>1,099 SAR</t>
  </si>
  <si>
    <t>EgyptAir</t>
  </si>
  <si>
    <t>MS-676</t>
  </si>
  <si>
    <t>Cabin: 7 KG | Check-in: 2 PIECE</t>
  </si>
  <si>
    <r>
      <rPr>
        <b/>
        <i/>
        <sz val="13"/>
        <color rgb="FFBC0000"/>
        <rFont val="Calibri"/>
        <family val="2"/>
      </rPr>
      <t>+9</t>
    </r>
    <r>
      <rPr>
        <b/>
        <i/>
        <sz val="10"/>
        <color rgb="FFBC0000"/>
        <rFont val="Calibri"/>
        <family val="2"/>
      </rPr>
      <t xml:space="preserve"> FOR SAME CLASS</t>
    </r>
  </si>
  <si>
    <t>902 SAR</t>
  </si>
  <si>
    <t>MS-694</t>
  </si>
  <si>
    <r>
      <rPr>
        <b/>
        <i/>
        <sz val="13"/>
        <rFont val="Calibri"/>
        <family val="2"/>
      </rPr>
      <t>+9</t>
    </r>
    <r>
      <rPr>
        <b/>
        <i/>
        <sz val="10"/>
        <rFont val="Calibri"/>
        <family val="2"/>
      </rPr>
      <t xml:space="preserve"> FOR SAME CLASS</t>
    </r>
  </si>
  <si>
    <t>MS-696</t>
  </si>
  <si>
    <t>MS-678</t>
  </si>
  <si>
    <r>
      <rPr>
        <b/>
        <i/>
        <sz val="13"/>
        <rFont val="Calibri"/>
        <family val="2"/>
      </rPr>
      <t>6</t>
    </r>
    <r>
      <rPr>
        <b/>
        <i/>
        <sz val="10"/>
        <rFont val="Calibri"/>
        <family val="2"/>
      </rPr>
      <t xml:space="preserve"> FOR SAME CLASS</t>
    </r>
  </si>
  <si>
    <t>1,262 SAR</t>
  </si>
  <si>
    <t>MS-640</t>
  </si>
  <si>
    <t>1,802 SAR</t>
  </si>
  <si>
    <t>Saudia</t>
  </si>
  <si>
    <t>SV-319</t>
  </si>
  <si>
    <t>Cabin: 7 KG / Check-in: 23 KG</t>
  </si>
  <si>
    <t>1,609 SAR</t>
  </si>
  <si>
    <t>Cabin: 7 KG / Check-in: 2 x 46 KG</t>
  </si>
  <si>
    <r>
      <rPr>
        <i/>
        <sz val="13"/>
        <rFont val="Calibri"/>
        <family val="2"/>
      </rPr>
      <t>+9</t>
    </r>
    <r>
      <rPr>
        <i/>
        <sz val="10"/>
        <rFont val="Calibri"/>
        <family val="2"/>
      </rPr>
      <t xml:space="preserve"> FOR SAME CLASS</t>
    </r>
  </si>
  <si>
    <t>1,750 SAR</t>
  </si>
  <si>
    <t>SV-391</t>
  </si>
  <si>
    <t>SV-6903</t>
  </si>
  <si>
    <r>
      <rPr>
        <b/>
        <i/>
        <sz val="13"/>
        <rFont val="Calibri"/>
        <family val="2"/>
      </rPr>
      <t>4</t>
    </r>
    <r>
      <rPr>
        <b/>
        <i/>
        <sz val="10"/>
        <rFont val="Calibri"/>
        <family val="2"/>
      </rPr>
      <t xml:space="preserve"> FOR SAME CLASS</t>
    </r>
  </si>
  <si>
    <t>1,651 SAR</t>
  </si>
  <si>
    <t>SV-381</t>
  </si>
  <si>
    <r>
      <rPr>
        <b/>
        <i/>
        <sz val="13"/>
        <rFont val="Calibri"/>
        <family val="2"/>
      </rPr>
      <t>1</t>
    </r>
    <r>
      <rPr>
        <b/>
        <i/>
        <sz val="10"/>
        <rFont val="Calibri"/>
        <family val="2"/>
      </rPr>
      <t xml:space="preserve"> FOR SAME CLASS</t>
    </r>
  </si>
  <si>
    <t>2,165 SAR</t>
  </si>
  <si>
    <r>
      <rPr>
        <i/>
        <sz val="13"/>
        <rFont val="Calibri"/>
        <family val="2"/>
      </rPr>
      <t>1</t>
    </r>
    <r>
      <rPr>
        <i/>
        <sz val="10"/>
        <rFont val="Calibri"/>
        <family val="2"/>
      </rPr>
      <t xml:space="preserve"> FOR SAME CLASS</t>
    </r>
  </si>
  <si>
    <t>2,305 SAR</t>
  </si>
  <si>
    <t>Air Cairo</t>
  </si>
  <si>
    <t>SM494</t>
  </si>
  <si>
    <t>30KG + 7KG CABIN</t>
  </si>
  <si>
    <t>FULLY BOOKED</t>
  </si>
  <si>
    <t>CLOSED</t>
  </si>
  <si>
    <t>Q11 &amp; L4 &amp; G6 &amp; S6 &amp; W8 &amp; T9 &amp; X8 &amp; U8 &amp; O9 &amp; I16 &amp; P92 &amp; N2</t>
  </si>
  <si>
    <r>
      <rPr>
        <b/>
        <i/>
        <sz val="13"/>
        <color rgb="FFBC0000"/>
        <rFont val="Calibri"/>
        <family val="2"/>
      </rPr>
      <t>19</t>
    </r>
    <r>
      <rPr>
        <b/>
        <i/>
        <sz val="10"/>
        <color rgb="FFBC0000"/>
        <rFont val="Calibri"/>
        <family val="2"/>
      </rPr>
      <t xml:space="preserve"> FOR SAME CLASS</t>
    </r>
  </si>
  <si>
    <t>619 SAR</t>
  </si>
  <si>
    <r>
      <rPr>
        <i/>
        <sz val="13"/>
        <rFont val="Calibri"/>
        <family val="2"/>
      </rPr>
      <t>19</t>
    </r>
    <r>
      <rPr>
        <i/>
        <sz val="10"/>
        <rFont val="Calibri"/>
        <family val="2"/>
      </rPr>
      <t xml:space="preserve"> FOR SAME CLASS</t>
    </r>
  </si>
  <si>
    <t>769 SAR</t>
  </si>
  <si>
    <t>1,499 SAR</t>
  </si>
  <si>
    <t>1,122 SAR</t>
  </si>
  <si>
    <r>
      <rPr>
        <b/>
        <i/>
        <sz val="13"/>
        <color rgb="FFBC0000"/>
        <rFont val="Calibri"/>
        <family val="2"/>
      </rPr>
      <t>4</t>
    </r>
    <r>
      <rPr>
        <b/>
        <i/>
        <sz val="10"/>
        <color rgb="FFBC0000"/>
        <rFont val="Calibri"/>
        <family val="2"/>
      </rPr>
      <t xml:space="preserve"> FOR SAME CLASS</t>
    </r>
  </si>
  <si>
    <r>
      <rPr>
        <b/>
        <i/>
        <sz val="13"/>
        <rFont val="Calibri"/>
        <family val="2"/>
      </rPr>
      <t>7</t>
    </r>
    <r>
      <rPr>
        <b/>
        <i/>
        <sz val="10"/>
        <rFont val="Calibri"/>
        <family val="2"/>
      </rPr>
      <t xml:space="preserve"> FOR SAME CLASS</t>
    </r>
  </si>
  <si>
    <t>1,868 SAR</t>
  </si>
  <si>
    <r>
      <rPr>
        <i/>
        <sz val="13"/>
        <rFont val="Calibri"/>
        <family val="2"/>
      </rPr>
      <t>7</t>
    </r>
    <r>
      <rPr>
        <i/>
        <sz val="10"/>
        <rFont val="Calibri"/>
        <family val="2"/>
      </rPr>
      <t xml:space="preserve"> FOR SAME CLASS</t>
    </r>
  </si>
  <si>
    <t>2,009 SAR</t>
  </si>
  <si>
    <r>
      <rPr>
        <i/>
        <sz val="13"/>
        <rFont val="Calibri"/>
        <family val="2"/>
      </rPr>
      <t>6</t>
    </r>
    <r>
      <rPr>
        <i/>
        <sz val="10"/>
        <rFont val="Calibri"/>
        <family val="2"/>
      </rPr>
      <t xml:space="preserve"> FOR SAME CLASS</t>
    </r>
  </si>
  <si>
    <r>
      <rPr>
        <i/>
        <sz val="13"/>
        <rFont val="Calibri"/>
        <family val="2"/>
      </rPr>
      <t>4</t>
    </r>
    <r>
      <rPr>
        <i/>
        <sz val="10"/>
        <rFont val="Calibri"/>
        <family val="2"/>
      </rPr>
      <t xml:space="preserve"> FOR SAME CLASS</t>
    </r>
  </si>
  <si>
    <r>
      <rPr>
        <b/>
        <i/>
        <sz val="13"/>
        <color rgb="FFBC0000"/>
        <rFont val="Calibri"/>
        <family val="2"/>
      </rPr>
      <t>14</t>
    </r>
    <r>
      <rPr>
        <b/>
        <i/>
        <sz val="10"/>
        <color rgb="FFBC0000"/>
        <rFont val="Calibri"/>
        <family val="2"/>
      </rPr>
      <t xml:space="preserve"> FOR SAME CLASS</t>
    </r>
  </si>
  <si>
    <r>
      <rPr>
        <i/>
        <sz val="13"/>
        <rFont val="Calibri"/>
        <family val="2"/>
      </rPr>
      <t>14</t>
    </r>
    <r>
      <rPr>
        <i/>
        <sz val="10"/>
        <rFont val="Calibri"/>
        <family val="2"/>
      </rPr>
      <t xml:space="preserve"> FOR SAME CLASS</t>
    </r>
  </si>
  <si>
    <t>1,002 SAR</t>
  </si>
  <si>
    <r>
      <rPr>
        <b/>
        <i/>
        <sz val="13"/>
        <rFont val="Calibri"/>
        <family val="2"/>
      </rPr>
      <t>2</t>
    </r>
    <r>
      <rPr>
        <b/>
        <i/>
        <sz val="10"/>
        <rFont val="Calibri"/>
        <family val="2"/>
      </rPr>
      <t xml:space="preserve"> FOR SAME CLASS</t>
    </r>
  </si>
  <si>
    <r>
      <rPr>
        <b/>
        <i/>
        <sz val="13"/>
        <color rgb="FFBC0000"/>
        <rFont val="Calibri"/>
        <family val="2"/>
      </rPr>
      <t>1</t>
    </r>
    <r>
      <rPr>
        <b/>
        <i/>
        <sz val="10"/>
        <color rgb="FFBC0000"/>
        <rFont val="Calibri"/>
        <family val="2"/>
      </rPr>
      <t xml:space="preserve"> FOR SAME CLASS</t>
    </r>
  </si>
  <si>
    <t>1,385 SAR</t>
  </si>
  <si>
    <t>1,525 SAR</t>
  </si>
  <si>
    <t>Q4 &amp; T3 &amp; X5 &amp; U9 &amp; O7 &amp; I17 &amp; P130 &amp; N4</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</si>
  <si>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</si>
  <si>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</si>
  <si>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</si>
  <si>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</si>
  <si>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</si>
  <si>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</si>
  <si>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</si>
  <si>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</si>
  <si>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</si>
  <si>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</si>
  <si>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</si>
  <si>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</si>
  <si>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</si>
  <si>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</si>
  <si>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</si>
  <si>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</si>
  <si>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</si>
  <si>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</si>
  <si>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</si>
  <si>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</si>
  <si>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</si>
  <si>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</si>
  <si>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</si>
  <si>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</si>
  <si>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</si>
  <si>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</si>
  <si>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</si>
  <si>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</si>
  <si>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</si>
  <si>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</si>
  <si>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</si>
  <si>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</si>
  <si>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</si>
  <si>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Q11</t>
  </si>
  <si>
    <t>L4</t>
  </si>
  <si>
    <t>G6</t>
  </si>
  <si>
    <t>S6</t>
  </si>
  <si>
    <t>W8</t>
  </si>
  <si>
    <t>T9</t>
  </si>
  <si>
    <t>X8</t>
  </si>
  <si>
    <t>U8</t>
  </si>
  <si>
    <t>O9</t>
  </si>
  <si>
    <t>I16</t>
  </si>
  <si>
    <t>P92</t>
  </si>
  <si>
    <t>N2</t>
  </si>
  <si>
    <t>SATURDAY</t>
  </si>
  <si>
    <t>09:30</t>
  </si>
  <si>
    <t>Q4</t>
  </si>
  <si>
    <t>T3</t>
  </si>
  <si>
    <t>X5</t>
  </si>
  <si>
    <t>U9</t>
  </si>
  <si>
    <t>O7</t>
  </si>
  <si>
    <t>I17</t>
  </si>
  <si>
    <t>P130</t>
  </si>
  <si>
    <t>N4</t>
  </si>
  <si>
    <t>DATE</t>
  </si>
  <si>
    <t>ROUTE</t>
  </si>
  <si>
    <t>2025-11-20</t>
  </si>
  <si>
    <t>18:10</t>
  </si>
  <si>
    <t>10:05</t>
  </si>
  <si>
    <t>08:30</t>
  </si>
  <si>
    <t>02:35</t>
  </si>
  <si>
    <t>05:20</t>
  </si>
  <si>
    <t>10:40</t>
  </si>
  <si>
    <t>20:30</t>
  </si>
  <si>
    <t>14:30</t>
  </si>
  <si>
    <t>02:05</t>
  </si>
  <si>
    <t>13:15</t>
  </si>
  <si>
    <t>19:05</t>
  </si>
  <si>
    <t>MED-HBE</t>
  </si>
  <si>
    <t>MS-680</t>
  </si>
  <si>
    <t>923 SAR</t>
  </si>
  <si>
    <t>SM-486</t>
  </si>
  <si>
    <t>Cabin: 7 KG | Check-in: 40 KG</t>
  </si>
  <si>
    <r>
      <rPr>
        <b/>
        <i/>
        <sz val="13"/>
        <color rgb="FFBC0000"/>
        <rFont val="Calibri"/>
        <family val="2"/>
      </rPr>
      <t>2</t>
    </r>
    <r>
      <rPr>
        <b/>
        <i/>
        <sz val="10"/>
        <color rgb="FFBC0000"/>
        <rFont val="Calibri"/>
        <family val="2"/>
      </rPr>
      <t xml:space="preserve"> FOR SAME CLASS</t>
    </r>
  </si>
  <si>
    <t>992 SAR</t>
  </si>
  <si>
    <t>SM486</t>
  </si>
  <si>
    <t>K2</t>
  </si>
  <si>
    <t>K3 &amp; V5 &amp; L13 &amp; G4 &amp; S5 &amp; X4 &amp; U9 &amp; O10 &amp; I5 &amp; P110</t>
  </si>
  <si>
    <t>Indirect competition route MED – CAI - diversion ratio &amp; passenger leakage</t>
  </si>
  <si>
    <t>9 FOR SAME CLASS</t>
  </si>
  <si>
    <t>12 FOR SAME CLASS</t>
  </si>
  <si>
    <t>+9 FOR SAME CLASS</t>
  </si>
  <si>
    <t>15:30</t>
  </si>
  <si>
    <t>K3</t>
  </si>
  <si>
    <t>V5</t>
  </si>
  <si>
    <t>L13</t>
  </si>
  <si>
    <t>G4</t>
  </si>
  <si>
    <t>S5</t>
  </si>
  <si>
    <t>X4</t>
  </si>
  <si>
    <t>O10</t>
  </si>
  <si>
    <t>I5</t>
  </si>
  <si>
    <t>P110</t>
  </si>
  <si>
    <t>12:30</t>
  </si>
  <si>
    <t>MED-CAI AS ALTERNATIVE ROUTE</t>
  </si>
  <si>
    <t>MED-ATZ</t>
  </si>
  <si>
    <t>SM488</t>
  </si>
  <si>
    <t>LAST SEATS</t>
  </si>
  <si>
    <t>X6</t>
  </si>
  <si>
    <t>S4 &amp; X14 &amp; U20 &amp; O20 &amp; I20 &amp; P84</t>
  </si>
  <si>
    <t>14 FOR SAME CLASS</t>
  </si>
  <si>
    <t>02:20</t>
  </si>
  <si>
    <t>22:55</t>
  </si>
  <si>
    <t>S4</t>
  </si>
  <si>
    <t>X14</t>
  </si>
  <si>
    <t>U20</t>
  </si>
  <si>
    <t>O20</t>
  </si>
  <si>
    <t>I20</t>
  </si>
  <si>
    <t>P84</t>
  </si>
  <si>
    <t>2025-11-21</t>
  </si>
  <si>
    <t>11:50</t>
  </si>
  <si>
    <t>2025-11-22</t>
  </si>
  <si>
    <t>SM-488</t>
  </si>
  <si>
    <t>JED-CAI</t>
  </si>
  <si>
    <t>XY-565</t>
  </si>
  <si>
    <t>Cabin: 7 KG | Check-in: 20 KG</t>
  </si>
  <si>
    <r>
      <rPr>
        <b/>
        <i/>
        <sz val="13"/>
        <color rgb="FFBC0000"/>
        <rFont val="Calibri"/>
        <family val="2"/>
      </rPr>
      <t>7</t>
    </r>
    <r>
      <rPr>
        <b/>
        <i/>
        <sz val="10"/>
        <color rgb="FFBC0000"/>
        <rFont val="Calibri"/>
        <family val="2"/>
      </rPr>
      <t xml:space="preserve"> FOR SAME CLASS</t>
    </r>
  </si>
  <si>
    <t>589 SAR</t>
  </si>
  <si>
    <t>XY-583</t>
  </si>
  <si>
    <t>XY-573</t>
  </si>
  <si>
    <r>
      <rPr>
        <b/>
        <i/>
        <sz val="13"/>
        <rFont val="Calibri"/>
        <family val="2"/>
      </rPr>
      <t>8</t>
    </r>
    <r>
      <rPr>
        <b/>
        <i/>
        <sz val="10"/>
        <rFont val="Calibri"/>
        <family val="2"/>
      </rPr>
      <t xml:space="preserve"> FOR SAME CLASS</t>
    </r>
  </si>
  <si>
    <t>669 SAR</t>
  </si>
  <si>
    <t>XY-567</t>
  </si>
  <si>
    <t>XY-589</t>
  </si>
  <si>
    <r>
      <rPr>
        <b/>
        <i/>
        <sz val="13"/>
        <rFont val="Calibri"/>
        <family val="2"/>
      </rPr>
      <t>5</t>
    </r>
    <r>
      <rPr>
        <b/>
        <i/>
        <sz val="10"/>
        <rFont val="Calibri"/>
        <family val="2"/>
      </rPr>
      <t xml:space="preserve"> FOR SAME CLASS</t>
    </r>
  </si>
  <si>
    <t>XY-577</t>
  </si>
  <si>
    <t>XY-571</t>
  </si>
  <si>
    <r>
      <rPr>
        <b/>
        <i/>
        <sz val="13"/>
        <rFont val="Calibri"/>
        <family val="2"/>
      </rPr>
      <t>3</t>
    </r>
    <r>
      <rPr>
        <b/>
        <i/>
        <sz val="10"/>
        <rFont val="Calibri"/>
        <family val="2"/>
      </rPr>
      <t xml:space="preserve"> FOR SAME CLASS</t>
    </r>
  </si>
  <si>
    <t>719 SAR</t>
  </si>
  <si>
    <t>XY-569</t>
  </si>
  <si>
    <t>F3-753</t>
  </si>
  <si>
    <t>Cabin: 0 KG | Check-in: 15 KG</t>
  </si>
  <si>
    <t>689 SAR</t>
  </si>
  <si>
    <t>F3-763</t>
  </si>
  <si>
    <r>
      <rPr>
        <b/>
        <i/>
        <sz val="13"/>
        <rFont val="Calibri"/>
        <family val="2"/>
      </rPr>
      <t>15</t>
    </r>
    <r>
      <rPr>
        <b/>
        <i/>
        <sz val="10"/>
        <rFont val="Calibri"/>
        <family val="2"/>
      </rPr>
      <t xml:space="preserve"> FOR SAME CLASS</t>
    </r>
  </si>
  <si>
    <t>F3-761</t>
  </si>
  <si>
    <r>
      <rPr>
        <b/>
        <i/>
        <sz val="13"/>
        <rFont val="Calibri"/>
        <family val="2"/>
      </rPr>
      <t>20</t>
    </r>
    <r>
      <rPr>
        <b/>
        <i/>
        <sz val="10"/>
        <rFont val="Calibri"/>
        <family val="2"/>
      </rPr>
      <t xml:space="preserve"> FOR SAME CLASS</t>
    </r>
  </si>
  <si>
    <t>F3-755</t>
  </si>
  <si>
    <t>Air Arabia Egypt</t>
  </si>
  <si>
    <t>E5-328</t>
  </si>
  <si>
    <t>Cabin: 10 KG | Check-in: 30 KG</t>
  </si>
  <si>
    <t>706 SAR</t>
  </si>
  <si>
    <t>829 SAR</t>
  </si>
  <si>
    <t>SM-450</t>
  </si>
  <si>
    <t>SM450</t>
  </si>
  <si>
    <t>S2</t>
  </si>
  <si>
    <t>V1 &amp; L11 &amp; G20 &amp; S21 &amp; W31 &amp; E69 &amp; P1 &amp; N2</t>
  </si>
  <si>
    <t>SM-432</t>
  </si>
  <si>
    <t>781 SAR</t>
  </si>
  <si>
    <t>SM432</t>
  </si>
  <si>
    <t>G7</t>
  </si>
  <si>
    <t>V4 &amp; L28 &amp; G19 &amp; S10 &amp; W10 &amp; T9 &amp; X6 &amp; U1 &amp; O5 &amp; I6 &amp; P2 &amp; N2</t>
  </si>
  <si>
    <t>SM-476</t>
  </si>
  <si>
    <t>SM476</t>
  </si>
  <si>
    <t>V1 &amp; L10 &amp; G11 &amp; S16 &amp; W5 &amp; P104</t>
  </si>
  <si>
    <t>SM-472</t>
  </si>
  <si>
    <t>SM472</t>
  </si>
  <si>
    <t>L13 &amp; G42 &amp; S15 &amp; W13 &amp; T10 &amp; X5 &amp; U5 &amp; O5 &amp; I5 &amp; P60</t>
  </si>
  <si>
    <t>SM-424</t>
  </si>
  <si>
    <t>SM424</t>
  </si>
  <si>
    <t>G8</t>
  </si>
  <si>
    <t>L16 &amp; G28 &amp; S36 &amp; W29 &amp; P28</t>
  </si>
  <si>
    <t>SM-478</t>
  </si>
  <si>
    <t>952 SAR</t>
  </si>
  <si>
    <t>SM478</t>
  </si>
  <si>
    <t>V7</t>
  </si>
  <si>
    <t>Q1 &amp; K6 &amp; V5 &amp; L16 &amp; G26 &amp; S16 &amp; W4 &amp; E1 &amp; P97</t>
  </si>
  <si>
    <t>SM-480</t>
  </si>
  <si>
    <t>1,366 SAR</t>
  </si>
  <si>
    <t>SM480</t>
  </si>
  <si>
    <t>H6</t>
  </si>
  <si>
    <t>M6 &amp; Q4 &amp; K4 &amp; V14 &amp; L16 &amp; G16 &amp; S16 &amp; W5 &amp; I2 &amp; P90</t>
  </si>
  <si>
    <t>Nesma Airlines</t>
  </si>
  <si>
    <t>NE-173</t>
  </si>
  <si>
    <t>Cabin: 7 KG | Check-in: 30 KG</t>
  </si>
  <si>
    <r>
      <rPr>
        <b/>
        <i/>
        <sz val="13"/>
        <color rgb="FFBC0000"/>
        <rFont val="Calibri"/>
        <family val="2"/>
      </rPr>
      <t>3</t>
    </r>
    <r>
      <rPr>
        <b/>
        <i/>
        <sz val="10"/>
        <color rgb="FFBC0000"/>
        <rFont val="Calibri"/>
        <family val="2"/>
      </rPr>
      <t xml:space="preserve"> FOR SAME CLASS</t>
    </r>
  </si>
  <si>
    <t>745 SAR</t>
  </si>
  <si>
    <t>NE-171</t>
  </si>
  <si>
    <t>NE-175</t>
  </si>
  <si>
    <t>835 SAR</t>
  </si>
  <si>
    <t>Nile Air</t>
  </si>
  <si>
    <t>NP-128</t>
  </si>
  <si>
    <t>SV-383</t>
  </si>
  <si>
    <t>1,193 SAR</t>
  </si>
  <si>
    <t>1,326 SAR</t>
  </si>
  <si>
    <t>SV-335</t>
  </si>
  <si>
    <t>SV-309</t>
  </si>
  <si>
    <t>1,586 SAR</t>
  </si>
  <si>
    <t>1,719 SAR</t>
  </si>
  <si>
    <t>SV-387</t>
  </si>
  <si>
    <t>1,828 SAR</t>
  </si>
  <si>
    <t>1,961 SAR</t>
  </si>
  <si>
    <t>SV-301</t>
  </si>
  <si>
    <t>SV-6664</t>
  </si>
  <si>
    <t>1,944 SAR</t>
  </si>
  <si>
    <t>SV-6891</t>
  </si>
  <si>
    <t>SV-6893</t>
  </si>
  <si>
    <t>SV-6895</t>
  </si>
  <si>
    <t>SV-389</t>
  </si>
  <si>
    <t>2,237 SAR</t>
  </si>
  <si>
    <t>2,370 SAR</t>
  </si>
  <si>
    <t>MS-644</t>
  </si>
  <si>
    <t>1,253 SAR</t>
  </si>
  <si>
    <t>MS-662</t>
  </si>
  <si>
    <t>1,413 SAR</t>
  </si>
  <si>
    <t>MS-668</t>
  </si>
  <si>
    <t>MS-674</t>
  </si>
  <si>
    <t>1,590 SAR</t>
  </si>
  <si>
    <t>MS-672</t>
  </si>
  <si>
    <t>2,005 SAR</t>
  </si>
  <si>
    <t>MS-670</t>
  </si>
  <si>
    <t>MS-664</t>
  </si>
  <si>
    <t>MS-666</t>
  </si>
  <si>
    <t>834 SAR</t>
  </si>
  <si>
    <t>NP-228</t>
  </si>
  <si>
    <t>933 SAR</t>
  </si>
  <si>
    <r>
      <rPr>
        <b/>
        <i/>
        <sz val="13"/>
        <color rgb="FFBC0000"/>
        <rFont val="Calibri"/>
        <family val="2"/>
      </rPr>
      <t>5</t>
    </r>
    <r>
      <rPr>
        <b/>
        <i/>
        <sz val="10"/>
        <color rgb="FFBC0000"/>
        <rFont val="Calibri"/>
        <family val="2"/>
      </rPr>
      <t xml:space="preserve"> FOR SAME CLASS</t>
    </r>
  </si>
  <si>
    <t>856 SAR</t>
  </si>
  <si>
    <t>L5</t>
  </si>
  <si>
    <t>V22 &amp; L16 &amp; G22 &amp; S31 &amp; W5</t>
  </si>
  <si>
    <t>L3</t>
  </si>
  <si>
    <t>K3 &amp; V30 &amp; L20 &amp; G17 &amp; S16 &amp; W5</t>
  </si>
  <si>
    <t>L6</t>
  </si>
  <si>
    <t>V16 &amp; L44 &amp; G17 &amp; S13 &amp; W5</t>
  </si>
  <si>
    <t>L7</t>
  </si>
  <si>
    <t>V20 &amp; L16 &amp; G24 &amp; S32 &amp; W5</t>
  </si>
  <si>
    <t>K6 &amp; V30 &amp; L15 &amp; G17 &amp; S11 &amp; W5 &amp; T2 &amp; X5 &amp; U6 &amp; O4 &amp; I5 &amp; P1</t>
  </si>
  <si>
    <t>SM460</t>
  </si>
  <si>
    <t>V7 &amp; G1 &amp; S17 &amp; W10 &amp; T10 &amp; X10 &amp; U10 &amp; O10 &amp; I10 &amp; P92</t>
  </si>
  <si>
    <t>1,257 SAR</t>
  </si>
  <si>
    <t>1,417 SAR</t>
  </si>
  <si>
    <t>SV-303</t>
  </si>
  <si>
    <t>1,721 SAR</t>
  </si>
  <si>
    <t>SV-305</t>
  </si>
  <si>
    <t>V3 &amp; G16 &amp; S17 &amp; W22 &amp; T10 &amp; X10 &amp; U17 &amp; O17 &amp; I17 &amp; P50</t>
  </si>
  <si>
    <t>K5 &amp; L6 &amp; S24 &amp; W5 &amp; P135 &amp; N4</t>
  </si>
  <si>
    <t>K3 &amp; L1 &amp; G3 &amp; S3 &amp; W4 &amp; T10 &amp; X12 &amp; U5 &amp; O6 &amp; I4 &amp; E45 &amp; P82 &amp; N1</t>
  </si>
  <si>
    <t>01:10</t>
  </si>
  <si>
    <t>L16</t>
  </si>
  <si>
    <t>G28</t>
  </si>
  <si>
    <t>S36</t>
  </si>
  <si>
    <t>W29</t>
  </si>
  <si>
    <t>P28</t>
  </si>
  <si>
    <t>02:45</t>
  </si>
  <si>
    <t>G42</t>
  </si>
  <si>
    <t>S15</t>
  </si>
  <si>
    <t>W13</t>
  </si>
  <si>
    <t>T10</t>
  </si>
  <si>
    <t>U5</t>
  </si>
  <si>
    <t>O5</t>
  </si>
  <si>
    <t>P60</t>
  </si>
  <si>
    <t>06:05</t>
  </si>
  <si>
    <t>V1</t>
  </si>
  <si>
    <t>L11</t>
  </si>
  <si>
    <t>G20</t>
  </si>
  <si>
    <t>S21</t>
  </si>
  <si>
    <t>W31</t>
  </si>
  <si>
    <t>E69</t>
  </si>
  <si>
    <t>P1</t>
  </si>
  <si>
    <t>08:00</t>
  </si>
  <si>
    <t>L10</t>
  </si>
  <si>
    <t>G11</t>
  </si>
  <si>
    <t>S16</t>
  </si>
  <si>
    <t>W5</t>
  </si>
  <si>
    <t>P104</t>
  </si>
  <si>
    <t>08:45</t>
  </si>
  <si>
    <t>V4</t>
  </si>
  <si>
    <t>L28</t>
  </si>
  <si>
    <t>G19</t>
  </si>
  <si>
    <t>S10</t>
  </si>
  <si>
    <t>W10</t>
  </si>
  <si>
    <t>U1</t>
  </si>
  <si>
    <t>I6</t>
  </si>
  <si>
    <t>P2</t>
  </si>
  <si>
    <t>14:00</t>
  </si>
  <si>
    <t>Q1</t>
  </si>
  <si>
    <t>K6</t>
  </si>
  <si>
    <t>G26</t>
  </si>
  <si>
    <t>W4</t>
  </si>
  <si>
    <t>E1</t>
  </si>
  <si>
    <t>P97</t>
  </si>
  <si>
    <t>17:45</t>
  </si>
  <si>
    <t>M6</t>
  </si>
  <si>
    <t>K4</t>
  </si>
  <si>
    <t>V14</t>
  </si>
  <si>
    <t>G16</t>
  </si>
  <si>
    <t>I2</t>
  </si>
  <si>
    <t>P90</t>
  </si>
  <si>
    <t>FRIDAY</t>
  </si>
  <si>
    <t>V30</t>
  </si>
  <si>
    <t>L20</t>
  </si>
  <si>
    <t>G17</t>
  </si>
  <si>
    <t>07:40</t>
  </si>
  <si>
    <t>L15</t>
  </si>
  <si>
    <t>S11</t>
  </si>
  <si>
    <t>T2</t>
  </si>
  <si>
    <t>U6</t>
  </si>
  <si>
    <t>O4</t>
  </si>
  <si>
    <t>11:00</t>
  </si>
  <si>
    <t>V20</t>
  </si>
  <si>
    <t>G24</t>
  </si>
  <si>
    <t>S32</t>
  </si>
  <si>
    <t>14:45</t>
  </si>
  <si>
    <t>V16</t>
  </si>
  <si>
    <t>L44</t>
  </si>
  <si>
    <t>S13</t>
  </si>
  <si>
    <t>17:40</t>
  </si>
  <si>
    <t>V22</t>
  </si>
  <si>
    <t>G22</t>
  </si>
  <si>
    <t>S31</t>
  </si>
  <si>
    <t>22:30</t>
  </si>
  <si>
    <t>G1</t>
  </si>
  <si>
    <t>S17</t>
  </si>
  <si>
    <t>X10</t>
  </si>
  <si>
    <t>U10</t>
  </si>
  <si>
    <t>I10</t>
  </si>
  <si>
    <t>05:40</t>
  </si>
  <si>
    <t>V3</t>
  </si>
  <si>
    <t>W22</t>
  </si>
  <si>
    <t>U17</t>
  </si>
  <si>
    <t>O17</t>
  </si>
  <si>
    <t>P50</t>
  </si>
  <si>
    <t>K5</t>
  </si>
  <si>
    <t>S24</t>
  </si>
  <si>
    <t>P135</t>
  </si>
  <si>
    <t>16:20</t>
  </si>
  <si>
    <t>L1</t>
  </si>
  <si>
    <t>G3</t>
  </si>
  <si>
    <t>S3</t>
  </si>
  <si>
    <t>X12</t>
  </si>
  <si>
    <t>O6</t>
  </si>
  <si>
    <t>I4</t>
  </si>
  <si>
    <t>E45</t>
  </si>
  <si>
    <t>P82</t>
  </si>
  <si>
    <t>N1</t>
  </si>
  <si>
    <t>06:10</t>
  </si>
  <si>
    <t>07:15</t>
  </si>
  <si>
    <t>21:40</t>
  </si>
  <si>
    <t>19:10</t>
  </si>
  <si>
    <t>21:20</t>
  </si>
  <si>
    <t>18:55</t>
  </si>
  <si>
    <t>07:55</t>
  </si>
  <si>
    <t>JED-HBE</t>
  </si>
  <si>
    <t>E5-394</t>
  </si>
  <si>
    <t>Cabin: 10 KG</t>
  </si>
  <si>
    <t>1,006 SAR</t>
  </si>
  <si>
    <t>Cabin: 10 KG / Check-in: 20 KG</t>
  </si>
  <si>
    <t>1,096 SAR</t>
  </si>
  <si>
    <t>1,174 SAR</t>
  </si>
  <si>
    <t>E5-326</t>
  </si>
  <si>
    <t>1,042 SAR</t>
  </si>
  <si>
    <t>1,132 SAR</t>
  </si>
  <si>
    <t>1,210 SAR</t>
  </si>
  <si>
    <t>SM452</t>
  </si>
  <si>
    <t>K1 &amp; V5 &amp; L15 &amp; G3 &amp; S4 &amp; X2 &amp; U5 &amp; O5 &amp; I5 &amp; P134</t>
  </si>
  <si>
    <t>Indirect competition route JED – CAI - diversion ratio &amp; passenger leakage</t>
  </si>
  <si>
    <t>7 FOR SAME CLASS</t>
  </si>
  <si>
    <t>4 FOR SAME CLASS</t>
  </si>
  <si>
    <t>8 FOR SAME CLASS</t>
  </si>
  <si>
    <t>5 FOR SAME CLASS</t>
  </si>
  <si>
    <t>15 FOR SAME CLASS</t>
  </si>
  <si>
    <t>20 FOR SAME CLASS</t>
  </si>
  <si>
    <t>SM-452</t>
  </si>
  <si>
    <t>1,066 SAR</t>
  </si>
  <si>
    <t>K1</t>
  </si>
  <si>
    <t>Q5 &amp; K6 &amp; L3 &amp; G18 &amp; S13 &amp; W14 &amp; T17 &amp; X17 &amp; P84</t>
  </si>
  <si>
    <t>SV-411</t>
  </si>
  <si>
    <t>1,734 SAR</t>
  </si>
  <si>
    <t>1,862 SAR</t>
  </si>
  <si>
    <t>17:10</t>
  </si>
  <si>
    <t>1 FOR SAME CLASS</t>
  </si>
  <si>
    <t>3 FOR SAME CLASS</t>
  </si>
  <si>
    <t>6 FOR SAME CLASS</t>
  </si>
  <si>
    <t>10:00</t>
  </si>
  <si>
    <t>05:30</t>
  </si>
  <si>
    <t>00:20</t>
  </si>
  <si>
    <t>19:00</t>
  </si>
  <si>
    <t>F3-773</t>
  </si>
  <si>
    <t>Hand baggage only</t>
  </si>
  <si>
    <t>849 SAR</t>
  </si>
  <si>
    <t>908 SAR</t>
  </si>
  <si>
    <t>932 SAR</t>
  </si>
  <si>
    <t>Cabin: 10 KG / Check-in: 32 KG</t>
  </si>
  <si>
    <t>SM-458</t>
  </si>
  <si>
    <t>SM458</t>
  </si>
  <si>
    <t>L10 &amp; S16 &amp; W2 &amp; T15 &amp; X17 &amp; P118</t>
  </si>
  <si>
    <t>K2 &amp; V4 &amp; L14 &amp; S7 &amp; X14 &amp; P136</t>
  </si>
  <si>
    <t>869 SAR</t>
  </si>
  <si>
    <t>934 SAR</t>
  </si>
  <si>
    <t>1,116 SAR</t>
  </si>
  <si>
    <r>
      <rPr>
        <b/>
        <i/>
        <sz val="13"/>
        <color rgb="FFBC0000"/>
        <rFont val="Calibri"/>
        <family val="2"/>
      </rPr>
      <t>6</t>
    </r>
    <r>
      <rPr>
        <b/>
        <i/>
        <sz val="10"/>
        <color rgb="FFBC0000"/>
        <rFont val="Calibri"/>
        <family val="2"/>
      </rPr>
      <t xml:space="preserve"> FOR SAME CLASS</t>
    </r>
  </si>
  <si>
    <t>1,272 SAR</t>
  </si>
  <si>
    <t>1,400 SAR</t>
  </si>
  <si>
    <t>MS-656</t>
  </si>
  <si>
    <r>
      <rPr>
        <b/>
        <i/>
        <sz val="13"/>
        <color rgb="FFBC0000"/>
        <rFont val="Calibri"/>
        <family val="2"/>
      </rPr>
      <t>8</t>
    </r>
    <r>
      <rPr>
        <b/>
        <i/>
        <sz val="10"/>
        <color rgb="FFBC0000"/>
        <rFont val="Calibri"/>
        <family val="2"/>
      </rPr>
      <t xml:space="preserve"> FOR SAME CLASS</t>
    </r>
  </si>
  <si>
    <t>1,506 SAR</t>
  </si>
  <si>
    <t>16:00</t>
  </si>
  <si>
    <t>06:30</t>
  </si>
  <si>
    <t>00:10</t>
  </si>
  <si>
    <t>03:25</t>
  </si>
  <si>
    <t>22:20</t>
  </si>
  <si>
    <t>05:50</t>
  </si>
  <si>
    <t>06:35</t>
  </si>
  <si>
    <t>X2</t>
  </si>
  <si>
    <t>P134</t>
  </si>
  <si>
    <t>Q5</t>
  </si>
  <si>
    <t>G18</t>
  </si>
  <si>
    <t>W14</t>
  </si>
  <si>
    <t>T17</t>
  </si>
  <si>
    <t>X17</t>
  </si>
  <si>
    <t>W2</t>
  </si>
  <si>
    <t>T15</t>
  </si>
  <si>
    <t>P118</t>
  </si>
  <si>
    <t>L14</t>
  </si>
  <si>
    <t>S7</t>
  </si>
  <si>
    <t>P136</t>
  </si>
  <si>
    <t>12:40</t>
  </si>
  <si>
    <t>JED-CAI AS ALTERNATIVE ROUTE</t>
  </si>
  <si>
    <t>JED-ATZ</t>
  </si>
  <si>
    <t>SM-422</t>
  </si>
  <si>
    <t>401 SAR</t>
  </si>
  <si>
    <t>SM422</t>
  </si>
  <si>
    <t>I8</t>
  </si>
  <si>
    <t>X1 &amp; U16 &amp; O24 &amp; I57 &amp; P1</t>
  </si>
  <si>
    <t>SM-454</t>
  </si>
  <si>
    <t>586 SAR</t>
  </si>
  <si>
    <t>SM454</t>
  </si>
  <si>
    <t>S1 &amp; W6 &amp; T17 &amp; U2 &amp; O2 &amp; I5 &amp; E1 &amp; P91</t>
  </si>
  <si>
    <t>SM-456</t>
  </si>
  <si>
    <t>646 SAR</t>
  </si>
  <si>
    <t>SM456</t>
  </si>
  <si>
    <t>W9</t>
  </si>
  <si>
    <t>S3 &amp; W17 &amp; T16 &amp; X6 &amp; U17 &amp; O16 &amp; I5 &amp; P39</t>
  </si>
  <si>
    <t>MS-8224</t>
  </si>
  <si>
    <t>Cabin: 7 KG | Check-in: 1 PIECE</t>
  </si>
  <si>
    <t>640 SAR</t>
  </si>
  <si>
    <t>SM-492</t>
  </si>
  <si>
    <t>471 SAR</t>
  </si>
  <si>
    <t>SM492</t>
  </si>
  <si>
    <t>S5 &amp; W3 &amp; T4 &amp; X17 &amp; U13 &amp; O38 &amp; I28 &amp; P3</t>
  </si>
  <si>
    <t>526 SAR</t>
  </si>
  <si>
    <t>G1 &amp; S2 &amp; X6 &amp; U19 &amp; P91</t>
  </si>
  <si>
    <t>X9</t>
  </si>
  <si>
    <t>S2 &amp; W1 &amp; X6 &amp; U20 &amp; O40 &amp; I20 &amp; P34</t>
  </si>
  <si>
    <t>02:00</t>
  </si>
  <si>
    <t>X1</t>
  </si>
  <si>
    <t>U16</t>
  </si>
  <si>
    <t>O24</t>
  </si>
  <si>
    <t>I57</t>
  </si>
  <si>
    <t>11:45</t>
  </si>
  <si>
    <t>S1</t>
  </si>
  <si>
    <t>W6</t>
  </si>
  <si>
    <t>U2</t>
  </si>
  <si>
    <t>O2</t>
  </si>
  <si>
    <t>P91</t>
  </si>
  <si>
    <t>17:00</t>
  </si>
  <si>
    <t>W17</t>
  </si>
  <si>
    <t>T16</t>
  </si>
  <si>
    <t>O16</t>
  </si>
  <si>
    <t>P39</t>
  </si>
  <si>
    <t>07:00</t>
  </si>
  <si>
    <t>W3</t>
  </si>
  <si>
    <t>T4</t>
  </si>
  <si>
    <t>U13</t>
  </si>
  <si>
    <t>O38</t>
  </si>
  <si>
    <t>I28</t>
  </si>
  <si>
    <t>P3</t>
  </si>
  <si>
    <t>11:05</t>
  </si>
  <si>
    <t>W1</t>
  </si>
  <si>
    <t>O40</t>
  </si>
  <si>
    <t>P34</t>
  </si>
  <si>
    <t>16:30</t>
  </si>
  <si>
    <t>U19</t>
  </si>
  <si>
    <t>JED-LXR</t>
  </si>
  <si>
    <t>JED-ASW</t>
  </si>
  <si>
    <t>JED-SSH</t>
  </si>
  <si>
    <t>JED-HRG</t>
  </si>
  <si>
    <t>RUH-CAI</t>
  </si>
  <si>
    <t>XY-273</t>
  </si>
  <si>
    <t>XY-263</t>
  </si>
  <si>
    <r>
      <rPr>
        <i/>
        <sz val="13"/>
        <rFont val="Calibri"/>
        <family val="2"/>
      </rPr>
      <t>2</t>
    </r>
    <r>
      <rPr>
        <i/>
        <sz val="10"/>
        <rFont val="Calibri"/>
        <family val="2"/>
      </rPr>
      <t xml:space="preserve"> FOR SAME CLASS</t>
    </r>
  </si>
  <si>
    <t>XY-269</t>
  </si>
  <si>
    <t>XY-267</t>
  </si>
  <si>
    <r>
      <rPr>
        <i/>
        <sz val="13"/>
        <rFont val="Calibri"/>
        <family val="2"/>
      </rPr>
      <t>8</t>
    </r>
    <r>
      <rPr>
        <i/>
        <sz val="10"/>
        <rFont val="Calibri"/>
        <family val="2"/>
      </rPr>
      <t xml:space="preserve"> FOR SAME CLASS</t>
    </r>
  </si>
  <si>
    <t>759 SAR</t>
  </si>
  <si>
    <t>XY-275</t>
  </si>
  <si>
    <t>739 SAR</t>
  </si>
  <si>
    <t>839 SAR</t>
  </si>
  <si>
    <t>929 SAR</t>
  </si>
  <si>
    <t>XY-271</t>
  </si>
  <si>
    <t>899 SAR</t>
  </si>
  <si>
    <t>999 SAR</t>
  </si>
  <si>
    <t>1,089 SAR</t>
  </si>
  <si>
    <t>XY-265</t>
  </si>
  <si>
    <t>979 SAR</t>
  </si>
  <si>
    <t>1,079 SAR</t>
  </si>
  <si>
    <t>1,169 SAR</t>
  </si>
  <si>
    <t>F3-607</t>
  </si>
  <si>
    <t>649 SAR</t>
  </si>
  <si>
    <t>1,299 SAR</t>
  </si>
  <si>
    <t>F3-605</t>
  </si>
  <si>
    <t>F3-611</t>
  </si>
  <si>
    <r>
      <rPr>
        <b/>
        <i/>
        <sz val="13"/>
        <rFont val="Calibri"/>
        <family val="2"/>
      </rPr>
      <t>16</t>
    </r>
    <r>
      <rPr>
        <b/>
        <i/>
        <sz val="10"/>
        <rFont val="Calibri"/>
        <family val="2"/>
      </rPr>
      <t xml:space="preserve"> FOR SAME CLASS</t>
    </r>
  </si>
  <si>
    <r>
      <rPr>
        <i/>
        <sz val="13"/>
        <rFont val="Calibri"/>
        <family val="2"/>
      </rPr>
      <t>16</t>
    </r>
    <r>
      <rPr>
        <i/>
        <sz val="10"/>
        <rFont val="Calibri"/>
        <family val="2"/>
      </rPr>
      <t xml:space="preserve"> FOR SAME CLASS</t>
    </r>
  </si>
  <si>
    <t>1,019 SAR</t>
  </si>
  <si>
    <t>1,999 SAR</t>
  </si>
  <si>
    <t>F3-615</t>
  </si>
  <si>
    <r>
      <rPr>
        <b/>
        <i/>
        <sz val="13"/>
        <rFont val="Calibri"/>
        <family val="2"/>
      </rPr>
      <t>11</t>
    </r>
    <r>
      <rPr>
        <b/>
        <i/>
        <sz val="10"/>
        <rFont val="Calibri"/>
        <family val="2"/>
      </rPr>
      <t xml:space="preserve"> FOR SAME CLASS</t>
    </r>
  </si>
  <si>
    <r>
      <rPr>
        <i/>
        <sz val="13"/>
        <rFont val="Calibri"/>
        <family val="2"/>
      </rPr>
      <t>11</t>
    </r>
    <r>
      <rPr>
        <i/>
        <sz val="10"/>
        <rFont val="Calibri"/>
        <family val="2"/>
      </rPr>
      <t xml:space="preserve"> FOR SAME CLASS</t>
    </r>
  </si>
  <si>
    <t>E5-411</t>
  </si>
  <si>
    <t>Cabin: 10 KG / Check-in: 30 KG</t>
  </si>
  <si>
    <t>863 SAR</t>
  </si>
  <si>
    <t>NE-161</t>
  </si>
  <si>
    <t>NE-165</t>
  </si>
  <si>
    <t>935 SAR</t>
  </si>
  <si>
    <t>SM-462</t>
  </si>
  <si>
    <t>794 SAR</t>
  </si>
  <si>
    <t>SM462</t>
  </si>
  <si>
    <t>Q1 &amp; K6 &amp; V6 &amp; L37 &amp; G12 &amp; S8 &amp; W25 &amp; X1 &amp; U9 &amp; O18 &amp; I3 &amp; N2</t>
  </si>
  <si>
    <t>NP-152</t>
  </si>
  <si>
    <t>NP-352</t>
  </si>
  <si>
    <t>1,043 SAR</t>
  </si>
  <si>
    <t>NP-252</t>
  </si>
  <si>
    <t>MS-650</t>
  </si>
  <si>
    <t>1,907 SAR</t>
  </si>
  <si>
    <t>MS-652</t>
  </si>
  <si>
    <t>2,672 SAR</t>
  </si>
  <si>
    <t>MS-648</t>
  </si>
  <si>
    <t>3,061 SAR</t>
  </si>
  <si>
    <t>SV-311</t>
  </si>
  <si>
    <t>1,990 SAR</t>
  </si>
  <si>
    <t>2,118 SAR</t>
  </si>
  <si>
    <t>SV-417</t>
  </si>
  <si>
    <t>2,140 SAR</t>
  </si>
  <si>
    <t>2,268 SAR</t>
  </si>
  <si>
    <t>SV-6676</t>
  </si>
  <si>
    <t>2,167 SAR</t>
  </si>
  <si>
    <t>SV-313</t>
  </si>
  <si>
    <t>3,569 SAR</t>
  </si>
  <si>
    <r>
      <rPr>
        <i/>
        <sz val="13"/>
        <rFont val="Calibri"/>
        <family val="2"/>
      </rPr>
      <t>5</t>
    </r>
    <r>
      <rPr>
        <i/>
        <sz val="10"/>
        <rFont val="Calibri"/>
        <family val="2"/>
      </rPr>
      <t xml:space="preserve"> FOR SAME CLASS</t>
    </r>
  </si>
  <si>
    <t>3,697 SAR</t>
  </si>
  <si>
    <r>
      <rPr>
        <b/>
        <i/>
        <sz val="13"/>
        <color rgb="FFBC0000"/>
        <rFont val="Calibri"/>
        <family val="2"/>
      </rPr>
      <t>24</t>
    </r>
    <r>
      <rPr>
        <b/>
        <i/>
        <sz val="10"/>
        <color rgb="FFBC0000"/>
        <rFont val="Calibri"/>
        <family val="2"/>
      </rPr>
      <t xml:space="preserve"> FOR SAME CLASS</t>
    </r>
  </si>
  <si>
    <t>599 SAR</t>
  </si>
  <si>
    <r>
      <rPr>
        <i/>
        <sz val="13"/>
        <rFont val="Calibri"/>
        <family val="2"/>
      </rPr>
      <t>24</t>
    </r>
    <r>
      <rPr>
        <i/>
        <sz val="10"/>
        <rFont val="Calibri"/>
        <family val="2"/>
      </rPr>
      <t xml:space="preserve"> FOR SAME CLASS</t>
    </r>
  </si>
  <si>
    <r>
      <rPr>
        <i/>
        <sz val="13"/>
        <rFont val="Calibri"/>
        <family val="2"/>
      </rPr>
      <t>15</t>
    </r>
    <r>
      <rPr>
        <i/>
        <sz val="10"/>
        <rFont val="Calibri"/>
        <family val="2"/>
      </rPr>
      <t xml:space="preserve"> FOR SAME CLASS</t>
    </r>
  </si>
  <si>
    <r>
      <rPr>
        <b/>
        <i/>
        <sz val="13"/>
        <rFont val="Calibri"/>
        <family val="2"/>
      </rPr>
      <t>33</t>
    </r>
    <r>
      <rPr>
        <b/>
        <i/>
        <sz val="10"/>
        <rFont val="Calibri"/>
        <family val="2"/>
      </rPr>
      <t xml:space="preserve"> FOR SAME CLASS</t>
    </r>
  </si>
  <si>
    <r>
      <rPr>
        <i/>
        <sz val="13"/>
        <rFont val="Calibri"/>
        <family val="2"/>
      </rPr>
      <t>33</t>
    </r>
    <r>
      <rPr>
        <i/>
        <sz val="10"/>
        <rFont val="Calibri"/>
        <family val="2"/>
      </rPr>
      <t xml:space="preserve"> FOR SAME CLASS</t>
    </r>
  </si>
  <si>
    <r>
      <rPr>
        <b/>
        <i/>
        <sz val="13"/>
        <rFont val="Calibri"/>
        <family val="2"/>
      </rPr>
      <t>14</t>
    </r>
    <r>
      <rPr>
        <b/>
        <i/>
        <sz val="10"/>
        <rFont val="Calibri"/>
        <family val="2"/>
      </rPr>
      <t xml:space="preserve"> FOR SAME CLASS</t>
    </r>
  </si>
  <si>
    <r>
      <rPr>
        <i/>
        <sz val="13"/>
        <rFont val="Calibri"/>
        <family val="2"/>
      </rPr>
      <t>3</t>
    </r>
    <r>
      <rPr>
        <i/>
        <sz val="10"/>
        <rFont val="Calibri"/>
        <family val="2"/>
      </rPr>
      <t xml:space="preserve"> FOR SAME CLASS</t>
    </r>
  </si>
  <si>
    <t>SM-470</t>
  </si>
  <si>
    <t>728 SAR</t>
  </si>
  <si>
    <t>SM470</t>
  </si>
  <si>
    <t>S19 &amp; W15 &amp; T58 &amp; X35</t>
  </si>
  <si>
    <t>976 SAR</t>
  </si>
  <si>
    <t>G9</t>
  </si>
  <si>
    <t>K4 &amp; G5 &amp; S20 &amp; W39 &amp; T10 &amp; X10 &amp; U9 &amp; O10 &amp; I30</t>
  </si>
  <si>
    <t>1,191 SAR</t>
  </si>
  <si>
    <t>2,287 SAR</t>
  </si>
  <si>
    <t>3,057 SAR</t>
  </si>
  <si>
    <t>SV-321</t>
  </si>
  <si>
    <t>1,930 SAR</t>
  </si>
  <si>
    <t>SV-6595</t>
  </si>
  <si>
    <t>SV-6749</t>
  </si>
  <si>
    <t>2,357 SAR</t>
  </si>
  <si>
    <t>2,485 SAR</t>
  </si>
  <si>
    <t>469 SAR</t>
  </si>
  <si>
    <t>509 SAR</t>
  </si>
  <si>
    <r>
      <rPr>
        <b/>
        <i/>
        <sz val="13"/>
        <rFont val="Calibri"/>
        <family val="2"/>
      </rPr>
      <t>10</t>
    </r>
    <r>
      <rPr>
        <b/>
        <i/>
        <sz val="10"/>
        <rFont val="Calibri"/>
        <family val="2"/>
      </rPr>
      <t xml:space="preserve"> FOR SAME CLASS</t>
    </r>
  </si>
  <si>
    <r>
      <rPr>
        <i/>
        <sz val="13"/>
        <rFont val="Calibri"/>
        <family val="2"/>
      </rPr>
      <t>10</t>
    </r>
    <r>
      <rPr>
        <i/>
        <sz val="10"/>
        <rFont val="Calibri"/>
        <family val="2"/>
      </rPr>
      <t xml:space="preserve"> FOR SAME CLASS</t>
    </r>
  </si>
  <si>
    <t>NP-354</t>
  </si>
  <si>
    <t>518 SAR</t>
  </si>
  <si>
    <t>539 SAR</t>
  </si>
  <si>
    <t>639 SAR</t>
  </si>
  <si>
    <t>729 SAR</t>
  </si>
  <si>
    <t>779 SAR</t>
  </si>
  <si>
    <t>K2 &amp; W2 &amp; T12 &amp; X45 &amp; U5 &amp; O25 &amp; I5</t>
  </si>
  <si>
    <t>1,187 SAR</t>
  </si>
  <si>
    <t>1,717 SAR</t>
  </si>
  <si>
    <t>14:40</t>
  </si>
  <si>
    <t>V6</t>
  </si>
  <si>
    <t>L37</t>
  </si>
  <si>
    <t>G12</t>
  </si>
  <si>
    <t>S8</t>
  </si>
  <si>
    <t>W25</t>
  </si>
  <si>
    <t>O18</t>
  </si>
  <si>
    <t>I3</t>
  </si>
  <si>
    <t>G5</t>
  </si>
  <si>
    <t>S20</t>
  </si>
  <si>
    <t>W39</t>
  </si>
  <si>
    <t>I30</t>
  </si>
  <si>
    <t>22:10</t>
  </si>
  <si>
    <t>S19</t>
  </si>
  <si>
    <t>W15</t>
  </si>
  <si>
    <t>T58</t>
  </si>
  <si>
    <t>X35</t>
  </si>
  <si>
    <t>T12</t>
  </si>
  <si>
    <t>X45</t>
  </si>
  <si>
    <t>O25</t>
  </si>
  <si>
    <t>09:00</t>
  </si>
  <si>
    <t>07:20</t>
  </si>
  <si>
    <t>10:15</t>
  </si>
  <si>
    <t>12:00</t>
  </si>
  <si>
    <t>10:45</t>
  </si>
  <si>
    <t>13:35</t>
  </si>
  <si>
    <t>14:55</t>
  </si>
  <si>
    <t>06:40</t>
  </si>
  <si>
    <t>RUH-ATZ</t>
  </si>
  <si>
    <t>RUH-CAI AS ALTERNATIVE ROUTE</t>
  </si>
  <si>
    <t>18:15</t>
  </si>
  <si>
    <t>19:35</t>
  </si>
  <si>
    <t>19:50</t>
  </si>
  <si>
    <t>15:55</t>
  </si>
  <si>
    <t>DMM-CAI</t>
  </si>
  <si>
    <t>XY-854</t>
  </si>
  <si>
    <t>579 SAR</t>
  </si>
  <si>
    <t>679 SAR</t>
  </si>
  <si>
    <t>XY-894</t>
  </si>
  <si>
    <t>809 SAR</t>
  </si>
  <si>
    <t>F3-911</t>
  </si>
  <si>
    <r>
      <rPr>
        <b/>
        <i/>
        <sz val="13"/>
        <color rgb="FFBC0000"/>
        <rFont val="Calibri"/>
        <family val="2"/>
      </rPr>
      <t>13</t>
    </r>
    <r>
      <rPr>
        <b/>
        <i/>
        <sz val="10"/>
        <color rgb="FFBC0000"/>
        <rFont val="Calibri"/>
        <family val="2"/>
      </rPr>
      <t xml:space="preserve"> FOR SAME CLASS</t>
    </r>
  </si>
  <si>
    <r>
      <rPr>
        <i/>
        <sz val="13"/>
        <rFont val="Calibri"/>
        <family val="2"/>
      </rPr>
      <t>13</t>
    </r>
    <r>
      <rPr>
        <i/>
        <sz val="10"/>
        <rFont val="Calibri"/>
        <family val="2"/>
      </rPr>
      <t xml:space="preserve"> FOR SAME CLASS</t>
    </r>
  </si>
  <si>
    <t>NE-153</t>
  </si>
  <si>
    <t>916 SAR</t>
  </si>
  <si>
    <t>NE-155</t>
  </si>
  <si>
    <t>1,024 SAR</t>
  </si>
  <si>
    <t>NP-332</t>
  </si>
  <si>
    <t>1,023 SAR</t>
  </si>
  <si>
    <t>NP-132</t>
  </si>
  <si>
    <t>SM-434</t>
  </si>
  <si>
    <t>1,136 SAR</t>
  </si>
  <si>
    <t>SM434</t>
  </si>
  <si>
    <t>K2 &amp; V46 &amp; L16 &amp; G13 &amp; S10 &amp; W3 &amp; X4 &amp; U5 &amp; O4</t>
  </si>
  <si>
    <t>MS-684</t>
  </si>
  <si>
    <t>1,747 SAR</t>
  </si>
  <si>
    <t>MS-688</t>
  </si>
  <si>
    <t>2,587 SAR</t>
  </si>
  <si>
    <t>MS-682</t>
  </si>
  <si>
    <t>SV-6446</t>
  </si>
  <si>
    <t>1,801 SAR</t>
  </si>
  <si>
    <t>NE-151</t>
  </si>
  <si>
    <t>813 SAR</t>
  </si>
  <si>
    <t>1,436 SAR</t>
  </si>
  <si>
    <t>Q7</t>
  </si>
  <si>
    <t>Q3 &amp; K19 &amp; V10 &amp; L17 &amp; G35 &amp; S10 &amp; W3 &amp; O1</t>
  </si>
  <si>
    <t>2,024 SAR</t>
  </si>
  <si>
    <t>E5-316</t>
  </si>
  <si>
    <t>544 SAR</t>
  </si>
  <si>
    <t>771 SAR</t>
  </si>
  <si>
    <t>629 SAR</t>
  </si>
  <si>
    <t>NP-232</t>
  </si>
  <si>
    <t>819 SAR</t>
  </si>
  <si>
    <t>656 SAR</t>
  </si>
  <si>
    <t>806 SAR</t>
  </si>
  <si>
    <t>G1 &amp; S19 &amp; W12 &amp; X8 &amp; U8 &amp; O8 &amp; I26</t>
  </si>
  <si>
    <t>1,267 SAR</t>
  </si>
  <si>
    <t>1,567 SAR</t>
  </si>
  <si>
    <t>V46</t>
  </si>
  <si>
    <t>G13</t>
  </si>
  <si>
    <t>13:55</t>
  </si>
  <si>
    <t>Q3</t>
  </si>
  <si>
    <t>K19</t>
  </si>
  <si>
    <t>V10</t>
  </si>
  <si>
    <t>L17</t>
  </si>
  <si>
    <t>G35</t>
  </si>
  <si>
    <t>O1</t>
  </si>
  <si>
    <t>W12</t>
  </si>
  <si>
    <t>O8</t>
  </si>
  <si>
    <t>I26</t>
  </si>
  <si>
    <t>04:45</t>
  </si>
  <si>
    <t>20:00</t>
  </si>
  <si>
    <t>06:50</t>
  </si>
  <si>
    <t>13:30</t>
  </si>
  <si>
    <t>23:00</t>
  </si>
  <si>
    <t>DMM-ATZ</t>
  </si>
  <si>
    <t>SM-438</t>
  </si>
  <si>
    <t>741 SAR</t>
  </si>
  <si>
    <t>SM438</t>
  </si>
  <si>
    <t>S17 &amp; W20 &amp; T20 &amp; X20 &amp; U20 &amp; O20 &amp; I20</t>
  </si>
  <si>
    <t>Indirect competition route DMM – CAI - diversion ratio &amp; passenger leakage</t>
  </si>
  <si>
    <t>05:10</t>
  </si>
  <si>
    <t>20:45</t>
  </si>
  <si>
    <t>04:05</t>
  </si>
  <si>
    <t>W20</t>
  </si>
  <si>
    <t>T20</t>
  </si>
  <si>
    <t>X20</t>
  </si>
  <si>
    <t>DMM-CAI AS ALTERNATIVE ROUTE</t>
  </si>
  <si>
    <t>TUU-CAI</t>
  </si>
  <si>
    <t>SM-326</t>
  </si>
  <si>
    <t>850 SAR</t>
  </si>
  <si>
    <t>SM326</t>
  </si>
  <si>
    <t>V2</t>
  </si>
  <si>
    <t>K1 &amp; V8 &amp; L20 &amp; G22 &amp; S20 &amp; W10 &amp; T16 &amp; X7 &amp; U10 &amp; O17 &amp; I18</t>
  </si>
  <si>
    <t>NP-108</t>
  </si>
  <si>
    <t>1,450 SAR</t>
  </si>
  <si>
    <t>MS-812</t>
  </si>
  <si>
    <t>3,273 SAR</t>
  </si>
  <si>
    <t>E5-590</t>
  </si>
  <si>
    <t>467 SAR</t>
  </si>
  <si>
    <t>693 SAR</t>
  </si>
  <si>
    <t>489 SAR</t>
  </si>
  <si>
    <t>NP-118</t>
  </si>
  <si>
    <t>521 SAR</t>
  </si>
  <si>
    <t>NE-121</t>
  </si>
  <si>
    <t>355 SAR</t>
  </si>
  <si>
    <t>400 SAR</t>
  </si>
  <si>
    <t>U3 &amp; O46 &amp; I18</t>
  </si>
  <si>
    <t>420 SAR</t>
  </si>
  <si>
    <t>V8</t>
  </si>
  <si>
    <t>X7</t>
  </si>
  <si>
    <t>I18</t>
  </si>
  <si>
    <t>23:45</t>
  </si>
  <si>
    <t>E90</t>
  </si>
  <si>
    <t>U3</t>
  </si>
  <si>
    <t>O46</t>
  </si>
  <si>
    <t>TUU-ATZ</t>
  </si>
  <si>
    <t>SM328</t>
  </si>
  <si>
    <t>SEATS AVAILABLE</t>
  </si>
  <si>
    <t>S1 &amp; W1 &amp; T6 &amp; X8 &amp; U10 &amp; O11 &amp; I27</t>
  </si>
  <si>
    <t>Indirect competition route TUU – CAI - diversion ratio &amp; passenger leakage</t>
  </si>
  <si>
    <t>15:15</t>
  </si>
  <si>
    <t>03:05</t>
  </si>
  <si>
    <t>21:45</t>
  </si>
  <si>
    <t>2 FOR SAME CLASS</t>
  </si>
  <si>
    <t>12:25</t>
  </si>
  <si>
    <t>T6</t>
  </si>
  <si>
    <t>O11</t>
  </si>
  <si>
    <t>I27</t>
  </si>
  <si>
    <t>TUU-CAI AS ALTERNATIVE ROUTE</t>
  </si>
  <si>
    <t>SM-328</t>
  </si>
  <si>
    <t>AJF-CAI</t>
  </si>
  <si>
    <t>NP-120</t>
  </si>
  <si>
    <t>SM-322</t>
  </si>
  <si>
    <t>788 SAR</t>
  </si>
  <si>
    <t>SM322</t>
  </si>
  <si>
    <t>Q1 &amp; K3 &amp; V42 &amp; L2 &amp; G16 &amp; S20 &amp; W4 &amp; T12 &amp; X1 &amp; U11 &amp; O23 &amp; I20</t>
  </si>
  <si>
    <t>668 SAR</t>
  </si>
  <si>
    <t>S9 &amp; W12 &amp; T24 &amp; X4 &amp; U20 &amp; O77 &amp; I2</t>
  </si>
  <si>
    <t>21:55</t>
  </si>
  <si>
    <t>V42</t>
  </si>
  <si>
    <t>L2</t>
  </si>
  <si>
    <t>U11</t>
  </si>
  <si>
    <t>O23</t>
  </si>
  <si>
    <t>S9</t>
  </si>
  <si>
    <t>T24</t>
  </si>
  <si>
    <t>O77</t>
  </si>
  <si>
    <t>20:25</t>
  </si>
  <si>
    <t>AJF-ATZ</t>
  </si>
  <si>
    <t>SM-324</t>
  </si>
  <si>
    <t>573 SAR</t>
  </si>
  <si>
    <t>SM324</t>
  </si>
  <si>
    <t>T8</t>
  </si>
  <si>
    <t>V4 &amp; L9 &amp; G9 &amp; S12 &amp; W3 &amp; T8 &amp; X25 &amp; U15 &amp; O52 &amp; I8</t>
  </si>
  <si>
    <t>L9</t>
  </si>
  <si>
    <t>S12</t>
  </si>
  <si>
    <t>X25</t>
  </si>
  <si>
    <t>U15</t>
  </si>
  <si>
    <t>O52</t>
  </si>
  <si>
    <t>AJF-CAI AS ALTERNATIVE ROUTE</t>
  </si>
  <si>
    <t>YNB-CAI</t>
  </si>
  <si>
    <t>NP-104</t>
  </si>
  <si>
    <t>571 SAR</t>
  </si>
  <si>
    <t>NE-181</t>
  </si>
  <si>
    <t>SM-442</t>
  </si>
  <si>
    <t>868 SAR</t>
  </si>
  <si>
    <t>SM442</t>
  </si>
  <si>
    <t>G2</t>
  </si>
  <si>
    <t>V1 &amp; G12 &amp; S16 &amp; W30 &amp; T43 &amp; X35 &amp; U10 &amp; O10 &amp; I20</t>
  </si>
  <si>
    <t>G7 &amp; S58 &amp; W47 &amp; T9 &amp; X18 &amp; U15 &amp; O10 &amp; I5</t>
  </si>
  <si>
    <t>748 SAR</t>
  </si>
  <si>
    <t>G5 &amp; S20 &amp; W32 &amp; T9 &amp; X10 &amp; U18 &amp; P73</t>
  </si>
  <si>
    <t>14:20</t>
  </si>
  <si>
    <t>W30</t>
  </si>
  <si>
    <t>T43</t>
  </si>
  <si>
    <t>07:50</t>
  </si>
  <si>
    <t>S58</t>
  </si>
  <si>
    <t>W47</t>
  </si>
  <si>
    <t>X18</t>
  </si>
  <si>
    <t>W32</t>
  </si>
  <si>
    <t>U18</t>
  </si>
  <si>
    <t>P73</t>
  </si>
  <si>
    <t>04:15</t>
  </si>
  <si>
    <t>11:25</t>
  </si>
  <si>
    <t>AHB-CAI</t>
  </si>
  <si>
    <t>SM-448</t>
  </si>
  <si>
    <t>1,306 SAR</t>
  </si>
  <si>
    <t>SM448</t>
  </si>
  <si>
    <t>Q9</t>
  </si>
  <si>
    <t>Q14 &amp; K18 &amp; V22 &amp; L33 &amp; G8 &amp; S2 &amp; W6</t>
  </si>
  <si>
    <t>NP-144</t>
  </si>
  <si>
    <t>1,271 SAR</t>
  </si>
  <si>
    <t>SM-444</t>
  </si>
  <si>
    <t>SM444</t>
  </si>
  <si>
    <t>Q15 &amp; K32 &amp; V36 &amp; L9 &amp; G9 &amp; S1 &amp; W8</t>
  </si>
  <si>
    <t>NP-244</t>
  </si>
  <si>
    <t>971 SAR</t>
  </si>
  <si>
    <t>01:05</t>
  </si>
  <si>
    <t>Q14</t>
  </si>
  <si>
    <t>K18</t>
  </si>
  <si>
    <t>L33</t>
  </si>
  <si>
    <t>00:05</t>
  </si>
  <si>
    <t>Q15</t>
  </si>
  <si>
    <t>K32</t>
  </si>
  <si>
    <t>V36</t>
  </si>
  <si>
    <t>AHB-ATZ</t>
  </si>
  <si>
    <t>SM446</t>
  </si>
  <si>
    <t>K1 &amp; V7 &amp; L8 &amp; G7 &amp; S27 &amp; W11</t>
  </si>
  <si>
    <t>Indirect competition route AHB – CAI - diversion ratio &amp; passenger leakage</t>
  </si>
  <si>
    <t>L8</t>
  </si>
  <si>
    <t>S27</t>
  </si>
  <si>
    <t>W11</t>
  </si>
  <si>
    <t>AHB-CAI AS ALTERNATIVE ROUTE</t>
  </si>
  <si>
    <t>SM-446</t>
  </si>
  <si>
    <t>ELQ-CAI</t>
  </si>
  <si>
    <t>E5-592</t>
  </si>
  <si>
    <t>532 SAR</t>
  </si>
  <si>
    <t>655 SAR</t>
  </si>
  <si>
    <t>NE-141</t>
  </si>
  <si>
    <t>600 SAR</t>
  </si>
  <si>
    <t>NE-143</t>
  </si>
  <si>
    <t>650 SAR</t>
  </si>
  <si>
    <t>SM-428</t>
  </si>
  <si>
    <t>622 SAR</t>
  </si>
  <si>
    <t>SM428</t>
  </si>
  <si>
    <t>K2 &amp; V21 &amp; L23 &amp; G15 &amp; S37 &amp; X1 &amp; U6 &amp; O2 &amp; I2 &amp; N2</t>
  </si>
  <si>
    <t>NP-106</t>
  </si>
  <si>
    <t>MS-634</t>
  </si>
  <si>
    <t>1,709 SAR</t>
  </si>
  <si>
    <t>NP-116</t>
  </si>
  <si>
    <t>550 SAR</t>
  </si>
  <si>
    <t>562 SAR</t>
  </si>
  <si>
    <t>G1 &amp; S9 &amp; W14 &amp; T10 &amp; X20 &amp; U36 &amp; O19</t>
  </si>
  <si>
    <t>950 SAR</t>
  </si>
  <si>
    <t>984 SAR</t>
  </si>
  <si>
    <t>V21</t>
  </si>
  <si>
    <t>L23</t>
  </si>
  <si>
    <t>G15</t>
  </si>
  <si>
    <t>S37</t>
  </si>
  <si>
    <t>00:01</t>
  </si>
  <si>
    <t>U36</t>
  </si>
  <si>
    <t>O19</t>
  </si>
  <si>
    <t>15:00</t>
  </si>
  <si>
    <t>ELQ-ATZ</t>
  </si>
  <si>
    <t>SM-436</t>
  </si>
  <si>
    <t>500 SAR</t>
  </si>
  <si>
    <t>SM436</t>
  </si>
  <si>
    <t>X9 &amp; U20 &amp; O50</t>
  </si>
  <si>
    <t>Indirect competition route ELQ – CAI - diversion ratio &amp; passenger leakage</t>
  </si>
  <si>
    <t>23:30</t>
  </si>
  <si>
    <t>14:35</t>
  </si>
  <si>
    <t>00:45</t>
  </si>
  <si>
    <t>O50</t>
  </si>
  <si>
    <t>ELQ-CAI AS ALTERNATIVE ROUTE</t>
  </si>
  <si>
    <t>15:45</t>
  </si>
  <si>
    <t>20:50</t>
  </si>
  <si>
    <t>00:50</t>
  </si>
  <si>
    <t>GIZ-CAI</t>
  </si>
  <si>
    <t>NP-142</t>
  </si>
  <si>
    <t>1,771 SAR</t>
  </si>
  <si>
    <t>E5-586</t>
  </si>
  <si>
    <t>1,345 SAR</t>
  </si>
  <si>
    <t>1,592 SAR</t>
  </si>
  <si>
    <t>SM-330</t>
  </si>
  <si>
    <t>1,458 SAR</t>
  </si>
  <si>
    <t>SM330</t>
  </si>
  <si>
    <t>Q11 &amp; K30 &amp; V10 &amp; L18 &amp; G17 &amp; S9 &amp; W8</t>
  </si>
  <si>
    <t>1,221 SAR</t>
  </si>
  <si>
    <t>00:30</t>
  </si>
  <si>
    <t>K30</t>
  </si>
  <si>
    <t>L18</t>
  </si>
  <si>
    <t>13:00</t>
  </si>
  <si>
    <t>04:10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</si>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</sst>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8"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i/>
      <sz val="18"/>
      <color rgb="FFFF00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9C0006"/>
      <name val="Calibri"/>
      <family val="2"/>
    </font>
    <font>
      <i/>
      <sz val="11"/>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2CA93"/>
      </patternFill>
    </fill>
    <fill>
      <patternFill patternType="solid">
        <fgColor rgb="FFCCCCCC"/>
        <bgColor rgb="FFCCCCCC"/>
      </patternFill>
    </fill>
    <fill>
      <patternFill patternType="solid">
        <fgColor rgb="FFB5E7D3"/>
      </patternFill>
    </fill>
    <fill>
      <patternFill patternType="solid">
        <fgColor rgb="FF366092"/>
      </patternFill>
    </fill>
    <fill>
      <patternFill patternType="solid">
        <fgColor rgb="FFC5D9F1"/>
      </patternFill>
    </fill>
    <fill>
      <patternFill patternType="solid">
        <fgColor rgb="FFD8E4BC"/>
      </patternFill>
    </fill>
    <fill>
      <patternFill patternType="solid">
        <fgColor rgb="FFFFE4B5"/>
      </patternFill>
    </fill>
    <fill>
      <patternFill patternType="solid">
        <fgColor rgb="FFFFFFCC"/>
      </patternFill>
    </fill>
    <fill>
      <patternFill patternType="solid">
        <fgColor rgb="FFC7FFFF"/>
      </patternFill>
    </fill>
    <fill>
      <patternFill patternType="solid">
        <fgColor rgb="FFE6D5E6"/>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98">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0" fontId="10" fillId="10" borderId="13" xfId="0" applyFont="1" applyFill="1" applyBorder="1" applyAlignment="1">
      <alignment horizontal="center" vertical="center"/>
    </xf>
    <xf numFmtId="49" fontId="15" fillId="10" borderId="15"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1" fontId="15" fillId="10" borderId="16" xfId="0" applyNumberFormat="1" applyFont="1" applyFill="1" applyBorder="1" applyAlignment="1">
      <alignment horizontal="center" vertical="center"/>
    </xf>
    <xf numFmtId="16" fontId="15" fillId="10" borderId="16" xfId="0" applyNumberFormat="1" applyFont="1" applyFill="1" applyBorder="1" applyAlignment="1">
      <alignment horizontal="center" vertical="center"/>
    </xf>
    <xf numFmtId="49" fontId="17" fillId="10" borderId="16" xfId="0" applyNumberFormat="1" applyFont="1" applyFill="1" applyBorder="1" applyAlignment="1">
      <alignment horizontal="center" vertical="center"/>
    </xf>
    <xf numFmtId="168" fontId="15" fillId="10" borderId="16" xfId="0" applyNumberFormat="1" applyFont="1" applyFill="1" applyBorder="1" applyAlignment="1">
      <alignment horizontal="center" vertical="center"/>
    </xf>
    <xf numFmtId="49" fontId="15" fillId="10" borderId="17" xfId="0" applyNumberFormat="1" applyFont="1" applyFill="1" applyBorder="1" applyAlignment="1">
      <alignment horizontal="center" vertical="center"/>
    </xf>
    <xf numFmtId="0" fontId="0" fillId="0" borderId="0" xfId="0"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172"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3"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5" fillId="12" borderId="30" xfId="0" applyNumberFormat="1" applyFont="1" applyFill="1" applyBorder="1" applyAlignment="1">
      <alignment horizontal="center" vertical="center"/>
    </xf>
    <xf numFmtId="169" fontId="16" fillId="12" borderId="31" xfId="0" applyNumberFormat="1" applyFont="1" applyFill="1" applyBorder="1" applyAlignment="1">
      <alignment horizontal="center" vertical="center"/>
    </xf>
    <xf numFmtId="1" fontId="15" fillId="12" borderId="31" xfId="0" applyNumberFormat="1" applyFont="1" applyFill="1" applyBorder="1" applyAlignment="1">
      <alignment horizontal="center" vertical="center"/>
    </xf>
    <xf numFmtId="16" fontId="15" fillId="12" borderId="31" xfId="0" applyNumberFormat="1" applyFont="1" applyFill="1" applyBorder="1" applyAlignment="1">
      <alignment horizontal="center" vertical="center"/>
    </xf>
    <xf numFmtId="49" fontId="17" fillId="12" borderId="31" xfId="0" applyNumberFormat="1" applyFont="1" applyFill="1" applyBorder="1" applyAlignment="1">
      <alignment horizontal="center" vertical="center"/>
    </xf>
    <xf numFmtId="168" fontId="15" fillId="12" borderId="31" xfId="0" applyNumberFormat="1" applyFont="1" applyFill="1" applyBorder="1" applyAlignment="1">
      <alignment horizontal="center" vertical="center"/>
    </xf>
    <xf numFmtId="49" fontId="15" fillId="12" borderId="32"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171" fontId="22" fillId="0" borderId="29" xfId="0" applyNumberFormat="1" applyFont="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0" fontId="10" fillId="10" borderId="2" xfId="0" applyFont="1" applyFill="1" applyBorder="1" applyAlignment="1">
      <alignment horizontal="center" vertical="center"/>
    </xf>
    <xf numFmtId="49" fontId="15" fillId="10" borderId="30" xfId="0" applyNumberFormat="1" applyFont="1" applyFill="1" applyBorder="1" applyAlignment="1">
      <alignment horizontal="center" vertical="center"/>
    </xf>
    <xf numFmtId="169" fontId="16" fillId="10" borderId="31" xfId="0" applyNumberFormat="1" applyFont="1" applyFill="1" applyBorder="1" applyAlignment="1">
      <alignment horizontal="center" vertical="center"/>
    </xf>
    <xf numFmtId="1" fontId="15" fillId="10" borderId="31" xfId="0" applyNumberFormat="1" applyFont="1" applyFill="1" applyBorder="1" applyAlignment="1">
      <alignment horizontal="center" vertical="center"/>
    </xf>
    <xf numFmtId="16" fontId="15" fillId="10" borderId="31" xfId="0" applyNumberFormat="1" applyFont="1" applyFill="1" applyBorder="1" applyAlignment="1">
      <alignment horizontal="center" vertical="center"/>
    </xf>
    <xf numFmtId="49" fontId="17" fillId="10" borderId="31" xfId="0" applyNumberFormat="1" applyFont="1" applyFill="1" applyBorder="1" applyAlignment="1">
      <alignment horizontal="center" vertical="center"/>
    </xf>
    <xf numFmtId="168" fontId="15" fillId="10" borderId="31" xfId="0" applyNumberFormat="1" applyFont="1" applyFill="1" applyBorder="1" applyAlignment="1">
      <alignment horizontal="center" vertical="center"/>
    </xf>
    <xf numFmtId="49" fontId="15" fillId="10" borderId="32" xfId="0" applyNumberFormat="1" applyFont="1" applyFill="1" applyBorder="1" applyAlignment="1">
      <alignment horizontal="center" vertical="center"/>
    </xf>
    <xf numFmtId="0" fontId="22" fillId="0" borderId="27" xfId="0" applyFont="1" applyBorder="1" applyAlignment="1">
      <alignment horizontal="center" vertical="center"/>
    </xf>
    <xf numFmtId="0" fontId="23" fillId="0" borderId="26" xfId="0" applyFont="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49" fontId="15" fillId="8" borderId="30" xfId="0" applyNumberFormat="1" applyFont="1" applyFill="1" applyBorder="1" applyAlignment="1">
      <alignment horizontal="center" vertical="center"/>
    </xf>
    <xf numFmtId="169" fontId="15" fillId="8" borderId="31" xfId="0" applyNumberFormat="1" applyFont="1" applyFill="1" applyBorder="1" applyAlignment="1">
      <alignment horizontal="center" vertical="center"/>
    </xf>
    <xf numFmtId="1" fontId="15" fillId="8" borderId="31" xfId="0" applyNumberFormat="1" applyFont="1" applyFill="1" applyBorder="1" applyAlignment="1">
      <alignment horizontal="center" vertical="center"/>
    </xf>
    <xf numFmtId="16" fontId="15" fillId="8" borderId="31" xfId="0" applyNumberFormat="1" applyFont="1" applyFill="1" applyBorder="1" applyAlignment="1">
      <alignment horizontal="center" vertical="center"/>
    </xf>
    <xf numFmtId="49" fontId="17" fillId="8" borderId="31" xfId="0" applyNumberFormat="1" applyFont="1" applyFill="1" applyBorder="1" applyAlignment="1">
      <alignment horizontal="center" vertical="center"/>
    </xf>
    <xf numFmtId="168" fontId="15" fillId="8" borderId="31" xfId="0" applyNumberFormat="1" applyFont="1" applyFill="1" applyBorder="1" applyAlignment="1">
      <alignment horizontal="center" vertical="center"/>
    </xf>
    <xf numFmtId="49" fontId="15" fillId="8" borderId="3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49" fontId="15" fillId="13" borderId="30" xfId="0" applyNumberFormat="1" applyFont="1" applyFill="1" applyBorder="1" applyAlignment="1">
      <alignment horizontal="center" vertical="center"/>
    </xf>
    <xf numFmtId="169" fontId="15" fillId="13" borderId="31" xfId="0" applyNumberFormat="1" applyFont="1" applyFill="1" applyBorder="1" applyAlignment="1">
      <alignment horizontal="center" vertical="center"/>
    </xf>
    <xf numFmtId="1" fontId="15" fillId="13" borderId="31" xfId="0" applyNumberFormat="1" applyFont="1" applyFill="1" applyBorder="1" applyAlignment="1">
      <alignment horizontal="center" vertical="center"/>
    </xf>
    <xf numFmtId="16" fontId="15" fillId="13" borderId="31" xfId="0" applyNumberFormat="1" applyFont="1" applyFill="1" applyBorder="1" applyAlignment="1">
      <alignment horizontal="center" vertical="center"/>
    </xf>
    <xf numFmtId="49" fontId="17" fillId="13" borderId="31" xfId="0" applyNumberFormat="1" applyFont="1" applyFill="1" applyBorder="1" applyAlignment="1">
      <alignment horizontal="center" vertical="center"/>
    </xf>
    <xf numFmtId="168" fontId="15" fillId="13" borderId="31" xfId="0" applyNumberFormat="1" applyFont="1" applyFill="1" applyBorder="1" applyAlignment="1">
      <alignment horizontal="center" vertical="center"/>
    </xf>
    <xf numFmtId="49" fontId="15" fillId="13" borderId="3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5" fillId="14" borderId="30" xfId="0" applyNumberFormat="1" applyFont="1" applyFill="1" applyBorder="1" applyAlignment="1">
      <alignment horizontal="center" vertical="center"/>
    </xf>
    <xf numFmtId="169" fontId="15" fillId="14" borderId="31" xfId="0" applyNumberFormat="1" applyFont="1" applyFill="1" applyBorder="1" applyAlignment="1">
      <alignment horizontal="center" vertical="center"/>
    </xf>
    <xf numFmtId="1" fontId="15" fillId="14" borderId="31" xfId="0" applyNumberFormat="1" applyFont="1" applyFill="1" applyBorder="1" applyAlignment="1">
      <alignment horizontal="center" vertical="center"/>
    </xf>
    <xf numFmtId="16" fontId="15" fillId="14" borderId="31" xfId="0" applyNumberFormat="1" applyFont="1" applyFill="1" applyBorder="1" applyAlignment="1">
      <alignment horizontal="center" vertical="center"/>
    </xf>
    <xf numFmtId="49" fontId="17" fillId="14" borderId="31" xfId="0" applyNumberFormat="1" applyFont="1" applyFill="1" applyBorder="1" applyAlignment="1">
      <alignment horizontal="center" vertical="center"/>
    </xf>
    <xf numFmtId="168" fontId="15" fillId="14" borderId="31" xfId="0" applyNumberFormat="1" applyFont="1" applyFill="1" applyBorder="1" applyAlignment="1">
      <alignment horizontal="center" vertical="center"/>
    </xf>
    <xf numFmtId="49" fontId="15" fillId="14" borderId="3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49" fontId="15" fillId="15" borderId="30" xfId="0" applyNumberFormat="1" applyFont="1" applyFill="1" applyBorder="1" applyAlignment="1">
      <alignment horizontal="center" vertical="center"/>
    </xf>
    <xf numFmtId="169" fontId="16" fillId="15" borderId="31" xfId="0" applyNumberFormat="1" applyFont="1" applyFill="1" applyBorder="1" applyAlignment="1">
      <alignment horizontal="center" vertical="center"/>
    </xf>
    <xf numFmtId="1" fontId="15" fillId="15" borderId="31" xfId="0" applyNumberFormat="1" applyFont="1" applyFill="1" applyBorder="1" applyAlignment="1">
      <alignment horizontal="center" vertical="center"/>
    </xf>
    <xf numFmtId="16" fontId="15" fillId="15" borderId="31" xfId="0" applyNumberFormat="1" applyFont="1" applyFill="1" applyBorder="1" applyAlignment="1">
      <alignment horizontal="center" vertical="center"/>
    </xf>
    <xf numFmtId="49" fontId="17" fillId="15" borderId="31" xfId="0" applyNumberFormat="1" applyFont="1" applyFill="1" applyBorder="1" applyAlignment="1">
      <alignment horizontal="center" vertical="center"/>
    </xf>
    <xf numFmtId="168" fontId="15" fillId="15" borderId="31" xfId="0" applyNumberFormat="1" applyFont="1" applyFill="1" applyBorder="1" applyAlignment="1">
      <alignment horizontal="center" vertical="center"/>
    </xf>
    <xf numFmtId="49" fontId="15" fillId="15" borderId="32"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169" fontId="25" fillId="8" borderId="31"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49" fontId="15" fillId="16" borderId="30" xfId="0" applyNumberFormat="1" applyFont="1" applyFill="1" applyBorder="1" applyAlignment="1">
      <alignment horizontal="center" vertical="center"/>
    </xf>
    <xf numFmtId="169" fontId="25" fillId="16" borderId="31" xfId="0" applyNumberFormat="1" applyFont="1" applyFill="1" applyBorder="1" applyAlignment="1">
      <alignment horizontal="center" vertical="center"/>
    </xf>
    <xf numFmtId="1" fontId="15" fillId="16" borderId="31" xfId="0" applyNumberFormat="1" applyFont="1" applyFill="1" applyBorder="1" applyAlignment="1">
      <alignment horizontal="center" vertical="center"/>
    </xf>
    <xf numFmtId="16" fontId="15" fillId="16" borderId="31" xfId="0" applyNumberFormat="1" applyFont="1" applyFill="1" applyBorder="1" applyAlignment="1">
      <alignment horizontal="center" vertical="center"/>
    </xf>
    <xf numFmtId="49" fontId="17" fillId="16" borderId="31" xfId="0" applyNumberFormat="1" applyFont="1" applyFill="1" applyBorder="1" applyAlignment="1">
      <alignment horizontal="center" vertical="center"/>
    </xf>
    <xf numFmtId="168" fontId="15" fillId="16" borderId="31" xfId="0" applyNumberFormat="1" applyFont="1" applyFill="1" applyBorder="1" applyAlignment="1">
      <alignment horizontal="center" vertical="center"/>
    </xf>
    <xf numFmtId="49" fontId="15" fillId="16" borderId="32" xfId="0" applyNumberFormat="1" applyFont="1" applyFill="1" applyBorder="1" applyAlignment="1">
      <alignment horizontal="center" vertical="center"/>
    </xf>
    <xf numFmtId="169" fontId="25" fillId="15" borderId="31" xfId="0" applyNumberFormat="1" applyFont="1" applyFill="1" applyBorder="1" applyAlignment="1">
      <alignment horizontal="center" vertical="center"/>
    </xf>
    <xf numFmtId="169" fontId="25" fillId="14" borderId="31" xfId="0" applyNumberFormat="1" applyFont="1" applyFill="1" applyBorder="1" applyAlignment="1">
      <alignment horizontal="center" vertical="center"/>
    </xf>
    <xf numFmtId="169" fontId="15" fillId="15" borderId="31" xfId="0" applyNumberFormat="1" applyFont="1" applyFill="1" applyBorder="1" applyAlignment="1">
      <alignment horizontal="center" vertical="center"/>
    </xf>
    <xf numFmtId="0" fontId="14" fillId="13" borderId="2" xfId="0" applyFont="1" applyFill="1" applyBorder="1" applyAlignment="1">
      <alignment horizontal="center" vertical="center"/>
    </xf>
    <xf numFmtId="169" fontId="16" fillId="13" borderId="31"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0" fontId="10" fillId="15" borderId="2" xfId="0" applyFont="1" applyFill="1" applyBorder="1" applyAlignment="1">
      <alignment horizontal="center" vertical="center"/>
    </xf>
    <xf numFmtId="0" fontId="14" fillId="10" borderId="2" xfId="0" applyFont="1" applyFill="1" applyBorder="1" applyAlignment="1">
      <alignment horizontal="center" vertical="center"/>
    </xf>
    <xf numFmtId="49" fontId="14" fillId="16" borderId="13" xfId="0" applyNumberFormat="1" applyFont="1" applyFill="1" applyBorder="1" applyAlignment="1">
      <alignment horizontal="center" vertical="center"/>
    </xf>
    <xf numFmtId="168" fontId="14" fillId="16" borderId="13" xfId="0" applyNumberFormat="1" applyFont="1" applyFill="1" applyBorder="1" applyAlignment="1">
      <alignment horizontal="center" vertical="center"/>
    </xf>
    <xf numFmtId="0" fontId="14" fillId="16" borderId="13" xfId="0" applyFont="1" applyFill="1" applyBorder="1" applyAlignment="1">
      <alignment horizontal="center" vertical="center"/>
    </xf>
    <xf numFmtId="49" fontId="15" fillId="16" borderId="15" xfId="0" applyNumberFormat="1" applyFont="1" applyFill="1" applyBorder="1" applyAlignment="1">
      <alignment horizontal="center" vertical="center"/>
    </xf>
    <xf numFmtId="169" fontId="16" fillId="16" borderId="16" xfId="0" applyNumberFormat="1" applyFont="1" applyFill="1" applyBorder="1" applyAlignment="1">
      <alignment horizontal="center" vertical="center"/>
    </xf>
    <xf numFmtId="1" fontId="15" fillId="16" borderId="16" xfId="0" applyNumberFormat="1" applyFont="1" applyFill="1" applyBorder="1" applyAlignment="1">
      <alignment horizontal="center" vertical="center"/>
    </xf>
    <xf numFmtId="16" fontId="15" fillId="16" borderId="16" xfId="0" applyNumberFormat="1" applyFont="1" applyFill="1" applyBorder="1" applyAlignment="1">
      <alignment horizontal="center" vertical="center"/>
    </xf>
    <xf numFmtId="49" fontId="17" fillId="16" borderId="16" xfId="0" applyNumberFormat="1" applyFont="1" applyFill="1" applyBorder="1" applyAlignment="1">
      <alignment horizontal="center" vertical="center"/>
    </xf>
    <xf numFmtId="168" fontId="15" fillId="16" borderId="16" xfId="0" applyNumberFormat="1" applyFont="1" applyFill="1" applyBorder="1" applyAlignment="1">
      <alignment horizontal="center" vertical="center"/>
    </xf>
    <xf numFmtId="49" fontId="15" fillId="16" borderId="17" xfId="0" applyNumberFormat="1" applyFont="1" applyFill="1" applyBorder="1" applyAlignment="1">
      <alignment horizontal="center" vertical="center"/>
    </xf>
    <xf numFmtId="172" fontId="23" fillId="0" borderId="24" xfId="0" applyNumberFormat="1" applyFont="1" applyBorder="1" applyAlignment="1">
      <alignment horizontal="center" vertical="center"/>
    </xf>
    <xf numFmtId="173" fontId="23" fillId="0" borderId="25" xfId="0" applyNumberFormat="1" applyFont="1" applyBorder="1" applyAlignment="1">
      <alignment horizontal="center" vertical="center"/>
    </xf>
    <xf numFmtId="0" fontId="10" fillId="8" borderId="2" xfId="0" applyFont="1" applyFill="1" applyBorder="1" applyAlignment="1">
      <alignment horizontal="center" vertical="center"/>
    </xf>
    <xf numFmtId="169" fontId="16" fillId="8" borderId="31"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169" fontId="16" fillId="14" borderId="31" xfId="0" applyNumberFormat="1" applyFont="1" applyFill="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49" fontId="15" fillId="17" borderId="30" xfId="0" applyNumberFormat="1" applyFont="1" applyFill="1" applyBorder="1" applyAlignment="1">
      <alignment horizontal="center" vertical="center"/>
    </xf>
    <xf numFmtId="169" fontId="15" fillId="17" borderId="31" xfId="0" applyNumberFormat="1" applyFont="1" applyFill="1" applyBorder="1" applyAlignment="1">
      <alignment horizontal="center" vertical="center"/>
    </xf>
    <xf numFmtId="1" fontId="15" fillId="17" borderId="31" xfId="0" applyNumberFormat="1" applyFont="1" applyFill="1" applyBorder="1" applyAlignment="1">
      <alignment horizontal="center" vertical="center"/>
    </xf>
    <xf numFmtId="16" fontId="15" fillId="17" borderId="31" xfId="0" applyNumberFormat="1" applyFont="1" applyFill="1" applyBorder="1" applyAlignment="1">
      <alignment horizontal="center" vertical="center"/>
    </xf>
    <xf numFmtId="49" fontId="17" fillId="17" borderId="31" xfId="0" applyNumberFormat="1" applyFont="1" applyFill="1" applyBorder="1" applyAlignment="1">
      <alignment horizontal="center" vertical="center"/>
    </xf>
    <xf numFmtId="168" fontId="15" fillId="17" borderId="31" xfId="0" applyNumberFormat="1" applyFont="1" applyFill="1" applyBorder="1" applyAlignment="1">
      <alignment horizontal="center" vertical="center"/>
    </xf>
    <xf numFmtId="49" fontId="15" fillId="17" borderId="32" xfId="0" applyNumberFormat="1" applyFont="1" applyFill="1" applyBorder="1" applyAlignment="1">
      <alignment horizontal="center" vertical="center"/>
    </xf>
    <xf numFmtId="169" fontId="15" fillId="10" borderId="31" xfId="0" applyNumberFormat="1"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169" fontId="15" fillId="16" borderId="31" xfId="0" applyNumberFormat="1" applyFont="1" applyFill="1" applyBorder="1" applyAlignment="1">
      <alignment horizontal="center" vertical="center"/>
    </xf>
    <xf numFmtId="0" fontId="6" fillId="0" borderId="0" xfId="0" applyFont="1"/>
    <xf numFmtId="0" fontId="19" fillId="0" borderId="0" xfId="0" applyFont="1"/>
    <xf numFmtId="0" fontId="26" fillId="0" borderId="0" xfId="0" applyFont="1"/>
    <xf numFmtId="0" fontId="21" fillId="11" borderId="5" xfId="0" applyFont="1" applyFill="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0" fontId="10" fillId="17" borderId="2" xfId="0" applyFont="1" applyFill="1" applyBorder="1" applyAlignment="1">
      <alignment horizontal="center" vertical="center"/>
    </xf>
    <xf numFmtId="169" fontId="25" fillId="17" borderId="31" xfId="0" applyNumberFormat="1" applyFont="1" applyFill="1" applyBorder="1" applyAlignment="1">
      <alignment horizontal="center" vertical="center"/>
    </xf>
    <xf numFmtId="49" fontId="10" fillId="17" borderId="13" xfId="0" applyNumberFormat="1" applyFont="1" applyFill="1" applyBorder="1" applyAlignment="1">
      <alignment horizontal="center" vertical="center"/>
    </xf>
    <xf numFmtId="168" fontId="10" fillId="17" borderId="13"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9" fontId="16" fillId="17" borderId="16" xfId="0" applyNumberFormat="1" applyFont="1" applyFill="1" applyBorder="1" applyAlignment="1">
      <alignment horizontal="center" vertical="center"/>
    </xf>
    <xf numFmtId="1" fontId="15" fillId="17" borderId="16" xfId="0" applyNumberFormat="1" applyFont="1" applyFill="1" applyBorder="1" applyAlignment="1">
      <alignment horizontal="center" vertical="center"/>
    </xf>
    <xf numFmtId="16" fontId="15" fillId="17" borderId="16" xfId="0" applyNumberFormat="1" applyFont="1" applyFill="1" applyBorder="1" applyAlignment="1">
      <alignment horizontal="center" vertical="center"/>
    </xf>
    <xf numFmtId="49" fontId="17" fillId="17" borderId="16" xfId="0" applyNumberFormat="1" applyFont="1" applyFill="1" applyBorder="1" applyAlignment="1">
      <alignment horizontal="center" vertical="center"/>
    </xf>
    <xf numFmtId="168" fontId="15" fillId="17" borderId="16" xfId="0" applyNumberFormat="1" applyFont="1" applyFill="1" applyBorder="1" applyAlignment="1">
      <alignment horizontal="center" vertical="center"/>
    </xf>
    <xf numFmtId="49" fontId="15" fillId="17" borderId="17" xfId="0" applyNumberFormat="1"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169" fontId="16" fillId="13" borderId="16" xfId="0" applyNumberFormat="1" applyFont="1" applyFill="1" applyBorder="1" applyAlignment="1">
      <alignment horizontal="center" vertical="center"/>
    </xf>
    <xf numFmtId="1" fontId="15" fillId="13" borderId="16" xfId="0" applyNumberFormat="1" applyFont="1" applyFill="1" applyBorder="1" applyAlignment="1">
      <alignment horizontal="center" vertical="center"/>
    </xf>
    <xf numFmtId="16" fontId="15" fillId="13" borderId="16" xfId="0" applyNumberFormat="1" applyFont="1" applyFill="1" applyBorder="1" applyAlignment="1">
      <alignment horizontal="center" vertical="center"/>
    </xf>
    <xf numFmtId="49" fontId="17" fillId="13" borderId="16" xfId="0" applyNumberFormat="1" applyFont="1" applyFill="1" applyBorder="1" applyAlignment="1">
      <alignment horizontal="center" vertical="center"/>
    </xf>
    <xf numFmtId="168" fontId="15" fillId="13" borderId="16" xfId="0" applyNumberFormat="1" applyFont="1" applyFill="1" applyBorder="1" applyAlignment="1">
      <alignment horizontal="center" vertical="center"/>
    </xf>
    <xf numFmtId="49" fontId="15" fillId="13" borderId="17" xfId="0" applyNumberFormat="1" applyFont="1" applyFill="1" applyBorder="1" applyAlignment="1">
      <alignment horizontal="center" vertical="center"/>
    </xf>
    <xf numFmtId="49" fontId="15" fillId="15" borderId="15" xfId="0" applyNumberFormat="1" applyFont="1" applyFill="1" applyBorder="1" applyAlignment="1">
      <alignment horizontal="center" vertical="center"/>
    </xf>
    <xf numFmtId="169" fontId="16" fillId="15" borderId="16" xfId="0" applyNumberFormat="1" applyFont="1" applyFill="1" applyBorder="1" applyAlignment="1">
      <alignment horizontal="center" vertical="center"/>
    </xf>
    <xf numFmtId="1" fontId="15" fillId="15" borderId="16" xfId="0" applyNumberFormat="1" applyFont="1" applyFill="1" applyBorder="1" applyAlignment="1">
      <alignment horizontal="center" vertical="center"/>
    </xf>
    <xf numFmtId="16" fontId="15" fillId="15" borderId="16" xfId="0" applyNumberFormat="1" applyFont="1" applyFill="1" applyBorder="1" applyAlignment="1">
      <alignment horizontal="center" vertical="center"/>
    </xf>
    <xf numFmtId="49" fontId="17" fillId="15" borderId="16" xfId="0" applyNumberFormat="1" applyFont="1" applyFill="1" applyBorder="1" applyAlignment="1">
      <alignment horizontal="center" vertical="center"/>
    </xf>
    <xf numFmtId="168" fontId="15" fillId="15" borderId="16" xfId="0" applyNumberFormat="1" applyFont="1" applyFill="1" applyBorder="1" applyAlignment="1">
      <alignment horizontal="center" vertical="center"/>
    </xf>
    <xf numFmtId="49" fontId="15" fillId="15" borderId="17"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169" fontId="16" fillId="12" borderId="16" xfId="0" applyNumberFormat="1" applyFont="1" applyFill="1" applyBorder="1" applyAlignment="1">
      <alignment horizontal="center" vertical="center"/>
    </xf>
    <xf numFmtId="1" fontId="15" fillId="12" borderId="16" xfId="0" applyNumberFormat="1" applyFont="1" applyFill="1" applyBorder="1" applyAlignment="1">
      <alignment horizontal="center" vertical="center"/>
    </xf>
    <xf numFmtId="16" fontId="15" fillId="12" borderId="16" xfId="0" applyNumberFormat="1" applyFont="1" applyFill="1" applyBorder="1" applyAlignment="1">
      <alignment horizontal="center" vertical="center"/>
    </xf>
    <xf numFmtId="49" fontId="17" fillId="12" borderId="16" xfId="0" applyNumberFormat="1" applyFont="1" applyFill="1" applyBorder="1" applyAlignment="1">
      <alignment horizontal="center" vertical="center"/>
    </xf>
    <xf numFmtId="168" fontId="15" fillId="12" borderId="16" xfId="0" applyNumberFormat="1" applyFont="1" applyFill="1" applyBorder="1" applyAlignment="1">
      <alignment horizontal="center" vertical="center"/>
    </xf>
    <xf numFmtId="49" fontId="15" fillId="12" borderId="17" xfId="0" applyNumberFormat="1" applyFont="1" applyFill="1" applyBorder="1" applyAlignment="1">
      <alignment horizontal="center" vertical="center"/>
    </xf>
    <xf numFmtId="169" fontId="15" fillId="12" borderId="16" xfId="0" applyNumberFormat="1" applyFont="1" applyFill="1" applyBorder="1" applyAlignment="1">
      <alignment horizontal="center" vertical="center"/>
    </xf>
    <xf numFmtId="169" fontId="15" fillId="8" borderId="16"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0" fontId="10" fillId="13" borderId="2" xfId="0" applyFont="1" applyFill="1" applyBorder="1" applyAlignment="1">
      <alignment horizontal="center" vertical="center"/>
    </xf>
    <xf numFmtId="169" fontId="25" fillId="13" borderId="31" xfId="0" applyNumberFormat="1" applyFont="1" applyFill="1" applyBorder="1" applyAlignment="1">
      <alignment horizontal="center" vertical="center"/>
    </xf>
    <xf numFmtId="169" fontId="25" fillId="12" borderId="31" xfId="0" applyNumberFormat="1" applyFont="1" applyFill="1" applyBorder="1" applyAlignment="1">
      <alignment horizontal="center" vertical="center"/>
    </xf>
    <xf numFmtId="169" fontId="15" fillId="17" borderId="16" xfId="0" applyNumberFormat="1" applyFont="1" applyFill="1" applyBorder="1" applyAlignment="1">
      <alignment horizontal="center" vertical="center"/>
    </xf>
    <xf numFmtId="166" fontId="0" fillId="0" borderId="0" xfId="0" applyNumberFormat="1"/>
    <xf numFmtId="0" fontId="3" fillId="3" borderId="0" xfId="0" applyFont="1" applyFill="1" applyAlignment="1">
      <alignment horizontal="right" vertical="center"/>
    </xf>
    <xf numFmtId="0" fontId="0" fillId="0" borderId="0" xfId="0"/>
    <xf numFmtId="49" fontId="5" fillId="4" borderId="2" xfId="0" applyNumberFormat="1" applyFont="1" applyFill="1" applyBorder="1" applyAlignment="1">
      <alignment horizontal="center" vertical="center"/>
    </xf>
    <xf numFmtId="0" fontId="0" fillId="0" borderId="3" xfId="0" applyBorder="1"/>
    <xf numFmtId="0" fontId="0" fillId="0" borderId="4" xfId="0" applyBorder="1"/>
    <xf numFmtId="0" fontId="4" fillId="0" borderId="0" xfId="0" applyFont="1" applyAlignment="1">
      <alignment horizontal="right" vertical="center" readingOrder="2"/>
    </xf>
    <xf numFmtId="0" fontId="20" fillId="0" borderId="7" xfId="0" applyFont="1" applyBorder="1"/>
    <xf numFmtId="0" fontId="0" fillId="0" borderId="12" xfId="0" applyBorder="1"/>
    <xf numFmtId="0" fontId="0" fillId="0" borderId="14" xfId="0" applyBorder="1"/>
    <xf numFmtId="0" fontId="0" fillId="0" borderId="7" xfId="0" applyBorder="1"/>
    <xf numFmtId="49" fontId="7"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cellXfs>
  <cellStyles count="1">
    <cellStyle name="Normal" xfId="0" builtinId="0"/>
  </cellStyles>
  <dxfs count="14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4" totalsRowCount="1" headerRowDxfId="1424" dataDxfId="1387" totalsRowDxfId="1350">
  <tableColumns count="36">
    <tableColumn id="1" xr3:uid="{00000000-0010-0000-0000-000001000000}" name="Day" totalsRowLabel="TOTAL" dataDxfId="1423" totalsRowDxfId="1386"/>
    <tableColumn id="2" xr3:uid="{00000000-0010-0000-0000-000002000000}" name="Flt Dt" dataDxfId="1422" totalsRowDxfId="1385"/>
    <tableColumn id="3" xr3:uid="{00000000-0010-0000-0000-000003000000}" name="Flt" totalsRowFunction="count" dataDxfId="1421" totalsRowDxfId="1384"/>
    <tableColumn id="4" xr3:uid="{00000000-0010-0000-0000-000004000000}" name="DEP" dataDxfId="1420" totalsRowDxfId="1383"/>
    <tableColumn id="5" xr3:uid="{00000000-0010-0000-0000-000005000000}" name="Brd-Off" totalsRowFunction="count" dataDxfId="1419" totalsRowDxfId="1382"/>
    <tableColumn id="6" xr3:uid="{00000000-0010-0000-0000-000006000000}" name="Eqp" dataDxfId="1418" totalsRowDxfId="1381"/>
    <tableColumn id="7" xr3:uid="{00000000-0010-0000-0000-000007000000}" name="LF%" totalsRowFunction="average" dataDxfId="1417" totalsRowDxfId="1380"/>
    <tableColumn id="8" xr3:uid="{00000000-0010-0000-0000-000008000000}" name="CAP" totalsRowFunction="sum" dataDxfId="1416" totalsRowDxfId="1379"/>
    <tableColumn id="9" xr3:uid="{00000000-0010-0000-0000-000009000000}" name="BKG(Y)" totalsRowFunction="sum" dataDxfId="1415" totalsRowDxfId="1378"/>
    <tableColumn id="10" xr3:uid="{00000000-0010-0000-0000-00000A000000}" name="GRP(Y)" totalsRowFunction="sum" dataDxfId="1414" totalsRowDxfId="1377"/>
    <tableColumn id="11" xr3:uid="{00000000-0010-0000-0000-00000B000000}" name="FLT ST" dataDxfId="1413" totalsRowDxfId="1376"/>
    <tableColumn id="12" xr3:uid="{00000000-0010-0000-0000-00000C000000}" name="LST-SOLD" dataDxfId="1412" totalsRowDxfId="1375"/>
    <tableColumn id="13" xr3:uid="{00000000-0010-0000-0000-00000D000000}" name="TO-DAY" totalsRowFunction="sum" dataDxfId="1411" totalsRowDxfId="1374"/>
    <tableColumn id="14" xr3:uid="{00000000-0010-0000-0000-00000E000000}" name="Y-DAY" totalsRowFunction="sum" dataDxfId="1410" totalsRowDxfId="1373"/>
    <tableColumn id="15" xr3:uid="{00000000-0010-0000-0000-00000F000000}" name="WEEKLY" totalsRowFunction="sum" dataDxfId="1409" totalsRowDxfId="1372"/>
    <tableColumn id="16" xr3:uid="{00000000-0010-0000-0000-000010000000}" name="LOWEST AVAIL" dataDxfId="1408" totalsRowDxfId="1371"/>
    <tableColumn id="17" xr3:uid="{00000000-0010-0000-0000-000011000000}" name="Y" totalsRowFunction="sum" dataDxfId="1407" totalsRowDxfId="1370"/>
    <tableColumn id="18" xr3:uid="{00000000-0010-0000-0000-000012000000}" name="B" totalsRowFunction="sum" dataDxfId="1406" totalsRowDxfId="1369"/>
    <tableColumn id="19" xr3:uid="{00000000-0010-0000-0000-000013000000}" name="M" totalsRowFunction="sum" dataDxfId="1405" totalsRowDxfId="1368"/>
    <tableColumn id="20" xr3:uid="{00000000-0010-0000-0000-000014000000}" name="H" totalsRowFunction="sum" dataDxfId="1404" totalsRowDxfId="1367"/>
    <tableColumn id="21" xr3:uid="{00000000-0010-0000-0000-000015000000}" name="Q" totalsRowFunction="sum" dataDxfId="1403" totalsRowDxfId="1366"/>
    <tableColumn id="22" xr3:uid="{00000000-0010-0000-0000-000016000000}" name="K" totalsRowFunction="sum" dataDxfId="1402" totalsRowDxfId="1365"/>
    <tableColumn id="23" xr3:uid="{00000000-0010-0000-0000-000017000000}" name="V" totalsRowFunction="sum" dataDxfId="1401" totalsRowDxfId="1364"/>
    <tableColumn id="24" xr3:uid="{00000000-0010-0000-0000-000018000000}" name="L" totalsRowFunction="sum" dataDxfId="1400" totalsRowDxfId="1363"/>
    <tableColumn id="25" xr3:uid="{00000000-0010-0000-0000-000019000000}" name="G" totalsRowFunction="sum" dataDxfId="1399" totalsRowDxfId="1362"/>
    <tableColumn id="26" xr3:uid="{00000000-0010-0000-0000-00001A000000}" name="S" totalsRowFunction="sum" dataDxfId="1398" totalsRowDxfId="1361"/>
    <tableColumn id="27" xr3:uid="{00000000-0010-0000-0000-00001B000000}" name="W" totalsRowFunction="sum" dataDxfId="1397" totalsRowDxfId="1360"/>
    <tableColumn id="28" xr3:uid="{00000000-0010-0000-0000-00001C000000}" name="T" totalsRowFunction="sum" dataDxfId="1396" totalsRowDxfId="1359"/>
    <tableColumn id="29" xr3:uid="{00000000-0010-0000-0000-00001D000000}" name="X" totalsRowFunction="sum" dataDxfId="1395" totalsRowDxfId="1358"/>
    <tableColumn id="30" xr3:uid="{00000000-0010-0000-0000-00001E000000}" name="U" totalsRowFunction="sum" dataDxfId="1394" totalsRowDxfId="1357"/>
    <tableColumn id="31" xr3:uid="{00000000-0010-0000-0000-00001F000000}" name="O" totalsRowFunction="sum" dataDxfId="1393" totalsRowDxfId="1356"/>
    <tableColumn id="32" xr3:uid="{00000000-0010-0000-0000-000020000000}" name="I" totalsRowFunction="sum" dataDxfId="1392" totalsRowDxfId="1355"/>
    <tableColumn id="33" xr3:uid="{00000000-0010-0000-0000-000021000000}" name="E" totalsRowFunction="sum" dataDxfId="1391" totalsRowDxfId="1354"/>
    <tableColumn id="34" xr3:uid="{00000000-0010-0000-0000-000022000000}" name="A" totalsRowFunction="sum" dataDxfId="1390" totalsRowDxfId="1353"/>
    <tableColumn id="35" xr3:uid="{00000000-0010-0000-0000-000023000000}" name="P" totalsRowFunction="sum" dataDxfId="1389" totalsRowDxfId="1352"/>
    <tableColumn id="36" xr3:uid="{00000000-0010-0000-0000-000024000000}" name="N" totalsRowFunction="count" dataDxfId="1388" totalsRowDxfId="13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55" totalsRowShown="0">
  <autoFilter ref="A1:H55"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20" totalsRowShown="0">
  <autoFilter ref="A1:H20"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3" totalsRowCount="1" headerRowDxfId="1349" dataDxfId="1312" totalsRowDxfId="1275">
  <tableColumns count="36">
    <tableColumn id="1" xr3:uid="{00000000-0010-0000-0300-000001000000}" name="Day" totalsRowLabel="TOTAL" dataDxfId="1348" totalsRowDxfId="1311"/>
    <tableColumn id="2" xr3:uid="{00000000-0010-0000-0300-000002000000}" name="Flt Dt" dataDxfId="1347" totalsRowDxfId="1310"/>
    <tableColumn id="3" xr3:uid="{00000000-0010-0000-0300-000003000000}" name="Flt" totalsRowFunction="count" dataDxfId="1346" totalsRowDxfId="1309"/>
    <tableColumn id="4" xr3:uid="{00000000-0010-0000-0300-000004000000}" name="DEP" dataDxfId="1345" totalsRowDxfId="1308"/>
    <tableColumn id="5" xr3:uid="{00000000-0010-0000-0300-000005000000}" name="Brd-Off" totalsRowFunction="count" dataDxfId="1344" totalsRowDxfId="1307"/>
    <tableColumn id="6" xr3:uid="{00000000-0010-0000-0300-000006000000}" name="Eqp" dataDxfId="1343" totalsRowDxfId="1306"/>
    <tableColumn id="7" xr3:uid="{00000000-0010-0000-0300-000007000000}" name="LF%" totalsRowFunction="average" dataDxfId="1342" totalsRowDxfId="1305"/>
    <tableColumn id="8" xr3:uid="{00000000-0010-0000-0300-000008000000}" name="CAP" totalsRowFunction="sum" dataDxfId="1341" totalsRowDxfId="1304"/>
    <tableColumn id="9" xr3:uid="{00000000-0010-0000-0300-000009000000}" name="BKG(Y)" totalsRowFunction="sum" dataDxfId="1340" totalsRowDxfId="1303"/>
    <tableColumn id="10" xr3:uid="{00000000-0010-0000-0300-00000A000000}" name="GRP(Y)" totalsRowFunction="sum" dataDxfId="1339" totalsRowDxfId="1302"/>
    <tableColumn id="11" xr3:uid="{00000000-0010-0000-0300-00000B000000}" name="FLT ST" dataDxfId="1338" totalsRowDxfId="1301"/>
    <tableColumn id="12" xr3:uid="{00000000-0010-0000-0300-00000C000000}" name="LST-SOLD" dataDxfId="1337" totalsRowDxfId="1300"/>
    <tableColumn id="13" xr3:uid="{00000000-0010-0000-0300-00000D000000}" name="TO-DAY" totalsRowFunction="sum" dataDxfId="1336" totalsRowDxfId="1299"/>
    <tableColumn id="14" xr3:uid="{00000000-0010-0000-0300-00000E000000}" name="Y-DAY" totalsRowFunction="sum" dataDxfId="1335" totalsRowDxfId="1298"/>
    <tableColumn id="15" xr3:uid="{00000000-0010-0000-0300-00000F000000}" name="WEEKLY" totalsRowFunction="sum" dataDxfId="1334" totalsRowDxfId="1297"/>
    <tableColumn id="16" xr3:uid="{00000000-0010-0000-0300-000010000000}" name="LOWEST AVAIL" dataDxfId="1333" totalsRowDxfId="1296"/>
    <tableColumn id="17" xr3:uid="{00000000-0010-0000-0300-000011000000}" name="Y" totalsRowFunction="sum" dataDxfId="1332" totalsRowDxfId="1295"/>
    <tableColumn id="18" xr3:uid="{00000000-0010-0000-0300-000012000000}" name="B" totalsRowFunction="sum" dataDxfId="1331" totalsRowDxfId="1294"/>
    <tableColumn id="19" xr3:uid="{00000000-0010-0000-0300-000013000000}" name="M" totalsRowFunction="sum" dataDxfId="1330" totalsRowDxfId="1293"/>
    <tableColumn id="20" xr3:uid="{00000000-0010-0000-0300-000014000000}" name="H" totalsRowFunction="sum" dataDxfId="1329" totalsRowDxfId="1292"/>
    <tableColumn id="21" xr3:uid="{00000000-0010-0000-0300-000015000000}" name="Q" totalsRowFunction="sum" dataDxfId="1328" totalsRowDxfId="1291"/>
    <tableColumn id="22" xr3:uid="{00000000-0010-0000-0300-000016000000}" name="K" totalsRowFunction="sum" dataDxfId="1327" totalsRowDxfId="1290"/>
    <tableColumn id="23" xr3:uid="{00000000-0010-0000-0300-000017000000}" name="V" totalsRowFunction="sum" dataDxfId="1326" totalsRowDxfId="1289"/>
    <tableColumn id="24" xr3:uid="{00000000-0010-0000-0300-000018000000}" name="L" totalsRowFunction="sum" dataDxfId="1325" totalsRowDxfId="1288"/>
    <tableColumn id="25" xr3:uid="{00000000-0010-0000-0300-000019000000}" name="G" totalsRowFunction="sum" dataDxfId="1324" totalsRowDxfId="1287"/>
    <tableColumn id="26" xr3:uid="{00000000-0010-0000-0300-00001A000000}" name="S" totalsRowFunction="sum" dataDxfId="1323" totalsRowDxfId="1286"/>
    <tableColumn id="27" xr3:uid="{00000000-0010-0000-0300-00001B000000}" name="W" totalsRowFunction="sum" dataDxfId="1322" totalsRowDxfId="1285"/>
    <tableColumn id="28" xr3:uid="{00000000-0010-0000-0300-00001C000000}" name="T" totalsRowFunction="sum" dataDxfId="1321" totalsRowDxfId="1284"/>
    <tableColumn id="29" xr3:uid="{00000000-0010-0000-0300-00001D000000}" name="X" totalsRowFunction="sum" dataDxfId="1320" totalsRowDxfId="1283"/>
    <tableColumn id="30" xr3:uid="{00000000-0010-0000-0300-00001E000000}" name="U" totalsRowFunction="sum" dataDxfId="1319" totalsRowDxfId="1282"/>
    <tableColumn id="31" xr3:uid="{00000000-0010-0000-0300-00001F000000}" name="O" totalsRowFunction="sum" dataDxfId="1318" totalsRowDxfId="1281"/>
    <tableColumn id="32" xr3:uid="{00000000-0010-0000-0300-000020000000}" name="I" totalsRowFunction="sum" dataDxfId="1317" totalsRowDxfId="1280"/>
    <tableColumn id="33" xr3:uid="{00000000-0010-0000-0300-000021000000}" name="E" totalsRowFunction="sum" dataDxfId="1316" totalsRowDxfId="1279"/>
    <tableColumn id="34" xr3:uid="{00000000-0010-0000-0300-000022000000}" name="A" totalsRowFunction="sum" dataDxfId="1315" totalsRowDxfId="1278"/>
    <tableColumn id="35" xr3:uid="{00000000-0010-0000-0300-000023000000}" name="P" totalsRowFunction="sum" dataDxfId="1314" totalsRowDxfId="1277"/>
    <tableColumn id="36" xr3:uid="{00000000-0010-0000-0300-000024000000}" name="N" totalsRowFunction="count" dataDxfId="1313" totalsRowDxfId="12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6" totalsRowShown="0">
  <autoFilter ref="A1:H3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ED_ATZ_LF_LEGACY" displayName="MED_ATZ_LF_LEGACY" ref="A1:AJ3" totalsRowCount="1" headerRowDxfId="1274" dataDxfId="1237" totalsRowDxfId="1200">
  <tableColumns count="36">
    <tableColumn id="1" xr3:uid="{00000000-0010-0000-0500-000001000000}" name="Day" totalsRowLabel="TOTAL" dataDxfId="1273" totalsRowDxfId="1236"/>
    <tableColumn id="2" xr3:uid="{00000000-0010-0000-0500-000002000000}" name="Flt Dt" dataDxfId="1272" totalsRowDxfId="1235"/>
    <tableColumn id="3" xr3:uid="{00000000-0010-0000-0500-000003000000}" name="Flt" totalsRowFunction="count" dataDxfId="1271" totalsRowDxfId="1234"/>
    <tableColumn id="4" xr3:uid="{00000000-0010-0000-0500-000004000000}" name="DEP" dataDxfId="1270" totalsRowDxfId="1233"/>
    <tableColumn id="5" xr3:uid="{00000000-0010-0000-0500-000005000000}" name="Brd-Off" totalsRowFunction="count" dataDxfId="1269" totalsRowDxfId="1232"/>
    <tableColumn id="6" xr3:uid="{00000000-0010-0000-0500-000006000000}" name="Eqp" dataDxfId="1268" totalsRowDxfId="1231"/>
    <tableColumn id="7" xr3:uid="{00000000-0010-0000-0500-000007000000}" name="LF%" totalsRowFunction="average" dataDxfId="1267" totalsRowDxfId="1230"/>
    <tableColumn id="8" xr3:uid="{00000000-0010-0000-0500-000008000000}" name="CAP" totalsRowFunction="sum" dataDxfId="1266" totalsRowDxfId="1229"/>
    <tableColumn id="9" xr3:uid="{00000000-0010-0000-0500-000009000000}" name="BKG(Y)" totalsRowFunction="sum" dataDxfId="1265" totalsRowDxfId="1228"/>
    <tableColumn id="10" xr3:uid="{00000000-0010-0000-0500-00000A000000}" name="GRP(Y)" totalsRowFunction="sum" dataDxfId="1264" totalsRowDxfId="1227"/>
    <tableColumn id="11" xr3:uid="{00000000-0010-0000-0500-00000B000000}" name="FLT ST" dataDxfId="1263" totalsRowDxfId="1226"/>
    <tableColumn id="12" xr3:uid="{00000000-0010-0000-0500-00000C000000}" name="LST-SOLD" dataDxfId="1262" totalsRowDxfId="1225"/>
    <tableColumn id="13" xr3:uid="{00000000-0010-0000-0500-00000D000000}" name="TO-DAY" totalsRowFunction="sum" dataDxfId="1261" totalsRowDxfId="1224"/>
    <tableColumn id="14" xr3:uid="{00000000-0010-0000-0500-00000E000000}" name="Y-DAY" totalsRowFunction="sum" dataDxfId="1260" totalsRowDxfId="1223"/>
    <tableColumn id="15" xr3:uid="{00000000-0010-0000-0500-00000F000000}" name="WEEKLY" totalsRowFunction="sum" dataDxfId="1259" totalsRowDxfId="1222"/>
    <tableColumn id="16" xr3:uid="{00000000-0010-0000-0500-000010000000}" name="LOWEST AVAIL" dataDxfId="1258" totalsRowDxfId="1221"/>
    <tableColumn id="17" xr3:uid="{00000000-0010-0000-0500-000011000000}" name="Y" totalsRowFunction="sum" dataDxfId="1257" totalsRowDxfId="1220"/>
    <tableColumn id="18" xr3:uid="{00000000-0010-0000-0500-000012000000}" name="B" totalsRowFunction="sum" dataDxfId="1256" totalsRowDxfId="1219"/>
    <tableColumn id="19" xr3:uid="{00000000-0010-0000-0500-000013000000}" name="M" totalsRowFunction="sum" dataDxfId="1255" totalsRowDxfId="1218"/>
    <tableColumn id="20" xr3:uid="{00000000-0010-0000-0500-000014000000}" name="H" totalsRowFunction="sum" dataDxfId="1254" totalsRowDxfId="1217"/>
    <tableColumn id="21" xr3:uid="{00000000-0010-0000-0500-000015000000}" name="Q" totalsRowFunction="sum" dataDxfId="1253" totalsRowDxfId="1216"/>
    <tableColumn id="22" xr3:uid="{00000000-0010-0000-0500-000016000000}" name="K" totalsRowFunction="sum" dataDxfId="1252" totalsRowDxfId="1215"/>
    <tableColumn id="23" xr3:uid="{00000000-0010-0000-0500-000017000000}" name="V" totalsRowFunction="sum" dataDxfId="1251" totalsRowDxfId="1214"/>
    <tableColumn id="24" xr3:uid="{00000000-0010-0000-0500-000018000000}" name="L" totalsRowFunction="sum" dataDxfId="1250" totalsRowDxfId="1213"/>
    <tableColumn id="25" xr3:uid="{00000000-0010-0000-0500-000019000000}" name="G" totalsRowFunction="sum" dataDxfId="1249" totalsRowDxfId="1212"/>
    <tableColumn id="26" xr3:uid="{00000000-0010-0000-0500-00001A000000}" name="S" totalsRowFunction="sum" dataDxfId="1248" totalsRowDxfId="1211"/>
    <tableColumn id="27" xr3:uid="{00000000-0010-0000-0500-00001B000000}" name="W" totalsRowFunction="sum" dataDxfId="1247" totalsRowDxfId="1210"/>
    <tableColumn id="28" xr3:uid="{00000000-0010-0000-0500-00001C000000}" name="T" totalsRowFunction="sum" dataDxfId="1246" totalsRowDxfId="1209"/>
    <tableColumn id="29" xr3:uid="{00000000-0010-0000-0500-00001D000000}" name="X" totalsRowFunction="sum" dataDxfId="1245" totalsRowDxfId="1208"/>
    <tableColumn id="30" xr3:uid="{00000000-0010-0000-0500-00001E000000}" name="U" totalsRowFunction="sum" dataDxfId="1244" totalsRowDxfId="1207"/>
    <tableColumn id="31" xr3:uid="{00000000-0010-0000-0500-00001F000000}" name="O" totalsRowFunction="sum" dataDxfId="1243" totalsRowDxfId="1206"/>
    <tableColumn id="32" xr3:uid="{00000000-0010-0000-0500-000020000000}" name="I" totalsRowFunction="sum" dataDxfId="1242" totalsRowDxfId="1205"/>
    <tableColumn id="33" xr3:uid="{00000000-0010-0000-0500-000021000000}" name="E" totalsRowFunction="sum" dataDxfId="1241" totalsRowDxfId="1204"/>
    <tableColumn id="34" xr3:uid="{00000000-0010-0000-0500-000022000000}" name="A" totalsRowFunction="sum" dataDxfId="1240" totalsRowDxfId="1203"/>
    <tableColumn id="35" xr3:uid="{00000000-0010-0000-0500-000023000000}" name="P" totalsRowFunction="sum" dataDxfId="1239" totalsRowDxfId="1202"/>
    <tableColumn id="36" xr3:uid="{00000000-0010-0000-0500-000024000000}" name="N" totalsRowFunction="count" dataDxfId="1238" totalsRowDxfId="120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MED_ATZ" displayName="FocusMode_MED_ATZ" ref="A1:H35" totalsRowShown="0">
  <autoFilter ref="A1:H35"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JED_CAI_LF_LEGACY" displayName="JED_CAI_LF_LEGACY" ref="A1:AJ18" totalsRowCount="1" headerRowDxfId="1199" dataDxfId="1162" totalsRowDxfId="1125">
  <tableColumns count="36">
    <tableColumn id="1" xr3:uid="{00000000-0010-0000-0700-000001000000}" name="Day" totalsRowLabel="TOTAL" dataDxfId="1198" totalsRowDxfId="1161"/>
    <tableColumn id="2" xr3:uid="{00000000-0010-0000-0700-000002000000}" name="Flt Dt" dataDxfId="1197" totalsRowDxfId="1160"/>
    <tableColumn id="3" xr3:uid="{00000000-0010-0000-0700-000003000000}" name="Flt" totalsRowFunction="count" dataDxfId="1196" totalsRowDxfId="1159"/>
    <tableColumn id="4" xr3:uid="{00000000-0010-0000-0700-000004000000}" name="DEP" dataDxfId="1195" totalsRowDxfId="1158"/>
    <tableColumn id="5" xr3:uid="{00000000-0010-0000-0700-000005000000}" name="Brd-Off" totalsRowFunction="count" dataDxfId="1194" totalsRowDxfId="1157"/>
    <tableColumn id="6" xr3:uid="{00000000-0010-0000-0700-000006000000}" name="Eqp" dataDxfId="1193" totalsRowDxfId="1156"/>
    <tableColumn id="7" xr3:uid="{00000000-0010-0000-0700-000007000000}" name="LF%" totalsRowFunction="average" dataDxfId="1192" totalsRowDxfId="1155"/>
    <tableColumn id="8" xr3:uid="{00000000-0010-0000-0700-000008000000}" name="CAP" totalsRowFunction="sum" dataDxfId="1191" totalsRowDxfId="1154"/>
    <tableColumn id="9" xr3:uid="{00000000-0010-0000-0700-000009000000}" name="BKG(Y)" totalsRowFunction="sum" dataDxfId="1190" totalsRowDxfId="1153"/>
    <tableColumn id="10" xr3:uid="{00000000-0010-0000-0700-00000A000000}" name="GRP(Y)" totalsRowFunction="sum" dataDxfId="1189" totalsRowDxfId="1152"/>
    <tableColumn id="11" xr3:uid="{00000000-0010-0000-0700-00000B000000}" name="FLT ST" dataDxfId="1188" totalsRowDxfId="1151"/>
    <tableColumn id="12" xr3:uid="{00000000-0010-0000-0700-00000C000000}" name="LST-SOLD" dataDxfId="1187" totalsRowDxfId="1150"/>
    <tableColumn id="13" xr3:uid="{00000000-0010-0000-0700-00000D000000}" name="TO-DAY" totalsRowFunction="sum" dataDxfId="1186" totalsRowDxfId="1149"/>
    <tableColumn id="14" xr3:uid="{00000000-0010-0000-0700-00000E000000}" name="Y-DAY" totalsRowFunction="sum" dataDxfId="1185" totalsRowDxfId="1148"/>
    <tableColumn id="15" xr3:uid="{00000000-0010-0000-0700-00000F000000}" name="WEEKLY" totalsRowFunction="sum" dataDxfId="1184" totalsRowDxfId="1147"/>
    <tableColumn id="16" xr3:uid="{00000000-0010-0000-0700-000010000000}" name="LOWEST AVAIL" dataDxfId="1183" totalsRowDxfId="1146"/>
    <tableColumn id="17" xr3:uid="{00000000-0010-0000-0700-000011000000}" name="Y" totalsRowFunction="sum" dataDxfId="1182" totalsRowDxfId="1145"/>
    <tableColumn id="18" xr3:uid="{00000000-0010-0000-0700-000012000000}" name="B" totalsRowFunction="sum" dataDxfId="1181" totalsRowDxfId="1144"/>
    <tableColumn id="19" xr3:uid="{00000000-0010-0000-0700-000013000000}" name="M" totalsRowFunction="sum" dataDxfId="1180" totalsRowDxfId="1143"/>
    <tableColumn id="20" xr3:uid="{00000000-0010-0000-0700-000014000000}" name="H" totalsRowFunction="sum" dataDxfId="1179" totalsRowDxfId="1142"/>
    <tableColumn id="21" xr3:uid="{00000000-0010-0000-0700-000015000000}" name="Q" totalsRowFunction="sum" dataDxfId="1178" totalsRowDxfId="1141"/>
    <tableColumn id="22" xr3:uid="{00000000-0010-0000-0700-000016000000}" name="K" totalsRowFunction="sum" dataDxfId="1177" totalsRowDxfId="1140"/>
    <tableColumn id="23" xr3:uid="{00000000-0010-0000-0700-000017000000}" name="V" totalsRowFunction="sum" dataDxfId="1176" totalsRowDxfId="1139"/>
    <tableColumn id="24" xr3:uid="{00000000-0010-0000-0700-000018000000}" name="L" totalsRowFunction="sum" dataDxfId="1175" totalsRowDxfId="1138"/>
    <tableColumn id="25" xr3:uid="{00000000-0010-0000-0700-000019000000}" name="G" totalsRowFunction="sum" dataDxfId="1174" totalsRowDxfId="1137"/>
    <tableColumn id="26" xr3:uid="{00000000-0010-0000-0700-00001A000000}" name="S" totalsRowFunction="sum" dataDxfId="1173" totalsRowDxfId="1136"/>
    <tableColumn id="27" xr3:uid="{00000000-0010-0000-0700-00001B000000}" name="W" totalsRowFunction="sum" dataDxfId="1172" totalsRowDxfId="1135"/>
    <tableColumn id="28" xr3:uid="{00000000-0010-0000-0700-00001C000000}" name="T" totalsRowFunction="sum" dataDxfId="1171" totalsRowDxfId="1134"/>
    <tableColumn id="29" xr3:uid="{00000000-0010-0000-0700-00001D000000}" name="X" totalsRowFunction="sum" dataDxfId="1170" totalsRowDxfId="1133"/>
    <tableColumn id="30" xr3:uid="{00000000-0010-0000-0700-00001E000000}" name="U" totalsRowFunction="sum" dataDxfId="1169" totalsRowDxfId="1132"/>
    <tableColumn id="31" xr3:uid="{00000000-0010-0000-0700-00001F000000}" name="O" totalsRowFunction="sum" dataDxfId="1168" totalsRowDxfId="1131"/>
    <tableColumn id="32" xr3:uid="{00000000-0010-0000-0700-000020000000}" name="I" totalsRowFunction="sum" dataDxfId="1167" totalsRowDxfId="1130"/>
    <tableColumn id="33" xr3:uid="{00000000-0010-0000-0700-000021000000}" name="E" totalsRowFunction="sum" dataDxfId="1166" totalsRowDxfId="1129"/>
    <tableColumn id="34" xr3:uid="{00000000-0010-0000-0700-000022000000}" name="A" totalsRowFunction="sum" dataDxfId="1165" totalsRowDxfId="1128"/>
    <tableColumn id="35" xr3:uid="{00000000-0010-0000-0700-000023000000}" name="P" totalsRowFunction="sum" dataDxfId="1164" totalsRowDxfId="1127"/>
    <tableColumn id="36" xr3:uid="{00000000-0010-0000-0700-000024000000}" name="N" totalsRowFunction="count" dataDxfId="1163" totalsRowDxfId="11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CAI" displayName="FocusMode_JED_CAI" ref="A1:H117" totalsRowShown="0">
  <autoFilter ref="A1:H117"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JED_CAI" displayName="ThreatsAlert_JED_CAI" ref="A1:H25" totalsRowShown="0">
  <autoFilter ref="A1:H25"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JED_HBE_LF_LEGACY" displayName="JED_HBE_LF_LEGACY" ref="A1:AJ6" totalsRowCount="1" headerRowDxfId="1124" dataDxfId="1087" totalsRowDxfId="1050">
  <tableColumns count="36">
    <tableColumn id="1" xr3:uid="{00000000-0010-0000-0A00-000001000000}" name="Day" totalsRowLabel="TOTAL" dataDxfId="1123" totalsRowDxfId="1086"/>
    <tableColumn id="2" xr3:uid="{00000000-0010-0000-0A00-000002000000}" name="Flt Dt" dataDxfId="1122" totalsRowDxfId="1085"/>
    <tableColumn id="3" xr3:uid="{00000000-0010-0000-0A00-000003000000}" name="Flt" totalsRowFunction="count" dataDxfId="1121" totalsRowDxfId="1084"/>
    <tableColumn id="4" xr3:uid="{00000000-0010-0000-0A00-000004000000}" name="DEP" dataDxfId="1120" totalsRowDxfId="1083"/>
    <tableColumn id="5" xr3:uid="{00000000-0010-0000-0A00-000005000000}" name="Brd-Off" totalsRowFunction="count" dataDxfId="1119" totalsRowDxfId="1082"/>
    <tableColumn id="6" xr3:uid="{00000000-0010-0000-0A00-000006000000}" name="Eqp" dataDxfId="1118" totalsRowDxfId="1081"/>
    <tableColumn id="7" xr3:uid="{00000000-0010-0000-0A00-000007000000}" name="LF%" totalsRowFunction="average" dataDxfId="1117" totalsRowDxfId="1080"/>
    <tableColumn id="8" xr3:uid="{00000000-0010-0000-0A00-000008000000}" name="CAP" totalsRowFunction="sum" dataDxfId="1116" totalsRowDxfId="1079"/>
    <tableColumn id="9" xr3:uid="{00000000-0010-0000-0A00-000009000000}" name="BKG(Y)" totalsRowFunction="sum" dataDxfId="1115" totalsRowDxfId="1078"/>
    <tableColumn id="10" xr3:uid="{00000000-0010-0000-0A00-00000A000000}" name="GRP(Y)" totalsRowFunction="sum" dataDxfId="1114" totalsRowDxfId="1077"/>
    <tableColumn id="11" xr3:uid="{00000000-0010-0000-0A00-00000B000000}" name="FLT ST" dataDxfId="1113" totalsRowDxfId="1076"/>
    <tableColumn id="12" xr3:uid="{00000000-0010-0000-0A00-00000C000000}" name="LST-SOLD" dataDxfId="1112" totalsRowDxfId="1075"/>
    <tableColumn id="13" xr3:uid="{00000000-0010-0000-0A00-00000D000000}" name="TO-DAY" totalsRowFunction="sum" dataDxfId="1111" totalsRowDxfId="1074"/>
    <tableColumn id="14" xr3:uid="{00000000-0010-0000-0A00-00000E000000}" name="Y-DAY" totalsRowFunction="sum" dataDxfId="1110" totalsRowDxfId="1073"/>
    <tableColumn id="15" xr3:uid="{00000000-0010-0000-0A00-00000F000000}" name="WEEKLY" totalsRowFunction="sum" dataDxfId="1109" totalsRowDxfId="1072"/>
    <tableColumn id="16" xr3:uid="{00000000-0010-0000-0A00-000010000000}" name="LOWEST AVAIL" dataDxfId="1108" totalsRowDxfId="1071"/>
    <tableColumn id="17" xr3:uid="{00000000-0010-0000-0A00-000011000000}" name="Y" totalsRowFunction="sum" dataDxfId="1107" totalsRowDxfId="1070"/>
    <tableColumn id="18" xr3:uid="{00000000-0010-0000-0A00-000012000000}" name="B" totalsRowFunction="sum" dataDxfId="1106" totalsRowDxfId="1069"/>
    <tableColumn id="19" xr3:uid="{00000000-0010-0000-0A00-000013000000}" name="M" totalsRowFunction="sum" dataDxfId="1105" totalsRowDxfId="1068"/>
    <tableColumn id="20" xr3:uid="{00000000-0010-0000-0A00-000014000000}" name="H" totalsRowFunction="sum" dataDxfId="1104" totalsRowDxfId="1067"/>
    <tableColumn id="21" xr3:uid="{00000000-0010-0000-0A00-000015000000}" name="Q" totalsRowFunction="sum" dataDxfId="1103" totalsRowDxfId="1066"/>
    <tableColumn id="22" xr3:uid="{00000000-0010-0000-0A00-000016000000}" name="K" totalsRowFunction="sum" dataDxfId="1102" totalsRowDxfId="1065"/>
    <tableColumn id="23" xr3:uid="{00000000-0010-0000-0A00-000017000000}" name="V" totalsRowFunction="sum" dataDxfId="1101" totalsRowDxfId="1064"/>
    <tableColumn id="24" xr3:uid="{00000000-0010-0000-0A00-000018000000}" name="L" totalsRowFunction="sum" dataDxfId="1100" totalsRowDxfId="1063"/>
    <tableColumn id="25" xr3:uid="{00000000-0010-0000-0A00-000019000000}" name="G" totalsRowFunction="sum" dataDxfId="1099" totalsRowDxfId="1062"/>
    <tableColumn id="26" xr3:uid="{00000000-0010-0000-0A00-00001A000000}" name="S" totalsRowFunction="sum" dataDxfId="1098" totalsRowDxfId="1061"/>
    <tableColumn id="27" xr3:uid="{00000000-0010-0000-0A00-00001B000000}" name="W" totalsRowFunction="sum" dataDxfId="1097" totalsRowDxfId="1060"/>
    <tableColumn id="28" xr3:uid="{00000000-0010-0000-0A00-00001C000000}" name="T" totalsRowFunction="sum" dataDxfId="1096" totalsRowDxfId="1059"/>
    <tableColumn id="29" xr3:uid="{00000000-0010-0000-0A00-00001D000000}" name="X" totalsRowFunction="sum" dataDxfId="1095" totalsRowDxfId="1058"/>
    <tableColumn id="30" xr3:uid="{00000000-0010-0000-0A00-00001E000000}" name="U" totalsRowFunction="sum" dataDxfId="1094" totalsRowDxfId="1057"/>
    <tableColumn id="31" xr3:uid="{00000000-0010-0000-0A00-00001F000000}" name="O" totalsRowFunction="sum" dataDxfId="1093" totalsRowDxfId="1056"/>
    <tableColumn id="32" xr3:uid="{00000000-0010-0000-0A00-000020000000}" name="I" totalsRowFunction="sum" dataDxfId="1092" totalsRowDxfId="1055"/>
    <tableColumn id="33" xr3:uid="{00000000-0010-0000-0A00-000021000000}" name="E" totalsRowFunction="sum" dataDxfId="1091" totalsRowDxfId="1054"/>
    <tableColumn id="34" xr3:uid="{00000000-0010-0000-0A00-000022000000}" name="A" totalsRowFunction="sum" dataDxfId="1090" totalsRowDxfId="1053"/>
    <tableColumn id="35" xr3:uid="{00000000-0010-0000-0A00-000023000000}" name="P" totalsRowFunction="sum" dataDxfId="1089" totalsRowDxfId="1052"/>
    <tableColumn id="36" xr3:uid="{00000000-0010-0000-0A00-000024000000}" name="N" totalsRowFunction="count" dataDxfId="1088" totalsRowDxfId="105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JED_HBE" displayName="FocusMode_JED_HBE" ref="A1:H56" totalsRowShown="0">
  <autoFilter ref="A1:H56"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ATZ_LF_LEGACY" displayName="JED_ATZ_LF_LEGACY" ref="A1:AJ8" totalsRowCount="1" headerRowDxfId="1049" dataDxfId="1012" totalsRowDxfId="975">
  <tableColumns count="36">
    <tableColumn id="1" xr3:uid="{00000000-0010-0000-0C00-000001000000}" name="Day" totalsRowLabel="TOTAL" dataDxfId="1048" totalsRowDxfId="1011"/>
    <tableColumn id="2" xr3:uid="{00000000-0010-0000-0C00-000002000000}" name="Flt Dt" dataDxfId="1047" totalsRowDxfId="1010"/>
    <tableColumn id="3" xr3:uid="{00000000-0010-0000-0C00-000003000000}" name="Flt" totalsRowFunction="count" dataDxfId="1046" totalsRowDxfId="1009"/>
    <tableColumn id="4" xr3:uid="{00000000-0010-0000-0C00-000004000000}" name="DEP" dataDxfId="1045" totalsRowDxfId="1008"/>
    <tableColumn id="5" xr3:uid="{00000000-0010-0000-0C00-000005000000}" name="Brd-Off" totalsRowFunction="count" dataDxfId="1044" totalsRowDxfId="1007"/>
    <tableColumn id="6" xr3:uid="{00000000-0010-0000-0C00-000006000000}" name="Eqp" dataDxfId="1043" totalsRowDxfId="1006"/>
    <tableColumn id="7" xr3:uid="{00000000-0010-0000-0C00-000007000000}" name="LF%" totalsRowFunction="average" dataDxfId="1042" totalsRowDxfId="1005"/>
    <tableColumn id="8" xr3:uid="{00000000-0010-0000-0C00-000008000000}" name="CAP" totalsRowFunction="sum" dataDxfId="1041" totalsRowDxfId="1004"/>
    <tableColumn id="9" xr3:uid="{00000000-0010-0000-0C00-000009000000}" name="BKG(Y)" totalsRowFunction="sum" dataDxfId="1040" totalsRowDxfId="1003"/>
    <tableColumn id="10" xr3:uid="{00000000-0010-0000-0C00-00000A000000}" name="GRP(Y)" totalsRowFunction="sum" dataDxfId="1039" totalsRowDxfId="1002"/>
    <tableColumn id="11" xr3:uid="{00000000-0010-0000-0C00-00000B000000}" name="FLT ST" dataDxfId="1038" totalsRowDxfId="1001"/>
    <tableColumn id="12" xr3:uid="{00000000-0010-0000-0C00-00000C000000}" name="LST-SOLD" dataDxfId="1037" totalsRowDxfId="1000"/>
    <tableColumn id="13" xr3:uid="{00000000-0010-0000-0C00-00000D000000}" name="TO-DAY" totalsRowFunction="sum" dataDxfId="1036" totalsRowDxfId="999"/>
    <tableColumn id="14" xr3:uid="{00000000-0010-0000-0C00-00000E000000}" name="Y-DAY" totalsRowFunction="sum" dataDxfId="1035" totalsRowDxfId="998"/>
    <tableColumn id="15" xr3:uid="{00000000-0010-0000-0C00-00000F000000}" name="WEEKLY" totalsRowFunction="sum" dataDxfId="1034" totalsRowDxfId="997"/>
    <tableColumn id="16" xr3:uid="{00000000-0010-0000-0C00-000010000000}" name="LOWEST AVAIL" dataDxfId="1033" totalsRowDxfId="996"/>
    <tableColumn id="17" xr3:uid="{00000000-0010-0000-0C00-000011000000}" name="Y" totalsRowFunction="sum" dataDxfId="1032" totalsRowDxfId="995"/>
    <tableColumn id="18" xr3:uid="{00000000-0010-0000-0C00-000012000000}" name="B" totalsRowFunction="sum" dataDxfId="1031" totalsRowDxfId="994"/>
    <tableColumn id="19" xr3:uid="{00000000-0010-0000-0C00-000013000000}" name="M" totalsRowFunction="sum" dataDxfId="1030" totalsRowDxfId="993"/>
    <tableColumn id="20" xr3:uid="{00000000-0010-0000-0C00-000014000000}" name="H" totalsRowFunction="sum" dataDxfId="1029" totalsRowDxfId="992"/>
    <tableColumn id="21" xr3:uid="{00000000-0010-0000-0C00-000015000000}" name="Q" totalsRowFunction="sum" dataDxfId="1028" totalsRowDxfId="991"/>
    <tableColumn id="22" xr3:uid="{00000000-0010-0000-0C00-000016000000}" name="K" totalsRowFunction="sum" dataDxfId="1027" totalsRowDxfId="990"/>
    <tableColumn id="23" xr3:uid="{00000000-0010-0000-0C00-000017000000}" name="V" totalsRowFunction="sum" dataDxfId="1026" totalsRowDxfId="989"/>
    <tableColumn id="24" xr3:uid="{00000000-0010-0000-0C00-000018000000}" name="L" totalsRowFunction="sum" dataDxfId="1025" totalsRowDxfId="988"/>
    <tableColumn id="25" xr3:uid="{00000000-0010-0000-0C00-000019000000}" name="G" totalsRowFunction="sum" dataDxfId="1024" totalsRowDxfId="987"/>
    <tableColumn id="26" xr3:uid="{00000000-0010-0000-0C00-00001A000000}" name="S" totalsRowFunction="sum" dataDxfId="1023" totalsRowDxfId="986"/>
    <tableColumn id="27" xr3:uid="{00000000-0010-0000-0C00-00001B000000}" name="W" totalsRowFunction="sum" dataDxfId="1022" totalsRowDxfId="985"/>
    <tableColumn id="28" xr3:uid="{00000000-0010-0000-0C00-00001C000000}" name="T" totalsRowFunction="sum" dataDxfId="1021" totalsRowDxfId="984"/>
    <tableColumn id="29" xr3:uid="{00000000-0010-0000-0C00-00001D000000}" name="X" totalsRowFunction="sum" dataDxfId="1020" totalsRowDxfId="983"/>
    <tableColumn id="30" xr3:uid="{00000000-0010-0000-0C00-00001E000000}" name="U" totalsRowFunction="sum" dataDxfId="1019" totalsRowDxfId="982"/>
    <tableColumn id="31" xr3:uid="{00000000-0010-0000-0C00-00001F000000}" name="O" totalsRowFunction="sum" dataDxfId="1018" totalsRowDxfId="981"/>
    <tableColumn id="32" xr3:uid="{00000000-0010-0000-0C00-000020000000}" name="I" totalsRowFunction="sum" dataDxfId="1017" totalsRowDxfId="980"/>
    <tableColumn id="33" xr3:uid="{00000000-0010-0000-0C00-000021000000}" name="E" totalsRowFunction="sum" dataDxfId="1016" totalsRowDxfId="979"/>
    <tableColumn id="34" xr3:uid="{00000000-0010-0000-0C00-000022000000}" name="A" totalsRowFunction="sum" dataDxfId="1015" totalsRowDxfId="978"/>
    <tableColumn id="35" xr3:uid="{00000000-0010-0000-0C00-000023000000}" name="P" totalsRowFunction="sum" dataDxfId="1014" totalsRowDxfId="977"/>
    <tableColumn id="36" xr3:uid="{00000000-0010-0000-0C00-000024000000}" name="N" totalsRowFunction="count" dataDxfId="1013" totalsRowDxfId="97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ATZ" displayName="FocusMode_JED_ATZ" ref="A1:H42" totalsRowShown="0">
  <autoFilter ref="A1:H42"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RUH_CAI_LF_LEGACY" displayName="RUH_CAI_LF_LEGACY" ref="A1:AJ6" totalsRowCount="1" headerRowDxfId="974" dataDxfId="937" totalsRowDxfId="900">
  <tableColumns count="36">
    <tableColumn id="1" xr3:uid="{00000000-0010-0000-0E00-000001000000}" name="Day" totalsRowLabel="TOTAL" dataDxfId="973" totalsRowDxfId="936"/>
    <tableColumn id="2" xr3:uid="{00000000-0010-0000-0E00-000002000000}" name="Flt Dt" dataDxfId="972" totalsRowDxfId="935"/>
    <tableColumn id="3" xr3:uid="{00000000-0010-0000-0E00-000003000000}" name="Flt" totalsRowFunction="count" dataDxfId="971" totalsRowDxfId="934"/>
    <tableColumn id="4" xr3:uid="{00000000-0010-0000-0E00-000004000000}" name="DEP" dataDxfId="970" totalsRowDxfId="933"/>
    <tableColumn id="5" xr3:uid="{00000000-0010-0000-0E00-000005000000}" name="Brd-Off" totalsRowFunction="count" dataDxfId="969" totalsRowDxfId="932"/>
    <tableColumn id="6" xr3:uid="{00000000-0010-0000-0E00-000006000000}" name="Eqp" dataDxfId="968" totalsRowDxfId="931"/>
    <tableColumn id="7" xr3:uid="{00000000-0010-0000-0E00-000007000000}" name="LF%" totalsRowFunction="average" dataDxfId="967" totalsRowDxfId="930"/>
    <tableColumn id="8" xr3:uid="{00000000-0010-0000-0E00-000008000000}" name="CAP" totalsRowFunction="sum" dataDxfId="966" totalsRowDxfId="929"/>
    <tableColumn id="9" xr3:uid="{00000000-0010-0000-0E00-000009000000}" name="BKG(Y)" totalsRowFunction="sum" dataDxfId="965" totalsRowDxfId="928"/>
    <tableColumn id="10" xr3:uid="{00000000-0010-0000-0E00-00000A000000}" name="GRP(Y)" totalsRowFunction="sum" dataDxfId="964" totalsRowDxfId="927"/>
    <tableColumn id="11" xr3:uid="{00000000-0010-0000-0E00-00000B000000}" name="FLT ST" dataDxfId="963" totalsRowDxfId="926"/>
    <tableColumn id="12" xr3:uid="{00000000-0010-0000-0E00-00000C000000}" name="LST-SOLD" dataDxfId="962" totalsRowDxfId="925"/>
    <tableColumn id="13" xr3:uid="{00000000-0010-0000-0E00-00000D000000}" name="TO-DAY" totalsRowFunction="sum" dataDxfId="961" totalsRowDxfId="924"/>
    <tableColumn id="14" xr3:uid="{00000000-0010-0000-0E00-00000E000000}" name="Y-DAY" totalsRowFunction="sum" dataDxfId="960" totalsRowDxfId="923"/>
    <tableColumn id="15" xr3:uid="{00000000-0010-0000-0E00-00000F000000}" name="WEEKLY" totalsRowFunction="sum" dataDxfId="959" totalsRowDxfId="922"/>
    <tableColumn id="16" xr3:uid="{00000000-0010-0000-0E00-000010000000}" name="LOWEST AVAIL" dataDxfId="958" totalsRowDxfId="921"/>
    <tableColumn id="17" xr3:uid="{00000000-0010-0000-0E00-000011000000}" name="Y" totalsRowFunction="sum" dataDxfId="957" totalsRowDxfId="920"/>
    <tableColumn id="18" xr3:uid="{00000000-0010-0000-0E00-000012000000}" name="B" totalsRowFunction="sum" dataDxfId="956" totalsRowDxfId="919"/>
    <tableColumn id="19" xr3:uid="{00000000-0010-0000-0E00-000013000000}" name="M" totalsRowFunction="sum" dataDxfId="955" totalsRowDxfId="918"/>
    <tableColumn id="20" xr3:uid="{00000000-0010-0000-0E00-000014000000}" name="H" totalsRowFunction="sum" dataDxfId="954" totalsRowDxfId="917"/>
    <tableColumn id="21" xr3:uid="{00000000-0010-0000-0E00-000015000000}" name="Q" totalsRowFunction="sum" dataDxfId="953" totalsRowDxfId="916"/>
    <tableColumn id="22" xr3:uid="{00000000-0010-0000-0E00-000016000000}" name="K" totalsRowFunction="sum" dataDxfId="952" totalsRowDxfId="915"/>
    <tableColumn id="23" xr3:uid="{00000000-0010-0000-0E00-000017000000}" name="V" totalsRowFunction="sum" dataDxfId="951" totalsRowDxfId="914"/>
    <tableColumn id="24" xr3:uid="{00000000-0010-0000-0E00-000018000000}" name="L" totalsRowFunction="sum" dataDxfId="950" totalsRowDxfId="913"/>
    <tableColumn id="25" xr3:uid="{00000000-0010-0000-0E00-000019000000}" name="G" totalsRowFunction="sum" dataDxfId="949" totalsRowDxfId="912"/>
    <tableColumn id="26" xr3:uid="{00000000-0010-0000-0E00-00001A000000}" name="S" totalsRowFunction="sum" dataDxfId="948" totalsRowDxfId="911"/>
    <tableColumn id="27" xr3:uid="{00000000-0010-0000-0E00-00001B000000}" name="W" totalsRowFunction="sum" dataDxfId="947" totalsRowDxfId="910"/>
    <tableColumn id="28" xr3:uid="{00000000-0010-0000-0E00-00001C000000}" name="T" totalsRowFunction="sum" dataDxfId="946" totalsRowDxfId="909"/>
    <tableColumn id="29" xr3:uid="{00000000-0010-0000-0E00-00001D000000}" name="X" totalsRowFunction="sum" dataDxfId="945" totalsRowDxfId="908"/>
    <tableColumn id="30" xr3:uid="{00000000-0010-0000-0E00-00001E000000}" name="U" totalsRowFunction="sum" dataDxfId="944" totalsRowDxfId="907"/>
    <tableColumn id="31" xr3:uid="{00000000-0010-0000-0E00-00001F000000}" name="O" totalsRowFunction="sum" dataDxfId="943" totalsRowDxfId="906"/>
    <tableColumn id="32" xr3:uid="{00000000-0010-0000-0E00-000020000000}" name="I" totalsRowFunction="sum" dataDxfId="942" totalsRowDxfId="905"/>
    <tableColumn id="33" xr3:uid="{00000000-0010-0000-0E00-000021000000}" name="E" totalsRowFunction="sum" dataDxfId="941" totalsRowDxfId="904"/>
    <tableColumn id="34" xr3:uid="{00000000-0010-0000-0E00-000022000000}" name="A" totalsRowFunction="sum" dataDxfId="940" totalsRowDxfId="903"/>
    <tableColumn id="35" xr3:uid="{00000000-0010-0000-0E00-000023000000}" name="P" totalsRowFunction="sum" dataDxfId="939" totalsRowDxfId="902"/>
    <tableColumn id="36" xr3:uid="{00000000-0010-0000-0E00-000024000000}" name="N" totalsRowFunction="count" dataDxfId="938" totalsRowDxfId="90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RUH_CAI" displayName="FocusMode_RUH_CAI" ref="A1:H153" totalsRowShown="0">
  <autoFilter ref="A1:H153"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hreatsAlert_RUH_CAI" displayName="ThreatsAlert_RUH_CAI" ref="A1:H19" totalsRowShown="0">
  <autoFilter ref="A1:H19"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RUH_ATZ" displayName="FocusMode_RUH_ATZ" ref="A1:H34" totalsRowShown="0">
  <autoFilter ref="A1:H34"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DMM_CAI_LF_LEGACY" displayName="DMM_CAI_LF_LEGACY" ref="A1:AJ5" totalsRowCount="1" headerRowDxfId="899" dataDxfId="862" totalsRowDxfId="825">
  <tableColumns count="36">
    <tableColumn id="1" xr3:uid="{00000000-0010-0000-1200-000001000000}" name="Day" totalsRowLabel="TOTAL" dataDxfId="898" totalsRowDxfId="861"/>
    <tableColumn id="2" xr3:uid="{00000000-0010-0000-1200-000002000000}" name="Flt Dt" dataDxfId="897" totalsRowDxfId="860"/>
    <tableColumn id="3" xr3:uid="{00000000-0010-0000-1200-000003000000}" name="Flt" totalsRowFunction="count" dataDxfId="896" totalsRowDxfId="859"/>
    <tableColumn id="4" xr3:uid="{00000000-0010-0000-1200-000004000000}" name="DEP" dataDxfId="895" totalsRowDxfId="858"/>
    <tableColumn id="5" xr3:uid="{00000000-0010-0000-1200-000005000000}" name="Brd-Off" totalsRowFunction="count" dataDxfId="894" totalsRowDxfId="857"/>
    <tableColumn id="6" xr3:uid="{00000000-0010-0000-1200-000006000000}" name="Eqp" dataDxfId="893" totalsRowDxfId="856"/>
    <tableColumn id="7" xr3:uid="{00000000-0010-0000-1200-000007000000}" name="LF%" totalsRowFunction="average" dataDxfId="892" totalsRowDxfId="855"/>
    <tableColumn id="8" xr3:uid="{00000000-0010-0000-1200-000008000000}" name="CAP" totalsRowFunction="sum" dataDxfId="891" totalsRowDxfId="854"/>
    <tableColumn id="9" xr3:uid="{00000000-0010-0000-1200-000009000000}" name="BKG(Y)" totalsRowFunction="sum" dataDxfId="890" totalsRowDxfId="853"/>
    <tableColumn id="10" xr3:uid="{00000000-0010-0000-1200-00000A000000}" name="GRP(Y)" totalsRowFunction="sum" dataDxfId="889" totalsRowDxfId="852"/>
    <tableColumn id="11" xr3:uid="{00000000-0010-0000-1200-00000B000000}" name="FLT ST" dataDxfId="888" totalsRowDxfId="851"/>
    <tableColumn id="12" xr3:uid="{00000000-0010-0000-1200-00000C000000}" name="LST-SOLD" dataDxfId="887" totalsRowDxfId="850"/>
    <tableColumn id="13" xr3:uid="{00000000-0010-0000-1200-00000D000000}" name="TO-DAY" totalsRowFunction="sum" dataDxfId="886" totalsRowDxfId="849"/>
    <tableColumn id="14" xr3:uid="{00000000-0010-0000-1200-00000E000000}" name="Y-DAY" totalsRowFunction="sum" dataDxfId="885" totalsRowDxfId="848"/>
    <tableColumn id="15" xr3:uid="{00000000-0010-0000-1200-00000F000000}" name="WEEKLY" totalsRowFunction="sum" dataDxfId="884" totalsRowDxfId="847"/>
    <tableColumn id="16" xr3:uid="{00000000-0010-0000-1200-000010000000}" name="LOWEST AVAIL" dataDxfId="883" totalsRowDxfId="846"/>
    <tableColumn id="17" xr3:uid="{00000000-0010-0000-1200-000011000000}" name="Y" totalsRowFunction="sum" dataDxfId="882" totalsRowDxfId="845"/>
    <tableColumn id="18" xr3:uid="{00000000-0010-0000-1200-000012000000}" name="B" totalsRowFunction="sum" dataDxfId="881" totalsRowDxfId="844"/>
    <tableColumn id="19" xr3:uid="{00000000-0010-0000-1200-000013000000}" name="M" totalsRowFunction="sum" dataDxfId="880" totalsRowDxfId="843"/>
    <tableColumn id="20" xr3:uid="{00000000-0010-0000-1200-000014000000}" name="H" totalsRowFunction="sum" dataDxfId="879" totalsRowDxfId="842"/>
    <tableColumn id="21" xr3:uid="{00000000-0010-0000-1200-000015000000}" name="Q" totalsRowFunction="sum" dataDxfId="878" totalsRowDxfId="841"/>
    <tableColumn id="22" xr3:uid="{00000000-0010-0000-1200-000016000000}" name="K" totalsRowFunction="sum" dataDxfId="877" totalsRowDxfId="840"/>
    <tableColumn id="23" xr3:uid="{00000000-0010-0000-1200-000017000000}" name="V" totalsRowFunction="sum" dataDxfId="876" totalsRowDxfId="839"/>
    <tableColumn id="24" xr3:uid="{00000000-0010-0000-1200-000018000000}" name="L" totalsRowFunction="sum" dataDxfId="875" totalsRowDxfId="838"/>
    <tableColumn id="25" xr3:uid="{00000000-0010-0000-1200-000019000000}" name="G" totalsRowFunction="sum" dataDxfId="874" totalsRowDxfId="837"/>
    <tableColumn id="26" xr3:uid="{00000000-0010-0000-1200-00001A000000}" name="S" totalsRowFunction="sum" dataDxfId="873" totalsRowDxfId="836"/>
    <tableColumn id="27" xr3:uid="{00000000-0010-0000-1200-00001B000000}" name="W" totalsRowFunction="sum" dataDxfId="872" totalsRowDxfId="835"/>
    <tableColumn id="28" xr3:uid="{00000000-0010-0000-1200-00001C000000}" name="T" totalsRowFunction="sum" dataDxfId="871" totalsRowDxfId="834"/>
    <tableColumn id="29" xr3:uid="{00000000-0010-0000-1200-00001D000000}" name="X" totalsRowFunction="sum" dataDxfId="870" totalsRowDxfId="833"/>
    <tableColumn id="30" xr3:uid="{00000000-0010-0000-1200-00001E000000}" name="U" totalsRowFunction="sum" dataDxfId="869" totalsRowDxfId="832"/>
    <tableColumn id="31" xr3:uid="{00000000-0010-0000-1200-00001F000000}" name="O" totalsRowFunction="sum" dataDxfId="868" totalsRowDxfId="831"/>
    <tableColumn id="32" xr3:uid="{00000000-0010-0000-1200-000020000000}" name="I" totalsRowFunction="sum" dataDxfId="867" totalsRowDxfId="830"/>
    <tableColumn id="33" xr3:uid="{00000000-0010-0000-1200-000021000000}" name="E" totalsRowFunction="sum" dataDxfId="866" totalsRowDxfId="829"/>
    <tableColumn id="34" xr3:uid="{00000000-0010-0000-1200-000022000000}" name="A" totalsRowFunction="sum" dataDxfId="865" totalsRowDxfId="828"/>
    <tableColumn id="35" xr3:uid="{00000000-0010-0000-1200-000023000000}" name="P" totalsRowFunction="sum" dataDxfId="864" totalsRowDxfId="827"/>
    <tableColumn id="36" xr3:uid="{00000000-0010-0000-1200-000024000000}" name="N" totalsRowFunction="count" dataDxfId="863" totalsRowDxfId="82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DMM_CAI" displayName="FocusMode_DMM_CAI" ref="A1:H45" totalsRowShown="0">
  <autoFilter ref="A1:H45"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hreatsAlert_DMM_CAI" displayName="ThreatsAlert_DMM_CAI" ref="A1:H6" totalsRowShown="0">
  <autoFilter ref="A1:H6"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DMM_ATZ_LF_LEGACY" displayName="DMM_ATZ_LF_LEGACY" ref="A1:AJ3" totalsRowCount="1" headerRowDxfId="824" dataDxfId="787" totalsRowDxfId="750">
  <tableColumns count="36">
    <tableColumn id="1" xr3:uid="{00000000-0010-0000-1500-000001000000}" name="Day" totalsRowLabel="TOTAL" dataDxfId="823" totalsRowDxfId="786"/>
    <tableColumn id="2" xr3:uid="{00000000-0010-0000-1500-000002000000}" name="Flt Dt" dataDxfId="822" totalsRowDxfId="785"/>
    <tableColumn id="3" xr3:uid="{00000000-0010-0000-1500-000003000000}" name="Flt" totalsRowFunction="count" dataDxfId="821" totalsRowDxfId="784"/>
    <tableColumn id="4" xr3:uid="{00000000-0010-0000-1500-000004000000}" name="DEP" dataDxfId="820" totalsRowDxfId="783"/>
    <tableColumn id="5" xr3:uid="{00000000-0010-0000-1500-000005000000}" name="Brd-Off" totalsRowFunction="count" dataDxfId="819" totalsRowDxfId="782"/>
    <tableColumn id="6" xr3:uid="{00000000-0010-0000-1500-000006000000}" name="Eqp" dataDxfId="818" totalsRowDxfId="781"/>
    <tableColumn id="7" xr3:uid="{00000000-0010-0000-1500-000007000000}" name="LF%" totalsRowFunction="average" dataDxfId="817" totalsRowDxfId="780"/>
    <tableColumn id="8" xr3:uid="{00000000-0010-0000-1500-000008000000}" name="CAP" totalsRowFunction="sum" dataDxfId="816" totalsRowDxfId="779"/>
    <tableColumn id="9" xr3:uid="{00000000-0010-0000-1500-000009000000}" name="BKG(Y)" totalsRowFunction="sum" dataDxfId="815" totalsRowDxfId="778"/>
    <tableColumn id="10" xr3:uid="{00000000-0010-0000-1500-00000A000000}" name="GRP(Y)" totalsRowFunction="sum" dataDxfId="814" totalsRowDxfId="777"/>
    <tableColumn id="11" xr3:uid="{00000000-0010-0000-1500-00000B000000}" name="FLT ST" dataDxfId="813" totalsRowDxfId="776"/>
    <tableColumn id="12" xr3:uid="{00000000-0010-0000-1500-00000C000000}" name="LST-SOLD" dataDxfId="812" totalsRowDxfId="775"/>
    <tableColumn id="13" xr3:uid="{00000000-0010-0000-1500-00000D000000}" name="TO-DAY" totalsRowFunction="sum" dataDxfId="811" totalsRowDxfId="774"/>
    <tableColumn id="14" xr3:uid="{00000000-0010-0000-1500-00000E000000}" name="Y-DAY" totalsRowFunction="sum" dataDxfId="810" totalsRowDxfId="773"/>
    <tableColumn id="15" xr3:uid="{00000000-0010-0000-1500-00000F000000}" name="WEEKLY" totalsRowFunction="sum" dataDxfId="809" totalsRowDxfId="772"/>
    <tableColumn id="16" xr3:uid="{00000000-0010-0000-1500-000010000000}" name="LOWEST AVAIL" dataDxfId="808" totalsRowDxfId="771"/>
    <tableColumn id="17" xr3:uid="{00000000-0010-0000-1500-000011000000}" name="Y" totalsRowFunction="sum" dataDxfId="807" totalsRowDxfId="770"/>
    <tableColumn id="18" xr3:uid="{00000000-0010-0000-1500-000012000000}" name="B" totalsRowFunction="sum" dataDxfId="806" totalsRowDxfId="769"/>
    <tableColumn id="19" xr3:uid="{00000000-0010-0000-1500-000013000000}" name="M" totalsRowFunction="sum" dataDxfId="805" totalsRowDxfId="768"/>
    <tableColumn id="20" xr3:uid="{00000000-0010-0000-1500-000014000000}" name="H" totalsRowFunction="sum" dataDxfId="804" totalsRowDxfId="767"/>
    <tableColumn id="21" xr3:uid="{00000000-0010-0000-1500-000015000000}" name="Q" totalsRowFunction="sum" dataDxfId="803" totalsRowDxfId="766"/>
    <tableColumn id="22" xr3:uid="{00000000-0010-0000-1500-000016000000}" name="K" totalsRowFunction="sum" dataDxfId="802" totalsRowDxfId="765"/>
    <tableColumn id="23" xr3:uid="{00000000-0010-0000-1500-000017000000}" name="V" totalsRowFunction="sum" dataDxfId="801" totalsRowDxfId="764"/>
    <tableColumn id="24" xr3:uid="{00000000-0010-0000-1500-000018000000}" name="L" totalsRowFunction="sum" dataDxfId="800" totalsRowDxfId="763"/>
    <tableColumn id="25" xr3:uid="{00000000-0010-0000-1500-000019000000}" name="G" totalsRowFunction="sum" dataDxfId="799" totalsRowDxfId="762"/>
    <tableColumn id="26" xr3:uid="{00000000-0010-0000-1500-00001A000000}" name="S" totalsRowFunction="sum" dataDxfId="798" totalsRowDxfId="761"/>
    <tableColumn id="27" xr3:uid="{00000000-0010-0000-1500-00001B000000}" name="W" totalsRowFunction="sum" dataDxfId="797" totalsRowDxfId="760"/>
    <tableColumn id="28" xr3:uid="{00000000-0010-0000-1500-00001C000000}" name="T" totalsRowFunction="sum" dataDxfId="796" totalsRowDxfId="759"/>
    <tableColumn id="29" xr3:uid="{00000000-0010-0000-1500-00001D000000}" name="X" totalsRowFunction="sum" dataDxfId="795" totalsRowDxfId="758"/>
    <tableColumn id="30" xr3:uid="{00000000-0010-0000-1500-00001E000000}" name="U" totalsRowFunction="sum" dataDxfId="794" totalsRowDxfId="757"/>
    <tableColumn id="31" xr3:uid="{00000000-0010-0000-1500-00001F000000}" name="O" totalsRowFunction="sum" dataDxfId="793" totalsRowDxfId="756"/>
    <tableColumn id="32" xr3:uid="{00000000-0010-0000-1500-000020000000}" name="I" totalsRowFunction="sum" dataDxfId="792" totalsRowDxfId="755"/>
    <tableColumn id="33" xr3:uid="{00000000-0010-0000-1500-000021000000}" name="E" totalsRowFunction="sum" dataDxfId="791" totalsRowDxfId="754"/>
    <tableColumn id="34" xr3:uid="{00000000-0010-0000-1500-000022000000}" name="A" totalsRowFunction="sum" dataDxfId="790" totalsRowDxfId="753"/>
    <tableColumn id="35" xr3:uid="{00000000-0010-0000-1500-000023000000}" name="P" totalsRowFunction="sum" dataDxfId="789" totalsRowDxfId="752"/>
    <tableColumn id="36" xr3:uid="{00000000-0010-0000-1500-000024000000}" name="N" totalsRowFunction="count" dataDxfId="788" totalsRowDxfId="75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DMM_ATZ" displayName="FocusMode_DMM_ATZ" ref="A1:H33" totalsRowShown="0">
  <autoFilter ref="A1:H33"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UU_CAI_LF_LEGACY" displayName="TUU_CAI_LF_LEGACY" ref="A1:AJ4" totalsRowCount="1" headerRowDxfId="749" dataDxfId="712" totalsRowDxfId="675">
  <tableColumns count="36">
    <tableColumn id="1" xr3:uid="{00000000-0010-0000-1700-000001000000}" name="Day" totalsRowLabel="TOTAL" dataDxfId="748" totalsRowDxfId="711"/>
    <tableColumn id="2" xr3:uid="{00000000-0010-0000-1700-000002000000}" name="Flt Dt" dataDxfId="747" totalsRowDxfId="710"/>
    <tableColumn id="3" xr3:uid="{00000000-0010-0000-1700-000003000000}" name="Flt" totalsRowFunction="count" dataDxfId="746" totalsRowDxfId="709"/>
    <tableColumn id="4" xr3:uid="{00000000-0010-0000-1700-000004000000}" name="DEP" dataDxfId="745" totalsRowDxfId="708"/>
    <tableColumn id="5" xr3:uid="{00000000-0010-0000-1700-000005000000}" name="Brd-Off" totalsRowFunction="count" dataDxfId="744" totalsRowDxfId="707"/>
    <tableColumn id="6" xr3:uid="{00000000-0010-0000-1700-000006000000}" name="Eqp" dataDxfId="743" totalsRowDxfId="706"/>
    <tableColumn id="7" xr3:uid="{00000000-0010-0000-1700-000007000000}" name="LF%" totalsRowFunction="average" dataDxfId="742" totalsRowDxfId="705"/>
    <tableColumn id="8" xr3:uid="{00000000-0010-0000-1700-000008000000}" name="CAP" totalsRowFunction="sum" dataDxfId="741" totalsRowDxfId="704"/>
    <tableColumn id="9" xr3:uid="{00000000-0010-0000-1700-000009000000}" name="BKG(Y)" totalsRowFunction="sum" dataDxfId="740" totalsRowDxfId="703"/>
    <tableColumn id="10" xr3:uid="{00000000-0010-0000-1700-00000A000000}" name="GRP(Y)" totalsRowFunction="sum" dataDxfId="739" totalsRowDxfId="702"/>
    <tableColumn id="11" xr3:uid="{00000000-0010-0000-1700-00000B000000}" name="FLT ST" dataDxfId="738" totalsRowDxfId="701"/>
    <tableColumn id="12" xr3:uid="{00000000-0010-0000-1700-00000C000000}" name="LST-SOLD" dataDxfId="737" totalsRowDxfId="700"/>
    <tableColumn id="13" xr3:uid="{00000000-0010-0000-1700-00000D000000}" name="TO-DAY" totalsRowFunction="sum" dataDxfId="736" totalsRowDxfId="699"/>
    <tableColumn id="14" xr3:uid="{00000000-0010-0000-1700-00000E000000}" name="Y-DAY" totalsRowFunction="sum" dataDxfId="735" totalsRowDxfId="698"/>
    <tableColumn id="15" xr3:uid="{00000000-0010-0000-1700-00000F000000}" name="WEEKLY" totalsRowFunction="sum" dataDxfId="734" totalsRowDxfId="697"/>
    <tableColumn id="16" xr3:uid="{00000000-0010-0000-1700-000010000000}" name="LOWEST AVAIL" dataDxfId="733" totalsRowDxfId="696"/>
    <tableColumn id="17" xr3:uid="{00000000-0010-0000-1700-000011000000}" name="Y" totalsRowFunction="sum" dataDxfId="732" totalsRowDxfId="695"/>
    <tableColumn id="18" xr3:uid="{00000000-0010-0000-1700-000012000000}" name="B" totalsRowFunction="sum" dataDxfId="731" totalsRowDxfId="694"/>
    <tableColumn id="19" xr3:uid="{00000000-0010-0000-1700-000013000000}" name="M" totalsRowFunction="sum" dataDxfId="730" totalsRowDxfId="693"/>
    <tableColumn id="20" xr3:uid="{00000000-0010-0000-1700-000014000000}" name="H" totalsRowFunction="sum" dataDxfId="729" totalsRowDxfId="692"/>
    <tableColumn id="21" xr3:uid="{00000000-0010-0000-1700-000015000000}" name="Q" totalsRowFunction="sum" dataDxfId="728" totalsRowDxfId="691"/>
    <tableColumn id="22" xr3:uid="{00000000-0010-0000-1700-000016000000}" name="K" totalsRowFunction="sum" dataDxfId="727" totalsRowDxfId="690"/>
    <tableColumn id="23" xr3:uid="{00000000-0010-0000-1700-000017000000}" name="V" totalsRowFunction="sum" dataDxfId="726" totalsRowDxfId="689"/>
    <tableColumn id="24" xr3:uid="{00000000-0010-0000-1700-000018000000}" name="L" totalsRowFunction="sum" dataDxfId="725" totalsRowDxfId="688"/>
    <tableColumn id="25" xr3:uid="{00000000-0010-0000-1700-000019000000}" name="G" totalsRowFunction="sum" dataDxfId="724" totalsRowDxfId="687"/>
    <tableColumn id="26" xr3:uid="{00000000-0010-0000-1700-00001A000000}" name="S" totalsRowFunction="sum" dataDxfId="723" totalsRowDxfId="686"/>
    <tableColumn id="27" xr3:uid="{00000000-0010-0000-1700-00001B000000}" name="W" totalsRowFunction="sum" dataDxfId="722" totalsRowDxfId="685"/>
    <tableColumn id="28" xr3:uid="{00000000-0010-0000-1700-00001C000000}" name="T" totalsRowFunction="sum" dataDxfId="721" totalsRowDxfId="684"/>
    <tableColumn id="29" xr3:uid="{00000000-0010-0000-1700-00001D000000}" name="X" totalsRowFunction="sum" dataDxfId="720" totalsRowDxfId="683"/>
    <tableColumn id="30" xr3:uid="{00000000-0010-0000-1700-00001E000000}" name="U" totalsRowFunction="sum" dataDxfId="719" totalsRowDxfId="682"/>
    <tableColumn id="31" xr3:uid="{00000000-0010-0000-1700-00001F000000}" name="O" totalsRowFunction="sum" dataDxfId="718" totalsRowDxfId="681"/>
    <tableColumn id="32" xr3:uid="{00000000-0010-0000-1700-000020000000}" name="I" totalsRowFunction="sum" dataDxfId="717" totalsRowDxfId="680"/>
    <tableColumn id="33" xr3:uid="{00000000-0010-0000-1700-000021000000}" name="E" totalsRowFunction="sum" dataDxfId="716" totalsRowDxfId="679"/>
    <tableColumn id="34" xr3:uid="{00000000-0010-0000-1700-000022000000}" name="A" totalsRowFunction="sum" dataDxfId="715" totalsRowDxfId="678"/>
    <tableColumn id="35" xr3:uid="{00000000-0010-0000-1700-000023000000}" name="P" totalsRowFunction="sum" dataDxfId="714" totalsRowDxfId="677"/>
    <tableColumn id="36" xr3:uid="{00000000-0010-0000-1700-000024000000}" name="N" totalsRowFunction="count" dataDxfId="713" totalsRowDxfId="67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FocusMode_TUU_CAI" displayName="FocusMode_TUU_CAI" ref="A1:H12" totalsRowShown="0">
  <autoFilter ref="A1:H12"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hreatsAlert_TUU_CAI" displayName="ThreatsAlert_TUU_CAI" ref="A1:H9" totalsRowShown="0">
  <autoFilter ref="A1:H9"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UU_ATZ_LF_LEGACY" displayName="TUU_ATZ_LF_LEGACY" ref="A1:AJ3" totalsRowCount="1" headerRowDxfId="674" dataDxfId="637" totalsRowDxfId="600">
  <tableColumns count="36">
    <tableColumn id="1" xr3:uid="{00000000-0010-0000-1A00-000001000000}" name="Day" totalsRowLabel="TOTAL" dataDxfId="673" totalsRowDxfId="636"/>
    <tableColumn id="2" xr3:uid="{00000000-0010-0000-1A00-000002000000}" name="Flt Dt" dataDxfId="672" totalsRowDxfId="635"/>
    <tableColumn id="3" xr3:uid="{00000000-0010-0000-1A00-000003000000}" name="Flt" totalsRowFunction="count" dataDxfId="671" totalsRowDxfId="634"/>
    <tableColumn id="4" xr3:uid="{00000000-0010-0000-1A00-000004000000}" name="DEP" dataDxfId="670" totalsRowDxfId="633"/>
    <tableColumn id="5" xr3:uid="{00000000-0010-0000-1A00-000005000000}" name="Brd-Off" totalsRowFunction="count" dataDxfId="669" totalsRowDxfId="632"/>
    <tableColumn id="6" xr3:uid="{00000000-0010-0000-1A00-000006000000}" name="Eqp" dataDxfId="668" totalsRowDxfId="631"/>
    <tableColumn id="7" xr3:uid="{00000000-0010-0000-1A00-000007000000}" name="LF%" totalsRowFunction="average" dataDxfId="667" totalsRowDxfId="630"/>
    <tableColumn id="8" xr3:uid="{00000000-0010-0000-1A00-000008000000}" name="CAP" totalsRowFunction="sum" dataDxfId="666" totalsRowDxfId="629"/>
    <tableColumn id="9" xr3:uid="{00000000-0010-0000-1A00-000009000000}" name="BKG(Y)" totalsRowFunction="sum" dataDxfId="665" totalsRowDxfId="628"/>
    <tableColumn id="10" xr3:uid="{00000000-0010-0000-1A00-00000A000000}" name="GRP(Y)" totalsRowFunction="sum" dataDxfId="664" totalsRowDxfId="627"/>
    <tableColumn id="11" xr3:uid="{00000000-0010-0000-1A00-00000B000000}" name="FLT ST" dataDxfId="663" totalsRowDxfId="626"/>
    <tableColumn id="12" xr3:uid="{00000000-0010-0000-1A00-00000C000000}" name="LST-SOLD" dataDxfId="662" totalsRowDxfId="625"/>
    <tableColumn id="13" xr3:uid="{00000000-0010-0000-1A00-00000D000000}" name="TO-DAY" totalsRowFunction="sum" dataDxfId="661" totalsRowDxfId="624"/>
    <tableColumn id="14" xr3:uid="{00000000-0010-0000-1A00-00000E000000}" name="Y-DAY" totalsRowFunction="sum" dataDxfId="660" totalsRowDxfId="623"/>
    <tableColumn id="15" xr3:uid="{00000000-0010-0000-1A00-00000F000000}" name="WEEKLY" totalsRowFunction="sum" dataDxfId="659" totalsRowDxfId="622"/>
    <tableColumn id="16" xr3:uid="{00000000-0010-0000-1A00-000010000000}" name="LOWEST AVAIL" dataDxfId="658" totalsRowDxfId="621"/>
    <tableColumn id="17" xr3:uid="{00000000-0010-0000-1A00-000011000000}" name="Y" totalsRowFunction="sum" dataDxfId="657" totalsRowDxfId="620"/>
    <tableColumn id="18" xr3:uid="{00000000-0010-0000-1A00-000012000000}" name="B" totalsRowFunction="sum" dataDxfId="656" totalsRowDxfId="619"/>
    <tableColumn id="19" xr3:uid="{00000000-0010-0000-1A00-000013000000}" name="M" totalsRowFunction="sum" dataDxfId="655" totalsRowDxfId="618"/>
    <tableColumn id="20" xr3:uid="{00000000-0010-0000-1A00-000014000000}" name="H" totalsRowFunction="sum" dataDxfId="654" totalsRowDxfId="617"/>
    <tableColumn id="21" xr3:uid="{00000000-0010-0000-1A00-000015000000}" name="Q" totalsRowFunction="sum" dataDxfId="653" totalsRowDxfId="616"/>
    <tableColumn id="22" xr3:uid="{00000000-0010-0000-1A00-000016000000}" name="K" totalsRowFunction="sum" dataDxfId="652" totalsRowDxfId="615"/>
    <tableColumn id="23" xr3:uid="{00000000-0010-0000-1A00-000017000000}" name="V" totalsRowFunction="sum" dataDxfId="651" totalsRowDxfId="614"/>
    <tableColumn id="24" xr3:uid="{00000000-0010-0000-1A00-000018000000}" name="L" totalsRowFunction="sum" dataDxfId="650" totalsRowDxfId="613"/>
    <tableColumn id="25" xr3:uid="{00000000-0010-0000-1A00-000019000000}" name="G" totalsRowFunction="sum" dataDxfId="649" totalsRowDxfId="612"/>
    <tableColumn id="26" xr3:uid="{00000000-0010-0000-1A00-00001A000000}" name="S" totalsRowFunction="sum" dataDxfId="648" totalsRowDxfId="611"/>
    <tableColumn id="27" xr3:uid="{00000000-0010-0000-1A00-00001B000000}" name="W" totalsRowFunction="sum" dataDxfId="647" totalsRowDxfId="610"/>
    <tableColumn id="28" xr3:uid="{00000000-0010-0000-1A00-00001C000000}" name="T" totalsRowFunction="sum" dataDxfId="646" totalsRowDxfId="609"/>
    <tableColumn id="29" xr3:uid="{00000000-0010-0000-1A00-00001D000000}" name="X" totalsRowFunction="sum" dataDxfId="645" totalsRowDxfId="608"/>
    <tableColumn id="30" xr3:uid="{00000000-0010-0000-1A00-00001E000000}" name="U" totalsRowFunction="sum" dataDxfId="644" totalsRowDxfId="607"/>
    <tableColumn id="31" xr3:uid="{00000000-0010-0000-1A00-00001F000000}" name="O" totalsRowFunction="sum" dataDxfId="643" totalsRowDxfId="606"/>
    <tableColumn id="32" xr3:uid="{00000000-0010-0000-1A00-000020000000}" name="I" totalsRowFunction="sum" dataDxfId="642" totalsRowDxfId="605"/>
    <tableColumn id="33" xr3:uid="{00000000-0010-0000-1A00-000021000000}" name="E" totalsRowFunction="sum" dataDxfId="641" totalsRowDxfId="604"/>
    <tableColumn id="34" xr3:uid="{00000000-0010-0000-1A00-000022000000}" name="A" totalsRowFunction="sum" dataDxfId="640" totalsRowDxfId="603"/>
    <tableColumn id="35" xr3:uid="{00000000-0010-0000-1A00-000023000000}" name="P" totalsRowFunction="sum" dataDxfId="639" totalsRowDxfId="602"/>
    <tableColumn id="36" xr3:uid="{00000000-0010-0000-1A00-000024000000}" name="N" totalsRowFunction="count" dataDxfId="638" totalsRowDxfId="60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FocusMode_TUU_ATZ" displayName="FocusMode_TUU_ATZ" ref="A1:H16" totalsRowShown="0">
  <autoFilter ref="A1:H16" xr:uid="{00000000-0009-0000-0100-00001C000000}"/>
  <tableColumns count="8">
    <tableColumn id="1" xr3:uid="{00000000-0010-0000-1B00-000001000000}" name="DATE"/>
    <tableColumn id="2" xr3:uid="{00000000-0010-0000-1B00-000002000000}" name="AIRLINE"/>
    <tableColumn id="3" xr3:uid="{00000000-0010-0000-1B00-000003000000}" name="FLIGHT NUM"/>
    <tableColumn id="4" xr3:uid="{00000000-0010-0000-1B00-000004000000}" name="ROUTE"/>
    <tableColumn id="5" xr3:uid="{00000000-0010-0000-1B00-000005000000}" name="DEPARTURE"/>
    <tableColumn id="6" xr3:uid="{00000000-0010-0000-1B00-000006000000}" name="BAGGAGE"/>
    <tableColumn id="7" xr3:uid="{00000000-0010-0000-1B00-000007000000}" name="AVAILABILITY"/>
    <tableColumn id="8" xr3:uid="{00000000-0010-0000-1B00-000008000000}" name="PUBLISHED FAR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AJF_CAI_LF_LEGACY" displayName="AJF_CAI_LF_LEGACY" ref="A1:AJ4" totalsRowCount="1" headerRowDxfId="599" dataDxfId="562" totalsRowDxfId="525">
  <tableColumns count="36">
    <tableColumn id="1" xr3:uid="{00000000-0010-0000-1C00-000001000000}" name="Day" totalsRowLabel="TOTAL" dataDxfId="598" totalsRowDxfId="561"/>
    <tableColumn id="2" xr3:uid="{00000000-0010-0000-1C00-000002000000}" name="Flt Dt" dataDxfId="597" totalsRowDxfId="560"/>
    <tableColumn id="3" xr3:uid="{00000000-0010-0000-1C00-000003000000}" name="Flt" totalsRowFunction="count" dataDxfId="596" totalsRowDxfId="559"/>
    <tableColumn id="4" xr3:uid="{00000000-0010-0000-1C00-000004000000}" name="DEP" dataDxfId="595" totalsRowDxfId="558"/>
    <tableColumn id="5" xr3:uid="{00000000-0010-0000-1C00-000005000000}" name="Brd-Off" totalsRowFunction="count" dataDxfId="594" totalsRowDxfId="557"/>
    <tableColumn id="6" xr3:uid="{00000000-0010-0000-1C00-000006000000}" name="Eqp" dataDxfId="593" totalsRowDxfId="556"/>
    <tableColumn id="7" xr3:uid="{00000000-0010-0000-1C00-000007000000}" name="LF%" totalsRowFunction="average" dataDxfId="592" totalsRowDxfId="555"/>
    <tableColumn id="8" xr3:uid="{00000000-0010-0000-1C00-000008000000}" name="CAP" totalsRowFunction="sum" dataDxfId="591" totalsRowDxfId="554"/>
    <tableColumn id="9" xr3:uid="{00000000-0010-0000-1C00-000009000000}" name="BKG(Y)" totalsRowFunction="sum" dataDxfId="590" totalsRowDxfId="553"/>
    <tableColumn id="10" xr3:uid="{00000000-0010-0000-1C00-00000A000000}" name="GRP(Y)" totalsRowFunction="sum" dataDxfId="589" totalsRowDxfId="552"/>
    <tableColumn id="11" xr3:uid="{00000000-0010-0000-1C00-00000B000000}" name="FLT ST" dataDxfId="588" totalsRowDxfId="551"/>
    <tableColumn id="12" xr3:uid="{00000000-0010-0000-1C00-00000C000000}" name="LST-SOLD" dataDxfId="587" totalsRowDxfId="550"/>
    <tableColumn id="13" xr3:uid="{00000000-0010-0000-1C00-00000D000000}" name="TO-DAY" totalsRowFunction="sum" dataDxfId="586" totalsRowDxfId="549"/>
    <tableColumn id="14" xr3:uid="{00000000-0010-0000-1C00-00000E000000}" name="Y-DAY" totalsRowFunction="sum" dataDxfId="585" totalsRowDxfId="548"/>
    <tableColumn id="15" xr3:uid="{00000000-0010-0000-1C00-00000F000000}" name="WEEKLY" totalsRowFunction="sum" dataDxfId="584" totalsRowDxfId="547"/>
    <tableColumn id="16" xr3:uid="{00000000-0010-0000-1C00-000010000000}" name="LOWEST AVAIL" dataDxfId="583" totalsRowDxfId="546"/>
    <tableColumn id="17" xr3:uid="{00000000-0010-0000-1C00-000011000000}" name="Y" totalsRowFunction="sum" dataDxfId="582" totalsRowDxfId="545"/>
    <tableColumn id="18" xr3:uid="{00000000-0010-0000-1C00-000012000000}" name="B" totalsRowFunction="sum" dataDxfId="581" totalsRowDxfId="544"/>
    <tableColumn id="19" xr3:uid="{00000000-0010-0000-1C00-000013000000}" name="M" totalsRowFunction="sum" dataDxfId="580" totalsRowDxfId="543"/>
    <tableColumn id="20" xr3:uid="{00000000-0010-0000-1C00-000014000000}" name="H" totalsRowFunction="sum" dataDxfId="579" totalsRowDxfId="542"/>
    <tableColumn id="21" xr3:uid="{00000000-0010-0000-1C00-000015000000}" name="Q" totalsRowFunction="sum" dataDxfId="578" totalsRowDxfId="541"/>
    <tableColumn id="22" xr3:uid="{00000000-0010-0000-1C00-000016000000}" name="K" totalsRowFunction="sum" dataDxfId="577" totalsRowDxfId="540"/>
    <tableColumn id="23" xr3:uid="{00000000-0010-0000-1C00-000017000000}" name="V" totalsRowFunction="sum" dataDxfId="576" totalsRowDxfId="539"/>
    <tableColumn id="24" xr3:uid="{00000000-0010-0000-1C00-000018000000}" name="L" totalsRowFunction="sum" dataDxfId="575" totalsRowDxfId="538"/>
    <tableColumn id="25" xr3:uid="{00000000-0010-0000-1C00-000019000000}" name="G" totalsRowFunction="sum" dataDxfId="574" totalsRowDxfId="537"/>
    <tableColumn id="26" xr3:uid="{00000000-0010-0000-1C00-00001A000000}" name="S" totalsRowFunction="sum" dataDxfId="573" totalsRowDxfId="536"/>
    <tableColumn id="27" xr3:uid="{00000000-0010-0000-1C00-00001B000000}" name="W" totalsRowFunction="sum" dataDxfId="572" totalsRowDxfId="535"/>
    <tableColumn id="28" xr3:uid="{00000000-0010-0000-1C00-00001C000000}" name="T" totalsRowFunction="sum" dataDxfId="571" totalsRowDxfId="534"/>
    <tableColumn id="29" xr3:uid="{00000000-0010-0000-1C00-00001D000000}" name="X" totalsRowFunction="sum" dataDxfId="570" totalsRowDxfId="533"/>
    <tableColumn id="30" xr3:uid="{00000000-0010-0000-1C00-00001E000000}" name="U" totalsRowFunction="sum" dataDxfId="569" totalsRowDxfId="532"/>
    <tableColumn id="31" xr3:uid="{00000000-0010-0000-1C00-00001F000000}" name="O" totalsRowFunction="sum" dataDxfId="568" totalsRowDxfId="531"/>
    <tableColumn id="32" xr3:uid="{00000000-0010-0000-1C00-000020000000}" name="I" totalsRowFunction="sum" dataDxfId="567" totalsRowDxfId="530"/>
    <tableColumn id="33" xr3:uid="{00000000-0010-0000-1C00-000021000000}" name="E" totalsRowFunction="sum" dataDxfId="566" totalsRowDxfId="529"/>
    <tableColumn id="34" xr3:uid="{00000000-0010-0000-1C00-000022000000}" name="A" totalsRowFunction="sum" dataDxfId="565" totalsRowDxfId="528"/>
    <tableColumn id="35" xr3:uid="{00000000-0010-0000-1C00-000023000000}" name="P" totalsRowFunction="sum" dataDxfId="564" totalsRowDxfId="527"/>
    <tableColumn id="36" xr3:uid="{00000000-0010-0000-1C00-000024000000}" name="N" totalsRowFunction="count" dataDxfId="563" totalsRowDxfId="5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FocusMode_AJF_CAI" displayName="FocusMode_AJF_CAI" ref="A1:H4" totalsRowShown="0">
  <autoFilter ref="A1:H4"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hreatsAlert_AJF_CAI" displayName="ThreatsAlert_AJF_CAI" ref="A1:H4" totalsRowShown="0">
  <autoFilter ref="A1:H4"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AJF_ATZ_LF_LEGACY" displayName="AJF_ATZ_LF_LEGACY" ref="A1:AJ3" totalsRowCount="1" headerRowDxfId="524" dataDxfId="487" totalsRowDxfId="450">
  <tableColumns count="36">
    <tableColumn id="1" xr3:uid="{00000000-0010-0000-1F00-000001000000}" name="Day" totalsRowLabel="TOTAL" dataDxfId="523" totalsRowDxfId="486"/>
    <tableColumn id="2" xr3:uid="{00000000-0010-0000-1F00-000002000000}" name="Flt Dt" dataDxfId="522" totalsRowDxfId="485"/>
    <tableColumn id="3" xr3:uid="{00000000-0010-0000-1F00-000003000000}" name="Flt" totalsRowFunction="count" dataDxfId="521" totalsRowDxfId="484"/>
    <tableColumn id="4" xr3:uid="{00000000-0010-0000-1F00-000004000000}" name="DEP" dataDxfId="520" totalsRowDxfId="483"/>
    <tableColumn id="5" xr3:uid="{00000000-0010-0000-1F00-000005000000}" name="Brd-Off" totalsRowFunction="count" dataDxfId="519" totalsRowDxfId="482"/>
    <tableColumn id="6" xr3:uid="{00000000-0010-0000-1F00-000006000000}" name="Eqp" dataDxfId="518" totalsRowDxfId="481"/>
    <tableColumn id="7" xr3:uid="{00000000-0010-0000-1F00-000007000000}" name="LF%" totalsRowFunction="average" dataDxfId="517" totalsRowDxfId="480"/>
    <tableColumn id="8" xr3:uid="{00000000-0010-0000-1F00-000008000000}" name="CAP" totalsRowFunction="sum" dataDxfId="516" totalsRowDxfId="479"/>
    <tableColumn id="9" xr3:uid="{00000000-0010-0000-1F00-000009000000}" name="BKG(Y)" totalsRowFunction="sum" dataDxfId="515" totalsRowDxfId="478"/>
    <tableColumn id="10" xr3:uid="{00000000-0010-0000-1F00-00000A000000}" name="GRP(Y)" totalsRowFunction="sum" dataDxfId="514" totalsRowDxfId="477"/>
    <tableColumn id="11" xr3:uid="{00000000-0010-0000-1F00-00000B000000}" name="FLT ST" dataDxfId="513" totalsRowDxfId="476"/>
    <tableColumn id="12" xr3:uid="{00000000-0010-0000-1F00-00000C000000}" name="LST-SOLD" dataDxfId="512" totalsRowDxfId="475"/>
    <tableColumn id="13" xr3:uid="{00000000-0010-0000-1F00-00000D000000}" name="TO-DAY" totalsRowFunction="sum" dataDxfId="511" totalsRowDxfId="474"/>
    <tableColumn id="14" xr3:uid="{00000000-0010-0000-1F00-00000E000000}" name="Y-DAY" totalsRowFunction="sum" dataDxfId="510" totalsRowDxfId="473"/>
    <tableColumn id="15" xr3:uid="{00000000-0010-0000-1F00-00000F000000}" name="WEEKLY" totalsRowFunction="sum" dataDxfId="509" totalsRowDxfId="472"/>
    <tableColumn id="16" xr3:uid="{00000000-0010-0000-1F00-000010000000}" name="LOWEST AVAIL" dataDxfId="508" totalsRowDxfId="471"/>
    <tableColumn id="17" xr3:uid="{00000000-0010-0000-1F00-000011000000}" name="Y" totalsRowFunction="sum" dataDxfId="507" totalsRowDxfId="470"/>
    <tableColumn id="18" xr3:uid="{00000000-0010-0000-1F00-000012000000}" name="B" totalsRowFunction="sum" dataDxfId="506" totalsRowDxfId="469"/>
    <tableColumn id="19" xr3:uid="{00000000-0010-0000-1F00-000013000000}" name="M" totalsRowFunction="sum" dataDxfId="505" totalsRowDxfId="468"/>
    <tableColumn id="20" xr3:uid="{00000000-0010-0000-1F00-000014000000}" name="H" totalsRowFunction="sum" dataDxfId="504" totalsRowDxfId="467"/>
    <tableColumn id="21" xr3:uid="{00000000-0010-0000-1F00-000015000000}" name="Q" totalsRowFunction="sum" dataDxfId="503" totalsRowDxfId="466"/>
    <tableColumn id="22" xr3:uid="{00000000-0010-0000-1F00-000016000000}" name="K" totalsRowFunction="sum" dataDxfId="502" totalsRowDxfId="465"/>
    <tableColumn id="23" xr3:uid="{00000000-0010-0000-1F00-000017000000}" name="V" totalsRowFunction="sum" dataDxfId="501" totalsRowDxfId="464"/>
    <tableColumn id="24" xr3:uid="{00000000-0010-0000-1F00-000018000000}" name="L" totalsRowFunction="sum" dataDxfId="500" totalsRowDxfId="463"/>
    <tableColumn id="25" xr3:uid="{00000000-0010-0000-1F00-000019000000}" name="G" totalsRowFunction="sum" dataDxfId="499" totalsRowDxfId="462"/>
    <tableColumn id="26" xr3:uid="{00000000-0010-0000-1F00-00001A000000}" name="S" totalsRowFunction="sum" dataDxfId="498" totalsRowDxfId="461"/>
    <tableColumn id="27" xr3:uid="{00000000-0010-0000-1F00-00001B000000}" name="W" totalsRowFunction="sum" dataDxfId="497" totalsRowDxfId="460"/>
    <tableColumn id="28" xr3:uid="{00000000-0010-0000-1F00-00001C000000}" name="T" totalsRowFunction="sum" dataDxfId="496" totalsRowDxfId="459"/>
    <tableColumn id="29" xr3:uid="{00000000-0010-0000-1F00-00001D000000}" name="X" totalsRowFunction="sum" dataDxfId="495" totalsRowDxfId="458"/>
    <tableColumn id="30" xr3:uid="{00000000-0010-0000-1F00-00001E000000}" name="U" totalsRowFunction="sum" dataDxfId="494" totalsRowDxfId="457"/>
    <tableColumn id="31" xr3:uid="{00000000-0010-0000-1F00-00001F000000}" name="O" totalsRowFunction="sum" dataDxfId="493" totalsRowDxfId="456"/>
    <tableColumn id="32" xr3:uid="{00000000-0010-0000-1F00-000020000000}" name="I" totalsRowFunction="sum" dataDxfId="492" totalsRowDxfId="455"/>
    <tableColumn id="33" xr3:uid="{00000000-0010-0000-1F00-000021000000}" name="E" totalsRowFunction="sum" dataDxfId="491" totalsRowDxfId="454"/>
    <tableColumn id="34" xr3:uid="{00000000-0010-0000-1F00-000022000000}" name="A" totalsRowFunction="sum" dataDxfId="490" totalsRowDxfId="453"/>
    <tableColumn id="35" xr3:uid="{00000000-0010-0000-1F00-000023000000}" name="P" totalsRowFunction="sum" dataDxfId="489" totalsRowDxfId="452"/>
    <tableColumn id="36" xr3:uid="{00000000-0010-0000-1F00-000024000000}" name="N" totalsRowFunction="count" dataDxfId="488" totalsRowDxfId="451"/>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FocusMode_AJF_ATZ" displayName="FocusMode_AJF_ATZ" ref="A1:H7" totalsRowShown="0">
  <autoFilter ref="A1:H7" xr:uid="{00000000-0009-0000-0100-000021000000}"/>
  <tableColumns count="8">
    <tableColumn id="1" xr3:uid="{00000000-0010-0000-2000-000001000000}" name="DATE"/>
    <tableColumn id="2" xr3:uid="{00000000-0010-0000-2000-000002000000}" name="AIRLINE"/>
    <tableColumn id="3" xr3:uid="{00000000-0010-0000-2000-000003000000}" name="FLIGHT NUM"/>
    <tableColumn id="4" xr3:uid="{00000000-0010-0000-2000-000004000000}" name="ROUTE"/>
    <tableColumn id="5" xr3:uid="{00000000-0010-0000-2000-000005000000}" name="DEPARTURE"/>
    <tableColumn id="6" xr3:uid="{00000000-0010-0000-2000-000006000000}" name="BAGGAGE"/>
    <tableColumn id="7" xr3:uid="{00000000-0010-0000-2000-000007000000}" name="AVAILABILITY"/>
    <tableColumn id="8" xr3:uid="{00000000-0010-0000-2000-000008000000}" name="PUBLISHED FAR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YNB_CAI_LF_LEGACY" displayName="YNB_CAI_LF_LEGACY" ref="A1:AJ5" totalsRowCount="1" headerRowDxfId="449" dataDxfId="412" totalsRowDxfId="375">
  <tableColumns count="36">
    <tableColumn id="1" xr3:uid="{00000000-0010-0000-2100-000001000000}" name="Day" totalsRowLabel="TOTAL" dataDxfId="448" totalsRowDxfId="411"/>
    <tableColumn id="2" xr3:uid="{00000000-0010-0000-2100-000002000000}" name="Flt Dt" dataDxfId="447" totalsRowDxfId="410"/>
    <tableColumn id="3" xr3:uid="{00000000-0010-0000-2100-000003000000}" name="Flt" totalsRowFunction="count" dataDxfId="446" totalsRowDxfId="409"/>
    <tableColumn id="4" xr3:uid="{00000000-0010-0000-2100-000004000000}" name="DEP" dataDxfId="445" totalsRowDxfId="408"/>
    <tableColumn id="5" xr3:uid="{00000000-0010-0000-2100-000005000000}" name="Brd-Off" totalsRowFunction="count" dataDxfId="444" totalsRowDxfId="407"/>
    <tableColumn id="6" xr3:uid="{00000000-0010-0000-2100-000006000000}" name="Eqp" dataDxfId="443" totalsRowDxfId="406"/>
    <tableColumn id="7" xr3:uid="{00000000-0010-0000-2100-000007000000}" name="LF%" totalsRowFunction="average" dataDxfId="442" totalsRowDxfId="405"/>
    <tableColumn id="8" xr3:uid="{00000000-0010-0000-2100-000008000000}" name="CAP" totalsRowFunction="sum" dataDxfId="441" totalsRowDxfId="404"/>
    <tableColumn id="9" xr3:uid="{00000000-0010-0000-2100-000009000000}" name="BKG(Y)" totalsRowFunction="sum" dataDxfId="440" totalsRowDxfId="403"/>
    <tableColumn id="10" xr3:uid="{00000000-0010-0000-2100-00000A000000}" name="GRP(Y)" totalsRowFunction="sum" dataDxfId="439" totalsRowDxfId="402"/>
    <tableColumn id="11" xr3:uid="{00000000-0010-0000-2100-00000B000000}" name="FLT ST" dataDxfId="438" totalsRowDxfId="401"/>
    <tableColumn id="12" xr3:uid="{00000000-0010-0000-2100-00000C000000}" name="LST-SOLD" dataDxfId="437" totalsRowDxfId="400"/>
    <tableColumn id="13" xr3:uid="{00000000-0010-0000-2100-00000D000000}" name="TO-DAY" totalsRowFunction="sum" dataDxfId="436" totalsRowDxfId="399"/>
    <tableColumn id="14" xr3:uid="{00000000-0010-0000-2100-00000E000000}" name="Y-DAY" totalsRowFunction="sum" dataDxfId="435" totalsRowDxfId="398"/>
    <tableColumn id="15" xr3:uid="{00000000-0010-0000-2100-00000F000000}" name="WEEKLY" totalsRowFunction="sum" dataDxfId="434" totalsRowDxfId="397"/>
    <tableColumn id="16" xr3:uid="{00000000-0010-0000-2100-000010000000}" name="LOWEST AVAIL" dataDxfId="433" totalsRowDxfId="396"/>
    <tableColumn id="17" xr3:uid="{00000000-0010-0000-2100-000011000000}" name="Y" totalsRowFunction="sum" dataDxfId="432" totalsRowDxfId="395"/>
    <tableColumn id="18" xr3:uid="{00000000-0010-0000-2100-000012000000}" name="B" totalsRowFunction="sum" dataDxfId="431" totalsRowDxfId="394"/>
    <tableColumn id="19" xr3:uid="{00000000-0010-0000-2100-000013000000}" name="M" totalsRowFunction="sum" dataDxfId="430" totalsRowDxfId="393"/>
    <tableColumn id="20" xr3:uid="{00000000-0010-0000-2100-000014000000}" name="H" totalsRowFunction="sum" dataDxfId="429" totalsRowDxfId="392"/>
    <tableColumn id="21" xr3:uid="{00000000-0010-0000-2100-000015000000}" name="Q" totalsRowFunction="sum" dataDxfId="428" totalsRowDxfId="391"/>
    <tableColumn id="22" xr3:uid="{00000000-0010-0000-2100-000016000000}" name="K" totalsRowFunction="sum" dataDxfId="427" totalsRowDxfId="390"/>
    <tableColumn id="23" xr3:uid="{00000000-0010-0000-2100-000017000000}" name="V" totalsRowFunction="sum" dataDxfId="426" totalsRowDxfId="389"/>
    <tableColumn id="24" xr3:uid="{00000000-0010-0000-2100-000018000000}" name="L" totalsRowFunction="sum" dataDxfId="425" totalsRowDxfId="388"/>
    <tableColumn id="25" xr3:uid="{00000000-0010-0000-2100-000019000000}" name="G" totalsRowFunction="sum" dataDxfId="424" totalsRowDxfId="387"/>
    <tableColumn id="26" xr3:uid="{00000000-0010-0000-2100-00001A000000}" name="S" totalsRowFunction="sum" dataDxfId="423" totalsRowDxfId="386"/>
    <tableColumn id="27" xr3:uid="{00000000-0010-0000-2100-00001B000000}" name="W" totalsRowFunction="sum" dataDxfId="422" totalsRowDxfId="385"/>
    <tableColumn id="28" xr3:uid="{00000000-0010-0000-2100-00001C000000}" name="T" totalsRowFunction="sum" dataDxfId="421" totalsRowDxfId="384"/>
    <tableColumn id="29" xr3:uid="{00000000-0010-0000-2100-00001D000000}" name="X" totalsRowFunction="sum" dataDxfId="420" totalsRowDxfId="383"/>
    <tableColumn id="30" xr3:uid="{00000000-0010-0000-2100-00001E000000}" name="U" totalsRowFunction="sum" dataDxfId="419" totalsRowDxfId="382"/>
    <tableColumn id="31" xr3:uid="{00000000-0010-0000-2100-00001F000000}" name="O" totalsRowFunction="sum" dataDxfId="418" totalsRowDxfId="381"/>
    <tableColumn id="32" xr3:uid="{00000000-0010-0000-2100-000020000000}" name="I" totalsRowFunction="sum" dataDxfId="417" totalsRowDxfId="380"/>
    <tableColumn id="33" xr3:uid="{00000000-0010-0000-2100-000021000000}" name="E" totalsRowFunction="sum" dataDxfId="416" totalsRowDxfId="379"/>
    <tableColumn id="34" xr3:uid="{00000000-0010-0000-2100-000022000000}" name="A" totalsRowFunction="sum" dataDxfId="415" totalsRowDxfId="378"/>
    <tableColumn id="35" xr3:uid="{00000000-0010-0000-2100-000023000000}" name="P" totalsRowFunction="sum" dataDxfId="414" totalsRowDxfId="377"/>
    <tableColumn id="36" xr3:uid="{00000000-0010-0000-2100-000024000000}" name="N" totalsRowFunction="count" dataDxfId="413" totalsRowDxfId="376"/>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FocusMode_YNB_CAI" displayName="FocusMode_YNB_CAI" ref="A1:H6" totalsRowShown="0">
  <autoFilter ref="A1:H6"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hreatsAlert_YNB_CAI" displayName="ThreatsAlert_YNB_CAI" ref="A1:H4" totalsRowShown="0">
  <autoFilter ref="A1:H4"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AHB_CAI_LF_LEGACY" displayName="AHB_CAI_LF_LEGACY" ref="A1:AJ4" totalsRowCount="1" headerRowDxfId="374" dataDxfId="337" totalsRowDxfId="300">
  <tableColumns count="36">
    <tableColumn id="1" xr3:uid="{00000000-0010-0000-2400-000001000000}" name="Day" totalsRowLabel="TOTAL" dataDxfId="373" totalsRowDxfId="336"/>
    <tableColumn id="2" xr3:uid="{00000000-0010-0000-2400-000002000000}" name="Flt Dt" dataDxfId="372" totalsRowDxfId="335"/>
    <tableColumn id="3" xr3:uid="{00000000-0010-0000-2400-000003000000}" name="Flt" totalsRowFunction="count" dataDxfId="371" totalsRowDxfId="334"/>
    <tableColumn id="4" xr3:uid="{00000000-0010-0000-2400-000004000000}" name="DEP" dataDxfId="370" totalsRowDxfId="333"/>
    <tableColumn id="5" xr3:uid="{00000000-0010-0000-2400-000005000000}" name="Brd-Off" totalsRowFunction="count" dataDxfId="369" totalsRowDxfId="332"/>
    <tableColumn id="6" xr3:uid="{00000000-0010-0000-2400-000006000000}" name="Eqp" dataDxfId="368" totalsRowDxfId="331"/>
    <tableColumn id="7" xr3:uid="{00000000-0010-0000-2400-000007000000}" name="LF%" totalsRowFunction="average" dataDxfId="367" totalsRowDxfId="330"/>
    <tableColumn id="8" xr3:uid="{00000000-0010-0000-2400-000008000000}" name="CAP" totalsRowFunction="sum" dataDxfId="366" totalsRowDxfId="329"/>
    <tableColumn id="9" xr3:uid="{00000000-0010-0000-2400-000009000000}" name="BKG(Y)" totalsRowFunction="sum" dataDxfId="365" totalsRowDxfId="328"/>
    <tableColumn id="10" xr3:uid="{00000000-0010-0000-2400-00000A000000}" name="GRP(Y)" totalsRowFunction="sum" dataDxfId="364" totalsRowDxfId="327"/>
    <tableColumn id="11" xr3:uid="{00000000-0010-0000-2400-00000B000000}" name="FLT ST" dataDxfId="363" totalsRowDxfId="326"/>
    <tableColumn id="12" xr3:uid="{00000000-0010-0000-2400-00000C000000}" name="LST-SOLD" dataDxfId="362" totalsRowDxfId="325"/>
    <tableColumn id="13" xr3:uid="{00000000-0010-0000-2400-00000D000000}" name="TO-DAY" totalsRowFunction="sum" dataDxfId="361" totalsRowDxfId="324"/>
    <tableColumn id="14" xr3:uid="{00000000-0010-0000-2400-00000E000000}" name="Y-DAY" totalsRowFunction="sum" dataDxfId="360" totalsRowDxfId="323"/>
    <tableColumn id="15" xr3:uid="{00000000-0010-0000-2400-00000F000000}" name="WEEKLY" totalsRowFunction="sum" dataDxfId="359" totalsRowDxfId="322"/>
    <tableColumn id="16" xr3:uid="{00000000-0010-0000-2400-000010000000}" name="LOWEST AVAIL" dataDxfId="358" totalsRowDxfId="321"/>
    <tableColumn id="17" xr3:uid="{00000000-0010-0000-2400-000011000000}" name="Y" totalsRowFunction="sum" dataDxfId="357" totalsRowDxfId="320"/>
    <tableColumn id="18" xr3:uid="{00000000-0010-0000-2400-000012000000}" name="B" totalsRowFunction="sum" dataDxfId="356" totalsRowDxfId="319"/>
    <tableColumn id="19" xr3:uid="{00000000-0010-0000-2400-000013000000}" name="M" totalsRowFunction="sum" dataDxfId="355" totalsRowDxfId="318"/>
    <tableColumn id="20" xr3:uid="{00000000-0010-0000-2400-000014000000}" name="H" totalsRowFunction="sum" dataDxfId="354" totalsRowDxfId="317"/>
    <tableColumn id="21" xr3:uid="{00000000-0010-0000-2400-000015000000}" name="Q" totalsRowFunction="sum" dataDxfId="353" totalsRowDxfId="316"/>
    <tableColumn id="22" xr3:uid="{00000000-0010-0000-2400-000016000000}" name="K" totalsRowFunction="sum" dataDxfId="352" totalsRowDxfId="315"/>
    <tableColumn id="23" xr3:uid="{00000000-0010-0000-2400-000017000000}" name="V" totalsRowFunction="sum" dataDxfId="351" totalsRowDxfId="314"/>
    <tableColumn id="24" xr3:uid="{00000000-0010-0000-2400-000018000000}" name="L" totalsRowFunction="sum" dataDxfId="350" totalsRowDxfId="313"/>
    <tableColumn id="25" xr3:uid="{00000000-0010-0000-2400-000019000000}" name="G" totalsRowFunction="sum" dataDxfId="349" totalsRowDxfId="312"/>
    <tableColumn id="26" xr3:uid="{00000000-0010-0000-2400-00001A000000}" name="S" totalsRowFunction="sum" dataDxfId="348" totalsRowDxfId="311"/>
    <tableColumn id="27" xr3:uid="{00000000-0010-0000-2400-00001B000000}" name="W" totalsRowFunction="sum" dataDxfId="347" totalsRowDxfId="310"/>
    <tableColumn id="28" xr3:uid="{00000000-0010-0000-2400-00001C000000}" name="T" totalsRowFunction="sum" dataDxfId="346" totalsRowDxfId="309"/>
    <tableColumn id="29" xr3:uid="{00000000-0010-0000-2400-00001D000000}" name="X" totalsRowFunction="sum" dataDxfId="345" totalsRowDxfId="308"/>
    <tableColumn id="30" xr3:uid="{00000000-0010-0000-2400-00001E000000}" name="U" totalsRowFunction="sum" dataDxfId="344" totalsRowDxfId="307"/>
    <tableColumn id="31" xr3:uid="{00000000-0010-0000-2400-00001F000000}" name="O" totalsRowFunction="sum" dataDxfId="343" totalsRowDxfId="306"/>
    <tableColumn id="32" xr3:uid="{00000000-0010-0000-2400-000020000000}" name="I" totalsRowFunction="sum" dataDxfId="342" totalsRowDxfId="305"/>
    <tableColumn id="33" xr3:uid="{00000000-0010-0000-2400-000021000000}" name="E" totalsRowFunction="sum" dataDxfId="341" totalsRowDxfId="304"/>
    <tableColumn id="34" xr3:uid="{00000000-0010-0000-2400-000022000000}" name="A" totalsRowFunction="sum" dataDxfId="340" totalsRowDxfId="303"/>
    <tableColumn id="35" xr3:uid="{00000000-0010-0000-2400-000023000000}" name="P" totalsRowFunction="sum" dataDxfId="339" totalsRowDxfId="302"/>
    <tableColumn id="36" xr3:uid="{00000000-0010-0000-2400-000024000000}" name="N" totalsRowFunction="count" dataDxfId="338" totalsRowDxfId="301"/>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FocusMode_AHB_CAI" displayName="FocusMode_AHB_CAI" ref="A1:H5" totalsRowShown="0">
  <autoFilter ref="A1:H5" xr:uid="{00000000-0009-0000-0100-000026000000}"/>
  <tableColumns count="8">
    <tableColumn id="1" xr3:uid="{00000000-0010-0000-2500-000001000000}" name="DATE"/>
    <tableColumn id="2" xr3:uid="{00000000-0010-0000-2500-000002000000}" name="AIRLINE"/>
    <tableColumn id="3" xr3:uid="{00000000-0010-0000-2500-000003000000}" name="FLIGHT NUM"/>
    <tableColumn id="4" xr3:uid="{00000000-0010-0000-2500-000004000000}" name="ROUTE"/>
    <tableColumn id="5" xr3:uid="{00000000-0010-0000-2500-000005000000}" name="DEPARTURE"/>
    <tableColumn id="6" xr3:uid="{00000000-0010-0000-2500-000006000000}" name="BAGGAGE"/>
    <tableColumn id="7" xr3:uid="{00000000-0010-0000-2500-000007000000}" name="AVAILABILITY"/>
    <tableColumn id="8" xr3:uid="{00000000-0010-0000-2500-000008000000}" name="PUBLISHED FARE"/>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hreatsAlert_AHB_CAI" displayName="ThreatsAlert_AHB_CAI" ref="A1:H5" totalsRowShown="0">
  <autoFilter ref="A1:H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AHB_ATZ_LF_LEGACY" displayName="AHB_ATZ_LF_LEGACY" ref="A1:AJ3" totalsRowCount="1" headerRowDxfId="299" dataDxfId="262" totalsRowDxfId="225">
  <tableColumns count="36">
    <tableColumn id="1" xr3:uid="{00000000-0010-0000-2700-000001000000}" name="Day" totalsRowLabel="TOTAL" dataDxfId="298" totalsRowDxfId="261"/>
    <tableColumn id="2" xr3:uid="{00000000-0010-0000-2700-000002000000}" name="Flt Dt" dataDxfId="297" totalsRowDxfId="260"/>
    <tableColumn id="3" xr3:uid="{00000000-0010-0000-2700-000003000000}" name="Flt" totalsRowFunction="count" dataDxfId="296" totalsRowDxfId="259"/>
    <tableColumn id="4" xr3:uid="{00000000-0010-0000-2700-000004000000}" name="DEP" dataDxfId="295" totalsRowDxfId="258"/>
    <tableColumn id="5" xr3:uid="{00000000-0010-0000-2700-000005000000}" name="Brd-Off" totalsRowFunction="count" dataDxfId="294" totalsRowDxfId="257"/>
    <tableColumn id="6" xr3:uid="{00000000-0010-0000-2700-000006000000}" name="Eqp" dataDxfId="293" totalsRowDxfId="256"/>
    <tableColumn id="7" xr3:uid="{00000000-0010-0000-2700-000007000000}" name="LF%" totalsRowFunction="average" dataDxfId="292" totalsRowDxfId="255"/>
    <tableColumn id="8" xr3:uid="{00000000-0010-0000-2700-000008000000}" name="CAP" totalsRowFunction="sum" dataDxfId="291" totalsRowDxfId="254"/>
    <tableColumn id="9" xr3:uid="{00000000-0010-0000-2700-000009000000}" name="BKG(Y)" totalsRowFunction="sum" dataDxfId="290" totalsRowDxfId="253"/>
    <tableColumn id="10" xr3:uid="{00000000-0010-0000-2700-00000A000000}" name="GRP(Y)" totalsRowFunction="sum" dataDxfId="289" totalsRowDxfId="252"/>
    <tableColumn id="11" xr3:uid="{00000000-0010-0000-2700-00000B000000}" name="FLT ST" dataDxfId="288" totalsRowDxfId="251"/>
    <tableColumn id="12" xr3:uid="{00000000-0010-0000-2700-00000C000000}" name="LST-SOLD" dataDxfId="287" totalsRowDxfId="250"/>
    <tableColumn id="13" xr3:uid="{00000000-0010-0000-2700-00000D000000}" name="TO-DAY" totalsRowFunction="sum" dataDxfId="286" totalsRowDxfId="249"/>
    <tableColumn id="14" xr3:uid="{00000000-0010-0000-2700-00000E000000}" name="Y-DAY" totalsRowFunction="sum" dataDxfId="285" totalsRowDxfId="248"/>
    <tableColumn id="15" xr3:uid="{00000000-0010-0000-2700-00000F000000}" name="WEEKLY" totalsRowFunction="sum" dataDxfId="284" totalsRowDxfId="247"/>
    <tableColumn id="16" xr3:uid="{00000000-0010-0000-2700-000010000000}" name="LOWEST AVAIL" dataDxfId="283" totalsRowDxfId="246"/>
    <tableColumn id="17" xr3:uid="{00000000-0010-0000-2700-000011000000}" name="Y" totalsRowFunction="sum" dataDxfId="282" totalsRowDxfId="245"/>
    <tableColumn id="18" xr3:uid="{00000000-0010-0000-2700-000012000000}" name="B" totalsRowFunction="sum" dataDxfId="281" totalsRowDxfId="244"/>
    <tableColumn id="19" xr3:uid="{00000000-0010-0000-2700-000013000000}" name="M" totalsRowFunction="sum" dataDxfId="280" totalsRowDxfId="243"/>
    <tableColumn id="20" xr3:uid="{00000000-0010-0000-2700-000014000000}" name="H" totalsRowFunction="sum" dataDxfId="279" totalsRowDxfId="242"/>
    <tableColumn id="21" xr3:uid="{00000000-0010-0000-2700-000015000000}" name="Q" totalsRowFunction="sum" dataDxfId="278" totalsRowDxfId="241"/>
    <tableColumn id="22" xr3:uid="{00000000-0010-0000-2700-000016000000}" name="K" totalsRowFunction="sum" dataDxfId="277" totalsRowDxfId="240"/>
    <tableColumn id="23" xr3:uid="{00000000-0010-0000-2700-000017000000}" name="V" totalsRowFunction="sum" dataDxfId="276" totalsRowDxfId="239"/>
    <tableColumn id="24" xr3:uid="{00000000-0010-0000-2700-000018000000}" name="L" totalsRowFunction="sum" dataDxfId="275" totalsRowDxfId="238"/>
    <tableColumn id="25" xr3:uid="{00000000-0010-0000-2700-000019000000}" name="G" totalsRowFunction="sum" dataDxfId="274" totalsRowDxfId="237"/>
    <tableColumn id="26" xr3:uid="{00000000-0010-0000-2700-00001A000000}" name="S" totalsRowFunction="sum" dataDxfId="273" totalsRowDxfId="236"/>
    <tableColumn id="27" xr3:uid="{00000000-0010-0000-2700-00001B000000}" name="W" totalsRowFunction="sum" dataDxfId="272" totalsRowDxfId="235"/>
    <tableColumn id="28" xr3:uid="{00000000-0010-0000-2700-00001C000000}" name="T" totalsRowFunction="sum" dataDxfId="271" totalsRowDxfId="234"/>
    <tableColumn id="29" xr3:uid="{00000000-0010-0000-2700-00001D000000}" name="X" totalsRowFunction="sum" dataDxfId="270" totalsRowDxfId="233"/>
    <tableColumn id="30" xr3:uid="{00000000-0010-0000-2700-00001E000000}" name="U" totalsRowFunction="sum" dataDxfId="269" totalsRowDxfId="232"/>
    <tableColumn id="31" xr3:uid="{00000000-0010-0000-2700-00001F000000}" name="O" totalsRowFunction="sum" dataDxfId="268" totalsRowDxfId="231"/>
    <tableColumn id="32" xr3:uid="{00000000-0010-0000-2700-000020000000}" name="I" totalsRowFunction="sum" dataDxfId="267" totalsRowDxfId="230"/>
    <tableColumn id="33" xr3:uid="{00000000-0010-0000-2700-000021000000}" name="E" totalsRowFunction="sum" dataDxfId="266" totalsRowDxfId="229"/>
    <tableColumn id="34" xr3:uid="{00000000-0010-0000-2700-000022000000}" name="A" totalsRowFunction="sum" dataDxfId="265" totalsRowDxfId="228"/>
    <tableColumn id="35" xr3:uid="{00000000-0010-0000-2700-000023000000}" name="P" totalsRowFunction="sum" dataDxfId="264" totalsRowDxfId="227"/>
    <tableColumn id="36" xr3:uid="{00000000-0010-0000-2700-000024000000}" name="N" totalsRowFunction="count" dataDxfId="263" totalsRowDxfId="22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AHB_ATZ" displayName="FocusMode_AHB_ATZ" ref="A1:H9" totalsRowShown="0">
  <autoFilter ref="A1:H9"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ELQ_CAI_LF_LEGACY" displayName="ELQ_CAI_LF_LEGACY" ref="A1:AJ4" totalsRowCount="1" headerRowDxfId="224" dataDxfId="187" totalsRowDxfId="150">
  <tableColumns count="36">
    <tableColumn id="1" xr3:uid="{00000000-0010-0000-2900-000001000000}" name="Day" totalsRowLabel="TOTAL" dataDxfId="223" totalsRowDxfId="186"/>
    <tableColumn id="2" xr3:uid="{00000000-0010-0000-2900-000002000000}" name="Flt Dt" dataDxfId="222" totalsRowDxfId="185"/>
    <tableColumn id="3" xr3:uid="{00000000-0010-0000-2900-000003000000}" name="Flt" totalsRowFunction="count" dataDxfId="221" totalsRowDxfId="184"/>
    <tableColumn id="4" xr3:uid="{00000000-0010-0000-2900-000004000000}" name="DEP" dataDxfId="220" totalsRowDxfId="183"/>
    <tableColumn id="5" xr3:uid="{00000000-0010-0000-2900-000005000000}" name="Brd-Off" totalsRowFunction="count" dataDxfId="219" totalsRowDxfId="182"/>
    <tableColumn id="6" xr3:uid="{00000000-0010-0000-2900-000006000000}" name="Eqp" dataDxfId="218" totalsRowDxfId="181"/>
    <tableColumn id="7" xr3:uid="{00000000-0010-0000-2900-000007000000}" name="LF%" totalsRowFunction="average" dataDxfId="217" totalsRowDxfId="180"/>
    <tableColumn id="8" xr3:uid="{00000000-0010-0000-2900-000008000000}" name="CAP" totalsRowFunction="sum" dataDxfId="216" totalsRowDxfId="179"/>
    <tableColumn id="9" xr3:uid="{00000000-0010-0000-2900-000009000000}" name="BKG(Y)" totalsRowFunction="sum" dataDxfId="215" totalsRowDxfId="178"/>
    <tableColumn id="10" xr3:uid="{00000000-0010-0000-2900-00000A000000}" name="GRP(Y)" totalsRowFunction="sum" dataDxfId="214" totalsRowDxfId="177"/>
    <tableColumn id="11" xr3:uid="{00000000-0010-0000-2900-00000B000000}" name="FLT ST" dataDxfId="213" totalsRowDxfId="176"/>
    <tableColumn id="12" xr3:uid="{00000000-0010-0000-2900-00000C000000}" name="LST-SOLD" dataDxfId="212" totalsRowDxfId="175"/>
    <tableColumn id="13" xr3:uid="{00000000-0010-0000-2900-00000D000000}" name="TO-DAY" totalsRowFunction="sum" dataDxfId="211" totalsRowDxfId="174"/>
    <tableColumn id="14" xr3:uid="{00000000-0010-0000-2900-00000E000000}" name="Y-DAY" totalsRowFunction="sum" dataDxfId="210" totalsRowDxfId="173"/>
    <tableColumn id="15" xr3:uid="{00000000-0010-0000-2900-00000F000000}" name="WEEKLY" totalsRowFunction="sum" dataDxfId="209" totalsRowDxfId="172"/>
    <tableColumn id="16" xr3:uid="{00000000-0010-0000-2900-000010000000}" name="LOWEST AVAIL" dataDxfId="208" totalsRowDxfId="171"/>
    <tableColumn id="17" xr3:uid="{00000000-0010-0000-2900-000011000000}" name="Y" totalsRowFunction="sum" dataDxfId="207" totalsRowDxfId="170"/>
    <tableColumn id="18" xr3:uid="{00000000-0010-0000-2900-000012000000}" name="B" totalsRowFunction="sum" dataDxfId="206" totalsRowDxfId="169"/>
    <tableColumn id="19" xr3:uid="{00000000-0010-0000-2900-000013000000}" name="M" totalsRowFunction="sum" dataDxfId="205" totalsRowDxfId="168"/>
    <tableColumn id="20" xr3:uid="{00000000-0010-0000-2900-000014000000}" name="H" totalsRowFunction="sum" dataDxfId="204" totalsRowDxfId="167"/>
    <tableColumn id="21" xr3:uid="{00000000-0010-0000-2900-000015000000}" name="Q" totalsRowFunction="sum" dataDxfId="203" totalsRowDxfId="166"/>
    <tableColumn id="22" xr3:uid="{00000000-0010-0000-2900-000016000000}" name="K" totalsRowFunction="sum" dataDxfId="202" totalsRowDxfId="165"/>
    <tableColumn id="23" xr3:uid="{00000000-0010-0000-2900-000017000000}" name="V" totalsRowFunction="sum" dataDxfId="201" totalsRowDxfId="164"/>
    <tableColumn id="24" xr3:uid="{00000000-0010-0000-2900-000018000000}" name="L" totalsRowFunction="sum" dataDxfId="200" totalsRowDxfId="163"/>
    <tableColumn id="25" xr3:uid="{00000000-0010-0000-2900-000019000000}" name="G" totalsRowFunction="sum" dataDxfId="199" totalsRowDxfId="162"/>
    <tableColumn id="26" xr3:uid="{00000000-0010-0000-2900-00001A000000}" name="S" totalsRowFunction="sum" dataDxfId="198" totalsRowDxfId="161"/>
    <tableColumn id="27" xr3:uid="{00000000-0010-0000-2900-00001B000000}" name="W" totalsRowFunction="sum" dataDxfId="197" totalsRowDxfId="160"/>
    <tableColumn id="28" xr3:uid="{00000000-0010-0000-2900-00001C000000}" name="T" totalsRowFunction="sum" dataDxfId="196" totalsRowDxfId="159"/>
    <tableColumn id="29" xr3:uid="{00000000-0010-0000-2900-00001D000000}" name="X" totalsRowFunction="sum" dataDxfId="195" totalsRowDxfId="158"/>
    <tableColumn id="30" xr3:uid="{00000000-0010-0000-2900-00001E000000}" name="U" totalsRowFunction="sum" dataDxfId="194" totalsRowDxfId="157"/>
    <tableColumn id="31" xr3:uid="{00000000-0010-0000-2900-00001F000000}" name="O" totalsRowFunction="sum" dataDxfId="193" totalsRowDxfId="156"/>
    <tableColumn id="32" xr3:uid="{00000000-0010-0000-2900-000020000000}" name="I" totalsRowFunction="sum" dataDxfId="192" totalsRowDxfId="155"/>
    <tableColumn id="33" xr3:uid="{00000000-0010-0000-2900-000021000000}" name="E" totalsRowFunction="sum" dataDxfId="191" totalsRowDxfId="154"/>
    <tableColumn id="34" xr3:uid="{00000000-0010-0000-2900-000022000000}" name="A" totalsRowFunction="sum" dataDxfId="190" totalsRowDxfId="153"/>
    <tableColumn id="35" xr3:uid="{00000000-0010-0000-2900-000023000000}" name="P" totalsRowFunction="sum" dataDxfId="189" totalsRowDxfId="152"/>
    <tableColumn id="36" xr3:uid="{00000000-0010-0000-2900-000024000000}" name="N" totalsRowFunction="count" dataDxfId="188" totalsRowDxfId="15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FocusMode_ELQ_CAI" displayName="FocusMode_ELQ_CAI" ref="A1:H15" totalsRowShown="0">
  <autoFilter ref="A1:H15"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hreatsAlert_ELQ_CAI" displayName="ThreatsAlert_ELQ_CAI" ref="A1:H9" totalsRowShown="0">
  <autoFilter ref="A1:H9"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ELQ_ATZ_LF_LEGACY" displayName="ELQ_ATZ_LF_LEGACY" ref="A1:AJ3" totalsRowCount="1" headerRowDxfId="149" dataDxfId="112" totalsRowDxfId="75">
  <tableColumns count="36">
    <tableColumn id="1" xr3:uid="{00000000-0010-0000-2C00-000001000000}" name="Day" totalsRowLabel="TOTAL" dataDxfId="148" totalsRowDxfId="111"/>
    <tableColumn id="2" xr3:uid="{00000000-0010-0000-2C00-000002000000}" name="Flt Dt" dataDxfId="147" totalsRowDxfId="110"/>
    <tableColumn id="3" xr3:uid="{00000000-0010-0000-2C00-000003000000}" name="Flt" totalsRowFunction="count" dataDxfId="146" totalsRowDxfId="109"/>
    <tableColumn id="4" xr3:uid="{00000000-0010-0000-2C00-000004000000}" name="DEP" dataDxfId="145" totalsRowDxfId="108"/>
    <tableColumn id="5" xr3:uid="{00000000-0010-0000-2C00-000005000000}" name="Brd-Off" totalsRowFunction="count" dataDxfId="144" totalsRowDxfId="107"/>
    <tableColumn id="6" xr3:uid="{00000000-0010-0000-2C00-000006000000}" name="Eqp" dataDxfId="143" totalsRowDxfId="106"/>
    <tableColumn id="7" xr3:uid="{00000000-0010-0000-2C00-000007000000}" name="LF%" totalsRowFunction="average" dataDxfId="142" totalsRowDxfId="105"/>
    <tableColumn id="8" xr3:uid="{00000000-0010-0000-2C00-000008000000}" name="CAP" totalsRowFunction="sum" dataDxfId="141" totalsRowDxfId="104"/>
    <tableColumn id="9" xr3:uid="{00000000-0010-0000-2C00-000009000000}" name="BKG(Y)" totalsRowFunction="sum" dataDxfId="140" totalsRowDxfId="103"/>
    <tableColumn id="10" xr3:uid="{00000000-0010-0000-2C00-00000A000000}" name="GRP(Y)" totalsRowFunction="sum" dataDxfId="139" totalsRowDxfId="102"/>
    <tableColumn id="11" xr3:uid="{00000000-0010-0000-2C00-00000B000000}" name="FLT ST" dataDxfId="138" totalsRowDxfId="101"/>
    <tableColumn id="12" xr3:uid="{00000000-0010-0000-2C00-00000C000000}" name="LST-SOLD" dataDxfId="137" totalsRowDxfId="100"/>
    <tableColumn id="13" xr3:uid="{00000000-0010-0000-2C00-00000D000000}" name="TO-DAY" totalsRowFunction="sum" dataDxfId="136" totalsRowDxfId="99"/>
    <tableColumn id="14" xr3:uid="{00000000-0010-0000-2C00-00000E000000}" name="Y-DAY" totalsRowFunction="sum" dataDxfId="135" totalsRowDxfId="98"/>
    <tableColumn id="15" xr3:uid="{00000000-0010-0000-2C00-00000F000000}" name="WEEKLY" totalsRowFunction="sum" dataDxfId="134" totalsRowDxfId="97"/>
    <tableColumn id="16" xr3:uid="{00000000-0010-0000-2C00-000010000000}" name="LOWEST AVAIL" dataDxfId="133" totalsRowDxfId="96"/>
    <tableColumn id="17" xr3:uid="{00000000-0010-0000-2C00-000011000000}" name="Y" totalsRowFunction="sum" dataDxfId="132" totalsRowDxfId="95"/>
    <tableColumn id="18" xr3:uid="{00000000-0010-0000-2C00-000012000000}" name="B" totalsRowFunction="sum" dataDxfId="131" totalsRowDxfId="94"/>
    <tableColumn id="19" xr3:uid="{00000000-0010-0000-2C00-000013000000}" name="M" totalsRowFunction="sum" dataDxfId="130" totalsRowDxfId="93"/>
    <tableColumn id="20" xr3:uid="{00000000-0010-0000-2C00-000014000000}" name="H" totalsRowFunction="sum" dataDxfId="129" totalsRowDxfId="92"/>
    <tableColumn id="21" xr3:uid="{00000000-0010-0000-2C00-000015000000}" name="Q" totalsRowFunction="sum" dataDxfId="128" totalsRowDxfId="91"/>
    <tableColumn id="22" xr3:uid="{00000000-0010-0000-2C00-000016000000}" name="K" totalsRowFunction="sum" dataDxfId="127" totalsRowDxfId="90"/>
    <tableColumn id="23" xr3:uid="{00000000-0010-0000-2C00-000017000000}" name="V" totalsRowFunction="sum" dataDxfId="126" totalsRowDxfId="89"/>
    <tableColumn id="24" xr3:uid="{00000000-0010-0000-2C00-000018000000}" name="L" totalsRowFunction="sum" dataDxfId="125" totalsRowDxfId="88"/>
    <tableColumn id="25" xr3:uid="{00000000-0010-0000-2C00-000019000000}" name="G" totalsRowFunction="sum" dataDxfId="124" totalsRowDxfId="87"/>
    <tableColumn id="26" xr3:uid="{00000000-0010-0000-2C00-00001A000000}" name="S" totalsRowFunction="sum" dataDxfId="123" totalsRowDxfId="86"/>
    <tableColumn id="27" xr3:uid="{00000000-0010-0000-2C00-00001B000000}" name="W" totalsRowFunction="sum" dataDxfId="122" totalsRowDxfId="85"/>
    <tableColumn id="28" xr3:uid="{00000000-0010-0000-2C00-00001C000000}" name="T" totalsRowFunction="sum" dataDxfId="121" totalsRowDxfId="84"/>
    <tableColumn id="29" xr3:uid="{00000000-0010-0000-2C00-00001D000000}" name="X" totalsRowFunction="sum" dataDxfId="120" totalsRowDxfId="83"/>
    <tableColumn id="30" xr3:uid="{00000000-0010-0000-2C00-00001E000000}" name="U" totalsRowFunction="sum" dataDxfId="119" totalsRowDxfId="82"/>
    <tableColumn id="31" xr3:uid="{00000000-0010-0000-2C00-00001F000000}" name="O" totalsRowFunction="sum" dataDxfId="118" totalsRowDxfId="81"/>
    <tableColumn id="32" xr3:uid="{00000000-0010-0000-2C00-000020000000}" name="I" totalsRowFunction="sum" dataDxfId="117" totalsRowDxfId="80"/>
    <tableColumn id="33" xr3:uid="{00000000-0010-0000-2C00-000021000000}" name="E" totalsRowFunction="sum" dataDxfId="116" totalsRowDxfId="79"/>
    <tableColumn id="34" xr3:uid="{00000000-0010-0000-2C00-000022000000}" name="A" totalsRowFunction="sum" dataDxfId="115" totalsRowDxfId="78"/>
    <tableColumn id="35" xr3:uid="{00000000-0010-0000-2C00-000023000000}" name="P" totalsRowFunction="sum" dataDxfId="114" totalsRowDxfId="77"/>
    <tableColumn id="36" xr3:uid="{00000000-0010-0000-2C00-000024000000}" name="N" totalsRowFunction="count" dataDxfId="113" totalsRowDxfId="7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FocusMode_ELQ_ATZ" displayName="FocusMode_ELQ_ATZ" ref="A1:H19" totalsRowShown="0">
  <autoFilter ref="A1:H19" xr:uid="{00000000-0009-0000-0100-00002E000000}"/>
  <tableColumns count="8">
    <tableColumn id="1" xr3:uid="{00000000-0010-0000-2D00-000001000000}" name="DATE"/>
    <tableColumn id="2" xr3:uid="{00000000-0010-0000-2D00-000002000000}" name="AIRLINE"/>
    <tableColumn id="3" xr3:uid="{00000000-0010-0000-2D00-000003000000}" name="FLIGHT NUM"/>
    <tableColumn id="4" xr3:uid="{00000000-0010-0000-2D00-000004000000}" name="ROUTE"/>
    <tableColumn id="5" xr3:uid="{00000000-0010-0000-2D00-000005000000}" name="DEPARTURE"/>
    <tableColumn id="6" xr3:uid="{00000000-0010-0000-2D00-000006000000}" name="BAGGAGE"/>
    <tableColumn id="7" xr3:uid="{00000000-0010-0000-2D00-000007000000}" name="AVAILABILITY"/>
    <tableColumn id="8" xr3:uid="{00000000-0010-0000-2D00-000008000000}" name="PUBLISHED FAR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GIZ_CAI_LF_LEGACY" displayName="GIZ_CAI_LF_LEGACY" ref="A1:AJ3" totalsRowCount="1" headerRowDxfId="74" dataDxfId="37" totalsRowDxfId="0">
  <tableColumns count="36">
    <tableColumn id="1" xr3:uid="{00000000-0010-0000-2E00-000001000000}" name="Day" totalsRowLabel="TOTAL" dataDxfId="73" totalsRowDxfId="36"/>
    <tableColumn id="2" xr3:uid="{00000000-0010-0000-2E00-000002000000}" name="Flt Dt" dataDxfId="72" totalsRowDxfId="35"/>
    <tableColumn id="3" xr3:uid="{00000000-0010-0000-2E00-000003000000}" name="Flt" totalsRowFunction="count" dataDxfId="71" totalsRowDxfId="34"/>
    <tableColumn id="4" xr3:uid="{00000000-0010-0000-2E00-000004000000}" name="DEP" dataDxfId="70" totalsRowDxfId="33"/>
    <tableColumn id="5" xr3:uid="{00000000-0010-0000-2E00-000005000000}" name="Brd-Off" totalsRowFunction="count" dataDxfId="69" totalsRowDxfId="32"/>
    <tableColumn id="6" xr3:uid="{00000000-0010-0000-2E00-000006000000}" name="Eqp" dataDxfId="68" totalsRowDxfId="31"/>
    <tableColumn id="7" xr3:uid="{00000000-0010-0000-2E00-000007000000}" name="LF%" totalsRowFunction="average" dataDxfId="67" totalsRowDxfId="30"/>
    <tableColumn id="8" xr3:uid="{00000000-0010-0000-2E00-000008000000}" name="CAP" totalsRowFunction="sum" dataDxfId="66" totalsRowDxfId="29"/>
    <tableColumn id="9" xr3:uid="{00000000-0010-0000-2E00-000009000000}" name="BKG(Y)" totalsRowFunction="sum" dataDxfId="65" totalsRowDxfId="28"/>
    <tableColumn id="10" xr3:uid="{00000000-0010-0000-2E00-00000A000000}" name="GRP(Y)" totalsRowFunction="sum" dataDxfId="64" totalsRowDxfId="27"/>
    <tableColumn id="11" xr3:uid="{00000000-0010-0000-2E00-00000B000000}" name="FLT ST" dataDxfId="63" totalsRowDxfId="26"/>
    <tableColumn id="12" xr3:uid="{00000000-0010-0000-2E00-00000C000000}" name="LST-SOLD" dataDxfId="62" totalsRowDxfId="25"/>
    <tableColumn id="13" xr3:uid="{00000000-0010-0000-2E00-00000D000000}" name="TO-DAY" totalsRowFunction="sum" dataDxfId="61" totalsRowDxfId="24"/>
    <tableColumn id="14" xr3:uid="{00000000-0010-0000-2E00-00000E000000}" name="Y-DAY" totalsRowFunction="sum" dataDxfId="60" totalsRowDxfId="23"/>
    <tableColumn id="15" xr3:uid="{00000000-0010-0000-2E00-00000F000000}" name="WEEKLY" totalsRowFunction="sum" dataDxfId="59" totalsRowDxfId="22"/>
    <tableColumn id="16" xr3:uid="{00000000-0010-0000-2E00-000010000000}" name="LOWEST AVAIL" dataDxfId="58" totalsRowDxfId="21"/>
    <tableColumn id="17" xr3:uid="{00000000-0010-0000-2E00-000011000000}" name="Y" totalsRowFunction="sum" dataDxfId="57" totalsRowDxfId="20"/>
    <tableColumn id="18" xr3:uid="{00000000-0010-0000-2E00-000012000000}" name="B" totalsRowFunction="sum" dataDxfId="56" totalsRowDxfId="19"/>
    <tableColumn id="19" xr3:uid="{00000000-0010-0000-2E00-000013000000}" name="M" totalsRowFunction="sum" dataDxfId="55" totalsRowDxfId="18"/>
    <tableColumn id="20" xr3:uid="{00000000-0010-0000-2E00-000014000000}" name="H" totalsRowFunction="sum" dataDxfId="54" totalsRowDxfId="17"/>
    <tableColumn id="21" xr3:uid="{00000000-0010-0000-2E00-000015000000}" name="Q" totalsRowFunction="sum" dataDxfId="53" totalsRowDxfId="16"/>
    <tableColumn id="22" xr3:uid="{00000000-0010-0000-2E00-000016000000}" name="K" totalsRowFunction="sum" dataDxfId="52" totalsRowDxfId="15"/>
    <tableColumn id="23" xr3:uid="{00000000-0010-0000-2E00-000017000000}" name="V" totalsRowFunction="sum" dataDxfId="51" totalsRowDxfId="14"/>
    <tableColumn id="24" xr3:uid="{00000000-0010-0000-2E00-000018000000}" name="L" totalsRowFunction="sum" dataDxfId="50" totalsRowDxfId="13"/>
    <tableColumn id="25" xr3:uid="{00000000-0010-0000-2E00-000019000000}" name="G" totalsRowFunction="sum" dataDxfId="49" totalsRowDxfId="12"/>
    <tableColumn id="26" xr3:uid="{00000000-0010-0000-2E00-00001A000000}" name="S" totalsRowFunction="sum" dataDxfId="48" totalsRowDxfId="11"/>
    <tableColumn id="27" xr3:uid="{00000000-0010-0000-2E00-00001B000000}" name="W" totalsRowFunction="sum" dataDxfId="47" totalsRowDxfId="10"/>
    <tableColumn id="28" xr3:uid="{00000000-0010-0000-2E00-00001C000000}" name="T" totalsRowFunction="sum" dataDxfId="46" totalsRowDxfId="9"/>
    <tableColumn id="29" xr3:uid="{00000000-0010-0000-2E00-00001D000000}" name="X" totalsRowFunction="sum" dataDxfId="45" totalsRowDxfId="8"/>
    <tableColumn id="30" xr3:uid="{00000000-0010-0000-2E00-00001E000000}" name="U" totalsRowFunction="sum" dataDxfId="44" totalsRowDxfId="7"/>
    <tableColumn id="31" xr3:uid="{00000000-0010-0000-2E00-00001F000000}" name="O" totalsRowFunction="sum" dataDxfId="43" totalsRowDxfId="6"/>
    <tableColumn id="32" xr3:uid="{00000000-0010-0000-2E00-000020000000}" name="I" totalsRowFunction="sum" dataDxfId="42" totalsRowDxfId="5"/>
    <tableColumn id="33" xr3:uid="{00000000-0010-0000-2E00-000021000000}" name="E" totalsRowFunction="sum" dataDxfId="41" totalsRowDxfId="4"/>
    <tableColumn id="34" xr3:uid="{00000000-0010-0000-2E00-000022000000}" name="A" totalsRowFunction="sum" dataDxfId="40" totalsRowDxfId="3"/>
    <tableColumn id="35" xr3:uid="{00000000-0010-0000-2E00-000023000000}" name="P" totalsRowFunction="sum" dataDxfId="39" totalsRowDxfId="2"/>
    <tableColumn id="36" xr3:uid="{00000000-0010-0000-2E00-000024000000}" name="N" totalsRowFunction="count" dataDxfId="38" totalsRowDxfId="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FocusMode_GIZ_CAI" displayName="FocusMode_GIZ_CAI" ref="A1:H6" totalsRowShown="0">
  <autoFilter ref="A1:H6"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hreatsAlert_GIZ_CAI" displayName="ThreatsAlert_GIZ_CAI" ref="A1:H4" totalsRowShown="0">
  <autoFilter ref="A1:H4"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KSA_TO_EGY_ALL_ROUTES" displayName="KSA_TO_EGY_ALL_ROUTES" ref="A1:AJ55" totalsRowShown="0">
  <tableColumns count="36">
    <tableColumn id="1" xr3:uid="{00000000-0010-0000-3100-000001000000}" name="Day" totalsRowLabel="TOTAL"/>
    <tableColumn id="2" xr3:uid="{00000000-0010-0000-3100-000002000000}" name="Flt Dt"/>
    <tableColumn id="3" xr3:uid="{00000000-0010-0000-3100-000003000000}" name="Flt" totalsRowFunction="count"/>
    <tableColumn id="4" xr3:uid="{00000000-0010-0000-3100-000004000000}" name="DEP"/>
    <tableColumn id="5" xr3:uid="{00000000-0010-0000-3100-000005000000}" name="Brd-Off" totalsRowFunction="count"/>
    <tableColumn id="6" xr3:uid="{00000000-0010-0000-3100-000006000000}" name="Eqp"/>
    <tableColumn id="7" xr3:uid="{00000000-0010-0000-3100-000007000000}" name="LF%" totalsRowFunction="average"/>
    <tableColumn id="8" xr3:uid="{00000000-0010-0000-3100-000008000000}" name="CAP" totalsRowFunction="sum"/>
    <tableColumn id="9" xr3:uid="{00000000-0010-0000-3100-000009000000}" name="BKG(Y)" totalsRowFunction="sum"/>
    <tableColumn id="10" xr3:uid="{00000000-0010-0000-3100-00000A000000}" name="GRP(Y)" totalsRowFunction="sum"/>
    <tableColumn id="11" xr3:uid="{00000000-0010-0000-3100-00000B000000}" name="FLT ST"/>
    <tableColumn id="12" xr3:uid="{00000000-0010-0000-3100-00000C000000}" name="LST-SOLD"/>
    <tableColumn id="13" xr3:uid="{00000000-0010-0000-3100-00000D000000}" name="TO-DAY" totalsRowFunction="sum"/>
    <tableColumn id="14" xr3:uid="{00000000-0010-0000-3100-00000E000000}" name="Y-DAY" totalsRowFunction="sum"/>
    <tableColumn id="15" xr3:uid="{00000000-0010-0000-3100-00000F000000}" name="WEEKLY" totalsRowFunction="sum"/>
    <tableColumn id="16" xr3:uid="{00000000-0010-0000-3100-000010000000}" name="LOWEST AVAIL" totalsRowFunction="sum"/>
    <tableColumn id="17" xr3:uid="{00000000-0010-0000-3100-000011000000}" name="Y" totalsRowFunction="sum"/>
    <tableColumn id="18" xr3:uid="{00000000-0010-0000-3100-000012000000}" name="B" totalsRowFunction="sum"/>
    <tableColumn id="19" xr3:uid="{00000000-0010-0000-3100-000013000000}" name="M" totalsRowFunction="sum"/>
    <tableColumn id="20" xr3:uid="{00000000-0010-0000-3100-000014000000}" name="H" totalsRowFunction="sum"/>
    <tableColumn id="21" xr3:uid="{00000000-0010-0000-3100-000015000000}" name="Q" totalsRowFunction="sum"/>
    <tableColumn id="22" xr3:uid="{00000000-0010-0000-3100-000016000000}" name="K" totalsRowFunction="sum"/>
    <tableColumn id="23" xr3:uid="{00000000-0010-0000-3100-000017000000}" name="V" totalsRowFunction="sum"/>
    <tableColumn id="24" xr3:uid="{00000000-0010-0000-3100-000018000000}" name="L" totalsRowFunction="sum"/>
    <tableColumn id="25" xr3:uid="{00000000-0010-0000-3100-000019000000}" name="G" totalsRowFunction="sum"/>
    <tableColumn id="26" xr3:uid="{00000000-0010-0000-3100-00001A000000}" name="S" totalsRowFunction="sum"/>
    <tableColumn id="27" xr3:uid="{00000000-0010-0000-3100-00001B000000}" name="W" totalsRowFunction="sum"/>
    <tableColumn id="28" xr3:uid="{00000000-0010-0000-3100-00001C000000}" name="T" totalsRowFunction="sum"/>
    <tableColumn id="29" xr3:uid="{00000000-0010-0000-3100-00001D000000}" name="X" totalsRowFunction="sum"/>
    <tableColumn id="30" xr3:uid="{00000000-0010-0000-3100-00001E000000}" name="U" totalsRowFunction="sum"/>
    <tableColumn id="31" xr3:uid="{00000000-0010-0000-3100-00001F000000}" name="O" totalsRowFunction="sum"/>
    <tableColumn id="32" xr3:uid="{00000000-0010-0000-3100-000020000000}" name="I" totalsRowFunction="sum"/>
    <tableColumn id="33" xr3:uid="{00000000-0010-0000-3100-000021000000}" name="E" totalsRowFunction="sum"/>
    <tableColumn id="34" xr3:uid="{00000000-0010-0000-3100-000022000000}" name="A" totalsRowFunction="sum"/>
    <tableColumn id="35" xr3:uid="{00000000-0010-0000-3100-000023000000}" name="P" totalsRowFunction="sum"/>
    <tableColumn id="36" xr3:uid="{00000000-0010-0000-31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7.xml"/><Relationship Id="rId1" Type="http://schemas.openxmlformats.org/officeDocument/2006/relationships/vmlDrawing" Target="../drawings/vmlDrawing10.v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0.xml"/><Relationship Id="rId1" Type="http://schemas.openxmlformats.org/officeDocument/2006/relationships/vmlDrawing" Target="../drawings/vmlDrawing11.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1.xml"/><Relationship Id="rId1" Type="http://schemas.openxmlformats.org/officeDocument/2006/relationships/vmlDrawing" Target="../drawings/vmlDrawing12.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3.xml"/><Relationship Id="rId1" Type="http://schemas.openxmlformats.org/officeDocument/2006/relationships/vmlDrawing" Target="../drawings/vmlDrawing13.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5.xml"/><Relationship Id="rId1" Type="http://schemas.openxmlformats.org/officeDocument/2006/relationships/vmlDrawing" Target="../drawings/vmlDrawing14.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6.xml"/><Relationship Id="rId1" Type="http://schemas.openxmlformats.org/officeDocument/2006/relationships/vmlDrawing" Target="../drawings/vmlDrawing15.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8.xml"/><Relationship Id="rId1" Type="http://schemas.openxmlformats.org/officeDocument/2006/relationships/vmlDrawing" Target="../drawings/vmlDrawing16.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0.xml"/><Relationship Id="rId1" Type="http://schemas.openxmlformats.org/officeDocument/2006/relationships/vmlDrawing" Target="../drawings/vmlDrawing17.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1.xml"/><Relationship Id="rId1" Type="http://schemas.openxmlformats.org/officeDocument/2006/relationships/vmlDrawing" Target="../drawings/vmlDrawing18.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3.xml"/><Relationship Id="rId1" Type="http://schemas.openxmlformats.org/officeDocument/2006/relationships/vmlDrawing" Target="../drawings/vmlDrawing19.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5.xml"/><Relationship Id="rId1" Type="http://schemas.openxmlformats.org/officeDocument/2006/relationships/vmlDrawing" Target="../drawings/vmlDrawing20.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6.xml"/><Relationship Id="rId1" Type="http://schemas.openxmlformats.org/officeDocument/2006/relationships/vmlDrawing" Target="../drawings/vmlDrawing21.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8.xml"/><Relationship Id="rId1" Type="http://schemas.openxmlformats.org/officeDocument/2006/relationships/vmlDrawing" Target="../drawings/vmlDrawing22.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9.xml"/><Relationship Id="rId1" Type="http://schemas.openxmlformats.org/officeDocument/2006/relationships/vmlDrawing" Target="../drawings/vmlDrawing23.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1.xml"/><Relationship Id="rId1" Type="http://schemas.openxmlformats.org/officeDocument/2006/relationships/vmlDrawing" Target="../drawings/vmlDrawing24.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3.xml"/><Relationship Id="rId1" Type="http://schemas.openxmlformats.org/officeDocument/2006/relationships/vmlDrawing" Target="../drawings/vmlDrawing25.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4.xml"/><Relationship Id="rId1" Type="http://schemas.openxmlformats.org/officeDocument/2006/relationships/vmlDrawing" Target="../drawings/vmlDrawing26.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6.xml"/><Relationship Id="rId1" Type="http://schemas.openxmlformats.org/officeDocument/2006/relationships/vmlDrawing" Target="../drawings/vmlDrawing27.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8.xml"/><Relationship Id="rId1" Type="http://schemas.openxmlformats.org/officeDocument/2006/relationships/vmlDrawing" Target="../drawings/vmlDrawing28.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49.xml"/><Relationship Id="rId1" Type="http://schemas.openxmlformats.org/officeDocument/2006/relationships/vmlDrawing" Target="../drawings/vmlDrawing29.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5"/>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44140625" bestFit="1" customWidth="1"/>
  </cols>
  <sheetData>
    <row r="1" spans="1:92" ht="28.8" customHeight="1" x14ac:dyDescent="0.3">
      <c r="A1" s="272" t="s">
        <v>0</v>
      </c>
      <c r="B1" s="261"/>
      <c r="C1" s="261"/>
      <c r="D1" s="261"/>
      <c r="E1" s="261"/>
      <c r="F1" s="1" t="s">
        <v>1</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45980.492384084893</v>
      </c>
      <c r="H2" s="261"/>
      <c r="I2" s="261"/>
      <c r="J2" s="261"/>
      <c r="K2" s="274">
        <v>45980.492384085337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0.75694444444444453</v>
      </c>
      <c r="D6" s="8" t="s">
        <v>28</v>
      </c>
      <c r="E6" s="8" t="s">
        <v>29</v>
      </c>
      <c r="F6" s="8" t="s">
        <v>30</v>
      </c>
      <c r="G6" s="269"/>
      <c r="H6" s="10"/>
      <c r="I6" s="11"/>
      <c r="J6" s="11"/>
      <c r="K6" s="11"/>
      <c r="L6" s="11"/>
      <c r="M6" s="11"/>
      <c r="N6" s="11"/>
      <c r="O6" s="12"/>
      <c r="P6" s="11"/>
      <c r="Q6" s="13"/>
      <c r="R6" s="14"/>
    </row>
    <row r="7" spans="1:92" ht="15" customHeight="1" x14ac:dyDescent="0.3">
      <c r="A7" s="15" t="s">
        <v>26</v>
      </c>
      <c r="B7" s="15" t="s">
        <v>27</v>
      </c>
      <c r="C7" s="16">
        <v>0.75694444444444453</v>
      </c>
      <c r="D7" s="15" t="s">
        <v>31</v>
      </c>
      <c r="E7" s="15" t="s">
        <v>32</v>
      </c>
      <c r="F7" s="15" t="s">
        <v>33</v>
      </c>
      <c r="G7" s="267"/>
      <c r="H7" s="10"/>
      <c r="I7" s="11"/>
      <c r="J7" s="11"/>
      <c r="K7" s="11"/>
      <c r="L7" s="11"/>
      <c r="M7" s="11"/>
      <c r="N7" s="11"/>
      <c r="O7" s="12"/>
      <c r="P7" s="11"/>
      <c r="Q7" s="13"/>
      <c r="R7" s="14"/>
    </row>
    <row r="8" spans="1:92" ht="15" customHeight="1" x14ac:dyDescent="0.3">
      <c r="A8" s="15" t="s">
        <v>26</v>
      </c>
      <c r="B8" s="15" t="s">
        <v>27</v>
      </c>
      <c r="C8" s="16">
        <v>0.75694444444444453</v>
      </c>
      <c r="D8" s="15" t="s">
        <v>34</v>
      </c>
      <c r="E8" s="15" t="s">
        <v>32</v>
      </c>
      <c r="F8" s="15" t="s">
        <v>35</v>
      </c>
      <c r="G8" s="267"/>
      <c r="H8" s="10"/>
      <c r="I8" s="11"/>
      <c r="J8" s="11"/>
      <c r="K8" s="11"/>
      <c r="L8" s="11"/>
      <c r="M8" s="11"/>
      <c r="N8" s="11"/>
      <c r="O8" s="12"/>
      <c r="P8" s="11"/>
      <c r="Q8" s="13"/>
      <c r="R8" s="14"/>
    </row>
    <row r="9" spans="1:92" ht="15" customHeight="1" x14ac:dyDescent="0.3">
      <c r="A9" s="17" t="s">
        <v>26</v>
      </c>
      <c r="B9" s="17" t="s">
        <v>36</v>
      </c>
      <c r="C9" s="18">
        <v>0.35416666666666669</v>
      </c>
      <c r="D9" s="17" t="s">
        <v>28</v>
      </c>
      <c r="E9" s="17" t="s">
        <v>37</v>
      </c>
      <c r="F9" s="17" t="s">
        <v>38</v>
      </c>
      <c r="G9" s="267"/>
      <c r="H9" s="10"/>
      <c r="I9" s="11"/>
      <c r="J9" s="11"/>
      <c r="K9" s="11"/>
      <c r="L9" s="11"/>
      <c r="M9" s="11"/>
      <c r="N9" s="11"/>
      <c r="O9" s="12"/>
      <c r="P9" s="11"/>
      <c r="Q9" s="13"/>
      <c r="R9" s="14"/>
    </row>
    <row r="10" spans="1:92" ht="15" customHeight="1" x14ac:dyDescent="0.3">
      <c r="A10" s="15" t="s">
        <v>26</v>
      </c>
      <c r="B10" s="15" t="s">
        <v>36</v>
      </c>
      <c r="C10" s="16">
        <v>0.35416666666666669</v>
      </c>
      <c r="D10" s="15" t="s">
        <v>31</v>
      </c>
      <c r="E10" s="15" t="s">
        <v>32</v>
      </c>
      <c r="F10" s="15" t="s">
        <v>39</v>
      </c>
      <c r="G10" s="267"/>
      <c r="H10" s="10"/>
      <c r="I10" s="11"/>
      <c r="J10" s="11"/>
      <c r="K10" s="11"/>
      <c r="L10" s="11"/>
      <c r="M10" s="11"/>
      <c r="N10" s="11"/>
      <c r="O10" s="12"/>
      <c r="P10" s="11"/>
      <c r="Q10" s="13"/>
      <c r="R10" s="14"/>
    </row>
    <row r="11" spans="1:92" ht="15" customHeight="1" x14ac:dyDescent="0.3">
      <c r="A11" s="15" t="s">
        <v>26</v>
      </c>
      <c r="B11" s="15" t="s">
        <v>36</v>
      </c>
      <c r="C11" s="16">
        <v>0.35416666666666669</v>
      </c>
      <c r="D11" s="15" t="s">
        <v>34</v>
      </c>
      <c r="E11" s="15" t="s">
        <v>32</v>
      </c>
      <c r="F11" s="15" t="s">
        <v>40</v>
      </c>
      <c r="G11" s="267"/>
      <c r="H11" s="10"/>
      <c r="I11" s="11"/>
      <c r="J11" s="11"/>
      <c r="K11" s="11"/>
      <c r="L11" s="11"/>
      <c r="M11" s="11"/>
      <c r="N11" s="11"/>
      <c r="O11" s="12"/>
      <c r="P11" s="11"/>
      <c r="Q11" s="13"/>
      <c r="R11" s="14"/>
    </row>
    <row r="12" spans="1:92" ht="15" customHeight="1" x14ac:dyDescent="0.3">
      <c r="A12" s="19" t="s">
        <v>41</v>
      </c>
      <c r="B12" s="19" t="s">
        <v>42</v>
      </c>
      <c r="C12" s="20">
        <v>0.4201388888888889</v>
      </c>
      <c r="D12" s="19" t="s">
        <v>43</v>
      </c>
      <c r="E12" s="19" t="s">
        <v>44</v>
      </c>
      <c r="F12" s="19" t="s">
        <v>30</v>
      </c>
      <c r="G12" s="267"/>
      <c r="H12" s="10"/>
      <c r="I12" s="11"/>
      <c r="J12" s="11"/>
      <c r="K12" s="11"/>
      <c r="L12" s="11"/>
      <c r="M12" s="11"/>
      <c r="N12" s="11"/>
      <c r="O12" s="12"/>
      <c r="P12" s="11"/>
      <c r="Q12" s="13"/>
      <c r="R12" s="14"/>
    </row>
    <row r="13" spans="1:92" ht="15" customHeight="1" x14ac:dyDescent="0.3">
      <c r="A13" s="15" t="s">
        <v>41</v>
      </c>
      <c r="B13" s="15" t="s">
        <v>42</v>
      </c>
      <c r="C13" s="16">
        <v>0.4201388888888889</v>
      </c>
      <c r="D13" s="15" t="s">
        <v>45</v>
      </c>
      <c r="E13" s="15" t="s">
        <v>46</v>
      </c>
      <c r="F13" s="15" t="s">
        <v>39</v>
      </c>
      <c r="G13" s="267"/>
      <c r="H13" s="10"/>
      <c r="I13" s="11"/>
      <c r="J13" s="11"/>
      <c r="K13" s="11"/>
      <c r="L13" s="11"/>
      <c r="M13" s="11"/>
      <c r="N13" s="11"/>
      <c r="O13" s="12"/>
      <c r="P13" s="11"/>
      <c r="Q13" s="13"/>
      <c r="R13" s="14"/>
    </row>
    <row r="14" spans="1:92" ht="15" customHeight="1" x14ac:dyDescent="0.3">
      <c r="A14" s="15" t="s">
        <v>41</v>
      </c>
      <c r="B14" s="15" t="s">
        <v>42</v>
      </c>
      <c r="C14" s="16">
        <v>0.4201388888888889</v>
      </c>
      <c r="D14" s="15" t="s">
        <v>47</v>
      </c>
      <c r="E14" s="15" t="s">
        <v>46</v>
      </c>
      <c r="F14" s="15" t="s">
        <v>48</v>
      </c>
      <c r="G14" s="267"/>
      <c r="H14" s="10"/>
      <c r="I14" s="11"/>
      <c r="J14" s="11"/>
      <c r="K14" s="11"/>
      <c r="L14" s="11"/>
      <c r="M14" s="11"/>
      <c r="N14" s="11"/>
      <c r="O14" s="12"/>
      <c r="P14" s="11"/>
      <c r="Q14" s="13"/>
      <c r="R14" s="14"/>
    </row>
    <row r="15" spans="1:92" ht="15" customHeight="1" x14ac:dyDescent="0.3">
      <c r="A15" s="19" t="s">
        <v>49</v>
      </c>
      <c r="B15" s="19" t="s">
        <v>50</v>
      </c>
      <c r="C15" s="20">
        <v>0.1076388888888889</v>
      </c>
      <c r="D15" s="19" t="s">
        <v>51</v>
      </c>
      <c r="E15" s="19" t="s">
        <v>52</v>
      </c>
      <c r="F15" s="19" t="s">
        <v>53</v>
      </c>
      <c r="G15" s="267"/>
      <c r="H15" s="10"/>
      <c r="I15" s="11"/>
      <c r="J15" s="11"/>
      <c r="K15" s="11"/>
      <c r="L15" s="11"/>
      <c r="M15" s="11"/>
      <c r="N15" s="11"/>
      <c r="O15" s="12"/>
      <c r="P15" s="11"/>
      <c r="Q15" s="13"/>
      <c r="R15" s="14"/>
    </row>
    <row r="16" spans="1:92" ht="15" customHeight="1" x14ac:dyDescent="0.3">
      <c r="A16" s="17" t="s">
        <v>49</v>
      </c>
      <c r="B16" s="17" t="s">
        <v>54</v>
      </c>
      <c r="C16" s="18">
        <v>0.22222222222222221</v>
      </c>
      <c r="D16" s="17" t="s">
        <v>51</v>
      </c>
      <c r="E16" s="17" t="s">
        <v>55</v>
      </c>
      <c r="F16" s="17" t="s">
        <v>53</v>
      </c>
      <c r="G16" s="267"/>
      <c r="H16" s="10"/>
      <c r="I16" s="11"/>
      <c r="J16" s="11"/>
      <c r="K16" s="11"/>
      <c r="L16" s="11"/>
      <c r="M16" s="11"/>
      <c r="N16" s="11"/>
      <c r="O16" s="12"/>
      <c r="P16" s="11"/>
      <c r="Q16" s="13"/>
      <c r="R16" s="14"/>
    </row>
    <row r="17" spans="1:18" ht="15" customHeight="1" x14ac:dyDescent="0.3">
      <c r="A17" s="17" t="s">
        <v>49</v>
      </c>
      <c r="B17" s="17" t="s">
        <v>56</v>
      </c>
      <c r="C17" s="18">
        <v>0.44444444444444442</v>
      </c>
      <c r="D17" s="17" t="s">
        <v>51</v>
      </c>
      <c r="E17" s="17" t="s">
        <v>55</v>
      </c>
      <c r="F17" s="17" t="s">
        <v>53</v>
      </c>
      <c r="G17" s="267"/>
      <c r="H17" s="10"/>
      <c r="I17" s="11"/>
      <c r="J17" s="11"/>
      <c r="K17" s="11"/>
      <c r="L17" s="11"/>
      <c r="M17" s="11"/>
      <c r="N17" s="11"/>
      <c r="O17" s="12"/>
      <c r="P17" s="11"/>
      <c r="Q17" s="13"/>
      <c r="R17" s="14"/>
    </row>
    <row r="18" spans="1:18" ht="15" customHeight="1" x14ac:dyDescent="0.3">
      <c r="A18" s="17" t="s">
        <v>49</v>
      </c>
      <c r="B18" s="17" t="s">
        <v>57</v>
      </c>
      <c r="C18" s="18">
        <v>0.85416666666666663</v>
      </c>
      <c r="D18" s="17" t="s">
        <v>51</v>
      </c>
      <c r="E18" s="17" t="s">
        <v>58</v>
      </c>
      <c r="F18" s="17" t="s">
        <v>59</v>
      </c>
      <c r="G18" s="267"/>
      <c r="H18" s="10"/>
      <c r="I18" s="11"/>
      <c r="J18" s="11"/>
      <c r="K18" s="11"/>
      <c r="L18" s="11"/>
      <c r="M18" s="11"/>
      <c r="N18" s="11"/>
      <c r="O18" s="12"/>
      <c r="P18" s="11"/>
      <c r="Q18" s="13"/>
      <c r="R18" s="14"/>
    </row>
    <row r="19" spans="1:18" ht="15" customHeight="1" x14ac:dyDescent="0.3">
      <c r="A19" s="17" t="s">
        <v>49</v>
      </c>
      <c r="B19" s="17" t="s">
        <v>60</v>
      </c>
      <c r="C19" s="18">
        <v>0.55208333333333337</v>
      </c>
      <c r="D19" s="17" t="s">
        <v>51</v>
      </c>
      <c r="E19" s="17" t="s">
        <v>55</v>
      </c>
      <c r="F19" s="17" t="s">
        <v>61</v>
      </c>
      <c r="G19" s="267"/>
      <c r="H19" s="10"/>
      <c r="I19" s="11"/>
      <c r="J19" s="11"/>
      <c r="K19" s="11"/>
      <c r="L19" s="11"/>
      <c r="M19" s="11"/>
      <c r="N19" s="11"/>
      <c r="O19" s="12"/>
      <c r="P19" s="11"/>
      <c r="Q19" s="13"/>
      <c r="R19" s="14"/>
    </row>
    <row r="20" spans="1:18" ht="15" customHeight="1" x14ac:dyDescent="0.3">
      <c r="A20" s="19" t="s">
        <v>62</v>
      </c>
      <c r="B20" s="19" t="s">
        <v>63</v>
      </c>
      <c r="C20" s="20">
        <v>0.60416666666666663</v>
      </c>
      <c r="D20" s="19" t="s">
        <v>64</v>
      </c>
      <c r="E20" s="19" t="s">
        <v>52</v>
      </c>
      <c r="F20" s="19" t="s">
        <v>65</v>
      </c>
      <c r="G20" s="267"/>
      <c r="H20" s="10"/>
      <c r="I20" s="11"/>
      <c r="J20" s="11"/>
      <c r="K20" s="11"/>
      <c r="L20" s="11"/>
      <c r="M20" s="11"/>
      <c r="N20" s="11"/>
      <c r="O20" s="12"/>
      <c r="P20" s="11"/>
      <c r="Q20" s="13"/>
      <c r="R20" s="14"/>
    </row>
    <row r="21" spans="1:18" ht="15" customHeight="1" x14ac:dyDescent="0.3">
      <c r="A21" s="15" t="s">
        <v>62</v>
      </c>
      <c r="B21" s="15" t="s">
        <v>63</v>
      </c>
      <c r="C21" s="16">
        <v>0.60416666666666663</v>
      </c>
      <c r="D21" s="15" t="s">
        <v>66</v>
      </c>
      <c r="E21" s="15" t="s">
        <v>67</v>
      </c>
      <c r="F21" s="15" t="s">
        <v>68</v>
      </c>
      <c r="G21" s="267"/>
      <c r="H21" s="10"/>
      <c r="I21" s="11"/>
      <c r="J21" s="11"/>
      <c r="K21" s="11"/>
      <c r="L21" s="11"/>
      <c r="M21" s="11"/>
      <c r="N21" s="11"/>
      <c r="O21" s="12"/>
      <c r="P21" s="11"/>
      <c r="Q21" s="13"/>
      <c r="R21" s="14"/>
    </row>
    <row r="22" spans="1:18" ht="15" customHeight="1" x14ac:dyDescent="0.3">
      <c r="A22" s="17" t="s">
        <v>62</v>
      </c>
      <c r="B22" s="17" t="s">
        <v>69</v>
      </c>
      <c r="C22" s="18">
        <v>8.6805555555555566E-2</v>
      </c>
      <c r="D22" s="17" t="s">
        <v>64</v>
      </c>
      <c r="E22" s="17" t="s">
        <v>55</v>
      </c>
      <c r="F22" s="17" t="s">
        <v>65</v>
      </c>
      <c r="G22" s="267"/>
      <c r="H22" s="10"/>
      <c r="I22" s="11"/>
      <c r="J22" s="11"/>
      <c r="K22" s="11"/>
      <c r="L22" s="11"/>
      <c r="M22" s="11"/>
      <c r="N22" s="11"/>
      <c r="O22" s="12"/>
      <c r="P22" s="11"/>
      <c r="Q22" s="13"/>
      <c r="R22" s="14"/>
    </row>
    <row r="23" spans="1:18" ht="15" customHeight="1" x14ac:dyDescent="0.3">
      <c r="A23" s="15" t="s">
        <v>62</v>
      </c>
      <c r="B23" s="15" t="s">
        <v>69</v>
      </c>
      <c r="C23" s="16">
        <v>8.6805555555555566E-2</v>
      </c>
      <c r="D23" s="15" t="s">
        <v>66</v>
      </c>
      <c r="E23" s="15" t="s">
        <v>67</v>
      </c>
      <c r="F23" s="15" t="s">
        <v>68</v>
      </c>
      <c r="G23" s="267"/>
      <c r="H23" s="10"/>
      <c r="I23" s="11"/>
      <c r="J23" s="11"/>
      <c r="K23" s="11"/>
      <c r="L23" s="11"/>
      <c r="M23" s="11"/>
      <c r="N23" s="11"/>
      <c r="O23" s="12"/>
      <c r="P23" s="11"/>
      <c r="Q23" s="13"/>
      <c r="R23" s="14"/>
    </row>
    <row r="24" spans="1:18" ht="15" customHeight="1" x14ac:dyDescent="0.3">
      <c r="A24" s="17" t="s">
        <v>62</v>
      </c>
      <c r="B24" s="17" t="s">
        <v>70</v>
      </c>
      <c r="C24" s="18">
        <v>0.4201388888888889</v>
      </c>
      <c r="D24" s="17" t="s">
        <v>66</v>
      </c>
      <c r="E24" s="17" t="s">
        <v>71</v>
      </c>
      <c r="F24" s="17" t="s">
        <v>72</v>
      </c>
      <c r="G24" s="267"/>
      <c r="H24" s="10"/>
      <c r="I24" s="11"/>
      <c r="J24" s="11"/>
      <c r="K24" s="11"/>
      <c r="L24" s="11"/>
      <c r="M24" s="11"/>
      <c r="N24" s="11"/>
      <c r="O24" s="12"/>
      <c r="P24" s="11"/>
      <c r="Q24" s="13"/>
      <c r="R24" s="14"/>
    </row>
    <row r="25" spans="1:18" ht="15" customHeight="1" x14ac:dyDescent="0.3">
      <c r="A25" s="17" t="s">
        <v>62</v>
      </c>
      <c r="B25" s="17" t="s">
        <v>73</v>
      </c>
      <c r="C25" s="18">
        <v>0.79513888888888884</v>
      </c>
      <c r="D25" s="17" t="s">
        <v>64</v>
      </c>
      <c r="E25" s="17" t="s">
        <v>74</v>
      </c>
      <c r="F25" s="17" t="s">
        <v>75</v>
      </c>
      <c r="G25" s="267"/>
      <c r="H25" s="10"/>
      <c r="I25" s="11"/>
      <c r="J25" s="11"/>
      <c r="K25" s="11"/>
      <c r="L25" s="11"/>
      <c r="M25" s="11"/>
      <c r="N25" s="11"/>
      <c r="O25" s="12"/>
      <c r="P25" s="11"/>
      <c r="Q25" s="13"/>
      <c r="R25" s="14"/>
    </row>
    <row r="26" spans="1:18" ht="15" customHeight="1" x14ac:dyDescent="0.3">
      <c r="A26" s="15" t="s">
        <v>62</v>
      </c>
      <c r="B26" s="15" t="s">
        <v>73</v>
      </c>
      <c r="C26" s="16">
        <v>0.79513888888888884</v>
      </c>
      <c r="D26" s="15" t="s">
        <v>66</v>
      </c>
      <c r="E26" s="15" t="s">
        <v>76</v>
      </c>
      <c r="F26" s="15" t="s">
        <v>77</v>
      </c>
      <c r="G26" s="267"/>
      <c r="H26" s="10"/>
      <c r="I26" s="11"/>
      <c r="J26" s="11"/>
      <c r="K26" s="11"/>
      <c r="L26" s="11"/>
      <c r="M26" s="11"/>
      <c r="N26" s="11"/>
      <c r="O26" s="12"/>
      <c r="P26" s="11"/>
      <c r="Q26" s="13"/>
      <c r="R26" s="14"/>
    </row>
    <row r="27" spans="1:18" ht="15" customHeight="1" thickBot="1" x14ac:dyDescent="0.35">
      <c r="A27" s="21" t="s">
        <v>78</v>
      </c>
      <c r="B27" s="21" t="s">
        <v>79</v>
      </c>
      <c r="C27" s="22">
        <v>0.53819444444444442</v>
      </c>
      <c r="D27" s="21" t="s">
        <v>80</v>
      </c>
      <c r="E27" s="23"/>
      <c r="F27" s="21" t="s">
        <v>81</v>
      </c>
      <c r="G27" s="268"/>
      <c r="H27" s="24" t="s">
        <v>79</v>
      </c>
      <c r="I27" s="25">
        <v>1.0169999999999999</v>
      </c>
      <c r="J27" s="26">
        <v>179</v>
      </c>
      <c r="K27" s="27">
        <v>45976</v>
      </c>
      <c r="L27" s="26">
        <v>6</v>
      </c>
      <c r="M27" s="26">
        <v>0</v>
      </c>
      <c r="N27" s="26">
        <v>0</v>
      </c>
      <c r="O27" s="28" t="s">
        <v>82</v>
      </c>
      <c r="P27" s="29">
        <v>0.53819444444444442</v>
      </c>
      <c r="Q27" s="26">
        <v>176</v>
      </c>
      <c r="R27" s="30" t="s">
        <v>83</v>
      </c>
    </row>
    <row r="28" spans="1:18" ht="17.399999999999999" customHeight="1" thickBot="1" x14ac:dyDescent="0.35">
      <c r="A28" s="295"/>
      <c r="B28" s="296"/>
      <c r="C28" s="296"/>
      <c r="D28" s="296"/>
      <c r="E28" s="296"/>
      <c r="F28" s="296"/>
      <c r="G28" s="296"/>
      <c r="H28" s="296"/>
      <c r="I28" s="296"/>
      <c r="J28" s="296"/>
      <c r="K28" s="296"/>
      <c r="L28" s="296"/>
      <c r="M28" s="296"/>
      <c r="N28" s="296"/>
      <c r="O28" s="296"/>
      <c r="P28" s="296"/>
      <c r="Q28" s="296"/>
      <c r="R28" s="297"/>
    </row>
    <row r="29" spans="1:18" ht="22.05" customHeight="1" thickTop="1" thickBot="1" x14ac:dyDescent="0.35">
      <c r="A29" s="262" t="s">
        <v>6</v>
      </c>
      <c r="B29" s="263"/>
      <c r="C29" s="263"/>
      <c r="D29" s="263"/>
      <c r="E29" s="263"/>
      <c r="F29" s="264"/>
      <c r="G29" s="31">
        <v>45982</v>
      </c>
      <c r="H29" s="270" t="s">
        <v>7</v>
      </c>
      <c r="I29" s="263"/>
      <c r="J29" s="263"/>
      <c r="K29" s="263"/>
      <c r="L29" s="263"/>
      <c r="M29" s="263"/>
      <c r="N29" s="263"/>
      <c r="O29" s="263"/>
      <c r="P29" s="263"/>
      <c r="Q29" s="263"/>
      <c r="R29" s="264"/>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26</v>
      </c>
      <c r="B31" s="8" t="s">
        <v>27</v>
      </c>
      <c r="C31" s="9">
        <v>0.75694444444444453</v>
      </c>
      <c r="D31" s="8" t="s">
        <v>28</v>
      </c>
      <c r="E31" s="8" t="s">
        <v>29</v>
      </c>
      <c r="F31" s="8" t="s">
        <v>38</v>
      </c>
      <c r="G31" s="266"/>
      <c r="H31" s="10"/>
      <c r="I31" s="11"/>
      <c r="J31" s="11"/>
      <c r="K31" s="11"/>
      <c r="L31" s="11"/>
      <c r="M31" s="11"/>
      <c r="N31" s="11"/>
      <c r="O31" s="12"/>
      <c r="P31" s="11"/>
      <c r="Q31" s="13"/>
      <c r="R31" s="14"/>
    </row>
    <row r="32" spans="1:18" ht="15" customHeight="1" x14ac:dyDescent="0.3">
      <c r="A32" s="15" t="s">
        <v>26</v>
      </c>
      <c r="B32" s="15" t="s">
        <v>27</v>
      </c>
      <c r="C32" s="16">
        <v>0.75694444444444453</v>
      </c>
      <c r="D32" s="15" t="s">
        <v>31</v>
      </c>
      <c r="E32" s="15" t="s">
        <v>32</v>
      </c>
      <c r="F32" s="15" t="s">
        <v>39</v>
      </c>
      <c r="G32" s="267"/>
      <c r="H32" s="10"/>
      <c r="I32" s="11"/>
      <c r="J32" s="11"/>
      <c r="K32" s="11"/>
      <c r="L32" s="11"/>
      <c r="M32" s="11"/>
      <c r="N32" s="11"/>
      <c r="O32" s="12"/>
      <c r="P32" s="11"/>
      <c r="Q32" s="13"/>
      <c r="R32" s="14"/>
    </row>
    <row r="33" spans="1:18" ht="15" customHeight="1" x14ac:dyDescent="0.3">
      <c r="A33" s="15" t="s">
        <v>26</v>
      </c>
      <c r="B33" s="15" t="s">
        <v>27</v>
      </c>
      <c r="C33" s="16">
        <v>0.75694444444444453</v>
      </c>
      <c r="D33" s="15" t="s">
        <v>34</v>
      </c>
      <c r="E33" s="15" t="s">
        <v>32</v>
      </c>
      <c r="F33" s="15" t="s">
        <v>40</v>
      </c>
      <c r="G33" s="267"/>
      <c r="H33" s="10"/>
      <c r="I33" s="11"/>
      <c r="J33" s="11"/>
      <c r="K33" s="11"/>
      <c r="L33" s="11"/>
      <c r="M33" s="11"/>
      <c r="N33" s="11"/>
      <c r="O33" s="12"/>
      <c r="P33" s="11"/>
      <c r="Q33" s="13"/>
      <c r="R33" s="14"/>
    </row>
    <row r="34" spans="1:18" ht="15" customHeight="1" x14ac:dyDescent="0.3">
      <c r="A34" s="19" t="s">
        <v>41</v>
      </c>
      <c r="B34" s="19" t="s">
        <v>42</v>
      </c>
      <c r="C34" s="20">
        <v>0.4201388888888889</v>
      </c>
      <c r="D34" s="19" t="s">
        <v>43</v>
      </c>
      <c r="E34" s="19" t="s">
        <v>84</v>
      </c>
      <c r="F34" s="19" t="s">
        <v>85</v>
      </c>
      <c r="G34" s="267"/>
      <c r="H34" s="10"/>
      <c r="I34" s="11"/>
      <c r="J34" s="11"/>
      <c r="K34" s="11"/>
      <c r="L34" s="11"/>
      <c r="M34" s="11"/>
      <c r="N34" s="11"/>
      <c r="O34" s="12"/>
      <c r="P34" s="11"/>
      <c r="Q34" s="13"/>
      <c r="R34" s="14"/>
    </row>
    <row r="35" spans="1:18" ht="15" customHeight="1" x14ac:dyDescent="0.3">
      <c r="A35" s="15" t="s">
        <v>41</v>
      </c>
      <c r="B35" s="15" t="s">
        <v>42</v>
      </c>
      <c r="C35" s="16">
        <v>0.4201388888888889</v>
      </c>
      <c r="D35" s="15" t="s">
        <v>45</v>
      </c>
      <c r="E35" s="15" t="s">
        <v>86</v>
      </c>
      <c r="F35" s="15" t="s">
        <v>87</v>
      </c>
      <c r="G35" s="267"/>
      <c r="H35" s="10"/>
      <c r="I35" s="11"/>
      <c r="J35" s="11"/>
      <c r="K35" s="11"/>
      <c r="L35" s="11"/>
      <c r="M35" s="11"/>
      <c r="N35" s="11"/>
      <c r="O35" s="12"/>
      <c r="P35" s="11"/>
      <c r="Q35" s="13"/>
      <c r="R35" s="14"/>
    </row>
    <row r="36" spans="1:18" ht="15" customHeight="1" x14ac:dyDescent="0.3">
      <c r="A36" s="15" t="s">
        <v>41</v>
      </c>
      <c r="B36" s="15" t="s">
        <v>42</v>
      </c>
      <c r="C36" s="16">
        <v>0.4201388888888889</v>
      </c>
      <c r="D36" s="15" t="s">
        <v>47</v>
      </c>
      <c r="E36" s="15" t="s">
        <v>86</v>
      </c>
      <c r="F36" s="15" t="s">
        <v>88</v>
      </c>
      <c r="G36" s="267"/>
      <c r="H36" s="10"/>
      <c r="I36" s="11"/>
      <c r="J36" s="11"/>
      <c r="K36" s="11"/>
      <c r="L36" s="11"/>
      <c r="M36" s="11"/>
      <c r="N36" s="11"/>
      <c r="O36" s="12"/>
      <c r="P36" s="11"/>
      <c r="Q36" s="13"/>
      <c r="R36" s="14"/>
    </row>
    <row r="37" spans="1:18" ht="15" customHeight="1" x14ac:dyDescent="0.3">
      <c r="A37" s="19" t="s">
        <v>49</v>
      </c>
      <c r="B37" s="19" t="s">
        <v>50</v>
      </c>
      <c r="C37" s="20">
        <v>9.7222222222222224E-2</v>
      </c>
      <c r="D37" s="19" t="s">
        <v>51</v>
      </c>
      <c r="E37" s="19" t="s">
        <v>52</v>
      </c>
      <c r="F37" s="19" t="s">
        <v>89</v>
      </c>
      <c r="G37" s="267"/>
      <c r="H37" s="10"/>
      <c r="I37" s="11"/>
      <c r="J37" s="11"/>
      <c r="K37" s="11"/>
      <c r="L37" s="11"/>
      <c r="M37" s="11"/>
      <c r="N37" s="11"/>
      <c r="O37" s="12"/>
      <c r="P37" s="11"/>
      <c r="Q37" s="13"/>
      <c r="R37" s="14"/>
    </row>
    <row r="38" spans="1:18" ht="15" customHeight="1" x14ac:dyDescent="0.3">
      <c r="A38" s="17" t="s">
        <v>49</v>
      </c>
      <c r="B38" s="17" t="s">
        <v>54</v>
      </c>
      <c r="C38" s="18">
        <v>0.22222222222222221</v>
      </c>
      <c r="D38" s="17" t="s">
        <v>51</v>
      </c>
      <c r="E38" s="17" t="s">
        <v>55</v>
      </c>
      <c r="F38" s="17" t="s">
        <v>89</v>
      </c>
      <c r="G38" s="267"/>
      <c r="H38" s="10"/>
      <c r="I38" s="11"/>
      <c r="J38" s="11"/>
      <c r="K38" s="11"/>
      <c r="L38" s="11"/>
      <c r="M38" s="11"/>
      <c r="N38" s="11"/>
      <c r="O38" s="12"/>
      <c r="P38" s="11"/>
      <c r="Q38" s="13"/>
      <c r="R38" s="14"/>
    </row>
    <row r="39" spans="1:18" ht="15" customHeight="1" x14ac:dyDescent="0.3">
      <c r="A39" s="17" t="s">
        <v>49</v>
      </c>
      <c r="B39" s="17" t="s">
        <v>56</v>
      </c>
      <c r="C39" s="18">
        <v>0.44444444444444442</v>
      </c>
      <c r="D39" s="17" t="s">
        <v>51</v>
      </c>
      <c r="E39" s="17" t="s">
        <v>55</v>
      </c>
      <c r="F39" s="17" t="s">
        <v>89</v>
      </c>
      <c r="G39" s="267"/>
      <c r="H39" s="10"/>
      <c r="I39" s="11"/>
      <c r="J39" s="11"/>
      <c r="K39" s="11"/>
      <c r="L39" s="11"/>
      <c r="M39" s="11"/>
      <c r="N39" s="11"/>
      <c r="O39" s="12"/>
      <c r="P39" s="11"/>
      <c r="Q39" s="13"/>
      <c r="R39" s="14"/>
    </row>
    <row r="40" spans="1:18" ht="15" customHeight="1" x14ac:dyDescent="0.3">
      <c r="A40" s="17" t="s">
        <v>49</v>
      </c>
      <c r="B40" s="17" t="s">
        <v>60</v>
      </c>
      <c r="C40" s="18">
        <v>0.49305555555555558</v>
      </c>
      <c r="D40" s="17" t="s">
        <v>51</v>
      </c>
      <c r="E40" s="17" t="s">
        <v>55</v>
      </c>
      <c r="F40" s="17" t="s">
        <v>89</v>
      </c>
      <c r="G40" s="267"/>
      <c r="H40" s="10"/>
      <c r="I40" s="11"/>
      <c r="J40" s="11"/>
      <c r="K40" s="11"/>
      <c r="L40" s="11"/>
      <c r="M40" s="11"/>
      <c r="N40" s="11"/>
      <c r="O40" s="12"/>
      <c r="P40" s="11"/>
      <c r="Q40" s="13"/>
      <c r="R40" s="14"/>
    </row>
    <row r="41" spans="1:18" ht="15" customHeight="1" x14ac:dyDescent="0.3">
      <c r="A41" s="19" t="s">
        <v>62</v>
      </c>
      <c r="B41" s="19" t="s">
        <v>70</v>
      </c>
      <c r="C41" s="20">
        <v>0.4201388888888889</v>
      </c>
      <c r="D41" s="19" t="s">
        <v>66</v>
      </c>
      <c r="E41" s="19" t="s">
        <v>90</v>
      </c>
      <c r="F41" s="19" t="s">
        <v>72</v>
      </c>
      <c r="G41" s="267"/>
      <c r="H41" s="10"/>
      <c r="I41" s="11"/>
      <c r="J41" s="11"/>
      <c r="K41" s="11"/>
      <c r="L41" s="11"/>
      <c r="M41" s="11"/>
      <c r="N41" s="11"/>
      <c r="O41" s="12"/>
      <c r="P41" s="11"/>
      <c r="Q41" s="13"/>
      <c r="R41" s="14"/>
    </row>
    <row r="42" spans="1:18" ht="15" customHeight="1" x14ac:dyDescent="0.3">
      <c r="A42" s="17" t="s">
        <v>62</v>
      </c>
      <c r="B42" s="17" t="s">
        <v>73</v>
      </c>
      <c r="C42" s="18">
        <v>0.79513888888888884</v>
      </c>
      <c r="D42" s="17" t="s">
        <v>64</v>
      </c>
      <c r="E42" s="17" t="s">
        <v>91</v>
      </c>
      <c r="F42" s="17" t="s">
        <v>92</v>
      </c>
      <c r="G42" s="267"/>
      <c r="H42" s="10"/>
      <c r="I42" s="11"/>
      <c r="J42" s="11"/>
      <c r="K42" s="11"/>
      <c r="L42" s="11"/>
      <c r="M42" s="11"/>
      <c r="N42" s="11"/>
      <c r="O42" s="12"/>
      <c r="P42" s="11"/>
      <c r="Q42" s="13"/>
      <c r="R42" s="14"/>
    </row>
    <row r="43" spans="1:18" ht="15" customHeight="1" x14ac:dyDescent="0.3">
      <c r="A43" s="15" t="s">
        <v>62</v>
      </c>
      <c r="B43" s="15" t="s">
        <v>73</v>
      </c>
      <c r="C43" s="16">
        <v>0.79513888888888884</v>
      </c>
      <c r="D43" s="15" t="s">
        <v>66</v>
      </c>
      <c r="E43" s="15" t="s">
        <v>93</v>
      </c>
      <c r="F43" s="15" t="s">
        <v>94</v>
      </c>
      <c r="G43" s="267"/>
      <c r="H43" s="10"/>
      <c r="I43" s="11"/>
      <c r="J43" s="11"/>
      <c r="K43" s="11"/>
      <c r="L43" s="11"/>
      <c r="M43" s="11"/>
      <c r="N43" s="11"/>
      <c r="O43" s="12"/>
      <c r="P43" s="11"/>
      <c r="Q43" s="13"/>
      <c r="R43" s="14"/>
    </row>
    <row r="44" spans="1:18" ht="15" customHeight="1" x14ac:dyDescent="0.3">
      <c r="A44" s="17" t="s">
        <v>62</v>
      </c>
      <c r="B44" s="17" t="s">
        <v>69</v>
      </c>
      <c r="C44" s="18">
        <v>8.6805555555555566E-2</v>
      </c>
      <c r="D44" s="17" t="s">
        <v>64</v>
      </c>
      <c r="E44" s="17" t="s">
        <v>58</v>
      </c>
      <c r="F44" s="17" t="s">
        <v>92</v>
      </c>
      <c r="G44" s="267"/>
      <c r="H44" s="10"/>
      <c r="I44" s="11"/>
      <c r="J44" s="11"/>
      <c r="K44" s="11"/>
      <c r="L44" s="11"/>
      <c r="M44" s="11"/>
      <c r="N44" s="11"/>
      <c r="O44" s="12"/>
      <c r="P44" s="11"/>
      <c r="Q44" s="13"/>
      <c r="R44" s="14"/>
    </row>
    <row r="45" spans="1:18" ht="15" customHeight="1" x14ac:dyDescent="0.3">
      <c r="A45" s="15" t="s">
        <v>62</v>
      </c>
      <c r="B45" s="15" t="s">
        <v>69</v>
      </c>
      <c r="C45" s="16">
        <v>8.6805555555555566E-2</v>
      </c>
      <c r="D45" s="15" t="s">
        <v>66</v>
      </c>
      <c r="E45" s="15" t="s">
        <v>95</v>
      </c>
      <c r="F45" s="15" t="s">
        <v>94</v>
      </c>
      <c r="G45" s="267"/>
      <c r="H45" s="10"/>
      <c r="I45" s="11"/>
      <c r="J45" s="11"/>
      <c r="K45" s="11"/>
      <c r="L45" s="11"/>
      <c r="M45" s="11"/>
      <c r="N45" s="11"/>
      <c r="O45" s="12"/>
      <c r="P45" s="11"/>
      <c r="Q45" s="13"/>
      <c r="R45" s="14"/>
    </row>
    <row r="46" spans="1:18" ht="15" customHeight="1" x14ac:dyDescent="0.3">
      <c r="A46" s="17" t="s">
        <v>62</v>
      </c>
      <c r="B46" s="17" t="s">
        <v>63</v>
      </c>
      <c r="C46" s="18">
        <v>0.60416666666666663</v>
      </c>
      <c r="D46" s="17" t="s">
        <v>64</v>
      </c>
      <c r="E46" s="17" t="s">
        <v>71</v>
      </c>
      <c r="F46" s="17" t="s">
        <v>75</v>
      </c>
      <c r="G46" s="267"/>
      <c r="H46" s="10"/>
      <c r="I46" s="11"/>
      <c r="J46" s="11"/>
      <c r="K46" s="11"/>
      <c r="L46" s="11"/>
      <c r="M46" s="11"/>
      <c r="N46" s="11"/>
      <c r="O46" s="12"/>
      <c r="P46" s="11"/>
      <c r="Q46" s="13"/>
      <c r="R46" s="14"/>
    </row>
    <row r="47" spans="1:18" ht="15" customHeight="1" thickBot="1" x14ac:dyDescent="0.35">
      <c r="A47" s="39" t="s">
        <v>62</v>
      </c>
      <c r="B47" s="39" t="s">
        <v>63</v>
      </c>
      <c r="C47" s="40">
        <v>0.60416666666666663</v>
      </c>
      <c r="D47" s="39" t="s">
        <v>66</v>
      </c>
      <c r="E47" s="39" t="s">
        <v>96</v>
      </c>
      <c r="F47" s="39" t="s">
        <v>77</v>
      </c>
      <c r="G47" s="268"/>
      <c r="H47" s="41"/>
      <c r="I47" s="42"/>
      <c r="J47" s="42"/>
      <c r="K47" s="42"/>
      <c r="L47" s="42"/>
      <c r="M47" s="42"/>
      <c r="N47" s="42"/>
      <c r="O47" s="43"/>
      <c r="P47" s="42"/>
      <c r="Q47" s="44"/>
      <c r="R47" s="45"/>
    </row>
    <row r="48" spans="1:18" ht="17.399999999999999" customHeight="1" thickBot="1" x14ac:dyDescent="0.35">
      <c r="A48" s="295"/>
      <c r="B48" s="296"/>
      <c r="C48" s="296"/>
      <c r="D48" s="296"/>
      <c r="E48" s="296"/>
      <c r="F48" s="296"/>
      <c r="G48" s="296"/>
      <c r="H48" s="296"/>
      <c r="I48" s="296"/>
      <c r="J48" s="296"/>
      <c r="K48" s="296"/>
      <c r="L48" s="296"/>
      <c r="M48" s="296"/>
      <c r="N48" s="296"/>
      <c r="O48" s="296"/>
      <c r="P48" s="296"/>
      <c r="Q48" s="296"/>
      <c r="R48" s="297"/>
    </row>
    <row r="49" spans="1:18" ht="22.05" customHeight="1" thickTop="1" thickBot="1" x14ac:dyDescent="0.35">
      <c r="A49" s="262" t="s">
        <v>6</v>
      </c>
      <c r="B49" s="263"/>
      <c r="C49" s="263"/>
      <c r="D49" s="263"/>
      <c r="E49" s="263"/>
      <c r="F49" s="264"/>
      <c r="G49" s="31">
        <v>45983</v>
      </c>
      <c r="H49" s="270" t="s">
        <v>7</v>
      </c>
      <c r="I49" s="263"/>
      <c r="J49" s="263"/>
      <c r="K49" s="263"/>
      <c r="L49" s="263"/>
      <c r="M49" s="263"/>
      <c r="N49" s="263"/>
      <c r="O49" s="263"/>
      <c r="P49" s="263"/>
      <c r="Q49" s="263"/>
      <c r="R49" s="264"/>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8" t="s">
        <v>26</v>
      </c>
      <c r="B51" s="8" t="s">
        <v>36</v>
      </c>
      <c r="C51" s="9">
        <v>0.35416666666666669</v>
      </c>
      <c r="D51" s="8" t="s">
        <v>28</v>
      </c>
      <c r="E51" s="8" t="s">
        <v>29</v>
      </c>
      <c r="F51" s="8" t="s">
        <v>38</v>
      </c>
      <c r="G51" s="266"/>
      <c r="H51" s="10"/>
      <c r="I51" s="11"/>
      <c r="J51" s="11"/>
      <c r="K51" s="11"/>
      <c r="L51" s="11"/>
      <c r="M51" s="11"/>
      <c r="N51" s="11"/>
      <c r="O51" s="12"/>
      <c r="P51" s="11"/>
      <c r="Q51" s="13"/>
      <c r="R51" s="14"/>
    </row>
    <row r="52" spans="1:18" ht="15" customHeight="1" x14ac:dyDescent="0.3">
      <c r="A52" s="15" t="s">
        <v>26</v>
      </c>
      <c r="B52" s="15" t="s">
        <v>36</v>
      </c>
      <c r="C52" s="16">
        <v>0.35416666666666669</v>
      </c>
      <c r="D52" s="15" t="s">
        <v>31</v>
      </c>
      <c r="E52" s="15" t="s">
        <v>32</v>
      </c>
      <c r="F52" s="15" t="s">
        <v>39</v>
      </c>
      <c r="G52" s="267"/>
      <c r="H52" s="10"/>
      <c r="I52" s="11"/>
      <c r="J52" s="11"/>
      <c r="K52" s="11"/>
      <c r="L52" s="11"/>
      <c r="M52" s="11"/>
      <c r="N52" s="11"/>
      <c r="O52" s="12"/>
      <c r="P52" s="11"/>
      <c r="Q52" s="13"/>
      <c r="R52" s="14"/>
    </row>
    <row r="53" spans="1:18" ht="15" customHeight="1" x14ac:dyDescent="0.3">
      <c r="A53" s="15" t="s">
        <v>26</v>
      </c>
      <c r="B53" s="15" t="s">
        <v>36</v>
      </c>
      <c r="C53" s="16">
        <v>0.35416666666666669</v>
      </c>
      <c r="D53" s="15" t="s">
        <v>34</v>
      </c>
      <c r="E53" s="15" t="s">
        <v>32</v>
      </c>
      <c r="F53" s="15" t="s">
        <v>40</v>
      </c>
      <c r="G53" s="267"/>
      <c r="H53" s="10"/>
      <c r="I53" s="11"/>
      <c r="J53" s="11"/>
      <c r="K53" s="11"/>
      <c r="L53" s="11"/>
      <c r="M53" s="11"/>
      <c r="N53" s="11"/>
      <c r="O53" s="12"/>
      <c r="P53" s="11"/>
      <c r="Q53" s="13"/>
      <c r="R53" s="14"/>
    </row>
    <row r="54" spans="1:18" ht="15" customHeight="1" x14ac:dyDescent="0.3">
      <c r="A54" s="17" t="s">
        <v>26</v>
      </c>
      <c r="B54" s="17" t="s">
        <v>27</v>
      </c>
      <c r="C54" s="18">
        <v>0.75694444444444453</v>
      </c>
      <c r="D54" s="17" t="s">
        <v>28</v>
      </c>
      <c r="E54" s="17" t="s">
        <v>37</v>
      </c>
      <c r="F54" s="17" t="s">
        <v>38</v>
      </c>
      <c r="G54" s="267"/>
      <c r="H54" s="10"/>
      <c r="I54" s="11"/>
      <c r="J54" s="11"/>
      <c r="K54" s="11"/>
      <c r="L54" s="11"/>
      <c r="M54" s="11"/>
      <c r="N54" s="11"/>
      <c r="O54" s="12"/>
      <c r="P54" s="11"/>
      <c r="Q54" s="13"/>
      <c r="R54" s="14"/>
    </row>
    <row r="55" spans="1:18" ht="15" customHeight="1" x14ac:dyDescent="0.3">
      <c r="A55" s="15" t="s">
        <v>26</v>
      </c>
      <c r="B55" s="15" t="s">
        <v>27</v>
      </c>
      <c r="C55" s="16">
        <v>0.75694444444444453</v>
      </c>
      <c r="D55" s="15" t="s">
        <v>31</v>
      </c>
      <c r="E55" s="15" t="s">
        <v>32</v>
      </c>
      <c r="F55" s="15" t="s">
        <v>39</v>
      </c>
      <c r="G55" s="267"/>
      <c r="H55" s="10"/>
      <c r="I55" s="11"/>
      <c r="J55" s="11"/>
      <c r="K55" s="11"/>
      <c r="L55" s="11"/>
      <c r="M55" s="11"/>
      <c r="N55" s="11"/>
      <c r="O55" s="12"/>
      <c r="P55" s="11"/>
      <c r="Q55" s="13"/>
      <c r="R55" s="14"/>
    </row>
    <row r="56" spans="1:18" ht="15" customHeight="1" x14ac:dyDescent="0.3">
      <c r="A56" s="15" t="s">
        <v>26</v>
      </c>
      <c r="B56" s="15" t="s">
        <v>27</v>
      </c>
      <c r="C56" s="16">
        <v>0.75694444444444453</v>
      </c>
      <c r="D56" s="15" t="s">
        <v>34</v>
      </c>
      <c r="E56" s="15" t="s">
        <v>32</v>
      </c>
      <c r="F56" s="15" t="s">
        <v>40</v>
      </c>
      <c r="G56" s="267"/>
      <c r="H56" s="10"/>
      <c r="I56" s="11"/>
      <c r="J56" s="11"/>
      <c r="K56" s="11"/>
      <c r="L56" s="11"/>
      <c r="M56" s="11"/>
      <c r="N56" s="11"/>
      <c r="O56" s="12"/>
      <c r="P56" s="11"/>
      <c r="Q56" s="13"/>
      <c r="R56" s="14"/>
    </row>
    <row r="57" spans="1:18" ht="15" customHeight="1" x14ac:dyDescent="0.3">
      <c r="A57" s="19" t="s">
        <v>41</v>
      </c>
      <c r="B57" s="19" t="s">
        <v>42</v>
      </c>
      <c r="C57" s="20">
        <v>0.4201388888888889</v>
      </c>
      <c r="D57" s="19" t="s">
        <v>43</v>
      </c>
      <c r="E57" s="19" t="s">
        <v>97</v>
      </c>
      <c r="F57" s="19" t="s">
        <v>85</v>
      </c>
      <c r="G57" s="267"/>
      <c r="H57" s="10"/>
      <c r="I57" s="11"/>
      <c r="J57" s="11"/>
      <c r="K57" s="11"/>
      <c r="L57" s="11"/>
      <c r="M57" s="11"/>
      <c r="N57" s="11"/>
      <c r="O57" s="12"/>
      <c r="P57" s="11"/>
      <c r="Q57" s="13"/>
      <c r="R57" s="14"/>
    </row>
    <row r="58" spans="1:18" ht="15" customHeight="1" x14ac:dyDescent="0.3">
      <c r="A58" s="15" t="s">
        <v>41</v>
      </c>
      <c r="B58" s="15" t="s">
        <v>42</v>
      </c>
      <c r="C58" s="16">
        <v>0.4201388888888889</v>
      </c>
      <c r="D58" s="15" t="s">
        <v>45</v>
      </c>
      <c r="E58" s="15" t="s">
        <v>98</v>
      </c>
      <c r="F58" s="15" t="s">
        <v>87</v>
      </c>
      <c r="G58" s="267"/>
      <c r="H58" s="10"/>
      <c r="I58" s="11"/>
      <c r="J58" s="11"/>
      <c r="K58" s="11"/>
      <c r="L58" s="11"/>
      <c r="M58" s="11"/>
      <c r="N58" s="11"/>
      <c r="O58" s="12"/>
      <c r="P58" s="11"/>
      <c r="Q58" s="13"/>
      <c r="R58" s="14"/>
    </row>
    <row r="59" spans="1:18" ht="15" customHeight="1" x14ac:dyDescent="0.3">
      <c r="A59" s="15" t="s">
        <v>41</v>
      </c>
      <c r="B59" s="15" t="s">
        <v>42</v>
      </c>
      <c r="C59" s="16">
        <v>0.4201388888888889</v>
      </c>
      <c r="D59" s="15" t="s">
        <v>47</v>
      </c>
      <c r="E59" s="15" t="s">
        <v>98</v>
      </c>
      <c r="F59" s="15" t="s">
        <v>48</v>
      </c>
      <c r="G59" s="267"/>
      <c r="H59" s="10"/>
      <c r="I59" s="11"/>
      <c r="J59" s="11"/>
      <c r="K59" s="11"/>
      <c r="L59" s="11"/>
      <c r="M59" s="11"/>
      <c r="N59" s="11"/>
      <c r="O59" s="12"/>
      <c r="P59" s="11"/>
      <c r="Q59" s="13"/>
      <c r="R59" s="14"/>
    </row>
    <row r="60" spans="1:18" ht="15" customHeight="1" x14ac:dyDescent="0.3">
      <c r="A60" s="19" t="s">
        <v>49</v>
      </c>
      <c r="B60" s="19" t="s">
        <v>50</v>
      </c>
      <c r="C60" s="20">
        <v>9.7222222222222224E-2</v>
      </c>
      <c r="D60" s="19" t="s">
        <v>51</v>
      </c>
      <c r="E60" s="19" t="s">
        <v>52</v>
      </c>
      <c r="F60" s="19" t="s">
        <v>99</v>
      </c>
      <c r="G60" s="267"/>
      <c r="H60" s="10"/>
      <c r="I60" s="11"/>
      <c r="J60" s="11"/>
      <c r="K60" s="11"/>
      <c r="L60" s="11"/>
      <c r="M60" s="11"/>
      <c r="N60" s="11"/>
      <c r="O60" s="12"/>
      <c r="P60" s="11"/>
      <c r="Q60" s="13"/>
      <c r="R60" s="14"/>
    </row>
    <row r="61" spans="1:18" ht="15" customHeight="1" x14ac:dyDescent="0.3">
      <c r="A61" s="17" t="s">
        <v>49</v>
      </c>
      <c r="B61" s="17" t="s">
        <v>54</v>
      </c>
      <c r="C61" s="18">
        <v>0.22222222222222221</v>
      </c>
      <c r="D61" s="17" t="s">
        <v>51</v>
      </c>
      <c r="E61" s="17" t="s">
        <v>100</v>
      </c>
      <c r="F61" s="17" t="s">
        <v>59</v>
      </c>
      <c r="G61" s="267"/>
      <c r="H61" s="10"/>
      <c r="I61" s="11"/>
      <c r="J61" s="11"/>
      <c r="K61" s="11"/>
      <c r="L61" s="11"/>
      <c r="M61" s="11"/>
      <c r="N61" s="11"/>
      <c r="O61" s="12"/>
      <c r="P61" s="11"/>
      <c r="Q61" s="13"/>
      <c r="R61" s="14"/>
    </row>
    <row r="62" spans="1:18" ht="15" customHeight="1" x14ac:dyDescent="0.3">
      <c r="A62" s="19" t="s">
        <v>62</v>
      </c>
      <c r="B62" s="19" t="s">
        <v>69</v>
      </c>
      <c r="C62" s="20">
        <v>8.6805555555555566E-2</v>
      </c>
      <c r="D62" s="19" t="s">
        <v>64</v>
      </c>
      <c r="E62" s="19" t="s">
        <v>101</v>
      </c>
      <c r="F62" s="19" t="s">
        <v>102</v>
      </c>
      <c r="G62" s="267"/>
      <c r="H62" s="10"/>
      <c r="I62" s="11"/>
      <c r="J62" s="11"/>
      <c r="K62" s="11"/>
      <c r="L62" s="11"/>
      <c r="M62" s="11"/>
      <c r="N62" s="11"/>
      <c r="O62" s="12"/>
      <c r="P62" s="11"/>
      <c r="Q62" s="13"/>
      <c r="R62" s="14"/>
    </row>
    <row r="63" spans="1:18" ht="15" customHeight="1" x14ac:dyDescent="0.3">
      <c r="A63" s="15" t="s">
        <v>62</v>
      </c>
      <c r="B63" s="15" t="s">
        <v>69</v>
      </c>
      <c r="C63" s="16">
        <v>8.6805555555555566E-2</v>
      </c>
      <c r="D63" s="15" t="s">
        <v>66</v>
      </c>
      <c r="E63" s="15" t="s">
        <v>76</v>
      </c>
      <c r="F63" s="15" t="s">
        <v>103</v>
      </c>
      <c r="G63" s="267"/>
      <c r="H63" s="10"/>
      <c r="I63" s="11"/>
      <c r="J63" s="11"/>
      <c r="K63" s="11"/>
      <c r="L63" s="11"/>
      <c r="M63" s="11"/>
      <c r="N63" s="11"/>
      <c r="O63" s="12"/>
      <c r="P63" s="11"/>
      <c r="Q63" s="13"/>
      <c r="R63" s="14"/>
    </row>
    <row r="64" spans="1:18" ht="15" customHeight="1" x14ac:dyDescent="0.3">
      <c r="A64" s="17" t="s">
        <v>62</v>
      </c>
      <c r="B64" s="17" t="s">
        <v>70</v>
      </c>
      <c r="C64" s="18">
        <v>0.4201388888888889</v>
      </c>
      <c r="D64" s="17" t="s">
        <v>66</v>
      </c>
      <c r="E64" s="17" t="s">
        <v>71</v>
      </c>
      <c r="F64" s="17" t="s">
        <v>72</v>
      </c>
      <c r="G64" s="267"/>
      <c r="H64" s="10"/>
      <c r="I64" s="11"/>
      <c r="J64" s="11"/>
      <c r="K64" s="11"/>
      <c r="L64" s="11"/>
      <c r="M64" s="11"/>
      <c r="N64" s="11"/>
      <c r="O64" s="12"/>
      <c r="P64" s="11"/>
      <c r="Q64" s="13"/>
      <c r="R64" s="14"/>
    </row>
    <row r="65" spans="1:18" ht="15" customHeight="1" x14ac:dyDescent="0.3">
      <c r="A65" s="46" t="s">
        <v>78</v>
      </c>
      <c r="B65" s="46" t="s">
        <v>79</v>
      </c>
      <c r="C65" s="47">
        <v>0.39583333333333331</v>
      </c>
      <c r="D65" s="46" t="s">
        <v>80</v>
      </c>
      <c r="E65" s="48"/>
      <c r="F65" s="46" t="s">
        <v>81</v>
      </c>
      <c r="G65" s="268"/>
      <c r="H65" s="49" t="s">
        <v>79</v>
      </c>
      <c r="I65" s="50">
        <v>1</v>
      </c>
      <c r="J65" s="51">
        <v>179</v>
      </c>
      <c r="K65" s="52">
        <v>45974</v>
      </c>
      <c r="L65" s="51">
        <v>1</v>
      </c>
      <c r="M65" s="51">
        <v>0</v>
      </c>
      <c r="N65" s="51">
        <v>0</v>
      </c>
      <c r="O65" s="53" t="s">
        <v>82</v>
      </c>
      <c r="P65" s="54">
        <v>0.39583333333333331</v>
      </c>
      <c r="Q65" s="51">
        <v>179</v>
      </c>
      <c r="R65" s="55" t="s">
        <v>104</v>
      </c>
    </row>
  </sheetData>
  <mergeCells count="18">
    <mergeCell ref="G51:G65"/>
    <mergeCell ref="H1:L1"/>
    <mergeCell ref="A1:E1"/>
    <mergeCell ref="G2:J2"/>
    <mergeCell ref="K2:R2"/>
    <mergeCell ref="A4:F4"/>
    <mergeCell ref="H49:R49"/>
    <mergeCell ref="H4:R4"/>
    <mergeCell ref="A29:F29"/>
    <mergeCell ref="N1:R1"/>
    <mergeCell ref="A48:R48"/>
    <mergeCell ref="A2:F2"/>
    <mergeCell ref="A49:F49"/>
    <mergeCell ref="A3:R3"/>
    <mergeCell ref="G31:G47"/>
    <mergeCell ref="G6:G27"/>
    <mergeCell ref="A28:R28"/>
    <mergeCell ref="H29:R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8.5546875" style="282" bestFit="1" customWidth="1"/>
    <col min="6" max="6" width="4.21875" style="282" bestFit="1" customWidth="1"/>
    <col min="7" max="7" width="11.5546875"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0" width="3.88671875" style="282" bestFit="1" customWidth="1"/>
    <col min="21" max="21" width="4.5546875" style="282" bestFit="1" customWidth="1"/>
    <col min="22" max="26" width="3.88671875" style="282" bestFit="1" customWidth="1"/>
    <col min="27" max="27" width="4" style="282" bestFit="1" customWidth="1"/>
    <col min="28" max="34" width="3.88671875" style="282" bestFit="1" customWidth="1"/>
    <col min="35" max="35" width="5.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79</v>
      </c>
      <c r="D2" s="286" t="s">
        <v>135</v>
      </c>
      <c r="E2" s="285" t="s">
        <v>1</v>
      </c>
      <c r="F2" s="285" t="s">
        <v>136</v>
      </c>
      <c r="G2" s="287">
        <v>1.0169999999999999</v>
      </c>
      <c r="H2" s="288">
        <v>176</v>
      </c>
      <c r="I2" s="288">
        <v>179</v>
      </c>
      <c r="J2" s="288">
        <v>92</v>
      </c>
      <c r="K2" s="285" t="s">
        <v>137</v>
      </c>
      <c r="L2" s="289">
        <v>45976</v>
      </c>
      <c r="M2" s="288">
        <v>0</v>
      </c>
      <c r="N2" s="288">
        <v>0</v>
      </c>
      <c r="O2" s="288">
        <v>6</v>
      </c>
      <c r="P2" s="285" t="s">
        <v>82</v>
      </c>
      <c r="Q2" s="281"/>
      <c r="R2" s="281"/>
      <c r="S2" s="281"/>
      <c r="T2" s="281"/>
      <c r="U2" s="288" t="s">
        <v>138</v>
      </c>
      <c r="V2" s="281"/>
      <c r="W2" s="281"/>
      <c r="X2" s="288" t="s">
        <v>139</v>
      </c>
      <c r="Y2" s="288" t="s">
        <v>140</v>
      </c>
      <c r="Z2" s="288" t="s">
        <v>141</v>
      </c>
      <c r="AA2" s="288" t="s">
        <v>142</v>
      </c>
      <c r="AB2" s="288" t="s">
        <v>143</v>
      </c>
      <c r="AC2" s="288" t="s">
        <v>144</v>
      </c>
      <c r="AD2" s="288" t="s">
        <v>145</v>
      </c>
      <c r="AE2" s="288" t="s">
        <v>146</v>
      </c>
      <c r="AF2" s="288" t="s">
        <v>147</v>
      </c>
      <c r="AG2" s="281"/>
      <c r="AH2" s="281"/>
      <c r="AI2" s="288" t="s">
        <v>148</v>
      </c>
      <c r="AJ2" s="288" t="s">
        <v>149</v>
      </c>
    </row>
    <row r="3" spans="1:36" x14ac:dyDescent="0.3">
      <c r="A3" s="283" t="s">
        <v>150</v>
      </c>
      <c r="B3" s="284">
        <v>45983</v>
      </c>
      <c r="C3" s="285" t="s">
        <v>79</v>
      </c>
      <c r="D3" s="286" t="s">
        <v>151</v>
      </c>
      <c r="E3" s="285" t="s">
        <v>1</v>
      </c>
      <c r="F3" s="285" t="s">
        <v>136</v>
      </c>
      <c r="G3" s="287">
        <v>1</v>
      </c>
      <c r="H3" s="288">
        <v>179</v>
      </c>
      <c r="I3" s="288">
        <v>179</v>
      </c>
      <c r="J3" s="288">
        <v>130</v>
      </c>
      <c r="K3" s="285" t="s">
        <v>137</v>
      </c>
      <c r="L3" s="289">
        <v>45974</v>
      </c>
      <c r="M3" s="288">
        <v>0</v>
      </c>
      <c r="N3" s="288">
        <v>0</v>
      </c>
      <c r="O3" s="288">
        <v>1</v>
      </c>
      <c r="P3" s="285" t="s">
        <v>82</v>
      </c>
      <c r="Q3" s="281"/>
      <c r="R3" s="281"/>
      <c r="S3" s="281"/>
      <c r="T3" s="281"/>
      <c r="U3" s="288" t="s">
        <v>152</v>
      </c>
      <c r="V3" s="281"/>
      <c r="W3" s="281"/>
      <c r="X3" s="281"/>
      <c r="Y3" s="281"/>
      <c r="Z3" s="281"/>
      <c r="AA3" s="281"/>
      <c r="AB3" s="288" t="s">
        <v>153</v>
      </c>
      <c r="AC3" s="288" t="s">
        <v>154</v>
      </c>
      <c r="AD3" s="288" t="s">
        <v>155</v>
      </c>
      <c r="AE3" s="288" t="s">
        <v>156</v>
      </c>
      <c r="AF3" s="288" t="s">
        <v>157</v>
      </c>
      <c r="AG3" s="281"/>
      <c r="AH3" s="281"/>
      <c r="AI3" s="288" t="s">
        <v>158</v>
      </c>
      <c r="AJ3" s="288" t="s">
        <v>159</v>
      </c>
    </row>
    <row r="4" spans="1:36" ht="21" x14ac:dyDescent="0.3">
      <c r="A4" s="290" t="s">
        <v>976</v>
      </c>
      <c r="B4" s="291"/>
      <c r="C4" s="290">
        <f>SUBTOTAL(103,MED_CAI_LF_LEGACY[Flt])</f>
        <v>2</v>
      </c>
      <c r="D4" s="290"/>
      <c r="E4" s="290">
        <f>SUBTOTAL(103,MED_CAI_LF_LEGACY[Brd-Off])</f>
        <v>2</v>
      </c>
      <c r="F4" s="290"/>
      <c r="G4" s="292">
        <f>SUBTOTAL(101,MED_CAI_LF_LEGACY[LF%])</f>
        <v>1.0085</v>
      </c>
      <c r="H4" s="293">
        <f>SUBTOTAL(109,MED_CAI_LF_LEGACY[CAP])</f>
        <v>355</v>
      </c>
      <c r="I4" s="293">
        <f>SUBTOTAL(109,MED_CAI_LF_LEGACY[BKG(Y)])</f>
        <v>358</v>
      </c>
      <c r="J4" s="293">
        <f>SUBTOTAL(109,MED_CAI_LF_LEGACY[GRP(Y)])</f>
        <v>222</v>
      </c>
      <c r="K4" s="290"/>
      <c r="L4" s="291"/>
      <c r="M4" s="293">
        <f>SUBTOTAL(109,MED_CAI_LF_LEGACY[TO-DAY])</f>
        <v>0</v>
      </c>
      <c r="N4" s="293">
        <f>SUBTOTAL(109,MED_CAI_LF_LEGACY[Y-DAY])</f>
        <v>0</v>
      </c>
      <c r="O4" s="293">
        <f>SUBTOTAL(109,MED_CAI_LF_LEGACY[WEEKLY])</f>
        <v>7</v>
      </c>
      <c r="P4" s="294"/>
      <c r="Q4" s="293">
        <f>SUBTOTAL(109,MED_CAI_LF_LEGACY[Y])</f>
        <v>0</v>
      </c>
      <c r="R4" s="293">
        <f>SUBTOTAL(109,MED_CAI_LF_LEGACY[B])</f>
        <v>0</v>
      </c>
      <c r="S4" s="293">
        <f>SUBTOTAL(109,MED_CAI_LF_LEGACY[M])</f>
        <v>0</v>
      </c>
      <c r="T4" s="293">
        <f>SUBTOTAL(109,MED_CAI_LF_LEGACY[H])</f>
        <v>0</v>
      </c>
      <c r="U4" s="293">
        <f>SUBTOTAL(109,MED_CAI_LF_LEGACY[Q])</f>
        <v>0</v>
      </c>
      <c r="V4" s="293">
        <f>SUBTOTAL(109,MED_CAI_LF_LEGACY[K])</f>
        <v>0</v>
      </c>
      <c r="W4" s="293">
        <f>SUBTOTAL(109,MED_CAI_LF_LEGACY[V])</f>
        <v>0</v>
      </c>
      <c r="X4" s="293">
        <f>SUBTOTAL(109,MED_CAI_LF_LEGACY[L])</f>
        <v>0</v>
      </c>
      <c r="Y4" s="293">
        <f>SUBTOTAL(109,MED_CAI_LF_LEGACY[G])</f>
        <v>0</v>
      </c>
      <c r="Z4" s="293">
        <f>SUBTOTAL(109,MED_CAI_LF_LEGACY[S])</f>
        <v>0</v>
      </c>
      <c r="AA4" s="293">
        <f>SUBTOTAL(109,MED_CAI_LF_LEGACY[W])</f>
        <v>0</v>
      </c>
      <c r="AB4" s="293">
        <f>SUBTOTAL(109,MED_CAI_LF_LEGACY[T])</f>
        <v>0</v>
      </c>
      <c r="AC4" s="293">
        <f>SUBTOTAL(109,MED_CAI_LF_LEGACY[X])</f>
        <v>0</v>
      </c>
      <c r="AD4" s="293">
        <f>SUBTOTAL(109,MED_CAI_LF_LEGACY[U])</f>
        <v>0</v>
      </c>
      <c r="AE4" s="293">
        <f>SUBTOTAL(109,MED_CAI_LF_LEGACY[O])</f>
        <v>0</v>
      </c>
      <c r="AF4" s="293">
        <f>SUBTOTAL(109,MED_CAI_LF_LEGACY[I])</f>
        <v>0</v>
      </c>
      <c r="AG4" s="293">
        <f>SUBTOTAL(109,MED_CAI_LF_LEGACY[E])</f>
        <v>0</v>
      </c>
      <c r="AH4" s="293">
        <f>SUBTOTAL(109,MED_CAI_LF_LEGACY[A])</f>
        <v>0</v>
      </c>
      <c r="AI4" s="293">
        <f>SUBTOTAL(109,MED_CAI_LF_LEGACY[P])</f>
        <v>0</v>
      </c>
      <c r="AJ4" s="293">
        <f>SUBTOTAL(103,MED_CAI_LF_LEGACY[N])</f>
        <v>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441406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26</v>
      </c>
      <c r="C2" s="62" t="s">
        <v>27</v>
      </c>
      <c r="D2" s="61" t="s">
        <v>1</v>
      </c>
      <c r="E2" s="61" t="s">
        <v>163</v>
      </c>
      <c r="F2" s="61" t="s">
        <v>28</v>
      </c>
      <c r="G2" s="63">
        <v>9</v>
      </c>
      <c r="H2" s="64">
        <v>559</v>
      </c>
    </row>
    <row r="3" spans="1:8" ht="19.8" customHeight="1" x14ac:dyDescent="0.3">
      <c r="A3" s="60" t="s">
        <v>162</v>
      </c>
      <c r="B3" s="61" t="s">
        <v>41</v>
      </c>
      <c r="C3" s="62" t="s">
        <v>42</v>
      </c>
      <c r="D3" s="61" t="s">
        <v>1</v>
      </c>
      <c r="E3" s="61" t="s">
        <v>164</v>
      </c>
      <c r="F3" s="61" t="s">
        <v>43</v>
      </c>
      <c r="G3" s="63">
        <v>12</v>
      </c>
      <c r="H3" s="64">
        <v>559</v>
      </c>
    </row>
    <row r="4" spans="1:8" ht="19.8" customHeight="1" x14ac:dyDescent="0.3">
      <c r="A4" s="60" t="s">
        <v>162</v>
      </c>
      <c r="B4" s="61" t="s">
        <v>26</v>
      </c>
      <c r="C4" s="62" t="s">
        <v>36</v>
      </c>
      <c r="D4" s="61" t="s">
        <v>1</v>
      </c>
      <c r="E4" s="61" t="s">
        <v>165</v>
      </c>
      <c r="F4" s="61" t="s">
        <v>28</v>
      </c>
      <c r="G4" s="63">
        <v>9</v>
      </c>
      <c r="H4" s="64">
        <v>609</v>
      </c>
    </row>
    <row r="5" spans="1:8" ht="19.8" customHeight="1" x14ac:dyDescent="0.3">
      <c r="A5" s="60" t="s">
        <v>162</v>
      </c>
      <c r="B5" s="61" t="s">
        <v>26</v>
      </c>
      <c r="C5" s="62" t="s">
        <v>27</v>
      </c>
      <c r="D5" s="61" t="s">
        <v>1</v>
      </c>
      <c r="E5" s="61" t="s">
        <v>163</v>
      </c>
      <c r="F5" s="61" t="s">
        <v>31</v>
      </c>
      <c r="G5" s="63">
        <v>9</v>
      </c>
      <c r="H5" s="64">
        <v>659</v>
      </c>
    </row>
    <row r="6" spans="1:8" ht="19.8" customHeight="1" x14ac:dyDescent="0.3">
      <c r="A6" s="60" t="s">
        <v>162</v>
      </c>
      <c r="B6" s="61" t="s">
        <v>26</v>
      </c>
      <c r="C6" s="62" t="s">
        <v>36</v>
      </c>
      <c r="D6" s="61" t="s">
        <v>1</v>
      </c>
      <c r="E6" s="61" t="s">
        <v>165</v>
      </c>
      <c r="F6" s="61" t="s">
        <v>31</v>
      </c>
      <c r="G6" s="63">
        <v>9</v>
      </c>
      <c r="H6" s="64">
        <v>709</v>
      </c>
    </row>
    <row r="7" spans="1:8" ht="19.8" customHeight="1" x14ac:dyDescent="0.3">
      <c r="A7" s="60" t="s">
        <v>162</v>
      </c>
      <c r="B7" s="61" t="s">
        <v>41</v>
      </c>
      <c r="C7" s="62" t="s">
        <v>42</v>
      </c>
      <c r="D7" s="61" t="s">
        <v>1</v>
      </c>
      <c r="E7" s="61" t="s">
        <v>164</v>
      </c>
      <c r="F7" s="61" t="s">
        <v>45</v>
      </c>
      <c r="G7" s="63">
        <v>12</v>
      </c>
      <c r="H7" s="64">
        <v>709</v>
      </c>
    </row>
    <row r="8" spans="1:8" ht="19.8" customHeight="1" x14ac:dyDescent="0.3">
      <c r="A8" s="60" t="s">
        <v>162</v>
      </c>
      <c r="B8" s="61" t="s">
        <v>26</v>
      </c>
      <c r="C8" s="62" t="s">
        <v>27</v>
      </c>
      <c r="D8" s="61" t="s">
        <v>1</v>
      </c>
      <c r="E8" s="61" t="s">
        <v>163</v>
      </c>
      <c r="F8" s="61" t="s">
        <v>34</v>
      </c>
      <c r="G8" s="63">
        <v>9</v>
      </c>
      <c r="H8" s="64">
        <v>749</v>
      </c>
    </row>
    <row r="9" spans="1:8" ht="19.8" customHeight="1" x14ac:dyDescent="0.3">
      <c r="A9" s="60" t="s">
        <v>162</v>
      </c>
      <c r="B9" s="61" t="s">
        <v>26</v>
      </c>
      <c r="C9" s="62" t="s">
        <v>36</v>
      </c>
      <c r="D9" s="61" t="s">
        <v>1</v>
      </c>
      <c r="E9" s="61" t="s">
        <v>165</v>
      </c>
      <c r="F9" s="61" t="s">
        <v>34</v>
      </c>
      <c r="G9" s="63">
        <v>9</v>
      </c>
      <c r="H9" s="64">
        <v>799</v>
      </c>
    </row>
    <row r="10" spans="1:8" ht="19.8" customHeight="1" x14ac:dyDescent="0.3">
      <c r="A10" s="60" t="s">
        <v>162</v>
      </c>
      <c r="B10" s="61" t="s">
        <v>49</v>
      </c>
      <c r="C10" s="62" t="s">
        <v>50</v>
      </c>
      <c r="D10" s="61" t="s">
        <v>1</v>
      </c>
      <c r="E10" s="61" t="s">
        <v>166</v>
      </c>
      <c r="F10" s="61" t="s">
        <v>51</v>
      </c>
      <c r="G10" s="63">
        <v>9</v>
      </c>
      <c r="H10" s="64">
        <v>902</v>
      </c>
    </row>
    <row r="11" spans="1:8" ht="19.8" customHeight="1" x14ac:dyDescent="0.3">
      <c r="A11" s="60" t="s">
        <v>162</v>
      </c>
      <c r="B11" s="61" t="s">
        <v>49</v>
      </c>
      <c r="C11" s="62" t="s">
        <v>54</v>
      </c>
      <c r="D11" s="61" t="s">
        <v>1</v>
      </c>
      <c r="E11" s="61" t="s">
        <v>167</v>
      </c>
      <c r="F11" s="61" t="s">
        <v>51</v>
      </c>
      <c r="G11" s="63">
        <v>9</v>
      </c>
      <c r="H11" s="64">
        <v>902</v>
      </c>
    </row>
    <row r="12" spans="1:8" ht="19.8" customHeight="1" x14ac:dyDescent="0.3">
      <c r="A12" s="60" t="s">
        <v>162</v>
      </c>
      <c r="B12" s="61" t="s">
        <v>49</v>
      </c>
      <c r="C12" s="62" t="s">
        <v>56</v>
      </c>
      <c r="D12" s="61" t="s">
        <v>1</v>
      </c>
      <c r="E12" s="61" t="s">
        <v>168</v>
      </c>
      <c r="F12" s="61" t="s">
        <v>51</v>
      </c>
      <c r="G12" s="63">
        <v>9</v>
      </c>
      <c r="H12" s="64">
        <v>902</v>
      </c>
    </row>
    <row r="13" spans="1:8" ht="19.8" customHeight="1" x14ac:dyDescent="0.3">
      <c r="A13" s="60" t="s">
        <v>162</v>
      </c>
      <c r="B13" s="61" t="s">
        <v>41</v>
      </c>
      <c r="C13" s="62" t="s">
        <v>42</v>
      </c>
      <c r="D13" s="61" t="s">
        <v>1</v>
      </c>
      <c r="E13" s="61" t="s">
        <v>164</v>
      </c>
      <c r="F13" s="61" t="s">
        <v>47</v>
      </c>
      <c r="G13" s="63">
        <v>12</v>
      </c>
      <c r="H13" s="65" t="s">
        <v>48</v>
      </c>
    </row>
    <row r="14" spans="1:8" ht="19.8" customHeight="1" x14ac:dyDescent="0.3">
      <c r="A14" s="60" t="s">
        <v>162</v>
      </c>
      <c r="B14" s="61" t="s">
        <v>49</v>
      </c>
      <c r="C14" s="62" t="s">
        <v>57</v>
      </c>
      <c r="D14" s="61" t="s">
        <v>1</v>
      </c>
      <c r="E14" s="61" t="s">
        <v>169</v>
      </c>
      <c r="F14" s="61" t="s">
        <v>51</v>
      </c>
      <c r="G14" s="63">
        <v>6</v>
      </c>
      <c r="H14" s="65" t="s">
        <v>59</v>
      </c>
    </row>
    <row r="15" spans="1:8" ht="19.8" customHeight="1" x14ac:dyDescent="0.3">
      <c r="A15" s="60" t="s">
        <v>162</v>
      </c>
      <c r="B15" s="61" t="s">
        <v>62</v>
      </c>
      <c r="C15" s="62" t="s">
        <v>63</v>
      </c>
      <c r="D15" s="61" t="s">
        <v>1</v>
      </c>
      <c r="E15" s="61" t="s">
        <v>170</v>
      </c>
      <c r="F15" s="61" t="s">
        <v>64</v>
      </c>
      <c r="G15" s="63">
        <v>9</v>
      </c>
      <c r="H15" s="65" t="s">
        <v>65</v>
      </c>
    </row>
    <row r="16" spans="1:8" ht="19.8" customHeight="1" x14ac:dyDescent="0.3">
      <c r="A16" s="60" t="s">
        <v>162</v>
      </c>
      <c r="B16" s="61" t="s">
        <v>62</v>
      </c>
      <c r="C16" s="62" t="s">
        <v>69</v>
      </c>
      <c r="D16" s="61" t="s">
        <v>1</v>
      </c>
      <c r="E16" s="61" t="s">
        <v>171</v>
      </c>
      <c r="F16" s="61" t="s">
        <v>64</v>
      </c>
      <c r="G16" s="63">
        <v>9</v>
      </c>
      <c r="H16" s="65" t="s">
        <v>65</v>
      </c>
    </row>
    <row r="17" spans="1:8" ht="19.8" customHeight="1" x14ac:dyDescent="0.3">
      <c r="A17" s="60" t="s">
        <v>162</v>
      </c>
      <c r="B17" s="61" t="s">
        <v>62</v>
      </c>
      <c r="C17" s="62" t="s">
        <v>70</v>
      </c>
      <c r="D17" s="61" t="s">
        <v>1</v>
      </c>
      <c r="E17" s="61" t="s">
        <v>164</v>
      </c>
      <c r="F17" s="61" t="s">
        <v>66</v>
      </c>
      <c r="G17" s="63">
        <v>4</v>
      </c>
      <c r="H17" s="65" t="s">
        <v>72</v>
      </c>
    </row>
    <row r="18" spans="1:8" ht="19.8" customHeight="1" x14ac:dyDescent="0.3">
      <c r="A18" s="60" t="s">
        <v>162</v>
      </c>
      <c r="B18" s="61" t="s">
        <v>62</v>
      </c>
      <c r="C18" s="62" t="s">
        <v>63</v>
      </c>
      <c r="D18" s="61" t="s">
        <v>1</v>
      </c>
      <c r="E18" s="61" t="s">
        <v>170</v>
      </c>
      <c r="F18" s="61" t="s">
        <v>66</v>
      </c>
      <c r="G18" s="63">
        <v>9</v>
      </c>
      <c r="H18" s="65" t="s">
        <v>68</v>
      </c>
    </row>
    <row r="19" spans="1:8" ht="19.8" customHeight="1" x14ac:dyDescent="0.3">
      <c r="A19" s="60" t="s">
        <v>162</v>
      </c>
      <c r="B19" s="61" t="s">
        <v>62</v>
      </c>
      <c r="C19" s="62" t="s">
        <v>69</v>
      </c>
      <c r="D19" s="61" t="s">
        <v>1</v>
      </c>
      <c r="E19" s="61" t="s">
        <v>171</v>
      </c>
      <c r="F19" s="61" t="s">
        <v>66</v>
      </c>
      <c r="G19" s="63">
        <v>9</v>
      </c>
      <c r="H19" s="65" t="s">
        <v>68</v>
      </c>
    </row>
    <row r="20" spans="1:8" ht="19.8" customHeight="1" x14ac:dyDescent="0.3">
      <c r="A20" s="60" t="s">
        <v>162</v>
      </c>
      <c r="B20" s="61" t="s">
        <v>49</v>
      </c>
      <c r="C20" s="62" t="s">
        <v>60</v>
      </c>
      <c r="D20" s="61" t="s">
        <v>1</v>
      </c>
      <c r="E20" s="61" t="s">
        <v>172</v>
      </c>
      <c r="F20" s="61" t="s">
        <v>51</v>
      </c>
      <c r="G20" s="63">
        <v>9</v>
      </c>
      <c r="H20" s="65" t="s">
        <v>61</v>
      </c>
    </row>
    <row r="21" spans="1:8" ht="19.8" customHeight="1" x14ac:dyDescent="0.3">
      <c r="A21" s="60" t="s">
        <v>162</v>
      </c>
      <c r="B21" s="61" t="s">
        <v>62</v>
      </c>
      <c r="C21" s="62" t="s">
        <v>73</v>
      </c>
      <c r="D21" s="61" t="s">
        <v>1</v>
      </c>
      <c r="E21" s="61" t="s">
        <v>173</v>
      </c>
      <c r="F21" s="61" t="s">
        <v>64</v>
      </c>
      <c r="G21" s="63">
        <v>1</v>
      </c>
      <c r="H21" s="65" t="s">
        <v>75</v>
      </c>
    </row>
    <row r="22" spans="1:8" ht="19.8" customHeight="1" x14ac:dyDescent="0.3">
      <c r="A22" s="60" t="s">
        <v>162</v>
      </c>
      <c r="B22" s="61" t="s">
        <v>62</v>
      </c>
      <c r="C22" s="62" t="s">
        <v>73</v>
      </c>
      <c r="D22" s="61" t="s">
        <v>1</v>
      </c>
      <c r="E22" s="61" t="s">
        <v>173</v>
      </c>
      <c r="F22" s="61" t="s">
        <v>66</v>
      </c>
      <c r="G22" s="63">
        <v>1</v>
      </c>
      <c r="H22" s="65" t="s">
        <v>77</v>
      </c>
    </row>
    <row r="23" spans="1:8" ht="19.8" customHeight="1" x14ac:dyDescent="0.3">
      <c r="A23" s="66" t="s">
        <v>162</v>
      </c>
      <c r="B23" s="67" t="s">
        <v>78</v>
      </c>
      <c r="C23" s="68" t="s">
        <v>79</v>
      </c>
      <c r="D23" s="67" t="s">
        <v>1</v>
      </c>
      <c r="E23" s="67" t="s">
        <v>135</v>
      </c>
      <c r="F23" s="67" t="s">
        <v>80</v>
      </c>
      <c r="G23" s="67"/>
      <c r="H23" s="69" t="s">
        <v>81</v>
      </c>
    </row>
    <row r="24" spans="1:8" ht="19.8" customHeight="1" x14ac:dyDescent="0.3">
      <c r="A24" s="70">
        <v>45982</v>
      </c>
      <c r="B24" s="61" t="s">
        <v>26</v>
      </c>
      <c r="C24" s="62" t="s">
        <v>27</v>
      </c>
      <c r="D24" s="61" t="s">
        <v>1</v>
      </c>
      <c r="E24" s="71">
        <v>1.756944444444444</v>
      </c>
      <c r="F24" s="61" t="s">
        <v>28</v>
      </c>
      <c r="G24" s="63">
        <v>9</v>
      </c>
      <c r="H24" s="64">
        <v>609</v>
      </c>
    </row>
    <row r="25" spans="1:8" ht="19.8" customHeight="1" x14ac:dyDescent="0.3">
      <c r="A25" s="70">
        <v>45982</v>
      </c>
      <c r="B25" s="61" t="s">
        <v>41</v>
      </c>
      <c r="C25" s="62" t="s">
        <v>42</v>
      </c>
      <c r="D25" s="61" t="s">
        <v>1</v>
      </c>
      <c r="E25" s="71">
        <v>1.4201388888888891</v>
      </c>
      <c r="F25" s="61" t="s">
        <v>43</v>
      </c>
      <c r="G25" s="63">
        <v>19</v>
      </c>
      <c r="H25" s="64">
        <v>619</v>
      </c>
    </row>
    <row r="26" spans="1:8" ht="19.8" customHeight="1" x14ac:dyDescent="0.3">
      <c r="A26" s="70">
        <v>45982</v>
      </c>
      <c r="B26" s="61" t="s">
        <v>26</v>
      </c>
      <c r="C26" s="62" t="s">
        <v>27</v>
      </c>
      <c r="D26" s="61" t="s">
        <v>1</v>
      </c>
      <c r="E26" s="71">
        <v>1.756944444444444</v>
      </c>
      <c r="F26" s="61" t="s">
        <v>31</v>
      </c>
      <c r="G26" s="63">
        <v>9</v>
      </c>
      <c r="H26" s="64">
        <v>709</v>
      </c>
    </row>
    <row r="27" spans="1:8" ht="19.8" customHeight="1" x14ac:dyDescent="0.3">
      <c r="A27" s="70">
        <v>45982</v>
      </c>
      <c r="B27" s="61" t="s">
        <v>41</v>
      </c>
      <c r="C27" s="62" t="s">
        <v>42</v>
      </c>
      <c r="D27" s="61" t="s">
        <v>1</v>
      </c>
      <c r="E27" s="71">
        <v>1.4201388888888891</v>
      </c>
      <c r="F27" s="61" t="s">
        <v>45</v>
      </c>
      <c r="G27" s="63">
        <v>19</v>
      </c>
      <c r="H27" s="64">
        <v>769</v>
      </c>
    </row>
    <row r="28" spans="1:8" ht="19.8" customHeight="1" x14ac:dyDescent="0.3">
      <c r="A28" s="70">
        <v>45982</v>
      </c>
      <c r="B28" s="61" t="s">
        <v>26</v>
      </c>
      <c r="C28" s="62" t="s">
        <v>27</v>
      </c>
      <c r="D28" s="61" t="s">
        <v>1</v>
      </c>
      <c r="E28" s="71">
        <v>1.756944444444444</v>
      </c>
      <c r="F28" s="61" t="s">
        <v>34</v>
      </c>
      <c r="G28" s="63">
        <v>9</v>
      </c>
      <c r="H28" s="64">
        <v>799</v>
      </c>
    </row>
    <row r="29" spans="1:8" ht="19.8" customHeight="1" x14ac:dyDescent="0.3">
      <c r="A29" s="70">
        <v>45982</v>
      </c>
      <c r="B29" s="61" t="s">
        <v>49</v>
      </c>
      <c r="C29" s="62" t="s">
        <v>50</v>
      </c>
      <c r="D29" s="61" t="s">
        <v>1</v>
      </c>
      <c r="E29" s="71">
        <v>1.0972222222222221</v>
      </c>
      <c r="F29" s="61" t="s">
        <v>51</v>
      </c>
      <c r="G29" s="63">
        <v>9</v>
      </c>
      <c r="H29" s="65" t="s">
        <v>89</v>
      </c>
    </row>
    <row r="30" spans="1:8" ht="19.8" customHeight="1" x14ac:dyDescent="0.3">
      <c r="A30" s="70">
        <v>45982</v>
      </c>
      <c r="B30" s="61" t="s">
        <v>49</v>
      </c>
      <c r="C30" s="62" t="s">
        <v>54</v>
      </c>
      <c r="D30" s="61" t="s">
        <v>1</v>
      </c>
      <c r="E30" s="71">
        <v>1.2222222222222221</v>
      </c>
      <c r="F30" s="61" t="s">
        <v>51</v>
      </c>
      <c r="G30" s="63">
        <v>9</v>
      </c>
      <c r="H30" s="65" t="s">
        <v>89</v>
      </c>
    </row>
    <row r="31" spans="1:8" ht="19.8" customHeight="1" x14ac:dyDescent="0.3">
      <c r="A31" s="70">
        <v>45982</v>
      </c>
      <c r="B31" s="61" t="s">
        <v>49</v>
      </c>
      <c r="C31" s="62" t="s">
        <v>56</v>
      </c>
      <c r="D31" s="61" t="s">
        <v>1</v>
      </c>
      <c r="E31" s="71">
        <v>1.444444444444444</v>
      </c>
      <c r="F31" s="61" t="s">
        <v>51</v>
      </c>
      <c r="G31" s="63">
        <v>9</v>
      </c>
      <c r="H31" s="65" t="s">
        <v>89</v>
      </c>
    </row>
    <row r="32" spans="1:8" ht="19.8" customHeight="1" x14ac:dyDescent="0.3">
      <c r="A32" s="70">
        <v>45982</v>
      </c>
      <c r="B32" s="61" t="s">
        <v>49</v>
      </c>
      <c r="C32" s="62" t="s">
        <v>60</v>
      </c>
      <c r="D32" s="61" t="s">
        <v>1</v>
      </c>
      <c r="E32" s="71">
        <v>1.493055555555556</v>
      </c>
      <c r="F32" s="61" t="s">
        <v>51</v>
      </c>
      <c r="G32" s="63">
        <v>9</v>
      </c>
      <c r="H32" s="65" t="s">
        <v>89</v>
      </c>
    </row>
    <row r="33" spans="1:8" ht="19.8" customHeight="1" x14ac:dyDescent="0.3">
      <c r="A33" s="70">
        <v>45982</v>
      </c>
      <c r="B33" s="61" t="s">
        <v>41</v>
      </c>
      <c r="C33" s="62" t="s">
        <v>42</v>
      </c>
      <c r="D33" s="61" t="s">
        <v>1</v>
      </c>
      <c r="E33" s="71">
        <v>1.4201388888888891</v>
      </c>
      <c r="F33" s="61" t="s">
        <v>47</v>
      </c>
      <c r="G33" s="63">
        <v>19</v>
      </c>
      <c r="H33" s="65" t="s">
        <v>88</v>
      </c>
    </row>
    <row r="34" spans="1:8" ht="19.8" customHeight="1" x14ac:dyDescent="0.3">
      <c r="A34" s="70">
        <v>45982</v>
      </c>
      <c r="B34" s="61" t="s">
        <v>62</v>
      </c>
      <c r="C34" s="62" t="s">
        <v>70</v>
      </c>
      <c r="D34" s="61" t="s">
        <v>1</v>
      </c>
      <c r="E34" s="71">
        <v>1.4201388888888891</v>
      </c>
      <c r="F34" s="61" t="s">
        <v>66</v>
      </c>
      <c r="G34" s="63">
        <v>4</v>
      </c>
      <c r="H34" s="65" t="s">
        <v>72</v>
      </c>
    </row>
    <row r="35" spans="1:8" ht="19.8" customHeight="1" x14ac:dyDescent="0.3">
      <c r="A35" s="70">
        <v>45982</v>
      </c>
      <c r="B35" s="61" t="s">
        <v>62</v>
      </c>
      <c r="C35" s="62" t="s">
        <v>73</v>
      </c>
      <c r="D35" s="61" t="s">
        <v>1</v>
      </c>
      <c r="E35" s="71">
        <v>1.7951388888888891</v>
      </c>
      <c r="F35" s="61" t="s">
        <v>64</v>
      </c>
      <c r="G35" s="63">
        <v>7</v>
      </c>
      <c r="H35" s="65" t="s">
        <v>92</v>
      </c>
    </row>
    <row r="36" spans="1:8" ht="19.8" customHeight="1" x14ac:dyDescent="0.3">
      <c r="A36" s="70">
        <v>45982</v>
      </c>
      <c r="B36" s="61" t="s">
        <v>62</v>
      </c>
      <c r="C36" s="62" t="s">
        <v>69</v>
      </c>
      <c r="D36" s="61" t="s">
        <v>1</v>
      </c>
      <c r="E36" s="71">
        <v>1.086805555555556</v>
      </c>
      <c r="F36" s="61" t="s">
        <v>64</v>
      </c>
      <c r="G36" s="63">
        <v>6</v>
      </c>
      <c r="H36" s="65" t="s">
        <v>92</v>
      </c>
    </row>
    <row r="37" spans="1:8" ht="19.8" customHeight="1" x14ac:dyDescent="0.3">
      <c r="A37" s="70">
        <v>45982</v>
      </c>
      <c r="B37" s="61" t="s">
        <v>62</v>
      </c>
      <c r="C37" s="62" t="s">
        <v>73</v>
      </c>
      <c r="D37" s="61" t="s">
        <v>1</v>
      </c>
      <c r="E37" s="71">
        <v>1.7951388888888891</v>
      </c>
      <c r="F37" s="61" t="s">
        <v>66</v>
      </c>
      <c r="G37" s="63">
        <v>7</v>
      </c>
      <c r="H37" s="65" t="s">
        <v>94</v>
      </c>
    </row>
    <row r="38" spans="1:8" ht="19.8" customHeight="1" x14ac:dyDescent="0.3">
      <c r="A38" s="70">
        <v>45982</v>
      </c>
      <c r="B38" s="61" t="s">
        <v>62</v>
      </c>
      <c r="C38" s="62" t="s">
        <v>69</v>
      </c>
      <c r="D38" s="61" t="s">
        <v>1</v>
      </c>
      <c r="E38" s="71">
        <v>1.086805555555556</v>
      </c>
      <c r="F38" s="61" t="s">
        <v>66</v>
      </c>
      <c r="G38" s="63">
        <v>6</v>
      </c>
      <c r="H38" s="65" t="s">
        <v>94</v>
      </c>
    </row>
    <row r="39" spans="1:8" ht="19.8" customHeight="1" x14ac:dyDescent="0.3">
      <c r="A39" s="70">
        <v>45982</v>
      </c>
      <c r="B39" s="61" t="s">
        <v>62</v>
      </c>
      <c r="C39" s="62" t="s">
        <v>63</v>
      </c>
      <c r="D39" s="61" t="s">
        <v>1</v>
      </c>
      <c r="E39" s="71">
        <v>1.604166666666667</v>
      </c>
      <c r="F39" s="61" t="s">
        <v>64</v>
      </c>
      <c r="G39" s="63">
        <v>4</v>
      </c>
      <c r="H39" s="65" t="s">
        <v>75</v>
      </c>
    </row>
    <row r="40" spans="1:8" ht="19.8" customHeight="1" x14ac:dyDescent="0.3">
      <c r="A40" s="72">
        <v>45982</v>
      </c>
      <c r="B40" s="73" t="s">
        <v>62</v>
      </c>
      <c r="C40" s="74" t="s">
        <v>63</v>
      </c>
      <c r="D40" s="73" t="s">
        <v>1</v>
      </c>
      <c r="E40" s="75">
        <v>1.604166666666667</v>
      </c>
      <c r="F40" s="73" t="s">
        <v>66</v>
      </c>
      <c r="G40" s="76">
        <v>4</v>
      </c>
      <c r="H40" s="77" t="s">
        <v>77</v>
      </c>
    </row>
    <row r="41" spans="1:8" ht="19.8" customHeight="1" x14ac:dyDescent="0.3">
      <c r="A41" s="70">
        <v>45983</v>
      </c>
      <c r="B41" s="61" t="s">
        <v>26</v>
      </c>
      <c r="C41" s="62" t="s">
        <v>36</v>
      </c>
      <c r="D41" s="61" t="s">
        <v>1</v>
      </c>
      <c r="E41" s="71">
        <v>1.354166666666667</v>
      </c>
      <c r="F41" s="61" t="s">
        <v>28</v>
      </c>
      <c r="G41" s="63">
        <v>9</v>
      </c>
      <c r="H41" s="64">
        <v>609</v>
      </c>
    </row>
    <row r="42" spans="1:8" ht="19.8" customHeight="1" x14ac:dyDescent="0.3">
      <c r="A42" s="70">
        <v>45983</v>
      </c>
      <c r="B42" s="61" t="s">
        <v>26</v>
      </c>
      <c r="C42" s="62" t="s">
        <v>27</v>
      </c>
      <c r="D42" s="61" t="s">
        <v>1</v>
      </c>
      <c r="E42" s="71">
        <v>1.756944444444444</v>
      </c>
      <c r="F42" s="61" t="s">
        <v>28</v>
      </c>
      <c r="G42" s="63">
        <v>9</v>
      </c>
      <c r="H42" s="64">
        <v>609</v>
      </c>
    </row>
    <row r="43" spans="1:8" ht="19.8" customHeight="1" x14ac:dyDescent="0.3">
      <c r="A43" s="70">
        <v>45983</v>
      </c>
      <c r="B43" s="61" t="s">
        <v>41</v>
      </c>
      <c r="C43" s="62" t="s">
        <v>42</v>
      </c>
      <c r="D43" s="61" t="s">
        <v>1</v>
      </c>
      <c r="E43" s="71">
        <v>1.4201388888888891</v>
      </c>
      <c r="F43" s="61" t="s">
        <v>43</v>
      </c>
      <c r="G43" s="63">
        <v>14</v>
      </c>
      <c r="H43" s="64">
        <v>619</v>
      </c>
    </row>
    <row r="44" spans="1:8" ht="19.8" customHeight="1" x14ac:dyDescent="0.3">
      <c r="A44" s="70">
        <v>45983</v>
      </c>
      <c r="B44" s="61" t="s">
        <v>26</v>
      </c>
      <c r="C44" s="62" t="s">
        <v>36</v>
      </c>
      <c r="D44" s="61" t="s">
        <v>1</v>
      </c>
      <c r="E44" s="71">
        <v>1.354166666666667</v>
      </c>
      <c r="F44" s="61" t="s">
        <v>31</v>
      </c>
      <c r="G44" s="63">
        <v>9</v>
      </c>
      <c r="H44" s="64">
        <v>709</v>
      </c>
    </row>
    <row r="45" spans="1:8" ht="19.8" customHeight="1" x14ac:dyDescent="0.3">
      <c r="A45" s="70">
        <v>45983</v>
      </c>
      <c r="B45" s="61" t="s">
        <v>26</v>
      </c>
      <c r="C45" s="62" t="s">
        <v>27</v>
      </c>
      <c r="D45" s="61" t="s">
        <v>1</v>
      </c>
      <c r="E45" s="71">
        <v>1.756944444444444</v>
      </c>
      <c r="F45" s="61" t="s">
        <v>31</v>
      </c>
      <c r="G45" s="63">
        <v>9</v>
      </c>
      <c r="H45" s="64">
        <v>709</v>
      </c>
    </row>
    <row r="46" spans="1:8" ht="19.8" customHeight="1" x14ac:dyDescent="0.3">
      <c r="A46" s="70">
        <v>45983</v>
      </c>
      <c r="B46" s="61" t="s">
        <v>41</v>
      </c>
      <c r="C46" s="62" t="s">
        <v>42</v>
      </c>
      <c r="D46" s="61" t="s">
        <v>1</v>
      </c>
      <c r="E46" s="71">
        <v>1.4201388888888891</v>
      </c>
      <c r="F46" s="61" t="s">
        <v>45</v>
      </c>
      <c r="G46" s="63">
        <v>14</v>
      </c>
      <c r="H46" s="64">
        <v>769</v>
      </c>
    </row>
    <row r="47" spans="1:8" ht="19.8" customHeight="1" x14ac:dyDescent="0.3">
      <c r="A47" s="70">
        <v>45983</v>
      </c>
      <c r="B47" s="61" t="s">
        <v>26</v>
      </c>
      <c r="C47" s="62" t="s">
        <v>36</v>
      </c>
      <c r="D47" s="61" t="s">
        <v>1</v>
      </c>
      <c r="E47" s="71">
        <v>1.354166666666667</v>
      </c>
      <c r="F47" s="61" t="s">
        <v>34</v>
      </c>
      <c r="G47" s="63">
        <v>9</v>
      </c>
      <c r="H47" s="64">
        <v>799</v>
      </c>
    </row>
    <row r="48" spans="1:8" ht="19.8" customHeight="1" x14ac:dyDescent="0.3">
      <c r="A48" s="70">
        <v>45983</v>
      </c>
      <c r="B48" s="61" t="s">
        <v>26</v>
      </c>
      <c r="C48" s="62" t="s">
        <v>27</v>
      </c>
      <c r="D48" s="61" t="s">
        <v>1</v>
      </c>
      <c r="E48" s="71">
        <v>1.756944444444444</v>
      </c>
      <c r="F48" s="61" t="s">
        <v>34</v>
      </c>
      <c r="G48" s="63">
        <v>9</v>
      </c>
      <c r="H48" s="64">
        <v>799</v>
      </c>
    </row>
    <row r="49" spans="1:8" ht="19.8" customHeight="1" x14ac:dyDescent="0.3">
      <c r="A49" s="70">
        <v>45983</v>
      </c>
      <c r="B49" s="61" t="s">
        <v>49</v>
      </c>
      <c r="C49" s="62" t="s">
        <v>50</v>
      </c>
      <c r="D49" s="61" t="s">
        <v>1</v>
      </c>
      <c r="E49" s="71">
        <v>1.0972222222222221</v>
      </c>
      <c r="F49" s="61" t="s">
        <v>51</v>
      </c>
      <c r="G49" s="63">
        <v>9</v>
      </c>
      <c r="H49" s="65" t="s">
        <v>99</v>
      </c>
    </row>
    <row r="50" spans="1:8" ht="19.8" customHeight="1" x14ac:dyDescent="0.3">
      <c r="A50" s="70">
        <v>45983</v>
      </c>
      <c r="B50" s="61" t="s">
        <v>41</v>
      </c>
      <c r="C50" s="62" t="s">
        <v>42</v>
      </c>
      <c r="D50" s="61" t="s">
        <v>1</v>
      </c>
      <c r="E50" s="71">
        <v>1.4201388888888891</v>
      </c>
      <c r="F50" s="61" t="s">
        <v>47</v>
      </c>
      <c r="G50" s="63">
        <v>14</v>
      </c>
      <c r="H50" s="65" t="s">
        <v>48</v>
      </c>
    </row>
    <row r="51" spans="1:8" ht="19.8" customHeight="1" x14ac:dyDescent="0.3">
      <c r="A51" s="70">
        <v>45983</v>
      </c>
      <c r="B51" s="61" t="s">
        <v>49</v>
      </c>
      <c r="C51" s="62" t="s">
        <v>54</v>
      </c>
      <c r="D51" s="61" t="s">
        <v>1</v>
      </c>
      <c r="E51" s="71">
        <v>1.2222222222222221</v>
      </c>
      <c r="F51" s="61" t="s">
        <v>51</v>
      </c>
      <c r="G51" s="63">
        <v>2</v>
      </c>
      <c r="H51" s="65" t="s">
        <v>59</v>
      </c>
    </row>
    <row r="52" spans="1:8" ht="19.8" customHeight="1" x14ac:dyDescent="0.3">
      <c r="A52" s="70">
        <v>45983</v>
      </c>
      <c r="B52" s="61" t="s">
        <v>62</v>
      </c>
      <c r="C52" s="62" t="s">
        <v>69</v>
      </c>
      <c r="D52" s="61" t="s">
        <v>1</v>
      </c>
      <c r="E52" s="71">
        <v>1.086805555555556</v>
      </c>
      <c r="F52" s="61" t="s">
        <v>64</v>
      </c>
      <c r="G52" s="63">
        <v>1</v>
      </c>
      <c r="H52" s="65" t="s">
        <v>102</v>
      </c>
    </row>
    <row r="53" spans="1:8" ht="19.8" customHeight="1" x14ac:dyDescent="0.3">
      <c r="A53" s="70">
        <v>45983</v>
      </c>
      <c r="B53" s="61" t="s">
        <v>62</v>
      </c>
      <c r="C53" s="62" t="s">
        <v>69</v>
      </c>
      <c r="D53" s="61" t="s">
        <v>1</v>
      </c>
      <c r="E53" s="71">
        <v>1.086805555555556</v>
      </c>
      <c r="F53" s="61" t="s">
        <v>66</v>
      </c>
      <c r="G53" s="63">
        <v>1</v>
      </c>
      <c r="H53" s="65" t="s">
        <v>103</v>
      </c>
    </row>
    <row r="54" spans="1:8" ht="19.8" customHeight="1" x14ac:dyDescent="0.3">
      <c r="A54" s="70">
        <v>45983</v>
      </c>
      <c r="B54" s="61" t="s">
        <v>62</v>
      </c>
      <c r="C54" s="62" t="s">
        <v>70</v>
      </c>
      <c r="D54" s="61" t="s">
        <v>1</v>
      </c>
      <c r="E54" s="71">
        <v>1.4201388888888891</v>
      </c>
      <c r="F54" s="61" t="s">
        <v>66</v>
      </c>
      <c r="G54" s="63">
        <v>4</v>
      </c>
      <c r="H54" s="65" t="s">
        <v>72</v>
      </c>
    </row>
    <row r="55" spans="1:8" ht="19.8" customHeight="1" x14ac:dyDescent="0.3">
      <c r="A55" s="78">
        <v>45983</v>
      </c>
      <c r="B55" s="67" t="s">
        <v>78</v>
      </c>
      <c r="C55" s="68" t="s">
        <v>79</v>
      </c>
      <c r="D55" s="67" t="s">
        <v>1</v>
      </c>
      <c r="E55" s="79">
        <v>1.395833333333333</v>
      </c>
      <c r="F55" s="67" t="s">
        <v>80</v>
      </c>
      <c r="G55" s="67"/>
      <c r="H55" s="69" t="s">
        <v>81</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441406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6" t="s">
        <v>162</v>
      </c>
      <c r="B2" s="67" t="s">
        <v>78</v>
      </c>
      <c r="C2" s="68" t="s">
        <v>79</v>
      </c>
      <c r="D2" s="67" t="s">
        <v>1</v>
      </c>
      <c r="E2" s="67" t="s">
        <v>135</v>
      </c>
      <c r="F2" s="67" t="s">
        <v>80</v>
      </c>
      <c r="G2" s="67"/>
      <c r="H2" s="69" t="s">
        <v>81</v>
      </c>
    </row>
    <row r="3" spans="1:8" ht="19.8" customHeight="1" x14ac:dyDescent="0.3">
      <c r="A3" s="70">
        <v>45982</v>
      </c>
      <c r="B3" s="61" t="s">
        <v>26</v>
      </c>
      <c r="C3" s="62" t="s">
        <v>27</v>
      </c>
      <c r="D3" s="61" t="s">
        <v>1</v>
      </c>
      <c r="E3" s="71">
        <v>1.756944444444444</v>
      </c>
      <c r="F3" s="61" t="s">
        <v>28</v>
      </c>
      <c r="G3" s="63">
        <v>9</v>
      </c>
      <c r="H3" s="64">
        <v>609</v>
      </c>
    </row>
    <row r="4" spans="1:8" ht="19.8" customHeight="1" x14ac:dyDescent="0.3">
      <c r="A4" s="70">
        <v>45982</v>
      </c>
      <c r="B4" s="61" t="s">
        <v>41</v>
      </c>
      <c r="C4" s="62" t="s">
        <v>42</v>
      </c>
      <c r="D4" s="61" t="s">
        <v>1</v>
      </c>
      <c r="E4" s="71">
        <v>1.4201388888888891</v>
      </c>
      <c r="F4" s="61" t="s">
        <v>43</v>
      </c>
      <c r="G4" s="63">
        <v>19</v>
      </c>
      <c r="H4" s="64">
        <v>619</v>
      </c>
    </row>
    <row r="5" spans="1:8" ht="19.8" customHeight="1" x14ac:dyDescent="0.3">
      <c r="A5" s="70">
        <v>45982</v>
      </c>
      <c r="B5" s="61" t="s">
        <v>26</v>
      </c>
      <c r="C5" s="62" t="s">
        <v>27</v>
      </c>
      <c r="D5" s="61" t="s">
        <v>1</v>
      </c>
      <c r="E5" s="71">
        <v>1.756944444444444</v>
      </c>
      <c r="F5" s="61" t="s">
        <v>31</v>
      </c>
      <c r="G5" s="63">
        <v>9</v>
      </c>
      <c r="H5" s="64">
        <v>709</v>
      </c>
    </row>
    <row r="6" spans="1:8" ht="19.8" customHeight="1" x14ac:dyDescent="0.3">
      <c r="A6" s="70">
        <v>45982</v>
      </c>
      <c r="B6" s="61" t="s">
        <v>41</v>
      </c>
      <c r="C6" s="62" t="s">
        <v>42</v>
      </c>
      <c r="D6" s="61" t="s">
        <v>1</v>
      </c>
      <c r="E6" s="71">
        <v>1.4201388888888891</v>
      </c>
      <c r="F6" s="61" t="s">
        <v>45</v>
      </c>
      <c r="G6" s="63">
        <v>19</v>
      </c>
      <c r="H6" s="64">
        <v>769</v>
      </c>
    </row>
    <row r="7" spans="1:8" ht="19.8" customHeight="1" x14ac:dyDescent="0.3">
      <c r="A7" s="70">
        <v>45982</v>
      </c>
      <c r="B7" s="61" t="s">
        <v>26</v>
      </c>
      <c r="C7" s="62" t="s">
        <v>27</v>
      </c>
      <c r="D7" s="61" t="s">
        <v>1</v>
      </c>
      <c r="E7" s="71">
        <v>1.756944444444444</v>
      </c>
      <c r="F7" s="61" t="s">
        <v>34</v>
      </c>
      <c r="G7" s="63">
        <v>9</v>
      </c>
      <c r="H7" s="64">
        <v>799</v>
      </c>
    </row>
    <row r="8" spans="1:8" ht="19.8" customHeight="1" x14ac:dyDescent="0.3">
      <c r="A8" s="70">
        <v>45982</v>
      </c>
      <c r="B8" s="61" t="s">
        <v>49</v>
      </c>
      <c r="C8" s="62" t="s">
        <v>50</v>
      </c>
      <c r="D8" s="61" t="s">
        <v>1</v>
      </c>
      <c r="E8" s="71">
        <v>1.0972222222222221</v>
      </c>
      <c r="F8" s="61" t="s">
        <v>51</v>
      </c>
      <c r="G8" s="63">
        <v>9</v>
      </c>
      <c r="H8" s="65" t="s">
        <v>89</v>
      </c>
    </row>
    <row r="9" spans="1:8" ht="19.8" customHeight="1" x14ac:dyDescent="0.3">
      <c r="A9" s="70">
        <v>45982</v>
      </c>
      <c r="B9" s="61" t="s">
        <v>49</v>
      </c>
      <c r="C9" s="62" t="s">
        <v>54</v>
      </c>
      <c r="D9" s="61" t="s">
        <v>1</v>
      </c>
      <c r="E9" s="71">
        <v>1.2222222222222221</v>
      </c>
      <c r="F9" s="61" t="s">
        <v>51</v>
      </c>
      <c r="G9" s="63">
        <v>9</v>
      </c>
      <c r="H9" s="65" t="s">
        <v>89</v>
      </c>
    </row>
    <row r="10" spans="1:8" ht="19.8" customHeight="1" x14ac:dyDescent="0.3">
      <c r="A10" s="70">
        <v>45982</v>
      </c>
      <c r="B10" s="61" t="s">
        <v>49</v>
      </c>
      <c r="C10" s="62" t="s">
        <v>56</v>
      </c>
      <c r="D10" s="61" t="s">
        <v>1</v>
      </c>
      <c r="E10" s="71">
        <v>1.444444444444444</v>
      </c>
      <c r="F10" s="61" t="s">
        <v>51</v>
      </c>
      <c r="G10" s="63">
        <v>9</v>
      </c>
      <c r="H10" s="65" t="s">
        <v>89</v>
      </c>
    </row>
    <row r="11" spans="1:8" ht="19.8" customHeight="1" x14ac:dyDescent="0.3">
      <c r="A11" s="70">
        <v>45982</v>
      </c>
      <c r="B11" s="61" t="s">
        <v>49</v>
      </c>
      <c r="C11" s="62" t="s">
        <v>60</v>
      </c>
      <c r="D11" s="61" t="s">
        <v>1</v>
      </c>
      <c r="E11" s="71">
        <v>1.493055555555556</v>
      </c>
      <c r="F11" s="61" t="s">
        <v>51</v>
      </c>
      <c r="G11" s="63">
        <v>9</v>
      </c>
      <c r="H11" s="65" t="s">
        <v>89</v>
      </c>
    </row>
    <row r="12" spans="1:8" ht="19.8" customHeight="1" x14ac:dyDescent="0.3">
      <c r="A12" s="70">
        <v>45982</v>
      </c>
      <c r="B12" s="61" t="s">
        <v>41</v>
      </c>
      <c r="C12" s="62" t="s">
        <v>42</v>
      </c>
      <c r="D12" s="61" t="s">
        <v>1</v>
      </c>
      <c r="E12" s="71">
        <v>1.4201388888888891</v>
      </c>
      <c r="F12" s="61" t="s">
        <v>47</v>
      </c>
      <c r="G12" s="63">
        <v>19</v>
      </c>
      <c r="H12" s="65" t="s">
        <v>88</v>
      </c>
    </row>
    <row r="13" spans="1:8" ht="19.8" customHeight="1" x14ac:dyDescent="0.3">
      <c r="A13" s="70">
        <v>45982</v>
      </c>
      <c r="B13" s="61" t="s">
        <v>62</v>
      </c>
      <c r="C13" s="62" t="s">
        <v>70</v>
      </c>
      <c r="D13" s="61" t="s">
        <v>1</v>
      </c>
      <c r="E13" s="71">
        <v>1.4201388888888891</v>
      </c>
      <c r="F13" s="61" t="s">
        <v>66</v>
      </c>
      <c r="G13" s="63">
        <v>4</v>
      </c>
      <c r="H13" s="65" t="s">
        <v>72</v>
      </c>
    </row>
    <row r="14" spans="1:8" ht="19.8" customHeight="1" x14ac:dyDescent="0.3">
      <c r="A14" s="70">
        <v>45982</v>
      </c>
      <c r="B14" s="61" t="s">
        <v>62</v>
      </c>
      <c r="C14" s="62" t="s">
        <v>73</v>
      </c>
      <c r="D14" s="61" t="s">
        <v>1</v>
      </c>
      <c r="E14" s="71">
        <v>1.7951388888888891</v>
      </c>
      <c r="F14" s="61" t="s">
        <v>64</v>
      </c>
      <c r="G14" s="63">
        <v>7</v>
      </c>
      <c r="H14" s="65" t="s">
        <v>92</v>
      </c>
    </row>
    <row r="15" spans="1:8" ht="19.8" customHeight="1" x14ac:dyDescent="0.3">
      <c r="A15" s="70">
        <v>45982</v>
      </c>
      <c r="B15" s="61" t="s">
        <v>62</v>
      </c>
      <c r="C15" s="62" t="s">
        <v>69</v>
      </c>
      <c r="D15" s="61" t="s">
        <v>1</v>
      </c>
      <c r="E15" s="71">
        <v>1.086805555555556</v>
      </c>
      <c r="F15" s="61" t="s">
        <v>64</v>
      </c>
      <c r="G15" s="63">
        <v>6</v>
      </c>
      <c r="H15" s="65" t="s">
        <v>92</v>
      </c>
    </row>
    <row r="16" spans="1:8" ht="19.8" customHeight="1" x14ac:dyDescent="0.3">
      <c r="A16" s="70">
        <v>45982</v>
      </c>
      <c r="B16" s="61" t="s">
        <v>62</v>
      </c>
      <c r="C16" s="62" t="s">
        <v>73</v>
      </c>
      <c r="D16" s="61" t="s">
        <v>1</v>
      </c>
      <c r="E16" s="71">
        <v>1.7951388888888891</v>
      </c>
      <c r="F16" s="61" t="s">
        <v>66</v>
      </c>
      <c r="G16" s="63">
        <v>7</v>
      </c>
      <c r="H16" s="65" t="s">
        <v>94</v>
      </c>
    </row>
    <row r="17" spans="1:8" ht="19.8" customHeight="1" x14ac:dyDescent="0.3">
      <c r="A17" s="70">
        <v>45982</v>
      </c>
      <c r="B17" s="61" t="s">
        <v>62</v>
      </c>
      <c r="C17" s="62" t="s">
        <v>69</v>
      </c>
      <c r="D17" s="61" t="s">
        <v>1</v>
      </c>
      <c r="E17" s="71">
        <v>1.086805555555556</v>
      </c>
      <c r="F17" s="61" t="s">
        <v>66</v>
      </c>
      <c r="G17" s="63">
        <v>6</v>
      </c>
      <c r="H17" s="65" t="s">
        <v>94</v>
      </c>
    </row>
    <row r="18" spans="1:8" ht="19.8" customHeight="1" x14ac:dyDescent="0.3">
      <c r="A18" s="70">
        <v>45982</v>
      </c>
      <c r="B18" s="61" t="s">
        <v>62</v>
      </c>
      <c r="C18" s="62" t="s">
        <v>63</v>
      </c>
      <c r="D18" s="61" t="s">
        <v>1</v>
      </c>
      <c r="E18" s="71">
        <v>1.604166666666667</v>
      </c>
      <c r="F18" s="61" t="s">
        <v>64</v>
      </c>
      <c r="G18" s="63">
        <v>4</v>
      </c>
      <c r="H18" s="65" t="s">
        <v>75</v>
      </c>
    </row>
    <row r="19" spans="1:8" ht="19.8" customHeight="1" x14ac:dyDescent="0.3">
      <c r="A19" s="72">
        <v>45982</v>
      </c>
      <c r="B19" s="73" t="s">
        <v>62</v>
      </c>
      <c r="C19" s="74" t="s">
        <v>63</v>
      </c>
      <c r="D19" s="73" t="s">
        <v>1</v>
      </c>
      <c r="E19" s="75">
        <v>1.604166666666667</v>
      </c>
      <c r="F19" s="73" t="s">
        <v>66</v>
      </c>
      <c r="G19" s="76">
        <v>4</v>
      </c>
      <c r="H19" s="77" t="s">
        <v>77</v>
      </c>
    </row>
    <row r="20" spans="1:8" ht="19.8" customHeight="1" x14ac:dyDescent="0.3">
      <c r="A20" s="78">
        <v>45983</v>
      </c>
      <c r="B20" s="67" t="s">
        <v>78</v>
      </c>
      <c r="C20" s="68" t="s">
        <v>79</v>
      </c>
      <c r="D20" s="67" t="s">
        <v>1</v>
      </c>
      <c r="E20" s="79">
        <v>1.395833333333333</v>
      </c>
      <c r="F20" s="67" t="s">
        <v>80</v>
      </c>
      <c r="G20" s="67"/>
      <c r="H20" s="69" t="s">
        <v>81</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0"/>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33203125" bestFit="1" customWidth="1"/>
  </cols>
  <sheetData>
    <row r="1" spans="1:92" ht="28.8" customHeight="1" x14ac:dyDescent="0.3">
      <c r="A1" s="272" t="s">
        <v>0</v>
      </c>
      <c r="B1" s="261"/>
      <c r="C1" s="261"/>
      <c r="D1" s="261"/>
      <c r="E1" s="261"/>
      <c r="F1" s="1" t="s">
        <v>174</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45980.492393308428</v>
      </c>
      <c r="H2" s="261"/>
      <c r="I2" s="261"/>
      <c r="J2" s="261"/>
      <c r="K2" s="274">
        <v>45980.492393308828</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49</v>
      </c>
      <c r="B6" s="8" t="s">
        <v>175</v>
      </c>
      <c r="C6" s="9">
        <v>0.52083333333333337</v>
      </c>
      <c r="D6" s="8" t="s">
        <v>51</v>
      </c>
      <c r="E6" s="8" t="s">
        <v>52</v>
      </c>
      <c r="F6" s="8" t="s">
        <v>176</v>
      </c>
      <c r="G6" s="266"/>
      <c r="H6" s="10"/>
      <c r="I6" s="11"/>
      <c r="J6" s="11"/>
      <c r="K6" s="11"/>
      <c r="L6" s="11"/>
      <c r="M6" s="11"/>
      <c r="N6" s="11"/>
      <c r="O6" s="12"/>
      <c r="P6" s="11"/>
      <c r="Q6" s="13"/>
      <c r="R6" s="14"/>
    </row>
    <row r="7" spans="1:92" ht="15" customHeight="1" x14ac:dyDescent="0.3">
      <c r="A7" s="80" t="s">
        <v>78</v>
      </c>
      <c r="B7" s="80" t="s">
        <v>177</v>
      </c>
      <c r="C7" s="81">
        <v>0.64583333333333337</v>
      </c>
      <c r="D7" s="80" t="s">
        <v>178</v>
      </c>
      <c r="E7" s="80" t="s">
        <v>179</v>
      </c>
      <c r="F7" s="80" t="s">
        <v>180</v>
      </c>
      <c r="G7" s="267"/>
      <c r="H7" s="82" t="s">
        <v>181</v>
      </c>
      <c r="I7" s="83">
        <v>0.9385</v>
      </c>
      <c r="J7" s="84">
        <v>168</v>
      </c>
      <c r="K7" s="85">
        <v>45980</v>
      </c>
      <c r="L7" s="84">
        <v>13</v>
      </c>
      <c r="M7" s="84">
        <v>1</v>
      </c>
      <c r="N7" s="84">
        <v>1</v>
      </c>
      <c r="O7" s="86" t="s">
        <v>182</v>
      </c>
      <c r="P7" s="87">
        <v>0.64583333333333337</v>
      </c>
      <c r="Q7" s="84">
        <v>179</v>
      </c>
      <c r="R7" s="88" t="s">
        <v>183</v>
      </c>
    </row>
    <row r="8" spans="1:92" ht="18" x14ac:dyDescent="0.3">
      <c r="A8" s="278" t="s">
        <v>184</v>
      </c>
      <c r="B8" s="279"/>
      <c r="C8" s="279"/>
      <c r="D8" s="279"/>
      <c r="E8" s="279"/>
      <c r="F8" s="280"/>
      <c r="G8" s="267"/>
      <c r="H8" s="89"/>
      <c r="I8" s="89"/>
      <c r="J8" s="89"/>
      <c r="K8" s="89"/>
      <c r="L8" s="89"/>
      <c r="M8" s="89"/>
      <c r="N8" s="89"/>
      <c r="O8" s="90"/>
      <c r="P8" s="89"/>
      <c r="Q8" s="56"/>
      <c r="R8" s="56"/>
    </row>
    <row r="9" spans="1:92" ht="15" customHeight="1" x14ac:dyDescent="0.3">
      <c r="A9" s="17" t="s">
        <v>26</v>
      </c>
      <c r="B9" s="17" t="s">
        <v>27</v>
      </c>
      <c r="C9" s="18" t="s">
        <v>163</v>
      </c>
      <c r="D9" s="17" t="s">
        <v>28</v>
      </c>
      <c r="E9" s="17" t="s">
        <v>185</v>
      </c>
      <c r="F9" s="17" t="s">
        <v>30</v>
      </c>
      <c r="G9" s="267"/>
      <c r="H9" s="89"/>
      <c r="I9" s="89"/>
      <c r="J9" s="89"/>
      <c r="K9" s="89"/>
      <c r="L9" s="89"/>
      <c r="M9" s="89"/>
      <c r="N9" s="89"/>
      <c r="O9" s="90"/>
      <c r="P9" s="89"/>
      <c r="Q9" s="56"/>
      <c r="R9" s="56"/>
    </row>
    <row r="10" spans="1:92" ht="15" customHeight="1" x14ac:dyDescent="0.3">
      <c r="A10" s="17" t="s">
        <v>41</v>
      </c>
      <c r="B10" s="17" t="s">
        <v>42</v>
      </c>
      <c r="C10" s="18" t="s">
        <v>164</v>
      </c>
      <c r="D10" s="17" t="s">
        <v>43</v>
      </c>
      <c r="E10" s="17" t="s">
        <v>186</v>
      </c>
      <c r="F10" s="17" t="s">
        <v>30</v>
      </c>
      <c r="G10" s="267"/>
      <c r="H10" s="89"/>
      <c r="I10" s="89"/>
      <c r="J10" s="89"/>
      <c r="K10" s="89"/>
      <c r="L10" s="89"/>
      <c r="M10" s="89"/>
      <c r="N10" s="89"/>
      <c r="O10" s="90"/>
      <c r="P10" s="89"/>
      <c r="Q10" s="56"/>
      <c r="R10" s="56"/>
    </row>
    <row r="11" spans="1:92" ht="15" customHeight="1" x14ac:dyDescent="0.3">
      <c r="A11" s="17" t="s">
        <v>26</v>
      </c>
      <c r="B11" s="17" t="s">
        <v>36</v>
      </c>
      <c r="C11" s="18" t="s">
        <v>165</v>
      </c>
      <c r="D11" s="17" t="s">
        <v>28</v>
      </c>
      <c r="E11" s="17" t="s">
        <v>185</v>
      </c>
      <c r="F11" s="17" t="s">
        <v>38</v>
      </c>
      <c r="G11" s="267"/>
      <c r="H11" s="89"/>
      <c r="I11" s="89"/>
      <c r="J11" s="89"/>
      <c r="K11" s="89"/>
      <c r="L11" s="89"/>
      <c r="M11" s="89"/>
      <c r="N11" s="89"/>
      <c r="O11" s="90"/>
      <c r="P11" s="89"/>
      <c r="Q11" s="56"/>
      <c r="R11" s="56"/>
    </row>
    <row r="12" spans="1:92" ht="15" customHeight="1" x14ac:dyDescent="0.3">
      <c r="A12" s="17" t="s">
        <v>26</v>
      </c>
      <c r="B12" s="17" t="s">
        <v>27</v>
      </c>
      <c r="C12" s="18" t="s">
        <v>163</v>
      </c>
      <c r="D12" s="17" t="s">
        <v>31</v>
      </c>
      <c r="E12" s="17" t="s">
        <v>185</v>
      </c>
      <c r="F12" s="17" t="s">
        <v>33</v>
      </c>
      <c r="G12" s="267"/>
      <c r="H12" s="89"/>
      <c r="I12" s="89"/>
      <c r="J12" s="89"/>
      <c r="K12" s="89"/>
      <c r="L12" s="89"/>
      <c r="M12" s="89"/>
      <c r="N12" s="89"/>
      <c r="O12" s="90"/>
      <c r="P12" s="89"/>
      <c r="Q12" s="56"/>
      <c r="R12" s="56"/>
    </row>
    <row r="13" spans="1:92" ht="15" customHeight="1" x14ac:dyDescent="0.3">
      <c r="A13" s="17" t="s">
        <v>26</v>
      </c>
      <c r="B13" s="17" t="s">
        <v>36</v>
      </c>
      <c r="C13" s="18" t="s">
        <v>165</v>
      </c>
      <c r="D13" s="17" t="s">
        <v>31</v>
      </c>
      <c r="E13" s="17" t="s">
        <v>185</v>
      </c>
      <c r="F13" s="17" t="s">
        <v>39</v>
      </c>
      <c r="G13" s="267"/>
      <c r="H13" s="89"/>
      <c r="I13" s="89"/>
      <c r="J13" s="89"/>
      <c r="K13" s="89"/>
      <c r="L13" s="89"/>
      <c r="M13" s="89"/>
      <c r="N13" s="89"/>
      <c r="O13" s="90"/>
      <c r="P13" s="89"/>
      <c r="Q13" s="56"/>
      <c r="R13" s="56"/>
    </row>
    <row r="14" spans="1:92" ht="15" customHeight="1" x14ac:dyDescent="0.3">
      <c r="A14" s="17" t="s">
        <v>41</v>
      </c>
      <c r="B14" s="17" t="s">
        <v>42</v>
      </c>
      <c r="C14" s="18" t="s">
        <v>164</v>
      </c>
      <c r="D14" s="17" t="s">
        <v>45</v>
      </c>
      <c r="E14" s="17" t="s">
        <v>186</v>
      </c>
      <c r="F14" s="17" t="s">
        <v>39</v>
      </c>
      <c r="G14" s="267"/>
      <c r="H14" s="89"/>
      <c r="I14" s="89"/>
      <c r="J14" s="89"/>
      <c r="K14" s="89"/>
      <c r="L14" s="89"/>
      <c r="M14" s="89"/>
      <c r="N14" s="89"/>
      <c r="O14" s="90"/>
      <c r="P14" s="89"/>
      <c r="Q14" s="56"/>
      <c r="R14" s="56"/>
    </row>
    <row r="15" spans="1:92" ht="15" customHeight="1" x14ac:dyDescent="0.3">
      <c r="A15" s="17" t="s">
        <v>26</v>
      </c>
      <c r="B15" s="17" t="s">
        <v>27</v>
      </c>
      <c r="C15" s="18" t="s">
        <v>163</v>
      </c>
      <c r="D15" s="17" t="s">
        <v>34</v>
      </c>
      <c r="E15" s="17" t="s">
        <v>185</v>
      </c>
      <c r="F15" s="17" t="s">
        <v>35</v>
      </c>
      <c r="G15" s="267"/>
      <c r="H15" s="89"/>
      <c r="I15" s="89"/>
      <c r="J15" s="89"/>
      <c r="K15" s="89"/>
      <c r="L15" s="89"/>
      <c r="M15" s="89"/>
      <c r="N15" s="89"/>
      <c r="O15" s="90"/>
      <c r="P15" s="89"/>
      <c r="Q15" s="56"/>
      <c r="R15" s="56"/>
    </row>
    <row r="16" spans="1:92" ht="15" customHeight="1" x14ac:dyDescent="0.3">
      <c r="A16" s="17" t="s">
        <v>26</v>
      </c>
      <c r="B16" s="17" t="s">
        <v>36</v>
      </c>
      <c r="C16" s="18" t="s">
        <v>165</v>
      </c>
      <c r="D16" s="17" t="s">
        <v>34</v>
      </c>
      <c r="E16" s="17" t="s">
        <v>185</v>
      </c>
      <c r="F16" s="17" t="s">
        <v>40</v>
      </c>
      <c r="G16" s="267"/>
      <c r="H16" s="89"/>
      <c r="I16" s="89"/>
      <c r="J16" s="89"/>
      <c r="K16" s="89"/>
      <c r="L16" s="89"/>
      <c r="M16" s="89"/>
      <c r="N16" s="89"/>
      <c r="O16" s="90"/>
      <c r="P16" s="89"/>
      <c r="Q16" s="56"/>
      <c r="R16" s="56"/>
    </row>
    <row r="17" spans="1:18" ht="15" customHeight="1" x14ac:dyDescent="0.3">
      <c r="A17" s="17" t="s">
        <v>49</v>
      </c>
      <c r="B17" s="17" t="s">
        <v>50</v>
      </c>
      <c r="C17" s="18" t="s">
        <v>166</v>
      </c>
      <c r="D17" s="17" t="s">
        <v>51</v>
      </c>
      <c r="E17" s="17" t="s">
        <v>187</v>
      </c>
      <c r="F17" s="17" t="s">
        <v>53</v>
      </c>
      <c r="G17" s="267"/>
      <c r="H17" s="89"/>
      <c r="I17" s="89"/>
      <c r="J17" s="89"/>
      <c r="K17" s="89"/>
      <c r="L17" s="89"/>
      <c r="M17" s="89"/>
      <c r="N17" s="89"/>
      <c r="O17" s="90"/>
      <c r="P17" s="89"/>
      <c r="Q17" s="56"/>
      <c r="R17" s="56"/>
    </row>
    <row r="18" spans="1:18" ht="15" customHeight="1" thickBot="1" x14ac:dyDescent="0.35">
      <c r="A18" s="91" t="s">
        <v>49</v>
      </c>
      <c r="B18" s="91" t="s">
        <v>54</v>
      </c>
      <c r="C18" s="92" t="s">
        <v>167</v>
      </c>
      <c r="D18" s="91" t="s">
        <v>51</v>
      </c>
      <c r="E18" s="91" t="s">
        <v>187</v>
      </c>
      <c r="F18" s="91" t="s">
        <v>53</v>
      </c>
      <c r="G18" s="268"/>
      <c r="H18" s="93"/>
      <c r="I18" s="93"/>
      <c r="J18" s="93"/>
      <c r="K18" s="93"/>
      <c r="L18" s="93"/>
      <c r="M18" s="93"/>
      <c r="N18" s="93"/>
      <c r="O18" s="94"/>
      <c r="P18" s="93"/>
      <c r="Q18" s="95"/>
      <c r="R18" s="95"/>
    </row>
    <row r="19" spans="1:18" ht="17.399999999999999" customHeight="1" thickBot="1" x14ac:dyDescent="0.35">
      <c r="A19" s="295"/>
      <c r="B19" s="296"/>
      <c r="C19" s="296"/>
      <c r="D19" s="296"/>
      <c r="E19" s="296"/>
      <c r="F19" s="296"/>
      <c r="G19" s="296"/>
      <c r="H19" s="296"/>
      <c r="I19" s="296"/>
      <c r="J19" s="296"/>
      <c r="K19" s="296"/>
      <c r="L19" s="296"/>
      <c r="M19" s="296"/>
      <c r="N19" s="296"/>
      <c r="O19" s="296"/>
      <c r="P19" s="296"/>
      <c r="Q19" s="296"/>
      <c r="R19" s="297"/>
    </row>
    <row r="20" spans="1:18" ht="15" thickTop="1" x14ac:dyDescent="0.3"/>
  </sheetData>
  <mergeCells count="12">
    <mergeCell ref="H1:L1"/>
    <mergeCell ref="A1:E1"/>
    <mergeCell ref="G2:J2"/>
    <mergeCell ref="K2:R2"/>
    <mergeCell ref="A4:F4"/>
    <mergeCell ref="H4:R4"/>
    <mergeCell ref="N1:R1"/>
    <mergeCell ref="A2:F2"/>
    <mergeCell ref="A3:R3"/>
    <mergeCell ref="A19:R19"/>
    <mergeCell ref="A8:F8"/>
    <mergeCell ref="G6:G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9.1093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3" width="3.88671875" style="282" bestFit="1" customWidth="1"/>
    <col min="24" max="24" width="4.109375" style="282" bestFit="1" customWidth="1"/>
    <col min="25" max="30" width="3.88671875" style="282" bestFit="1" customWidth="1"/>
    <col min="31" max="31" width="4.5546875" style="282" bestFit="1" customWidth="1"/>
    <col min="32" max="34" width="3.88671875" style="282" bestFit="1" customWidth="1"/>
    <col min="35" max="35" width="5.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181</v>
      </c>
      <c r="D2" s="286" t="s">
        <v>188</v>
      </c>
      <c r="E2" s="285" t="s">
        <v>174</v>
      </c>
      <c r="F2" s="285" t="s">
        <v>136</v>
      </c>
      <c r="G2" s="287">
        <v>0.9385</v>
      </c>
      <c r="H2" s="288">
        <v>179</v>
      </c>
      <c r="I2" s="288">
        <v>168</v>
      </c>
      <c r="J2" s="288">
        <v>110</v>
      </c>
      <c r="K2" s="285" t="s">
        <v>137</v>
      </c>
      <c r="L2" s="289">
        <v>45980</v>
      </c>
      <c r="M2" s="288">
        <v>1</v>
      </c>
      <c r="N2" s="288">
        <v>1</v>
      </c>
      <c r="O2" s="288">
        <v>13</v>
      </c>
      <c r="P2" s="285" t="s">
        <v>182</v>
      </c>
      <c r="Q2" s="281"/>
      <c r="R2" s="281"/>
      <c r="S2" s="281"/>
      <c r="T2" s="281"/>
      <c r="U2" s="281"/>
      <c r="V2" s="288" t="s">
        <v>189</v>
      </c>
      <c r="W2" s="288" t="s">
        <v>190</v>
      </c>
      <c r="X2" s="288" t="s">
        <v>191</v>
      </c>
      <c r="Y2" s="288" t="s">
        <v>192</v>
      </c>
      <c r="Z2" s="288" t="s">
        <v>193</v>
      </c>
      <c r="AA2" s="281"/>
      <c r="AB2" s="281"/>
      <c r="AC2" s="288" t="s">
        <v>194</v>
      </c>
      <c r="AD2" s="288" t="s">
        <v>155</v>
      </c>
      <c r="AE2" s="288" t="s">
        <v>195</v>
      </c>
      <c r="AF2" s="288" t="s">
        <v>196</v>
      </c>
      <c r="AG2" s="281"/>
      <c r="AH2" s="281"/>
      <c r="AI2" s="288" t="s">
        <v>197</v>
      </c>
      <c r="AJ2" s="281"/>
    </row>
    <row r="3" spans="1:36" ht="21" x14ac:dyDescent="0.3">
      <c r="A3" s="290" t="s">
        <v>976</v>
      </c>
      <c r="B3" s="291"/>
      <c r="C3" s="290">
        <f>SUBTOTAL(103,MED_HBE_LF_LEGACY[Flt])</f>
        <v>1</v>
      </c>
      <c r="D3" s="290"/>
      <c r="E3" s="290">
        <f>SUBTOTAL(103,MED_HBE_LF_LEGACY[Brd-Off])</f>
        <v>1</v>
      </c>
      <c r="F3" s="290"/>
      <c r="G3" s="292">
        <f>SUBTOTAL(101,MED_HBE_LF_LEGACY[LF%])</f>
        <v>0.9385</v>
      </c>
      <c r="H3" s="293">
        <f>SUBTOTAL(109,MED_HBE_LF_LEGACY[CAP])</f>
        <v>179</v>
      </c>
      <c r="I3" s="293">
        <f>SUBTOTAL(109,MED_HBE_LF_LEGACY[BKG(Y)])</f>
        <v>168</v>
      </c>
      <c r="J3" s="293">
        <f>SUBTOTAL(109,MED_HBE_LF_LEGACY[GRP(Y)])</f>
        <v>110</v>
      </c>
      <c r="K3" s="290"/>
      <c r="L3" s="291"/>
      <c r="M3" s="293">
        <f>SUBTOTAL(109,MED_HBE_LF_LEGACY[TO-DAY])</f>
        <v>1</v>
      </c>
      <c r="N3" s="293">
        <f>SUBTOTAL(109,MED_HBE_LF_LEGACY[Y-DAY])</f>
        <v>1</v>
      </c>
      <c r="O3" s="293">
        <f>SUBTOTAL(109,MED_HBE_LF_LEGACY[WEEKLY])</f>
        <v>13</v>
      </c>
      <c r="P3" s="294"/>
      <c r="Q3" s="293">
        <f>SUBTOTAL(109,MED_HBE_LF_LEGACY[Y])</f>
        <v>0</v>
      </c>
      <c r="R3" s="293">
        <f>SUBTOTAL(109,MED_HBE_LF_LEGACY[B])</f>
        <v>0</v>
      </c>
      <c r="S3" s="293">
        <f>SUBTOTAL(109,MED_HBE_LF_LEGACY[M])</f>
        <v>0</v>
      </c>
      <c r="T3" s="293">
        <f>SUBTOTAL(109,MED_HBE_LF_LEGACY[H])</f>
        <v>0</v>
      </c>
      <c r="U3" s="293">
        <f>SUBTOTAL(109,MED_HBE_LF_LEGACY[Q])</f>
        <v>0</v>
      </c>
      <c r="V3" s="293">
        <f>SUBTOTAL(109,MED_HBE_LF_LEGACY[K])</f>
        <v>0</v>
      </c>
      <c r="W3" s="293">
        <f>SUBTOTAL(109,MED_HBE_LF_LEGACY[V])</f>
        <v>0</v>
      </c>
      <c r="X3" s="293">
        <f>SUBTOTAL(109,MED_HBE_LF_LEGACY[L])</f>
        <v>0</v>
      </c>
      <c r="Y3" s="293">
        <f>SUBTOTAL(109,MED_HBE_LF_LEGACY[G])</f>
        <v>0</v>
      </c>
      <c r="Z3" s="293">
        <f>SUBTOTAL(109,MED_HBE_LF_LEGACY[S])</f>
        <v>0</v>
      </c>
      <c r="AA3" s="293">
        <f>SUBTOTAL(109,MED_HBE_LF_LEGACY[W])</f>
        <v>0</v>
      </c>
      <c r="AB3" s="293">
        <f>SUBTOTAL(109,MED_HBE_LF_LEGACY[T])</f>
        <v>0</v>
      </c>
      <c r="AC3" s="293">
        <f>SUBTOTAL(109,MED_HBE_LF_LEGACY[X])</f>
        <v>0</v>
      </c>
      <c r="AD3" s="293">
        <f>SUBTOTAL(109,MED_HBE_LF_LEGACY[U])</f>
        <v>0</v>
      </c>
      <c r="AE3" s="293">
        <f>SUBTOTAL(109,MED_HBE_LF_LEGACY[O])</f>
        <v>0</v>
      </c>
      <c r="AF3" s="293">
        <f>SUBTOTAL(109,MED_HBE_LF_LEGACY[I])</f>
        <v>0</v>
      </c>
      <c r="AG3" s="293">
        <f>SUBTOTAL(109,MED_HBE_LF_LEGACY[E])</f>
        <v>0</v>
      </c>
      <c r="AH3" s="293">
        <f>SUBTOTAL(109,MED_HBE_LF_LEGACY[A])</f>
        <v>0</v>
      </c>
      <c r="AI3" s="293">
        <f>SUBTOTAL(109,MED_HBE_LF_LEGACY[P])</f>
        <v>0</v>
      </c>
      <c r="AJ3" s="293">
        <f>SUBTOTAL(103,MED_HBE_LF_LEGACY[N])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92.77734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49</v>
      </c>
      <c r="C2" s="62" t="s">
        <v>175</v>
      </c>
      <c r="D2" s="61" t="s">
        <v>174</v>
      </c>
      <c r="E2" s="61" t="s">
        <v>198</v>
      </c>
      <c r="F2" s="61" t="s">
        <v>51</v>
      </c>
      <c r="G2" s="63">
        <v>9</v>
      </c>
      <c r="H2" s="64">
        <v>923</v>
      </c>
    </row>
    <row r="3" spans="1:8" ht="19.8" customHeight="1" x14ac:dyDescent="0.3">
      <c r="A3" s="96" t="s">
        <v>162</v>
      </c>
      <c r="B3" s="97" t="s">
        <v>78</v>
      </c>
      <c r="C3" s="98" t="s">
        <v>177</v>
      </c>
      <c r="D3" s="97" t="s">
        <v>174</v>
      </c>
      <c r="E3" s="97" t="s">
        <v>188</v>
      </c>
      <c r="F3" s="97" t="s">
        <v>178</v>
      </c>
      <c r="G3" s="99">
        <v>2</v>
      </c>
      <c r="H3" s="100">
        <v>992</v>
      </c>
    </row>
    <row r="4" spans="1:8" ht="19.8" customHeight="1" x14ac:dyDescent="0.3">
      <c r="A4" s="101"/>
      <c r="B4" s="102"/>
      <c r="C4" s="102"/>
      <c r="D4" s="102"/>
      <c r="E4" s="102"/>
      <c r="F4" s="103" t="s">
        <v>199</v>
      </c>
      <c r="G4" s="102"/>
      <c r="H4" s="104"/>
    </row>
    <row r="5" spans="1:8" ht="19.8" customHeight="1" x14ac:dyDescent="0.3">
      <c r="A5" s="70">
        <v>45981</v>
      </c>
      <c r="B5" s="61" t="s">
        <v>26</v>
      </c>
      <c r="C5" s="62" t="s">
        <v>27</v>
      </c>
      <c r="D5" s="61" t="s">
        <v>1</v>
      </c>
      <c r="E5" s="71">
        <v>1.756944444444444</v>
      </c>
      <c r="F5" s="61" t="s">
        <v>28</v>
      </c>
      <c r="G5" s="63">
        <v>9</v>
      </c>
      <c r="H5" s="64">
        <v>559</v>
      </c>
    </row>
    <row r="6" spans="1:8" ht="19.8" customHeight="1" x14ac:dyDescent="0.3">
      <c r="A6" s="70">
        <v>45981</v>
      </c>
      <c r="B6" s="61" t="s">
        <v>41</v>
      </c>
      <c r="C6" s="62" t="s">
        <v>42</v>
      </c>
      <c r="D6" s="61" t="s">
        <v>1</v>
      </c>
      <c r="E6" s="71">
        <v>1.4201388888888891</v>
      </c>
      <c r="F6" s="61" t="s">
        <v>43</v>
      </c>
      <c r="G6" s="63">
        <v>12</v>
      </c>
      <c r="H6" s="64">
        <v>559</v>
      </c>
    </row>
    <row r="7" spans="1:8" ht="19.8" customHeight="1" x14ac:dyDescent="0.3">
      <c r="A7" s="70">
        <v>45981</v>
      </c>
      <c r="B7" s="61" t="s">
        <v>26</v>
      </c>
      <c r="C7" s="62" t="s">
        <v>36</v>
      </c>
      <c r="D7" s="61" t="s">
        <v>1</v>
      </c>
      <c r="E7" s="71">
        <v>1.354166666666667</v>
      </c>
      <c r="F7" s="61" t="s">
        <v>28</v>
      </c>
      <c r="G7" s="63">
        <v>9</v>
      </c>
      <c r="H7" s="64">
        <v>609</v>
      </c>
    </row>
    <row r="8" spans="1:8" ht="19.8" customHeight="1" x14ac:dyDescent="0.3">
      <c r="A8" s="70">
        <v>45981</v>
      </c>
      <c r="B8" s="61" t="s">
        <v>26</v>
      </c>
      <c r="C8" s="62" t="s">
        <v>27</v>
      </c>
      <c r="D8" s="61" t="s">
        <v>1</v>
      </c>
      <c r="E8" s="71">
        <v>1.756944444444444</v>
      </c>
      <c r="F8" s="61" t="s">
        <v>31</v>
      </c>
      <c r="G8" s="63">
        <v>9</v>
      </c>
      <c r="H8" s="64">
        <v>659</v>
      </c>
    </row>
    <row r="9" spans="1:8" ht="19.8" customHeight="1" x14ac:dyDescent="0.3">
      <c r="A9" s="70">
        <v>45981</v>
      </c>
      <c r="B9" s="61" t="s">
        <v>26</v>
      </c>
      <c r="C9" s="62" t="s">
        <v>36</v>
      </c>
      <c r="D9" s="61" t="s">
        <v>1</v>
      </c>
      <c r="E9" s="71">
        <v>1.354166666666667</v>
      </c>
      <c r="F9" s="61" t="s">
        <v>31</v>
      </c>
      <c r="G9" s="63">
        <v>9</v>
      </c>
      <c r="H9" s="64">
        <v>709</v>
      </c>
    </row>
    <row r="10" spans="1:8" ht="19.8" customHeight="1" x14ac:dyDescent="0.3">
      <c r="A10" s="70">
        <v>45981</v>
      </c>
      <c r="B10" s="61" t="s">
        <v>41</v>
      </c>
      <c r="C10" s="62" t="s">
        <v>42</v>
      </c>
      <c r="D10" s="61" t="s">
        <v>1</v>
      </c>
      <c r="E10" s="71">
        <v>1.4201388888888891</v>
      </c>
      <c r="F10" s="61" t="s">
        <v>45</v>
      </c>
      <c r="G10" s="63">
        <v>12</v>
      </c>
      <c r="H10" s="64">
        <v>709</v>
      </c>
    </row>
    <row r="11" spans="1:8" ht="19.8" customHeight="1" x14ac:dyDescent="0.3">
      <c r="A11" s="70">
        <v>45981</v>
      </c>
      <c r="B11" s="61" t="s">
        <v>26</v>
      </c>
      <c r="C11" s="62" t="s">
        <v>27</v>
      </c>
      <c r="D11" s="61" t="s">
        <v>1</v>
      </c>
      <c r="E11" s="71">
        <v>1.756944444444444</v>
      </c>
      <c r="F11" s="61" t="s">
        <v>34</v>
      </c>
      <c r="G11" s="63">
        <v>9</v>
      </c>
      <c r="H11" s="64">
        <v>749</v>
      </c>
    </row>
    <row r="12" spans="1:8" ht="19.8" customHeight="1" x14ac:dyDescent="0.3">
      <c r="A12" s="70">
        <v>45981</v>
      </c>
      <c r="B12" s="61" t="s">
        <v>26</v>
      </c>
      <c r="C12" s="62" t="s">
        <v>36</v>
      </c>
      <c r="D12" s="61" t="s">
        <v>1</v>
      </c>
      <c r="E12" s="71">
        <v>1.354166666666667</v>
      </c>
      <c r="F12" s="61" t="s">
        <v>34</v>
      </c>
      <c r="G12" s="63">
        <v>9</v>
      </c>
      <c r="H12" s="64">
        <v>799</v>
      </c>
    </row>
    <row r="13" spans="1:8" ht="19.8" customHeight="1" x14ac:dyDescent="0.3">
      <c r="A13" s="70">
        <v>45981</v>
      </c>
      <c r="B13" s="61" t="s">
        <v>49</v>
      </c>
      <c r="C13" s="62" t="s">
        <v>50</v>
      </c>
      <c r="D13" s="61" t="s">
        <v>1</v>
      </c>
      <c r="E13" s="71">
        <v>1.1076388888888891</v>
      </c>
      <c r="F13" s="61" t="s">
        <v>51</v>
      </c>
      <c r="G13" s="63">
        <v>9</v>
      </c>
      <c r="H13" s="64">
        <v>902</v>
      </c>
    </row>
    <row r="14" spans="1:8" ht="19.8" customHeight="1" x14ac:dyDescent="0.3">
      <c r="A14" s="72">
        <v>45981</v>
      </c>
      <c r="B14" s="73" t="s">
        <v>49</v>
      </c>
      <c r="C14" s="74" t="s">
        <v>54</v>
      </c>
      <c r="D14" s="73" t="s">
        <v>1</v>
      </c>
      <c r="E14" s="75">
        <v>1.2222222222222221</v>
      </c>
      <c r="F14" s="73" t="s">
        <v>51</v>
      </c>
      <c r="G14" s="76">
        <v>9</v>
      </c>
      <c r="H14" s="105">
        <v>902</v>
      </c>
    </row>
    <row r="15" spans="1:8" ht="19.8" customHeight="1" x14ac:dyDescent="0.3">
      <c r="A15" s="101"/>
      <c r="B15" s="102"/>
      <c r="C15" s="102"/>
      <c r="D15" s="102"/>
      <c r="E15" s="102"/>
      <c r="F15" s="103" t="s">
        <v>199</v>
      </c>
      <c r="G15" s="102"/>
      <c r="H15" s="104"/>
    </row>
    <row r="16" spans="1:8" ht="19.8" customHeight="1" x14ac:dyDescent="0.3">
      <c r="A16" s="70">
        <v>45982</v>
      </c>
      <c r="B16" s="61" t="s">
        <v>26</v>
      </c>
      <c r="C16" s="62" t="s">
        <v>27</v>
      </c>
      <c r="D16" s="61" t="s">
        <v>1</v>
      </c>
      <c r="E16" s="71">
        <v>1.756944444444444</v>
      </c>
      <c r="F16" s="61" t="s">
        <v>28</v>
      </c>
      <c r="G16" s="63">
        <v>9</v>
      </c>
      <c r="H16" s="64">
        <v>609</v>
      </c>
    </row>
    <row r="17" spans="1:8" ht="19.8" customHeight="1" x14ac:dyDescent="0.3">
      <c r="A17" s="70">
        <v>45982</v>
      </c>
      <c r="B17" s="61" t="s">
        <v>41</v>
      </c>
      <c r="C17" s="62" t="s">
        <v>42</v>
      </c>
      <c r="D17" s="61" t="s">
        <v>1</v>
      </c>
      <c r="E17" s="71">
        <v>1.4201388888888891</v>
      </c>
      <c r="F17" s="61" t="s">
        <v>43</v>
      </c>
      <c r="G17" s="63">
        <v>19</v>
      </c>
      <c r="H17" s="64">
        <v>619</v>
      </c>
    </row>
    <row r="18" spans="1:8" ht="19.8" customHeight="1" x14ac:dyDescent="0.3">
      <c r="A18" s="70">
        <v>45982</v>
      </c>
      <c r="B18" s="61" t="s">
        <v>26</v>
      </c>
      <c r="C18" s="62" t="s">
        <v>27</v>
      </c>
      <c r="D18" s="61" t="s">
        <v>1</v>
      </c>
      <c r="E18" s="71">
        <v>1.756944444444444</v>
      </c>
      <c r="F18" s="61" t="s">
        <v>31</v>
      </c>
      <c r="G18" s="63">
        <v>9</v>
      </c>
      <c r="H18" s="64">
        <v>709</v>
      </c>
    </row>
    <row r="19" spans="1:8" ht="19.8" customHeight="1" x14ac:dyDescent="0.3">
      <c r="A19" s="70">
        <v>45982</v>
      </c>
      <c r="B19" s="61" t="s">
        <v>41</v>
      </c>
      <c r="C19" s="62" t="s">
        <v>42</v>
      </c>
      <c r="D19" s="61" t="s">
        <v>1</v>
      </c>
      <c r="E19" s="71">
        <v>1.4201388888888891</v>
      </c>
      <c r="F19" s="61" t="s">
        <v>45</v>
      </c>
      <c r="G19" s="63">
        <v>19</v>
      </c>
      <c r="H19" s="64">
        <v>769</v>
      </c>
    </row>
    <row r="20" spans="1:8" ht="19.8" customHeight="1" x14ac:dyDescent="0.3">
      <c r="A20" s="70">
        <v>45982</v>
      </c>
      <c r="B20" s="61" t="s">
        <v>26</v>
      </c>
      <c r="C20" s="62" t="s">
        <v>27</v>
      </c>
      <c r="D20" s="61" t="s">
        <v>1</v>
      </c>
      <c r="E20" s="71">
        <v>1.756944444444444</v>
      </c>
      <c r="F20" s="61" t="s">
        <v>34</v>
      </c>
      <c r="G20" s="63">
        <v>9</v>
      </c>
      <c r="H20" s="64">
        <v>799</v>
      </c>
    </row>
    <row r="21" spans="1:8" ht="19.8" customHeight="1" x14ac:dyDescent="0.3">
      <c r="A21" s="70">
        <v>45982</v>
      </c>
      <c r="B21" s="61" t="s">
        <v>49</v>
      </c>
      <c r="C21" s="62" t="s">
        <v>50</v>
      </c>
      <c r="D21" s="61" t="s">
        <v>1</v>
      </c>
      <c r="E21" s="71">
        <v>1.0972222222222221</v>
      </c>
      <c r="F21" s="61" t="s">
        <v>51</v>
      </c>
      <c r="G21" s="63">
        <v>9</v>
      </c>
      <c r="H21" s="65" t="s">
        <v>89</v>
      </c>
    </row>
    <row r="22" spans="1:8" ht="19.8" customHeight="1" x14ac:dyDescent="0.3">
      <c r="A22" s="70">
        <v>45982</v>
      </c>
      <c r="B22" s="61" t="s">
        <v>49</v>
      </c>
      <c r="C22" s="62" t="s">
        <v>54</v>
      </c>
      <c r="D22" s="61" t="s">
        <v>1</v>
      </c>
      <c r="E22" s="71">
        <v>1.2222222222222221</v>
      </c>
      <c r="F22" s="61" t="s">
        <v>51</v>
      </c>
      <c r="G22" s="63">
        <v>9</v>
      </c>
      <c r="H22" s="65" t="s">
        <v>89</v>
      </c>
    </row>
    <row r="23" spans="1:8" ht="19.8" customHeight="1" x14ac:dyDescent="0.3">
      <c r="A23" s="70">
        <v>45982</v>
      </c>
      <c r="B23" s="61" t="s">
        <v>49</v>
      </c>
      <c r="C23" s="62" t="s">
        <v>56</v>
      </c>
      <c r="D23" s="61" t="s">
        <v>1</v>
      </c>
      <c r="E23" s="71">
        <v>1.444444444444444</v>
      </c>
      <c r="F23" s="61" t="s">
        <v>51</v>
      </c>
      <c r="G23" s="63">
        <v>9</v>
      </c>
      <c r="H23" s="65" t="s">
        <v>89</v>
      </c>
    </row>
    <row r="24" spans="1:8" ht="19.8" customHeight="1" x14ac:dyDescent="0.3">
      <c r="A24" s="70">
        <v>45982</v>
      </c>
      <c r="B24" s="61" t="s">
        <v>49</v>
      </c>
      <c r="C24" s="62" t="s">
        <v>60</v>
      </c>
      <c r="D24" s="61" t="s">
        <v>1</v>
      </c>
      <c r="E24" s="71">
        <v>1.493055555555556</v>
      </c>
      <c r="F24" s="61" t="s">
        <v>51</v>
      </c>
      <c r="G24" s="63">
        <v>9</v>
      </c>
      <c r="H24" s="65" t="s">
        <v>89</v>
      </c>
    </row>
    <row r="25" spans="1:8" ht="19.8" customHeight="1" x14ac:dyDescent="0.3">
      <c r="A25" s="72">
        <v>45982</v>
      </c>
      <c r="B25" s="73" t="s">
        <v>41</v>
      </c>
      <c r="C25" s="74" t="s">
        <v>42</v>
      </c>
      <c r="D25" s="73" t="s">
        <v>1</v>
      </c>
      <c r="E25" s="75">
        <v>1.4201388888888891</v>
      </c>
      <c r="F25" s="73" t="s">
        <v>47</v>
      </c>
      <c r="G25" s="76">
        <v>19</v>
      </c>
      <c r="H25" s="77" t="s">
        <v>88</v>
      </c>
    </row>
    <row r="26" spans="1:8" ht="19.8" customHeight="1" x14ac:dyDescent="0.3">
      <c r="A26" s="101"/>
      <c r="B26" s="102"/>
      <c r="C26" s="102"/>
      <c r="D26" s="102"/>
      <c r="E26" s="102"/>
      <c r="F26" s="103" t="s">
        <v>199</v>
      </c>
      <c r="G26" s="102"/>
      <c r="H26" s="104"/>
    </row>
    <row r="27" spans="1:8" ht="19.8" customHeight="1" x14ac:dyDescent="0.3">
      <c r="A27" s="70">
        <v>45983</v>
      </c>
      <c r="B27" s="61" t="s">
        <v>26</v>
      </c>
      <c r="C27" s="62" t="s">
        <v>36</v>
      </c>
      <c r="D27" s="61" t="s">
        <v>1</v>
      </c>
      <c r="E27" s="71">
        <v>1.354166666666667</v>
      </c>
      <c r="F27" s="61" t="s">
        <v>28</v>
      </c>
      <c r="G27" s="63">
        <v>9</v>
      </c>
      <c r="H27" s="64">
        <v>609</v>
      </c>
    </row>
    <row r="28" spans="1:8" ht="19.8" customHeight="1" x14ac:dyDescent="0.3">
      <c r="A28" s="70">
        <v>45983</v>
      </c>
      <c r="B28" s="61" t="s">
        <v>26</v>
      </c>
      <c r="C28" s="62" t="s">
        <v>27</v>
      </c>
      <c r="D28" s="61" t="s">
        <v>1</v>
      </c>
      <c r="E28" s="71">
        <v>1.756944444444444</v>
      </c>
      <c r="F28" s="61" t="s">
        <v>28</v>
      </c>
      <c r="G28" s="63">
        <v>9</v>
      </c>
      <c r="H28" s="64">
        <v>609</v>
      </c>
    </row>
    <row r="29" spans="1:8" ht="19.8" customHeight="1" x14ac:dyDescent="0.3">
      <c r="A29" s="70">
        <v>45983</v>
      </c>
      <c r="B29" s="61" t="s">
        <v>41</v>
      </c>
      <c r="C29" s="62" t="s">
        <v>42</v>
      </c>
      <c r="D29" s="61" t="s">
        <v>1</v>
      </c>
      <c r="E29" s="71">
        <v>1.4201388888888891</v>
      </c>
      <c r="F29" s="61" t="s">
        <v>43</v>
      </c>
      <c r="G29" s="63">
        <v>14</v>
      </c>
      <c r="H29" s="64">
        <v>619</v>
      </c>
    </row>
    <row r="30" spans="1:8" ht="19.8" customHeight="1" x14ac:dyDescent="0.3">
      <c r="A30" s="70">
        <v>45983</v>
      </c>
      <c r="B30" s="61" t="s">
        <v>26</v>
      </c>
      <c r="C30" s="62" t="s">
        <v>36</v>
      </c>
      <c r="D30" s="61" t="s">
        <v>1</v>
      </c>
      <c r="E30" s="71">
        <v>1.354166666666667</v>
      </c>
      <c r="F30" s="61" t="s">
        <v>31</v>
      </c>
      <c r="G30" s="63">
        <v>9</v>
      </c>
      <c r="H30" s="64">
        <v>709</v>
      </c>
    </row>
    <row r="31" spans="1:8" ht="19.8" customHeight="1" x14ac:dyDescent="0.3">
      <c r="A31" s="70">
        <v>45983</v>
      </c>
      <c r="B31" s="61" t="s">
        <v>26</v>
      </c>
      <c r="C31" s="62" t="s">
        <v>27</v>
      </c>
      <c r="D31" s="61" t="s">
        <v>1</v>
      </c>
      <c r="E31" s="71">
        <v>1.756944444444444</v>
      </c>
      <c r="F31" s="61" t="s">
        <v>31</v>
      </c>
      <c r="G31" s="63">
        <v>9</v>
      </c>
      <c r="H31" s="64">
        <v>709</v>
      </c>
    </row>
    <row r="32" spans="1:8" ht="19.8" customHeight="1" x14ac:dyDescent="0.3">
      <c r="A32" s="70">
        <v>45983</v>
      </c>
      <c r="B32" s="61" t="s">
        <v>41</v>
      </c>
      <c r="C32" s="62" t="s">
        <v>42</v>
      </c>
      <c r="D32" s="61" t="s">
        <v>1</v>
      </c>
      <c r="E32" s="71">
        <v>1.4201388888888891</v>
      </c>
      <c r="F32" s="61" t="s">
        <v>45</v>
      </c>
      <c r="G32" s="63">
        <v>14</v>
      </c>
      <c r="H32" s="64">
        <v>769</v>
      </c>
    </row>
    <row r="33" spans="1:8" ht="19.8" customHeight="1" x14ac:dyDescent="0.3">
      <c r="A33" s="70">
        <v>45983</v>
      </c>
      <c r="B33" s="61" t="s">
        <v>26</v>
      </c>
      <c r="C33" s="62" t="s">
        <v>36</v>
      </c>
      <c r="D33" s="61" t="s">
        <v>1</v>
      </c>
      <c r="E33" s="71">
        <v>1.354166666666667</v>
      </c>
      <c r="F33" s="61" t="s">
        <v>34</v>
      </c>
      <c r="G33" s="63">
        <v>9</v>
      </c>
      <c r="H33" s="64">
        <v>799</v>
      </c>
    </row>
    <row r="34" spans="1:8" ht="19.8" customHeight="1" x14ac:dyDescent="0.3">
      <c r="A34" s="70">
        <v>45983</v>
      </c>
      <c r="B34" s="61" t="s">
        <v>26</v>
      </c>
      <c r="C34" s="62" t="s">
        <v>27</v>
      </c>
      <c r="D34" s="61" t="s">
        <v>1</v>
      </c>
      <c r="E34" s="71">
        <v>1.756944444444444</v>
      </c>
      <c r="F34" s="61" t="s">
        <v>34</v>
      </c>
      <c r="G34" s="63">
        <v>9</v>
      </c>
      <c r="H34" s="64">
        <v>799</v>
      </c>
    </row>
    <row r="35" spans="1:8" ht="19.8" customHeight="1" x14ac:dyDescent="0.3">
      <c r="A35" s="70">
        <v>45983</v>
      </c>
      <c r="B35" s="61" t="s">
        <v>49</v>
      </c>
      <c r="C35" s="62" t="s">
        <v>50</v>
      </c>
      <c r="D35" s="61" t="s">
        <v>1</v>
      </c>
      <c r="E35" s="71">
        <v>1.0972222222222221</v>
      </c>
      <c r="F35" s="61" t="s">
        <v>51</v>
      </c>
      <c r="G35" s="63">
        <v>9</v>
      </c>
      <c r="H35" s="65" t="s">
        <v>99</v>
      </c>
    </row>
    <row r="36" spans="1:8" ht="19.8" customHeight="1" x14ac:dyDescent="0.3">
      <c r="A36" s="72">
        <v>45983</v>
      </c>
      <c r="B36" s="73" t="s">
        <v>41</v>
      </c>
      <c r="C36" s="74" t="s">
        <v>42</v>
      </c>
      <c r="D36" s="73" t="s">
        <v>1</v>
      </c>
      <c r="E36" s="75">
        <v>1.4201388888888891</v>
      </c>
      <c r="F36" s="73" t="s">
        <v>47</v>
      </c>
      <c r="G36" s="76">
        <v>14</v>
      </c>
      <c r="H36" s="77" t="s">
        <v>48</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17"/>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8.21875" bestFit="1" customWidth="1"/>
  </cols>
  <sheetData>
    <row r="1" spans="1:92" ht="28.8" customHeight="1" x14ac:dyDescent="0.3">
      <c r="A1" s="272" t="s">
        <v>0</v>
      </c>
      <c r="B1" s="261"/>
      <c r="C1" s="261"/>
      <c r="D1" s="261"/>
      <c r="E1" s="261"/>
      <c r="F1" s="1" t="s">
        <v>200</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45980.492396902453</v>
      </c>
      <c r="H2" s="261"/>
      <c r="I2" s="261"/>
      <c r="J2" s="261"/>
      <c r="K2" s="274">
        <v>45980.492396902751</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45983</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6" t="s">
        <v>78</v>
      </c>
      <c r="B6" s="106" t="s">
        <v>201</v>
      </c>
      <c r="C6" s="107">
        <v>0.95486111111111116</v>
      </c>
      <c r="D6" s="106" t="s">
        <v>80</v>
      </c>
      <c r="E6" s="108"/>
      <c r="F6" s="106" t="s">
        <v>202</v>
      </c>
      <c r="G6" s="266"/>
      <c r="H6" s="109" t="s">
        <v>201</v>
      </c>
      <c r="I6" s="110">
        <v>0.96430000000000005</v>
      </c>
      <c r="J6" s="111">
        <v>162</v>
      </c>
      <c r="K6" s="112">
        <v>45979</v>
      </c>
      <c r="L6" s="111">
        <v>50</v>
      </c>
      <c r="M6" s="111">
        <v>0</v>
      </c>
      <c r="N6" s="111">
        <v>7</v>
      </c>
      <c r="O6" s="113" t="s">
        <v>203</v>
      </c>
      <c r="P6" s="114">
        <v>0.95486111111111116</v>
      </c>
      <c r="Q6" s="111">
        <v>168</v>
      </c>
      <c r="R6" s="115" t="s">
        <v>204</v>
      </c>
    </row>
    <row r="7" spans="1:92" ht="18" x14ac:dyDescent="0.3">
      <c r="A7" s="278" t="s">
        <v>184</v>
      </c>
      <c r="B7" s="279"/>
      <c r="C7" s="279"/>
      <c r="D7" s="279"/>
      <c r="E7" s="279"/>
      <c r="F7" s="280"/>
      <c r="G7" s="267"/>
      <c r="H7" s="89"/>
      <c r="I7" s="89"/>
      <c r="J7" s="89"/>
      <c r="K7" s="89"/>
      <c r="L7" s="89"/>
      <c r="M7" s="89"/>
      <c r="N7" s="89"/>
      <c r="O7" s="90"/>
      <c r="P7" s="89"/>
      <c r="Q7" s="56"/>
      <c r="R7" s="56"/>
    </row>
    <row r="8" spans="1:92" ht="15" customHeight="1" x14ac:dyDescent="0.3">
      <c r="A8" s="17" t="s">
        <v>26</v>
      </c>
      <c r="B8" s="17" t="s">
        <v>36</v>
      </c>
      <c r="C8" s="18" t="s">
        <v>165</v>
      </c>
      <c r="D8" s="17" t="s">
        <v>28</v>
      </c>
      <c r="E8" s="17" t="s">
        <v>185</v>
      </c>
      <c r="F8" s="17" t="s">
        <v>38</v>
      </c>
      <c r="G8" s="267"/>
      <c r="H8" s="89"/>
      <c r="I8" s="89"/>
      <c r="J8" s="89"/>
      <c r="K8" s="89"/>
      <c r="L8" s="89"/>
      <c r="M8" s="89"/>
      <c r="N8" s="89"/>
      <c r="O8" s="90"/>
      <c r="P8" s="89"/>
      <c r="Q8" s="56"/>
      <c r="R8" s="56"/>
    </row>
    <row r="9" spans="1:92" ht="15" customHeight="1" x14ac:dyDescent="0.3">
      <c r="A9" s="17" t="s">
        <v>26</v>
      </c>
      <c r="B9" s="17" t="s">
        <v>27</v>
      </c>
      <c r="C9" s="18" t="s">
        <v>163</v>
      </c>
      <c r="D9" s="17" t="s">
        <v>28</v>
      </c>
      <c r="E9" s="17" t="s">
        <v>185</v>
      </c>
      <c r="F9" s="17" t="s">
        <v>38</v>
      </c>
      <c r="G9" s="267"/>
      <c r="H9" s="89"/>
      <c r="I9" s="89"/>
      <c r="J9" s="89"/>
      <c r="K9" s="89"/>
      <c r="L9" s="89"/>
      <c r="M9" s="89"/>
      <c r="N9" s="89"/>
      <c r="O9" s="90"/>
      <c r="P9" s="89"/>
      <c r="Q9" s="56"/>
      <c r="R9" s="56"/>
    </row>
    <row r="10" spans="1:92" ht="15" customHeight="1" x14ac:dyDescent="0.3">
      <c r="A10" s="17" t="s">
        <v>41</v>
      </c>
      <c r="B10" s="17" t="s">
        <v>42</v>
      </c>
      <c r="C10" s="18" t="s">
        <v>164</v>
      </c>
      <c r="D10" s="17" t="s">
        <v>43</v>
      </c>
      <c r="E10" s="17" t="s">
        <v>205</v>
      </c>
      <c r="F10" s="17" t="s">
        <v>85</v>
      </c>
      <c r="G10" s="267"/>
      <c r="H10" s="89"/>
      <c r="I10" s="89"/>
      <c r="J10" s="89"/>
      <c r="K10" s="89"/>
      <c r="L10" s="89"/>
      <c r="M10" s="89"/>
      <c r="N10" s="89"/>
      <c r="O10" s="90"/>
      <c r="P10" s="89"/>
      <c r="Q10" s="56"/>
      <c r="R10" s="56"/>
    </row>
    <row r="11" spans="1:92" ht="15" customHeight="1" x14ac:dyDescent="0.3">
      <c r="A11" s="17" t="s">
        <v>26</v>
      </c>
      <c r="B11" s="17" t="s">
        <v>36</v>
      </c>
      <c r="C11" s="18" t="s">
        <v>165</v>
      </c>
      <c r="D11" s="17" t="s">
        <v>31</v>
      </c>
      <c r="E11" s="17" t="s">
        <v>185</v>
      </c>
      <c r="F11" s="17" t="s">
        <v>39</v>
      </c>
      <c r="G11" s="267"/>
      <c r="H11" s="89"/>
      <c r="I11" s="89"/>
      <c r="J11" s="89"/>
      <c r="K11" s="89"/>
      <c r="L11" s="89"/>
      <c r="M11" s="89"/>
      <c r="N11" s="89"/>
      <c r="O11" s="90"/>
      <c r="P11" s="89"/>
      <c r="Q11" s="56"/>
      <c r="R11" s="56"/>
    </row>
    <row r="12" spans="1:92" ht="15" customHeight="1" x14ac:dyDescent="0.3">
      <c r="A12" s="17" t="s">
        <v>26</v>
      </c>
      <c r="B12" s="17" t="s">
        <v>27</v>
      </c>
      <c r="C12" s="18" t="s">
        <v>163</v>
      </c>
      <c r="D12" s="17" t="s">
        <v>31</v>
      </c>
      <c r="E12" s="17" t="s">
        <v>185</v>
      </c>
      <c r="F12" s="17" t="s">
        <v>39</v>
      </c>
      <c r="G12" s="267"/>
      <c r="H12" s="89"/>
      <c r="I12" s="89"/>
      <c r="J12" s="89"/>
      <c r="K12" s="89"/>
      <c r="L12" s="89"/>
      <c r="M12" s="89"/>
      <c r="N12" s="89"/>
      <c r="O12" s="90"/>
      <c r="P12" s="89"/>
      <c r="Q12" s="56"/>
      <c r="R12" s="56"/>
    </row>
    <row r="13" spans="1:92" ht="15" customHeight="1" x14ac:dyDescent="0.3">
      <c r="A13" s="17" t="s">
        <v>41</v>
      </c>
      <c r="B13" s="17" t="s">
        <v>42</v>
      </c>
      <c r="C13" s="18" t="s">
        <v>164</v>
      </c>
      <c r="D13" s="17" t="s">
        <v>45</v>
      </c>
      <c r="E13" s="17" t="s">
        <v>205</v>
      </c>
      <c r="F13" s="17" t="s">
        <v>87</v>
      </c>
      <c r="G13" s="267"/>
      <c r="H13" s="89"/>
      <c r="I13" s="89"/>
      <c r="J13" s="89"/>
      <c r="K13" s="89"/>
      <c r="L13" s="89"/>
      <c r="M13" s="89"/>
      <c r="N13" s="89"/>
      <c r="O13" s="90"/>
      <c r="P13" s="89"/>
      <c r="Q13" s="56"/>
      <c r="R13" s="56"/>
    </row>
    <row r="14" spans="1:92" ht="15" customHeight="1" x14ac:dyDescent="0.3">
      <c r="A14" s="17" t="s">
        <v>26</v>
      </c>
      <c r="B14" s="17" t="s">
        <v>36</v>
      </c>
      <c r="C14" s="18" t="s">
        <v>165</v>
      </c>
      <c r="D14" s="17" t="s">
        <v>34</v>
      </c>
      <c r="E14" s="17" t="s">
        <v>185</v>
      </c>
      <c r="F14" s="17" t="s">
        <v>40</v>
      </c>
      <c r="G14" s="267"/>
      <c r="H14" s="89"/>
      <c r="I14" s="89"/>
      <c r="J14" s="89"/>
      <c r="K14" s="89"/>
      <c r="L14" s="89"/>
      <c r="M14" s="89"/>
      <c r="N14" s="89"/>
      <c r="O14" s="90"/>
      <c r="P14" s="89"/>
      <c r="Q14" s="56"/>
      <c r="R14" s="56"/>
    </row>
    <row r="15" spans="1:92" ht="15" customHeight="1" x14ac:dyDescent="0.3">
      <c r="A15" s="17" t="s">
        <v>26</v>
      </c>
      <c r="B15" s="17" t="s">
        <v>27</v>
      </c>
      <c r="C15" s="18" t="s">
        <v>163</v>
      </c>
      <c r="D15" s="17" t="s">
        <v>34</v>
      </c>
      <c r="E15" s="17" t="s">
        <v>185</v>
      </c>
      <c r="F15" s="17" t="s">
        <v>40</v>
      </c>
      <c r="G15" s="267"/>
      <c r="H15" s="89"/>
      <c r="I15" s="89"/>
      <c r="J15" s="89"/>
      <c r="K15" s="89"/>
      <c r="L15" s="89"/>
      <c r="M15" s="89"/>
      <c r="N15" s="89"/>
      <c r="O15" s="90"/>
      <c r="P15" s="89"/>
      <c r="Q15" s="56"/>
      <c r="R15" s="56"/>
    </row>
    <row r="16" spans="1:92" ht="15" customHeight="1" x14ac:dyDescent="0.3">
      <c r="A16" s="17" t="s">
        <v>49</v>
      </c>
      <c r="B16" s="17" t="s">
        <v>50</v>
      </c>
      <c r="C16" s="18" t="s">
        <v>206</v>
      </c>
      <c r="D16" s="17" t="s">
        <v>51</v>
      </c>
      <c r="E16" s="17" t="s">
        <v>187</v>
      </c>
      <c r="F16" s="17" t="s">
        <v>99</v>
      </c>
      <c r="G16" s="267"/>
      <c r="H16" s="89"/>
      <c r="I16" s="89"/>
      <c r="J16" s="89"/>
      <c r="K16" s="89"/>
      <c r="L16" s="89"/>
      <c r="M16" s="89"/>
      <c r="N16" s="89"/>
      <c r="O16" s="90"/>
      <c r="P16" s="89"/>
      <c r="Q16" s="56"/>
      <c r="R16" s="56"/>
    </row>
    <row r="17" spans="1:18" ht="15" customHeight="1" x14ac:dyDescent="0.3">
      <c r="A17" s="91" t="s">
        <v>41</v>
      </c>
      <c r="B17" s="91" t="s">
        <v>42</v>
      </c>
      <c r="C17" s="92" t="s">
        <v>164</v>
      </c>
      <c r="D17" s="91" t="s">
        <v>47</v>
      </c>
      <c r="E17" s="91" t="s">
        <v>205</v>
      </c>
      <c r="F17" s="91" t="s">
        <v>48</v>
      </c>
      <c r="G17" s="268"/>
      <c r="H17" s="93"/>
      <c r="I17" s="93"/>
      <c r="J17" s="93"/>
      <c r="K17" s="93"/>
      <c r="L17" s="93"/>
      <c r="M17" s="93"/>
      <c r="N17" s="93"/>
      <c r="O17" s="94"/>
      <c r="P17" s="93"/>
      <c r="Q17" s="95"/>
      <c r="R17" s="95"/>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3"/>
  <sheetViews>
    <sheetView workbookViewId="0"/>
  </sheetViews>
  <sheetFormatPr defaultRowHeight="15.6" outlineLevelCol="1" x14ac:dyDescent="0.3"/>
  <cols>
    <col min="1" max="1" width="9.77734375" style="282" bestFit="1" customWidth="1"/>
    <col min="2" max="2" width="10.44140625" style="282" bestFit="1" customWidth="1"/>
    <col min="3" max="3" width="6.77734375" style="282" bestFit="1" customWidth="1"/>
    <col min="4" max="4" width="5.5546875" style="282" bestFit="1" customWidth="1"/>
    <col min="5" max="5" width="8.777343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8" width="3.88671875" style="282" bestFit="1" customWidth="1"/>
    <col min="29" max="29" width="4.21875" style="282" bestFit="1" customWidth="1"/>
    <col min="30" max="31" width="4.5546875" style="282" bestFit="1" customWidth="1"/>
    <col min="32" max="34" width="3.88671875" style="282" bestFit="1" customWidth="1"/>
    <col min="35" max="35" width="4.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150</v>
      </c>
      <c r="B2" s="284">
        <v>45983</v>
      </c>
      <c r="C2" s="285" t="s">
        <v>201</v>
      </c>
      <c r="D2" s="286" t="s">
        <v>207</v>
      </c>
      <c r="E2" s="285" t="s">
        <v>200</v>
      </c>
      <c r="F2" s="285" t="s">
        <v>136</v>
      </c>
      <c r="G2" s="287">
        <v>0.96430000000000005</v>
      </c>
      <c r="H2" s="288">
        <v>168</v>
      </c>
      <c r="I2" s="288">
        <v>162</v>
      </c>
      <c r="J2" s="288">
        <v>84</v>
      </c>
      <c r="K2" s="285" t="s">
        <v>137</v>
      </c>
      <c r="L2" s="289">
        <v>45979</v>
      </c>
      <c r="M2" s="288">
        <v>0</v>
      </c>
      <c r="N2" s="288">
        <v>7</v>
      </c>
      <c r="O2" s="288">
        <v>50</v>
      </c>
      <c r="P2" s="285" t="s">
        <v>203</v>
      </c>
      <c r="Q2" s="281"/>
      <c r="R2" s="281"/>
      <c r="S2" s="281"/>
      <c r="T2" s="281"/>
      <c r="U2" s="281"/>
      <c r="V2" s="281"/>
      <c r="W2" s="281"/>
      <c r="X2" s="281"/>
      <c r="Y2" s="281"/>
      <c r="Z2" s="288" t="s">
        <v>208</v>
      </c>
      <c r="AA2" s="281"/>
      <c r="AB2" s="281"/>
      <c r="AC2" s="288" t="s">
        <v>209</v>
      </c>
      <c r="AD2" s="288" t="s">
        <v>210</v>
      </c>
      <c r="AE2" s="288" t="s">
        <v>211</v>
      </c>
      <c r="AF2" s="288" t="s">
        <v>212</v>
      </c>
      <c r="AG2" s="281"/>
      <c r="AH2" s="281"/>
      <c r="AI2" s="288" t="s">
        <v>213</v>
      </c>
      <c r="AJ2" s="281"/>
    </row>
    <row r="3" spans="1:36" ht="21" x14ac:dyDescent="0.3">
      <c r="A3" s="290" t="s">
        <v>976</v>
      </c>
      <c r="B3" s="291"/>
      <c r="C3" s="290">
        <f>SUBTOTAL(103,MED_ATZ_LF_LEGACY[Flt])</f>
        <v>1</v>
      </c>
      <c r="D3" s="290"/>
      <c r="E3" s="290">
        <f>SUBTOTAL(103,MED_ATZ_LF_LEGACY[Brd-Off])</f>
        <v>1</v>
      </c>
      <c r="F3" s="290"/>
      <c r="G3" s="292">
        <f>SUBTOTAL(101,MED_ATZ_LF_LEGACY[LF%])</f>
        <v>0.96430000000000005</v>
      </c>
      <c r="H3" s="293">
        <f>SUBTOTAL(109,MED_ATZ_LF_LEGACY[CAP])</f>
        <v>168</v>
      </c>
      <c r="I3" s="293">
        <f>SUBTOTAL(109,MED_ATZ_LF_LEGACY[BKG(Y)])</f>
        <v>162</v>
      </c>
      <c r="J3" s="293">
        <f>SUBTOTAL(109,MED_ATZ_LF_LEGACY[GRP(Y)])</f>
        <v>84</v>
      </c>
      <c r="K3" s="290"/>
      <c r="L3" s="291"/>
      <c r="M3" s="293">
        <f>SUBTOTAL(109,MED_ATZ_LF_LEGACY[TO-DAY])</f>
        <v>0</v>
      </c>
      <c r="N3" s="293">
        <f>SUBTOTAL(109,MED_ATZ_LF_LEGACY[Y-DAY])</f>
        <v>7</v>
      </c>
      <c r="O3" s="293">
        <f>SUBTOTAL(109,MED_ATZ_LF_LEGACY[WEEKLY])</f>
        <v>50</v>
      </c>
      <c r="P3" s="294"/>
      <c r="Q3" s="293">
        <f>SUBTOTAL(109,MED_ATZ_LF_LEGACY[Y])</f>
        <v>0</v>
      </c>
      <c r="R3" s="293">
        <f>SUBTOTAL(109,MED_ATZ_LF_LEGACY[B])</f>
        <v>0</v>
      </c>
      <c r="S3" s="293">
        <f>SUBTOTAL(109,MED_ATZ_LF_LEGACY[M])</f>
        <v>0</v>
      </c>
      <c r="T3" s="293">
        <f>SUBTOTAL(109,MED_ATZ_LF_LEGACY[H])</f>
        <v>0</v>
      </c>
      <c r="U3" s="293">
        <f>SUBTOTAL(109,MED_ATZ_LF_LEGACY[Q])</f>
        <v>0</v>
      </c>
      <c r="V3" s="293">
        <f>SUBTOTAL(109,MED_ATZ_LF_LEGACY[K])</f>
        <v>0</v>
      </c>
      <c r="W3" s="293">
        <f>SUBTOTAL(109,MED_ATZ_LF_LEGACY[V])</f>
        <v>0</v>
      </c>
      <c r="X3" s="293">
        <f>SUBTOTAL(109,MED_ATZ_LF_LEGACY[L])</f>
        <v>0</v>
      </c>
      <c r="Y3" s="293">
        <f>SUBTOTAL(109,MED_ATZ_LF_LEGACY[G])</f>
        <v>0</v>
      </c>
      <c r="Z3" s="293">
        <f>SUBTOTAL(109,MED_ATZ_LF_LEGACY[S])</f>
        <v>0</v>
      </c>
      <c r="AA3" s="293">
        <f>SUBTOTAL(109,MED_ATZ_LF_LEGACY[W])</f>
        <v>0</v>
      </c>
      <c r="AB3" s="293">
        <f>SUBTOTAL(109,MED_ATZ_LF_LEGACY[T])</f>
        <v>0</v>
      </c>
      <c r="AC3" s="293">
        <f>SUBTOTAL(109,MED_ATZ_LF_LEGACY[X])</f>
        <v>0</v>
      </c>
      <c r="AD3" s="293">
        <f>SUBTOTAL(109,MED_ATZ_LF_LEGACY[U])</f>
        <v>0</v>
      </c>
      <c r="AE3" s="293">
        <f>SUBTOTAL(109,MED_ATZ_LF_LEGACY[O])</f>
        <v>0</v>
      </c>
      <c r="AF3" s="293">
        <f>SUBTOTAL(109,MED_ATZ_LF_LEGACY[I])</f>
        <v>0</v>
      </c>
      <c r="AG3" s="293">
        <f>SUBTOTAL(109,MED_ATZ_LF_LEGACY[E])</f>
        <v>0</v>
      </c>
      <c r="AH3" s="293">
        <f>SUBTOTAL(109,MED_ATZ_LF_LEGACY[A])</f>
        <v>0</v>
      </c>
      <c r="AI3" s="293">
        <f>SUBTOTAL(109,MED_ATZ_LF_LEGACY[P])</f>
        <v>0</v>
      </c>
      <c r="AJ3" s="293">
        <f>SUBTOTAL(103,MED_ATZ_LF_LEGACY[N])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74.5546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199</v>
      </c>
      <c r="G2" s="102"/>
      <c r="H2" s="104"/>
    </row>
    <row r="3" spans="1:8" ht="19.8" customHeight="1" x14ac:dyDescent="0.3">
      <c r="A3" s="60" t="s">
        <v>162</v>
      </c>
      <c r="B3" s="61" t="s">
        <v>26</v>
      </c>
      <c r="C3" s="62" t="s">
        <v>27</v>
      </c>
      <c r="D3" s="61" t="s">
        <v>1</v>
      </c>
      <c r="E3" s="61" t="s">
        <v>163</v>
      </c>
      <c r="F3" s="61" t="s">
        <v>28</v>
      </c>
      <c r="G3" s="63">
        <v>9</v>
      </c>
      <c r="H3" s="64">
        <v>559</v>
      </c>
    </row>
    <row r="4" spans="1:8" ht="19.8" customHeight="1" x14ac:dyDescent="0.3">
      <c r="A4" s="60" t="s">
        <v>162</v>
      </c>
      <c r="B4" s="61" t="s">
        <v>41</v>
      </c>
      <c r="C4" s="62" t="s">
        <v>42</v>
      </c>
      <c r="D4" s="61" t="s">
        <v>1</v>
      </c>
      <c r="E4" s="61" t="s">
        <v>164</v>
      </c>
      <c r="F4" s="61" t="s">
        <v>43</v>
      </c>
      <c r="G4" s="63">
        <v>12</v>
      </c>
      <c r="H4" s="64">
        <v>559</v>
      </c>
    </row>
    <row r="5" spans="1:8" ht="19.8" customHeight="1" x14ac:dyDescent="0.3">
      <c r="A5" s="60" t="s">
        <v>162</v>
      </c>
      <c r="B5" s="61" t="s">
        <v>26</v>
      </c>
      <c r="C5" s="62" t="s">
        <v>36</v>
      </c>
      <c r="D5" s="61" t="s">
        <v>1</v>
      </c>
      <c r="E5" s="61" t="s">
        <v>165</v>
      </c>
      <c r="F5" s="61" t="s">
        <v>28</v>
      </c>
      <c r="G5" s="63">
        <v>9</v>
      </c>
      <c r="H5" s="64">
        <v>609</v>
      </c>
    </row>
    <row r="6" spans="1:8" ht="19.8" customHeight="1" x14ac:dyDescent="0.3">
      <c r="A6" s="60" t="s">
        <v>162</v>
      </c>
      <c r="B6" s="61" t="s">
        <v>26</v>
      </c>
      <c r="C6" s="62" t="s">
        <v>27</v>
      </c>
      <c r="D6" s="61" t="s">
        <v>1</v>
      </c>
      <c r="E6" s="61" t="s">
        <v>163</v>
      </c>
      <c r="F6" s="61" t="s">
        <v>31</v>
      </c>
      <c r="G6" s="63">
        <v>9</v>
      </c>
      <c r="H6" s="64">
        <v>659</v>
      </c>
    </row>
    <row r="7" spans="1:8" ht="19.8" customHeight="1" x14ac:dyDescent="0.3">
      <c r="A7" s="60" t="s">
        <v>162</v>
      </c>
      <c r="B7" s="61" t="s">
        <v>26</v>
      </c>
      <c r="C7" s="62" t="s">
        <v>36</v>
      </c>
      <c r="D7" s="61" t="s">
        <v>1</v>
      </c>
      <c r="E7" s="61" t="s">
        <v>165</v>
      </c>
      <c r="F7" s="61" t="s">
        <v>31</v>
      </c>
      <c r="G7" s="63">
        <v>9</v>
      </c>
      <c r="H7" s="64">
        <v>709</v>
      </c>
    </row>
    <row r="8" spans="1:8" ht="19.8" customHeight="1" x14ac:dyDescent="0.3">
      <c r="A8" s="60" t="s">
        <v>162</v>
      </c>
      <c r="B8" s="61" t="s">
        <v>41</v>
      </c>
      <c r="C8" s="62" t="s">
        <v>42</v>
      </c>
      <c r="D8" s="61" t="s">
        <v>1</v>
      </c>
      <c r="E8" s="61" t="s">
        <v>164</v>
      </c>
      <c r="F8" s="61" t="s">
        <v>45</v>
      </c>
      <c r="G8" s="63">
        <v>12</v>
      </c>
      <c r="H8" s="64">
        <v>709</v>
      </c>
    </row>
    <row r="9" spans="1:8" ht="19.8" customHeight="1" x14ac:dyDescent="0.3">
      <c r="A9" s="60" t="s">
        <v>162</v>
      </c>
      <c r="B9" s="61" t="s">
        <v>26</v>
      </c>
      <c r="C9" s="62" t="s">
        <v>27</v>
      </c>
      <c r="D9" s="61" t="s">
        <v>1</v>
      </c>
      <c r="E9" s="61" t="s">
        <v>163</v>
      </c>
      <c r="F9" s="61" t="s">
        <v>34</v>
      </c>
      <c r="G9" s="63">
        <v>9</v>
      </c>
      <c r="H9" s="64">
        <v>749</v>
      </c>
    </row>
    <row r="10" spans="1:8" ht="19.8" customHeight="1" x14ac:dyDescent="0.3">
      <c r="A10" s="60" t="s">
        <v>162</v>
      </c>
      <c r="B10" s="61" t="s">
        <v>26</v>
      </c>
      <c r="C10" s="62" t="s">
        <v>36</v>
      </c>
      <c r="D10" s="61" t="s">
        <v>1</v>
      </c>
      <c r="E10" s="61" t="s">
        <v>165</v>
      </c>
      <c r="F10" s="61" t="s">
        <v>34</v>
      </c>
      <c r="G10" s="63">
        <v>9</v>
      </c>
      <c r="H10" s="64">
        <v>799</v>
      </c>
    </row>
    <row r="11" spans="1:8" ht="19.8" customHeight="1" x14ac:dyDescent="0.3">
      <c r="A11" s="60" t="s">
        <v>162</v>
      </c>
      <c r="B11" s="61" t="s">
        <v>49</v>
      </c>
      <c r="C11" s="62" t="s">
        <v>50</v>
      </c>
      <c r="D11" s="61" t="s">
        <v>1</v>
      </c>
      <c r="E11" s="61" t="s">
        <v>166</v>
      </c>
      <c r="F11" s="61" t="s">
        <v>51</v>
      </c>
      <c r="G11" s="63">
        <v>9</v>
      </c>
      <c r="H11" s="64">
        <v>902</v>
      </c>
    </row>
    <row r="12" spans="1:8" ht="19.8" customHeight="1" x14ac:dyDescent="0.3">
      <c r="A12" s="116" t="s">
        <v>162</v>
      </c>
      <c r="B12" s="73" t="s">
        <v>49</v>
      </c>
      <c r="C12" s="74" t="s">
        <v>54</v>
      </c>
      <c r="D12" s="73" t="s">
        <v>1</v>
      </c>
      <c r="E12" s="73" t="s">
        <v>167</v>
      </c>
      <c r="F12" s="73" t="s">
        <v>51</v>
      </c>
      <c r="G12" s="76">
        <v>9</v>
      </c>
      <c r="H12" s="105">
        <v>902</v>
      </c>
    </row>
    <row r="13" spans="1:8" ht="19.8" customHeight="1" x14ac:dyDescent="0.3">
      <c r="A13" s="101"/>
      <c r="B13" s="102"/>
      <c r="C13" s="102"/>
      <c r="D13" s="102"/>
      <c r="E13" s="102"/>
      <c r="F13" s="103" t="s">
        <v>199</v>
      </c>
      <c r="G13" s="102"/>
      <c r="H13" s="104"/>
    </row>
    <row r="14" spans="1:8" ht="19.8" customHeight="1" x14ac:dyDescent="0.3">
      <c r="A14" s="60" t="s">
        <v>214</v>
      </c>
      <c r="B14" s="61" t="s">
        <v>26</v>
      </c>
      <c r="C14" s="62" t="s">
        <v>27</v>
      </c>
      <c r="D14" s="61" t="s">
        <v>1</v>
      </c>
      <c r="E14" s="61" t="s">
        <v>163</v>
      </c>
      <c r="F14" s="61" t="s">
        <v>28</v>
      </c>
      <c r="G14" s="63">
        <v>9</v>
      </c>
      <c r="H14" s="64">
        <v>609</v>
      </c>
    </row>
    <row r="15" spans="1:8" ht="19.8" customHeight="1" x14ac:dyDescent="0.3">
      <c r="A15" s="60" t="s">
        <v>214</v>
      </c>
      <c r="B15" s="61" t="s">
        <v>41</v>
      </c>
      <c r="C15" s="62" t="s">
        <v>42</v>
      </c>
      <c r="D15" s="61" t="s">
        <v>1</v>
      </c>
      <c r="E15" s="61" t="s">
        <v>164</v>
      </c>
      <c r="F15" s="61" t="s">
        <v>43</v>
      </c>
      <c r="G15" s="63">
        <v>19</v>
      </c>
      <c r="H15" s="64">
        <v>619</v>
      </c>
    </row>
    <row r="16" spans="1:8" ht="19.8" customHeight="1" x14ac:dyDescent="0.3">
      <c r="A16" s="60" t="s">
        <v>214</v>
      </c>
      <c r="B16" s="61" t="s">
        <v>26</v>
      </c>
      <c r="C16" s="62" t="s">
        <v>27</v>
      </c>
      <c r="D16" s="61" t="s">
        <v>1</v>
      </c>
      <c r="E16" s="61" t="s">
        <v>163</v>
      </c>
      <c r="F16" s="61" t="s">
        <v>31</v>
      </c>
      <c r="G16" s="63">
        <v>9</v>
      </c>
      <c r="H16" s="64">
        <v>709</v>
      </c>
    </row>
    <row r="17" spans="1:8" ht="19.8" customHeight="1" x14ac:dyDescent="0.3">
      <c r="A17" s="60" t="s">
        <v>214</v>
      </c>
      <c r="B17" s="61" t="s">
        <v>41</v>
      </c>
      <c r="C17" s="62" t="s">
        <v>42</v>
      </c>
      <c r="D17" s="61" t="s">
        <v>1</v>
      </c>
      <c r="E17" s="61" t="s">
        <v>164</v>
      </c>
      <c r="F17" s="61" t="s">
        <v>45</v>
      </c>
      <c r="G17" s="63">
        <v>19</v>
      </c>
      <c r="H17" s="64">
        <v>769</v>
      </c>
    </row>
    <row r="18" spans="1:8" ht="19.8" customHeight="1" x14ac:dyDescent="0.3">
      <c r="A18" s="60" t="s">
        <v>214</v>
      </c>
      <c r="B18" s="61" t="s">
        <v>26</v>
      </c>
      <c r="C18" s="62" t="s">
        <v>27</v>
      </c>
      <c r="D18" s="61" t="s">
        <v>1</v>
      </c>
      <c r="E18" s="61" t="s">
        <v>163</v>
      </c>
      <c r="F18" s="61" t="s">
        <v>34</v>
      </c>
      <c r="G18" s="63">
        <v>9</v>
      </c>
      <c r="H18" s="64">
        <v>799</v>
      </c>
    </row>
    <row r="19" spans="1:8" ht="19.8" customHeight="1" x14ac:dyDescent="0.3">
      <c r="A19" s="60" t="s">
        <v>214</v>
      </c>
      <c r="B19" s="61" t="s">
        <v>49</v>
      </c>
      <c r="C19" s="62" t="s">
        <v>50</v>
      </c>
      <c r="D19" s="61" t="s">
        <v>1</v>
      </c>
      <c r="E19" s="61" t="s">
        <v>206</v>
      </c>
      <c r="F19" s="61" t="s">
        <v>51</v>
      </c>
      <c r="G19" s="63">
        <v>9</v>
      </c>
      <c r="H19" s="65" t="s">
        <v>89</v>
      </c>
    </row>
    <row r="20" spans="1:8" ht="19.8" customHeight="1" x14ac:dyDescent="0.3">
      <c r="A20" s="60" t="s">
        <v>214</v>
      </c>
      <c r="B20" s="61" t="s">
        <v>49</v>
      </c>
      <c r="C20" s="62" t="s">
        <v>54</v>
      </c>
      <c r="D20" s="61" t="s">
        <v>1</v>
      </c>
      <c r="E20" s="61" t="s">
        <v>167</v>
      </c>
      <c r="F20" s="61" t="s">
        <v>51</v>
      </c>
      <c r="G20" s="63">
        <v>9</v>
      </c>
      <c r="H20" s="65" t="s">
        <v>89</v>
      </c>
    </row>
    <row r="21" spans="1:8" ht="19.8" customHeight="1" x14ac:dyDescent="0.3">
      <c r="A21" s="60" t="s">
        <v>214</v>
      </c>
      <c r="B21" s="61" t="s">
        <v>49</v>
      </c>
      <c r="C21" s="62" t="s">
        <v>56</v>
      </c>
      <c r="D21" s="61" t="s">
        <v>1</v>
      </c>
      <c r="E21" s="61" t="s">
        <v>168</v>
      </c>
      <c r="F21" s="61" t="s">
        <v>51</v>
      </c>
      <c r="G21" s="63">
        <v>9</v>
      </c>
      <c r="H21" s="65" t="s">
        <v>89</v>
      </c>
    </row>
    <row r="22" spans="1:8" ht="19.8" customHeight="1" x14ac:dyDescent="0.3">
      <c r="A22" s="60" t="s">
        <v>214</v>
      </c>
      <c r="B22" s="61" t="s">
        <v>49</v>
      </c>
      <c r="C22" s="62" t="s">
        <v>60</v>
      </c>
      <c r="D22" s="61" t="s">
        <v>1</v>
      </c>
      <c r="E22" s="61" t="s">
        <v>215</v>
      </c>
      <c r="F22" s="61" t="s">
        <v>51</v>
      </c>
      <c r="G22" s="63">
        <v>9</v>
      </c>
      <c r="H22" s="65" t="s">
        <v>89</v>
      </c>
    </row>
    <row r="23" spans="1:8" ht="19.8" customHeight="1" x14ac:dyDescent="0.3">
      <c r="A23" s="116" t="s">
        <v>214</v>
      </c>
      <c r="B23" s="73" t="s">
        <v>41</v>
      </c>
      <c r="C23" s="74" t="s">
        <v>42</v>
      </c>
      <c r="D23" s="73" t="s">
        <v>1</v>
      </c>
      <c r="E23" s="73" t="s">
        <v>164</v>
      </c>
      <c r="F23" s="73" t="s">
        <v>47</v>
      </c>
      <c r="G23" s="76">
        <v>19</v>
      </c>
      <c r="H23" s="77" t="s">
        <v>88</v>
      </c>
    </row>
    <row r="24" spans="1:8" ht="19.8" customHeight="1" x14ac:dyDescent="0.3">
      <c r="A24" s="96" t="s">
        <v>216</v>
      </c>
      <c r="B24" s="97" t="s">
        <v>78</v>
      </c>
      <c r="C24" s="98" t="s">
        <v>217</v>
      </c>
      <c r="D24" s="97" t="s">
        <v>200</v>
      </c>
      <c r="E24" s="97" t="s">
        <v>207</v>
      </c>
      <c r="F24" s="97"/>
      <c r="G24" s="97"/>
      <c r="H24" s="117" t="s">
        <v>202</v>
      </c>
    </row>
    <row r="25" spans="1:8" ht="19.8" customHeight="1" x14ac:dyDescent="0.3">
      <c r="A25" s="101"/>
      <c r="B25" s="102"/>
      <c r="C25" s="102"/>
      <c r="D25" s="102"/>
      <c r="E25" s="102"/>
      <c r="F25" s="103" t="s">
        <v>199</v>
      </c>
      <c r="G25" s="102"/>
      <c r="H25" s="104"/>
    </row>
    <row r="26" spans="1:8" ht="19.8" customHeight="1" x14ac:dyDescent="0.3">
      <c r="A26" s="70">
        <v>45983</v>
      </c>
      <c r="B26" s="61" t="s">
        <v>26</v>
      </c>
      <c r="C26" s="62" t="s">
        <v>36</v>
      </c>
      <c r="D26" s="61" t="s">
        <v>1</v>
      </c>
      <c r="E26" s="71">
        <v>1.354166666666667</v>
      </c>
      <c r="F26" s="61" t="s">
        <v>28</v>
      </c>
      <c r="G26" s="63">
        <v>9</v>
      </c>
      <c r="H26" s="64">
        <v>609</v>
      </c>
    </row>
    <row r="27" spans="1:8" ht="19.8" customHeight="1" x14ac:dyDescent="0.3">
      <c r="A27" s="70">
        <v>45983</v>
      </c>
      <c r="B27" s="61" t="s">
        <v>26</v>
      </c>
      <c r="C27" s="62" t="s">
        <v>27</v>
      </c>
      <c r="D27" s="61" t="s">
        <v>1</v>
      </c>
      <c r="E27" s="71">
        <v>1.756944444444444</v>
      </c>
      <c r="F27" s="61" t="s">
        <v>28</v>
      </c>
      <c r="G27" s="63">
        <v>9</v>
      </c>
      <c r="H27" s="64">
        <v>609</v>
      </c>
    </row>
    <row r="28" spans="1:8" ht="19.8" customHeight="1" x14ac:dyDescent="0.3">
      <c r="A28" s="70">
        <v>45983</v>
      </c>
      <c r="B28" s="61" t="s">
        <v>41</v>
      </c>
      <c r="C28" s="62" t="s">
        <v>42</v>
      </c>
      <c r="D28" s="61" t="s">
        <v>1</v>
      </c>
      <c r="E28" s="71">
        <v>1.4201388888888891</v>
      </c>
      <c r="F28" s="61" t="s">
        <v>43</v>
      </c>
      <c r="G28" s="63">
        <v>14</v>
      </c>
      <c r="H28" s="64">
        <v>619</v>
      </c>
    </row>
    <row r="29" spans="1:8" ht="19.8" customHeight="1" x14ac:dyDescent="0.3">
      <c r="A29" s="70">
        <v>45983</v>
      </c>
      <c r="B29" s="61" t="s">
        <v>26</v>
      </c>
      <c r="C29" s="62" t="s">
        <v>36</v>
      </c>
      <c r="D29" s="61" t="s">
        <v>1</v>
      </c>
      <c r="E29" s="71">
        <v>1.354166666666667</v>
      </c>
      <c r="F29" s="61" t="s">
        <v>31</v>
      </c>
      <c r="G29" s="63">
        <v>9</v>
      </c>
      <c r="H29" s="64">
        <v>709</v>
      </c>
    </row>
    <row r="30" spans="1:8" ht="19.8" customHeight="1" x14ac:dyDescent="0.3">
      <c r="A30" s="70">
        <v>45983</v>
      </c>
      <c r="B30" s="61" t="s">
        <v>26</v>
      </c>
      <c r="C30" s="62" t="s">
        <v>27</v>
      </c>
      <c r="D30" s="61" t="s">
        <v>1</v>
      </c>
      <c r="E30" s="71">
        <v>1.756944444444444</v>
      </c>
      <c r="F30" s="61" t="s">
        <v>31</v>
      </c>
      <c r="G30" s="63">
        <v>9</v>
      </c>
      <c r="H30" s="64">
        <v>709</v>
      </c>
    </row>
    <row r="31" spans="1:8" ht="19.8" customHeight="1" x14ac:dyDescent="0.3">
      <c r="A31" s="70">
        <v>45983</v>
      </c>
      <c r="B31" s="61" t="s">
        <v>41</v>
      </c>
      <c r="C31" s="62" t="s">
        <v>42</v>
      </c>
      <c r="D31" s="61" t="s">
        <v>1</v>
      </c>
      <c r="E31" s="71">
        <v>1.4201388888888891</v>
      </c>
      <c r="F31" s="61" t="s">
        <v>45</v>
      </c>
      <c r="G31" s="63">
        <v>14</v>
      </c>
      <c r="H31" s="64">
        <v>769</v>
      </c>
    </row>
    <row r="32" spans="1:8" ht="19.8" customHeight="1" x14ac:dyDescent="0.3">
      <c r="A32" s="70">
        <v>45983</v>
      </c>
      <c r="B32" s="61" t="s">
        <v>26</v>
      </c>
      <c r="C32" s="62" t="s">
        <v>36</v>
      </c>
      <c r="D32" s="61" t="s">
        <v>1</v>
      </c>
      <c r="E32" s="71">
        <v>1.354166666666667</v>
      </c>
      <c r="F32" s="61" t="s">
        <v>34</v>
      </c>
      <c r="G32" s="63">
        <v>9</v>
      </c>
      <c r="H32" s="64">
        <v>799</v>
      </c>
    </row>
    <row r="33" spans="1:8" ht="19.8" customHeight="1" x14ac:dyDescent="0.3">
      <c r="A33" s="70">
        <v>45983</v>
      </c>
      <c r="B33" s="61" t="s">
        <v>26</v>
      </c>
      <c r="C33" s="62" t="s">
        <v>27</v>
      </c>
      <c r="D33" s="61" t="s">
        <v>1</v>
      </c>
      <c r="E33" s="71">
        <v>1.756944444444444</v>
      </c>
      <c r="F33" s="61" t="s">
        <v>34</v>
      </c>
      <c r="G33" s="63">
        <v>9</v>
      </c>
      <c r="H33" s="64">
        <v>799</v>
      </c>
    </row>
    <row r="34" spans="1:8" ht="19.8" customHeight="1" x14ac:dyDescent="0.3">
      <c r="A34" s="70">
        <v>45983</v>
      </c>
      <c r="B34" s="61" t="s">
        <v>49</v>
      </c>
      <c r="C34" s="62" t="s">
        <v>50</v>
      </c>
      <c r="D34" s="61" t="s">
        <v>1</v>
      </c>
      <c r="E34" s="71">
        <v>1.0972222222222221</v>
      </c>
      <c r="F34" s="61" t="s">
        <v>51</v>
      </c>
      <c r="G34" s="63">
        <v>9</v>
      </c>
      <c r="H34" s="65" t="s">
        <v>99</v>
      </c>
    </row>
    <row r="35" spans="1:8" ht="19.8" customHeight="1" x14ac:dyDescent="0.3">
      <c r="A35" s="72">
        <v>45983</v>
      </c>
      <c r="B35" s="73" t="s">
        <v>41</v>
      </c>
      <c r="C35" s="74" t="s">
        <v>42</v>
      </c>
      <c r="D35" s="73" t="s">
        <v>1</v>
      </c>
      <c r="E35" s="75">
        <v>1.4201388888888891</v>
      </c>
      <c r="F35" s="73" t="s">
        <v>47</v>
      </c>
      <c r="G35" s="76">
        <v>14</v>
      </c>
      <c r="H35" s="77" t="s">
        <v>48</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27"/>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6.88671875" bestFit="1" customWidth="1"/>
  </cols>
  <sheetData>
    <row r="1" spans="1:92" ht="28.8" customHeight="1" x14ac:dyDescent="0.3">
      <c r="A1" s="272" t="s">
        <v>0</v>
      </c>
      <c r="B1" s="261"/>
      <c r="C1" s="261"/>
      <c r="D1" s="261"/>
      <c r="E1" s="261"/>
      <c r="F1" s="1" t="s">
        <v>218</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45980.492400502073</v>
      </c>
      <c r="H2" s="261"/>
      <c r="I2" s="261"/>
      <c r="J2" s="261"/>
      <c r="K2" s="274">
        <v>45980.492400502422</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219</v>
      </c>
      <c r="C6" s="9">
        <v>0.25694444444444448</v>
      </c>
      <c r="D6" s="8" t="s">
        <v>220</v>
      </c>
      <c r="E6" s="8" t="s">
        <v>221</v>
      </c>
      <c r="F6" s="8" t="s">
        <v>222</v>
      </c>
      <c r="G6" s="266"/>
      <c r="H6" s="10"/>
      <c r="I6" s="11"/>
      <c r="J6" s="11"/>
      <c r="K6" s="11"/>
      <c r="L6" s="11"/>
      <c r="M6" s="11"/>
      <c r="N6" s="11"/>
      <c r="O6" s="12"/>
      <c r="P6" s="11"/>
      <c r="Q6" s="13"/>
      <c r="R6" s="14"/>
    </row>
    <row r="7" spans="1:92" ht="15" customHeight="1" x14ac:dyDescent="0.3">
      <c r="A7" s="17" t="s">
        <v>26</v>
      </c>
      <c r="B7" s="17" t="s">
        <v>223</v>
      </c>
      <c r="C7" s="18">
        <v>0.30208333333333331</v>
      </c>
      <c r="D7" s="17" t="s">
        <v>220</v>
      </c>
      <c r="E7" s="17" t="s">
        <v>71</v>
      </c>
      <c r="F7" s="17" t="s">
        <v>222</v>
      </c>
      <c r="G7" s="267"/>
      <c r="H7" s="10"/>
      <c r="I7" s="11"/>
      <c r="J7" s="11"/>
      <c r="K7" s="11"/>
      <c r="L7" s="11"/>
      <c r="M7" s="11"/>
      <c r="N7" s="11"/>
      <c r="O7" s="12"/>
      <c r="P7" s="11"/>
      <c r="Q7" s="13"/>
      <c r="R7" s="14"/>
    </row>
    <row r="8" spans="1:92" ht="15" customHeight="1" x14ac:dyDescent="0.3">
      <c r="A8" s="17" t="s">
        <v>26</v>
      </c>
      <c r="B8" s="17" t="s">
        <v>224</v>
      </c>
      <c r="C8" s="18">
        <v>0.85416666666666663</v>
      </c>
      <c r="D8" s="17" t="s">
        <v>220</v>
      </c>
      <c r="E8" s="17" t="s">
        <v>225</v>
      </c>
      <c r="F8" s="17" t="s">
        <v>226</v>
      </c>
      <c r="G8" s="267"/>
      <c r="H8" s="10"/>
      <c r="I8" s="11"/>
      <c r="J8" s="11"/>
      <c r="K8" s="11"/>
      <c r="L8" s="11"/>
      <c r="M8" s="11"/>
      <c r="N8" s="11"/>
      <c r="O8" s="12"/>
      <c r="P8" s="11"/>
      <c r="Q8" s="13"/>
      <c r="R8" s="14"/>
    </row>
    <row r="9" spans="1:92" ht="15" customHeight="1" x14ac:dyDescent="0.3">
      <c r="A9" s="17" t="s">
        <v>26</v>
      </c>
      <c r="B9" s="17" t="s">
        <v>227</v>
      </c>
      <c r="C9" s="18">
        <v>0.90277777777777779</v>
      </c>
      <c r="D9" s="17" t="s">
        <v>220</v>
      </c>
      <c r="E9" s="17" t="s">
        <v>37</v>
      </c>
      <c r="F9" s="17" t="s">
        <v>226</v>
      </c>
      <c r="G9" s="267"/>
      <c r="H9" s="10"/>
      <c r="I9" s="11"/>
      <c r="J9" s="11"/>
      <c r="K9" s="11"/>
      <c r="L9" s="11"/>
      <c r="M9" s="11"/>
      <c r="N9" s="11"/>
      <c r="O9" s="12"/>
      <c r="P9" s="11"/>
      <c r="Q9" s="13"/>
      <c r="R9" s="14"/>
    </row>
    <row r="10" spans="1:92" ht="15" customHeight="1" x14ac:dyDescent="0.3">
      <c r="A10" s="17" t="s">
        <v>26</v>
      </c>
      <c r="B10" s="17" t="s">
        <v>228</v>
      </c>
      <c r="C10" s="18">
        <v>0.79861111111111116</v>
      </c>
      <c r="D10" s="17" t="s">
        <v>220</v>
      </c>
      <c r="E10" s="17" t="s">
        <v>229</v>
      </c>
      <c r="F10" s="17" t="s">
        <v>226</v>
      </c>
      <c r="G10" s="267"/>
      <c r="H10" s="10"/>
      <c r="I10" s="11"/>
      <c r="J10" s="11"/>
      <c r="K10" s="11"/>
      <c r="L10" s="11"/>
      <c r="M10" s="11"/>
      <c r="N10" s="11"/>
      <c r="O10" s="12"/>
      <c r="P10" s="11"/>
      <c r="Q10" s="13"/>
      <c r="R10" s="14"/>
    </row>
    <row r="11" spans="1:92" ht="15" customHeight="1" x14ac:dyDescent="0.3">
      <c r="A11" s="17" t="s">
        <v>26</v>
      </c>
      <c r="B11" s="17" t="s">
        <v>230</v>
      </c>
      <c r="C11" s="18">
        <v>0.39583333333333331</v>
      </c>
      <c r="D11" s="17" t="s">
        <v>220</v>
      </c>
      <c r="E11" s="17" t="s">
        <v>37</v>
      </c>
      <c r="F11" s="17" t="s">
        <v>226</v>
      </c>
      <c r="G11" s="267"/>
      <c r="H11" s="10"/>
      <c r="I11" s="11"/>
      <c r="J11" s="11"/>
      <c r="K11" s="11"/>
      <c r="L11" s="11"/>
      <c r="M11" s="11"/>
      <c r="N11" s="11"/>
      <c r="O11" s="12"/>
      <c r="P11" s="11"/>
      <c r="Q11" s="13"/>
      <c r="R11" s="14"/>
    </row>
    <row r="12" spans="1:92" ht="15" customHeight="1" x14ac:dyDescent="0.3">
      <c r="A12" s="17" t="s">
        <v>26</v>
      </c>
      <c r="B12" s="17" t="s">
        <v>231</v>
      </c>
      <c r="C12" s="18">
        <v>0.51736111111111105</v>
      </c>
      <c r="D12" s="17" t="s">
        <v>220</v>
      </c>
      <c r="E12" s="17" t="s">
        <v>232</v>
      </c>
      <c r="F12" s="17" t="s">
        <v>233</v>
      </c>
      <c r="G12" s="267"/>
      <c r="H12" s="10"/>
      <c r="I12" s="11"/>
      <c r="J12" s="11"/>
      <c r="K12" s="11"/>
      <c r="L12" s="11"/>
      <c r="M12" s="11"/>
      <c r="N12" s="11"/>
      <c r="O12" s="12"/>
      <c r="P12" s="11"/>
      <c r="Q12" s="13"/>
      <c r="R12" s="14"/>
    </row>
    <row r="13" spans="1:92" ht="15" customHeight="1" x14ac:dyDescent="0.3">
      <c r="A13" s="17" t="s">
        <v>26</v>
      </c>
      <c r="B13" s="17" t="s">
        <v>234</v>
      </c>
      <c r="C13" s="18">
        <v>0.65972222222222221</v>
      </c>
      <c r="D13" s="17" t="s">
        <v>220</v>
      </c>
      <c r="E13" s="17" t="s">
        <v>232</v>
      </c>
      <c r="F13" s="17" t="s">
        <v>233</v>
      </c>
      <c r="G13" s="267"/>
      <c r="H13" s="10"/>
      <c r="I13" s="11"/>
      <c r="J13" s="11"/>
      <c r="K13" s="11"/>
      <c r="L13" s="11"/>
      <c r="M13" s="11"/>
      <c r="N13" s="11"/>
      <c r="O13" s="12"/>
      <c r="P13" s="11"/>
      <c r="Q13" s="13"/>
      <c r="R13" s="14"/>
    </row>
    <row r="14" spans="1:92" ht="15" customHeight="1" x14ac:dyDescent="0.3">
      <c r="A14" s="19" t="s">
        <v>41</v>
      </c>
      <c r="B14" s="19" t="s">
        <v>235</v>
      </c>
      <c r="C14" s="20">
        <v>0.30208333333333331</v>
      </c>
      <c r="D14" s="19" t="s">
        <v>236</v>
      </c>
      <c r="E14" s="19" t="s">
        <v>29</v>
      </c>
      <c r="F14" s="19" t="s">
        <v>237</v>
      </c>
      <c r="G14" s="267"/>
      <c r="H14" s="10"/>
      <c r="I14" s="11"/>
      <c r="J14" s="11"/>
      <c r="K14" s="11"/>
      <c r="L14" s="11"/>
      <c r="M14" s="11"/>
      <c r="N14" s="11"/>
      <c r="O14" s="12"/>
      <c r="P14" s="11"/>
      <c r="Q14" s="13"/>
      <c r="R14" s="14"/>
    </row>
    <row r="15" spans="1:92" ht="15" customHeight="1" x14ac:dyDescent="0.3">
      <c r="A15" s="17" t="s">
        <v>41</v>
      </c>
      <c r="B15" s="17" t="s">
        <v>238</v>
      </c>
      <c r="C15" s="18">
        <v>0.88888888888888884</v>
      </c>
      <c r="D15" s="17" t="s">
        <v>236</v>
      </c>
      <c r="E15" s="17" t="s">
        <v>239</v>
      </c>
      <c r="F15" s="17" t="s">
        <v>237</v>
      </c>
      <c r="G15" s="267"/>
      <c r="H15" s="10"/>
      <c r="I15" s="11"/>
      <c r="J15" s="11"/>
      <c r="K15" s="11"/>
      <c r="L15" s="11"/>
      <c r="M15" s="11"/>
      <c r="N15" s="11"/>
      <c r="O15" s="12"/>
      <c r="P15" s="11"/>
      <c r="Q15" s="13"/>
      <c r="R15" s="14"/>
    </row>
    <row r="16" spans="1:92" ht="15" customHeight="1" x14ac:dyDescent="0.3">
      <c r="A16" s="17" t="s">
        <v>41</v>
      </c>
      <c r="B16" s="17" t="s">
        <v>240</v>
      </c>
      <c r="C16" s="18">
        <v>0.78819444444444453</v>
      </c>
      <c r="D16" s="17" t="s">
        <v>236</v>
      </c>
      <c r="E16" s="17" t="s">
        <v>241</v>
      </c>
      <c r="F16" s="17" t="s">
        <v>237</v>
      </c>
      <c r="G16" s="267"/>
      <c r="H16" s="10"/>
      <c r="I16" s="11"/>
      <c r="J16" s="11"/>
      <c r="K16" s="11"/>
      <c r="L16" s="11"/>
      <c r="M16" s="11"/>
      <c r="N16" s="11"/>
      <c r="O16" s="12"/>
      <c r="P16" s="11"/>
      <c r="Q16" s="13"/>
      <c r="R16" s="14"/>
    </row>
    <row r="17" spans="1:18" ht="15" customHeight="1" x14ac:dyDescent="0.3">
      <c r="A17" s="17" t="s">
        <v>41</v>
      </c>
      <c r="B17" s="17" t="s">
        <v>242</v>
      </c>
      <c r="C17" s="18">
        <v>0.12847222222222221</v>
      </c>
      <c r="D17" s="17" t="s">
        <v>236</v>
      </c>
      <c r="E17" s="17" t="s">
        <v>58</v>
      </c>
      <c r="F17" s="17" t="s">
        <v>35</v>
      </c>
      <c r="G17" s="267"/>
      <c r="H17" s="10"/>
      <c r="I17" s="11"/>
      <c r="J17" s="11"/>
      <c r="K17" s="11"/>
      <c r="L17" s="11"/>
      <c r="M17" s="11"/>
      <c r="N17" s="11"/>
      <c r="O17" s="12"/>
      <c r="P17" s="11"/>
      <c r="Q17" s="13"/>
      <c r="R17" s="14"/>
    </row>
    <row r="18" spans="1:18" ht="15" customHeight="1" x14ac:dyDescent="0.3">
      <c r="A18" s="19" t="s">
        <v>243</v>
      </c>
      <c r="B18" s="19" t="s">
        <v>244</v>
      </c>
      <c r="C18" s="20">
        <v>0.3298611111111111</v>
      </c>
      <c r="D18" s="19" t="s">
        <v>245</v>
      </c>
      <c r="E18" s="19" t="s">
        <v>29</v>
      </c>
      <c r="F18" s="19" t="s">
        <v>246</v>
      </c>
      <c r="G18" s="267"/>
      <c r="H18" s="10"/>
      <c r="I18" s="11"/>
      <c r="J18" s="11"/>
      <c r="K18" s="11"/>
      <c r="L18" s="11"/>
      <c r="M18" s="11"/>
      <c r="N18" s="11"/>
      <c r="O18" s="12"/>
      <c r="P18" s="11"/>
      <c r="Q18" s="13"/>
      <c r="R18" s="14"/>
    </row>
    <row r="19" spans="1:18" ht="15" customHeight="1" x14ac:dyDescent="0.3">
      <c r="A19" s="15" t="s">
        <v>243</v>
      </c>
      <c r="B19" s="15" t="s">
        <v>244</v>
      </c>
      <c r="C19" s="16">
        <v>0.3298611111111111</v>
      </c>
      <c r="D19" s="15" t="s">
        <v>47</v>
      </c>
      <c r="E19" s="15" t="s">
        <v>32</v>
      </c>
      <c r="F19" s="15" t="s">
        <v>247</v>
      </c>
      <c r="G19" s="267"/>
      <c r="H19" s="10"/>
      <c r="I19" s="11"/>
      <c r="J19" s="11"/>
      <c r="K19" s="11"/>
      <c r="L19" s="11"/>
      <c r="M19" s="11"/>
      <c r="N19" s="11"/>
      <c r="O19" s="12"/>
      <c r="P19" s="11"/>
      <c r="Q19" s="13"/>
      <c r="R19" s="14"/>
    </row>
    <row r="20" spans="1:18" ht="15" customHeight="1" x14ac:dyDescent="0.3">
      <c r="A20" s="106" t="s">
        <v>78</v>
      </c>
      <c r="B20" s="106" t="s">
        <v>248</v>
      </c>
      <c r="C20" s="107">
        <v>0.25347222222222221</v>
      </c>
      <c r="D20" s="106" t="s">
        <v>178</v>
      </c>
      <c r="E20" s="106" t="s">
        <v>179</v>
      </c>
      <c r="F20" s="106" t="s">
        <v>246</v>
      </c>
      <c r="G20" s="267"/>
      <c r="H20" s="109" t="s">
        <v>249</v>
      </c>
      <c r="I20" s="110">
        <v>0.87150000000000005</v>
      </c>
      <c r="J20" s="111">
        <v>156</v>
      </c>
      <c r="K20" s="112">
        <v>45980</v>
      </c>
      <c r="L20" s="111">
        <v>12</v>
      </c>
      <c r="M20" s="111">
        <v>1</v>
      </c>
      <c r="N20" s="111">
        <v>5</v>
      </c>
      <c r="O20" s="113" t="s">
        <v>250</v>
      </c>
      <c r="P20" s="114">
        <v>0.25347222222222221</v>
      </c>
      <c r="Q20" s="111">
        <v>179</v>
      </c>
      <c r="R20" s="115" t="s">
        <v>251</v>
      </c>
    </row>
    <row r="21" spans="1:18" ht="15" customHeight="1" x14ac:dyDescent="0.3">
      <c r="A21" s="118" t="s">
        <v>78</v>
      </c>
      <c r="B21" s="118" t="s">
        <v>252</v>
      </c>
      <c r="C21" s="119">
        <v>0.36458333333333331</v>
      </c>
      <c r="D21" s="118" t="s">
        <v>178</v>
      </c>
      <c r="E21" s="118" t="s">
        <v>91</v>
      </c>
      <c r="F21" s="118" t="s">
        <v>253</v>
      </c>
      <c r="G21" s="267"/>
      <c r="H21" s="120" t="s">
        <v>254</v>
      </c>
      <c r="I21" s="121">
        <v>0.56979999999999997</v>
      </c>
      <c r="J21" s="122">
        <v>102</v>
      </c>
      <c r="K21" s="123">
        <v>45978</v>
      </c>
      <c r="L21" s="122">
        <v>16</v>
      </c>
      <c r="M21" s="122">
        <v>0</v>
      </c>
      <c r="N21" s="122">
        <v>0</v>
      </c>
      <c r="O21" s="124" t="s">
        <v>255</v>
      </c>
      <c r="P21" s="125">
        <v>0.36458333333333331</v>
      </c>
      <c r="Q21" s="122">
        <v>179</v>
      </c>
      <c r="R21" s="126" t="s">
        <v>256</v>
      </c>
    </row>
    <row r="22" spans="1:18" ht="15" customHeight="1" x14ac:dyDescent="0.3">
      <c r="A22" s="127" t="s">
        <v>78</v>
      </c>
      <c r="B22" s="127" t="s">
        <v>257</v>
      </c>
      <c r="C22" s="128">
        <v>0.33333333333333331</v>
      </c>
      <c r="D22" s="127" t="s">
        <v>178</v>
      </c>
      <c r="E22" s="127" t="s">
        <v>71</v>
      </c>
      <c r="F22" s="127" t="s">
        <v>253</v>
      </c>
      <c r="G22" s="267"/>
      <c r="H22" s="129" t="s">
        <v>258</v>
      </c>
      <c r="I22" s="130">
        <v>0.82120000000000004</v>
      </c>
      <c r="J22" s="131">
        <v>147</v>
      </c>
      <c r="K22" s="132">
        <v>45980</v>
      </c>
      <c r="L22" s="131">
        <v>16</v>
      </c>
      <c r="M22" s="131">
        <v>3</v>
      </c>
      <c r="N22" s="131">
        <v>5</v>
      </c>
      <c r="O22" s="133" t="s">
        <v>192</v>
      </c>
      <c r="P22" s="134">
        <v>0.33333333333333331</v>
      </c>
      <c r="Q22" s="131">
        <v>179</v>
      </c>
      <c r="R22" s="135" t="s">
        <v>259</v>
      </c>
    </row>
    <row r="23" spans="1:18" ht="15" customHeight="1" x14ac:dyDescent="0.3">
      <c r="A23" s="136" t="s">
        <v>78</v>
      </c>
      <c r="B23" s="136" t="s">
        <v>260</v>
      </c>
      <c r="C23" s="137">
        <v>0.1145833333333333</v>
      </c>
      <c r="D23" s="136" t="s">
        <v>178</v>
      </c>
      <c r="E23" s="136" t="s">
        <v>58</v>
      </c>
      <c r="F23" s="136" t="s">
        <v>253</v>
      </c>
      <c r="G23" s="267"/>
      <c r="H23" s="82" t="s">
        <v>261</v>
      </c>
      <c r="I23" s="83">
        <v>0.92510000000000003</v>
      </c>
      <c r="J23" s="84">
        <v>173</v>
      </c>
      <c r="K23" s="85">
        <v>45979</v>
      </c>
      <c r="L23" s="84">
        <v>15</v>
      </c>
      <c r="M23" s="84">
        <v>0</v>
      </c>
      <c r="N23" s="84">
        <v>4</v>
      </c>
      <c r="O23" s="86" t="s">
        <v>140</v>
      </c>
      <c r="P23" s="87">
        <v>0.1145833333333333</v>
      </c>
      <c r="Q23" s="84">
        <v>187</v>
      </c>
      <c r="R23" s="88" t="s">
        <v>262</v>
      </c>
    </row>
    <row r="24" spans="1:18" ht="15" customHeight="1" x14ac:dyDescent="0.3">
      <c r="A24" s="138" t="s">
        <v>78</v>
      </c>
      <c r="B24" s="138" t="s">
        <v>263</v>
      </c>
      <c r="C24" s="139">
        <v>4.8611111111111112E-2</v>
      </c>
      <c r="D24" s="138" t="s">
        <v>178</v>
      </c>
      <c r="E24" s="138" t="s">
        <v>225</v>
      </c>
      <c r="F24" s="138" t="s">
        <v>253</v>
      </c>
      <c r="G24" s="267"/>
      <c r="H24" s="140" t="s">
        <v>264</v>
      </c>
      <c r="I24" s="141">
        <v>0.76539999999999997</v>
      </c>
      <c r="J24" s="142">
        <v>137</v>
      </c>
      <c r="K24" s="143">
        <v>45980</v>
      </c>
      <c r="L24" s="142">
        <v>36</v>
      </c>
      <c r="M24" s="142">
        <v>1</v>
      </c>
      <c r="N24" s="142">
        <v>9</v>
      </c>
      <c r="O24" s="144" t="s">
        <v>265</v>
      </c>
      <c r="P24" s="145">
        <v>4.8611111111111112E-2</v>
      </c>
      <c r="Q24" s="142">
        <v>179</v>
      </c>
      <c r="R24" s="146" t="s">
        <v>266</v>
      </c>
    </row>
    <row r="25" spans="1:18" ht="15" customHeight="1" x14ac:dyDescent="0.3">
      <c r="A25" s="147" t="s">
        <v>78</v>
      </c>
      <c r="B25" s="147" t="s">
        <v>267</v>
      </c>
      <c r="C25" s="148">
        <v>0.58333333333333337</v>
      </c>
      <c r="D25" s="147" t="s">
        <v>178</v>
      </c>
      <c r="E25" s="147" t="s">
        <v>91</v>
      </c>
      <c r="F25" s="147" t="s">
        <v>268</v>
      </c>
      <c r="G25" s="267"/>
      <c r="H25" s="149" t="s">
        <v>269</v>
      </c>
      <c r="I25" s="150">
        <v>0.96089999999999998</v>
      </c>
      <c r="J25" s="151">
        <v>172</v>
      </c>
      <c r="K25" s="152">
        <v>45977</v>
      </c>
      <c r="L25" s="151">
        <v>9</v>
      </c>
      <c r="M25" s="151">
        <v>0</v>
      </c>
      <c r="N25" s="151">
        <v>0</v>
      </c>
      <c r="O25" s="153" t="s">
        <v>270</v>
      </c>
      <c r="P25" s="154">
        <v>0.58333333333333337</v>
      </c>
      <c r="Q25" s="151">
        <v>179</v>
      </c>
      <c r="R25" s="155" t="s">
        <v>271</v>
      </c>
    </row>
    <row r="26" spans="1:18" ht="15" customHeight="1" x14ac:dyDescent="0.3">
      <c r="A26" s="156" t="s">
        <v>78</v>
      </c>
      <c r="B26" s="156" t="s">
        <v>272</v>
      </c>
      <c r="C26" s="157">
        <v>0.73958333333333337</v>
      </c>
      <c r="D26" s="156" t="s">
        <v>178</v>
      </c>
      <c r="E26" s="156" t="s">
        <v>58</v>
      </c>
      <c r="F26" s="156" t="s">
        <v>273</v>
      </c>
      <c r="G26" s="267"/>
      <c r="H26" s="109" t="s">
        <v>274</v>
      </c>
      <c r="I26" s="110">
        <v>0.96650000000000003</v>
      </c>
      <c r="J26" s="111">
        <v>173</v>
      </c>
      <c r="K26" s="112">
        <v>45978</v>
      </c>
      <c r="L26" s="111">
        <v>3</v>
      </c>
      <c r="M26" s="111">
        <v>0</v>
      </c>
      <c r="N26" s="111">
        <v>0</v>
      </c>
      <c r="O26" s="113" t="s">
        <v>275</v>
      </c>
      <c r="P26" s="114">
        <v>0.73958333333333337</v>
      </c>
      <c r="Q26" s="111">
        <v>179</v>
      </c>
      <c r="R26" s="115" t="s">
        <v>276</v>
      </c>
    </row>
    <row r="27" spans="1:18" ht="15" customHeight="1" x14ac:dyDescent="0.3">
      <c r="A27" s="19" t="s">
        <v>277</v>
      </c>
      <c r="B27" s="19" t="s">
        <v>278</v>
      </c>
      <c r="C27" s="20">
        <v>0.59375</v>
      </c>
      <c r="D27" s="19" t="s">
        <v>279</v>
      </c>
      <c r="E27" s="19" t="s">
        <v>280</v>
      </c>
      <c r="F27" s="19" t="s">
        <v>281</v>
      </c>
      <c r="G27" s="267"/>
      <c r="H27" s="10"/>
      <c r="I27" s="11"/>
      <c r="J27" s="11"/>
      <c r="K27" s="11"/>
      <c r="L27" s="11"/>
      <c r="M27" s="11"/>
      <c r="N27" s="11"/>
      <c r="O27" s="12"/>
      <c r="P27" s="11"/>
      <c r="Q27" s="13"/>
      <c r="R27" s="14"/>
    </row>
    <row r="28" spans="1:18" ht="15" customHeight="1" x14ac:dyDescent="0.3">
      <c r="A28" s="17" t="s">
        <v>277</v>
      </c>
      <c r="B28" s="17" t="s">
        <v>282</v>
      </c>
      <c r="C28" s="18">
        <v>0.29166666666666669</v>
      </c>
      <c r="D28" s="17" t="s">
        <v>279</v>
      </c>
      <c r="E28" s="17" t="s">
        <v>71</v>
      </c>
      <c r="F28" s="17" t="s">
        <v>281</v>
      </c>
      <c r="G28" s="267"/>
      <c r="H28" s="10"/>
      <c r="I28" s="11"/>
      <c r="J28" s="11"/>
      <c r="K28" s="11"/>
      <c r="L28" s="11"/>
      <c r="M28" s="11"/>
      <c r="N28" s="11"/>
      <c r="O28" s="12"/>
      <c r="P28" s="11"/>
      <c r="Q28" s="13"/>
      <c r="R28" s="14"/>
    </row>
    <row r="29" spans="1:18" ht="15" customHeight="1" x14ac:dyDescent="0.3">
      <c r="A29" s="17" t="s">
        <v>277</v>
      </c>
      <c r="B29" s="17" t="s">
        <v>283</v>
      </c>
      <c r="C29" s="18">
        <v>0.85069444444444453</v>
      </c>
      <c r="D29" s="17" t="s">
        <v>279</v>
      </c>
      <c r="E29" s="17" t="s">
        <v>100</v>
      </c>
      <c r="F29" s="17" t="s">
        <v>284</v>
      </c>
      <c r="G29" s="267"/>
      <c r="H29" s="10"/>
      <c r="I29" s="11"/>
      <c r="J29" s="11"/>
      <c r="K29" s="11"/>
      <c r="L29" s="11"/>
      <c r="M29" s="11"/>
      <c r="N29" s="11"/>
      <c r="O29" s="12"/>
      <c r="P29" s="11"/>
      <c r="Q29" s="13"/>
      <c r="R29" s="14"/>
    </row>
    <row r="30" spans="1:18" ht="15" customHeight="1" x14ac:dyDescent="0.3">
      <c r="A30" s="19" t="s">
        <v>285</v>
      </c>
      <c r="B30" s="19" t="s">
        <v>286</v>
      </c>
      <c r="C30" s="20">
        <v>0.66666666666666663</v>
      </c>
      <c r="D30" s="19" t="s">
        <v>279</v>
      </c>
      <c r="E30" s="19" t="s">
        <v>52</v>
      </c>
      <c r="F30" s="19" t="s">
        <v>35</v>
      </c>
      <c r="G30" s="267"/>
      <c r="H30" s="10"/>
      <c r="I30" s="11"/>
      <c r="J30" s="11"/>
      <c r="K30" s="11"/>
      <c r="L30" s="11"/>
      <c r="M30" s="11"/>
      <c r="N30" s="11"/>
      <c r="O30" s="12"/>
      <c r="P30" s="11"/>
      <c r="Q30" s="13"/>
      <c r="R30" s="14"/>
    </row>
    <row r="31" spans="1:18" ht="15" customHeight="1" x14ac:dyDescent="0.3">
      <c r="A31" s="19" t="s">
        <v>62</v>
      </c>
      <c r="B31" s="19" t="s">
        <v>287</v>
      </c>
      <c r="C31" s="20">
        <v>0.1423611111111111</v>
      </c>
      <c r="D31" s="19" t="s">
        <v>64</v>
      </c>
      <c r="E31" s="19" t="s">
        <v>52</v>
      </c>
      <c r="F31" s="19" t="s">
        <v>288</v>
      </c>
      <c r="G31" s="267"/>
      <c r="H31" s="10"/>
      <c r="I31" s="11"/>
      <c r="J31" s="11"/>
      <c r="K31" s="11"/>
      <c r="L31" s="11"/>
      <c r="M31" s="11"/>
      <c r="N31" s="11"/>
      <c r="O31" s="12"/>
      <c r="P31" s="11"/>
      <c r="Q31" s="13"/>
      <c r="R31" s="14"/>
    </row>
    <row r="32" spans="1:18" ht="15" customHeight="1" x14ac:dyDescent="0.3">
      <c r="A32" s="15" t="s">
        <v>62</v>
      </c>
      <c r="B32" s="15" t="s">
        <v>287</v>
      </c>
      <c r="C32" s="16">
        <v>0.1423611111111111</v>
      </c>
      <c r="D32" s="15" t="s">
        <v>66</v>
      </c>
      <c r="E32" s="15" t="s">
        <v>67</v>
      </c>
      <c r="F32" s="15" t="s">
        <v>289</v>
      </c>
      <c r="G32" s="267"/>
      <c r="H32" s="10"/>
      <c r="I32" s="11"/>
      <c r="J32" s="11"/>
      <c r="K32" s="11"/>
      <c r="L32" s="11"/>
      <c r="M32" s="11"/>
      <c r="N32" s="11"/>
      <c r="O32" s="12"/>
      <c r="P32" s="11"/>
      <c r="Q32" s="13"/>
      <c r="R32" s="14"/>
    </row>
    <row r="33" spans="1:18" ht="15" customHeight="1" x14ac:dyDescent="0.3">
      <c r="A33" s="17" t="s">
        <v>62</v>
      </c>
      <c r="B33" s="17" t="s">
        <v>290</v>
      </c>
      <c r="C33" s="18">
        <v>0.24305555555555561</v>
      </c>
      <c r="D33" s="17" t="s">
        <v>64</v>
      </c>
      <c r="E33" s="17" t="s">
        <v>55</v>
      </c>
      <c r="F33" s="17" t="s">
        <v>288</v>
      </c>
      <c r="G33" s="267"/>
      <c r="H33" s="10"/>
      <c r="I33" s="11"/>
      <c r="J33" s="11"/>
      <c r="K33" s="11"/>
      <c r="L33" s="11"/>
      <c r="M33" s="11"/>
      <c r="N33" s="11"/>
      <c r="O33" s="12"/>
      <c r="P33" s="11"/>
      <c r="Q33" s="13"/>
      <c r="R33" s="14"/>
    </row>
    <row r="34" spans="1:18" ht="15" customHeight="1" x14ac:dyDescent="0.3">
      <c r="A34" s="15" t="s">
        <v>62</v>
      </c>
      <c r="B34" s="15" t="s">
        <v>290</v>
      </c>
      <c r="C34" s="16">
        <v>0.24305555555555561</v>
      </c>
      <c r="D34" s="15" t="s">
        <v>66</v>
      </c>
      <c r="E34" s="15" t="s">
        <v>67</v>
      </c>
      <c r="F34" s="15" t="s">
        <v>289</v>
      </c>
      <c r="G34" s="267"/>
      <c r="H34" s="10"/>
      <c r="I34" s="11"/>
      <c r="J34" s="11"/>
      <c r="K34" s="11"/>
      <c r="L34" s="11"/>
      <c r="M34" s="11"/>
      <c r="N34" s="11"/>
      <c r="O34" s="12"/>
      <c r="P34" s="11"/>
      <c r="Q34" s="13"/>
      <c r="R34" s="14"/>
    </row>
    <row r="35" spans="1:18" ht="15" customHeight="1" x14ac:dyDescent="0.3">
      <c r="A35" s="17" t="s">
        <v>62</v>
      </c>
      <c r="B35" s="17" t="s">
        <v>291</v>
      </c>
      <c r="C35" s="18">
        <v>6.9444444444444441E-3</v>
      </c>
      <c r="D35" s="17" t="s">
        <v>64</v>
      </c>
      <c r="E35" s="17" t="s">
        <v>55</v>
      </c>
      <c r="F35" s="17" t="s">
        <v>292</v>
      </c>
      <c r="G35" s="267"/>
      <c r="H35" s="10"/>
      <c r="I35" s="11"/>
      <c r="J35" s="11"/>
      <c r="K35" s="11"/>
      <c r="L35" s="11"/>
      <c r="M35" s="11"/>
      <c r="N35" s="11"/>
      <c r="O35" s="12"/>
      <c r="P35" s="11"/>
      <c r="Q35" s="13"/>
      <c r="R35" s="14"/>
    </row>
    <row r="36" spans="1:18" ht="15" customHeight="1" x14ac:dyDescent="0.3">
      <c r="A36" s="15" t="s">
        <v>62</v>
      </c>
      <c r="B36" s="15" t="s">
        <v>291</v>
      </c>
      <c r="C36" s="16">
        <v>6.9444444444444441E-3</v>
      </c>
      <c r="D36" s="15" t="s">
        <v>66</v>
      </c>
      <c r="E36" s="15" t="s">
        <v>67</v>
      </c>
      <c r="F36" s="15" t="s">
        <v>293</v>
      </c>
      <c r="G36" s="267"/>
      <c r="H36" s="10"/>
      <c r="I36" s="11"/>
      <c r="J36" s="11"/>
      <c r="K36" s="11"/>
      <c r="L36" s="11"/>
      <c r="M36" s="11"/>
      <c r="N36" s="11"/>
      <c r="O36" s="12"/>
      <c r="P36" s="11"/>
      <c r="Q36" s="13"/>
      <c r="R36" s="14"/>
    </row>
    <row r="37" spans="1:18" ht="15" customHeight="1" x14ac:dyDescent="0.3">
      <c r="A37" s="17" t="s">
        <v>62</v>
      </c>
      <c r="B37" s="17" t="s">
        <v>294</v>
      </c>
      <c r="C37" s="18">
        <v>0.93055555555555547</v>
      </c>
      <c r="D37" s="17" t="s">
        <v>64</v>
      </c>
      <c r="E37" s="17" t="s">
        <v>55</v>
      </c>
      <c r="F37" s="17" t="s">
        <v>295</v>
      </c>
      <c r="G37" s="267"/>
      <c r="H37" s="10"/>
      <c r="I37" s="11"/>
      <c r="J37" s="11"/>
      <c r="K37" s="11"/>
      <c r="L37" s="11"/>
      <c r="M37" s="11"/>
      <c r="N37" s="11"/>
      <c r="O37" s="12"/>
      <c r="P37" s="11"/>
      <c r="Q37" s="13"/>
      <c r="R37" s="14"/>
    </row>
    <row r="38" spans="1:18" ht="15" customHeight="1" x14ac:dyDescent="0.3">
      <c r="A38" s="15" t="s">
        <v>62</v>
      </c>
      <c r="B38" s="15" t="s">
        <v>294</v>
      </c>
      <c r="C38" s="16">
        <v>0.93055555555555547</v>
      </c>
      <c r="D38" s="15" t="s">
        <v>66</v>
      </c>
      <c r="E38" s="15" t="s">
        <v>67</v>
      </c>
      <c r="F38" s="15" t="s">
        <v>296</v>
      </c>
      <c r="G38" s="267"/>
      <c r="H38" s="10"/>
      <c r="I38" s="11"/>
      <c r="J38" s="11"/>
      <c r="K38" s="11"/>
      <c r="L38" s="11"/>
      <c r="M38" s="11"/>
      <c r="N38" s="11"/>
      <c r="O38" s="12"/>
      <c r="P38" s="11"/>
      <c r="Q38" s="13"/>
      <c r="R38" s="14"/>
    </row>
    <row r="39" spans="1:18" ht="15" customHeight="1" x14ac:dyDescent="0.3">
      <c r="A39" s="17" t="s">
        <v>62</v>
      </c>
      <c r="B39" s="17" t="s">
        <v>297</v>
      </c>
      <c r="C39" s="18">
        <v>0.37847222222222232</v>
      </c>
      <c r="D39" s="17" t="s">
        <v>64</v>
      </c>
      <c r="E39" s="17" t="s">
        <v>55</v>
      </c>
      <c r="F39" s="17" t="s">
        <v>295</v>
      </c>
      <c r="G39" s="267"/>
      <c r="H39" s="10"/>
      <c r="I39" s="11"/>
      <c r="J39" s="11"/>
      <c r="K39" s="11"/>
      <c r="L39" s="11"/>
      <c r="M39" s="11"/>
      <c r="N39" s="11"/>
      <c r="O39" s="12"/>
      <c r="P39" s="11"/>
      <c r="Q39" s="13"/>
      <c r="R39" s="14"/>
    </row>
    <row r="40" spans="1:18" ht="15" customHeight="1" x14ac:dyDescent="0.3">
      <c r="A40" s="15" t="s">
        <v>62</v>
      </c>
      <c r="B40" s="15" t="s">
        <v>297</v>
      </c>
      <c r="C40" s="16">
        <v>0.37847222222222232</v>
      </c>
      <c r="D40" s="15" t="s">
        <v>66</v>
      </c>
      <c r="E40" s="15" t="s">
        <v>67</v>
      </c>
      <c r="F40" s="15" t="s">
        <v>296</v>
      </c>
      <c r="G40" s="267"/>
      <c r="H40" s="10"/>
      <c r="I40" s="11"/>
      <c r="J40" s="11"/>
      <c r="K40" s="11"/>
      <c r="L40" s="11"/>
      <c r="M40" s="11"/>
      <c r="N40" s="11"/>
      <c r="O40" s="12"/>
      <c r="P40" s="11"/>
      <c r="Q40" s="13"/>
      <c r="R40" s="14"/>
    </row>
    <row r="41" spans="1:18" ht="15" customHeight="1" x14ac:dyDescent="0.3">
      <c r="A41" s="17" t="s">
        <v>62</v>
      </c>
      <c r="B41" s="17" t="s">
        <v>298</v>
      </c>
      <c r="C41" s="18">
        <v>0.88888888888888884</v>
      </c>
      <c r="D41" s="17" t="s">
        <v>66</v>
      </c>
      <c r="E41" s="17" t="s">
        <v>71</v>
      </c>
      <c r="F41" s="17" t="s">
        <v>299</v>
      </c>
      <c r="G41" s="267"/>
      <c r="H41" s="10"/>
      <c r="I41" s="11"/>
      <c r="J41" s="11"/>
      <c r="K41" s="11"/>
      <c r="L41" s="11"/>
      <c r="M41" s="11"/>
      <c r="N41" s="11"/>
      <c r="O41" s="12"/>
      <c r="P41" s="11"/>
      <c r="Q41" s="13"/>
      <c r="R41" s="14"/>
    </row>
    <row r="42" spans="1:18" ht="15" customHeight="1" x14ac:dyDescent="0.3">
      <c r="A42" s="17" t="s">
        <v>62</v>
      </c>
      <c r="B42" s="17" t="s">
        <v>300</v>
      </c>
      <c r="C42" s="18">
        <v>0.30208333333333331</v>
      </c>
      <c r="D42" s="17" t="s">
        <v>66</v>
      </c>
      <c r="E42" s="17" t="s">
        <v>71</v>
      </c>
      <c r="F42" s="17" t="s">
        <v>299</v>
      </c>
      <c r="G42" s="267"/>
      <c r="H42" s="10"/>
      <c r="I42" s="11"/>
      <c r="J42" s="11"/>
      <c r="K42" s="11"/>
      <c r="L42" s="11"/>
      <c r="M42" s="11"/>
      <c r="N42" s="11"/>
      <c r="O42" s="12"/>
      <c r="P42" s="11"/>
      <c r="Q42" s="13"/>
      <c r="R42" s="14"/>
    </row>
    <row r="43" spans="1:18" ht="15" customHeight="1" x14ac:dyDescent="0.3">
      <c r="A43" s="17" t="s">
        <v>62</v>
      </c>
      <c r="B43" s="17" t="s">
        <v>301</v>
      </c>
      <c r="C43" s="18">
        <v>0.12847222222222221</v>
      </c>
      <c r="D43" s="17" t="s">
        <v>66</v>
      </c>
      <c r="E43" s="17" t="s">
        <v>71</v>
      </c>
      <c r="F43" s="17" t="s">
        <v>299</v>
      </c>
      <c r="G43" s="267"/>
      <c r="H43" s="10"/>
      <c r="I43" s="11"/>
      <c r="J43" s="11"/>
      <c r="K43" s="11"/>
      <c r="L43" s="11"/>
      <c r="M43" s="11"/>
      <c r="N43" s="11"/>
      <c r="O43" s="12"/>
      <c r="P43" s="11"/>
      <c r="Q43" s="13"/>
      <c r="R43" s="14"/>
    </row>
    <row r="44" spans="1:18" ht="15" customHeight="1" x14ac:dyDescent="0.3">
      <c r="A44" s="17" t="s">
        <v>62</v>
      </c>
      <c r="B44" s="17" t="s">
        <v>302</v>
      </c>
      <c r="C44" s="18">
        <v>0.78819444444444453</v>
      </c>
      <c r="D44" s="17" t="s">
        <v>66</v>
      </c>
      <c r="E44" s="17" t="s">
        <v>71</v>
      </c>
      <c r="F44" s="17" t="s">
        <v>299</v>
      </c>
      <c r="G44" s="267"/>
      <c r="H44" s="10"/>
      <c r="I44" s="11"/>
      <c r="J44" s="11"/>
      <c r="K44" s="11"/>
      <c r="L44" s="11"/>
      <c r="M44" s="11"/>
      <c r="N44" s="11"/>
      <c r="O44" s="12"/>
      <c r="P44" s="11"/>
      <c r="Q44" s="13"/>
      <c r="R44" s="14"/>
    </row>
    <row r="45" spans="1:18" ht="15" customHeight="1" x14ac:dyDescent="0.3">
      <c r="A45" s="17" t="s">
        <v>62</v>
      </c>
      <c r="B45" s="17" t="s">
        <v>303</v>
      </c>
      <c r="C45" s="18">
        <v>0.82986111111111116</v>
      </c>
      <c r="D45" s="17" t="s">
        <v>64</v>
      </c>
      <c r="E45" s="17" t="s">
        <v>91</v>
      </c>
      <c r="F45" s="17" t="s">
        <v>304</v>
      </c>
      <c r="G45" s="267"/>
      <c r="H45" s="10"/>
      <c r="I45" s="11"/>
      <c r="J45" s="11"/>
      <c r="K45" s="11"/>
      <c r="L45" s="11"/>
      <c r="M45" s="11"/>
      <c r="N45" s="11"/>
      <c r="O45" s="12"/>
      <c r="P45" s="11"/>
      <c r="Q45" s="13"/>
      <c r="R45" s="14"/>
    </row>
    <row r="46" spans="1:18" ht="15" customHeight="1" x14ac:dyDescent="0.3">
      <c r="A46" s="15" t="s">
        <v>62</v>
      </c>
      <c r="B46" s="15" t="s">
        <v>303</v>
      </c>
      <c r="C46" s="16">
        <v>0.82986111111111116</v>
      </c>
      <c r="D46" s="15" t="s">
        <v>66</v>
      </c>
      <c r="E46" s="15" t="s">
        <v>93</v>
      </c>
      <c r="F46" s="15" t="s">
        <v>305</v>
      </c>
      <c r="G46" s="267"/>
      <c r="H46" s="10"/>
      <c r="I46" s="11"/>
      <c r="J46" s="11"/>
      <c r="K46" s="11"/>
      <c r="L46" s="11"/>
      <c r="M46" s="11"/>
      <c r="N46" s="11"/>
      <c r="O46" s="12"/>
      <c r="P46" s="11"/>
      <c r="Q46" s="13"/>
      <c r="R46" s="14"/>
    </row>
    <row r="47" spans="1:18" ht="15" customHeight="1" x14ac:dyDescent="0.3">
      <c r="A47" s="19" t="s">
        <v>49</v>
      </c>
      <c r="B47" s="19" t="s">
        <v>306</v>
      </c>
      <c r="C47" s="20">
        <v>1.388888888888889E-2</v>
      </c>
      <c r="D47" s="19" t="s">
        <v>51</v>
      </c>
      <c r="E47" s="19" t="s">
        <v>52</v>
      </c>
      <c r="F47" s="19" t="s">
        <v>307</v>
      </c>
      <c r="G47" s="267"/>
      <c r="H47" s="10"/>
      <c r="I47" s="11"/>
      <c r="J47" s="11"/>
      <c r="K47" s="11"/>
      <c r="L47" s="11"/>
      <c r="M47" s="11"/>
      <c r="N47" s="11"/>
      <c r="O47" s="12"/>
      <c r="P47" s="11"/>
      <c r="Q47" s="13"/>
      <c r="R47" s="14"/>
    </row>
    <row r="48" spans="1:18" ht="15" customHeight="1" x14ac:dyDescent="0.3">
      <c r="A48" s="17" t="s">
        <v>49</v>
      </c>
      <c r="B48" s="17" t="s">
        <v>308</v>
      </c>
      <c r="C48" s="18">
        <v>0.4861111111111111</v>
      </c>
      <c r="D48" s="17" t="s">
        <v>51</v>
      </c>
      <c r="E48" s="17" t="s">
        <v>55</v>
      </c>
      <c r="F48" s="17" t="s">
        <v>309</v>
      </c>
      <c r="G48" s="267"/>
      <c r="H48" s="10"/>
      <c r="I48" s="11"/>
      <c r="J48" s="11"/>
      <c r="K48" s="11"/>
      <c r="L48" s="11"/>
      <c r="M48" s="11"/>
      <c r="N48" s="11"/>
      <c r="O48" s="12"/>
      <c r="P48" s="11"/>
      <c r="Q48" s="13"/>
      <c r="R48" s="14"/>
    </row>
    <row r="49" spans="1:18" ht="15" customHeight="1" x14ac:dyDescent="0.3">
      <c r="A49" s="17" t="s">
        <v>49</v>
      </c>
      <c r="B49" s="17" t="s">
        <v>310</v>
      </c>
      <c r="C49" s="18">
        <v>0.51388888888888895</v>
      </c>
      <c r="D49" s="17" t="s">
        <v>51</v>
      </c>
      <c r="E49" s="17" t="s">
        <v>55</v>
      </c>
      <c r="F49" s="17" t="s">
        <v>309</v>
      </c>
      <c r="G49" s="267"/>
      <c r="H49" s="10"/>
      <c r="I49" s="11"/>
      <c r="J49" s="11"/>
      <c r="K49" s="11"/>
      <c r="L49" s="11"/>
      <c r="M49" s="11"/>
      <c r="N49" s="11"/>
      <c r="O49" s="12"/>
      <c r="P49" s="11"/>
      <c r="Q49" s="13"/>
      <c r="R49" s="14"/>
    </row>
    <row r="50" spans="1:18" ht="15" customHeight="1" x14ac:dyDescent="0.3">
      <c r="A50" s="17" t="s">
        <v>49</v>
      </c>
      <c r="B50" s="17" t="s">
        <v>311</v>
      </c>
      <c r="C50" s="18">
        <v>0.22222222222222221</v>
      </c>
      <c r="D50" s="17" t="s">
        <v>51</v>
      </c>
      <c r="E50" s="17" t="s">
        <v>55</v>
      </c>
      <c r="F50" s="17" t="s">
        <v>312</v>
      </c>
      <c r="G50" s="267"/>
      <c r="H50" s="10"/>
      <c r="I50" s="11"/>
      <c r="J50" s="11"/>
      <c r="K50" s="11"/>
      <c r="L50" s="11"/>
      <c r="M50" s="11"/>
      <c r="N50" s="11"/>
      <c r="O50" s="12"/>
      <c r="P50" s="11"/>
      <c r="Q50" s="13"/>
      <c r="R50" s="14"/>
    </row>
    <row r="51" spans="1:18" ht="15" customHeight="1" x14ac:dyDescent="0.3">
      <c r="A51" s="17" t="s">
        <v>49</v>
      </c>
      <c r="B51" s="17" t="s">
        <v>313</v>
      </c>
      <c r="C51" s="18">
        <v>0.77430555555555547</v>
      </c>
      <c r="D51" s="17" t="s">
        <v>51</v>
      </c>
      <c r="E51" s="17" t="s">
        <v>71</v>
      </c>
      <c r="F51" s="17" t="s">
        <v>314</v>
      </c>
      <c r="G51" s="267"/>
      <c r="H51" s="10"/>
      <c r="I51" s="11"/>
      <c r="J51" s="11"/>
      <c r="K51" s="11"/>
      <c r="L51" s="11"/>
      <c r="M51" s="11"/>
      <c r="N51" s="11"/>
      <c r="O51" s="12"/>
      <c r="P51" s="11"/>
      <c r="Q51" s="13"/>
      <c r="R51" s="14"/>
    </row>
    <row r="52" spans="1:18" ht="15" customHeight="1" x14ac:dyDescent="0.3">
      <c r="A52" s="17" t="s">
        <v>49</v>
      </c>
      <c r="B52" s="17" t="s">
        <v>315</v>
      </c>
      <c r="C52" s="18">
        <v>0.95833333333333337</v>
      </c>
      <c r="D52" s="17" t="s">
        <v>51</v>
      </c>
      <c r="E52" s="17" t="s">
        <v>91</v>
      </c>
      <c r="F52" s="17" t="s">
        <v>314</v>
      </c>
      <c r="G52" s="267"/>
      <c r="H52" s="10"/>
      <c r="I52" s="11"/>
      <c r="J52" s="11"/>
      <c r="K52" s="11"/>
      <c r="L52" s="11"/>
      <c r="M52" s="11"/>
      <c r="N52" s="11"/>
      <c r="O52" s="12"/>
      <c r="P52" s="11"/>
      <c r="Q52" s="13"/>
      <c r="R52" s="14"/>
    </row>
    <row r="53" spans="1:18" ht="15" customHeight="1" x14ac:dyDescent="0.3">
      <c r="A53" s="17" t="s">
        <v>49</v>
      </c>
      <c r="B53" s="17" t="s">
        <v>316</v>
      </c>
      <c r="C53" s="18">
        <v>0.14583333333333329</v>
      </c>
      <c r="D53" s="17" t="s">
        <v>51</v>
      </c>
      <c r="E53" s="17" t="s">
        <v>55</v>
      </c>
      <c r="F53" s="17" t="s">
        <v>314</v>
      </c>
      <c r="G53" s="267"/>
      <c r="H53" s="10"/>
      <c r="I53" s="11"/>
      <c r="J53" s="11"/>
      <c r="K53" s="11"/>
      <c r="L53" s="11"/>
      <c r="M53" s="11"/>
      <c r="N53" s="11"/>
      <c r="O53" s="12"/>
      <c r="P53" s="11"/>
      <c r="Q53" s="13"/>
      <c r="R53" s="14"/>
    </row>
    <row r="54" spans="1:18" ht="15" customHeight="1" thickBot="1" x14ac:dyDescent="0.35">
      <c r="A54" s="91" t="s">
        <v>49</v>
      </c>
      <c r="B54" s="91" t="s">
        <v>317</v>
      </c>
      <c r="C54" s="92">
        <v>0.27777777777777779</v>
      </c>
      <c r="D54" s="91" t="s">
        <v>51</v>
      </c>
      <c r="E54" s="91" t="s">
        <v>55</v>
      </c>
      <c r="F54" s="91" t="s">
        <v>314</v>
      </c>
      <c r="G54" s="268"/>
      <c r="H54" s="41"/>
      <c r="I54" s="42"/>
      <c r="J54" s="42"/>
      <c r="K54" s="42"/>
      <c r="L54" s="42"/>
      <c r="M54" s="42"/>
      <c r="N54" s="42"/>
      <c r="O54" s="43"/>
      <c r="P54" s="42"/>
      <c r="Q54" s="44"/>
      <c r="R54" s="45"/>
    </row>
    <row r="55" spans="1:18" ht="17.399999999999999" customHeight="1" thickBot="1" x14ac:dyDescent="0.35">
      <c r="A55" s="295"/>
      <c r="B55" s="296"/>
      <c r="C55" s="296"/>
      <c r="D55" s="296"/>
      <c r="E55" s="296"/>
      <c r="F55" s="296"/>
      <c r="G55" s="296"/>
      <c r="H55" s="296"/>
      <c r="I55" s="296"/>
      <c r="J55" s="296"/>
      <c r="K55" s="296"/>
      <c r="L55" s="296"/>
      <c r="M55" s="296"/>
      <c r="N55" s="296"/>
      <c r="O55" s="296"/>
      <c r="P55" s="296"/>
      <c r="Q55" s="296"/>
      <c r="R55" s="297"/>
    </row>
    <row r="56" spans="1:18" ht="22.05" customHeight="1" thickTop="1" thickBot="1" x14ac:dyDescent="0.35">
      <c r="A56" s="262" t="s">
        <v>6</v>
      </c>
      <c r="B56" s="263"/>
      <c r="C56" s="263"/>
      <c r="D56" s="263"/>
      <c r="E56" s="263"/>
      <c r="F56" s="264"/>
      <c r="G56" s="31">
        <v>45982</v>
      </c>
      <c r="H56" s="270" t="s">
        <v>7</v>
      </c>
      <c r="I56" s="263"/>
      <c r="J56" s="263"/>
      <c r="K56" s="263"/>
      <c r="L56" s="263"/>
      <c r="M56" s="263"/>
      <c r="N56" s="263"/>
      <c r="O56" s="263"/>
      <c r="P56" s="263"/>
      <c r="Q56" s="263"/>
      <c r="R56" s="264"/>
    </row>
    <row r="57" spans="1:18" ht="24" customHeight="1" x14ac:dyDescent="0.3">
      <c r="A57" s="32" t="s">
        <v>8</v>
      </c>
      <c r="B57" s="32" t="s">
        <v>9</v>
      </c>
      <c r="C57" s="33" t="s">
        <v>10</v>
      </c>
      <c r="D57" s="32" t="s">
        <v>11</v>
      </c>
      <c r="E57" s="32" t="s">
        <v>12</v>
      </c>
      <c r="F57" s="34" t="s">
        <v>13</v>
      </c>
      <c r="G57" s="35" t="s">
        <v>14</v>
      </c>
      <c r="H57" s="32" t="s">
        <v>15</v>
      </c>
      <c r="I57" s="36" t="s">
        <v>16</v>
      </c>
      <c r="J57" s="37" t="s">
        <v>17</v>
      </c>
      <c r="K57" s="38" t="s">
        <v>18</v>
      </c>
      <c r="L57" s="37" t="s">
        <v>19</v>
      </c>
      <c r="M57" s="37" t="s">
        <v>20</v>
      </c>
      <c r="N57" s="37" t="s">
        <v>21</v>
      </c>
      <c r="O57" s="32" t="s">
        <v>22</v>
      </c>
      <c r="P57" s="33" t="s">
        <v>23</v>
      </c>
      <c r="Q57" s="37" t="s">
        <v>24</v>
      </c>
      <c r="R57" s="32" t="s">
        <v>25</v>
      </c>
    </row>
    <row r="58" spans="1:18" ht="15" customHeight="1" x14ac:dyDescent="0.3">
      <c r="A58" s="8" t="s">
        <v>285</v>
      </c>
      <c r="B58" s="8" t="s">
        <v>286</v>
      </c>
      <c r="C58" s="9">
        <v>0.71527777777777779</v>
      </c>
      <c r="D58" s="8" t="s">
        <v>279</v>
      </c>
      <c r="E58" s="8" t="s">
        <v>101</v>
      </c>
      <c r="F58" s="8" t="s">
        <v>318</v>
      </c>
      <c r="G58" s="266"/>
      <c r="H58" s="10"/>
      <c r="I58" s="11"/>
      <c r="J58" s="11"/>
      <c r="K58" s="11"/>
      <c r="L58" s="11"/>
      <c r="M58" s="11"/>
      <c r="N58" s="11"/>
      <c r="O58" s="12"/>
      <c r="P58" s="11"/>
      <c r="Q58" s="13"/>
      <c r="R58" s="14"/>
    </row>
    <row r="59" spans="1:18" ht="15" customHeight="1" x14ac:dyDescent="0.3">
      <c r="A59" s="17" t="s">
        <v>285</v>
      </c>
      <c r="B59" s="17" t="s">
        <v>319</v>
      </c>
      <c r="C59" s="18">
        <v>0.41666666666666669</v>
      </c>
      <c r="D59" s="17" t="s">
        <v>279</v>
      </c>
      <c r="E59" s="17" t="s">
        <v>55</v>
      </c>
      <c r="F59" s="17" t="s">
        <v>320</v>
      </c>
      <c r="G59" s="267"/>
      <c r="H59" s="10"/>
      <c r="I59" s="11"/>
      <c r="J59" s="11"/>
      <c r="K59" s="11"/>
      <c r="L59" s="11"/>
      <c r="M59" s="11"/>
      <c r="N59" s="11"/>
      <c r="O59" s="12"/>
      <c r="P59" s="11"/>
      <c r="Q59" s="13"/>
      <c r="R59" s="14"/>
    </row>
    <row r="60" spans="1:18" ht="15" customHeight="1" x14ac:dyDescent="0.3">
      <c r="A60" s="158" t="s">
        <v>78</v>
      </c>
      <c r="B60" s="158" t="s">
        <v>260</v>
      </c>
      <c r="C60" s="159">
        <v>0.73611111111111116</v>
      </c>
      <c r="D60" s="158" t="s">
        <v>178</v>
      </c>
      <c r="E60" s="158" t="s">
        <v>321</v>
      </c>
      <c r="F60" s="158" t="s">
        <v>322</v>
      </c>
      <c r="G60" s="267"/>
      <c r="H60" s="120" t="s">
        <v>261</v>
      </c>
      <c r="I60" s="160">
        <v>0.5363</v>
      </c>
      <c r="J60" s="122">
        <v>96</v>
      </c>
      <c r="K60" s="123">
        <v>45979</v>
      </c>
      <c r="L60" s="122">
        <v>15</v>
      </c>
      <c r="M60" s="122">
        <v>0</v>
      </c>
      <c r="N60" s="122">
        <v>3</v>
      </c>
      <c r="O60" s="124" t="s">
        <v>323</v>
      </c>
      <c r="P60" s="125">
        <v>0.73611111111111116</v>
      </c>
      <c r="Q60" s="122">
        <v>179</v>
      </c>
      <c r="R60" s="126" t="s">
        <v>324</v>
      </c>
    </row>
    <row r="61" spans="1:18" ht="15" customHeight="1" x14ac:dyDescent="0.3">
      <c r="A61" s="161" t="s">
        <v>78</v>
      </c>
      <c r="B61" s="161" t="s">
        <v>263</v>
      </c>
      <c r="C61" s="162">
        <v>0.1145833333333333</v>
      </c>
      <c r="D61" s="161" t="s">
        <v>178</v>
      </c>
      <c r="E61" s="161" t="s">
        <v>232</v>
      </c>
      <c r="F61" s="161" t="s">
        <v>322</v>
      </c>
      <c r="G61" s="267"/>
      <c r="H61" s="163" t="s">
        <v>264</v>
      </c>
      <c r="I61" s="164">
        <v>0.50839999999999996</v>
      </c>
      <c r="J61" s="165">
        <v>91</v>
      </c>
      <c r="K61" s="166">
        <v>45980</v>
      </c>
      <c r="L61" s="165">
        <v>24</v>
      </c>
      <c r="M61" s="165">
        <v>1</v>
      </c>
      <c r="N61" s="165">
        <v>7</v>
      </c>
      <c r="O61" s="167" t="s">
        <v>325</v>
      </c>
      <c r="P61" s="168">
        <v>0.1145833333333333</v>
      </c>
      <c r="Q61" s="165">
        <v>179</v>
      </c>
      <c r="R61" s="169" t="s">
        <v>326</v>
      </c>
    </row>
    <row r="62" spans="1:18" ht="15" customHeight="1" x14ac:dyDescent="0.3">
      <c r="A62" s="147" t="s">
        <v>78</v>
      </c>
      <c r="B62" s="147" t="s">
        <v>272</v>
      </c>
      <c r="C62" s="148">
        <v>0.61458333333333337</v>
      </c>
      <c r="D62" s="147" t="s">
        <v>178</v>
      </c>
      <c r="E62" s="147" t="s">
        <v>58</v>
      </c>
      <c r="F62" s="147" t="s">
        <v>322</v>
      </c>
      <c r="G62" s="267"/>
      <c r="H62" s="149" t="s">
        <v>274</v>
      </c>
      <c r="I62" s="170">
        <v>0.53069999999999995</v>
      </c>
      <c r="J62" s="151">
        <v>95</v>
      </c>
      <c r="K62" s="152">
        <v>45979</v>
      </c>
      <c r="L62" s="151">
        <v>19</v>
      </c>
      <c r="M62" s="151">
        <v>0</v>
      </c>
      <c r="N62" s="151">
        <v>1</v>
      </c>
      <c r="O62" s="153" t="s">
        <v>327</v>
      </c>
      <c r="P62" s="154">
        <v>0.61458333333333337</v>
      </c>
      <c r="Q62" s="151">
        <v>179</v>
      </c>
      <c r="R62" s="155" t="s">
        <v>328</v>
      </c>
    </row>
    <row r="63" spans="1:18" ht="15" customHeight="1" x14ac:dyDescent="0.3">
      <c r="A63" s="138" t="s">
        <v>78</v>
      </c>
      <c r="B63" s="138" t="s">
        <v>267</v>
      </c>
      <c r="C63" s="139">
        <v>0.45833333333333331</v>
      </c>
      <c r="D63" s="138" t="s">
        <v>178</v>
      </c>
      <c r="E63" s="138" t="s">
        <v>91</v>
      </c>
      <c r="F63" s="138" t="s">
        <v>322</v>
      </c>
      <c r="G63" s="267"/>
      <c r="H63" s="140" t="s">
        <v>269</v>
      </c>
      <c r="I63" s="171">
        <v>0.54190000000000005</v>
      </c>
      <c r="J63" s="142">
        <v>97</v>
      </c>
      <c r="K63" s="143">
        <v>45976</v>
      </c>
      <c r="L63" s="142">
        <v>7</v>
      </c>
      <c r="M63" s="142">
        <v>0</v>
      </c>
      <c r="N63" s="142">
        <v>0</v>
      </c>
      <c r="O63" s="144" t="s">
        <v>329</v>
      </c>
      <c r="P63" s="145">
        <v>0.45833333333333331</v>
      </c>
      <c r="Q63" s="142">
        <v>179</v>
      </c>
      <c r="R63" s="146" t="s">
        <v>330</v>
      </c>
    </row>
    <row r="64" spans="1:18" ht="15" customHeight="1" x14ac:dyDescent="0.3">
      <c r="A64" s="147" t="s">
        <v>78</v>
      </c>
      <c r="B64" s="147" t="s">
        <v>257</v>
      </c>
      <c r="C64" s="148">
        <v>0.31944444444444448</v>
      </c>
      <c r="D64" s="147" t="s">
        <v>178</v>
      </c>
      <c r="E64" s="147" t="s">
        <v>91</v>
      </c>
      <c r="F64" s="147" t="s">
        <v>268</v>
      </c>
      <c r="G64" s="267"/>
      <c r="H64" s="149" t="s">
        <v>258</v>
      </c>
      <c r="I64" s="172">
        <v>0.5978</v>
      </c>
      <c r="J64" s="151">
        <v>107</v>
      </c>
      <c r="K64" s="152">
        <v>45978</v>
      </c>
      <c r="L64" s="151">
        <v>21</v>
      </c>
      <c r="M64" s="151">
        <v>0</v>
      </c>
      <c r="N64" s="151">
        <v>0</v>
      </c>
      <c r="O64" s="153" t="s">
        <v>270</v>
      </c>
      <c r="P64" s="154">
        <v>0.31944444444444448</v>
      </c>
      <c r="Q64" s="151">
        <v>179</v>
      </c>
      <c r="R64" s="155" t="s">
        <v>331</v>
      </c>
    </row>
    <row r="65" spans="1:18" ht="15" customHeight="1" x14ac:dyDescent="0.3">
      <c r="A65" s="127" t="s">
        <v>78</v>
      </c>
      <c r="B65" s="127" t="s">
        <v>332</v>
      </c>
      <c r="C65" s="128">
        <v>0.9375</v>
      </c>
      <c r="D65" s="127" t="s">
        <v>80</v>
      </c>
      <c r="E65" s="173"/>
      <c r="F65" s="127" t="s">
        <v>81</v>
      </c>
      <c r="G65" s="267"/>
      <c r="H65" s="129" t="s">
        <v>332</v>
      </c>
      <c r="I65" s="174">
        <v>1.0172000000000001</v>
      </c>
      <c r="J65" s="131">
        <v>177</v>
      </c>
      <c r="K65" s="132">
        <v>45979</v>
      </c>
      <c r="L65" s="131">
        <v>7</v>
      </c>
      <c r="M65" s="131">
        <v>0</v>
      </c>
      <c r="N65" s="131">
        <v>1</v>
      </c>
      <c r="O65" s="133" t="s">
        <v>82</v>
      </c>
      <c r="P65" s="134">
        <v>0.9375</v>
      </c>
      <c r="Q65" s="131">
        <v>174</v>
      </c>
      <c r="R65" s="135" t="s">
        <v>333</v>
      </c>
    </row>
    <row r="66" spans="1:18" ht="15" customHeight="1" x14ac:dyDescent="0.3">
      <c r="A66" s="19" t="s">
        <v>49</v>
      </c>
      <c r="B66" s="19" t="s">
        <v>311</v>
      </c>
      <c r="C66" s="20">
        <v>0.22916666666666671</v>
      </c>
      <c r="D66" s="19" t="s">
        <v>51</v>
      </c>
      <c r="E66" s="19" t="s">
        <v>52</v>
      </c>
      <c r="F66" s="19" t="s">
        <v>334</v>
      </c>
      <c r="G66" s="267"/>
      <c r="H66" s="10"/>
      <c r="I66" s="11"/>
      <c r="J66" s="11"/>
      <c r="K66" s="11"/>
      <c r="L66" s="11"/>
      <c r="M66" s="11"/>
      <c r="N66" s="11"/>
      <c r="O66" s="12"/>
      <c r="P66" s="11"/>
      <c r="Q66" s="13"/>
      <c r="R66" s="14"/>
    </row>
    <row r="67" spans="1:18" ht="15" customHeight="1" x14ac:dyDescent="0.3">
      <c r="A67" s="17" t="s">
        <v>49</v>
      </c>
      <c r="B67" s="17" t="s">
        <v>306</v>
      </c>
      <c r="C67" s="18">
        <v>1.388888888888889E-2</v>
      </c>
      <c r="D67" s="17" t="s">
        <v>51</v>
      </c>
      <c r="E67" s="17" t="s">
        <v>55</v>
      </c>
      <c r="F67" s="17" t="s">
        <v>335</v>
      </c>
      <c r="G67" s="267"/>
      <c r="H67" s="10"/>
      <c r="I67" s="11"/>
      <c r="J67" s="11"/>
      <c r="K67" s="11"/>
      <c r="L67" s="11"/>
      <c r="M67" s="11"/>
      <c r="N67" s="11"/>
      <c r="O67" s="12"/>
      <c r="P67" s="11"/>
      <c r="Q67" s="13"/>
      <c r="R67" s="14"/>
    </row>
    <row r="68" spans="1:18" ht="15" customHeight="1" x14ac:dyDescent="0.3">
      <c r="A68" s="17" t="s">
        <v>49</v>
      </c>
      <c r="B68" s="17" t="s">
        <v>313</v>
      </c>
      <c r="C68" s="18">
        <v>0.79166666666666663</v>
      </c>
      <c r="D68" s="17" t="s">
        <v>51</v>
      </c>
      <c r="E68" s="17" t="s">
        <v>55</v>
      </c>
      <c r="F68" s="17" t="s">
        <v>292</v>
      </c>
      <c r="G68" s="267"/>
      <c r="H68" s="10"/>
      <c r="I68" s="11"/>
      <c r="J68" s="11"/>
      <c r="K68" s="11"/>
      <c r="L68" s="11"/>
      <c r="M68" s="11"/>
      <c r="N68" s="11"/>
      <c r="O68" s="12"/>
      <c r="P68" s="11"/>
      <c r="Q68" s="13"/>
      <c r="R68" s="14"/>
    </row>
    <row r="69" spans="1:18" ht="15" customHeight="1" x14ac:dyDescent="0.3">
      <c r="A69" s="17" t="s">
        <v>49</v>
      </c>
      <c r="B69" s="17" t="s">
        <v>315</v>
      </c>
      <c r="C69" s="18">
        <v>0.96527777777777779</v>
      </c>
      <c r="D69" s="17" t="s">
        <v>51</v>
      </c>
      <c r="E69" s="17" t="s">
        <v>55</v>
      </c>
      <c r="F69" s="17" t="s">
        <v>292</v>
      </c>
      <c r="G69" s="267"/>
      <c r="H69" s="10"/>
      <c r="I69" s="11"/>
      <c r="J69" s="11"/>
      <c r="K69" s="11"/>
      <c r="L69" s="11"/>
      <c r="M69" s="11"/>
      <c r="N69" s="11"/>
      <c r="O69" s="12"/>
      <c r="P69" s="11"/>
      <c r="Q69" s="13"/>
      <c r="R69" s="14"/>
    </row>
    <row r="70" spans="1:18" ht="15" customHeight="1" x14ac:dyDescent="0.3">
      <c r="A70" s="17" t="s">
        <v>49</v>
      </c>
      <c r="B70" s="17" t="s">
        <v>316</v>
      </c>
      <c r="C70" s="18">
        <v>0.14583333333333329</v>
      </c>
      <c r="D70" s="17" t="s">
        <v>51</v>
      </c>
      <c r="E70" s="17" t="s">
        <v>55</v>
      </c>
      <c r="F70" s="17" t="s">
        <v>292</v>
      </c>
      <c r="G70" s="267"/>
      <c r="H70" s="10"/>
      <c r="I70" s="11"/>
      <c r="J70" s="11"/>
      <c r="K70" s="11"/>
      <c r="L70" s="11"/>
      <c r="M70" s="11"/>
      <c r="N70" s="11"/>
      <c r="O70" s="12"/>
      <c r="P70" s="11"/>
      <c r="Q70" s="13"/>
      <c r="R70" s="14"/>
    </row>
    <row r="71" spans="1:18" ht="15" customHeight="1" x14ac:dyDescent="0.3">
      <c r="A71" s="17" t="s">
        <v>49</v>
      </c>
      <c r="B71" s="17" t="s">
        <v>317</v>
      </c>
      <c r="C71" s="18">
        <v>0.27777777777777779</v>
      </c>
      <c r="D71" s="17" t="s">
        <v>51</v>
      </c>
      <c r="E71" s="17" t="s">
        <v>55</v>
      </c>
      <c r="F71" s="17" t="s">
        <v>292</v>
      </c>
      <c r="G71" s="267"/>
      <c r="H71" s="10"/>
      <c r="I71" s="11"/>
      <c r="J71" s="11"/>
      <c r="K71" s="11"/>
      <c r="L71" s="11"/>
      <c r="M71" s="11"/>
      <c r="N71" s="11"/>
      <c r="O71" s="12"/>
      <c r="P71" s="11"/>
      <c r="Q71" s="13"/>
      <c r="R71" s="14"/>
    </row>
    <row r="72" spans="1:18" ht="15" customHeight="1" x14ac:dyDescent="0.3">
      <c r="A72" s="17" t="s">
        <v>49</v>
      </c>
      <c r="B72" s="17" t="s">
        <v>308</v>
      </c>
      <c r="C72" s="18">
        <v>0.50694444444444442</v>
      </c>
      <c r="D72" s="17" t="s">
        <v>51</v>
      </c>
      <c r="E72" s="17" t="s">
        <v>55</v>
      </c>
      <c r="F72" s="17" t="s">
        <v>314</v>
      </c>
      <c r="G72" s="267"/>
      <c r="H72" s="10"/>
      <c r="I72" s="11"/>
      <c r="J72" s="11"/>
      <c r="K72" s="11"/>
      <c r="L72" s="11"/>
      <c r="M72" s="11"/>
      <c r="N72" s="11"/>
      <c r="O72" s="12"/>
      <c r="P72" s="11"/>
      <c r="Q72" s="13"/>
      <c r="R72" s="14"/>
    </row>
    <row r="73" spans="1:18" ht="15" customHeight="1" x14ac:dyDescent="0.3">
      <c r="A73" s="19" t="s">
        <v>62</v>
      </c>
      <c r="B73" s="19" t="s">
        <v>287</v>
      </c>
      <c r="C73" s="20">
        <v>0.1423611111111111</v>
      </c>
      <c r="D73" s="19" t="s">
        <v>64</v>
      </c>
      <c r="E73" s="19" t="s">
        <v>52</v>
      </c>
      <c r="F73" s="19" t="s">
        <v>292</v>
      </c>
      <c r="G73" s="267"/>
      <c r="H73" s="10"/>
      <c r="I73" s="11"/>
      <c r="J73" s="11"/>
      <c r="K73" s="11"/>
      <c r="L73" s="11"/>
      <c r="M73" s="11"/>
      <c r="N73" s="11"/>
      <c r="O73" s="12"/>
      <c r="P73" s="11"/>
      <c r="Q73" s="13"/>
      <c r="R73" s="14"/>
    </row>
    <row r="74" spans="1:18" ht="15" customHeight="1" x14ac:dyDescent="0.3">
      <c r="A74" s="15" t="s">
        <v>62</v>
      </c>
      <c r="B74" s="15" t="s">
        <v>287</v>
      </c>
      <c r="C74" s="16">
        <v>0.1423611111111111</v>
      </c>
      <c r="D74" s="15" t="s">
        <v>66</v>
      </c>
      <c r="E74" s="15" t="s">
        <v>67</v>
      </c>
      <c r="F74" s="15" t="s">
        <v>293</v>
      </c>
      <c r="G74" s="267"/>
      <c r="H74" s="10"/>
      <c r="I74" s="11"/>
      <c r="J74" s="11"/>
      <c r="K74" s="11"/>
      <c r="L74" s="11"/>
      <c r="M74" s="11"/>
      <c r="N74" s="11"/>
      <c r="O74" s="12"/>
      <c r="P74" s="11"/>
      <c r="Q74" s="13"/>
      <c r="R74" s="14"/>
    </row>
    <row r="75" spans="1:18" ht="15" customHeight="1" x14ac:dyDescent="0.3">
      <c r="A75" s="17" t="s">
        <v>62</v>
      </c>
      <c r="B75" s="17" t="s">
        <v>294</v>
      </c>
      <c r="C75" s="18">
        <v>0.93055555555555547</v>
      </c>
      <c r="D75" s="17" t="s">
        <v>64</v>
      </c>
      <c r="E75" s="17" t="s">
        <v>55</v>
      </c>
      <c r="F75" s="17" t="s">
        <v>292</v>
      </c>
      <c r="G75" s="267"/>
      <c r="H75" s="10"/>
      <c r="I75" s="11"/>
      <c r="J75" s="11"/>
      <c r="K75" s="11"/>
      <c r="L75" s="11"/>
      <c r="M75" s="11"/>
      <c r="N75" s="11"/>
      <c r="O75" s="12"/>
      <c r="P75" s="11"/>
      <c r="Q75" s="13"/>
      <c r="R75" s="14"/>
    </row>
    <row r="76" spans="1:18" ht="15" customHeight="1" x14ac:dyDescent="0.3">
      <c r="A76" s="15" t="s">
        <v>62</v>
      </c>
      <c r="B76" s="15" t="s">
        <v>294</v>
      </c>
      <c r="C76" s="16">
        <v>0.93055555555555547</v>
      </c>
      <c r="D76" s="15" t="s">
        <v>66</v>
      </c>
      <c r="E76" s="15" t="s">
        <v>67</v>
      </c>
      <c r="F76" s="15" t="s">
        <v>293</v>
      </c>
      <c r="G76" s="267"/>
      <c r="H76" s="10"/>
      <c r="I76" s="11"/>
      <c r="J76" s="11"/>
      <c r="K76" s="11"/>
      <c r="L76" s="11"/>
      <c r="M76" s="11"/>
      <c r="N76" s="11"/>
      <c r="O76" s="12"/>
      <c r="P76" s="11"/>
      <c r="Q76" s="13"/>
      <c r="R76" s="14"/>
    </row>
    <row r="77" spans="1:18" ht="15" customHeight="1" x14ac:dyDescent="0.3">
      <c r="A77" s="17" t="s">
        <v>62</v>
      </c>
      <c r="B77" s="17" t="s">
        <v>336</v>
      </c>
      <c r="C77" s="18">
        <v>0.71875</v>
      </c>
      <c r="D77" s="17" t="s">
        <v>64</v>
      </c>
      <c r="E77" s="17" t="s">
        <v>55</v>
      </c>
      <c r="F77" s="17" t="s">
        <v>292</v>
      </c>
      <c r="G77" s="267"/>
      <c r="H77" s="10"/>
      <c r="I77" s="11"/>
      <c r="J77" s="11"/>
      <c r="K77" s="11"/>
      <c r="L77" s="11"/>
      <c r="M77" s="11"/>
      <c r="N77" s="11"/>
      <c r="O77" s="12"/>
      <c r="P77" s="11"/>
      <c r="Q77" s="13"/>
      <c r="R77" s="14"/>
    </row>
    <row r="78" spans="1:18" ht="15" customHeight="1" x14ac:dyDescent="0.3">
      <c r="A78" s="15" t="s">
        <v>62</v>
      </c>
      <c r="B78" s="15" t="s">
        <v>336</v>
      </c>
      <c r="C78" s="16">
        <v>0.71875</v>
      </c>
      <c r="D78" s="15" t="s">
        <v>66</v>
      </c>
      <c r="E78" s="15" t="s">
        <v>67</v>
      </c>
      <c r="F78" s="15" t="s">
        <v>293</v>
      </c>
      <c r="G78" s="267"/>
      <c r="H78" s="10"/>
      <c r="I78" s="11"/>
      <c r="J78" s="11"/>
      <c r="K78" s="11"/>
      <c r="L78" s="11"/>
      <c r="M78" s="11"/>
      <c r="N78" s="11"/>
      <c r="O78" s="12"/>
      <c r="P78" s="11"/>
      <c r="Q78" s="13"/>
      <c r="R78" s="14"/>
    </row>
    <row r="79" spans="1:18" ht="15" customHeight="1" x14ac:dyDescent="0.3">
      <c r="A79" s="17" t="s">
        <v>62</v>
      </c>
      <c r="B79" s="17" t="s">
        <v>303</v>
      </c>
      <c r="C79" s="18">
        <v>0.82986111111111116</v>
      </c>
      <c r="D79" s="17" t="s">
        <v>64</v>
      </c>
      <c r="E79" s="17" t="s">
        <v>55</v>
      </c>
      <c r="F79" s="17" t="s">
        <v>292</v>
      </c>
      <c r="G79" s="267"/>
      <c r="H79" s="10"/>
      <c r="I79" s="11"/>
      <c r="J79" s="11"/>
      <c r="K79" s="11"/>
      <c r="L79" s="11"/>
      <c r="M79" s="11"/>
      <c r="N79" s="11"/>
      <c r="O79" s="12"/>
      <c r="P79" s="11"/>
      <c r="Q79" s="13"/>
      <c r="R79" s="14"/>
    </row>
    <row r="80" spans="1:18" ht="15" customHeight="1" x14ac:dyDescent="0.3">
      <c r="A80" s="15" t="s">
        <v>62</v>
      </c>
      <c r="B80" s="15" t="s">
        <v>303</v>
      </c>
      <c r="C80" s="16">
        <v>0.82986111111111116</v>
      </c>
      <c r="D80" s="15" t="s">
        <v>66</v>
      </c>
      <c r="E80" s="15" t="s">
        <v>67</v>
      </c>
      <c r="F80" s="15" t="s">
        <v>293</v>
      </c>
      <c r="G80" s="267"/>
      <c r="H80" s="10"/>
      <c r="I80" s="11"/>
      <c r="J80" s="11"/>
      <c r="K80" s="11"/>
      <c r="L80" s="11"/>
      <c r="M80" s="11"/>
      <c r="N80" s="11"/>
      <c r="O80" s="12"/>
      <c r="P80" s="11"/>
      <c r="Q80" s="13"/>
      <c r="R80" s="14"/>
    </row>
    <row r="81" spans="1:18" ht="15" customHeight="1" x14ac:dyDescent="0.3">
      <c r="A81" s="17" t="s">
        <v>62</v>
      </c>
      <c r="B81" s="17" t="s">
        <v>290</v>
      </c>
      <c r="C81" s="18">
        <v>0.23958333333333329</v>
      </c>
      <c r="D81" s="17" t="s">
        <v>64</v>
      </c>
      <c r="E81" s="17" t="s">
        <v>55</v>
      </c>
      <c r="F81" s="17" t="s">
        <v>292</v>
      </c>
      <c r="G81" s="267"/>
      <c r="H81" s="10"/>
      <c r="I81" s="11"/>
      <c r="J81" s="11"/>
      <c r="K81" s="11"/>
      <c r="L81" s="11"/>
      <c r="M81" s="11"/>
      <c r="N81" s="11"/>
      <c r="O81" s="12"/>
      <c r="P81" s="11"/>
      <c r="Q81" s="13"/>
      <c r="R81" s="14"/>
    </row>
    <row r="82" spans="1:18" ht="15" customHeight="1" x14ac:dyDescent="0.3">
      <c r="A82" s="15" t="s">
        <v>62</v>
      </c>
      <c r="B82" s="15" t="s">
        <v>290</v>
      </c>
      <c r="C82" s="16">
        <v>0.23958333333333329</v>
      </c>
      <c r="D82" s="15" t="s">
        <v>66</v>
      </c>
      <c r="E82" s="15" t="s">
        <v>67</v>
      </c>
      <c r="F82" s="15" t="s">
        <v>293</v>
      </c>
      <c r="G82" s="267"/>
      <c r="H82" s="10"/>
      <c r="I82" s="11"/>
      <c r="J82" s="11"/>
      <c r="K82" s="11"/>
      <c r="L82" s="11"/>
      <c r="M82" s="11"/>
      <c r="N82" s="11"/>
      <c r="O82" s="12"/>
      <c r="P82" s="11"/>
      <c r="Q82" s="13"/>
      <c r="R82" s="14"/>
    </row>
    <row r="83" spans="1:18" ht="15" customHeight="1" x14ac:dyDescent="0.3">
      <c r="A83" s="17" t="s">
        <v>62</v>
      </c>
      <c r="B83" s="17" t="s">
        <v>300</v>
      </c>
      <c r="C83" s="18">
        <v>0.30208333333333331</v>
      </c>
      <c r="D83" s="17" t="s">
        <v>66</v>
      </c>
      <c r="E83" s="17" t="s">
        <v>71</v>
      </c>
      <c r="F83" s="17" t="s">
        <v>337</v>
      </c>
      <c r="G83" s="267"/>
      <c r="H83" s="10"/>
      <c r="I83" s="11"/>
      <c r="J83" s="11"/>
      <c r="K83" s="11"/>
      <c r="L83" s="11"/>
      <c r="M83" s="11"/>
      <c r="N83" s="11"/>
      <c r="O83" s="12"/>
      <c r="P83" s="11"/>
      <c r="Q83" s="13"/>
      <c r="R83" s="14"/>
    </row>
    <row r="84" spans="1:18" ht="15" customHeight="1" x14ac:dyDescent="0.3">
      <c r="A84" s="17" t="s">
        <v>62</v>
      </c>
      <c r="B84" s="17" t="s">
        <v>301</v>
      </c>
      <c r="C84" s="18">
        <v>0.12847222222222221</v>
      </c>
      <c r="D84" s="17" t="s">
        <v>66</v>
      </c>
      <c r="E84" s="17" t="s">
        <v>71</v>
      </c>
      <c r="F84" s="17" t="s">
        <v>337</v>
      </c>
      <c r="G84" s="267"/>
      <c r="H84" s="10"/>
      <c r="I84" s="11"/>
      <c r="J84" s="11"/>
      <c r="K84" s="11"/>
      <c r="L84" s="11"/>
      <c r="M84" s="11"/>
      <c r="N84" s="11"/>
      <c r="O84" s="12"/>
      <c r="P84" s="11"/>
      <c r="Q84" s="13"/>
      <c r="R84" s="14"/>
    </row>
    <row r="85" spans="1:18" ht="15" customHeight="1" x14ac:dyDescent="0.3">
      <c r="A85" s="17" t="s">
        <v>62</v>
      </c>
      <c r="B85" s="17" t="s">
        <v>302</v>
      </c>
      <c r="C85" s="18">
        <v>0.78819444444444453</v>
      </c>
      <c r="D85" s="17" t="s">
        <v>66</v>
      </c>
      <c r="E85" s="17" t="s">
        <v>71</v>
      </c>
      <c r="F85" s="17" t="s">
        <v>337</v>
      </c>
      <c r="G85" s="267"/>
      <c r="H85" s="10"/>
      <c r="I85" s="11"/>
      <c r="J85" s="11"/>
      <c r="K85" s="11"/>
      <c r="L85" s="11"/>
      <c r="M85" s="11"/>
      <c r="N85" s="11"/>
      <c r="O85" s="12"/>
      <c r="P85" s="11"/>
      <c r="Q85" s="13"/>
      <c r="R85" s="14"/>
    </row>
    <row r="86" spans="1:18" ht="15" customHeight="1" x14ac:dyDescent="0.3">
      <c r="A86" s="17" t="s">
        <v>62</v>
      </c>
      <c r="B86" s="17" t="s">
        <v>298</v>
      </c>
      <c r="C86" s="18">
        <v>0.88888888888888884</v>
      </c>
      <c r="D86" s="17" t="s">
        <v>66</v>
      </c>
      <c r="E86" s="17" t="s">
        <v>71</v>
      </c>
      <c r="F86" s="17" t="s">
        <v>337</v>
      </c>
      <c r="G86" s="267"/>
      <c r="H86" s="10"/>
      <c r="I86" s="11"/>
      <c r="J86" s="11"/>
      <c r="K86" s="11"/>
      <c r="L86" s="11"/>
      <c r="M86" s="11"/>
      <c r="N86" s="11"/>
      <c r="O86" s="12"/>
      <c r="P86" s="11"/>
      <c r="Q86" s="13"/>
      <c r="R86" s="14"/>
    </row>
    <row r="87" spans="1:18" ht="15" customHeight="1" x14ac:dyDescent="0.3">
      <c r="A87" s="17" t="s">
        <v>62</v>
      </c>
      <c r="B87" s="17" t="s">
        <v>291</v>
      </c>
      <c r="C87" s="18">
        <v>6.9444444444444441E-3</v>
      </c>
      <c r="D87" s="17" t="s">
        <v>64</v>
      </c>
      <c r="E87" s="17" t="s">
        <v>55</v>
      </c>
      <c r="F87" s="17" t="s">
        <v>295</v>
      </c>
      <c r="G87" s="267"/>
      <c r="H87" s="10"/>
      <c r="I87" s="11"/>
      <c r="J87" s="11"/>
      <c r="K87" s="11"/>
      <c r="L87" s="11"/>
      <c r="M87" s="11"/>
      <c r="N87" s="11"/>
      <c r="O87" s="12"/>
      <c r="P87" s="11"/>
      <c r="Q87" s="13"/>
      <c r="R87" s="14"/>
    </row>
    <row r="88" spans="1:18" ht="15" customHeight="1" x14ac:dyDescent="0.3">
      <c r="A88" s="15" t="s">
        <v>62</v>
      </c>
      <c r="B88" s="15" t="s">
        <v>291</v>
      </c>
      <c r="C88" s="16">
        <v>6.9444444444444441E-3</v>
      </c>
      <c r="D88" s="15" t="s">
        <v>66</v>
      </c>
      <c r="E88" s="15" t="s">
        <v>67</v>
      </c>
      <c r="F88" s="15" t="s">
        <v>296</v>
      </c>
      <c r="G88" s="267"/>
      <c r="H88" s="10"/>
      <c r="I88" s="11"/>
      <c r="J88" s="11"/>
      <c r="K88" s="11"/>
      <c r="L88" s="11"/>
      <c r="M88" s="11"/>
      <c r="N88" s="11"/>
      <c r="O88" s="12"/>
      <c r="P88" s="11"/>
      <c r="Q88" s="13"/>
      <c r="R88" s="14"/>
    </row>
    <row r="89" spans="1:18" ht="15" customHeight="1" x14ac:dyDescent="0.3">
      <c r="A89" s="17" t="s">
        <v>62</v>
      </c>
      <c r="B89" s="17" t="s">
        <v>297</v>
      </c>
      <c r="C89" s="18">
        <v>0.37847222222222232</v>
      </c>
      <c r="D89" s="17" t="s">
        <v>64</v>
      </c>
      <c r="E89" s="17" t="s">
        <v>55</v>
      </c>
      <c r="F89" s="17" t="s">
        <v>295</v>
      </c>
      <c r="G89" s="267"/>
      <c r="H89" s="10"/>
      <c r="I89" s="11"/>
      <c r="J89" s="11"/>
      <c r="K89" s="11"/>
      <c r="L89" s="11"/>
      <c r="M89" s="11"/>
      <c r="N89" s="11"/>
      <c r="O89" s="12"/>
      <c r="P89" s="11"/>
      <c r="Q89" s="13"/>
      <c r="R89" s="14"/>
    </row>
    <row r="90" spans="1:18" ht="15" customHeight="1" x14ac:dyDescent="0.3">
      <c r="A90" s="15" t="s">
        <v>62</v>
      </c>
      <c r="B90" s="15" t="s">
        <v>297</v>
      </c>
      <c r="C90" s="16">
        <v>0.37847222222222232</v>
      </c>
      <c r="D90" s="15" t="s">
        <v>66</v>
      </c>
      <c r="E90" s="15" t="s">
        <v>67</v>
      </c>
      <c r="F90" s="15" t="s">
        <v>296</v>
      </c>
      <c r="G90" s="267"/>
      <c r="H90" s="10"/>
      <c r="I90" s="11"/>
      <c r="J90" s="11"/>
      <c r="K90" s="11"/>
      <c r="L90" s="11"/>
      <c r="M90" s="11"/>
      <c r="N90" s="11"/>
      <c r="O90" s="12"/>
      <c r="P90" s="11"/>
      <c r="Q90" s="13"/>
      <c r="R90" s="14"/>
    </row>
    <row r="91" spans="1:18" ht="15" customHeight="1" x14ac:dyDescent="0.3">
      <c r="A91" s="17" t="s">
        <v>62</v>
      </c>
      <c r="B91" s="17" t="s">
        <v>338</v>
      </c>
      <c r="C91" s="18">
        <v>0.61111111111111105</v>
      </c>
      <c r="D91" s="17" t="s">
        <v>64</v>
      </c>
      <c r="E91" s="17" t="s">
        <v>55</v>
      </c>
      <c r="F91" s="17" t="s">
        <v>295</v>
      </c>
      <c r="G91" s="267"/>
      <c r="H91" s="10"/>
      <c r="I91" s="11"/>
      <c r="J91" s="11"/>
      <c r="K91" s="11"/>
      <c r="L91" s="11"/>
      <c r="M91" s="11"/>
      <c r="N91" s="11"/>
      <c r="O91" s="12"/>
      <c r="P91" s="11"/>
      <c r="Q91" s="13"/>
      <c r="R91" s="14"/>
    </row>
    <row r="92" spans="1:18" ht="15" customHeight="1" thickBot="1" x14ac:dyDescent="0.35">
      <c r="A92" s="39" t="s">
        <v>62</v>
      </c>
      <c r="B92" s="39" t="s">
        <v>338</v>
      </c>
      <c r="C92" s="40">
        <v>0.61111111111111105</v>
      </c>
      <c r="D92" s="39" t="s">
        <v>66</v>
      </c>
      <c r="E92" s="39" t="s">
        <v>67</v>
      </c>
      <c r="F92" s="39" t="s">
        <v>296</v>
      </c>
      <c r="G92" s="268"/>
      <c r="H92" s="41"/>
      <c r="I92" s="42"/>
      <c r="J92" s="42"/>
      <c r="K92" s="42"/>
      <c r="L92" s="42"/>
      <c r="M92" s="42"/>
      <c r="N92" s="42"/>
      <c r="O92" s="43"/>
      <c r="P92" s="42"/>
      <c r="Q92" s="44"/>
      <c r="R92" s="45"/>
    </row>
    <row r="93" spans="1:18" ht="17.399999999999999" customHeight="1" thickBot="1" x14ac:dyDescent="0.35">
      <c r="A93" s="295"/>
      <c r="B93" s="296"/>
      <c r="C93" s="296"/>
      <c r="D93" s="296"/>
      <c r="E93" s="296"/>
      <c r="F93" s="296"/>
      <c r="G93" s="296"/>
      <c r="H93" s="296"/>
      <c r="I93" s="296"/>
      <c r="J93" s="296"/>
      <c r="K93" s="296"/>
      <c r="L93" s="296"/>
      <c r="M93" s="296"/>
      <c r="N93" s="296"/>
      <c r="O93" s="296"/>
      <c r="P93" s="296"/>
      <c r="Q93" s="296"/>
      <c r="R93" s="297"/>
    </row>
    <row r="94" spans="1:18" ht="22.05" customHeight="1" thickTop="1" thickBot="1" x14ac:dyDescent="0.35">
      <c r="A94" s="262" t="s">
        <v>6</v>
      </c>
      <c r="B94" s="263"/>
      <c r="C94" s="263"/>
      <c r="D94" s="263"/>
      <c r="E94" s="263"/>
      <c r="F94" s="264"/>
      <c r="G94" s="31">
        <v>45983</v>
      </c>
      <c r="H94" s="270" t="s">
        <v>7</v>
      </c>
      <c r="I94" s="263"/>
      <c r="J94" s="263"/>
      <c r="K94" s="263"/>
      <c r="L94" s="263"/>
      <c r="M94" s="263"/>
      <c r="N94" s="263"/>
      <c r="O94" s="263"/>
      <c r="P94" s="263"/>
      <c r="Q94" s="263"/>
      <c r="R94" s="264"/>
    </row>
    <row r="95" spans="1:18" ht="24" customHeight="1" x14ac:dyDescent="0.3">
      <c r="A95" s="32" t="s">
        <v>8</v>
      </c>
      <c r="B95" s="32" t="s">
        <v>9</v>
      </c>
      <c r="C95" s="33" t="s">
        <v>10</v>
      </c>
      <c r="D95" s="32" t="s">
        <v>11</v>
      </c>
      <c r="E95" s="32" t="s">
        <v>12</v>
      </c>
      <c r="F95" s="34" t="s">
        <v>13</v>
      </c>
      <c r="G95" s="35" t="s">
        <v>14</v>
      </c>
      <c r="H95" s="32" t="s">
        <v>15</v>
      </c>
      <c r="I95" s="36" t="s">
        <v>16</v>
      </c>
      <c r="J95" s="37" t="s">
        <v>17</v>
      </c>
      <c r="K95" s="38" t="s">
        <v>18</v>
      </c>
      <c r="L95" s="37" t="s">
        <v>19</v>
      </c>
      <c r="M95" s="37" t="s">
        <v>20</v>
      </c>
      <c r="N95" s="37" t="s">
        <v>21</v>
      </c>
      <c r="O95" s="32" t="s">
        <v>22</v>
      </c>
      <c r="P95" s="33" t="s">
        <v>23</v>
      </c>
      <c r="Q95" s="37" t="s">
        <v>24</v>
      </c>
      <c r="R95" s="32" t="s">
        <v>25</v>
      </c>
    </row>
    <row r="96" spans="1:18" ht="15" customHeight="1" x14ac:dyDescent="0.3">
      <c r="A96" s="8" t="s">
        <v>285</v>
      </c>
      <c r="B96" s="8" t="s">
        <v>286</v>
      </c>
      <c r="C96" s="9">
        <v>0.66666666666666663</v>
      </c>
      <c r="D96" s="8" t="s">
        <v>279</v>
      </c>
      <c r="E96" s="8" t="s">
        <v>52</v>
      </c>
      <c r="F96" s="8" t="s">
        <v>318</v>
      </c>
      <c r="G96" s="266"/>
      <c r="H96" s="10"/>
      <c r="I96" s="11"/>
      <c r="J96" s="11"/>
      <c r="K96" s="11"/>
      <c r="L96" s="11"/>
      <c r="M96" s="11"/>
      <c r="N96" s="11"/>
      <c r="O96" s="12"/>
      <c r="P96" s="11"/>
      <c r="Q96" s="13"/>
      <c r="R96" s="14"/>
    </row>
    <row r="97" spans="1:18" ht="15" customHeight="1" x14ac:dyDescent="0.3">
      <c r="A97" s="19" t="s">
        <v>277</v>
      </c>
      <c r="B97" s="19" t="s">
        <v>282</v>
      </c>
      <c r="C97" s="20">
        <v>0.27083333333333331</v>
      </c>
      <c r="D97" s="19" t="s">
        <v>279</v>
      </c>
      <c r="E97" s="19" t="s">
        <v>101</v>
      </c>
      <c r="F97" s="19" t="s">
        <v>284</v>
      </c>
      <c r="G97" s="267"/>
      <c r="H97" s="10"/>
      <c r="I97" s="11"/>
      <c r="J97" s="11"/>
      <c r="K97" s="11"/>
      <c r="L97" s="11"/>
      <c r="M97" s="11"/>
      <c r="N97" s="11"/>
      <c r="O97" s="12"/>
      <c r="P97" s="11"/>
      <c r="Q97" s="13"/>
      <c r="R97" s="14"/>
    </row>
    <row r="98" spans="1:18" ht="15" customHeight="1" x14ac:dyDescent="0.3">
      <c r="A98" s="19" t="s">
        <v>62</v>
      </c>
      <c r="B98" s="19" t="s">
        <v>291</v>
      </c>
      <c r="C98" s="20">
        <v>6.9444444444444441E-3</v>
      </c>
      <c r="D98" s="19" t="s">
        <v>64</v>
      </c>
      <c r="E98" s="19" t="s">
        <v>52</v>
      </c>
      <c r="F98" s="19" t="s">
        <v>288</v>
      </c>
      <c r="G98" s="267"/>
      <c r="H98" s="10"/>
      <c r="I98" s="11"/>
      <c r="J98" s="11"/>
      <c r="K98" s="11"/>
      <c r="L98" s="11"/>
      <c r="M98" s="11"/>
      <c r="N98" s="11"/>
      <c r="O98" s="12"/>
      <c r="P98" s="11"/>
      <c r="Q98" s="13"/>
      <c r="R98" s="14"/>
    </row>
    <row r="99" spans="1:18" ht="15" customHeight="1" x14ac:dyDescent="0.3">
      <c r="A99" s="15" t="s">
        <v>62</v>
      </c>
      <c r="B99" s="15" t="s">
        <v>291</v>
      </c>
      <c r="C99" s="16">
        <v>6.9444444444444441E-3</v>
      </c>
      <c r="D99" s="15" t="s">
        <v>66</v>
      </c>
      <c r="E99" s="15" t="s">
        <v>67</v>
      </c>
      <c r="F99" s="15" t="s">
        <v>289</v>
      </c>
      <c r="G99" s="267"/>
      <c r="H99" s="10"/>
      <c r="I99" s="11"/>
      <c r="J99" s="11"/>
      <c r="K99" s="11"/>
      <c r="L99" s="11"/>
      <c r="M99" s="11"/>
      <c r="N99" s="11"/>
      <c r="O99" s="12"/>
      <c r="P99" s="11"/>
      <c r="Q99" s="13"/>
      <c r="R99" s="14"/>
    </row>
    <row r="100" spans="1:18" ht="15" customHeight="1" x14ac:dyDescent="0.3">
      <c r="A100" s="17" t="s">
        <v>62</v>
      </c>
      <c r="B100" s="17" t="s">
        <v>287</v>
      </c>
      <c r="C100" s="18">
        <v>0.1423611111111111</v>
      </c>
      <c r="D100" s="17" t="s">
        <v>64</v>
      </c>
      <c r="E100" s="17" t="s">
        <v>55</v>
      </c>
      <c r="F100" s="17" t="s">
        <v>288</v>
      </c>
      <c r="G100" s="267"/>
      <c r="H100" s="10"/>
      <c r="I100" s="11"/>
      <c r="J100" s="11"/>
      <c r="K100" s="11"/>
      <c r="L100" s="11"/>
      <c r="M100" s="11"/>
      <c r="N100" s="11"/>
      <c r="O100" s="12"/>
      <c r="P100" s="11"/>
      <c r="Q100" s="13"/>
      <c r="R100" s="14"/>
    </row>
    <row r="101" spans="1:18" ht="15" customHeight="1" x14ac:dyDescent="0.3">
      <c r="A101" s="15" t="s">
        <v>62</v>
      </c>
      <c r="B101" s="15" t="s">
        <v>287</v>
      </c>
      <c r="C101" s="16">
        <v>0.1423611111111111</v>
      </c>
      <c r="D101" s="15" t="s">
        <v>66</v>
      </c>
      <c r="E101" s="15" t="s">
        <v>67</v>
      </c>
      <c r="F101" s="15" t="s">
        <v>289</v>
      </c>
      <c r="G101" s="267"/>
      <c r="H101" s="10"/>
      <c r="I101" s="11"/>
      <c r="J101" s="11"/>
      <c r="K101" s="11"/>
      <c r="L101" s="11"/>
      <c r="M101" s="11"/>
      <c r="N101" s="11"/>
      <c r="O101" s="12"/>
      <c r="P101" s="11"/>
      <c r="Q101" s="13"/>
      <c r="R101" s="14"/>
    </row>
    <row r="102" spans="1:18" ht="15" customHeight="1" x14ac:dyDescent="0.3">
      <c r="A102" s="17" t="s">
        <v>62</v>
      </c>
      <c r="B102" s="17" t="s">
        <v>294</v>
      </c>
      <c r="C102" s="18">
        <v>0.93055555555555547</v>
      </c>
      <c r="D102" s="17" t="s">
        <v>64</v>
      </c>
      <c r="E102" s="17" t="s">
        <v>55</v>
      </c>
      <c r="F102" s="17" t="s">
        <v>288</v>
      </c>
      <c r="G102" s="267"/>
      <c r="H102" s="10"/>
      <c r="I102" s="11"/>
      <c r="J102" s="11"/>
      <c r="K102" s="11"/>
      <c r="L102" s="11"/>
      <c r="M102" s="11"/>
      <c r="N102" s="11"/>
      <c r="O102" s="12"/>
      <c r="P102" s="11"/>
      <c r="Q102" s="13"/>
      <c r="R102" s="14"/>
    </row>
    <row r="103" spans="1:18" ht="15" customHeight="1" x14ac:dyDescent="0.3">
      <c r="A103" s="15" t="s">
        <v>62</v>
      </c>
      <c r="B103" s="15" t="s">
        <v>294</v>
      </c>
      <c r="C103" s="16">
        <v>0.93055555555555547</v>
      </c>
      <c r="D103" s="15" t="s">
        <v>66</v>
      </c>
      <c r="E103" s="15" t="s">
        <v>67</v>
      </c>
      <c r="F103" s="15" t="s">
        <v>289</v>
      </c>
      <c r="G103" s="267"/>
      <c r="H103" s="10"/>
      <c r="I103" s="11"/>
      <c r="J103" s="11"/>
      <c r="K103" s="11"/>
      <c r="L103" s="11"/>
      <c r="M103" s="11"/>
      <c r="N103" s="11"/>
      <c r="O103" s="12"/>
      <c r="P103" s="11"/>
      <c r="Q103" s="13"/>
      <c r="R103" s="14"/>
    </row>
    <row r="104" spans="1:18" ht="15" customHeight="1" x14ac:dyDescent="0.3">
      <c r="A104" s="17" t="s">
        <v>62</v>
      </c>
      <c r="B104" s="17" t="s">
        <v>290</v>
      </c>
      <c r="C104" s="18">
        <v>0.24305555555555561</v>
      </c>
      <c r="D104" s="17" t="s">
        <v>64</v>
      </c>
      <c r="E104" s="17" t="s">
        <v>55</v>
      </c>
      <c r="F104" s="17" t="s">
        <v>288</v>
      </c>
      <c r="G104" s="267"/>
      <c r="H104" s="10"/>
      <c r="I104" s="11"/>
      <c r="J104" s="11"/>
      <c r="K104" s="11"/>
      <c r="L104" s="11"/>
      <c r="M104" s="11"/>
      <c r="N104" s="11"/>
      <c r="O104" s="12"/>
      <c r="P104" s="11"/>
      <c r="Q104" s="13"/>
      <c r="R104" s="14"/>
    </row>
    <row r="105" spans="1:18" ht="15" customHeight="1" x14ac:dyDescent="0.3">
      <c r="A105" s="15" t="s">
        <v>62</v>
      </c>
      <c r="B105" s="15" t="s">
        <v>290</v>
      </c>
      <c r="C105" s="16">
        <v>0.24305555555555561</v>
      </c>
      <c r="D105" s="15" t="s">
        <v>66</v>
      </c>
      <c r="E105" s="15" t="s">
        <v>67</v>
      </c>
      <c r="F105" s="15" t="s">
        <v>289</v>
      </c>
      <c r="G105" s="267"/>
      <c r="H105" s="10"/>
      <c r="I105" s="11"/>
      <c r="J105" s="11"/>
      <c r="K105" s="11"/>
      <c r="L105" s="11"/>
      <c r="M105" s="11"/>
      <c r="N105" s="11"/>
      <c r="O105" s="12"/>
      <c r="P105" s="11"/>
      <c r="Q105" s="13"/>
      <c r="R105" s="14"/>
    </row>
    <row r="106" spans="1:18" ht="15" customHeight="1" x14ac:dyDescent="0.3">
      <c r="A106" s="17" t="s">
        <v>62</v>
      </c>
      <c r="B106" s="17" t="s">
        <v>336</v>
      </c>
      <c r="C106" s="18">
        <v>0.71875</v>
      </c>
      <c r="D106" s="17" t="s">
        <v>64</v>
      </c>
      <c r="E106" s="17" t="s">
        <v>55</v>
      </c>
      <c r="F106" s="17" t="s">
        <v>292</v>
      </c>
      <c r="G106" s="267"/>
      <c r="H106" s="10"/>
      <c r="I106" s="11"/>
      <c r="J106" s="11"/>
      <c r="K106" s="11"/>
      <c r="L106" s="11"/>
      <c r="M106" s="11"/>
      <c r="N106" s="11"/>
      <c r="O106" s="12"/>
      <c r="P106" s="11"/>
      <c r="Q106" s="13"/>
      <c r="R106" s="14"/>
    </row>
    <row r="107" spans="1:18" ht="15" customHeight="1" x14ac:dyDescent="0.3">
      <c r="A107" s="15" t="s">
        <v>62</v>
      </c>
      <c r="B107" s="15" t="s">
        <v>336</v>
      </c>
      <c r="C107" s="16">
        <v>0.71875</v>
      </c>
      <c r="D107" s="15" t="s">
        <v>66</v>
      </c>
      <c r="E107" s="15" t="s">
        <v>67</v>
      </c>
      <c r="F107" s="15" t="s">
        <v>293</v>
      </c>
      <c r="G107" s="267"/>
      <c r="H107" s="10"/>
      <c r="I107" s="11"/>
      <c r="J107" s="11"/>
      <c r="K107" s="11"/>
      <c r="L107" s="11"/>
      <c r="M107" s="11"/>
      <c r="N107" s="11"/>
      <c r="O107" s="12"/>
      <c r="P107" s="11"/>
      <c r="Q107" s="13"/>
      <c r="R107" s="14"/>
    </row>
    <row r="108" spans="1:18" ht="15" customHeight="1" x14ac:dyDescent="0.3">
      <c r="A108" s="17" t="s">
        <v>62</v>
      </c>
      <c r="B108" s="17" t="s">
        <v>297</v>
      </c>
      <c r="C108" s="18">
        <v>0.37847222222222232</v>
      </c>
      <c r="D108" s="17" t="s">
        <v>64</v>
      </c>
      <c r="E108" s="17" t="s">
        <v>55</v>
      </c>
      <c r="F108" s="17" t="s">
        <v>292</v>
      </c>
      <c r="G108" s="267"/>
      <c r="H108" s="10"/>
      <c r="I108" s="11"/>
      <c r="J108" s="11"/>
      <c r="K108" s="11"/>
      <c r="L108" s="11"/>
      <c r="M108" s="11"/>
      <c r="N108" s="11"/>
      <c r="O108" s="12"/>
      <c r="P108" s="11"/>
      <c r="Q108" s="13"/>
      <c r="R108" s="14"/>
    </row>
    <row r="109" spans="1:18" ht="15" customHeight="1" x14ac:dyDescent="0.3">
      <c r="A109" s="15" t="s">
        <v>62</v>
      </c>
      <c r="B109" s="15" t="s">
        <v>297</v>
      </c>
      <c r="C109" s="16">
        <v>0.37847222222222232</v>
      </c>
      <c r="D109" s="15" t="s">
        <v>66</v>
      </c>
      <c r="E109" s="15" t="s">
        <v>67</v>
      </c>
      <c r="F109" s="15" t="s">
        <v>293</v>
      </c>
      <c r="G109" s="267"/>
      <c r="H109" s="10"/>
      <c r="I109" s="11"/>
      <c r="J109" s="11"/>
      <c r="K109" s="11"/>
      <c r="L109" s="11"/>
      <c r="M109" s="11"/>
      <c r="N109" s="11"/>
      <c r="O109" s="12"/>
      <c r="P109" s="11"/>
      <c r="Q109" s="13"/>
      <c r="R109" s="14"/>
    </row>
    <row r="110" spans="1:18" ht="15" customHeight="1" x14ac:dyDescent="0.3">
      <c r="A110" s="17" t="s">
        <v>62</v>
      </c>
      <c r="B110" s="17" t="s">
        <v>338</v>
      </c>
      <c r="C110" s="18">
        <v>0.61111111111111105</v>
      </c>
      <c r="D110" s="17" t="s">
        <v>64</v>
      </c>
      <c r="E110" s="17" t="s">
        <v>55</v>
      </c>
      <c r="F110" s="17" t="s">
        <v>292</v>
      </c>
      <c r="G110" s="267"/>
      <c r="H110" s="10"/>
      <c r="I110" s="11"/>
      <c r="J110" s="11"/>
      <c r="K110" s="11"/>
      <c r="L110" s="11"/>
      <c r="M110" s="11"/>
      <c r="N110" s="11"/>
      <c r="O110" s="12"/>
      <c r="P110" s="11"/>
      <c r="Q110" s="13"/>
      <c r="R110" s="14"/>
    </row>
    <row r="111" spans="1:18" ht="15" customHeight="1" x14ac:dyDescent="0.3">
      <c r="A111" s="15" t="s">
        <v>62</v>
      </c>
      <c r="B111" s="15" t="s">
        <v>338</v>
      </c>
      <c r="C111" s="16">
        <v>0.61111111111111105</v>
      </c>
      <c r="D111" s="15" t="s">
        <v>66</v>
      </c>
      <c r="E111" s="15" t="s">
        <v>67</v>
      </c>
      <c r="F111" s="15" t="s">
        <v>293</v>
      </c>
      <c r="G111" s="267"/>
      <c r="H111" s="10"/>
      <c r="I111" s="11"/>
      <c r="J111" s="11"/>
      <c r="K111" s="11"/>
      <c r="L111" s="11"/>
      <c r="M111" s="11"/>
      <c r="N111" s="11"/>
      <c r="O111" s="12"/>
      <c r="P111" s="11"/>
      <c r="Q111" s="13"/>
      <c r="R111" s="14"/>
    </row>
    <row r="112" spans="1:18" ht="15" customHeight="1" x14ac:dyDescent="0.3">
      <c r="A112" s="17" t="s">
        <v>62</v>
      </c>
      <c r="B112" s="17" t="s">
        <v>300</v>
      </c>
      <c r="C112" s="18">
        <v>0.30208333333333331</v>
      </c>
      <c r="D112" s="17" t="s">
        <v>66</v>
      </c>
      <c r="E112" s="17" t="s">
        <v>71</v>
      </c>
      <c r="F112" s="17" t="s">
        <v>337</v>
      </c>
      <c r="G112" s="267"/>
      <c r="H112" s="10"/>
      <c r="I112" s="11"/>
      <c r="J112" s="11"/>
      <c r="K112" s="11"/>
      <c r="L112" s="11"/>
      <c r="M112" s="11"/>
      <c r="N112" s="11"/>
      <c r="O112" s="12"/>
      <c r="P112" s="11"/>
      <c r="Q112" s="13"/>
      <c r="R112" s="14"/>
    </row>
    <row r="113" spans="1:18" ht="15" customHeight="1" x14ac:dyDescent="0.3">
      <c r="A113" s="17" t="s">
        <v>62</v>
      </c>
      <c r="B113" s="17" t="s">
        <v>301</v>
      </c>
      <c r="C113" s="18">
        <v>0.12847222222222221</v>
      </c>
      <c r="D113" s="17" t="s">
        <v>66</v>
      </c>
      <c r="E113" s="17" t="s">
        <v>71</v>
      </c>
      <c r="F113" s="17" t="s">
        <v>337</v>
      </c>
      <c r="G113" s="267"/>
      <c r="H113" s="10"/>
      <c r="I113" s="11"/>
      <c r="J113" s="11"/>
      <c r="K113" s="11"/>
      <c r="L113" s="11"/>
      <c r="M113" s="11"/>
      <c r="N113" s="11"/>
      <c r="O113" s="12"/>
      <c r="P113" s="11"/>
      <c r="Q113" s="13"/>
      <c r="R113" s="14"/>
    </row>
    <row r="114" spans="1:18" ht="15" customHeight="1" x14ac:dyDescent="0.3">
      <c r="A114" s="17" t="s">
        <v>62</v>
      </c>
      <c r="B114" s="17" t="s">
        <v>298</v>
      </c>
      <c r="C114" s="18">
        <v>0.88888888888888884</v>
      </c>
      <c r="D114" s="17" t="s">
        <v>66</v>
      </c>
      <c r="E114" s="17" t="s">
        <v>71</v>
      </c>
      <c r="F114" s="17" t="s">
        <v>337</v>
      </c>
      <c r="G114" s="267"/>
      <c r="H114" s="10"/>
      <c r="I114" s="11"/>
      <c r="J114" s="11"/>
      <c r="K114" s="11"/>
      <c r="L114" s="11"/>
      <c r="M114" s="11"/>
      <c r="N114" s="11"/>
      <c r="O114" s="12"/>
      <c r="P114" s="11"/>
      <c r="Q114" s="13"/>
      <c r="R114" s="14"/>
    </row>
    <row r="115" spans="1:18" ht="15" customHeight="1" x14ac:dyDescent="0.3">
      <c r="A115" s="17" t="s">
        <v>62</v>
      </c>
      <c r="B115" s="17" t="s">
        <v>303</v>
      </c>
      <c r="C115" s="18">
        <v>0.82986111111111116</v>
      </c>
      <c r="D115" s="17" t="s">
        <v>64</v>
      </c>
      <c r="E115" s="17" t="s">
        <v>55</v>
      </c>
      <c r="F115" s="17" t="s">
        <v>295</v>
      </c>
      <c r="G115" s="267"/>
      <c r="H115" s="10"/>
      <c r="I115" s="11"/>
      <c r="J115" s="11"/>
      <c r="K115" s="11"/>
      <c r="L115" s="11"/>
      <c r="M115" s="11"/>
      <c r="N115" s="11"/>
      <c r="O115" s="12"/>
      <c r="P115" s="11"/>
      <c r="Q115" s="13"/>
      <c r="R115" s="14"/>
    </row>
    <row r="116" spans="1:18" ht="15" customHeight="1" x14ac:dyDescent="0.3">
      <c r="A116" s="15" t="s">
        <v>62</v>
      </c>
      <c r="B116" s="15" t="s">
        <v>303</v>
      </c>
      <c r="C116" s="16">
        <v>0.82986111111111116</v>
      </c>
      <c r="D116" s="15" t="s">
        <v>66</v>
      </c>
      <c r="E116" s="15" t="s">
        <v>67</v>
      </c>
      <c r="F116" s="15" t="s">
        <v>296</v>
      </c>
      <c r="G116" s="267"/>
      <c r="H116" s="10"/>
      <c r="I116" s="11"/>
      <c r="J116" s="11"/>
      <c r="K116" s="11"/>
      <c r="L116" s="11"/>
      <c r="M116" s="11"/>
      <c r="N116" s="11"/>
      <c r="O116" s="12"/>
      <c r="P116" s="11"/>
      <c r="Q116" s="13"/>
      <c r="R116" s="14"/>
    </row>
    <row r="117" spans="1:18" ht="15" customHeight="1" x14ac:dyDescent="0.3">
      <c r="A117" s="17" t="s">
        <v>62</v>
      </c>
      <c r="B117" s="17" t="s">
        <v>302</v>
      </c>
      <c r="C117" s="18">
        <v>0.78819444444444453</v>
      </c>
      <c r="D117" s="17" t="s">
        <v>66</v>
      </c>
      <c r="E117" s="17" t="s">
        <v>71</v>
      </c>
      <c r="F117" s="17" t="s">
        <v>299</v>
      </c>
      <c r="G117" s="267"/>
      <c r="H117" s="10"/>
      <c r="I117" s="11"/>
      <c r="J117" s="11"/>
      <c r="K117" s="11"/>
      <c r="L117" s="11"/>
      <c r="M117" s="11"/>
      <c r="N117" s="11"/>
      <c r="O117" s="12"/>
      <c r="P117" s="11"/>
      <c r="Q117" s="13"/>
      <c r="R117" s="14"/>
    </row>
    <row r="118" spans="1:18" ht="15" customHeight="1" x14ac:dyDescent="0.3">
      <c r="A118" s="19" t="s">
        <v>49</v>
      </c>
      <c r="B118" s="19" t="s">
        <v>311</v>
      </c>
      <c r="C118" s="20">
        <v>0.22916666666666671</v>
      </c>
      <c r="D118" s="19" t="s">
        <v>51</v>
      </c>
      <c r="E118" s="19" t="s">
        <v>52</v>
      </c>
      <c r="F118" s="19" t="s">
        <v>307</v>
      </c>
      <c r="G118" s="267"/>
      <c r="H118" s="10"/>
      <c r="I118" s="11"/>
      <c r="J118" s="11"/>
      <c r="K118" s="11"/>
      <c r="L118" s="11"/>
      <c r="M118" s="11"/>
      <c r="N118" s="11"/>
      <c r="O118" s="12"/>
      <c r="P118" s="11"/>
      <c r="Q118" s="13"/>
      <c r="R118" s="14"/>
    </row>
    <row r="119" spans="1:18" ht="15" customHeight="1" x14ac:dyDescent="0.3">
      <c r="A119" s="17" t="s">
        <v>49</v>
      </c>
      <c r="B119" s="17" t="s">
        <v>317</v>
      </c>
      <c r="C119" s="18">
        <v>0.27777777777777779</v>
      </c>
      <c r="D119" s="17" t="s">
        <v>51</v>
      </c>
      <c r="E119" s="17" t="s">
        <v>55</v>
      </c>
      <c r="F119" s="17" t="s">
        <v>309</v>
      </c>
      <c r="G119" s="267"/>
      <c r="H119" s="10"/>
      <c r="I119" s="11"/>
      <c r="J119" s="11"/>
      <c r="K119" s="11"/>
      <c r="L119" s="11"/>
      <c r="M119" s="11"/>
      <c r="N119" s="11"/>
      <c r="O119" s="12"/>
      <c r="P119" s="11"/>
      <c r="Q119" s="13"/>
      <c r="R119" s="14"/>
    </row>
    <row r="120" spans="1:18" ht="15" customHeight="1" x14ac:dyDescent="0.3">
      <c r="A120" s="17" t="s">
        <v>49</v>
      </c>
      <c r="B120" s="17" t="s">
        <v>306</v>
      </c>
      <c r="C120" s="18">
        <v>1.388888888888889E-2</v>
      </c>
      <c r="D120" s="17" t="s">
        <v>51</v>
      </c>
      <c r="E120" s="17" t="s">
        <v>55</v>
      </c>
      <c r="F120" s="17" t="s">
        <v>312</v>
      </c>
      <c r="G120" s="267"/>
      <c r="H120" s="10"/>
      <c r="I120" s="11"/>
      <c r="J120" s="11"/>
      <c r="K120" s="11"/>
      <c r="L120" s="11"/>
      <c r="M120" s="11"/>
      <c r="N120" s="11"/>
      <c r="O120" s="12"/>
      <c r="P120" s="11"/>
      <c r="Q120" s="13"/>
      <c r="R120" s="14"/>
    </row>
    <row r="121" spans="1:18" ht="15" customHeight="1" x14ac:dyDescent="0.3">
      <c r="A121" s="17" t="s">
        <v>49</v>
      </c>
      <c r="B121" s="17" t="s">
        <v>313</v>
      </c>
      <c r="C121" s="18">
        <v>0.77083333333333337</v>
      </c>
      <c r="D121" s="17" t="s">
        <v>51</v>
      </c>
      <c r="E121" s="17" t="s">
        <v>71</v>
      </c>
      <c r="F121" s="17" t="s">
        <v>314</v>
      </c>
      <c r="G121" s="267"/>
      <c r="H121" s="10"/>
      <c r="I121" s="11"/>
      <c r="J121" s="11"/>
      <c r="K121" s="11"/>
      <c r="L121" s="11"/>
      <c r="M121" s="11"/>
      <c r="N121" s="11"/>
      <c r="O121" s="12"/>
      <c r="P121" s="11"/>
      <c r="Q121" s="13"/>
      <c r="R121" s="14"/>
    </row>
    <row r="122" spans="1:18" ht="15" customHeight="1" x14ac:dyDescent="0.3">
      <c r="A122" s="17" t="s">
        <v>49</v>
      </c>
      <c r="B122" s="17" t="s">
        <v>316</v>
      </c>
      <c r="C122" s="18">
        <v>0.14583333333333329</v>
      </c>
      <c r="D122" s="17" t="s">
        <v>51</v>
      </c>
      <c r="E122" s="17" t="s">
        <v>100</v>
      </c>
      <c r="F122" s="17" t="s">
        <v>314</v>
      </c>
      <c r="G122" s="267"/>
      <c r="H122" s="10"/>
      <c r="I122" s="11"/>
      <c r="J122" s="11"/>
      <c r="K122" s="11"/>
      <c r="L122" s="11"/>
      <c r="M122" s="11"/>
      <c r="N122" s="11"/>
      <c r="O122" s="12"/>
      <c r="P122" s="11"/>
      <c r="Q122" s="13"/>
      <c r="R122" s="14"/>
    </row>
    <row r="123" spans="1:18" ht="15" customHeight="1" x14ac:dyDescent="0.3">
      <c r="A123" s="17" t="s">
        <v>49</v>
      </c>
      <c r="B123" s="17" t="s">
        <v>308</v>
      </c>
      <c r="C123" s="18">
        <v>0.4861111111111111</v>
      </c>
      <c r="D123" s="17" t="s">
        <v>51</v>
      </c>
      <c r="E123" s="17" t="s">
        <v>58</v>
      </c>
      <c r="F123" s="17" t="s">
        <v>314</v>
      </c>
      <c r="G123" s="267"/>
      <c r="H123" s="10"/>
      <c r="I123" s="11"/>
      <c r="J123" s="11"/>
      <c r="K123" s="11"/>
      <c r="L123" s="11"/>
      <c r="M123" s="11"/>
      <c r="N123" s="11"/>
      <c r="O123" s="12"/>
      <c r="P123" s="11"/>
      <c r="Q123" s="13"/>
      <c r="R123" s="14"/>
    </row>
    <row r="124" spans="1:18" ht="15" customHeight="1" x14ac:dyDescent="0.3">
      <c r="A124" s="17" t="s">
        <v>49</v>
      </c>
      <c r="B124" s="17" t="s">
        <v>310</v>
      </c>
      <c r="C124" s="18">
        <v>0.54166666666666663</v>
      </c>
      <c r="D124" s="17" t="s">
        <v>51</v>
      </c>
      <c r="E124" s="17" t="s">
        <v>58</v>
      </c>
      <c r="F124" s="17" t="s">
        <v>314</v>
      </c>
      <c r="G124" s="267"/>
      <c r="H124" s="10"/>
      <c r="I124" s="11"/>
      <c r="J124" s="11"/>
      <c r="K124" s="11"/>
      <c r="L124" s="11"/>
      <c r="M124" s="11"/>
      <c r="N124" s="11"/>
      <c r="O124" s="12"/>
      <c r="P124" s="11"/>
      <c r="Q124" s="13"/>
      <c r="R124" s="14"/>
    </row>
    <row r="125" spans="1:18" ht="15" customHeight="1" x14ac:dyDescent="0.3">
      <c r="A125" s="175" t="s">
        <v>78</v>
      </c>
      <c r="B125" s="175" t="s">
        <v>249</v>
      </c>
      <c r="C125" s="176">
        <v>0.2361111111111111</v>
      </c>
      <c r="D125" s="175" t="s">
        <v>80</v>
      </c>
      <c r="E125" s="177"/>
      <c r="F125" s="175" t="s">
        <v>81</v>
      </c>
      <c r="G125" s="267"/>
      <c r="H125" s="149" t="s">
        <v>249</v>
      </c>
      <c r="I125" s="150">
        <v>1</v>
      </c>
      <c r="J125" s="151">
        <v>179</v>
      </c>
      <c r="K125" s="152">
        <v>45971</v>
      </c>
      <c r="L125" s="151">
        <v>0</v>
      </c>
      <c r="M125" s="151">
        <v>0</v>
      </c>
      <c r="N125" s="151">
        <v>0</v>
      </c>
      <c r="O125" s="153" t="s">
        <v>82</v>
      </c>
      <c r="P125" s="154">
        <v>0.2361111111111111</v>
      </c>
      <c r="Q125" s="151">
        <v>179</v>
      </c>
      <c r="R125" s="155" t="s">
        <v>339</v>
      </c>
    </row>
    <row r="126" spans="1:18" ht="15" customHeight="1" x14ac:dyDescent="0.3">
      <c r="A126" s="156" t="s">
        <v>78</v>
      </c>
      <c r="B126" s="156" t="s">
        <v>258</v>
      </c>
      <c r="C126" s="157">
        <v>0.33333333333333331</v>
      </c>
      <c r="D126" s="156" t="s">
        <v>80</v>
      </c>
      <c r="E126" s="178"/>
      <c r="F126" s="156" t="s">
        <v>81</v>
      </c>
      <c r="G126" s="267"/>
      <c r="H126" s="109" t="s">
        <v>258</v>
      </c>
      <c r="I126" s="110">
        <v>1</v>
      </c>
      <c r="J126" s="111">
        <v>179</v>
      </c>
      <c r="K126" s="112">
        <v>45979</v>
      </c>
      <c r="L126" s="111">
        <v>6</v>
      </c>
      <c r="M126" s="111">
        <v>0</v>
      </c>
      <c r="N126" s="111">
        <v>4</v>
      </c>
      <c r="O126" s="113" t="s">
        <v>82</v>
      </c>
      <c r="P126" s="114">
        <v>0.33333333333333331</v>
      </c>
      <c r="Q126" s="111">
        <v>179</v>
      </c>
      <c r="R126" s="115" t="s">
        <v>340</v>
      </c>
    </row>
    <row r="127" spans="1:18" ht="15" customHeight="1" x14ac:dyDescent="0.3">
      <c r="A127" s="179" t="s">
        <v>78</v>
      </c>
      <c r="B127" s="179" t="s">
        <v>269</v>
      </c>
      <c r="C127" s="180">
        <v>0.68055555555555547</v>
      </c>
      <c r="D127" s="179" t="s">
        <v>80</v>
      </c>
      <c r="E127" s="181"/>
      <c r="F127" s="179" t="s">
        <v>81</v>
      </c>
      <c r="G127" s="268"/>
      <c r="H127" s="182" t="s">
        <v>269</v>
      </c>
      <c r="I127" s="183">
        <v>1</v>
      </c>
      <c r="J127" s="184">
        <v>179</v>
      </c>
      <c r="K127" s="185">
        <v>45980</v>
      </c>
      <c r="L127" s="184">
        <v>4</v>
      </c>
      <c r="M127" s="184">
        <v>1</v>
      </c>
      <c r="N127" s="184">
        <v>0</v>
      </c>
      <c r="O127" s="186" t="s">
        <v>82</v>
      </c>
      <c r="P127" s="187">
        <v>0.68055555555555547</v>
      </c>
      <c r="Q127" s="184">
        <v>179</v>
      </c>
      <c r="R127" s="188" t="s">
        <v>341</v>
      </c>
    </row>
  </sheetData>
  <mergeCells count="18">
    <mergeCell ref="H1:L1"/>
    <mergeCell ref="A1:E1"/>
    <mergeCell ref="G2:J2"/>
    <mergeCell ref="K2:R2"/>
    <mergeCell ref="A4:F4"/>
    <mergeCell ref="H4:R4"/>
    <mergeCell ref="N1:R1"/>
    <mergeCell ref="A2:F2"/>
    <mergeCell ref="A3:R3"/>
    <mergeCell ref="A55:R55"/>
    <mergeCell ref="H56:R56"/>
    <mergeCell ref="G96:G127"/>
    <mergeCell ref="A94:F94"/>
    <mergeCell ref="A93:R93"/>
    <mergeCell ref="H94:R94"/>
    <mergeCell ref="A56:F56"/>
    <mergeCell ref="G6:G54"/>
    <mergeCell ref="G58:G9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8"/>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7.5546875" style="282" bestFit="1" customWidth="1"/>
    <col min="6" max="6" width="4.21875" style="282" bestFit="1" customWidth="1"/>
    <col min="7" max="7" width="10" style="282" bestFit="1" customWidth="1"/>
    <col min="8" max="9" width="8.5546875" style="282" bestFit="1" customWidth="1"/>
    <col min="10"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2" width="3.88671875" style="282" bestFit="1" customWidth="1"/>
    <col min="23" max="23" width="4.33203125" style="282" bestFit="1" customWidth="1"/>
    <col min="24" max="24" width="4.109375" style="282" bestFit="1" customWidth="1"/>
    <col min="25" max="25" width="4.44140625" style="282" bestFit="1" customWidth="1"/>
    <col min="26" max="26" width="4.109375" style="282" bestFit="1" customWidth="1"/>
    <col min="27" max="27" width="5" style="282" bestFit="1" customWidth="1"/>
    <col min="28" max="29" width="4.21875" style="282" bestFit="1" customWidth="1"/>
    <col min="30" max="31" width="4.5546875" style="282" bestFit="1" customWidth="1"/>
    <col min="32" max="32" width="3.88671875" style="282" bestFit="1" customWidth="1"/>
    <col min="33" max="33" width="4.21875" style="282" bestFit="1" customWidth="1"/>
    <col min="34" max="34" width="3.88671875" style="282" bestFit="1" customWidth="1"/>
    <col min="35" max="35" width="5.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264</v>
      </c>
      <c r="D2" s="286" t="s">
        <v>342</v>
      </c>
      <c r="E2" s="285" t="s">
        <v>218</v>
      </c>
      <c r="F2" s="285" t="s">
        <v>136</v>
      </c>
      <c r="G2" s="287">
        <v>0.76539999999999997</v>
      </c>
      <c r="H2" s="288">
        <v>179</v>
      </c>
      <c r="I2" s="288">
        <v>137</v>
      </c>
      <c r="J2" s="288">
        <v>28</v>
      </c>
      <c r="K2" s="285" t="s">
        <v>137</v>
      </c>
      <c r="L2" s="289">
        <v>45980</v>
      </c>
      <c r="M2" s="288">
        <v>1</v>
      </c>
      <c r="N2" s="288">
        <v>9</v>
      </c>
      <c r="O2" s="288">
        <v>36</v>
      </c>
      <c r="P2" s="285" t="s">
        <v>265</v>
      </c>
      <c r="Q2" s="281"/>
      <c r="R2" s="281"/>
      <c r="S2" s="281"/>
      <c r="T2" s="281"/>
      <c r="U2" s="281"/>
      <c r="V2" s="281"/>
      <c r="W2" s="281"/>
      <c r="X2" s="288" t="s">
        <v>343</v>
      </c>
      <c r="Y2" s="288" t="s">
        <v>344</v>
      </c>
      <c r="Z2" s="288" t="s">
        <v>345</v>
      </c>
      <c r="AA2" s="288" t="s">
        <v>346</v>
      </c>
      <c r="AB2" s="281"/>
      <c r="AC2" s="281"/>
      <c r="AD2" s="281"/>
      <c r="AE2" s="281"/>
      <c r="AF2" s="281"/>
      <c r="AG2" s="281"/>
      <c r="AH2" s="281"/>
      <c r="AI2" s="288" t="s">
        <v>347</v>
      </c>
      <c r="AJ2" s="281"/>
    </row>
    <row r="3" spans="1:36" x14ac:dyDescent="0.3">
      <c r="A3" s="283" t="s">
        <v>134</v>
      </c>
      <c r="B3" s="284">
        <v>45981</v>
      </c>
      <c r="C3" s="285" t="s">
        <v>261</v>
      </c>
      <c r="D3" s="286" t="s">
        <v>348</v>
      </c>
      <c r="E3" s="285" t="s">
        <v>218</v>
      </c>
      <c r="F3" s="285" t="s">
        <v>136</v>
      </c>
      <c r="G3" s="287">
        <v>0.92510000000000003</v>
      </c>
      <c r="H3" s="288">
        <v>187</v>
      </c>
      <c r="I3" s="288">
        <v>173</v>
      </c>
      <c r="J3" s="288">
        <v>60</v>
      </c>
      <c r="K3" s="285" t="s">
        <v>137</v>
      </c>
      <c r="L3" s="289">
        <v>45979</v>
      </c>
      <c r="M3" s="288">
        <v>0</v>
      </c>
      <c r="N3" s="288">
        <v>4</v>
      </c>
      <c r="O3" s="288">
        <v>15</v>
      </c>
      <c r="P3" s="285" t="s">
        <v>140</v>
      </c>
      <c r="Q3" s="281"/>
      <c r="R3" s="281"/>
      <c r="S3" s="281"/>
      <c r="T3" s="281"/>
      <c r="U3" s="281"/>
      <c r="V3" s="281"/>
      <c r="W3" s="281"/>
      <c r="X3" s="288" t="s">
        <v>191</v>
      </c>
      <c r="Y3" s="288" t="s">
        <v>349</v>
      </c>
      <c r="Z3" s="288" t="s">
        <v>350</v>
      </c>
      <c r="AA3" s="288" t="s">
        <v>351</v>
      </c>
      <c r="AB3" s="288" t="s">
        <v>352</v>
      </c>
      <c r="AC3" s="288" t="s">
        <v>154</v>
      </c>
      <c r="AD3" s="288" t="s">
        <v>353</v>
      </c>
      <c r="AE3" s="288" t="s">
        <v>354</v>
      </c>
      <c r="AF3" s="288" t="s">
        <v>196</v>
      </c>
      <c r="AG3" s="281"/>
      <c r="AH3" s="281"/>
      <c r="AI3" s="288" t="s">
        <v>355</v>
      </c>
      <c r="AJ3" s="281"/>
    </row>
    <row r="4" spans="1:36" x14ac:dyDescent="0.3">
      <c r="A4" s="283" t="s">
        <v>134</v>
      </c>
      <c r="B4" s="284">
        <v>45981</v>
      </c>
      <c r="C4" s="285" t="s">
        <v>249</v>
      </c>
      <c r="D4" s="286" t="s">
        <v>356</v>
      </c>
      <c r="E4" s="285" t="s">
        <v>218</v>
      </c>
      <c r="F4" s="285" t="s">
        <v>136</v>
      </c>
      <c r="G4" s="287">
        <v>0.87150000000000005</v>
      </c>
      <c r="H4" s="288">
        <v>179</v>
      </c>
      <c r="I4" s="288">
        <v>156</v>
      </c>
      <c r="J4" s="288">
        <v>72</v>
      </c>
      <c r="K4" s="285" t="s">
        <v>137</v>
      </c>
      <c r="L4" s="289">
        <v>45980</v>
      </c>
      <c r="M4" s="288">
        <v>1</v>
      </c>
      <c r="N4" s="288">
        <v>5</v>
      </c>
      <c r="O4" s="288">
        <v>12</v>
      </c>
      <c r="P4" s="285" t="s">
        <v>250</v>
      </c>
      <c r="Q4" s="281"/>
      <c r="R4" s="281"/>
      <c r="S4" s="281"/>
      <c r="T4" s="281"/>
      <c r="U4" s="281"/>
      <c r="V4" s="281"/>
      <c r="W4" s="288" t="s">
        <v>357</v>
      </c>
      <c r="X4" s="288" t="s">
        <v>358</v>
      </c>
      <c r="Y4" s="288" t="s">
        <v>359</v>
      </c>
      <c r="Z4" s="288" t="s">
        <v>360</v>
      </c>
      <c r="AA4" s="288" t="s">
        <v>361</v>
      </c>
      <c r="AB4" s="281"/>
      <c r="AC4" s="281"/>
      <c r="AD4" s="281"/>
      <c r="AE4" s="281"/>
      <c r="AF4" s="281"/>
      <c r="AG4" s="288" t="s">
        <v>362</v>
      </c>
      <c r="AH4" s="281"/>
      <c r="AI4" s="288" t="s">
        <v>363</v>
      </c>
      <c r="AJ4" s="288" t="s">
        <v>149</v>
      </c>
    </row>
    <row r="5" spans="1:36" x14ac:dyDescent="0.3">
      <c r="A5" s="283" t="s">
        <v>134</v>
      </c>
      <c r="B5" s="284">
        <v>45981</v>
      </c>
      <c r="C5" s="285" t="s">
        <v>258</v>
      </c>
      <c r="D5" s="286" t="s">
        <v>364</v>
      </c>
      <c r="E5" s="285" t="s">
        <v>218</v>
      </c>
      <c r="F5" s="285" t="s">
        <v>136</v>
      </c>
      <c r="G5" s="287">
        <v>0.82120000000000004</v>
      </c>
      <c r="H5" s="288">
        <v>179</v>
      </c>
      <c r="I5" s="288">
        <v>147</v>
      </c>
      <c r="J5" s="288">
        <v>104</v>
      </c>
      <c r="K5" s="285" t="s">
        <v>137</v>
      </c>
      <c r="L5" s="289">
        <v>45980</v>
      </c>
      <c r="M5" s="288">
        <v>3</v>
      </c>
      <c r="N5" s="288">
        <v>5</v>
      </c>
      <c r="O5" s="288">
        <v>16</v>
      </c>
      <c r="P5" s="285" t="s">
        <v>192</v>
      </c>
      <c r="Q5" s="281"/>
      <c r="R5" s="281"/>
      <c r="S5" s="281"/>
      <c r="T5" s="281"/>
      <c r="U5" s="281"/>
      <c r="V5" s="281"/>
      <c r="W5" s="288" t="s">
        <v>357</v>
      </c>
      <c r="X5" s="288" t="s">
        <v>365</v>
      </c>
      <c r="Y5" s="288" t="s">
        <v>366</v>
      </c>
      <c r="Z5" s="288" t="s">
        <v>367</v>
      </c>
      <c r="AA5" s="288" t="s">
        <v>368</v>
      </c>
      <c r="AB5" s="281"/>
      <c r="AC5" s="281"/>
      <c r="AD5" s="281"/>
      <c r="AE5" s="281"/>
      <c r="AF5" s="281"/>
      <c r="AG5" s="281"/>
      <c r="AH5" s="281"/>
      <c r="AI5" s="288" t="s">
        <v>369</v>
      </c>
      <c r="AJ5" s="281"/>
    </row>
    <row r="6" spans="1:36" x14ac:dyDescent="0.3">
      <c r="A6" s="283" t="s">
        <v>134</v>
      </c>
      <c r="B6" s="284">
        <v>45981</v>
      </c>
      <c r="C6" s="285" t="s">
        <v>254</v>
      </c>
      <c r="D6" s="286" t="s">
        <v>370</v>
      </c>
      <c r="E6" s="285" t="s">
        <v>218</v>
      </c>
      <c r="F6" s="285" t="s">
        <v>136</v>
      </c>
      <c r="G6" s="287">
        <v>0.56979999999999997</v>
      </c>
      <c r="H6" s="288">
        <v>179</v>
      </c>
      <c r="I6" s="288">
        <v>102</v>
      </c>
      <c r="J6" s="288">
        <v>2</v>
      </c>
      <c r="K6" s="285" t="s">
        <v>137</v>
      </c>
      <c r="L6" s="289">
        <v>45978</v>
      </c>
      <c r="M6" s="288">
        <v>0</v>
      </c>
      <c r="N6" s="288">
        <v>0</v>
      </c>
      <c r="O6" s="288">
        <v>16</v>
      </c>
      <c r="P6" s="285" t="s">
        <v>255</v>
      </c>
      <c r="Q6" s="281"/>
      <c r="R6" s="281"/>
      <c r="S6" s="281"/>
      <c r="T6" s="281"/>
      <c r="U6" s="281"/>
      <c r="V6" s="281"/>
      <c r="W6" s="288" t="s">
        <v>371</v>
      </c>
      <c r="X6" s="288" t="s">
        <v>372</v>
      </c>
      <c r="Y6" s="288" t="s">
        <v>373</v>
      </c>
      <c r="Z6" s="288" t="s">
        <v>374</v>
      </c>
      <c r="AA6" s="288" t="s">
        <v>375</v>
      </c>
      <c r="AB6" s="288" t="s">
        <v>143</v>
      </c>
      <c r="AC6" s="288" t="s">
        <v>203</v>
      </c>
      <c r="AD6" s="288" t="s">
        <v>376</v>
      </c>
      <c r="AE6" s="288" t="s">
        <v>354</v>
      </c>
      <c r="AF6" s="288" t="s">
        <v>377</v>
      </c>
      <c r="AG6" s="281"/>
      <c r="AH6" s="281"/>
      <c r="AI6" s="288" t="s">
        <v>378</v>
      </c>
      <c r="AJ6" s="288" t="s">
        <v>149</v>
      </c>
    </row>
    <row r="7" spans="1:36" x14ac:dyDescent="0.3">
      <c r="A7" s="283" t="s">
        <v>134</v>
      </c>
      <c r="B7" s="284">
        <v>45981</v>
      </c>
      <c r="C7" s="285" t="s">
        <v>269</v>
      </c>
      <c r="D7" s="286" t="s">
        <v>379</v>
      </c>
      <c r="E7" s="285" t="s">
        <v>218</v>
      </c>
      <c r="F7" s="285" t="s">
        <v>136</v>
      </c>
      <c r="G7" s="287">
        <v>0.96089999999999998</v>
      </c>
      <c r="H7" s="288">
        <v>179</v>
      </c>
      <c r="I7" s="288">
        <v>172</v>
      </c>
      <c r="J7" s="288">
        <v>98</v>
      </c>
      <c r="K7" s="285" t="s">
        <v>137</v>
      </c>
      <c r="L7" s="289">
        <v>45977</v>
      </c>
      <c r="M7" s="288">
        <v>0</v>
      </c>
      <c r="N7" s="288">
        <v>0</v>
      </c>
      <c r="O7" s="288">
        <v>9</v>
      </c>
      <c r="P7" s="285" t="s">
        <v>270</v>
      </c>
      <c r="Q7" s="281"/>
      <c r="R7" s="281"/>
      <c r="S7" s="281"/>
      <c r="T7" s="281"/>
      <c r="U7" s="288" t="s">
        <v>380</v>
      </c>
      <c r="V7" s="288" t="s">
        <v>381</v>
      </c>
      <c r="W7" s="288" t="s">
        <v>190</v>
      </c>
      <c r="X7" s="288" t="s">
        <v>343</v>
      </c>
      <c r="Y7" s="288" t="s">
        <v>382</v>
      </c>
      <c r="Z7" s="288" t="s">
        <v>367</v>
      </c>
      <c r="AA7" s="288" t="s">
        <v>383</v>
      </c>
      <c r="AB7" s="281"/>
      <c r="AC7" s="281"/>
      <c r="AD7" s="281"/>
      <c r="AE7" s="281"/>
      <c r="AF7" s="281"/>
      <c r="AG7" s="288" t="s">
        <v>384</v>
      </c>
      <c r="AH7" s="281"/>
      <c r="AI7" s="288" t="s">
        <v>385</v>
      </c>
      <c r="AJ7" s="281"/>
    </row>
    <row r="8" spans="1:36" x14ac:dyDescent="0.3">
      <c r="A8" s="283" t="s">
        <v>134</v>
      </c>
      <c r="B8" s="284">
        <v>45981</v>
      </c>
      <c r="C8" s="285" t="s">
        <v>274</v>
      </c>
      <c r="D8" s="286" t="s">
        <v>386</v>
      </c>
      <c r="E8" s="285" t="s">
        <v>218</v>
      </c>
      <c r="F8" s="285" t="s">
        <v>136</v>
      </c>
      <c r="G8" s="287">
        <v>0.96650000000000003</v>
      </c>
      <c r="H8" s="288">
        <v>179</v>
      </c>
      <c r="I8" s="288">
        <v>173</v>
      </c>
      <c r="J8" s="288">
        <v>90</v>
      </c>
      <c r="K8" s="285" t="s">
        <v>137</v>
      </c>
      <c r="L8" s="289">
        <v>45978</v>
      </c>
      <c r="M8" s="288">
        <v>0</v>
      </c>
      <c r="N8" s="288">
        <v>0</v>
      </c>
      <c r="O8" s="288">
        <v>3</v>
      </c>
      <c r="P8" s="285" t="s">
        <v>275</v>
      </c>
      <c r="Q8" s="281"/>
      <c r="R8" s="281"/>
      <c r="S8" s="288" t="s">
        <v>387</v>
      </c>
      <c r="T8" s="281"/>
      <c r="U8" s="288" t="s">
        <v>152</v>
      </c>
      <c r="V8" s="288" t="s">
        <v>388</v>
      </c>
      <c r="W8" s="288" t="s">
        <v>389</v>
      </c>
      <c r="X8" s="288" t="s">
        <v>343</v>
      </c>
      <c r="Y8" s="288" t="s">
        <v>390</v>
      </c>
      <c r="Z8" s="288" t="s">
        <v>367</v>
      </c>
      <c r="AA8" s="288" t="s">
        <v>368</v>
      </c>
      <c r="AB8" s="281"/>
      <c r="AC8" s="281"/>
      <c r="AD8" s="281"/>
      <c r="AE8" s="281"/>
      <c r="AF8" s="288" t="s">
        <v>391</v>
      </c>
      <c r="AG8" s="281"/>
      <c r="AH8" s="281"/>
      <c r="AI8" s="288" t="s">
        <v>392</v>
      </c>
      <c r="AJ8" s="281"/>
    </row>
    <row r="9" spans="1:36" x14ac:dyDescent="0.3">
      <c r="A9" s="283" t="s">
        <v>393</v>
      </c>
      <c r="B9" s="284">
        <v>45982</v>
      </c>
      <c r="C9" s="285" t="s">
        <v>264</v>
      </c>
      <c r="D9" s="286" t="s">
        <v>348</v>
      </c>
      <c r="E9" s="285" t="s">
        <v>218</v>
      </c>
      <c r="F9" s="285" t="s">
        <v>136</v>
      </c>
      <c r="G9" s="287">
        <v>0.50839999999999996</v>
      </c>
      <c r="H9" s="288">
        <v>179</v>
      </c>
      <c r="I9" s="288">
        <v>91</v>
      </c>
      <c r="J9" s="288">
        <v>0</v>
      </c>
      <c r="K9" s="285" t="s">
        <v>137</v>
      </c>
      <c r="L9" s="289">
        <v>45980</v>
      </c>
      <c r="M9" s="288">
        <v>1</v>
      </c>
      <c r="N9" s="288">
        <v>7</v>
      </c>
      <c r="O9" s="288">
        <v>24</v>
      </c>
      <c r="P9" s="285" t="s">
        <v>325</v>
      </c>
      <c r="Q9" s="281"/>
      <c r="R9" s="281"/>
      <c r="S9" s="281"/>
      <c r="T9" s="281"/>
      <c r="U9" s="281"/>
      <c r="V9" s="288" t="s">
        <v>189</v>
      </c>
      <c r="W9" s="288" t="s">
        <v>394</v>
      </c>
      <c r="X9" s="288" t="s">
        <v>395</v>
      </c>
      <c r="Y9" s="288" t="s">
        <v>396</v>
      </c>
      <c r="Z9" s="288" t="s">
        <v>367</v>
      </c>
      <c r="AA9" s="288" t="s">
        <v>368</v>
      </c>
      <c r="AB9" s="281"/>
      <c r="AC9" s="281"/>
      <c r="AD9" s="281"/>
      <c r="AE9" s="281"/>
      <c r="AF9" s="281"/>
      <c r="AG9" s="281"/>
      <c r="AH9" s="281"/>
      <c r="AI9" s="281"/>
      <c r="AJ9" s="281"/>
    </row>
    <row r="10" spans="1:36" x14ac:dyDescent="0.3">
      <c r="A10" s="283" t="s">
        <v>393</v>
      </c>
      <c r="B10" s="284">
        <v>45982</v>
      </c>
      <c r="C10" s="285" t="s">
        <v>258</v>
      </c>
      <c r="D10" s="286" t="s">
        <v>397</v>
      </c>
      <c r="E10" s="285" t="s">
        <v>218</v>
      </c>
      <c r="F10" s="285" t="s">
        <v>136</v>
      </c>
      <c r="G10" s="287">
        <v>0.5978</v>
      </c>
      <c r="H10" s="288">
        <v>179</v>
      </c>
      <c r="I10" s="288">
        <v>107</v>
      </c>
      <c r="J10" s="288">
        <v>1</v>
      </c>
      <c r="K10" s="285" t="s">
        <v>137</v>
      </c>
      <c r="L10" s="289">
        <v>45978</v>
      </c>
      <c r="M10" s="288">
        <v>0</v>
      </c>
      <c r="N10" s="288">
        <v>0</v>
      </c>
      <c r="O10" s="288">
        <v>21</v>
      </c>
      <c r="P10" s="285" t="s">
        <v>270</v>
      </c>
      <c r="Q10" s="281"/>
      <c r="R10" s="281"/>
      <c r="S10" s="281"/>
      <c r="T10" s="281"/>
      <c r="U10" s="281"/>
      <c r="V10" s="288" t="s">
        <v>381</v>
      </c>
      <c r="W10" s="288" t="s">
        <v>394</v>
      </c>
      <c r="X10" s="288" t="s">
        <v>398</v>
      </c>
      <c r="Y10" s="288" t="s">
        <v>396</v>
      </c>
      <c r="Z10" s="288" t="s">
        <v>399</v>
      </c>
      <c r="AA10" s="288" t="s">
        <v>368</v>
      </c>
      <c r="AB10" s="288" t="s">
        <v>400</v>
      </c>
      <c r="AC10" s="288" t="s">
        <v>154</v>
      </c>
      <c r="AD10" s="288" t="s">
        <v>401</v>
      </c>
      <c r="AE10" s="288" t="s">
        <v>402</v>
      </c>
      <c r="AF10" s="288" t="s">
        <v>196</v>
      </c>
      <c r="AG10" s="281"/>
      <c r="AH10" s="281"/>
      <c r="AI10" s="288" t="s">
        <v>363</v>
      </c>
      <c r="AJ10" s="281"/>
    </row>
    <row r="11" spans="1:36" x14ac:dyDescent="0.3">
      <c r="A11" s="283" t="s">
        <v>393</v>
      </c>
      <c r="B11" s="284">
        <v>45982</v>
      </c>
      <c r="C11" s="285" t="s">
        <v>269</v>
      </c>
      <c r="D11" s="286" t="s">
        <v>403</v>
      </c>
      <c r="E11" s="285" t="s">
        <v>218</v>
      </c>
      <c r="F11" s="285" t="s">
        <v>136</v>
      </c>
      <c r="G11" s="287">
        <v>0.54190000000000005</v>
      </c>
      <c r="H11" s="288">
        <v>179</v>
      </c>
      <c r="I11" s="288">
        <v>97</v>
      </c>
      <c r="J11" s="288">
        <v>0</v>
      </c>
      <c r="K11" s="285" t="s">
        <v>137</v>
      </c>
      <c r="L11" s="289">
        <v>45976</v>
      </c>
      <c r="M11" s="288">
        <v>0</v>
      </c>
      <c r="N11" s="288">
        <v>0</v>
      </c>
      <c r="O11" s="288">
        <v>7</v>
      </c>
      <c r="P11" s="285" t="s">
        <v>329</v>
      </c>
      <c r="Q11" s="281"/>
      <c r="R11" s="281"/>
      <c r="S11" s="281"/>
      <c r="T11" s="281"/>
      <c r="U11" s="281"/>
      <c r="V11" s="281"/>
      <c r="W11" s="288" t="s">
        <v>404</v>
      </c>
      <c r="X11" s="288" t="s">
        <v>343</v>
      </c>
      <c r="Y11" s="288" t="s">
        <v>405</v>
      </c>
      <c r="Z11" s="288" t="s">
        <v>406</v>
      </c>
      <c r="AA11" s="288" t="s">
        <v>368</v>
      </c>
      <c r="AB11" s="281"/>
      <c r="AC11" s="281"/>
      <c r="AD11" s="281"/>
      <c r="AE11" s="281"/>
      <c r="AF11" s="281"/>
      <c r="AG11" s="281"/>
      <c r="AH11" s="281"/>
      <c r="AI11" s="281"/>
      <c r="AJ11" s="281"/>
    </row>
    <row r="12" spans="1:36" x14ac:dyDescent="0.3">
      <c r="A12" s="283" t="s">
        <v>393</v>
      </c>
      <c r="B12" s="284">
        <v>45982</v>
      </c>
      <c r="C12" s="285" t="s">
        <v>274</v>
      </c>
      <c r="D12" s="286" t="s">
        <v>407</v>
      </c>
      <c r="E12" s="285" t="s">
        <v>218</v>
      </c>
      <c r="F12" s="285" t="s">
        <v>136</v>
      </c>
      <c r="G12" s="287">
        <v>0.53069999999999995</v>
      </c>
      <c r="H12" s="288">
        <v>179</v>
      </c>
      <c r="I12" s="288">
        <v>95</v>
      </c>
      <c r="J12" s="288">
        <v>0</v>
      </c>
      <c r="K12" s="285" t="s">
        <v>137</v>
      </c>
      <c r="L12" s="289">
        <v>45979</v>
      </c>
      <c r="M12" s="288">
        <v>0</v>
      </c>
      <c r="N12" s="288">
        <v>1</v>
      </c>
      <c r="O12" s="288">
        <v>19</v>
      </c>
      <c r="P12" s="285" t="s">
        <v>327</v>
      </c>
      <c r="Q12" s="281"/>
      <c r="R12" s="281"/>
      <c r="S12" s="281"/>
      <c r="T12" s="281"/>
      <c r="U12" s="281"/>
      <c r="V12" s="281"/>
      <c r="W12" s="288" t="s">
        <v>408</v>
      </c>
      <c r="X12" s="288" t="s">
        <v>409</v>
      </c>
      <c r="Y12" s="288" t="s">
        <v>396</v>
      </c>
      <c r="Z12" s="288" t="s">
        <v>410</v>
      </c>
      <c r="AA12" s="288" t="s">
        <v>368</v>
      </c>
      <c r="AB12" s="281"/>
      <c r="AC12" s="281"/>
      <c r="AD12" s="281"/>
      <c r="AE12" s="281"/>
      <c r="AF12" s="281"/>
      <c r="AG12" s="281"/>
      <c r="AH12" s="281"/>
      <c r="AI12" s="281"/>
      <c r="AJ12" s="281"/>
    </row>
    <row r="13" spans="1:36" x14ac:dyDescent="0.3">
      <c r="A13" s="283" t="s">
        <v>393</v>
      </c>
      <c r="B13" s="284">
        <v>45982</v>
      </c>
      <c r="C13" s="285" t="s">
        <v>261</v>
      </c>
      <c r="D13" s="286" t="s">
        <v>411</v>
      </c>
      <c r="E13" s="285" t="s">
        <v>218</v>
      </c>
      <c r="F13" s="285" t="s">
        <v>136</v>
      </c>
      <c r="G13" s="287">
        <v>0.5363</v>
      </c>
      <c r="H13" s="288">
        <v>179</v>
      </c>
      <c r="I13" s="288">
        <v>96</v>
      </c>
      <c r="J13" s="288">
        <v>0</v>
      </c>
      <c r="K13" s="285" t="s">
        <v>137</v>
      </c>
      <c r="L13" s="289">
        <v>45979</v>
      </c>
      <c r="M13" s="288">
        <v>0</v>
      </c>
      <c r="N13" s="288">
        <v>3</v>
      </c>
      <c r="O13" s="288">
        <v>15</v>
      </c>
      <c r="P13" s="285" t="s">
        <v>323</v>
      </c>
      <c r="Q13" s="281"/>
      <c r="R13" s="281"/>
      <c r="S13" s="281"/>
      <c r="T13" s="281"/>
      <c r="U13" s="281"/>
      <c r="V13" s="281"/>
      <c r="W13" s="288" t="s">
        <v>412</v>
      </c>
      <c r="X13" s="288" t="s">
        <v>343</v>
      </c>
      <c r="Y13" s="288" t="s">
        <v>413</v>
      </c>
      <c r="Z13" s="288" t="s">
        <v>414</v>
      </c>
      <c r="AA13" s="288" t="s">
        <v>368</v>
      </c>
      <c r="AB13" s="281"/>
      <c r="AC13" s="281"/>
      <c r="AD13" s="281"/>
      <c r="AE13" s="281"/>
      <c r="AF13" s="281"/>
      <c r="AG13" s="281"/>
      <c r="AH13" s="281"/>
      <c r="AI13" s="281"/>
      <c r="AJ13" s="281"/>
    </row>
    <row r="14" spans="1:36" x14ac:dyDescent="0.3">
      <c r="A14" s="283" t="s">
        <v>393</v>
      </c>
      <c r="B14" s="284">
        <v>45982</v>
      </c>
      <c r="C14" s="285" t="s">
        <v>332</v>
      </c>
      <c r="D14" s="286" t="s">
        <v>415</v>
      </c>
      <c r="E14" s="285" t="s">
        <v>218</v>
      </c>
      <c r="F14" s="285" t="s">
        <v>136</v>
      </c>
      <c r="G14" s="287">
        <v>1.0172000000000001</v>
      </c>
      <c r="H14" s="288">
        <v>174</v>
      </c>
      <c r="I14" s="288">
        <v>177</v>
      </c>
      <c r="J14" s="288">
        <v>92</v>
      </c>
      <c r="K14" s="285" t="s">
        <v>137</v>
      </c>
      <c r="L14" s="289">
        <v>45979</v>
      </c>
      <c r="M14" s="288">
        <v>0</v>
      </c>
      <c r="N14" s="288">
        <v>1</v>
      </c>
      <c r="O14" s="288">
        <v>7</v>
      </c>
      <c r="P14" s="285" t="s">
        <v>82</v>
      </c>
      <c r="Q14" s="281"/>
      <c r="R14" s="281"/>
      <c r="S14" s="281"/>
      <c r="T14" s="281"/>
      <c r="U14" s="281"/>
      <c r="V14" s="281"/>
      <c r="W14" s="288" t="s">
        <v>270</v>
      </c>
      <c r="X14" s="281"/>
      <c r="Y14" s="288" t="s">
        <v>416</v>
      </c>
      <c r="Z14" s="288" t="s">
        <v>417</v>
      </c>
      <c r="AA14" s="288" t="s">
        <v>375</v>
      </c>
      <c r="AB14" s="288" t="s">
        <v>352</v>
      </c>
      <c r="AC14" s="288" t="s">
        <v>418</v>
      </c>
      <c r="AD14" s="288" t="s">
        <v>419</v>
      </c>
      <c r="AE14" s="288" t="s">
        <v>195</v>
      </c>
      <c r="AF14" s="288" t="s">
        <v>420</v>
      </c>
      <c r="AG14" s="281"/>
      <c r="AH14" s="281"/>
      <c r="AI14" s="288" t="s">
        <v>148</v>
      </c>
      <c r="AJ14" s="281"/>
    </row>
    <row r="15" spans="1:36" x14ac:dyDescent="0.3">
      <c r="A15" s="283" t="s">
        <v>150</v>
      </c>
      <c r="B15" s="284">
        <v>45983</v>
      </c>
      <c r="C15" s="285" t="s">
        <v>249</v>
      </c>
      <c r="D15" s="286" t="s">
        <v>421</v>
      </c>
      <c r="E15" s="285" t="s">
        <v>218</v>
      </c>
      <c r="F15" s="285" t="s">
        <v>136</v>
      </c>
      <c r="G15" s="287">
        <v>1</v>
      </c>
      <c r="H15" s="288">
        <v>179</v>
      </c>
      <c r="I15" s="288">
        <v>179</v>
      </c>
      <c r="J15" s="288">
        <v>50</v>
      </c>
      <c r="K15" s="285" t="s">
        <v>137</v>
      </c>
      <c r="L15" s="289">
        <v>45971</v>
      </c>
      <c r="M15" s="288">
        <v>0</v>
      </c>
      <c r="N15" s="288">
        <v>0</v>
      </c>
      <c r="O15" s="288">
        <v>0</v>
      </c>
      <c r="P15" s="285" t="s">
        <v>82</v>
      </c>
      <c r="Q15" s="281"/>
      <c r="R15" s="281"/>
      <c r="S15" s="281"/>
      <c r="T15" s="281"/>
      <c r="U15" s="281"/>
      <c r="V15" s="281"/>
      <c r="W15" s="288" t="s">
        <v>422</v>
      </c>
      <c r="X15" s="281"/>
      <c r="Y15" s="288" t="s">
        <v>390</v>
      </c>
      <c r="Z15" s="288" t="s">
        <v>417</v>
      </c>
      <c r="AA15" s="288" t="s">
        <v>423</v>
      </c>
      <c r="AB15" s="288" t="s">
        <v>352</v>
      </c>
      <c r="AC15" s="288" t="s">
        <v>418</v>
      </c>
      <c r="AD15" s="288" t="s">
        <v>424</v>
      </c>
      <c r="AE15" s="288" t="s">
        <v>425</v>
      </c>
      <c r="AF15" s="288" t="s">
        <v>157</v>
      </c>
      <c r="AG15" s="281"/>
      <c r="AH15" s="281"/>
      <c r="AI15" s="288" t="s">
        <v>426</v>
      </c>
      <c r="AJ15" s="281"/>
    </row>
    <row r="16" spans="1:36" x14ac:dyDescent="0.3">
      <c r="A16" s="283" t="s">
        <v>150</v>
      </c>
      <c r="B16" s="284">
        <v>45983</v>
      </c>
      <c r="C16" s="285" t="s">
        <v>258</v>
      </c>
      <c r="D16" s="286" t="s">
        <v>364</v>
      </c>
      <c r="E16" s="285" t="s">
        <v>218</v>
      </c>
      <c r="F16" s="285" t="s">
        <v>136</v>
      </c>
      <c r="G16" s="287">
        <v>1</v>
      </c>
      <c r="H16" s="288">
        <v>179</v>
      </c>
      <c r="I16" s="288">
        <v>179</v>
      </c>
      <c r="J16" s="288">
        <v>134</v>
      </c>
      <c r="K16" s="285" t="s">
        <v>137</v>
      </c>
      <c r="L16" s="289">
        <v>45979</v>
      </c>
      <c r="M16" s="288">
        <v>0</v>
      </c>
      <c r="N16" s="288">
        <v>4</v>
      </c>
      <c r="O16" s="288">
        <v>6</v>
      </c>
      <c r="P16" s="285" t="s">
        <v>82</v>
      </c>
      <c r="Q16" s="281"/>
      <c r="R16" s="281"/>
      <c r="S16" s="281"/>
      <c r="T16" s="281"/>
      <c r="U16" s="281"/>
      <c r="V16" s="288" t="s">
        <v>427</v>
      </c>
      <c r="W16" s="281"/>
      <c r="X16" s="288" t="s">
        <v>327</v>
      </c>
      <c r="Y16" s="281"/>
      <c r="Z16" s="288" t="s">
        <v>428</v>
      </c>
      <c r="AA16" s="288" t="s">
        <v>368</v>
      </c>
      <c r="AB16" s="281"/>
      <c r="AC16" s="281"/>
      <c r="AD16" s="281"/>
      <c r="AE16" s="281"/>
      <c r="AF16" s="281"/>
      <c r="AG16" s="281"/>
      <c r="AH16" s="281"/>
      <c r="AI16" s="288" t="s">
        <v>429</v>
      </c>
      <c r="AJ16" s="288" t="s">
        <v>159</v>
      </c>
    </row>
    <row r="17" spans="1:36" x14ac:dyDescent="0.3">
      <c r="A17" s="283" t="s">
        <v>150</v>
      </c>
      <c r="B17" s="284">
        <v>45983</v>
      </c>
      <c r="C17" s="285" t="s">
        <v>269</v>
      </c>
      <c r="D17" s="286" t="s">
        <v>430</v>
      </c>
      <c r="E17" s="285" t="s">
        <v>218</v>
      </c>
      <c r="F17" s="285" t="s">
        <v>136</v>
      </c>
      <c r="G17" s="287">
        <v>1</v>
      </c>
      <c r="H17" s="288">
        <v>179</v>
      </c>
      <c r="I17" s="288">
        <v>179</v>
      </c>
      <c r="J17" s="288">
        <v>127</v>
      </c>
      <c r="K17" s="285" t="s">
        <v>137</v>
      </c>
      <c r="L17" s="289">
        <v>45980</v>
      </c>
      <c r="M17" s="288">
        <v>1</v>
      </c>
      <c r="N17" s="288">
        <v>0</v>
      </c>
      <c r="O17" s="288">
        <v>4</v>
      </c>
      <c r="P17" s="285" t="s">
        <v>82</v>
      </c>
      <c r="Q17" s="281"/>
      <c r="R17" s="281"/>
      <c r="S17" s="281"/>
      <c r="T17" s="281"/>
      <c r="U17" s="281"/>
      <c r="V17" s="288" t="s">
        <v>189</v>
      </c>
      <c r="W17" s="281"/>
      <c r="X17" s="288" t="s">
        <v>431</v>
      </c>
      <c r="Y17" s="288" t="s">
        <v>432</v>
      </c>
      <c r="Z17" s="288" t="s">
        <v>433</v>
      </c>
      <c r="AA17" s="288" t="s">
        <v>383</v>
      </c>
      <c r="AB17" s="288" t="s">
        <v>352</v>
      </c>
      <c r="AC17" s="288" t="s">
        <v>434</v>
      </c>
      <c r="AD17" s="288" t="s">
        <v>353</v>
      </c>
      <c r="AE17" s="288" t="s">
        <v>435</v>
      </c>
      <c r="AF17" s="288" t="s">
        <v>436</v>
      </c>
      <c r="AG17" s="288" t="s">
        <v>437</v>
      </c>
      <c r="AH17" s="281"/>
      <c r="AI17" s="288" t="s">
        <v>438</v>
      </c>
      <c r="AJ17" s="288" t="s">
        <v>439</v>
      </c>
    </row>
    <row r="18" spans="1:36" ht="21" x14ac:dyDescent="0.3">
      <c r="A18" s="290" t="s">
        <v>976</v>
      </c>
      <c r="B18" s="291"/>
      <c r="C18" s="290">
        <f>SUBTOTAL(103,JED_CAI_LF_LEGACY[Flt])</f>
        <v>16</v>
      </c>
      <c r="D18" s="290"/>
      <c r="E18" s="290">
        <f>SUBTOTAL(103,JED_CAI_LF_LEGACY[Brd-Off])</f>
        <v>16</v>
      </c>
      <c r="F18" s="290"/>
      <c r="G18" s="292">
        <f>SUBTOTAL(101,JED_CAI_LF_LEGACY[LF%])</f>
        <v>0.78829375000000013</v>
      </c>
      <c r="H18" s="293">
        <f>SUBTOTAL(109,JED_CAI_LF_LEGACY[CAP])</f>
        <v>2867</v>
      </c>
      <c r="I18" s="293">
        <f>SUBTOTAL(109,JED_CAI_LF_LEGACY[BKG(Y)])</f>
        <v>2260</v>
      </c>
      <c r="J18" s="293">
        <f>SUBTOTAL(109,JED_CAI_LF_LEGACY[GRP(Y)])</f>
        <v>858</v>
      </c>
      <c r="K18" s="290"/>
      <c r="L18" s="291"/>
      <c r="M18" s="293">
        <f>SUBTOTAL(109,JED_CAI_LF_LEGACY[TO-DAY])</f>
        <v>7</v>
      </c>
      <c r="N18" s="293">
        <f>SUBTOTAL(109,JED_CAI_LF_LEGACY[Y-DAY])</f>
        <v>39</v>
      </c>
      <c r="O18" s="293">
        <f>SUBTOTAL(109,JED_CAI_LF_LEGACY[WEEKLY])</f>
        <v>210</v>
      </c>
      <c r="P18" s="294"/>
      <c r="Q18" s="293">
        <f>SUBTOTAL(109,JED_CAI_LF_LEGACY[Y])</f>
        <v>0</v>
      </c>
      <c r="R18" s="293">
        <f>SUBTOTAL(109,JED_CAI_LF_LEGACY[B])</f>
        <v>0</v>
      </c>
      <c r="S18" s="293">
        <f>SUBTOTAL(109,JED_CAI_LF_LEGACY[M])</f>
        <v>0</v>
      </c>
      <c r="T18" s="293">
        <f>SUBTOTAL(109,JED_CAI_LF_LEGACY[H])</f>
        <v>0</v>
      </c>
      <c r="U18" s="293">
        <f>SUBTOTAL(109,JED_CAI_LF_LEGACY[Q])</f>
        <v>0</v>
      </c>
      <c r="V18" s="293">
        <f>SUBTOTAL(109,JED_CAI_LF_LEGACY[K])</f>
        <v>0</v>
      </c>
      <c r="W18" s="293">
        <f>SUBTOTAL(109,JED_CAI_LF_LEGACY[V])</f>
        <v>0</v>
      </c>
      <c r="X18" s="293">
        <f>SUBTOTAL(109,JED_CAI_LF_LEGACY[L])</f>
        <v>0</v>
      </c>
      <c r="Y18" s="293">
        <f>SUBTOTAL(109,JED_CAI_LF_LEGACY[G])</f>
        <v>0</v>
      </c>
      <c r="Z18" s="293">
        <f>SUBTOTAL(109,JED_CAI_LF_LEGACY[S])</f>
        <v>0</v>
      </c>
      <c r="AA18" s="293">
        <f>SUBTOTAL(109,JED_CAI_LF_LEGACY[W])</f>
        <v>0</v>
      </c>
      <c r="AB18" s="293">
        <f>SUBTOTAL(109,JED_CAI_LF_LEGACY[T])</f>
        <v>0</v>
      </c>
      <c r="AC18" s="293">
        <f>SUBTOTAL(109,JED_CAI_LF_LEGACY[X])</f>
        <v>0</v>
      </c>
      <c r="AD18" s="293">
        <f>SUBTOTAL(109,JED_CAI_LF_LEGACY[U])</f>
        <v>0</v>
      </c>
      <c r="AE18" s="293">
        <f>SUBTOTAL(109,JED_CAI_LF_LEGACY[O])</f>
        <v>0</v>
      </c>
      <c r="AF18" s="293">
        <f>SUBTOTAL(109,JED_CAI_LF_LEGACY[I])</f>
        <v>0</v>
      </c>
      <c r="AG18" s="293">
        <f>SUBTOTAL(109,JED_CAI_LF_LEGACY[E])</f>
        <v>0</v>
      </c>
      <c r="AH18" s="293">
        <f>SUBTOTAL(109,JED_CAI_LF_LEGACY[A])</f>
        <v>0</v>
      </c>
      <c r="AI18" s="293">
        <f>SUBTOTAL(109,JED_CAI_LF_LEGACY[P])</f>
        <v>0</v>
      </c>
      <c r="AJ18" s="293">
        <f>SUBTOTAL(103,JED_CAI_LF_LEGACY[N])</f>
        <v>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1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3.2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26</v>
      </c>
      <c r="C2" s="62" t="s">
        <v>219</v>
      </c>
      <c r="D2" s="61" t="s">
        <v>218</v>
      </c>
      <c r="E2" s="61" t="s">
        <v>440</v>
      </c>
      <c r="F2" s="61" t="s">
        <v>220</v>
      </c>
      <c r="G2" s="63">
        <v>7</v>
      </c>
      <c r="H2" s="64">
        <v>589</v>
      </c>
    </row>
    <row r="3" spans="1:8" ht="19.8" customHeight="1" x14ac:dyDescent="0.3">
      <c r="A3" s="60" t="s">
        <v>162</v>
      </c>
      <c r="B3" s="61" t="s">
        <v>26</v>
      </c>
      <c r="C3" s="62" t="s">
        <v>223</v>
      </c>
      <c r="D3" s="61" t="s">
        <v>218</v>
      </c>
      <c r="E3" s="61" t="s">
        <v>441</v>
      </c>
      <c r="F3" s="61" t="s">
        <v>220</v>
      </c>
      <c r="G3" s="63">
        <v>4</v>
      </c>
      <c r="H3" s="64">
        <v>589</v>
      </c>
    </row>
    <row r="4" spans="1:8" ht="19.8" customHeight="1" x14ac:dyDescent="0.3">
      <c r="A4" s="60" t="s">
        <v>162</v>
      </c>
      <c r="B4" s="61" t="s">
        <v>26</v>
      </c>
      <c r="C4" s="62" t="s">
        <v>224</v>
      </c>
      <c r="D4" s="61" t="s">
        <v>218</v>
      </c>
      <c r="E4" s="61" t="s">
        <v>169</v>
      </c>
      <c r="F4" s="61" t="s">
        <v>220</v>
      </c>
      <c r="G4" s="63">
        <v>8</v>
      </c>
      <c r="H4" s="64">
        <v>669</v>
      </c>
    </row>
    <row r="5" spans="1:8" ht="19.8" customHeight="1" x14ac:dyDescent="0.3">
      <c r="A5" s="60" t="s">
        <v>162</v>
      </c>
      <c r="B5" s="61" t="s">
        <v>26</v>
      </c>
      <c r="C5" s="62" t="s">
        <v>227</v>
      </c>
      <c r="D5" s="61" t="s">
        <v>218</v>
      </c>
      <c r="E5" s="61" t="s">
        <v>442</v>
      </c>
      <c r="F5" s="61" t="s">
        <v>220</v>
      </c>
      <c r="G5" s="63">
        <v>9</v>
      </c>
      <c r="H5" s="64">
        <v>669</v>
      </c>
    </row>
    <row r="6" spans="1:8" ht="19.8" customHeight="1" x14ac:dyDescent="0.3">
      <c r="A6" s="60" t="s">
        <v>162</v>
      </c>
      <c r="B6" s="61" t="s">
        <v>26</v>
      </c>
      <c r="C6" s="62" t="s">
        <v>228</v>
      </c>
      <c r="D6" s="61" t="s">
        <v>218</v>
      </c>
      <c r="E6" s="61" t="s">
        <v>443</v>
      </c>
      <c r="F6" s="61" t="s">
        <v>220</v>
      </c>
      <c r="G6" s="63">
        <v>5</v>
      </c>
      <c r="H6" s="64">
        <v>669</v>
      </c>
    </row>
    <row r="7" spans="1:8" ht="19.8" customHeight="1" x14ac:dyDescent="0.3">
      <c r="A7" s="60" t="s">
        <v>162</v>
      </c>
      <c r="B7" s="61" t="s">
        <v>26</v>
      </c>
      <c r="C7" s="62" t="s">
        <v>230</v>
      </c>
      <c r="D7" s="61" t="s">
        <v>218</v>
      </c>
      <c r="E7" s="61" t="s">
        <v>151</v>
      </c>
      <c r="F7" s="61" t="s">
        <v>220</v>
      </c>
      <c r="G7" s="63">
        <v>9</v>
      </c>
      <c r="H7" s="64">
        <v>669</v>
      </c>
    </row>
    <row r="8" spans="1:8" ht="19.8" customHeight="1" x14ac:dyDescent="0.3">
      <c r="A8" s="60" t="s">
        <v>162</v>
      </c>
      <c r="B8" s="61" t="s">
        <v>41</v>
      </c>
      <c r="C8" s="62" t="s">
        <v>235</v>
      </c>
      <c r="D8" s="61" t="s">
        <v>218</v>
      </c>
      <c r="E8" s="61" t="s">
        <v>441</v>
      </c>
      <c r="F8" s="61" t="s">
        <v>236</v>
      </c>
      <c r="G8" s="63">
        <v>9</v>
      </c>
      <c r="H8" s="64">
        <v>689</v>
      </c>
    </row>
    <row r="9" spans="1:8" ht="19.8" customHeight="1" x14ac:dyDescent="0.3">
      <c r="A9" s="60" t="s">
        <v>162</v>
      </c>
      <c r="B9" s="61" t="s">
        <v>41</v>
      </c>
      <c r="C9" s="62" t="s">
        <v>238</v>
      </c>
      <c r="D9" s="61" t="s">
        <v>218</v>
      </c>
      <c r="E9" s="61" t="s">
        <v>444</v>
      </c>
      <c r="F9" s="61" t="s">
        <v>236</v>
      </c>
      <c r="G9" s="63">
        <v>15</v>
      </c>
      <c r="H9" s="64">
        <v>689</v>
      </c>
    </row>
    <row r="10" spans="1:8" ht="19.8" customHeight="1" x14ac:dyDescent="0.3">
      <c r="A10" s="60" t="s">
        <v>162</v>
      </c>
      <c r="B10" s="61" t="s">
        <v>41</v>
      </c>
      <c r="C10" s="62" t="s">
        <v>240</v>
      </c>
      <c r="D10" s="61" t="s">
        <v>218</v>
      </c>
      <c r="E10" s="61" t="s">
        <v>445</v>
      </c>
      <c r="F10" s="61" t="s">
        <v>236</v>
      </c>
      <c r="G10" s="63">
        <v>20</v>
      </c>
      <c r="H10" s="64">
        <v>689</v>
      </c>
    </row>
    <row r="11" spans="1:8" ht="19.8" customHeight="1" x14ac:dyDescent="0.3">
      <c r="A11" s="60" t="s">
        <v>162</v>
      </c>
      <c r="B11" s="61" t="s">
        <v>243</v>
      </c>
      <c r="C11" s="62" t="s">
        <v>244</v>
      </c>
      <c r="D11" s="61" t="s">
        <v>218</v>
      </c>
      <c r="E11" s="61" t="s">
        <v>446</v>
      </c>
      <c r="F11" s="61" t="s">
        <v>245</v>
      </c>
      <c r="G11" s="63">
        <v>9</v>
      </c>
      <c r="H11" s="64">
        <v>706</v>
      </c>
    </row>
    <row r="12" spans="1:8" ht="19.8" customHeight="1" x14ac:dyDescent="0.3">
      <c r="A12" s="96" t="s">
        <v>162</v>
      </c>
      <c r="B12" s="97" t="s">
        <v>78</v>
      </c>
      <c r="C12" s="98" t="s">
        <v>248</v>
      </c>
      <c r="D12" s="97" t="s">
        <v>218</v>
      </c>
      <c r="E12" s="97" t="s">
        <v>356</v>
      </c>
      <c r="F12" s="97" t="s">
        <v>178</v>
      </c>
      <c r="G12" s="99">
        <v>2</v>
      </c>
      <c r="H12" s="100">
        <v>706</v>
      </c>
    </row>
    <row r="13" spans="1:8" ht="19.8" customHeight="1" x14ac:dyDescent="0.3">
      <c r="A13" s="70">
        <v>45981</v>
      </c>
      <c r="B13" s="61" t="s">
        <v>26</v>
      </c>
      <c r="C13" s="62" t="s">
        <v>231</v>
      </c>
      <c r="D13" s="61" t="s">
        <v>218</v>
      </c>
      <c r="E13" s="71">
        <v>1.5173611111111109</v>
      </c>
      <c r="F13" s="61" t="s">
        <v>220</v>
      </c>
      <c r="G13" s="63">
        <v>3</v>
      </c>
      <c r="H13" s="64">
        <v>719</v>
      </c>
    </row>
    <row r="14" spans="1:8" ht="19.8" customHeight="1" x14ac:dyDescent="0.3">
      <c r="A14" s="70">
        <v>45981</v>
      </c>
      <c r="B14" s="61" t="s">
        <v>26</v>
      </c>
      <c r="C14" s="62" t="s">
        <v>234</v>
      </c>
      <c r="D14" s="61" t="s">
        <v>218</v>
      </c>
      <c r="E14" s="71">
        <v>1.6597222222222221</v>
      </c>
      <c r="F14" s="61" t="s">
        <v>220</v>
      </c>
      <c r="G14" s="63">
        <v>3</v>
      </c>
      <c r="H14" s="64">
        <v>719</v>
      </c>
    </row>
    <row r="15" spans="1:8" ht="19.8" customHeight="1" x14ac:dyDescent="0.3">
      <c r="A15" s="70">
        <v>45981</v>
      </c>
      <c r="B15" s="61" t="s">
        <v>277</v>
      </c>
      <c r="C15" s="62" t="s">
        <v>278</v>
      </c>
      <c r="D15" s="61" t="s">
        <v>218</v>
      </c>
      <c r="E15" s="71">
        <v>1.59375</v>
      </c>
      <c r="F15" s="61" t="s">
        <v>279</v>
      </c>
      <c r="G15" s="63">
        <v>3</v>
      </c>
      <c r="H15" s="64">
        <v>745</v>
      </c>
    </row>
    <row r="16" spans="1:8" ht="19.8" customHeight="1" x14ac:dyDescent="0.3">
      <c r="A16" s="70">
        <v>45981</v>
      </c>
      <c r="B16" s="61" t="s">
        <v>277</v>
      </c>
      <c r="C16" s="62" t="s">
        <v>282</v>
      </c>
      <c r="D16" s="61" t="s">
        <v>218</v>
      </c>
      <c r="E16" s="71">
        <v>1.291666666666667</v>
      </c>
      <c r="F16" s="61" t="s">
        <v>279</v>
      </c>
      <c r="G16" s="63">
        <v>4</v>
      </c>
      <c r="H16" s="64">
        <v>745</v>
      </c>
    </row>
    <row r="17" spans="1:8" ht="19.8" customHeight="1" x14ac:dyDescent="0.3">
      <c r="A17" s="70">
        <v>45981</v>
      </c>
      <c r="B17" s="61" t="s">
        <v>41</v>
      </c>
      <c r="C17" s="62" t="s">
        <v>242</v>
      </c>
      <c r="D17" s="61" t="s">
        <v>218</v>
      </c>
      <c r="E17" s="71">
        <v>1.1284722222222221</v>
      </c>
      <c r="F17" s="61" t="s">
        <v>236</v>
      </c>
      <c r="G17" s="63">
        <v>6</v>
      </c>
      <c r="H17" s="64">
        <v>749</v>
      </c>
    </row>
    <row r="18" spans="1:8" ht="19.8" customHeight="1" x14ac:dyDescent="0.3">
      <c r="A18" s="70">
        <v>45981</v>
      </c>
      <c r="B18" s="61" t="s">
        <v>285</v>
      </c>
      <c r="C18" s="62" t="s">
        <v>286</v>
      </c>
      <c r="D18" s="61" t="s">
        <v>218</v>
      </c>
      <c r="E18" s="71">
        <v>1.666666666666667</v>
      </c>
      <c r="F18" s="61" t="s">
        <v>279</v>
      </c>
      <c r="G18" s="63">
        <v>9</v>
      </c>
      <c r="H18" s="64">
        <v>749</v>
      </c>
    </row>
    <row r="19" spans="1:8" ht="19.8" customHeight="1" x14ac:dyDescent="0.3">
      <c r="A19" s="189">
        <v>45981</v>
      </c>
      <c r="B19" s="97" t="s">
        <v>78</v>
      </c>
      <c r="C19" s="98" t="s">
        <v>252</v>
      </c>
      <c r="D19" s="97" t="s">
        <v>218</v>
      </c>
      <c r="E19" s="190">
        <v>1.364583333333333</v>
      </c>
      <c r="F19" s="97" t="s">
        <v>178</v>
      </c>
      <c r="G19" s="99">
        <v>7</v>
      </c>
      <c r="H19" s="100">
        <v>781</v>
      </c>
    </row>
    <row r="20" spans="1:8" ht="19.8" customHeight="1" x14ac:dyDescent="0.3">
      <c r="A20" s="189">
        <v>45981</v>
      </c>
      <c r="B20" s="97" t="s">
        <v>78</v>
      </c>
      <c r="C20" s="98" t="s">
        <v>257</v>
      </c>
      <c r="D20" s="97" t="s">
        <v>218</v>
      </c>
      <c r="E20" s="190">
        <v>1.333333333333333</v>
      </c>
      <c r="F20" s="97" t="s">
        <v>178</v>
      </c>
      <c r="G20" s="99">
        <v>4</v>
      </c>
      <c r="H20" s="100">
        <v>781</v>
      </c>
    </row>
    <row r="21" spans="1:8" ht="19.8" customHeight="1" x14ac:dyDescent="0.3">
      <c r="A21" s="189">
        <v>45981</v>
      </c>
      <c r="B21" s="97" t="s">
        <v>78</v>
      </c>
      <c r="C21" s="98" t="s">
        <v>260</v>
      </c>
      <c r="D21" s="97" t="s">
        <v>218</v>
      </c>
      <c r="E21" s="190">
        <v>1.114583333333333</v>
      </c>
      <c r="F21" s="97" t="s">
        <v>178</v>
      </c>
      <c r="G21" s="99">
        <v>6</v>
      </c>
      <c r="H21" s="100">
        <v>781</v>
      </c>
    </row>
    <row r="22" spans="1:8" ht="19.8" customHeight="1" x14ac:dyDescent="0.3">
      <c r="A22" s="189">
        <v>45981</v>
      </c>
      <c r="B22" s="97" t="s">
        <v>78</v>
      </c>
      <c r="C22" s="98" t="s">
        <v>263</v>
      </c>
      <c r="D22" s="97" t="s">
        <v>218</v>
      </c>
      <c r="E22" s="190">
        <v>1.0486111111111109</v>
      </c>
      <c r="F22" s="97" t="s">
        <v>178</v>
      </c>
      <c r="G22" s="99">
        <v>8</v>
      </c>
      <c r="H22" s="100">
        <v>781</v>
      </c>
    </row>
    <row r="23" spans="1:8" ht="19.8" customHeight="1" x14ac:dyDescent="0.3">
      <c r="A23" s="70">
        <v>45981</v>
      </c>
      <c r="B23" s="61" t="s">
        <v>243</v>
      </c>
      <c r="C23" s="62" t="s">
        <v>244</v>
      </c>
      <c r="D23" s="61" t="s">
        <v>218</v>
      </c>
      <c r="E23" s="71">
        <v>1.3298611111111109</v>
      </c>
      <c r="F23" s="61" t="s">
        <v>47</v>
      </c>
      <c r="G23" s="63">
        <v>9</v>
      </c>
      <c r="H23" s="64">
        <v>829</v>
      </c>
    </row>
    <row r="24" spans="1:8" ht="19.8" customHeight="1" x14ac:dyDescent="0.3">
      <c r="A24" s="70">
        <v>45981</v>
      </c>
      <c r="B24" s="61" t="s">
        <v>277</v>
      </c>
      <c r="C24" s="62" t="s">
        <v>283</v>
      </c>
      <c r="D24" s="61" t="s">
        <v>218</v>
      </c>
      <c r="E24" s="71">
        <v>1.850694444444444</v>
      </c>
      <c r="F24" s="61" t="s">
        <v>279</v>
      </c>
      <c r="G24" s="63">
        <v>2</v>
      </c>
      <c r="H24" s="64">
        <v>835</v>
      </c>
    </row>
    <row r="25" spans="1:8" ht="19.8" customHeight="1" x14ac:dyDescent="0.3">
      <c r="A25" s="189">
        <v>45981</v>
      </c>
      <c r="B25" s="97" t="s">
        <v>78</v>
      </c>
      <c r="C25" s="98" t="s">
        <v>267</v>
      </c>
      <c r="D25" s="97" t="s">
        <v>218</v>
      </c>
      <c r="E25" s="190">
        <v>1.583333333333333</v>
      </c>
      <c r="F25" s="97" t="s">
        <v>178</v>
      </c>
      <c r="G25" s="99">
        <v>7</v>
      </c>
      <c r="H25" s="100">
        <v>952</v>
      </c>
    </row>
    <row r="26" spans="1:8" ht="19.8" customHeight="1" x14ac:dyDescent="0.3">
      <c r="A26" s="70">
        <v>45981</v>
      </c>
      <c r="B26" s="61" t="s">
        <v>62</v>
      </c>
      <c r="C26" s="62" t="s">
        <v>287</v>
      </c>
      <c r="D26" s="61" t="s">
        <v>218</v>
      </c>
      <c r="E26" s="71">
        <v>1.1423611111111109</v>
      </c>
      <c r="F26" s="61" t="s">
        <v>64</v>
      </c>
      <c r="G26" s="63">
        <v>9</v>
      </c>
      <c r="H26" s="65" t="s">
        <v>288</v>
      </c>
    </row>
    <row r="27" spans="1:8" ht="19.8" customHeight="1" x14ac:dyDescent="0.3">
      <c r="A27" s="70">
        <v>45981</v>
      </c>
      <c r="B27" s="61" t="s">
        <v>62</v>
      </c>
      <c r="C27" s="62" t="s">
        <v>290</v>
      </c>
      <c r="D27" s="61" t="s">
        <v>218</v>
      </c>
      <c r="E27" s="71">
        <v>1.243055555555556</v>
      </c>
      <c r="F27" s="61" t="s">
        <v>64</v>
      </c>
      <c r="G27" s="63">
        <v>9</v>
      </c>
      <c r="H27" s="65" t="s">
        <v>288</v>
      </c>
    </row>
    <row r="28" spans="1:8" ht="19.8" customHeight="1" x14ac:dyDescent="0.3">
      <c r="A28" s="70">
        <v>45981</v>
      </c>
      <c r="B28" s="61" t="s">
        <v>49</v>
      </c>
      <c r="C28" s="62" t="s">
        <v>306</v>
      </c>
      <c r="D28" s="61" t="s">
        <v>218</v>
      </c>
      <c r="E28" s="71">
        <v>1.0138888888888891</v>
      </c>
      <c r="F28" s="61" t="s">
        <v>51</v>
      </c>
      <c r="G28" s="63">
        <v>9</v>
      </c>
      <c r="H28" s="65" t="s">
        <v>307</v>
      </c>
    </row>
    <row r="29" spans="1:8" ht="19.8" customHeight="1" x14ac:dyDescent="0.3">
      <c r="A29" s="70">
        <v>45981</v>
      </c>
      <c r="B29" s="61" t="s">
        <v>62</v>
      </c>
      <c r="C29" s="62" t="s">
        <v>287</v>
      </c>
      <c r="D29" s="61" t="s">
        <v>218</v>
      </c>
      <c r="E29" s="71">
        <v>1.1423611111111109</v>
      </c>
      <c r="F29" s="61" t="s">
        <v>66</v>
      </c>
      <c r="G29" s="63">
        <v>9</v>
      </c>
      <c r="H29" s="65" t="s">
        <v>289</v>
      </c>
    </row>
    <row r="30" spans="1:8" ht="19.8" customHeight="1" x14ac:dyDescent="0.3">
      <c r="A30" s="70">
        <v>45981</v>
      </c>
      <c r="B30" s="61" t="s">
        <v>62</v>
      </c>
      <c r="C30" s="62" t="s">
        <v>290</v>
      </c>
      <c r="D30" s="61" t="s">
        <v>218</v>
      </c>
      <c r="E30" s="71">
        <v>1.243055555555556</v>
      </c>
      <c r="F30" s="61" t="s">
        <v>66</v>
      </c>
      <c r="G30" s="63">
        <v>9</v>
      </c>
      <c r="H30" s="65" t="s">
        <v>289</v>
      </c>
    </row>
    <row r="31" spans="1:8" ht="19.8" customHeight="1" x14ac:dyDescent="0.3">
      <c r="A31" s="189">
        <v>45981</v>
      </c>
      <c r="B31" s="97" t="s">
        <v>78</v>
      </c>
      <c r="C31" s="98" t="s">
        <v>272</v>
      </c>
      <c r="D31" s="97" t="s">
        <v>218</v>
      </c>
      <c r="E31" s="190">
        <v>1.739583333333333</v>
      </c>
      <c r="F31" s="97" t="s">
        <v>178</v>
      </c>
      <c r="G31" s="99">
        <v>6</v>
      </c>
      <c r="H31" s="117" t="s">
        <v>273</v>
      </c>
    </row>
    <row r="32" spans="1:8" ht="19.8" customHeight="1" x14ac:dyDescent="0.3">
      <c r="A32" s="70">
        <v>45981</v>
      </c>
      <c r="B32" s="61" t="s">
        <v>49</v>
      </c>
      <c r="C32" s="62" t="s">
        <v>308</v>
      </c>
      <c r="D32" s="61" t="s">
        <v>218</v>
      </c>
      <c r="E32" s="71">
        <v>1.4861111111111109</v>
      </c>
      <c r="F32" s="61" t="s">
        <v>51</v>
      </c>
      <c r="G32" s="63">
        <v>9</v>
      </c>
      <c r="H32" s="65" t="s">
        <v>309</v>
      </c>
    </row>
    <row r="33" spans="1:8" ht="19.8" customHeight="1" x14ac:dyDescent="0.3">
      <c r="A33" s="70">
        <v>45981</v>
      </c>
      <c r="B33" s="61" t="s">
        <v>49</v>
      </c>
      <c r="C33" s="62" t="s">
        <v>310</v>
      </c>
      <c r="D33" s="61" t="s">
        <v>218</v>
      </c>
      <c r="E33" s="71">
        <v>1.5138888888888891</v>
      </c>
      <c r="F33" s="61" t="s">
        <v>51</v>
      </c>
      <c r="G33" s="63">
        <v>9</v>
      </c>
      <c r="H33" s="65" t="s">
        <v>309</v>
      </c>
    </row>
    <row r="34" spans="1:8" ht="19.8" customHeight="1" x14ac:dyDescent="0.3">
      <c r="A34" s="70">
        <v>45981</v>
      </c>
      <c r="B34" s="61" t="s">
        <v>62</v>
      </c>
      <c r="C34" s="62" t="s">
        <v>291</v>
      </c>
      <c r="D34" s="61" t="s">
        <v>218</v>
      </c>
      <c r="E34" s="71">
        <v>1.006944444444444</v>
      </c>
      <c r="F34" s="61" t="s">
        <v>64</v>
      </c>
      <c r="G34" s="63">
        <v>9</v>
      </c>
      <c r="H34" s="65" t="s">
        <v>292</v>
      </c>
    </row>
    <row r="35" spans="1:8" ht="19.8" customHeight="1" x14ac:dyDescent="0.3">
      <c r="A35" s="70">
        <v>45981</v>
      </c>
      <c r="B35" s="61" t="s">
        <v>49</v>
      </c>
      <c r="C35" s="62" t="s">
        <v>311</v>
      </c>
      <c r="D35" s="61" t="s">
        <v>218</v>
      </c>
      <c r="E35" s="71">
        <v>1.2222222222222221</v>
      </c>
      <c r="F35" s="61" t="s">
        <v>51</v>
      </c>
      <c r="G35" s="63">
        <v>9</v>
      </c>
      <c r="H35" s="65" t="s">
        <v>312</v>
      </c>
    </row>
    <row r="36" spans="1:8" ht="19.8" customHeight="1" x14ac:dyDescent="0.3">
      <c r="A36" s="70">
        <v>45981</v>
      </c>
      <c r="B36" s="61" t="s">
        <v>62</v>
      </c>
      <c r="C36" s="62" t="s">
        <v>291</v>
      </c>
      <c r="D36" s="61" t="s">
        <v>218</v>
      </c>
      <c r="E36" s="71">
        <v>1.006944444444444</v>
      </c>
      <c r="F36" s="61" t="s">
        <v>66</v>
      </c>
      <c r="G36" s="63">
        <v>9</v>
      </c>
      <c r="H36" s="65" t="s">
        <v>293</v>
      </c>
    </row>
    <row r="37" spans="1:8" ht="19.8" customHeight="1" x14ac:dyDescent="0.3">
      <c r="A37" s="70">
        <v>45981</v>
      </c>
      <c r="B37" s="61" t="s">
        <v>62</v>
      </c>
      <c r="C37" s="62" t="s">
        <v>294</v>
      </c>
      <c r="D37" s="61" t="s">
        <v>218</v>
      </c>
      <c r="E37" s="71">
        <v>1.930555555555556</v>
      </c>
      <c r="F37" s="61" t="s">
        <v>64</v>
      </c>
      <c r="G37" s="63">
        <v>9</v>
      </c>
      <c r="H37" s="65" t="s">
        <v>295</v>
      </c>
    </row>
    <row r="38" spans="1:8" ht="19.8" customHeight="1" x14ac:dyDescent="0.3">
      <c r="A38" s="70">
        <v>45981</v>
      </c>
      <c r="B38" s="61" t="s">
        <v>62</v>
      </c>
      <c r="C38" s="62" t="s">
        <v>297</v>
      </c>
      <c r="D38" s="61" t="s">
        <v>218</v>
      </c>
      <c r="E38" s="71">
        <v>1.3784722222222221</v>
      </c>
      <c r="F38" s="61" t="s">
        <v>64</v>
      </c>
      <c r="G38" s="63">
        <v>9</v>
      </c>
      <c r="H38" s="65" t="s">
        <v>295</v>
      </c>
    </row>
    <row r="39" spans="1:8" ht="19.8" customHeight="1" x14ac:dyDescent="0.3">
      <c r="A39" s="70">
        <v>45981</v>
      </c>
      <c r="B39" s="61" t="s">
        <v>62</v>
      </c>
      <c r="C39" s="62" t="s">
        <v>298</v>
      </c>
      <c r="D39" s="61" t="s">
        <v>218</v>
      </c>
      <c r="E39" s="71">
        <v>1.8888888888888891</v>
      </c>
      <c r="F39" s="61" t="s">
        <v>66</v>
      </c>
      <c r="G39" s="63">
        <v>4</v>
      </c>
      <c r="H39" s="65" t="s">
        <v>299</v>
      </c>
    </row>
    <row r="40" spans="1:8" ht="19.8" customHeight="1" x14ac:dyDescent="0.3">
      <c r="A40" s="70">
        <v>45981</v>
      </c>
      <c r="B40" s="61" t="s">
        <v>62</v>
      </c>
      <c r="C40" s="62" t="s">
        <v>300</v>
      </c>
      <c r="D40" s="61" t="s">
        <v>218</v>
      </c>
      <c r="E40" s="71">
        <v>1.302083333333333</v>
      </c>
      <c r="F40" s="61" t="s">
        <v>66</v>
      </c>
      <c r="G40" s="63">
        <v>4</v>
      </c>
      <c r="H40" s="65" t="s">
        <v>299</v>
      </c>
    </row>
    <row r="41" spans="1:8" ht="19.8" customHeight="1" x14ac:dyDescent="0.3">
      <c r="A41" s="70">
        <v>45981</v>
      </c>
      <c r="B41" s="61" t="s">
        <v>62</v>
      </c>
      <c r="C41" s="62" t="s">
        <v>301</v>
      </c>
      <c r="D41" s="61" t="s">
        <v>218</v>
      </c>
      <c r="E41" s="71">
        <v>1.1284722222222221</v>
      </c>
      <c r="F41" s="61" t="s">
        <v>66</v>
      </c>
      <c r="G41" s="63">
        <v>4</v>
      </c>
      <c r="H41" s="65" t="s">
        <v>299</v>
      </c>
    </row>
    <row r="42" spans="1:8" ht="19.8" customHeight="1" x14ac:dyDescent="0.3">
      <c r="A42" s="70">
        <v>45981</v>
      </c>
      <c r="B42" s="61" t="s">
        <v>62</v>
      </c>
      <c r="C42" s="62" t="s">
        <v>302</v>
      </c>
      <c r="D42" s="61" t="s">
        <v>218</v>
      </c>
      <c r="E42" s="71">
        <v>1.788194444444444</v>
      </c>
      <c r="F42" s="61" t="s">
        <v>66</v>
      </c>
      <c r="G42" s="63">
        <v>4</v>
      </c>
      <c r="H42" s="65" t="s">
        <v>299</v>
      </c>
    </row>
    <row r="43" spans="1:8" ht="19.8" customHeight="1" x14ac:dyDescent="0.3">
      <c r="A43" s="70">
        <v>45981</v>
      </c>
      <c r="B43" s="61" t="s">
        <v>62</v>
      </c>
      <c r="C43" s="62" t="s">
        <v>294</v>
      </c>
      <c r="D43" s="61" t="s">
        <v>218</v>
      </c>
      <c r="E43" s="71">
        <v>1.930555555555556</v>
      </c>
      <c r="F43" s="61" t="s">
        <v>66</v>
      </c>
      <c r="G43" s="63">
        <v>9</v>
      </c>
      <c r="H43" s="65" t="s">
        <v>296</v>
      </c>
    </row>
    <row r="44" spans="1:8" ht="19.8" customHeight="1" x14ac:dyDescent="0.3">
      <c r="A44" s="70">
        <v>45981</v>
      </c>
      <c r="B44" s="61" t="s">
        <v>62</v>
      </c>
      <c r="C44" s="62" t="s">
        <v>297</v>
      </c>
      <c r="D44" s="61" t="s">
        <v>218</v>
      </c>
      <c r="E44" s="71">
        <v>1.3784722222222221</v>
      </c>
      <c r="F44" s="61" t="s">
        <v>66</v>
      </c>
      <c r="G44" s="63">
        <v>9</v>
      </c>
      <c r="H44" s="65" t="s">
        <v>296</v>
      </c>
    </row>
    <row r="45" spans="1:8" ht="19.8" customHeight="1" x14ac:dyDescent="0.3">
      <c r="A45" s="70">
        <v>45981</v>
      </c>
      <c r="B45" s="61" t="s">
        <v>49</v>
      </c>
      <c r="C45" s="62" t="s">
        <v>313</v>
      </c>
      <c r="D45" s="61" t="s">
        <v>218</v>
      </c>
      <c r="E45" s="71">
        <v>1.774305555555556</v>
      </c>
      <c r="F45" s="61" t="s">
        <v>51</v>
      </c>
      <c r="G45" s="63">
        <v>4</v>
      </c>
      <c r="H45" s="65" t="s">
        <v>314</v>
      </c>
    </row>
    <row r="46" spans="1:8" ht="19.8" customHeight="1" x14ac:dyDescent="0.3">
      <c r="A46" s="70">
        <v>45981</v>
      </c>
      <c r="B46" s="61" t="s">
        <v>49</v>
      </c>
      <c r="C46" s="62" t="s">
        <v>315</v>
      </c>
      <c r="D46" s="61" t="s">
        <v>218</v>
      </c>
      <c r="E46" s="71">
        <v>1.958333333333333</v>
      </c>
      <c r="F46" s="61" t="s">
        <v>51</v>
      </c>
      <c r="G46" s="63">
        <v>7</v>
      </c>
      <c r="H46" s="65" t="s">
        <v>314</v>
      </c>
    </row>
    <row r="47" spans="1:8" ht="19.8" customHeight="1" x14ac:dyDescent="0.3">
      <c r="A47" s="70">
        <v>45981</v>
      </c>
      <c r="B47" s="61" t="s">
        <v>49</v>
      </c>
      <c r="C47" s="62" t="s">
        <v>316</v>
      </c>
      <c r="D47" s="61" t="s">
        <v>218</v>
      </c>
      <c r="E47" s="71">
        <v>1.145833333333333</v>
      </c>
      <c r="F47" s="61" t="s">
        <v>51</v>
      </c>
      <c r="G47" s="63">
        <v>9</v>
      </c>
      <c r="H47" s="65" t="s">
        <v>314</v>
      </c>
    </row>
    <row r="48" spans="1:8" ht="19.8" customHeight="1" x14ac:dyDescent="0.3">
      <c r="A48" s="70">
        <v>45981</v>
      </c>
      <c r="B48" s="61" t="s">
        <v>49</v>
      </c>
      <c r="C48" s="62" t="s">
        <v>317</v>
      </c>
      <c r="D48" s="61" t="s">
        <v>218</v>
      </c>
      <c r="E48" s="71">
        <v>1.2777777777777779</v>
      </c>
      <c r="F48" s="61" t="s">
        <v>51</v>
      </c>
      <c r="G48" s="63">
        <v>9</v>
      </c>
      <c r="H48" s="65" t="s">
        <v>314</v>
      </c>
    </row>
    <row r="49" spans="1:8" ht="19.8" customHeight="1" x14ac:dyDescent="0.3">
      <c r="A49" s="70">
        <v>45981</v>
      </c>
      <c r="B49" s="61" t="s">
        <v>62</v>
      </c>
      <c r="C49" s="62" t="s">
        <v>303</v>
      </c>
      <c r="D49" s="61" t="s">
        <v>218</v>
      </c>
      <c r="E49" s="71">
        <v>1.8298611111111109</v>
      </c>
      <c r="F49" s="61" t="s">
        <v>64</v>
      </c>
      <c r="G49" s="63">
        <v>7</v>
      </c>
      <c r="H49" s="65" t="s">
        <v>304</v>
      </c>
    </row>
    <row r="50" spans="1:8" ht="19.8" customHeight="1" x14ac:dyDescent="0.3">
      <c r="A50" s="72">
        <v>45981</v>
      </c>
      <c r="B50" s="73" t="s">
        <v>62</v>
      </c>
      <c r="C50" s="74" t="s">
        <v>303</v>
      </c>
      <c r="D50" s="73" t="s">
        <v>218</v>
      </c>
      <c r="E50" s="75">
        <v>1.8298611111111109</v>
      </c>
      <c r="F50" s="73" t="s">
        <v>66</v>
      </c>
      <c r="G50" s="76">
        <v>7</v>
      </c>
      <c r="H50" s="77" t="s">
        <v>305</v>
      </c>
    </row>
    <row r="51" spans="1:8" ht="19.8" customHeight="1" x14ac:dyDescent="0.3">
      <c r="A51" s="70">
        <v>45982</v>
      </c>
      <c r="B51" s="61" t="s">
        <v>285</v>
      </c>
      <c r="C51" s="62" t="s">
        <v>286</v>
      </c>
      <c r="D51" s="61" t="s">
        <v>218</v>
      </c>
      <c r="E51" s="71">
        <v>1.7152777777777779</v>
      </c>
      <c r="F51" s="61" t="s">
        <v>279</v>
      </c>
      <c r="G51" s="63">
        <v>1</v>
      </c>
      <c r="H51" s="64">
        <v>834</v>
      </c>
    </row>
    <row r="52" spans="1:8" ht="19.8" customHeight="1" x14ac:dyDescent="0.3">
      <c r="A52" s="189">
        <v>45982</v>
      </c>
      <c r="B52" s="97" t="s">
        <v>78</v>
      </c>
      <c r="C52" s="98" t="s">
        <v>260</v>
      </c>
      <c r="D52" s="97" t="s">
        <v>218</v>
      </c>
      <c r="E52" s="190">
        <v>1.7361111111111109</v>
      </c>
      <c r="F52" s="97" t="s">
        <v>178</v>
      </c>
      <c r="G52" s="99">
        <v>5</v>
      </c>
      <c r="H52" s="100">
        <v>856</v>
      </c>
    </row>
    <row r="53" spans="1:8" ht="19.8" customHeight="1" x14ac:dyDescent="0.3">
      <c r="A53" s="189">
        <v>45982</v>
      </c>
      <c r="B53" s="97" t="s">
        <v>78</v>
      </c>
      <c r="C53" s="98" t="s">
        <v>263</v>
      </c>
      <c r="D53" s="97" t="s">
        <v>218</v>
      </c>
      <c r="E53" s="190">
        <v>1.114583333333333</v>
      </c>
      <c r="F53" s="97" t="s">
        <v>178</v>
      </c>
      <c r="G53" s="99">
        <v>3</v>
      </c>
      <c r="H53" s="100">
        <v>856</v>
      </c>
    </row>
    <row r="54" spans="1:8" ht="19.8" customHeight="1" x14ac:dyDescent="0.3">
      <c r="A54" s="189">
        <v>45982</v>
      </c>
      <c r="B54" s="97" t="s">
        <v>78</v>
      </c>
      <c r="C54" s="98" t="s">
        <v>272</v>
      </c>
      <c r="D54" s="97" t="s">
        <v>218</v>
      </c>
      <c r="E54" s="190">
        <v>1.614583333333333</v>
      </c>
      <c r="F54" s="97" t="s">
        <v>178</v>
      </c>
      <c r="G54" s="99">
        <v>6</v>
      </c>
      <c r="H54" s="100">
        <v>856</v>
      </c>
    </row>
    <row r="55" spans="1:8" ht="19.8" customHeight="1" x14ac:dyDescent="0.3">
      <c r="A55" s="189">
        <v>45982</v>
      </c>
      <c r="B55" s="97" t="s">
        <v>78</v>
      </c>
      <c r="C55" s="98" t="s">
        <v>267</v>
      </c>
      <c r="D55" s="97" t="s">
        <v>218</v>
      </c>
      <c r="E55" s="190">
        <v>1.458333333333333</v>
      </c>
      <c r="F55" s="97" t="s">
        <v>178</v>
      </c>
      <c r="G55" s="99">
        <v>7</v>
      </c>
      <c r="H55" s="100">
        <v>856</v>
      </c>
    </row>
    <row r="56" spans="1:8" ht="19.8" customHeight="1" x14ac:dyDescent="0.3">
      <c r="A56" s="70">
        <v>45982</v>
      </c>
      <c r="B56" s="61" t="s">
        <v>285</v>
      </c>
      <c r="C56" s="62" t="s">
        <v>319</v>
      </c>
      <c r="D56" s="61" t="s">
        <v>218</v>
      </c>
      <c r="E56" s="71">
        <v>1.416666666666667</v>
      </c>
      <c r="F56" s="61" t="s">
        <v>279</v>
      </c>
      <c r="G56" s="63">
        <v>9</v>
      </c>
      <c r="H56" s="64">
        <v>933</v>
      </c>
    </row>
    <row r="57" spans="1:8" ht="19.8" customHeight="1" x14ac:dyDescent="0.3">
      <c r="A57" s="189">
        <v>45982</v>
      </c>
      <c r="B57" s="97" t="s">
        <v>78</v>
      </c>
      <c r="C57" s="98" t="s">
        <v>257</v>
      </c>
      <c r="D57" s="97" t="s">
        <v>218</v>
      </c>
      <c r="E57" s="190">
        <v>1.319444444444444</v>
      </c>
      <c r="F57" s="97" t="s">
        <v>178</v>
      </c>
      <c r="G57" s="99">
        <v>7</v>
      </c>
      <c r="H57" s="100">
        <v>952</v>
      </c>
    </row>
    <row r="58" spans="1:8" ht="19.8" customHeight="1" x14ac:dyDescent="0.3">
      <c r="A58" s="70">
        <v>45982</v>
      </c>
      <c r="B58" s="61" t="s">
        <v>49</v>
      </c>
      <c r="C58" s="62" t="s">
        <v>311</v>
      </c>
      <c r="D58" s="61" t="s">
        <v>218</v>
      </c>
      <c r="E58" s="71">
        <v>1.229166666666667</v>
      </c>
      <c r="F58" s="61" t="s">
        <v>51</v>
      </c>
      <c r="G58" s="63">
        <v>9</v>
      </c>
      <c r="H58" s="65" t="s">
        <v>334</v>
      </c>
    </row>
    <row r="59" spans="1:8" ht="19.8" customHeight="1" x14ac:dyDescent="0.3">
      <c r="A59" s="70">
        <v>45982</v>
      </c>
      <c r="B59" s="61" t="s">
        <v>49</v>
      </c>
      <c r="C59" s="62" t="s">
        <v>306</v>
      </c>
      <c r="D59" s="61" t="s">
        <v>218</v>
      </c>
      <c r="E59" s="71">
        <v>1.0138888888888891</v>
      </c>
      <c r="F59" s="61" t="s">
        <v>51</v>
      </c>
      <c r="G59" s="63">
        <v>9</v>
      </c>
      <c r="H59" s="65" t="s">
        <v>335</v>
      </c>
    </row>
    <row r="60" spans="1:8" ht="19.8" customHeight="1" x14ac:dyDescent="0.3">
      <c r="A60" s="70">
        <v>45982</v>
      </c>
      <c r="B60" s="61" t="s">
        <v>49</v>
      </c>
      <c r="C60" s="62" t="s">
        <v>313</v>
      </c>
      <c r="D60" s="61" t="s">
        <v>218</v>
      </c>
      <c r="E60" s="71">
        <v>1.791666666666667</v>
      </c>
      <c r="F60" s="61" t="s">
        <v>51</v>
      </c>
      <c r="G60" s="63">
        <v>9</v>
      </c>
      <c r="H60" s="65" t="s">
        <v>292</v>
      </c>
    </row>
    <row r="61" spans="1:8" ht="19.8" customHeight="1" x14ac:dyDescent="0.3">
      <c r="A61" s="70">
        <v>45982</v>
      </c>
      <c r="B61" s="61" t="s">
        <v>49</v>
      </c>
      <c r="C61" s="62" t="s">
        <v>315</v>
      </c>
      <c r="D61" s="61" t="s">
        <v>218</v>
      </c>
      <c r="E61" s="71">
        <v>1.9652777777777779</v>
      </c>
      <c r="F61" s="61" t="s">
        <v>51</v>
      </c>
      <c r="G61" s="63">
        <v>9</v>
      </c>
      <c r="H61" s="65" t="s">
        <v>292</v>
      </c>
    </row>
    <row r="62" spans="1:8" ht="19.8" customHeight="1" x14ac:dyDescent="0.3">
      <c r="A62" s="70">
        <v>45982</v>
      </c>
      <c r="B62" s="61" t="s">
        <v>62</v>
      </c>
      <c r="C62" s="62" t="s">
        <v>287</v>
      </c>
      <c r="D62" s="61" t="s">
        <v>218</v>
      </c>
      <c r="E62" s="71">
        <v>1.1423611111111109</v>
      </c>
      <c r="F62" s="61" t="s">
        <v>64</v>
      </c>
      <c r="G62" s="63">
        <v>9</v>
      </c>
      <c r="H62" s="65" t="s">
        <v>292</v>
      </c>
    </row>
    <row r="63" spans="1:8" ht="19.8" customHeight="1" x14ac:dyDescent="0.3">
      <c r="A63" s="70">
        <v>45982</v>
      </c>
      <c r="B63" s="61" t="s">
        <v>62</v>
      </c>
      <c r="C63" s="62" t="s">
        <v>294</v>
      </c>
      <c r="D63" s="61" t="s">
        <v>218</v>
      </c>
      <c r="E63" s="71">
        <v>1.930555555555556</v>
      </c>
      <c r="F63" s="61" t="s">
        <v>64</v>
      </c>
      <c r="G63" s="63">
        <v>9</v>
      </c>
      <c r="H63" s="65" t="s">
        <v>292</v>
      </c>
    </row>
    <row r="64" spans="1:8" ht="19.8" customHeight="1" x14ac:dyDescent="0.3">
      <c r="A64" s="70">
        <v>45982</v>
      </c>
      <c r="B64" s="61" t="s">
        <v>62</v>
      </c>
      <c r="C64" s="62" t="s">
        <v>336</v>
      </c>
      <c r="D64" s="61" t="s">
        <v>218</v>
      </c>
      <c r="E64" s="71">
        <v>1.71875</v>
      </c>
      <c r="F64" s="61" t="s">
        <v>64</v>
      </c>
      <c r="G64" s="63">
        <v>9</v>
      </c>
      <c r="H64" s="65" t="s">
        <v>292</v>
      </c>
    </row>
    <row r="65" spans="1:8" ht="19.8" customHeight="1" x14ac:dyDescent="0.3">
      <c r="A65" s="70">
        <v>45982</v>
      </c>
      <c r="B65" s="61" t="s">
        <v>62</v>
      </c>
      <c r="C65" s="62" t="s">
        <v>303</v>
      </c>
      <c r="D65" s="61" t="s">
        <v>218</v>
      </c>
      <c r="E65" s="71">
        <v>1.8298611111111109</v>
      </c>
      <c r="F65" s="61" t="s">
        <v>64</v>
      </c>
      <c r="G65" s="63">
        <v>9</v>
      </c>
      <c r="H65" s="65" t="s">
        <v>292</v>
      </c>
    </row>
    <row r="66" spans="1:8" ht="19.8" customHeight="1" x14ac:dyDescent="0.3">
      <c r="A66" s="70">
        <v>45982</v>
      </c>
      <c r="B66" s="61" t="s">
        <v>49</v>
      </c>
      <c r="C66" s="62" t="s">
        <v>316</v>
      </c>
      <c r="D66" s="61" t="s">
        <v>218</v>
      </c>
      <c r="E66" s="71">
        <v>1.145833333333333</v>
      </c>
      <c r="F66" s="61" t="s">
        <v>51</v>
      </c>
      <c r="G66" s="63">
        <v>9</v>
      </c>
      <c r="H66" s="65" t="s">
        <v>292</v>
      </c>
    </row>
    <row r="67" spans="1:8" ht="19.8" customHeight="1" x14ac:dyDescent="0.3">
      <c r="A67" s="70">
        <v>45982</v>
      </c>
      <c r="B67" s="61" t="s">
        <v>49</v>
      </c>
      <c r="C67" s="62" t="s">
        <v>317</v>
      </c>
      <c r="D67" s="61" t="s">
        <v>218</v>
      </c>
      <c r="E67" s="71">
        <v>1.2777777777777779</v>
      </c>
      <c r="F67" s="61" t="s">
        <v>51</v>
      </c>
      <c r="G67" s="63">
        <v>9</v>
      </c>
      <c r="H67" s="65" t="s">
        <v>292</v>
      </c>
    </row>
    <row r="68" spans="1:8" ht="19.8" customHeight="1" x14ac:dyDescent="0.3">
      <c r="A68" s="70">
        <v>45982</v>
      </c>
      <c r="B68" s="61" t="s">
        <v>62</v>
      </c>
      <c r="C68" s="62" t="s">
        <v>290</v>
      </c>
      <c r="D68" s="61" t="s">
        <v>218</v>
      </c>
      <c r="E68" s="71">
        <v>1.239583333333333</v>
      </c>
      <c r="F68" s="61" t="s">
        <v>64</v>
      </c>
      <c r="G68" s="63">
        <v>9</v>
      </c>
      <c r="H68" s="65" t="s">
        <v>292</v>
      </c>
    </row>
    <row r="69" spans="1:8" ht="19.8" customHeight="1" x14ac:dyDescent="0.3">
      <c r="A69" s="70">
        <v>45982</v>
      </c>
      <c r="B69" s="61" t="s">
        <v>62</v>
      </c>
      <c r="C69" s="62" t="s">
        <v>287</v>
      </c>
      <c r="D69" s="61" t="s">
        <v>218</v>
      </c>
      <c r="E69" s="71">
        <v>1.1423611111111109</v>
      </c>
      <c r="F69" s="61" t="s">
        <v>66</v>
      </c>
      <c r="G69" s="63">
        <v>9</v>
      </c>
      <c r="H69" s="65" t="s">
        <v>293</v>
      </c>
    </row>
    <row r="70" spans="1:8" ht="19.8" customHeight="1" x14ac:dyDescent="0.3">
      <c r="A70" s="70">
        <v>45982</v>
      </c>
      <c r="B70" s="61" t="s">
        <v>62</v>
      </c>
      <c r="C70" s="62" t="s">
        <v>294</v>
      </c>
      <c r="D70" s="61" t="s">
        <v>218</v>
      </c>
      <c r="E70" s="71">
        <v>1.930555555555556</v>
      </c>
      <c r="F70" s="61" t="s">
        <v>66</v>
      </c>
      <c r="G70" s="63">
        <v>9</v>
      </c>
      <c r="H70" s="65" t="s">
        <v>293</v>
      </c>
    </row>
    <row r="71" spans="1:8" ht="19.8" customHeight="1" x14ac:dyDescent="0.3">
      <c r="A71" s="70">
        <v>45982</v>
      </c>
      <c r="B71" s="61" t="s">
        <v>62</v>
      </c>
      <c r="C71" s="62" t="s">
        <v>336</v>
      </c>
      <c r="D71" s="61" t="s">
        <v>218</v>
      </c>
      <c r="E71" s="71">
        <v>1.71875</v>
      </c>
      <c r="F71" s="61" t="s">
        <v>66</v>
      </c>
      <c r="G71" s="63">
        <v>9</v>
      </c>
      <c r="H71" s="65" t="s">
        <v>293</v>
      </c>
    </row>
    <row r="72" spans="1:8" ht="19.8" customHeight="1" x14ac:dyDescent="0.3">
      <c r="A72" s="70">
        <v>45982</v>
      </c>
      <c r="B72" s="61" t="s">
        <v>62</v>
      </c>
      <c r="C72" s="62" t="s">
        <v>303</v>
      </c>
      <c r="D72" s="61" t="s">
        <v>218</v>
      </c>
      <c r="E72" s="71">
        <v>1.8298611111111109</v>
      </c>
      <c r="F72" s="61" t="s">
        <v>66</v>
      </c>
      <c r="G72" s="63">
        <v>9</v>
      </c>
      <c r="H72" s="65" t="s">
        <v>293</v>
      </c>
    </row>
    <row r="73" spans="1:8" ht="19.8" customHeight="1" x14ac:dyDescent="0.3">
      <c r="A73" s="70">
        <v>45982</v>
      </c>
      <c r="B73" s="61" t="s">
        <v>62</v>
      </c>
      <c r="C73" s="62" t="s">
        <v>290</v>
      </c>
      <c r="D73" s="61" t="s">
        <v>218</v>
      </c>
      <c r="E73" s="71">
        <v>1.239583333333333</v>
      </c>
      <c r="F73" s="61" t="s">
        <v>66</v>
      </c>
      <c r="G73" s="63">
        <v>9</v>
      </c>
      <c r="H73" s="65" t="s">
        <v>293</v>
      </c>
    </row>
    <row r="74" spans="1:8" ht="19.8" customHeight="1" x14ac:dyDescent="0.3">
      <c r="A74" s="70">
        <v>45982</v>
      </c>
      <c r="B74" s="61" t="s">
        <v>62</v>
      </c>
      <c r="C74" s="62" t="s">
        <v>300</v>
      </c>
      <c r="D74" s="61" t="s">
        <v>218</v>
      </c>
      <c r="E74" s="71">
        <v>1.302083333333333</v>
      </c>
      <c r="F74" s="61" t="s">
        <v>66</v>
      </c>
      <c r="G74" s="63">
        <v>4</v>
      </c>
      <c r="H74" s="65" t="s">
        <v>337</v>
      </c>
    </row>
    <row r="75" spans="1:8" ht="19.8" customHeight="1" x14ac:dyDescent="0.3">
      <c r="A75" s="70">
        <v>45982</v>
      </c>
      <c r="B75" s="61" t="s">
        <v>62</v>
      </c>
      <c r="C75" s="62" t="s">
        <v>301</v>
      </c>
      <c r="D75" s="61" t="s">
        <v>218</v>
      </c>
      <c r="E75" s="71">
        <v>1.1284722222222221</v>
      </c>
      <c r="F75" s="61" t="s">
        <v>66</v>
      </c>
      <c r="G75" s="63">
        <v>4</v>
      </c>
      <c r="H75" s="65" t="s">
        <v>337</v>
      </c>
    </row>
    <row r="76" spans="1:8" ht="19.8" customHeight="1" x14ac:dyDescent="0.3">
      <c r="A76" s="70">
        <v>45982</v>
      </c>
      <c r="B76" s="61" t="s">
        <v>62</v>
      </c>
      <c r="C76" s="62" t="s">
        <v>302</v>
      </c>
      <c r="D76" s="61" t="s">
        <v>218</v>
      </c>
      <c r="E76" s="71">
        <v>1.788194444444444</v>
      </c>
      <c r="F76" s="61" t="s">
        <v>66</v>
      </c>
      <c r="G76" s="63">
        <v>4</v>
      </c>
      <c r="H76" s="65" t="s">
        <v>337</v>
      </c>
    </row>
    <row r="77" spans="1:8" ht="19.8" customHeight="1" x14ac:dyDescent="0.3">
      <c r="A77" s="70">
        <v>45982</v>
      </c>
      <c r="B77" s="61" t="s">
        <v>62</v>
      </c>
      <c r="C77" s="62" t="s">
        <v>298</v>
      </c>
      <c r="D77" s="61" t="s">
        <v>218</v>
      </c>
      <c r="E77" s="71">
        <v>1.8888888888888891</v>
      </c>
      <c r="F77" s="61" t="s">
        <v>66</v>
      </c>
      <c r="G77" s="63">
        <v>4</v>
      </c>
      <c r="H77" s="65" t="s">
        <v>337</v>
      </c>
    </row>
    <row r="78" spans="1:8" ht="19.8" customHeight="1" x14ac:dyDescent="0.3">
      <c r="A78" s="70">
        <v>45982</v>
      </c>
      <c r="B78" s="61" t="s">
        <v>62</v>
      </c>
      <c r="C78" s="62" t="s">
        <v>291</v>
      </c>
      <c r="D78" s="61" t="s">
        <v>218</v>
      </c>
      <c r="E78" s="71">
        <v>1.006944444444444</v>
      </c>
      <c r="F78" s="61" t="s">
        <v>64</v>
      </c>
      <c r="G78" s="63">
        <v>9</v>
      </c>
      <c r="H78" s="65" t="s">
        <v>295</v>
      </c>
    </row>
    <row r="79" spans="1:8" ht="19.8" customHeight="1" x14ac:dyDescent="0.3">
      <c r="A79" s="70">
        <v>45982</v>
      </c>
      <c r="B79" s="61" t="s">
        <v>62</v>
      </c>
      <c r="C79" s="62" t="s">
        <v>297</v>
      </c>
      <c r="D79" s="61" t="s">
        <v>218</v>
      </c>
      <c r="E79" s="71">
        <v>1.3784722222222221</v>
      </c>
      <c r="F79" s="61" t="s">
        <v>64</v>
      </c>
      <c r="G79" s="63">
        <v>9</v>
      </c>
      <c r="H79" s="65" t="s">
        <v>295</v>
      </c>
    </row>
    <row r="80" spans="1:8" ht="19.8" customHeight="1" x14ac:dyDescent="0.3">
      <c r="A80" s="70">
        <v>45982</v>
      </c>
      <c r="B80" s="61" t="s">
        <v>62</v>
      </c>
      <c r="C80" s="62" t="s">
        <v>338</v>
      </c>
      <c r="D80" s="61" t="s">
        <v>218</v>
      </c>
      <c r="E80" s="71">
        <v>1.6111111111111109</v>
      </c>
      <c r="F80" s="61" t="s">
        <v>64</v>
      </c>
      <c r="G80" s="63">
        <v>9</v>
      </c>
      <c r="H80" s="65" t="s">
        <v>295</v>
      </c>
    </row>
    <row r="81" spans="1:8" ht="19.8" customHeight="1" x14ac:dyDescent="0.3">
      <c r="A81" s="70">
        <v>45982</v>
      </c>
      <c r="B81" s="61" t="s">
        <v>62</v>
      </c>
      <c r="C81" s="62" t="s">
        <v>291</v>
      </c>
      <c r="D81" s="61" t="s">
        <v>218</v>
      </c>
      <c r="E81" s="71">
        <v>1.006944444444444</v>
      </c>
      <c r="F81" s="61" t="s">
        <v>66</v>
      </c>
      <c r="G81" s="63">
        <v>9</v>
      </c>
      <c r="H81" s="65" t="s">
        <v>296</v>
      </c>
    </row>
    <row r="82" spans="1:8" ht="19.8" customHeight="1" x14ac:dyDescent="0.3">
      <c r="A82" s="70">
        <v>45982</v>
      </c>
      <c r="B82" s="61" t="s">
        <v>62</v>
      </c>
      <c r="C82" s="62" t="s">
        <v>297</v>
      </c>
      <c r="D82" s="61" t="s">
        <v>218</v>
      </c>
      <c r="E82" s="71">
        <v>1.3784722222222221</v>
      </c>
      <c r="F82" s="61" t="s">
        <v>66</v>
      </c>
      <c r="G82" s="63">
        <v>9</v>
      </c>
      <c r="H82" s="65" t="s">
        <v>296</v>
      </c>
    </row>
    <row r="83" spans="1:8" ht="19.8" customHeight="1" x14ac:dyDescent="0.3">
      <c r="A83" s="70">
        <v>45982</v>
      </c>
      <c r="B83" s="61" t="s">
        <v>62</v>
      </c>
      <c r="C83" s="62" t="s">
        <v>338</v>
      </c>
      <c r="D83" s="61" t="s">
        <v>218</v>
      </c>
      <c r="E83" s="71">
        <v>1.6111111111111109</v>
      </c>
      <c r="F83" s="61" t="s">
        <v>66</v>
      </c>
      <c r="G83" s="63">
        <v>9</v>
      </c>
      <c r="H83" s="65" t="s">
        <v>296</v>
      </c>
    </row>
    <row r="84" spans="1:8" ht="19.8" customHeight="1" x14ac:dyDescent="0.3">
      <c r="A84" s="70">
        <v>45982</v>
      </c>
      <c r="B84" s="61" t="s">
        <v>49</v>
      </c>
      <c r="C84" s="62" t="s">
        <v>308</v>
      </c>
      <c r="D84" s="61" t="s">
        <v>218</v>
      </c>
      <c r="E84" s="71">
        <v>1.506944444444444</v>
      </c>
      <c r="F84" s="61" t="s">
        <v>51</v>
      </c>
      <c r="G84" s="63">
        <v>9</v>
      </c>
      <c r="H84" s="65" t="s">
        <v>314</v>
      </c>
    </row>
    <row r="85" spans="1:8" ht="19.8" customHeight="1" x14ac:dyDescent="0.3">
      <c r="A85" s="78">
        <v>45982</v>
      </c>
      <c r="B85" s="67" t="s">
        <v>78</v>
      </c>
      <c r="C85" s="68" t="s">
        <v>332</v>
      </c>
      <c r="D85" s="67" t="s">
        <v>218</v>
      </c>
      <c r="E85" s="79">
        <v>1.9375</v>
      </c>
      <c r="F85" s="67" t="s">
        <v>80</v>
      </c>
      <c r="G85" s="67"/>
      <c r="H85" s="69" t="s">
        <v>81</v>
      </c>
    </row>
    <row r="86" spans="1:8" ht="19.8" customHeight="1" x14ac:dyDescent="0.3">
      <c r="A86" s="70">
        <v>45983</v>
      </c>
      <c r="B86" s="61" t="s">
        <v>285</v>
      </c>
      <c r="C86" s="62" t="s">
        <v>286</v>
      </c>
      <c r="D86" s="61" t="s">
        <v>218</v>
      </c>
      <c r="E86" s="71">
        <v>1.666666666666667</v>
      </c>
      <c r="F86" s="61" t="s">
        <v>279</v>
      </c>
      <c r="G86" s="63">
        <v>9</v>
      </c>
      <c r="H86" s="64">
        <v>834</v>
      </c>
    </row>
    <row r="87" spans="1:8" ht="19.8" customHeight="1" x14ac:dyDescent="0.3">
      <c r="A87" s="70">
        <v>45983</v>
      </c>
      <c r="B87" s="61" t="s">
        <v>277</v>
      </c>
      <c r="C87" s="62" t="s">
        <v>282</v>
      </c>
      <c r="D87" s="61" t="s">
        <v>218</v>
      </c>
      <c r="E87" s="71">
        <v>1.270833333333333</v>
      </c>
      <c r="F87" s="61" t="s">
        <v>279</v>
      </c>
      <c r="G87" s="63">
        <v>1</v>
      </c>
      <c r="H87" s="64">
        <v>835</v>
      </c>
    </row>
    <row r="88" spans="1:8" ht="19.8" customHeight="1" x14ac:dyDescent="0.3">
      <c r="A88" s="70">
        <v>45983</v>
      </c>
      <c r="B88" s="61" t="s">
        <v>62</v>
      </c>
      <c r="C88" s="62" t="s">
        <v>291</v>
      </c>
      <c r="D88" s="61" t="s">
        <v>218</v>
      </c>
      <c r="E88" s="71">
        <v>1.006944444444444</v>
      </c>
      <c r="F88" s="61" t="s">
        <v>64</v>
      </c>
      <c r="G88" s="63">
        <v>9</v>
      </c>
      <c r="H88" s="65" t="s">
        <v>288</v>
      </c>
    </row>
    <row r="89" spans="1:8" ht="19.8" customHeight="1" x14ac:dyDescent="0.3">
      <c r="A89" s="70">
        <v>45983</v>
      </c>
      <c r="B89" s="61" t="s">
        <v>62</v>
      </c>
      <c r="C89" s="62" t="s">
        <v>287</v>
      </c>
      <c r="D89" s="61" t="s">
        <v>218</v>
      </c>
      <c r="E89" s="71">
        <v>1.1423611111111109</v>
      </c>
      <c r="F89" s="61" t="s">
        <v>64</v>
      </c>
      <c r="G89" s="63">
        <v>9</v>
      </c>
      <c r="H89" s="65" t="s">
        <v>288</v>
      </c>
    </row>
    <row r="90" spans="1:8" ht="19.8" customHeight="1" x14ac:dyDescent="0.3">
      <c r="A90" s="70">
        <v>45983</v>
      </c>
      <c r="B90" s="61" t="s">
        <v>62</v>
      </c>
      <c r="C90" s="62" t="s">
        <v>294</v>
      </c>
      <c r="D90" s="61" t="s">
        <v>218</v>
      </c>
      <c r="E90" s="71">
        <v>1.930555555555556</v>
      </c>
      <c r="F90" s="61" t="s">
        <v>64</v>
      </c>
      <c r="G90" s="63">
        <v>9</v>
      </c>
      <c r="H90" s="65" t="s">
        <v>288</v>
      </c>
    </row>
    <row r="91" spans="1:8" ht="19.8" customHeight="1" x14ac:dyDescent="0.3">
      <c r="A91" s="70">
        <v>45983</v>
      </c>
      <c r="B91" s="61" t="s">
        <v>62</v>
      </c>
      <c r="C91" s="62" t="s">
        <v>290</v>
      </c>
      <c r="D91" s="61" t="s">
        <v>218</v>
      </c>
      <c r="E91" s="71">
        <v>1.243055555555556</v>
      </c>
      <c r="F91" s="61" t="s">
        <v>64</v>
      </c>
      <c r="G91" s="63">
        <v>9</v>
      </c>
      <c r="H91" s="65" t="s">
        <v>288</v>
      </c>
    </row>
    <row r="92" spans="1:8" ht="19.8" customHeight="1" x14ac:dyDescent="0.3">
      <c r="A92" s="70">
        <v>45983</v>
      </c>
      <c r="B92" s="61" t="s">
        <v>49</v>
      </c>
      <c r="C92" s="62" t="s">
        <v>311</v>
      </c>
      <c r="D92" s="61" t="s">
        <v>218</v>
      </c>
      <c r="E92" s="71">
        <v>1.229166666666667</v>
      </c>
      <c r="F92" s="61" t="s">
        <v>51</v>
      </c>
      <c r="G92" s="63">
        <v>9</v>
      </c>
      <c r="H92" s="65" t="s">
        <v>307</v>
      </c>
    </row>
    <row r="93" spans="1:8" ht="19.8" customHeight="1" x14ac:dyDescent="0.3">
      <c r="A93" s="70">
        <v>45983</v>
      </c>
      <c r="B93" s="61" t="s">
        <v>62</v>
      </c>
      <c r="C93" s="62" t="s">
        <v>291</v>
      </c>
      <c r="D93" s="61" t="s">
        <v>218</v>
      </c>
      <c r="E93" s="71">
        <v>1.006944444444444</v>
      </c>
      <c r="F93" s="61" t="s">
        <v>66</v>
      </c>
      <c r="G93" s="63">
        <v>9</v>
      </c>
      <c r="H93" s="65" t="s">
        <v>289</v>
      </c>
    </row>
    <row r="94" spans="1:8" ht="19.8" customHeight="1" x14ac:dyDescent="0.3">
      <c r="A94" s="70">
        <v>45983</v>
      </c>
      <c r="B94" s="61" t="s">
        <v>62</v>
      </c>
      <c r="C94" s="62" t="s">
        <v>287</v>
      </c>
      <c r="D94" s="61" t="s">
        <v>218</v>
      </c>
      <c r="E94" s="71">
        <v>1.1423611111111109</v>
      </c>
      <c r="F94" s="61" t="s">
        <v>66</v>
      </c>
      <c r="G94" s="63">
        <v>9</v>
      </c>
      <c r="H94" s="65" t="s">
        <v>289</v>
      </c>
    </row>
    <row r="95" spans="1:8" ht="19.8" customHeight="1" x14ac:dyDescent="0.3">
      <c r="A95" s="70">
        <v>45983</v>
      </c>
      <c r="B95" s="61" t="s">
        <v>62</v>
      </c>
      <c r="C95" s="62" t="s">
        <v>294</v>
      </c>
      <c r="D95" s="61" t="s">
        <v>218</v>
      </c>
      <c r="E95" s="71">
        <v>1.930555555555556</v>
      </c>
      <c r="F95" s="61" t="s">
        <v>66</v>
      </c>
      <c r="G95" s="63">
        <v>9</v>
      </c>
      <c r="H95" s="65" t="s">
        <v>289</v>
      </c>
    </row>
    <row r="96" spans="1:8" ht="19.8" customHeight="1" x14ac:dyDescent="0.3">
      <c r="A96" s="70">
        <v>45983</v>
      </c>
      <c r="B96" s="61" t="s">
        <v>62</v>
      </c>
      <c r="C96" s="62" t="s">
        <v>290</v>
      </c>
      <c r="D96" s="61" t="s">
        <v>218</v>
      </c>
      <c r="E96" s="71">
        <v>1.243055555555556</v>
      </c>
      <c r="F96" s="61" t="s">
        <v>66</v>
      </c>
      <c r="G96" s="63">
        <v>9</v>
      </c>
      <c r="H96" s="65" t="s">
        <v>289</v>
      </c>
    </row>
    <row r="97" spans="1:8" ht="19.8" customHeight="1" x14ac:dyDescent="0.3">
      <c r="A97" s="70">
        <v>45983</v>
      </c>
      <c r="B97" s="61" t="s">
        <v>49</v>
      </c>
      <c r="C97" s="62" t="s">
        <v>317</v>
      </c>
      <c r="D97" s="61" t="s">
        <v>218</v>
      </c>
      <c r="E97" s="71">
        <v>1.2777777777777779</v>
      </c>
      <c r="F97" s="61" t="s">
        <v>51</v>
      </c>
      <c r="G97" s="63">
        <v>9</v>
      </c>
      <c r="H97" s="65" t="s">
        <v>309</v>
      </c>
    </row>
    <row r="98" spans="1:8" ht="19.8" customHeight="1" x14ac:dyDescent="0.3">
      <c r="A98" s="70">
        <v>45983</v>
      </c>
      <c r="B98" s="61" t="s">
        <v>62</v>
      </c>
      <c r="C98" s="62" t="s">
        <v>336</v>
      </c>
      <c r="D98" s="61" t="s">
        <v>218</v>
      </c>
      <c r="E98" s="71">
        <v>1.71875</v>
      </c>
      <c r="F98" s="61" t="s">
        <v>64</v>
      </c>
      <c r="G98" s="63">
        <v>9</v>
      </c>
      <c r="H98" s="65" t="s">
        <v>292</v>
      </c>
    </row>
    <row r="99" spans="1:8" ht="19.8" customHeight="1" x14ac:dyDescent="0.3">
      <c r="A99" s="70">
        <v>45983</v>
      </c>
      <c r="B99" s="61" t="s">
        <v>62</v>
      </c>
      <c r="C99" s="62" t="s">
        <v>297</v>
      </c>
      <c r="D99" s="61" t="s">
        <v>218</v>
      </c>
      <c r="E99" s="71">
        <v>1.3784722222222221</v>
      </c>
      <c r="F99" s="61" t="s">
        <v>64</v>
      </c>
      <c r="G99" s="63">
        <v>9</v>
      </c>
      <c r="H99" s="65" t="s">
        <v>292</v>
      </c>
    </row>
    <row r="100" spans="1:8" ht="19.8" customHeight="1" x14ac:dyDescent="0.3">
      <c r="A100" s="70">
        <v>45983</v>
      </c>
      <c r="B100" s="61" t="s">
        <v>62</v>
      </c>
      <c r="C100" s="62" t="s">
        <v>338</v>
      </c>
      <c r="D100" s="61" t="s">
        <v>218</v>
      </c>
      <c r="E100" s="71">
        <v>1.6111111111111109</v>
      </c>
      <c r="F100" s="61" t="s">
        <v>64</v>
      </c>
      <c r="G100" s="63">
        <v>9</v>
      </c>
      <c r="H100" s="65" t="s">
        <v>292</v>
      </c>
    </row>
    <row r="101" spans="1:8" ht="19.8" customHeight="1" x14ac:dyDescent="0.3">
      <c r="A101" s="70">
        <v>45983</v>
      </c>
      <c r="B101" s="61" t="s">
        <v>49</v>
      </c>
      <c r="C101" s="62" t="s">
        <v>306</v>
      </c>
      <c r="D101" s="61" t="s">
        <v>218</v>
      </c>
      <c r="E101" s="71">
        <v>1.0138888888888891</v>
      </c>
      <c r="F101" s="61" t="s">
        <v>51</v>
      </c>
      <c r="G101" s="63">
        <v>9</v>
      </c>
      <c r="H101" s="65" t="s">
        <v>312</v>
      </c>
    </row>
    <row r="102" spans="1:8" ht="19.8" customHeight="1" x14ac:dyDescent="0.3">
      <c r="A102" s="70">
        <v>45983</v>
      </c>
      <c r="B102" s="61" t="s">
        <v>62</v>
      </c>
      <c r="C102" s="62" t="s">
        <v>336</v>
      </c>
      <c r="D102" s="61" t="s">
        <v>218</v>
      </c>
      <c r="E102" s="71">
        <v>1.71875</v>
      </c>
      <c r="F102" s="61" t="s">
        <v>66</v>
      </c>
      <c r="G102" s="63">
        <v>9</v>
      </c>
      <c r="H102" s="65" t="s">
        <v>293</v>
      </c>
    </row>
    <row r="103" spans="1:8" ht="19.8" customHeight="1" x14ac:dyDescent="0.3">
      <c r="A103" s="70">
        <v>45983</v>
      </c>
      <c r="B103" s="61" t="s">
        <v>62</v>
      </c>
      <c r="C103" s="62" t="s">
        <v>297</v>
      </c>
      <c r="D103" s="61" t="s">
        <v>218</v>
      </c>
      <c r="E103" s="71">
        <v>1.3784722222222221</v>
      </c>
      <c r="F103" s="61" t="s">
        <v>66</v>
      </c>
      <c r="G103" s="63">
        <v>9</v>
      </c>
      <c r="H103" s="65" t="s">
        <v>293</v>
      </c>
    </row>
    <row r="104" spans="1:8" ht="19.8" customHeight="1" x14ac:dyDescent="0.3">
      <c r="A104" s="70">
        <v>45983</v>
      </c>
      <c r="B104" s="61" t="s">
        <v>62</v>
      </c>
      <c r="C104" s="62" t="s">
        <v>338</v>
      </c>
      <c r="D104" s="61" t="s">
        <v>218</v>
      </c>
      <c r="E104" s="71">
        <v>1.6111111111111109</v>
      </c>
      <c r="F104" s="61" t="s">
        <v>66</v>
      </c>
      <c r="G104" s="63">
        <v>9</v>
      </c>
      <c r="H104" s="65" t="s">
        <v>293</v>
      </c>
    </row>
    <row r="105" spans="1:8" ht="19.8" customHeight="1" x14ac:dyDescent="0.3">
      <c r="A105" s="70">
        <v>45983</v>
      </c>
      <c r="B105" s="61" t="s">
        <v>62</v>
      </c>
      <c r="C105" s="62" t="s">
        <v>300</v>
      </c>
      <c r="D105" s="61" t="s">
        <v>218</v>
      </c>
      <c r="E105" s="71">
        <v>1.302083333333333</v>
      </c>
      <c r="F105" s="61" t="s">
        <v>66</v>
      </c>
      <c r="G105" s="63">
        <v>4</v>
      </c>
      <c r="H105" s="65" t="s">
        <v>337</v>
      </c>
    </row>
    <row r="106" spans="1:8" ht="19.8" customHeight="1" x14ac:dyDescent="0.3">
      <c r="A106" s="70">
        <v>45983</v>
      </c>
      <c r="B106" s="61" t="s">
        <v>62</v>
      </c>
      <c r="C106" s="62" t="s">
        <v>301</v>
      </c>
      <c r="D106" s="61" t="s">
        <v>218</v>
      </c>
      <c r="E106" s="71">
        <v>1.1284722222222221</v>
      </c>
      <c r="F106" s="61" t="s">
        <v>66</v>
      </c>
      <c r="G106" s="63">
        <v>4</v>
      </c>
      <c r="H106" s="65" t="s">
        <v>337</v>
      </c>
    </row>
    <row r="107" spans="1:8" ht="19.8" customHeight="1" x14ac:dyDescent="0.3">
      <c r="A107" s="70">
        <v>45983</v>
      </c>
      <c r="B107" s="61" t="s">
        <v>62</v>
      </c>
      <c r="C107" s="62" t="s">
        <v>298</v>
      </c>
      <c r="D107" s="61" t="s">
        <v>218</v>
      </c>
      <c r="E107" s="71">
        <v>1.8888888888888891</v>
      </c>
      <c r="F107" s="61" t="s">
        <v>66</v>
      </c>
      <c r="G107" s="63">
        <v>4</v>
      </c>
      <c r="H107" s="65" t="s">
        <v>337</v>
      </c>
    </row>
    <row r="108" spans="1:8" ht="19.8" customHeight="1" x14ac:dyDescent="0.3">
      <c r="A108" s="70">
        <v>45983</v>
      </c>
      <c r="B108" s="61" t="s">
        <v>62</v>
      </c>
      <c r="C108" s="62" t="s">
        <v>303</v>
      </c>
      <c r="D108" s="61" t="s">
        <v>218</v>
      </c>
      <c r="E108" s="71">
        <v>1.8298611111111109</v>
      </c>
      <c r="F108" s="61" t="s">
        <v>64</v>
      </c>
      <c r="G108" s="63">
        <v>9</v>
      </c>
      <c r="H108" s="65" t="s">
        <v>295</v>
      </c>
    </row>
    <row r="109" spans="1:8" ht="19.8" customHeight="1" x14ac:dyDescent="0.3">
      <c r="A109" s="70">
        <v>45983</v>
      </c>
      <c r="B109" s="61" t="s">
        <v>62</v>
      </c>
      <c r="C109" s="62" t="s">
        <v>302</v>
      </c>
      <c r="D109" s="61" t="s">
        <v>218</v>
      </c>
      <c r="E109" s="71">
        <v>1.788194444444444</v>
      </c>
      <c r="F109" s="61" t="s">
        <v>66</v>
      </c>
      <c r="G109" s="63">
        <v>4</v>
      </c>
      <c r="H109" s="65" t="s">
        <v>299</v>
      </c>
    </row>
    <row r="110" spans="1:8" ht="19.8" customHeight="1" x14ac:dyDescent="0.3">
      <c r="A110" s="70">
        <v>45983</v>
      </c>
      <c r="B110" s="61" t="s">
        <v>62</v>
      </c>
      <c r="C110" s="62" t="s">
        <v>303</v>
      </c>
      <c r="D110" s="61" t="s">
        <v>218</v>
      </c>
      <c r="E110" s="71">
        <v>1.8298611111111109</v>
      </c>
      <c r="F110" s="61" t="s">
        <v>66</v>
      </c>
      <c r="G110" s="63">
        <v>9</v>
      </c>
      <c r="H110" s="65" t="s">
        <v>296</v>
      </c>
    </row>
    <row r="111" spans="1:8" ht="19.8" customHeight="1" x14ac:dyDescent="0.3">
      <c r="A111" s="70">
        <v>45983</v>
      </c>
      <c r="B111" s="61" t="s">
        <v>49</v>
      </c>
      <c r="C111" s="62" t="s">
        <v>313</v>
      </c>
      <c r="D111" s="61" t="s">
        <v>218</v>
      </c>
      <c r="E111" s="71">
        <v>1.770833333333333</v>
      </c>
      <c r="F111" s="61" t="s">
        <v>51</v>
      </c>
      <c r="G111" s="63">
        <v>4</v>
      </c>
      <c r="H111" s="65" t="s">
        <v>314</v>
      </c>
    </row>
    <row r="112" spans="1:8" ht="19.8" customHeight="1" x14ac:dyDescent="0.3">
      <c r="A112" s="70">
        <v>45983</v>
      </c>
      <c r="B112" s="61" t="s">
        <v>49</v>
      </c>
      <c r="C112" s="62" t="s">
        <v>316</v>
      </c>
      <c r="D112" s="61" t="s">
        <v>218</v>
      </c>
      <c r="E112" s="71">
        <v>1.145833333333333</v>
      </c>
      <c r="F112" s="61" t="s">
        <v>51</v>
      </c>
      <c r="G112" s="63">
        <v>2</v>
      </c>
      <c r="H112" s="65" t="s">
        <v>314</v>
      </c>
    </row>
    <row r="113" spans="1:8" ht="19.8" customHeight="1" x14ac:dyDescent="0.3">
      <c r="A113" s="70">
        <v>45983</v>
      </c>
      <c r="B113" s="61" t="s">
        <v>49</v>
      </c>
      <c r="C113" s="62" t="s">
        <v>308</v>
      </c>
      <c r="D113" s="61" t="s">
        <v>218</v>
      </c>
      <c r="E113" s="71">
        <v>1.4861111111111109</v>
      </c>
      <c r="F113" s="61" t="s">
        <v>51</v>
      </c>
      <c r="G113" s="63">
        <v>6</v>
      </c>
      <c r="H113" s="65" t="s">
        <v>314</v>
      </c>
    </row>
    <row r="114" spans="1:8" ht="19.8" customHeight="1" x14ac:dyDescent="0.3">
      <c r="A114" s="70">
        <v>45983</v>
      </c>
      <c r="B114" s="61" t="s">
        <v>49</v>
      </c>
      <c r="C114" s="62" t="s">
        <v>310</v>
      </c>
      <c r="D114" s="61" t="s">
        <v>218</v>
      </c>
      <c r="E114" s="71">
        <v>1.541666666666667</v>
      </c>
      <c r="F114" s="61" t="s">
        <v>51</v>
      </c>
      <c r="G114" s="63">
        <v>6</v>
      </c>
      <c r="H114" s="65" t="s">
        <v>314</v>
      </c>
    </row>
    <row r="115" spans="1:8" ht="19.8" customHeight="1" x14ac:dyDescent="0.3">
      <c r="A115" s="189">
        <v>45983</v>
      </c>
      <c r="B115" s="97" t="s">
        <v>78</v>
      </c>
      <c r="C115" s="98" t="s">
        <v>249</v>
      </c>
      <c r="D115" s="97" t="s">
        <v>218</v>
      </c>
      <c r="E115" s="190">
        <v>1.2361111111111109</v>
      </c>
      <c r="F115" s="97" t="s">
        <v>80</v>
      </c>
      <c r="G115" s="97"/>
      <c r="H115" s="117" t="s">
        <v>81</v>
      </c>
    </row>
    <row r="116" spans="1:8" ht="19.8" customHeight="1" x14ac:dyDescent="0.3">
      <c r="A116" s="189">
        <v>45983</v>
      </c>
      <c r="B116" s="97" t="s">
        <v>78</v>
      </c>
      <c r="C116" s="98" t="s">
        <v>258</v>
      </c>
      <c r="D116" s="97" t="s">
        <v>218</v>
      </c>
      <c r="E116" s="190">
        <v>1.333333333333333</v>
      </c>
      <c r="F116" s="97" t="s">
        <v>80</v>
      </c>
      <c r="G116" s="97"/>
      <c r="H116" s="117" t="s">
        <v>81</v>
      </c>
    </row>
    <row r="117" spans="1:8" ht="19.8" customHeight="1" x14ac:dyDescent="0.3">
      <c r="A117" s="78">
        <v>45983</v>
      </c>
      <c r="B117" s="67" t="s">
        <v>78</v>
      </c>
      <c r="C117" s="68" t="s">
        <v>269</v>
      </c>
      <c r="D117" s="67" t="s">
        <v>218</v>
      </c>
      <c r="E117" s="79">
        <v>1.680555555555556</v>
      </c>
      <c r="F117" s="67" t="s">
        <v>80</v>
      </c>
      <c r="G117" s="67"/>
      <c r="H117" s="69" t="s">
        <v>81</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3.2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96" t="s">
        <v>162</v>
      </c>
      <c r="B2" s="97" t="s">
        <v>78</v>
      </c>
      <c r="C2" s="98" t="s">
        <v>248</v>
      </c>
      <c r="D2" s="97" t="s">
        <v>218</v>
      </c>
      <c r="E2" s="97" t="s">
        <v>356</v>
      </c>
      <c r="F2" s="97" t="s">
        <v>178</v>
      </c>
      <c r="G2" s="99">
        <v>2</v>
      </c>
      <c r="H2" s="100">
        <v>706</v>
      </c>
    </row>
    <row r="3" spans="1:8" ht="19.8" customHeight="1" x14ac:dyDescent="0.3">
      <c r="A3" s="70">
        <v>45981</v>
      </c>
      <c r="B3" s="61" t="s">
        <v>243</v>
      </c>
      <c r="C3" s="62" t="s">
        <v>244</v>
      </c>
      <c r="D3" s="61" t="s">
        <v>218</v>
      </c>
      <c r="E3" s="71">
        <v>1.3298611111111109</v>
      </c>
      <c r="F3" s="61" t="s">
        <v>245</v>
      </c>
      <c r="G3" s="63">
        <v>9</v>
      </c>
      <c r="H3" s="64">
        <v>706</v>
      </c>
    </row>
    <row r="4" spans="1:8" ht="19.8" customHeight="1" x14ac:dyDescent="0.3">
      <c r="A4" s="70">
        <v>45981</v>
      </c>
      <c r="B4" s="61" t="s">
        <v>277</v>
      </c>
      <c r="C4" s="62" t="s">
        <v>278</v>
      </c>
      <c r="D4" s="61" t="s">
        <v>218</v>
      </c>
      <c r="E4" s="71">
        <v>1.59375</v>
      </c>
      <c r="F4" s="61" t="s">
        <v>279</v>
      </c>
      <c r="G4" s="63">
        <v>3</v>
      </c>
      <c r="H4" s="64">
        <v>745</v>
      </c>
    </row>
    <row r="5" spans="1:8" ht="19.8" customHeight="1" x14ac:dyDescent="0.3">
      <c r="A5" s="70">
        <v>45981</v>
      </c>
      <c r="B5" s="61" t="s">
        <v>277</v>
      </c>
      <c r="C5" s="62" t="s">
        <v>282</v>
      </c>
      <c r="D5" s="61" t="s">
        <v>218</v>
      </c>
      <c r="E5" s="71">
        <v>1.291666666666667</v>
      </c>
      <c r="F5" s="61" t="s">
        <v>279</v>
      </c>
      <c r="G5" s="63">
        <v>4</v>
      </c>
      <c r="H5" s="64">
        <v>745</v>
      </c>
    </row>
    <row r="6" spans="1:8" ht="19.8" customHeight="1" x14ac:dyDescent="0.3">
      <c r="A6" s="70">
        <v>45981</v>
      </c>
      <c r="B6" s="61" t="s">
        <v>285</v>
      </c>
      <c r="C6" s="62" t="s">
        <v>286</v>
      </c>
      <c r="D6" s="61" t="s">
        <v>218</v>
      </c>
      <c r="E6" s="71">
        <v>1.666666666666667</v>
      </c>
      <c r="F6" s="61" t="s">
        <v>279</v>
      </c>
      <c r="G6" s="63">
        <v>9</v>
      </c>
      <c r="H6" s="64">
        <v>749</v>
      </c>
    </row>
    <row r="7" spans="1:8" ht="19.8" customHeight="1" x14ac:dyDescent="0.3">
      <c r="A7" s="189">
        <v>45981</v>
      </c>
      <c r="B7" s="97" t="s">
        <v>78</v>
      </c>
      <c r="C7" s="98" t="s">
        <v>252</v>
      </c>
      <c r="D7" s="97" t="s">
        <v>218</v>
      </c>
      <c r="E7" s="190">
        <v>1.364583333333333</v>
      </c>
      <c r="F7" s="97" t="s">
        <v>178</v>
      </c>
      <c r="G7" s="99">
        <v>7</v>
      </c>
      <c r="H7" s="100">
        <v>781</v>
      </c>
    </row>
    <row r="8" spans="1:8" ht="19.8" customHeight="1" x14ac:dyDescent="0.3">
      <c r="A8" s="189">
        <v>45981</v>
      </c>
      <c r="B8" s="97" t="s">
        <v>78</v>
      </c>
      <c r="C8" s="98" t="s">
        <v>257</v>
      </c>
      <c r="D8" s="97" t="s">
        <v>218</v>
      </c>
      <c r="E8" s="190">
        <v>1.333333333333333</v>
      </c>
      <c r="F8" s="97" t="s">
        <v>178</v>
      </c>
      <c r="G8" s="99">
        <v>4</v>
      </c>
      <c r="H8" s="100">
        <v>781</v>
      </c>
    </row>
    <row r="9" spans="1:8" ht="19.8" customHeight="1" x14ac:dyDescent="0.3">
      <c r="A9" s="189">
        <v>45981</v>
      </c>
      <c r="B9" s="97" t="s">
        <v>78</v>
      </c>
      <c r="C9" s="98" t="s">
        <v>260</v>
      </c>
      <c r="D9" s="97" t="s">
        <v>218</v>
      </c>
      <c r="E9" s="190">
        <v>1.114583333333333</v>
      </c>
      <c r="F9" s="97" t="s">
        <v>178</v>
      </c>
      <c r="G9" s="99">
        <v>6</v>
      </c>
      <c r="H9" s="100">
        <v>781</v>
      </c>
    </row>
    <row r="10" spans="1:8" ht="19.8" customHeight="1" x14ac:dyDescent="0.3">
      <c r="A10" s="189">
        <v>45981</v>
      </c>
      <c r="B10" s="97" t="s">
        <v>78</v>
      </c>
      <c r="C10" s="98" t="s">
        <v>263</v>
      </c>
      <c r="D10" s="97" t="s">
        <v>218</v>
      </c>
      <c r="E10" s="190">
        <v>1.0486111111111109</v>
      </c>
      <c r="F10" s="97" t="s">
        <v>178</v>
      </c>
      <c r="G10" s="99">
        <v>8</v>
      </c>
      <c r="H10" s="100">
        <v>781</v>
      </c>
    </row>
    <row r="11" spans="1:8" ht="19.8" customHeight="1" x14ac:dyDescent="0.3">
      <c r="A11" s="189">
        <v>45981</v>
      </c>
      <c r="B11" s="97" t="s">
        <v>78</v>
      </c>
      <c r="C11" s="98" t="s">
        <v>267</v>
      </c>
      <c r="D11" s="97" t="s">
        <v>218</v>
      </c>
      <c r="E11" s="190">
        <v>1.583333333333333</v>
      </c>
      <c r="F11" s="97" t="s">
        <v>178</v>
      </c>
      <c r="G11" s="99">
        <v>7</v>
      </c>
      <c r="H11" s="100">
        <v>952</v>
      </c>
    </row>
    <row r="12" spans="1:8" ht="19.8" customHeight="1" x14ac:dyDescent="0.3">
      <c r="A12" s="189">
        <v>45981</v>
      </c>
      <c r="B12" s="97" t="s">
        <v>78</v>
      </c>
      <c r="C12" s="98" t="s">
        <v>272</v>
      </c>
      <c r="D12" s="97" t="s">
        <v>218</v>
      </c>
      <c r="E12" s="190">
        <v>1.739583333333333</v>
      </c>
      <c r="F12" s="97" t="s">
        <v>178</v>
      </c>
      <c r="G12" s="99">
        <v>6</v>
      </c>
      <c r="H12" s="117" t="s">
        <v>273</v>
      </c>
    </row>
    <row r="13" spans="1:8" ht="19.8" customHeight="1" x14ac:dyDescent="0.3">
      <c r="A13" s="70">
        <v>45981</v>
      </c>
      <c r="B13" s="61" t="s">
        <v>49</v>
      </c>
      <c r="C13" s="62" t="s">
        <v>308</v>
      </c>
      <c r="D13" s="61" t="s">
        <v>218</v>
      </c>
      <c r="E13" s="71">
        <v>1.4861111111111109</v>
      </c>
      <c r="F13" s="61" t="s">
        <v>51</v>
      </c>
      <c r="G13" s="63">
        <v>9</v>
      </c>
      <c r="H13" s="65" t="s">
        <v>309</v>
      </c>
    </row>
    <row r="14" spans="1:8" ht="19.8" customHeight="1" x14ac:dyDescent="0.3">
      <c r="A14" s="72">
        <v>45981</v>
      </c>
      <c r="B14" s="73" t="s">
        <v>49</v>
      </c>
      <c r="C14" s="74" t="s">
        <v>310</v>
      </c>
      <c r="D14" s="73" t="s">
        <v>218</v>
      </c>
      <c r="E14" s="75">
        <v>1.5138888888888891</v>
      </c>
      <c r="F14" s="73" t="s">
        <v>51</v>
      </c>
      <c r="G14" s="76">
        <v>9</v>
      </c>
      <c r="H14" s="77" t="s">
        <v>309</v>
      </c>
    </row>
    <row r="15" spans="1:8" ht="19.8" customHeight="1" x14ac:dyDescent="0.3">
      <c r="A15" s="70">
        <v>45982</v>
      </c>
      <c r="B15" s="61" t="s">
        <v>285</v>
      </c>
      <c r="C15" s="62" t="s">
        <v>286</v>
      </c>
      <c r="D15" s="61" t="s">
        <v>218</v>
      </c>
      <c r="E15" s="71">
        <v>1.7152777777777779</v>
      </c>
      <c r="F15" s="61" t="s">
        <v>279</v>
      </c>
      <c r="G15" s="63">
        <v>1</v>
      </c>
      <c r="H15" s="64">
        <v>834</v>
      </c>
    </row>
    <row r="16" spans="1:8" ht="19.8" customHeight="1" x14ac:dyDescent="0.3">
      <c r="A16" s="189">
        <v>45982</v>
      </c>
      <c r="B16" s="97" t="s">
        <v>78</v>
      </c>
      <c r="C16" s="98" t="s">
        <v>260</v>
      </c>
      <c r="D16" s="97" t="s">
        <v>218</v>
      </c>
      <c r="E16" s="190">
        <v>1.7361111111111109</v>
      </c>
      <c r="F16" s="97" t="s">
        <v>178</v>
      </c>
      <c r="G16" s="99">
        <v>5</v>
      </c>
      <c r="H16" s="100">
        <v>856</v>
      </c>
    </row>
    <row r="17" spans="1:8" ht="19.8" customHeight="1" x14ac:dyDescent="0.3">
      <c r="A17" s="189">
        <v>45982</v>
      </c>
      <c r="B17" s="97" t="s">
        <v>78</v>
      </c>
      <c r="C17" s="98" t="s">
        <v>263</v>
      </c>
      <c r="D17" s="97" t="s">
        <v>218</v>
      </c>
      <c r="E17" s="190">
        <v>1.114583333333333</v>
      </c>
      <c r="F17" s="97" t="s">
        <v>178</v>
      </c>
      <c r="G17" s="99">
        <v>3</v>
      </c>
      <c r="H17" s="100">
        <v>856</v>
      </c>
    </row>
    <row r="18" spans="1:8" ht="19.8" customHeight="1" x14ac:dyDescent="0.3">
      <c r="A18" s="189">
        <v>45982</v>
      </c>
      <c r="B18" s="97" t="s">
        <v>78</v>
      </c>
      <c r="C18" s="98" t="s">
        <v>272</v>
      </c>
      <c r="D18" s="97" t="s">
        <v>218</v>
      </c>
      <c r="E18" s="190">
        <v>1.614583333333333</v>
      </c>
      <c r="F18" s="97" t="s">
        <v>178</v>
      </c>
      <c r="G18" s="99">
        <v>6</v>
      </c>
      <c r="H18" s="100">
        <v>856</v>
      </c>
    </row>
    <row r="19" spans="1:8" ht="19.8" customHeight="1" x14ac:dyDescent="0.3">
      <c r="A19" s="189">
        <v>45982</v>
      </c>
      <c r="B19" s="97" t="s">
        <v>78</v>
      </c>
      <c r="C19" s="98" t="s">
        <v>267</v>
      </c>
      <c r="D19" s="97" t="s">
        <v>218</v>
      </c>
      <c r="E19" s="190">
        <v>1.458333333333333</v>
      </c>
      <c r="F19" s="97" t="s">
        <v>178</v>
      </c>
      <c r="G19" s="99">
        <v>7</v>
      </c>
      <c r="H19" s="100">
        <v>856</v>
      </c>
    </row>
    <row r="20" spans="1:8" ht="19.8" customHeight="1" x14ac:dyDescent="0.3">
      <c r="A20" s="70">
        <v>45982</v>
      </c>
      <c r="B20" s="61" t="s">
        <v>285</v>
      </c>
      <c r="C20" s="62" t="s">
        <v>319</v>
      </c>
      <c r="D20" s="61" t="s">
        <v>218</v>
      </c>
      <c r="E20" s="71">
        <v>1.416666666666667</v>
      </c>
      <c r="F20" s="61" t="s">
        <v>279</v>
      </c>
      <c r="G20" s="63">
        <v>9</v>
      </c>
      <c r="H20" s="64">
        <v>933</v>
      </c>
    </row>
    <row r="21" spans="1:8" ht="19.8" customHeight="1" x14ac:dyDescent="0.3">
      <c r="A21" s="189">
        <v>45982</v>
      </c>
      <c r="B21" s="97" t="s">
        <v>78</v>
      </c>
      <c r="C21" s="98" t="s">
        <v>257</v>
      </c>
      <c r="D21" s="97" t="s">
        <v>218</v>
      </c>
      <c r="E21" s="190">
        <v>1.319444444444444</v>
      </c>
      <c r="F21" s="97" t="s">
        <v>178</v>
      </c>
      <c r="G21" s="99">
        <v>7</v>
      </c>
      <c r="H21" s="100">
        <v>952</v>
      </c>
    </row>
    <row r="22" spans="1:8" ht="19.8" customHeight="1" x14ac:dyDescent="0.3">
      <c r="A22" s="78">
        <v>45982</v>
      </c>
      <c r="B22" s="67" t="s">
        <v>78</v>
      </c>
      <c r="C22" s="68" t="s">
        <v>332</v>
      </c>
      <c r="D22" s="67" t="s">
        <v>218</v>
      </c>
      <c r="E22" s="79">
        <v>1.9375</v>
      </c>
      <c r="F22" s="67" t="s">
        <v>80</v>
      </c>
      <c r="G22" s="67"/>
      <c r="H22" s="69" t="s">
        <v>81</v>
      </c>
    </row>
    <row r="23" spans="1:8" ht="19.8" customHeight="1" x14ac:dyDescent="0.3">
      <c r="A23" s="189">
        <v>45983</v>
      </c>
      <c r="B23" s="97" t="s">
        <v>78</v>
      </c>
      <c r="C23" s="98" t="s">
        <v>249</v>
      </c>
      <c r="D23" s="97" t="s">
        <v>218</v>
      </c>
      <c r="E23" s="190">
        <v>1.2361111111111109</v>
      </c>
      <c r="F23" s="97" t="s">
        <v>80</v>
      </c>
      <c r="G23" s="97"/>
      <c r="H23" s="117" t="s">
        <v>81</v>
      </c>
    </row>
    <row r="24" spans="1:8" ht="19.8" customHeight="1" x14ac:dyDescent="0.3">
      <c r="A24" s="189">
        <v>45983</v>
      </c>
      <c r="B24" s="97" t="s">
        <v>78</v>
      </c>
      <c r="C24" s="98" t="s">
        <v>258</v>
      </c>
      <c r="D24" s="97" t="s">
        <v>218</v>
      </c>
      <c r="E24" s="190">
        <v>1.333333333333333</v>
      </c>
      <c r="F24" s="97" t="s">
        <v>80</v>
      </c>
      <c r="G24" s="97"/>
      <c r="H24" s="117" t="s">
        <v>81</v>
      </c>
    </row>
    <row r="25" spans="1:8" ht="19.8" customHeight="1" x14ac:dyDescent="0.3">
      <c r="A25" s="78">
        <v>45983</v>
      </c>
      <c r="B25" s="67" t="s">
        <v>78</v>
      </c>
      <c r="C25" s="68" t="s">
        <v>269</v>
      </c>
      <c r="D25" s="67" t="s">
        <v>218</v>
      </c>
      <c r="E25" s="79">
        <v>1.680555555555556</v>
      </c>
      <c r="F25" s="67" t="s">
        <v>80</v>
      </c>
      <c r="G25" s="67"/>
      <c r="H25" s="69" t="s">
        <v>81</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66"/>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 bestFit="1" customWidth="1"/>
  </cols>
  <sheetData>
    <row r="1" spans="1:92" ht="28.8" customHeight="1" x14ac:dyDescent="0.3">
      <c r="A1" s="272" t="s">
        <v>0</v>
      </c>
      <c r="B1" s="261"/>
      <c r="C1" s="261"/>
      <c r="D1" s="261"/>
      <c r="E1" s="261"/>
      <c r="F1" s="1" t="s">
        <v>447</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45980.492417771216</v>
      </c>
      <c r="H2" s="261"/>
      <c r="I2" s="261"/>
      <c r="J2" s="261"/>
      <c r="K2" s="274">
        <v>45980.492417771537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243</v>
      </c>
      <c r="B6" s="8" t="s">
        <v>448</v>
      </c>
      <c r="C6" s="9">
        <v>0.79861111111111116</v>
      </c>
      <c r="D6" s="8" t="s">
        <v>449</v>
      </c>
      <c r="E6" s="8" t="s">
        <v>29</v>
      </c>
      <c r="F6" s="8" t="s">
        <v>450</v>
      </c>
      <c r="G6" s="269"/>
      <c r="H6" s="10"/>
      <c r="I6" s="11"/>
      <c r="J6" s="11"/>
      <c r="K6" s="11"/>
      <c r="L6" s="11"/>
      <c r="M6" s="11"/>
      <c r="N6" s="11"/>
      <c r="O6" s="12"/>
      <c r="P6" s="11"/>
      <c r="Q6" s="13"/>
      <c r="R6" s="14"/>
    </row>
    <row r="7" spans="1:92" ht="15" customHeight="1" x14ac:dyDescent="0.3">
      <c r="A7" s="15" t="s">
        <v>243</v>
      </c>
      <c r="B7" s="15" t="s">
        <v>448</v>
      </c>
      <c r="C7" s="16">
        <v>0.79861111111111116</v>
      </c>
      <c r="D7" s="15" t="s">
        <v>451</v>
      </c>
      <c r="E7" s="15" t="s">
        <v>32</v>
      </c>
      <c r="F7" s="15" t="s">
        <v>452</v>
      </c>
      <c r="G7" s="267"/>
      <c r="H7" s="10"/>
      <c r="I7" s="11"/>
      <c r="J7" s="11"/>
      <c r="K7" s="11"/>
      <c r="L7" s="11"/>
      <c r="M7" s="11"/>
      <c r="N7" s="11"/>
      <c r="O7" s="12"/>
      <c r="P7" s="11"/>
      <c r="Q7" s="13"/>
      <c r="R7" s="14"/>
    </row>
    <row r="8" spans="1:92" ht="15" customHeight="1" x14ac:dyDescent="0.3">
      <c r="A8" s="15" t="s">
        <v>243</v>
      </c>
      <c r="B8" s="15" t="s">
        <v>448</v>
      </c>
      <c r="C8" s="16">
        <v>0.79861111111111116</v>
      </c>
      <c r="D8" s="15" t="s">
        <v>47</v>
      </c>
      <c r="E8" s="15" t="s">
        <v>32</v>
      </c>
      <c r="F8" s="15" t="s">
        <v>453</v>
      </c>
      <c r="G8" s="267"/>
      <c r="H8" s="10"/>
      <c r="I8" s="11"/>
      <c r="J8" s="11"/>
      <c r="K8" s="11"/>
      <c r="L8" s="11"/>
      <c r="M8" s="11"/>
      <c r="N8" s="11"/>
      <c r="O8" s="12"/>
      <c r="P8" s="11"/>
      <c r="Q8" s="13"/>
      <c r="R8" s="14"/>
    </row>
    <row r="9" spans="1:92" ht="15" customHeight="1" x14ac:dyDescent="0.3">
      <c r="A9" s="17" t="s">
        <v>243</v>
      </c>
      <c r="B9" s="17" t="s">
        <v>454</v>
      </c>
      <c r="C9" s="18">
        <v>0.52777777777777779</v>
      </c>
      <c r="D9" s="17" t="s">
        <v>449</v>
      </c>
      <c r="E9" s="17" t="s">
        <v>71</v>
      </c>
      <c r="F9" s="17" t="s">
        <v>455</v>
      </c>
      <c r="G9" s="267"/>
      <c r="H9" s="10"/>
      <c r="I9" s="11"/>
      <c r="J9" s="11"/>
      <c r="K9" s="11"/>
      <c r="L9" s="11"/>
      <c r="M9" s="11"/>
      <c r="N9" s="11"/>
      <c r="O9" s="12"/>
      <c r="P9" s="11"/>
      <c r="Q9" s="13"/>
      <c r="R9" s="14"/>
    </row>
    <row r="10" spans="1:92" ht="15" customHeight="1" x14ac:dyDescent="0.3">
      <c r="A10" s="15" t="s">
        <v>243</v>
      </c>
      <c r="B10" s="15" t="s">
        <v>454</v>
      </c>
      <c r="C10" s="16">
        <v>0.52777777777777779</v>
      </c>
      <c r="D10" s="15" t="s">
        <v>451</v>
      </c>
      <c r="E10" s="15" t="s">
        <v>96</v>
      </c>
      <c r="F10" s="15" t="s">
        <v>456</v>
      </c>
      <c r="G10" s="267"/>
      <c r="H10" s="10"/>
      <c r="I10" s="11"/>
      <c r="J10" s="11"/>
      <c r="K10" s="11"/>
      <c r="L10" s="11"/>
      <c r="M10" s="11"/>
      <c r="N10" s="11"/>
      <c r="O10" s="12"/>
      <c r="P10" s="11"/>
      <c r="Q10" s="13"/>
      <c r="R10" s="14"/>
    </row>
    <row r="11" spans="1:92" ht="15" customHeight="1" x14ac:dyDescent="0.3">
      <c r="A11" s="15" t="s">
        <v>243</v>
      </c>
      <c r="B11" s="15" t="s">
        <v>454</v>
      </c>
      <c r="C11" s="16">
        <v>0.52777777777777779</v>
      </c>
      <c r="D11" s="15" t="s">
        <v>47</v>
      </c>
      <c r="E11" s="15" t="s">
        <v>96</v>
      </c>
      <c r="F11" s="15" t="s">
        <v>457</v>
      </c>
      <c r="G11" s="267"/>
      <c r="H11" s="10"/>
      <c r="I11" s="11"/>
      <c r="J11" s="11"/>
      <c r="K11" s="11"/>
      <c r="L11" s="11"/>
      <c r="M11" s="11"/>
      <c r="N11" s="11"/>
      <c r="O11" s="12"/>
      <c r="P11" s="11"/>
      <c r="Q11" s="13"/>
      <c r="R11" s="14"/>
    </row>
    <row r="12" spans="1:92" ht="15" customHeight="1" x14ac:dyDescent="0.3">
      <c r="A12" s="158" t="s">
        <v>78</v>
      </c>
      <c r="B12" s="158" t="s">
        <v>458</v>
      </c>
      <c r="C12" s="159">
        <v>0.27430555555555552</v>
      </c>
      <c r="D12" s="158" t="s">
        <v>80</v>
      </c>
      <c r="E12" s="191"/>
      <c r="F12" s="158" t="s">
        <v>81</v>
      </c>
      <c r="G12" s="267"/>
      <c r="H12" s="120" t="s">
        <v>458</v>
      </c>
      <c r="I12" s="192">
        <v>1</v>
      </c>
      <c r="J12" s="122">
        <v>179</v>
      </c>
      <c r="K12" s="123">
        <v>45979</v>
      </c>
      <c r="L12" s="122">
        <v>7</v>
      </c>
      <c r="M12" s="122">
        <v>0</v>
      </c>
      <c r="N12" s="122">
        <v>1</v>
      </c>
      <c r="O12" s="124" t="s">
        <v>82</v>
      </c>
      <c r="P12" s="125">
        <v>0.27430555555555552</v>
      </c>
      <c r="Q12" s="122">
        <v>179</v>
      </c>
      <c r="R12" s="126" t="s">
        <v>459</v>
      </c>
    </row>
    <row r="13" spans="1:92" ht="18" x14ac:dyDescent="0.3">
      <c r="A13" s="278" t="s">
        <v>460</v>
      </c>
      <c r="B13" s="279"/>
      <c r="C13" s="279"/>
      <c r="D13" s="279"/>
      <c r="E13" s="279"/>
      <c r="F13" s="280"/>
      <c r="G13" s="267"/>
      <c r="H13" s="89"/>
      <c r="I13" s="89"/>
      <c r="J13" s="89"/>
      <c r="K13" s="89"/>
      <c r="L13" s="89"/>
      <c r="M13" s="89"/>
      <c r="N13" s="89"/>
      <c r="O13" s="90"/>
      <c r="P13" s="89"/>
      <c r="Q13" s="56"/>
      <c r="R13" s="56"/>
    </row>
    <row r="14" spans="1:92" ht="15" customHeight="1" x14ac:dyDescent="0.3">
      <c r="A14" s="17" t="s">
        <v>26</v>
      </c>
      <c r="B14" s="17" t="s">
        <v>219</v>
      </c>
      <c r="C14" s="18" t="s">
        <v>440</v>
      </c>
      <c r="D14" s="17" t="s">
        <v>220</v>
      </c>
      <c r="E14" s="17" t="s">
        <v>461</v>
      </c>
      <c r="F14" s="17" t="s">
        <v>222</v>
      </c>
      <c r="G14" s="267"/>
      <c r="H14" s="89"/>
      <c r="I14" s="89"/>
      <c r="J14" s="89"/>
      <c r="K14" s="89"/>
      <c r="L14" s="89"/>
      <c r="M14" s="89"/>
      <c r="N14" s="89"/>
      <c r="O14" s="90"/>
      <c r="P14" s="89"/>
      <c r="Q14" s="56"/>
      <c r="R14" s="56"/>
    </row>
    <row r="15" spans="1:92" ht="15" customHeight="1" x14ac:dyDescent="0.3">
      <c r="A15" s="17" t="s">
        <v>26</v>
      </c>
      <c r="B15" s="17" t="s">
        <v>223</v>
      </c>
      <c r="C15" s="18" t="s">
        <v>441</v>
      </c>
      <c r="D15" s="17" t="s">
        <v>220</v>
      </c>
      <c r="E15" s="17" t="s">
        <v>462</v>
      </c>
      <c r="F15" s="17" t="s">
        <v>222</v>
      </c>
      <c r="G15" s="267"/>
      <c r="H15" s="89"/>
      <c r="I15" s="89"/>
      <c r="J15" s="89"/>
      <c r="K15" s="89"/>
      <c r="L15" s="89"/>
      <c r="M15" s="89"/>
      <c r="N15" s="89"/>
      <c r="O15" s="90"/>
      <c r="P15" s="89"/>
      <c r="Q15" s="56"/>
      <c r="R15" s="56"/>
    </row>
    <row r="16" spans="1:92" ht="15" customHeight="1" x14ac:dyDescent="0.3">
      <c r="A16" s="17" t="s">
        <v>26</v>
      </c>
      <c r="B16" s="17" t="s">
        <v>224</v>
      </c>
      <c r="C16" s="18" t="s">
        <v>169</v>
      </c>
      <c r="D16" s="17" t="s">
        <v>220</v>
      </c>
      <c r="E16" s="17" t="s">
        <v>463</v>
      </c>
      <c r="F16" s="17" t="s">
        <v>226</v>
      </c>
      <c r="G16" s="267"/>
      <c r="H16" s="89"/>
      <c r="I16" s="89"/>
      <c r="J16" s="89"/>
      <c r="K16" s="89"/>
      <c r="L16" s="89"/>
      <c r="M16" s="89"/>
      <c r="N16" s="89"/>
      <c r="O16" s="90"/>
      <c r="P16" s="89"/>
      <c r="Q16" s="56"/>
      <c r="R16" s="56"/>
    </row>
    <row r="17" spans="1:18" ht="15" customHeight="1" x14ac:dyDescent="0.3">
      <c r="A17" s="17" t="s">
        <v>26</v>
      </c>
      <c r="B17" s="17" t="s">
        <v>227</v>
      </c>
      <c r="C17" s="18" t="s">
        <v>442</v>
      </c>
      <c r="D17" s="17" t="s">
        <v>220</v>
      </c>
      <c r="E17" s="17" t="s">
        <v>185</v>
      </c>
      <c r="F17" s="17" t="s">
        <v>226</v>
      </c>
      <c r="G17" s="267"/>
      <c r="H17" s="89"/>
      <c r="I17" s="89"/>
      <c r="J17" s="89"/>
      <c r="K17" s="89"/>
      <c r="L17" s="89"/>
      <c r="M17" s="89"/>
      <c r="N17" s="89"/>
      <c r="O17" s="90"/>
      <c r="P17" s="89"/>
      <c r="Q17" s="56"/>
      <c r="R17" s="56"/>
    </row>
    <row r="18" spans="1:18" ht="15" customHeight="1" x14ac:dyDescent="0.3">
      <c r="A18" s="17" t="s">
        <v>26</v>
      </c>
      <c r="B18" s="17" t="s">
        <v>228</v>
      </c>
      <c r="C18" s="18" t="s">
        <v>443</v>
      </c>
      <c r="D18" s="17" t="s">
        <v>220</v>
      </c>
      <c r="E18" s="17" t="s">
        <v>464</v>
      </c>
      <c r="F18" s="17" t="s">
        <v>226</v>
      </c>
      <c r="G18" s="267"/>
      <c r="H18" s="89"/>
      <c r="I18" s="89"/>
      <c r="J18" s="89"/>
      <c r="K18" s="89"/>
      <c r="L18" s="89"/>
      <c r="M18" s="89"/>
      <c r="N18" s="89"/>
      <c r="O18" s="90"/>
      <c r="P18" s="89"/>
      <c r="Q18" s="56"/>
      <c r="R18" s="56"/>
    </row>
    <row r="19" spans="1:18" ht="15" customHeight="1" x14ac:dyDescent="0.3">
      <c r="A19" s="17" t="s">
        <v>26</v>
      </c>
      <c r="B19" s="17" t="s">
        <v>230</v>
      </c>
      <c r="C19" s="18" t="s">
        <v>151</v>
      </c>
      <c r="D19" s="17" t="s">
        <v>220</v>
      </c>
      <c r="E19" s="17" t="s">
        <v>185</v>
      </c>
      <c r="F19" s="17" t="s">
        <v>226</v>
      </c>
      <c r="G19" s="267"/>
      <c r="H19" s="89"/>
      <c r="I19" s="89"/>
      <c r="J19" s="89"/>
      <c r="K19" s="89"/>
      <c r="L19" s="89"/>
      <c r="M19" s="89"/>
      <c r="N19" s="89"/>
      <c r="O19" s="90"/>
      <c r="P19" s="89"/>
      <c r="Q19" s="56"/>
      <c r="R19" s="56"/>
    </row>
    <row r="20" spans="1:18" ht="15" customHeight="1" x14ac:dyDescent="0.3">
      <c r="A20" s="17" t="s">
        <v>41</v>
      </c>
      <c r="B20" s="17" t="s">
        <v>235</v>
      </c>
      <c r="C20" s="18" t="s">
        <v>441</v>
      </c>
      <c r="D20" s="17" t="s">
        <v>236</v>
      </c>
      <c r="E20" s="17" t="s">
        <v>185</v>
      </c>
      <c r="F20" s="17" t="s">
        <v>237</v>
      </c>
      <c r="G20" s="267"/>
      <c r="H20" s="89"/>
      <c r="I20" s="89"/>
      <c r="J20" s="89"/>
      <c r="K20" s="89"/>
      <c r="L20" s="89"/>
      <c r="M20" s="89"/>
      <c r="N20" s="89"/>
      <c r="O20" s="90"/>
      <c r="P20" s="89"/>
      <c r="Q20" s="56"/>
      <c r="R20" s="56"/>
    </row>
    <row r="21" spans="1:18" ht="15" customHeight="1" x14ac:dyDescent="0.3">
      <c r="A21" s="17" t="s">
        <v>41</v>
      </c>
      <c r="B21" s="17" t="s">
        <v>238</v>
      </c>
      <c r="C21" s="18" t="s">
        <v>444</v>
      </c>
      <c r="D21" s="17" t="s">
        <v>236</v>
      </c>
      <c r="E21" s="17" t="s">
        <v>465</v>
      </c>
      <c r="F21" s="17" t="s">
        <v>237</v>
      </c>
      <c r="G21" s="267"/>
      <c r="H21" s="89"/>
      <c r="I21" s="89"/>
      <c r="J21" s="89"/>
      <c r="K21" s="89"/>
      <c r="L21" s="89"/>
      <c r="M21" s="89"/>
      <c r="N21" s="89"/>
      <c r="O21" s="90"/>
      <c r="P21" s="89"/>
      <c r="Q21" s="56"/>
      <c r="R21" s="56"/>
    </row>
    <row r="22" spans="1:18" ht="15" customHeight="1" x14ac:dyDescent="0.3">
      <c r="A22" s="17" t="s">
        <v>41</v>
      </c>
      <c r="B22" s="17" t="s">
        <v>240</v>
      </c>
      <c r="C22" s="18" t="s">
        <v>445</v>
      </c>
      <c r="D22" s="17" t="s">
        <v>236</v>
      </c>
      <c r="E22" s="17" t="s">
        <v>466</v>
      </c>
      <c r="F22" s="17" t="s">
        <v>237</v>
      </c>
      <c r="G22" s="267"/>
      <c r="H22" s="89"/>
      <c r="I22" s="89"/>
      <c r="J22" s="89"/>
      <c r="K22" s="89"/>
      <c r="L22" s="89"/>
      <c r="M22" s="89"/>
      <c r="N22" s="89"/>
      <c r="O22" s="90"/>
      <c r="P22" s="89"/>
      <c r="Q22" s="56"/>
      <c r="R22" s="56"/>
    </row>
    <row r="23" spans="1:18" ht="15" customHeight="1" thickBot="1" x14ac:dyDescent="0.35">
      <c r="A23" s="91" t="s">
        <v>243</v>
      </c>
      <c r="B23" s="91" t="s">
        <v>244</v>
      </c>
      <c r="C23" s="92" t="s">
        <v>446</v>
      </c>
      <c r="D23" s="91" t="s">
        <v>245</v>
      </c>
      <c r="E23" s="91" t="s">
        <v>185</v>
      </c>
      <c r="F23" s="91" t="s">
        <v>246</v>
      </c>
      <c r="G23" s="268"/>
      <c r="H23" s="93"/>
      <c r="I23" s="93"/>
      <c r="J23" s="93"/>
      <c r="K23" s="93"/>
      <c r="L23" s="93"/>
      <c r="M23" s="93"/>
      <c r="N23" s="93"/>
      <c r="O23" s="94"/>
      <c r="P23" s="93"/>
      <c r="Q23" s="95"/>
      <c r="R23" s="95"/>
    </row>
    <row r="24" spans="1:18" ht="17.399999999999999" customHeight="1" thickBot="1" x14ac:dyDescent="0.35">
      <c r="A24" s="295"/>
      <c r="B24" s="296"/>
      <c r="C24" s="296"/>
      <c r="D24" s="296"/>
      <c r="E24" s="296"/>
      <c r="F24" s="296"/>
      <c r="G24" s="296"/>
      <c r="H24" s="296"/>
      <c r="I24" s="296"/>
      <c r="J24" s="296"/>
      <c r="K24" s="296"/>
      <c r="L24" s="296"/>
      <c r="M24" s="296"/>
      <c r="N24" s="296"/>
      <c r="O24" s="296"/>
      <c r="P24" s="296"/>
      <c r="Q24" s="296"/>
      <c r="R24" s="297"/>
    </row>
    <row r="25" spans="1:18" ht="22.05" customHeight="1" thickTop="1" thickBot="1" x14ac:dyDescent="0.35">
      <c r="A25" s="262" t="s">
        <v>6</v>
      </c>
      <c r="B25" s="263"/>
      <c r="C25" s="263"/>
      <c r="D25" s="263"/>
      <c r="E25" s="263"/>
      <c r="F25" s="264"/>
      <c r="G25" s="31">
        <v>45982</v>
      </c>
      <c r="H25" s="270" t="s">
        <v>7</v>
      </c>
      <c r="I25" s="263"/>
      <c r="J25" s="263"/>
      <c r="K25" s="263"/>
      <c r="L25" s="263"/>
      <c r="M25" s="263"/>
      <c r="N25" s="263"/>
      <c r="O25" s="263"/>
      <c r="P25" s="263"/>
      <c r="Q25" s="263"/>
      <c r="R25" s="264"/>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15" customHeight="1" x14ac:dyDescent="0.3">
      <c r="A27" s="175" t="s">
        <v>78</v>
      </c>
      <c r="B27" s="175" t="s">
        <v>467</v>
      </c>
      <c r="C27" s="176">
        <v>0.41666666666666669</v>
      </c>
      <c r="D27" s="175" t="s">
        <v>178</v>
      </c>
      <c r="E27" s="175" t="s">
        <v>101</v>
      </c>
      <c r="F27" s="175" t="s">
        <v>468</v>
      </c>
      <c r="G27" s="266"/>
      <c r="H27" s="149" t="s">
        <v>458</v>
      </c>
      <c r="I27" s="150">
        <v>0.98880000000000001</v>
      </c>
      <c r="J27" s="151">
        <v>177</v>
      </c>
      <c r="K27" s="152">
        <v>45979</v>
      </c>
      <c r="L27" s="151">
        <v>10</v>
      </c>
      <c r="M27" s="151">
        <v>0</v>
      </c>
      <c r="N27" s="151">
        <v>3</v>
      </c>
      <c r="O27" s="153" t="s">
        <v>469</v>
      </c>
      <c r="P27" s="154">
        <v>0.41666666666666669</v>
      </c>
      <c r="Q27" s="151">
        <v>179</v>
      </c>
      <c r="R27" s="155" t="s">
        <v>470</v>
      </c>
    </row>
    <row r="28" spans="1:18" ht="15" customHeight="1" x14ac:dyDescent="0.3">
      <c r="A28" s="19" t="s">
        <v>62</v>
      </c>
      <c r="B28" s="19" t="s">
        <v>471</v>
      </c>
      <c r="C28" s="20">
        <v>0.71180555555555547</v>
      </c>
      <c r="D28" s="19" t="s">
        <v>64</v>
      </c>
      <c r="E28" s="19" t="s">
        <v>52</v>
      </c>
      <c r="F28" s="19" t="s">
        <v>472</v>
      </c>
      <c r="G28" s="267"/>
      <c r="H28" s="10"/>
      <c r="I28" s="11"/>
      <c r="J28" s="11"/>
      <c r="K28" s="11"/>
      <c r="L28" s="11"/>
      <c r="M28" s="11"/>
      <c r="N28" s="11"/>
      <c r="O28" s="12"/>
      <c r="P28" s="11"/>
      <c r="Q28" s="13"/>
      <c r="R28" s="14"/>
    </row>
    <row r="29" spans="1:18" ht="15" customHeight="1" x14ac:dyDescent="0.3">
      <c r="A29" s="15" t="s">
        <v>62</v>
      </c>
      <c r="B29" s="15" t="s">
        <v>471</v>
      </c>
      <c r="C29" s="16">
        <v>0.71180555555555547</v>
      </c>
      <c r="D29" s="15" t="s">
        <v>66</v>
      </c>
      <c r="E29" s="15" t="s">
        <v>67</v>
      </c>
      <c r="F29" s="15" t="s">
        <v>473</v>
      </c>
      <c r="G29" s="267"/>
      <c r="H29" s="10"/>
      <c r="I29" s="11"/>
      <c r="J29" s="11"/>
      <c r="K29" s="11"/>
      <c r="L29" s="11"/>
      <c r="M29" s="11"/>
      <c r="N29" s="11"/>
      <c r="O29" s="12"/>
      <c r="P29" s="11"/>
      <c r="Q29" s="13"/>
      <c r="R29" s="14"/>
    </row>
    <row r="30" spans="1:18" ht="18" x14ac:dyDescent="0.3">
      <c r="A30" s="278" t="s">
        <v>460</v>
      </c>
      <c r="B30" s="279"/>
      <c r="C30" s="279"/>
      <c r="D30" s="279"/>
      <c r="E30" s="279"/>
      <c r="F30" s="280"/>
      <c r="G30" s="267"/>
      <c r="H30" s="89"/>
      <c r="I30" s="89"/>
      <c r="J30" s="89"/>
      <c r="K30" s="89"/>
      <c r="L30" s="89"/>
      <c r="M30" s="89"/>
      <c r="N30" s="89"/>
      <c r="O30" s="90"/>
      <c r="P30" s="89"/>
      <c r="Q30" s="56"/>
      <c r="R30" s="56"/>
    </row>
    <row r="31" spans="1:18" ht="15" customHeight="1" x14ac:dyDescent="0.3">
      <c r="A31" s="17" t="s">
        <v>285</v>
      </c>
      <c r="B31" s="17" t="s">
        <v>286</v>
      </c>
      <c r="C31" s="18" t="s">
        <v>474</v>
      </c>
      <c r="D31" s="17" t="s">
        <v>279</v>
      </c>
      <c r="E31" s="17" t="s">
        <v>475</v>
      </c>
      <c r="F31" s="17" t="s">
        <v>318</v>
      </c>
      <c r="G31" s="267"/>
      <c r="H31" s="89"/>
      <c r="I31" s="89"/>
      <c r="J31" s="89"/>
      <c r="K31" s="89"/>
      <c r="L31" s="89"/>
      <c r="M31" s="89"/>
      <c r="N31" s="89"/>
      <c r="O31" s="90"/>
      <c r="P31" s="89"/>
      <c r="Q31" s="56"/>
      <c r="R31" s="56"/>
    </row>
    <row r="32" spans="1:18" ht="15" customHeight="1" x14ac:dyDescent="0.3">
      <c r="A32" s="17" t="s">
        <v>78</v>
      </c>
      <c r="B32" s="17" t="s">
        <v>260</v>
      </c>
      <c r="C32" s="18" t="s">
        <v>411</v>
      </c>
      <c r="D32" s="17" t="s">
        <v>178</v>
      </c>
      <c r="E32" s="17" t="s">
        <v>464</v>
      </c>
      <c r="F32" s="17" t="s">
        <v>322</v>
      </c>
      <c r="G32" s="267"/>
      <c r="H32" s="89"/>
      <c r="I32" s="89"/>
      <c r="J32" s="89"/>
      <c r="K32" s="89"/>
      <c r="L32" s="89"/>
      <c r="M32" s="89"/>
      <c r="N32" s="89"/>
      <c r="O32" s="90"/>
      <c r="P32" s="89"/>
      <c r="Q32" s="56"/>
      <c r="R32" s="56"/>
    </row>
    <row r="33" spans="1:18" ht="15" customHeight="1" x14ac:dyDescent="0.3">
      <c r="A33" s="17" t="s">
        <v>78</v>
      </c>
      <c r="B33" s="17" t="s">
        <v>263</v>
      </c>
      <c r="C33" s="18" t="s">
        <v>348</v>
      </c>
      <c r="D33" s="17" t="s">
        <v>178</v>
      </c>
      <c r="E33" s="17" t="s">
        <v>476</v>
      </c>
      <c r="F33" s="17" t="s">
        <v>322</v>
      </c>
      <c r="G33" s="267"/>
      <c r="H33" s="89"/>
      <c r="I33" s="89"/>
      <c r="J33" s="89"/>
      <c r="K33" s="89"/>
      <c r="L33" s="89"/>
      <c r="M33" s="89"/>
      <c r="N33" s="89"/>
      <c r="O33" s="90"/>
      <c r="P33" s="89"/>
      <c r="Q33" s="56"/>
      <c r="R33" s="56"/>
    </row>
    <row r="34" spans="1:18" ht="15" customHeight="1" x14ac:dyDescent="0.3">
      <c r="A34" s="17" t="s">
        <v>78</v>
      </c>
      <c r="B34" s="17" t="s">
        <v>272</v>
      </c>
      <c r="C34" s="18" t="s">
        <v>407</v>
      </c>
      <c r="D34" s="17" t="s">
        <v>178</v>
      </c>
      <c r="E34" s="17" t="s">
        <v>477</v>
      </c>
      <c r="F34" s="17" t="s">
        <v>322</v>
      </c>
      <c r="G34" s="267"/>
      <c r="H34" s="89"/>
      <c r="I34" s="89"/>
      <c r="J34" s="89"/>
      <c r="K34" s="89"/>
      <c r="L34" s="89"/>
      <c r="M34" s="89"/>
      <c r="N34" s="89"/>
      <c r="O34" s="90"/>
      <c r="P34" s="89"/>
      <c r="Q34" s="56"/>
      <c r="R34" s="56"/>
    </row>
    <row r="35" spans="1:18" ht="15" customHeight="1" x14ac:dyDescent="0.3">
      <c r="A35" s="17" t="s">
        <v>78</v>
      </c>
      <c r="B35" s="17" t="s">
        <v>267</v>
      </c>
      <c r="C35" s="18" t="s">
        <v>403</v>
      </c>
      <c r="D35" s="17" t="s">
        <v>178</v>
      </c>
      <c r="E35" s="17" t="s">
        <v>461</v>
      </c>
      <c r="F35" s="17" t="s">
        <v>322</v>
      </c>
      <c r="G35" s="267"/>
      <c r="H35" s="89"/>
      <c r="I35" s="89"/>
      <c r="J35" s="89"/>
      <c r="K35" s="89"/>
      <c r="L35" s="89"/>
      <c r="M35" s="89"/>
      <c r="N35" s="89"/>
      <c r="O35" s="90"/>
      <c r="P35" s="89"/>
      <c r="Q35" s="56"/>
      <c r="R35" s="56"/>
    </row>
    <row r="36" spans="1:18" ht="15" customHeight="1" x14ac:dyDescent="0.3">
      <c r="A36" s="17" t="s">
        <v>285</v>
      </c>
      <c r="B36" s="17" t="s">
        <v>319</v>
      </c>
      <c r="C36" s="18" t="s">
        <v>478</v>
      </c>
      <c r="D36" s="17" t="s">
        <v>279</v>
      </c>
      <c r="E36" s="17" t="s">
        <v>187</v>
      </c>
      <c r="F36" s="17" t="s">
        <v>320</v>
      </c>
      <c r="G36" s="267"/>
      <c r="H36" s="89"/>
      <c r="I36" s="89"/>
      <c r="J36" s="89"/>
      <c r="K36" s="89"/>
      <c r="L36" s="89"/>
      <c r="M36" s="89"/>
      <c r="N36" s="89"/>
      <c r="O36" s="90"/>
      <c r="P36" s="89"/>
      <c r="Q36" s="56"/>
      <c r="R36" s="56"/>
    </row>
    <row r="37" spans="1:18" ht="15" customHeight="1" x14ac:dyDescent="0.3">
      <c r="A37" s="17" t="s">
        <v>78</v>
      </c>
      <c r="B37" s="17" t="s">
        <v>257</v>
      </c>
      <c r="C37" s="18" t="s">
        <v>397</v>
      </c>
      <c r="D37" s="17" t="s">
        <v>178</v>
      </c>
      <c r="E37" s="17" t="s">
        <v>461</v>
      </c>
      <c r="F37" s="17" t="s">
        <v>268</v>
      </c>
      <c r="G37" s="267"/>
      <c r="H37" s="89"/>
      <c r="I37" s="89"/>
      <c r="J37" s="89"/>
      <c r="K37" s="89"/>
      <c r="L37" s="89"/>
      <c r="M37" s="89"/>
      <c r="N37" s="89"/>
      <c r="O37" s="90"/>
      <c r="P37" s="89"/>
      <c r="Q37" s="56"/>
      <c r="R37" s="56"/>
    </row>
    <row r="38" spans="1:18" ht="15" customHeight="1" x14ac:dyDescent="0.3">
      <c r="A38" s="17" t="s">
        <v>49</v>
      </c>
      <c r="B38" s="17" t="s">
        <v>311</v>
      </c>
      <c r="C38" s="18" t="s">
        <v>479</v>
      </c>
      <c r="D38" s="17" t="s">
        <v>51</v>
      </c>
      <c r="E38" s="17" t="s">
        <v>187</v>
      </c>
      <c r="F38" s="17" t="s">
        <v>334</v>
      </c>
      <c r="G38" s="267"/>
      <c r="H38" s="89"/>
      <c r="I38" s="89"/>
      <c r="J38" s="89"/>
      <c r="K38" s="89"/>
      <c r="L38" s="89"/>
      <c r="M38" s="89"/>
      <c r="N38" s="89"/>
      <c r="O38" s="90"/>
      <c r="P38" s="89"/>
      <c r="Q38" s="56"/>
      <c r="R38" s="56"/>
    </row>
    <row r="39" spans="1:18" ht="15" customHeight="1" x14ac:dyDescent="0.3">
      <c r="A39" s="17" t="s">
        <v>49</v>
      </c>
      <c r="B39" s="17" t="s">
        <v>306</v>
      </c>
      <c r="C39" s="18" t="s">
        <v>480</v>
      </c>
      <c r="D39" s="17" t="s">
        <v>51</v>
      </c>
      <c r="E39" s="17" t="s">
        <v>187</v>
      </c>
      <c r="F39" s="17" t="s">
        <v>335</v>
      </c>
      <c r="G39" s="267"/>
      <c r="H39" s="89"/>
      <c r="I39" s="89"/>
      <c r="J39" s="89"/>
      <c r="K39" s="89"/>
      <c r="L39" s="89"/>
      <c r="M39" s="89"/>
      <c r="N39" s="89"/>
      <c r="O39" s="90"/>
      <c r="P39" s="89"/>
      <c r="Q39" s="56"/>
      <c r="R39" s="56"/>
    </row>
    <row r="40" spans="1:18" ht="15" customHeight="1" thickBot="1" x14ac:dyDescent="0.35">
      <c r="A40" s="91" t="s">
        <v>49</v>
      </c>
      <c r="B40" s="91" t="s">
        <v>313</v>
      </c>
      <c r="C40" s="92" t="s">
        <v>481</v>
      </c>
      <c r="D40" s="91" t="s">
        <v>51</v>
      </c>
      <c r="E40" s="91" t="s">
        <v>187</v>
      </c>
      <c r="F40" s="91" t="s">
        <v>292</v>
      </c>
      <c r="G40" s="268"/>
      <c r="H40" s="93"/>
      <c r="I40" s="93"/>
      <c r="J40" s="93"/>
      <c r="K40" s="93"/>
      <c r="L40" s="93"/>
      <c r="M40" s="93"/>
      <c r="N40" s="93"/>
      <c r="O40" s="94"/>
      <c r="P40" s="93"/>
      <c r="Q40" s="95"/>
      <c r="R40" s="95"/>
    </row>
    <row r="41" spans="1:18" ht="17.399999999999999" customHeight="1" thickBot="1" x14ac:dyDescent="0.35">
      <c r="A41" s="295"/>
      <c r="B41" s="296"/>
      <c r="C41" s="296"/>
      <c r="D41" s="296"/>
      <c r="E41" s="296"/>
      <c r="F41" s="296"/>
      <c r="G41" s="296"/>
      <c r="H41" s="296"/>
      <c r="I41" s="296"/>
      <c r="J41" s="296"/>
      <c r="K41" s="296"/>
      <c r="L41" s="296"/>
      <c r="M41" s="296"/>
      <c r="N41" s="296"/>
      <c r="O41" s="296"/>
      <c r="P41" s="296"/>
      <c r="Q41" s="296"/>
      <c r="R41" s="297"/>
    </row>
    <row r="42" spans="1:18" ht="22.05" customHeight="1" thickTop="1" thickBot="1" x14ac:dyDescent="0.35">
      <c r="A42" s="262" t="s">
        <v>6</v>
      </c>
      <c r="B42" s="263"/>
      <c r="C42" s="263"/>
      <c r="D42" s="263"/>
      <c r="E42" s="263"/>
      <c r="F42" s="264"/>
      <c r="G42" s="31">
        <v>45983</v>
      </c>
      <c r="H42" s="270" t="s">
        <v>7</v>
      </c>
      <c r="I42" s="263"/>
      <c r="J42" s="263"/>
      <c r="K42" s="263"/>
      <c r="L42" s="263"/>
      <c r="M42" s="263"/>
      <c r="N42" s="263"/>
      <c r="O42" s="263"/>
      <c r="P42" s="263"/>
      <c r="Q42" s="263"/>
      <c r="R42" s="264"/>
    </row>
    <row r="43" spans="1:18" ht="24" customHeight="1" x14ac:dyDescent="0.3">
      <c r="A43" s="32" t="s">
        <v>8</v>
      </c>
      <c r="B43" s="32" t="s">
        <v>9</v>
      </c>
      <c r="C43" s="33" t="s">
        <v>10</v>
      </c>
      <c r="D43" s="32" t="s">
        <v>11</v>
      </c>
      <c r="E43" s="32" t="s">
        <v>12</v>
      </c>
      <c r="F43" s="34" t="s">
        <v>13</v>
      </c>
      <c r="G43" s="35" t="s">
        <v>14</v>
      </c>
      <c r="H43" s="32" t="s">
        <v>15</v>
      </c>
      <c r="I43" s="36" t="s">
        <v>16</v>
      </c>
      <c r="J43" s="37" t="s">
        <v>17</v>
      </c>
      <c r="K43" s="38" t="s">
        <v>18</v>
      </c>
      <c r="L43" s="37" t="s">
        <v>19</v>
      </c>
      <c r="M43" s="37" t="s">
        <v>20</v>
      </c>
      <c r="N43" s="37" t="s">
        <v>21</v>
      </c>
      <c r="O43" s="32" t="s">
        <v>22</v>
      </c>
      <c r="P43" s="33" t="s">
        <v>23</v>
      </c>
      <c r="Q43" s="37" t="s">
        <v>24</v>
      </c>
      <c r="R43" s="32" t="s">
        <v>25</v>
      </c>
    </row>
    <row r="44" spans="1:18" ht="15" customHeight="1" x14ac:dyDescent="0.3">
      <c r="A44" s="8" t="s">
        <v>41</v>
      </c>
      <c r="B44" s="8" t="s">
        <v>482</v>
      </c>
      <c r="C44" s="9">
        <v>0.25694444444444448</v>
      </c>
      <c r="D44" s="8" t="s">
        <v>483</v>
      </c>
      <c r="E44" s="8" t="s">
        <v>101</v>
      </c>
      <c r="F44" s="8" t="s">
        <v>484</v>
      </c>
      <c r="G44" s="266"/>
      <c r="H44" s="10"/>
      <c r="I44" s="11"/>
      <c r="J44" s="11"/>
      <c r="K44" s="11"/>
      <c r="L44" s="11"/>
      <c r="M44" s="11"/>
      <c r="N44" s="11"/>
      <c r="O44" s="12"/>
      <c r="P44" s="11"/>
      <c r="Q44" s="13"/>
      <c r="R44" s="14"/>
    </row>
    <row r="45" spans="1:18" ht="15" customHeight="1" x14ac:dyDescent="0.3">
      <c r="A45" s="15" t="s">
        <v>41</v>
      </c>
      <c r="B45" s="15" t="s">
        <v>482</v>
      </c>
      <c r="C45" s="16">
        <v>0.25694444444444448</v>
      </c>
      <c r="D45" s="15" t="s">
        <v>449</v>
      </c>
      <c r="E45" s="15" t="s">
        <v>76</v>
      </c>
      <c r="F45" s="15" t="s">
        <v>485</v>
      </c>
      <c r="G45" s="267"/>
      <c r="H45" s="10"/>
      <c r="I45" s="11"/>
      <c r="J45" s="11"/>
      <c r="K45" s="11"/>
      <c r="L45" s="11"/>
      <c r="M45" s="11"/>
      <c r="N45" s="11"/>
      <c r="O45" s="12"/>
      <c r="P45" s="11"/>
      <c r="Q45" s="13"/>
      <c r="R45" s="14"/>
    </row>
    <row r="46" spans="1:18" ht="15" customHeight="1" x14ac:dyDescent="0.3">
      <c r="A46" s="15" t="s">
        <v>41</v>
      </c>
      <c r="B46" s="15" t="s">
        <v>482</v>
      </c>
      <c r="C46" s="16">
        <v>0.25694444444444448</v>
      </c>
      <c r="D46" s="15" t="s">
        <v>451</v>
      </c>
      <c r="E46" s="15" t="s">
        <v>76</v>
      </c>
      <c r="F46" s="15" t="s">
        <v>486</v>
      </c>
      <c r="G46" s="267"/>
      <c r="H46" s="10"/>
      <c r="I46" s="11"/>
      <c r="J46" s="11"/>
      <c r="K46" s="11"/>
      <c r="L46" s="11"/>
      <c r="M46" s="11"/>
      <c r="N46" s="11"/>
      <c r="O46" s="12"/>
      <c r="P46" s="11"/>
      <c r="Q46" s="13"/>
      <c r="R46" s="14"/>
    </row>
    <row r="47" spans="1:18" ht="15" customHeight="1" x14ac:dyDescent="0.3">
      <c r="A47" s="15" t="s">
        <v>41</v>
      </c>
      <c r="B47" s="15" t="s">
        <v>482</v>
      </c>
      <c r="C47" s="16">
        <v>0.25694444444444448</v>
      </c>
      <c r="D47" s="15" t="s">
        <v>487</v>
      </c>
      <c r="E47" s="15" t="s">
        <v>76</v>
      </c>
      <c r="F47" s="15" t="s">
        <v>48</v>
      </c>
      <c r="G47" s="267"/>
      <c r="H47" s="10"/>
      <c r="I47" s="11"/>
      <c r="J47" s="11"/>
      <c r="K47" s="11"/>
      <c r="L47" s="11"/>
      <c r="M47" s="11"/>
      <c r="N47" s="11"/>
      <c r="O47" s="12"/>
      <c r="P47" s="11"/>
      <c r="Q47" s="13"/>
      <c r="R47" s="14"/>
    </row>
    <row r="48" spans="1:18" ht="15" customHeight="1" x14ac:dyDescent="0.3">
      <c r="A48" s="193" t="s">
        <v>78</v>
      </c>
      <c r="B48" s="193" t="s">
        <v>488</v>
      </c>
      <c r="C48" s="194">
        <v>0.45833333333333331</v>
      </c>
      <c r="D48" s="193" t="s">
        <v>178</v>
      </c>
      <c r="E48" s="193" t="s">
        <v>101</v>
      </c>
      <c r="F48" s="193" t="s">
        <v>322</v>
      </c>
      <c r="G48" s="267"/>
      <c r="H48" s="140" t="s">
        <v>489</v>
      </c>
      <c r="I48" s="195">
        <v>0.99439999999999995</v>
      </c>
      <c r="J48" s="142">
        <v>178</v>
      </c>
      <c r="K48" s="143">
        <v>45978</v>
      </c>
      <c r="L48" s="142">
        <v>10</v>
      </c>
      <c r="M48" s="142">
        <v>0</v>
      </c>
      <c r="N48" s="142">
        <v>0</v>
      </c>
      <c r="O48" s="144" t="s">
        <v>431</v>
      </c>
      <c r="P48" s="145">
        <v>0.45833333333333331</v>
      </c>
      <c r="Q48" s="142">
        <v>179</v>
      </c>
      <c r="R48" s="146" t="s">
        <v>490</v>
      </c>
    </row>
    <row r="49" spans="1:18" ht="15" customHeight="1" x14ac:dyDescent="0.3">
      <c r="A49" s="136" t="s">
        <v>78</v>
      </c>
      <c r="B49" s="136" t="s">
        <v>467</v>
      </c>
      <c r="C49" s="137">
        <v>0.79166666666666663</v>
      </c>
      <c r="D49" s="136" t="s">
        <v>178</v>
      </c>
      <c r="E49" s="136" t="s">
        <v>74</v>
      </c>
      <c r="F49" s="136" t="s">
        <v>268</v>
      </c>
      <c r="G49" s="267"/>
      <c r="H49" s="82" t="s">
        <v>458</v>
      </c>
      <c r="I49" s="83">
        <v>0.98880000000000001</v>
      </c>
      <c r="J49" s="84">
        <v>177</v>
      </c>
      <c r="K49" s="85">
        <v>45979</v>
      </c>
      <c r="L49" s="84">
        <v>6</v>
      </c>
      <c r="M49" s="84">
        <v>0</v>
      </c>
      <c r="N49" s="84">
        <v>3</v>
      </c>
      <c r="O49" s="86" t="s">
        <v>357</v>
      </c>
      <c r="P49" s="87">
        <v>0.79166666666666663</v>
      </c>
      <c r="Q49" s="84">
        <v>179</v>
      </c>
      <c r="R49" s="88" t="s">
        <v>491</v>
      </c>
    </row>
    <row r="50" spans="1:18" ht="15" customHeight="1" x14ac:dyDescent="0.3">
      <c r="A50" s="19" t="s">
        <v>243</v>
      </c>
      <c r="B50" s="19" t="s">
        <v>454</v>
      </c>
      <c r="C50" s="20">
        <v>0.52777777777777779</v>
      </c>
      <c r="D50" s="19" t="s">
        <v>449</v>
      </c>
      <c r="E50" s="19" t="s">
        <v>90</v>
      </c>
      <c r="F50" s="19" t="s">
        <v>492</v>
      </c>
      <c r="G50" s="267"/>
      <c r="H50" s="10"/>
      <c r="I50" s="11"/>
      <c r="J50" s="11"/>
      <c r="K50" s="11"/>
      <c r="L50" s="11"/>
      <c r="M50" s="11"/>
      <c r="N50" s="11"/>
      <c r="O50" s="12"/>
      <c r="P50" s="11"/>
      <c r="Q50" s="13"/>
      <c r="R50" s="14"/>
    </row>
    <row r="51" spans="1:18" ht="15" customHeight="1" x14ac:dyDescent="0.3">
      <c r="A51" s="15" t="s">
        <v>243</v>
      </c>
      <c r="B51" s="15" t="s">
        <v>454</v>
      </c>
      <c r="C51" s="16">
        <v>0.52777777777777779</v>
      </c>
      <c r="D51" s="15" t="s">
        <v>451</v>
      </c>
      <c r="E51" s="15" t="s">
        <v>96</v>
      </c>
      <c r="F51" s="15" t="s">
        <v>493</v>
      </c>
      <c r="G51" s="267"/>
      <c r="H51" s="10"/>
      <c r="I51" s="11"/>
      <c r="J51" s="11"/>
      <c r="K51" s="11"/>
      <c r="L51" s="11"/>
      <c r="M51" s="11"/>
      <c r="N51" s="11"/>
      <c r="O51" s="12"/>
      <c r="P51" s="11"/>
      <c r="Q51" s="13"/>
      <c r="R51" s="14"/>
    </row>
    <row r="52" spans="1:18" ht="15" customHeight="1" x14ac:dyDescent="0.3">
      <c r="A52" s="15" t="s">
        <v>243</v>
      </c>
      <c r="B52" s="15" t="s">
        <v>454</v>
      </c>
      <c r="C52" s="16">
        <v>0.52777777777777779</v>
      </c>
      <c r="D52" s="15" t="s">
        <v>47</v>
      </c>
      <c r="E52" s="15" t="s">
        <v>96</v>
      </c>
      <c r="F52" s="15" t="s">
        <v>494</v>
      </c>
      <c r="G52" s="267"/>
      <c r="H52" s="10"/>
      <c r="I52" s="11"/>
      <c r="J52" s="11"/>
      <c r="K52" s="11"/>
      <c r="L52" s="11"/>
      <c r="M52" s="11"/>
      <c r="N52" s="11"/>
      <c r="O52" s="12"/>
      <c r="P52" s="11"/>
      <c r="Q52" s="13"/>
      <c r="R52" s="14"/>
    </row>
    <row r="53" spans="1:18" ht="15" customHeight="1" x14ac:dyDescent="0.3">
      <c r="A53" s="19" t="s">
        <v>62</v>
      </c>
      <c r="B53" s="19" t="s">
        <v>471</v>
      </c>
      <c r="C53" s="20">
        <v>0.71180555555555547</v>
      </c>
      <c r="D53" s="19" t="s">
        <v>64</v>
      </c>
      <c r="E53" s="19" t="s">
        <v>495</v>
      </c>
      <c r="F53" s="19" t="s">
        <v>496</v>
      </c>
      <c r="G53" s="267"/>
      <c r="H53" s="10"/>
      <c r="I53" s="11"/>
      <c r="J53" s="11"/>
      <c r="K53" s="11"/>
      <c r="L53" s="11"/>
      <c r="M53" s="11"/>
      <c r="N53" s="11"/>
      <c r="O53" s="12"/>
      <c r="P53" s="11"/>
      <c r="Q53" s="13"/>
      <c r="R53" s="14"/>
    </row>
    <row r="54" spans="1:18" ht="15" customHeight="1" x14ac:dyDescent="0.3">
      <c r="A54" s="15" t="s">
        <v>62</v>
      </c>
      <c r="B54" s="15" t="s">
        <v>471</v>
      </c>
      <c r="C54" s="16">
        <v>0.71180555555555547</v>
      </c>
      <c r="D54" s="15" t="s">
        <v>66</v>
      </c>
      <c r="E54" s="15" t="s">
        <v>95</v>
      </c>
      <c r="F54" s="15" t="s">
        <v>497</v>
      </c>
      <c r="G54" s="267"/>
      <c r="H54" s="10"/>
      <c r="I54" s="11"/>
      <c r="J54" s="11"/>
      <c r="K54" s="11"/>
      <c r="L54" s="11"/>
      <c r="M54" s="11"/>
      <c r="N54" s="11"/>
      <c r="O54" s="12"/>
      <c r="P54" s="11"/>
      <c r="Q54" s="13"/>
      <c r="R54" s="14"/>
    </row>
    <row r="55" spans="1:18" ht="15" customHeight="1" x14ac:dyDescent="0.3">
      <c r="A55" s="19" t="s">
        <v>49</v>
      </c>
      <c r="B55" s="19" t="s">
        <v>498</v>
      </c>
      <c r="C55" s="20">
        <v>0.60416666666666663</v>
      </c>
      <c r="D55" s="19" t="s">
        <v>51</v>
      </c>
      <c r="E55" s="19" t="s">
        <v>499</v>
      </c>
      <c r="F55" s="19" t="s">
        <v>500</v>
      </c>
      <c r="G55" s="267"/>
      <c r="H55" s="10"/>
      <c r="I55" s="11"/>
      <c r="J55" s="11"/>
      <c r="K55" s="11"/>
      <c r="L55" s="11"/>
      <c r="M55" s="11"/>
      <c r="N55" s="11"/>
      <c r="O55" s="12"/>
      <c r="P55" s="11"/>
      <c r="Q55" s="13"/>
      <c r="R55" s="14"/>
    </row>
    <row r="56" spans="1:18" ht="18" x14ac:dyDescent="0.3">
      <c r="A56" s="278" t="s">
        <v>460</v>
      </c>
      <c r="B56" s="279"/>
      <c r="C56" s="279"/>
      <c r="D56" s="279"/>
      <c r="E56" s="279"/>
      <c r="F56" s="280"/>
      <c r="G56" s="267"/>
      <c r="H56" s="89"/>
      <c r="I56" s="89"/>
      <c r="J56" s="89"/>
      <c r="K56" s="89"/>
      <c r="L56" s="89"/>
      <c r="M56" s="89"/>
      <c r="N56" s="89"/>
      <c r="O56" s="90"/>
      <c r="P56" s="89"/>
      <c r="Q56" s="56"/>
      <c r="R56" s="56"/>
    </row>
    <row r="57" spans="1:18" ht="15" customHeight="1" x14ac:dyDescent="0.3">
      <c r="A57" s="17" t="s">
        <v>285</v>
      </c>
      <c r="B57" s="17" t="s">
        <v>286</v>
      </c>
      <c r="C57" s="18" t="s">
        <v>501</v>
      </c>
      <c r="D57" s="17" t="s">
        <v>279</v>
      </c>
      <c r="E57" s="17" t="s">
        <v>187</v>
      </c>
      <c r="F57" s="17" t="s">
        <v>318</v>
      </c>
      <c r="G57" s="267"/>
      <c r="H57" s="89"/>
      <c r="I57" s="89"/>
      <c r="J57" s="89"/>
      <c r="K57" s="89"/>
      <c r="L57" s="89"/>
      <c r="M57" s="89"/>
      <c r="N57" s="89"/>
      <c r="O57" s="90"/>
      <c r="P57" s="89"/>
      <c r="Q57" s="56"/>
      <c r="R57" s="56"/>
    </row>
    <row r="58" spans="1:18" ht="15" customHeight="1" x14ac:dyDescent="0.3">
      <c r="A58" s="17" t="s">
        <v>277</v>
      </c>
      <c r="B58" s="17" t="s">
        <v>282</v>
      </c>
      <c r="C58" s="18" t="s">
        <v>502</v>
      </c>
      <c r="D58" s="17" t="s">
        <v>279</v>
      </c>
      <c r="E58" s="17" t="s">
        <v>475</v>
      </c>
      <c r="F58" s="17" t="s">
        <v>284</v>
      </c>
      <c r="G58" s="267"/>
      <c r="H58" s="89"/>
      <c r="I58" s="89"/>
      <c r="J58" s="89"/>
      <c r="K58" s="89"/>
      <c r="L58" s="89"/>
      <c r="M58" s="89"/>
      <c r="N58" s="89"/>
      <c r="O58" s="90"/>
      <c r="P58" s="89"/>
      <c r="Q58" s="56"/>
      <c r="R58" s="56"/>
    </row>
    <row r="59" spans="1:18" ht="15" customHeight="1" x14ac:dyDescent="0.3">
      <c r="A59" s="17" t="s">
        <v>62</v>
      </c>
      <c r="B59" s="17" t="s">
        <v>291</v>
      </c>
      <c r="C59" s="18" t="s">
        <v>503</v>
      </c>
      <c r="D59" s="17" t="s">
        <v>64</v>
      </c>
      <c r="E59" s="17" t="s">
        <v>187</v>
      </c>
      <c r="F59" s="17" t="s">
        <v>288</v>
      </c>
      <c r="G59" s="267"/>
      <c r="H59" s="89"/>
      <c r="I59" s="89"/>
      <c r="J59" s="89"/>
      <c r="K59" s="89"/>
      <c r="L59" s="89"/>
      <c r="M59" s="89"/>
      <c r="N59" s="89"/>
      <c r="O59" s="90"/>
      <c r="P59" s="89"/>
      <c r="Q59" s="56"/>
      <c r="R59" s="56"/>
    </row>
    <row r="60" spans="1:18" ht="15" customHeight="1" x14ac:dyDescent="0.3">
      <c r="A60" s="17" t="s">
        <v>62</v>
      </c>
      <c r="B60" s="17" t="s">
        <v>287</v>
      </c>
      <c r="C60" s="18" t="s">
        <v>504</v>
      </c>
      <c r="D60" s="17" t="s">
        <v>64</v>
      </c>
      <c r="E60" s="17" t="s">
        <v>187</v>
      </c>
      <c r="F60" s="17" t="s">
        <v>288</v>
      </c>
      <c r="G60" s="267"/>
      <c r="H60" s="89"/>
      <c r="I60" s="89"/>
      <c r="J60" s="89"/>
      <c r="K60" s="89"/>
      <c r="L60" s="89"/>
      <c r="M60" s="89"/>
      <c r="N60" s="89"/>
      <c r="O60" s="90"/>
      <c r="P60" s="89"/>
      <c r="Q60" s="56"/>
      <c r="R60" s="56"/>
    </row>
    <row r="61" spans="1:18" ht="15" customHeight="1" x14ac:dyDescent="0.3">
      <c r="A61" s="17" t="s">
        <v>62</v>
      </c>
      <c r="B61" s="17" t="s">
        <v>294</v>
      </c>
      <c r="C61" s="18" t="s">
        <v>505</v>
      </c>
      <c r="D61" s="17" t="s">
        <v>64</v>
      </c>
      <c r="E61" s="17" t="s">
        <v>187</v>
      </c>
      <c r="F61" s="17" t="s">
        <v>288</v>
      </c>
      <c r="G61" s="267"/>
      <c r="H61" s="89"/>
      <c r="I61" s="89"/>
      <c r="J61" s="89"/>
      <c r="K61" s="89"/>
      <c r="L61" s="89"/>
      <c r="M61" s="89"/>
      <c r="N61" s="89"/>
      <c r="O61" s="90"/>
      <c r="P61" s="89"/>
      <c r="Q61" s="56"/>
      <c r="R61" s="56"/>
    </row>
    <row r="62" spans="1:18" ht="15" customHeight="1" x14ac:dyDescent="0.3">
      <c r="A62" s="17" t="s">
        <v>62</v>
      </c>
      <c r="B62" s="17" t="s">
        <v>290</v>
      </c>
      <c r="C62" s="18" t="s">
        <v>506</v>
      </c>
      <c r="D62" s="17" t="s">
        <v>64</v>
      </c>
      <c r="E62" s="17" t="s">
        <v>187</v>
      </c>
      <c r="F62" s="17" t="s">
        <v>288</v>
      </c>
      <c r="G62" s="267"/>
      <c r="H62" s="89"/>
      <c r="I62" s="89"/>
      <c r="J62" s="89"/>
      <c r="K62" s="89"/>
      <c r="L62" s="89"/>
      <c r="M62" s="89"/>
      <c r="N62" s="89"/>
      <c r="O62" s="90"/>
      <c r="P62" s="89"/>
      <c r="Q62" s="56"/>
      <c r="R62" s="56"/>
    </row>
    <row r="63" spans="1:18" ht="15" customHeight="1" x14ac:dyDescent="0.3">
      <c r="A63" s="17" t="s">
        <v>49</v>
      </c>
      <c r="B63" s="17" t="s">
        <v>311</v>
      </c>
      <c r="C63" s="18" t="s">
        <v>479</v>
      </c>
      <c r="D63" s="17" t="s">
        <v>51</v>
      </c>
      <c r="E63" s="17" t="s">
        <v>187</v>
      </c>
      <c r="F63" s="17" t="s">
        <v>307</v>
      </c>
      <c r="G63" s="267"/>
      <c r="H63" s="89"/>
      <c r="I63" s="89"/>
      <c r="J63" s="89"/>
      <c r="K63" s="89"/>
      <c r="L63" s="89"/>
      <c r="M63" s="89"/>
      <c r="N63" s="89"/>
      <c r="O63" s="90"/>
      <c r="P63" s="89"/>
      <c r="Q63" s="56"/>
      <c r="R63" s="56"/>
    </row>
    <row r="64" spans="1:18" ht="15" customHeight="1" x14ac:dyDescent="0.3">
      <c r="A64" s="17" t="s">
        <v>62</v>
      </c>
      <c r="B64" s="17" t="s">
        <v>291</v>
      </c>
      <c r="C64" s="18" t="s">
        <v>503</v>
      </c>
      <c r="D64" s="17" t="s">
        <v>66</v>
      </c>
      <c r="E64" s="17" t="s">
        <v>187</v>
      </c>
      <c r="F64" s="17" t="s">
        <v>289</v>
      </c>
      <c r="G64" s="267"/>
      <c r="H64" s="89"/>
      <c r="I64" s="89"/>
      <c r="J64" s="89"/>
      <c r="K64" s="89"/>
      <c r="L64" s="89"/>
      <c r="M64" s="89"/>
      <c r="N64" s="89"/>
      <c r="O64" s="90"/>
      <c r="P64" s="89"/>
      <c r="Q64" s="56"/>
      <c r="R64" s="56"/>
    </row>
    <row r="65" spans="1:18" ht="15" customHeight="1" x14ac:dyDescent="0.3">
      <c r="A65" s="17" t="s">
        <v>62</v>
      </c>
      <c r="B65" s="17" t="s">
        <v>287</v>
      </c>
      <c r="C65" s="18" t="s">
        <v>504</v>
      </c>
      <c r="D65" s="17" t="s">
        <v>66</v>
      </c>
      <c r="E65" s="17" t="s">
        <v>187</v>
      </c>
      <c r="F65" s="17" t="s">
        <v>289</v>
      </c>
      <c r="G65" s="267"/>
      <c r="H65" s="89"/>
      <c r="I65" s="89"/>
      <c r="J65" s="89"/>
      <c r="K65" s="89"/>
      <c r="L65" s="89"/>
      <c r="M65" s="89"/>
      <c r="N65" s="89"/>
      <c r="O65" s="90"/>
      <c r="P65" s="89"/>
      <c r="Q65" s="56"/>
      <c r="R65" s="56"/>
    </row>
    <row r="66" spans="1:18" ht="15" customHeight="1" x14ac:dyDescent="0.3">
      <c r="A66" s="91" t="s">
        <v>62</v>
      </c>
      <c r="B66" s="91" t="s">
        <v>294</v>
      </c>
      <c r="C66" s="92" t="s">
        <v>505</v>
      </c>
      <c r="D66" s="91" t="s">
        <v>66</v>
      </c>
      <c r="E66" s="91" t="s">
        <v>187</v>
      </c>
      <c r="F66" s="91" t="s">
        <v>289</v>
      </c>
      <c r="G66" s="268"/>
      <c r="H66" s="93"/>
      <c r="I66" s="93"/>
      <c r="J66" s="93"/>
      <c r="K66" s="93"/>
      <c r="L66" s="93"/>
      <c r="M66" s="93"/>
      <c r="N66" s="93"/>
      <c r="O66" s="94"/>
      <c r="P66" s="93"/>
      <c r="Q66" s="95"/>
      <c r="R66" s="95"/>
    </row>
  </sheetData>
  <mergeCells count="21">
    <mergeCell ref="G27:G40"/>
    <mergeCell ref="A30:F30"/>
    <mergeCell ref="A24:R24"/>
    <mergeCell ref="H42:R42"/>
    <mergeCell ref="A25:F25"/>
    <mergeCell ref="A41:R41"/>
    <mergeCell ref="G6:G23"/>
    <mergeCell ref="H1:L1"/>
    <mergeCell ref="A1:E1"/>
    <mergeCell ref="A56:F56"/>
    <mergeCell ref="H4:R4"/>
    <mergeCell ref="G44:G66"/>
    <mergeCell ref="A2:F2"/>
    <mergeCell ref="A3:R3"/>
    <mergeCell ref="A42:F42"/>
    <mergeCell ref="H25:R25"/>
    <mergeCell ref="G2:J2"/>
    <mergeCell ref="A4:F4"/>
    <mergeCell ref="N1:R1"/>
    <mergeCell ref="A13:F13"/>
    <mergeCell ref="K2:R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6"/>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8.1093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3" width="3.88671875" style="282" bestFit="1" customWidth="1"/>
    <col min="24" max="24" width="4.109375" style="282" bestFit="1" customWidth="1"/>
    <col min="25" max="25" width="4.44140625" style="282" bestFit="1" customWidth="1"/>
    <col min="26" max="26" width="4.109375" style="282" bestFit="1" customWidth="1"/>
    <col min="27" max="27" width="5" style="282" bestFit="1" customWidth="1"/>
    <col min="28" max="29" width="4.21875" style="282" bestFit="1" customWidth="1"/>
    <col min="30" max="34" width="3.88671875" style="282" bestFit="1" customWidth="1"/>
    <col min="35" max="35" width="5.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458</v>
      </c>
      <c r="D2" s="286" t="s">
        <v>507</v>
      </c>
      <c r="E2" s="285" t="s">
        <v>447</v>
      </c>
      <c r="F2" s="285" t="s">
        <v>136</v>
      </c>
      <c r="G2" s="287">
        <v>1</v>
      </c>
      <c r="H2" s="288">
        <v>179</v>
      </c>
      <c r="I2" s="288">
        <v>179</v>
      </c>
      <c r="J2" s="288">
        <v>134</v>
      </c>
      <c r="K2" s="285" t="s">
        <v>137</v>
      </c>
      <c r="L2" s="289">
        <v>45979</v>
      </c>
      <c r="M2" s="288">
        <v>0</v>
      </c>
      <c r="N2" s="288">
        <v>1</v>
      </c>
      <c r="O2" s="288">
        <v>7</v>
      </c>
      <c r="P2" s="285" t="s">
        <v>82</v>
      </c>
      <c r="Q2" s="281"/>
      <c r="R2" s="281"/>
      <c r="S2" s="281"/>
      <c r="T2" s="281"/>
      <c r="U2" s="281"/>
      <c r="V2" s="288" t="s">
        <v>469</v>
      </c>
      <c r="W2" s="288" t="s">
        <v>190</v>
      </c>
      <c r="X2" s="288" t="s">
        <v>398</v>
      </c>
      <c r="Y2" s="288" t="s">
        <v>432</v>
      </c>
      <c r="Z2" s="288" t="s">
        <v>208</v>
      </c>
      <c r="AA2" s="281"/>
      <c r="AB2" s="281"/>
      <c r="AC2" s="288" t="s">
        <v>508</v>
      </c>
      <c r="AD2" s="288" t="s">
        <v>353</v>
      </c>
      <c r="AE2" s="288" t="s">
        <v>354</v>
      </c>
      <c r="AF2" s="288" t="s">
        <v>196</v>
      </c>
      <c r="AG2" s="281"/>
      <c r="AH2" s="281"/>
      <c r="AI2" s="288" t="s">
        <v>509</v>
      </c>
      <c r="AJ2" s="281"/>
    </row>
    <row r="3" spans="1:36" x14ac:dyDescent="0.3">
      <c r="A3" s="283" t="s">
        <v>393</v>
      </c>
      <c r="B3" s="284">
        <v>45982</v>
      </c>
      <c r="C3" s="285" t="s">
        <v>458</v>
      </c>
      <c r="D3" s="286" t="s">
        <v>478</v>
      </c>
      <c r="E3" s="285" t="s">
        <v>447</v>
      </c>
      <c r="F3" s="285" t="s">
        <v>136</v>
      </c>
      <c r="G3" s="287">
        <v>0.98880000000000001</v>
      </c>
      <c r="H3" s="288">
        <v>179</v>
      </c>
      <c r="I3" s="288">
        <v>177</v>
      </c>
      <c r="J3" s="288">
        <v>83</v>
      </c>
      <c r="K3" s="285" t="s">
        <v>137</v>
      </c>
      <c r="L3" s="289">
        <v>45979</v>
      </c>
      <c r="M3" s="288">
        <v>0</v>
      </c>
      <c r="N3" s="288">
        <v>3</v>
      </c>
      <c r="O3" s="288">
        <v>10</v>
      </c>
      <c r="P3" s="285" t="s">
        <v>469</v>
      </c>
      <c r="Q3" s="281"/>
      <c r="R3" s="281"/>
      <c r="S3" s="281"/>
      <c r="T3" s="281"/>
      <c r="U3" s="288" t="s">
        <v>510</v>
      </c>
      <c r="V3" s="288" t="s">
        <v>381</v>
      </c>
      <c r="W3" s="281"/>
      <c r="X3" s="288" t="s">
        <v>325</v>
      </c>
      <c r="Y3" s="288" t="s">
        <v>511</v>
      </c>
      <c r="Z3" s="288" t="s">
        <v>410</v>
      </c>
      <c r="AA3" s="288" t="s">
        <v>512</v>
      </c>
      <c r="AB3" s="288" t="s">
        <v>513</v>
      </c>
      <c r="AC3" s="288" t="s">
        <v>514</v>
      </c>
      <c r="AD3" s="281"/>
      <c r="AE3" s="281"/>
      <c r="AF3" s="281"/>
      <c r="AG3" s="281"/>
      <c r="AH3" s="281"/>
      <c r="AI3" s="288" t="s">
        <v>213</v>
      </c>
      <c r="AJ3" s="281"/>
    </row>
    <row r="4" spans="1:36" x14ac:dyDescent="0.3">
      <c r="A4" s="283" t="s">
        <v>150</v>
      </c>
      <c r="B4" s="284">
        <v>45983</v>
      </c>
      <c r="C4" s="285" t="s">
        <v>489</v>
      </c>
      <c r="D4" s="286" t="s">
        <v>403</v>
      </c>
      <c r="E4" s="285" t="s">
        <v>447</v>
      </c>
      <c r="F4" s="285" t="s">
        <v>136</v>
      </c>
      <c r="G4" s="287">
        <v>0.99439999999999995</v>
      </c>
      <c r="H4" s="288">
        <v>179</v>
      </c>
      <c r="I4" s="288">
        <v>178</v>
      </c>
      <c r="J4" s="288">
        <v>118</v>
      </c>
      <c r="K4" s="285" t="s">
        <v>137</v>
      </c>
      <c r="L4" s="289">
        <v>45978</v>
      </c>
      <c r="M4" s="288">
        <v>0</v>
      </c>
      <c r="N4" s="288">
        <v>0</v>
      </c>
      <c r="O4" s="288">
        <v>10</v>
      </c>
      <c r="P4" s="285" t="s">
        <v>431</v>
      </c>
      <c r="Q4" s="281"/>
      <c r="R4" s="281"/>
      <c r="S4" s="281"/>
      <c r="T4" s="281"/>
      <c r="U4" s="281"/>
      <c r="V4" s="281"/>
      <c r="W4" s="281"/>
      <c r="X4" s="288" t="s">
        <v>365</v>
      </c>
      <c r="Y4" s="281"/>
      <c r="Z4" s="288" t="s">
        <v>367</v>
      </c>
      <c r="AA4" s="288" t="s">
        <v>515</v>
      </c>
      <c r="AB4" s="288" t="s">
        <v>516</v>
      </c>
      <c r="AC4" s="288" t="s">
        <v>514</v>
      </c>
      <c r="AD4" s="281"/>
      <c r="AE4" s="281"/>
      <c r="AF4" s="281"/>
      <c r="AG4" s="281"/>
      <c r="AH4" s="281"/>
      <c r="AI4" s="288" t="s">
        <v>517</v>
      </c>
      <c r="AJ4" s="281"/>
    </row>
    <row r="5" spans="1:36" x14ac:dyDescent="0.3">
      <c r="A5" s="283" t="s">
        <v>150</v>
      </c>
      <c r="B5" s="284">
        <v>45983</v>
      </c>
      <c r="C5" s="285" t="s">
        <v>458</v>
      </c>
      <c r="D5" s="286" t="s">
        <v>481</v>
      </c>
      <c r="E5" s="285" t="s">
        <v>447</v>
      </c>
      <c r="F5" s="285" t="s">
        <v>136</v>
      </c>
      <c r="G5" s="287">
        <v>0.98880000000000001</v>
      </c>
      <c r="H5" s="288">
        <v>179</v>
      </c>
      <c r="I5" s="288">
        <v>177</v>
      </c>
      <c r="J5" s="288">
        <v>136</v>
      </c>
      <c r="K5" s="285" t="s">
        <v>137</v>
      </c>
      <c r="L5" s="289">
        <v>45979</v>
      </c>
      <c r="M5" s="288">
        <v>0</v>
      </c>
      <c r="N5" s="288">
        <v>3</v>
      </c>
      <c r="O5" s="288">
        <v>6</v>
      </c>
      <c r="P5" s="285" t="s">
        <v>357</v>
      </c>
      <c r="Q5" s="281"/>
      <c r="R5" s="281"/>
      <c r="S5" s="281"/>
      <c r="T5" s="281"/>
      <c r="U5" s="281"/>
      <c r="V5" s="288" t="s">
        <v>182</v>
      </c>
      <c r="W5" s="288" t="s">
        <v>371</v>
      </c>
      <c r="X5" s="288" t="s">
        <v>518</v>
      </c>
      <c r="Y5" s="281"/>
      <c r="Z5" s="288" t="s">
        <v>519</v>
      </c>
      <c r="AA5" s="281"/>
      <c r="AB5" s="281"/>
      <c r="AC5" s="288" t="s">
        <v>209</v>
      </c>
      <c r="AD5" s="281"/>
      <c r="AE5" s="281"/>
      <c r="AF5" s="281"/>
      <c r="AG5" s="281"/>
      <c r="AH5" s="281"/>
      <c r="AI5" s="288" t="s">
        <v>520</v>
      </c>
      <c r="AJ5" s="281"/>
    </row>
    <row r="6" spans="1:36" ht="21" x14ac:dyDescent="0.3">
      <c r="A6" s="290" t="s">
        <v>976</v>
      </c>
      <c r="B6" s="291"/>
      <c r="C6" s="290">
        <f>SUBTOTAL(103,JED_HBE_LF_LEGACY[Flt])</f>
        <v>4</v>
      </c>
      <c r="D6" s="290"/>
      <c r="E6" s="290">
        <f>SUBTOTAL(103,JED_HBE_LF_LEGACY[Brd-Off])</f>
        <v>4</v>
      </c>
      <c r="F6" s="290"/>
      <c r="G6" s="292">
        <f>SUBTOTAL(101,JED_HBE_LF_LEGACY[LF%])</f>
        <v>0.99299999999999999</v>
      </c>
      <c r="H6" s="293">
        <f>SUBTOTAL(109,JED_HBE_LF_LEGACY[CAP])</f>
        <v>716</v>
      </c>
      <c r="I6" s="293">
        <f>SUBTOTAL(109,JED_HBE_LF_LEGACY[BKG(Y)])</f>
        <v>711</v>
      </c>
      <c r="J6" s="293">
        <f>SUBTOTAL(109,JED_HBE_LF_LEGACY[GRP(Y)])</f>
        <v>471</v>
      </c>
      <c r="K6" s="290"/>
      <c r="L6" s="291"/>
      <c r="M6" s="293">
        <f>SUBTOTAL(109,JED_HBE_LF_LEGACY[TO-DAY])</f>
        <v>0</v>
      </c>
      <c r="N6" s="293">
        <f>SUBTOTAL(109,JED_HBE_LF_LEGACY[Y-DAY])</f>
        <v>7</v>
      </c>
      <c r="O6" s="293">
        <f>SUBTOTAL(109,JED_HBE_LF_LEGACY[WEEKLY])</f>
        <v>33</v>
      </c>
      <c r="P6" s="294"/>
      <c r="Q6" s="293">
        <f>SUBTOTAL(109,JED_HBE_LF_LEGACY[Y])</f>
        <v>0</v>
      </c>
      <c r="R6" s="293">
        <f>SUBTOTAL(109,JED_HBE_LF_LEGACY[B])</f>
        <v>0</v>
      </c>
      <c r="S6" s="293">
        <f>SUBTOTAL(109,JED_HBE_LF_LEGACY[M])</f>
        <v>0</v>
      </c>
      <c r="T6" s="293">
        <f>SUBTOTAL(109,JED_HBE_LF_LEGACY[H])</f>
        <v>0</v>
      </c>
      <c r="U6" s="293">
        <f>SUBTOTAL(109,JED_HBE_LF_LEGACY[Q])</f>
        <v>0</v>
      </c>
      <c r="V6" s="293">
        <f>SUBTOTAL(109,JED_HBE_LF_LEGACY[K])</f>
        <v>0</v>
      </c>
      <c r="W6" s="293">
        <f>SUBTOTAL(109,JED_HBE_LF_LEGACY[V])</f>
        <v>0</v>
      </c>
      <c r="X6" s="293">
        <f>SUBTOTAL(109,JED_HBE_LF_LEGACY[L])</f>
        <v>0</v>
      </c>
      <c r="Y6" s="293">
        <f>SUBTOTAL(109,JED_HBE_LF_LEGACY[G])</f>
        <v>0</v>
      </c>
      <c r="Z6" s="293">
        <f>SUBTOTAL(109,JED_HBE_LF_LEGACY[S])</f>
        <v>0</v>
      </c>
      <c r="AA6" s="293">
        <f>SUBTOTAL(109,JED_HBE_LF_LEGACY[W])</f>
        <v>0</v>
      </c>
      <c r="AB6" s="293">
        <f>SUBTOTAL(109,JED_HBE_LF_LEGACY[T])</f>
        <v>0</v>
      </c>
      <c r="AC6" s="293">
        <f>SUBTOTAL(109,JED_HBE_LF_LEGACY[X])</f>
        <v>0</v>
      </c>
      <c r="AD6" s="293">
        <f>SUBTOTAL(109,JED_HBE_LF_LEGACY[U])</f>
        <v>0</v>
      </c>
      <c r="AE6" s="293">
        <f>SUBTOTAL(109,JED_HBE_LF_LEGACY[O])</f>
        <v>0</v>
      </c>
      <c r="AF6" s="293">
        <f>SUBTOTAL(109,JED_HBE_LF_LEGACY[I])</f>
        <v>0</v>
      </c>
      <c r="AG6" s="293">
        <f>SUBTOTAL(109,JED_HBE_LF_LEGACY[E])</f>
        <v>0</v>
      </c>
      <c r="AH6" s="293">
        <f>SUBTOTAL(109,JED_HBE_LF_LEGACY[A])</f>
        <v>0</v>
      </c>
      <c r="AI6" s="293">
        <f>SUBTOTAL(109,JED_HBE_LF_LEGACY[P])</f>
        <v>0</v>
      </c>
      <c r="AJ6" s="293">
        <f>SUBTOTAL(103,JED_HBE_LF_LEGACY[N])</f>
        <v>0</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66406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243</v>
      </c>
      <c r="C2" s="62" t="s">
        <v>448</v>
      </c>
      <c r="D2" s="61" t="s">
        <v>447</v>
      </c>
      <c r="E2" s="61" t="s">
        <v>443</v>
      </c>
      <c r="F2" s="61" t="s">
        <v>449</v>
      </c>
      <c r="G2" s="63">
        <v>9</v>
      </c>
      <c r="H2" s="65" t="s">
        <v>450</v>
      </c>
    </row>
    <row r="3" spans="1:8" ht="19.8" customHeight="1" x14ac:dyDescent="0.3">
      <c r="A3" s="60" t="s">
        <v>162</v>
      </c>
      <c r="B3" s="61" t="s">
        <v>243</v>
      </c>
      <c r="C3" s="62" t="s">
        <v>454</v>
      </c>
      <c r="D3" s="61" t="s">
        <v>447</v>
      </c>
      <c r="E3" s="61" t="s">
        <v>521</v>
      </c>
      <c r="F3" s="61" t="s">
        <v>449</v>
      </c>
      <c r="G3" s="63">
        <v>4</v>
      </c>
      <c r="H3" s="65" t="s">
        <v>455</v>
      </c>
    </row>
    <row r="4" spans="1:8" ht="19.8" customHeight="1" x14ac:dyDescent="0.3">
      <c r="A4" s="60" t="s">
        <v>162</v>
      </c>
      <c r="B4" s="61" t="s">
        <v>243</v>
      </c>
      <c r="C4" s="62" t="s">
        <v>448</v>
      </c>
      <c r="D4" s="61" t="s">
        <v>447</v>
      </c>
      <c r="E4" s="61" t="s">
        <v>443</v>
      </c>
      <c r="F4" s="61" t="s">
        <v>451</v>
      </c>
      <c r="G4" s="63">
        <v>9</v>
      </c>
      <c r="H4" s="65" t="s">
        <v>452</v>
      </c>
    </row>
    <row r="5" spans="1:8" ht="19.8" customHeight="1" x14ac:dyDescent="0.3">
      <c r="A5" s="60" t="s">
        <v>162</v>
      </c>
      <c r="B5" s="61" t="s">
        <v>243</v>
      </c>
      <c r="C5" s="62" t="s">
        <v>454</v>
      </c>
      <c r="D5" s="61" t="s">
        <v>447</v>
      </c>
      <c r="E5" s="61" t="s">
        <v>521</v>
      </c>
      <c r="F5" s="61" t="s">
        <v>451</v>
      </c>
      <c r="G5" s="63">
        <v>4</v>
      </c>
      <c r="H5" s="65" t="s">
        <v>456</v>
      </c>
    </row>
    <row r="6" spans="1:8" ht="19.8" customHeight="1" x14ac:dyDescent="0.3">
      <c r="A6" s="60" t="s">
        <v>162</v>
      </c>
      <c r="B6" s="61" t="s">
        <v>243</v>
      </c>
      <c r="C6" s="62" t="s">
        <v>448</v>
      </c>
      <c r="D6" s="61" t="s">
        <v>447</v>
      </c>
      <c r="E6" s="61" t="s">
        <v>443</v>
      </c>
      <c r="F6" s="61" t="s">
        <v>47</v>
      </c>
      <c r="G6" s="63">
        <v>9</v>
      </c>
      <c r="H6" s="65" t="s">
        <v>453</v>
      </c>
    </row>
    <row r="7" spans="1:8" ht="19.8" customHeight="1" x14ac:dyDescent="0.3">
      <c r="A7" s="60" t="s">
        <v>162</v>
      </c>
      <c r="B7" s="61" t="s">
        <v>243</v>
      </c>
      <c r="C7" s="62" t="s">
        <v>454</v>
      </c>
      <c r="D7" s="61" t="s">
        <v>447</v>
      </c>
      <c r="E7" s="61" t="s">
        <v>521</v>
      </c>
      <c r="F7" s="61" t="s">
        <v>47</v>
      </c>
      <c r="G7" s="63">
        <v>4</v>
      </c>
      <c r="H7" s="65" t="s">
        <v>457</v>
      </c>
    </row>
    <row r="8" spans="1:8" ht="19.8" customHeight="1" x14ac:dyDescent="0.3">
      <c r="A8" s="96" t="s">
        <v>162</v>
      </c>
      <c r="B8" s="97" t="s">
        <v>78</v>
      </c>
      <c r="C8" s="98" t="s">
        <v>458</v>
      </c>
      <c r="D8" s="97" t="s">
        <v>447</v>
      </c>
      <c r="E8" s="97" t="s">
        <v>507</v>
      </c>
      <c r="F8" s="97" t="s">
        <v>80</v>
      </c>
      <c r="G8" s="97"/>
      <c r="H8" s="117" t="s">
        <v>81</v>
      </c>
    </row>
    <row r="9" spans="1:8" ht="19.8" customHeight="1" x14ac:dyDescent="0.3">
      <c r="A9" s="101"/>
      <c r="B9" s="102"/>
      <c r="C9" s="102"/>
      <c r="D9" s="102"/>
      <c r="E9" s="102"/>
      <c r="F9" s="103" t="s">
        <v>522</v>
      </c>
      <c r="G9" s="102"/>
      <c r="H9" s="104"/>
    </row>
    <row r="10" spans="1:8" ht="19.8" customHeight="1" x14ac:dyDescent="0.3">
      <c r="A10" s="70">
        <v>45981</v>
      </c>
      <c r="B10" s="61" t="s">
        <v>26</v>
      </c>
      <c r="C10" s="62" t="s">
        <v>219</v>
      </c>
      <c r="D10" s="61" t="s">
        <v>218</v>
      </c>
      <c r="E10" s="71">
        <v>1.256944444444444</v>
      </c>
      <c r="F10" s="61" t="s">
        <v>220</v>
      </c>
      <c r="G10" s="63">
        <v>7</v>
      </c>
      <c r="H10" s="64">
        <v>589</v>
      </c>
    </row>
    <row r="11" spans="1:8" ht="19.8" customHeight="1" x14ac:dyDescent="0.3">
      <c r="A11" s="70">
        <v>45981</v>
      </c>
      <c r="B11" s="61" t="s">
        <v>26</v>
      </c>
      <c r="C11" s="62" t="s">
        <v>223</v>
      </c>
      <c r="D11" s="61" t="s">
        <v>218</v>
      </c>
      <c r="E11" s="71">
        <v>1.302083333333333</v>
      </c>
      <c r="F11" s="61" t="s">
        <v>220</v>
      </c>
      <c r="G11" s="63">
        <v>4</v>
      </c>
      <c r="H11" s="64">
        <v>589</v>
      </c>
    </row>
    <row r="12" spans="1:8" ht="19.8" customHeight="1" x14ac:dyDescent="0.3">
      <c r="A12" s="70">
        <v>45981</v>
      </c>
      <c r="B12" s="61" t="s">
        <v>26</v>
      </c>
      <c r="C12" s="62" t="s">
        <v>224</v>
      </c>
      <c r="D12" s="61" t="s">
        <v>218</v>
      </c>
      <c r="E12" s="71">
        <v>1.854166666666667</v>
      </c>
      <c r="F12" s="61" t="s">
        <v>220</v>
      </c>
      <c r="G12" s="63">
        <v>8</v>
      </c>
      <c r="H12" s="64">
        <v>669</v>
      </c>
    </row>
    <row r="13" spans="1:8" ht="19.8" customHeight="1" x14ac:dyDescent="0.3">
      <c r="A13" s="70">
        <v>45981</v>
      </c>
      <c r="B13" s="61" t="s">
        <v>26</v>
      </c>
      <c r="C13" s="62" t="s">
        <v>227</v>
      </c>
      <c r="D13" s="61" t="s">
        <v>218</v>
      </c>
      <c r="E13" s="71">
        <v>1.9027777777777779</v>
      </c>
      <c r="F13" s="61" t="s">
        <v>220</v>
      </c>
      <c r="G13" s="63">
        <v>9</v>
      </c>
      <c r="H13" s="64">
        <v>669</v>
      </c>
    </row>
    <row r="14" spans="1:8" ht="19.8" customHeight="1" x14ac:dyDescent="0.3">
      <c r="A14" s="70">
        <v>45981</v>
      </c>
      <c r="B14" s="61" t="s">
        <v>26</v>
      </c>
      <c r="C14" s="62" t="s">
        <v>228</v>
      </c>
      <c r="D14" s="61" t="s">
        <v>218</v>
      </c>
      <c r="E14" s="71">
        <v>1.7986111111111109</v>
      </c>
      <c r="F14" s="61" t="s">
        <v>220</v>
      </c>
      <c r="G14" s="63">
        <v>5</v>
      </c>
      <c r="H14" s="64">
        <v>669</v>
      </c>
    </row>
    <row r="15" spans="1:8" ht="19.8" customHeight="1" x14ac:dyDescent="0.3">
      <c r="A15" s="70">
        <v>45981</v>
      </c>
      <c r="B15" s="61" t="s">
        <v>26</v>
      </c>
      <c r="C15" s="62" t="s">
        <v>230</v>
      </c>
      <c r="D15" s="61" t="s">
        <v>218</v>
      </c>
      <c r="E15" s="71">
        <v>1.395833333333333</v>
      </c>
      <c r="F15" s="61" t="s">
        <v>220</v>
      </c>
      <c r="G15" s="63">
        <v>9</v>
      </c>
      <c r="H15" s="64">
        <v>669</v>
      </c>
    </row>
    <row r="16" spans="1:8" ht="19.8" customHeight="1" x14ac:dyDescent="0.3">
      <c r="A16" s="70">
        <v>45981</v>
      </c>
      <c r="B16" s="61" t="s">
        <v>41</v>
      </c>
      <c r="C16" s="62" t="s">
        <v>235</v>
      </c>
      <c r="D16" s="61" t="s">
        <v>218</v>
      </c>
      <c r="E16" s="71">
        <v>1.302083333333333</v>
      </c>
      <c r="F16" s="61" t="s">
        <v>236</v>
      </c>
      <c r="G16" s="63">
        <v>9</v>
      </c>
      <c r="H16" s="64">
        <v>689</v>
      </c>
    </row>
    <row r="17" spans="1:8" ht="19.8" customHeight="1" x14ac:dyDescent="0.3">
      <c r="A17" s="70">
        <v>45981</v>
      </c>
      <c r="B17" s="61" t="s">
        <v>41</v>
      </c>
      <c r="C17" s="62" t="s">
        <v>238</v>
      </c>
      <c r="D17" s="61" t="s">
        <v>218</v>
      </c>
      <c r="E17" s="71">
        <v>1.8888888888888891</v>
      </c>
      <c r="F17" s="61" t="s">
        <v>236</v>
      </c>
      <c r="G17" s="63">
        <v>15</v>
      </c>
      <c r="H17" s="64">
        <v>689</v>
      </c>
    </row>
    <row r="18" spans="1:8" ht="19.8" customHeight="1" x14ac:dyDescent="0.3">
      <c r="A18" s="70">
        <v>45981</v>
      </c>
      <c r="B18" s="61" t="s">
        <v>41</v>
      </c>
      <c r="C18" s="62" t="s">
        <v>240</v>
      </c>
      <c r="D18" s="61" t="s">
        <v>218</v>
      </c>
      <c r="E18" s="71">
        <v>1.788194444444444</v>
      </c>
      <c r="F18" s="61" t="s">
        <v>236</v>
      </c>
      <c r="G18" s="63">
        <v>20</v>
      </c>
      <c r="H18" s="64">
        <v>689</v>
      </c>
    </row>
    <row r="19" spans="1:8" ht="19.8" customHeight="1" x14ac:dyDescent="0.3">
      <c r="A19" s="72">
        <v>45981</v>
      </c>
      <c r="B19" s="73" t="s">
        <v>243</v>
      </c>
      <c r="C19" s="74" t="s">
        <v>244</v>
      </c>
      <c r="D19" s="73" t="s">
        <v>218</v>
      </c>
      <c r="E19" s="75">
        <v>1.3298611111111109</v>
      </c>
      <c r="F19" s="73" t="s">
        <v>245</v>
      </c>
      <c r="G19" s="76">
        <v>9</v>
      </c>
      <c r="H19" s="105">
        <v>706</v>
      </c>
    </row>
    <row r="20" spans="1:8" ht="19.8" customHeight="1" x14ac:dyDescent="0.3">
      <c r="A20" s="189">
        <v>45982</v>
      </c>
      <c r="B20" s="97" t="s">
        <v>78</v>
      </c>
      <c r="C20" s="98" t="s">
        <v>467</v>
      </c>
      <c r="D20" s="97" t="s">
        <v>447</v>
      </c>
      <c r="E20" s="190">
        <v>1.416666666666667</v>
      </c>
      <c r="F20" s="97" t="s">
        <v>178</v>
      </c>
      <c r="G20" s="99">
        <v>1</v>
      </c>
      <c r="H20" s="117" t="s">
        <v>468</v>
      </c>
    </row>
    <row r="21" spans="1:8" ht="19.8" customHeight="1" x14ac:dyDescent="0.3">
      <c r="A21" s="70">
        <v>45982</v>
      </c>
      <c r="B21" s="61" t="s">
        <v>62</v>
      </c>
      <c r="C21" s="62" t="s">
        <v>471</v>
      </c>
      <c r="D21" s="61" t="s">
        <v>447</v>
      </c>
      <c r="E21" s="71">
        <v>1.711805555555556</v>
      </c>
      <c r="F21" s="61" t="s">
        <v>64</v>
      </c>
      <c r="G21" s="63">
        <v>9</v>
      </c>
      <c r="H21" s="65" t="s">
        <v>472</v>
      </c>
    </row>
    <row r="22" spans="1:8" ht="19.8" customHeight="1" x14ac:dyDescent="0.3">
      <c r="A22" s="70">
        <v>45982</v>
      </c>
      <c r="B22" s="61" t="s">
        <v>62</v>
      </c>
      <c r="C22" s="62" t="s">
        <v>471</v>
      </c>
      <c r="D22" s="61" t="s">
        <v>447</v>
      </c>
      <c r="E22" s="71">
        <v>1.711805555555556</v>
      </c>
      <c r="F22" s="61" t="s">
        <v>66</v>
      </c>
      <c r="G22" s="63">
        <v>9</v>
      </c>
      <c r="H22" s="65" t="s">
        <v>473</v>
      </c>
    </row>
    <row r="23" spans="1:8" ht="19.8" customHeight="1" x14ac:dyDescent="0.3">
      <c r="A23" s="101"/>
      <c r="B23" s="102"/>
      <c r="C23" s="102"/>
      <c r="D23" s="102"/>
      <c r="E23" s="102"/>
      <c r="F23" s="103" t="s">
        <v>522</v>
      </c>
      <c r="G23" s="102"/>
      <c r="H23" s="104"/>
    </row>
    <row r="24" spans="1:8" ht="19.8" customHeight="1" x14ac:dyDescent="0.3">
      <c r="A24" s="70">
        <v>45982</v>
      </c>
      <c r="B24" s="61" t="s">
        <v>285</v>
      </c>
      <c r="C24" s="62" t="s">
        <v>286</v>
      </c>
      <c r="D24" s="61" t="s">
        <v>218</v>
      </c>
      <c r="E24" s="71">
        <v>1.7152777777777779</v>
      </c>
      <c r="F24" s="61" t="s">
        <v>279</v>
      </c>
      <c r="G24" s="63">
        <v>1</v>
      </c>
      <c r="H24" s="64">
        <v>834</v>
      </c>
    </row>
    <row r="25" spans="1:8" ht="19.8" customHeight="1" x14ac:dyDescent="0.3">
      <c r="A25" s="70">
        <v>45982</v>
      </c>
      <c r="B25" s="61" t="s">
        <v>78</v>
      </c>
      <c r="C25" s="62" t="s">
        <v>260</v>
      </c>
      <c r="D25" s="61" t="s">
        <v>218</v>
      </c>
      <c r="E25" s="71">
        <v>1.7361111111111109</v>
      </c>
      <c r="F25" s="61" t="s">
        <v>178</v>
      </c>
      <c r="G25" s="63">
        <v>5</v>
      </c>
      <c r="H25" s="64">
        <v>856</v>
      </c>
    </row>
    <row r="26" spans="1:8" ht="19.8" customHeight="1" x14ac:dyDescent="0.3">
      <c r="A26" s="70">
        <v>45982</v>
      </c>
      <c r="B26" s="61" t="s">
        <v>78</v>
      </c>
      <c r="C26" s="62" t="s">
        <v>263</v>
      </c>
      <c r="D26" s="61" t="s">
        <v>218</v>
      </c>
      <c r="E26" s="71">
        <v>1.114583333333333</v>
      </c>
      <c r="F26" s="61" t="s">
        <v>178</v>
      </c>
      <c r="G26" s="63">
        <v>3</v>
      </c>
      <c r="H26" s="64">
        <v>856</v>
      </c>
    </row>
    <row r="27" spans="1:8" ht="19.8" customHeight="1" x14ac:dyDescent="0.3">
      <c r="A27" s="70">
        <v>45982</v>
      </c>
      <c r="B27" s="61" t="s">
        <v>78</v>
      </c>
      <c r="C27" s="62" t="s">
        <v>272</v>
      </c>
      <c r="D27" s="61" t="s">
        <v>218</v>
      </c>
      <c r="E27" s="71">
        <v>1.614583333333333</v>
      </c>
      <c r="F27" s="61" t="s">
        <v>178</v>
      </c>
      <c r="G27" s="63">
        <v>6</v>
      </c>
      <c r="H27" s="64">
        <v>856</v>
      </c>
    </row>
    <row r="28" spans="1:8" ht="19.8" customHeight="1" x14ac:dyDescent="0.3">
      <c r="A28" s="70">
        <v>45982</v>
      </c>
      <c r="B28" s="61" t="s">
        <v>78</v>
      </c>
      <c r="C28" s="62" t="s">
        <v>267</v>
      </c>
      <c r="D28" s="61" t="s">
        <v>218</v>
      </c>
      <c r="E28" s="71">
        <v>1.458333333333333</v>
      </c>
      <c r="F28" s="61" t="s">
        <v>178</v>
      </c>
      <c r="G28" s="63">
        <v>7</v>
      </c>
      <c r="H28" s="64">
        <v>856</v>
      </c>
    </row>
    <row r="29" spans="1:8" ht="19.8" customHeight="1" x14ac:dyDescent="0.3">
      <c r="A29" s="70">
        <v>45982</v>
      </c>
      <c r="B29" s="61" t="s">
        <v>285</v>
      </c>
      <c r="C29" s="62" t="s">
        <v>319</v>
      </c>
      <c r="D29" s="61" t="s">
        <v>218</v>
      </c>
      <c r="E29" s="71">
        <v>1.416666666666667</v>
      </c>
      <c r="F29" s="61" t="s">
        <v>279</v>
      </c>
      <c r="G29" s="63">
        <v>9</v>
      </c>
      <c r="H29" s="64">
        <v>933</v>
      </c>
    </row>
    <row r="30" spans="1:8" ht="19.8" customHeight="1" x14ac:dyDescent="0.3">
      <c r="A30" s="70">
        <v>45982</v>
      </c>
      <c r="B30" s="61" t="s">
        <v>78</v>
      </c>
      <c r="C30" s="62" t="s">
        <v>257</v>
      </c>
      <c r="D30" s="61" t="s">
        <v>218</v>
      </c>
      <c r="E30" s="71">
        <v>1.319444444444444</v>
      </c>
      <c r="F30" s="61" t="s">
        <v>178</v>
      </c>
      <c r="G30" s="63">
        <v>7</v>
      </c>
      <c r="H30" s="64">
        <v>952</v>
      </c>
    </row>
    <row r="31" spans="1:8" ht="19.8" customHeight="1" x14ac:dyDescent="0.3">
      <c r="A31" s="70">
        <v>45982</v>
      </c>
      <c r="B31" s="61" t="s">
        <v>49</v>
      </c>
      <c r="C31" s="62" t="s">
        <v>311</v>
      </c>
      <c r="D31" s="61" t="s">
        <v>218</v>
      </c>
      <c r="E31" s="71">
        <v>1.229166666666667</v>
      </c>
      <c r="F31" s="61" t="s">
        <v>51</v>
      </c>
      <c r="G31" s="63">
        <v>9</v>
      </c>
      <c r="H31" s="65" t="s">
        <v>334</v>
      </c>
    </row>
    <row r="32" spans="1:8" ht="19.8" customHeight="1" x14ac:dyDescent="0.3">
      <c r="A32" s="70">
        <v>45982</v>
      </c>
      <c r="B32" s="61" t="s">
        <v>49</v>
      </c>
      <c r="C32" s="62" t="s">
        <v>306</v>
      </c>
      <c r="D32" s="61" t="s">
        <v>218</v>
      </c>
      <c r="E32" s="71">
        <v>1.0138888888888891</v>
      </c>
      <c r="F32" s="61" t="s">
        <v>51</v>
      </c>
      <c r="G32" s="63">
        <v>9</v>
      </c>
      <c r="H32" s="65" t="s">
        <v>335</v>
      </c>
    </row>
    <row r="33" spans="1:8" ht="19.8" customHeight="1" x14ac:dyDescent="0.3">
      <c r="A33" s="72">
        <v>45982</v>
      </c>
      <c r="B33" s="73" t="s">
        <v>49</v>
      </c>
      <c r="C33" s="74" t="s">
        <v>313</v>
      </c>
      <c r="D33" s="73" t="s">
        <v>218</v>
      </c>
      <c r="E33" s="75">
        <v>1.791666666666667</v>
      </c>
      <c r="F33" s="73" t="s">
        <v>51</v>
      </c>
      <c r="G33" s="76">
        <v>9</v>
      </c>
      <c r="H33" s="77" t="s">
        <v>292</v>
      </c>
    </row>
    <row r="34" spans="1:8" ht="19.8" customHeight="1" x14ac:dyDescent="0.3">
      <c r="A34" s="70">
        <v>45983</v>
      </c>
      <c r="B34" s="61" t="s">
        <v>41</v>
      </c>
      <c r="C34" s="62" t="s">
        <v>482</v>
      </c>
      <c r="D34" s="61" t="s">
        <v>447</v>
      </c>
      <c r="E34" s="71">
        <v>1.256944444444444</v>
      </c>
      <c r="F34" s="61" t="s">
        <v>483</v>
      </c>
      <c r="G34" s="63">
        <v>1</v>
      </c>
      <c r="H34" s="64">
        <v>849</v>
      </c>
    </row>
    <row r="35" spans="1:8" ht="19.8" customHeight="1" x14ac:dyDescent="0.3">
      <c r="A35" s="189">
        <v>45983</v>
      </c>
      <c r="B35" s="97" t="s">
        <v>78</v>
      </c>
      <c r="C35" s="98" t="s">
        <v>488</v>
      </c>
      <c r="D35" s="97" t="s">
        <v>447</v>
      </c>
      <c r="E35" s="190">
        <v>1.458333333333333</v>
      </c>
      <c r="F35" s="97" t="s">
        <v>178</v>
      </c>
      <c r="G35" s="99">
        <v>1</v>
      </c>
      <c r="H35" s="100">
        <v>856</v>
      </c>
    </row>
    <row r="36" spans="1:8" ht="19.8" customHeight="1" x14ac:dyDescent="0.3">
      <c r="A36" s="70">
        <v>45983</v>
      </c>
      <c r="B36" s="61" t="s">
        <v>243</v>
      </c>
      <c r="C36" s="62" t="s">
        <v>454</v>
      </c>
      <c r="D36" s="61" t="s">
        <v>447</v>
      </c>
      <c r="E36" s="71">
        <v>1.5277777777777779</v>
      </c>
      <c r="F36" s="61" t="s">
        <v>449</v>
      </c>
      <c r="G36" s="63">
        <v>4</v>
      </c>
      <c r="H36" s="64">
        <v>869</v>
      </c>
    </row>
    <row r="37" spans="1:8" ht="19.8" customHeight="1" x14ac:dyDescent="0.3">
      <c r="A37" s="70">
        <v>45983</v>
      </c>
      <c r="B37" s="61" t="s">
        <v>41</v>
      </c>
      <c r="C37" s="62" t="s">
        <v>482</v>
      </c>
      <c r="D37" s="61" t="s">
        <v>447</v>
      </c>
      <c r="E37" s="71">
        <v>1.256944444444444</v>
      </c>
      <c r="F37" s="61" t="s">
        <v>449</v>
      </c>
      <c r="G37" s="63">
        <v>1</v>
      </c>
      <c r="H37" s="64">
        <v>908</v>
      </c>
    </row>
    <row r="38" spans="1:8" ht="19.8" customHeight="1" x14ac:dyDescent="0.3">
      <c r="A38" s="70">
        <v>45983</v>
      </c>
      <c r="B38" s="61" t="s">
        <v>41</v>
      </c>
      <c r="C38" s="62" t="s">
        <v>482</v>
      </c>
      <c r="D38" s="61" t="s">
        <v>447</v>
      </c>
      <c r="E38" s="71">
        <v>1.256944444444444</v>
      </c>
      <c r="F38" s="61" t="s">
        <v>451</v>
      </c>
      <c r="G38" s="63">
        <v>1</v>
      </c>
      <c r="H38" s="64">
        <v>932</v>
      </c>
    </row>
    <row r="39" spans="1:8" ht="19.8" customHeight="1" x14ac:dyDescent="0.3">
      <c r="A39" s="70">
        <v>45983</v>
      </c>
      <c r="B39" s="61" t="s">
        <v>243</v>
      </c>
      <c r="C39" s="62" t="s">
        <v>454</v>
      </c>
      <c r="D39" s="61" t="s">
        <v>447</v>
      </c>
      <c r="E39" s="71">
        <v>1.5277777777777779</v>
      </c>
      <c r="F39" s="61" t="s">
        <v>451</v>
      </c>
      <c r="G39" s="63">
        <v>4</v>
      </c>
      <c r="H39" s="64">
        <v>934</v>
      </c>
    </row>
    <row r="40" spans="1:8" ht="19.8" customHeight="1" x14ac:dyDescent="0.3">
      <c r="A40" s="189">
        <v>45983</v>
      </c>
      <c r="B40" s="97" t="s">
        <v>78</v>
      </c>
      <c r="C40" s="98" t="s">
        <v>467</v>
      </c>
      <c r="D40" s="97" t="s">
        <v>447</v>
      </c>
      <c r="E40" s="190">
        <v>1.791666666666667</v>
      </c>
      <c r="F40" s="97" t="s">
        <v>178</v>
      </c>
      <c r="G40" s="99">
        <v>1</v>
      </c>
      <c r="H40" s="100">
        <v>952</v>
      </c>
    </row>
    <row r="41" spans="1:8" ht="19.8" customHeight="1" x14ac:dyDescent="0.3">
      <c r="A41" s="70">
        <v>45983</v>
      </c>
      <c r="B41" s="61" t="s">
        <v>41</v>
      </c>
      <c r="C41" s="62" t="s">
        <v>482</v>
      </c>
      <c r="D41" s="61" t="s">
        <v>447</v>
      </c>
      <c r="E41" s="71">
        <v>1.256944444444444</v>
      </c>
      <c r="F41" s="61" t="s">
        <v>487</v>
      </c>
      <c r="G41" s="63">
        <v>1</v>
      </c>
      <c r="H41" s="65" t="s">
        <v>48</v>
      </c>
    </row>
    <row r="42" spans="1:8" ht="19.8" customHeight="1" x14ac:dyDescent="0.3">
      <c r="A42" s="70">
        <v>45983</v>
      </c>
      <c r="B42" s="61" t="s">
        <v>243</v>
      </c>
      <c r="C42" s="62" t="s">
        <v>454</v>
      </c>
      <c r="D42" s="61" t="s">
        <v>447</v>
      </c>
      <c r="E42" s="71">
        <v>1.5277777777777779</v>
      </c>
      <c r="F42" s="61" t="s">
        <v>47</v>
      </c>
      <c r="G42" s="63">
        <v>4</v>
      </c>
      <c r="H42" s="65" t="s">
        <v>494</v>
      </c>
    </row>
    <row r="43" spans="1:8" ht="19.8" customHeight="1" x14ac:dyDescent="0.3">
      <c r="A43" s="70">
        <v>45983</v>
      </c>
      <c r="B43" s="61" t="s">
        <v>62</v>
      </c>
      <c r="C43" s="62" t="s">
        <v>471</v>
      </c>
      <c r="D43" s="61" t="s">
        <v>447</v>
      </c>
      <c r="E43" s="71">
        <v>1.711805555555556</v>
      </c>
      <c r="F43" s="61" t="s">
        <v>64</v>
      </c>
      <c r="G43" s="63">
        <v>6</v>
      </c>
      <c r="H43" s="65" t="s">
        <v>496</v>
      </c>
    </row>
    <row r="44" spans="1:8" ht="19.8" customHeight="1" x14ac:dyDescent="0.3">
      <c r="A44" s="70">
        <v>45983</v>
      </c>
      <c r="B44" s="61" t="s">
        <v>62</v>
      </c>
      <c r="C44" s="62" t="s">
        <v>471</v>
      </c>
      <c r="D44" s="61" t="s">
        <v>447</v>
      </c>
      <c r="E44" s="71">
        <v>1.711805555555556</v>
      </c>
      <c r="F44" s="61" t="s">
        <v>66</v>
      </c>
      <c r="G44" s="63">
        <v>6</v>
      </c>
      <c r="H44" s="65" t="s">
        <v>497</v>
      </c>
    </row>
    <row r="45" spans="1:8" ht="19.8" customHeight="1" x14ac:dyDescent="0.3">
      <c r="A45" s="70">
        <v>45983</v>
      </c>
      <c r="B45" s="61" t="s">
        <v>49</v>
      </c>
      <c r="C45" s="62" t="s">
        <v>498</v>
      </c>
      <c r="D45" s="61" t="s">
        <v>447</v>
      </c>
      <c r="E45" s="71">
        <v>1.604166666666667</v>
      </c>
      <c r="F45" s="61" t="s">
        <v>51</v>
      </c>
      <c r="G45" s="63">
        <v>8</v>
      </c>
      <c r="H45" s="65" t="s">
        <v>500</v>
      </c>
    </row>
    <row r="46" spans="1:8" ht="19.8" customHeight="1" x14ac:dyDescent="0.3">
      <c r="A46" s="101"/>
      <c r="B46" s="102"/>
      <c r="C46" s="102"/>
      <c r="D46" s="102"/>
      <c r="E46" s="102"/>
      <c r="F46" s="103" t="s">
        <v>522</v>
      </c>
      <c r="G46" s="102"/>
      <c r="H46" s="104"/>
    </row>
    <row r="47" spans="1:8" ht="19.8" customHeight="1" x14ac:dyDescent="0.3">
      <c r="A47" s="70">
        <v>45983</v>
      </c>
      <c r="B47" s="61" t="s">
        <v>285</v>
      </c>
      <c r="C47" s="62" t="s">
        <v>286</v>
      </c>
      <c r="D47" s="61" t="s">
        <v>218</v>
      </c>
      <c r="E47" s="71">
        <v>1.666666666666667</v>
      </c>
      <c r="F47" s="61" t="s">
        <v>279</v>
      </c>
      <c r="G47" s="63">
        <v>9</v>
      </c>
      <c r="H47" s="64">
        <v>834</v>
      </c>
    </row>
    <row r="48" spans="1:8" ht="19.8" customHeight="1" x14ac:dyDescent="0.3">
      <c r="A48" s="70">
        <v>45983</v>
      </c>
      <c r="B48" s="61" t="s">
        <v>277</v>
      </c>
      <c r="C48" s="62" t="s">
        <v>282</v>
      </c>
      <c r="D48" s="61" t="s">
        <v>218</v>
      </c>
      <c r="E48" s="71">
        <v>1.270833333333333</v>
      </c>
      <c r="F48" s="61" t="s">
        <v>279</v>
      </c>
      <c r="G48" s="63">
        <v>1</v>
      </c>
      <c r="H48" s="64">
        <v>835</v>
      </c>
    </row>
    <row r="49" spans="1:8" ht="19.8" customHeight="1" x14ac:dyDescent="0.3">
      <c r="A49" s="70">
        <v>45983</v>
      </c>
      <c r="B49" s="61" t="s">
        <v>62</v>
      </c>
      <c r="C49" s="62" t="s">
        <v>291</v>
      </c>
      <c r="D49" s="61" t="s">
        <v>218</v>
      </c>
      <c r="E49" s="71">
        <v>1.006944444444444</v>
      </c>
      <c r="F49" s="61" t="s">
        <v>64</v>
      </c>
      <c r="G49" s="63">
        <v>9</v>
      </c>
      <c r="H49" s="65" t="s">
        <v>288</v>
      </c>
    </row>
    <row r="50" spans="1:8" ht="19.8" customHeight="1" x14ac:dyDescent="0.3">
      <c r="A50" s="70">
        <v>45983</v>
      </c>
      <c r="B50" s="61" t="s">
        <v>62</v>
      </c>
      <c r="C50" s="62" t="s">
        <v>287</v>
      </c>
      <c r="D50" s="61" t="s">
        <v>218</v>
      </c>
      <c r="E50" s="71">
        <v>1.1423611111111109</v>
      </c>
      <c r="F50" s="61" t="s">
        <v>64</v>
      </c>
      <c r="G50" s="63">
        <v>9</v>
      </c>
      <c r="H50" s="65" t="s">
        <v>288</v>
      </c>
    </row>
    <row r="51" spans="1:8" ht="19.8" customHeight="1" x14ac:dyDescent="0.3">
      <c r="A51" s="70">
        <v>45983</v>
      </c>
      <c r="B51" s="61" t="s">
        <v>62</v>
      </c>
      <c r="C51" s="62" t="s">
        <v>294</v>
      </c>
      <c r="D51" s="61" t="s">
        <v>218</v>
      </c>
      <c r="E51" s="71">
        <v>1.930555555555556</v>
      </c>
      <c r="F51" s="61" t="s">
        <v>64</v>
      </c>
      <c r="G51" s="63">
        <v>9</v>
      </c>
      <c r="H51" s="65" t="s">
        <v>288</v>
      </c>
    </row>
    <row r="52" spans="1:8" ht="19.8" customHeight="1" x14ac:dyDescent="0.3">
      <c r="A52" s="70">
        <v>45983</v>
      </c>
      <c r="B52" s="61" t="s">
        <v>62</v>
      </c>
      <c r="C52" s="62" t="s">
        <v>290</v>
      </c>
      <c r="D52" s="61" t="s">
        <v>218</v>
      </c>
      <c r="E52" s="71">
        <v>1.243055555555556</v>
      </c>
      <c r="F52" s="61" t="s">
        <v>64</v>
      </c>
      <c r="G52" s="63">
        <v>9</v>
      </c>
      <c r="H52" s="65" t="s">
        <v>288</v>
      </c>
    </row>
    <row r="53" spans="1:8" ht="19.8" customHeight="1" x14ac:dyDescent="0.3">
      <c r="A53" s="70">
        <v>45983</v>
      </c>
      <c r="B53" s="61" t="s">
        <v>49</v>
      </c>
      <c r="C53" s="62" t="s">
        <v>311</v>
      </c>
      <c r="D53" s="61" t="s">
        <v>218</v>
      </c>
      <c r="E53" s="71">
        <v>1.229166666666667</v>
      </c>
      <c r="F53" s="61" t="s">
        <v>51</v>
      </c>
      <c r="G53" s="63">
        <v>9</v>
      </c>
      <c r="H53" s="65" t="s">
        <v>307</v>
      </c>
    </row>
    <row r="54" spans="1:8" ht="19.8" customHeight="1" x14ac:dyDescent="0.3">
      <c r="A54" s="70">
        <v>45983</v>
      </c>
      <c r="B54" s="61" t="s">
        <v>62</v>
      </c>
      <c r="C54" s="62" t="s">
        <v>291</v>
      </c>
      <c r="D54" s="61" t="s">
        <v>218</v>
      </c>
      <c r="E54" s="71">
        <v>1.006944444444444</v>
      </c>
      <c r="F54" s="61" t="s">
        <v>66</v>
      </c>
      <c r="G54" s="63">
        <v>9</v>
      </c>
      <c r="H54" s="65" t="s">
        <v>289</v>
      </c>
    </row>
    <row r="55" spans="1:8" ht="19.8" customHeight="1" x14ac:dyDescent="0.3">
      <c r="A55" s="70">
        <v>45983</v>
      </c>
      <c r="B55" s="61" t="s">
        <v>62</v>
      </c>
      <c r="C55" s="62" t="s">
        <v>287</v>
      </c>
      <c r="D55" s="61" t="s">
        <v>218</v>
      </c>
      <c r="E55" s="71">
        <v>1.1423611111111109</v>
      </c>
      <c r="F55" s="61" t="s">
        <v>66</v>
      </c>
      <c r="G55" s="63">
        <v>9</v>
      </c>
      <c r="H55" s="65" t="s">
        <v>289</v>
      </c>
    </row>
    <row r="56" spans="1:8" ht="19.8" customHeight="1" x14ac:dyDescent="0.3">
      <c r="A56" s="72">
        <v>45983</v>
      </c>
      <c r="B56" s="73" t="s">
        <v>62</v>
      </c>
      <c r="C56" s="74" t="s">
        <v>294</v>
      </c>
      <c r="D56" s="73" t="s">
        <v>218</v>
      </c>
      <c r="E56" s="75">
        <v>1.930555555555556</v>
      </c>
      <c r="F56" s="73" t="s">
        <v>66</v>
      </c>
      <c r="G56" s="76">
        <v>9</v>
      </c>
      <c r="H56" s="77" t="s">
        <v>289</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52"/>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0.109375" bestFit="1" customWidth="1"/>
  </cols>
  <sheetData>
    <row r="1" spans="1:92" ht="28.8" customHeight="1" x14ac:dyDescent="0.3">
      <c r="A1" s="272" t="s">
        <v>0</v>
      </c>
      <c r="B1" s="261"/>
      <c r="C1" s="261"/>
      <c r="D1" s="261"/>
      <c r="E1" s="261"/>
      <c r="F1" s="1" t="s">
        <v>523</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45980.492426204233</v>
      </c>
      <c r="H2" s="261"/>
      <c r="I2" s="261"/>
      <c r="J2" s="261"/>
      <c r="K2" s="274">
        <v>45980.492426204502</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96" t="s">
        <v>78</v>
      </c>
      <c r="B6" s="196" t="s">
        <v>524</v>
      </c>
      <c r="C6" s="197">
        <v>8.3333333333333329E-2</v>
      </c>
      <c r="D6" s="196" t="s">
        <v>178</v>
      </c>
      <c r="E6" s="196" t="s">
        <v>52</v>
      </c>
      <c r="F6" s="196" t="s">
        <v>525</v>
      </c>
      <c r="G6" s="266"/>
      <c r="H6" s="198" t="s">
        <v>526</v>
      </c>
      <c r="I6" s="199">
        <v>0.58930000000000005</v>
      </c>
      <c r="J6" s="200">
        <v>99</v>
      </c>
      <c r="K6" s="201">
        <v>45980</v>
      </c>
      <c r="L6" s="200">
        <v>57</v>
      </c>
      <c r="M6" s="200">
        <v>3</v>
      </c>
      <c r="N6" s="200">
        <v>22</v>
      </c>
      <c r="O6" s="202" t="s">
        <v>527</v>
      </c>
      <c r="P6" s="203">
        <v>8.3333333333333329E-2</v>
      </c>
      <c r="Q6" s="200">
        <v>168</v>
      </c>
      <c r="R6" s="204" t="s">
        <v>528</v>
      </c>
    </row>
    <row r="7" spans="1:92" ht="15" customHeight="1" x14ac:dyDescent="0.3">
      <c r="A7" s="156" t="s">
        <v>78</v>
      </c>
      <c r="B7" s="156" t="s">
        <v>529</v>
      </c>
      <c r="C7" s="157">
        <v>0.48958333333333331</v>
      </c>
      <c r="D7" s="156" t="s">
        <v>178</v>
      </c>
      <c r="E7" s="156" t="s">
        <v>55</v>
      </c>
      <c r="F7" s="156" t="s">
        <v>530</v>
      </c>
      <c r="G7" s="267"/>
      <c r="H7" s="109" t="s">
        <v>531</v>
      </c>
      <c r="I7" s="205">
        <v>0.74399999999999999</v>
      </c>
      <c r="J7" s="111">
        <v>125</v>
      </c>
      <c r="K7" s="112">
        <v>45977</v>
      </c>
      <c r="L7" s="111">
        <v>10</v>
      </c>
      <c r="M7" s="111">
        <v>0</v>
      </c>
      <c r="N7" s="111">
        <v>0</v>
      </c>
      <c r="O7" s="113" t="s">
        <v>143</v>
      </c>
      <c r="P7" s="114">
        <v>0.48958333333333331</v>
      </c>
      <c r="Q7" s="111">
        <v>168</v>
      </c>
      <c r="R7" s="115" t="s">
        <v>532</v>
      </c>
    </row>
    <row r="8" spans="1:92" ht="15" customHeight="1" x14ac:dyDescent="0.3">
      <c r="A8" s="138" t="s">
        <v>78</v>
      </c>
      <c r="B8" s="138" t="s">
        <v>533</v>
      </c>
      <c r="C8" s="139">
        <v>0.70833333333333337</v>
      </c>
      <c r="D8" s="138" t="s">
        <v>178</v>
      </c>
      <c r="E8" s="138" t="s">
        <v>55</v>
      </c>
      <c r="F8" s="138" t="s">
        <v>534</v>
      </c>
      <c r="G8" s="267"/>
      <c r="H8" s="140" t="s">
        <v>535</v>
      </c>
      <c r="I8" s="141">
        <v>0.70830000000000004</v>
      </c>
      <c r="J8" s="142">
        <v>119</v>
      </c>
      <c r="K8" s="143">
        <v>45980</v>
      </c>
      <c r="L8" s="142">
        <v>60</v>
      </c>
      <c r="M8" s="142">
        <v>5</v>
      </c>
      <c r="N8" s="142">
        <v>13</v>
      </c>
      <c r="O8" s="144" t="s">
        <v>536</v>
      </c>
      <c r="P8" s="145">
        <v>0.70833333333333337</v>
      </c>
      <c r="Q8" s="142">
        <v>168</v>
      </c>
      <c r="R8" s="146" t="s">
        <v>537</v>
      </c>
    </row>
    <row r="9" spans="1:92" ht="15" customHeight="1" x14ac:dyDescent="0.3">
      <c r="A9" s="19" t="s">
        <v>49</v>
      </c>
      <c r="B9" s="19" t="s">
        <v>538</v>
      </c>
      <c r="C9" s="20">
        <v>0.48958333333333331</v>
      </c>
      <c r="D9" s="19" t="s">
        <v>539</v>
      </c>
      <c r="E9" s="19" t="s">
        <v>90</v>
      </c>
      <c r="F9" s="19" t="s">
        <v>540</v>
      </c>
      <c r="G9" s="267"/>
      <c r="H9" s="10"/>
      <c r="I9" s="11"/>
      <c r="J9" s="11"/>
      <c r="K9" s="11"/>
      <c r="L9" s="11"/>
      <c r="M9" s="11"/>
      <c r="N9" s="11"/>
      <c r="O9" s="12"/>
      <c r="P9" s="11"/>
      <c r="Q9" s="13"/>
      <c r="R9" s="14"/>
    </row>
    <row r="10" spans="1:92" ht="18" x14ac:dyDescent="0.3">
      <c r="A10" s="278" t="s">
        <v>460</v>
      </c>
      <c r="B10" s="279"/>
      <c r="C10" s="279"/>
      <c r="D10" s="279"/>
      <c r="E10" s="279"/>
      <c r="F10" s="280"/>
      <c r="G10" s="267"/>
      <c r="H10" s="89"/>
      <c r="I10" s="89"/>
      <c r="J10" s="89"/>
      <c r="K10" s="89"/>
      <c r="L10" s="89"/>
      <c r="M10" s="89"/>
      <c r="N10" s="89"/>
      <c r="O10" s="90"/>
      <c r="P10" s="89"/>
      <c r="Q10" s="56"/>
      <c r="R10" s="56"/>
    </row>
    <row r="11" spans="1:92" ht="15" customHeight="1" x14ac:dyDescent="0.3">
      <c r="A11" s="17" t="s">
        <v>26</v>
      </c>
      <c r="B11" s="17" t="s">
        <v>219</v>
      </c>
      <c r="C11" s="18" t="s">
        <v>440</v>
      </c>
      <c r="D11" s="17" t="s">
        <v>220</v>
      </c>
      <c r="E11" s="17" t="s">
        <v>461</v>
      </c>
      <c r="F11" s="17" t="s">
        <v>222</v>
      </c>
      <c r="G11" s="267"/>
      <c r="H11" s="89"/>
      <c r="I11" s="89"/>
      <c r="J11" s="89"/>
      <c r="K11" s="89"/>
      <c r="L11" s="89"/>
      <c r="M11" s="89"/>
      <c r="N11" s="89"/>
      <c r="O11" s="90"/>
      <c r="P11" s="89"/>
      <c r="Q11" s="56"/>
      <c r="R11" s="56"/>
    </row>
    <row r="12" spans="1:92" ht="15" customHeight="1" x14ac:dyDescent="0.3">
      <c r="A12" s="17" t="s">
        <v>26</v>
      </c>
      <c r="B12" s="17" t="s">
        <v>223</v>
      </c>
      <c r="C12" s="18" t="s">
        <v>441</v>
      </c>
      <c r="D12" s="17" t="s">
        <v>220</v>
      </c>
      <c r="E12" s="17" t="s">
        <v>462</v>
      </c>
      <c r="F12" s="17" t="s">
        <v>222</v>
      </c>
      <c r="G12" s="267"/>
      <c r="H12" s="89"/>
      <c r="I12" s="89"/>
      <c r="J12" s="89"/>
      <c r="K12" s="89"/>
      <c r="L12" s="89"/>
      <c r="M12" s="89"/>
      <c r="N12" s="89"/>
      <c r="O12" s="90"/>
      <c r="P12" s="89"/>
      <c r="Q12" s="56"/>
      <c r="R12" s="56"/>
    </row>
    <row r="13" spans="1:92" ht="15" customHeight="1" x14ac:dyDescent="0.3">
      <c r="A13" s="17" t="s">
        <v>26</v>
      </c>
      <c r="B13" s="17" t="s">
        <v>224</v>
      </c>
      <c r="C13" s="18" t="s">
        <v>169</v>
      </c>
      <c r="D13" s="17" t="s">
        <v>220</v>
      </c>
      <c r="E13" s="17" t="s">
        <v>463</v>
      </c>
      <c r="F13" s="17" t="s">
        <v>226</v>
      </c>
      <c r="G13" s="267"/>
      <c r="H13" s="89"/>
      <c r="I13" s="89"/>
      <c r="J13" s="89"/>
      <c r="K13" s="89"/>
      <c r="L13" s="89"/>
      <c r="M13" s="89"/>
      <c r="N13" s="89"/>
      <c r="O13" s="90"/>
      <c r="P13" s="89"/>
      <c r="Q13" s="56"/>
      <c r="R13" s="56"/>
    </row>
    <row r="14" spans="1:92" ht="15" customHeight="1" x14ac:dyDescent="0.3">
      <c r="A14" s="17" t="s">
        <v>26</v>
      </c>
      <c r="B14" s="17" t="s">
        <v>227</v>
      </c>
      <c r="C14" s="18" t="s">
        <v>442</v>
      </c>
      <c r="D14" s="17" t="s">
        <v>220</v>
      </c>
      <c r="E14" s="17" t="s">
        <v>185</v>
      </c>
      <c r="F14" s="17" t="s">
        <v>226</v>
      </c>
      <c r="G14" s="267"/>
      <c r="H14" s="89"/>
      <c r="I14" s="89"/>
      <c r="J14" s="89"/>
      <c r="K14" s="89"/>
      <c r="L14" s="89"/>
      <c r="M14" s="89"/>
      <c r="N14" s="89"/>
      <c r="O14" s="90"/>
      <c r="P14" s="89"/>
      <c r="Q14" s="56"/>
      <c r="R14" s="56"/>
    </row>
    <row r="15" spans="1:92" ht="15" customHeight="1" x14ac:dyDescent="0.3">
      <c r="A15" s="17" t="s">
        <v>26</v>
      </c>
      <c r="B15" s="17" t="s">
        <v>228</v>
      </c>
      <c r="C15" s="18" t="s">
        <v>443</v>
      </c>
      <c r="D15" s="17" t="s">
        <v>220</v>
      </c>
      <c r="E15" s="17" t="s">
        <v>464</v>
      </c>
      <c r="F15" s="17" t="s">
        <v>226</v>
      </c>
      <c r="G15" s="267"/>
      <c r="H15" s="89"/>
      <c r="I15" s="89"/>
      <c r="J15" s="89"/>
      <c r="K15" s="89"/>
      <c r="L15" s="89"/>
      <c r="M15" s="89"/>
      <c r="N15" s="89"/>
      <c r="O15" s="90"/>
      <c r="P15" s="89"/>
      <c r="Q15" s="56"/>
      <c r="R15" s="56"/>
    </row>
    <row r="16" spans="1:92" ht="15" customHeight="1" x14ac:dyDescent="0.3">
      <c r="A16" s="17" t="s">
        <v>26</v>
      </c>
      <c r="B16" s="17" t="s">
        <v>230</v>
      </c>
      <c r="C16" s="18" t="s">
        <v>151</v>
      </c>
      <c r="D16" s="17" t="s">
        <v>220</v>
      </c>
      <c r="E16" s="17" t="s">
        <v>185</v>
      </c>
      <c r="F16" s="17" t="s">
        <v>226</v>
      </c>
      <c r="G16" s="267"/>
      <c r="H16" s="89"/>
      <c r="I16" s="89"/>
      <c r="J16" s="89"/>
      <c r="K16" s="89"/>
      <c r="L16" s="89"/>
      <c r="M16" s="89"/>
      <c r="N16" s="89"/>
      <c r="O16" s="90"/>
      <c r="P16" s="89"/>
      <c r="Q16" s="56"/>
      <c r="R16" s="56"/>
    </row>
    <row r="17" spans="1:18" ht="15" customHeight="1" x14ac:dyDescent="0.3">
      <c r="A17" s="17" t="s">
        <v>41</v>
      </c>
      <c r="B17" s="17" t="s">
        <v>235</v>
      </c>
      <c r="C17" s="18" t="s">
        <v>441</v>
      </c>
      <c r="D17" s="17" t="s">
        <v>236</v>
      </c>
      <c r="E17" s="17" t="s">
        <v>185</v>
      </c>
      <c r="F17" s="17" t="s">
        <v>237</v>
      </c>
      <c r="G17" s="267"/>
      <c r="H17" s="89"/>
      <c r="I17" s="89"/>
      <c r="J17" s="89"/>
      <c r="K17" s="89"/>
      <c r="L17" s="89"/>
      <c r="M17" s="89"/>
      <c r="N17" s="89"/>
      <c r="O17" s="90"/>
      <c r="P17" s="89"/>
      <c r="Q17" s="56"/>
      <c r="R17" s="56"/>
    </row>
    <row r="18" spans="1:18" ht="15" customHeight="1" x14ac:dyDescent="0.3">
      <c r="A18" s="17" t="s">
        <v>41</v>
      </c>
      <c r="B18" s="17" t="s">
        <v>238</v>
      </c>
      <c r="C18" s="18" t="s">
        <v>444</v>
      </c>
      <c r="D18" s="17" t="s">
        <v>236</v>
      </c>
      <c r="E18" s="17" t="s">
        <v>465</v>
      </c>
      <c r="F18" s="17" t="s">
        <v>237</v>
      </c>
      <c r="G18" s="267"/>
      <c r="H18" s="89"/>
      <c r="I18" s="89"/>
      <c r="J18" s="89"/>
      <c r="K18" s="89"/>
      <c r="L18" s="89"/>
      <c r="M18" s="89"/>
      <c r="N18" s="89"/>
      <c r="O18" s="90"/>
      <c r="P18" s="89"/>
      <c r="Q18" s="56"/>
      <c r="R18" s="56"/>
    </row>
    <row r="19" spans="1:18" ht="15" customHeight="1" x14ac:dyDescent="0.3">
      <c r="A19" s="17" t="s">
        <v>41</v>
      </c>
      <c r="B19" s="17" t="s">
        <v>240</v>
      </c>
      <c r="C19" s="18" t="s">
        <v>445</v>
      </c>
      <c r="D19" s="17" t="s">
        <v>236</v>
      </c>
      <c r="E19" s="17" t="s">
        <v>466</v>
      </c>
      <c r="F19" s="17" t="s">
        <v>237</v>
      </c>
      <c r="G19" s="267"/>
      <c r="H19" s="89"/>
      <c r="I19" s="89"/>
      <c r="J19" s="89"/>
      <c r="K19" s="89"/>
      <c r="L19" s="89"/>
      <c r="M19" s="89"/>
      <c r="N19" s="89"/>
      <c r="O19" s="90"/>
      <c r="P19" s="89"/>
      <c r="Q19" s="56"/>
      <c r="R19" s="56"/>
    </row>
    <row r="20" spans="1:18" ht="15" customHeight="1" thickBot="1" x14ac:dyDescent="0.35">
      <c r="A20" s="91" t="s">
        <v>243</v>
      </c>
      <c r="B20" s="91" t="s">
        <v>244</v>
      </c>
      <c r="C20" s="92" t="s">
        <v>446</v>
      </c>
      <c r="D20" s="91" t="s">
        <v>245</v>
      </c>
      <c r="E20" s="91" t="s">
        <v>185</v>
      </c>
      <c r="F20" s="91" t="s">
        <v>246</v>
      </c>
      <c r="G20" s="268"/>
      <c r="H20" s="93"/>
      <c r="I20" s="93"/>
      <c r="J20" s="93"/>
      <c r="K20" s="93"/>
      <c r="L20" s="93"/>
      <c r="M20" s="93"/>
      <c r="N20" s="93"/>
      <c r="O20" s="94"/>
      <c r="P20" s="93"/>
      <c r="Q20" s="95"/>
      <c r="R20" s="95"/>
    </row>
    <row r="21" spans="1:18" ht="17.399999999999999" customHeight="1" thickBot="1" x14ac:dyDescent="0.35">
      <c r="A21" s="295"/>
      <c r="B21" s="296"/>
      <c r="C21" s="296"/>
      <c r="D21" s="296"/>
      <c r="E21" s="296"/>
      <c r="F21" s="296"/>
      <c r="G21" s="296"/>
      <c r="H21" s="296"/>
      <c r="I21" s="296"/>
      <c r="J21" s="296"/>
      <c r="K21" s="296"/>
      <c r="L21" s="296"/>
      <c r="M21" s="296"/>
      <c r="N21" s="296"/>
      <c r="O21" s="296"/>
      <c r="P21" s="296"/>
      <c r="Q21" s="296"/>
      <c r="R21" s="297"/>
    </row>
    <row r="22" spans="1:18" ht="22.05" customHeight="1" thickTop="1" thickBot="1" x14ac:dyDescent="0.35">
      <c r="A22" s="262" t="s">
        <v>6</v>
      </c>
      <c r="B22" s="263"/>
      <c r="C22" s="263"/>
      <c r="D22" s="263"/>
      <c r="E22" s="263"/>
      <c r="F22" s="264"/>
      <c r="G22" s="31">
        <v>45982</v>
      </c>
      <c r="H22" s="270" t="s">
        <v>7</v>
      </c>
      <c r="I22" s="263"/>
      <c r="J22" s="263"/>
      <c r="K22" s="263"/>
      <c r="L22" s="263"/>
      <c r="M22" s="263"/>
      <c r="N22" s="263"/>
      <c r="O22" s="263"/>
      <c r="P22" s="263"/>
      <c r="Q22" s="263"/>
      <c r="R22" s="264"/>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15" customHeight="1" x14ac:dyDescent="0.3">
      <c r="A24" s="158" t="s">
        <v>78</v>
      </c>
      <c r="B24" s="158" t="s">
        <v>541</v>
      </c>
      <c r="C24" s="159">
        <v>0.29166666666666669</v>
      </c>
      <c r="D24" s="158" t="s">
        <v>178</v>
      </c>
      <c r="E24" s="158" t="s">
        <v>321</v>
      </c>
      <c r="F24" s="158" t="s">
        <v>542</v>
      </c>
      <c r="G24" s="266"/>
      <c r="H24" s="120" t="s">
        <v>543</v>
      </c>
      <c r="I24" s="121">
        <v>0.66069999999999995</v>
      </c>
      <c r="J24" s="122">
        <v>111</v>
      </c>
      <c r="K24" s="123">
        <v>45980</v>
      </c>
      <c r="L24" s="122">
        <v>75</v>
      </c>
      <c r="M24" s="122">
        <v>1</v>
      </c>
      <c r="N24" s="122">
        <v>12</v>
      </c>
      <c r="O24" s="124" t="s">
        <v>353</v>
      </c>
      <c r="P24" s="125">
        <v>0.29166666666666669</v>
      </c>
      <c r="Q24" s="122">
        <v>168</v>
      </c>
      <c r="R24" s="126" t="s">
        <v>544</v>
      </c>
    </row>
    <row r="25" spans="1:18" ht="18" x14ac:dyDescent="0.3">
      <c r="A25" s="278" t="s">
        <v>460</v>
      </c>
      <c r="B25" s="279"/>
      <c r="C25" s="279"/>
      <c r="D25" s="279"/>
      <c r="E25" s="279"/>
      <c r="F25" s="280"/>
      <c r="G25" s="267"/>
      <c r="H25" s="89"/>
      <c r="I25" s="89"/>
      <c r="J25" s="89"/>
      <c r="K25" s="89"/>
      <c r="L25" s="89"/>
      <c r="M25" s="89"/>
      <c r="N25" s="89"/>
      <c r="O25" s="90"/>
      <c r="P25" s="89"/>
      <c r="Q25" s="56"/>
      <c r="R25" s="56"/>
    </row>
    <row r="26" spans="1:18" ht="15" customHeight="1" x14ac:dyDescent="0.3">
      <c r="A26" s="17" t="s">
        <v>285</v>
      </c>
      <c r="B26" s="17" t="s">
        <v>286</v>
      </c>
      <c r="C26" s="18" t="s">
        <v>474</v>
      </c>
      <c r="D26" s="17" t="s">
        <v>279</v>
      </c>
      <c r="E26" s="17" t="s">
        <v>475</v>
      </c>
      <c r="F26" s="17" t="s">
        <v>318</v>
      </c>
      <c r="G26" s="267"/>
      <c r="H26" s="89"/>
      <c r="I26" s="89"/>
      <c r="J26" s="89"/>
      <c r="K26" s="89"/>
      <c r="L26" s="89"/>
      <c r="M26" s="89"/>
      <c r="N26" s="89"/>
      <c r="O26" s="90"/>
      <c r="P26" s="89"/>
      <c r="Q26" s="56"/>
      <c r="R26" s="56"/>
    </row>
    <row r="27" spans="1:18" ht="15" customHeight="1" x14ac:dyDescent="0.3">
      <c r="A27" s="17" t="s">
        <v>78</v>
      </c>
      <c r="B27" s="17" t="s">
        <v>260</v>
      </c>
      <c r="C27" s="18" t="s">
        <v>411</v>
      </c>
      <c r="D27" s="17" t="s">
        <v>178</v>
      </c>
      <c r="E27" s="17" t="s">
        <v>464</v>
      </c>
      <c r="F27" s="17" t="s">
        <v>322</v>
      </c>
      <c r="G27" s="267"/>
      <c r="H27" s="89"/>
      <c r="I27" s="89"/>
      <c r="J27" s="89"/>
      <c r="K27" s="89"/>
      <c r="L27" s="89"/>
      <c r="M27" s="89"/>
      <c r="N27" s="89"/>
      <c r="O27" s="90"/>
      <c r="P27" s="89"/>
      <c r="Q27" s="56"/>
      <c r="R27" s="56"/>
    </row>
    <row r="28" spans="1:18" ht="15" customHeight="1" x14ac:dyDescent="0.3">
      <c r="A28" s="17" t="s">
        <v>78</v>
      </c>
      <c r="B28" s="17" t="s">
        <v>263</v>
      </c>
      <c r="C28" s="18" t="s">
        <v>348</v>
      </c>
      <c r="D28" s="17" t="s">
        <v>178</v>
      </c>
      <c r="E28" s="17" t="s">
        <v>476</v>
      </c>
      <c r="F28" s="17" t="s">
        <v>322</v>
      </c>
      <c r="G28" s="267"/>
      <c r="H28" s="89"/>
      <c r="I28" s="89"/>
      <c r="J28" s="89"/>
      <c r="K28" s="89"/>
      <c r="L28" s="89"/>
      <c r="M28" s="89"/>
      <c r="N28" s="89"/>
      <c r="O28" s="90"/>
      <c r="P28" s="89"/>
      <c r="Q28" s="56"/>
      <c r="R28" s="56"/>
    </row>
    <row r="29" spans="1:18" ht="15" customHeight="1" x14ac:dyDescent="0.3">
      <c r="A29" s="17" t="s">
        <v>78</v>
      </c>
      <c r="B29" s="17" t="s">
        <v>272</v>
      </c>
      <c r="C29" s="18" t="s">
        <v>407</v>
      </c>
      <c r="D29" s="17" t="s">
        <v>178</v>
      </c>
      <c r="E29" s="17" t="s">
        <v>477</v>
      </c>
      <c r="F29" s="17" t="s">
        <v>322</v>
      </c>
      <c r="G29" s="267"/>
      <c r="H29" s="89"/>
      <c r="I29" s="89"/>
      <c r="J29" s="89"/>
      <c r="K29" s="89"/>
      <c r="L29" s="89"/>
      <c r="M29" s="89"/>
      <c r="N29" s="89"/>
      <c r="O29" s="90"/>
      <c r="P29" s="89"/>
      <c r="Q29" s="56"/>
      <c r="R29" s="56"/>
    </row>
    <row r="30" spans="1:18" ht="15" customHeight="1" x14ac:dyDescent="0.3">
      <c r="A30" s="17" t="s">
        <v>78</v>
      </c>
      <c r="B30" s="17" t="s">
        <v>267</v>
      </c>
      <c r="C30" s="18" t="s">
        <v>403</v>
      </c>
      <c r="D30" s="17" t="s">
        <v>178</v>
      </c>
      <c r="E30" s="17" t="s">
        <v>461</v>
      </c>
      <c r="F30" s="17" t="s">
        <v>322</v>
      </c>
      <c r="G30" s="267"/>
      <c r="H30" s="89"/>
      <c r="I30" s="89"/>
      <c r="J30" s="89"/>
      <c r="K30" s="89"/>
      <c r="L30" s="89"/>
      <c r="M30" s="89"/>
      <c r="N30" s="89"/>
      <c r="O30" s="90"/>
      <c r="P30" s="89"/>
      <c r="Q30" s="56"/>
      <c r="R30" s="56"/>
    </row>
    <row r="31" spans="1:18" ht="15" customHeight="1" x14ac:dyDescent="0.3">
      <c r="A31" s="17" t="s">
        <v>285</v>
      </c>
      <c r="B31" s="17" t="s">
        <v>319</v>
      </c>
      <c r="C31" s="18" t="s">
        <v>478</v>
      </c>
      <c r="D31" s="17" t="s">
        <v>279</v>
      </c>
      <c r="E31" s="17" t="s">
        <v>187</v>
      </c>
      <c r="F31" s="17" t="s">
        <v>320</v>
      </c>
      <c r="G31" s="267"/>
      <c r="H31" s="89"/>
      <c r="I31" s="89"/>
      <c r="J31" s="89"/>
      <c r="K31" s="89"/>
      <c r="L31" s="89"/>
      <c r="M31" s="89"/>
      <c r="N31" s="89"/>
      <c r="O31" s="90"/>
      <c r="P31" s="89"/>
      <c r="Q31" s="56"/>
      <c r="R31" s="56"/>
    </row>
    <row r="32" spans="1:18" ht="15" customHeight="1" x14ac:dyDescent="0.3">
      <c r="A32" s="17" t="s">
        <v>78</v>
      </c>
      <c r="B32" s="17" t="s">
        <v>257</v>
      </c>
      <c r="C32" s="18" t="s">
        <v>397</v>
      </c>
      <c r="D32" s="17" t="s">
        <v>178</v>
      </c>
      <c r="E32" s="17" t="s">
        <v>461</v>
      </c>
      <c r="F32" s="17" t="s">
        <v>268</v>
      </c>
      <c r="G32" s="267"/>
      <c r="H32" s="89"/>
      <c r="I32" s="89"/>
      <c r="J32" s="89"/>
      <c r="K32" s="89"/>
      <c r="L32" s="89"/>
      <c r="M32" s="89"/>
      <c r="N32" s="89"/>
      <c r="O32" s="90"/>
      <c r="P32" s="89"/>
      <c r="Q32" s="56"/>
      <c r="R32" s="56"/>
    </row>
    <row r="33" spans="1:18" ht="15" customHeight="1" x14ac:dyDescent="0.3">
      <c r="A33" s="17" t="s">
        <v>49</v>
      </c>
      <c r="B33" s="17" t="s">
        <v>311</v>
      </c>
      <c r="C33" s="18" t="s">
        <v>479</v>
      </c>
      <c r="D33" s="17" t="s">
        <v>51</v>
      </c>
      <c r="E33" s="17" t="s">
        <v>187</v>
      </c>
      <c r="F33" s="17" t="s">
        <v>334</v>
      </c>
      <c r="G33" s="267"/>
      <c r="H33" s="89"/>
      <c r="I33" s="89"/>
      <c r="J33" s="89"/>
      <c r="K33" s="89"/>
      <c r="L33" s="89"/>
      <c r="M33" s="89"/>
      <c r="N33" s="89"/>
      <c r="O33" s="90"/>
      <c r="P33" s="89"/>
      <c r="Q33" s="56"/>
      <c r="R33" s="56"/>
    </row>
    <row r="34" spans="1:18" ht="15" customHeight="1" x14ac:dyDescent="0.3">
      <c r="A34" s="17" t="s">
        <v>49</v>
      </c>
      <c r="B34" s="17" t="s">
        <v>306</v>
      </c>
      <c r="C34" s="18" t="s">
        <v>480</v>
      </c>
      <c r="D34" s="17" t="s">
        <v>51</v>
      </c>
      <c r="E34" s="17" t="s">
        <v>187</v>
      </c>
      <c r="F34" s="17" t="s">
        <v>335</v>
      </c>
      <c r="G34" s="267"/>
      <c r="H34" s="89"/>
      <c r="I34" s="89"/>
      <c r="J34" s="89"/>
      <c r="K34" s="89"/>
      <c r="L34" s="89"/>
      <c r="M34" s="89"/>
      <c r="N34" s="89"/>
      <c r="O34" s="90"/>
      <c r="P34" s="89"/>
      <c r="Q34" s="56"/>
      <c r="R34" s="56"/>
    </row>
    <row r="35" spans="1:18" ht="15" customHeight="1" thickBot="1" x14ac:dyDescent="0.35">
      <c r="A35" s="91" t="s">
        <v>49</v>
      </c>
      <c r="B35" s="91" t="s">
        <v>313</v>
      </c>
      <c r="C35" s="92" t="s">
        <v>481</v>
      </c>
      <c r="D35" s="91" t="s">
        <v>51</v>
      </c>
      <c r="E35" s="91" t="s">
        <v>187</v>
      </c>
      <c r="F35" s="91" t="s">
        <v>292</v>
      </c>
      <c r="G35" s="268"/>
      <c r="H35" s="93"/>
      <c r="I35" s="93"/>
      <c r="J35" s="93"/>
      <c r="K35" s="93"/>
      <c r="L35" s="93"/>
      <c r="M35" s="93"/>
      <c r="N35" s="93"/>
      <c r="O35" s="94"/>
      <c r="P35" s="93"/>
      <c r="Q35" s="95"/>
      <c r="R35" s="95"/>
    </row>
    <row r="36" spans="1:18" ht="17.399999999999999" customHeight="1" thickBot="1" x14ac:dyDescent="0.35">
      <c r="A36" s="295"/>
      <c r="B36" s="296"/>
      <c r="C36" s="296"/>
      <c r="D36" s="296"/>
      <c r="E36" s="296"/>
      <c r="F36" s="296"/>
      <c r="G36" s="296"/>
      <c r="H36" s="296"/>
      <c r="I36" s="296"/>
      <c r="J36" s="296"/>
      <c r="K36" s="296"/>
      <c r="L36" s="296"/>
      <c r="M36" s="296"/>
      <c r="N36" s="296"/>
      <c r="O36" s="296"/>
      <c r="P36" s="296"/>
      <c r="Q36" s="296"/>
      <c r="R36" s="297"/>
    </row>
    <row r="37" spans="1:18" ht="22.05" customHeight="1" thickTop="1" thickBot="1" x14ac:dyDescent="0.35">
      <c r="A37" s="262" t="s">
        <v>6</v>
      </c>
      <c r="B37" s="263"/>
      <c r="C37" s="263"/>
      <c r="D37" s="263"/>
      <c r="E37" s="263"/>
      <c r="F37" s="264"/>
      <c r="G37" s="31">
        <v>45983</v>
      </c>
      <c r="H37" s="270" t="s">
        <v>7</v>
      </c>
      <c r="I37" s="263"/>
      <c r="J37" s="263"/>
      <c r="K37" s="263"/>
      <c r="L37" s="263"/>
      <c r="M37" s="263"/>
      <c r="N37" s="263"/>
      <c r="O37" s="263"/>
      <c r="P37" s="263"/>
      <c r="Q37" s="263"/>
      <c r="R37" s="264"/>
    </row>
    <row r="38" spans="1:18" ht="24" customHeight="1" x14ac:dyDescent="0.3">
      <c r="A38" s="32" t="s">
        <v>8</v>
      </c>
      <c r="B38" s="32" t="s">
        <v>9</v>
      </c>
      <c r="C38" s="33" t="s">
        <v>10</v>
      </c>
      <c r="D38" s="32" t="s">
        <v>11</v>
      </c>
      <c r="E38" s="32" t="s">
        <v>12</v>
      </c>
      <c r="F38" s="34" t="s">
        <v>13</v>
      </c>
      <c r="G38" s="35" t="s">
        <v>14</v>
      </c>
      <c r="H38" s="32" t="s">
        <v>15</v>
      </c>
      <c r="I38" s="36" t="s">
        <v>16</v>
      </c>
      <c r="J38" s="37" t="s">
        <v>17</v>
      </c>
      <c r="K38" s="38" t="s">
        <v>18</v>
      </c>
      <c r="L38" s="37" t="s">
        <v>19</v>
      </c>
      <c r="M38" s="37" t="s">
        <v>20</v>
      </c>
      <c r="N38" s="37" t="s">
        <v>21</v>
      </c>
      <c r="O38" s="32" t="s">
        <v>22</v>
      </c>
      <c r="P38" s="33" t="s">
        <v>23</v>
      </c>
      <c r="Q38" s="37" t="s">
        <v>24</v>
      </c>
      <c r="R38" s="32" t="s">
        <v>25</v>
      </c>
    </row>
    <row r="39" spans="1:18" ht="15" customHeight="1" x14ac:dyDescent="0.3">
      <c r="A39" s="206" t="s">
        <v>78</v>
      </c>
      <c r="B39" s="206" t="s">
        <v>533</v>
      </c>
      <c r="C39" s="207">
        <v>0.6875</v>
      </c>
      <c r="D39" s="206" t="s">
        <v>178</v>
      </c>
      <c r="E39" s="206" t="s">
        <v>179</v>
      </c>
      <c r="F39" s="206" t="s">
        <v>545</v>
      </c>
      <c r="G39" s="266"/>
      <c r="H39" s="163" t="s">
        <v>535</v>
      </c>
      <c r="I39" s="208">
        <v>0.70830000000000004</v>
      </c>
      <c r="J39" s="165">
        <v>119</v>
      </c>
      <c r="K39" s="166">
        <v>45980</v>
      </c>
      <c r="L39" s="165">
        <v>8</v>
      </c>
      <c r="M39" s="165">
        <v>1</v>
      </c>
      <c r="N39" s="165">
        <v>4</v>
      </c>
      <c r="O39" s="167" t="s">
        <v>508</v>
      </c>
      <c r="P39" s="168">
        <v>0.6875</v>
      </c>
      <c r="Q39" s="165">
        <v>168</v>
      </c>
      <c r="R39" s="169" t="s">
        <v>546</v>
      </c>
    </row>
    <row r="40" spans="1:18" ht="15" customHeight="1" x14ac:dyDescent="0.3">
      <c r="A40" s="147" t="s">
        <v>78</v>
      </c>
      <c r="B40" s="147" t="s">
        <v>529</v>
      </c>
      <c r="C40" s="148">
        <v>0.46180555555555558</v>
      </c>
      <c r="D40" s="147" t="s">
        <v>178</v>
      </c>
      <c r="E40" s="147" t="s">
        <v>55</v>
      </c>
      <c r="F40" s="147" t="s">
        <v>545</v>
      </c>
      <c r="G40" s="267"/>
      <c r="H40" s="149" t="s">
        <v>531</v>
      </c>
      <c r="I40" s="172">
        <v>0.73209999999999997</v>
      </c>
      <c r="J40" s="151">
        <v>123</v>
      </c>
      <c r="K40" s="152">
        <v>45979</v>
      </c>
      <c r="L40" s="151">
        <v>47</v>
      </c>
      <c r="M40" s="151">
        <v>0</v>
      </c>
      <c r="N40" s="151">
        <v>7</v>
      </c>
      <c r="O40" s="153" t="s">
        <v>547</v>
      </c>
      <c r="P40" s="154">
        <v>0.46180555555555558</v>
      </c>
      <c r="Q40" s="151">
        <v>168</v>
      </c>
      <c r="R40" s="155" t="s">
        <v>548</v>
      </c>
    </row>
    <row r="41" spans="1:18" ht="15" customHeight="1" x14ac:dyDescent="0.3">
      <c r="A41" s="19" t="s">
        <v>49</v>
      </c>
      <c r="B41" s="19" t="s">
        <v>538</v>
      </c>
      <c r="C41" s="20">
        <v>0.46180555555555558</v>
      </c>
      <c r="D41" s="19" t="s">
        <v>539</v>
      </c>
      <c r="E41" s="19" t="s">
        <v>90</v>
      </c>
      <c r="F41" s="19" t="s">
        <v>540</v>
      </c>
      <c r="G41" s="267"/>
      <c r="H41" s="10"/>
      <c r="I41" s="11"/>
      <c r="J41" s="11"/>
      <c r="K41" s="11"/>
      <c r="L41" s="11"/>
      <c r="M41" s="11"/>
      <c r="N41" s="11"/>
      <c r="O41" s="12"/>
      <c r="P41" s="11"/>
      <c r="Q41" s="13"/>
      <c r="R41" s="14"/>
    </row>
    <row r="42" spans="1:18" ht="18" x14ac:dyDescent="0.3">
      <c r="A42" s="278" t="s">
        <v>460</v>
      </c>
      <c r="B42" s="279"/>
      <c r="C42" s="279"/>
      <c r="D42" s="279"/>
      <c r="E42" s="279"/>
      <c r="F42" s="280"/>
      <c r="G42" s="267"/>
      <c r="H42" s="89"/>
      <c r="I42" s="89"/>
      <c r="J42" s="89"/>
      <c r="K42" s="89"/>
      <c r="L42" s="89"/>
      <c r="M42" s="89"/>
      <c r="N42" s="89"/>
      <c r="O42" s="90"/>
      <c r="P42" s="89"/>
      <c r="Q42" s="56"/>
      <c r="R42" s="56"/>
    </row>
    <row r="43" spans="1:18" ht="15" customHeight="1" x14ac:dyDescent="0.3">
      <c r="A43" s="17" t="s">
        <v>285</v>
      </c>
      <c r="B43" s="17" t="s">
        <v>286</v>
      </c>
      <c r="C43" s="18" t="s">
        <v>501</v>
      </c>
      <c r="D43" s="17" t="s">
        <v>279</v>
      </c>
      <c r="E43" s="17" t="s">
        <v>187</v>
      </c>
      <c r="F43" s="17" t="s">
        <v>318</v>
      </c>
      <c r="G43" s="267"/>
      <c r="H43" s="89"/>
      <c r="I43" s="89"/>
      <c r="J43" s="89"/>
      <c r="K43" s="89"/>
      <c r="L43" s="89"/>
      <c r="M43" s="89"/>
      <c r="N43" s="89"/>
      <c r="O43" s="90"/>
      <c r="P43" s="89"/>
      <c r="Q43" s="56"/>
      <c r="R43" s="56"/>
    </row>
    <row r="44" spans="1:18" ht="15" customHeight="1" x14ac:dyDescent="0.3">
      <c r="A44" s="17" t="s">
        <v>277</v>
      </c>
      <c r="B44" s="17" t="s">
        <v>282</v>
      </c>
      <c r="C44" s="18" t="s">
        <v>502</v>
      </c>
      <c r="D44" s="17" t="s">
        <v>279</v>
      </c>
      <c r="E44" s="17" t="s">
        <v>475</v>
      </c>
      <c r="F44" s="17" t="s">
        <v>284</v>
      </c>
      <c r="G44" s="267"/>
      <c r="H44" s="89"/>
      <c r="I44" s="89"/>
      <c r="J44" s="89"/>
      <c r="K44" s="89"/>
      <c r="L44" s="89"/>
      <c r="M44" s="89"/>
      <c r="N44" s="89"/>
      <c r="O44" s="90"/>
      <c r="P44" s="89"/>
      <c r="Q44" s="56"/>
      <c r="R44" s="56"/>
    </row>
    <row r="45" spans="1:18" ht="15" customHeight="1" x14ac:dyDescent="0.3">
      <c r="A45" s="17" t="s">
        <v>62</v>
      </c>
      <c r="B45" s="17" t="s">
        <v>291</v>
      </c>
      <c r="C45" s="18" t="s">
        <v>503</v>
      </c>
      <c r="D45" s="17" t="s">
        <v>64</v>
      </c>
      <c r="E45" s="17" t="s">
        <v>187</v>
      </c>
      <c r="F45" s="17" t="s">
        <v>288</v>
      </c>
      <c r="G45" s="267"/>
      <c r="H45" s="89"/>
      <c r="I45" s="89"/>
      <c r="J45" s="89"/>
      <c r="K45" s="89"/>
      <c r="L45" s="89"/>
      <c r="M45" s="89"/>
      <c r="N45" s="89"/>
      <c r="O45" s="90"/>
      <c r="P45" s="89"/>
      <c r="Q45" s="56"/>
      <c r="R45" s="56"/>
    </row>
    <row r="46" spans="1:18" ht="15" customHeight="1" x14ac:dyDescent="0.3">
      <c r="A46" s="17" t="s">
        <v>62</v>
      </c>
      <c r="B46" s="17" t="s">
        <v>287</v>
      </c>
      <c r="C46" s="18" t="s">
        <v>504</v>
      </c>
      <c r="D46" s="17" t="s">
        <v>64</v>
      </c>
      <c r="E46" s="17" t="s">
        <v>187</v>
      </c>
      <c r="F46" s="17" t="s">
        <v>288</v>
      </c>
      <c r="G46" s="267"/>
      <c r="H46" s="89"/>
      <c r="I46" s="89"/>
      <c r="J46" s="89"/>
      <c r="K46" s="89"/>
      <c r="L46" s="89"/>
      <c r="M46" s="89"/>
      <c r="N46" s="89"/>
      <c r="O46" s="90"/>
      <c r="P46" s="89"/>
      <c r="Q46" s="56"/>
      <c r="R46" s="56"/>
    </row>
    <row r="47" spans="1:18" ht="15" customHeight="1" x14ac:dyDescent="0.3">
      <c r="A47" s="17" t="s">
        <v>62</v>
      </c>
      <c r="B47" s="17" t="s">
        <v>294</v>
      </c>
      <c r="C47" s="18" t="s">
        <v>505</v>
      </c>
      <c r="D47" s="17" t="s">
        <v>64</v>
      </c>
      <c r="E47" s="17" t="s">
        <v>187</v>
      </c>
      <c r="F47" s="17" t="s">
        <v>288</v>
      </c>
      <c r="G47" s="267"/>
      <c r="H47" s="89"/>
      <c r="I47" s="89"/>
      <c r="J47" s="89"/>
      <c r="K47" s="89"/>
      <c r="L47" s="89"/>
      <c r="M47" s="89"/>
      <c r="N47" s="89"/>
      <c r="O47" s="90"/>
      <c r="P47" s="89"/>
      <c r="Q47" s="56"/>
      <c r="R47" s="56"/>
    </row>
    <row r="48" spans="1:18" ht="15" customHeight="1" x14ac:dyDescent="0.3">
      <c r="A48" s="17" t="s">
        <v>62</v>
      </c>
      <c r="B48" s="17" t="s">
        <v>290</v>
      </c>
      <c r="C48" s="18" t="s">
        <v>506</v>
      </c>
      <c r="D48" s="17" t="s">
        <v>64</v>
      </c>
      <c r="E48" s="17" t="s">
        <v>187</v>
      </c>
      <c r="F48" s="17" t="s">
        <v>288</v>
      </c>
      <c r="G48" s="267"/>
      <c r="H48" s="89"/>
      <c r="I48" s="89"/>
      <c r="J48" s="89"/>
      <c r="K48" s="89"/>
      <c r="L48" s="89"/>
      <c r="M48" s="89"/>
      <c r="N48" s="89"/>
      <c r="O48" s="90"/>
      <c r="P48" s="89"/>
      <c r="Q48" s="56"/>
      <c r="R48" s="56"/>
    </row>
    <row r="49" spans="1:18" ht="15" customHeight="1" x14ac:dyDescent="0.3">
      <c r="A49" s="17" t="s">
        <v>49</v>
      </c>
      <c r="B49" s="17" t="s">
        <v>311</v>
      </c>
      <c r="C49" s="18" t="s">
        <v>479</v>
      </c>
      <c r="D49" s="17" t="s">
        <v>51</v>
      </c>
      <c r="E49" s="17" t="s">
        <v>187</v>
      </c>
      <c r="F49" s="17" t="s">
        <v>307</v>
      </c>
      <c r="G49" s="267"/>
      <c r="H49" s="89"/>
      <c r="I49" s="89"/>
      <c r="J49" s="89"/>
      <c r="K49" s="89"/>
      <c r="L49" s="89"/>
      <c r="M49" s="89"/>
      <c r="N49" s="89"/>
      <c r="O49" s="90"/>
      <c r="P49" s="89"/>
      <c r="Q49" s="56"/>
      <c r="R49" s="56"/>
    </row>
    <row r="50" spans="1:18" ht="15" customHeight="1" x14ac:dyDescent="0.3">
      <c r="A50" s="17" t="s">
        <v>62</v>
      </c>
      <c r="B50" s="17" t="s">
        <v>291</v>
      </c>
      <c r="C50" s="18" t="s">
        <v>503</v>
      </c>
      <c r="D50" s="17" t="s">
        <v>66</v>
      </c>
      <c r="E50" s="17" t="s">
        <v>187</v>
      </c>
      <c r="F50" s="17" t="s">
        <v>289</v>
      </c>
      <c r="G50" s="267"/>
      <c r="H50" s="89"/>
      <c r="I50" s="89"/>
      <c r="J50" s="89"/>
      <c r="K50" s="89"/>
      <c r="L50" s="89"/>
      <c r="M50" s="89"/>
      <c r="N50" s="89"/>
      <c r="O50" s="90"/>
      <c r="P50" s="89"/>
      <c r="Q50" s="56"/>
      <c r="R50" s="56"/>
    </row>
    <row r="51" spans="1:18" ht="15" customHeight="1" x14ac:dyDescent="0.3">
      <c r="A51" s="17" t="s">
        <v>62</v>
      </c>
      <c r="B51" s="17" t="s">
        <v>287</v>
      </c>
      <c r="C51" s="18" t="s">
        <v>504</v>
      </c>
      <c r="D51" s="17" t="s">
        <v>66</v>
      </c>
      <c r="E51" s="17" t="s">
        <v>187</v>
      </c>
      <c r="F51" s="17" t="s">
        <v>289</v>
      </c>
      <c r="G51" s="267"/>
      <c r="H51" s="89"/>
      <c r="I51" s="89"/>
      <c r="J51" s="89"/>
      <c r="K51" s="89"/>
      <c r="L51" s="89"/>
      <c r="M51" s="89"/>
      <c r="N51" s="89"/>
      <c r="O51" s="90"/>
      <c r="P51" s="89"/>
      <c r="Q51" s="56"/>
      <c r="R51" s="56"/>
    </row>
    <row r="52" spans="1:18" ht="15" customHeight="1" x14ac:dyDescent="0.3">
      <c r="A52" s="91" t="s">
        <v>62</v>
      </c>
      <c r="B52" s="91" t="s">
        <v>294</v>
      </c>
      <c r="C52" s="92" t="s">
        <v>505</v>
      </c>
      <c r="D52" s="91" t="s">
        <v>66</v>
      </c>
      <c r="E52" s="91" t="s">
        <v>187</v>
      </c>
      <c r="F52" s="91" t="s">
        <v>289</v>
      </c>
      <c r="G52" s="268"/>
      <c r="H52" s="93"/>
      <c r="I52" s="93"/>
      <c r="J52" s="93"/>
      <c r="K52" s="93"/>
      <c r="L52" s="93"/>
      <c r="M52" s="93"/>
      <c r="N52" s="93"/>
      <c r="O52" s="94"/>
      <c r="P52" s="93"/>
      <c r="Q52" s="95"/>
      <c r="R52" s="95"/>
    </row>
  </sheetData>
  <mergeCells count="21">
    <mergeCell ref="A42:F42"/>
    <mergeCell ref="A22:F22"/>
    <mergeCell ref="G2:J2"/>
    <mergeCell ref="A4:F4"/>
    <mergeCell ref="G6:G20"/>
    <mergeCell ref="A10:F10"/>
    <mergeCell ref="H37:R37"/>
    <mergeCell ref="H22:R22"/>
    <mergeCell ref="G39:G52"/>
    <mergeCell ref="A36:R36"/>
    <mergeCell ref="G24:G35"/>
    <mergeCell ref="A25:F25"/>
    <mergeCell ref="A37:F37"/>
    <mergeCell ref="H1:L1"/>
    <mergeCell ref="A1:E1"/>
    <mergeCell ref="H4:R4"/>
    <mergeCell ref="A2:F2"/>
    <mergeCell ref="A3:R3"/>
    <mergeCell ref="A21:R21"/>
    <mergeCell ref="N1:R1"/>
    <mergeCell ref="K2:R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8"/>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7.77734375" style="282" bestFit="1" customWidth="1"/>
    <col min="6" max="6" width="4.21875" style="282" bestFit="1" customWidth="1"/>
    <col min="7" max="7" width="10" style="282" bestFit="1" customWidth="1"/>
    <col min="8" max="8" width="8.5546875" style="282" bestFit="1" customWidth="1"/>
    <col min="9"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6" width="3.88671875" style="282" bestFit="1" customWidth="1"/>
    <col min="27" max="27" width="5" style="282" bestFit="1" customWidth="1"/>
    <col min="28" max="29" width="4.21875" style="282" bestFit="1" customWidth="1"/>
    <col min="30" max="31" width="4.5546875" style="282" bestFit="1" customWidth="1"/>
    <col min="32" max="34" width="3.88671875" style="282" bestFit="1" customWidth="1"/>
    <col min="35" max="35" width="4.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526</v>
      </c>
      <c r="D2" s="286" t="s">
        <v>549</v>
      </c>
      <c r="E2" s="285" t="s">
        <v>523</v>
      </c>
      <c r="F2" s="285" t="s">
        <v>136</v>
      </c>
      <c r="G2" s="287">
        <v>0.58930000000000005</v>
      </c>
      <c r="H2" s="288">
        <v>168</v>
      </c>
      <c r="I2" s="288">
        <v>99</v>
      </c>
      <c r="J2" s="288">
        <v>0</v>
      </c>
      <c r="K2" s="285" t="s">
        <v>137</v>
      </c>
      <c r="L2" s="289">
        <v>45980</v>
      </c>
      <c r="M2" s="288">
        <v>3</v>
      </c>
      <c r="N2" s="288">
        <v>22</v>
      </c>
      <c r="O2" s="288">
        <v>57</v>
      </c>
      <c r="P2" s="285" t="s">
        <v>527</v>
      </c>
      <c r="Q2" s="281"/>
      <c r="R2" s="281"/>
      <c r="S2" s="281"/>
      <c r="T2" s="281"/>
      <c r="U2" s="281"/>
      <c r="V2" s="281"/>
      <c r="W2" s="281"/>
      <c r="X2" s="281"/>
      <c r="Y2" s="281"/>
      <c r="Z2" s="281"/>
      <c r="AA2" s="281"/>
      <c r="AB2" s="281"/>
      <c r="AC2" s="288" t="s">
        <v>550</v>
      </c>
      <c r="AD2" s="288" t="s">
        <v>551</v>
      </c>
      <c r="AE2" s="288" t="s">
        <v>552</v>
      </c>
      <c r="AF2" s="288" t="s">
        <v>553</v>
      </c>
      <c r="AG2" s="281"/>
      <c r="AH2" s="281"/>
      <c r="AI2" s="288" t="s">
        <v>363</v>
      </c>
      <c r="AJ2" s="281"/>
    </row>
    <row r="3" spans="1:36" x14ac:dyDescent="0.3">
      <c r="A3" s="283" t="s">
        <v>134</v>
      </c>
      <c r="B3" s="284">
        <v>45981</v>
      </c>
      <c r="C3" s="285" t="s">
        <v>531</v>
      </c>
      <c r="D3" s="286" t="s">
        <v>554</v>
      </c>
      <c r="E3" s="285" t="s">
        <v>523</v>
      </c>
      <c r="F3" s="285" t="s">
        <v>136</v>
      </c>
      <c r="G3" s="287">
        <v>0.74399999999999999</v>
      </c>
      <c r="H3" s="288">
        <v>168</v>
      </c>
      <c r="I3" s="288">
        <v>125</v>
      </c>
      <c r="J3" s="288">
        <v>92</v>
      </c>
      <c r="K3" s="285" t="s">
        <v>137</v>
      </c>
      <c r="L3" s="289">
        <v>45977</v>
      </c>
      <c r="M3" s="288">
        <v>0</v>
      </c>
      <c r="N3" s="288">
        <v>0</v>
      </c>
      <c r="O3" s="288">
        <v>10</v>
      </c>
      <c r="P3" s="285" t="s">
        <v>143</v>
      </c>
      <c r="Q3" s="281"/>
      <c r="R3" s="281"/>
      <c r="S3" s="281"/>
      <c r="T3" s="281"/>
      <c r="U3" s="281"/>
      <c r="V3" s="281"/>
      <c r="W3" s="281"/>
      <c r="X3" s="281"/>
      <c r="Y3" s="281"/>
      <c r="Z3" s="288" t="s">
        <v>555</v>
      </c>
      <c r="AA3" s="288" t="s">
        <v>556</v>
      </c>
      <c r="AB3" s="288" t="s">
        <v>513</v>
      </c>
      <c r="AC3" s="281"/>
      <c r="AD3" s="288" t="s">
        <v>557</v>
      </c>
      <c r="AE3" s="288" t="s">
        <v>558</v>
      </c>
      <c r="AF3" s="288" t="s">
        <v>196</v>
      </c>
      <c r="AG3" s="288" t="s">
        <v>384</v>
      </c>
      <c r="AH3" s="281"/>
      <c r="AI3" s="288" t="s">
        <v>559</v>
      </c>
      <c r="AJ3" s="281"/>
    </row>
    <row r="4" spans="1:36" x14ac:dyDescent="0.3">
      <c r="A4" s="283" t="s">
        <v>134</v>
      </c>
      <c r="B4" s="284">
        <v>45981</v>
      </c>
      <c r="C4" s="285" t="s">
        <v>535</v>
      </c>
      <c r="D4" s="286" t="s">
        <v>560</v>
      </c>
      <c r="E4" s="285" t="s">
        <v>523</v>
      </c>
      <c r="F4" s="285" t="s">
        <v>136</v>
      </c>
      <c r="G4" s="287">
        <v>0.70830000000000004</v>
      </c>
      <c r="H4" s="288">
        <v>168</v>
      </c>
      <c r="I4" s="288">
        <v>119</v>
      </c>
      <c r="J4" s="288">
        <v>39</v>
      </c>
      <c r="K4" s="285" t="s">
        <v>137</v>
      </c>
      <c r="L4" s="289">
        <v>45980</v>
      </c>
      <c r="M4" s="288">
        <v>5</v>
      </c>
      <c r="N4" s="288">
        <v>13</v>
      </c>
      <c r="O4" s="288">
        <v>60</v>
      </c>
      <c r="P4" s="285" t="s">
        <v>536</v>
      </c>
      <c r="Q4" s="281"/>
      <c r="R4" s="281"/>
      <c r="S4" s="281"/>
      <c r="T4" s="281"/>
      <c r="U4" s="281"/>
      <c r="V4" s="281"/>
      <c r="W4" s="281"/>
      <c r="X4" s="281"/>
      <c r="Y4" s="281"/>
      <c r="Z4" s="288" t="s">
        <v>433</v>
      </c>
      <c r="AA4" s="288" t="s">
        <v>561</v>
      </c>
      <c r="AB4" s="288" t="s">
        <v>562</v>
      </c>
      <c r="AC4" s="288" t="s">
        <v>203</v>
      </c>
      <c r="AD4" s="288" t="s">
        <v>424</v>
      </c>
      <c r="AE4" s="288" t="s">
        <v>563</v>
      </c>
      <c r="AF4" s="288" t="s">
        <v>196</v>
      </c>
      <c r="AG4" s="281"/>
      <c r="AH4" s="281"/>
      <c r="AI4" s="288" t="s">
        <v>564</v>
      </c>
      <c r="AJ4" s="281"/>
    </row>
    <row r="5" spans="1:36" x14ac:dyDescent="0.3">
      <c r="A5" s="283" t="s">
        <v>393</v>
      </c>
      <c r="B5" s="284">
        <v>45982</v>
      </c>
      <c r="C5" s="285" t="s">
        <v>543</v>
      </c>
      <c r="D5" s="286" t="s">
        <v>565</v>
      </c>
      <c r="E5" s="285" t="s">
        <v>523</v>
      </c>
      <c r="F5" s="285" t="s">
        <v>136</v>
      </c>
      <c r="G5" s="287">
        <v>0.66069999999999995</v>
      </c>
      <c r="H5" s="288">
        <v>168</v>
      </c>
      <c r="I5" s="288">
        <v>111</v>
      </c>
      <c r="J5" s="288">
        <v>3</v>
      </c>
      <c r="K5" s="285" t="s">
        <v>137</v>
      </c>
      <c r="L5" s="289">
        <v>45980</v>
      </c>
      <c r="M5" s="288">
        <v>1</v>
      </c>
      <c r="N5" s="288">
        <v>12</v>
      </c>
      <c r="O5" s="288">
        <v>75</v>
      </c>
      <c r="P5" s="285" t="s">
        <v>353</v>
      </c>
      <c r="Q5" s="281"/>
      <c r="R5" s="281"/>
      <c r="S5" s="281"/>
      <c r="T5" s="281"/>
      <c r="U5" s="281"/>
      <c r="V5" s="281"/>
      <c r="W5" s="281"/>
      <c r="X5" s="281"/>
      <c r="Y5" s="281"/>
      <c r="Z5" s="288" t="s">
        <v>193</v>
      </c>
      <c r="AA5" s="288" t="s">
        <v>566</v>
      </c>
      <c r="AB5" s="288" t="s">
        <v>567</v>
      </c>
      <c r="AC5" s="288" t="s">
        <v>514</v>
      </c>
      <c r="AD5" s="288" t="s">
        <v>568</v>
      </c>
      <c r="AE5" s="288" t="s">
        <v>569</v>
      </c>
      <c r="AF5" s="288" t="s">
        <v>570</v>
      </c>
      <c r="AG5" s="281"/>
      <c r="AH5" s="281"/>
      <c r="AI5" s="288" t="s">
        <v>571</v>
      </c>
      <c r="AJ5" s="281"/>
    </row>
    <row r="6" spans="1:36" x14ac:dyDescent="0.3">
      <c r="A6" s="283" t="s">
        <v>150</v>
      </c>
      <c r="B6" s="284">
        <v>45983</v>
      </c>
      <c r="C6" s="285" t="s">
        <v>531</v>
      </c>
      <c r="D6" s="286" t="s">
        <v>572</v>
      </c>
      <c r="E6" s="285" t="s">
        <v>523</v>
      </c>
      <c r="F6" s="285" t="s">
        <v>136</v>
      </c>
      <c r="G6" s="287">
        <v>0.73209999999999997</v>
      </c>
      <c r="H6" s="288">
        <v>168</v>
      </c>
      <c r="I6" s="288">
        <v>123</v>
      </c>
      <c r="J6" s="288">
        <v>34</v>
      </c>
      <c r="K6" s="285" t="s">
        <v>137</v>
      </c>
      <c r="L6" s="289">
        <v>45979</v>
      </c>
      <c r="M6" s="288">
        <v>0</v>
      </c>
      <c r="N6" s="288">
        <v>7</v>
      </c>
      <c r="O6" s="288">
        <v>47</v>
      </c>
      <c r="P6" s="285" t="s">
        <v>547</v>
      </c>
      <c r="Q6" s="281"/>
      <c r="R6" s="281"/>
      <c r="S6" s="281"/>
      <c r="T6" s="281"/>
      <c r="U6" s="281"/>
      <c r="V6" s="281"/>
      <c r="W6" s="281"/>
      <c r="X6" s="281"/>
      <c r="Y6" s="281"/>
      <c r="Z6" s="288" t="s">
        <v>250</v>
      </c>
      <c r="AA6" s="288" t="s">
        <v>573</v>
      </c>
      <c r="AB6" s="281"/>
      <c r="AC6" s="288" t="s">
        <v>203</v>
      </c>
      <c r="AD6" s="288" t="s">
        <v>210</v>
      </c>
      <c r="AE6" s="288" t="s">
        <v>574</v>
      </c>
      <c r="AF6" s="288" t="s">
        <v>212</v>
      </c>
      <c r="AG6" s="281"/>
      <c r="AH6" s="281"/>
      <c r="AI6" s="288" t="s">
        <v>575</v>
      </c>
      <c r="AJ6" s="281"/>
    </row>
    <row r="7" spans="1:36" x14ac:dyDescent="0.3">
      <c r="A7" s="283" t="s">
        <v>150</v>
      </c>
      <c r="B7" s="284">
        <v>45983</v>
      </c>
      <c r="C7" s="285" t="s">
        <v>535</v>
      </c>
      <c r="D7" s="286" t="s">
        <v>576</v>
      </c>
      <c r="E7" s="285" t="s">
        <v>523</v>
      </c>
      <c r="F7" s="285" t="s">
        <v>136</v>
      </c>
      <c r="G7" s="287">
        <v>0.70830000000000004</v>
      </c>
      <c r="H7" s="288">
        <v>168</v>
      </c>
      <c r="I7" s="288">
        <v>119</v>
      </c>
      <c r="J7" s="288">
        <v>89</v>
      </c>
      <c r="K7" s="285" t="s">
        <v>137</v>
      </c>
      <c r="L7" s="289">
        <v>45980</v>
      </c>
      <c r="M7" s="288">
        <v>1</v>
      </c>
      <c r="N7" s="288">
        <v>4</v>
      </c>
      <c r="O7" s="288">
        <v>8</v>
      </c>
      <c r="P7" s="285" t="s">
        <v>508</v>
      </c>
      <c r="Q7" s="281"/>
      <c r="R7" s="281"/>
      <c r="S7" s="281"/>
      <c r="T7" s="281"/>
      <c r="U7" s="281"/>
      <c r="V7" s="281"/>
      <c r="W7" s="281"/>
      <c r="X7" s="281"/>
      <c r="Y7" s="288" t="s">
        <v>416</v>
      </c>
      <c r="Z7" s="288" t="s">
        <v>250</v>
      </c>
      <c r="AA7" s="281"/>
      <c r="AB7" s="281"/>
      <c r="AC7" s="288" t="s">
        <v>203</v>
      </c>
      <c r="AD7" s="288" t="s">
        <v>577</v>
      </c>
      <c r="AE7" s="281"/>
      <c r="AF7" s="281"/>
      <c r="AG7" s="281"/>
      <c r="AH7" s="281"/>
      <c r="AI7" s="288" t="s">
        <v>559</v>
      </c>
      <c r="AJ7" s="281"/>
    </row>
    <row r="8" spans="1:36" ht="21" x14ac:dyDescent="0.3">
      <c r="A8" s="290" t="s">
        <v>976</v>
      </c>
      <c r="B8" s="291"/>
      <c r="C8" s="290">
        <f>SUBTOTAL(103,JED_ATZ_LF_LEGACY[Flt])</f>
        <v>6</v>
      </c>
      <c r="D8" s="290"/>
      <c r="E8" s="290">
        <f>SUBTOTAL(103,JED_ATZ_LF_LEGACY[Brd-Off])</f>
        <v>6</v>
      </c>
      <c r="F8" s="290"/>
      <c r="G8" s="292">
        <f>SUBTOTAL(101,JED_ATZ_LF_LEGACY[LF%])</f>
        <v>0.6904499999999999</v>
      </c>
      <c r="H8" s="293">
        <f>SUBTOTAL(109,JED_ATZ_LF_LEGACY[CAP])</f>
        <v>1008</v>
      </c>
      <c r="I8" s="293">
        <f>SUBTOTAL(109,JED_ATZ_LF_LEGACY[BKG(Y)])</f>
        <v>696</v>
      </c>
      <c r="J8" s="293">
        <f>SUBTOTAL(109,JED_ATZ_LF_LEGACY[GRP(Y)])</f>
        <v>257</v>
      </c>
      <c r="K8" s="290"/>
      <c r="L8" s="291"/>
      <c r="M8" s="293">
        <f>SUBTOTAL(109,JED_ATZ_LF_LEGACY[TO-DAY])</f>
        <v>10</v>
      </c>
      <c r="N8" s="293">
        <f>SUBTOTAL(109,JED_ATZ_LF_LEGACY[Y-DAY])</f>
        <v>58</v>
      </c>
      <c r="O8" s="293">
        <f>SUBTOTAL(109,JED_ATZ_LF_LEGACY[WEEKLY])</f>
        <v>257</v>
      </c>
      <c r="P8" s="294"/>
      <c r="Q8" s="293">
        <f>SUBTOTAL(109,JED_ATZ_LF_LEGACY[Y])</f>
        <v>0</v>
      </c>
      <c r="R8" s="293">
        <f>SUBTOTAL(109,JED_ATZ_LF_LEGACY[B])</f>
        <v>0</v>
      </c>
      <c r="S8" s="293">
        <f>SUBTOTAL(109,JED_ATZ_LF_LEGACY[M])</f>
        <v>0</v>
      </c>
      <c r="T8" s="293">
        <f>SUBTOTAL(109,JED_ATZ_LF_LEGACY[H])</f>
        <v>0</v>
      </c>
      <c r="U8" s="293">
        <f>SUBTOTAL(109,JED_ATZ_LF_LEGACY[Q])</f>
        <v>0</v>
      </c>
      <c r="V8" s="293">
        <f>SUBTOTAL(109,JED_ATZ_LF_LEGACY[K])</f>
        <v>0</v>
      </c>
      <c r="W8" s="293">
        <f>SUBTOTAL(109,JED_ATZ_LF_LEGACY[V])</f>
        <v>0</v>
      </c>
      <c r="X8" s="293">
        <f>SUBTOTAL(109,JED_ATZ_LF_LEGACY[L])</f>
        <v>0</v>
      </c>
      <c r="Y8" s="293">
        <f>SUBTOTAL(109,JED_ATZ_LF_LEGACY[G])</f>
        <v>0</v>
      </c>
      <c r="Z8" s="293">
        <f>SUBTOTAL(109,JED_ATZ_LF_LEGACY[S])</f>
        <v>0</v>
      </c>
      <c r="AA8" s="293">
        <f>SUBTOTAL(109,JED_ATZ_LF_LEGACY[W])</f>
        <v>0</v>
      </c>
      <c r="AB8" s="293">
        <f>SUBTOTAL(109,JED_ATZ_LF_LEGACY[T])</f>
        <v>0</v>
      </c>
      <c r="AC8" s="293">
        <f>SUBTOTAL(109,JED_ATZ_LF_LEGACY[X])</f>
        <v>0</v>
      </c>
      <c r="AD8" s="293">
        <f>SUBTOTAL(109,JED_ATZ_LF_LEGACY[U])</f>
        <v>0</v>
      </c>
      <c r="AE8" s="293">
        <f>SUBTOTAL(109,JED_ATZ_LF_LEGACY[O])</f>
        <v>0</v>
      </c>
      <c r="AF8" s="293">
        <f>SUBTOTAL(109,JED_ATZ_LF_LEGACY[I])</f>
        <v>0</v>
      </c>
      <c r="AG8" s="293">
        <f>SUBTOTAL(109,JED_ATZ_LF_LEGACY[E])</f>
        <v>0</v>
      </c>
      <c r="AH8" s="293">
        <f>SUBTOTAL(109,JED_ATZ_LF_LEGACY[A])</f>
        <v>0</v>
      </c>
      <c r="AI8" s="293">
        <f>SUBTOTAL(109,JED_ATZ_LF_LEGACY[P])</f>
        <v>0</v>
      </c>
      <c r="AJ8" s="293">
        <f>SUBTOTAL(103,JED_ATZ_LF_LEGACY[N])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7.5546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96" t="s">
        <v>162</v>
      </c>
      <c r="B2" s="97" t="s">
        <v>78</v>
      </c>
      <c r="C2" s="98" t="s">
        <v>524</v>
      </c>
      <c r="D2" s="97" t="s">
        <v>523</v>
      </c>
      <c r="E2" s="97" t="s">
        <v>549</v>
      </c>
      <c r="F2" s="97" t="s">
        <v>178</v>
      </c>
      <c r="G2" s="99">
        <v>9</v>
      </c>
      <c r="H2" s="100">
        <v>401</v>
      </c>
    </row>
    <row r="3" spans="1:8" ht="19.8" customHeight="1" x14ac:dyDescent="0.3">
      <c r="A3" s="189">
        <v>45981</v>
      </c>
      <c r="B3" s="97" t="s">
        <v>78</v>
      </c>
      <c r="C3" s="98" t="s">
        <v>529</v>
      </c>
      <c r="D3" s="97" t="s">
        <v>523</v>
      </c>
      <c r="E3" s="190">
        <v>1.489583333333333</v>
      </c>
      <c r="F3" s="97" t="s">
        <v>178</v>
      </c>
      <c r="G3" s="99">
        <v>9</v>
      </c>
      <c r="H3" s="100">
        <v>586</v>
      </c>
    </row>
    <row r="4" spans="1:8" ht="19.8" customHeight="1" x14ac:dyDescent="0.3">
      <c r="A4" s="70">
        <v>45981</v>
      </c>
      <c r="B4" s="61" t="s">
        <v>49</v>
      </c>
      <c r="C4" s="62" t="s">
        <v>538</v>
      </c>
      <c r="D4" s="61" t="s">
        <v>523</v>
      </c>
      <c r="E4" s="71">
        <v>1.489583333333333</v>
      </c>
      <c r="F4" s="61" t="s">
        <v>539</v>
      </c>
      <c r="G4" s="63">
        <v>4</v>
      </c>
      <c r="H4" s="64">
        <v>640</v>
      </c>
    </row>
    <row r="5" spans="1:8" ht="19.8" customHeight="1" x14ac:dyDescent="0.3">
      <c r="A5" s="189">
        <v>45981</v>
      </c>
      <c r="B5" s="97" t="s">
        <v>78</v>
      </c>
      <c r="C5" s="98" t="s">
        <v>533</v>
      </c>
      <c r="D5" s="97" t="s">
        <v>523</v>
      </c>
      <c r="E5" s="190">
        <v>1.708333333333333</v>
      </c>
      <c r="F5" s="97" t="s">
        <v>178</v>
      </c>
      <c r="G5" s="99">
        <v>9</v>
      </c>
      <c r="H5" s="100">
        <v>646</v>
      </c>
    </row>
    <row r="6" spans="1:8" ht="19.8" customHeight="1" x14ac:dyDescent="0.3">
      <c r="A6" s="101"/>
      <c r="B6" s="102"/>
      <c r="C6" s="102"/>
      <c r="D6" s="102"/>
      <c r="E6" s="102"/>
      <c r="F6" s="103" t="s">
        <v>522</v>
      </c>
      <c r="G6" s="102"/>
      <c r="H6" s="104"/>
    </row>
    <row r="7" spans="1:8" ht="19.8" customHeight="1" x14ac:dyDescent="0.3">
      <c r="A7" s="70">
        <v>45981</v>
      </c>
      <c r="B7" s="61" t="s">
        <v>26</v>
      </c>
      <c r="C7" s="62" t="s">
        <v>219</v>
      </c>
      <c r="D7" s="61" t="s">
        <v>218</v>
      </c>
      <c r="E7" s="71">
        <v>1.256944444444444</v>
      </c>
      <c r="F7" s="61" t="s">
        <v>220</v>
      </c>
      <c r="G7" s="63">
        <v>7</v>
      </c>
      <c r="H7" s="64">
        <v>589</v>
      </c>
    </row>
    <row r="8" spans="1:8" ht="19.8" customHeight="1" x14ac:dyDescent="0.3">
      <c r="A8" s="70">
        <v>45981</v>
      </c>
      <c r="B8" s="61" t="s">
        <v>26</v>
      </c>
      <c r="C8" s="62" t="s">
        <v>223</v>
      </c>
      <c r="D8" s="61" t="s">
        <v>218</v>
      </c>
      <c r="E8" s="71">
        <v>1.302083333333333</v>
      </c>
      <c r="F8" s="61" t="s">
        <v>220</v>
      </c>
      <c r="G8" s="63">
        <v>4</v>
      </c>
      <c r="H8" s="64">
        <v>589</v>
      </c>
    </row>
    <row r="9" spans="1:8" ht="19.8" customHeight="1" x14ac:dyDescent="0.3">
      <c r="A9" s="70">
        <v>45981</v>
      </c>
      <c r="B9" s="61" t="s">
        <v>26</v>
      </c>
      <c r="C9" s="62" t="s">
        <v>224</v>
      </c>
      <c r="D9" s="61" t="s">
        <v>218</v>
      </c>
      <c r="E9" s="71">
        <v>1.854166666666667</v>
      </c>
      <c r="F9" s="61" t="s">
        <v>220</v>
      </c>
      <c r="G9" s="63">
        <v>8</v>
      </c>
      <c r="H9" s="64">
        <v>669</v>
      </c>
    </row>
    <row r="10" spans="1:8" ht="19.8" customHeight="1" x14ac:dyDescent="0.3">
      <c r="A10" s="70">
        <v>45981</v>
      </c>
      <c r="B10" s="61" t="s">
        <v>26</v>
      </c>
      <c r="C10" s="62" t="s">
        <v>227</v>
      </c>
      <c r="D10" s="61" t="s">
        <v>218</v>
      </c>
      <c r="E10" s="71">
        <v>1.9027777777777779</v>
      </c>
      <c r="F10" s="61" t="s">
        <v>220</v>
      </c>
      <c r="G10" s="63">
        <v>9</v>
      </c>
      <c r="H10" s="64">
        <v>669</v>
      </c>
    </row>
    <row r="11" spans="1:8" ht="19.8" customHeight="1" x14ac:dyDescent="0.3">
      <c r="A11" s="70">
        <v>45981</v>
      </c>
      <c r="B11" s="61" t="s">
        <v>26</v>
      </c>
      <c r="C11" s="62" t="s">
        <v>228</v>
      </c>
      <c r="D11" s="61" t="s">
        <v>218</v>
      </c>
      <c r="E11" s="71">
        <v>1.7986111111111109</v>
      </c>
      <c r="F11" s="61" t="s">
        <v>220</v>
      </c>
      <c r="G11" s="63">
        <v>5</v>
      </c>
      <c r="H11" s="64">
        <v>669</v>
      </c>
    </row>
    <row r="12" spans="1:8" ht="19.8" customHeight="1" x14ac:dyDescent="0.3">
      <c r="A12" s="70">
        <v>45981</v>
      </c>
      <c r="B12" s="61" t="s">
        <v>26</v>
      </c>
      <c r="C12" s="62" t="s">
        <v>230</v>
      </c>
      <c r="D12" s="61" t="s">
        <v>218</v>
      </c>
      <c r="E12" s="71">
        <v>1.395833333333333</v>
      </c>
      <c r="F12" s="61" t="s">
        <v>220</v>
      </c>
      <c r="G12" s="63">
        <v>9</v>
      </c>
      <c r="H12" s="64">
        <v>669</v>
      </c>
    </row>
    <row r="13" spans="1:8" ht="19.8" customHeight="1" x14ac:dyDescent="0.3">
      <c r="A13" s="70">
        <v>45981</v>
      </c>
      <c r="B13" s="61" t="s">
        <v>41</v>
      </c>
      <c r="C13" s="62" t="s">
        <v>235</v>
      </c>
      <c r="D13" s="61" t="s">
        <v>218</v>
      </c>
      <c r="E13" s="71">
        <v>1.302083333333333</v>
      </c>
      <c r="F13" s="61" t="s">
        <v>236</v>
      </c>
      <c r="G13" s="63">
        <v>9</v>
      </c>
      <c r="H13" s="64">
        <v>689</v>
      </c>
    </row>
    <row r="14" spans="1:8" ht="19.8" customHeight="1" x14ac:dyDescent="0.3">
      <c r="A14" s="70">
        <v>45981</v>
      </c>
      <c r="B14" s="61" t="s">
        <v>41</v>
      </c>
      <c r="C14" s="62" t="s">
        <v>238</v>
      </c>
      <c r="D14" s="61" t="s">
        <v>218</v>
      </c>
      <c r="E14" s="71">
        <v>1.8888888888888891</v>
      </c>
      <c r="F14" s="61" t="s">
        <v>236</v>
      </c>
      <c r="G14" s="63">
        <v>15</v>
      </c>
      <c r="H14" s="64">
        <v>689</v>
      </c>
    </row>
    <row r="15" spans="1:8" ht="19.8" customHeight="1" x14ac:dyDescent="0.3">
      <c r="A15" s="70">
        <v>45981</v>
      </c>
      <c r="B15" s="61" t="s">
        <v>41</v>
      </c>
      <c r="C15" s="62" t="s">
        <v>240</v>
      </c>
      <c r="D15" s="61" t="s">
        <v>218</v>
      </c>
      <c r="E15" s="71">
        <v>1.788194444444444</v>
      </c>
      <c r="F15" s="61" t="s">
        <v>236</v>
      </c>
      <c r="G15" s="63">
        <v>20</v>
      </c>
      <c r="H15" s="64">
        <v>689</v>
      </c>
    </row>
    <row r="16" spans="1:8" ht="19.8" customHeight="1" x14ac:dyDescent="0.3">
      <c r="A16" s="72">
        <v>45981</v>
      </c>
      <c r="B16" s="73" t="s">
        <v>243</v>
      </c>
      <c r="C16" s="74" t="s">
        <v>244</v>
      </c>
      <c r="D16" s="73" t="s">
        <v>218</v>
      </c>
      <c r="E16" s="75">
        <v>1.3298611111111109</v>
      </c>
      <c r="F16" s="73" t="s">
        <v>245</v>
      </c>
      <c r="G16" s="76">
        <v>9</v>
      </c>
      <c r="H16" s="105">
        <v>706</v>
      </c>
    </row>
    <row r="17" spans="1:8" ht="19.8" customHeight="1" x14ac:dyDescent="0.3">
      <c r="A17" s="189">
        <v>45982</v>
      </c>
      <c r="B17" s="97" t="s">
        <v>78</v>
      </c>
      <c r="C17" s="98" t="s">
        <v>541</v>
      </c>
      <c r="D17" s="97" t="s">
        <v>523</v>
      </c>
      <c r="E17" s="190">
        <v>1.291666666666667</v>
      </c>
      <c r="F17" s="97" t="s">
        <v>178</v>
      </c>
      <c r="G17" s="99">
        <v>5</v>
      </c>
      <c r="H17" s="100">
        <v>471</v>
      </c>
    </row>
    <row r="18" spans="1:8" ht="19.8" customHeight="1" x14ac:dyDescent="0.3">
      <c r="A18" s="101"/>
      <c r="B18" s="102"/>
      <c r="C18" s="102"/>
      <c r="D18" s="102"/>
      <c r="E18" s="102"/>
      <c r="F18" s="103" t="s">
        <v>522</v>
      </c>
      <c r="G18" s="102"/>
      <c r="H18" s="104"/>
    </row>
    <row r="19" spans="1:8" ht="19.8" customHeight="1" x14ac:dyDescent="0.3">
      <c r="A19" s="70">
        <v>45982</v>
      </c>
      <c r="B19" s="61" t="s">
        <v>285</v>
      </c>
      <c r="C19" s="62" t="s">
        <v>286</v>
      </c>
      <c r="D19" s="61" t="s">
        <v>218</v>
      </c>
      <c r="E19" s="71">
        <v>1.7152777777777779</v>
      </c>
      <c r="F19" s="61" t="s">
        <v>279</v>
      </c>
      <c r="G19" s="63">
        <v>1</v>
      </c>
      <c r="H19" s="64">
        <v>834</v>
      </c>
    </row>
    <row r="20" spans="1:8" ht="19.8" customHeight="1" x14ac:dyDescent="0.3">
      <c r="A20" s="70">
        <v>45982</v>
      </c>
      <c r="B20" s="61" t="s">
        <v>78</v>
      </c>
      <c r="C20" s="62" t="s">
        <v>260</v>
      </c>
      <c r="D20" s="61" t="s">
        <v>218</v>
      </c>
      <c r="E20" s="71">
        <v>1.7361111111111109</v>
      </c>
      <c r="F20" s="61" t="s">
        <v>178</v>
      </c>
      <c r="G20" s="63">
        <v>5</v>
      </c>
      <c r="H20" s="64">
        <v>856</v>
      </c>
    </row>
    <row r="21" spans="1:8" ht="19.8" customHeight="1" x14ac:dyDescent="0.3">
      <c r="A21" s="70">
        <v>45982</v>
      </c>
      <c r="B21" s="61" t="s">
        <v>78</v>
      </c>
      <c r="C21" s="62" t="s">
        <v>263</v>
      </c>
      <c r="D21" s="61" t="s">
        <v>218</v>
      </c>
      <c r="E21" s="71">
        <v>1.114583333333333</v>
      </c>
      <c r="F21" s="61" t="s">
        <v>178</v>
      </c>
      <c r="G21" s="63">
        <v>3</v>
      </c>
      <c r="H21" s="64">
        <v>856</v>
      </c>
    </row>
    <row r="22" spans="1:8" ht="19.8" customHeight="1" x14ac:dyDescent="0.3">
      <c r="A22" s="70">
        <v>45982</v>
      </c>
      <c r="B22" s="61" t="s">
        <v>78</v>
      </c>
      <c r="C22" s="62" t="s">
        <v>272</v>
      </c>
      <c r="D22" s="61" t="s">
        <v>218</v>
      </c>
      <c r="E22" s="71">
        <v>1.614583333333333</v>
      </c>
      <c r="F22" s="61" t="s">
        <v>178</v>
      </c>
      <c r="G22" s="63">
        <v>6</v>
      </c>
      <c r="H22" s="64">
        <v>856</v>
      </c>
    </row>
    <row r="23" spans="1:8" ht="19.8" customHeight="1" x14ac:dyDescent="0.3">
      <c r="A23" s="70">
        <v>45982</v>
      </c>
      <c r="B23" s="61" t="s">
        <v>78</v>
      </c>
      <c r="C23" s="62" t="s">
        <v>267</v>
      </c>
      <c r="D23" s="61" t="s">
        <v>218</v>
      </c>
      <c r="E23" s="71">
        <v>1.458333333333333</v>
      </c>
      <c r="F23" s="61" t="s">
        <v>178</v>
      </c>
      <c r="G23" s="63">
        <v>7</v>
      </c>
      <c r="H23" s="64">
        <v>856</v>
      </c>
    </row>
    <row r="24" spans="1:8" ht="19.8" customHeight="1" x14ac:dyDescent="0.3">
      <c r="A24" s="70">
        <v>45982</v>
      </c>
      <c r="B24" s="61" t="s">
        <v>285</v>
      </c>
      <c r="C24" s="62" t="s">
        <v>319</v>
      </c>
      <c r="D24" s="61" t="s">
        <v>218</v>
      </c>
      <c r="E24" s="71">
        <v>1.416666666666667</v>
      </c>
      <c r="F24" s="61" t="s">
        <v>279</v>
      </c>
      <c r="G24" s="63">
        <v>9</v>
      </c>
      <c r="H24" s="64">
        <v>933</v>
      </c>
    </row>
    <row r="25" spans="1:8" ht="19.8" customHeight="1" x14ac:dyDescent="0.3">
      <c r="A25" s="70">
        <v>45982</v>
      </c>
      <c r="B25" s="61" t="s">
        <v>78</v>
      </c>
      <c r="C25" s="62" t="s">
        <v>257</v>
      </c>
      <c r="D25" s="61" t="s">
        <v>218</v>
      </c>
      <c r="E25" s="71">
        <v>1.319444444444444</v>
      </c>
      <c r="F25" s="61" t="s">
        <v>178</v>
      </c>
      <c r="G25" s="63">
        <v>7</v>
      </c>
      <c r="H25" s="64">
        <v>952</v>
      </c>
    </row>
    <row r="26" spans="1:8" ht="19.8" customHeight="1" x14ac:dyDescent="0.3">
      <c r="A26" s="70">
        <v>45982</v>
      </c>
      <c r="B26" s="61" t="s">
        <v>49</v>
      </c>
      <c r="C26" s="62" t="s">
        <v>311</v>
      </c>
      <c r="D26" s="61" t="s">
        <v>218</v>
      </c>
      <c r="E26" s="71">
        <v>1.229166666666667</v>
      </c>
      <c r="F26" s="61" t="s">
        <v>51</v>
      </c>
      <c r="G26" s="63">
        <v>9</v>
      </c>
      <c r="H26" s="65" t="s">
        <v>334</v>
      </c>
    </row>
    <row r="27" spans="1:8" ht="19.8" customHeight="1" x14ac:dyDescent="0.3">
      <c r="A27" s="70">
        <v>45982</v>
      </c>
      <c r="B27" s="61" t="s">
        <v>49</v>
      </c>
      <c r="C27" s="62" t="s">
        <v>306</v>
      </c>
      <c r="D27" s="61" t="s">
        <v>218</v>
      </c>
      <c r="E27" s="71">
        <v>1.0138888888888891</v>
      </c>
      <c r="F27" s="61" t="s">
        <v>51</v>
      </c>
      <c r="G27" s="63">
        <v>9</v>
      </c>
      <c r="H27" s="65" t="s">
        <v>335</v>
      </c>
    </row>
    <row r="28" spans="1:8" ht="19.8" customHeight="1" x14ac:dyDescent="0.3">
      <c r="A28" s="72">
        <v>45982</v>
      </c>
      <c r="B28" s="73" t="s">
        <v>49</v>
      </c>
      <c r="C28" s="74" t="s">
        <v>313</v>
      </c>
      <c r="D28" s="73" t="s">
        <v>218</v>
      </c>
      <c r="E28" s="75">
        <v>1.791666666666667</v>
      </c>
      <c r="F28" s="73" t="s">
        <v>51</v>
      </c>
      <c r="G28" s="76">
        <v>9</v>
      </c>
      <c r="H28" s="77" t="s">
        <v>292</v>
      </c>
    </row>
    <row r="29" spans="1:8" ht="19.8" customHeight="1" x14ac:dyDescent="0.3">
      <c r="A29" s="189">
        <v>45983</v>
      </c>
      <c r="B29" s="97" t="s">
        <v>78</v>
      </c>
      <c r="C29" s="98" t="s">
        <v>533</v>
      </c>
      <c r="D29" s="97" t="s">
        <v>523</v>
      </c>
      <c r="E29" s="190">
        <v>1.6875</v>
      </c>
      <c r="F29" s="97" t="s">
        <v>178</v>
      </c>
      <c r="G29" s="99">
        <v>2</v>
      </c>
      <c r="H29" s="100">
        <v>526</v>
      </c>
    </row>
    <row r="30" spans="1:8" ht="19.8" customHeight="1" x14ac:dyDescent="0.3">
      <c r="A30" s="189">
        <v>45983</v>
      </c>
      <c r="B30" s="97" t="s">
        <v>78</v>
      </c>
      <c r="C30" s="98" t="s">
        <v>529</v>
      </c>
      <c r="D30" s="97" t="s">
        <v>523</v>
      </c>
      <c r="E30" s="190">
        <v>1.461805555555556</v>
      </c>
      <c r="F30" s="97" t="s">
        <v>178</v>
      </c>
      <c r="G30" s="99">
        <v>9</v>
      </c>
      <c r="H30" s="100">
        <v>526</v>
      </c>
    </row>
    <row r="31" spans="1:8" ht="19.8" customHeight="1" x14ac:dyDescent="0.3">
      <c r="A31" s="70">
        <v>45983</v>
      </c>
      <c r="B31" s="61" t="s">
        <v>49</v>
      </c>
      <c r="C31" s="62" t="s">
        <v>538</v>
      </c>
      <c r="D31" s="61" t="s">
        <v>523</v>
      </c>
      <c r="E31" s="71">
        <v>1.461805555555556</v>
      </c>
      <c r="F31" s="61" t="s">
        <v>539</v>
      </c>
      <c r="G31" s="63">
        <v>4</v>
      </c>
      <c r="H31" s="64">
        <v>640</v>
      </c>
    </row>
    <row r="32" spans="1:8" ht="19.8" customHeight="1" x14ac:dyDescent="0.3">
      <c r="A32" s="101"/>
      <c r="B32" s="102"/>
      <c r="C32" s="102"/>
      <c r="D32" s="102"/>
      <c r="E32" s="102"/>
      <c r="F32" s="103" t="s">
        <v>522</v>
      </c>
      <c r="G32" s="102"/>
      <c r="H32" s="104"/>
    </row>
    <row r="33" spans="1:8" ht="19.8" customHeight="1" x14ac:dyDescent="0.3">
      <c r="A33" s="70">
        <v>45983</v>
      </c>
      <c r="B33" s="61" t="s">
        <v>285</v>
      </c>
      <c r="C33" s="62" t="s">
        <v>286</v>
      </c>
      <c r="D33" s="61" t="s">
        <v>218</v>
      </c>
      <c r="E33" s="71">
        <v>1.666666666666667</v>
      </c>
      <c r="F33" s="61" t="s">
        <v>279</v>
      </c>
      <c r="G33" s="63">
        <v>9</v>
      </c>
      <c r="H33" s="64">
        <v>834</v>
      </c>
    </row>
    <row r="34" spans="1:8" ht="19.8" customHeight="1" x14ac:dyDescent="0.3">
      <c r="A34" s="70">
        <v>45983</v>
      </c>
      <c r="B34" s="61" t="s">
        <v>277</v>
      </c>
      <c r="C34" s="62" t="s">
        <v>282</v>
      </c>
      <c r="D34" s="61" t="s">
        <v>218</v>
      </c>
      <c r="E34" s="71">
        <v>1.270833333333333</v>
      </c>
      <c r="F34" s="61" t="s">
        <v>279</v>
      </c>
      <c r="G34" s="63">
        <v>1</v>
      </c>
      <c r="H34" s="64">
        <v>835</v>
      </c>
    </row>
    <row r="35" spans="1:8" ht="19.8" customHeight="1" x14ac:dyDescent="0.3">
      <c r="A35" s="70">
        <v>45983</v>
      </c>
      <c r="B35" s="61" t="s">
        <v>62</v>
      </c>
      <c r="C35" s="62" t="s">
        <v>291</v>
      </c>
      <c r="D35" s="61" t="s">
        <v>218</v>
      </c>
      <c r="E35" s="71">
        <v>1.006944444444444</v>
      </c>
      <c r="F35" s="61" t="s">
        <v>64</v>
      </c>
      <c r="G35" s="63">
        <v>9</v>
      </c>
      <c r="H35" s="65" t="s">
        <v>288</v>
      </c>
    </row>
    <row r="36" spans="1:8" ht="19.8" customHeight="1" x14ac:dyDescent="0.3">
      <c r="A36" s="70">
        <v>45983</v>
      </c>
      <c r="B36" s="61" t="s">
        <v>62</v>
      </c>
      <c r="C36" s="62" t="s">
        <v>287</v>
      </c>
      <c r="D36" s="61" t="s">
        <v>218</v>
      </c>
      <c r="E36" s="71">
        <v>1.1423611111111109</v>
      </c>
      <c r="F36" s="61" t="s">
        <v>64</v>
      </c>
      <c r="G36" s="63">
        <v>9</v>
      </c>
      <c r="H36" s="65" t="s">
        <v>288</v>
      </c>
    </row>
    <row r="37" spans="1:8" ht="19.8" customHeight="1" x14ac:dyDescent="0.3">
      <c r="A37" s="70">
        <v>45983</v>
      </c>
      <c r="B37" s="61" t="s">
        <v>62</v>
      </c>
      <c r="C37" s="62" t="s">
        <v>294</v>
      </c>
      <c r="D37" s="61" t="s">
        <v>218</v>
      </c>
      <c r="E37" s="71">
        <v>1.930555555555556</v>
      </c>
      <c r="F37" s="61" t="s">
        <v>64</v>
      </c>
      <c r="G37" s="63">
        <v>9</v>
      </c>
      <c r="H37" s="65" t="s">
        <v>288</v>
      </c>
    </row>
    <row r="38" spans="1:8" ht="19.8" customHeight="1" x14ac:dyDescent="0.3">
      <c r="A38" s="70">
        <v>45983</v>
      </c>
      <c r="B38" s="61" t="s">
        <v>62</v>
      </c>
      <c r="C38" s="62" t="s">
        <v>290</v>
      </c>
      <c r="D38" s="61" t="s">
        <v>218</v>
      </c>
      <c r="E38" s="71">
        <v>1.243055555555556</v>
      </c>
      <c r="F38" s="61" t="s">
        <v>64</v>
      </c>
      <c r="G38" s="63">
        <v>9</v>
      </c>
      <c r="H38" s="65" t="s">
        <v>288</v>
      </c>
    </row>
    <row r="39" spans="1:8" ht="19.8" customHeight="1" x14ac:dyDescent="0.3">
      <c r="A39" s="70">
        <v>45983</v>
      </c>
      <c r="B39" s="61" t="s">
        <v>49</v>
      </c>
      <c r="C39" s="62" t="s">
        <v>311</v>
      </c>
      <c r="D39" s="61" t="s">
        <v>218</v>
      </c>
      <c r="E39" s="71">
        <v>1.229166666666667</v>
      </c>
      <c r="F39" s="61" t="s">
        <v>51</v>
      </c>
      <c r="G39" s="63">
        <v>9</v>
      </c>
      <c r="H39" s="65" t="s">
        <v>307</v>
      </c>
    </row>
    <row r="40" spans="1:8" ht="19.8" customHeight="1" x14ac:dyDescent="0.3">
      <c r="A40" s="70">
        <v>45983</v>
      </c>
      <c r="B40" s="61" t="s">
        <v>62</v>
      </c>
      <c r="C40" s="62" t="s">
        <v>291</v>
      </c>
      <c r="D40" s="61" t="s">
        <v>218</v>
      </c>
      <c r="E40" s="71">
        <v>1.006944444444444</v>
      </c>
      <c r="F40" s="61" t="s">
        <v>66</v>
      </c>
      <c r="G40" s="63">
        <v>9</v>
      </c>
      <c r="H40" s="65" t="s">
        <v>289</v>
      </c>
    </row>
    <row r="41" spans="1:8" ht="19.8" customHeight="1" x14ac:dyDescent="0.3">
      <c r="A41" s="70">
        <v>45983</v>
      </c>
      <c r="B41" s="61" t="s">
        <v>62</v>
      </c>
      <c r="C41" s="62" t="s">
        <v>287</v>
      </c>
      <c r="D41" s="61" t="s">
        <v>218</v>
      </c>
      <c r="E41" s="71">
        <v>1.1423611111111109</v>
      </c>
      <c r="F41" s="61" t="s">
        <v>66</v>
      </c>
      <c r="G41" s="63">
        <v>9</v>
      </c>
      <c r="H41" s="65" t="s">
        <v>289</v>
      </c>
    </row>
    <row r="42" spans="1:8" ht="19.8" customHeight="1" x14ac:dyDescent="0.3">
      <c r="A42" s="72">
        <v>45983</v>
      </c>
      <c r="B42" s="73" t="s">
        <v>62</v>
      </c>
      <c r="C42" s="74" t="s">
        <v>294</v>
      </c>
      <c r="D42" s="73" t="s">
        <v>218</v>
      </c>
      <c r="E42" s="75">
        <v>1.930555555555556</v>
      </c>
      <c r="F42" s="73" t="s">
        <v>66</v>
      </c>
      <c r="G42" s="76">
        <v>9</v>
      </c>
      <c r="H42" s="77" t="s">
        <v>289</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72" t="s">
        <v>0</v>
      </c>
      <c r="B1" s="261"/>
      <c r="C1" s="261"/>
      <c r="D1" s="261"/>
      <c r="E1" s="261"/>
      <c r="F1" s="1" t="s">
        <v>578</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45980.492433218948</v>
      </c>
      <c r="H2" s="261"/>
      <c r="I2" s="261"/>
      <c r="J2" s="261"/>
      <c r="K2" s="274">
        <v>45980.49243321918</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1.6" customHeight="1" x14ac:dyDescent="0.5">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x14ac:dyDescent="0.3">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1"/>
  <sheetViews>
    <sheetView workbookViewId="0"/>
  </sheetViews>
  <sheetFormatPr defaultRowHeight="15.6" outlineLevelCol="1" x14ac:dyDescent="0.3"/>
  <cols>
    <col min="1" max="1" width="4.109375" style="282" bestFit="1" customWidth="1"/>
    <col min="2" max="2" width="5.33203125" style="282" bestFit="1" customWidth="1"/>
    <col min="3" max="3" width="3" style="282" bestFit="1" customWidth="1"/>
    <col min="4" max="4" width="4.21875" style="282" bestFit="1" customWidth="1"/>
    <col min="5" max="5" width="7.109375" style="282" bestFit="1" customWidth="1"/>
    <col min="6" max="6" width="4" style="282" bestFit="1" customWidth="1"/>
    <col min="7" max="8" width="4.21875" style="282" bestFit="1" customWidth="1"/>
    <col min="9" max="10" width="6.44140625" style="282" bestFit="1" customWidth="1"/>
    <col min="11" max="11" width="6.109375" style="282" bestFit="1" customWidth="1"/>
    <col min="12" max="12" width="8.77734375" style="282" bestFit="1" customWidth="1"/>
    <col min="13" max="13" width="7.33203125" style="282" bestFit="1" customWidth="1" outlineLevel="1"/>
    <col min="14" max="14" width="6" style="282" bestFit="1" customWidth="1" outlineLevel="1"/>
    <col min="15" max="15" width="7.6640625" style="282" bestFit="1" customWidth="1" outlineLevel="1"/>
    <col min="16" max="16" width="13.21875" style="282" bestFit="1" customWidth="1"/>
    <col min="17" max="17" width="2" style="282" bestFit="1" customWidth="1"/>
    <col min="18" max="18" width="2.109375" style="282" bestFit="1" customWidth="1"/>
    <col min="19" max="19" width="2.6640625" style="282" bestFit="1" customWidth="1"/>
    <col min="20" max="20" width="2.21875" style="282" bestFit="1" customWidth="1"/>
    <col min="21" max="21" width="2.33203125" style="282" bestFit="1" customWidth="1"/>
    <col min="22" max="22" width="2" style="282" bestFit="1" customWidth="1"/>
    <col min="23" max="23" width="2.109375" style="282" bestFit="1" customWidth="1"/>
    <col min="24" max="24" width="1.88671875" style="282" bestFit="1" customWidth="1"/>
    <col min="25" max="25" width="2.21875" style="282" bestFit="1" customWidth="1"/>
    <col min="26" max="26" width="1.88671875" style="282" bestFit="1" customWidth="1"/>
    <col min="27" max="27" width="2.77734375" style="282" bestFit="1" customWidth="1"/>
    <col min="28" max="29" width="2" style="282" bestFit="1" customWidth="1"/>
    <col min="30" max="31" width="2.33203125" style="282" bestFit="1" customWidth="1"/>
    <col min="32" max="32" width="1.5546875" style="282" bestFit="1" customWidth="1"/>
    <col min="33" max="33" width="2" style="282" bestFit="1" customWidth="1"/>
    <col min="34" max="34" width="2.109375" style="282" bestFit="1" customWidth="1"/>
    <col min="35" max="35" width="2" style="282" bestFit="1" customWidth="1"/>
    <col min="36" max="36" width="2.3320312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12" t="s">
        <v>160</v>
      </c>
      <c r="B1" s="212" t="s">
        <v>8</v>
      </c>
      <c r="C1" s="212" t="s">
        <v>9</v>
      </c>
      <c r="D1" s="212" t="s">
        <v>161</v>
      </c>
      <c r="E1" s="212" t="s">
        <v>10</v>
      </c>
      <c r="F1" s="212" t="s">
        <v>11</v>
      </c>
      <c r="G1" s="212" t="s">
        <v>12</v>
      </c>
      <c r="H1" s="212" t="s">
        <v>13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72" t="s">
        <v>0</v>
      </c>
      <c r="B1" s="261"/>
      <c r="C1" s="261"/>
      <c r="D1" s="261"/>
      <c r="E1" s="261"/>
      <c r="F1" s="1" t="s">
        <v>579</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45980.492433931693</v>
      </c>
      <c r="H2" s="261"/>
      <c r="I2" s="261"/>
      <c r="J2" s="261"/>
      <c r="K2" s="274">
        <v>45980.492433931962</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1.6" customHeight="1" x14ac:dyDescent="0.5">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x14ac:dyDescent="0.3">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1"/>
  <sheetViews>
    <sheetView workbookViewId="0"/>
  </sheetViews>
  <sheetFormatPr defaultRowHeight="15.6" outlineLevelCol="1" x14ac:dyDescent="0.3"/>
  <cols>
    <col min="1" max="1" width="4.109375" style="282" bestFit="1" customWidth="1"/>
    <col min="2" max="2" width="5.33203125" style="282" bestFit="1" customWidth="1"/>
    <col min="3" max="3" width="3" style="282" bestFit="1" customWidth="1"/>
    <col min="4" max="4" width="4.21875" style="282" bestFit="1" customWidth="1"/>
    <col min="5" max="5" width="7.109375" style="282" bestFit="1" customWidth="1"/>
    <col min="6" max="6" width="4" style="282" bestFit="1" customWidth="1"/>
    <col min="7" max="8" width="4.21875" style="282" bestFit="1" customWidth="1"/>
    <col min="9" max="10" width="6.44140625" style="282" bestFit="1" customWidth="1"/>
    <col min="11" max="11" width="6.109375" style="282" bestFit="1" customWidth="1"/>
    <col min="12" max="12" width="8.77734375" style="282" bestFit="1" customWidth="1"/>
    <col min="13" max="13" width="7.33203125" style="282" bestFit="1" customWidth="1" outlineLevel="1"/>
    <col min="14" max="14" width="6" style="282" bestFit="1" customWidth="1" outlineLevel="1"/>
    <col min="15" max="15" width="7.6640625" style="282" bestFit="1" customWidth="1" outlineLevel="1"/>
    <col min="16" max="16" width="13.21875" style="282" bestFit="1" customWidth="1"/>
    <col min="17" max="17" width="2" style="282" bestFit="1" customWidth="1"/>
    <col min="18" max="18" width="2.109375" style="282" bestFit="1" customWidth="1"/>
    <col min="19" max="19" width="2.6640625" style="282" bestFit="1" customWidth="1"/>
    <col min="20" max="20" width="2.21875" style="282" bestFit="1" customWidth="1"/>
    <col min="21" max="21" width="2.33203125" style="282" bestFit="1" customWidth="1"/>
    <col min="22" max="22" width="2" style="282" bestFit="1" customWidth="1"/>
    <col min="23" max="23" width="2.109375" style="282" bestFit="1" customWidth="1"/>
    <col min="24" max="24" width="1.88671875" style="282" bestFit="1" customWidth="1"/>
    <col min="25" max="25" width="2.21875" style="282" bestFit="1" customWidth="1"/>
    <col min="26" max="26" width="1.88671875" style="282" bestFit="1" customWidth="1"/>
    <col min="27" max="27" width="2.77734375" style="282" bestFit="1" customWidth="1"/>
    <col min="28" max="29" width="2" style="282" bestFit="1" customWidth="1"/>
    <col min="30" max="31" width="2.33203125" style="282" bestFit="1" customWidth="1"/>
    <col min="32" max="32" width="1.5546875" style="282" bestFit="1" customWidth="1"/>
    <col min="33" max="33" width="2" style="282" bestFit="1" customWidth="1"/>
    <col min="34" max="34" width="2.109375" style="282" bestFit="1" customWidth="1"/>
    <col min="35" max="35" width="2" style="282" bestFit="1" customWidth="1"/>
    <col min="36" max="36" width="2.3320312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12" t="s">
        <v>160</v>
      </c>
      <c r="B1" s="212" t="s">
        <v>8</v>
      </c>
      <c r="C1" s="212" t="s">
        <v>9</v>
      </c>
      <c r="D1" s="212" t="s">
        <v>161</v>
      </c>
      <c r="E1" s="212" t="s">
        <v>10</v>
      </c>
      <c r="F1" s="212" t="s">
        <v>11</v>
      </c>
      <c r="G1" s="212" t="s">
        <v>12</v>
      </c>
      <c r="H1" s="212" t="s">
        <v>13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72" t="s">
        <v>0</v>
      </c>
      <c r="B1" s="261"/>
      <c r="C1" s="261"/>
      <c r="D1" s="261"/>
      <c r="E1" s="261"/>
      <c r="F1" s="1" t="s">
        <v>580</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45980.492434587803</v>
      </c>
      <c r="H2" s="261"/>
      <c r="I2" s="261"/>
      <c r="J2" s="261"/>
      <c r="K2" s="274">
        <v>45980.492434588043</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1.6" customHeight="1" x14ac:dyDescent="0.5">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x14ac:dyDescent="0.3">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RowHeight="15.6" outlineLevelCol="1" x14ac:dyDescent="0.3"/>
  <cols>
    <col min="1" max="1" width="4.109375" style="282" bestFit="1" customWidth="1"/>
    <col min="2" max="2" width="5.33203125" style="282" bestFit="1" customWidth="1"/>
    <col min="3" max="3" width="3" style="282" bestFit="1" customWidth="1"/>
    <col min="4" max="4" width="4.21875" style="282" bestFit="1" customWidth="1"/>
    <col min="5" max="5" width="7.109375" style="282" bestFit="1" customWidth="1"/>
    <col min="6" max="6" width="4" style="282" bestFit="1" customWidth="1"/>
    <col min="7" max="8" width="4.21875" style="282" bestFit="1" customWidth="1"/>
    <col min="9" max="10" width="6.44140625" style="282" bestFit="1" customWidth="1"/>
    <col min="11" max="11" width="6.109375" style="282" bestFit="1" customWidth="1"/>
    <col min="12" max="12" width="8.77734375" style="282" bestFit="1" customWidth="1"/>
    <col min="13" max="13" width="7.33203125" style="282" bestFit="1" customWidth="1" outlineLevel="1"/>
    <col min="14" max="14" width="6" style="282" bestFit="1" customWidth="1" outlineLevel="1"/>
    <col min="15" max="15" width="7.6640625" style="282" bestFit="1" customWidth="1" outlineLevel="1"/>
    <col min="16" max="16" width="13.21875" style="282" bestFit="1" customWidth="1"/>
    <col min="17" max="17" width="2" style="282" bestFit="1" customWidth="1"/>
    <col min="18" max="18" width="2.109375" style="282" bestFit="1" customWidth="1"/>
    <col min="19" max="19" width="2.6640625" style="282" bestFit="1" customWidth="1"/>
    <col min="20" max="20" width="2.21875" style="282" bestFit="1" customWidth="1"/>
    <col min="21" max="21" width="2.33203125" style="282" bestFit="1" customWidth="1"/>
    <col min="22" max="22" width="2" style="282" bestFit="1" customWidth="1"/>
    <col min="23" max="23" width="2.109375" style="282" bestFit="1" customWidth="1"/>
    <col min="24" max="24" width="1.88671875" style="282" bestFit="1" customWidth="1"/>
    <col min="25" max="25" width="2.21875" style="282" bestFit="1" customWidth="1"/>
    <col min="26" max="26" width="1.88671875" style="282" bestFit="1" customWidth="1"/>
    <col min="27" max="27" width="2.77734375" style="282" bestFit="1" customWidth="1"/>
    <col min="28" max="29" width="2" style="282" bestFit="1" customWidth="1"/>
    <col min="30" max="31" width="2.33203125" style="282" bestFit="1" customWidth="1"/>
    <col min="32" max="32" width="1.5546875" style="282" bestFit="1" customWidth="1"/>
    <col min="33" max="33" width="2" style="282" bestFit="1" customWidth="1"/>
    <col min="34" max="34" width="2.109375" style="282" bestFit="1" customWidth="1"/>
    <col min="35" max="35" width="2" style="282" bestFit="1" customWidth="1"/>
    <col min="36" max="36" width="2.3320312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12" t="s">
        <v>160</v>
      </c>
      <c r="B1" s="212" t="s">
        <v>8</v>
      </c>
      <c r="C1" s="212" t="s">
        <v>9</v>
      </c>
      <c r="D1" s="212" t="s">
        <v>161</v>
      </c>
      <c r="E1" s="212" t="s">
        <v>10</v>
      </c>
      <c r="F1" s="212" t="s">
        <v>11</v>
      </c>
      <c r="G1" s="212" t="s">
        <v>12</v>
      </c>
      <c r="H1" s="212" t="s">
        <v>13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72" t="s">
        <v>0</v>
      </c>
      <c r="B1" s="261"/>
      <c r="C1" s="261"/>
      <c r="D1" s="261"/>
      <c r="E1" s="261"/>
      <c r="F1" s="1" t="s">
        <v>581</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45980.492435326807</v>
      </c>
      <c r="H2" s="261"/>
      <c r="I2" s="261"/>
      <c r="J2" s="261"/>
      <c r="K2" s="274">
        <v>45980.492435327127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1.6" customHeight="1" x14ac:dyDescent="0.5">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x14ac:dyDescent="0.3">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RowHeight="15.6" outlineLevelCol="1" x14ac:dyDescent="0.3"/>
  <cols>
    <col min="1" max="1" width="4.109375" style="282" bestFit="1" customWidth="1"/>
    <col min="2" max="2" width="5.33203125" style="282" bestFit="1" customWidth="1"/>
    <col min="3" max="3" width="3" style="282" bestFit="1" customWidth="1"/>
    <col min="4" max="4" width="4.21875" style="282" bestFit="1" customWidth="1"/>
    <col min="5" max="5" width="7.109375" style="282" bestFit="1" customWidth="1"/>
    <col min="6" max="6" width="4" style="282" bestFit="1" customWidth="1"/>
    <col min="7" max="8" width="4.21875" style="282" bestFit="1" customWidth="1"/>
    <col min="9" max="10" width="6.44140625" style="282" bestFit="1" customWidth="1"/>
    <col min="11" max="11" width="6.109375" style="282" bestFit="1" customWidth="1"/>
    <col min="12" max="12" width="8.77734375" style="282" bestFit="1" customWidth="1"/>
    <col min="13" max="13" width="7.33203125" style="282" bestFit="1" customWidth="1" outlineLevel="1"/>
    <col min="14" max="14" width="6" style="282" bestFit="1" customWidth="1" outlineLevel="1"/>
    <col min="15" max="15" width="7.6640625" style="282" bestFit="1" customWidth="1" outlineLevel="1"/>
    <col min="16" max="16" width="13.21875" style="282" bestFit="1" customWidth="1"/>
    <col min="17" max="17" width="2" style="282" bestFit="1" customWidth="1"/>
    <col min="18" max="18" width="2.109375" style="282" bestFit="1" customWidth="1"/>
    <col min="19" max="19" width="2.6640625" style="282" bestFit="1" customWidth="1"/>
    <col min="20" max="20" width="2.21875" style="282" bestFit="1" customWidth="1"/>
    <col min="21" max="21" width="2.33203125" style="282" bestFit="1" customWidth="1"/>
    <col min="22" max="22" width="2" style="282" bestFit="1" customWidth="1"/>
    <col min="23" max="23" width="2.109375" style="282" bestFit="1" customWidth="1"/>
    <col min="24" max="24" width="1.88671875" style="282" bestFit="1" customWidth="1"/>
    <col min="25" max="25" width="2.21875" style="282" bestFit="1" customWidth="1"/>
    <col min="26" max="26" width="1.88671875" style="282" bestFit="1" customWidth="1"/>
    <col min="27" max="27" width="2.77734375" style="282" bestFit="1" customWidth="1"/>
    <col min="28" max="29" width="2" style="282" bestFit="1" customWidth="1"/>
    <col min="30" max="31" width="2.33203125" style="282" bestFit="1" customWidth="1"/>
    <col min="32" max="32" width="1.5546875" style="282" bestFit="1" customWidth="1"/>
    <col min="33" max="33" width="2" style="282" bestFit="1" customWidth="1"/>
    <col min="34" max="34" width="2.109375" style="282" bestFit="1" customWidth="1"/>
    <col min="35" max="35" width="2" style="282" bestFit="1" customWidth="1"/>
    <col min="36" max="36" width="2.3320312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12" t="s">
        <v>160</v>
      </c>
      <c r="B1" s="212" t="s">
        <v>8</v>
      </c>
      <c r="C1" s="212" t="s">
        <v>9</v>
      </c>
      <c r="D1" s="212" t="s">
        <v>161</v>
      </c>
      <c r="E1" s="212" t="s">
        <v>10</v>
      </c>
      <c r="F1" s="212" t="s">
        <v>11</v>
      </c>
      <c r="G1" s="212" t="s">
        <v>12</v>
      </c>
      <c r="H1" s="212"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63"/>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2" bestFit="1" customWidth="1"/>
  </cols>
  <sheetData>
    <row r="1" spans="1:92" ht="28.8" customHeight="1" x14ac:dyDescent="0.3">
      <c r="A1" s="272" t="s">
        <v>0</v>
      </c>
      <c r="B1" s="261"/>
      <c r="C1" s="261"/>
      <c r="D1" s="261"/>
      <c r="E1" s="261"/>
      <c r="F1" s="1" t="s">
        <v>582</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45980.49243604426</v>
      </c>
      <c r="H2" s="261"/>
      <c r="I2" s="261"/>
      <c r="J2" s="261"/>
      <c r="K2" s="274">
        <v>45980.492436044522</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583</v>
      </c>
      <c r="C6" s="9">
        <v>0.375</v>
      </c>
      <c r="D6" s="8" t="s">
        <v>28</v>
      </c>
      <c r="E6" s="8" t="s">
        <v>29</v>
      </c>
      <c r="F6" s="8" t="s">
        <v>30</v>
      </c>
      <c r="G6" s="266"/>
      <c r="H6" s="10"/>
      <c r="I6" s="11"/>
      <c r="J6" s="11"/>
      <c r="K6" s="11"/>
      <c r="L6" s="11"/>
      <c r="M6" s="11"/>
      <c r="N6" s="11"/>
      <c r="O6" s="12"/>
      <c r="P6" s="11"/>
      <c r="Q6" s="13"/>
      <c r="R6" s="14"/>
    </row>
    <row r="7" spans="1:92" ht="15" customHeight="1" x14ac:dyDescent="0.3">
      <c r="A7" s="15" t="s">
        <v>26</v>
      </c>
      <c r="B7" s="15" t="s">
        <v>583</v>
      </c>
      <c r="C7" s="16">
        <v>0.375</v>
      </c>
      <c r="D7" s="15" t="s">
        <v>31</v>
      </c>
      <c r="E7" s="15" t="s">
        <v>32</v>
      </c>
      <c r="F7" s="15" t="s">
        <v>33</v>
      </c>
      <c r="G7" s="267"/>
      <c r="H7" s="10"/>
      <c r="I7" s="11"/>
      <c r="J7" s="11"/>
      <c r="K7" s="11"/>
      <c r="L7" s="11"/>
      <c r="M7" s="11"/>
      <c r="N7" s="11"/>
      <c r="O7" s="12"/>
      <c r="P7" s="11"/>
      <c r="Q7" s="13"/>
      <c r="R7" s="14"/>
    </row>
    <row r="8" spans="1:92" ht="15" customHeight="1" x14ac:dyDescent="0.3">
      <c r="A8" s="15" t="s">
        <v>26</v>
      </c>
      <c r="B8" s="15" t="s">
        <v>583</v>
      </c>
      <c r="C8" s="16">
        <v>0.375</v>
      </c>
      <c r="D8" s="15" t="s">
        <v>34</v>
      </c>
      <c r="E8" s="15" t="s">
        <v>32</v>
      </c>
      <c r="F8" s="15" t="s">
        <v>35</v>
      </c>
      <c r="G8" s="267"/>
      <c r="H8" s="10"/>
      <c r="I8" s="11"/>
      <c r="J8" s="11"/>
      <c r="K8" s="11"/>
      <c r="L8" s="11"/>
      <c r="M8" s="11"/>
      <c r="N8" s="11"/>
      <c r="O8" s="12"/>
      <c r="P8" s="11"/>
      <c r="Q8" s="13"/>
      <c r="R8" s="14"/>
    </row>
    <row r="9" spans="1:92" ht="15" customHeight="1" x14ac:dyDescent="0.3">
      <c r="A9" s="17" t="s">
        <v>26</v>
      </c>
      <c r="B9" s="17" t="s">
        <v>584</v>
      </c>
      <c r="C9" s="18">
        <v>0.30555555555555552</v>
      </c>
      <c r="D9" s="17" t="s">
        <v>28</v>
      </c>
      <c r="E9" s="17" t="s">
        <v>100</v>
      </c>
      <c r="F9" s="17" t="s">
        <v>38</v>
      </c>
      <c r="G9" s="267"/>
      <c r="H9" s="10"/>
      <c r="I9" s="11"/>
      <c r="J9" s="11"/>
      <c r="K9" s="11"/>
      <c r="L9" s="11"/>
      <c r="M9" s="11"/>
      <c r="N9" s="11"/>
      <c r="O9" s="12"/>
      <c r="P9" s="11"/>
      <c r="Q9" s="13"/>
      <c r="R9" s="14"/>
    </row>
    <row r="10" spans="1:92" ht="15" customHeight="1" x14ac:dyDescent="0.3">
      <c r="A10" s="15" t="s">
        <v>26</v>
      </c>
      <c r="B10" s="15" t="s">
        <v>584</v>
      </c>
      <c r="C10" s="16">
        <v>0.30555555555555552</v>
      </c>
      <c r="D10" s="15" t="s">
        <v>31</v>
      </c>
      <c r="E10" s="15" t="s">
        <v>585</v>
      </c>
      <c r="F10" s="15" t="s">
        <v>39</v>
      </c>
      <c r="G10" s="267"/>
      <c r="H10" s="10"/>
      <c r="I10" s="11"/>
      <c r="J10" s="11"/>
      <c r="K10" s="11"/>
      <c r="L10" s="11"/>
      <c r="M10" s="11"/>
      <c r="N10" s="11"/>
      <c r="O10" s="12"/>
      <c r="P10" s="11"/>
      <c r="Q10" s="13"/>
      <c r="R10" s="14"/>
    </row>
    <row r="11" spans="1:92" ht="15" customHeight="1" x14ac:dyDescent="0.3">
      <c r="A11" s="15" t="s">
        <v>26</v>
      </c>
      <c r="B11" s="15" t="s">
        <v>584</v>
      </c>
      <c r="C11" s="16">
        <v>0.30555555555555552</v>
      </c>
      <c r="D11" s="15" t="s">
        <v>34</v>
      </c>
      <c r="E11" s="15" t="s">
        <v>585</v>
      </c>
      <c r="F11" s="15" t="s">
        <v>40</v>
      </c>
      <c r="G11" s="267"/>
      <c r="H11" s="10"/>
      <c r="I11" s="11"/>
      <c r="J11" s="11"/>
      <c r="K11" s="11"/>
      <c r="L11" s="11"/>
      <c r="M11" s="11"/>
      <c r="N11" s="11"/>
      <c r="O11" s="12"/>
      <c r="P11" s="11"/>
      <c r="Q11" s="13"/>
      <c r="R11" s="14"/>
    </row>
    <row r="12" spans="1:92" ht="15" customHeight="1" x14ac:dyDescent="0.3">
      <c r="A12" s="17" t="s">
        <v>26</v>
      </c>
      <c r="B12" s="17" t="s">
        <v>586</v>
      </c>
      <c r="C12" s="18">
        <v>0.42708333333333331</v>
      </c>
      <c r="D12" s="17" t="s">
        <v>28</v>
      </c>
      <c r="E12" s="17" t="s">
        <v>71</v>
      </c>
      <c r="F12" s="17" t="s">
        <v>38</v>
      </c>
      <c r="G12" s="267"/>
      <c r="H12" s="10"/>
      <c r="I12" s="11"/>
      <c r="J12" s="11"/>
      <c r="K12" s="11"/>
      <c r="L12" s="11"/>
      <c r="M12" s="11"/>
      <c r="N12" s="11"/>
      <c r="O12" s="12"/>
      <c r="P12" s="11"/>
      <c r="Q12" s="13"/>
      <c r="R12" s="14"/>
    </row>
    <row r="13" spans="1:92" ht="15" customHeight="1" x14ac:dyDescent="0.3">
      <c r="A13" s="15" t="s">
        <v>26</v>
      </c>
      <c r="B13" s="15" t="s">
        <v>586</v>
      </c>
      <c r="C13" s="16">
        <v>0.42708333333333331</v>
      </c>
      <c r="D13" s="15" t="s">
        <v>31</v>
      </c>
      <c r="E13" s="15" t="s">
        <v>96</v>
      </c>
      <c r="F13" s="15" t="s">
        <v>39</v>
      </c>
      <c r="G13" s="267"/>
      <c r="H13" s="10"/>
      <c r="I13" s="11"/>
      <c r="J13" s="11"/>
      <c r="K13" s="11"/>
      <c r="L13" s="11"/>
      <c r="M13" s="11"/>
      <c r="N13" s="11"/>
      <c r="O13" s="12"/>
      <c r="P13" s="11"/>
      <c r="Q13" s="13"/>
      <c r="R13" s="14"/>
    </row>
    <row r="14" spans="1:92" ht="15" customHeight="1" x14ac:dyDescent="0.3">
      <c r="A14" s="15" t="s">
        <v>26</v>
      </c>
      <c r="B14" s="15" t="s">
        <v>586</v>
      </c>
      <c r="C14" s="16">
        <v>0.42708333333333331</v>
      </c>
      <c r="D14" s="15" t="s">
        <v>34</v>
      </c>
      <c r="E14" s="15" t="s">
        <v>96</v>
      </c>
      <c r="F14" s="15" t="s">
        <v>40</v>
      </c>
      <c r="G14" s="267"/>
      <c r="H14" s="10"/>
      <c r="I14" s="11"/>
      <c r="J14" s="11"/>
      <c r="K14" s="11"/>
      <c r="L14" s="11"/>
      <c r="M14" s="11"/>
      <c r="N14" s="11"/>
      <c r="O14" s="12"/>
      <c r="P14" s="11"/>
      <c r="Q14" s="13"/>
      <c r="R14" s="14"/>
    </row>
    <row r="15" spans="1:92" ht="15" customHeight="1" x14ac:dyDescent="0.3">
      <c r="A15" s="17" t="s">
        <v>26</v>
      </c>
      <c r="B15" s="17" t="s">
        <v>587</v>
      </c>
      <c r="C15" s="18">
        <v>0.5</v>
      </c>
      <c r="D15" s="17" t="s">
        <v>28</v>
      </c>
      <c r="E15" s="17" t="s">
        <v>225</v>
      </c>
      <c r="F15" s="17" t="s">
        <v>33</v>
      </c>
      <c r="G15" s="267"/>
      <c r="H15" s="10"/>
      <c r="I15" s="11"/>
      <c r="J15" s="11"/>
      <c r="K15" s="11"/>
      <c r="L15" s="11"/>
      <c r="M15" s="11"/>
      <c r="N15" s="11"/>
      <c r="O15" s="12"/>
      <c r="P15" s="11"/>
      <c r="Q15" s="13"/>
      <c r="R15" s="14"/>
    </row>
    <row r="16" spans="1:92" ht="15" customHeight="1" x14ac:dyDescent="0.3">
      <c r="A16" s="15" t="s">
        <v>26</v>
      </c>
      <c r="B16" s="15" t="s">
        <v>587</v>
      </c>
      <c r="C16" s="16">
        <v>0.5</v>
      </c>
      <c r="D16" s="15" t="s">
        <v>31</v>
      </c>
      <c r="E16" s="15" t="s">
        <v>588</v>
      </c>
      <c r="F16" s="15" t="s">
        <v>589</v>
      </c>
      <c r="G16" s="267"/>
      <c r="H16" s="10"/>
      <c r="I16" s="11"/>
      <c r="J16" s="11"/>
      <c r="K16" s="11"/>
      <c r="L16" s="11"/>
      <c r="M16" s="11"/>
      <c r="N16" s="11"/>
      <c r="O16" s="12"/>
      <c r="P16" s="11"/>
      <c r="Q16" s="13"/>
      <c r="R16" s="14"/>
    </row>
    <row r="17" spans="1:18" ht="15" customHeight="1" x14ac:dyDescent="0.3">
      <c r="A17" s="15" t="s">
        <v>26</v>
      </c>
      <c r="B17" s="15" t="s">
        <v>587</v>
      </c>
      <c r="C17" s="16">
        <v>0.5</v>
      </c>
      <c r="D17" s="15" t="s">
        <v>34</v>
      </c>
      <c r="E17" s="15" t="s">
        <v>588</v>
      </c>
      <c r="F17" s="15" t="s">
        <v>484</v>
      </c>
      <c r="G17" s="267"/>
      <c r="H17" s="10"/>
      <c r="I17" s="11"/>
      <c r="J17" s="11"/>
      <c r="K17" s="11"/>
      <c r="L17" s="11"/>
      <c r="M17" s="11"/>
      <c r="N17" s="11"/>
      <c r="O17" s="12"/>
      <c r="P17" s="11"/>
      <c r="Q17" s="13"/>
      <c r="R17" s="14"/>
    </row>
    <row r="18" spans="1:18" ht="15" customHeight="1" x14ac:dyDescent="0.3">
      <c r="A18" s="17" t="s">
        <v>26</v>
      </c>
      <c r="B18" s="17" t="s">
        <v>590</v>
      </c>
      <c r="C18" s="18">
        <v>0.56597222222222221</v>
      </c>
      <c r="D18" s="17" t="s">
        <v>28</v>
      </c>
      <c r="E18" s="17" t="s">
        <v>71</v>
      </c>
      <c r="F18" s="17" t="s">
        <v>591</v>
      </c>
      <c r="G18" s="267"/>
      <c r="H18" s="10"/>
      <c r="I18" s="11"/>
      <c r="J18" s="11"/>
      <c r="K18" s="11"/>
      <c r="L18" s="11"/>
      <c r="M18" s="11"/>
      <c r="N18" s="11"/>
      <c r="O18" s="12"/>
      <c r="P18" s="11"/>
      <c r="Q18" s="13"/>
      <c r="R18" s="14"/>
    </row>
    <row r="19" spans="1:18" ht="15" customHeight="1" x14ac:dyDescent="0.3">
      <c r="A19" s="15" t="s">
        <v>26</v>
      </c>
      <c r="B19" s="15" t="s">
        <v>590</v>
      </c>
      <c r="C19" s="16">
        <v>0.56597222222222221</v>
      </c>
      <c r="D19" s="15" t="s">
        <v>31</v>
      </c>
      <c r="E19" s="15" t="s">
        <v>96</v>
      </c>
      <c r="F19" s="15" t="s">
        <v>592</v>
      </c>
      <c r="G19" s="267"/>
      <c r="H19" s="10"/>
      <c r="I19" s="11"/>
      <c r="J19" s="11"/>
      <c r="K19" s="11"/>
      <c r="L19" s="11"/>
      <c r="M19" s="11"/>
      <c r="N19" s="11"/>
      <c r="O19" s="12"/>
      <c r="P19" s="11"/>
      <c r="Q19" s="13"/>
      <c r="R19" s="14"/>
    </row>
    <row r="20" spans="1:18" ht="15" customHeight="1" x14ac:dyDescent="0.3">
      <c r="A20" s="15" t="s">
        <v>26</v>
      </c>
      <c r="B20" s="15" t="s">
        <v>590</v>
      </c>
      <c r="C20" s="16">
        <v>0.56597222222222221</v>
      </c>
      <c r="D20" s="15" t="s">
        <v>34</v>
      </c>
      <c r="E20" s="15" t="s">
        <v>96</v>
      </c>
      <c r="F20" s="15" t="s">
        <v>593</v>
      </c>
      <c r="G20" s="267"/>
      <c r="H20" s="10"/>
      <c r="I20" s="11"/>
      <c r="J20" s="11"/>
      <c r="K20" s="11"/>
      <c r="L20" s="11"/>
      <c r="M20" s="11"/>
      <c r="N20" s="11"/>
      <c r="O20" s="12"/>
      <c r="P20" s="11"/>
      <c r="Q20" s="13"/>
      <c r="R20" s="14"/>
    </row>
    <row r="21" spans="1:18" ht="15" customHeight="1" x14ac:dyDescent="0.3">
      <c r="A21" s="17" t="s">
        <v>26</v>
      </c>
      <c r="B21" s="17" t="s">
        <v>594</v>
      </c>
      <c r="C21" s="18">
        <v>0.6875</v>
      </c>
      <c r="D21" s="17" t="s">
        <v>28</v>
      </c>
      <c r="E21" s="17" t="s">
        <v>58</v>
      </c>
      <c r="F21" s="17" t="s">
        <v>595</v>
      </c>
      <c r="G21" s="267"/>
      <c r="H21" s="10"/>
      <c r="I21" s="11"/>
      <c r="J21" s="11"/>
      <c r="K21" s="11"/>
      <c r="L21" s="11"/>
      <c r="M21" s="11"/>
      <c r="N21" s="11"/>
      <c r="O21" s="12"/>
      <c r="P21" s="11"/>
      <c r="Q21" s="13"/>
      <c r="R21" s="14"/>
    </row>
    <row r="22" spans="1:18" ht="15" customHeight="1" x14ac:dyDescent="0.3">
      <c r="A22" s="15" t="s">
        <v>26</v>
      </c>
      <c r="B22" s="15" t="s">
        <v>594</v>
      </c>
      <c r="C22" s="16">
        <v>0.6875</v>
      </c>
      <c r="D22" s="15" t="s">
        <v>31</v>
      </c>
      <c r="E22" s="15" t="s">
        <v>95</v>
      </c>
      <c r="F22" s="15" t="s">
        <v>596</v>
      </c>
      <c r="G22" s="267"/>
      <c r="H22" s="10"/>
      <c r="I22" s="11"/>
      <c r="J22" s="11"/>
      <c r="K22" s="11"/>
      <c r="L22" s="11"/>
      <c r="M22" s="11"/>
      <c r="N22" s="11"/>
      <c r="O22" s="12"/>
      <c r="P22" s="11"/>
      <c r="Q22" s="13"/>
      <c r="R22" s="14"/>
    </row>
    <row r="23" spans="1:18" ht="15" customHeight="1" x14ac:dyDescent="0.3">
      <c r="A23" s="15" t="s">
        <v>26</v>
      </c>
      <c r="B23" s="15" t="s">
        <v>594</v>
      </c>
      <c r="C23" s="16">
        <v>0.6875</v>
      </c>
      <c r="D23" s="15" t="s">
        <v>34</v>
      </c>
      <c r="E23" s="15" t="s">
        <v>95</v>
      </c>
      <c r="F23" s="15" t="s">
        <v>597</v>
      </c>
      <c r="G23" s="267"/>
      <c r="H23" s="10"/>
      <c r="I23" s="11"/>
      <c r="J23" s="11"/>
      <c r="K23" s="11"/>
      <c r="L23" s="11"/>
      <c r="M23" s="11"/>
      <c r="N23" s="11"/>
      <c r="O23" s="12"/>
      <c r="P23" s="11"/>
      <c r="Q23" s="13"/>
      <c r="R23" s="14"/>
    </row>
    <row r="24" spans="1:18" ht="15" customHeight="1" x14ac:dyDescent="0.3">
      <c r="A24" s="17" t="s">
        <v>26</v>
      </c>
      <c r="B24" s="17" t="s">
        <v>598</v>
      </c>
      <c r="C24" s="18">
        <v>0.82638888888888884</v>
      </c>
      <c r="D24" s="17" t="s">
        <v>28</v>
      </c>
      <c r="E24" s="17" t="s">
        <v>37</v>
      </c>
      <c r="F24" s="17" t="s">
        <v>599</v>
      </c>
      <c r="G24" s="267"/>
      <c r="H24" s="10"/>
      <c r="I24" s="11"/>
      <c r="J24" s="11"/>
      <c r="K24" s="11"/>
      <c r="L24" s="11"/>
      <c r="M24" s="11"/>
      <c r="N24" s="11"/>
      <c r="O24" s="12"/>
      <c r="P24" s="11"/>
      <c r="Q24" s="13"/>
      <c r="R24" s="14"/>
    </row>
    <row r="25" spans="1:18" ht="15" customHeight="1" x14ac:dyDescent="0.3">
      <c r="A25" s="15" t="s">
        <v>26</v>
      </c>
      <c r="B25" s="15" t="s">
        <v>598</v>
      </c>
      <c r="C25" s="16">
        <v>0.82638888888888884</v>
      </c>
      <c r="D25" s="15" t="s">
        <v>31</v>
      </c>
      <c r="E25" s="15" t="s">
        <v>32</v>
      </c>
      <c r="F25" s="15" t="s">
        <v>600</v>
      </c>
      <c r="G25" s="267"/>
      <c r="H25" s="10"/>
      <c r="I25" s="11"/>
      <c r="J25" s="11"/>
      <c r="K25" s="11"/>
      <c r="L25" s="11"/>
      <c r="M25" s="11"/>
      <c r="N25" s="11"/>
      <c r="O25" s="12"/>
      <c r="P25" s="11"/>
      <c r="Q25" s="13"/>
      <c r="R25" s="14"/>
    </row>
    <row r="26" spans="1:18" ht="15" customHeight="1" x14ac:dyDescent="0.3">
      <c r="A26" s="15" t="s">
        <v>26</v>
      </c>
      <c r="B26" s="15" t="s">
        <v>598</v>
      </c>
      <c r="C26" s="16">
        <v>0.82638888888888884</v>
      </c>
      <c r="D26" s="15" t="s">
        <v>34</v>
      </c>
      <c r="E26" s="15" t="s">
        <v>32</v>
      </c>
      <c r="F26" s="15" t="s">
        <v>601</v>
      </c>
      <c r="G26" s="267"/>
      <c r="H26" s="10"/>
      <c r="I26" s="11"/>
      <c r="J26" s="11"/>
      <c r="K26" s="11"/>
      <c r="L26" s="11"/>
      <c r="M26" s="11"/>
      <c r="N26" s="11"/>
      <c r="O26" s="12"/>
      <c r="P26" s="11"/>
      <c r="Q26" s="13"/>
      <c r="R26" s="14"/>
    </row>
    <row r="27" spans="1:18" ht="15" customHeight="1" x14ac:dyDescent="0.3">
      <c r="A27" s="19" t="s">
        <v>41</v>
      </c>
      <c r="B27" s="19" t="s">
        <v>602</v>
      </c>
      <c r="C27" s="20">
        <v>0.5</v>
      </c>
      <c r="D27" s="19" t="s">
        <v>43</v>
      </c>
      <c r="E27" s="19" t="s">
        <v>221</v>
      </c>
      <c r="F27" s="19" t="s">
        <v>603</v>
      </c>
      <c r="G27" s="267"/>
      <c r="H27" s="10"/>
      <c r="I27" s="11"/>
      <c r="J27" s="11"/>
      <c r="K27" s="11"/>
      <c r="L27" s="11"/>
      <c r="M27" s="11"/>
      <c r="N27" s="11"/>
      <c r="O27" s="12"/>
      <c r="P27" s="11"/>
      <c r="Q27" s="13"/>
      <c r="R27" s="14"/>
    </row>
    <row r="28" spans="1:18" ht="15" customHeight="1" x14ac:dyDescent="0.3">
      <c r="A28" s="15" t="s">
        <v>41</v>
      </c>
      <c r="B28" s="15" t="s">
        <v>602</v>
      </c>
      <c r="C28" s="16">
        <v>0.5</v>
      </c>
      <c r="D28" s="15" t="s">
        <v>45</v>
      </c>
      <c r="E28" s="15" t="s">
        <v>93</v>
      </c>
      <c r="F28" s="15" t="s">
        <v>40</v>
      </c>
      <c r="G28" s="267"/>
      <c r="H28" s="10"/>
      <c r="I28" s="11"/>
      <c r="J28" s="11"/>
      <c r="K28" s="11"/>
      <c r="L28" s="11"/>
      <c r="M28" s="11"/>
      <c r="N28" s="11"/>
      <c r="O28" s="12"/>
      <c r="P28" s="11"/>
      <c r="Q28" s="13"/>
      <c r="R28" s="14"/>
    </row>
    <row r="29" spans="1:18" ht="15" customHeight="1" x14ac:dyDescent="0.3">
      <c r="A29" s="15" t="s">
        <v>41</v>
      </c>
      <c r="B29" s="15" t="s">
        <v>602</v>
      </c>
      <c r="C29" s="16">
        <v>0.5</v>
      </c>
      <c r="D29" s="15" t="s">
        <v>47</v>
      </c>
      <c r="E29" s="15" t="s">
        <v>93</v>
      </c>
      <c r="F29" s="15" t="s">
        <v>604</v>
      </c>
      <c r="G29" s="267"/>
      <c r="H29" s="10"/>
      <c r="I29" s="11"/>
      <c r="J29" s="11"/>
      <c r="K29" s="11"/>
      <c r="L29" s="11"/>
      <c r="M29" s="11"/>
      <c r="N29" s="11"/>
      <c r="O29" s="12"/>
      <c r="P29" s="11"/>
      <c r="Q29" s="13"/>
      <c r="R29" s="14"/>
    </row>
    <row r="30" spans="1:18" ht="15" customHeight="1" x14ac:dyDescent="0.3">
      <c r="A30" s="17" t="s">
        <v>41</v>
      </c>
      <c r="B30" s="17" t="s">
        <v>605</v>
      </c>
      <c r="C30" s="18">
        <v>0.44791666666666669</v>
      </c>
      <c r="D30" s="17" t="s">
        <v>43</v>
      </c>
      <c r="E30" s="17" t="s">
        <v>74</v>
      </c>
      <c r="F30" s="17" t="s">
        <v>603</v>
      </c>
      <c r="G30" s="267"/>
      <c r="H30" s="10"/>
      <c r="I30" s="11"/>
      <c r="J30" s="11"/>
      <c r="K30" s="11"/>
      <c r="L30" s="11"/>
      <c r="M30" s="11"/>
      <c r="N30" s="11"/>
      <c r="O30" s="12"/>
      <c r="P30" s="11"/>
      <c r="Q30" s="13"/>
      <c r="R30" s="14"/>
    </row>
    <row r="31" spans="1:18" ht="15" customHeight="1" x14ac:dyDescent="0.3">
      <c r="A31" s="15" t="s">
        <v>41</v>
      </c>
      <c r="B31" s="15" t="s">
        <v>605</v>
      </c>
      <c r="C31" s="16">
        <v>0.44791666666666669</v>
      </c>
      <c r="D31" s="15" t="s">
        <v>45</v>
      </c>
      <c r="E31" s="15" t="s">
        <v>76</v>
      </c>
      <c r="F31" s="15" t="s">
        <v>40</v>
      </c>
      <c r="G31" s="267"/>
      <c r="H31" s="10"/>
      <c r="I31" s="11"/>
      <c r="J31" s="11"/>
      <c r="K31" s="11"/>
      <c r="L31" s="11"/>
      <c r="M31" s="11"/>
      <c r="N31" s="11"/>
      <c r="O31" s="12"/>
      <c r="P31" s="11"/>
      <c r="Q31" s="13"/>
      <c r="R31" s="14"/>
    </row>
    <row r="32" spans="1:18" ht="15" customHeight="1" x14ac:dyDescent="0.3">
      <c r="A32" s="15" t="s">
        <v>41</v>
      </c>
      <c r="B32" s="15" t="s">
        <v>605</v>
      </c>
      <c r="C32" s="16">
        <v>0.44791666666666669</v>
      </c>
      <c r="D32" s="15" t="s">
        <v>47</v>
      </c>
      <c r="E32" s="15" t="s">
        <v>76</v>
      </c>
      <c r="F32" s="15" t="s">
        <v>604</v>
      </c>
      <c r="G32" s="267"/>
      <c r="H32" s="10"/>
      <c r="I32" s="11"/>
      <c r="J32" s="11"/>
      <c r="K32" s="11"/>
      <c r="L32" s="11"/>
      <c r="M32" s="11"/>
      <c r="N32" s="11"/>
      <c r="O32" s="12"/>
      <c r="P32" s="11"/>
      <c r="Q32" s="13"/>
      <c r="R32" s="14"/>
    </row>
    <row r="33" spans="1:18" ht="15" customHeight="1" x14ac:dyDescent="0.3">
      <c r="A33" s="17" t="s">
        <v>41</v>
      </c>
      <c r="B33" s="17" t="s">
        <v>606</v>
      </c>
      <c r="C33" s="18">
        <v>0.76041666666666663</v>
      </c>
      <c r="D33" s="17" t="s">
        <v>43</v>
      </c>
      <c r="E33" s="17" t="s">
        <v>607</v>
      </c>
      <c r="F33" s="17" t="s">
        <v>492</v>
      </c>
      <c r="G33" s="267"/>
      <c r="H33" s="10"/>
      <c r="I33" s="11"/>
      <c r="J33" s="11"/>
      <c r="K33" s="11"/>
      <c r="L33" s="11"/>
      <c r="M33" s="11"/>
      <c r="N33" s="11"/>
      <c r="O33" s="12"/>
      <c r="P33" s="11"/>
      <c r="Q33" s="13"/>
      <c r="R33" s="14"/>
    </row>
    <row r="34" spans="1:18" ht="15" customHeight="1" x14ac:dyDescent="0.3">
      <c r="A34" s="15" t="s">
        <v>41</v>
      </c>
      <c r="B34" s="15" t="s">
        <v>606</v>
      </c>
      <c r="C34" s="16">
        <v>0.76041666666666663</v>
      </c>
      <c r="D34" s="15" t="s">
        <v>45</v>
      </c>
      <c r="E34" s="15" t="s">
        <v>608</v>
      </c>
      <c r="F34" s="15" t="s">
        <v>609</v>
      </c>
      <c r="G34" s="267"/>
      <c r="H34" s="10"/>
      <c r="I34" s="11"/>
      <c r="J34" s="11"/>
      <c r="K34" s="11"/>
      <c r="L34" s="11"/>
      <c r="M34" s="11"/>
      <c r="N34" s="11"/>
      <c r="O34" s="12"/>
      <c r="P34" s="11"/>
      <c r="Q34" s="13"/>
      <c r="R34" s="14"/>
    </row>
    <row r="35" spans="1:18" ht="15" customHeight="1" x14ac:dyDescent="0.3">
      <c r="A35" s="15" t="s">
        <v>41</v>
      </c>
      <c r="B35" s="15" t="s">
        <v>606</v>
      </c>
      <c r="C35" s="16">
        <v>0.76041666666666663</v>
      </c>
      <c r="D35" s="15" t="s">
        <v>47</v>
      </c>
      <c r="E35" s="15" t="s">
        <v>608</v>
      </c>
      <c r="F35" s="15" t="s">
        <v>610</v>
      </c>
      <c r="G35" s="267"/>
      <c r="H35" s="10"/>
      <c r="I35" s="11"/>
      <c r="J35" s="11"/>
      <c r="K35" s="11"/>
      <c r="L35" s="11"/>
      <c r="M35" s="11"/>
      <c r="N35" s="11"/>
      <c r="O35" s="12"/>
      <c r="P35" s="11"/>
      <c r="Q35" s="13"/>
      <c r="R35" s="14"/>
    </row>
    <row r="36" spans="1:18" ht="15" customHeight="1" x14ac:dyDescent="0.3">
      <c r="A36" s="17" t="s">
        <v>41</v>
      </c>
      <c r="B36" s="17" t="s">
        <v>611</v>
      </c>
      <c r="C36" s="18">
        <v>0.81597222222222221</v>
      </c>
      <c r="D36" s="17" t="s">
        <v>43</v>
      </c>
      <c r="E36" s="17" t="s">
        <v>612</v>
      </c>
      <c r="F36" s="17" t="s">
        <v>492</v>
      </c>
      <c r="G36" s="267"/>
      <c r="H36" s="10"/>
      <c r="I36" s="11"/>
      <c r="J36" s="11"/>
      <c r="K36" s="11"/>
      <c r="L36" s="11"/>
      <c r="M36" s="11"/>
      <c r="N36" s="11"/>
      <c r="O36" s="12"/>
      <c r="P36" s="11"/>
      <c r="Q36" s="13"/>
      <c r="R36" s="14"/>
    </row>
    <row r="37" spans="1:18" ht="15" customHeight="1" x14ac:dyDescent="0.3">
      <c r="A37" s="15" t="s">
        <v>41</v>
      </c>
      <c r="B37" s="15" t="s">
        <v>611</v>
      </c>
      <c r="C37" s="16">
        <v>0.81597222222222221</v>
      </c>
      <c r="D37" s="15" t="s">
        <v>45</v>
      </c>
      <c r="E37" s="15" t="s">
        <v>613</v>
      </c>
      <c r="F37" s="15" t="s">
        <v>609</v>
      </c>
      <c r="G37" s="267"/>
      <c r="H37" s="10"/>
      <c r="I37" s="11"/>
      <c r="J37" s="11"/>
      <c r="K37" s="11"/>
      <c r="L37" s="11"/>
      <c r="M37" s="11"/>
      <c r="N37" s="11"/>
      <c r="O37" s="12"/>
      <c r="P37" s="11"/>
      <c r="Q37" s="13"/>
      <c r="R37" s="14"/>
    </row>
    <row r="38" spans="1:18" ht="15" customHeight="1" x14ac:dyDescent="0.3">
      <c r="A38" s="15" t="s">
        <v>41</v>
      </c>
      <c r="B38" s="15" t="s">
        <v>611</v>
      </c>
      <c r="C38" s="16">
        <v>0.81597222222222221</v>
      </c>
      <c r="D38" s="15" t="s">
        <v>47</v>
      </c>
      <c r="E38" s="15" t="s">
        <v>613</v>
      </c>
      <c r="F38" s="15" t="s">
        <v>610</v>
      </c>
      <c r="G38" s="267"/>
      <c r="H38" s="10"/>
      <c r="I38" s="11"/>
      <c r="J38" s="11"/>
      <c r="K38" s="11"/>
      <c r="L38" s="11"/>
      <c r="M38" s="11"/>
      <c r="N38" s="11"/>
      <c r="O38" s="12"/>
      <c r="P38" s="11"/>
      <c r="Q38" s="13"/>
      <c r="R38" s="14"/>
    </row>
    <row r="39" spans="1:18" ht="15" customHeight="1" x14ac:dyDescent="0.3">
      <c r="A39" s="19" t="s">
        <v>243</v>
      </c>
      <c r="B39" s="19" t="s">
        <v>614</v>
      </c>
      <c r="C39" s="20">
        <v>0.62152777777777779</v>
      </c>
      <c r="D39" s="19" t="s">
        <v>615</v>
      </c>
      <c r="E39" s="19" t="s">
        <v>29</v>
      </c>
      <c r="F39" s="19" t="s">
        <v>591</v>
      </c>
      <c r="G39" s="267"/>
      <c r="H39" s="10"/>
      <c r="I39" s="11"/>
      <c r="J39" s="11"/>
      <c r="K39" s="11"/>
      <c r="L39" s="11"/>
      <c r="M39" s="11"/>
      <c r="N39" s="11"/>
      <c r="O39" s="12"/>
      <c r="P39" s="11"/>
      <c r="Q39" s="13"/>
      <c r="R39" s="14"/>
    </row>
    <row r="40" spans="1:18" ht="15" customHeight="1" x14ac:dyDescent="0.3">
      <c r="A40" s="15" t="s">
        <v>243</v>
      </c>
      <c r="B40" s="15" t="s">
        <v>614</v>
      </c>
      <c r="C40" s="16">
        <v>0.62152777777777779</v>
      </c>
      <c r="D40" s="15" t="s">
        <v>47</v>
      </c>
      <c r="E40" s="15" t="s">
        <v>32</v>
      </c>
      <c r="F40" s="15" t="s">
        <v>616</v>
      </c>
      <c r="G40" s="267"/>
      <c r="H40" s="10"/>
      <c r="I40" s="11"/>
      <c r="J40" s="11"/>
      <c r="K40" s="11"/>
      <c r="L40" s="11"/>
      <c r="M40" s="11"/>
      <c r="N40" s="11"/>
      <c r="O40" s="12"/>
      <c r="P40" s="11"/>
      <c r="Q40" s="13"/>
      <c r="R40" s="14"/>
    </row>
    <row r="41" spans="1:18" ht="15" customHeight="1" x14ac:dyDescent="0.3">
      <c r="A41" s="19" t="s">
        <v>277</v>
      </c>
      <c r="B41" s="19" t="s">
        <v>617</v>
      </c>
      <c r="C41" s="20">
        <v>0.27777777777777779</v>
      </c>
      <c r="D41" s="19" t="s">
        <v>279</v>
      </c>
      <c r="E41" s="19" t="s">
        <v>52</v>
      </c>
      <c r="F41" s="19" t="s">
        <v>281</v>
      </c>
      <c r="G41" s="267"/>
      <c r="H41" s="10"/>
      <c r="I41" s="11"/>
      <c r="J41" s="11"/>
      <c r="K41" s="11"/>
      <c r="L41" s="11"/>
      <c r="M41" s="11"/>
      <c r="N41" s="11"/>
      <c r="O41" s="12"/>
      <c r="P41" s="11"/>
      <c r="Q41" s="13"/>
      <c r="R41" s="14"/>
    </row>
    <row r="42" spans="1:18" ht="15" customHeight="1" x14ac:dyDescent="0.3">
      <c r="A42" s="17" t="s">
        <v>277</v>
      </c>
      <c r="B42" s="17" t="s">
        <v>618</v>
      </c>
      <c r="C42" s="18">
        <v>0.87847222222222221</v>
      </c>
      <c r="D42" s="17" t="s">
        <v>279</v>
      </c>
      <c r="E42" s="17" t="s">
        <v>55</v>
      </c>
      <c r="F42" s="17" t="s">
        <v>619</v>
      </c>
      <c r="G42" s="267"/>
      <c r="H42" s="10"/>
      <c r="I42" s="11"/>
      <c r="J42" s="11"/>
      <c r="K42" s="11"/>
      <c r="L42" s="11"/>
      <c r="M42" s="11"/>
      <c r="N42" s="11"/>
      <c r="O42" s="12"/>
      <c r="P42" s="11"/>
      <c r="Q42" s="13"/>
      <c r="R42" s="14"/>
    </row>
    <row r="43" spans="1:18" ht="15" customHeight="1" x14ac:dyDescent="0.3">
      <c r="A43" s="175" t="s">
        <v>78</v>
      </c>
      <c r="B43" s="175" t="s">
        <v>620</v>
      </c>
      <c r="C43" s="176">
        <v>0.61111111111111105</v>
      </c>
      <c r="D43" s="175" t="s">
        <v>178</v>
      </c>
      <c r="E43" s="175" t="s">
        <v>321</v>
      </c>
      <c r="F43" s="175" t="s">
        <v>621</v>
      </c>
      <c r="G43" s="267"/>
      <c r="H43" s="149" t="s">
        <v>622</v>
      </c>
      <c r="I43" s="172">
        <v>0.76190000000000002</v>
      </c>
      <c r="J43" s="151">
        <v>128</v>
      </c>
      <c r="K43" s="152">
        <v>45980</v>
      </c>
      <c r="L43" s="151">
        <v>40</v>
      </c>
      <c r="M43" s="151">
        <v>4</v>
      </c>
      <c r="N43" s="151">
        <v>10</v>
      </c>
      <c r="O43" s="153" t="s">
        <v>383</v>
      </c>
      <c r="P43" s="154">
        <v>0.61111111111111105</v>
      </c>
      <c r="Q43" s="151">
        <v>168</v>
      </c>
      <c r="R43" s="155" t="s">
        <v>623</v>
      </c>
    </row>
    <row r="44" spans="1:18" ht="15" customHeight="1" x14ac:dyDescent="0.3">
      <c r="A44" s="19" t="s">
        <v>285</v>
      </c>
      <c r="B44" s="19" t="s">
        <v>624</v>
      </c>
      <c r="C44" s="20">
        <v>0.35416666666666669</v>
      </c>
      <c r="D44" s="19" t="s">
        <v>279</v>
      </c>
      <c r="E44" s="19" t="s">
        <v>499</v>
      </c>
      <c r="F44" s="19" t="s">
        <v>318</v>
      </c>
      <c r="G44" s="267"/>
      <c r="H44" s="10"/>
      <c r="I44" s="11"/>
      <c r="J44" s="11"/>
      <c r="K44" s="11"/>
      <c r="L44" s="11"/>
      <c r="M44" s="11"/>
      <c r="N44" s="11"/>
      <c r="O44" s="12"/>
      <c r="P44" s="11"/>
      <c r="Q44" s="13"/>
      <c r="R44" s="14"/>
    </row>
    <row r="45" spans="1:18" ht="15" customHeight="1" x14ac:dyDescent="0.3">
      <c r="A45" s="17" t="s">
        <v>285</v>
      </c>
      <c r="B45" s="17" t="s">
        <v>625</v>
      </c>
      <c r="C45" s="18">
        <v>0.98611111111111116</v>
      </c>
      <c r="D45" s="17" t="s">
        <v>279</v>
      </c>
      <c r="E45" s="17" t="s">
        <v>55</v>
      </c>
      <c r="F45" s="17" t="s">
        <v>626</v>
      </c>
      <c r="G45" s="267"/>
      <c r="H45" s="10"/>
      <c r="I45" s="11"/>
      <c r="J45" s="11"/>
      <c r="K45" s="11"/>
      <c r="L45" s="11"/>
      <c r="M45" s="11"/>
      <c r="N45" s="11"/>
      <c r="O45" s="12"/>
      <c r="P45" s="11"/>
      <c r="Q45" s="13"/>
      <c r="R45" s="14"/>
    </row>
    <row r="46" spans="1:18" ht="15" customHeight="1" x14ac:dyDescent="0.3">
      <c r="A46" s="17" t="s">
        <v>285</v>
      </c>
      <c r="B46" s="17" t="s">
        <v>627</v>
      </c>
      <c r="C46" s="18">
        <v>0.80208333333333337</v>
      </c>
      <c r="D46" s="17" t="s">
        <v>279</v>
      </c>
      <c r="E46" s="17" t="s">
        <v>58</v>
      </c>
      <c r="F46" s="17" t="s">
        <v>626</v>
      </c>
      <c r="G46" s="267"/>
      <c r="H46" s="10"/>
      <c r="I46" s="11"/>
      <c r="J46" s="11"/>
      <c r="K46" s="11"/>
      <c r="L46" s="11"/>
      <c r="M46" s="11"/>
      <c r="N46" s="11"/>
      <c r="O46" s="12"/>
      <c r="P46" s="11"/>
      <c r="Q46" s="13"/>
      <c r="R46" s="14"/>
    </row>
    <row r="47" spans="1:18" ht="15" customHeight="1" x14ac:dyDescent="0.3">
      <c r="A47" s="19" t="s">
        <v>49</v>
      </c>
      <c r="B47" s="19" t="s">
        <v>628</v>
      </c>
      <c r="C47" s="20">
        <v>0.16666666666666671</v>
      </c>
      <c r="D47" s="19" t="s">
        <v>51</v>
      </c>
      <c r="E47" s="19" t="s">
        <v>221</v>
      </c>
      <c r="F47" s="19" t="s">
        <v>629</v>
      </c>
      <c r="G47" s="267"/>
      <c r="H47" s="10"/>
      <c r="I47" s="11"/>
      <c r="J47" s="11"/>
      <c r="K47" s="11"/>
      <c r="L47" s="11"/>
      <c r="M47" s="11"/>
      <c r="N47" s="11"/>
      <c r="O47" s="12"/>
      <c r="P47" s="11"/>
      <c r="Q47" s="13"/>
      <c r="R47" s="14"/>
    </row>
    <row r="48" spans="1:18" ht="15" customHeight="1" x14ac:dyDescent="0.3">
      <c r="A48" s="17" t="s">
        <v>49</v>
      </c>
      <c r="B48" s="17" t="s">
        <v>630</v>
      </c>
      <c r="C48" s="18">
        <v>0.54166666666666663</v>
      </c>
      <c r="D48" s="17" t="s">
        <v>51</v>
      </c>
      <c r="E48" s="17" t="s">
        <v>232</v>
      </c>
      <c r="F48" s="17" t="s">
        <v>631</v>
      </c>
      <c r="G48" s="267"/>
      <c r="H48" s="10"/>
      <c r="I48" s="11"/>
      <c r="J48" s="11"/>
      <c r="K48" s="11"/>
      <c r="L48" s="11"/>
      <c r="M48" s="11"/>
      <c r="N48" s="11"/>
      <c r="O48" s="12"/>
      <c r="P48" s="11"/>
      <c r="Q48" s="13"/>
      <c r="R48" s="14"/>
    </row>
    <row r="49" spans="1:18" ht="15" customHeight="1" x14ac:dyDescent="0.3">
      <c r="A49" s="17" t="s">
        <v>49</v>
      </c>
      <c r="B49" s="17" t="s">
        <v>632</v>
      </c>
      <c r="C49" s="18">
        <v>0.91666666666666663</v>
      </c>
      <c r="D49" s="17" t="s">
        <v>51</v>
      </c>
      <c r="E49" s="17" t="s">
        <v>74</v>
      </c>
      <c r="F49" s="17" t="s">
        <v>633</v>
      </c>
      <c r="G49" s="267"/>
      <c r="H49" s="10"/>
      <c r="I49" s="11"/>
      <c r="J49" s="11"/>
      <c r="K49" s="11"/>
      <c r="L49" s="11"/>
      <c r="M49" s="11"/>
      <c r="N49" s="11"/>
      <c r="O49" s="12"/>
      <c r="P49" s="11"/>
      <c r="Q49" s="13"/>
      <c r="R49" s="14"/>
    </row>
    <row r="50" spans="1:18" ht="15" customHeight="1" x14ac:dyDescent="0.3">
      <c r="A50" s="19" t="s">
        <v>62</v>
      </c>
      <c r="B50" s="19" t="s">
        <v>634</v>
      </c>
      <c r="C50" s="20">
        <v>0.2986111111111111</v>
      </c>
      <c r="D50" s="19" t="s">
        <v>64</v>
      </c>
      <c r="E50" s="19" t="s">
        <v>52</v>
      </c>
      <c r="F50" s="19" t="s">
        <v>635</v>
      </c>
      <c r="G50" s="267"/>
      <c r="H50" s="10"/>
      <c r="I50" s="11"/>
      <c r="J50" s="11"/>
      <c r="K50" s="11"/>
      <c r="L50" s="11"/>
      <c r="M50" s="11"/>
      <c r="N50" s="11"/>
      <c r="O50" s="12"/>
      <c r="P50" s="11"/>
      <c r="Q50" s="13"/>
      <c r="R50" s="14"/>
    </row>
    <row r="51" spans="1:18" ht="15" customHeight="1" x14ac:dyDescent="0.3">
      <c r="A51" s="15" t="s">
        <v>62</v>
      </c>
      <c r="B51" s="15" t="s">
        <v>634</v>
      </c>
      <c r="C51" s="16">
        <v>0.2986111111111111</v>
      </c>
      <c r="D51" s="15" t="s">
        <v>66</v>
      </c>
      <c r="E51" s="15" t="s">
        <v>67</v>
      </c>
      <c r="F51" s="15" t="s">
        <v>636</v>
      </c>
      <c r="G51" s="267"/>
      <c r="H51" s="10"/>
      <c r="I51" s="11"/>
      <c r="J51" s="11"/>
      <c r="K51" s="11"/>
      <c r="L51" s="11"/>
      <c r="M51" s="11"/>
      <c r="N51" s="11"/>
      <c r="O51" s="12"/>
      <c r="P51" s="11"/>
      <c r="Q51" s="13"/>
      <c r="R51" s="14"/>
    </row>
    <row r="52" spans="1:18" ht="15" customHeight="1" x14ac:dyDescent="0.3">
      <c r="A52" s="17" t="s">
        <v>62</v>
      </c>
      <c r="B52" s="17" t="s">
        <v>637</v>
      </c>
      <c r="C52" s="18">
        <v>0.4826388888888889</v>
      </c>
      <c r="D52" s="17" t="s">
        <v>64</v>
      </c>
      <c r="E52" s="17" t="s">
        <v>55</v>
      </c>
      <c r="F52" s="17" t="s">
        <v>638</v>
      </c>
      <c r="G52" s="267"/>
      <c r="H52" s="10"/>
      <c r="I52" s="11"/>
      <c r="J52" s="11"/>
      <c r="K52" s="11"/>
      <c r="L52" s="11"/>
      <c r="M52" s="11"/>
      <c r="N52" s="11"/>
      <c r="O52" s="12"/>
      <c r="P52" s="11"/>
      <c r="Q52" s="13"/>
      <c r="R52" s="14"/>
    </row>
    <row r="53" spans="1:18" ht="15" customHeight="1" x14ac:dyDescent="0.3">
      <c r="A53" s="15" t="s">
        <v>62</v>
      </c>
      <c r="B53" s="15" t="s">
        <v>637</v>
      </c>
      <c r="C53" s="16">
        <v>0.4826388888888889</v>
      </c>
      <c r="D53" s="15" t="s">
        <v>66</v>
      </c>
      <c r="E53" s="15" t="s">
        <v>67</v>
      </c>
      <c r="F53" s="15" t="s">
        <v>639</v>
      </c>
      <c r="G53" s="267"/>
      <c r="H53" s="10"/>
      <c r="I53" s="11"/>
      <c r="J53" s="11"/>
      <c r="K53" s="11"/>
      <c r="L53" s="11"/>
      <c r="M53" s="11"/>
      <c r="N53" s="11"/>
      <c r="O53" s="12"/>
      <c r="P53" s="11"/>
      <c r="Q53" s="13"/>
      <c r="R53" s="14"/>
    </row>
    <row r="54" spans="1:18" ht="15" customHeight="1" x14ac:dyDescent="0.3">
      <c r="A54" s="17" t="s">
        <v>62</v>
      </c>
      <c r="B54" s="17" t="s">
        <v>640</v>
      </c>
      <c r="C54" s="18">
        <v>0.5</v>
      </c>
      <c r="D54" s="17" t="s">
        <v>66</v>
      </c>
      <c r="E54" s="17" t="s">
        <v>71</v>
      </c>
      <c r="F54" s="17" t="s">
        <v>641</v>
      </c>
      <c r="G54" s="267"/>
      <c r="H54" s="10"/>
      <c r="I54" s="11"/>
      <c r="J54" s="11"/>
      <c r="K54" s="11"/>
      <c r="L54" s="11"/>
      <c r="M54" s="11"/>
      <c r="N54" s="11"/>
      <c r="O54" s="12"/>
      <c r="P54" s="11"/>
      <c r="Q54" s="13"/>
      <c r="R54" s="14"/>
    </row>
    <row r="55" spans="1:18" ht="15" customHeight="1" x14ac:dyDescent="0.3">
      <c r="A55" s="17" t="s">
        <v>62</v>
      </c>
      <c r="B55" s="17" t="s">
        <v>642</v>
      </c>
      <c r="C55" s="18">
        <v>0.68402777777777779</v>
      </c>
      <c r="D55" s="17" t="s">
        <v>64</v>
      </c>
      <c r="E55" s="17" t="s">
        <v>229</v>
      </c>
      <c r="F55" s="17" t="s">
        <v>643</v>
      </c>
      <c r="G55" s="267"/>
      <c r="H55" s="10"/>
      <c r="I55" s="11"/>
      <c r="J55" s="11"/>
      <c r="K55" s="11"/>
      <c r="L55" s="11"/>
      <c r="M55" s="11"/>
      <c r="N55" s="11"/>
      <c r="O55" s="12"/>
      <c r="P55" s="11"/>
      <c r="Q55" s="13"/>
      <c r="R55" s="14"/>
    </row>
    <row r="56" spans="1:18" ht="15" customHeight="1" thickBot="1" x14ac:dyDescent="0.35">
      <c r="A56" s="39" t="s">
        <v>62</v>
      </c>
      <c r="B56" s="39" t="s">
        <v>642</v>
      </c>
      <c r="C56" s="40">
        <v>0.68402777777777779</v>
      </c>
      <c r="D56" s="39" t="s">
        <v>66</v>
      </c>
      <c r="E56" s="39" t="s">
        <v>644</v>
      </c>
      <c r="F56" s="39" t="s">
        <v>645</v>
      </c>
      <c r="G56" s="268"/>
      <c r="H56" s="41"/>
      <c r="I56" s="42"/>
      <c r="J56" s="42"/>
      <c r="K56" s="42"/>
      <c r="L56" s="42"/>
      <c r="M56" s="42"/>
      <c r="N56" s="42"/>
      <c r="O56" s="43"/>
      <c r="P56" s="42"/>
      <c r="Q56" s="44"/>
      <c r="R56" s="45"/>
    </row>
    <row r="57" spans="1:18" ht="17.399999999999999" customHeight="1" thickBot="1" x14ac:dyDescent="0.35">
      <c r="A57" s="295"/>
      <c r="B57" s="296"/>
      <c r="C57" s="296"/>
      <c r="D57" s="296"/>
      <c r="E57" s="296"/>
      <c r="F57" s="296"/>
      <c r="G57" s="296"/>
      <c r="H57" s="296"/>
      <c r="I57" s="296"/>
      <c r="J57" s="296"/>
      <c r="K57" s="296"/>
      <c r="L57" s="296"/>
      <c r="M57" s="296"/>
      <c r="N57" s="296"/>
      <c r="O57" s="296"/>
      <c r="P57" s="296"/>
      <c r="Q57" s="296"/>
      <c r="R57" s="297"/>
    </row>
    <row r="58" spans="1:18" ht="22.05" customHeight="1" thickTop="1" thickBot="1" x14ac:dyDescent="0.35">
      <c r="A58" s="262" t="s">
        <v>6</v>
      </c>
      <c r="B58" s="263"/>
      <c r="C58" s="263"/>
      <c r="D58" s="263"/>
      <c r="E58" s="263"/>
      <c r="F58" s="264"/>
      <c r="G58" s="31">
        <v>45982</v>
      </c>
      <c r="H58" s="270" t="s">
        <v>7</v>
      </c>
      <c r="I58" s="263"/>
      <c r="J58" s="263"/>
      <c r="K58" s="263"/>
      <c r="L58" s="263"/>
      <c r="M58" s="263"/>
      <c r="N58" s="263"/>
      <c r="O58" s="263"/>
      <c r="P58" s="263"/>
      <c r="Q58" s="263"/>
      <c r="R58" s="264"/>
    </row>
    <row r="59" spans="1:18" ht="24" customHeight="1" x14ac:dyDescent="0.3">
      <c r="A59" s="32" t="s">
        <v>8</v>
      </c>
      <c r="B59" s="32" t="s">
        <v>9</v>
      </c>
      <c r="C59" s="33" t="s">
        <v>10</v>
      </c>
      <c r="D59" s="32" t="s">
        <v>11</v>
      </c>
      <c r="E59" s="32" t="s">
        <v>12</v>
      </c>
      <c r="F59" s="34" t="s">
        <v>13</v>
      </c>
      <c r="G59" s="35" t="s">
        <v>14</v>
      </c>
      <c r="H59" s="32" t="s">
        <v>15</v>
      </c>
      <c r="I59" s="36" t="s">
        <v>16</v>
      </c>
      <c r="J59" s="37" t="s">
        <v>17</v>
      </c>
      <c r="K59" s="38" t="s">
        <v>18</v>
      </c>
      <c r="L59" s="37" t="s">
        <v>19</v>
      </c>
      <c r="M59" s="37" t="s">
        <v>20</v>
      </c>
      <c r="N59" s="37" t="s">
        <v>21</v>
      </c>
      <c r="O59" s="32" t="s">
        <v>22</v>
      </c>
      <c r="P59" s="33" t="s">
        <v>23</v>
      </c>
      <c r="Q59" s="37" t="s">
        <v>24</v>
      </c>
      <c r="R59" s="32" t="s">
        <v>25</v>
      </c>
    </row>
    <row r="60" spans="1:18" ht="15" customHeight="1" x14ac:dyDescent="0.3">
      <c r="A60" s="8" t="s">
        <v>41</v>
      </c>
      <c r="B60" s="8" t="s">
        <v>606</v>
      </c>
      <c r="C60" s="9">
        <v>0.76041666666666663</v>
      </c>
      <c r="D60" s="8" t="s">
        <v>43</v>
      </c>
      <c r="E60" s="8" t="s">
        <v>646</v>
      </c>
      <c r="F60" s="8" t="s">
        <v>647</v>
      </c>
      <c r="G60" s="266"/>
      <c r="H60" s="10"/>
      <c r="I60" s="11"/>
      <c r="J60" s="11"/>
      <c r="K60" s="11"/>
      <c r="L60" s="11"/>
      <c r="M60" s="11"/>
      <c r="N60" s="11"/>
      <c r="O60" s="12"/>
      <c r="P60" s="11"/>
      <c r="Q60" s="13"/>
      <c r="R60" s="14"/>
    </row>
    <row r="61" spans="1:18" ht="15" customHeight="1" x14ac:dyDescent="0.3">
      <c r="A61" s="15" t="s">
        <v>41</v>
      </c>
      <c r="B61" s="15" t="s">
        <v>606</v>
      </c>
      <c r="C61" s="16">
        <v>0.76041666666666663</v>
      </c>
      <c r="D61" s="15" t="s">
        <v>45</v>
      </c>
      <c r="E61" s="15" t="s">
        <v>648</v>
      </c>
      <c r="F61" s="15" t="s">
        <v>35</v>
      </c>
      <c r="G61" s="267"/>
      <c r="H61" s="10"/>
      <c r="I61" s="11"/>
      <c r="J61" s="11"/>
      <c r="K61" s="11"/>
      <c r="L61" s="11"/>
      <c r="M61" s="11"/>
      <c r="N61" s="11"/>
      <c r="O61" s="12"/>
      <c r="P61" s="11"/>
      <c r="Q61" s="13"/>
      <c r="R61" s="14"/>
    </row>
    <row r="62" spans="1:18" ht="15" customHeight="1" x14ac:dyDescent="0.3">
      <c r="A62" s="15" t="s">
        <v>41</v>
      </c>
      <c r="B62" s="15" t="s">
        <v>606</v>
      </c>
      <c r="C62" s="16">
        <v>0.76041666666666663</v>
      </c>
      <c r="D62" s="15" t="s">
        <v>47</v>
      </c>
      <c r="E62" s="15" t="s">
        <v>648</v>
      </c>
      <c r="F62" s="15" t="s">
        <v>595</v>
      </c>
      <c r="G62" s="267"/>
      <c r="H62" s="10"/>
      <c r="I62" s="11"/>
      <c r="J62" s="11"/>
      <c r="K62" s="11"/>
      <c r="L62" s="11"/>
      <c r="M62" s="11"/>
      <c r="N62" s="11"/>
      <c r="O62" s="12"/>
      <c r="P62" s="11"/>
      <c r="Q62" s="13"/>
      <c r="R62" s="14"/>
    </row>
    <row r="63" spans="1:18" ht="15" customHeight="1" x14ac:dyDescent="0.3">
      <c r="A63" s="17" t="s">
        <v>41</v>
      </c>
      <c r="B63" s="17" t="s">
        <v>602</v>
      </c>
      <c r="C63" s="18">
        <v>0.5</v>
      </c>
      <c r="D63" s="17" t="s">
        <v>43</v>
      </c>
      <c r="E63" s="17" t="s">
        <v>239</v>
      </c>
      <c r="F63" s="17" t="s">
        <v>647</v>
      </c>
      <c r="G63" s="267"/>
      <c r="H63" s="10"/>
      <c r="I63" s="11"/>
      <c r="J63" s="11"/>
      <c r="K63" s="11"/>
      <c r="L63" s="11"/>
      <c r="M63" s="11"/>
      <c r="N63" s="11"/>
      <c r="O63" s="12"/>
      <c r="P63" s="11"/>
      <c r="Q63" s="13"/>
      <c r="R63" s="14"/>
    </row>
    <row r="64" spans="1:18" ht="15" customHeight="1" x14ac:dyDescent="0.3">
      <c r="A64" s="15" t="s">
        <v>41</v>
      </c>
      <c r="B64" s="15" t="s">
        <v>602</v>
      </c>
      <c r="C64" s="16">
        <v>0.5</v>
      </c>
      <c r="D64" s="15" t="s">
        <v>45</v>
      </c>
      <c r="E64" s="15" t="s">
        <v>649</v>
      </c>
      <c r="F64" s="15" t="s">
        <v>35</v>
      </c>
      <c r="G64" s="267"/>
      <c r="H64" s="10"/>
      <c r="I64" s="11"/>
      <c r="J64" s="11"/>
      <c r="K64" s="11"/>
      <c r="L64" s="11"/>
      <c r="M64" s="11"/>
      <c r="N64" s="11"/>
      <c r="O64" s="12"/>
      <c r="P64" s="11"/>
      <c r="Q64" s="13"/>
      <c r="R64" s="14"/>
    </row>
    <row r="65" spans="1:18" ht="15" customHeight="1" x14ac:dyDescent="0.3">
      <c r="A65" s="15" t="s">
        <v>41</v>
      </c>
      <c r="B65" s="15" t="s">
        <v>602</v>
      </c>
      <c r="C65" s="16">
        <v>0.5</v>
      </c>
      <c r="D65" s="15" t="s">
        <v>47</v>
      </c>
      <c r="E65" s="15" t="s">
        <v>649</v>
      </c>
      <c r="F65" s="15" t="s">
        <v>604</v>
      </c>
      <c r="G65" s="267"/>
      <c r="H65" s="10"/>
      <c r="I65" s="11"/>
      <c r="J65" s="11"/>
      <c r="K65" s="11"/>
      <c r="L65" s="11"/>
      <c r="M65" s="11"/>
      <c r="N65" s="11"/>
      <c r="O65" s="12"/>
      <c r="P65" s="11"/>
      <c r="Q65" s="13"/>
      <c r="R65" s="14"/>
    </row>
    <row r="66" spans="1:18" ht="15" customHeight="1" x14ac:dyDescent="0.3">
      <c r="A66" s="17" t="s">
        <v>41</v>
      </c>
      <c r="B66" s="17" t="s">
        <v>611</v>
      </c>
      <c r="C66" s="18">
        <v>0.81597222222222221</v>
      </c>
      <c r="D66" s="17" t="s">
        <v>43</v>
      </c>
      <c r="E66" s="17" t="s">
        <v>650</v>
      </c>
      <c r="F66" s="17" t="s">
        <v>647</v>
      </c>
      <c r="G66" s="267"/>
      <c r="H66" s="10"/>
      <c r="I66" s="11"/>
      <c r="J66" s="11"/>
      <c r="K66" s="11"/>
      <c r="L66" s="11"/>
      <c r="M66" s="11"/>
      <c r="N66" s="11"/>
      <c r="O66" s="12"/>
      <c r="P66" s="11"/>
      <c r="Q66" s="13"/>
      <c r="R66" s="14"/>
    </row>
    <row r="67" spans="1:18" ht="15" customHeight="1" x14ac:dyDescent="0.3">
      <c r="A67" s="15" t="s">
        <v>41</v>
      </c>
      <c r="B67" s="15" t="s">
        <v>611</v>
      </c>
      <c r="C67" s="16">
        <v>0.81597222222222221</v>
      </c>
      <c r="D67" s="15" t="s">
        <v>45</v>
      </c>
      <c r="E67" s="15" t="s">
        <v>651</v>
      </c>
      <c r="F67" s="15" t="s">
        <v>35</v>
      </c>
      <c r="G67" s="267"/>
      <c r="H67" s="10"/>
      <c r="I67" s="11"/>
      <c r="J67" s="11"/>
      <c r="K67" s="11"/>
      <c r="L67" s="11"/>
      <c r="M67" s="11"/>
      <c r="N67" s="11"/>
      <c r="O67" s="12"/>
      <c r="P67" s="11"/>
      <c r="Q67" s="13"/>
      <c r="R67" s="14"/>
    </row>
    <row r="68" spans="1:18" ht="15" customHeight="1" x14ac:dyDescent="0.3">
      <c r="A68" s="15" t="s">
        <v>41</v>
      </c>
      <c r="B68" s="15" t="s">
        <v>611</v>
      </c>
      <c r="C68" s="16">
        <v>0.81597222222222221</v>
      </c>
      <c r="D68" s="15" t="s">
        <v>47</v>
      </c>
      <c r="E68" s="15" t="s">
        <v>651</v>
      </c>
      <c r="F68" s="15" t="s">
        <v>604</v>
      </c>
      <c r="G68" s="267"/>
      <c r="H68" s="10"/>
      <c r="I68" s="11"/>
      <c r="J68" s="11"/>
      <c r="K68" s="11"/>
      <c r="L68" s="11"/>
      <c r="M68" s="11"/>
      <c r="N68" s="11"/>
      <c r="O68" s="12"/>
      <c r="P68" s="11"/>
      <c r="Q68" s="13"/>
      <c r="R68" s="14"/>
    </row>
    <row r="69" spans="1:18" ht="15" customHeight="1" x14ac:dyDescent="0.3">
      <c r="A69" s="17" t="s">
        <v>41</v>
      </c>
      <c r="B69" s="17" t="s">
        <v>605</v>
      </c>
      <c r="C69" s="18">
        <v>0.44791666666666669</v>
      </c>
      <c r="D69" s="17" t="s">
        <v>43</v>
      </c>
      <c r="E69" s="17" t="s">
        <v>652</v>
      </c>
      <c r="F69" s="17" t="s">
        <v>603</v>
      </c>
      <c r="G69" s="267"/>
      <c r="H69" s="10"/>
      <c r="I69" s="11"/>
      <c r="J69" s="11"/>
      <c r="K69" s="11"/>
      <c r="L69" s="11"/>
      <c r="M69" s="11"/>
      <c r="N69" s="11"/>
      <c r="O69" s="12"/>
      <c r="P69" s="11"/>
      <c r="Q69" s="13"/>
      <c r="R69" s="14"/>
    </row>
    <row r="70" spans="1:18" ht="15" customHeight="1" x14ac:dyDescent="0.3">
      <c r="A70" s="15" t="s">
        <v>41</v>
      </c>
      <c r="B70" s="15" t="s">
        <v>605</v>
      </c>
      <c r="C70" s="16">
        <v>0.44791666666666669</v>
      </c>
      <c r="D70" s="15" t="s">
        <v>45</v>
      </c>
      <c r="E70" s="15" t="s">
        <v>98</v>
      </c>
      <c r="F70" s="15" t="s">
        <v>40</v>
      </c>
      <c r="G70" s="267"/>
      <c r="H70" s="10"/>
      <c r="I70" s="11"/>
      <c r="J70" s="11"/>
      <c r="K70" s="11"/>
      <c r="L70" s="11"/>
      <c r="M70" s="11"/>
      <c r="N70" s="11"/>
      <c r="O70" s="12"/>
      <c r="P70" s="11"/>
      <c r="Q70" s="13"/>
      <c r="R70" s="14"/>
    </row>
    <row r="71" spans="1:18" ht="15" customHeight="1" x14ac:dyDescent="0.3">
      <c r="A71" s="15" t="s">
        <v>41</v>
      </c>
      <c r="B71" s="15" t="s">
        <v>605</v>
      </c>
      <c r="C71" s="16">
        <v>0.44791666666666669</v>
      </c>
      <c r="D71" s="15" t="s">
        <v>47</v>
      </c>
      <c r="E71" s="15" t="s">
        <v>98</v>
      </c>
      <c r="F71" s="15" t="s">
        <v>604</v>
      </c>
      <c r="G71" s="267"/>
      <c r="H71" s="10"/>
      <c r="I71" s="11"/>
      <c r="J71" s="11"/>
      <c r="K71" s="11"/>
      <c r="L71" s="11"/>
      <c r="M71" s="11"/>
      <c r="N71" s="11"/>
      <c r="O71" s="12"/>
      <c r="P71" s="11"/>
      <c r="Q71" s="13"/>
      <c r="R71" s="14"/>
    </row>
    <row r="72" spans="1:18" ht="15" customHeight="1" x14ac:dyDescent="0.3">
      <c r="A72" s="19" t="s">
        <v>26</v>
      </c>
      <c r="B72" s="19" t="s">
        <v>587</v>
      </c>
      <c r="C72" s="20">
        <v>0.5</v>
      </c>
      <c r="D72" s="19" t="s">
        <v>28</v>
      </c>
      <c r="E72" s="19" t="s">
        <v>221</v>
      </c>
      <c r="F72" s="19" t="s">
        <v>38</v>
      </c>
      <c r="G72" s="267"/>
      <c r="H72" s="10"/>
      <c r="I72" s="11"/>
      <c r="J72" s="11"/>
      <c r="K72" s="11"/>
      <c r="L72" s="11"/>
      <c r="M72" s="11"/>
      <c r="N72" s="11"/>
      <c r="O72" s="12"/>
      <c r="P72" s="11"/>
      <c r="Q72" s="13"/>
      <c r="R72" s="14"/>
    </row>
    <row r="73" spans="1:18" ht="15" customHeight="1" x14ac:dyDescent="0.3">
      <c r="A73" s="15" t="s">
        <v>26</v>
      </c>
      <c r="B73" s="15" t="s">
        <v>587</v>
      </c>
      <c r="C73" s="16">
        <v>0.5</v>
      </c>
      <c r="D73" s="15" t="s">
        <v>31</v>
      </c>
      <c r="E73" s="15" t="s">
        <v>93</v>
      </c>
      <c r="F73" s="15" t="s">
        <v>39</v>
      </c>
      <c r="G73" s="267"/>
      <c r="H73" s="10"/>
      <c r="I73" s="11"/>
      <c r="J73" s="11"/>
      <c r="K73" s="11"/>
      <c r="L73" s="11"/>
      <c r="M73" s="11"/>
      <c r="N73" s="11"/>
      <c r="O73" s="12"/>
      <c r="P73" s="11"/>
      <c r="Q73" s="13"/>
      <c r="R73" s="14"/>
    </row>
    <row r="74" spans="1:18" ht="15" customHeight="1" x14ac:dyDescent="0.3">
      <c r="A74" s="15" t="s">
        <v>26</v>
      </c>
      <c r="B74" s="15" t="s">
        <v>587</v>
      </c>
      <c r="C74" s="16">
        <v>0.5</v>
      </c>
      <c r="D74" s="15" t="s">
        <v>34</v>
      </c>
      <c r="E74" s="15" t="s">
        <v>93</v>
      </c>
      <c r="F74" s="15" t="s">
        <v>40</v>
      </c>
      <c r="G74" s="267"/>
      <c r="H74" s="10"/>
      <c r="I74" s="11"/>
      <c r="J74" s="11"/>
      <c r="K74" s="11"/>
      <c r="L74" s="11"/>
      <c r="M74" s="11"/>
      <c r="N74" s="11"/>
      <c r="O74" s="12"/>
      <c r="P74" s="11"/>
      <c r="Q74" s="13"/>
      <c r="R74" s="14"/>
    </row>
    <row r="75" spans="1:18" ht="15" customHeight="1" x14ac:dyDescent="0.3">
      <c r="A75" s="17" t="s">
        <v>26</v>
      </c>
      <c r="B75" s="17" t="s">
        <v>590</v>
      </c>
      <c r="C75" s="18">
        <v>0.56597222222222221</v>
      </c>
      <c r="D75" s="17" t="s">
        <v>28</v>
      </c>
      <c r="E75" s="17" t="s">
        <v>225</v>
      </c>
      <c r="F75" s="17" t="s">
        <v>33</v>
      </c>
      <c r="G75" s="267"/>
      <c r="H75" s="10"/>
      <c r="I75" s="11"/>
      <c r="J75" s="11"/>
      <c r="K75" s="11"/>
      <c r="L75" s="11"/>
      <c r="M75" s="11"/>
      <c r="N75" s="11"/>
      <c r="O75" s="12"/>
      <c r="P75" s="11"/>
      <c r="Q75" s="13"/>
      <c r="R75" s="14"/>
    </row>
    <row r="76" spans="1:18" ht="15" customHeight="1" x14ac:dyDescent="0.3">
      <c r="A76" s="15" t="s">
        <v>26</v>
      </c>
      <c r="B76" s="15" t="s">
        <v>590</v>
      </c>
      <c r="C76" s="16">
        <v>0.56597222222222221</v>
      </c>
      <c r="D76" s="15" t="s">
        <v>31</v>
      </c>
      <c r="E76" s="15" t="s">
        <v>588</v>
      </c>
      <c r="F76" s="15" t="s">
        <v>589</v>
      </c>
      <c r="G76" s="267"/>
      <c r="H76" s="10"/>
      <c r="I76" s="11"/>
      <c r="J76" s="11"/>
      <c r="K76" s="11"/>
      <c r="L76" s="11"/>
      <c r="M76" s="11"/>
      <c r="N76" s="11"/>
      <c r="O76" s="12"/>
      <c r="P76" s="11"/>
      <c r="Q76" s="13"/>
      <c r="R76" s="14"/>
    </row>
    <row r="77" spans="1:18" ht="15" customHeight="1" x14ac:dyDescent="0.3">
      <c r="A77" s="15" t="s">
        <v>26</v>
      </c>
      <c r="B77" s="15" t="s">
        <v>590</v>
      </c>
      <c r="C77" s="16">
        <v>0.56597222222222221</v>
      </c>
      <c r="D77" s="15" t="s">
        <v>34</v>
      </c>
      <c r="E77" s="15" t="s">
        <v>588</v>
      </c>
      <c r="F77" s="15" t="s">
        <v>484</v>
      </c>
      <c r="G77" s="267"/>
      <c r="H77" s="10"/>
      <c r="I77" s="11"/>
      <c r="J77" s="11"/>
      <c r="K77" s="11"/>
      <c r="L77" s="11"/>
      <c r="M77" s="11"/>
      <c r="N77" s="11"/>
      <c r="O77" s="12"/>
      <c r="P77" s="11"/>
      <c r="Q77" s="13"/>
      <c r="R77" s="14"/>
    </row>
    <row r="78" spans="1:18" ht="15" customHeight="1" x14ac:dyDescent="0.3">
      <c r="A78" s="17" t="s">
        <v>26</v>
      </c>
      <c r="B78" s="17" t="s">
        <v>598</v>
      </c>
      <c r="C78" s="18">
        <v>0.82638888888888884</v>
      </c>
      <c r="D78" s="17" t="s">
        <v>28</v>
      </c>
      <c r="E78" s="17" t="s">
        <v>37</v>
      </c>
      <c r="F78" s="17" t="s">
        <v>591</v>
      </c>
      <c r="G78" s="267"/>
      <c r="H78" s="10"/>
      <c r="I78" s="11"/>
      <c r="J78" s="11"/>
      <c r="K78" s="11"/>
      <c r="L78" s="11"/>
      <c r="M78" s="11"/>
      <c r="N78" s="11"/>
      <c r="O78" s="12"/>
      <c r="P78" s="11"/>
      <c r="Q78" s="13"/>
      <c r="R78" s="14"/>
    </row>
    <row r="79" spans="1:18" ht="15" customHeight="1" x14ac:dyDescent="0.3">
      <c r="A79" s="15" t="s">
        <v>26</v>
      </c>
      <c r="B79" s="15" t="s">
        <v>598</v>
      </c>
      <c r="C79" s="16">
        <v>0.82638888888888884</v>
      </c>
      <c r="D79" s="15" t="s">
        <v>31</v>
      </c>
      <c r="E79" s="15" t="s">
        <v>32</v>
      </c>
      <c r="F79" s="15" t="s">
        <v>592</v>
      </c>
      <c r="G79" s="267"/>
      <c r="H79" s="10"/>
      <c r="I79" s="11"/>
      <c r="J79" s="11"/>
      <c r="K79" s="11"/>
      <c r="L79" s="11"/>
      <c r="M79" s="11"/>
      <c r="N79" s="11"/>
      <c r="O79" s="12"/>
      <c r="P79" s="11"/>
      <c r="Q79" s="13"/>
      <c r="R79" s="14"/>
    </row>
    <row r="80" spans="1:18" ht="15" customHeight="1" x14ac:dyDescent="0.3">
      <c r="A80" s="15" t="s">
        <v>26</v>
      </c>
      <c r="B80" s="15" t="s">
        <v>598</v>
      </c>
      <c r="C80" s="16">
        <v>0.82638888888888884</v>
      </c>
      <c r="D80" s="15" t="s">
        <v>34</v>
      </c>
      <c r="E80" s="15" t="s">
        <v>32</v>
      </c>
      <c r="F80" s="15" t="s">
        <v>593</v>
      </c>
      <c r="G80" s="267"/>
      <c r="H80" s="10"/>
      <c r="I80" s="11"/>
      <c r="J80" s="11"/>
      <c r="K80" s="11"/>
      <c r="L80" s="11"/>
      <c r="M80" s="11"/>
      <c r="N80" s="11"/>
      <c r="O80" s="12"/>
      <c r="P80" s="11"/>
      <c r="Q80" s="13"/>
      <c r="R80" s="14"/>
    </row>
    <row r="81" spans="1:18" ht="15" customHeight="1" x14ac:dyDescent="0.3">
      <c r="A81" s="17" t="s">
        <v>26</v>
      </c>
      <c r="B81" s="17" t="s">
        <v>583</v>
      </c>
      <c r="C81" s="18">
        <v>0.375</v>
      </c>
      <c r="D81" s="17" t="s">
        <v>28</v>
      </c>
      <c r="E81" s="17" t="s">
        <v>225</v>
      </c>
      <c r="F81" s="17" t="s">
        <v>591</v>
      </c>
      <c r="G81" s="267"/>
      <c r="H81" s="10"/>
      <c r="I81" s="11"/>
      <c r="J81" s="11"/>
      <c r="K81" s="11"/>
      <c r="L81" s="11"/>
      <c r="M81" s="11"/>
      <c r="N81" s="11"/>
      <c r="O81" s="12"/>
      <c r="P81" s="11"/>
      <c r="Q81" s="13"/>
      <c r="R81" s="14"/>
    </row>
    <row r="82" spans="1:18" ht="15" customHeight="1" x14ac:dyDescent="0.3">
      <c r="A82" s="15" t="s">
        <v>26</v>
      </c>
      <c r="B82" s="15" t="s">
        <v>583</v>
      </c>
      <c r="C82" s="16">
        <v>0.375</v>
      </c>
      <c r="D82" s="15" t="s">
        <v>31</v>
      </c>
      <c r="E82" s="15" t="s">
        <v>588</v>
      </c>
      <c r="F82" s="15" t="s">
        <v>592</v>
      </c>
      <c r="G82" s="267"/>
      <c r="H82" s="10"/>
      <c r="I82" s="11"/>
      <c r="J82" s="11"/>
      <c r="K82" s="11"/>
      <c r="L82" s="11"/>
      <c r="M82" s="11"/>
      <c r="N82" s="11"/>
      <c r="O82" s="12"/>
      <c r="P82" s="11"/>
      <c r="Q82" s="13"/>
      <c r="R82" s="14"/>
    </row>
    <row r="83" spans="1:18" ht="15" customHeight="1" x14ac:dyDescent="0.3">
      <c r="A83" s="15" t="s">
        <v>26</v>
      </c>
      <c r="B83" s="15" t="s">
        <v>583</v>
      </c>
      <c r="C83" s="16">
        <v>0.375</v>
      </c>
      <c r="D83" s="15" t="s">
        <v>34</v>
      </c>
      <c r="E83" s="15" t="s">
        <v>588</v>
      </c>
      <c r="F83" s="15" t="s">
        <v>593</v>
      </c>
      <c r="G83" s="267"/>
      <c r="H83" s="10"/>
      <c r="I83" s="11"/>
      <c r="J83" s="11"/>
      <c r="K83" s="11"/>
      <c r="L83" s="11"/>
      <c r="M83" s="11"/>
      <c r="N83" s="11"/>
      <c r="O83" s="12"/>
      <c r="P83" s="11"/>
      <c r="Q83" s="13"/>
      <c r="R83" s="14"/>
    </row>
    <row r="84" spans="1:18" ht="15" customHeight="1" x14ac:dyDescent="0.3">
      <c r="A84" s="17" t="s">
        <v>26</v>
      </c>
      <c r="B84" s="17" t="s">
        <v>584</v>
      </c>
      <c r="C84" s="18">
        <v>0.30555555555555552</v>
      </c>
      <c r="D84" s="17" t="s">
        <v>28</v>
      </c>
      <c r="E84" s="17" t="s">
        <v>37</v>
      </c>
      <c r="F84" s="17" t="s">
        <v>591</v>
      </c>
      <c r="G84" s="267"/>
      <c r="H84" s="10"/>
      <c r="I84" s="11"/>
      <c r="J84" s="11"/>
      <c r="K84" s="11"/>
      <c r="L84" s="11"/>
      <c r="M84" s="11"/>
      <c r="N84" s="11"/>
      <c r="O84" s="12"/>
      <c r="P84" s="11"/>
      <c r="Q84" s="13"/>
      <c r="R84" s="14"/>
    </row>
    <row r="85" spans="1:18" ht="15" customHeight="1" x14ac:dyDescent="0.3">
      <c r="A85" s="15" t="s">
        <v>26</v>
      </c>
      <c r="B85" s="15" t="s">
        <v>584</v>
      </c>
      <c r="C85" s="16">
        <v>0.30555555555555552</v>
      </c>
      <c r="D85" s="15" t="s">
        <v>31</v>
      </c>
      <c r="E85" s="15" t="s">
        <v>32</v>
      </c>
      <c r="F85" s="15" t="s">
        <v>592</v>
      </c>
      <c r="G85" s="267"/>
      <c r="H85" s="10"/>
      <c r="I85" s="11"/>
      <c r="J85" s="11"/>
      <c r="K85" s="11"/>
      <c r="L85" s="11"/>
      <c r="M85" s="11"/>
      <c r="N85" s="11"/>
      <c r="O85" s="12"/>
      <c r="P85" s="11"/>
      <c r="Q85" s="13"/>
      <c r="R85" s="14"/>
    </row>
    <row r="86" spans="1:18" ht="15" customHeight="1" x14ac:dyDescent="0.3">
      <c r="A86" s="15" t="s">
        <v>26</v>
      </c>
      <c r="B86" s="15" t="s">
        <v>584</v>
      </c>
      <c r="C86" s="16">
        <v>0.30555555555555552</v>
      </c>
      <c r="D86" s="15" t="s">
        <v>34</v>
      </c>
      <c r="E86" s="15" t="s">
        <v>32</v>
      </c>
      <c r="F86" s="15" t="s">
        <v>593</v>
      </c>
      <c r="G86" s="267"/>
      <c r="H86" s="10"/>
      <c r="I86" s="11"/>
      <c r="J86" s="11"/>
      <c r="K86" s="11"/>
      <c r="L86" s="11"/>
      <c r="M86" s="11"/>
      <c r="N86" s="11"/>
      <c r="O86" s="12"/>
      <c r="P86" s="11"/>
      <c r="Q86" s="13"/>
      <c r="R86" s="14"/>
    </row>
    <row r="87" spans="1:18" ht="15" customHeight="1" x14ac:dyDescent="0.3">
      <c r="A87" s="17" t="s">
        <v>26</v>
      </c>
      <c r="B87" s="17" t="s">
        <v>594</v>
      </c>
      <c r="C87" s="18">
        <v>0.6875</v>
      </c>
      <c r="D87" s="17" t="s">
        <v>28</v>
      </c>
      <c r="E87" s="17" t="s">
        <v>232</v>
      </c>
      <c r="F87" s="17" t="s">
        <v>591</v>
      </c>
      <c r="G87" s="267"/>
      <c r="H87" s="10"/>
      <c r="I87" s="11"/>
      <c r="J87" s="11"/>
      <c r="K87" s="11"/>
      <c r="L87" s="11"/>
      <c r="M87" s="11"/>
      <c r="N87" s="11"/>
      <c r="O87" s="12"/>
      <c r="P87" s="11"/>
      <c r="Q87" s="13"/>
      <c r="R87" s="14"/>
    </row>
    <row r="88" spans="1:18" ht="15" customHeight="1" x14ac:dyDescent="0.3">
      <c r="A88" s="15" t="s">
        <v>26</v>
      </c>
      <c r="B88" s="15" t="s">
        <v>594</v>
      </c>
      <c r="C88" s="16">
        <v>0.6875</v>
      </c>
      <c r="D88" s="15" t="s">
        <v>31</v>
      </c>
      <c r="E88" s="15" t="s">
        <v>653</v>
      </c>
      <c r="F88" s="15" t="s">
        <v>592</v>
      </c>
      <c r="G88" s="267"/>
      <c r="H88" s="10"/>
      <c r="I88" s="11"/>
      <c r="J88" s="11"/>
      <c r="K88" s="11"/>
      <c r="L88" s="11"/>
      <c r="M88" s="11"/>
      <c r="N88" s="11"/>
      <c r="O88" s="12"/>
      <c r="P88" s="11"/>
      <c r="Q88" s="13"/>
      <c r="R88" s="14"/>
    </row>
    <row r="89" spans="1:18" ht="15" customHeight="1" x14ac:dyDescent="0.3">
      <c r="A89" s="15" t="s">
        <v>26</v>
      </c>
      <c r="B89" s="15" t="s">
        <v>594</v>
      </c>
      <c r="C89" s="16">
        <v>0.6875</v>
      </c>
      <c r="D89" s="15" t="s">
        <v>34</v>
      </c>
      <c r="E89" s="15" t="s">
        <v>653</v>
      </c>
      <c r="F89" s="15" t="s">
        <v>593</v>
      </c>
      <c r="G89" s="267"/>
      <c r="H89" s="10"/>
      <c r="I89" s="11"/>
      <c r="J89" s="11"/>
      <c r="K89" s="11"/>
      <c r="L89" s="11"/>
      <c r="M89" s="11"/>
      <c r="N89" s="11"/>
      <c r="O89" s="12"/>
      <c r="P89" s="11"/>
      <c r="Q89" s="13"/>
      <c r="R89" s="14"/>
    </row>
    <row r="90" spans="1:18" ht="15" customHeight="1" x14ac:dyDescent="0.3">
      <c r="A90" s="17" t="s">
        <v>26</v>
      </c>
      <c r="B90" s="17" t="s">
        <v>586</v>
      </c>
      <c r="C90" s="18">
        <v>0.42708333333333331</v>
      </c>
      <c r="D90" s="17" t="s">
        <v>28</v>
      </c>
      <c r="E90" s="17" t="s">
        <v>37</v>
      </c>
      <c r="F90" s="17" t="s">
        <v>591</v>
      </c>
      <c r="G90" s="267"/>
      <c r="H90" s="10"/>
      <c r="I90" s="11"/>
      <c r="J90" s="11"/>
      <c r="K90" s="11"/>
      <c r="L90" s="11"/>
      <c r="M90" s="11"/>
      <c r="N90" s="11"/>
      <c r="O90" s="12"/>
      <c r="P90" s="11"/>
      <c r="Q90" s="13"/>
      <c r="R90" s="14"/>
    </row>
    <row r="91" spans="1:18" ht="15" customHeight="1" x14ac:dyDescent="0.3">
      <c r="A91" s="15" t="s">
        <v>26</v>
      </c>
      <c r="B91" s="15" t="s">
        <v>586</v>
      </c>
      <c r="C91" s="16">
        <v>0.42708333333333331</v>
      </c>
      <c r="D91" s="15" t="s">
        <v>31</v>
      </c>
      <c r="E91" s="15" t="s">
        <v>32</v>
      </c>
      <c r="F91" s="15" t="s">
        <v>592</v>
      </c>
      <c r="G91" s="267"/>
      <c r="H91" s="10"/>
      <c r="I91" s="11"/>
      <c r="J91" s="11"/>
      <c r="K91" s="11"/>
      <c r="L91" s="11"/>
      <c r="M91" s="11"/>
      <c r="N91" s="11"/>
      <c r="O91" s="12"/>
      <c r="P91" s="11"/>
      <c r="Q91" s="13"/>
      <c r="R91" s="14"/>
    </row>
    <row r="92" spans="1:18" ht="15" customHeight="1" x14ac:dyDescent="0.3">
      <c r="A92" s="15" t="s">
        <v>26</v>
      </c>
      <c r="B92" s="15" t="s">
        <v>586</v>
      </c>
      <c r="C92" s="16">
        <v>0.42708333333333331</v>
      </c>
      <c r="D92" s="15" t="s">
        <v>34</v>
      </c>
      <c r="E92" s="15" t="s">
        <v>32</v>
      </c>
      <c r="F92" s="15" t="s">
        <v>593</v>
      </c>
      <c r="G92" s="267"/>
      <c r="H92" s="10"/>
      <c r="I92" s="11"/>
      <c r="J92" s="11"/>
      <c r="K92" s="11"/>
      <c r="L92" s="11"/>
      <c r="M92" s="11"/>
      <c r="N92" s="11"/>
      <c r="O92" s="12"/>
      <c r="P92" s="11"/>
      <c r="Q92" s="13"/>
      <c r="R92" s="14"/>
    </row>
    <row r="93" spans="1:18" ht="15" customHeight="1" x14ac:dyDescent="0.3">
      <c r="A93" s="206" t="s">
        <v>78</v>
      </c>
      <c r="B93" s="206" t="s">
        <v>654</v>
      </c>
      <c r="C93" s="207">
        <v>0.92361111111111116</v>
      </c>
      <c r="D93" s="206" t="s">
        <v>178</v>
      </c>
      <c r="E93" s="206" t="s">
        <v>179</v>
      </c>
      <c r="F93" s="206" t="s">
        <v>655</v>
      </c>
      <c r="G93" s="267"/>
      <c r="H93" s="163" t="s">
        <v>656</v>
      </c>
      <c r="I93" s="208">
        <v>0.75600000000000001</v>
      </c>
      <c r="J93" s="165">
        <v>127</v>
      </c>
      <c r="K93" s="166">
        <v>45980</v>
      </c>
      <c r="L93" s="165">
        <v>46</v>
      </c>
      <c r="M93" s="165">
        <v>1</v>
      </c>
      <c r="N93" s="165">
        <v>11</v>
      </c>
      <c r="O93" s="167" t="s">
        <v>400</v>
      </c>
      <c r="P93" s="168">
        <v>0.92361111111111116</v>
      </c>
      <c r="Q93" s="165">
        <v>168</v>
      </c>
      <c r="R93" s="169" t="s">
        <v>657</v>
      </c>
    </row>
    <row r="94" spans="1:18" ht="15" customHeight="1" x14ac:dyDescent="0.3">
      <c r="A94" s="156" t="s">
        <v>78</v>
      </c>
      <c r="B94" s="156" t="s">
        <v>620</v>
      </c>
      <c r="C94" s="157">
        <v>0.60416666666666663</v>
      </c>
      <c r="D94" s="156" t="s">
        <v>178</v>
      </c>
      <c r="E94" s="156" t="s">
        <v>55</v>
      </c>
      <c r="F94" s="156" t="s">
        <v>658</v>
      </c>
      <c r="G94" s="267"/>
      <c r="H94" s="109" t="s">
        <v>622</v>
      </c>
      <c r="I94" s="205">
        <v>0.8155</v>
      </c>
      <c r="J94" s="111">
        <v>137</v>
      </c>
      <c r="K94" s="112">
        <v>45980</v>
      </c>
      <c r="L94" s="111">
        <v>35</v>
      </c>
      <c r="M94" s="111">
        <v>1</v>
      </c>
      <c r="N94" s="111">
        <v>6</v>
      </c>
      <c r="O94" s="113" t="s">
        <v>659</v>
      </c>
      <c r="P94" s="114">
        <v>0.60416666666666663</v>
      </c>
      <c r="Q94" s="111">
        <v>168</v>
      </c>
      <c r="R94" s="115" t="s">
        <v>660</v>
      </c>
    </row>
    <row r="95" spans="1:18" ht="15" customHeight="1" x14ac:dyDescent="0.3">
      <c r="A95" s="19" t="s">
        <v>277</v>
      </c>
      <c r="B95" s="19" t="s">
        <v>617</v>
      </c>
      <c r="C95" s="20">
        <v>0.27777777777777779</v>
      </c>
      <c r="D95" s="19" t="s">
        <v>279</v>
      </c>
      <c r="E95" s="19" t="s">
        <v>52</v>
      </c>
      <c r="F95" s="19" t="s">
        <v>619</v>
      </c>
      <c r="G95" s="267"/>
      <c r="H95" s="10"/>
      <c r="I95" s="11"/>
      <c r="J95" s="11"/>
      <c r="K95" s="11"/>
      <c r="L95" s="11"/>
      <c r="M95" s="11"/>
      <c r="N95" s="11"/>
      <c r="O95" s="12"/>
      <c r="P95" s="11"/>
      <c r="Q95" s="13"/>
      <c r="R95" s="14"/>
    </row>
    <row r="96" spans="1:18" ht="15" customHeight="1" x14ac:dyDescent="0.3">
      <c r="A96" s="19" t="s">
        <v>285</v>
      </c>
      <c r="B96" s="19" t="s">
        <v>624</v>
      </c>
      <c r="C96" s="20">
        <v>0.39583333333333331</v>
      </c>
      <c r="D96" s="19" t="s">
        <v>279</v>
      </c>
      <c r="E96" s="19" t="s">
        <v>90</v>
      </c>
      <c r="F96" s="19" t="s">
        <v>626</v>
      </c>
      <c r="G96" s="267"/>
      <c r="H96" s="10"/>
      <c r="I96" s="11"/>
      <c r="J96" s="11"/>
      <c r="K96" s="11"/>
      <c r="L96" s="11"/>
      <c r="M96" s="11"/>
      <c r="N96" s="11"/>
      <c r="O96" s="12"/>
      <c r="P96" s="11"/>
      <c r="Q96" s="13"/>
      <c r="R96" s="14"/>
    </row>
    <row r="97" spans="1:18" ht="15" customHeight="1" x14ac:dyDescent="0.3">
      <c r="A97" s="19" t="s">
        <v>49</v>
      </c>
      <c r="B97" s="19" t="s">
        <v>632</v>
      </c>
      <c r="C97" s="20">
        <v>0.91666666666666663</v>
      </c>
      <c r="D97" s="19" t="s">
        <v>51</v>
      </c>
      <c r="E97" s="19" t="s">
        <v>52</v>
      </c>
      <c r="F97" s="19" t="s">
        <v>661</v>
      </c>
      <c r="G97" s="267"/>
      <c r="H97" s="10"/>
      <c r="I97" s="11"/>
      <c r="J97" s="11"/>
      <c r="K97" s="11"/>
      <c r="L97" s="11"/>
      <c r="M97" s="11"/>
      <c r="N97" s="11"/>
      <c r="O97" s="12"/>
      <c r="P97" s="11"/>
      <c r="Q97" s="13"/>
      <c r="R97" s="14"/>
    </row>
    <row r="98" spans="1:18" ht="15" customHeight="1" x14ac:dyDescent="0.3">
      <c r="A98" s="17" t="s">
        <v>49</v>
      </c>
      <c r="B98" s="17" t="s">
        <v>630</v>
      </c>
      <c r="C98" s="18">
        <v>0.54166666666666663</v>
      </c>
      <c r="D98" s="17" t="s">
        <v>51</v>
      </c>
      <c r="E98" s="17" t="s">
        <v>229</v>
      </c>
      <c r="F98" s="17" t="s">
        <v>662</v>
      </c>
      <c r="G98" s="267"/>
      <c r="H98" s="10"/>
      <c r="I98" s="11"/>
      <c r="J98" s="11"/>
      <c r="K98" s="11"/>
      <c r="L98" s="11"/>
      <c r="M98" s="11"/>
      <c r="N98" s="11"/>
      <c r="O98" s="12"/>
      <c r="P98" s="11"/>
      <c r="Q98" s="13"/>
      <c r="R98" s="14"/>
    </row>
    <row r="99" spans="1:18" ht="15" customHeight="1" x14ac:dyDescent="0.3">
      <c r="A99" s="17" t="s">
        <v>49</v>
      </c>
      <c r="B99" s="17" t="s">
        <v>628</v>
      </c>
      <c r="C99" s="18">
        <v>0.16666666666666671</v>
      </c>
      <c r="D99" s="17" t="s">
        <v>51</v>
      </c>
      <c r="E99" s="17" t="s">
        <v>74</v>
      </c>
      <c r="F99" s="17" t="s">
        <v>663</v>
      </c>
      <c r="G99" s="267"/>
      <c r="H99" s="10"/>
      <c r="I99" s="11"/>
      <c r="J99" s="11"/>
      <c r="K99" s="11"/>
      <c r="L99" s="11"/>
      <c r="M99" s="11"/>
      <c r="N99" s="11"/>
      <c r="O99" s="12"/>
      <c r="P99" s="11"/>
      <c r="Q99" s="13"/>
      <c r="R99" s="14"/>
    </row>
    <row r="100" spans="1:18" ht="15" customHeight="1" x14ac:dyDescent="0.3">
      <c r="A100" s="19" t="s">
        <v>62</v>
      </c>
      <c r="B100" s="19" t="s">
        <v>664</v>
      </c>
      <c r="C100" s="20">
        <v>0.83680555555555547</v>
      </c>
      <c r="D100" s="19" t="s">
        <v>64</v>
      </c>
      <c r="E100" s="19" t="s">
        <v>52</v>
      </c>
      <c r="F100" s="19" t="s">
        <v>61</v>
      </c>
      <c r="G100" s="267"/>
      <c r="H100" s="10"/>
      <c r="I100" s="11"/>
      <c r="J100" s="11"/>
      <c r="K100" s="11"/>
      <c r="L100" s="11"/>
      <c r="M100" s="11"/>
      <c r="N100" s="11"/>
      <c r="O100" s="12"/>
      <c r="P100" s="11"/>
      <c r="Q100" s="13"/>
      <c r="R100" s="14"/>
    </row>
    <row r="101" spans="1:18" ht="15" customHeight="1" x14ac:dyDescent="0.3">
      <c r="A101" s="15" t="s">
        <v>62</v>
      </c>
      <c r="B101" s="15" t="s">
        <v>664</v>
      </c>
      <c r="C101" s="16">
        <v>0.83680555555555547</v>
      </c>
      <c r="D101" s="15" t="s">
        <v>66</v>
      </c>
      <c r="E101" s="15" t="s">
        <v>67</v>
      </c>
      <c r="F101" s="15" t="s">
        <v>665</v>
      </c>
      <c r="G101" s="267"/>
      <c r="H101" s="10"/>
      <c r="I101" s="11"/>
      <c r="J101" s="11"/>
      <c r="K101" s="11"/>
      <c r="L101" s="11"/>
      <c r="M101" s="11"/>
      <c r="N101" s="11"/>
      <c r="O101" s="12"/>
      <c r="P101" s="11"/>
      <c r="Q101" s="13"/>
      <c r="R101" s="14"/>
    </row>
    <row r="102" spans="1:18" ht="15" customHeight="1" x14ac:dyDescent="0.3">
      <c r="A102" s="17" t="s">
        <v>62</v>
      </c>
      <c r="B102" s="17" t="s">
        <v>634</v>
      </c>
      <c r="C102" s="18">
        <v>0.2986111111111111</v>
      </c>
      <c r="D102" s="17" t="s">
        <v>64</v>
      </c>
      <c r="E102" s="17" t="s">
        <v>55</v>
      </c>
      <c r="F102" s="17" t="s">
        <v>61</v>
      </c>
      <c r="G102" s="267"/>
      <c r="H102" s="10"/>
      <c r="I102" s="11"/>
      <c r="J102" s="11"/>
      <c r="K102" s="11"/>
      <c r="L102" s="11"/>
      <c r="M102" s="11"/>
      <c r="N102" s="11"/>
      <c r="O102" s="12"/>
      <c r="P102" s="11"/>
      <c r="Q102" s="13"/>
      <c r="R102" s="14"/>
    </row>
    <row r="103" spans="1:18" ht="15" customHeight="1" x14ac:dyDescent="0.3">
      <c r="A103" s="15" t="s">
        <v>62</v>
      </c>
      <c r="B103" s="15" t="s">
        <v>634</v>
      </c>
      <c r="C103" s="16">
        <v>0.2986111111111111</v>
      </c>
      <c r="D103" s="15" t="s">
        <v>66</v>
      </c>
      <c r="E103" s="15" t="s">
        <v>67</v>
      </c>
      <c r="F103" s="15" t="s">
        <v>665</v>
      </c>
      <c r="G103" s="267"/>
      <c r="H103" s="10"/>
      <c r="I103" s="11"/>
      <c r="J103" s="11"/>
      <c r="K103" s="11"/>
      <c r="L103" s="11"/>
      <c r="M103" s="11"/>
      <c r="N103" s="11"/>
      <c r="O103" s="12"/>
      <c r="P103" s="11"/>
      <c r="Q103" s="13"/>
      <c r="R103" s="14"/>
    </row>
    <row r="104" spans="1:18" ht="15" customHeight="1" x14ac:dyDescent="0.3">
      <c r="A104" s="17" t="s">
        <v>62</v>
      </c>
      <c r="B104" s="17" t="s">
        <v>640</v>
      </c>
      <c r="C104" s="18">
        <v>0.5</v>
      </c>
      <c r="D104" s="17" t="s">
        <v>66</v>
      </c>
      <c r="E104" s="17" t="s">
        <v>71</v>
      </c>
      <c r="F104" s="17" t="s">
        <v>641</v>
      </c>
      <c r="G104" s="267"/>
      <c r="H104" s="10"/>
      <c r="I104" s="11"/>
      <c r="J104" s="11"/>
      <c r="K104" s="11"/>
      <c r="L104" s="11"/>
      <c r="M104" s="11"/>
      <c r="N104" s="11"/>
      <c r="O104" s="12"/>
      <c r="P104" s="11"/>
      <c r="Q104" s="13"/>
      <c r="R104" s="14"/>
    </row>
    <row r="105" spans="1:18" ht="15" customHeight="1" x14ac:dyDescent="0.3">
      <c r="A105" s="17" t="s">
        <v>62</v>
      </c>
      <c r="B105" s="17" t="s">
        <v>666</v>
      </c>
      <c r="C105" s="18">
        <v>0.76041666666666663</v>
      </c>
      <c r="D105" s="17" t="s">
        <v>66</v>
      </c>
      <c r="E105" s="17" t="s">
        <v>71</v>
      </c>
      <c r="F105" s="17" t="s">
        <v>641</v>
      </c>
      <c r="G105" s="267"/>
      <c r="H105" s="10"/>
      <c r="I105" s="11"/>
      <c r="J105" s="11"/>
      <c r="K105" s="11"/>
      <c r="L105" s="11"/>
      <c r="M105" s="11"/>
      <c r="N105" s="11"/>
      <c r="O105" s="12"/>
      <c r="P105" s="11"/>
      <c r="Q105" s="13"/>
      <c r="R105" s="14"/>
    </row>
    <row r="106" spans="1:18" ht="15" customHeight="1" x14ac:dyDescent="0.3">
      <c r="A106" s="17" t="s">
        <v>62</v>
      </c>
      <c r="B106" s="17" t="s">
        <v>667</v>
      </c>
      <c r="C106" s="18">
        <v>0.81597222222222221</v>
      </c>
      <c r="D106" s="17" t="s">
        <v>66</v>
      </c>
      <c r="E106" s="17" t="s">
        <v>71</v>
      </c>
      <c r="F106" s="17" t="s">
        <v>641</v>
      </c>
      <c r="G106" s="267"/>
      <c r="H106" s="10"/>
      <c r="I106" s="11"/>
      <c r="J106" s="11"/>
      <c r="K106" s="11"/>
      <c r="L106" s="11"/>
      <c r="M106" s="11"/>
      <c r="N106" s="11"/>
      <c r="O106" s="12"/>
      <c r="P106" s="11"/>
      <c r="Q106" s="13"/>
      <c r="R106" s="14"/>
    </row>
    <row r="107" spans="1:18" ht="15" customHeight="1" x14ac:dyDescent="0.3">
      <c r="A107" s="17" t="s">
        <v>62</v>
      </c>
      <c r="B107" s="17" t="s">
        <v>642</v>
      </c>
      <c r="C107" s="18">
        <v>0.68402777777777779</v>
      </c>
      <c r="D107" s="17" t="s">
        <v>64</v>
      </c>
      <c r="E107" s="17" t="s">
        <v>55</v>
      </c>
      <c r="F107" s="17" t="s">
        <v>668</v>
      </c>
      <c r="G107" s="267"/>
      <c r="H107" s="10"/>
      <c r="I107" s="11"/>
      <c r="J107" s="11"/>
      <c r="K107" s="11"/>
      <c r="L107" s="11"/>
      <c r="M107" s="11"/>
      <c r="N107" s="11"/>
      <c r="O107" s="12"/>
      <c r="P107" s="11"/>
      <c r="Q107" s="13"/>
      <c r="R107" s="14"/>
    </row>
    <row r="108" spans="1:18" ht="15" customHeight="1" x14ac:dyDescent="0.3">
      <c r="A108" s="15" t="s">
        <v>62</v>
      </c>
      <c r="B108" s="15" t="s">
        <v>642</v>
      </c>
      <c r="C108" s="16">
        <v>0.68402777777777779</v>
      </c>
      <c r="D108" s="15" t="s">
        <v>66</v>
      </c>
      <c r="E108" s="15" t="s">
        <v>67</v>
      </c>
      <c r="F108" s="15" t="s">
        <v>669</v>
      </c>
      <c r="G108" s="267"/>
      <c r="H108" s="10"/>
      <c r="I108" s="11"/>
      <c r="J108" s="11"/>
      <c r="K108" s="11"/>
      <c r="L108" s="11"/>
      <c r="M108" s="11"/>
      <c r="N108" s="11"/>
      <c r="O108" s="12"/>
      <c r="P108" s="11"/>
      <c r="Q108" s="13"/>
      <c r="R108" s="14"/>
    </row>
    <row r="109" spans="1:18" ht="15" customHeight="1" x14ac:dyDescent="0.3">
      <c r="A109" s="17" t="s">
        <v>62</v>
      </c>
      <c r="B109" s="17" t="s">
        <v>637</v>
      </c>
      <c r="C109" s="18">
        <v>0.4826388888888889</v>
      </c>
      <c r="D109" s="17" t="s">
        <v>64</v>
      </c>
      <c r="E109" s="17" t="s">
        <v>55</v>
      </c>
      <c r="F109" s="17" t="s">
        <v>668</v>
      </c>
      <c r="G109" s="267"/>
      <c r="H109" s="10"/>
      <c r="I109" s="11"/>
      <c r="J109" s="11"/>
      <c r="K109" s="11"/>
      <c r="L109" s="11"/>
      <c r="M109" s="11"/>
      <c r="N109" s="11"/>
      <c r="O109" s="12"/>
      <c r="P109" s="11"/>
      <c r="Q109" s="13"/>
      <c r="R109" s="14"/>
    </row>
    <row r="110" spans="1:18" ht="15" customHeight="1" thickBot="1" x14ac:dyDescent="0.35">
      <c r="A110" s="39" t="s">
        <v>62</v>
      </c>
      <c r="B110" s="39" t="s">
        <v>637</v>
      </c>
      <c r="C110" s="40">
        <v>0.4826388888888889</v>
      </c>
      <c r="D110" s="39" t="s">
        <v>66</v>
      </c>
      <c r="E110" s="39" t="s">
        <v>67</v>
      </c>
      <c r="F110" s="39" t="s">
        <v>669</v>
      </c>
      <c r="G110" s="268"/>
      <c r="H110" s="41"/>
      <c r="I110" s="42"/>
      <c r="J110" s="42"/>
      <c r="K110" s="42"/>
      <c r="L110" s="42"/>
      <c r="M110" s="42"/>
      <c r="N110" s="42"/>
      <c r="O110" s="43"/>
      <c r="P110" s="42"/>
      <c r="Q110" s="44"/>
      <c r="R110" s="45"/>
    </row>
    <row r="111" spans="1:18" ht="17.399999999999999" customHeight="1" thickBot="1" x14ac:dyDescent="0.35">
      <c r="A111" s="295"/>
      <c r="B111" s="296"/>
      <c r="C111" s="296"/>
      <c r="D111" s="296"/>
      <c r="E111" s="296"/>
      <c r="F111" s="296"/>
      <c r="G111" s="296"/>
      <c r="H111" s="296"/>
      <c r="I111" s="296"/>
      <c r="J111" s="296"/>
      <c r="K111" s="296"/>
      <c r="L111" s="296"/>
      <c r="M111" s="296"/>
      <c r="N111" s="296"/>
      <c r="O111" s="296"/>
      <c r="P111" s="296"/>
      <c r="Q111" s="296"/>
      <c r="R111" s="297"/>
    </row>
    <row r="112" spans="1:18" ht="22.05" customHeight="1" thickTop="1" thickBot="1" x14ac:dyDescent="0.35">
      <c r="A112" s="262" t="s">
        <v>6</v>
      </c>
      <c r="B112" s="263"/>
      <c r="C112" s="263"/>
      <c r="D112" s="263"/>
      <c r="E112" s="263"/>
      <c r="F112" s="264"/>
      <c r="G112" s="31">
        <v>45983</v>
      </c>
      <c r="H112" s="270" t="s">
        <v>7</v>
      </c>
      <c r="I112" s="263"/>
      <c r="J112" s="263"/>
      <c r="K112" s="263"/>
      <c r="L112" s="263"/>
      <c r="M112" s="263"/>
      <c r="N112" s="263"/>
      <c r="O112" s="263"/>
      <c r="P112" s="263"/>
      <c r="Q112" s="263"/>
      <c r="R112" s="264"/>
    </row>
    <row r="113" spans="1:18" ht="24" customHeight="1" x14ac:dyDescent="0.3">
      <c r="A113" s="32" t="s">
        <v>8</v>
      </c>
      <c r="B113" s="32" t="s">
        <v>9</v>
      </c>
      <c r="C113" s="33" t="s">
        <v>10</v>
      </c>
      <c r="D113" s="32" t="s">
        <v>11</v>
      </c>
      <c r="E113" s="32" t="s">
        <v>12</v>
      </c>
      <c r="F113" s="34" t="s">
        <v>13</v>
      </c>
      <c r="G113" s="35" t="s">
        <v>14</v>
      </c>
      <c r="H113" s="32" t="s">
        <v>15</v>
      </c>
      <c r="I113" s="36" t="s">
        <v>16</v>
      </c>
      <c r="J113" s="37" t="s">
        <v>17</v>
      </c>
      <c r="K113" s="38" t="s">
        <v>18</v>
      </c>
      <c r="L113" s="37" t="s">
        <v>19</v>
      </c>
      <c r="M113" s="37" t="s">
        <v>20</v>
      </c>
      <c r="N113" s="37" t="s">
        <v>21</v>
      </c>
      <c r="O113" s="32" t="s">
        <v>22</v>
      </c>
      <c r="P113" s="33" t="s">
        <v>23</v>
      </c>
      <c r="Q113" s="37" t="s">
        <v>24</v>
      </c>
      <c r="R113" s="32" t="s">
        <v>25</v>
      </c>
    </row>
    <row r="114" spans="1:18" ht="15" customHeight="1" x14ac:dyDescent="0.3">
      <c r="A114" s="8" t="s">
        <v>41</v>
      </c>
      <c r="B114" s="8" t="s">
        <v>611</v>
      </c>
      <c r="C114" s="9">
        <v>0.81597222222222221</v>
      </c>
      <c r="D114" s="8" t="s">
        <v>43</v>
      </c>
      <c r="E114" s="8" t="s">
        <v>499</v>
      </c>
      <c r="F114" s="8" t="s">
        <v>670</v>
      </c>
      <c r="G114" s="266"/>
      <c r="H114" s="10"/>
      <c r="I114" s="11"/>
      <c r="J114" s="11"/>
      <c r="K114" s="11"/>
      <c r="L114" s="11"/>
      <c r="M114" s="11"/>
      <c r="N114" s="11"/>
      <c r="O114" s="12"/>
      <c r="P114" s="11"/>
      <c r="Q114" s="13"/>
      <c r="R114" s="14"/>
    </row>
    <row r="115" spans="1:18" ht="15" customHeight="1" x14ac:dyDescent="0.3">
      <c r="A115" s="15" t="s">
        <v>41</v>
      </c>
      <c r="B115" s="15" t="s">
        <v>611</v>
      </c>
      <c r="C115" s="16">
        <v>0.81597222222222221</v>
      </c>
      <c r="D115" s="15" t="s">
        <v>45</v>
      </c>
      <c r="E115" s="15" t="s">
        <v>588</v>
      </c>
      <c r="F115" s="15" t="s">
        <v>85</v>
      </c>
      <c r="G115" s="267"/>
      <c r="H115" s="10"/>
      <c r="I115" s="11"/>
      <c r="J115" s="11"/>
      <c r="K115" s="11"/>
      <c r="L115" s="11"/>
      <c r="M115" s="11"/>
      <c r="N115" s="11"/>
      <c r="O115" s="12"/>
      <c r="P115" s="11"/>
      <c r="Q115" s="13"/>
      <c r="R115" s="14"/>
    </row>
    <row r="116" spans="1:18" ht="15" customHeight="1" x14ac:dyDescent="0.3">
      <c r="A116" s="15" t="s">
        <v>41</v>
      </c>
      <c r="B116" s="15" t="s">
        <v>611</v>
      </c>
      <c r="C116" s="16">
        <v>0.81597222222222221</v>
      </c>
      <c r="D116" s="15" t="s">
        <v>47</v>
      </c>
      <c r="E116" s="15" t="s">
        <v>588</v>
      </c>
      <c r="F116" s="15" t="s">
        <v>595</v>
      </c>
      <c r="G116" s="267"/>
      <c r="H116" s="10"/>
      <c r="I116" s="11"/>
      <c r="J116" s="11"/>
      <c r="K116" s="11"/>
      <c r="L116" s="11"/>
      <c r="M116" s="11"/>
      <c r="N116" s="11"/>
      <c r="O116" s="12"/>
      <c r="P116" s="11"/>
      <c r="Q116" s="13"/>
      <c r="R116" s="14"/>
    </row>
    <row r="117" spans="1:18" ht="15" customHeight="1" x14ac:dyDescent="0.3">
      <c r="A117" s="17" t="s">
        <v>41</v>
      </c>
      <c r="B117" s="17" t="s">
        <v>606</v>
      </c>
      <c r="C117" s="18">
        <v>0.76041666666666663</v>
      </c>
      <c r="D117" s="17" t="s">
        <v>43</v>
      </c>
      <c r="E117" s="17" t="s">
        <v>239</v>
      </c>
      <c r="F117" s="17" t="s">
        <v>671</v>
      </c>
      <c r="G117" s="267"/>
      <c r="H117" s="10"/>
      <c r="I117" s="11"/>
      <c r="J117" s="11"/>
      <c r="K117" s="11"/>
      <c r="L117" s="11"/>
      <c r="M117" s="11"/>
      <c r="N117" s="11"/>
      <c r="O117" s="12"/>
      <c r="P117" s="11"/>
      <c r="Q117" s="13"/>
      <c r="R117" s="14"/>
    </row>
    <row r="118" spans="1:18" ht="15" customHeight="1" x14ac:dyDescent="0.3">
      <c r="A118" s="15" t="s">
        <v>41</v>
      </c>
      <c r="B118" s="15" t="s">
        <v>606</v>
      </c>
      <c r="C118" s="16">
        <v>0.76041666666666663</v>
      </c>
      <c r="D118" s="15" t="s">
        <v>45</v>
      </c>
      <c r="E118" s="15" t="s">
        <v>649</v>
      </c>
      <c r="F118" s="15" t="s">
        <v>33</v>
      </c>
      <c r="G118" s="267"/>
      <c r="H118" s="10"/>
      <c r="I118" s="11"/>
      <c r="J118" s="11"/>
      <c r="K118" s="11"/>
      <c r="L118" s="11"/>
      <c r="M118" s="11"/>
      <c r="N118" s="11"/>
      <c r="O118" s="12"/>
      <c r="P118" s="11"/>
      <c r="Q118" s="13"/>
      <c r="R118" s="14"/>
    </row>
    <row r="119" spans="1:18" ht="15" customHeight="1" x14ac:dyDescent="0.3">
      <c r="A119" s="15" t="s">
        <v>41</v>
      </c>
      <c r="B119" s="15" t="s">
        <v>606</v>
      </c>
      <c r="C119" s="16">
        <v>0.76041666666666663</v>
      </c>
      <c r="D119" s="15" t="s">
        <v>47</v>
      </c>
      <c r="E119" s="15" t="s">
        <v>649</v>
      </c>
      <c r="F119" s="15" t="s">
        <v>595</v>
      </c>
      <c r="G119" s="267"/>
      <c r="H119" s="10"/>
      <c r="I119" s="11"/>
      <c r="J119" s="11"/>
      <c r="K119" s="11"/>
      <c r="L119" s="11"/>
      <c r="M119" s="11"/>
      <c r="N119" s="11"/>
      <c r="O119" s="12"/>
      <c r="P119" s="11"/>
      <c r="Q119" s="13"/>
      <c r="R119" s="14"/>
    </row>
    <row r="120" spans="1:18" ht="15" customHeight="1" x14ac:dyDescent="0.3">
      <c r="A120" s="17" t="s">
        <v>41</v>
      </c>
      <c r="B120" s="17" t="s">
        <v>602</v>
      </c>
      <c r="C120" s="18">
        <v>0.5</v>
      </c>
      <c r="D120" s="17" t="s">
        <v>43</v>
      </c>
      <c r="E120" s="17" t="s">
        <v>37</v>
      </c>
      <c r="F120" s="17" t="s">
        <v>671</v>
      </c>
      <c r="G120" s="267"/>
      <c r="H120" s="10"/>
      <c r="I120" s="11"/>
      <c r="J120" s="11"/>
      <c r="K120" s="11"/>
      <c r="L120" s="11"/>
      <c r="M120" s="11"/>
      <c r="N120" s="11"/>
      <c r="O120" s="12"/>
      <c r="P120" s="11"/>
      <c r="Q120" s="13"/>
      <c r="R120" s="14"/>
    </row>
    <row r="121" spans="1:18" ht="15" customHeight="1" x14ac:dyDescent="0.3">
      <c r="A121" s="15" t="s">
        <v>41</v>
      </c>
      <c r="B121" s="15" t="s">
        <v>602</v>
      </c>
      <c r="C121" s="16">
        <v>0.5</v>
      </c>
      <c r="D121" s="15" t="s">
        <v>45</v>
      </c>
      <c r="E121" s="15" t="s">
        <v>32</v>
      </c>
      <c r="F121" s="15" t="s">
        <v>33</v>
      </c>
      <c r="G121" s="267"/>
      <c r="H121" s="10"/>
      <c r="I121" s="11"/>
      <c r="J121" s="11"/>
      <c r="K121" s="11"/>
      <c r="L121" s="11"/>
      <c r="M121" s="11"/>
      <c r="N121" s="11"/>
      <c r="O121" s="12"/>
      <c r="P121" s="11"/>
      <c r="Q121" s="13"/>
      <c r="R121" s="14"/>
    </row>
    <row r="122" spans="1:18" ht="15" customHeight="1" x14ac:dyDescent="0.3">
      <c r="A122" s="15" t="s">
        <v>41</v>
      </c>
      <c r="B122" s="15" t="s">
        <v>602</v>
      </c>
      <c r="C122" s="16">
        <v>0.5</v>
      </c>
      <c r="D122" s="15" t="s">
        <v>47</v>
      </c>
      <c r="E122" s="15" t="s">
        <v>32</v>
      </c>
      <c r="F122" s="15" t="s">
        <v>595</v>
      </c>
      <c r="G122" s="267"/>
      <c r="H122" s="10"/>
      <c r="I122" s="11"/>
      <c r="J122" s="11"/>
      <c r="K122" s="11"/>
      <c r="L122" s="11"/>
      <c r="M122" s="11"/>
      <c r="N122" s="11"/>
      <c r="O122" s="12"/>
      <c r="P122" s="11"/>
      <c r="Q122" s="13"/>
      <c r="R122" s="14"/>
    </row>
    <row r="123" spans="1:18" ht="15" customHeight="1" x14ac:dyDescent="0.3">
      <c r="A123" s="17" t="s">
        <v>41</v>
      </c>
      <c r="B123" s="17" t="s">
        <v>605</v>
      </c>
      <c r="C123" s="18">
        <v>0.44791666666666669</v>
      </c>
      <c r="D123" s="17" t="s">
        <v>43</v>
      </c>
      <c r="E123" s="17" t="s">
        <v>672</v>
      </c>
      <c r="F123" s="17" t="s">
        <v>671</v>
      </c>
      <c r="G123" s="267"/>
      <c r="H123" s="10"/>
      <c r="I123" s="11"/>
      <c r="J123" s="11"/>
      <c r="K123" s="11"/>
      <c r="L123" s="11"/>
      <c r="M123" s="11"/>
      <c r="N123" s="11"/>
      <c r="O123" s="12"/>
      <c r="P123" s="11"/>
      <c r="Q123" s="13"/>
      <c r="R123" s="14"/>
    </row>
    <row r="124" spans="1:18" ht="15" customHeight="1" x14ac:dyDescent="0.3">
      <c r="A124" s="15" t="s">
        <v>41</v>
      </c>
      <c r="B124" s="15" t="s">
        <v>605</v>
      </c>
      <c r="C124" s="16">
        <v>0.44791666666666669</v>
      </c>
      <c r="D124" s="15" t="s">
        <v>45</v>
      </c>
      <c r="E124" s="15" t="s">
        <v>673</v>
      </c>
      <c r="F124" s="15" t="s">
        <v>33</v>
      </c>
      <c r="G124" s="267"/>
      <c r="H124" s="10"/>
      <c r="I124" s="11"/>
      <c r="J124" s="11"/>
      <c r="K124" s="11"/>
      <c r="L124" s="11"/>
      <c r="M124" s="11"/>
      <c r="N124" s="11"/>
      <c r="O124" s="12"/>
      <c r="P124" s="11"/>
      <c r="Q124" s="13"/>
      <c r="R124" s="14"/>
    </row>
    <row r="125" spans="1:18" ht="15" customHeight="1" x14ac:dyDescent="0.3">
      <c r="A125" s="15" t="s">
        <v>41</v>
      </c>
      <c r="B125" s="15" t="s">
        <v>605</v>
      </c>
      <c r="C125" s="16">
        <v>0.44791666666666669</v>
      </c>
      <c r="D125" s="15" t="s">
        <v>47</v>
      </c>
      <c r="E125" s="15" t="s">
        <v>673</v>
      </c>
      <c r="F125" s="15" t="s">
        <v>604</v>
      </c>
      <c r="G125" s="267"/>
      <c r="H125" s="10"/>
      <c r="I125" s="11"/>
      <c r="J125" s="11"/>
      <c r="K125" s="11"/>
      <c r="L125" s="11"/>
      <c r="M125" s="11"/>
      <c r="N125" s="11"/>
      <c r="O125" s="12"/>
      <c r="P125" s="11"/>
      <c r="Q125" s="13"/>
      <c r="R125" s="14"/>
    </row>
    <row r="126" spans="1:18" ht="15" customHeight="1" x14ac:dyDescent="0.3">
      <c r="A126" s="19" t="s">
        <v>285</v>
      </c>
      <c r="B126" s="19" t="s">
        <v>674</v>
      </c>
      <c r="C126" s="20">
        <v>0.66319444444444442</v>
      </c>
      <c r="D126" s="19" t="s">
        <v>279</v>
      </c>
      <c r="E126" s="19" t="s">
        <v>52</v>
      </c>
      <c r="F126" s="19" t="s">
        <v>675</v>
      </c>
      <c r="G126" s="267"/>
      <c r="H126" s="10"/>
      <c r="I126" s="11"/>
      <c r="J126" s="11"/>
      <c r="K126" s="11"/>
      <c r="L126" s="11"/>
      <c r="M126" s="11"/>
      <c r="N126" s="11"/>
      <c r="O126" s="12"/>
      <c r="P126" s="11"/>
      <c r="Q126" s="13"/>
      <c r="R126" s="14"/>
    </row>
    <row r="127" spans="1:18" ht="15" customHeight="1" x14ac:dyDescent="0.3">
      <c r="A127" s="19" t="s">
        <v>26</v>
      </c>
      <c r="B127" s="19" t="s">
        <v>587</v>
      </c>
      <c r="C127" s="20">
        <v>0.5</v>
      </c>
      <c r="D127" s="19" t="s">
        <v>28</v>
      </c>
      <c r="E127" s="19" t="s">
        <v>499</v>
      </c>
      <c r="F127" s="19" t="s">
        <v>676</v>
      </c>
      <c r="G127" s="267"/>
      <c r="H127" s="10"/>
      <c r="I127" s="11"/>
      <c r="J127" s="11"/>
      <c r="K127" s="11"/>
      <c r="L127" s="11"/>
      <c r="M127" s="11"/>
      <c r="N127" s="11"/>
      <c r="O127" s="12"/>
      <c r="P127" s="11"/>
      <c r="Q127" s="13"/>
      <c r="R127" s="14"/>
    </row>
    <row r="128" spans="1:18" ht="15" customHeight="1" x14ac:dyDescent="0.3">
      <c r="A128" s="15" t="s">
        <v>26</v>
      </c>
      <c r="B128" s="15" t="s">
        <v>587</v>
      </c>
      <c r="C128" s="16">
        <v>0.5</v>
      </c>
      <c r="D128" s="15" t="s">
        <v>31</v>
      </c>
      <c r="E128" s="15" t="s">
        <v>588</v>
      </c>
      <c r="F128" s="15" t="s">
        <v>677</v>
      </c>
      <c r="G128" s="267"/>
      <c r="H128" s="10"/>
      <c r="I128" s="11"/>
      <c r="J128" s="11"/>
      <c r="K128" s="11"/>
      <c r="L128" s="11"/>
      <c r="M128" s="11"/>
      <c r="N128" s="11"/>
      <c r="O128" s="12"/>
      <c r="P128" s="11"/>
      <c r="Q128" s="13"/>
      <c r="R128" s="14"/>
    </row>
    <row r="129" spans="1:18" ht="15" customHeight="1" x14ac:dyDescent="0.3">
      <c r="A129" s="15" t="s">
        <v>26</v>
      </c>
      <c r="B129" s="15" t="s">
        <v>587</v>
      </c>
      <c r="C129" s="16">
        <v>0.5</v>
      </c>
      <c r="D129" s="15" t="s">
        <v>34</v>
      </c>
      <c r="E129" s="15" t="s">
        <v>588</v>
      </c>
      <c r="F129" s="15" t="s">
        <v>678</v>
      </c>
      <c r="G129" s="267"/>
      <c r="H129" s="10"/>
      <c r="I129" s="11"/>
      <c r="J129" s="11"/>
      <c r="K129" s="11"/>
      <c r="L129" s="11"/>
      <c r="M129" s="11"/>
      <c r="N129" s="11"/>
      <c r="O129" s="12"/>
      <c r="P129" s="11"/>
      <c r="Q129" s="13"/>
      <c r="R129" s="14"/>
    </row>
    <row r="130" spans="1:18" ht="15" customHeight="1" x14ac:dyDescent="0.3">
      <c r="A130" s="17" t="s">
        <v>26</v>
      </c>
      <c r="B130" s="17" t="s">
        <v>590</v>
      </c>
      <c r="C130" s="18">
        <v>0.56597222222222221</v>
      </c>
      <c r="D130" s="17" t="s">
        <v>28</v>
      </c>
      <c r="E130" s="17" t="s">
        <v>37</v>
      </c>
      <c r="F130" s="17" t="s">
        <v>676</v>
      </c>
      <c r="G130" s="267"/>
      <c r="H130" s="10"/>
      <c r="I130" s="11"/>
      <c r="J130" s="11"/>
      <c r="K130" s="11"/>
      <c r="L130" s="11"/>
      <c r="M130" s="11"/>
      <c r="N130" s="11"/>
      <c r="O130" s="12"/>
      <c r="P130" s="11"/>
      <c r="Q130" s="13"/>
      <c r="R130" s="14"/>
    </row>
    <row r="131" spans="1:18" ht="15" customHeight="1" x14ac:dyDescent="0.3">
      <c r="A131" s="15" t="s">
        <v>26</v>
      </c>
      <c r="B131" s="15" t="s">
        <v>590</v>
      </c>
      <c r="C131" s="16">
        <v>0.56597222222222221</v>
      </c>
      <c r="D131" s="15" t="s">
        <v>31</v>
      </c>
      <c r="E131" s="15" t="s">
        <v>32</v>
      </c>
      <c r="F131" s="15" t="s">
        <v>677</v>
      </c>
      <c r="G131" s="267"/>
      <c r="H131" s="10"/>
      <c r="I131" s="11"/>
      <c r="J131" s="11"/>
      <c r="K131" s="11"/>
      <c r="L131" s="11"/>
      <c r="M131" s="11"/>
      <c r="N131" s="11"/>
      <c r="O131" s="12"/>
      <c r="P131" s="11"/>
      <c r="Q131" s="13"/>
      <c r="R131" s="14"/>
    </row>
    <row r="132" spans="1:18" ht="15" customHeight="1" x14ac:dyDescent="0.3">
      <c r="A132" s="15" t="s">
        <v>26</v>
      </c>
      <c r="B132" s="15" t="s">
        <v>590</v>
      </c>
      <c r="C132" s="16">
        <v>0.56597222222222221</v>
      </c>
      <c r="D132" s="15" t="s">
        <v>34</v>
      </c>
      <c r="E132" s="15" t="s">
        <v>32</v>
      </c>
      <c r="F132" s="15" t="s">
        <v>678</v>
      </c>
      <c r="G132" s="267"/>
      <c r="H132" s="10"/>
      <c r="I132" s="11"/>
      <c r="J132" s="11"/>
      <c r="K132" s="11"/>
      <c r="L132" s="11"/>
      <c r="M132" s="11"/>
      <c r="N132" s="11"/>
      <c r="O132" s="12"/>
      <c r="P132" s="11"/>
      <c r="Q132" s="13"/>
      <c r="R132" s="14"/>
    </row>
    <row r="133" spans="1:18" ht="15" customHeight="1" x14ac:dyDescent="0.3">
      <c r="A133" s="17" t="s">
        <v>26</v>
      </c>
      <c r="B133" s="17" t="s">
        <v>584</v>
      </c>
      <c r="C133" s="18">
        <v>0.30555555555555552</v>
      </c>
      <c r="D133" s="17" t="s">
        <v>28</v>
      </c>
      <c r="E133" s="17" t="s">
        <v>229</v>
      </c>
      <c r="F133" s="17" t="s">
        <v>676</v>
      </c>
      <c r="G133" s="267"/>
      <c r="H133" s="10"/>
      <c r="I133" s="11"/>
      <c r="J133" s="11"/>
      <c r="K133" s="11"/>
      <c r="L133" s="11"/>
      <c r="M133" s="11"/>
      <c r="N133" s="11"/>
      <c r="O133" s="12"/>
      <c r="P133" s="11"/>
      <c r="Q133" s="13"/>
      <c r="R133" s="14"/>
    </row>
    <row r="134" spans="1:18" ht="15" customHeight="1" x14ac:dyDescent="0.3">
      <c r="A134" s="15" t="s">
        <v>26</v>
      </c>
      <c r="B134" s="15" t="s">
        <v>584</v>
      </c>
      <c r="C134" s="16">
        <v>0.30555555555555552</v>
      </c>
      <c r="D134" s="15" t="s">
        <v>31</v>
      </c>
      <c r="E134" s="15" t="s">
        <v>644</v>
      </c>
      <c r="F134" s="15" t="s">
        <v>677</v>
      </c>
      <c r="G134" s="267"/>
      <c r="H134" s="10"/>
      <c r="I134" s="11"/>
      <c r="J134" s="11"/>
      <c r="K134" s="11"/>
      <c r="L134" s="11"/>
      <c r="M134" s="11"/>
      <c r="N134" s="11"/>
      <c r="O134" s="12"/>
      <c r="P134" s="11"/>
      <c r="Q134" s="13"/>
      <c r="R134" s="14"/>
    </row>
    <row r="135" spans="1:18" ht="15" customHeight="1" x14ac:dyDescent="0.3">
      <c r="A135" s="15" t="s">
        <v>26</v>
      </c>
      <c r="B135" s="15" t="s">
        <v>584</v>
      </c>
      <c r="C135" s="16">
        <v>0.30555555555555552</v>
      </c>
      <c r="D135" s="15" t="s">
        <v>34</v>
      </c>
      <c r="E135" s="15" t="s">
        <v>644</v>
      </c>
      <c r="F135" s="15" t="s">
        <v>678</v>
      </c>
      <c r="G135" s="267"/>
      <c r="H135" s="10"/>
      <c r="I135" s="11"/>
      <c r="J135" s="11"/>
      <c r="K135" s="11"/>
      <c r="L135" s="11"/>
      <c r="M135" s="11"/>
      <c r="N135" s="11"/>
      <c r="O135" s="12"/>
      <c r="P135" s="11"/>
      <c r="Q135" s="13"/>
      <c r="R135" s="14"/>
    </row>
    <row r="136" spans="1:18" ht="15" customHeight="1" x14ac:dyDescent="0.3">
      <c r="A136" s="17" t="s">
        <v>26</v>
      </c>
      <c r="B136" s="17" t="s">
        <v>586</v>
      </c>
      <c r="C136" s="18">
        <v>0.42708333333333331</v>
      </c>
      <c r="D136" s="17" t="s">
        <v>28</v>
      </c>
      <c r="E136" s="17" t="s">
        <v>37</v>
      </c>
      <c r="F136" s="17" t="s">
        <v>676</v>
      </c>
      <c r="G136" s="267"/>
      <c r="H136" s="10"/>
      <c r="I136" s="11"/>
      <c r="J136" s="11"/>
      <c r="K136" s="11"/>
      <c r="L136" s="11"/>
      <c r="M136" s="11"/>
      <c r="N136" s="11"/>
      <c r="O136" s="12"/>
      <c r="P136" s="11"/>
      <c r="Q136" s="13"/>
      <c r="R136" s="14"/>
    </row>
    <row r="137" spans="1:18" ht="15" customHeight="1" x14ac:dyDescent="0.3">
      <c r="A137" s="15" t="s">
        <v>26</v>
      </c>
      <c r="B137" s="15" t="s">
        <v>586</v>
      </c>
      <c r="C137" s="16">
        <v>0.42708333333333331</v>
      </c>
      <c r="D137" s="15" t="s">
        <v>31</v>
      </c>
      <c r="E137" s="15" t="s">
        <v>32</v>
      </c>
      <c r="F137" s="15" t="s">
        <v>677</v>
      </c>
      <c r="G137" s="267"/>
      <c r="H137" s="10"/>
      <c r="I137" s="11"/>
      <c r="J137" s="11"/>
      <c r="K137" s="11"/>
      <c r="L137" s="11"/>
      <c r="M137" s="11"/>
      <c r="N137" s="11"/>
      <c r="O137" s="12"/>
      <c r="P137" s="11"/>
      <c r="Q137" s="13"/>
      <c r="R137" s="14"/>
    </row>
    <row r="138" spans="1:18" ht="15" customHeight="1" x14ac:dyDescent="0.3">
      <c r="A138" s="15" t="s">
        <v>26</v>
      </c>
      <c r="B138" s="15" t="s">
        <v>586</v>
      </c>
      <c r="C138" s="16">
        <v>0.42708333333333331</v>
      </c>
      <c r="D138" s="15" t="s">
        <v>34</v>
      </c>
      <c r="E138" s="15" t="s">
        <v>32</v>
      </c>
      <c r="F138" s="15" t="s">
        <v>678</v>
      </c>
      <c r="G138" s="267"/>
      <c r="H138" s="10"/>
      <c r="I138" s="11"/>
      <c r="J138" s="11"/>
      <c r="K138" s="11"/>
      <c r="L138" s="11"/>
      <c r="M138" s="11"/>
      <c r="N138" s="11"/>
      <c r="O138" s="12"/>
      <c r="P138" s="11"/>
      <c r="Q138" s="13"/>
      <c r="R138" s="14"/>
    </row>
    <row r="139" spans="1:18" ht="15" customHeight="1" x14ac:dyDescent="0.3">
      <c r="A139" s="17" t="s">
        <v>26</v>
      </c>
      <c r="B139" s="17" t="s">
        <v>598</v>
      </c>
      <c r="C139" s="18">
        <v>0.82638888888888884</v>
      </c>
      <c r="D139" s="17" t="s">
        <v>28</v>
      </c>
      <c r="E139" s="17" t="s">
        <v>37</v>
      </c>
      <c r="F139" s="17" t="s">
        <v>222</v>
      </c>
      <c r="G139" s="267"/>
      <c r="H139" s="10"/>
      <c r="I139" s="11"/>
      <c r="J139" s="11"/>
      <c r="K139" s="11"/>
      <c r="L139" s="11"/>
      <c r="M139" s="11"/>
      <c r="N139" s="11"/>
      <c r="O139" s="12"/>
      <c r="P139" s="11"/>
      <c r="Q139" s="13"/>
      <c r="R139" s="14"/>
    </row>
    <row r="140" spans="1:18" ht="15" customHeight="1" x14ac:dyDescent="0.3">
      <c r="A140" s="15" t="s">
        <v>26</v>
      </c>
      <c r="B140" s="15" t="s">
        <v>598</v>
      </c>
      <c r="C140" s="16">
        <v>0.82638888888888884</v>
      </c>
      <c r="D140" s="15" t="s">
        <v>31</v>
      </c>
      <c r="E140" s="15" t="s">
        <v>32</v>
      </c>
      <c r="F140" s="15" t="s">
        <v>237</v>
      </c>
      <c r="G140" s="267"/>
      <c r="H140" s="10"/>
      <c r="I140" s="11"/>
      <c r="J140" s="11"/>
      <c r="K140" s="11"/>
      <c r="L140" s="11"/>
      <c r="M140" s="11"/>
      <c r="N140" s="11"/>
      <c r="O140" s="12"/>
      <c r="P140" s="11"/>
      <c r="Q140" s="13"/>
      <c r="R140" s="14"/>
    </row>
    <row r="141" spans="1:18" ht="15" customHeight="1" x14ac:dyDescent="0.3">
      <c r="A141" s="15" t="s">
        <v>26</v>
      </c>
      <c r="B141" s="15" t="s">
        <v>598</v>
      </c>
      <c r="C141" s="16">
        <v>0.82638888888888884</v>
      </c>
      <c r="D141" s="15" t="s">
        <v>34</v>
      </c>
      <c r="E141" s="15" t="s">
        <v>32</v>
      </c>
      <c r="F141" s="15" t="s">
        <v>679</v>
      </c>
      <c r="G141" s="267"/>
      <c r="H141" s="10"/>
      <c r="I141" s="11"/>
      <c r="J141" s="11"/>
      <c r="K141" s="11"/>
      <c r="L141" s="11"/>
      <c r="M141" s="11"/>
      <c r="N141" s="11"/>
      <c r="O141" s="12"/>
      <c r="P141" s="11"/>
      <c r="Q141" s="13"/>
      <c r="R141" s="14"/>
    </row>
    <row r="142" spans="1:18" ht="15" customHeight="1" x14ac:dyDescent="0.3">
      <c r="A142" s="17" t="s">
        <v>26</v>
      </c>
      <c r="B142" s="17" t="s">
        <v>583</v>
      </c>
      <c r="C142" s="18">
        <v>0.375</v>
      </c>
      <c r="D142" s="17" t="s">
        <v>28</v>
      </c>
      <c r="E142" s="17" t="s">
        <v>58</v>
      </c>
      <c r="F142" s="17" t="s">
        <v>222</v>
      </c>
      <c r="G142" s="267"/>
      <c r="H142" s="10"/>
      <c r="I142" s="11"/>
      <c r="J142" s="11"/>
      <c r="K142" s="11"/>
      <c r="L142" s="11"/>
      <c r="M142" s="11"/>
      <c r="N142" s="11"/>
      <c r="O142" s="12"/>
      <c r="P142" s="11"/>
      <c r="Q142" s="13"/>
      <c r="R142" s="14"/>
    </row>
    <row r="143" spans="1:18" ht="15" customHeight="1" x14ac:dyDescent="0.3">
      <c r="A143" s="15" t="s">
        <v>26</v>
      </c>
      <c r="B143" s="15" t="s">
        <v>583</v>
      </c>
      <c r="C143" s="16">
        <v>0.375</v>
      </c>
      <c r="D143" s="15" t="s">
        <v>31</v>
      </c>
      <c r="E143" s="15" t="s">
        <v>95</v>
      </c>
      <c r="F143" s="15" t="s">
        <v>237</v>
      </c>
      <c r="G143" s="267"/>
      <c r="H143" s="10"/>
      <c r="I143" s="11"/>
      <c r="J143" s="11"/>
      <c r="K143" s="11"/>
      <c r="L143" s="11"/>
      <c r="M143" s="11"/>
      <c r="N143" s="11"/>
      <c r="O143" s="12"/>
      <c r="P143" s="11"/>
      <c r="Q143" s="13"/>
      <c r="R143" s="14"/>
    </row>
    <row r="144" spans="1:18" ht="15" customHeight="1" x14ac:dyDescent="0.3">
      <c r="A144" s="15" t="s">
        <v>26</v>
      </c>
      <c r="B144" s="15" t="s">
        <v>583</v>
      </c>
      <c r="C144" s="16">
        <v>0.375</v>
      </c>
      <c r="D144" s="15" t="s">
        <v>34</v>
      </c>
      <c r="E144" s="15" t="s">
        <v>95</v>
      </c>
      <c r="F144" s="15" t="s">
        <v>679</v>
      </c>
      <c r="G144" s="267"/>
      <c r="H144" s="10"/>
      <c r="I144" s="11"/>
      <c r="J144" s="11"/>
      <c r="K144" s="11"/>
      <c r="L144" s="11"/>
      <c r="M144" s="11"/>
      <c r="N144" s="11"/>
      <c r="O144" s="12"/>
      <c r="P144" s="11"/>
      <c r="Q144" s="13"/>
      <c r="R144" s="14"/>
    </row>
    <row r="145" spans="1:18" ht="15" customHeight="1" x14ac:dyDescent="0.3">
      <c r="A145" s="17" t="s">
        <v>26</v>
      </c>
      <c r="B145" s="17" t="s">
        <v>594</v>
      </c>
      <c r="C145" s="18">
        <v>0.6875</v>
      </c>
      <c r="D145" s="17" t="s">
        <v>28</v>
      </c>
      <c r="E145" s="17" t="s">
        <v>37</v>
      </c>
      <c r="F145" s="17" t="s">
        <v>222</v>
      </c>
      <c r="G145" s="267"/>
      <c r="H145" s="10"/>
      <c r="I145" s="11"/>
      <c r="J145" s="11"/>
      <c r="K145" s="11"/>
      <c r="L145" s="11"/>
      <c r="M145" s="11"/>
      <c r="N145" s="11"/>
      <c r="O145" s="12"/>
      <c r="P145" s="11"/>
      <c r="Q145" s="13"/>
      <c r="R145" s="14"/>
    </row>
    <row r="146" spans="1:18" ht="15" customHeight="1" x14ac:dyDescent="0.3">
      <c r="A146" s="15" t="s">
        <v>26</v>
      </c>
      <c r="B146" s="15" t="s">
        <v>594</v>
      </c>
      <c r="C146" s="16">
        <v>0.6875</v>
      </c>
      <c r="D146" s="15" t="s">
        <v>31</v>
      </c>
      <c r="E146" s="15" t="s">
        <v>32</v>
      </c>
      <c r="F146" s="15" t="s">
        <v>237</v>
      </c>
      <c r="G146" s="267"/>
      <c r="H146" s="10"/>
      <c r="I146" s="11"/>
      <c r="J146" s="11"/>
      <c r="K146" s="11"/>
      <c r="L146" s="11"/>
      <c r="M146" s="11"/>
      <c r="N146" s="11"/>
      <c r="O146" s="12"/>
      <c r="P146" s="11"/>
      <c r="Q146" s="13"/>
      <c r="R146" s="14"/>
    </row>
    <row r="147" spans="1:18" ht="15" customHeight="1" x14ac:dyDescent="0.3">
      <c r="A147" s="15" t="s">
        <v>26</v>
      </c>
      <c r="B147" s="15" t="s">
        <v>594</v>
      </c>
      <c r="C147" s="16">
        <v>0.6875</v>
      </c>
      <c r="D147" s="15" t="s">
        <v>34</v>
      </c>
      <c r="E147" s="15" t="s">
        <v>32</v>
      </c>
      <c r="F147" s="15" t="s">
        <v>679</v>
      </c>
      <c r="G147" s="267"/>
      <c r="H147" s="10"/>
      <c r="I147" s="11"/>
      <c r="J147" s="11"/>
      <c r="K147" s="11"/>
      <c r="L147" s="11"/>
      <c r="M147" s="11"/>
      <c r="N147" s="11"/>
      <c r="O147" s="12"/>
      <c r="P147" s="11"/>
      <c r="Q147" s="13"/>
      <c r="R147" s="14"/>
    </row>
    <row r="148" spans="1:18" ht="15" customHeight="1" x14ac:dyDescent="0.3">
      <c r="A148" s="193" t="s">
        <v>78</v>
      </c>
      <c r="B148" s="193" t="s">
        <v>620</v>
      </c>
      <c r="C148" s="194">
        <v>0.61111111111111105</v>
      </c>
      <c r="D148" s="193" t="s">
        <v>178</v>
      </c>
      <c r="E148" s="193" t="s">
        <v>52</v>
      </c>
      <c r="F148" s="193" t="s">
        <v>655</v>
      </c>
      <c r="G148" s="267"/>
      <c r="H148" s="140" t="s">
        <v>622</v>
      </c>
      <c r="I148" s="141">
        <v>0.57140000000000002</v>
      </c>
      <c r="J148" s="142">
        <v>96</v>
      </c>
      <c r="K148" s="143">
        <v>45980</v>
      </c>
      <c r="L148" s="142">
        <v>10</v>
      </c>
      <c r="M148" s="142">
        <v>1</v>
      </c>
      <c r="N148" s="142">
        <v>1</v>
      </c>
      <c r="O148" s="144" t="s">
        <v>143</v>
      </c>
      <c r="P148" s="145">
        <v>0.61111111111111105</v>
      </c>
      <c r="Q148" s="142">
        <v>168</v>
      </c>
      <c r="R148" s="146" t="s">
        <v>680</v>
      </c>
    </row>
    <row r="149" spans="1:18" ht="15" customHeight="1" x14ac:dyDescent="0.3">
      <c r="A149" s="19" t="s">
        <v>277</v>
      </c>
      <c r="B149" s="19" t="s">
        <v>617</v>
      </c>
      <c r="C149" s="20">
        <v>0.27430555555555552</v>
      </c>
      <c r="D149" s="19" t="s">
        <v>279</v>
      </c>
      <c r="E149" s="19" t="s">
        <v>221</v>
      </c>
      <c r="F149" s="19" t="s">
        <v>281</v>
      </c>
      <c r="G149" s="267"/>
      <c r="H149" s="10"/>
      <c r="I149" s="11"/>
      <c r="J149" s="11"/>
      <c r="K149" s="11"/>
      <c r="L149" s="11"/>
      <c r="M149" s="11"/>
      <c r="N149" s="11"/>
      <c r="O149" s="12"/>
      <c r="P149" s="11"/>
      <c r="Q149" s="13"/>
      <c r="R149" s="14"/>
    </row>
    <row r="150" spans="1:18" ht="15" customHeight="1" x14ac:dyDescent="0.3">
      <c r="A150" s="19" t="s">
        <v>49</v>
      </c>
      <c r="B150" s="19" t="s">
        <v>628</v>
      </c>
      <c r="C150" s="20">
        <v>0.16666666666666671</v>
      </c>
      <c r="D150" s="19" t="s">
        <v>51</v>
      </c>
      <c r="E150" s="19" t="s">
        <v>52</v>
      </c>
      <c r="F150" s="19" t="s">
        <v>681</v>
      </c>
      <c r="G150" s="267"/>
      <c r="H150" s="10"/>
      <c r="I150" s="11"/>
      <c r="J150" s="11"/>
      <c r="K150" s="11"/>
      <c r="L150" s="11"/>
      <c r="M150" s="11"/>
      <c r="N150" s="11"/>
      <c r="O150" s="12"/>
      <c r="P150" s="11"/>
      <c r="Q150" s="13"/>
      <c r="R150" s="14"/>
    </row>
    <row r="151" spans="1:18" ht="15" customHeight="1" x14ac:dyDescent="0.3">
      <c r="A151" s="17" t="s">
        <v>49</v>
      </c>
      <c r="B151" s="17" t="s">
        <v>630</v>
      </c>
      <c r="C151" s="18">
        <v>0.54166666666666663</v>
      </c>
      <c r="D151" s="17" t="s">
        <v>51</v>
      </c>
      <c r="E151" s="17" t="s">
        <v>55</v>
      </c>
      <c r="F151" s="17" t="s">
        <v>661</v>
      </c>
      <c r="G151" s="267"/>
      <c r="H151" s="10"/>
      <c r="I151" s="11"/>
      <c r="J151" s="11"/>
      <c r="K151" s="11"/>
      <c r="L151" s="11"/>
      <c r="M151" s="11"/>
      <c r="N151" s="11"/>
      <c r="O151" s="12"/>
      <c r="P151" s="11"/>
      <c r="Q151" s="13"/>
      <c r="R151" s="14"/>
    </row>
    <row r="152" spans="1:18" ht="15" customHeight="1" x14ac:dyDescent="0.3">
      <c r="A152" s="17" t="s">
        <v>49</v>
      </c>
      <c r="B152" s="17" t="s">
        <v>632</v>
      </c>
      <c r="C152" s="18">
        <v>0.92013888888888884</v>
      </c>
      <c r="D152" s="17" t="s">
        <v>51</v>
      </c>
      <c r="E152" s="17" t="s">
        <v>55</v>
      </c>
      <c r="F152" s="17" t="s">
        <v>661</v>
      </c>
      <c r="G152" s="267"/>
      <c r="H152" s="10"/>
      <c r="I152" s="11"/>
      <c r="J152" s="11"/>
      <c r="K152" s="11"/>
      <c r="L152" s="11"/>
      <c r="M152" s="11"/>
      <c r="N152" s="11"/>
      <c r="O152" s="12"/>
      <c r="P152" s="11"/>
      <c r="Q152" s="13"/>
      <c r="R152" s="14"/>
    </row>
    <row r="153" spans="1:18" ht="15" customHeight="1" x14ac:dyDescent="0.3">
      <c r="A153" s="19" t="s">
        <v>62</v>
      </c>
      <c r="B153" s="19" t="s">
        <v>640</v>
      </c>
      <c r="C153" s="20">
        <v>0.5</v>
      </c>
      <c r="D153" s="19" t="s">
        <v>66</v>
      </c>
      <c r="E153" s="19" t="s">
        <v>90</v>
      </c>
      <c r="F153" s="19" t="s">
        <v>682</v>
      </c>
      <c r="G153" s="267"/>
      <c r="H153" s="10"/>
      <c r="I153" s="11"/>
      <c r="J153" s="11"/>
      <c r="K153" s="11"/>
      <c r="L153" s="11"/>
      <c r="M153" s="11"/>
      <c r="N153" s="11"/>
      <c r="O153" s="12"/>
      <c r="P153" s="11"/>
      <c r="Q153" s="13"/>
      <c r="R153" s="14"/>
    </row>
    <row r="154" spans="1:18" ht="15" customHeight="1" x14ac:dyDescent="0.3">
      <c r="A154" s="17" t="s">
        <v>62</v>
      </c>
      <c r="B154" s="17" t="s">
        <v>666</v>
      </c>
      <c r="C154" s="18">
        <v>0.76041666666666663</v>
      </c>
      <c r="D154" s="17" t="s">
        <v>66</v>
      </c>
      <c r="E154" s="17" t="s">
        <v>71</v>
      </c>
      <c r="F154" s="17" t="s">
        <v>682</v>
      </c>
      <c r="G154" s="267"/>
      <c r="H154" s="10"/>
      <c r="I154" s="11"/>
      <c r="J154" s="11"/>
      <c r="K154" s="11"/>
      <c r="L154" s="11"/>
      <c r="M154" s="11"/>
      <c r="N154" s="11"/>
      <c r="O154" s="12"/>
      <c r="P154" s="11"/>
      <c r="Q154" s="13"/>
      <c r="R154" s="14"/>
    </row>
    <row r="155" spans="1:18" ht="15" customHeight="1" x14ac:dyDescent="0.3">
      <c r="A155" s="17" t="s">
        <v>62</v>
      </c>
      <c r="B155" s="17" t="s">
        <v>667</v>
      </c>
      <c r="C155" s="18">
        <v>0.81597222222222221</v>
      </c>
      <c r="D155" s="17" t="s">
        <v>66</v>
      </c>
      <c r="E155" s="17" t="s">
        <v>71</v>
      </c>
      <c r="F155" s="17" t="s">
        <v>682</v>
      </c>
      <c r="G155" s="267"/>
      <c r="H155" s="10"/>
      <c r="I155" s="11"/>
      <c r="J155" s="11"/>
      <c r="K155" s="11"/>
      <c r="L155" s="11"/>
      <c r="M155" s="11"/>
      <c r="N155" s="11"/>
      <c r="O155" s="12"/>
      <c r="P155" s="11"/>
      <c r="Q155" s="13"/>
      <c r="R155" s="14"/>
    </row>
    <row r="156" spans="1:18" ht="15" customHeight="1" x14ac:dyDescent="0.3">
      <c r="A156" s="17" t="s">
        <v>62</v>
      </c>
      <c r="B156" s="17" t="s">
        <v>664</v>
      </c>
      <c r="C156" s="18">
        <v>0.83680555555555547</v>
      </c>
      <c r="D156" s="17" t="s">
        <v>64</v>
      </c>
      <c r="E156" s="17" t="s">
        <v>55</v>
      </c>
      <c r="F156" s="17" t="s">
        <v>61</v>
      </c>
      <c r="G156" s="267"/>
      <c r="H156" s="10"/>
      <c r="I156" s="11"/>
      <c r="J156" s="11"/>
      <c r="K156" s="11"/>
      <c r="L156" s="11"/>
      <c r="M156" s="11"/>
      <c r="N156" s="11"/>
      <c r="O156" s="12"/>
      <c r="P156" s="11"/>
      <c r="Q156" s="13"/>
      <c r="R156" s="14"/>
    </row>
    <row r="157" spans="1:18" ht="15" customHeight="1" x14ac:dyDescent="0.3">
      <c r="A157" s="15" t="s">
        <v>62</v>
      </c>
      <c r="B157" s="15" t="s">
        <v>664</v>
      </c>
      <c r="C157" s="16">
        <v>0.83680555555555547</v>
      </c>
      <c r="D157" s="15" t="s">
        <v>66</v>
      </c>
      <c r="E157" s="15" t="s">
        <v>67</v>
      </c>
      <c r="F157" s="15" t="s">
        <v>665</v>
      </c>
      <c r="G157" s="267"/>
      <c r="H157" s="10"/>
      <c r="I157" s="11"/>
      <c r="J157" s="11"/>
      <c r="K157" s="11"/>
      <c r="L157" s="11"/>
      <c r="M157" s="11"/>
      <c r="N157" s="11"/>
      <c r="O157" s="12"/>
      <c r="P157" s="11"/>
      <c r="Q157" s="13"/>
      <c r="R157" s="14"/>
    </row>
    <row r="158" spans="1:18" ht="15" customHeight="1" x14ac:dyDescent="0.3">
      <c r="A158" s="17" t="s">
        <v>62</v>
      </c>
      <c r="B158" s="17" t="s">
        <v>642</v>
      </c>
      <c r="C158" s="18">
        <v>0.68402777777777779</v>
      </c>
      <c r="D158" s="17" t="s">
        <v>64</v>
      </c>
      <c r="E158" s="17" t="s">
        <v>55</v>
      </c>
      <c r="F158" s="17" t="s">
        <v>61</v>
      </c>
      <c r="G158" s="267"/>
      <c r="H158" s="10"/>
      <c r="I158" s="11"/>
      <c r="J158" s="11"/>
      <c r="K158" s="11"/>
      <c r="L158" s="11"/>
      <c r="M158" s="11"/>
      <c r="N158" s="11"/>
      <c r="O158" s="12"/>
      <c r="P158" s="11"/>
      <c r="Q158" s="13"/>
      <c r="R158" s="14"/>
    </row>
    <row r="159" spans="1:18" ht="15" customHeight="1" x14ac:dyDescent="0.3">
      <c r="A159" s="15" t="s">
        <v>62</v>
      </c>
      <c r="B159" s="15" t="s">
        <v>642</v>
      </c>
      <c r="C159" s="16">
        <v>0.68402777777777779</v>
      </c>
      <c r="D159" s="15" t="s">
        <v>66</v>
      </c>
      <c r="E159" s="15" t="s">
        <v>67</v>
      </c>
      <c r="F159" s="15" t="s">
        <v>665</v>
      </c>
      <c r="G159" s="267"/>
      <c r="H159" s="10"/>
      <c r="I159" s="11"/>
      <c r="J159" s="11"/>
      <c r="K159" s="11"/>
      <c r="L159" s="11"/>
      <c r="M159" s="11"/>
      <c r="N159" s="11"/>
      <c r="O159" s="12"/>
      <c r="P159" s="11"/>
      <c r="Q159" s="13"/>
      <c r="R159" s="14"/>
    </row>
    <row r="160" spans="1:18" ht="15" customHeight="1" x14ac:dyDescent="0.3">
      <c r="A160" s="17" t="s">
        <v>62</v>
      </c>
      <c r="B160" s="17" t="s">
        <v>634</v>
      </c>
      <c r="C160" s="18">
        <v>0.2986111111111111</v>
      </c>
      <c r="D160" s="17" t="s">
        <v>64</v>
      </c>
      <c r="E160" s="17" t="s">
        <v>55</v>
      </c>
      <c r="F160" s="17" t="s">
        <v>61</v>
      </c>
      <c r="G160" s="267"/>
      <c r="H160" s="10"/>
      <c r="I160" s="11"/>
      <c r="J160" s="11"/>
      <c r="K160" s="11"/>
      <c r="L160" s="11"/>
      <c r="M160" s="11"/>
      <c r="N160" s="11"/>
      <c r="O160" s="12"/>
      <c r="P160" s="11"/>
      <c r="Q160" s="13"/>
      <c r="R160" s="14"/>
    </row>
    <row r="161" spans="1:18" ht="15" customHeight="1" x14ac:dyDescent="0.3">
      <c r="A161" s="15" t="s">
        <v>62</v>
      </c>
      <c r="B161" s="15" t="s">
        <v>634</v>
      </c>
      <c r="C161" s="16">
        <v>0.2986111111111111</v>
      </c>
      <c r="D161" s="15" t="s">
        <v>66</v>
      </c>
      <c r="E161" s="15" t="s">
        <v>67</v>
      </c>
      <c r="F161" s="15" t="s">
        <v>665</v>
      </c>
      <c r="G161" s="267"/>
      <c r="H161" s="10"/>
      <c r="I161" s="11"/>
      <c r="J161" s="11"/>
      <c r="K161" s="11"/>
      <c r="L161" s="11"/>
      <c r="M161" s="11"/>
      <c r="N161" s="11"/>
      <c r="O161" s="12"/>
      <c r="P161" s="11"/>
      <c r="Q161" s="13"/>
      <c r="R161" s="14"/>
    </row>
    <row r="162" spans="1:18" ht="15" customHeight="1" x14ac:dyDescent="0.3">
      <c r="A162" s="17" t="s">
        <v>62</v>
      </c>
      <c r="B162" s="17" t="s">
        <v>637</v>
      </c>
      <c r="C162" s="18">
        <v>0.4826388888888889</v>
      </c>
      <c r="D162" s="17" t="s">
        <v>64</v>
      </c>
      <c r="E162" s="17" t="s">
        <v>55</v>
      </c>
      <c r="F162" s="17" t="s">
        <v>61</v>
      </c>
      <c r="G162" s="267"/>
      <c r="H162" s="10"/>
      <c r="I162" s="11"/>
      <c r="J162" s="11"/>
      <c r="K162" s="11"/>
      <c r="L162" s="11"/>
      <c r="M162" s="11"/>
      <c r="N162" s="11"/>
      <c r="O162" s="12"/>
      <c r="P162" s="11"/>
      <c r="Q162" s="13"/>
      <c r="R162" s="14"/>
    </row>
    <row r="163" spans="1:18" ht="15" customHeight="1" x14ac:dyDescent="0.3">
      <c r="A163" s="39" t="s">
        <v>62</v>
      </c>
      <c r="B163" s="39" t="s">
        <v>637</v>
      </c>
      <c r="C163" s="40">
        <v>0.4826388888888889</v>
      </c>
      <c r="D163" s="39" t="s">
        <v>66</v>
      </c>
      <c r="E163" s="39" t="s">
        <v>67</v>
      </c>
      <c r="F163" s="39" t="s">
        <v>665</v>
      </c>
      <c r="G163" s="268"/>
      <c r="H163" s="41"/>
      <c r="I163" s="42"/>
      <c r="J163" s="42"/>
      <c r="K163" s="42"/>
      <c r="L163" s="42"/>
      <c r="M163" s="42"/>
      <c r="N163" s="42"/>
      <c r="O163" s="43"/>
      <c r="P163" s="42"/>
      <c r="Q163" s="44"/>
      <c r="R163" s="45"/>
    </row>
  </sheetData>
  <mergeCells count="18">
    <mergeCell ref="H1:L1"/>
    <mergeCell ref="A1:E1"/>
    <mergeCell ref="G2:J2"/>
    <mergeCell ref="K2:R2"/>
    <mergeCell ref="A4:F4"/>
    <mergeCell ref="H4:R4"/>
    <mergeCell ref="N1:R1"/>
    <mergeCell ref="A2:F2"/>
    <mergeCell ref="A3:R3"/>
    <mergeCell ref="G60:G110"/>
    <mergeCell ref="G114:G163"/>
    <mergeCell ref="A112:F112"/>
    <mergeCell ref="A57:R57"/>
    <mergeCell ref="G6:G56"/>
    <mergeCell ref="A58:F58"/>
    <mergeCell ref="A111:R111"/>
    <mergeCell ref="H112:R112"/>
    <mergeCell ref="H58:R5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6"/>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8.3320312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3" width="3.88671875" style="282" bestFit="1" customWidth="1"/>
    <col min="24" max="24" width="4.109375" style="282" bestFit="1" customWidth="1"/>
    <col min="25" max="25" width="4.44140625" style="282" bestFit="1" customWidth="1"/>
    <col min="26" max="26" width="4.109375" style="282" bestFit="1" customWidth="1"/>
    <col min="27" max="27" width="5" style="282" bestFit="1" customWidth="1"/>
    <col min="28" max="29" width="4.21875" style="282" bestFit="1" customWidth="1"/>
    <col min="30" max="30" width="3.88671875" style="282" bestFit="1" customWidth="1"/>
    <col min="31"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622</v>
      </c>
      <c r="D2" s="286" t="s">
        <v>683</v>
      </c>
      <c r="E2" s="285" t="s">
        <v>582</v>
      </c>
      <c r="F2" s="285" t="s">
        <v>136</v>
      </c>
      <c r="G2" s="287">
        <v>0.76190000000000002</v>
      </c>
      <c r="H2" s="288">
        <v>168</v>
      </c>
      <c r="I2" s="288">
        <v>128</v>
      </c>
      <c r="J2" s="288">
        <v>0</v>
      </c>
      <c r="K2" s="285" t="s">
        <v>137</v>
      </c>
      <c r="L2" s="289">
        <v>45980</v>
      </c>
      <c r="M2" s="288">
        <v>4</v>
      </c>
      <c r="N2" s="288">
        <v>10</v>
      </c>
      <c r="O2" s="288">
        <v>40</v>
      </c>
      <c r="P2" s="285" t="s">
        <v>383</v>
      </c>
      <c r="Q2" s="281"/>
      <c r="R2" s="281"/>
      <c r="S2" s="281"/>
      <c r="T2" s="281"/>
      <c r="U2" s="288" t="s">
        <v>380</v>
      </c>
      <c r="V2" s="288" t="s">
        <v>381</v>
      </c>
      <c r="W2" s="288" t="s">
        <v>684</v>
      </c>
      <c r="X2" s="288" t="s">
        <v>685</v>
      </c>
      <c r="Y2" s="288" t="s">
        <v>686</v>
      </c>
      <c r="Z2" s="288" t="s">
        <v>687</v>
      </c>
      <c r="AA2" s="288" t="s">
        <v>688</v>
      </c>
      <c r="AB2" s="281"/>
      <c r="AC2" s="288" t="s">
        <v>550</v>
      </c>
      <c r="AD2" s="288" t="s">
        <v>155</v>
      </c>
      <c r="AE2" s="288" t="s">
        <v>689</v>
      </c>
      <c r="AF2" s="288" t="s">
        <v>690</v>
      </c>
      <c r="AG2" s="281"/>
      <c r="AH2" s="281"/>
      <c r="AI2" s="281"/>
      <c r="AJ2" s="288" t="s">
        <v>149</v>
      </c>
    </row>
    <row r="3" spans="1:36" x14ac:dyDescent="0.3">
      <c r="A3" s="283" t="s">
        <v>393</v>
      </c>
      <c r="B3" s="284">
        <v>45982</v>
      </c>
      <c r="C3" s="285" t="s">
        <v>622</v>
      </c>
      <c r="D3" s="286" t="s">
        <v>170</v>
      </c>
      <c r="E3" s="285" t="s">
        <v>582</v>
      </c>
      <c r="F3" s="285" t="s">
        <v>136</v>
      </c>
      <c r="G3" s="287">
        <v>0.8155</v>
      </c>
      <c r="H3" s="288">
        <v>168</v>
      </c>
      <c r="I3" s="288">
        <v>137</v>
      </c>
      <c r="J3" s="288">
        <v>0</v>
      </c>
      <c r="K3" s="285" t="s">
        <v>137</v>
      </c>
      <c r="L3" s="289">
        <v>45980</v>
      </c>
      <c r="M3" s="288">
        <v>1</v>
      </c>
      <c r="N3" s="288">
        <v>6</v>
      </c>
      <c r="O3" s="288">
        <v>35</v>
      </c>
      <c r="P3" s="285" t="s">
        <v>659</v>
      </c>
      <c r="Q3" s="281"/>
      <c r="R3" s="281"/>
      <c r="S3" s="281"/>
      <c r="T3" s="281"/>
      <c r="U3" s="281"/>
      <c r="V3" s="288" t="s">
        <v>388</v>
      </c>
      <c r="W3" s="281"/>
      <c r="X3" s="281"/>
      <c r="Y3" s="288" t="s">
        <v>691</v>
      </c>
      <c r="Z3" s="288" t="s">
        <v>692</v>
      </c>
      <c r="AA3" s="288" t="s">
        <v>693</v>
      </c>
      <c r="AB3" s="288" t="s">
        <v>352</v>
      </c>
      <c r="AC3" s="288" t="s">
        <v>418</v>
      </c>
      <c r="AD3" s="288" t="s">
        <v>155</v>
      </c>
      <c r="AE3" s="288" t="s">
        <v>195</v>
      </c>
      <c r="AF3" s="288" t="s">
        <v>694</v>
      </c>
      <c r="AG3" s="281"/>
      <c r="AH3" s="281"/>
      <c r="AI3" s="281"/>
      <c r="AJ3" s="281"/>
    </row>
    <row r="4" spans="1:36" x14ac:dyDescent="0.3">
      <c r="A4" s="283" t="s">
        <v>393</v>
      </c>
      <c r="B4" s="284">
        <v>45982</v>
      </c>
      <c r="C4" s="285" t="s">
        <v>656</v>
      </c>
      <c r="D4" s="286" t="s">
        <v>695</v>
      </c>
      <c r="E4" s="285" t="s">
        <v>582</v>
      </c>
      <c r="F4" s="285" t="s">
        <v>136</v>
      </c>
      <c r="G4" s="287">
        <v>0.75600000000000001</v>
      </c>
      <c r="H4" s="288">
        <v>168</v>
      </c>
      <c r="I4" s="288">
        <v>127</v>
      </c>
      <c r="J4" s="288">
        <v>0</v>
      </c>
      <c r="K4" s="285" t="s">
        <v>137</v>
      </c>
      <c r="L4" s="289">
        <v>45980</v>
      </c>
      <c r="M4" s="288">
        <v>1</v>
      </c>
      <c r="N4" s="288">
        <v>11</v>
      </c>
      <c r="O4" s="288">
        <v>46</v>
      </c>
      <c r="P4" s="285" t="s">
        <v>400</v>
      </c>
      <c r="Q4" s="281"/>
      <c r="R4" s="281"/>
      <c r="S4" s="281"/>
      <c r="T4" s="281"/>
      <c r="U4" s="281"/>
      <c r="V4" s="281"/>
      <c r="W4" s="281"/>
      <c r="X4" s="281"/>
      <c r="Y4" s="281"/>
      <c r="Z4" s="288" t="s">
        <v>696</v>
      </c>
      <c r="AA4" s="288" t="s">
        <v>697</v>
      </c>
      <c r="AB4" s="288" t="s">
        <v>698</v>
      </c>
      <c r="AC4" s="288" t="s">
        <v>699</v>
      </c>
      <c r="AD4" s="281"/>
      <c r="AE4" s="281"/>
      <c r="AF4" s="281"/>
      <c r="AG4" s="281"/>
      <c r="AH4" s="281"/>
      <c r="AI4" s="281"/>
      <c r="AJ4" s="281"/>
    </row>
    <row r="5" spans="1:36" x14ac:dyDescent="0.3">
      <c r="A5" s="283" t="s">
        <v>150</v>
      </c>
      <c r="B5" s="284">
        <v>45983</v>
      </c>
      <c r="C5" s="285" t="s">
        <v>622</v>
      </c>
      <c r="D5" s="286" t="s">
        <v>683</v>
      </c>
      <c r="E5" s="285" t="s">
        <v>582</v>
      </c>
      <c r="F5" s="285" t="s">
        <v>136</v>
      </c>
      <c r="G5" s="287">
        <v>0.57140000000000002</v>
      </c>
      <c r="H5" s="288">
        <v>168</v>
      </c>
      <c r="I5" s="288">
        <v>96</v>
      </c>
      <c r="J5" s="288">
        <v>0</v>
      </c>
      <c r="K5" s="285" t="s">
        <v>137</v>
      </c>
      <c r="L5" s="289">
        <v>45980</v>
      </c>
      <c r="M5" s="288">
        <v>1</v>
      </c>
      <c r="N5" s="288">
        <v>1</v>
      </c>
      <c r="O5" s="288">
        <v>10</v>
      </c>
      <c r="P5" s="285" t="s">
        <v>143</v>
      </c>
      <c r="Q5" s="281"/>
      <c r="R5" s="281"/>
      <c r="S5" s="281"/>
      <c r="T5" s="281"/>
      <c r="U5" s="281"/>
      <c r="V5" s="288" t="s">
        <v>182</v>
      </c>
      <c r="W5" s="281"/>
      <c r="X5" s="281"/>
      <c r="Y5" s="281"/>
      <c r="Z5" s="281"/>
      <c r="AA5" s="288" t="s">
        <v>515</v>
      </c>
      <c r="AB5" s="288" t="s">
        <v>700</v>
      </c>
      <c r="AC5" s="288" t="s">
        <v>701</v>
      </c>
      <c r="AD5" s="288" t="s">
        <v>353</v>
      </c>
      <c r="AE5" s="288" t="s">
        <v>702</v>
      </c>
      <c r="AF5" s="288" t="s">
        <v>196</v>
      </c>
      <c r="AG5" s="281"/>
      <c r="AH5" s="281"/>
      <c r="AI5" s="281"/>
      <c r="AJ5" s="281"/>
    </row>
    <row r="6" spans="1:36" ht="21" x14ac:dyDescent="0.3">
      <c r="A6" s="290" t="s">
        <v>976</v>
      </c>
      <c r="B6" s="291"/>
      <c r="C6" s="290">
        <f>SUBTOTAL(103,RUH_CAI_LF_LEGACY[Flt])</f>
        <v>4</v>
      </c>
      <c r="D6" s="290"/>
      <c r="E6" s="290">
        <f>SUBTOTAL(103,RUH_CAI_LF_LEGACY[Brd-Off])</f>
        <v>4</v>
      </c>
      <c r="F6" s="290"/>
      <c r="G6" s="292">
        <f>SUBTOTAL(101,RUH_CAI_LF_LEGACY[LF%])</f>
        <v>0.72620000000000007</v>
      </c>
      <c r="H6" s="293">
        <f>SUBTOTAL(109,RUH_CAI_LF_LEGACY[CAP])</f>
        <v>672</v>
      </c>
      <c r="I6" s="293">
        <f>SUBTOTAL(109,RUH_CAI_LF_LEGACY[BKG(Y)])</f>
        <v>488</v>
      </c>
      <c r="J6" s="293">
        <f>SUBTOTAL(109,RUH_CAI_LF_LEGACY[GRP(Y)])</f>
        <v>0</v>
      </c>
      <c r="K6" s="290"/>
      <c r="L6" s="291"/>
      <c r="M6" s="293">
        <f>SUBTOTAL(109,RUH_CAI_LF_LEGACY[TO-DAY])</f>
        <v>7</v>
      </c>
      <c r="N6" s="293">
        <f>SUBTOTAL(109,RUH_CAI_LF_LEGACY[Y-DAY])</f>
        <v>28</v>
      </c>
      <c r="O6" s="293">
        <f>SUBTOTAL(109,RUH_CAI_LF_LEGACY[WEEKLY])</f>
        <v>131</v>
      </c>
      <c r="P6" s="294"/>
      <c r="Q6" s="293">
        <f>SUBTOTAL(109,RUH_CAI_LF_LEGACY[Y])</f>
        <v>0</v>
      </c>
      <c r="R6" s="293">
        <f>SUBTOTAL(109,RUH_CAI_LF_LEGACY[B])</f>
        <v>0</v>
      </c>
      <c r="S6" s="293">
        <f>SUBTOTAL(109,RUH_CAI_LF_LEGACY[M])</f>
        <v>0</v>
      </c>
      <c r="T6" s="293">
        <f>SUBTOTAL(109,RUH_CAI_LF_LEGACY[H])</f>
        <v>0</v>
      </c>
      <c r="U6" s="293">
        <f>SUBTOTAL(109,RUH_CAI_LF_LEGACY[Q])</f>
        <v>0</v>
      </c>
      <c r="V6" s="293">
        <f>SUBTOTAL(109,RUH_CAI_LF_LEGACY[K])</f>
        <v>0</v>
      </c>
      <c r="W6" s="293">
        <f>SUBTOTAL(109,RUH_CAI_LF_LEGACY[V])</f>
        <v>0</v>
      </c>
      <c r="X6" s="293">
        <f>SUBTOTAL(109,RUH_CAI_LF_LEGACY[L])</f>
        <v>0</v>
      </c>
      <c r="Y6" s="293">
        <f>SUBTOTAL(109,RUH_CAI_LF_LEGACY[G])</f>
        <v>0</v>
      </c>
      <c r="Z6" s="293">
        <f>SUBTOTAL(109,RUH_CAI_LF_LEGACY[S])</f>
        <v>0</v>
      </c>
      <c r="AA6" s="293">
        <f>SUBTOTAL(109,RUH_CAI_LF_LEGACY[W])</f>
        <v>0</v>
      </c>
      <c r="AB6" s="293">
        <f>SUBTOTAL(109,RUH_CAI_LF_LEGACY[T])</f>
        <v>0</v>
      </c>
      <c r="AC6" s="293">
        <f>SUBTOTAL(109,RUH_CAI_LF_LEGACY[X])</f>
        <v>0</v>
      </c>
      <c r="AD6" s="293">
        <f>SUBTOTAL(109,RUH_CAI_LF_LEGACY[U])</f>
        <v>0</v>
      </c>
      <c r="AE6" s="293">
        <f>SUBTOTAL(109,RUH_CAI_LF_LEGACY[O])</f>
        <v>0</v>
      </c>
      <c r="AF6" s="293">
        <f>SUBTOTAL(109,RUH_CAI_LF_LEGACY[I])</f>
        <v>0</v>
      </c>
      <c r="AG6" s="293">
        <f>SUBTOTAL(109,RUH_CAI_LF_LEGACY[E])</f>
        <v>0</v>
      </c>
      <c r="AH6" s="293">
        <f>SUBTOTAL(109,RUH_CAI_LF_LEGACY[A])</f>
        <v>0</v>
      </c>
      <c r="AI6" s="293">
        <f>SUBTOTAL(109,RUH_CAI_LF_LEGACY[P])</f>
        <v>0</v>
      </c>
      <c r="AJ6" s="293">
        <f>SUBTOTAL(103,RUH_CAI_LF_LEGACY[N])</f>
        <v>1</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5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77734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26</v>
      </c>
      <c r="C2" s="62" t="s">
        <v>583</v>
      </c>
      <c r="D2" s="61" t="s">
        <v>582</v>
      </c>
      <c r="E2" s="61" t="s">
        <v>703</v>
      </c>
      <c r="F2" s="61" t="s">
        <v>28</v>
      </c>
      <c r="G2" s="63">
        <v>9</v>
      </c>
      <c r="H2" s="64">
        <v>559</v>
      </c>
    </row>
    <row r="3" spans="1:8" ht="19.8" customHeight="1" x14ac:dyDescent="0.3">
      <c r="A3" s="60" t="s">
        <v>162</v>
      </c>
      <c r="B3" s="61" t="s">
        <v>26</v>
      </c>
      <c r="C3" s="62" t="s">
        <v>584</v>
      </c>
      <c r="D3" s="61" t="s">
        <v>582</v>
      </c>
      <c r="E3" s="61" t="s">
        <v>704</v>
      </c>
      <c r="F3" s="61" t="s">
        <v>28</v>
      </c>
      <c r="G3" s="63">
        <v>2</v>
      </c>
      <c r="H3" s="64">
        <v>609</v>
      </c>
    </row>
    <row r="4" spans="1:8" ht="19.8" customHeight="1" x14ac:dyDescent="0.3">
      <c r="A4" s="60" t="s">
        <v>162</v>
      </c>
      <c r="B4" s="61" t="s">
        <v>26</v>
      </c>
      <c r="C4" s="62" t="s">
        <v>586</v>
      </c>
      <c r="D4" s="61" t="s">
        <v>582</v>
      </c>
      <c r="E4" s="61" t="s">
        <v>705</v>
      </c>
      <c r="F4" s="61" t="s">
        <v>28</v>
      </c>
      <c r="G4" s="63">
        <v>4</v>
      </c>
      <c r="H4" s="64">
        <v>609</v>
      </c>
    </row>
    <row r="5" spans="1:8" ht="19.8" customHeight="1" x14ac:dyDescent="0.3">
      <c r="A5" s="60" t="s">
        <v>162</v>
      </c>
      <c r="B5" s="61" t="s">
        <v>41</v>
      </c>
      <c r="C5" s="62" t="s">
        <v>602</v>
      </c>
      <c r="D5" s="61" t="s">
        <v>582</v>
      </c>
      <c r="E5" s="61" t="s">
        <v>706</v>
      </c>
      <c r="F5" s="61" t="s">
        <v>43</v>
      </c>
      <c r="G5" s="63">
        <v>7</v>
      </c>
      <c r="H5" s="64">
        <v>649</v>
      </c>
    </row>
    <row r="6" spans="1:8" ht="19.8" customHeight="1" x14ac:dyDescent="0.3">
      <c r="A6" s="60" t="s">
        <v>162</v>
      </c>
      <c r="B6" s="61" t="s">
        <v>41</v>
      </c>
      <c r="C6" s="62" t="s">
        <v>605</v>
      </c>
      <c r="D6" s="61" t="s">
        <v>582</v>
      </c>
      <c r="E6" s="61" t="s">
        <v>707</v>
      </c>
      <c r="F6" s="61" t="s">
        <v>43</v>
      </c>
      <c r="G6" s="63">
        <v>1</v>
      </c>
      <c r="H6" s="64">
        <v>649</v>
      </c>
    </row>
    <row r="7" spans="1:8" ht="19.8" customHeight="1" x14ac:dyDescent="0.3">
      <c r="A7" s="60" t="s">
        <v>162</v>
      </c>
      <c r="B7" s="61" t="s">
        <v>26</v>
      </c>
      <c r="C7" s="62" t="s">
        <v>587</v>
      </c>
      <c r="D7" s="61" t="s">
        <v>582</v>
      </c>
      <c r="E7" s="61" t="s">
        <v>706</v>
      </c>
      <c r="F7" s="61" t="s">
        <v>28</v>
      </c>
      <c r="G7" s="63">
        <v>8</v>
      </c>
      <c r="H7" s="64">
        <v>659</v>
      </c>
    </row>
    <row r="8" spans="1:8" ht="19.8" customHeight="1" x14ac:dyDescent="0.3">
      <c r="A8" s="60" t="s">
        <v>162</v>
      </c>
      <c r="B8" s="61" t="s">
        <v>26</v>
      </c>
      <c r="C8" s="62" t="s">
        <v>583</v>
      </c>
      <c r="D8" s="61" t="s">
        <v>582</v>
      </c>
      <c r="E8" s="61" t="s">
        <v>703</v>
      </c>
      <c r="F8" s="61" t="s">
        <v>31</v>
      </c>
      <c r="G8" s="63">
        <v>9</v>
      </c>
      <c r="H8" s="64">
        <v>659</v>
      </c>
    </row>
    <row r="9" spans="1:8" ht="19.8" customHeight="1" x14ac:dyDescent="0.3">
      <c r="A9" s="60" t="s">
        <v>162</v>
      </c>
      <c r="B9" s="61" t="s">
        <v>26</v>
      </c>
      <c r="C9" s="62" t="s">
        <v>584</v>
      </c>
      <c r="D9" s="61" t="s">
        <v>582</v>
      </c>
      <c r="E9" s="61" t="s">
        <v>704</v>
      </c>
      <c r="F9" s="61" t="s">
        <v>31</v>
      </c>
      <c r="G9" s="63">
        <v>2</v>
      </c>
      <c r="H9" s="64">
        <v>709</v>
      </c>
    </row>
    <row r="10" spans="1:8" ht="19.8" customHeight="1" x14ac:dyDescent="0.3">
      <c r="A10" s="60" t="s">
        <v>162</v>
      </c>
      <c r="B10" s="61" t="s">
        <v>26</v>
      </c>
      <c r="C10" s="62" t="s">
        <v>586</v>
      </c>
      <c r="D10" s="61" t="s">
        <v>582</v>
      </c>
      <c r="E10" s="61" t="s">
        <v>705</v>
      </c>
      <c r="F10" s="61" t="s">
        <v>31</v>
      </c>
      <c r="G10" s="63">
        <v>4</v>
      </c>
      <c r="H10" s="64">
        <v>709</v>
      </c>
    </row>
    <row r="11" spans="1:8" ht="19.8" customHeight="1" x14ac:dyDescent="0.3">
      <c r="A11" s="60" t="s">
        <v>162</v>
      </c>
      <c r="B11" s="61" t="s">
        <v>26</v>
      </c>
      <c r="C11" s="62" t="s">
        <v>590</v>
      </c>
      <c r="D11" s="61" t="s">
        <v>582</v>
      </c>
      <c r="E11" s="61" t="s">
        <v>708</v>
      </c>
      <c r="F11" s="61" t="s">
        <v>28</v>
      </c>
      <c r="G11" s="63">
        <v>4</v>
      </c>
      <c r="H11" s="64">
        <v>739</v>
      </c>
    </row>
    <row r="12" spans="1:8" ht="19.8" customHeight="1" x14ac:dyDescent="0.3">
      <c r="A12" s="60" t="s">
        <v>162</v>
      </c>
      <c r="B12" s="61" t="s">
        <v>243</v>
      </c>
      <c r="C12" s="62" t="s">
        <v>614</v>
      </c>
      <c r="D12" s="61" t="s">
        <v>582</v>
      </c>
      <c r="E12" s="61" t="s">
        <v>709</v>
      </c>
      <c r="F12" s="61" t="s">
        <v>615</v>
      </c>
      <c r="G12" s="63">
        <v>9</v>
      </c>
      <c r="H12" s="64">
        <v>739</v>
      </c>
    </row>
    <row r="13" spans="1:8" ht="19.8" customHeight="1" x14ac:dyDescent="0.3">
      <c r="A13" s="60" t="s">
        <v>162</v>
      </c>
      <c r="B13" s="61" t="s">
        <v>277</v>
      </c>
      <c r="C13" s="62" t="s">
        <v>617</v>
      </c>
      <c r="D13" s="61" t="s">
        <v>582</v>
      </c>
      <c r="E13" s="61" t="s">
        <v>710</v>
      </c>
      <c r="F13" s="61" t="s">
        <v>279</v>
      </c>
      <c r="G13" s="63">
        <v>9</v>
      </c>
      <c r="H13" s="64">
        <v>745</v>
      </c>
    </row>
    <row r="14" spans="1:8" ht="19.8" customHeight="1" x14ac:dyDescent="0.3">
      <c r="A14" s="60" t="s">
        <v>162</v>
      </c>
      <c r="B14" s="61" t="s">
        <v>26</v>
      </c>
      <c r="C14" s="62" t="s">
        <v>583</v>
      </c>
      <c r="D14" s="61" t="s">
        <v>582</v>
      </c>
      <c r="E14" s="61" t="s">
        <v>703</v>
      </c>
      <c r="F14" s="61" t="s">
        <v>34</v>
      </c>
      <c r="G14" s="63">
        <v>9</v>
      </c>
      <c r="H14" s="64">
        <v>749</v>
      </c>
    </row>
    <row r="15" spans="1:8" ht="19.8" customHeight="1" x14ac:dyDescent="0.3">
      <c r="A15" s="60" t="s">
        <v>162</v>
      </c>
      <c r="B15" s="61" t="s">
        <v>26</v>
      </c>
      <c r="C15" s="62" t="s">
        <v>587</v>
      </c>
      <c r="D15" s="61" t="s">
        <v>582</v>
      </c>
      <c r="E15" s="61" t="s">
        <v>706</v>
      </c>
      <c r="F15" s="61" t="s">
        <v>31</v>
      </c>
      <c r="G15" s="63">
        <v>8</v>
      </c>
      <c r="H15" s="64">
        <v>759</v>
      </c>
    </row>
    <row r="16" spans="1:8" ht="19.8" customHeight="1" x14ac:dyDescent="0.3">
      <c r="A16" s="96" t="s">
        <v>162</v>
      </c>
      <c r="B16" s="97" t="s">
        <v>78</v>
      </c>
      <c r="C16" s="98" t="s">
        <v>620</v>
      </c>
      <c r="D16" s="97" t="s">
        <v>582</v>
      </c>
      <c r="E16" s="97" t="s">
        <v>683</v>
      </c>
      <c r="F16" s="97" t="s">
        <v>178</v>
      </c>
      <c r="G16" s="99">
        <v>5</v>
      </c>
      <c r="H16" s="100">
        <v>794</v>
      </c>
    </row>
    <row r="17" spans="1:8" ht="19.8" customHeight="1" x14ac:dyDescent="0.3">
      <c r="A17" s="70">
        <v>45981</v>
      </c>
      <c r="B17" s="61" t="s">
        <v>41</v>
      </c>
      <c r="C17" s="62" t="s">
        <v>602</v>
      </c>
      <c r="D17" s="61" t="s">
        <v>582</v>
      </c>
      <c r="E17" s="71">
        <v>1.5</v>
      </c>
      <c r="F17" s="61" t="s">
        <v>45</v>
      </c>
      <c r="G17" s="63">
        <v>7</v>
      </c>
      <c r="H17" s="64">
        <v>799</v>
      </c>
    </row>
    <row r="18" spans="1:8" ht="19.8" customHeight="1" x14ac:dyDescent="0.3">
      <c r="A18" s="70">
        <v>45981</v>
      </c>
      <c r="B18" s="61" t="s">
        <v>41</v>
      </c>
      <c r="C18" s="62" t="s">
        <v>605</v>
      </c>
      <c r="D18" s="61" t="s">
        <v>582</v>
      </c>
      <c r="E18" s="71">
        <v>1.447916666666667</v>
      </c>
      <c r="F18" s="61" t="s">
        <v>45</v>
      </c>
      <c r="G18" s="63">
        <v>1</v>
      </c>
      <c r="H18" s="64">
        <v>799</v>
      </c>
    </row>
    <row r="19" spans="1:8" ht="19.8" customHeight="1" x14ac:dyDescent="0.3">
      <c r="A19" s="70">
        <v>45981</v>
      </c>
      <c r="B19" s="61" t="s">
        <v>26</v>
      </c>
      <c r="C19" s="62" t="s">
        <v>584</v>
      </c>
      <c r="D19" s="61" t="s">
        <v>582</v>
      </c>
      <c r="E19" s="71">
        <v>1.305555555555556</v>
      </c>
      <c r="F19" s="61" t="s">
        <v>34</v>
      </c>
      <c r="G19" s="63">
        <v>2</v>
      </c>
      <c r="H19" s="64">
        <v>799</v>
      </c>
    </row>
    <row r="20" spans="1:8" ht="19.8" customHeight="1" x14ac:dyDescent="0.3">
      <c r="A20" s="70">
        <v>45981</v>
      </c>
      <c r="B20" s="61" t="s">
        <v>26</v>
      </c>
      <c r="C20" s="62" t="s">
        <v>586</v>
      </c>
      <c r="D20" s="61" t="s">
        <v>582</v>
      </c>
      <c r="E20" s="71">
        <v>1.427083333333333</v>
      </c>
      <c r="F20" s="61" t="s">
        <v>34</v>
      </c>
      <c r="G20" s="63">
        <v>4</v>
      </c>
      <c r="H20" s="64">
        <v>799</v>
      </c>
    </row>
    <row r="21" spans="1:8" ht="19.8" customHeight="1" x14ac:dyDescent="0.3">
      <c r="A21" s="70">
        <v>45981</v>
      </c>
      <c r="B21" s="61" t="s">
        <v>285</v>
      </c>
      <c r="C21" s="62" t="s">
        <v>624</v>
      </c>
      <c r="D21" s="61" t="s">
        <v>582</v>
      </c>
      <c r="E21" s="71">
        <v>1.354166666666667</v>
      </c>
      <c r="F21" s="61" t="s">
        <v>279</v>
      </c>
      <c r="G21" s="63">
        <v>8</v>
      </c>
      <c r="H21" s="64">
        <v>834</v>
      </c>
    </row>
    <row r="22" spans="1:8" ht="19.8" customHeight="1" x14ac:dyDescent="0.3">
      <c r="A22" s="70">
        <v>45981</v>
      </c>
      <c r="B22" s="61" t="s">
        <v>26</v>
      </c>
      <c r="C22" s="62" t="s">
        <v>590</v>
      </c>
      <c r="D22" s="61" t="s">
        <v>582</v>
      </c>
      <c r="E22" s="71">
        <v>1.5659722222222221</v>
      </c>
      <c r="F22" s="61" t="s">
        <v>31</v>
      </c>
      <c r="G22" s="63">
        <v>4</v>
      </c>
      <c r="H22" s="64">
        <v>839</v>
      </c>
    </row>
    <row r="23" spans="1:8" ht="19.8" customHeight="1" x14ac:dyDescent="0.3">
      <c r="A23" s="70">
        <v>45981</v>
      </c>
      <c r="B23" s="61" t="s">
        <v>26</v>
      </c>
      <c r="C23" s="62" t="s">
        <v>587</v>
      </c>
      <c r="D23" s="61" t="s">
        <v>582</v>
      </c>
      <c r="E23" s="71">
        <v>1.5</v>
      </c>
      <c r="F23" s="61" t="s">
        <v>34</v>
      </c>
      <c r="G23" s="63">
        <v>8</v>
      </c>
      <c r="H23" s="64">
        <v>849</v>
      </c>
    </row>
    <row r="24" spans="1:8" ht="19.8" customHeight="1" x14ac:dyDescent="0.3">
      <c r="A24" s="70">
        <v>45981</v>
      </c>
      <c r="B24" s="61" t="s">
        <v>243</v>
      </c>
      <c r="C24" s="62" t="s">
        <v>614</v>
      </c>
      <c r="D24" s="61" t="s">
        <v>582</v>
      </c>
      <c r="E24" s="71">
        <v>1.6215277777777779</v>
      </c>
      <c r="F24" s="61" t="s">
        <v>47</v>
      </c>
      <c r="G24" s="63">
        <v>9</v>
      </c>
      <c r="H24" s="64">
        <v>863</v>
      </c>
    </row>
    <row r="25" spans="1:8" ht="19.8" customHeight="1" x14ac:dyDescent="0.3">
      <c r="A25" s="70">
        <v>45981</v>
      </c>
      <c r="B25" s="61" t="s">
        <v>41</v>
      </c>
      <c r="C25" s="62" t="s">
        <v>606</v>
      </c>
      <c r="D25" s="61" t="s">
        <v>582</v>
      </c>
      <c r="E25" s="71">
        <v>1.760416666666667</v>
      </c>
      <c r="F25" s="61" t="s">
        <v>43</v>
      </c>
      <c r="G25" s="63">
        <v>16</v>
      </c>
      <c r="H25" s="64">
        <v>869</v>
      </c>
    </row>
    <row r="26" spans="1:8" ht="19.8" customHeight="1" x14ac:dyDescent="0.3">
      <c r="A26" s="70">
        <v>45981</v>
      </c>
      <c r="B26" s="61" t="s">
        <v>41</v>
      </c>
      <c r="C26" s="62" t="s">
        <v>611</v>
      </c>
      <c r="D26" s="61" t="s">
        <v>582</v>
      </c>
      <c r="E26" s="71">
        <v>1.8159722222222221</v>
      </c>
      <c r="F26" s="61" t="s">
        <v>43</v>
      </c>
      <c r="G26" s="63">
        <v>11</v>
      </c>
      <c r="H26" s="64">
        <v>869</v>
      </c>
    </row>
    <row r="27" spans="1:8" ht="19.8" customHeight="1" x14ac:dyDescent="0.3">
      <c r="A27" s="70">
        <v>45981</v>
      </c>
      <c r="B27" s="61" t="s">
        <v>26</v>
      </c>
      <c r="C27" s="62" t="s">
        <v>594</v>
      </c>
      <c r="D27" s="61" t="s">
        <v>582</v>
      </c>
      <c r="E27" s="71">
        <v>1.6875</v>
      </c>
      <c r="F27" s="61" t="s">
        <v>28</v>
      </c>
      <c r="G27" s="63">
        <v>6</v>
      </c>
      <c r="H27" s="64">
        <v>899</v>
      </c>
    </row>
    <row r="28" spans="1:8" ht="19.8" customHeight="1" x14ac:dyDescent="0.3">
      <c r="A28" s="70">
        <v>45981</v>
      </c>
      <c r="B28" s="61" t="s">
        <v>26</v>
      </c>
      <c r="C28" s="62" t="s">
        <v>590</v>
      </c>
      <c r="D28" s="61" t="s">
        <v>582</v>
      </c>
      <c r="E28" s="71">
        <v>1.5659722222222221</v>
      </c>
      <c r="F28" s="61" t="s">
        <v>34</v>
      </c>
      <c r="G28" s="63">
        <v>4</v>
      </c>
      <c r="H28" s="64">
        <v>929</v>
      </c>
    </row>
    <row r="29" spans="1:8" ht="19.8" customHeight="1" x14ac:dyDescent="0.3">
      <c r="A29" s="70">
        <v>45981</v>
      </c>
      <c r="B29" s="61" t="s">
        <v>277</v>
      </c>
      <c r="C29" s="62" t="s">
        <v>618</v>
      </c>
      <c r="D29" s="61" t="s">
        <v>582</v>
      </c>
      <c r="E29" s="71">
        <v>1.8784722222222221</v>
      </c>
      <c r="F29" s="61" t="s">
        <v>279</v>
      </c>
      <c r="G29" s="63">
        <v>9</v>
      </c>
      <c r="H29" s="64">
        <v>935</v>
      </c>
    </row>
    <row r="30" spans="1:8" ht="19.8" customHeight="1" x14ac:dyDescent="0.3">
      <c r="A30" s="70">
        <v>45981</v>
      </c>
      <c r="B30" s="61" t="s">
        <v>26</v>
      </c>
      <c r="C30" s="62" t="s">
        <v>598</v>
      </c>
      <c r="D30" s="61" t="s">
        <v>582</v>
      </c>
      <c r="E30" s="71">
        <v>1.8263888888888891</v>
      </c>
      <c r="F30" s="61" t="s">
        <v>28</v>
      </c>
      <c r="G30" s="63">
        <v>9</v>
      </c>
      <c r="H30" s="64">
        <v>979</v>
      </c>
    </row>
    <row r="31" spans="1:8" ht="19.8" customHeight="1" x14ac:dyDescent="0.3">
      <c r="A31" s="70">
        <v>45981</v>
      </c>
      <c r="B31" s="61" t="s">
        <v>26</v>
      </c>
      <c r="C31" s="62" t="s">
        <v>594</v>
      </c>
      <c r="D31" s="61" t="s">
        <v>582</v>
      </c>
      <c r="E31" s="71">
        <v>1.6875</v>
      </c>
      <c r="F31" s="61" t="s">
        <v>31</v>
      </c>
      <c r="G31" s="63">
        <v>6</v>
      </c>
      <c r="H31" s="64">
        <v>999</v>
      </c>
    </row>
    <row r="32" spans="1:8" ht="19.8" customHeight="1" x14ac:dyDescent="0.3">
      <c r="A32" s="70">
        <v>45981</v>
      </c>
      <c r="B32" s="61" t="s">
        <v>41</v>
      </c>
      <c r="C32" s="62" t="s">
        <v>606</v>
      </c>
      <c r="D32" s="61" t="s">
        <v>582</v>
      </c>
      <c r="E32" s="71">
        <v>1.760416666666667</v>
      </c>
      <c r="F32" s="61" t="s">
        <v>45</v>
      </c>
      <c r="G32" s="63">
        <v>16</v>
      </c>
      <c r="H32" s="65" t="s">
        <v>609</v>
      </c>
    </row>
    <row r="33" spans="1:8" ht="19.8" customHeight="1" x14ac:dyDescent="0.3">
      <c r="A33" s="70">
        <v>45981</v>
      </c>
      <c r="B33" s="61" t="s">
        <v>41</v>
      </c>
      <c r="C33" s="62" t="s">
        <v>611</v>
      </c>
      <c r="D33" s="61" t="s">
        <v>582</v>
      </c>
      <c r="E33" s="71">
        <v>1.8159722222222221</v>
      </c>
      <c r="F33" s="61" t="s">
        <v>45</v>
      </c>
      <c r="G33" s="63">
        <v>11</v>
      </c>
      <c r="H33" s="65" t="s">
        <v>609</v>
      </c>
    </row>
    <row r="34" spans="1:8" ht="19.8" customHeight="1" x14ac:dyDescent="0.3">
      <c r="A34" s="70">
        <v>45981</v>
      </c>
      <c r="B34" s="61" t="s">
        <v>285</v>
      </c>
      <c r="C34" s="62" t="s">
        <v>625</v>
      </c>
      <c r="D34" s="61" t="s">
        <v>582</v>
      </c>
      <c r="E34" s="71">
        <v>1.9861111111111109</v>
      </c>
      <c r="F34" s="61" t="s">
        <v>279</v>
      </c>
      <c r="G34" s="63">
        <v>9</v>
      </c>
      <c r="H34" s="65" t="s">
        <v>626</v>
      </c>
    </row>
    <row r="35" spans="1:8" ht="19.8" customHeight="1" x14ac:dyDescent="0.3">
      <c r="A35" s="70">
        <v>45981</v>
      </c>
      <c r="B35" s="61" t="s">
        <v>285</v>
      </c>
      <c r="C35" s="62" t="s">
        <v>627</v>
      </c>
      <c r="D35" s="61" t="s">
        <v>582</v>
      </c>
      <c r="E35" s="71">
        <v>1.802083333333333</v>
      </c>
      <c r="F35" s="61" t="s">
        <v>279</v>
      </c>
      <c r="G35" s="63">
        <v>6</v>
      </c>
      <c r="H35" s="65" t="s">
        <v>626</v>
      </c>
    </row>
    <row r="36" spans="1:8" ht="19.8" customHeight="1" x14ac:dyDescent="0.3">
      <c r="A36" s="70">
        <v>45981</v>
      </c>
      <c r="B36" s="61" t="s">
        <v>26</v>
      </c>
      <c r="C36" s="62" t="s">
        <v>598</v>
      </c>
      <c r="D36" s="61" t="s">
        <v>582</v>
      </c>
      <c r="E36" s="71">
        <v>1.8263888888888891</v>
      </c>
      <c r="F36" s="61" t="s">
        <v>31</v>
      </c>
      <c r="G36" s="63">
        <v>9</v>
      </c>
      <c r="H36" s="65" t="s">
        <v>600</v>
      </c>
    </row>
    <row r="37" spans="1:8" ht="19.8" customHeight="1" x14ac:dyDescent="0.3">
      <c r="A37" s="70">
        <v>45981</v>
      </c>
      <c r="B37" s="61" t="s">
        <v>26</v>
      </c>
      <c r="C37" s="62" t="s">
        <v>594</v>
      </c>
      <c r="D37" s="61" t="s">
        <v>582</v>
      </c>
      <c r="E37" s="71">
        <v>1.6875</v>
      </c>
      <c r="F37" s="61" t="s">
        <v>34</v>
      </c>
      <c r="G37" s="63">
        <v>6</v>
      </c>
      <c r="H37" s="65" t="s">
        <v>597</v>
      </c>
    </row>
    <row r="38" spans="1:8" ht="19.8" customHeight="1" x14ac:dyDescent="0.3">
      <c r="A38" s="70">
        <v>45981</v>
      </c>
      <c r="B38" s="61" t="s">
        <v>26</v>
      </c>
      <c r="C38" s="62" t="s">
        <v>598</v>
      </c>
      <c r="D38" s="61" t="s">
        <v>582</v>
      </c>
      <c r="E38" s="71">
        <v>1.8263888888888891</v>
      </c>
      <c r="F38" s="61" t="s">
        <v>34</v>
      </c>
      <c r="G38" s="63">
        <v>9</v>
      </c>
      <c r="H38" s="65" t="s">
        <v>601</v>
      </c>
    </row>
    <row r="39" spans="1:8" ht="19.8" customHeight="1" x14ac:dyDescent="0.3">
      <c r="A39" s="70">
        <v>45981</v>
      </c>
      <c r="B39" s="61" t="s">
        <v>41</v>
      </c>
      <c r="C39" s="62" t="s">
        <v>602</v>
      </c>
      <c r="D39" s="61" t="s">
        <v>582</v>
      </c>
      <c r="E39" s="71">
        <v>1.5</v>
      </c>
      <c r="F39" s="61" t="s">
        <v>47</v>
      </c>
      <c r="G39" s="63">
        <v>7</v>
      </c>
      <c r="H39" s="65" t="s">
        <v>604</v>
      </c>
    </row>
    <row r="40" spans="1:8" ht="19.8" customHeight="1" x14ac:dyDescent="0.3">
      <c r="A40" s="70">
        <v>45981</v>
      </c>
      <c r="B40" s="61" t="s">
        <v>41</v>
      </c>
      <c r="C40" s="62" t="s">
        <v>605</v>
      </c>
      <c r="D40" s="61" t="s">
        <v>582</v>
      </c>
      <c r="E40" s="71">
        <v>1.447916666666667</v>
      </c>
      <c r="F40" s="61" t="s">
        <v>47</v>
      </c>
      <c r="G40" s="63">
        <v>1</v>
      </c>
      <c r="H40" s="65" t="s">
        <v>604</v>
      </c>
    </row>
    <row r="41" spans="1:8" ht="19.8" customHeight="1" x14ac:dyDescent="0.3">
      <c r="A41" s="70">
        <v>45981</v>
      </c>
      <c r="B41" s="61" t="s">
        <v>49</v>
      </c>
      <c r="C41" s="62" t="s">
        <v>628</v>
      </c>
      <c r="D41" s="61" t="s">
        <v>582</v>
      </c>
      <c r="E41" s="71">
        <v>1.166666666666667</v>
      </c>
      <c r="F41" s="61" t="s">
        <v>51</v>
      </c>
      <c r="G41" s="63">
        <v>7</v>
      </c>
      <c r="H41" s="65" t="s">
        <v>629</v>
      </c>
    </row>
    <row r="42" spans="1:8" ht="19.8" customHeight="1" x14ac:dyDescent="0.3">
      <c r="A42" s="70">
        <v>45981</v>
      </c>
      <c r="B42" s="61" t="s">
        <v>62</v>
      </c>
      <c r="C42" s="62" t="s">
        <v>634</v>
      </c>
      <c r="D42" s="61" t="s">
        <v>582</v>
      </c>
      <c r="E42" s="71">
        <v>1.2986111111111109</v>
      </c>
      <c r="F42" s="61" t="s">
        <v>64</v>
      </c>
      <c r="G42" s="63">
        <v>9</v>
      </c>
      <c r="H42" s="65" t="s">
        <v>635</v>
      </c>
    </row>
    <row r="43" spans="1:8" ht="19.8" customHeight="1" x14ac:dyDescent="0.3">
      <c r="A43" s="70">
        <v>45981</v>
      </c>
      <c r="B43" s="61" t="s">
        <v>41</v>
      </c>
      <c r="C43" s="62" t="s">
        <v>606</v>
      </c>
      <c r="D43" s="61" t="s">
        <v>582</v>
      </c>
      <c r="E43" s="71">
        <v>1.760416666666667</v>
      </c>
      <c r="F43" s="61" t="s">
        <v>47</v>
      </c>
      <c r="G43" s="63">
        <v>16</v>
      </c>
      <c r="H43" s="65" t="s">
        <v>610</v>
      </c>
    </row>
    <row r="44" spans="1:8" ht="19.8" customHeight="1" x14ac:dyDescent="0.3">
      <c r="A44" s="70">
        <v>45981</v>
      </c>
      <c r="B44" s="61" t="s">
        <v>41</v>
      </c>
      <c r="C44" s="62" t="s">
        <v>611</v>
      </c>
      <c r="D44" s="61" t="s">
        <v>582</v>
      </c>
      <c r="E44" s="71">
        <v>1.8159722222222221</v>
      </c>
      <c r="F44" s="61" t="s">
        <v>47</v>
      </c>
      <c r="G44" s="63">
        <v>11</v>
      </c>
      <c r="H44" s="65" t="s">
        <v>610</v>
      </c>
    </row>
    <row r="45" spans="1:8" ht="19.8" customHeight="1" x14ac:dyDescent="0.3">
      <c r="A45" s="70">
        <v>45981</v>
      </c>
      <c r="B45" s="61" t="s">
        <v>62</v>
      </c>
      <c r="C45" s="62" t="s">
        <v>634</v>
      </c>
      <c r="D45" s="61" t="s">
        <v>582</v>
      </c>
      <c r="E45" s="71">
        <v>1.2986111111111109</v>
      </c>
      <c r="F45" s="61" t="s">
        <v>66</v>
      </c>
      <c r="G45" s="63">
        <v>9</v>
      </c>
      <c r="H45" s="65" t="s">
        <v>636</v>
      </c>
    </row>
    <row r="46" spans="1:8" ht="19.8" customHeight="1" x14ac:dyDescent="0.3">
      <c r="A46" s="70">
        <v>45981</v>
      </c>
      <c r="B46" s="61" t="s">
        <v>62</v>
      </c>
      <c r="C46" s="62" t="s">
        <v>637</v>
      </c>
      <c r="D46" s="61" t="s">
        <v>582</v>
      </c>
      <c r="E46" s="71">
        <v>1.4826388888888891</v>
      </c>
      <c r="F46" s="61" t="s">
        <v>64</v>
      </c>
      <c r="G46" s="63">
        <v>9</v>
      </c>
      <c r="H46" s="65" t="s">
        <v>638</v>
      </c>
    </row>
    <row r="47" spans="1:8" ht="19.8" customHeight="1" x14ac:dyDescent="0.3">
      <c r="A47" s="70">
        <v>45981</v>
      </c>
      <c r="B47" s="61" t="s">
        <v>62</v>
      </c>
      <c r="C47" s="62" t="s">
        <v>640</v>
      </c>
      <c r="D47" s="61" t="s">
        <v>582</v>
      </c>
      <c r="E47" s="71">
        <v>1.5</v>
      </c>
      <c r="F47" s="61" t="s">
        <v>66</v>
      </c>
      <c r="G47" s="63">
        <v>4</v>
      </c>
      <c r="H47" s="65" t="s">
        <v>641</v>
      </c>
    </row>
    <row r="48" spans="1:8" ht="19.8" customHeight="1" x14ac:dyDescent="0.3">
      <c r="A48" s="70">
        <v>45981</v>
      </c>
      <c r="B48" s="61" t="s">
        <v>62</v>
      </c>
      <c r="C48" s="62" t="s">
        <v>637</v>
      </c>
      <c r="D48" s="61" t="s">
        <v>582</v>
      </c>
      <c r="E48" s="71">
        <v>1.4826388888888891</v>
      </c>
      <c r="F48" s="61" t="s">
        <v>66</v>
      </c>
      <c r="G48" s="63">
        <v>9</v>
      </c>
      <c r="H48" s="65" t="s">
        <v>639</v>
      </c>
    </row>
    <row r="49" spans="1:8" ht="19.8" customHeight="1" x14ac:dyDescent="0.3">
      <c r="A49" s="70">
        <v>45981</v>
      </c>
      <c r="B49" s="61" t="s">
        <v>49</v>
      </c>
      <c r="C49" s="62" t="s">
        <v>630</v>
      </c>
      <c r="D49" s="61" t="s">
        <v>582</v>
      </c>
      <c r="E49" s="71">
        <v>1.541666666666667</v>
      </c>
      <c r="F49" s="61" t="s">
        <v>51</v>
      </c>
      <c r="G49" s="63">
        <v>3</v>
      </c>
      <c r="H49" s="65" t="s">
        <v>631</v>
      </c>
    </row>
    <row r="50" spans="1:8" ht="19.8" customHeight="1" x14ac:dyDescent="0.3">
      <c r="A50" s="70">
        <v>45981</v>
      </c>
      <c r="B50" s="61" t="s">
        <v>49</v>
      </c>
      <c r="C50" s="62" t="s">
        <v>632</v>
      </c>
      <c r="D50" s="61" t="s">
        <v>582</v>
      </c>
      <c r="E50" s="71">
        <v>1.916666666666667</v>
      </c>
      <c r="F50" s="61" t="s">
        <v>51</v>
      </c>
      <c r="G50" s="63">
        <v>1</v>
      </c>
      <c r="H50" s="65" t="s">
        <v>633</v>
      </c>
    </row>
    <row r="51" spans="1:8" ht="19.8" customHeight="1" x14ac:dyDescent="0.3">
      <c r="A51" s="70">
        <v>45981</v>
      </c>
      <c r="B51" s="61" t="s">
        <v>62</v>
      </c>
      <c r="C51" s="62" t="s">
        <v>642</v>
      </c>
      <c r="D51" s="61" t="s">
        <v>582</v>
      </c>
      <c r="E51" s="71">
        <v>1.6840277777777779</v>
      </c>
      <c r="F51" s="61" t="s">
        <v>64</v>
      </c>
      <c r="G51" s="63">
        <v>5</v>
      </c>
      <c r="H51" s="65" t="s">
        <v>643</v>
      </c>
    </row>
    <row r="52" spans="1:8" ht="19.8" customHeight="1" x14ac:dyDescent="0.3">
      <c r="A52" s="72">
        <v>45981</v>
      </c>
      <c r="B52" s="73" t="s">
        <v>62</v>
      </c>
      <c r="C52" s="74" t="s">
        <v>642</v>
      </c>
      <c r="D52" s="73" t="s">
        <v>582</v>
      </c>
      <c r="E52" s="75">
        <v>1.6840277777777779</v>
      </c>
      <c r="F52" s="73" t="s">
        <v>66</v>
      </c>
      <c r="G52" s="76">
        <v>5</v>
      </c>
      <c r="H52" s="77" t="s">
        <v>645</v>
      </c>
    </row>
    <row r="53" spans="1:8" ht="19.8" customHeight="1" x14ac:dyDescent="0.3">
      <c r="A53" s="70">
        <v>45982</v>
      </c>
      <c r="B53" s="61" t="s">
        <v>41</v>
      </c>
      <c r="C53" s="62" t="s">
        <v>606</v>
      </c>
      <c r="D53" s="61" t="s">
        <v>582</v>
      </c>
      <c r="E53" s="71">
        <v>1.760416666666667</v>
      </c>
      <c r="F53" s="61" t="s">
        <v>43</v>
      </c>
      <c r="G53" s="63">
        <v>24</v>
      </c>
      <c r="H53" s="64">
        <v>599</v>
      </c>
    </row>
    <row r="54" spans="1:8" ht="19.8" customHeight="1" x14ac:dyDescent="0.3">
      <c r="A54" s="70">
        <v>45982</v>
      </c>
      <c r="B54" s="61" t="s">
        <v>41</v>
      </c>
      <c r="C54" s="62" t="s">
        <v>602</v>
      </c>
      <c r="D54" s="61" t="s">
        <v>582</v>
      </c>
      <c r="E54" s="71">
        <v>1.5</v>
      </c>
      <c r="F54" s="61" t="s">
        <v>43</v>
      </c>
      <c r="G54" s="63">
        <v>15</v>
      </c>
      <c r="H54" s="64">
        <v>599</v>
      </c>
    </row>
    <row r="55" spans="1:8" ht="19.8" customHeight="1" x14ac:dyDescent="0.3">
      <c r="A55" s="70">
        <v>45982</v>
      </c>
      <c r="B55" s="61" t="s">
        <v>41</v>
      </c>
      <c r="C55" s="62" t="s">
        <v>611</v>
      </c>
      <c r="D55" s="61" t="s">
        <v>582</v>
      </c>
      <c r="E55" s="71">
        <v>1.8159722222222221</v>
      </c>
      <c r="F55" s="61" t="s">
        <v>43</v>
      </c>
      <c r="G55" s="63">
        <v>33</v>
      </c>
      <c r="H55" s="64">
        <v>599</v>
      </c>
    </row>
    <row r="56" spans="1:8" ht="19.8" customHeight="1" x14ac:dyDescent="0.3">
      <c r="A56" s="70">
        <v>45982</v>
      </c>
      <c r="B56" s="61" t="s">
        <v>26</v>
      </c>
      <c r="C56" s="62" t="s">
        <v>587</v>
      </c>
      <c r="D56" s="61" t="s">
        <v>582</v>
      </c>
      <c r="E56" s="71">
        <v>1.5</v>
      </c>
      <c r="F56" s="61" t="s">
        <v>28</v>
      </c>
      <c r="G56" s="63">
        <v>7</v>
      </c>
      <c r="H56" s="64">
        <v>609</v>
      </c>
    </row>
    <row r="57" spans="1:8" ht="19.8" customHeight="1" x14ac:dyDescent="0.3">
      <c r="A57" s="70">
        <v>45982</v>
      </c>
      <c r="B57" s="61" t="s">
        <v>41</v>
      </c>
      <c r="C57" s="62" t="s">
        <v>605</v>
      </c>
      <c r="D57" s="61" t="s">
        <v>582</v>
      </c>
      <c r="E57" s="71">
        <v>1.447916666666667</v>
      </c>
      <c r="F57" s="61" t="s">
        <v>43</v>
      </c>
      <c r="G57" s="63">
        <v>14</v>
      </c>
      <c r="H57" s="64">
        <v>649</v>
      </c>
    </row>
    <row r="58" spans="1:8" ht="19.8" customHeight="1" x14ac:dyDescent="0.3">
      <c r="A58" s="70">
        <v>45982</v>
      </c>
      <c r="B58" s="61" t="s">
        <v>26</v>
      </c>
      <c r="C58" s="62" t="s">
        <v>590</v>
      </c>
      <c r="D58" s="61" t="s">
        <v>582</v>
      </c>
      <c r="E58" s="71">
        <v>1.5659722222222221</v>
      </c>
      <c r="F58" s="61" t="s">
        <v>28</v>
      </c>
      <c r="G58" s="63">
        <v>8</v>
      </c>
      <c r="H58" s="64">
        <v>659</v>
      </c>
    </row>
    <row r="59" spans="1:8" ht="19.8" customHeight="1" x14ac:dyDescent="0.3">
      <c r="A59" s="70">
        <v>45982</v>
      </c>
      <c r="B59" s="61" t="s">
        <v>26</v>
      </c>
      <c r="C59" s="62" t="s">
        <v>587</v>
      </c>
      <c r="D59" s="61" t="s">
        <v>582</v>
      </c>
      <c r="E59" s="71">
        <v>1.5</v>
      </c>
      <c r="F59" s="61" t="s">
        <v>31</v>
      </c>
      <c r="G59" s="63">
        <v>7</v>
      </c>
      <c r="H59" s="64">
        <v>709</v>
      </c>
    </row>
    <row r="60" spans="1:8" ht="19.8" customHeight="1" x14ac:dyDescent="0.3">
      <c r="A60" s="189">
        <v>45982</v>
      </c>
      <c r="B60" s="97" t="s">
        <v>78</v>
      </c>
      <c r="C60" s="98" t="s">
        <v>654</v>
      </c>
      <c r="D60" s="97" t="s">
        <v>582</v>
      </c>
      <c r="E60" s="190">
        <v>1.9236111111111109</v>
      </c>
      <c r="F60" s="97" t="s">
        <v>178</v>
      </c>
      <c r="G60" s="99">
        <v>2</v>
      </c>
      <c r="H60" s="100">
        <v>728</v>
      </c>
    </row>
    <row r="61" spans="1:8" ht="19.8" customHeight="1" x14ac:dyDescent="0.3">
      <c r="A61" s="70">
        <v>45982</v>
      </c>
      <c r="B61" s="61" t="s">
        <v>26</v>
      </c>
      <c r="C61" s="62" t="s">
        <v>598</v>
      </c>
      <c r="D61" s="61" t="s">
        <v>582</v>
      </c>
      <c r="E61" s="71">
        <v>1.8263888888888891</v>
      </c>
      <c r="F61" s="61" t="s">
        <v>28</v>
      </c>
      <c r="G61" s="63">
        <v>9</v>
      </c>
      <c r="H61" s="64">
        <v>739</v>
      </c>
    </row>
    <row r="62" spans="1:8" ht="19.8" customHeight="1" x14ac:dyDescent="0.3">
      <c r="A62" s="70">
        <v>45982</v>
      </c>
      <c r="B62" s="61" t="s">
        <v>26</v>
      </c>
      <c r="C62" s="62" t="s">
        <v>583</v>
      </c>
      <c r="D62" s="61" t="s">
        <v>582</v>
      </c>
      <c r="E62" s="71">
        <v>1.375</v>
      </c>
      <c r="F62" s="61" t="s">
        <v>28</v>
      </c>
      <c r="G62" s="63">
        <v>8</v>
      </c>
      <c r="H62" s="64">
        <v>739</v>
      </c>
    </row>
    <row r="63" spans="1:8" ht="19.8" customHeight="1" x14ac:dyDescent="0.3">
      <c r="A63" s="70">
        <v>45982</v>
      </c>
      <c r="B63" s="61" t="s">
        <v>26</v>
      </c>
      <c r="C63" s="62" t="s">
        <v>584</v>
      </c>
      <c r="D63" s="61" t="s">
        <v>582</v>
      </c>
      <c r="E63" s="71">
        <v>1.305555555555556</v>
      </c>
      <c r="F63" s="61" t="s">
        <v>28</v>
      </c>
      <c r="G63" s="63">
        <v>9</v>
      </c>
      <c r="H63" s="64">
        <v>739</v>
      </c>
    </row>
    <row r="64" spans="1:8" ht="19.8" customHeight="1" x14ac:dyDescent="0.3">
      <c r="A64" s="70">
        <v>45982</v>
      </c>
      <c r="B64" s="61" t="s">
        <v>26</v>
      </c>
      <c r="C64" s="62" t="s">
        <v>594</v>
      </c>
      <c r="D64" s="61" t="s">
        <v>582</v>
      </c>
      <c r="E64" s="71">
        <v>1.6875</v>
      </c>
      <c r="F64" s="61" t="s">
        <v>28</v>
      </c>
      <c r="G64" s="63">
        <v>3</v>
      </c>
      <c r="H64" s="64">
        <v>739</v>
      </c>
    </row>
    <row r="65" spans="1:8" ht="19.8" customHeight="1" x14ac:dyDescent="0.3">
      <c r="A65" s="70">
        <v>45982</v>
      </c>
      <c r="B65" s="61" t="s">
        <v>26</v>
      </c>
      <c r="C65" s="62" t="s">
        <v>586</v>
      </c>
      <c r="D65" s="61" t="s">
        <v>582</v>
      </c>
      <c r="E65" s="71">
        <v>1.427083333333333</v>
      </c>
      <c r="F65" s="61" t="s">
        <v>28</v>
      </c>
      <c r="G65" s="63">
        <v>9</v>
      </c>
      <c r="H65" s="64">
        <v>739</v>
      </c>
    </row>
    <row r="66" spans="1:8" ht="19.8" customHeight="1" x14ac:dyDescent="0.3">
      <c r="A66" s="70">
        <v>45982</v>
      </c>
      <c r="B66" s="61" t="s">
        <v>41</v>
      </c>
      <c r="C66" s="62" t="s">
        <v>606</v>
      </c>
      <c r="D66" s="61" t="s">
        <v>582</v>
      </c>
      <c r="E66" s="71">
        <v>1.760416666666667</v>
      </c>
      <c r="F66" s="61" t="s">
        <v>45</v>
      </c>
      <c r="G66" s="63">
        <v>24</v>
      </c>
      <c r="H66" s="64">
        <v>749</v>
      </c>
    </row>
    <row r="67" spans="1:8" ht="19.8" customHeight="1" x14ac:dyDescent="0.3">
      <c r="A67" s="70">
        <v>45982</v>
      </c>
      <c r="B67" s="61" t="s">
        <v>41</v>
      </c>
      <c r="C67" s="62" t="s">
        <v>602</v>
      </c>
      <c r="D67" s="61" t="s">
        <v>582</v>
      </c>
      <c r="E67" s="71">
        <v>1.5</v>
      </c>
      <c r="F67" s="61" t="s">
        <v>45</v>
      </c>
      <c r="G67" s="63">
        <v>15</v>
      </c>
      <c r="H67" s="64">
        <v>749</v>
      </c>
    </row>
    <row r="68" spans="1:8" ht="19.8" customHeight="1" x14ac:dyDescent="0.3">
      <c r="A68" s="70">
        <v>45982</v>
      </c>
      <c r="B68" s="61" t="s">
        <v>41</v>
      </c>
      <c r="C68" s="62" t="s">
        <v>611</v>
      </c>
      <c r="D68" s="61" t="s">
        <v>582</v>
      </c>
      <c r="E68" s="71">
        <v>1.8159722222222221</v>
      </c>
      <c r="F68" s="61" t="s">
        <v>45</v>
      </c>
      <c r="G68" s="63">
        <v>33</v>
      </c>
      <c r="H68" s="64">
        <v>749</v>
      </c>
    </row>
    <row r="69" spans="1:8" ht="19.8" customHeight="1" x14ac:dyDescent="0.3">
      <c r="A69" s="70">
        <v>45982</v>
      </c>
      <c r="B69" s="61" t="s">
        <v>26</v>
      </c>
      <c r="C69" s="62" t="s">
        <v>590</v>
      </c>
      <c r="D69" s="61" t="s">
        <v>582</v>
      </c>
      <c r="E69" s="71">
        <v>1.5659722222222221</v>
      </c>
      <c r="F69" s="61" t="s">
        <v>31</v>
      </c>
      <c r="G69" s="63">
        <v>8</v>
      </c>
      <c r="H69" s="64">
        <v>759</v>
      </c>
    </row>
    <row r="70" spans="1:8" ht="19.8" customHeight="1" x14ac:dyDescent="0.3">
      <c r="A70" s="70">
        <v>45982</v>
      </c>
      <c r="B70" s="61" t="s">
        <v>41</v>
      </c>
      <c r="C70" s="62" t="s">
        <v>605</v>
      </c>
      <c r="D70" s="61" t="s">
        <v>582</v>
      </c>
      <c r="E70" s="71">
        <v>1.447916666666667</v>
      </c>
      <c r="F70" s="61" t="s">
        <v>45</v>
      </c>
      <c r="G70" s="63">
        <v>14</v>
      </c>
      <c r="H70" s="64">
        <v>799</v>
      </c>
    </row>
    <row r="71" spans="1:8" ht="19.8" customHeight="1" x14ac:dyDescent="0.3">
      <c r="A71" s="70">
        <v>45982</v>
      </c>
      <c r="B71" s="61" t="s">
        <v>26</v>
      </c>
      <c r="C71" s="62" t="s">
        <v>587</v>
      </c>
      <c r="D71" s="61" t="s">
        <v>582</v>
      </c>
      <c r="E71" s="71">
        <v>1.5</v>
      </c>
      <c r="F71" s="61" t="s">
        <v>34</v>
      </c>
      <c r="G71" s="63">
        <v>7</v>
      </c>
      <c r="H71" s="64">
        <v>799</v>
      </c>
    </row>
    <row r="72" spans="1:8" ht="19.8" customHeight="1" x14ac:dyDescent="0.3">
      <c r="A72" s="70">
        <v>45982</v>
      </c>
      <c r="B72" s="61" t="s">
        <v>26</v>
      </c>
      <c r="C72" s="62" t="s">
        <v>598</v>
      </c>
      <c r="D72" s="61" t="s">
        <v>582</v>
      </c>
      <c r="E72" s="71">
        <v>1.8263888888888891</v>
      </c>
      <c r="F72" s="61" t="s">
        <v>31</v>
      </c>
      <c r="G72" s="63">
        <v>9</v>
      </c>
      <c r="H72" s="64">
        <v>839</v>
      </c>
    </row>
    <row r="73" spans="1:8" ht="19.8" customHeight="1" x14ac:dyDescent="0.3">
      <c r="A73" s="70">
        <v>45982</v>
      </c>
      <c r="B73" s="61" t="s">
        <v>26</v>
      </c>
      <c r="C73" s="62" t="s">
        <v>583</v>
      </c>
      <c r="D73" s="61" t="s">
        <v>582</v>
      </c>
      <c r="E73" s="71">
        <v>1.375</v>
      </c>
      <c r="F73" s="61" t="s">
        <v>31</v>
      </c>
      <c r="G73" s="63">
        <v>8</v>
      </c>
      <c r="H73" s="64">
        <v>839</v>
      </c>
    </row>
    <row r="74" spans="1:8" ht="19.8" customHeight="1" x14ac:dyDescent="0.3">
      <c r="A74" s="70">
        <v>45982</v>
      </c>
      <c r="B74" s="61" t="s">
        <v>26</v>
      </c>
      <c r="C74" s="62" t="s">
        <v>584</v>
      </c>
      <c r="D74" s="61" t="s">
        <v>582</v>
      </c>
      <c r="E74" s="71">
        <v>1.305555555555556</v>
      </c>
      <c r="F74" s="61" t="s">
        <v>31</v>
      </c>
      <c r="G74" s="63">
        <v>9</v>
      </c>
      <c r="H74" s="64">
        <v>839</v>
      </c>
    </row>
    <row r="75" spans="1:8" ht="19.8" customHeight="1" x14ac:dyDescent="0.3">
      <c r="A75" s="70">
        <v>45982</v>
      </c>
      <c r="B75" s="61" t="s">
        <v>26</v>
      </c>
      <c r="C75" s="62" t="s">
        <v>594</v>
      </c>
      <c r="D75" s="61" t="s">
        <v>582</v>
      </c>
      <c r="E75" s="71">
        <v>1.6875</v>
      </c>
      <c r="F75" s="61" t="s">
        <v>31</v>
      </c>
      <c r="G75" s="63">
        <v>3</v>
      </c>
      <c r="H75" s="64">
        <v>839</v>
      </c>
    </row>
    <row r="76" spans="1:8" ht="19.8" customHeight="1" x14ac:dyDescent="0.3">
      <c r="A76" s="70">
        <v>45982</v>
      </c>
      <c r="B76" s="61" t="s">
        <v>26</v>
      </c>
      <c r="C76" s="62" t="s">
        <v>586</v>
      </c>
      <c r="D76" s="61" t="s">
        <v>582</v>
      </c>
      <c r="E76" s="71">
        <v>1.427083333333333</v>
      </c>
      <c r="F76" s="61" t="s">
        <v>31</v>
      </c>
      <c r="G76" s="63">
        <v>9</v>
      </c>
      <c r="H76" s="64">
        <v>839</v>
      </c>
    </row>
    <row r="77" spans="1:8" ht="19.8" customHeight="1" x14ac:dyDescent="0.3">
      <c r="A77" s="70">
        <v>45982</v>
      </c>
      <c r="B77" s="61" t="s">
        <v>26</v>
      </c>
      <c r="C77" s="62" t="s">
        <v>590</v>
      </c>
      <c r="D77" s="61" t="s">
        <v>582</v>
      </c>
      <c r="E77" s="71">
        <v>1.5659722222222221</v>
      </c>
      <c r="F77" s="61" t="s">
        <v>34</v>
      </c>
      <c r="G77" s="63">
        <v>8</v>
      </c>
      <c r="H77" s="64">
        <v>849</v>
      </c>
    </row>
    <row r="78" spans="1:8" ht="19.8" customHeight="1" x14ac:dyDescent="0.3">
      <c r="A78" s="70">
        <v>45982</v>
      </c>
      <c r="B78" s="61" t="s">
        <v>41</v>
      </c>
      <c r="C78" s="62" t="s">
        <v>606</v>
      </c>
      <c r="D78" s="61" t="s">
        <v>582</v>
      </c>
      <c r="E78" s="71">
        <v>1.760416666666667</v>
      </c>
      <c r="F78" s="61" t="s">
        <v>47</v>
      </c>
      <c r="G78" s="63">
        <v>24</v>
      </c>
      <c r="H78" s="64">
        <v>899</v>
      </c>
    </row>
    <row r="79" spans="1:8" ht="19.8" customHeight="1" x14ac:dyDescent="0.3">
      <c r="A79" s="70">
        <v>45982</v>
      </c>
      <c r="B79" s="61" t="s">
        <v>26</v>
      </c>
      <c r="C79" s="62" t="s">
        <v>598</v>
      </c>
      <c r="D79" s="61" t="s">
        <v>582</v>
      </c>
      <c r="E79" s="71">
        <v>1.8263888888888891</v>
      </c>
      <c r="F79" s="61" t="s">
        <v>34</v>
      </c>
      <c r="G79" s="63">
        <v>9</v>
      </c>
      <c r="H79" s="64">
        <v>929</v>
      </c>
    </row>
    <row r="80" spans="1:8" ht="19.8" customHeight="1" x14ac:dyDescent="0.3">
      <c r="A80" s="70">
        <v>45982</v>
      </c>
      <c r="B80" s="61" t="s">
        <v>26</v>
      </c>
      <c r="C80" s="62" t="s">
        <v>583</v>
      </c>
      <c r="D80" s="61" t="s">
        <v>582</v>
      </c>
      <c r="E80" s="71">
        <v>1.375</v>
      </c>
      <c r="F80" s="61" t="s">
        <v>34</v>
      </c>
      <c r="G80" s="63">
        <v>8</v>
      </c>
      <c r="H80" s="64">
        <v>929</v>
      </c>
    </row>
    <row r="81" spans="1:8" ht="19.8" customHeight="1" x14ac:dyDescent="0.3">
      <c r="A81" s="70">
        <v>45982</v>
      </c>
      <c r="B81" s="61" t="s">
        <v>26</v>
      </c>
      <c r="C81" s="62" t="s">
        <v>584</v>
      </c>
      <c r="D81" s="61" t="s">
        <v>582</v>
      </c>
      <c r="E81" s="71">
        <v>1.305555555555556</v>
      </c>
      <c r="F81" s="61" t="s">
        <v>34</v>
      </c>
      <c r="G81" s="63">
        <v>9</v>
      </c>
      <c r="H81" s="64">
        <v>929</v>
      </c>
    </row>
    <row r="82" spans="1:8" ht="19.8" customHeight="1" x14ac:dyDescent="0.3">
      <c r="A82" s="70">
        <v>45982</v>
      </c>
      <c r="B82" s="61" t="s">
        <v>26</v>
      </c>
      <c r="C82" s="62" t="s">
        <v>594</v>
      </c>
      <c r="D82" s="61" t="s">
        <v>582</v>
      </c>
      <c r="E82" s="71">
        <v>1.6875</v>
      </c>
      <c r="F82" s="61" t="s">
        <v>34</v>
      </c>
      <c r="G82" s="63">
        <v>3</v>
      </c>
      <c r="H82" s="64">
        <v>929</v>
      </c>
    </row>
    <row r="83" spans="1:8" ht="19.8" customHeight="1" x14ac:dyDescent="0.3">
      <c r="A83" s="70">
        <v>45982</v>
      </c>
      <c r="B83" s="61" t="s">
        <v>26</v>
      </c>
      <c r="C83" s="62" t="s">
        <v>586</v>
      </c>
      <c r="D83" s="61" t="s">
        <v>582</v>
      </c>
      <c r="E83" s="71">
        <v>1.427083333333333</v>
      </c>
      <c r="F83" s="61" t="s">
        <v>34</v>
      </c>
      <c r="G83" s="63">
        <v>9</v>
      </c>
      <c r="H83" s="64">
        <v>929</v>
      </c>
    </row>
    <row r="84" spans="1:8" ht="19.8" customHeight="1" x14ac:dyDescent="0.3">
      <c r="A84" s="70">
        <v>45982</v>
      </c>
      <c r="B84" s="61" t="s">
        <v>277</v>
      </c>
      <c r="C84" s="62" t="s">
        <v>617</v>
      </c>
      <c r="D84" s="61" t="s">
        <v>582</v>
      </c>
      <c r="E84" s="71">
        <v>1.2777777777777779</v>
      </c>
      <c r="F84" s="61" t="s">
        <v>279</v>
      </c>
      <c r="G84" s="63">
        <v>9</v>
      </c>
      <c r="H84" s="64">
        <v>935</v>
      </c>
    </row>
    <row r="85" spans="1:8" ht="19.8" customHeight="1" x14ac:dyDescent="0.3">
      <c r="A85" s="189">
        <v>45982</v>
      </c>
      <c r="B85" s="97" t="s">
        <v>78</v>
      </c>
      <c r="C85" s="98" t="s">
        <v>620</v>
      </c>
      <c r="D85" s="97" t="s">
        <v>582</v>
      </c>
      <c r="E85" s="190">
        <v>1.604166666666667</v>
      </c>
      <c r="F85" s="97" t="s">
        <v>178</v>
      </c>
      <c r="G85" s="99">
        <v>9</v>
      </c>
      <c r="H85" s="100">
        <v>976</v>
      </c>
    </row>
    <row r="86" spans="1:8" ht="19.8" customHeight="1" x14ac:dyDescent="0.3">
      <c r="A86" s="70">
        <v>45982</v>
      </c>
      <c r="B86" s="61" t="s">
        <v>285</v>
      </c>
      <c r="C86" s="62" t="s">
        <v>624</v>
      </c>
      <c r="D86" s="61" t="s">
        <v>582</v>
      </c>
      <c r="E86" s="71">
        <v>1.395833333333333</v>
      </c>
      <c r="F86" s="61" t="s">
        <v>279</v>
      </c>
      <c r="G86" s="63">
        <v>4</v>
      </c>
      <c r="H86" s="65" t="s">
        <v>626</v>
      </c>
    </row>
    <row r="87" spans="1:8" ht="19.8" customHeight="1" x14ac:dyDescent="0.3">
      <c r="A87" s="70">
        <v>45982</v>
      </c>
      <c r="B87" s="61" t="s">
        <v>49</v>
      </c>
      <c r="C87" s="62" t="s">
        <v>632</v>
      </c>
      <c r="D87" s="61" t="s">
        <v>582</v>
      </c>
      <c r="E87" s="71">
        <v>1.916666666666667</v>
      </c>
      <c r="F87" s="61" t="s">
        <v>51</v>
      </c>
      <c r="G87" s="63">
        <v>9</v>
      </c>
      <c r="H87" s="65" t="s">
        <v>661</v>
      </c>
    </row>
    <row r="88" spans="1:8" ht="19.8" customHeight="1" x14ac:dyDescent="0.3">
      <c r="A88" s="70">
        <v>45982</v>
      </c>
      <c r="B88" s="61" t="s">
        <v>41</v>
      </c>
      <c r="C88" s="62" t="s">
        <v>602</v>
      </c>
      <c r="D88" s="61" t="s">
        <v>582</v>
      </c>
      <c r="E88" s="71">
        <v>1.5</v>
      </c>
      <c r="F88" s="61" t="s">
        <v>47</v>
      </c>
      <c r="G88" s="63">
        <v>15</v>
      </c>
      <c r="H88" s="65" t="s">
        <v>604</v>
      </c>
    </row>
    <row r="89" spans="1:8" ht="19.8" customHeight="1" x14ac:dyDescent="0.3">
      <c r="A89" s="70">
        <v>45982</v>
      </c>
      <c r="B89" s="61" t="s">
        <v>41</v>
      </c>
      <c r="C89" s="62" t="s">
        <v>605</v>
      </c>
      <c r="D89" s="61" t="s">
        <v>582</v>
      </c>
      <c r="E89" s="71">
        <v>1.447916666666667</v>
      </c>
      <c r="F89" s="61" t="s">
        <v>47</v>
      </c>
      <c r="G89" s="63">
        <v>14</v>
      </c>
      <c r="H89" s="65" t="s">
        <v>604</v>
      </c>
    </row>
    <row r="90" spans="1:8" ht="19.8" customHeight="1" x14ac:dyDescent="0.3">
      <c r="A90" s="70">
        <v>45982</v>
      </c>
      <c r="B90" s="61" t="s">
        <v>41</v>
      </c>
      <c r="C90" s="62" t="s">
        <v>611</v>
      </c>
      <c r="D90" s="61" t="s">
        <v>582</v>
      </c>
      <c r="E90" s="71">
        <v>1.8159722222222221</v>
      </c>
      <c r="F90" s="61" t="s">
        <v>47</v>
      </c>
      <c r="G90" s="63">
        <v>33</v>
      </c>
      <c r="H90" s="65" t="s">
        <v>604</v>
      </c>
    </row>
    <row r="91" spans="1:8" ht="19.8" customHeight="1" x14ac:dyDescent="0.3">
      <c r="A91" s="70">
        <v>45982</v>
      </c>
      <c r="B91" s="61" t="s">
        <v>62</v>
      </c>
      <c r="C91" s="62" t="s">
        <v>664</v>
      </c>
      <c r="D91" s="61" t="s">
        <v>582</v>
      </c>
      <c r="E91" s="71">
        <v>1.836805555555556</v>
      </c>
      <c r="F91" s="61" t="s">
        <v>64</v>
      </c>
      <c r="G91" s="63">
        <v>9</v>
      </c>
      <c r="H91" s="65" t="s">
        <v>61</v>
      </c>
    </row>
    <row r="92" spans="1:8" ht="19.8" customHeight="1" x14ac:dyDescent="0.3">
      <c r="A92" s="70">
        <v>45982</v>
      </c>
      <c r="B92" s="61" t="s">
        <v>62</v>
      </c>
      <c r="C92" s="62" t="s">
        <v>634</v>
      </c>
      <c r="D92" s="61" t="s">
        <v>582</v>
      </c>
      <c r="E92" s="71">
        <v>1.2986111111111109</v>
      </c>
      <c r="F92" s="61" t="s">
        <v>64</v>
      </c>
      <c r="G92" s="63">
        <v>9</v>
      </c>
      <c r="H92" s="65" t="s">
        <v>61</v>
      </c>
    </row>
    <row r="93" spans="1:8" ht="19.8" customHeight="1" x14ac:dyDescent="0.3">
      <c r="A93" s="70">
        <v>45982</v>
      </c>
      <c r="B93" s="61" t="s">
        <v>62</v>
      </c>
      <c r="C93" s="62" t="s">
        <v>664</v>
      </c>
      <c r="D93" s="61" t="s">
        <v>582</v>
      </c>
      <c r="E93" s="71">
        <v>1.836805555555556</v>
      </c>
      <c r="F93" s="61" t="s">
        <v>66</v>
      </c>
      <c r="G93" s="63">
        <v>9</v>
      </c>
      <c r="H93" s="65" t="s">
        <v>665</v>
      </c>
    </row>
    <row r="94" spans="1:8" ht="19.8" customHeight="1" x14ac:dyDescent="0.3">
      <c r="A94" s="70">
        <v>45982</v>
      </c>
      <c r="B94" s="61" t="s">
        <v>62</v>
      </c>
      <c r="C94" s="62" t="s">
        <v>634</v>
      </c>
      <c r="D94" s="61" t="s">
        <v>582</v>
      </c>
      <c r="E94" s="71">
        <v>1.2986111111111109</v>
      </c>
      <c r="F94" s="61" t="s">
        <v>66</v>
      </c>
      <c r="G94" s="63">
        <v>9</v>
      </c>
      <c r="H94" s="65" t="s">
        <v>665</v>
      </c>
    </row>
    <row r="95" spans="1:8" ht="19.8" customHeight="1" x14ac:dyDescent="0.3">
      <c r="A95" s="70">
        <v>45982</v>
      </c>
      <c r="B95" s="61" t="s">
        <v>62</v>
      </c>
      <c r="C95" s="62" t="s">
        <v>640</v>
      </c>
      <c r="D95" s="61" t="s">
        <v>582</v>
      </c>
      <c r="E95" s="71">
        <v>1.5</v>
      </c>
      <c r="F95" s="61" t="s">
        <v>66</v>
      </c>
      <c r="G95" s="63">
        <v>4</v>
      </c>
      <c r="H95" s="65" t="s">
        <v>641</v>
      </c>
    </row>
    <row r="96" spans="1:8" ht="19.8" customHeight="1" x14ac:dyDescent="0.3">
      <c r="A96" s="70">
        <v>45982</v>
      </c>
      <c r="B96" s="61" t="s">
        <v>62</v>
      </c>
      <c r="C96" s="62" t="s">
        <v>666</v>
      </c>
      <c r="D96" s="61" t="s">
        <v>582</v>
      </c>
      <c r="E96" s="71">
        <v>1.760416666666667</v>
      </c>
      <c r="F96" s="61" t="s">
        <v>66</v>
      </c>
      <c r="G96" s="63">
        <v>4</v>
      </c>
      <c r="H96" s="65" t="s">
        <v>641</v>
      </c>
    </row>
    <row r="97" spans="1:8" ht="19.8" customHeight="1" x14ac:dyDescent="0.3">
      <c r="A97" s="70">
        <v>45982</v>
      </c>
      <c r="B97" s="61" t="s">
        <v>62</v>
      </c>
      <c r="C97" s="62" t="s">
        <v>667</v>
      </c>
      <c r="D97" s="61" t="s">
        <v>582</v>
      </c>
      <c r="E97" s="71">
        <v>1.8159722222222221</v>
      </c>
      <c r="F97" s="61" t="s">
        <v>66</v>
      </c>
      <c r="G97" s="63">
        <v>4</v>
      </c>
      <c r="H97" s="65" t="s">
        <v>641</v>
      </c>
    </row>
    <row r="98" spans="1:8" ht="19.8" customHeight="1" x14ac:dyDescent="0.3">
      <c r="A98" s="70">
        <v>45982</v>
      </c>
      <c r="B98" s="61" t="s">
        <v>49</v>
      </c>
      <c r="C98" s="62" t="s">
        <v>630</v>
      </c>
      <c r="D98" s="61" t="s">
        <v>582</v>
      </c>
      <c r="E98" s="71">
        <v>1.541666666666667</v>
      </c>
      <c r="F98" s="61" t="s">
        <v>51</v>
      </c>
      <c r="G98" s="63">
        <v>5</v>
      </c>
      <c r="H98" s="65" t="s">
        <v>662</v>
      </c>
    </row>
    <row r="99" spans="1:8" ht="19.8" customHeight="1" x14ac:dyDescent="0.3">
      <c r="A99" s="70">
        <v>45982</v>
      </c>
      <c r="B99" s="61" t="s">
        <v>62</v>
      </c>
      <c r="C99" s="62" t="s">
        <v>642</v>
      </c>
      <c r="D99" s="61" t="s">
        <v>582</v>
      </c>
      <c r="E99" s="71">
        <v>1.6840277777777779</v>
      </c>
      <c r="F99" s="61" t="s">
        <v>64</v>
      </c>
      <c r="G99" s="63">
        <v>9</v>
      </c>
      <c r="H99" s="65" t="s">
        <v>668</v>
      </c>
    </row>
    <row r="100" spans="1:8" ht="19.8" customHeight="1" x14ac:dyDescent="0.3">
      <c r="A100" s="70">
        <v>45982</v>
      </c>
      <c r="B100" s="61" t="s">
        <v>62</v>
      </c>
      <c r="C100" s="62" t="s">
        <v>637</v>
      </c>
      <c r="D100" s="61" t="s">
        <v>582</v>
      </c>
      <c r="E100" s="71">
        <v>1.4826388888888891</v>
      </c>
      <c r="F100" s="61" t="s">
        <v>64</v>
      </c>
      <c r="G100" s="63">
        <v>9</v>
      </c>
      <c r="H100" s="65" t="s">
        <v>668</v>
      </c>
    </row>
    <row r="101" spans="1:8" ht="19.8" customHeight="1" x14ac:dyDescent="0.3">
      <c r="A101" s="70">
        <v>45982</v>
      </c>
      <c r="B101" s="61" t="s">
        <v>62</v>
      </c>
      <c r="C101" s="62" t="s">
        <v>642</v>
      </c>
      <c r="D101" s="61" t="s">
        <v>582</v>
      </c>
      <c r="E101" s="71">
        <v>1.6840277777777779</v>
      </c>
      <c r="F101" s="61" t="s">
        <v>66</v>
      </c>
      <c r="G101" s="63">
        <v>9</v>
      </c>
      <c r="H101" s="65" t="s">
        <v>669</v>
      </c>
    </row>
    <row r="102" spans="1:8" ht="19.8" customHeight="1" x14ac:dyDescent="0.3">
      <c r="A102" s="70">
        <v>45982</v>
      </c>
      <c r="B102" s="61" t="s">
        <v>62</v>
      </c>
      <c r="C102" s="62" t="s">
        <v>637</v>
      </c>
      <c r="D102" s="61" t="s">
        <v>582</v>
      </c>
      <c r="E102" s="71">
        <v>1.4826388888888891</v>
      </c>
      <c r="F102" s="61" t="s">
        <v>66</v>
      </c>
      <c r="G102" s="63">
        <v>9</v>
      </c>
      <c r="H102" s="65" t="s">
        <v>669</v>
      </c>
    </row>
    <row r="103" spans="1:8" ht="19.8" customHeight="1" x14ac:dyDescent="0.3">
      <c r="A103" s="72">
        <v>45982</v>
      </c>
      <c r="B103" s="73" t="s">
        <v>49</v>
      </c>
      <c r="C103" s="74" t="s">
        <v>628</v>
      </c>
      <c r="D103" s="73" t="s">
        <v>582</v>
      </c>
      <c r="E103" s="75">
        <v>1.166666666666667</v>
      </c>
      <c r="F103" s="73" t="s">
        <v>51</v>
      </c>
      <c r="G103" s="76">
        <v>1</v>
      </c>
      <c r="H103" s="77" t="s">
        <v>663</v>
      </c>
    </row>
    <row r="104" spans="1:8" ht="19.8" customHeight="1" x14ac:dyDescent="0.3">
      <c r="A104" s="70">
        <v>45983</v>
      </c>
      <c r="B104" s="61" t="s">
        <v>41</v>
      </c>
      <c r="C104" s="62" t="s">
        <v>611</v>
      </c>
      <c r="D104" s="61" t="s">
        <v>582</v>
      </c>
      <c r="E104" s="71">
        <v>1.8159722222222221</v>
      </c>
      <c r="F104" s="61" t="s">
        <v>43</v>
      </c>
      <c r="G104" s="63">
        <v>8</v>
      </c>
      <c r="H104" s="64">
        <v>469</v>
      </c>
    </row>
    <row r="105" spans="1:8" ht="19.8" customHeight="1" x14ac:dyDescent="0.3">
      <c r="A105" s="70">
        <v>45983</v>
      </c>
      <c r="B105" s="61" t="s">
        <v>41</v>
      </c>
      <c r="C105" s="62" t="s">
        <v>606</v>
      </c>
      <c r="D105" s="61" t="s">
        <v>582</v>
      </c>
      <c r="E105" s="71">
        <v>1.760416666666667</v>
      </c>
      <c r="F105" s="61" t="s">
        <v>43</v>
      </c>
      <c r="G105" s="63">
        <v>15</v>
      </c>
      <c r="H105" s="64">
        <v>509</v>
      </c>
    </row>
    <row r="106" spans="1:8" ht="19.8" customHeight="1" x14ac:dyDescent="0.3">
      <c r="A106" s="70">
        <v>45983</v>
      </c>
      <c r="B106" s="61" t="s">
        <v>41</v>
      </c>
      <c r="C106" s="62" t="s">
        <v>602</v>
      </c>
      <c r="D106" s="61" t="s">
        <v>582</v>
      </c>
      <c r="E106" s="71">
        <v>1.5</v>
      </c>
      <c r="F106" s="61" t="s">
        <v>43</v>
      </c>
      <c r="G106" s="63">
        <v>9</v>
      </c>
      <c r="H106" s="64">
        <v>509</v>
      </c>
    </row>
    <row r="107" spans="1:8" ht="19.8" customHeight="1" x14ac:dyDescent="0.3">
      <c r="A107" s="70">
        <v>45983</v>
      </c>
      <c r="B107" s="61" t="s">
        <v>41</v>
      </c>
      <c r="C107" s="62" t="s">
        <v>605</v>
      </c>
      <c r="D107" s="61" t="s">
        <v>582</v>
      </c>
      <c r="E107" s="71">
        <v>1.447916666666667</v>
      </c>
      <c r="F107" s="61" t="s">
        <v>43</v>
      </c>
      <c r="G107" s="63">
        <v>10</v>
      </c>
      <c r="H107" s="64">
        <v>509</v>
      </c>
    </row>
    <row r="108" spans="1:8" ht="19.8" customHeight="1" x14ac:dyDescent="0.3">
      <c r="A108" s="70">
        <v>45983</v>
      </c>
      <c r="B108" s="61" t="s">
        <v>285</v>
      </c>
      <c r="C108" s="62" t="s">
        <v>674</v>
      </c>
      <c r="D108" s="61" t="s">
        <v>582</v>
      </c>
      <c r="E108" s="71">
        <v>1.663194444444444</v>
      </c>
      <c r="F108" s="61" t="s">
        <v>279</v>
      </c>
      <c r="G108" s="63">
        <v>9</v>
      </c>
      <c r="H108" s="64">
        <v>518</v>
      </c>
    </row>
    <row r="109" spans="1:8" ht="19.8" customHeight="1" x14ac:dyDescent="0.3">
      <c r="A109" s="70">
        <v>45983</v>
      </c>
      <c r="B109" s="61" t="s">
        <v>26</v>
      </c>
      <c r="C109" s="62" t="s">
        <v>587</v>
      </c>
      <c r="D109" s="61" t="s">
        <v>582</v>
      </c>
      <c r="E109" s="71">
        <v>1.5</v>
      </c>
      <c r="F109" s="61" t="s">
        <v>28</v>
      </c>
      <c r="G109" s="63">
        <v>8</v>
      </c>
      <c r="H109" s="64">
        <v>539</v>
      </c>
    </row>
    <row r="110" spans="1:8" ht="19.8" customHeight="1" x14ac:dyDescent="0.3">
      <c r="A110" s="70">
        <v>45983</v>
      </c>
      <c r="B110" s="61" t="s">
        <v>26</v>
      </c>
      <c r="C110" s="62" t="s">
        <v>590</v>
      </c>
      <c r="D110" s="61" t="s">
        <v>582</v>
      </c>
      <c r="E110" s="71">
        <v>1.5659722222222221</v>
      </c>
      <c r="F110" s="61" t="s">
        <v>28</v>
      </c>
      <c r="G110" s="63">
        <v>9</v>
      </c>
      <c r="H110" s="64">
        <v>539</v>
      </c>
    </row>
    <row r="111" spans="1:8" ht="19.8" customHeight="1" x14ac:dyDescent="0.3">
      <c r="A111" s="70">
        <v>45983</v>
      </c>
      <c r="B111" s="61" t="s">
        <v>26</v>
      </c>
      <c r="C111" s="62" t="s">
        <v>584</v>
      </c>
      <c r="D111" s="61" t="s">
        <v>582</v>
      </c>
      <c r="E111" s="71">
        <v>1.305555555555556</v>
      </c>
      <c r="F111" s="61" t="s">
        <v>28</v>
      </c>
      <c r="G111" s="63">
        <v>5</v>
      </c>
      <c r="H111" s="64">
        <v>539</v>
      </c>
    </row>
    <row r="112" spans="1:8" ht="19.8" customHeight="1" x14ac:dyDescent="0.3">
      <c r="A112" s="70">
        <v>45983</v>
      </c>
      <c r="B112" s="61" t="s">
        <v>26</v>
      </c>
      <c r="C112" s="62" t="s">
        <v>586</v>
      </c>
      <c r="D112" s="61" t="s">
        <v>582</v>
      </c>
      <c r="E112" s="71">
        <v>1.427083333333333</v>
      </c>
      <c r="F112" s="61" t="s">
        <v>28</v>
      </c>
      <c r="G112" s="63">
        <v>9</v>
      </c>
      <c r="H112" s="64">
        <v>539</v>
      </c>
    </row>
    <row r="113" spans="1:8" ht="19.8" customHeight="1" x14ac:dyDescent="0.3">
      <c r="A113" s="70">
        <v>45983</v>
      </c>
      <c r="B113" s="61" t="s">
        <v>26</v>
      </c>
      <c r="C113" s="62" t="s">
        <v>598</v>
      </c>
      <c r="D113" s="61" t="s">
        <v>582</v>
      </c>
      <c r="E113" s="71">
        <v>1.8263888888888891</v>
      </c>
      <c r="F113" s="61" t="s">
        <v>28</v>
      </c>
      <c r="G113" s="63">
        <v>9</v>
      </c>
      <c r="H113" s="64">
        <v>589</v>
      </c>
    </row>
    <row r="114" spans="1:8" ht="19.8" customHeight="1" x14ac:dyDescent="0.3">
      <c r="A114" s="70">
        <v>45983</v>
      </c>
      <c r="B114" s="61" t="s">
        <v>26</v>
      </c>
      <c r="C114" s="62" t="s">
        <v>583</v>
      </c>
      <c r="D114" s="61" t="s">
        <v>582</v>
      </c>
      <c r="E114" s="71">
        <v>1.375</v>
      </c>
      <c r="F114" s="61" t="s">
        <v>28</v>
      </c>
      <c r="G114" s="63">
        <v>6</v>
      </c>
      <c r="H114" s="64">
        <v>589</v>
      </c>
    </row>
    <row r="115" spans="1:8" ht="19.8" customHeight="1" x14ac:dyDescent="0.3">
      <c r="A115" s="70">
        <v>45983</v>
      </c>
      <c r="B115" s="61" t="s">
        <v>26</v>
      </c>
      <c r="C115" s="62" t="s">
        <v>594</v>
      </c>
      <c r="D115" s="61" t="s">
        <v>582</v>
      </c>
      <c r="E115" s="71">
        <v>1.6875</v>
      </c>
      <c r="F115" s="61" t="s">
        <v>28</v>
      </c>
      <c r="G115" s="63">
        <v>9</v>
      </c>
      <c r="H115" s="64">
        <v>589</v>
      </c>
    </row>
    <row r="116" spans="1:8" ht="19.8" customHeight="1" x14ac:dyDescent="0.3">
      <c r="A116" s="70">
        <v>45983</v>
      </c>
      <c r="B116" s="61" t="s">
        <v>41</v>
      </c>
      <c r="C116" s="62" t="s">
        <v>611</v>
      </c>
      <c r="D116" s="61" t="s">
        <v>582</v>
      </c>
      <c r="E116" s="71">
        <v>1.8159722222222221</v>
      </c>
      <c r="F116" s="61" t="s">
        <v>45</v>
      </c>
      <c r="G116" s="63">
        <v>8</v>
      </c>
      <c r="H116" s="64">
        <v>619</v>
      </c>
    </row>
    <row r="117" spans="1:8" ht="19.8" customHeight="1" x14ac:dyDescent="0.3">
      <c r="A117" s="70">
        <v>45983</v>
      </c>
      <c r="B117" s="61" t="s">
        <v>26</v>
      </c>
      <c r="C117" s="62" t="s">
        <v>587</v>
      </c>
      <c r="D117" s="61" t="s">
        <v>582</v>
      </c>
      <c r="E117" s="71">
        <v>1.5</v>
      </c>
      <c r="F117" s="61" t="s">
        <v>31</v>
      </c>
      <c r="G117" s="63">
        <v>8</v>
      </c>
      <c r="H117" s="64">
        <v>639</v>
      </c>
    </row>
    <row r="118" spans="1:8" ht="19.8" customHeight="1" x14ac:dyDescent="0.3">
      <c r="A118" s="70">
        <v>45983</v>
      </c>
      <c r="B118" s="61" t="s">
        <v>26</v>
      </c>
      <c r="C118" s="62" t="s">
        <v>590</v>
      </c>
      <c r="D118" s="61" t="s">
        <v>582</v>
      </c>
      <c r="E118" s="71">
        <v>1.5659722222222221</v>
      </c>
      <c r="F118" s="61" t="s">
        <v>31</v>
      </c>
      <c r="G118" s="63">
        <v>9</v>
      </c>
      <c r="H118" s="64">
        <v>639</v>
      </c>
    </row>
    <row r="119" spans="1:8" ht="19.8" customHeight="1" x14ac:dyDescent="0.3">
      <c r="A119" s="70">
        <v>45983</v>
      </c>
      <c r="B119" s="61" t="s">
        <v>26</v>
      </c>
      <c r="C119" s="62" t="s">
        <v>584</v>
      </c>
      <c r="D119" s="61" t="s">
        <v>582</v>
      </c>
      <c r="E119" s="71">
        <v>1.305555555555556</v>
      </c>
      <c r="F119" s="61" t="s">
        <v>31</v>
      </c>
      <c r="G119" s="63">
        <v>5</v>
      </c>
      <c r="H119" s="64">
        <v>639</v>
      </c>
    </row>
    <row r="120" spans="1:8" ht="19.8" customHeight="1" x14ac:dyDescent="0.3">
      <c r="A120" s="70">
        <v>45983</v>
      </c>
      <c r="B120" s="61" t="s">
        <v>26</v>
      </c>
      <c r="C120" s="62" t="s">
        <v>586</v>
      </c>
      <c r="D120" s="61" t="s">
        <v>582</v>
      </c>
      <c r="E120" s="71">
        <v>1.427083333333333</v>
      </c>
      <c r="F120" s="61" t="s">
        <v>31</v>
      </c>
      <c r="G120" s="63">
        <v>9</v>
      </c>
      <c r="H120" s="64">
        <v>639</v>
      </c>
    </row>
    <row r="121" spans="1:8" ht="19.8" customHeight="1" x14ac:dyDescent="0.3">
      <c r="A121" s="70">
        <v>45983</v>
      </c>
      <c r="B121" s="61" t="s">
        <v>41</v>
      </c>
      <c r="C121" s="62" t="s">
        <v>606</v>
      </c>
      <c r="D121" s="61" t="s">
        <v>582</v>
      </c>
      <c r="E121" s="71">
        <v>1.760416666666667</v>
      </c>
      <c r="F121" s="61" t="s">
        <v>45</v>
      </c>
      <c r="G121" s="63">
        <v>15</v>
      </c>
      <c r="H121" s="64">
        <v>659</v>
      </c>
    </row>
    <row r="122" spans="1:8" ht="19.8" customHeight="1" x14ac:dyDescent="0.3">
      <c r="A122" s="70">
        <v>45983</v>
      </c>
      <c r="B122" s="61" t="s">
        <v>41</v>
      </c>
      <c r="C122" s="62" t="s">
        <v>602</v>
      </c>
      <c r="D122" s="61" t="s">
        <v>582</v>
      </c>
      <c r="E122" s="71">
        <v>1.5</v>
      </c>
      <c r="F122" s="61" t="s">
        <v>45</v>
      </c>
      <c r="G122" s="63">
        <v>9</v>
      </c>
      <c r="H122" s="64">
        <v>659</v>
      </c>
    </row>
    <row r="123" spans="1:8" ht="19.8" customHeight="1" x14ac:dyDescent="0.3">
      <c r="A123" s="70">
        <v>45983</v>
      </c>
      <c r="B123" s="61" t="s">
        <v>41</v>
      </c>
      <c r="C123" s="62" t="s">
        <v>605</v>
      </c>
      <c r="D123" s="61" t="s">
        <v>582</v>
      </c>
      <c r="E123" s="71">
        <v>1.447916666666667</v>
      </c>
      <c r="F123" s="61" t="s">
        <v>45</v>
      </c>
      <c r="G123" s="63">
        <v>10</v>
      </c>
      <c r="H123" s="64">
        <v>659</v>
      </c>
    </row>
    <row r="124" spans="1:8" ht="19.8" customHeight="1" x14ac:dyDescent="0.3">
      <c r="A124" s="70">
        <v>45983</v>
      </c>
      <c r="B124" s="61" t="s">
        <v>26</v>
      </c>
      <c r="C124" s="62" t="s">
        <v>598</v>
      </c>
      <c r="D124" s="61" t="s">
        <v>582</v>
      </c>
      <c r="E124" s="71">
        <v>1.8263888888888891</v>
      </c>
      <c r="F124" s="61" t="s">
        <v>31</v>
      </c>
      <c r="G124" s="63">
        <v>9</v>
      </c>
      <c r="H124" s="64">
        <v>689</v>
      </c>
    </row>
    <row r="125" spans="1:8" ht="19.8" customHeight="1" x14ac:dyDescent="0.3">
      <c r="A125" s="70">
        <v>45983</v>
      </c>
      <c r="B125" s="61" t="s">
        <v>26</v>
      </c>
      <c r="C125" s="62" t="s">
        <v>583</v>
      </c>
      <c r="D125" s="61" t="s">
        <v>582</v>
      </c>
      <c r="E125" s="71">
        <v>1.375</v>
      </c>
      <c r="F125" s="61" t="s">
        <v>31</v>
      </c>
      <c r="G125" s="63">
        <v>6</v>
      </c>
      <c r="H125" s="64">
        <v>689</v>
      </c>
    </row>
    <row r="126" spans="1:8" ht="19.8" customHeight="1" x14ac:dyDescent="0.3">
      <c r="A126" s="70">
        <v>45983</v>
      </c>
      <c r="B126" s="61" t="s">
        <v>26</v>
      </c>
      <c r="C126" s="62" t="s">
        <v>594</v>
      </c>
      <c r="D126" s="61" t="s">
        <v>582</v>
      </c>
      <c r="E126" s="71">
        <v>1.6875</v>
      </c>
      <c r="F126" s="61" t="s">
        <v>31</v>
      </c>
      <c r="G126" s="63">
        <v>9</v>
      </c>
      <c r="H126" s="64">
        <v>689</v>
      </c>
    </row>
    <row r="127" spans="1:8" ht="19.8" customHeight="1" x14ac:dyDescent="0.3">
      <c r="A127" s="189">
        <v>45983</v>
      </c>
      <c r="B127" s="97" t="s">
        <v>78</v>
      </c>
      <c r="C127" s="98" t="s">
        <v>620</v>
      </c>
      <c r="D127" s="97" t="s">
        <v>582</v>
      </c>
      <c r="E127" s="190">
        <v>1.6111111111111109</v>
      </c>
      <c r="F127" s="97" t="s">
        <v>178</v>
      </c>
      <c r="G127" s="99">
        <v>9</v>
      </c>
      <c r="H127" s="100">
        <v>728</v>
      </c>
    </row>
    <row r="128" spans="1:8" ht="19.8" customHeight="1" x14ac:dyDescent="0.3">
      <c r="A128" s="70">
        <v>45983</v>
      </c>
      <c r="B128" s="61" t="s">
        <v>26</v>
      </c>
      <c r="C128" s="62" t="s">
        <v>587</v>
      </c>
      <c r="D128" s="61" t="s">
        <v>582</v>
      </c>
      <c r="E128" s="71">
        <v>1.5</v>
      </c>
      <c r="F128" s="61" t="s">
        <v>34</v>
      </c>
      <c r="G128" s="63">
        <v>8</v>
      </c>
      <c r="H128" s="64">
        <v>729</v>
      </c>
    </row>
    <row r="129" spans="1:8" ht="19.8" customHeight="1" x14ac:dyDescent="0.3">
      <c r="A129" s="70">
        <v>45983</v>
      </c>
      <c r="B129" s="61" t="s">
        <v>26</v>
      </c>
      <c r="C129" s="62" t="s">
        <v>590</v>
      </c>
      <c r="D129" s="61" t="s">
        <v>582</v>
      </c>
      <c r="E129" s="71">
        <v>1.5659722222222221</v>
      </c>
      <c r="F129" s="61" t="s">
        <v>34</v>
      </c>
      <c r="G129" s="63">
        <v>9</v>
      </c>
      <c r="H129" s="64">
        <v>729</v>
      </c>
    </row>
    <row r="130" spans="1:8" ht="19.8" customHeight="1" x14ac:dyDescent="0.3">
      <c r="A130" s="70">
        <v>45983</v>
      </c>
      <c r="B130" s="61" t="s">
        <v>26</v>
      </c>
      <c r="C130" s="62" t="s">
        <v>584</v>
      </c>
      <c r="D130" s="61" t="s">
        <v>582</v>
      </c>
      <c r="E130" s="71">
        <v>1.305555555555556</v>
      </c>
      <c r="F130" s="61" t="s">
        <v>34</v>
      </c>
      <c r="G130" s="63">
        <v>5</v>
      </c>
      <c r="H130" s="64">
        <v>729</v>
      </c>
    </row>
    <row r="131" spans="1:8" ht="19.8" customHeight="1" x14ac:dyDescent="0.3">
      <c r="A131" s="70">
        <v>45983</v>
      </c>
      <c r="B131" s="61" t="s">
        <v>26</v>
      </c>
      <c r="C131" s="62" t="s">
        <v>586</v>
      </c>
      <c r="D131" s="61" t="s">
        <v>582</v>
      </c>
      <c r="E131" s="71">
        <v>1.427083333333333</v>
      </c>
      <c r="F131" s="61" t="s">
        <v>34</v>
      </c>
      <c r="G131" s="63">
        <v>9</v>
      </c>
      <c r="H131" s="64">
        <v>729</v>
      </c>
    </row>
    <row r="132" spans="1:8" ht="19.8" customHeight="1" x14ac:dyDescent="0.3">
      <c r="A132" s="70">
        <v>45983</v>
      </c>
      <c r="B132" s="61" t="s">
        <v>277</v>
      </c>
      <c r="C132" s="62" t="s">
        <v>617</v>
      </c>
      <c r="D132" s="61" t="s">
        <v>582</v>
      </c>
      <c r="E132" s="71">
        <v>1.274305555555556</v>
      </c>
      <c r="F132" s="61" t="s">
        <v>279</v>
      </c>
      <c r="G132" s="63">
        <v>7</v>
      </c>
      <c r="H132" s="64">
        <v>745</v>
      </c>
    </row>
    <row r="133" spans="1:8" ht="19.8" customHeight="1" x14ac:dyDescent="0.3">
      <c r="A133" s="70">
        <v>45983</v>
      </c>
      <c r="B133" s="61" t="s">
        <v>26</v>
      </c>
      <c r="C133" s="62" t="s">
        <v>598</v>
      </c>
      <c r="D133" s="61" t="s">
        <v>582</v>
      </c>
      <c r="E133" s="71">
        <v>1.8263888888888891</v>
      </c>
      <c r="F133" s="61" t="s">
        <v>34</v>
      </c>
      <c r="G133" s="63">
        <v>9</v>
      </c>
      <c r="H133" s="64">
        <v>779</v>
      </c>
    </row>
    <row r="134" spans="1:8" ht="19.8" customHeight="1" x14ac:dyDescent="0.3">
      <c r="A134" s="70">
        <v>45983</v>
      </c>
      <c r="B134" s="61" t="s">
        <v>26</v>
      </c>
      <c r="C134" s="62" t="s">
        <v>583</v>
      </c>
      <c r="D134" s="61" t="s">
        <v>582</v>
      </c>
      <c r="E134" s="71">
        <v>1.375</v>
      </c>
      <c r="F134" s="61" t="s">
        <v>34</v>
      </c>
      <c r="G134" s="63">
        <v>6</v>
      </c>
      <c r="H134" s="64">
        <v>779</v>
      </c>
    </row>
    <row r="135" spans="1:8" ht="19.8" customHeight="1" x14ac:dyDescent="0.3">
      <c r="A135" s="70">
        <v>45983</v>
      </c>
      <c r="B135" s="61" t="s">
        <v>26</v>
      </c>
      <c r="C135" s="62" t="s">
        <v>594</v>
      </c>
      <c r="D135" s="61" t="s">
        <v>582</v>
      </c>
      <c r="E135" s="71">
        <v>1.6875</v>
      </c>
      <c r="F135" s="61" t="s">
        <v>34</v>
      </c>
      <c r="G135" s="63">
        <v>9</v>
      </c>
      <c r="H135" s="64">
        <v>779</v>
      </c>
    </row>
    <row r="136" spans="1:8" ht="19.8" customHeight="1" x14ac:dyDescent="0.3">
      <c r="A136" s="70">
        <v>45983</v>
      </c>
      <c r="B136" s="61" t="s">
        <v>41</v>
      </c>
      <c r="C136" s="62" t="s">
        <v>606</v>
      </c>
      <c r="D136" s="61" t="s">
        <v>582</v>
      </c>
      <c r="E136" s="71">
        <v>1.760416666666667</v>
      </c>
      <c r="F136" s="61" t="s">
        <v>47</v>
      </c>
      <c r="G136" s="63">
        <v>15</v>
      </c>
      <c r="H136" s="64">
        <v>899</v>
      </c>
    </row>
    <row r="137" spans="1:8" ht="19.8" customHeight="1" x14ac:dyDescent="0.3">
      <c r="A137" s="70">
        <v>45983</v>
      </c>
      <c r="B137" s="61" t="s">
        <v>41</v>
      </c>
      <c r="C137" s="62" t="s">
        <v>602</v>
      </c>
      <c r="D137" s="61" t="s">
        <v>582</v>
      </c>
      <c r="E137" s="71">
        <v>1.5</v>
      </c>
      <c r="F137" s="61" t="s">
        <v>47</v>
      </c>
      <c r="G137" s="63">
        <v>9</v>
      </c>
      <c r="H137" s="64">
        <v>899</v>
      </c>
    </row>
    <row r="138" spans="1:8" ht="19.8" customHeight="1" x14ac:dyDescent="0.3">
      <c r="A138" s="70">
        <v>45983</v>
      </c>
      <c r="B138" s="61" t="s">
        <v>41</v>
      </c>
      <c r="C138" s="62" t="s">
        <v>611</v>
      </c>
      <c r="D138" s="61" t="s">
        <v>582</v>
      </c>
      <c r="E138" s="71">
        <v>1.8159722222222221</v>
      </c>
      <c r="F138" s="61" t="s">
        <v>47</v>
      </c>
      <c r="G138" s="63">
        <v>8</v>
      </c>
      <c r="H138" s="64">
        <v>899</v>
      </c>
    </row>
    <row r="139" spans="1:8" ht="19.8" customHeight="1" x14ac:dyDescent="0.3">
      <c r="A139" s="70">
        <v>45983</v>
      </c>
      <c r="B139" s="61" t="s">
        <v>49</v>
      </c>
      <c r="C139" s="62" t="s">
        <v>628</v>
      </c>
      <c r="D139" s="61" t="s">
        <v>582</v>
      </c>
      <c r="E139" s="71">
        <v>1.166666666666667</v>
      </c>
      <c r="F139" s="61" t="s">
        <v>51</v>
      </c>
      <c r="G139" s="63">
        <v>9</v>
      </c>
      <c r="H139" s="65" t="s">
        <v>681</v>
      </c>
    </row>
    <row r="140" spans="1:8" ht="19.8" customHeight="1" x14ac:dyDescent="0.3">
      <c r="A140" s="70">
        <v>45983</v>
      </c>
      <c r="B140" s="61" t="s">
        <v>49</v>
      </c>
      <c r="C140" s="62" t="s">
        <v>630</v>
      </c>
      <c r="D140" s="61" t="s">
        <v>582</v>
      </c>
      <c r="E140" s="71">
        <v>1.541666666666667</v>
      </c>
      <c r="F140" s="61" t="s">
        <v>51</v>
      </c>
      <c r="G140" s="63">
        <v>9</v>
      </c>
      <c r="H140" s="65" t="s">
        <v>661</v>
      </c>
    </row>
    <row r="141" spans="1:8" ht="19.8" customHeight="1" x14ac:dyDescent="0.3">
      <c r="A141" s="70">
        <v>45983</v>
      </c>
      <c r="B141" s="61" t="s">
        <v>49</v>
      </c>
      <c r="C141" s="62" t="s">
        <v>632</v>
      </c>
      <c r="D141" s="61" t="s">
        <v>582</v>
      </c>
      <c r="E141" s="71">
        <v>1.9201388888888891</v>
      </c>
      <c r="F141" s="61" t="s">
        <v>51</v>
      </c>
      <c r="G141" s="63">
        <v>9</v>
      </c>
      <c r="H141" s="65" t="s">
        <v>661</v>
      </c>
    </row>
    <row r="142" spans="1:8" ht="19.8" customHeight="1" x14ac:dyDescent="0.3">
      <c r="A142" s="70">
        <v>45983</v>
      </c>
      <c r="B142" s="61" t="s">
        <v>41</v>
      </c>
      <c r="C142" s="62" t="s">
        <v>605</v>
      </c>
      <c r="D142" s="61" t="s">
        <v>582</v>
      </c>
      <c r="E142" s="71">
        <v>1.447916666666667</v>
      </c>
      <c r="F142" s="61" t="s">
        <v>47</v>
      </c>
      <c r="G142" s="63">
        <v>10</v>
      </c>
      <c r="H142" s="65" t="s">
        <v>604</v>
      </c>
    </row>
    <row r="143" spans="1:8" ht="19.8" customHeight="1" x14ac:dyDescent="0.3">
      <c r="A143" s="70">
        <v>45983</v>
      </c>
      <c r="B143" s="61" t="s">
        <v>62</v>
      </c>
      <c r="C143" s="62" t="s">
        <v>640</v>
      </c>
      <c r="D143" s="61" t="s">
        <v>582</v>
      </c>
      <c r="E143" s="71">
        <v>1.5</v>
      </c>
      <c r="F143" s="61" t="s">
        <v>66</v>
      </c>
      <c r="G143" s="63">
        <v>4</v>
      </c>
      <c r="H143" s="65" t="s">
        <v>682</v>
      </c>
    </row>
    <row r="144" spans="1:8" ht="19.8" customHeight="1" x14ac:dyDescent="0.3">
      <c r="A144" s="70">
        <v>45983</v>
      </c>
      <c r="B144" s="61" t="s">
        <v>62</v>
      </c>
      <c r="C144" s="62" t="s">
        <v>666</v>
      </c>
      <c r="D144" s="61" t="s">
        <v>582</v>
      </c>
      <c r="E144" s="71">
        <v>1.760416666666667</v>
      </c>
      <c r="F144" s="61" t="s">
        <v>66</v>
      </c>
      <c r="G144" s="63">
        <v>4</v>
      </c>
      <c r="H144" s="65" t="s">
        <v>682</v>
      </c>
    </row>
    <row r="145" spans="1:8" ht="19.8" customHeight="1" x14ac:dyDescent="0.3">
      <c r="A145" s="70">
        <v>45983</v>
      </c>
      <c r="B145" s="61" t="s">
        <v>62</v>
      </c>
      <c r="C145" s="62" t="s">
        <v>667</v>
      </c>
      <c r="D145" s="61" t="s">
        <v>582</v>
      </c>
      <c r="E145" s="71">
        <v>1.8159722222222221</v>
      </c>
      <c r="F145" s="61" t="s">
        <v>66</v>
      </c>
      <c r="G145" s="63">
        <v>4</v>
      </c>
      <c r="H145" s="65" t="s">
        <v>682</v>
      </c>
    </row>
    <row r="146" spans="1:8" ht="19.8" customHeight="1" x14ac:dyDescent="0.3">
      <c r="A146" s="70">
        <v>45983</v>
      </c>
      <c r="B146" s="61" t="s">
        <v>62</v>
      </c>
      <c r="C146" s="62" t="s">
        <v>664</v>
      </c>
      <c r="D146" s="61" t="s">
        <v>582</v>
      </c>
      <c r="E146" s="71">
        <v>1.836805555555556</v>
      </c>
      <c r="F146" s="61" t="s">
        <v>64</v>
      </c>
      <c r="G146" s="63">
        <v>9</v>
      </c>
      <c r="H146" s="65" t="s">
        <v>61</v>
      </c>
    </row>
    <row r="147" spans="1:8" ht="19.8" customHeight="1" x14ac:dyDescent="0.3">
      <c r="A147" s="70">
        <v>45983</v>
      </c>
      <c r="B147" s="61" t="s">
        <v>62</v>
      </c>
      <c r="C147" s="62" t="s">
        <v>642</v>
      </c>
      <c r="D147" s="61" t="s">
        <v>582</v>
      </c>
      <c r="E147" s="71">
        <v>1.6840277777777779</v>
      </c>
      <c r="F147" s="61" t="s">
        <v>64</v>
      </c>
      <c r="G147" s="63">
        <v>9</v>
      </c>
      <c r="H147" s="65" t="s">
        <v>61</v>
      </c>
    </row>
    <row r="148" spans="1:8" ht="19.8" customHeight="1" x14ac:dyDescent="0.3">
      <c r="A148" s="70">
        <v>45983</v>
      </c>
      <c r="B148" s="61" t="s">
        <v>62</v>
      </c>
      <c r="C148" s="62" t="s">
        <v>634</v>
      </c>
      <c r="D148" s="61" t="s">
        <v>582</v>
      </c>
      <c r="E148" s="71">
        <v>1.2986111111111109</v>
      </c>
      <c r="F148" s="61" t="s">
        <v>64</v>
      </c>
      <c r="G148" s="63">
        <v>9</v>
      </c>
      <c r="H148" s="65" t="s">
        <v>61</v>
      </c>
    </row>
    <row r="149" spans="1:8" ht="19.8" customHeight="1" x14ac:dyDescent="0.3">
      <c r="A149" s="70">
        <v>45983</v>
      </c>
      <c r="B149" s="61" t="s">
        <v>62</v>
      </c>
      <c r="C149" s="62" t="s">
        <v>637</v>
      </c>
      <c r="D149" s="61" t="s">
        <v>582</v>
      </c>
      <c r="E149" s="71">
        <v>1.4826388888888891</v>
      </c>
      <c r="F149" s="61" t="s">
        <v>64</v>
      </c>
      <c r="G149" s="63">
        <v>9</v>
      </c>
      <c r="H149" s="65" t="s">
        <v>61</v>
      </c>
    </row>
    <row r="150" spans="1:8" ht="19.8" customHeight="1" x14ac:dyDescent="0.3">
      <c r="A150" s="70">
        <v>45983</v>
      </c>
      <c r="B150" s="61" t="s">
        <v>62</v>
      </c>
      <c r="C150" s="62" t="s">
        <v>664</v>
      </c>
      <c r="D150" s="61" t="s">
        <v>582</v>
      </c>
      <c r="E150" s="71">
        <v>1.836805555555556</v>
      </c>
      <c r="F150" s="61" t="s">
        <v>66</v>
      </c>
      <c r="G150" s="63">
        <v>9</v>
      </c>
      <c r="H150" s="65" t="s">
        <v>665</v>
      </c>
    </row>
    <row r="151" spans="1:8" ht="19.8" customHeight="1" x14ac:dyDescent="0.3">
      <c r="A151" s="70">
        <v>45983</v>
      </c>
      <c r="B151" s="61" t="s">
        <v>62</v>
      </c>
      <c r="C151" s="62" t="s">
        <v>642</v>
      </c>
      <c r="D151" s="61" t="s">
        <v>582</v>
      </c>
      <c r="E151" s="71">
        <v>1.6840277777777779</v>
      </c>
      <c r="F151" s="61" t="s">
        <v>66</v>
      </c>
      <c r="G151" s="63">
        <v>9</v>
      </c>
      <c r="H151" s="65" t="s">
        <v>665</v>
      </c>
    </row>
    <row r="152" spans="1:8" ht="19.8" customHeight="1" x14ac:dyDescent="0.3">
      <c r="A152" s="70">
        <v>45983</v>
      </c>
      <c r="B152" s="61" t="s">
        <v>62</v>
      </c>
      <c r="C152" s="62" t="s">
        <v>634</v>
      </c>
      <c r="D152" s="61" t="s">
        <v>582</v>
      </c>
      <c r="E152" s="71">
        <v>1.2986111111111109</v>
      </c>
      <c r="F152" s="61" t="s">
        <v>66</v>
      </c>
      <c r="G152" s="63">
        <v>9</v>
      </c>
      <c r="H152" s="65" t="s">
        <v>665</v>
      </c>
    </row>
    <row r="153" spans="1:8" ht="19.8" customHeight="1" x14ac:dyDescent="0.3">
      <c r="A153" s="72">
        <v>45983</v>
      </c>
      <c r="B153" s="73" t="s">
        <v>62</v>
      </c>
      <c r="C153" s="74" t="s">
        <v>637</v>
      </c>
      <c r="D153" s="73" t="s">
        <v>582</v>
      </c>
      <c r="E153" s="75">
        <v>1.4826388888888891</v>
      </c>
      <c r="F153" s="73" t="s">
        <v>66</v>
      </c>
      <c r="G153" s="76">
        <v>9</v>
      </c>
      <c r="H153" s="77" t="s">
        <v>665</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4.77734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26</v>
      </c>
      <c r="C2" s="62" t="s">
        <v>584</v>
      </c>
      <c r="D2" s="61" t="s">
        <v>582</v>
      </c>
      <c r="E2" s="61" t="s">
        <v>704</v>
      </c>
      <c r="F2" s="61" t="s">
        <v>31</v>
      </c>
      <c r="G2" s="63">
        <v>2</v>
      </c>
      <c r="H2" s="64">
        <v>709</v>
      </c>
    </row>
    <row r="3" spans="1:8" ht="19.8" customHeight="1" x14ac:dyDescent="0.3">
      <c r="A3" s="60" t="s">
        <v>162</v>
      </c>
      <c r="B3" s="61" t="s">
        <v>26</v>
      </c>
      <c r="C3" s="62" t="s">
        <v>586</v>
      </c>
      <c r="D3" s="61" t="s">
        <v>582</v>
      </c>
      <c r="E3" s="61" t="s">
        <v>705</v>
      </c>
      <c r="F3" s="61" t="s">
        <v>31</v>
      </c>
      <c r="G3" s="63">
        <v>4</v>
      </c>
      <c r="H3" s="64">
        <v>709</v>
      </c>
    </row>
    <row r="4" spans="1:8" ht="19.8" customHeight="1" x14ac:dyDescent="0.3">
      <c r="A4" s="60" t="s">
        <v>162</v>
      </c>
      <c r="B4" s="61" t="s">
        <v>243</v>
      </c>
      <c r="C4" s="62" t="s">
        <v>614</v>
      </c>
      <c r="D4" s="61" t="s">
        <v>582</v>
      </c>
      <c r="E4" s="61" t="s">
        <v>709</v>
      </c>
      <c r="F4" s="61" t="s">
        <v>615</v>
      </c>
      <c r="G4" s="63">
        <v>9</v>
      </c>
      <c r="H4" s="64">
        <v>739</v>
      </c>
    </row>
    <row r="5" spans="1:8" ht="19.8" customHeight="1" x14ac:dyDescent="0.3">
      <c r="A5" s="60" t="s">
        <v>162</v>
      </c>
      <c r="B5" s="61" t="s">
        <v>277</v>
      </c>
      <c r="C5" s="62" t="s">
        <v>617</v>
      </c>
      <c r="D5" s="61" t="s">
        <v>582</v>
      </c>
      <c r="E5" s="61" t="s">
        <v>710</v>
      </c>
      <c r="F5" s="61" t="s">
        <v>279</v>
      </c>
      <c r="G5" s="63">
        <v>9</v>
      </c>
      <c r="H5" s="64">
        <v>745</v>
      </c>
    </row>
    <row r="6" spans="1:8" ht="19.8" customHeight="1" x14ac:dyDescent="0.3">
      <c r="A6" s="60" t="s">
        <v>162</v>
      </c>
      <c r="B6" s="61" t="s">
        <v>26</v>
      </c>
      <c r="C6" s="62" t="s">
        <v>587</v>
      </c>
      <c r="D6" s="61" t="s">
        <v>582</v>
      </c>
      <c r="E6" s="61" t="s">
        <v>706</v>
      </c>
      <c r="F6" s="61" t="s">
        <v>31</v>
      </c>
      <c r="G6" s="63">
        <v>8</v>
      </c>
      <c r="H6" s="64">
        <v>759</v>
      </c>
    </row>
    <row r="7" spans="1:8" ht="19.8" customHeight="1" x14ac:dyDescent="0.3">
      <c r="A7" s="66" t="s">
        <v>162</v>
      </c>
      <c r="B7" s="67" t="s">
        <v>78</v>
      </c>
      <c r="C7" s="68" t="s">
        <v>620</v>
      </c>
      <c r="D7" s="67" t="s">
        <v>582</v>
      </c>
      <c r="E7" s="67" t="s">
        <v>683</v>
      </c>
      <c r="F7" s="67" t="s">
        <v>178</v>
      </c>
      <c r="G7" s="213">
        <v>5</v>
      </c>
      <c r="H7" s="214">
        <v>794</v>
      </c>
    </row>
    <row r="8" spans="1:8" ht="19.8" customHeight="1" x14ac:dyDescent="0.3">
      <c r="A8" s="70">
        <v>45982</v>
      </c>
      <c r="B8" s="61" t="s">
        <v>26</v>
      </c>
      <c r="C8" s="62" t="s">
        <v>587</v>
      </c>
      <c r="D8" s="61" t="s">
        <v>582</v>
      </c>
      <c r="E8" s="71">
        <v>1.5</v>
      </c>
      <c r="F8" s="61" t="s">
        <v>31</v>
      </c>
      <c r="G8" s="63">
        <v>7</v>
      </c>
      <c r="H8" s="64">
        <v>709</v>
      </c>
    </row>
    <row r="9" spans="1:8" ht="19.8" customHeight="1" x14ac:dyDescent="0.3">
      <c r="A9" s="189">
        <v>45982</v>
      </c>
      <c r="B9" s="97" t="s">
        <v>78</v>
      </c>
      <c r="C9" s="98" t="s">
        <v>654</v>
      </c>
      <c r="D9" s="97" t="s">
        <v>582</v>
      </c>
      <c r="E9" s="190">
        <v>1.9236111111111109</v>
      </c>
      <c r="F9" s="97" t="s">
        <v>178</v>
      </c>
      <c r="G9" s="99">
        <v>2</v>
      </c>
      <c r="H9" s="100">
        <v>728</v>
      </c>
    </row>
    <row r="10" spans="1:8" ht="19.8" customHeight="1" x14ac:dyDescent="0.3">
      <c r="A10" s="70">
        <v>45982</v>
      </c>
      <c r="B10" s="61" t="s">
        <v>277</v>
      </c>
      <c r="C10" s="62" t="s">
        <v>617</v>
      </c>
      <c r="D10" s="61" t="s">
        <v>582</v>
      </c>
      <c r="E10" s="71">
        <v>1.2777777777777779</v>
      </c>
      <c r="F10" s="61" t="s">
        <v>279</v>
      </c>
      <c r="G10" s="63">
        <v>9</v>
      </c>
      <c r="H10" s="64">
        <v>935</v>
      </c>
    </row>
    <row r="11" spans="1:8" ht="19.8" customHeight="1" x14ac:dyDescent="0.3">
      <c r="A11" s="78">
        <v>45982</v>
      </c>
      <c r="B11" s="67" t="s">
        <v>78</v>
      </c>
      <c r="C11" s="68" t="s">
        <v>620</v>
      </c>
      <c r="D11" s="67" t="s">
        <v>582</v>
      </c>
      <c r="E11" s="79">
        <v>1.604166666666667</v>
      </c>
      <c r="F11" s="67" t="s">
        <v>178</v>
      </c>
      <c r="G11" s="213">
        <v>9</v>
      </c>
      <c r="H11" s="214">
        <v>976</v>
      </c>
    </row>
    <row r="12" spans="1:8" ht="19.8" customHeight="1" x14ac:dyDescent="0.3">
      <c r="A12" s="70">
        <v>45983</v>
      </c>
      <c r="B12" s="61" t="s">
        <v>26</v>
      </c>
      <c r="C12" s="62" t="s">
        <v>587</v>
      </c>
      <c r="D12" s="61" t="s">
        <v>582</v>
      </c>
      <c r="E12" s="71">
        <v>1.5</v>
      </c>
      <c r="F12" s="61" t="s">
        <v>31</v>
      </c>
      <c r="G12" s="63">
        <v>8</v>
      </c>
      <c r="H12" s="64">
        <v>639</v>
      </c>
    </row>
    <row r="13" spans="1:8" ht="19.8" customHeight="1" x14ac:dyDescent="0.3">
      <c r="A13" s="70">
        <v>45983</v>
      </c>
      <c r="B13" s="61" t="s">
        <v>26</v>
      </c>
      <c r="C13" s="62" t="s">
        <v>590</v>
      </c>
      <c r="D13" s="61" t="s">
        <v>582</v>
      </c>
      <c r="E13" s="71">
        <v>1.5659722222222221</v>
      </c>
      <c r="F13" s="61" t="s">
        <v>31</v>
      </c>
      <c r="G13" s="63">
        <v>9</v>
      </c>
      <c r="H13" s="64">
        <v>639</v>
      </c>
    </row>
    <row r="14" spans="1:8" ht="19.8" customHeight="1" x14ac:dyDescent="0.3">
      <c r="A14" s="70">
        <v>45983</v>
      </c>
      <c r="B14" s="61" t="s">
        <v>26</v>
      </c>
      <c r="C14" s="62" t="s">
        <v>584</v>
      </c>
      <c r="D14" s="61" t="s">
        <v>582</v>
      </c>
      <c r="E14" s="71">
        <v>1.305555555555556</v>
      </c>
      <c r="F14" s="61" t="s">
        <v>31</v>
      </c>
      <c r="G14" s="63">
        <v>5</v>
      </c>
      <c r="H14" s="64">
        <v>639</v>
      </c>
    </row>
    <row r="15" spans="1:8" ht="19.8" customHeight="1" x14ac:dyDescent="0.3">
      <c r="A15" s="70">
        <v>45983</v>
      </c>
      <c r="B15" s="61" t="s">
        <v>26</v>
      </c>
      <c r="C15" s="62" t="s">
        <v>586</v>
      </c>
      <c r="D15" s="61" t="s">
        <v>582</v>
      </c>
      <c r="E15" s="71">
        <v>1.427083333333333</v>
      </c>
      <c r="F15" s="61" t="s">
        <v>31</v>
      </c>
      <c r="G15" s="63">
        <v>9</v>
      </c>
      <c r="H15" s="64">
        <v>639</v>
      </c>
    </row>
    <row r="16" spans="1:8" ht="19.8" customHeight="1" x14ac:dyDescent="0.3">
      <c r="A16" s="70">
        <v>45983</v>
      </c>
      <c r="B16" s="61" t="s">
        <v>26</v>
      </c>
      <c r="C16" s="62" t="s">
        <v>598</v>
      </c>
      <c r="D16" s="61" t="s">
        <v>582</v>
      </c>
      <c r="E16" s="71">
        <v>1.8263888888888891</v>
      </c>
      <c r="F16" s="61" t="s">
        <v>31</v>
      </c>
      <c r="G16" s="63">
        <v>9</v>
      </c>
      <c r="H16" s="64">
        <v>689</v>
      </c>
    </row>
    <row r="17" spans="1:8" ht="19.8" customHeight="1" x14ac:dyDescent="0.3">
      <c r="A17" s="70">
        <v>45983</v>
      </c>
      <c r="B17" s="61" t="s">
        <v>26</v>
      </c>
      <c r="C17" s="62" t="s">
        <v>583</v>
      </c>
      <c r="D17" s="61" t="s">
        <v>582</v>
      </c>
      <c r="E17" s="71">
        <v>1.375</v>
      </c>
      <c r="F17" s="61" t="s">
        <v>31</v>
      </c>
      <c r="G17" s="63">
        <v>6</v>
      </c>
      <c r="H17" s="64">
        <v>689</v>
      </c>
    </row>
    <row r="18" spans="1:8" ht="19.8" customHeight="1" x14ac:dyDescent="0.3">
      <c r="A18" s="70">
        <v>45983</v>
      </c>
      <c r="B18" s="61" t="s">
        <v>26</v>
      </c>
      <c r="C18" s="62" t="s">
        <v>594</v>
      </c>
      <c r="D18" s="61" t="s">
        <v>582</v>
      </c>
      <c r="E18" s="71">
        <v>1.6875</v>
      </c>
      <c r="F18" s="61" t="s">
        <v>31</v>
      </c>
      <c r="G18" s="63">
        <v>9</v>
      </c>
      <c r="H18" s="64">
        <v>689</v>
      </c>
    </row>
    <row r="19" spans="1:8" ht="19.8" customHeight="1" x14ac:dyDescent="0.3">
      <c r="A19" s="78">
        <v>45983</v>
      </c>
      <c r="B19" s="67" t="s">
        <v>78</v>
      </c>
      <c r="C19" s="68" t="s">
        <v>620</v>
      </c>
      <c r="D19" s="67" t="s">
        <v>582</v>
      </c>
      <c r="E19" s="79">
        <v>1.6111111111111109</v>
      </c>
      <c r="F19" s="67" t="s">
        <v>178</v>
      </c>
      <c r="G19" s="213">
        <v>9</v>
      </c>
      <c r="H19" s="214">
        <v>728</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72" t="s">
        <v>0</v>
      </c>
      <c r="B1" s="261"/>
      <c r="C1" s="261"/>
      <c r="D1" s="261"/>
      <c r="E1" s="261"/>
      <c r="F1" s="1" t="s">
        <v>711</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45980.492455623047</v>
      </c>
      <c r="H2" s="261"/>
      <c r="I2" s="261"/>
      <c r="J2" s="261"/>
      <c r="K2" s="274">
        <v>45980.492455623287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1.6" customHeight="1" x14ac:dyDescent="0.5">
      <c r="A4" s="209"/>
      <c r="B4" s="209"/>
      <c r="C4" s="209"/>
      <c r="D4" s="209"/>
      <c r="E4" s="209"/>
      <c r="F4" s="209"/>
      <c r="G4" s="209"/>
      <c r="H4" s="210"/>
      <c r="I4" s="211"/>
      <c r="J4" s="211"/>
      <c r="K4" s="211"/>
      <c r="L4" s="211"/>
      <c r="M4" s="211"/>
      <c r="N4" s="211"/>
      <c r="O4" s="211"/>
      <c r="P4" s="211"/>
      <c r="Q4" s="211"/>
      <c r="R4" s="211"/>
      <c r="CA4" s="3"/>
      <c r="CB4" s="3"/>
      <c r="CC4" s="3"/>
      <c r="CD4" s="3"/>
      <c r="CE4" s="3"/>
      <c r="CF4" s="3"/>
      <c r="CG4" s="3"/>
      <c r="CH4" s="3"/>
      <c r="CI4" s="3"/>
      <c r="CJ4" s="3"/>
      <c r="CK4" s="3"/>
      <c r="CL4" s="3"/>
      <c r="CM4" s="3"/>
      <c r="CN4" s="3"/>
    </row>
    <row r="5" spans="1:92" ht="18.600000000000001" customHeight="1" x14ac:dyDescent="0.3">
      <c r="A5" s="211"/>
      <c r="B5" s="211"/>
      <c r="C5" s="211"/>
      <c r="D5" s="211"/>
      <c r="E5" s="211"/>
      <c r="F5" s="211"/>
      <c r="G5" s="211"/>
      <c r="H5" s="211"/>
      <c r="I5" s="211"/>
      <c r="J5" s="211"/>
      <c r="K5" s="211"/>
      <c r="L5" s="211"/>
      <c r="M5" s="211"/>
      <c r="N5" s="211"/>
      <c r="O5" s="211"/>
      <c r="P5" s="211"/>
      <c r="Q5" s="211"/>
      <c r="R5" s="21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4.109375" style="282" bestFit="1" customWidth="1"/>
    <col min="2" max="2" width="5.33203125" style="282" bestFit="1" customWidth="1"/>
    <col min="3" max="3" width="3" style="282" bestFit="1" customWidth="1"/>
    <col min="4" max="4" width="4.21875" style="282" bestFit="1" customWidth="1"/>
    <col min="5" max="5" width="7.109375" style="282" bestFit="1" customWidth="1"/>
    <col min="6" max="6" width="4" style="282" bestFit="1" customWidth="1"/>
    <col min="7" max="8" width="4.21875" style="282" bestFit="1" customWidth="1"/>
    <col min="9" max="10" width="6.44140625" style="282" bestFit="1" customWidth="1"/>
    <col min="11" max="11" width="6.109375" style="282" bestFit="1" customWidth="1"/>
    <col min="12" max="12" width="8.77734375" style="282" bestFit="1" customWidth="1"/>
    <col min="13" max="13" width="7.33203125" style="282" bestFit="1" customWidth="1" outlineLevel="1"/>
    <col min="14" max="14" width="6" style="282" bestFit="1" customWidth="1" outlineLevel="1"/>
    <col min="15" max="15" width="7.6640625" style="282" bestFit="1" customWidth="1" outlineLevel="1"/>
    <col min="16" max="16" width="13.21875" style="282" bestFit="1" customWidth="1"/>
    <col min="17" max="17" width="2" style="282" bestFit="1" customWidth="1"/>
    <col min="18" max="18" width="2.109375" style="282" bestFit="1" customWidth="1"/>
    <col min="19" max="19" width="2.6640625" style="282" bestFit="1" customWidth="1"/>
    <col min="20" max="20" width="2.21875" style="282" bestFit="1" customWidth="1"/>
    <col min="21" max="21" width="2.33203125" style="282" bestFit="1" customWidth="1"/>
    <col min="22" max="22" width="2" style="282" bestFit="1" customWidth="1"/>
    <col min="23" max="23" width="2.109375" style="282" bestFit="1" customWidth="1"/>
    <col min="24" max="24" width="1.88671875" style="282" bestFit="1" customWidth="1"/>
    <col min="25" max="25" width="2.21875" style="282" bestFit="1" customWidth="1"/>
    <col min="26" max="26" width="1.88671875" style="282" bestFit="1" customWidth="1"/>
    <col min="27" max="27" width="2.77734375" style="282" bestFit="1" customWidth="1"/>
    <col min="28" max="29" width="2" style="282" bestFit="1" customWidth="1"/>
    <col min="30" max="31" width="2.33203125" style="282" bestFit="1" customWidth="1"/>
    <col min="32" max="32" width="1.5546875" style="282" bestFit="1" customWidth="1"/>
    <col min="33" max="33" width="2" style="282" bestFit="1" customWidth="1"/>
    <col min="34" max="34" width="2.109375" style="282" bestFit="1" customWidth="1"/>
    <col min="35" max="35" width="2" style="282" bestFit="1" customWidth="1"/>
    <col min="36" max="36" width="2.3320312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712</v>
      </c>
      <c r="G2" s="102"/>
      <c r="H2" s="104"/>
    </row>
    <row r="3" spans="1:8" ht="19.8" customHeight="1" x14ac:dyDescent="0.3">
      <c r="A3" s="60" t="s">
        <v>162</v>
      </c>
      <c r="B3" s="61" t="s">
        <v>26</v>
      </c>
      <c r="C3" s="62" t="s">
        <v>583</v>
      </c>
      <c r="D3" s="61" t="s">
        <v>582</v>
      </c>
      <c r="E3" s="61" t="s">
        <v>703</v>
      </c>
      <c r="F3" s="61" t="s">
        <v>28</v>
      </c>
      <c r="G3" s="63">
        <v>9</v>
      </c>
      <c r="H3" s="64">
        <v>559</v>
      </c>
    </row>
    <row r="4" spans="1:8" ht="19.8" customHeight="1" x14ac:dyDescent="0.3">
      <c r="A4" s="60" t="s">
        <v>162</v>
      </c>
      <c r="B4" s="61" t="s">
        <v>26</v>
      </c>
      <c r="C4" s="62" t="s">
        <v>584</v>
      </c>
      <c r="D4" s="61" t="s">
        <v>582</v>
      </c>
      <c r="E4" s="61" t="s">
        <v>704</v>
      </c>
      <c r="F4" s="61" t="s">
        <v>28</v>
      </c>
      <c r="G4" s="63">
        <v>2</v>
      </c>
      <c r="H4" s="64">
        <v>609</v>
      </c>
    </row>
    <row r="5" spans="1:8" ht="19.8" customHeight="1" x14ac:dyDescent="0.3">
      <c r="A5" s="60" t="s">
        <v>162</v>
      </c>
      <c r="B5" s="61" t="s">
        <v>26</v>
      </c>
      <c r="C5" s="62" t="s">
        <v>586</v>
      </c>
      <c r="D5" s="61" t="s">
        <v>582</v>
      </c>
      <c r="E5" s="61" t="s">
        <v>705</v>
      </c>
      <c r="F5" s="61" t="s">
        <v>28</v>
      </c>
      <c r="G5" s="63">
        <v>4</v>
      </c>
      <c r="H5" s="64">
        <v>609</v>
      </c>
    </row>
    <row r="6" spans="1:8" ht="19.8" customHeight="1" x14ac:dyDescent="0.3">
      <c r="A6" s="60" t="s">
        <v>162</v>
      </c>
      <c r="B6" s="61" t="s">
        <v>41</v>
      </c>
      <c r="C6" s="62" t="s">
        <v>602</v>
      </c>
      <c r="D6" s="61" t="s">
        <v>582</v>
      </c>
      <c r="E6" s="61" t="s">
        <v>706</v>
      </c>
      <c r="F6" s="61" t="s">
        <v>43</v>
      </c>
      <c r="G6" s="63">
        <v>7</v>
      </c>
      <c r="H6" s="64">
        <v>649</v>
      </c>
    </row>
    <row r="7" spans="1:8" ht="19.8" customHeight="1" x14ac:dyDescent="0.3">
      <c r="A7" s="60" t="s">
        <v>162</v>
      </c>
      <c r="B7" s="61" t="s">
        <v>41</v>
      </c>
      <c r="C7" s="62" t="s">
        <v>605</v>
      </c>
      <c r="D7" s="61" t="s">
        <v>582</v>
      </c>
      <c r="E7" s="61" t="s">
        <v>707</v>
      </c>
      <c r="F7" s="61" t="s">
        <v>43</v>
      </c>
      <c r="G7" s="63">
        <v>1</v>
      </c>
      <c r="H7" s="64">
        <v>649</v>
      </c>
    </row>
    <row r="8" spans="1:8" ht="19.8" customHeight="1" x14ac:dyDescent="0.3">
      <c r="A8" s="60" t="s">
        <v>162</v>
      </c>
      <c r="B8" s="61" t="s">
        <v>26</v>
      </c>
      <c r="C8" s="62" t="s">
        <v>587</v>
      </c>
      <c r="D8" s="61" t="s">
        <v>582</v>
      </c>
      <c r="E8" s="61" t="s">
        <v>706</v>
      </c>
      <c r="F8" s="61" t="s">
        <v>28</v>
      </c>
      <c r="G8" s="63">
        <v>8</v>
      </c>
      <c r="H8" s="64">
        <v>659</v>
      </c>
    </row>
    <row r="9" spans="1:8" ht="19.8" customHeight="1" x14ac:dyDescent="0.3">
      <c r="A9" s="60" t="s">
        <v>162</v>
      </c>
      <c r="B9" s="61" t="s">
        <v>26</v>
      </c>
      <c r="C9" s="62" t="s">
        <v>583</v>
      </c>
      <c r="D9" s="61" t="s">
        <v>582</v>
      </c>
      <c r="E9" s="61" t="s">
        <v>703</v>
      </c>
      <c r="F9" s="61" t="s">
        <v>31</v>
      </c>
      <c r="G9" s="63">
        <v>9</v>
      </c>
      <c r="H9" s="64">
        <v>659</v>
      </c>
    </row>
    <row r="10" spans="1:8" ht="19.8" customHeight="1" x14ac:dyDescent="0.3">
      <c r="A10" s="60" t="s">
        <v>162</v>
      </c>
      <c r="B10" s="61" t="s">
        <v>26</v>
      </c>
      <c r="C10" s="62" t="s">
        <v>584</v>
      </c>
      <c r="D10" s="61" t="s">
        <v>582</v>
      </c>
      <c r="E10" s="61" t="s">
        <v>704</v>
      </c>
      <c r="F10" s="61" t="s">
        <v>31</v>
      </c>
      <c r="G10" s="63">
        <v>2</v>
      </c>
      <c r="H10" s="64">
        <v>709</v>
      </c>
    </row>
    <row r="11" spans="1:8" ht="19.8" customHeight="1" x14ac:dyDescent="0.3">
      <c r="A11" s="60" t="s">
        <v>162</v>
      </c>
      <c r="B11" s="61" t="s">
        <v>26</v>
      </c>
      <c r="C11" s="62" t="s">
        <v>586</v>
      </c>
      <c r="D11" s="61" t="s">
        <v>582</v>
      </c>
      <c r="E11" s="61" t="s">
        <v>705</v>
      </c>
      <c r="F11" s="61" t="s">
        <v>31</v>
      </c>
      <c r="G11" s="63">
        <v>4</v>
      </c>
      <c r="H11" s="64">
        <v>709</v>
      </c>
    </row>
    <row r="12" spans="1:8" ht="19.8" customHeight="1" x14ac:dyDescent="0.3">
      <c r="A12" s="116" t="s">
        <v>162</v>
      </c>
      <c r="B12" s="73" t="s">
        <v>26</v>
      </c>
      <c r="C12" s="74" t="s">
        <v>590</v>
      </c>
      <c r="D12" s="73" t="s">
        <v>582</v>
      </c>
      <c r="E12" s="73" t="s">
        <v>708</v>
      </c>
      <c r="F12" s="73" t="s">
        <v>28</v>
      </c>
      <c r="G12" s="76">
        <v>4</v>
      </c>
      <c r="H12" s="105">
        <v>739</v>
      </c>
    </row>
    <row r="13" spans="1:8" ht="19.8" customHeight="1" x14ac:dyDescent="0.3">
      <c r="A13" s="101"/>
      <c r="B13" s="102"/>
      <c r="C13" s="102"/>
      <c r="D13" s="102"/>
      <c r="E13" s="102"/>
      <c r="F13" s="103" t="s">
        <v>712</v>
      </c>
      <c r="G13" s="102"/>
      <c r="H13" s="104"/>
    </row>
    <row r="14" spans="1:8" ht="19.8" customHeight="1" x14ac:dyDescent="0.3">
      <c r="A14" s="60" t="s">
        <v>214</v>
      </c>
      <c r="B14" s="61" t="s">
        <v>41</v>
      </c>
      <c r="C14" s="62" t="s">
        <v>606</v>
      </c>
      <c r="D14" s="61" t="s">
        <v>582</v>
      </c>
      <c r="E14" s="61" t="s">
        <v>713</v>
      </c>
      <c r="F14" s="61" t="s">
        <v>43</v>
      </c>
      <c r="G14" s="63">
        <v>24</v>
      </c>
      <c r="H14" s="64">
        <v>599</v>
      </c>
    </row>
    <row r="15" spans="1:8" ht="19.8" customHeight="1" x14ac:dyDescent="0.3">
      <c r="A15" s="60" t="s">
        <v>214</v>
      </c>
      <c r="B15" s="61" t="s">
        <v>41</v>
      </c>
      <c r="C15" s="62" t="s">
        <v>602</v>
      </c>
      <c r="D15" s="61" t="s">
        <v>582</v>
      </c>
      <c r="E15" s="61" t="s">
        <v>706</v>
      </c>
      <c r="F15" s="61" t="s">
        <v>43</v>
      </c>
      <c r="G15" s="63">
        <v>15</v>
      </c>
      <c r="H15" s="64">
        <v>599</v>
      </c>
    </row>
    <row r="16" spans="1:8" ht="19.8" customHeight="1" x14ac:dyDescent="0.3">
      <c r="A16" s="60" t="s">
        <v>214</v>
      </c>
      <c r="B16" s="61" t="s">
        <v>41</v>
      </c>
      <c r="C16" s="62" t="s">
        <v>611</v>
      </c>
      <c r="D16" s="61" t="s">
        <v>582</v>
      </c>
      <c r="E16" s="61" t="s">
        <v>714</v>
      </c>
      <c r="F16" s="61" t="s">
        <v>43</v>
      </c>
      <c r="G16" s="63">
        <v>33</v>
      </c>
      <c r="H16" s="64">
        <v>599</v>
      </c>
    </row>
    <row r="17" spans="1:8" ht="19.8" customHeight="1" x14ac:dyDescent="0.3">
      <c r="A17" s="60" t="s">
        <v>214</v>
      </c>
      <c r="B17" s="61" t="s">
        <v>26</v>
      </c>
      <c r="C17" s="62" t="s">
        <v>587</v>
      </c>
      <c r="D17" s="61" t="s">
        <v>582</v>
      </c>
      <c r="E17" s="61" t="s">
        <v>706</v>
      </c>
      <c r="F17" s="61" t="s">
        <v>28</v>
      </c>
      <c r="G17" s="63">
        <v>7</v>
      </c>
      <c r="H17" s="64">
        <v>609</v>
      </c>
    </row>
    <row r="18" spans="1:8" ht="19.8" customHeight="1" x14ac:dyDescent="0.3">
      <c r="A18" s="60" t="s">
        <v>214</v>
      </c>
      <c r="B18" s="61" t="s">
        <v>41</v>
      </c>
      <c r="C18" s="62" t="s">
        <v>605</v>
      </c>
      <c r="D18" s="61" t="s">
        <v>582</v>
      </c>
      <c r="E18" s="61" t="s">
        <v>707</v>
      </c>
      <c r="F18" s="61" t="s">
        <v>43</v>
      </c>
      <c r="G18" s="63">
        <v>14</v>
      </c>
      <c r="H18" s="64">
        <v>649</v>
      </c>
    </row>
    <row r="19" spans="1:8" ht="19.8" customHeight="1" x14ac:dyDescent="0.3">
      <c r="A19" s="60" t="s">
        <v>214</v>
      </c>
      <c r="B19" s="61" t="s">
        <v>26</v>
      </c>
      <c r="C19" s="62" t="s">
        <v>590</v>
      </c>
      <c r="D19" s="61" t="s">
        <v>582</v>
      </c>
      <c r="E19" s="61" t="s">
        <v>708</v>
      </c>
      <c r="F19" s="61" t="s">
        <v>28</v>
      </c>
      <c r="G19" s="63">
        <v>8</v>
      </c>
      <c r="H19" s="64">
        <v>659</v>
      </c>
    </row>
    <row r="20" spans="1:8" ht="19.8" customHeight="1" x14ac:dyDescent="0.3">
      <c r="A20" s="60" t="s">
        <v>214</v>
      </c>
      <c r="B20" s="61" t="s">
        <v>26</v>
      </c>
      <c r="C20" s="62" t="s">
        <v>587</v>
      </c>
      <c r="D20" s="61" t="s">
        <v>582</v>
      </c>
      <c r="E20" s="61" t="s">
        <v>706</v>
      </c>
      <c r="F20" s="61" t="s">
        <v>31</v>
      </c>
      <c r="G20" s="63">
        <v>7</v>
      </c>
      <c r="H20" s="64">
        <v>709</v>
      </c>
    </row>
    <row r="21" spans="1:8" ht="19.8" customHeight="1" x14ac:dyDescent="0.3">
      <c r="A21" s="60" t="s">
        <v>214</v>
      </c>
      <c r="B21" s="61" t="s">
        <v>78</v>
      </c>
      <c r="C21" s="62" t="s">
        <v>654</v>
      </c>
      <c r="D21" s="61" t="s">
        <v>582</v>
      </c>
      <c r="E21" s="61" t="s">
        <v>695</v>
      </c>
      <c r="F21" s="61" t="s">
        <v>178</v>
      </c>
      <c r="G21" s="63">
        <v>2</v>
      </c>
      <c r="H21" s="64">
        <v>728</v>
      </c>
    </row>
    <row r="22" spans="1:8" ht="19.8" customHeight="1" x14ac:dyDescent="0.3">
      <c r="A22" s="60" t="s">
        <v>214</v>
      </c>
      <c r="B22" s="61" t="s">
        <v>26</v>
      </c>
      <c r="C22" s="62" t="s">
        <v>598</v>
      </c>
      <c r="D22" s="61" t="s">
        <v>582</v>
      </c>
      <c r="E22" s="61" t="s">
        <v>715</v>
      </c>
      <c r="F22" s="61" t="s">
        <v>28</v>
      </c>
      <c r="G22" s="63">
        <v>9</v>
      </c>
      <c r="H22" s="64">
        <v>739</v>
      </c>
    </row>
    <row r="23" spans="1:8" ht="19.8" customHeight="1" x14ac:dyDescent="0.3">
      <c r="A23" s="116" t="s">
        <v>214</v>
      </c>
      <c r="B23" s="73" t="s">
        <v>26</v>
      </c>
      <c r="C23" s="74" t="s">
        <v>583</v>
      </c>
      <c r="D23" s="73" t="s">
        <v>582</v>
      </c>
      <c r="E23" s="73" t="s">
        <v>703</v>
      </c>
      <c r="F23" s="73" t="s">
        <v>28</v>
      </c>
      <c r="G23" s="76">
        <v>8</v>
      </c>
      <c r="H23" s="105">
        <v>739</v>
      </c>
    </row>
    <row r="24" spans="1:8" ht="19.8" customHeight="1" x14ac:dyDescent="0.3">
      <c r="A24" s="101"/>
      <c r="B24" s="102"/>
      <c r="C24" s="102"/>
      <c r="D24" s="102"/>
      <c r="E24" s="102"/>
      <c r="F24" s="103" t="s">
        <v>712</v>
      </c>
      <c r="G24" s="102"/>
      <c r="H24" s="104"/>
    </row>
    <row r="25" spans="1:8" ht="19.8" customHeight="1" x14ac:dyDescent="0.3">
      <c r="A25" s="60" t="s">
        <v>216</v>
      </c>
      <c r="B25" s="61" t="s">
        <v>41</v>
      </c>
      <c r="C25" s="62" t="s">
        <v>611</v>
      </c>
      <c r="D25" s="61" t="s">
        <v>582</v>
      </c>
      <c r="E25" s="61" t="s">
        <v>714</v>
      </c>
      <c r="F25" s="61" t="s">
        <v>43</v>
      </c>
      <c r="G25" s="63">
        <v>8</v>
      </c>
      <c r="H25" s="64">
        <v>469</v>
      </c>
    </row>
    <row r="26" spans="1:8" ht="19.8" customHeight="1" x14ac:dyDescent="0.3">
      <c r="A26" s="60" t="s">
        <v>216</v>
      </c>
      <c r="B26" s="61" t="s">
        <v>41</v>
      </c>
      <c r="C26" s="62" t="s">
        <v>606</v>
      </c>
      <c r="D26" s="61" t="s">
        <v>582</v>
      </c>
      <c r="E26" s="61" t="s">
        <v>713</v>
      </c>
      <c r="F26" s="61" t="s">
        <v>43</v>
      </c>
      <c r="G26" s="63">
        <v>15</v>
      </c>
      <c r="H26" s="64">
        <v>509</v>
      </c>
    </row>
    <row r="27" spans="1:8" ht="19.8" customHeight="1" x14ac:dyDescent="0.3">
      <c r="A27" s="60" t="s">
        <v>216</v>
      </c>
      <c r="B27" s="61" t="s">
        <v>41</v>
      </c>
      <c r="C27" s="62" t="s">
        <v>602</v>
      </c>
      <c r="D27" s="61" t="s">
        <v>582</v>
      </c>
      <c r="E27" s="61" t="s">
        <v>706</v>
      </c>
      <c r="F27" s="61" t="s">
        <v>43</v>
      </c>
      <c r="G27" s="63">
        <v>9</v>
      </c>
      <c r="H27" s="64">
        <v>509</v>
      </c>
    </row>
    <row r="28" spans="1:8" ht="19.8" customHeight="1" x14ac:dyDescent="0.3">
      <c r="A28" s="60" t="s">
        <v>216</v>
      </c>
      <c r="B28" s="61" t="s">
        <v>41</v>
      </c>
      <c r="C28" s="62" t="s">
        <v>605</v>
      </c>
      <c r="D28" s="61" t="s">
        <v>582</v>
      </c>
      <c r="E28" s="61" t="s">
        <v>707</v>
      </c>
      <c r="F28" s="61" t="s">
        <v>43</v>
      </c>
      <c r="G28" s="63">
        <v>10</v>
      </c>
      <c r="H28" s="64">
        <v>509</v>
      </c>
    </row>
    <row r="29" spans="1:8" ht="19.8" customHeight="1" x14ac:dyDescent="0.3">
      <c r="A29" s="60" t="s">
        <v>216</v>
      </c>
      <c r="B29" s="61" t="s">
        <v>285</v>
      </c>
      <c r="C29" s="62" t="s">
        <v>674</v>
      </c>
      <c r="D29" s="61" t="s">
        <v>582</v>
      </c>
      <c r="E29" s="61" t="s">
        <v>716</v>
      </c>
      <c r="F29" s="61" t="s">
        <v>279</v>
      </c>
      <c r="G29" s="63">
        <v>9</v>
      </c>
      <c r="H29" s="64">
        <v>518</v>
      </c>
    </row>
    <row r="30" spans="1:8" ht="19.8" customHeight="1" x14ac:dyDescent="0.3">
      <c r="A30" s="60" t="s">
        <v>216</v>
      </c>
      <c r="B30" s="61" t="s">
        <v>26</v>
      </c>
      <c r="C30" s="62" t="s">
        <v>587</v>
      </c>
      <c r="D30" s="61" t="s">
        <v>582</v>
      </c>
      <c r="E30" s="61" t="s">
        <v>706</v>
      </c>
      <c r="F30" s="61" t="s">
        <v>28</v>
      </c>
      <c r="G30" s="63">
        <v>8</v>
      </c>
      <c r="H30" s="64">
        <v>539</v>
      </c>
    </row>
    <row r="31" spans="1:8" ht="19.8" customHeight="1" x14ac:dyDescent="0.3">
      <c r="A31" s="60" t="s">
        <v>216</v>
      </c>
      <c r="B31" s="61" t="s">
        <v>26</v>
      </c>
      <c r="C31" s="62" t="s">
        <v>590</v>
      </c>
      <c r="D31" s="61" t="s">
        <v>582</v>
      </c>
      <c r="E31" s="61" t="s">
        <v>708</v>
      </c>
      <c r="F31" s="61" t="s">
        <v>28</v>
      </c>
      <c r="G31" s="63">
        <v>9</v>
      </c>
      <c r="H31" s="64">
        <v>539</v>
      </c>
    </row>
    <row r="32" spans="1:8" ht="19.8" customHeight="1" x14ac:dyDescent="0.3">
      <c r="A32" s="60" t="s">
        <v>216</v>
      </c>
      <c r="B32" s="61" t="s">
        <v>26</v>
      </c>
      <c r="C32" s="62" t="s">
        <v>584</v>
      </c>
      <c r="D32" s="61" t="s">
        <v>582</v>
      </c>
      <c r="E32" s="61" t="s">
        <v>704</v>
      </c>
      <c r="F32" s="61" t="s">
        <v>28</v>
      </c>
      <c r="G32" s="63">
        <v>5</v>
      </c>
      <c r="H32" s="64">
        <v>539</v>
      </c>
    </row>
    <row r="33" spans="1:8" ht="19.8" customHeight="1" x14ac:dyDescent="0.3">
      <c r="A33" s="60" t="s">
        <v>216</v>
      </c>
      <c r="B33" s="61" t="s">
        <v>26</v>
      </c>
      <c r="C33" s="62" t="s">
        <v>586</v>
      </c>
      <c r="D33" s="61" t="s">
        <v>582</v>
      </c>
      <c r="E33" s="61" t="s">
        <v>705</v>
      </c>
      <c r="F33" s="61" t="s">
        <v>28</v>
      </c>
      <c r="G33" s="63">
        <v>9</v>
      </c>
      <c r="H33" s="64">
        <v>539</v>
      </c>
    </row>
    <row r="34" spans="1:8" ht="19.8" customHeight="1" x14ac:dyDescent="0.3">
      <c r="A34" s="116" t="s">
        <v>216</v>
      </c>
      <c r="B34" s="73" t="s">
        <v>26</v>
      </c>
      <c r="C34" s="74" t="s">
        <v>598</v>
      </c>
      <c r="D34" s="73" t="s">
        <v>582</v>
      </c>
      <c r="E34" s="73" t="s">
        <v>715</v>
      </c>
      <c r="F34" s="73" t="s">
        <v>28</v>
      </c>
      <c r="G34" s="76">
        <v>9</v>
      </c>
      <c r="H34" s="105">
        <v>589</v>
      </c>
    </row>
  </sheetData>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55"/>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33203125" bestFit="1" customWidth="1"/>
  </cols>
  <sheetData>
    <row r="1" spans="1:92" ht="28.8" customHeight="1" x14ac:dyDescent="0.3">
      <c r="A1" s="272" t="s">
        <v>0</v>
      </c>
      <c r="B1" s="261"/>
      <c r="C1" s="261"/>
      <c r="D1" s="261"/>
      <c r="E1" s="261"/>
      <c r="F1" s="1" t="s">
        <v>717</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45980.49245733898</v>
      </c>
      <c r="H2" s="261"/>
      <c r="I2" s="261"/>
      <c r="J2" s="261"/>
      <c r="K2" s="274">
        <v>45980.492457339227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718</v>
      </c>
      <c r="C6" s="9">
        <v>0.19791666666666671</v>
      </c>
      <c r="D6" s="8" t="s">
        <v>28</v>
      </c>
      <c r="E6" s="8" t="s">
        <v>495</v>
      </c>
      <c r="F6" s="8" t="s">
        <v>719</v>
      </c>
      <c r="G6" s="266"/>
      <c r="H6" s="10"/>
      <c r="I6" s="11"/>
      <c r="J6" s="11"/>
      <c r="K6" s="11"/>
      <c r="L6" s="11"/>
      <c r="M6" s="11"/>
      <c r="N6" s="11"/>
      <c r="O6" s="12"/>
      <c r="P6" s="11"/>
      <c r="Q6" s="13"/>
      <c r="R6" s="14"/>
    </row>
    <row r="7" spans="1:92" ht="15" customHeight="1" x14ac:dyDescent="0.3">
      <c r="A7" s="15" t="s">
        <v>26</v>
      </c>
      <c r="B7" s="15" t="s">
        <v>718</v>
      </c>
      <c r="C7" s="16">
        <v>0.19791666666666671</v>
      </c>
      <c r="D7" s="15" t="s">
        <v>31</v>
      </c>
      <c r="E7" s="15" t="s">
        <v>95</v>
      </c>
      <c r="F7" s="15" t="s">
        <v>720</v>
      </c>
      <c r="G7" s="267"/>
      <c r="H7" s="10"/>
      <c r="I7" s="11"/>
      <c r="J7" s="11"/>
      <c r="K7" s="11"/>
      <c r="L7" s="11"/>
      <c r="M7" s="11"/>
      <c r="N7" s="11"/>
      <c r="O7" s="12"/>
      <c r="P7" s="11"/>
      <c r="Q7" s="13"/>
      <c r="R7" s="14"/>
    </row>
    <row r="8" spans="1:92" ht="15" customHeight="1" x14ac:dyDescent="0.3">
      <c r="A8" s="15" t="s">
        <v>26</v>
      </c>
      <c r="B8" s="15" t="s">
        <v>718</v>
      </c>
      <c r="C8" s="16">
        <v>0.19791666666666671</v>
      </c>
      <c r="D8" s="15" t="s">
        <v>34</v>
      </c>
      <c r="E8" s="15" t="s">
        <v>95</v>
      </c>
      <c r="F8" s="15" t="s">
        <v>87</v>
      </c>
      <c r="G8" s="267"/>
      <c r="H8" s="10"/>
      <c r="I8" s="11"/>
      <c r="J8" s="11"/>
      <c r="K8" s="11"/>
      <c r="L8" s="11"/>
      <c r="M8" s="11"/>
      <c r="N8" s="11"/>
      <c r="O8" s="12"/>
      <c r="P8" s="11"/>
      <c r="Q8" s="13"/>
      <c r="R8" s="14"/>
    </row>
    <row r="9" spans="1:92" ht="15" customHeight="1" x14ac:dyDescent="0.3">
      <c r="A9" s="17" t="s">
        <v>26</v>
      </c>
      <c r="B9" s="17" t="s">
        <v>721</v>
      </c>
      <c r="C9" s="18">
        <v>0.83333333333333337</v>
      </c>
      <c r="D9" s="17" t="s">
        <v>28</v>
      </c>
      <c r="E9" s="17" t="s">
        <v>71</v>
      </c>
      <c r="F9" s="17" t="s">
        <v>39</v>
      </c>
      <c r="G9" s="267"/>
      <c r="H9" s="10"/>
      <c r="I9" s="11"/>
      <c r="J9" s="11"/>
      <c r="K9" s="11"/>
      <c r="L9" s="11"/>
      <c r="M9" s="11"/>
      <c r="N9" s="11"/>
      <c r="O9" s="12"/>
      <c r="P9" s="11"/>
      <c r="Q9" s="13"/>
      <c r="R9" s="14"/>
    </row>
    <row r="10" spans="1:92" ht="15" customHeight="1" x14ac:dyDescent="0.3">
      <c r="A10" s="15" t="s">
        <v>26</v>
      </c>
      <c r="B10" s="15" t="s">
        <v>721</v>
      </c>
      <c r="C10" s="16">
        <v>0.83333333333333337</v>
      </c>
      <c r="D10" s="15" t="s">
        <v>31</v>
      </c>
      <c r="E10" s="15" t="s">
        <v>96</v>
      </c>
      <c r="F10" s="15" t="s">
        <v>722</v>
      </c>
      <c r="G10" s="267"/>
      <c r="H10" s="10"/>
      <c r="I10" s="11"/>
      <c r="J10" s="11"/>
      <c r="K10" s="11"/>
      <c r="L10" s="11"/>
      <c r="M10" s="11"/>
      <c r="N10" s="11"/>
      <c r="O10" s="12"/>
      <c r="P10" s="11"/>
      <c r="Q10" s="13"/>
      <c r="R10" s="14"/>
    </row>
    <row r="11" spans="1:92" ht="15" customHeight="1" x14ac:dyDescent="0.3">
      <c r="A11" s="15" t="s">
        <v>26</v>
      </c>
      <c r="B11" s="15" t="s">
        <v>721</v>
      </c>
      <c r="C11" s="16">
        <v>0.83333333333333337</v>
      </c>
      <c r="D11" s="15" t="s">
        <v>34</v>
      </c>
      <c r="E11" s="15" t="s">
        <v>96</v>
      </c>
      <c r="F11" s="15" t="s">
        <v>595</v>
      </c>
      <c r="G11" s="267"/>
      <c r="H11" s="10"/>
      <c r="I11" s="11"/>
      <c r="J11" s="11"/>
      <c r="K11" s="11"/>
      <c r="L11" s="11"/>
      <c r="M11" s="11"/>
      <c r="N11" s="11"/>
      <c r="O11" s="12"/>
      <c r="P11" s="11"/>
      <c r="Q11" s="13"/>
      <c r="R11" s="14"/>
    </row>
    <row r="12" spans="1:92" ht="15" customHeight="1" x14ac:dyDescent="0.3">
      <c r="A12" s="19" t="s">
        <v>41</v>
      </c>
      <c r="B12" s="19" t="s">
        <v>723</v>
      </c>
      <c r="C12" s="20">
        <v>0.30555555555555552</v>
      </c>
      <c r="D12" s="19" t="s">
        <v>43</v>
      </c>
      <c r="E12" s="19" t="s">
        <v>724</v>
      </c>
      <c r="F12" s="19" t="s">
        <v>603</v>
      </c>
      <c r="G12" s="267"/>
      <c r="H12" s="10"/>
      <c r="I12" s="11"/>
      <c r="J12" s="11"/>
      <c r="K12" s="11"/>
      <c r="L12" s="11"/>
      <c r="M12" s="11"/>
      <c r="N12" s="11"/>
      <c r="O12" s="12"/>
      <c r="P12" s="11"/>
      <c r="Q12" s="13"/>
      <c r="R12" s="14"/>
    </row>
    <row r="13" spans="1:92" ht="15" customHeight="1" x14ac:dyDescent="0.3">
      <c r="A13" s="15" t="s">
        <v>41</v>
      </c>
      <c r="B13" s="15" t="s">
        <v>723</v>
      </c>
      <c r="C13" s="16">
        <v>0.30555555555555552</v>
      </c>
      <c r="D13" s="15" t="s">
        <v>45</v>
      </c>
      <c r="E13" s="15" t="s">
        <v>725</v>
      </c>
      <c r="F13" s="15" t="s">
        <v>40</v>
      </c>
      <c r="G13" s="267"/>
      <c r="H13" s="10"/>
      <c r="I13" s="11"/>
      <c r="J13" s="11"/>
      <c r="K13" s="11"/>
      <c r="L13" s="11"/>
      <c r="M13" s="11"/>
      <c r="N13" s="11"/>
      <c r="O13" s="12"/>
      <c r="P13" s="11"/>
      <c r="Q13" s="13"/>
      <c r="R13" s="14"/>
    </row>
    <row r="14" spans="1:92" ht="15" customHeight="1" x14ac:dyDescent="0.3">
      <c r="A14" s="15" t="s">
        <v>41</v>
      </c>
      <c r="B14" s="15" t="s">
        <v>723</v>
      </c>
      <c r="C14" s="16">
        <v>0.30555555555555552</v>
      </c>
      <c r="D14" s="15" t="s">
        <v>47</v>
      </c>
      <c r="E14" s="15" t="s">
        <v>725</v>
      </c>
      <c r="F14" s="15" t="s">
        <v>595</v>
      </c>
      <c r="G14" s="267"/>
      <c r="H14" s="10"/>
      <c r="I14" s="11"/>
      <c r="J14" s="11"/>
      <c r="K14" s="11"/>
      <c r="L14" s="11"/>
      <c r="M14" s="11"/>
      <c r="N14" s="11"/>
      <c r="O14" s="12"/>
      <c r="P14" s="11"/>
      <c r="Q14" s="13"/>
      <c r="R14" s="14"/>
    </row>
    <row r="15" spans="1:92" ht="15" customHeight="1" x14ac:dyDescent="0.3">
      <c r="A15" s="19" t="s">
        <v>277</v>
      </c>
      <c r="B15" s="19" t="s">
        <v>726</v>
      </c>
      <c r="C15" s="20">
        <v>0.28472222222222221</v>
      </c>
      <c r="D15" s="19" t="s">
        <v>279</v>
      </c>
      <c r="E15" s="19" t="s">
        <v>90</v>
      </c>
      <c r="F15" s="19" t="s">
        <v>727</v>
      </c>
      <c r="G15" s="267"/>
      <c r="H15" s="10"/>
      <c r="I15" s="11"/>
      <c r="J15" s="11"/>
      <c r="K15" s="11"/>
      <c r="L15" s="11"/>
      <c r="M15" s="11"/>
      <c r="N15" s="11"/>
      <c r="O15" s="12"/>
      <c r="P15" s="11"/>
      <c r="Q15" s="13"/>
      <c r="R15" s="14"/>
    </row>
    <row r="16" spans="1:92" ht="15" customHeight="1" x14ac:dyDescent="0.3">
      <c r="A16" s="17" t="s">
        <v>277</v>
      </c>
      <c r="B16" s="17" t="s">
        <v>728</v>
      </c>
      <c r="C16" s="18">
        <v>0.88888888888888884</v>
      </c>
      <c r="D16" s="17" t="s">
        <v>279</v>
      </c>
      <c r="E16" s="17" t="s">
        <v>229</v>
      </c>
      <c r="F16" s="17" t="s">
        <v>729</v>
      </c>
      <c r="G16" s="267"/>
      <c r="H16" s="10"/>
      <c r="I16" s="11"/>
      <c r="J16" s="11"/>
      <c r="K16" s="11"/>
      <c r="L16" s="11"/>
      <c r="M16" s="11"/>
      <c r="N16" s="11"/>
      <c r="O16" s="12"/>
      <c r="P16" s="11"/>
      <c r="Q16" s="13"/>
      <c r="R16" s="14"/>
    </row>
    <row r="17" spans="1:18" ht="15" customHeight="1" x14ac:dyDescent="0.3">
      <c r="A17" s="19" t="s">
        <v>285</v>
      </c>
      <c r="B17" s="19" t="s">
        <v>730</v>
      </c>
      <c r="C17" s="20">
        <v>0.5625</v>
      </c>
      <c r="D17" s="19" t="s">
        <v>279</v>
      </c>
      <c r="E17" s="19" t="s">
        <v>52</v>
      </c>
      <c r="F17" s="19" t="s">
        <v>731</v>
      </c>
      <c r="G17" s="267"/>
      <c r="H17" s="10"/>
      <c r="I17" s="11"/>
      <c r="J17" s="11"/>
      <c r="K17" s="11"/>
      <c r="L17" s="11"/>
      <c r="M17" s="11"/>
      <c r="N17" s="11"/>
      <c r="O17" s="12"/>
      <c r="P17" s="11"/>
      <c r="Q17" s="13"/>
      <c r="R17" s="14"/>
    </row>
    <row r="18" spans="1:18" ht="15" customHeight="1" x14ac:dyDescent="0.3">
      <c r="A18" s="17" t="s">
        <v>285</v>
      </c>
      <c r="B18" s="17" t="s">
        <v>732</v>
      </c>
      <c r="C18" s="18">
        <v>0.95833333333333337</v>
      </c>
      <c r="D18" s="17" t="s">
        <v>279</v>
      </c>
      <c r="E18" s="17" t="s">
        <v>55</v>
      </c>
      <c r="F18" s="17" t="s">
        <v>731</v>
      </c>
      <c r="G18" s="267"/>
      <c r="H18" s="10"/>
      <c r="I18" s="11"/>
      <c r="J18" s="11"/>
      <c r="K18" s="11"/>
      <c r="L18" s="11"/>
      <c r="M18" s="11"/>
      <c r="N18" s="11"/>
      <c r="O18" s="12"/>
      <c r="P18" s="11"/>
      <c r="Q18" s="13"/>
      <c r="R18" s="14"/>
    </row>
    <row r="19" spans="1:18" ht="15" customHeight="1" x14ac:dyDescent="0.3">
      <c r="A19" s="106" t="s">
        <v>78</v>
      </c>
      <c r="B19" s="106" t="s">
        <v>733</v>
      </c>
      <c r="C19" s="107">
        <v>0.92361111111111116</v>
      </c>
      <c r="D19" s="106" t="s">
        <v>178</v>
      </c>
      <c r="E19" s="106" t="s">
        <v>221</v>
      </c>
      <c r="F19" s="106" t="s">
        <v>734</v>
      </c>
      <c r="G19" s="267"/>
      <c r="H19" s="109" t="s">
        <v>735</v>
      </c>
      <c r="I19" s="205">
        <v>0.58520000000000005</v>
      </c>
      <c r="J19" s="111">
        <v>103</v>
      </c>
      <c r="K19" s="112">
        <v>45980</v>
      </c>
      <c r="L19" s="111">
        <v>23</v>
      </c>
      <c r="M19" s="111">
        <v>1</v>
      </c>
      <c r="N19" s="111">
        <v>5</v>
      </c>
      <c r="O19" s="113" t="s">
        <v>270</v>
      </c>
      <c r="P19" s="114">
        <v>0.92361111111111116</v>
      </c>
      <c r="Q19" s="111">
        <v>176</v>
      </c>
      <c r="R19" s="115" t="s">
        <v>736</v>
      </c>
    </row>
    <row r="20" spans="1:18" ht="15" customHeight="1" x14ac:dyDescent="0.3">
      <c r="A20" s="19" t="s">
        <v>49</v>
      </c>
      <c r="B20" s="19" t="s">
        <v>737</v>
      </c>
      <c r="C20" s="20">
        <v>0.1701388888888889</v>
      </c>
      <c r="D20" s="19" t="s">
        <v>51</v>
      </c>
      <c r="E20" s="19" t="s">
        <v>52</v>
      </c>
      <c r="F20" s="19" t="s">
        <v>738</v>
      </c>
      <c r="G20" s="267"/>
      <c r="H20" s="10"/>
      <c r="I20" s="11"/>
      <c r="J20" s="11"/>
      <c r="K20" s="11"/>
      <c r="L20" s="11"/>
      <c r="M20" s="11"/>
      <c r="N20" s="11"/>
      <c r="O20" s="12"/>
      <c r="P20" s="11"/>
      <c r="Q20" s="13"/>
      <c r="R20" s="14"/>
    </row>
    <row r="21" spans="1:18" ht="15" customHeight="1" x14ac:dyDescent="0.3">
      <c r="A21" s="17" t="s">
        <v>49</v>
      </c>
      <c r="B21" s="17" t="s">
        <v>739</v>
      </c>
      <c r="C21" s="18">
        <v>0.86458333333333337</v>
      </c>
      <c r="D21" s="17" t="s">
        <v>51</v>
      </c>
      <c r="E21" s="17" t="s">
        <v>74</v>
      </c>
      <c r="F21" s="17" t="s">
        <v>740</v>
      </c>
      <c r="G21" s="267"/>
      <c r="H21" s="10"/>
      <c r="I21" s="11"/>
      <c r="J21" s="11"/>
      <c r="K21" s="11"/>
      <c r="L21" s="11"/>
      <c r="M21" s="11"/>
      <c r="N21" s="11"/>
      <c r="O21" s="12"/>
      <c r="P21" s="11"/>
      <c r="Q21" s="13"/>
      <c r="R21" s="14"/>
    </row>
    <row r="22" spans="1:18" ht="15" customHeight="1" x14ac:dyDescent="0.3">
      <c r="A22" s="17" t="s">
        <v>49</v>
      </c>
      <c r="B22" s="17" t="s">
        <v>741</v>
      </c>
      <c r="C22" s="18">
        <v>0.52777777777777779</v>
      </c>
      <c r="D22" s="17" t="s">
        <v>51</v>
      </c>
      <c r="E22" s="17" t="s">
        <v>55</v>
      </c>
      <c r="F22" s="17" t="s">
        <v>740</v>
      </c>
      <c r="G22" s="267"/>
      <c r="H22" s="10"/>
      <c r="I22" s="11"/>
      <c r="J22" s="11"/>
      <c r="K22" s="11"/>
      <c r="L22" s="11"/>
      <c r="M22" s="11"/>
      <c r="N22" s="11"/>
      <c r="O22" s="12"/>
      <c r="P22" s="11"/>
      <c r="Q22" s="13"/>
      <c r="R22" s="14"/>
    </row>
    <row r="23" spans="1:18" ht="15" customHeight="1" thickBot="1" x14ac:dyDescent="0.35">
      <c r="A23" s="215" t="s">
        <v>62</v>
      </c>
      <c r="B23" s="215" t="s">
        <v>742</v>
      </c>
      <c r="C23" s="216">
        <v>0.30555555555555552</v>
      </c>
      <c r="D23" s="215" t="s">
        <v>66</v>
      </c>
      <c r="E23" s="215" t="s">
        <v>90</v>
      </c>
      <c r="F23" s="215" t="s">
        <v>743</v>
      </c>
      <c r="G23" s="268"/>
      <c r="H23" s="41"/>
      <c r="I23" s="42"/>
      <c r="J23" s="42"/>
      <c r="K23" s="42"/>
      <c r="L23" s="42"/>
      <c r="M23" s="42"/>
      <c r="N23" s="42"/>
      <c r="O23" s="43"/>
      <c r="P23" s="42"/>
      <c r="Q23" s="44"/>
      <c r="R23" s="45"/>
    </row>
    <row r="24" spans="1:18" ht="17.399999999999999" customHeight="1" thickBot="1" x14ac:dyDescent="0.35">
      <c r="A24" s="295"/>
      <c r="B24" s="296"/>
      <c r="C24" s="296"/>
      <c r="D24" s="296"/>
      <c r="E24" s="296"/>
      <c r="F24" s="296"/>
      <c r="G24" s="296"/>
      <c r="H24" s="296"/>
      <c r="I24" s="296"/>
      <c r="J24" s="296"/>
      <c r="K24" s="296"/>
      <c r="L24" s="296"/>
      <c r="M24" s="296"/>
      <c r="N24" s="296"/>
      <c r="O24" s="296"/>
      <c r="P24" s="296"/>
      <c r="Q24" s="296"/>
      <c r="R24" s="297"/>
    </row>
    <row r="25" spans="1:18" ht="22.05" customHeight="1" thickTop="1" thickBot="1" x14ac:dyDescent="0.35">
      <c r="A25" s="262" t="s">
        <v>6</v>
      </c>
      <c r="B25" s="263"/>
      <c r="C25" s="263"/>
      <c r="D25" s="263"/>
      <c r="E25" s="263"/>
      <c r="F25" s="264"/>
      <c r="G25" s="31">
        <v>45982</v>
      </c>
      <c r="H25" s="270" t="s">
        <v>7</v>
      </c>
      <c r="I25" s="263"/>
      <c r="J25" s="263"/>
      <c r="K25" s="263"/>
      <c r="L25" s="263"/>
      <c r="M25" s="263"/>
      <c r="N25" s="263"/>
      <c r="O25" s="263"/>
      <c r="P25" s="263"/>
      <c r="Q25" s="263"/>
      <c r="R25" s="264"/>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15" customHeight="1" x14ac:dyDescent="0.3">
      <c r="A27" s="8" t="s">
        <v>26</v>
      </c>
      <c r="B27" s="8" t="s">
        <v>721</v>
      </c>
      <c r="C27" s="9">
        <v>0.83333333333333337</v>
      </c>
      <c r="D27" s="8" t="s">
        <v>220</v>
      </c>
      <c r="E27" s="8" t="s">
        <v>221</v>
      </c>
      <c r="F27" s="8" t="s">
        <v>39</v>
      </c>
      <c r="G27" s="266"/>
      <c r="H27" s="10"/>
      <c r="I27" s="11"/>
      <c r="J27" s="11"/>
      <c r="K27" s="11"/>
      <c r="L27" s="11"/>
      <c r="M27" s="11"/>
      <c r="N27" s="11"/>
      <c r="O27" s="12"/>
      <c r="P27" s="11"/>
      <c r="Q27" s="13"/>
      <c r="R27" s="14"/>
    </row>
    <row r="28" spans="1:18" ht="15" customHeight="1" x14ac:dyDescent="0.3">
      <c r="A28" s="19" t="s">
        <v>41</v>
      </c>
      <c r="B28" s="19" t="s">
        <v>723</v>
      </c>
      <c r="C28" s="20">
        <v>0.30555555555555552</v>
      </c>
      <c r="D28" s="19" t="s">
        <v>236</v>
      </c>
      <c r="E28" s="19" t="s">
        <v>499</v>
      </c>
      <c r="F28" s="19" t="s">
        <v>35</v>
      </c>
      <c r="G28" s="267"/>
      <c r="H28" s="10"/>
      <c r="I28" s="11"/>
      <c r="J28" s="11"/>
      <c r="K28" s="11"/>
      <c r="L28" s="11"/>
      <c r="M28" s="11"/>
      <c r="N28" s="11"/>
      <c r="O28" s="12"/>
      <c r="P28" s="11"/>
      <c r="Q28" s="13"/>
      <c r="R28" s="14"/>
    </row>
    <row r="29" spans="1:18" ht="15" customHeight="1" x14ac:dyDescent="0.3">
      <c r="A29" s="19" t="s">
        <v>277</v>
      </c>
      <c r="B29" s="19" t="s">
        <v>744</v>
      </c>
      <c r="C29" s="20">
        <v>0.21527777777777779</v>
      </c>
      <c r="D29" s="19" t="s">
        <v>279</v>
      </c>
      <c r="E29" s="19" t="s">
        <v>101</v>
      </c>
      <c r="F29" s="19" t="s">
        <v>745</v>
      </c>
      <c r="G29" s="267"/>
      <c r="H29" s="10"/>
      <c r="I29" s="11"/>
      <c r="J29" s="11"/>
      <c r="K29" s="11"/>
      <c r="L29" s="11"/>
      <c r="M29" s="11"/>
      <c r="N29" s="11"/>
      <c r="O29" s="12"/>
      <c r="P29" s="11"/>
      <c r="Q29" s="13"/>
      <c r="R29" s="14"/>
    </row>
    <row r="30" spans="1:18" ht="15" customHeight="1" x14ac:dyDescent="0.3">
      <c r="A30" s="158" t="s">
        <v>78</v>
      </c>
      <c r="B30" s="158" t="s">
        <v>733</v>
      </c>
      <c r="C30" s="159">
        <v>0.57986111111111105</v>
      </c>
      <c r="D30" s="158" t="s">
        <v>178</v>
      </c>
      <c r="E30" s="158" t="s">
        <v>221</v>
      </c>
      <c r="F30" s="158" t="s">
        <v>746</v>
      </c>
      <c r="G30" s="267"/>
      <c r="H30" s="120" t="s">
        <v>735</v>
      </c>
      <c r="I30" s="121">
        <v>0.58330000000000004</v>
      </c>
      <c r="J30" s="122">
        <v>98</v>
      </c>
      <c r="K30" s="123">
        <v>45978</v>
      </c>
      <c r="L30" s="122">
        <v>14</v>
      </c>
      <c r="M30" s="122">
        <v>0</v>
      </c>
      <c r="N30" s="122">
        <v>0</v>
      </c>
      <c r="O30" s="124" t="s">
        <v>747</v>
      </c>
      <c r="P30" s="125">
        <v>0.57986111111111105</v>
      </c>
      <c r="Q30" s="122">
        <v>168</v>
      </c>
      <c r="R30" s="126" t="s">
        <v>748</v>
      </c>
    </row>
    <row r="31" spans="1:18" ht="15" customHeight="1" x14ac:dyDescent="0.3">
      <c r="A31" s="19" t="s">
        <v>62</v>
      </c>
      <c r="B31" s="19" t="s">
        <v>742</v>
      </c>
      <c r="C31" s="20">
        <v>0.30555555555555552</v>
      </c>
      <c r="D31" s="19" t="s">
        <v>66</v>
      </c>
      <c r="E31" s="19" t="s">
        <v>90</v>
      </c>
      <c r="F31" s="19" t="s">
        <v>749</v>
      </c>
      <c r="G31" s="267"/>
      <c r="H31" s="10"/>
      <c r="I31" s="11"/>
      <c r="J31" s="11"/>
      <c r="K31" s="11"/>
      <c r="L31" s="11"/>
      <c r="M31" s="11"/>
      <c r="N31" s="11"/>
      <c r="O31" s="12"/>
      <c r="P31" s="11"/>
      <c r="Q31" s="13"/>
      <c r="R31" s="14"/>
    </row>
    <row r="32" spans="1:18" ht="15" customHeight="1" x14ac:dyDescent="0.3">
      <c r="A32" s="19" t="s">
        <v>49</v>
      </c>
      <c r="B32" s="19" t="s">
        <v>739</v>
      </c>
      <c r="C32" s="20">
        <v>0.86458333333333337</v>
      </c>
      <c r="D32" s="19" t="s">
        <v>51</v>
      </c>
      <c r="E32" s="19" t="s">
        <v>221</v>
      </c>
      <c r="F32" s="19" t="s">
        <v>740</v>
      </c>
      <c r="G32" s="267"/>
      <c r="H32" s="10"/>
      <c r="I32" s="11"/>
      <c r="J32" s="11"/>
      <c r="K32" s="11"/>
      <c r="L32" s="11"/>
      <c r="M32" s="11"/>
      <c r="N32" s="11"/>
      <c r="O32" s="12"/>
      <c r="P32" s="11"/>
      <c r="Q32" s="13"/>
      <c r="R32" s="14"/>
    </row>
    <row r="33" spans="1:18" ht="15" customHeight="1" x14ac:dyDescent="0.3">
      <c r="A33" s="17" t="s">
        <v>49</v>
      </c>
      <c r="B33" s="17" t="s">
        <v>741</v>
      </c>
      <c r="C33" s="18">
        <v>0.52777777777777779</v>
      </c>
      <c r="D33" s="17" t="s">
        <v>51</v>
      </c>
      <c r="E33" s="17" t="s">
        <v>71</v>
      </c>
      <c r="F33" s="17" t="s">
        <v>740</v>
      </c>
      <c r="G33" s="267"/>
      <c r="H33" s="10"/>
      <c r="I33" s="11"/>
      <c r="J33" s="11"/>
      <c r="K33" s="11"/>
      <c r="L33" s="11"/>
      <c r="M33" s="11"/>
      <c r="N33" s="11"/>
      <c r="O33" s="12"/>
      <c r="P33" s="11"/>
      <c r="Q33" s="13"/>
      <c r="R33" s="14"/>
    </row>
    <row r="34" spans="1:18" ht="15" customHeight="1" thickBot="1" x14ac:dyDescent="0.35">
      <c r="A34" s="91" t="s">
        <v>49</v>
      </c>
      <c r="B34" s="91" t="s">
        <v>737</v>
      </c>
      <c r="C34" s="92">
        <v>0.1701388888888889</v>
      </c>
      <c r="D34" s="91" t="s">
        <v>51</v>
      </c>
      <c r="E34" s="91" t="s">
        <v>232</v>
      </c>
      <c r="F34" s="91" t="s">
        <v>740</v>
      </c>
      <c r="G34" s="268"/>
      <c r="H34" s="41"/>
      <c r="I34" s="42"/>
      <c r="J34" s="42"/>
      <c r="K34" s="42"/>
      <c r="L34" s="42"/>
      <c r="M34" s="42"/>
      <c r="N34" s="42"/>
      <c r="O34" s="43"/>
      <c r="P34" s="42"/>
      <c r="Q34" s="44"/>
      <c r="R34" s="45"/>
    </row>
    <row r="35" spans="1:18" ht="17.399999999999999" customHeight="1" thickBot="1" x14ac:dyDescent="0.35">
      <c r="A35" s="295"/>
      <c r="B35" s="296"/>
      <c r="C35" s="296"/>
      <c r="D35" s="296"/>
      <c r="E35" s="296"/>
      <c r="F35" s="296"/>
      <c r="G35" s="296"/>
      <c r="H35" s="296"/>
      <c r="I35" s="296"/>
      <c r="J35" s="296"/>
      <c r="K35" s="296"/>
      <c r="L35" s="296"/>
      <c r="M35" s="296"/>
      <c r="N35" s="296"/>
      <c r="O35" s="296"/>
      <c r="P35" s="296"/>
      <c r="Q35" s="296"/>
      <c r="R35" s="297"/>
    </row>
    <row r="36" spans="1:18" ht="22.05" customHeight="1" thickTop="1" thickBot="1" x14ac:dyDescent="0.35">
      <c r="A36" s="262" t="s">
        <v>6</v>
      </c>
      <c r="B36" s="263"/>
      <c r="C36" s="263"/>
      <c r="D36" s="263"/>
      <c r="E36" s="263"/>
      <c r="F36" s="264"/>
      <c r="G36" s="31">
        <v>45983</v>
      </c>
      <c r="H36" s="270" t="s">
        <v>7</v>
      </c>
      <c r="I36" s="263"/>
      <c r="J36" s="263"/>
      <c r="K36" s="263"/>
      <c r="L36" s="263"/>
      <c r="M36" s="263"/>
      <c r="N36" s="263"/>
      <c r="O36" s="263"/>
      <c r="P36" s="263"/>
      <c r="Q36" s="263"/>
      <c r="R36" s="264"/>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15" customHeight="1" x14ac:dyDescent="0.3">
      <c r="A38" s="8" t="s">
        <v>243</v>
      </c>
      <c r="B38" s="8" t="s">
        <v>750</v>
      </c>
      <c r="C38" s="9">
        <v>0.97222222222222221</v>
      </c>
      <c r="D38" s="8" t="s">
        <v>615</v>
      </c>
      <c r="E38" s="8" t="s">
        <v>29</v>
      </c>
      <c r="F38" s="8" t="s">
        <v>751</v>
      </c>
      <c r="G38" s="266"/>
      <c r="H38" s="10"/>
      <c r="I38" s="11"/>
      <c r="J38" s="11"/>
      <c r="K38" s="11"/>
      <c r="L38" s="11"/>
      <c r="M38" s="11"/>
      <c r="N38" s="11"/>
      <c r="O38" s="12"/>
      <c r="P38" s="11"/>
      <c r="Q38" s="13"/>
      <c r="R38" s="14"/>
    </row>
    <row r="39" spans="1:18" ht="15" customHeight="1" x14ac:dyDescent="0.3">
      <c r="A39" s="15" t="s">
        <v>243</v>
      </c>
      <c r="B39" s="15" t="s">
        <v>750</v>
      </c>
      <c r="C39" s="16">
        <v>0.97222222222222221</v>
      </c>
      <c r="D39" s="15" t="s">
        <v>47</v>
      </c>
      <c r="E39" s="15" t="s">
        <v>32</v>
      </c>
      <c r="F39" s="15" t="s">
        <v>752</v>
      </c>
      <c r="G39" s="267"/>
      <c r="H39" s="10"/>
      <c r="I39" s="11"/>
      <c r="J39" s="11"/>
      <c r="K39" s="11"/>
      <c r="L39" s="11"/>
      <c r="M39" s="11"/>
      <c r="N39" s="11"/>
      <c r="O39" s="12"/>
      <c r="P39" s="11"/>
      <c r="Q39" s="13"/>
      <c r="R39" s="14"/>
    </row>
    <row r="40" spans="1:18" ht="15" customHeight="1" x14ac:dyDescent="0.3">
      <c r="A40" s="19" t="s">
        <v>285</v>
      </c>
      <c r="B40" s="19" t="s">
        <v>732</v>
      </c>
      <c r="C40" s="20">
        <v>0.89583333333333337</v>
      </c>
      <c r="D40" s="19" t="s">
        <v>279</v>
      </c>
      <c r="E40" s="19" t="s">
        <v>52</v>
      </c>
      <c r="F40" s="19" t="s">
        <v>753</v>
      </c>
      <c r="G40" s="267"/>
      <c r="H40" s="10"/>
      <c r="I40" s="11"/>
      <c r="J40" s="11"/>
      <c r="K40" s="11"/>
      <c r="L40" s="11"/>
      <c r="M40" s="11"/>
      <c r="N40" s="11"/>
      <c r="O40" s="12"/>
      <c r="P40" s="11"/>
      <c r="Q40" s="13"/>
      <c r="R40" s="14"/>
    </row>
    <row r="41" spans="1:18" ht="15" customHeight="1" x14ac:dyDescent="0.3">
      <c r="A41" s="17" t="s">
        <v>285</v>
      </c>
      <c r="B41" s="17" t="s">
        <v>754</v>
      </c>
      <c r="C41" s="18">
        <v>6.9444444444444441E-3</v>
      </c>
      <c r="D41" s="17" t="s">
        <v>279</v>
      </c>
      <c r="E41" s="17" t="s">
        <v>55</v>
      </c>
      <c r="F41" s="17" t="s">
        <v>753</v>
      </c>
      <c r="G41" s="267"/>
      <c r="H41" s="10"/>
      <c r="I41" s="11"/>
      <c r="J41" s="11"/>
      <c r="K41" s="11"/>
      <c r="L41" s="11"/>
      <c r="M41" s="11"/>
      <c r="N41" s="11"/>
      <c r="O41" s="12"/>
      <c r="P41" s="11"/>
      <c r="Q41" s="13"/>
      <c r="R41" s="14"/>
    </row>
    <row r="42" spans="1:18" ht="15" customHeight="1" x14ac:dyDescent="0.3">
      <c r="A42" s="19" t="s">
        <v>26</v>
      </c>
      <c r="B42" s="19" t="s">
        <v>721</v>
      </c>
      <c r="C42" s="20">
        <v>0.83333333333333337</v>
      </c>
      <c r="D42" s="19" t="s">
        <v>28</v>
      </c>
      <c r="E42" s="19" t="s">
        <v>29</v>
      </c>
      <c r="F42" s="19" t="s">
        <v>753</v>
      </c>
      <c r="G42" s="267"/>
      <c r="H42" s="10"/>
      <c r="I42" s="11"/>
      <c r="J42" s="11"/>
      <c r="K42" s="11"/>
      <c r="L42" s="11"/>
      <c r="M42" s="11"/>
      <c r="N42" s="11"/>
      <c r="O42" s="12"/>
      <c r="P42" s="11"/>
      <c r="Q42" s="13"/>
      <c r="R42" s="14"/>
    </row>
    <row r="43" spans="1:18" ht="15" customHeight="1" x14ac:dyDescent="0.3">
      <c r="A43" s="15" t="s">
        <v>26</v>
      </c>
      <c r="B43" s="15" t="s">
        <v>721</v>
      </c>
      <c r="C43" s="16">
        <v>0.83333333333333337</v>
      </c>
      <c r="D43" s="15" t="s">
        <v>31</v>
      </c>
      <c r="E43" s="15" t="s">
        <v>32</v>
      </c>
      <c r="F43" s="15" t="s">
        <v>678</v>
      </c>
      <c r="G43" s="267"/>
      <c r="H43" s="10"/>
      <c r="I43" s="11"/>
      <c r="J43" s="11"/>
      <c r="K43" s="11"/>
      <c r="L43" s="11"/>
      <c r="M43" s="11"/>
      <c r="N43" s="11"/>
      <c r="O43" s="12"/>
      <c r="P43" s="11"/>
      <c r="Q43" s="13"/>
      <c r="R43" s="14"/>
    </row>
    <row r="44" spans="1:18" ht="15" customHeight="1" x14ac:dyDescent="0.3">
      <c r="A44" s="15" t="s">
        <v>26</v>
      </c>
      <c r="B44" s="15" t="s">
        <v>721</v>
      </c>
      <c r="C44" s="16">
        <v>0.83333333333333337</v>
      </c>
      <c r="D44" s="15" t="s">
        <v>34</v>
      </c>
      <c r="E44" s="15" t="s">
        <v>32</v>
      </c>
      <c r="F44" s="15" t="s">
        <v>755</v>
      </c>
      <c r="G44" s="267"/>
      <c r="H44" s="10"/>
      <c r="I44" s="11"/>
      <c r="J44" s="11"/>
      <c r="K44" s="11"/>
      <c r="L44" s="11"/>
      <c r="M44" s="11"/>
      <c r="N44" s="11"/>
      <c r="O44" s="12"/>
      <c r="P44" s="11"/>
      <c r="Q44" s="13"/>
      <c r="R44" s="14"/>
    </row>
    <row r="45" spans="1:18" ht="15" customHeight="1" x14ac:dyDescent="0.3">
      <c r="A45" s="17" t="s">
        <v>26</v>
      </c>
      <c r="B45" s="17" t="s">
        <v>718</v>
      </c>
      <c r="C45" s="18">
        <v>0.19791666666666671</v>
      </c>
      <c r="D45" s="17" t="s">
        <v>28</v>
      </c>
      <c r="E45" s="17" t="s">
        <v>225</v>
      </c>
      <c r="F45" s="17" t="s">
        <v>753</v>
      </c>
      <c r="G45" s="267"/>
      <c r="H45" s="10"/>
      <c r="I45" s="11"/>
      <c r="J45" s="11"/>
      <c r="K45" s="11"/>
      <c r="L45" s="11"/>
      <c r="M45" s="11"/>
      <c r="N45" s="11"/>
      <c r="O45" s="12"/>
      <c r="P45" s="11"/>
      <c r="Q45" s="13"/>
      <c r="R45" s="14"/>
    </row>
    <row r="46" spans="1:18" ht="15" customHeight="1" x14ac:dyDescent="0.3">
      <c r="A46" s="15" t="s">
        <v>26</v>
      </c>
      <c r="B46" s="15" t="s">
        <v>718</v>
      </c>
      <c r="C46" s="16">
        <v>0.19791666666666671</v>
      </c>
      <c r="D46" s="15" t="s">
        <v>31</v>
      </c>
      <c r="E46" s="15" t="s">
        <v>588</v>
      </c>
      <c r="F46" s="15" t="s">
        <v>678</v>
      </c>
      <c r="G46" s="267"/>
      <c r="H46" s="10"/>
      <c r="I46" s="11"/>
      <c r="J46" s="11"/>
      <c r="K46" s="11"/>
      <c r="L46" s="11"/>
      <c r="M46" s="11"/>
      <c r="N46" s="11"/>
      <c r="O46" s="12"/>
      <c r="P46" s="11"/>
      <c r="Q46" s="13"/>
      <c r="R46" s="14"/>
    </row>
    <row r="47" spans="1:18" ht="15" customHeight="1" x14ac:dyDescent="0.3">
      <c r="A47" s="15" t="s">
        <v>26</v>
      </c>
      <c r="B47" s="15" t="s">
        <v>718</v>
      </c>
      <c r="C47" s="16">
        <v>0.19791666666666671</v>
      </c>
      <c r="D47" s="15" t="s">
        <v>34</v>
      </c>
      <c r="E47" s="15" t="s">
        <v>588</v>
      </c>
      <c r="F47" s="15" t="s">
        <v>755</v>
      </c>
      <c r="G47" s="267"/>
      <c r="H47" s="10"/>
      <c r="I47" s="11"/>
      <c r="J47" s="11"/>
      <c r="K47" s="11"/>
      <c r="L47" s="11"/>
      <c r="M47" s="11"/>
      <c r="N47" s="11"/>
      <c r="O47" s="12"/>
      <c r="P47" s="11"/>
      <c r="Q47" s="13"/>
      <c r="R47" s="14"/>
    </row>
    <row r="48" spans="1:18" ht="15" customHeight="1" x14ac:dyDescent="0.3">
      <c r="A48" s="19" t="s">
        <v>41</v>
      </c>
      <c r="B48" s="19" t="s">
        <v>723</v>
      </c>
      <c r="C48" s="20">
        <v>0.30555555555555552</v>
      </c>
      <c r="D48" s="19" t="s">
        <v>43</v>
      </c>
      <c r="E48" s="19" t="s">
        <v>321</v>
      </c>
      <c r="F48" s="19" t="s">
        <v>603</v>
      </c>
      <c r="G48" s="267"/>
      <c r="H48" s="10"/>
      <c r="I48" s="11"/>
      <c r="J48" s="11"/>
      <c r="K48" s="11"/>
      <c r="L48" s="11"/>
      <c r="M48" s="11"/>
      <c r="N48" s="11"/>
      <c r="O48" s="12"/>
      <c r="P48" s="11"/>
      <c r="Q48" s="13"/>
      <c r="R48" s="14"/>
    </row>
    <row r="49" spans="1:18" ht="15" customHeight="1" x14ac:dyDescent="0.3">
      <c r="A49" s="15" t="s">
        <v>41</v>
      </c>
      <c r="B49" s="15" t="s">
        <v>723</v>
      </c>
      <c r="C49" s="16">
        <v>0.30555555555555552</v>
      </c>
      <c r="D49" s="15" t="s">
        <v>45</v>
      </c>
      <c r="E49" s="15" t="s">
        <v>644</v>
      </c>
      <c r="F49" s="15" t="s">
        <v>40</v>
      </c>
      <c r="G49" s="267"/>
      <c r="H49" s="10"/>
      <c r="I49" s="11"/>
      <c r="J49" s="11"/>
      <c r="K49" s="11"/>
      <c r="L49" s="11"/>
      <c r="M49" s="11"/>
      <c r="N49" s="11"/>
      <c r="O49" s="12"/>
      <c r="P49" s="11"/>
      <c r="Q49" s="13"/>
      <c r="R49" s="14"/>
    </row>
    <row r="50" spans="1:18" ht="15" customHeight="1" x14ac:dyDescent="0.3">
      <c r="A50" s="15" t="s">
        <v>41</v>
      </c>
      <c r="B50" s="15" t="s">
        <v>723</v>
      </c>
      <c r="C50" s="16">
        <v>0.30555555555555552</v>
      </c>
      <c r="D50" s="15" t="s">
        <v>47</v>
      </c>
      <c r="E50" s="15" t="s">
        <v>644</v>
      </c>
      <c r="F50" s="15" t="s">
        <v>595</v>
      </c>
      <c r="G50" s="267"/>
      <c r="H50" s="10"/>
      <c r="I50" s="11"/>
      <c r="J50" s="11"/>
      <c r="K50" s="11"/>
      <c r="L50" s="11"/>
      <c r="M50" s="11"/>
      <c r="N50" s="11"/>
      <c r="O50" s="12"/>
      <c r="P50" s="11"/>
      <c r="Q50" s="13"/>
      <c r="R50" s="14"/>
    </row>
    <row r="51" spans="1:18" ht="15" customHeight="1" x14ac:dyDescent="0.3">
      <c r="A51" s="19" t="s">
        <v>277</v>
      </c>
      <c r="B51" s="19" t="s">
        <v>728</v>
      </c>
      <c r="C51" s="20">
        <v>0.1736111111111111</v>
      </c>
      <c r="D51" s="19" t="s">
        <v>279</v>
      </c>
      <c r="E51" s="19" t="s">
        <v>90</v>
      </c>
      <c r="F51" s="19" t="s">
        <v>756</v>
      </c>
      <c r="G51" s="267"/>
      <c r="H51" s="10"/>
      <c r="I51" s="11"/>
      <c r="J51" s="11"/>
      <c r="K51" s="11"/>
      <c r="L51" s="11"/>
      <c r="M51" s="11"/>
      <c r="N51" s="11"/>
      <c r="O51" s="12"/>
      <c r="P51" s="11"/>
      <c r="Q51" s="13"/>
      <c r="R51" s="14"/>
    </row>
    <row r="52" spans="1:18" ht="15" customHeight="1" x14ac:dyDescent="0.3">
      <c r="A52" s="206" t="s">
        <v>78</v>
      </c>
      <c r="B52" s="206" t="s">
        <v>733</v>
      </c>
      <c r="C52" s="207">
        <v>0.92361111111111116</v>
      </c>
      <c r="D52" s="206" t="s">
        <v>178</v>
      </c>
      <c r="E52" s="206" t="s">
        <v>101</v>
      </c>
      <c r="F52" s="206" t="s">
        <v>757</v>
      </c>
      <c r="G52" s="267"/>
      <c r="H52" s="163" t="s">
        <v>735</v>
      </c>
      <c r="I52" s="164">
        <v>0.48809999999999998</v>
      </c>
      <c r="J52" s="165">
        <v>82</v>
      </c>
      <c r="K52" s="166">
        <v>45978</v>
      </c>
      <c r="L52" s="165">
        <v>7</v>
      </c>
      <c r="M52" s="165">
        <v>0</v>
      </c>
      <c r="N52" s="165">
        <v>0</v>
      </c>
      <c r="O52" s="167" t="s">
        <v>555</v>
      </c>
      <c r="P52" s="168">
        <v>0.92361111111111116</v>
      </c>
      <c r="Q52" s="165">
        <v>168</v>
      </c>
      <c r="R52" s="169" t="s">
        <v>758</v>
      </c>
    </row>
    <row r="53" spans="1:18" ht="15" customHeight="1" x14ac:dyDescent="0.3">
      <c r="A53" s="19" t="s">
        <v>49</v>
      </c>
      <c r="B53" s="19" t="s">
        <v>737</v>
      </c>
      <c r="C53" s="20">
        <v>0.1701388888888889</v>
      </c>
      <c r="D53" s="19" t="s">
        <v>51</v>
      </c>
      <c r="E53" s="19" t="s">
        <v>52</v>
      </c>
      <c r="F53" s="19" t="s">
        <v>759</v>
      </c>
      <c r="G53" s="267"/>
      <c r="H53" s="10"/>
      <c r="I53" s="11"/>
      <c r="J53" s="11"/>
      <c r="K53" s="11"/>
      <c r="L53" s="11"/>
      <c r="M53" s="11"/>
      <c r="N53" s="11"/>
      <c r="O53" s="12"/>
      <c r="P53" s="11"/>
      <c r="Q53" s="13"/>
      <c r="R53" s="14"/>
    </row>
    <row r="54" spans="1:18" ht="15" customHeight="1" x14ac:dyDescent="0.3">
      <c r="A54" s="17" t="s">
        <v>49</v>
      </c>
      <c r="B54" s="17" t="s">
        <v>739</v>
      </c>
      <c r="C54" s="18">
        <v>0.86458333333333337</v>
      </c>
      <c r="D54" s="17" t="s">
        <v>51</v>
      </c>
      <c r="E54" s="17" t="s">
        <v>55</v>
      </c>
      <c r="F54" s="17" t="s">
        <v>760</v>
      </c>
      <c r="G54" s="267"/>
      <c r="H54" s="10"/>
      <c r="I54" s="11"/>
      <c r="J54" s="11"/>
      <c r="K54" s="11"/>
      <c r="L54" s="11"/>
      <c r="M54" s="11"/>
      <c r="N54" s="11"/>
      <c r="O54" s="12"/>
      <c r="P54" s="11"/>
      <c r="Q54" s="13"/>
      <c r="R54" s="14"/>
    </row>
    <row r="55" spans="1:18" ht="15" customHeight="1" x14ac:dyDescent="0.3">
      <c r="A55" s="215" t="s">
        <v>62</v>
      </c>
      <c r="B55" s="215" t="s">
        <v>742</v>
      </c>
      <c r="C55" s="216">
        <v>0.30555555555555552</v>
      </c>
      <c r="D55" s="215" t="s">
        <v>66</v>
      </c>
      <c r="E55" s="215" t="s">
        <v>90</v>
      </c>
      <c r="F55" s="215" t="s">
        <v>743</v>
      </c>
      <c r="G55" s="268"/>
      <c r="H55" s="41"/>
      <c r="I55" s="42"/>
      <c r="J55" s="42"/>
      <c r="K55" s="42"/>
      <c r="L55" s="42"/>
      <c r="M55" s="42"/>
      <c r="N55" s="42"/>
      <c r="O55" s="43"/>
      <c r="P55" s="42"/>
      <c r="Q55" s="44"/>
      <c r="R55" s="45"/>
    </row>
  </sheetData>
  <mergeCells count="18">
    <mergeCell ref="G38:G55"/>
    <mergeCell ref="H1:L1"/>
    <mergeCell ref="A1:E1"/>
    <mergeCell ref="G2:J2"/>
    <mergeCell ref="K2:R2"/>
    <mergeCell ref="A4:F4"/>
    <mergeCell ref="A35:R35"/>
    <mergeCell ref="G27:G34"/>
    <mergeCell ref="H4:R4"/>
    <mergeCell ref="H36:R36"/>
    <mergeCell ref="A25:F25"/>
    <mergeCell ref="N1:R1"/>
    <mergeCell ref="A2:F2"/>
    <mergeCell ref="A3:R3"/>
    <mergeCell ref="H25:R25"/>
    <mergeCell ref="A36:F36"/>
    <mergeCell ref="A24:R24"/>
    <mergeCell ref="G6:G23"/>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5"/>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9.218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1" width="3.88671875" style="282" bestFit="1" customWidth="1"/>
    <col min="22" max="22" width="4.21875" style="282" bestFit="1" customWidth="1"/>
    <col min="23" max="23" width="4.33203125" style="282" bestFit="1" customWidth="1"/>
    <col min="24" max="24" width="4.109375" style="282" bestFit="1" customWidth="1"/>
    <col min="25" max="25" width="4.44140625" style="282" bestFit="1" customWidth="1"/>
    <col min="26" max="26" width="4.109375" style="282" bestFit="1" customWidth="1"/>
    <col min="27" max="27" width="5" style="282" bestFit="1" customWidth="1"/>
    <col min="28"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735</v>
      </c>
      <c r="D2" s="286" t="s">
        <v>695</v>
      </c>
      <c r="E2" s="285" t="s">
        <v>717</v>
      </c>
      <c r="F2" s="285" t="s">
        <v>136</v>
      </c>
      <c r="G2" s="287">
        <v>0.58520000000000005</v>
      </c>
      <c r="H2" s="288">
        <v>176</v>
      </c>
      <c r="I2" s="288">
        <v>103</v>
      </c>
      <c r="J2" s="288">
        <v>0</v>
      </c>
      <c r="K2" s="285" t="s">
        <v>137</v>
      </c>
      <c r="L2" s="289">
        <v>45980</v>
      </c>
      <c r="M2" s="288">
        <v>1</v>
      </c>
      <c r="N2" s="288">
        <v>5</v>
      </c>
      <c r="O2" s="288">
        <v>23</v>
      </c>
      <c r="P2" s="285" t="s">
        <v>270</v>
      </c>
      <c r="Q2" s="281"/>
      <c r="R2" s="281"/>
      <c r="S2" s="281"/>
      <c r="T2" s="281"/>
      <c r="U2" s="281"/>
      <c r="V2" s="288" t="s">
        <v>182</v>
      </c>
      <c r="W2" s="288" t="s">
        <v>761</v>
      </c>
      <c r="X2" s="288" t="s">
        <v>343</v>
      </c>
      <c r="Y2" s="288" t="s">
        <v>762</v>
      </c>
      <c r="Z2" s="288" t="s">
        <v>374</v>
      </c>
      <c r="AA2" s="288" t="s">
        <v>566</v>
      </c>
      <c r="AB2" s="281"/>
      <c r="AC2" s="288" t="s">
        <v>194</v>
      </c>
      <c r="AD2" s="288" t="s">
        <v>353</v>
      </c>
      <c r="AE2" s="288" t="s">
        <v>402</v>
      </c>
      <c r="AF2" s="281"/>
      <c r="AG2" s="281"/>
      <c r="AH2" s="281"/>
      <c r="AI2" s="281"/>
      <c r="AJ2" s="281"/>
    </row>
    <row r="3" spans="1:36" x14ac:dyDescent="0.3">
      <c r="A3" s="283" t="s">
        <v>393</v>
      </c>
      <c r="B3" s="284">
        <v>45982</v>
      </c>
      <c r="C3" s="285" t="s">
        <v>735</v>
      </c>
      <c r="D3" s="286" t="s">
        <v>763</v>
      </c>
      <c r="E3" s="285" t="s">
        <v>717</v>
      </c>
      <c r="F3" s="285" t="s">
        <v>136</v>
      </c>
      <c r="G3" s="287">
        <v>0.58330000000000004</v>
      </c>
      <c r="H3" s="288">
        <v>168</v>
      </c>
      <c r="I3" s="288">
        <v>98</v>
      </c>
      <c r="J3" s="288">
        <v>0</v>
      </c>
      <c r="K3" s="285" t="s">
        <v>137</v>
      </c>
      <c r="L3" s="289">
        <v>45978</v>
      </c>
      <c r="M3" s="288">
        <v>0</v>
      </c>
      <c r="N3" s="288">
        <v>0</v>
      </c>
      <c r="O3" s="288">
        <v>14</v>
      </c>
      <c r="P3" s="285" t="s">
        <v>747</v>
      </c>
      <c r="Q3" s="281"/>
      <c r="R3" s="281"/>
      <c r="S3" s="281"/>
      <c r="T3" s="281"/>
      <c r="U3" s="288" t="s">
        <v>764</v>
      </c>
      <c r="V3" s="288" t="s">
        <v>765</v>
      </c>
      <c r="W3" s="288" t="s">
        <v>766</v>
      </c>
      <c r="X3" s="288" t="s">
        <v>767</v>
      </c>
      <c r="Y3" s="288" t="s">
        <v>768</v>
      </c>
      <c r="Z3" s="288" t="s">
        <v>374</v>
      </c>
      <c r="AA3" s="288" t="s">
        <v>566</v>
      </c>
      <c r="AB3" s="281"/>
      <c r="AC3" s="281"/>
      <c r="AD3" s="281"/>
      <c r="AE3" s="288" t="s">
        <v>769</v>
      </c>
      <c r="AF3" s="281"/>
      <c r="AG3" s="281"/>
      <c r="AH3" s="281"/>
      <c r="AI3" s="281"/>
      <c r="AJ3" s="281"/>
    </row>
    <row r="4" spans="1:36" x14ac:dyDescent="0.3">
      <c r="A4" s="283" t="s">
        <v>150</v>
      </c>
      <c r="B4" s="284">
        <v>45983</v>
      </c>
      <c r="C4" s="285" t="s">
        <v>735</v>
      </c>
      <c r="D4" s="286" t="s">
        <v>695</v>
      </c>
      <c r="E4" s="285" t="s">
        <v>717</v>
      </c>
      <c r="F4" s="285" t="s">
        <v>136</v>
      </c>
      <c r="G4" s="287">
        <v>0.48809999999999998</v>
      </c>
      <c r="H4" s="288">
        <v>168</v>
      </c>
      <c r="I4" s="288">
        <v>82</v>
      </c>
      <c r="J4" s="288">
        <v>0</v>
      </c>
      <c r="K4" s="285" t="s">
        <v>137</v>
      </c>
      <c r="L4" s="289">
        <v>45978</v>
      </c>
      <c r="M4" s="288">
        <v>0</v>
      </c>
      <c r="N4" s="288">
        <v>0</v>
      </c>
      <c r="O4" s="288">
        <v>7</v>
      </c>
      <c r="P4" s="285" t="s">
        <v>555</v>
      </c>
      <c r="Q4" s="281"/>
      <c r="R4" s="281"/>
      <c r="S4" s="281"/>
      <c r="T4" s="281"/>
      <c r="U4" s="281"/>
      <c r="V4" s="281"/>
      <c r="W4" s="281"/>
      <c r="X4" s="281"/>
      <c r="Y4" s="288" t="s">
        <v>416</v>
      </c>
      <c r="Z4" s="288" t="s">
        <v>696</v>
      </c>
      <c r="AA4" s="288" t="s">
        <v>770</v>
      </c>
      <c r="AB4" s="281"/>
      <c r="AC4" s="288" t="s">
        <v>144</v>
      </c>
      <c r="AD4" s="288" t="s">
        <v>145</v>
      </c>
      <c r="AE4" s="288" t="s">
        <v>771</v>
      </c>
      <c r="AF4" s="288" t="s">
        <v>772</v>
      </c>
      <c r="AG4" s="281"/>
      <c r="AH4" s="281"/>
      <c r="AI4" s="281"/>
      <c r="AJ4" s="281"/>
    </row>
    <row r="5" spans="1:36" ht="21" x14ac:dyDescent="0.3">
      <c r="A5" s="290" t="s">
        <v>976</v>
      </c>
      <c r="B5" s="291"/>
      <c r="C5" s="290">
        <f>SUBTOTAL(103,DMM_CAI_LF_LEGACY[Flt])</f>
        <v>3</v>
      </c>
      <c r="D5" s="290"/>
      <c r="E5" s="290">
        <f>SUBTOTAL(103,DMM_CAI_LF_LEGACY[Brd-Off])</f>
        <v>3</v>
      </c>
      <c r="F5" s="290"/>
      <c r="G5" s="292">
        <f>SUBTOTAL(101,DMM_CAI_LF_LEGACY[LF%])</f>
        <v>0.55220000000000002</v>
      </c>
      <c r="H5" s="293">
        <f>SUBTOTAL(109,DMM_CAI_LF_LEGACY[CAP])</f>
        <v>512</v>
      </c>
      <c r="I5" s="293">
        <f>SUBTOTAL(109,DMM_CAI_LF_LEGACY[BKG(Y)])</f>
        <v>283</v>
      </c>
      <c r="J5" s="293">
        <f>SUBTOTAL(109,DMM_CAI_LF_LEGACY[GRP(Y)])</f>
        <v>0</v>
      </c>
      <c r="K5" s="290"/>
      <c r="L5" s="291"/>
      <c r="M5" s="293">
        <f>SUBTOTAL(109,DMM_CAI_LF_LEGACY[TO-DAY])</f>
        <v>1</v>
      </c>
      <c r="N5" s="293">
        <f>SUBTOTAL(109,DMM_CAI_LF_LEGACY[Y-DAY])</f>
        <v>5</v>
      </c>
      <c r="O5" s="293">
        <f>SUBTOTAL(109,DMM_CAI_LF_LEGACY[WEEKLY])</f>
        <v>44</v>
      </c>
      <c r="P5" s="294"/>
      <c r="Q5" s="293">
        <f>SUBTOTAL(109,DMM_CAI_LF_LEGACY[Y])</f>
        <v>0</v>
      </c>
      <c r="R5" s="293">
        <f>SUBTOTAL(109,DMM_CAI_LF_LEGACY[B])</f>
        <v>0</v>
      </c>
      <c r="S5" s="293">
        <f>SUBTOTAL(109,DMM_CAI_LF_LEGACY[M])</f>
        <v>0</v>
      </c>
      <c r="T5" s="293">
        <f>SUBTOTAL(109,DMM_CAI_LF_LEGACY[H])</f>
        <v>0</v>
      </c>
      <c r="U5" s="293">
        <f>SUBTOTAL(109,DMM_CAI_LF_LEGACY[Q])</f>
        <v>0</v>
      </c>
      <c r="V5" s="293">
        <f>SUBTOTAL(109,DMM_CAI_LF_LEGACY[K])</f>
        <v>0</v>
      </c>
      <c r="W5" s="293">
        <f>SUBTOTAL(109,DMM_CAI_LF_LEGACY[V])</f>
        <v>0</v>
      </c>
      <c r="X5" s="293">
        <f>SUBTOTAL(109,DMM_CAI_LF_LEGACY[L])</f>
        <v>0</v>
      </c>
      <c r="Y5" s="293">
        <f>SUBTOTAL(109,DMM_CAI_LF_LEGACY[G])</f>
        <v>0</v>
      </c>
      <c r="Z5" s="293">
        <f>SUBTOTAL(109,DMM_CAI_LF_LEGACY[S])</f>
        <v>0</v>
      </c>
      <c r="AA5" s="293">
        <f>SUBTOTAL(109,DMM_CAI_LF_LEGACY[W])</f>
        <v>0</v>
      </c>
      <c r="AB5" s="293">
        <f>SUBTOTAL(109,DMM_CAI_LF_LEGACY[T])</f>
        <v>0</v>
      </c>
      <c r="AC5" s="293">
        <f>SUBTOTAL(109,DMM_CAI_LF_LEGACY[X])</f>
        <v>0</v>
      </c>
      <c r="AD5" s="293">
        <f>SUBTOTAL(109,DMM_CAI_LF_LEGACY[U])</f>
        <v>0</v>
      </c>
      <c r="AE5" s="293">
        <f>SUBTOTAL(109,DMM_CAI_LF_LEGACY[O])</f>
        <v>0</v>
      </c>
      <c r="AF5" s="293">
        <f>SUBTOTAL(109,DMM_CAI_LF_LEGACY[I])</f>
        <v>0</v>
      </c>
      <c r="AG5" s="293">
        <f>SUBTOTAL(109,DMM_CAI_LF_LEGACY[E])</f>
        <v>0</v>
      </c>
      <c r="AH5" s="293">
        <f>SUBTOTAL(109,DMM_CAI_LF_LEGACY[A])</f>
        <v>0</v>
      </c>
      <c r="AI5" s="293">
        <f>SUBTOTAL(109,DMM_CAI_LF_LEGACY[P])</f>
        <v>0</v>
      </c>
      <c r="AJ5" s="293">
        <f>SUBTOTAL(103,DMM_CAI_LF_LEGACY[N])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4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9.8867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26</v>
      </c>
      <c r="C2" s="62" t="s">
        <v>718</v>
      </c>
      <c r="D2" s="61" t="s">
        <v>717</v>
      </c>
      <c r="E2" s="61" t="s">
        <v>773</v>
      </c>
      <c r="F2" s="61" t="s">
        <v>28</v>
      </c>
      <c r="G2" s="63">
        <v>6</v>
      </c>
      <c r="H2" s="64">
        <v>579</v>
      </c>
    </row>
    <row r="3" spans="1:8" ht="19.8" customHeight="1" x14ac:dyDescent="0.3">
      <c r="A3" s="60" t="s">
        <v>162</v>
      </c>
      <c r="B3" s="61" t="s">
        <v>41</v>
      </c>
      <c r="C3" s="62" t="s">
        <v>723</v>
      </c>
      <c r="D3" s="61" t="s">
        <v>717</v>
      </c>
      <c r="E3" s="61" t="s">
        <v>704</v>
      </c>
      <c r="F3" s="61" t="s">
        <v>43</v>
      </c>
      <c r="G3" s="63">
        <v>13</v>
      </c>
      <c r="H3" s="64">
        <v>649</v>
      </c>
    </row>
    <row r="4" spans="1:8" ht="19.8" customHeight="1" x14ac:dyDescent="0.3">
      <c r="A4" s="60" t="s">
        <v>162</v>
      </c>
      <c r="B4" s="61" t="s">
        <v>26</v>
      </c>
      <c r="C4" s="62" t="s">
        <v>718</v>
      </c>
      <c r="D4" s="61" t="s">
        <v>717</v>
      </c>
      <c r="E4" s="61" t="s">
        <v>773</v>
      </c>
      <c r="F4" s="61" t="s">
        <v>31</v>
      </c>
      <c r="G4" s="63">
        <v>6</v>
      </c>
      <c r="H4" s="64">
        <v>679</v>
      </c>
    </row>
    <row r="5" spans="1:8" ht="19.8" customHeight="1" x14ac:dyDescent="0.3">
      <c r="A5" s="60" t="s">
        <v>162</v>
      </c>
      <c r="B5" s="61" t="s">
        <v>26</v>
      </c>
      <c r="C5" s="62" t="s">
        <v>721</v>
      </c>
      <c r="D5" s="61" t="s">
        <v>717</v>
      </c>
      <c r="E5" s="61" t="s">
        <v>774</v>
      </c>
      <c r="F5" s="61" t="s">
        <v>28</v>
      </c>
      <c r="G5" s="63">
        <v>4</v>
      </c>
      <c r="H5" s="64">
        <v>709</v>
      </c>
    </row>
    <row r="6" spans="1:8" ht="19.8" customHeight="1" x14ac:dyDescent="0.3">
      <c r="A6" s="60" t="s">
        <v>162</v>
      </c>
      <c r="B6" s="61" t="s">
        <v>26</v>
      </c>
      <c r="C6" s="62" t="s">
        <v>718</v>
      </c>
      <c r="D6" s="61" t="s">
        <v>717</v>
      </c>
      <c r="E6" s="61" t="s">
        <v>773</v>
      </c>
      <c r="F6" s="61" t="s">
        <v>34</v>
      </c>
      <c r="G6" s="63">
        <v>6</v>
      </c>
      <c r="H6" s="64">
        <v>769</v>
      </c>
    </row>
    <row r="7" spans="1:8" ht="19.8" customHeight="1" x14ac:dyDescent="0.3">
      <c r="A7" s="60" t="s">
        <v>162</v>
      </c>
      <c r="B7" s="61" t="s">
        <v>41</v>
      </c>
      <c r="C7" s="62" t="s">
        <v>723</v>
      </c>
      <c r="D7" s="61" t="s">
        <v>717</v>
      </c>
      <c r="E7" s="61" t="s">
        <v>704</v>
      </c>
      <c r="F7" s="61" t="s">
        <v>45</v>
      </c>
      <c r="G7" s="63">
        <v>13</v>
      </c>
      <c r="H7" s="64">
        <v>799</v>
      </c>
    </row>
    <row r="8" spans="1:8" ht="19.8" customHeight="1" x14ac:dyDescent="0.3">
      <c r="A8" s="60" t="s">
        <v>162</v>
      </c>
      <c r="B8" s="61" t="s">
        <v>26</v>
      </c>
      <c r="C8" s="62" t="s">
        <v>721</v>
      </c>
      <c r="D8" s="61" t="s">
        <v>717</v>
      </c>
      <c r="E8" s="61" t="s">
        <v>774</v>
      </c>
      <c r="F8" s="61" t="s">
        <v>31</v>
      </c>
      <c r="G8" s="63">
        <v>4</v>
      </c>
      <c r="H8" s="64">
        <v>809</v>
      </c>
    </row>
    <row r="9" spans="1:8" ht="19.8" customHeight="1" x14ac:dyDescent="0.3">
      <c r="A9" s="60" t="s">
        <v>162</v>
      </c>
      <c r="B9" s="61" t="s">
        <v>26</v>
      </c>
      <c r="C9" s="62" t="s">
        <v>721</v>
      </c>
      <c r="D9" s="61" t="s">
        <v>717</v>
      </c>
      <c r="E9" s="61" t="s">
        <v>774</v>
      </c>
      <c r="F9" s="61" t="s">
        <v>34</v>
      </c>
      <c r="G9" s="63">
        <v>4</v>
      </c>
      <c r="H9" s="64">
        <v>899</v>
      </c>
    </row>
    <row r="10" spans="1:8" ht="19.8" customHeight="1" x14ac:dyDescent="0.3">
      <c r="A10" s="60" t="s">
        <v>162</v>
      </c>
      <c r="B10" s="61" t="s">
        <v>41</v>
      </c>
      <c r="C10" s="62" t="s">
        <v>723</v>
      </c>
      <c r="D10" s="61" t="s">
        <v>717</v>
      </c>
      <c r="E10" s="61" t="s">
        <v>704</v>
      </c>
      <c r="F10" s="61" t="s">
        <v>47</v>
      </c>
      <c r="G10" s="63">
        <v>13</v>
      </c>
      <c r="H10" s="64">
        <v>899</v>
      </c>
    </row>
    <row r="11" spans="1:8" ht="19.8" customHeight="1" x14ac:dyDescent="0.3">
      <c r="A11" s="60" t="s">
        <v>162</v>
      </c>
      <c r="B11" s="61" t="s">
        <v>277</v>
      </c>
      <c r="C11" s="62" t="s">
        <v>726</v>
      </c>
      <c r="D11" s="61" t="s">
        <v>717</v>
      </c>
      <c r="E11" s="61" t="s">
        <v>775</v>
      </c>
      <c r="F11" s="61" t="s">
        <v>279</v>
      </c>
      <c r="G11" s="63">
        <v>4</v>
      </c>
      <c r="H11" s="64">
        <v>916</v>
      </c>
    </row>
    <row r="12" spans="1:8" ht="19.8" customHeight="1" x14ac:dyDescent="0.3">
      <c r="A12" s="60" t="s">
        <v>162</v>
      </c>
      <c r="B12" s="61" t="s">
        <v>285</v>
      </c>
      <c r="C12" s="62" t="s">
        <v>730</v>
      </c>
      <c r="D12" s="61" t="s">
        <v>717</v>
      </c>
      <c r="E12" s="61" t="s">
        <v>776</v>
      </c>
      <c r="F12" s="61" t="s">
        <v>279</v>
      </c>
      <c r="G12" s="63">
        <v>9</v>
      </c>
      <c r="H12" s="65" t="s">
        <v>731</v>
      </c>
    </row>
    <row r="13" spans="1:8" ht="19.8" customHeight="1" x14ac:dyDescent="0.3">
      <c r="A13" s="60" t="s">
        <v>162</v>
      </c>
      <c r="B13" s="61" t="s">
        <v>285</v>
      </c>
      <c r="C13" s="62" t="s">
        <v>732</v>
      </c>
      <c r="D13" s="61" t="s">
        <v>717</v>
      </c>
      <c r="E13" s="61" t="s">
        <v>777</v>
      </c>
      <c r="F13" s="61" t="s">
        <v>279</v>
      </c>
      <c r="G13" s="63">
        <v>9</v>
      </c>
      <c r="H13" s="65" t="s">
        <v>731</v>
      </c>
    </row>
    <row r="14" spans="1:8" ht="19.8" customHeight="1" x14ac:dyDescent="0.3">
      <c r="A14" s="60" t="s">
        <v>162</v>
      </c>
      <c r="B14" s="61" t="s">
        <v>277</v>
      </c>
      <c r="C14" s="62" t="s">
        <v>728</v>
      </c>
      <c r="D14" s="61" t="s">
        <v>717</v>
      </c>
      <c r="E14" s="61" t="s">
        <v>444</v>
      </c>
      <c r="F14" s="61" t="s">
        <v>279</v>
      </c>
      <c r="G14" s="63">
        <v>5</v>
      </c>
      <c r="H14" s="65" t="s">
        <v>729</v>
      </c>
    </row>
    <row r="15" spans="1:8" ht="19.8" customHeight="1" x14ac:dyDescent="0.3">
      <c r="A15" s="96" t="s">
        <v>162</v>
      </c>
      <c r="B15" s="97" t="s">
        <v>78</v>
      </c>
      <c r="C15" s="98" t="s">
        <v>733</v>
      </c>
      <c r="D15" s="97" t="s">
        <v>717</v>
      </c>
      <c r="E15" s="97" t="s">
        <v>695</v>
      </c>
      <c r="F15" s="97" t="s">
        <v>178</v>
      </c>
      <c r="G15" s="99">
        <v>7</v>
      </c>
      <c r="H15" s="117" t="s">
        <v>734</v>
      </c>
    </row>
    <row r="16" spans="1:8" ht="19.8" customHeight="1" x14ac:dyDescent="0.3">
      <c r="A16" s="70">
        <v>45981</v>
      </c>
      <c r="B16" s="61" t="s">
        <v>49</v>
      </c>
      <c r="C16" s="62" t="s">
        <v>737</v>
      </c>
      <c r="D16" s="61" t="s">
        <v>717</v>
      </c>
      <c r="E16" s="71">
        <v>1.1701388888888891</v>
      </c>
      <c r="F16" s="61" t="s">
        <v>51</v>
      </c>
      <c r="G16" s="63">
        <v>9</v>
      </c>
      <c r="H16" s="65" t="s">
        <v>738</v>
      </c>
    </row>
    <row r="17" spans="1:8" ht="19.8" customHeight="1" x14ac:dyDescent="0.3">
      <c r="A17" s="70">
        <v>45981</v>
      </c>
      <c r="B17" s="61" t="s">
        <v>62</v>
      </c>
      <c r="C17" s="62" t="s">
        <v>742</v>
      </c>
      <c r="D17" s="61" t="s">
        <v>717</v>
      </c>
      <c r="E17" s="71">
        <v>1.305555555555556</v>
      </c>
      <c r="F17" s="61" t="s">
        <v>66</v>
      </c>
      <c r="G17" s="63">
        <v>4</v>
      </c>
      <c r="H17" s="65" t="s">
        <v>743</v>
      </c>
    </row>
    <row r="18" spans="1:8" ht="19.8" customHeight="1" x14ac:dyDescent="0.3">
      <c r="A18" s="70">
        <v>45981</v>
      </c>
      <c r="B18" s="61" t="s">
        <v>49</v>
      </c>
      <c r="C18" s="62" t="s">
        <v>739</v>
      </c>
      <c r="D18" s="61" t="s">
        <v>717</v>
      </c>
      <c r="E18" s="71">
        <v>1.864583333333333</v>
      </c>
      <c r="F18" s="61" t="s">
        <v>51</v>
      </c>
      <c r="G18" s="63">
        <v>1</v>
      </c>
      <c r="H18" s="65" t="s">
        <v>740</v>
      </c>
    </row>
    <row r="19" spans="1:8" ht="19.8" customHeight="1" x14ac:dyDescent="0.3">
      <c r="A19" s="72">
        <v>45981</v>
      </c>
      <c r="B19" s="73" t="s">
        <v>49</v>
      </c>
      <c r="C19" s="74" t="s">
        <v>741</v>
      </c>
      <c r="D19" s="73" t="s">
        <v>717</v>
      </c>
      <c r="E19" s="75">
        <v>1.5277777777777779</v>
      </c>
      <c r="F19" s="73" t="s">
        <v>51</v>
      </c>
      <c r="G19" s="76">
        <v>9</v>
      </c>
      <c r="H19" s="77" t="s">
        <v>740</v>
      </c>
    </row>
    <row r="20" spans="1:8" ht="19.8" customHeight="1" x14ac:dyDescent="0.3">
      <c r="A20" s="70">
        <v>45982</v>
      </c>
      <c r="B20" s="61" t="s">
        <v>26</v>
      </c>
      <c r="C20" s="62" t="s">
        <v>721</v>
      </c>
      <c r="D20" s="61" t="s">
        <v>717</v>
      </c>
      <c r="E20" s="71">
        <v>1.833333333333333</v>
      </c>
      <c r="F20" s="61" t="s">
        <v>220</v>
      </c>
      <c r="G20" s="63">
        <v>7</v>
      </c>
      <c r="H20" s="64">
        <v>709</v>
      </c>
    </row>
    <row r="21" spans="1:8" ht="19.8" customHeight="1" x14ac:dyDescent="0.3">
      <c r="A21" s="70">
        <v>45982</v>
      </c>
      <c r="B21" s="61" t="s">
        <v>41</v>
      </c>
      <c r="C21" s="62" t="s">
        <v>723</v>
      </c>
      <c r="D21" s="61" t="s">
        <v>717</v>
      </c>
      <c r="E21" s="71">
        <v>1.305555555555556</v>
      </c>
      <c r="F21" s="61" t="s">
        <v>236</v>
      </c>
      <c r="G21" s="63">
        <v>8</v>
      </c>
      <c r="H21" s="64">
        <v>749</v>
      </c>
    </row>
    <row r="22" spans="1:8" ht="19.8" customHeight="1" x14ac:dyDescent="0.3">
      <c r="A22" s="70">
        <v>45982</v>
      </c>
      <c r="B22" s="61" t="s">
        <v>277</v>
      </c>
      <c r="C22" s="62" t="s">
        <v>744</v>
      </c>
      <c r="D22" s="61" t="s">
        <v>717</v>
      </c>
      <c r="E22" s="71">
        <v>1.2152777777777779</v>
      </c>
      <c r="F22" s="61" t="s">
        <v>279</v>
      </c>
      <c r="G22" s="63">
        <v>1</v>
      </c>
      <c r="H22" s="64">
        <v>813</v>
      </c>
    </row>
    <row r="23" spans="1:8" ht="19.8" customHeight="1" x14ac:dyDescent="0.3">
      <c r="A23" s="189">
        <v>45982</v>
      </c>
      <c r="B23" s="97" t="s">
        <v>78</v>
      </c>
      <c r="C23" s="98" t="s">
        <v>733</v>
      </c>
      <c r="D23" s="97" t="s">
        <v>717</v>
      </c>
      <c r="E23" s="190">
        <v>1.5798611111111109</v>
      </c>
      <c r="F23" s="97" t="s">
        <v>178</v>
      </c>
      <c r="G23" s="99">
        <v>7</v>
      </c>
      <c r="H23" s="117" t="s">
        <v>746</v>
      </c>
    </row>
    <row r="24" spans="1:8" ht="19.8" customHeight="1" x14ac:dyDescent="0.3">
      <c r="A24" s="70">
        <v>45982</v>
      </c>
      <c r="B24" s="61" t="s">
        <v>62</v>
      </c>
      <c r="C24" s="62" t="s">
        <v>742</v>
      </c>
      <c r="D24" s="61" t="s">
        <v>717</v>
      </c>
      <c r="E24" s="71">
        <v>1.305555555555556</v>
      </c>
      <c r="F24" s="61" t="s">
        <v>66</v>
      </c>
      <c r="G24" s="63">
        <v>4</v>
      </c>
      <c r="H24" s="65" t="s">
        <v>749</v>
      </c>
    </row>
    <row r="25" spans="1:8" ht="19.8" customHeight="1" x14ac:dyDescent="0.3">
      <c r="A25" s="70">
        <v>45982</v>
      </c>
      <c r="B25" s="61" t="s">
        <v>49</v>
      </c>
      <c r="C25" s="62" t="s">
        <v>739</v>
      </c>
      <c r="D25" s="61" t="s">
        <v>717</v>
      </c>
      <c r="E25" s="71">
        <v>1.864583333333333</v>
      </c>
      <c r="F25" s="61" t="s">
        <v>51</v>
      </c>
      <c r="G25" s="63">
        <v>7</v>
      </c>
      <c r="H25" s="65" t="s">
        <v>740</v>
      </c>
    </row>
    <row r="26" spans="1:8" ht="19.8" customHeight="1" x14ac:dyDescent="0.3">
      <c r="A26" s="70">
        <v>45982</v>
      </c>
      <c r="B26" s="61" t="s">
        <v>49</v>
      </c>
      <c r="C26" s="62" t="s">
        <v>741</v>
      </c>
      <c r="D26" s="61" t="s">
        <v>717</v>
      </c>
      <c r="E26" s="71">
        <v>1.5277777777777779</v>
      </c>
      <c r="F26" s="61" t="s">
        <v>51</v>
      </c>
      <c r="G26" s="63">
        <v>4</v>
      </c>
      <c r="H26" s="65" t="s">
        <v>740</v>
      </c>
    </row>
    <row r="27" spans="1:8" ht="19.8" customHeight="1" x14ac:dyDescent="0.3">
      <c r="A27" s="72">
        <v>45982</v>
      </c>
      <c r="B27" s="73" t="s">
        <v>49</v>
      </c>
      <c r="C27" s="74" t="s">
        <v>737</v>
      </c>
      <c r="D27" s="73" t="s">
        <v>717</v>
      </c>
      <c r="E27" s="75">
        <v>1.1701388888888891</v>
      </c>
      <c r="F27" s="73" t="s">
        <v>51</v>
      </c>
      <c r="G27" s="76">
        <v>3</v>
      </c>
      <c r="H27" s="77" t="s">
        <v>740</v>
      </c>
    </row>
    <row r="28" spans="1:8" ht="19.8" customHeight="1" x14ac:dyDescent="0.3">
      <c r="A28" s="70">
        <v>45983</v>
      </c>
      <c r="B28" s="61" t="s">
        <v>243</v>
      </c>
      <c r="C28" s="62" t="s">
        <v>750</v>
      </c>
      <c r="D28" s="61" t="s">
        <v>717</v>
      </c>
      <c r="E28" s="71">
        <v>1.9722222222222221</v>
      </c>
      <c r="F28" s="61" t="s">
        <v>615</v>
      </c>
      <c r="G28" s="63">
        <v>9</v>
      </c>
      <c r="H28" s="64">
        <v>544</v>
      </c>
    </row>
    <row r="29" spans="1:8" ht="19.8" customHeight="1" x14ac:dyDescent="0.3">
      <c r="A29" s="70">
        <v>45983</v>
      </c>
      <c r="B29" s="61" t="s">
        <v>285</v>
      </c>
      <c r="C29" s="62" t="s">
        <v>732</v>
      </c>
      <c r="D29" s="61" t="s">
        <v>717</v>
      </c>
      <c r="E29" s="71">
        <v>1.895833333333333</v>
      </c>
      <c r="F29" s="61" t="s">
        <v>279</v>
      </c>
      <c r="G29" s="63">
        <v>9</v>
      </c>
      <c r="H29" s="64">
        <v>629</v>
      </c>
    </row>
    <row r="30" spans="1:8" ht="19.8" customHeight="1" x14ac:dyDescent="0.3">
      <c r="A30" s="70">
        <v>45983</v>
      </c>
      <c r="B30" s="61" t="s">
        <v>285</v>
      </c>
      <c r="C30" s="62" t="s">
        <v>754</v>
      </c>
      <c r="D30" s="61" t="s">
        <v>717</v>
      </c>
      <c r="E30" s="71">
        <v>1.006944444444444</v>
      </c>
      <c r="F30" s="61" t="s">
        <v>279</v>
      </c>
      <c r="G30" s="63">
        <v>9</v>
      </c>
      <c r="H30" s="64">
        <v>629</v>
      </c>
    </row>
    <row r="31" spans="1:8" ht="19.8" customHeight="1" x14ac:dyDescent="0.3">
      <c r="A31" s="70">
        <v>45983</v>
      </c>
      <c r="B31" s="61" t="s">
        <v>26</v>
      </c>
      <c r="C31" s="62" t="s">
        <v>721</v>
      </c>
      <c r="D31" s="61" t="s">
        <v>717</v>
      </c>
      <c r="E31" s="71">
        <v>1.833333333333333</v>
      </c>
      <c r="F31" s="61" t="s">
        <v>28</v>
      </c>
      <c r="G31" s="63">
        <v>9</v>
      </c>
      <c r="H31" s="64">
        <v>629</v>
      </c>
    </row>
    <row r="32" spans="1:8" ht="19.8" customHeight="1" x14ac:dyDescent="0.3">
      <c r="A32" s="70">
        <v>45983</v>
      </c>
      <c r="B32" s="61" t="s">
        <v>26</v>
      </c>
      <c r="C32" s="62" t="s">
        <v>718</v>
      </c>
      <c r="D32" s="61" t="s">
        <v>717</v>
      </c>
      <c r="E32" s="71">
        <v>1.197916666666667</v>
      </c>
      <c r="F32" s="61" t="s">
        <v>28</v>
      </c>
      <c r="G32" s="63">
        <v>8</v>
      </c>
      <c r="H32" s="64">
        <v>629</v>
      </c>
    </row>
    <row r="33" spans="1:8" ht="19.8" customHeight="1" x14ac:dyDescent="0.3">
      <c r="A33" s="70">
        <v>45983</v>
      </c>
      <c r="B33" s="61" t="s">
        <v>41</v>
      </c>
      <c r="C33" s="62" t="s">
        <v>723</v>
      </c>
      <c r="D33" s="61" t="s">
        <v>717</v>
      </c>
      <c r="E33" s="71">
        <v>1.305555555555556</v>
      </c>
      <c r="F33" s="61" t="s">
        <v>43</v>
      </c>
      <c r="G33" s="63">
        <v>5</v>
      </c>
      <c r="H33" s="64">
        <v>649</v>
      </c>
    </row>
    <row r="34" spans="1:8" ht="19.8" customHeight="1" x14ac:dyDescent="0.3">
      <c r="A34" s="70">
        <v>45983</v>
      </c>
      <c r="B34" s="61" t="s">
        <v>277</v>
      </c>
      <c r="C34" s="62" t="s">
        <v>728</v>
      </c>
      <c r="D34" s="61" t="s">
        <v>717</v>
      </c>
      <c r="E34" s="71">
        <v>1.1736111111111109</v>
      </c>
      <c r="F34" s="61" t="s">
        <v>279</v>
      </c>
      <c r="G34" s="63">
        <v>4</v>
      </c>
      <c r="H34" s="64">
        <v>656</v>
      </c>
    </row>
    <row r="35" spans="1:8" ht="19.8" customHeight="1" x14ac:dyDescent="0.3">
      <c r="A35" s="70">
        <v>45983</v>
      </c>
      <c r="B35" s="61" t="s">
        <v>26</v>
      </c>
      <c r="C35" s="62" t="s">
        <v>721</v>
      </c>
      <c r="D35" s="61" t="s">
        <v>717</v>
      </c>
      <c r="E35" s="71">
        <v>1.833333333333333</v>
      </c>
      <c r="F35" s="61" t="s">
        <v>31</v>
      </c>
      <c r="G35" s="63">
        <v>9</v>
      </c>
      <c r="H35" s="64">
        <v>729</v>
      </c>
    </row>
    <row r="36" spans="1:8" ht="19.8" customHeight="1" x14ac:dyDescent="0.3">
      <c r="A36" s="70">
        <v>45983</v>
      </c>
      <c r="B36" s="61" t="s">
        <v>26</v>
      </c>
      <c r="C36" s="62" t="s">
        <v>718</v>
      </c>
      <c r="D36" s="61" t="s">
        <v>717</v>
      </c>
      <c r="E36" s="71">
        <v>1.197916666666667</v>
      </c>
      <c r="F36" s="61" t="s">
        <v>31</v>
      </c>
      <c r="G36" s="63">
        <v>8</v>
      </c>
      <c r="H36" s="64">
        <v>729</v>
      </c>
    </row>
    <row r="37" spans="1:8" ht="19.8" customHeight="1" x14ac:dyDescent="0.3">
      <c r="A37" s="70">
        <v>45983</v>
      </c>
      <c r="B37" s="61" t="s">
        <v>243</v>
      </c>
      <c r="C37" s="62" t="s">
        <v>750</v>
      </c>
      <c r="D37" s="61" t="s">
        <v>717</v>
      </c>
      <c r="E37" s="71">
        <v>1.9722222222222221</v>
      </c>
      <c r="F37" s="61" t="s">
        <v>47</v>
      </c>
      <c r="G37" s="63">
        <v>9</v>
      </c>
      <c r="H37" s="64">
        <v>771</v>
      </c>
    </row>
    <row r="38" spans="1:8" ht="19.8" customHeight="1" x14ac:dyDescent="0.3">
      <c r="A38" s="70">
        <v>45983</v>
      </c>
      <c r="B38" s="61" t="s">
        <v>41</v>
      </c>
      <c r="C38" s="62" t="s">
        <v>723</v>
      </c>
      <c r="D38" s="61" t="s">
        <v>717</v>
      </c>
      <c r="E38" s="71">
        <v>1.305555555555556</v>
      </c>
      <c r="F38" s="61" t="s">
        <v>45</v>
      </c>
      <c r="G38" s="63">
        <v>5</v>
      </c>
      <c r="H38" s="64">
        <v>799</v>
      </c>
    </row>
    <row r="39" spans="1:8" ht="19.8" customHeight="1" x14ac:dyDescent="0.3">
      <c r="A39" s="189">
        <v>45983</v>
      </c>
      <c r="B39" s="97" t="s">
        <v>78</v>
      </c>
      <c r="C39" s="98" t="s">
        <v>733</v>
      </c>
      <c r="D39" s="97" t="s">
        <v>717</v>
      </c>
      <c r="E39" s="190">
        <v>1.9236111111111109</v>
      </c>
      <c r="F39" s="97" t="s">
        <v>178</v>
      </c>
      <c r="G39" s="99">
        <v>1</v>
      </c>
      <c r="H39" s="100">
        <v>806</v>
      </c>
    </row>
    <row r="40" spans="1:8" ht="19.8" customHeight="1" x14ac:dyDescent="0.3">
      <c r="A40" s="70">
        <v>45983</v>
      </c>
      <c r="B40" s="61" t="s">
        <v>26</v>
      </c>
      <c r="C40" s="62" t="s">
        <v>721</v>
      </c>
      <c r="D40" s="61" t="s">
        <v>717</v>
      </c>
      <c r="E40" s="71">
        <v>1.833333333333333</v>
      </c>
      <c r="F40" s="61" t="s">
        <v>34</v>
      </c>
      <c r="G40" s="63">
        <v>9</v>
      </c>
      <c r="H40" s="64">
        <v>819</v>
      </c>
    </row>
    <row r="41" spans="1:8" ht="19.8" customHeight="1" x14ac:dyDescent="0.3">
      <c r="A41" s="70">
        <v>45983</v>
      </c>
      <c r="B41" s="61" t="s">
        <v>26</v>
      </c>
      <c r="C41" s="62" t="s">
        <v>718</v>
      </c>
      <c r="D41" s="61" t="s">
        <v>717</v>
      </c>
      <c r="E41" s="71">
        <v>1.197916666666667</v>
      </c>
      <c r="F41" s="61" t="s">
        <v>34</v>
      </c>
      <c r="G41" s="63">
        <v>8</v>
      </c>
      <c r="H41" s="64">
        <v>819</v>
      </c>
    </row>
    <row r="42" spans="1:8" ht="19.8" customHeight="1" x14ac:dyDescent="0.3">
      <c r="A42" s="70">
        <v>45983</v>
      </c>
      <c r="B42" s="61" t="s">
        <v>41</v>
      </c>
      <c r="C42" s="62" t="s">
        <v>723</v>
      </c>
      <c r="D42" s="61" t="s">
        <v>717</v>
      </c>
      <c r="E42" s="71">
        <v>1.305555555555556</v>
      </c>
      <c r="F42" s="61" t="s">
        <v>47</v>
      </c>
      <c r="G42" s="63">
        <v>5</v>
      </c>
      <c r="H42" s="64">
        <v>899</v>
      </c>
    </row>
    <row r="43" spans="1:8" ht="19.8" customHeight="1" x14ac:dyDescent="0.3">
      <c r="A43" s="70">
        <v>45983</v>
      </c>
      <c r="B43" s="61" t="s">
        <v>49</v>
      </c>
      <c r="C43" s="62" t="s">
        <v>737</v>
      </c>
      <c r="D43" s="61" t="s">
        <v>717</v>
      </c>
      <c r="E43" s="71">
        <v>1.1701388888888891</v>
      </c>
      <c r="F43" s="61" t="s">
        <v>51</v>
      </c>
      <c r="G43" s="63">
        <v>9</v>
      </c>
      <c r="H43" s="65" t="s">
        <v>759</v>
      </c>
    </row>
    <row r="44" spans="1:8" ht="19.8" customHeight="1" x14ac:dyDescent="0.3">
      <c r="A44" s="70">
        <v>45983</v>
      </c>
      <c r="B44" s="61" t="s">
        <v>49</v>
      </c>
      <c r="C44" s="62" t="s">
        <v>739</v>
      </c>
      <c r="D44" s="61" t="s">
        <v>717</v>
      </c>
      <c r="E44" s="71">
        <v>1.864583333333333</v>
      </c>
      <c r="F44" s="61" t="s">
        <v>51</v>
      </c>
      <c r="G44" s="63">
        <v>9</v>
      </c>
      <c r="H44" s="65" t="s">
        <v>760</v>
      </c>
    </row>
    <row r="45" spans="1:8" ht="19.8" customHeight="1" x14ac:dyDescent="0.3">
      <c r="A45" s="72">
        <v>45983</v>
      </c>
      <c r="B45" s="73" t="s">
        <v>62</v>
      </c>
      <c r="C45" s="74" t="s">
        <v>742</v>
      </c>
      <c r="D45" s="73" t="s">
        <v>717</v>
      </c>
      <c r="E45" s="75">
        <v>1.305555555555556</v>
      </c>
      <c r="F45" s="73" t="s">
        <v>66</v>
      </c>
      <c r="G45" s="76">
        <v>4</v>
      </c>
      <c r="H45" s="77" t="s">
        <v>743</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9.8867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6" t="s">
        <v>162</v>
      </c>
      <c r="B2" s="67" t="s">
        <v>78</v>
      </c>
      <c r="C2" s="68" t="s">
        <v>733</v>
      </c>
      <c r="D2" s="67" t="s">
        <v>717</v>
      </c>
      <c r="E2" s="67" t="s">
        <v>695</v>
      </c>
      <c r="F2" s="67" t="s">
        <v>178</v>
      </c>
      <c r="G2" s="213">
        <v>7</v>
      </c>
      <c r="H2" s="69" t="s">
        <v>734</v>
      </c>
    </row>
    <row r="3" spans="1:8" ht="19.8" customHeight="1" x14ac:dyDescent="0.3">
      <c r="A3" s="78">
        <v>45982</v>
      </c>
      <c r="B3" s="67" t="s">
        <v>78</v>
      </c>
      <c r="C3" s="68" t="s">
        <v>733</v>
      </c>
      <c r="D3" s="67" t="s">
        <v>717</v>
      </c>
      <c r="E3" s="79">
        <v>1.5798611111111109</v>
      </c>
      <c r="F3" s="67" t="s">
        <v>178</v>
      </c>
      <c r="G3" s="213">
        <v>7</v>
      </c>
      <c r="H3" s="69" t="s">
        <v>746</v>
      </c>
    </row>
    <row r="4" spans="1:8" ht="19.8" customHeight="1" x14ac:dyDescent="0.3">
      <c r="A4" s="70">
        <v>45983</v>
      </c>
      <c r="B4" s="61" t="s">
        <v>26</v>
      </c>
      <c r="C4" s="62" t="s">
        <v>721</v>
      </c>
      <c r="D4" s="61" t="s">
        <v>717</v>
      </c>
      <c r="E4" s="71">
        <v>1.833333333333333</v>
      </c>
      <c r="F4" s="61" t="s">
        <v>31</v>
      </c>
      <c r="G4" s="63">
        <v>9</v>
      </c>
      <c r="H4" s="64">
        <v>729</v>
      </c>
    </row>
    <row r="5" spans="1:8" ht="19.8" customHeight="1" x14ac:dyDescent="0.3">
      <c r="A5" s="70">
        <v>45983</v>
      </c>
      <c r="B5" s="61" t="s">
        <v>26</v>
      </c>
      <c r="C5" s="62" t="s">
        <v>718</v>
      </c>
      <c r="D5" s="61" t="s">
        <v>717</v>
      </c>
      <c r="E5" s="71">
        <v>1.197916666666667</v>
      </c>
      <c r="F5" s="61" t="s">
        <v>31</v>
      </c>
      <c r="G5" s="63">
        <v>8</v>
      </c>
      <c r="H5" s="64">
        <v>729</v>
      </c>
    </row>
    <row r="6" spans="1:8" ht="19.8" customHeight="1" x14ac:dyDescent="0.3">
      <c r="A6" s="78">
        <v>45983</v>
      </c>
      <c r="B6" s="67" t="s">
        <v>78</v>
      </c>
      <c r="C6" s="68" t="s">
        <v>733</v>
      </c>
      <c r="D6" s="67" t="s">
        <v>717</v>
      </c>
      <c r="E6" s="79">
        <v>1.9236111111111109</v>
      </c>
      <c r="F6" s="67" t="s">
        <v>178</v>
      </c>
      <c r="G6" s="213">
        <v>1</v>
      </c>
      <c r="H6" s="214">
        <v>806</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7"/>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7.109375" bestFit="1" customWidth="1"/>
  </cols>
  <sheetData>
    <row r="1" spans="1:92" ht="28.8" customHeight="1" x14ac:dyDescent="0.3">
      <c r="A1" s="272" t="s">
        <v>0</v>
      </c>
      <c r="B1" s="261"/>
      <c r="C1" s="261"/>
      <c r="D1" s="261"/>
      <c r="E1" s="261"/>
      <c r="F1" s="1" t="s">
        <v>778</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45980.492464530304</v>
      </c>
      <c r="H2" s="261"/>
      <c r="I2" s="261"/>
      <c r="J2" s="261"/>
      <c r="K2" s="274">
        <v>45980.492464530638</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45982</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58" t="s">
        <v>78</v>
      </c>
      <c r="B6" s="158" t="s">
        <v>779</v>
      </c>
      <c r="C6" s="159">
        <v>0.29166666666666669</v>
      </c>
      <c r="D6" s="158" t="s">
        <v>178</v>
      </c>
      <c r="E6" s="158" t="s">
        <v>280</v>
      </c>
      <c r="F6" s="158" t="s">
        <v>780</v>
      </c>
      <c r="G6" s="266"/>
      <c r="H6" s="120" t="s">
        <v>781</v>
      </c>
      <c r="I6" s="121">
        <v>0.8155</v>
      </c>
      <c r="J6" s="122">
        <v>137</v>
      </c>
      <c r="K6" s="123">
        <v>45980</v>
      </c>
      <c r="L6" s="122">
        <v>62</v>
      </c>
      <c r="M6" s="122">
        <v>4</v>
      </c>
      <c r="N6" s="122">
        <v>16</v>
      </c>
      <c r="O6" s="124" t="s">
        <v>433</v>
      </c>
      <c r="P6" s="125">
        <v>0.29166666666666669</v>
      </c>
      <c r="Q6" s="122">
        <v>168</v>
      </c>
      <c r="R6" s="126" t="s">
        <v>782</v>
      </c>
    </row>
    <row r="7" spans="1:92" ht="18" x14ac:dyDescent="0.3">
      <c r="A7" s="278" t="s">
        <v>783</v>
      </c>
      <c r="B7" s="279"/>
      <c r="C7" s="279"/>
      <c r="D7" s="279"/>
      <c r="E7" s="279"/>
      <c r="F7" s="280"/>
      <c r="G7" s="267"/>
      <c r="H7" s="89"/>
      <c r="I7" s="89"/>
      <c r="J7" s="89"/>
      <c r="K7" s="89"/>
      <c r="L7" s="89"/>
      <c r="M7" s="89"/>
      <c r="N7" s="89"/>
      <c r="O7" s="90"/>
      <c r="P7" s="89"/>
      <c r="Q7" s="56"/>
      <c r="R7" s="56"/>
    </row>
    <row r="8" spans="1:92" ht="15" customHeight="1" x14ac:dyDescent="0.3">
      <c r="A8" s="17" t="s">
        <v>26</v>
      </c>
      <c r="B8" s="17" t="s">
        <v>721</v>
      </c>
      <c r="C8" s="18" t="s">
        <v>774</v>
      </c>
      <c r="D8" s="17" t="s">
        <v>220</v>
      </c>
      <c r="E8" s="17" t="s">
        <v>461</v>
      </c>
      <c r="F8" s="17" t="s">
        <v>39</v>
      </c>
      <c r="G8" s="267"/>
      <c r="H8" s="89"/>
      <c r="I8" s="89"/>
      <c r="J8" s="89"/>
      <c r="K8" s="89"/>
      <c r="L8" s="89"/>
      <c r="M8" s="89"/>
      <c r="N8" s="89"/>
      <c r="O8" s="90"/>
      <c r="P8" s="89"/>
      <c r="Q8" s="56"/>
      <c r="R8" s="56"/>
    </row>
    <row r="9" spans="1:92" ht="15" customHeight="1" x14ac:dyDescent="0.3">
      <c r="A9" s="17" t="s">
        <v>41</v>
      </c>
      <c r="B9" s="17" t="s">
        <v>723</v>
      </c>
      <c r="C9" s="18" t="s">
        <v>704</v>
      </c>
      <c r="D9" s="17" t="s">
        <v>236</v>
      </c>
      <c r="E9" s="17" t="s">
        <v>463</v>
      </c>
      <c r="F9" s="17" t="s">
        <v>35</v>
      </c>
      <c r="G9" s="267"/>
      <c r="H9" s="89"/>
      <c r="I9" s="89"/>
      <c r="J9" s="89"/>
      <c r="K9" s="89"/>
      <c r="L9" s="89"/>
      <c r="M9" s="89"/>
      <c r="N9" s="89"/>
      <c r="O9" s="90"/>
      <c r="P9" s="89"/>
      <c r="Q9" s="56"/>
      <c r="R9" s="56"/>
    </row>
    <row r="10" spans="1:92" ht="15" customHeight="1" x14ac:dyDescent="0.3">
      <c r="A10" s="17" t="s">
        <v>277</v>
      </c>
      <c r="B10" s="17" t="s">
        <v>744</v>
      </c>
      <c r="C10" s="18" t="s">
        <v>784</v>
      </c>
      <c r="D10" s="17" t="s">
        <v>279</v>
      </c>
      <c r="E10" s="17" t="s">
        <v>475</v>
      </c>
      <c r="F10" s="17" t="s">
        <v>745</v>
      </c>
      <c r="G10" s="267"/>
      <c r="H10" s="89"/>
      <c r="I10" s="89"/>
      <c r="J10" s="89"/>
      <c r="K10" s="89"/>
      <c r="L10" s="89"/>
      <c r="M10" s="89"/>
      <c r="N10" s="89"/>
      <c r="O10" s="90"/>
      <c r="P10" s="89"/>
      <c r="Q10" s="56"/>
      <c r="R10" s="56"/>
    </row>
    <row r="11" spans="1:92" ht="15" customHeight="1" x14ac:dyDescent="0.3">
      <c r="A11" s="17" t="s">
        <v>78</v>
      </c>
      <c r="B11" s="17" t="s">
        <v>733</v>
      </c>
      <c r="C11" s="18" t="s">
        <v>763</v>
      </c>
      <c r="D11" s="17" t="s">
        <v>178</v>
      </c>
      <c r="E11" s="17" t="s">
        <v>461</v>
      </c>
      <c r="F11" s="17" t="s">
        <v>746</v>
      </c>
      <c r="G11" s="267"/>
      <c r="H11" s="89"/>
      <c r="I11" s="89"/>
      <c r="J11" s="89"/>
      <c r="K11" s="89"/>
      <c r="L11" s="89"/>
      <c r="M11" s="89"/>
      <c r="N11" s="89"/>
      <c r="O11" s="90"/>
      <c r="P11" s="89"/>
      <c r="Q11" s="56"/>
      <c r="R11" s="56"/>
    </row>
    <row r="12" spans="1:92" ht="15" customHeight="1" x14ac:dyDescent="0.3">
      <c r="A12" s="17" t="s">
        <v>62</v>
      </c>
      <c r="B12" s="17" t="s">
        <v>742</v>
      </c>
      <c r="C12" s="18" t="s">
        <v>704</v>
      </c>
      <c r="D12" s="17" t="s">
        <v>66</v>
      </c>
      <c r="E12" s="17" t="s">
        <v>462</v>
      </c>
      <c r="F12" s="17" t="s">
        <v>749</v>
      </c>
      <c r="G12" s="267"/>
      <c r="H12" s="89"/>
      <c r="I12" s="89"/>
      <c r="J12" s="89"/>
      <c r="K12" s="89"/>
      <c r="L12" s="89"/>
      <c r="M12" s="89"/>
      <c r="N12" s="89"/>
      <c r="O12" s="90"/>
      <c r="P12" s="89"/>
      <c r="Q12" s="56"/>
      <c r="R12" s="56"/>
    </row>
    <row r="13" spans="1:92" ht="15" customHeight="1" x14ac:dyDescent="0.3">
      <c r="A13" s="17" t="s">
        <v>49</v>
      </c>
      <c r="B13" s="17" t="s">
        <v>739</v>
      </c>
      <c r="C13" s="18" t="s">
        <v>785</v>
      </c>
      <c r="D13" s="17" t="s">
        <v>51</v>
      </c>
      <c r="E13" s="17" t="s">
        <v>461</v>
      </c>
      <c r="F13" s="17" t="s">
        <v>740</v>
      </c>
      <c r="G13" s="267"/>
      <c r="H13" s="89"/>
      <c r="I13" s="89"/>
      <c r="J13" s="89"/>
      <c r="K13" s="89"/>
      <c r="L13" s="89"/>
      <c r="M13" s="89"/>
      <c r="N13" s="89"/>
      <c r="O13" s="90"/>
      <c r="P13" s="89"/>
      <c r="Q13" s="56"/>
      <c r="R13" s="56"/>
    </row>
    <row r="14" spans="1:92" ht="15" customHeight="1" x14ac:dyDescent="0.3">
      <c r="A14" s="17" t="s">
        <v>49</v>
      </c>
      <c r="B14" s="17" t="s">
        <v>741</v>
      </c>
      <c r="C14" s="18" t="s">
        <v>521</v>
      </c>
      <c r="D14" s="17" t="s">
        <v>51</v>
      </c>
      <c r="E14" s="17" t="s">
        <v>462</v>
      </c>
      <c r="F14" s="17" t="s">
        <v>740</v>
      </c>
      <c r="G14" s="267"/>
      <c r="H14" s="89"/>
      <c r="I14" s="89"/>
      <c r="J14" s="89"/>
      <c r="K14" s="89"/>
      <c r="L14" s="89"/>
      <c r="M14" s="89"/>
      <c r="N14" s="89"/>
      <c r="O14" s="90"/>
      <c r="P14" s="89"/>
      <c r="Q14" s="56"/>
      <c r="R14" s="56"/>
    </row>
    <row r="15" spans="1:92" ht="15" customHeight="1" thickBot="1" x14ac:dyDescent="0.35">
      <c r="A15" s="91" t="s">
        <v>49</v>
      </c>
      <c r="B15" s="91" t="s">
        <v>737</v>
      </c>
      <c r="C15" s="92" t="s">
        <v>786</v>
      </c>
      <c r="D15" s="91" t="s">
        <v>51</v>
      </c>
      <c r="E15" s="91" t="s">
        <v>476</v>
      </c>
      <c r="F15" s="91" t="s">
        <v>740</v>
      </c>
      <c r="G15" s="268"/>
      <c r="H15" s="93"/>
      <c r="I15" s="93"/>
      <c r="J15" s="93"/>
      <c r="K15" s="93"/>
      <c r="L15" s="93"/>
      <c r="M15" s="93"/>
      <c r="N15" s="93"/>
      <c r="O15" s="94"/>
      <c r="P15" s="93"/>
      <c r="Q15" s="95"/>
      <c r="R15" s="95"/>
    </row>
    <row r="16" spans="1:92" ht="17.399999999999999" customHeight="1" thickBot="1" x14ac:dyDescent="0.35">
      <c r="A16" s="295"/>
      <c r="B16" s="296"/>
      <c r="C16" s="296"/>
      <c r="D16" s="296"/>
      <c r="E16" s="296"/>
      <c r="F16" s="296"/>
      <c r="G16" s="296"/>
      <c r="H16" s="296"/>
      <c r="I16" s="296"/>
      <c r="J16" s="296"/>
      <c r="K16" s="296"/>
      <c r="L16" s="296"/>
      <c r="M16" s="296"/>
      <c r="N16" s="296"/>
      <c r="O16" s="296"/>
      <c r="P16" s="296"/>
      <c r="Q16" s="296"/>
      <c r="R16" s="297"/>
    </row>
    <row r="17" ht="15" thickTop="1" x14ac:dyDescent="0.3"/>
  </sheetData>
  <mergeCells count="12">
    <mergeCell ref="A2:F2"/>
    <mergeCell ref="A3:R3"/>
    <mergeCell ref="A16:R16"/>
    <mergeCell ref="H1:L1"/>
    <mergeCell ref="A1:E1"/>
    <mergeCell ref="G2:J2"/>
    <mergeCell ref="K2:R2"/>
    <mergeCell ref="A4:F4"/>
    <mergeCell ref="G6:G15"/>
    <mergeCell ref="H4:R4"/>
    <mergeCell ref="A7:F7"/>
    <mergeCell ref="N1:R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3"/>
  <sheetViews>
    <sheetView workbookViewId="0"/>
  </sheetViews>
  <sheetFormatPr defaultRowHeight="15.6" outlineLevelCol="1" x14ac:dyDescent="0.3"/>
  <cols>
    <col min="1" max="1" width="6.88671875" style="282" bestFit="1" customWidth="1"/>
    <col min="2" max="2" width="10.44140625" style="282" bestFit="1" customWidth="1"/>
    <col min="3" max="3" width="6.77734375" style="282" bestFit="1" customWidth="1"/>
    <col min="4" max="4" width="5.5546875" style="282" bestFit="1" customWidth="1"/>
    <col min="5" max="5" width="9.4414062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5" width="3.88671875" style="282" bestFit="1" customWidth="1"/>
    <col min="26" max="26" width="4.109375" style="282" bestFit="1" customWidth="1"/>
    <col min="27" max="27" width="5" style="282" bestFit="1" customWidth="1"/>
    <col min="28" max="29" width="4.2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393</v>
      </c>
      <c r="B2" s="284">
        <v>45982</v>
      </c>
      <c r="C2" s="285" t="s">
        <v>781</v>
      </c>
      <c r="D2" s="286" t="s">
        <v>565</v>
      </c>
      <c r="E2" s="285" t="s">
        <v>778</v>
      </c>
      <c r="F2" s="285" t="s">
        <v>136</v>
      </c>
      <c r="G2" s="287">
        <v>0.8155</v>
      </c>
      <c r="H2" s="288">
        <v>168</v>
      </c>
      <c r="I2" s="288">
        <v>137</v>
      </c>
      <c r="J2" s="288">
        <v>0</v>
      </c>
      <c r="K2" s="285" t="s">
        <v>137</v>
      </c>
      <c r="L2" s="289">
        <v>45980</v>
      </c>
      <c r="M2" s="288">
        <v>4</v>
      </c>
      <c r="N2" s="288">
        <v>16</v>
      </c>
      <c r="O2" s="288">
        <v>62</v>
      </c>
      <c r="P2" s="285" t="s">
        <v>433</v>
      </c>
      <c r="Q2" s="281"/>
      <c r="R2" s="281"/>
      <c r="S2" s="281"/>
      <c r="T2" s="281"/>
      <c r="U2" s="281"/>
      <c r="V2" s="281"/>
      <c r="W2" s="281"/>
      <c r="X2" s="281"/>
      <c r="Y2" s="281"/>
      <c r="Z2" s="288" t="s">
        <v>417</v>
      </c>
      <c r="AA2" s="288" t="s">
        <v>787</v>
      </c>
      <c r="AB2" s="288" t="s">
        <v>788</v>
      </c>
      <c r="AC2" s="288" t="s">
        <v>789</v>
      </c>
      <c r="AD2" s="288" t="s">
        <v>210</v>
      </c>
      <c r="AE2" s="288" t="s">
        <v>211</v>
      </c>
      <c r="AF2" s="288" t="s">
        <v>212</v>
      </c>
      <c r="AG2" s="281"/>
      <c r="AH2" s="281"/>
      <c r="AI2" s="281"/>
      <c r="AJ2" s="281"/>
    </row>
    <row r="3" spans="1:36" ht="21" x14ac:dyDescent="0.3">
      <c r="A3" s="290" t="s">
        <v>976</v>
      </c>
      <c r="B3" s="291"/>
      <c r="C3" s="290">
        <f>SUBTOTAL(103,DMM_ATZ_LF_LEGACY[Flt])</f>
        <v>1</v>
      </c>
      <c r="D3" s="290"/>
      <c r="E3" s="290">
        <f>SUBTOTAL(103,DMM_ATZ_LF_LEGACY[Brd-Off])</f>
        <v>1</v>
      </c>
      <c r="F3" s="290"/>
      <c r="G3" s="292">
        <f>SUBTOTAL(101,DMM_ATZ_LF_LEGACY[LF%])</f>
        <v>0.8155</v>
      </c>
      <c r="H3" s="293">
        <f>SUBTOTAL(109,DMM_ATZ_LF_LEGACY[CAP])</f>
        <v>168</v>
      </c>
      <c r="I3" s="293">
        <f>SUBTOTAL(109,DMM_ATZ_LF_LEGACY[BKG(Y)])</f>
        <v>137</v>
      </c>
      <c r="J3" s="293">
        <f>SUBTOTAL(109,DMM_ATZ_LF_LEGACY[GRP(Y)])</f>
        <v>0</v>
      </c>
      <c r="K3" s="290"/>
      <c r="L3" s="291"/>
      <c r="M3" s="293">
        <f>SUBTOTAL(109,DMM_ATZ_LF_LEGACY[TO-DAY])</f>
        <v>4</v>
      </c>
      <c r="N3" s="293">
        <f>SUBTOTAL(109,DMM_ATZ_LF_LEGACY[Y-DAY])</f>
        <v>16</v>
      </c>
      <c r="O3" s="293">
        <f>SUBTOTAL(109,DMM_ATZ_LF_LEGACY[WEEKLY])</f>
        <v>62</v>
      </c>
      <c r="P3" s="294"/>
      <c r="Q3" s="293">
        <f>SUBTOTAL(109,DMM_ATZ_LF_LEGACY[Y])</f>
        <v>0</v>
      </c>
      <c r="R3" s="293">
        <f>SUBTOTAL(109,DMM_ATZ_LF_LEGACY[B])</f>
        <v>0</v>
      </c>
      <c r="S3" s="293">
        <f>SUBTOTAL(109,DMM_ATZ_LF_LEGACY[M])</f>
        <v>0</v>
      </c>
      <c r="T3" s="293">
        <f>SUBTOTAL(109,DMM_ATZ_LF_LEGACY[H])</f>
        <v>0</v>
      </c>
      <c r="U3" s="293">
        <f>SUBTOTAL(109,DMM_ATZ_LF_LEGACY[Q])</f>
        <v>0</v>
      </c>
      <c r="V3" s="293">
        <f>SUBTOTAL(109,DMM_ATZ_LF_LEGACY[K])</f>
        <v>0</v>
      </c>
      <c r="W3" s="293">
        <f>SUBTOTAL(109,DMM_ATZ_LF_LEGACY[V])</f>
        <v>0</v>
      </c>
      <c r="X3" s="293">
        <f>SUBTOTAL(109,DMM_ATZ_LF_LEGACY[L])</f>
        <v>0</v>
      </c>
      <c r="Y3" s="293">
        <f>SUBTOTAL(109,DMM_ATZ_LF_LEGACY[G])</f>
        <v>0</v>
      </c>
      <c r="Z3" s="293">
        <f>SUBTOTAL(109,DMM_ATZ_LF_LEGACY[S])</f>
        <v>0</v>
      </c>
      <c r="AA3" s="293">
        <f>SUBTOTAL(109,DMM_ATZ_LF_LEGACY[W])</f>
        <v>0</v>
      </c>
      <c r="AB3" s="293">
        <f>SUBTOTAL(109,DMM_ATZ_LF_LEGACY[T])</f>
        <v>0</v>
      </c>
      <c r="AC3" s="293">
        <f>SUBTOTAL(109,DMM_ATZ_LF_LEGACY[X])</f>
        <v>0</v>
      </c>
      <c r="AD3" s="293">
        <f>SUBTOTAL(109,DMM_ATZ_LF_LEGACY[U])</f>
        <v>0</v>
      </c>
      <c r="AE3" s="293">
        <f>SUBTOTAL(109,DMM_ATZ_LF_LEGACY[O])</f>
        <v>0</v>
      </c>
      <c r="AF3" s="293">
        <f>SUBTOTAL(109,DMM_ATZ_LF_LEGACY[I])</f>
        <v>0</v>
      </c>
      <c r="AG3" s="293">
        <f>SUBTOTAL(109,DMM_ATZ_LF_LEGACY[E])</f>
        <v>0</v>
      </c>
      <c r="AH3" s="293">
        <f>SUBTOTAL(109,DMM_ATZ_LF_LEGACY[A])</f>
        <v>0</v>
      </c>
      <c r="AI3" s="293">
        <f>SUBTOTAL(109,DMM_ATZ_LF_LEGACY[P])</f>
        <v>0</v>
      </c>
      <c r="AJ3" s="293">
        <f>SUBTOTAL(103,DMM_ATZ_LF_LEGACY[N])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84.332031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790</v>
      </c>
      <c r="G2" s="102"/>
      <c r="H2" s="104"/>
    </row>
    <row r="3" spans="1:8" ht="19.8" customHeight="1" x14ac:dyDescent="0.3">
      <c r="A3" s="60" t="s">
        <v>162</v>
      </c>
      <c r="B3" s="61" t="s">
        <v>26</v>
      </c>
      <c r="C3" s="62" t="s">
        <v>718</v>
      </c>
      <c r="D3" s="61" t="s">
        <v>717</v>
      </c>
      <c r="E3" s="61" t="s">
        <v>773</v>
      </c>
      <c r="F3" s="61" t="s">
        <v>28</v>
      </c>
      <c r="G3" s="63">
        <v>6</v>
      </c>
      <c r="H3" s="64">
        <v>579</v>
      </c>
    </row>
    <row r="4" spans="1:8" ht="19.8" customHeight="1" x14ac:dyDescent="0.3">
      <c r="A4" s="60" t="s">
        <v>162</v>
      </c>
      <c r="B4" s="61" t="s">
        <v>41</v>
      </c>
      <c r="C4" s="62" t="s">
        <v>723</v>
      </c>
      <c r="D4" s="61" t="s">
        <v>717</v>
      </c>
      <c r="E4" s="61" t="s">
        <v>704</v>
      </c>
      <c r="F4" s="61" t="s">
        <v>43</v>
      </c>
      <c r="G4" s="63">
        <v>13</v>
      </c>
      <c r="H4" s="64">
        <v>649</v>
      </c>
    </row>
    <row r="5" spans="1:8" ht="19.8" customHeight="1" x14ac:dyDescent="0.3">
      <c r="A5" s="60" t="s">
        <v>162</v>
      </c>
      <c r="B5" s="61" t="s">
        <v>26</v>
      </c>
      <c r="C5" s="62" t="s">
        <v>718</v>
      </c>
      <c r="D5" s="61" t="s">
        <v>717</v>
      </c>
      <c r="E5" s="61" t="s">
        <v>773</v>
      </c>
      <c r="F5" s="61" t="s">
        <v>31</v>
      </c>
      <c r="G5" s="63">
        <v>6</v>
      </c>
      <c r="H5" s="64">
        <v>679</v>
      </c>
    </row>
    <row r="6" spans="1:8" ht="19.8" customHeight="1" x14ac:dyDescent="0.3">
      <c r="A6" s="60" t="s">
        <v>162</v>
      </c>
      <c r="B6" s="61" t="s">
        <v>26</v>
      </c>
      <c r="C6" s="62" t="s">
        <v>721</v>
      </c>
      <c r="D6" s="61" t="s">
        <v>717</v>
      </c>
      <c r="E6" s="61" t="s">
        <v>774</v>
      </c>
      <c r="F6" s="61" t="s">
        <v>28</v>
      </c>
      <c r="G6" s="63">
        <v>4</v>
      </c>
      <c r="H6" s="64">
        <v>709</v>
      </c>
    </row>
    <row r="7" spans="1:8" ht="19.8" customHeight="1" x14ac:dyDescent="0.3">
      <c r="A7" s="60" t="s">
        <v>162</v>
      </c>
      <c r="B7" s="61" t="s">
        <v>26</v>
      </c>
      <c r="C7" s="62" t="s">
        <v>718</v>
      </c>
      <c r="D7" s="61" t="s">
        <v>717</v>
      </c>
      <c r="E7" s="61" t="s">
        <v>773</v>
      </c>
      <c r="F7" s="61" t="s">
        <v>34</v>
      </c>
      <c r="G7" s="63">
        <v>6</v>
      </c>
      <c r="H7" s="64">
        <v>769</v>
      </c>
    </row>
    <row r="8" spans="1:8" ht="19.8" customHeight="1" x14ac:dyDescent="0.3">
      <c r="A8" s="60" t="s">
        <v>162</v>
      </c>
      <c r="B8" s="61" t="s">
        <v>41</v>
      </c>
      <c r="C8" s="62" t="s">
        <v>723</v>
      </c>
      <c r="D8" s="61" t="s">
        <v>717</v>
      </c>
      <c r="E8" s="61" t="s">
        <v>704</v>
      </c>
      <c r="F8" s="61" t="s">
        <v>45</v>
      </c>
      <c r="G8" s="63">
        <v>13</v>
      </c>
      <c r="H8" s="64">
        <v>799</v>
      </c>
    </row>
    <row r="9" spans="1:8" ht="19.8" customHeight="1" x14ac:dyDescent="0.3">
      <c r="A9" s="60" t="s">
        <v>162</v>
      </c>
      <c r="B9" s="61" t="s">
        <v>26</v>
      </c>
      <c r="C9" s="62" t="s">
        <v>721</v>
      </c>
      <c r="D9" s="61" t="s">
        <v>717</v>
      </c>
      <c r="E9" s="61" t="s">
        <v>774</v>
      </c>
      <c r="F9" s="61" t="s">
        <v>31</v>
      </c>
      <c r="G9" s="63">
        <v>4</v>
      </c>
      <c r="H9" s="64">
        <v>809</v>
      </c>
    </row>
    <row r="10" spans="1:8" ht="19.8" customHeight="1" x14ac:dyDescent="0.3">
      <c r="A10" s="60" t="s">
        <v>162</v>
      </c>
      <c r="B10" s="61" t="s">
        <v>26</v>
      </c>
      <c r="C10" s="62" t="s">
        <v>721</v>
      </c>
      <c r="D10" s="61" t="s">
        <v>717</v>
      </c>
      <c r="E10" s="61" t="s">
        <v>774</v>
      </c>
      <c r="F10" s="61" t="s">
        <v>34</v>
      </c>
      <c r="G10" s="63">
        <v>4</v>
      </c>
      <c r="H10" s="64">
        <v>899</v>
      </c>
    </row>
    <row r="11" spans="1:8" ht="19.8" customHeight="1" x14ac:dyDescent="0.3">
      <c r="A11" s="60" t="s">
        <v>162</v>
      </c>
      <c r="B11" s="61" t="s">
        <v>41</v>
      </c>
      <c r="C11" s="62" t="s">
        <v>723</v>
      </c>
      <c r="D11" s="61" t="s">
        <v>717</v>
      </c>
      <c r="E11" s="61" t="s">
        <v>704</v>
      </c>
      <c r="F11" s="61" t="s">
        <v>47</v>
      </c>
      <c r="G11" s="63">
        <v>13</v>
      </c>
      <c r="H11" s="64">
        <v>899</v>
      </c>
    </row>
    <row r="12" spans="1:8" ht="19.8" customHeight="1" x14ac:dyDescent="0.3">
      <c r="A12" s="116" t="s">
        <v>162</v>
      </c>
      <c r="B12" s="73" t="s">
        <v>277</v>
      </c>
      <c r="C12" s="74" t="s">
        <v>726</v>
      </c>
      <c r="D12" s="73" t="s">
        <v>717</v>
      </c>
      <c r="E12" s="73" t="s">
        <v>775</v>
      </c>
      <c r="F12" s="73" t="s">
        <v>279</v>
      </c>
      <c r="G12" s="76">
        <v>4</v>
      </c>
      <c r="H12" s="105">
        <v>916</v>
      </c>
    </row>
    <row r="13" spans="1:8" ht="19.8" customHeight="1" x14ac:dyDescent="0.3">
      <c r="A13" s="96" t="s">
        <v>214</v>
      </c>
      <c r="B13" s="97" t="s">
        <v>78</v>
      </c>
      <c r="C13" s="98" t="s">
        <v>779</v>
      </c>
      <c r="D13" s="97" t="s">
        <v>778</v>
      </c>
      <c r="E13" s="97" t="s">
        <v>565</v>
      </c>
      <c r="F13" s="97" t="s">
        <v>178</v>
      </c>
      <c r="G13" s="99">
        <v>3</v>
      </c>
      <c r="H13" s="100">
        <v>741</v>
      </c>
    </row>
    <row r="14" spans="1:8" ht="19.8" customHeight="1" x14ac:dyDescent="0.3">
      <c r="A14" s="101"/>
      <c r="B14" s="102"/>
      <c r="C14" s="102"/>
      <c r="D14" s="102"/>
      <c r="E14" s="102"/>
      <c r="F14" s="103" t="s">
        <v>790</v>
      </c>
      <c r="G14" s="102"/>
      <c r="H14" s="104"/>
    </row>
    <row r="15" spans="1:8" ht="19.8" customHeight="1" x14ac:dyDescent="0.3">
      <c r="A15" s="70">
        <v>45982</v>
      </c>
      <c r="B15" s="61" t="s">
        <v>26</v>
      </c>
      <c r="C15" s="62" t="s">
        <v>721</v>
      </c>
      <c r="D15" s="61" t="s">
        <v>717</v>
      </c>
      <c r="E15" s="71">
        <v>1.833333333333333</v>
      </c>
      <c r="F15" s="61" t="s">
        <v>220</v>
      </c>
      <c r="G15" s="63">
        <v>7</v>
      </c>
      <c r="H15" s="64">
        <v>709</v>
      </c>
    </row>
    <row r="16" spans="1:8" ht="19.8" customHeight="1" x14ac:dyDescent="0.3">
      <c r="A16" s="70">
        <v>45982</v>
      </c>
      <c r="B16" s="61" t="s">
        <v>41</v>
      </c>
      <c r="C16" s="62" t="s">
        <v>723</v>
      </c>
      <c r="D16" s="61" t="s">
        <v>717</v>
      </c>
      <c r="E16" s="71">
        <v>1.305555555555556</v>
      </c>
      <c r="F16" s="61" t="s">
        <v>236</v>
      </c>
      <c r="G16" s="63">
        <v>8</v>
      </c>
      <c r="H16" s="64">
        <v>749</v>
      </c>
    </row>
    <row r="17" spans="1:8" ht="19.8" customHeight="1" x14ac:dyDescent="0.3">
      <c r="A17" s="70">
        <v>45982</v>
      </c>
      <c r="B17" s="61" t="s">
        <v>277</v>
      </c>
      <c r="C17" s="62" t="s">
        <v>744</v>
      </c>
      <c r="D17" s="61" t="s">
        <v>717</v>
      </c>
      <c r="E17" s="71">
        <v>1.2152777777777779</v>
      </c>
      <c r="F17" s="61" t="s">
        <v>279</v>
      </c>
      <c r="G17" s="63">
        <v>1</v>
      </c>
      <c r="H17" s="64">
        <v>813</v>
      </c>
    </row>
    <row r="18" spans="1:8" ht="19.8" customHeight="1" x14ac:dyDescent="0.3">
      <c r="A18" s="70">
        <v>45982</v>
      </c>
      <c r="B18" s="61" t="s">
        <v>78</v>
      </c>
      <c r="C18" s="62" t="s">
        <v>733</v>
      </c>
      <c r="D18" s="61" t="s">
        <v>717</v>
      </c>
      <c r="E18" s="71">
        <v>1.5798611111111109</v>
      </c>
      <c r="F18" s="61" t="s">
        <v>178</v>
      </c>
      <c r="G18" s="63">
        <v>7</v>
      </c>
      <c r="H18" s="65" t="s">
        <v>746</v>
      </c>
    </row>
    <row r="19" spans="1:8" ht="19.8" customHeight="1" x14ac:dyDescent="0.3">
      <c r="A19" s="70">
        <v>45982</v>
      </c>
      <c r="B19" s="61" t="s">
        <v>62</v>
      </c>
      <c r="C19" s="62" t="s">
        <v>742</v>
      </c>
      <c r="D19" s="61" t="s">
        <v>717</v>
      </c>
      <c r="E19" s="71">
        <v>1.305555555555556</v>
      </c>
      <c r="F19" s="61" t="s">
        <v>66</v>
      </c>
      <c r="G19" s="63">
        <v>4</v>
      </c>
      <c r="H19" s="65" t="s">
        <v>749</v>
      </c>
    </row>
    <row r="20" spans="1:8" ht="19.8" customHeight="1" x14ac:dyDescent="0.3">
      <c r="A20" s="70">
        <v>45982</v>
      </c>
      <c r="B20" s="61" t="s">
        <v>49</v>
      </c>
      <c r="C20" s="62" t="s">
        <v>739</v>
      </c>
      <c r="D20" s="61" t="s">
        <v>717</v>
      </c>
      <c r="E20" s="71">
        <v>1.864583333333333</v>
      </c>
      <c r="F20" s="61" t="s">
        <v>51</v>
      </c>
      <c r="G20" s="63">
        <v>7</v>
      </c>
      <c r="H20" s="65" t="s">
        <v>740</v>
      </c>
    </row>
    <row r="21" spans="1:8" ht="19.8" customHeight="1" x14ac:dyDescent="0.3">
      <c r="A21" s="70">
        <v>45982</v>
      </c>
      <c r="B21" s="61" t="s">
        <v>49</v>
      </c>
      <c r="C21" s="62" t="s">
        <v>741</v>
      </c>
      <c r="D21" s="61" t="s">
        <v>717</v>
      </c>
      <c r="E21" s="71">
        <v>1.5277777777777779</v>
      </c>
      <c r="F21" s="61" t="s">
        <v>51</v>
      </c>
      <c r="G21" s="63">
        <v>4</v>
      </c>
      <c r="H21" s="65" t="s">
        <v>740</v>
      </c>
    </row>
    <row r="22" spans="1:8" ht="19.8" customHeight="1" x14ac:dyDescent="0.3">
      <c r="A22" s="72">
        <v>45982</v>
      </c>
      <c r="B22" s="73" t="s">
        <v>49</v>
      </c>
      <c r="C22" s="74" t="s">
        <v>737</v>
      </c>
      <c r="D22" s="73" t="s">
        <v>717</v>
      </c>
      <c r="E22" s="75">
        <v>1.1701388888888891</v>
      </c>
      <c r="F22" s="73" t="s">
        <v>51</v>
      </c>
      <c r="G22" s="76">
        <v>3</v>
      </c>
      <c r="H22" s="77" t="s">
        <v>740</v>
      </c>
    </row>
    <row r="23" spans="1:8" ht="19.8" customHeight="1" x14ac:dyDescent="0.3">
      <c r="A23" s="101"/>
      <c r="B23" s="102"/>
      <c r="C23" s="102"/>
      <c r="D23" s="102"/>
      <c r="E23" s="102"/>
      <c r="F23" s="103" t="s">
        <v>790</v>
      </c>
      <c r="G23" s="102"/>
      <c r="H23" s="104"/>
    </row>
    <row r="24" spans="1:8" ht="19.8" customHeight="1" x14ac:dyDescent="0.3">
      <c r="A24" s="70">
        <v>45983</v>
      </c>
      <c r="B24" s="61" t="s">
        <v>243</v>
      </c>
      <c r="C24" s="62" t="s">
        <v>750</v>
      </c>
      <c r="D24" s="61" t="s">
        <v>717</v>
      </c>
      <c r="E24" s="71">
        <v>1.9722222222222221</v>
      </c>
      <c r="F24" s="61" t="s">
        <v>615</v>
      </c>
      <c r="G24" s="63">
        <v>9</v>
      </c>
      <c r="H24" s="64">
        <v>544</v>
      </c>
    </row>
    <row r="25" spans="1:8" ht="19.8" customHeight="1" x14ac:dyDescent="0.3">
      <c r="A25" s="70">
        <v>45983</v>
      </c>
      <c r="B25" s="61" t="s">
        <v>285</v>
      </c>
      <c r="C25" s="62" t="s">
        <v>732</v>
      </c>
      <c r="D25" s="61" t="s">
        <v>717</v>
      </c>
      <c r="E25" s="71">
        <v>1.895833333333333</v>
      </c>
      <c r="F25" s="61" t="s">
        <v>279</v>
      </c>
      <c r="G25" s="63">
        <v>9</v>
      </c>
      <c r="H25" s="64">
        <v>629</v>
      </c>
    </row>
    <row r="26" spans="1:8" ht="19.8" customHeight="1" x14ac:dyDescent="0.3">
      <c r="A26" s="70">
        <v>45983</v>
      </c>
      <c r="B26" s="61" t="s">
        <v>285</v>
      </c>
      <c r="C26" s="62" t="s">
        <v>754</v>
      </c>
      <c r="D26" s="61" t="s">
        <v>717</v>
      </c>
      <c r="E26" s="71">
        <v>1.006944444444444</v>
      </c>
      <c r="F26" s="61" t="s">
        <v>279</v>
      </c>
      <c r="G26" s="63">
        <v>9</v>
      </c>
      <c r="H26" s="64">
        <v>629</v>
      </c>
    </row>
    <row r="27" spans="1:8" ht="19.8" customHeight="1" x14ac:dyDescent="0.3">
      <c r="A27" s="70">
        <v>45983</v>
      </c>
      <c r="B27" s="61" t="s">
        <v>26</v>
      </c>
      <c r="C27" s="62" t="s">
        <v>721</v>
      </c>
      <c r="D27" s="61" t="s">
        <v>717</v>
      </c>
      <c r="E27" s="71">
        <v>1.833333333333333</v>
      </c>
      <c r="F27" s="61" t="s">
        <v>28</v>
      </c>
      <c r="G27" s="63">
        <v>9</v>
      </c>
      <c r="H27" s="64">
        <v>629</v>
      </c>
    </row>
    <row r="28" spans="1:8" ht="19.8" customHeight="1" x14ac:dyDescent="0.3">
      <c r="A28" s="70">
        <v>45983</v>
      </c>
      <c r="B28" s="61" t="s">
        <v>26</v>
      </c>
      <c r="C28" s="62" t="s">
        <v>718</v>
      </c>
      <c r="D28" s="61" t="s">
        <v>717</v>
      </c>
      <c r="E28" s="71">
        <v>1.197916666666667</v>
      </c>
      <c r="F28" s="61" t="s">
        <v>28</v>
      </c>
      <c r="G28" s="63">
        <v>8</v>
      </c>
      <c r="H28" s="64">
        <v>629</v>
      </c>
    </row>
    <row r="29" spans="1:8" ht="19.8" customHeight="1" x14ac:dyDescent="0.3">
      <c r="A29" s="70">
        <v>45983</v>
      </c>
      <c r="B29" s="61" t="s">
        <v>41</v>
      </c>
      <c r="C29" s="62" t="s">
        <v>723</v>
      </c>
      <c r="D29" s="61" t="s">
        <v>717</v>
      </c>
      <c r="E29" s="71">
        <v>1.305555555555556</v>
      </c>
      <c r="F29" s="61" t="s">
        <v>43</v>
      </c>
      <c r="G29" s="63">
        <v>5</v>
      </c>
      <c r="H29" s="64">
        <v>649</v>
      </c>
    </row>
    <row r="30" spans="1:8" ht="19.8" customHeight="1" x14ac:dyDescent="0.3">
      <c r="A30" s="70">
        <v>45983</v>
      </c>
      <c r="B30" s="61" t="s">
        <v>277</v>
      </c>
      <c r="C30" s="62" t="s">
        <v>728</v>
      </c>
      <c r="D30" s="61" t="s">
        <v>717</v>
      </c>
      <c r="E30" s="71">
        <v>1.1736111111111109</v>
      </c>
      <c r="F30" s="61" t="s">
        <v>279</v>
      </c>
      <c r="G30" s="63">
        <v>4</v>
      </c>
      <c r="H30" s="64">
        <v>656</v>
      </c>
    </row>
    <row r="31" spans="1:8" ht="19.8" customHeight="1" x14ac:dyDescent="0.3">
      <c r="A31" s="70">
        <v>45983</v>
      </c>
      <c r="B31" s="61" t="s">
        <v>26</v>
      </c>
      <c r="C31" s="62" t="s">
        <v>721</v>
      </c>
      <c r="D31" s="61" t="s">
        <v>717</v>
      </c>
      <c r="E31" s="71">
        <v>1.833333333333333</v>
      </c>
      <c r="F31" s="61" t="s">
        <v>31</v>
      </c>
      <c r="G31" s="63">
        <v>9</v>
      </c>
      <c r="H31" s="64">
        <v>729</v>
      </c>
    </row>
    <row r="32" spans="1:8" ht="19.8" customHeight="1" x14ac:dyDescent="0.3">
      <c r="A32" s="70">
        <v>45983</v>
      </c>
      <c r="B32" s="61" t="s">
        <v>26</v>
      </c>
      <c r="C32" s="62" t="s">
        <v>718</v>
      </c>
      <c r="D32" s="61" t="s">
        <v>717</v>
      </c>
      <c r="E32" s="71">
        <v>1.197916666666667</v>
      </c>
      <c r="F32" s="61" t="s">
        <v>31</v>
      </c>
      <c r="G32" s="63">
        <v>8</v>
      </c>
      <c r="H32" s="64">
        <v>729</v>
      </c>
    </row>
    <row r="33" spans="1:8" ht="19.8" customHeight="1" x14ac:dyDescent="0.3">
      <c r="A33" s="72">
        <v>45983</v>
      </c>
      <c r="B33" s="73" t="s">
        <v>243</v>
      </c>
      <c r="C33" s="74" t="s">
        <v>750</v>
      </c>
      <c r="D33" s="73" t="s">
        <v>717</v>
      </c>
      <c r="E33" s="75">
        <v>1.9722222222222221</v>
      </c>
      <c r="F33" s="73" t="s">
        <v>47</v>
      </c>
      <c r="G33" s="76">
        <v>9</v>
      </c>
      <c r="H33" s="105">
        <v>771</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6640625" bestFit="1" customWidth="1"/>
  </cols>
  <sheetData>
    <row r="1" spans="1:92" ht="28.8" customHeight="1" x14ac:dyDescent="0.3">
      <c r="A1" s="272" t="s">
        <v>0</v>
      </c>
      <c r="B1" s="261"/>
      <c r="C1" s="261"/>
      <c r="D1" s="261"/>
      <c r="E1" s="261"/>
      <c r="F1" s="1" t="s">
        <v>791</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45980.492467360164</v>
      </c>
      <c r="H2" s="261"/>
      <c r="I2" s="261"/>
      <c r="J2" s="261"/>
      <c r="K2" s="274">
        <v>45980.492467360418</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06" t="s">
        <v>78</v>
      </c>
      <c r="B6" s="106" t="s">
        <v>792</v>
      </c>
      <c r="C6" s="107">
        <v>0.86458333333333337</v>
      </c>
      <c r="D6" s="106" t="s">
        <v>178</v>
      </c>
      <c r="E6" s="106" t="s">
        <v>179</v>
      </c>
      <c r="F6" s="106" t="s">
        <v>793</v>
      </c>
      <c r="G6" s="266"/>
      <c r="H6" s="109" t="s">
        <v>794</v>
      </c>
      <c r="I6" s="110">
        <v>0.88690000000000002</v>
      </c>
      <c r="J6" s="111">
        <v>149</v>
      </c>
      <c r="K6" s="112">
        <v>45980</v>
      </c>
      <c r="L6" s="111">
        <v>32</v>
      </c>
      <c r="M6" s="111">
        <v>10</v>
      </c>
      <c r="N6" s="111">
        <v>16</v>
      </c>
      <c r="O6" s="113" t="s">
        <v>795</v>
      </c>
      <c r="P6" s="114">
        <v>0.86458333333333337</v>
      </c>
      <c r="Q6" s="111">
        <v>168</v>
      </c>
      <c r="R6" s="115" t="s">
        <v>796</v>
      </c>
    </row>
    <row r="7" spans="1:92" ht="49.95" customHeight="1" x14ac:dyDescent="0.3">
      <c r="A7" s="19" t="s">
        <v>285</v>
      </c>
      <c r="B7" s="19" t="s">
        <v>797</v>
      </c>
      <c r="C7" s="20">
        <v>0.90625</v>
      </c>
      <c r="D7" s="19" t="s">
        <v>279</v>
      </c>
      <c r="E7" s="19" t="s">
        <v>179</v>
      </c>
      <c r="F7" s="19" t="s">
        <v>798</v>
      </c>
      <c r="G7" s="267"/>
      <c r="H7" s="10"/>
      <c r="I7" s="11"/>
      <c r="J7" s="11"/>
      <c r="K7" s="11"/>
      <c r="L7" s="11"/>
      <c r="M7" s="11"/>
      <c r="N7" s="11"/>
      <c r="O7" s="12"/>
      <c r="P7" s="11"/>
      <c r="Q7" s="13"/>
      <c r="R7" s="14"/>
    </row>
    <row r="8" spans="1:92" ht="49.95" customHeight="1" thickBot="1" x14ac:dyDescent="0.35">
      <c r="A8" s="215" t="s">
        <v>49</v>
      </c>
      <c r="B8" s="215" t="s">
        <v>799</v>
      </c>
      <c r="C8" s="216">
        <v>0.12847222222222221</v>
      </c>
      <c r="D8" s="215" t="s">
        <v>51</v>
      </c>
      <c r="E8" s="215" t="s">
        <v>101</v>
      </c>
      <c r="F8" s="215" t="s">
        <v>800</v>
      </c>
      <c r="G8" s="268"/>
      <c r="H8" s="41"/>
      <c r="I8" s="42"/>
      <c r="J8" s="42"/>
      <c r="K8" s="42"/>
      <c r="L8" s="42"/>
      <c r="M8" s="42"/>
      <c r="N8" s="42"/>
      <c r="O8" s="43"/>
      <c r="P8" s="42"/>
      <c r="Q8" s="44"/>
      <c r="R8" s="45"/>
    </row>
    <row r="9" spans="1:92" ht="17.399999999999999" customHeight="1" thickBot="1" x14ac:dyDescent="0.35">
      <c r="A9" s="295"/>
      <c r="B9" s="296"/>
      <c r="C9" s="296"/>
      <c r="D9" s="296"/>
      <c r="E9" s="296"/>
      <c r="F9" s="296"/>
      <c r="G9" s="296"/>
      <c r="H9" s="296"/>
      <c r="I9" s="296"/>
      <c r="J9" s="296"/>
      <c r="K9" s="296"/>
      <c r="L9" s="296"/>
      <c r="M9" s="296"/>
      <c r="N9" s="296"/>
      <c r="O9" s="296"/>
      <c r="P9" s="296"/>
      <c r="Q9" s="296"/>
      <c r="R9" s="297"/>
    </row>
    <row r="10" spans="1:92" ht="22.05" customHeight="1" thickTop="1" thickBot="1" x14ac:dyDescent="0.35">
      <c r="A10" s="262" t="s">
        <v>6</v>
      </c>
      <c r="B10" s="263"/>
      <c r="C10" s="263"/>
      <c r="D10" s="263"/>
      <c r="E10" s="263"/>
      <c r="F10" s="264"/>
      <c r="G10" s="31">
        <v>45982</v>
      </c>
      <c r="H10" s="270" t="s">
        <v>7</v>
      </c>
      <c r="I10" s="263"/>
      <c r="J10" s="263"/>
      <c r="K10" s="263"/>
      <c r="L10" s="263"/>
      <c r="M10" s="263"/>
      <c r="N10" s="263"/>
      <c r="O10" s="263"/>
      <c r="P10" s="263"/>
      <c r="Q10" s="263"/>
      <c r="R10" s="264"/>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243</v>
      </c>
      <c r="B12" s="8" t="s">
        <v>801</v>
      </c>
      <c r="C12" s="9">
        <v>0.63541666666666663</v>
      </c>
      <c r="D12" s="8" t="s">
        <v>615</v>
      </c>
      <c r="E12" s="8" t="s">
        <v>29</v>
      </c>
      <c r="F12" s="8" t="s">
        <v>802</v>
      </c>
      <c r="G12" s="266"/>
      <c r="H12" s="10"/>
      <c r="I12" s="11"/>
      <c r="J12" s="11"/>
      <c r="K12" s="11"/>
      <c r="L12" s="11"/>
      <c r="M12" s="11"/>
      <c r="N12" s="11"/>
      <c r="O12" s="12"/>
      <c r="P12" s="11"/>
      <c r="Q12" s="13"/>
      <c r="R12" s="14"/>
    </row>
    <row r="13" spans="1:92" ht="49.95" customHeight="1" x14ac:dyDescent="0.3">
      <c r="A13" s="15" t="s">
        <v>243</v>
      </c>
      <c r="B13" s="15" t="s">
        <v>801</v>
      </c>
      <c r="C13" s="16">
        <v>0.63541666666666663</v>
      </c>
      <c r="D13" s="15" t="s">
        <v>47</v>
      </c>
      <c r="E13" s="15" t="s">
        <v>32</v>
      </c>
      <c r="F13" s="15" t="s">
        <v>803</v>
      </c>
      <c r="G13" s="267"/>
      <c r="H13" s="10"/>
      <c r="I13" s="11"/>
      <c r="J13" s="11"/>
      <c r="K13" s="11"/>
      <c r="L13" s="11"/>
      <c r="M13" s="11"/>
      <c r="N13" s="11"/>
      <c r="O13" s="12"/>
      <c r="P13" s="11"/>
      <c r="Q13" s="13"/>
      <c r="R13" s="14"/>
    </row>
    <row r="14" spans="1:92" ht="49.95" customHeight="1" x14ac:dyDescent="0.3">
      <c r="A14" s="19" t="s">
        <v>49</v>
      </c>
      <c r="B14" s="19" t="s">
        <v>799</v>
      </c>
      <c r="C14" s="20">
        <v>0.12847222222222221</v>
      </c>
      <c r="D14" s="19" t="s">
        <v>51</v>
      </c>
      <c r="E14" s="19" t="s">
        <v>221</v>
      </c>
      <c r="F14" s="19" t="s">
        <v>804</v>
      </c>
      <c r="G14" s="267"/>
      <c r="H14" s="10"/>
      <c r="I14" s="11"/>
      <c r="J14" s="11"/>
      <c r="K14" s="11"/>
      <c r="L14" s="11"/>
      <c r="M14" s="11"/>
      <c r="N14" s="11"/>
      <c r="O14" s="12"/>
      <c r="P14" s="11"/>
      <c r="Q14" s="13"/>
      <c r="R14" s="14"/>
    </row>
    <row r="15" spans="1:92" ht="49.95" customHeight="1" thickBot="1" x14ac:dyDescent="0.35">
      <c r="A15" s="215" t="s">
        <v>285</v>
      </c>
      <c r="B15" s="215" t="s">
        <v>805</v>
      </c>
      <c r="C15" s="216">
        <v>0.90625</v>
      </c>
      <c r="D15" s="215" t="s">
        <v>279</v>
      </c>
      <c r="E15" s="215" t="s">
        <v>179</v>
      </c>
      <c r="F15" s="215" t="s">
        <v>806</v>
      </c>
      <c r="G15" s="268"/>
      <c r="H15" s="41"/>
      <c r="I15" s="42"/>
      <c r="J15" s="42"/>
      <c r="K15" s="42"/>
      <c r="L15" s="42"/>
      <c r="M15" s="42"/>
      <c r="N15" s="42"/>
      <c r="O15" s="43"/>
      <c r="P15" s="42"/>
      <c r="Q15" s="44"/>
      <c r="R15" s="45"/>
    </row>
    <row r="16" spans="1:92" ht="17.399999999999999" customHeight="1" thickBot="1" x14ac:dyDescent="0.35">
      <c r="A16" s="295"/>
      <c r="B16" s="296"/>
      <c r="C16" s="296"/>
      <c r="D16" s="296"/>
      <c r="E16" s="296"/>
      <c r="F16" s="296"/>
      <c r="G16" s="296"/>
      <c r="H16" s="296"/>
      <c r="I16" s="296"/>
      <c r="J16" s="296"/>
      <c r="K16" s="296"/>
      <c r="L16" s="296"/>
      <c r="M16" s="296"/>
      <c r="N16" s="296"/>
      <c r="O16" s="296"/>
      <c r="P16" s="296"/>
      <c r="Q16" s="296"/>
      <c r="R16" s="297"/>
    </row>
    <row r="17" spans="1:18" ht="22.05" customHeight="1" thickTop="1" thickBot="1" x14ac:dyDescent="0.35">
      <c r="A17" s="262" t="s">
        <v>6</v>
      </c>
      <c r="B17" s="263"/>
      <c r="C17" s="263"/>
      <c r="D17" s="263"/>
      <c r="E17" s="263"/>
      <c r="F17" s="264"/>
      <c r="G17" s="31">
        <v>45983</v>
      </c>
      <c r="H17" s="270" t="s">
        <v>7</v>
      </c>
      <c r="I17" s="263"/>
      <c r="J17" s="263"/>
      <c r="K17" s="263"/>
      <c r="L17" s="263"/>
      <c r="M17" s="263"/>
      <c r="N17" s="263"/>
      <c r="O17" s="263"/>
      <c r="P17" s="263"/>
      <c r="Q17" s="263"/>
      <c r="R17" s="264"/>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x14ac:dyDescent="0.3">
      <c r="A19" s="8" t="s">
        <v>277</v>
      </c>
      <c r="B19" s="8" t="s">
        <v>807</v>
      </c>
      <c r="C19" s="9">
        <v>0.13541666666666671</v>
      </c>
      <c r="D19" s="8" t="s">
        <v>178</v>
      </c>
      <c r="E19" s="8" t="s">
        <v>221</v>
      </c>
      <c r="F19" s="8" t="s">
        <v>808</v>
      </c>
      <c r="G19" s="266"/>
      <c r="H19" s="10"/>
      <c r="I19" s="11"/>
      <c r="J19" s="11"/>
      <c r="K19" s="11"/>
      <c r="L19" s="11"/>
      <c r="M19" s="11"/>
      <c r="N19" s="11"/>
      <c r="O19" s="12"/>
      <c r="P19" s="11"/>
      <c r="Q19" s="13"/>
      <c r="R19" s="14"/>
    </row>
    <row r="20" spans="1:18" ht="49.95" customHeight="1" x14ac:dyDescent="0.3">
      <c r="A20" s="196" t="s">
        <v>78</v>
      </c>
      <c r="B20" s="196" t="s">
        <v>792</v>
      </c>
      <c r="C20" s="197">
        <v>0.98958333333333337</v>
      </c>
      <c r="D20" s="196" t="s">
        <v>178</v>
      </c>
      <c r="E20" s="196" t="s">
        <v>52</v>
      </c>
      <c r="F20" s="196" t="s">
        <v>809</v>
      </c>
      <c r="G20" s="267"/>
      <c r="H20" s="198" t="s">
        <v>794</v>
      </c>
      <c r="I20" s="199">
        <v>0.69069999999999998</v>
      </c>
      <c r="J20" s="200">
        <v>67</v>
      </c>
      <c r="K20" s="201">
        <v>45979</v>
      </c>
      <c r="L20" s="200">
        <v>20</v>
      </c>
      <c r="M20" s="200">
        <v>0</v>
      </c>
      <c r="N20" s="200">
        <v>7</v>
      </c>
      <c r="O20" s="202" t="s">
        <v>146</v>
      </c>
      <c r="P20" s="203">
        <v>0.98958333333333337</v>
      </c>
      <c r="Q20" s="200">
        <v>97</v>
      </c>
      <c r="R20" s="204" t="s">
        <v>810</v>
      </c>
    </row>
    <row r="21" spans="1:18" ht="49.95" customHeight="1" x14ac:dyDescent="0.3">
      <c r="A21" s="19" t="s">
        <v>49</v>
      </c>
      <c r="B21" s="19" t="s">
        <v>799</v>
      </c>
      <c r="C21" s="20">
        <v>0.12847222222222221</v>
      </c>
      <c r="D21" s="19" t="s">
        <v>51</v>
      </c>
      <c r="E21" s="19" t="s">
        <v>52</v>
      </c>
      <c r="F21" s="19" t="s">
        <v>811</v>
      </c>
      <c r="G21" s="267"/>
      <c r="H21" s="10"/>
      <c r="I21" s="11"/>
      <c r="J21" s="11"/>
      <c r="K21" s="11"/>
      <c r="L21" s="11"/>
      <c r="M21" s="11"/>
      <c r="N21" s="11"/>
      <c r="O21" s="12"/>
      <c r="P21" s="11"/>
      <c r="Q21" s="13"/>
      <c r="R21" s="14"/>
    </row>
    <row r="22" spans="1:18" ht="49.95" customHeight="1" x14ac:dyDescent="0.3">
      <c r="A22" s="215" t="s">
        <v>285</v>
      </c>
      <c r="B22" s="215" t="s">
        <v>797</v>
      </c>
      <c r="C22" s="216">
        <v>0.90625</v>
      </c>
      <c r="D22" s="215" t="s">
        <v>279</v>
      </c>
      <c r="E22" s="215" t="s">
        <v>321</v>
      </c>
      <c r="F22" s="215" t="s">
        <v>806</v>
      </c>
      <c r="G22" s="268"/>
      <c r="H22" s="41"/>
      <c r="I22" s="42"/>
      <c r="J22" s="42"/>
      <c r="K22" s="42"/>
      <c r="L22" s="42"/>
      <c r="M22" s="42"/>
      <c r="N22" s="42"/>
      <c r="O22" s="43"/>
      <c r="P22" s="42"/>
      <c r="Q22" s="44"/>
      <c r="R22" s="45"/>
    </row>
  </sheetData>
  <mergeCells count="18">
    <mergeCell ref="G19:G22"/>
    <mergeCell ref="N1:R1"/>
    <mergeCell ref="H1:L1"/>
    <mergeCell ref="A1:E1"/>
    <mergeCell ref="G2:J2"/>
    <mergeCell ref="K2:R2"/>
    <mergeCell ref="A4:F4"/>
    <mergeCell ref="H4:R4"/>
    <mergeCell ref="A2:F2"/>
    <mergeCell ref="A3:R3"/>
    <mergeCell ref="H17:R17"/>
    <mergeCell ref="A10:F10"/>
    <mergeCell ref="A9:R9"/>
    <mergeCell ref="A16:R16"/>
    <mergeCell ref="H10:R10"/>
    <mergeCell ref="G6:G8"/>
    <mergeCell ref="G12:G15"/>
    <mergeCell ref="A17:F17"/>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4"/>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8.3320312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3" width="3.88671875" style="282" bestFit="1" customWidth="1"/>
    <col min="24" max="24" width="4.109375" style="282" bestFit="1" customWidth="1"/>
    <col min="25" max="25" width="4.44140625" style="282" bestFit="1" customWidth="1"/>
    <col min="26" max="26" width="4.109375" style="282" bestFit="1" customWidth="1"/>
    <col min="27" max="27" width="5" style="282" bestFit="1" customWidth="1"/>
    <col min="28" max="28" width="4.21875" style="282" bestFit="1" customWidth="1"/>
    <col min="29" max="29" width="3.8867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794</v>
      </c>
      <c r="D2" s="286" t="s">
        <v>785</v>
      </c>
      <c r="E2" s="285" t="s">
        <v>791</v>
      </c>
      <c r="F2" s="285" t="s">
        <v>136</v>
      </c>
      <c r="G2" s="287">
        <v>0.88690000000000002</v>
      </c>
      <c r="H2" s="288">
        <v>168</v>
      </c>
      <c r="I2" s="288">
        <v>149</v>
      </c>
      <c r="J2" s="288">
        <v>0</v>
      </c>
      <c r="K2" s="285" t="s">
        <v>137</v>
      </c>
      <c r="L2" s="289">
        <v>45980</v>
      </c>
      <c r="M2" s="288">
        <v>10</v>
      </c>
      <c r="N2" s="288">
        <v>16</v>
      </c>
      <c r="O2" s="288">
        <v>32</v>
      </c>
      <c r="P2" s="285" t="s">
        <v>795</v>
      </c>
      <c r="Q2" s="281"/>
      <c r="R2" s="281"/>
      <c r="S2" s="281"/>
      <c r="T2" s="281"/>
      <c r="U2" s="281"/>
      <c r="V2" s="288" t="s">
        <v>469</v>
      </c>
      <c r="W2" s="288" t="s">
        <v>812</v>
      </c>
      <c r="X2" s="288" t="s">
        <v>395</v>
      </c>
      <c r="Y2" s="288" t="s">
        <v>413</v>
      </c>
      <c r="Z2" s="288" t="s">
        <v>692</v>
      </c>
      <c r="AA2" s="288" t="s">
        <v>375</v>
      </c>
      <c r="AB2" s="288" t="s">
        <v>562</v>
      </c>
      <c r="AC2" s="288" t="s">
        <v>813</v>
      </c>
      <c r="AD2" s="288" t="s">
        <v>419</v>
      </c>
      <c r="AE2" s="288" t="s">
        <v>425</v>
      </c>
      <c r="AF2" s="288" t="s">
        <v>814</v>
      </c>
      <c r="AG2" s="281"/>
      <c r="AH2" s="281"/>
      <c r="AI2" s="281"/>
      <c r="AJ2" s="281"/>
    </row>
    <row r="3" spans="1:36" x14ac:dyDescent="0.3">
      <c r="A3" s="283" t="s">
        <v>150</v>
      </c>
      <c r="B3" s="284">
        <v>45983</v>
      </c>
      <c r="C3" s="285" t="s">
        <v>794</v>
      </c>
      <c r="D3" s="286" t="s">
        <v>815</v>
      </c>
      <c r="E3" s="285" t="s">
        <v>791</v>
      </c>
      <c r="F3" s="285" t="s">
        <v>816</v>
      </c>
      <c r="G3" s="287">
        <v>0.69069999999999998</v>
      </c>
      <c r="H3" s="288">
        <v>97</v>
      </c>
      <c r="I3" s="288">
        <v>67</v>
      </c>
      <c r="J3" s="288">
        <v>0</v>
      </c>
      <c r="K3" s="285" t="s">
        <v>137</v>
      </c>
      <c r="L3" s="289">
        <v>45979</v>
      </c>
      <c r="M3" s="288">
        <v>0</v>
      </c>
      <c r="N3" s="288">
        <v>7</v>
      </c>
      <c r="O3" s="288">
        <v>20</v>
      </c>
      <c r="P3" s="285" t="s">
        <v>146</v>
      </c>
      <c r="Q3" s="281"/>
      <c r="R3" s="281"/>
      <c r="S3" s="281"/>
      <c r="T3" s="281"/>
      <c r="U3" s="281"/>
      <c r="V3" s="281"/>
      <c r="W3" s="281"/>
      <c r="X3" s="281"/>
      <c r="Y3" s="281"/>
      <c r="Z3" s="281"/>
      <c r="AA3" s="281"/>
      <c r="AB3" s="281"/>
      <c r="AC3" s="281"/>
      <c r="AD3" s="288" t="s">
        <v>817</v>
      </c>
      <c r="AE3" s="288" t="s">
        <v>818</v>
      </c>
      <c r="AF3" s="288" t="s">
        <v>814</v>
      </c>
      <c r="AG3" s="281"/>
      <c r="AH3" s="281"/>
      <c r="AI3" s="281"/>
      <c r="AJ3" s="281"/>
    </row>
    <row r="4" spans="1:36" ht="21" x14ac:dyDescent="0.3">
      <c r="A4" s="290" t="s">
        <v>976</v>
      </c>
      <c r="B4" s="291"/>
      <c r="C4" s="290">
        <f>SUBTOTAL(103,TUU_CAI_LF_LEGACY[Flt])</f>
        <v>2</v>
      </c>
      <c r="D4" s="290"/>
      <c r="E4" s="290">
        <f>SUBTOTAL(103,TUU_CAI_LF_LEGACY[Brd-Off])</f>
        <v>2</v>
      </c>
      <c r="F4" s="290"/>
      <c r="G4" s="292">
        <f>SUBTOTAL(101,TUU_CAI_LF_LEGACY[LF%])</f>
        <v>0.78879999999999995</v>
      </c>
      <c r="H4" s="293">
        <f>SUBTOTAL(109,TUU_CAI_LF_LEGACY[CAP])</f>
        <v>265</v>
      </c>
      <c r="I4" s="293">
        <f>SUBTOTAL(109,TUU_CAI_LF_LEGACY[BKG(Y)])</f>
        <v>216</v>
      </c>
      <c r="J4" s="293">
        <f>SUBTOTAL(109,TUU_CAI_LF_LEGACY[GRP(Y)])</f>
        <v>0</v>
      </c>
      <c r="K4" s="290"/>
      <c r="L4" s="291"/>
      <c r="M4" s="293">
        <f>SUBTOTAL(109,TUU_CAI_LF_LEGACY[TO-DAY])</f>
        <v>10</v>
      </c>
      <c r="N4" s="293">
        <f>SUBTOTAL(109,TUU_CAI_LF_LEGACY[Y-DAY])</f>
        <v>23</v>
      </c>
      <c r="O4" s="293">
        <f>SUBTOTAL(109,TUU_CAI_LF_LEGACY[WEEKLY])</f>
        <v>52</v>
      </c>
      <c r="P4" s="294"/>
      <c r="Q4" s="293">
        <f>SUBTOTAL(109,TUU_CAI_LF_LEGACY[Y])</f>
        <v>0</v>
      </c>
      <c r="R4" s="293">
        <f>SUBTOTAL(109,TUU_CAI_LF_LEGACY[B])</f>
        <v>0</v>
      </c>
      <c r="S4" s="293">
        <f>SUBTOTAL(109,TUU_CAI_LF_LEGACY[M])</f>
        <v>0</v>
      </c>
      <c r="T4" s="293">
        <f>SUBTOTAL(109,TUU_CAI_LF_LEGACY[H])</f>
        <v>0</v>
      </c>
      <c r="U4" s="293">
        <f>SUBTOTAL(109,TUU_CAI_LF_LEGACY[Q])</f>
        <v>0</v>
      </c>
      <c r="V4" s="293">
        <f>SUBTOTAL(109,TUU_CAI_LF_LEGACY[K])</f>
        <v>0</v>
      </c>
      <c r="W4" s="293">
        <f>SUBTOTAL(109,TUU_CAI_LF_LEGACY[V])</f>
        <v>0</v>
      </c>
      <c r="X4" s="293">
        <f>SUBTOTAL(109,TUU_CAI_LF_LEGACY[L])</f>
        <v>0</v>
      </c>
      <c r="Y4" s="293">
        <f>SUBTOTAL(109,TUU_CAI_LF_LEGACY[G])</f>
        <v>0</v>
      </c>
      <c r="Z4" s="293">
        <f>SUBTOTAL(109,TUU_CAI_LF_LEGACY[S])</f>
        <v>0</v>
      </c>
      <c r="AA4" s="293">
        <f>SUBTOTAL(109,TUU_CAI_LF_LEGACY[W])</f>
        <v>0</v>
      </c>
      <c r="AB4" s="293">
        <f>SUBTOTAL(109,TUU_CAI_LF_LEGACY[T])</f>
        <v>0</v>
      </c>
      <c r="AC4" s="293">
        <f>SUBTOTAL(109,TUU_CAI_LF_LEGACY[X])</f>
        <v>0</v>
      </c>
      <c r="AD4" s="293">
        <f>SUBTOTAL(109,TUU_CAI_LF_LEGACY[U])</f>
        <v>0</v>
      </c>
      <c r="AE4" s="293">
        <f>SUBTOTAL(109,TUU_CAI_LF_LEGACY[O])</f>
        <v>0</v>
      </c>
      <c r="AF4" s="293">
        <f>SUBTOTAL(109,TUU_CAI_LF_LEGACY[I])</f>
        <v>0</v>
      </c>
      <c r="AG4" s="293">
        <f>SUBTOTAL(109,TUU_CAI_LF_LEGACY[E])</f>
        <v>0</v>
      </c>
      <c r="AH4" s="293">
        <f>SUBTOTAL(109,TUU_CAI_LF_LEGACY[A])</f>
        <v>0</v>
      </c>
      <c r="AI4" s="293">
        <f>SUBTOTAL(109,TUU_CAI_LF_LEGACY[P])</f>
        <v>0</v>
      </c>
      <c r="AJ4" s="293">
        <f>SUBTOTAL(103,TUU_CAI_LF_LEGACY[N])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2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96" t="s">
        <v>162</v>
      </c>
      <c r="B2" s="97" t="s">
        <v>78</v>
      </c>
      <c r="C2" s="98" t="s">
        <v>792</v>
      </c>
      <c r="D2" s="97" t="s">
        <v>791</v>
      </c>
      <c r="E2" s="97" t="s">
        <v>785</v>
      </c>
      <c r="F2" s="97" t="s">
        <v>178</v>
      </c>
      <c r="G2" s="99">
        <v>2</v>
      </c>
      <c r="H2" s="100">
        <v>850</v>
      </c>
    </row>
    <row r="3" spans="1:8" ht="19.8" customHeight="1" x14ac:dyDescent="0.3">
      <c r="A3" s="70">
        <v>45981</v>
      </c>
      <c r="B3" s="61" t="s">
        <v>285</v>
      </c>
      <c r="C3" s="62" t="s">
        <v>797</v>
      </c>
      <c r="D3" s="61" t="s">
        <v>791</v>
      </c>
      <c r="E3" s="71">
        <v>1.90625</v>
      </c>
      <c r="F3" s="61" t="s">
        <v>279</v>
      </c>
      <c r="G3" s="63">
        <v>2</v>
      </c>
      <c r="H3" s="65" t="s">
        <v>798</v>
      </c>
    </row>
    <row r="4" spans="1:8" ht="19.8" customHeight="1" x14ac:dyDescent="0.3">
      <c r="A4" s="72">
        <v>45981</v>
      </c>
      <c r="B4" s="73" t="s">
        <v>49</v>
      </c>
      <c r="C4" s="74" t="s">
        <v>799</v>
      </c>
      <c r="D4" s="73" t="s">
        <v>791</v>
      </c>
      <c r="E4" s="75">
        <v>1.1284722222222221</v>
      </c>
      <c r="F4" s="73" t="s">
        <v>51</v>
      </c>
      <c r="G4" s="76">
        <v>1</v>
      </c>
      <c r="H4" s="77" t="s">
        <v>800</v>
      </c>
    </row>
    <row r="5" spans="1:8" ht="19.8" customHeight="1" x14ac:dyDescent="0.3">
      <c r="A5" s="70">
        <v>45982</v>
      </c>
      <c r="B5" s="61" t="s">
        <v>243</v>
      </c>
      <c r="C5" s="62" t="s">
        <v>801</v>
      </c>
      <c r="D5" s="61" t="s">
        <v>791</v>
      </c>
      <c r="E5" s="71">
        <v>1.635416666666667</v>
      </c>
      <c r="F5" s="61" t="s">
        <v>615</v>
      </c>
      <c r="G5" s="63">
        <v>9</v>
      </c>
      <c r="H5" s="64">
        <v>467</v>
      </c>
    </row>
    <row r="6" spans="1:8" ht="19.8" customHeight="1" x14ac:dyDescent="0.3">
      <c r="A6" s="70">
        <v>45982</v>
      </c>
      <c r="B6" s="61" t="s">
        <v>49</v>
      </c>
      <c r="C6" s="62" t="s">
        <v>799</v>
      </c>
      <c r="D6" s="61" t="s">
        <v>791</v>
      </c>
      <c r="E6" s="71">
        <v>1.1284722222222221</v>
      </c>
      <c r="F6" s="61" t="s">
        <v>51</v>
      </c>
      <c r="G6" s="63">
        <v>7</v>
      </c>
      <c r="H6" s="64">
        <v>489</v>
      </c>
    </row>
    <row r="7" spans="1:8" ht="19.8" customHeight="1" x14ac:dyDescent="0.3">
      <c r="A7" s="70">
        <v>45982</v>
      </c>
      <c r="B7" s="61" t="s">
        <v>285</v>
      </c>
      <c r="C7" s="62" t="s">
        <v>805</v>
      </c>
      <c r="D7" s="61" t="s">
        <v>791</v>
      </c>
      <c r="E7" s="71">
        <v>1.90625</v>
      </c>
      <c r="F7" s="61" t="s">
        <v>279</v>
      </c>
      <c r="G7" s="63">
        <v>2</v>
      </c>
      <c r="H7" s="64">
        <v>521</v>
      </c>
    </row>
    <row r="8" spans="1:8" ht="19.8" customHeight="1" x14ac:dyDescent="0.3">
      <c r="A8" s="72">
        <v>45982</v>
      </c>
      <c r="B8" s="73" t="s">
        <v>243</v>
      </c>
      <c r="C8" s="74" t="s">
        <v>801</v>
      </c>
      <c r="D8" s="73" t="s">
        <v>791</v>
      </c>
      <c r="E8" s="75">
        <v>1.635416666666667</v>
      </c>
      <c r="F8" s="73" t="s">
        <v>47</v>
      </c>
      <c r="G8" s="76">
        <v>9</v>
      </c>
      <c r="H8" s="105">
        <v>693</v>
      </c>
    </row>
    <row r="9" spans="1:8" ht="19.8" customHeight="1" x14ac:dyDescent="0.3">
      <c r="A9" s="70">
        <v>45983</v>
      </c>
      <c r="B9" s="61" t="s">
        <v>277</v>
      </c>
      <c r="C9" s="62" t="s">
        <v>807</v>
      </c>
      <c r="D9" s="61" t="s">
        <v>791</v>
      </c>
      <c r="E9" s="71">
        <v>1.135416666666667</v>
      </c>
      <c r="F9" s="61" t="s">
        <v>178</v>
      </c>
      <c r="G9" s="63">
        <v>7</v>
      </c>
      <c r="H9" s="64">
        <v>355</v>
      </c>
    </row>
    <row r="10" spans="1:8" ht="19.8" customHeight="1" x14ac:dyDescent="0.3">
      <c r="A10" s="189">
        <v>45983</v>
      </c>
      <c r="B10" s="97" t="s">
        <v>78</v>
      </c>
      <c r="C10" s="98" t="s">
        <v>792</v>
      </c>
      <c r="D10" s="97" t="s">
        <v>791</v>
      </c>
      <c r="E10" s="190">
        <v>1.989583333333333</v>
      </c>
      <c r="F10" s="97" t="s">
        <v>178</v>
      </c>
      <c r="G10" s="99">
        <v>9</v>
      </c>
      <c r="H10" s="100">
        <v>400</v>
      </c>
    </row>
    <row r="11" spans="1:8" ht="19.8" customHeight="1" x14ac:dyDescent="0.3">
      <c r="A11" s="70">
        <v>45983</v>
      </c>
      <c r="B11" s="61" t="s">
        <v>49</v>
      </c>
      <c r="C11" s="62" t="s">
        <v>799</v>
      </c>
      <c r="D11" s="61" t="s">
        <v>791</v>
      </c>
      <c r="E11" s="71">
        <v>1.1284722222222221</v>
      </c>
      <c r="F11" s="61" t="s">
        <v>51</v>
      </c>
      <c r="G11" s="63">
        <v>9</v>
      </c>
      <c r="H11" s="64">
        <v>420</v>
      </c>
    </row>
    <row r="12" spans="1:8" ht="19.8" customHeight="1" x14ac:dyDescent="0.3">
      <c r="A12" s="72">
        <v>45983</v>
      </c>
      <c r="B12" s="73" t="s">
        <v>285</v>
      </c>
      <c r="C12" s="74" t="s">
        <v>797</v>
      </c>
      <c r="D12" s="73" t="s">
        <v>791</v>
      </c>
      <c r="E12" s="75">
        <v>1.90625</v>
      </c>
      <c r="F12" s="73" t="s">
        <v>279</v>
      </c>
      <c r="G12" s="76">
        <v>5</v>
      </c>
      <c r="H12" s="105">
        <v>521</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9"/>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2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6" t="s">
        <v>162</v>
      </c>
      <c r="B2" s="67" t="s">
        <v>78</v>
      </c>
      <c r="C2" s="68" t="s">
        <v>792</v>
      </c>
      <c r="D2" s="67" t="s">
        <v>791</v>
      </c>
      <c r="E2" s="67" t="s">
        <v>785</v>
      </c>
      <c r="F2" s="67" t="s">
        <v>178</v>
      </c>
      <c r="G2" s="213">
        <v>2</v>
      </c>
      <c r="H2" s="214">
        <v>850</v>
      </c>
    </row>
    <row r="3" spans="1:8" ht="19.8" customHeight="1" x14ac:dyDescent="0.3">
      <c r="A3" s="70">
        <v>45982</v>
      </c>
      <c r="B3" s="61" t="s">
        <v>243</v>
      </c>
      <c r="C3" s="62" t="s">
        <v>801</v>
      </c>
      <c r="D3" s="61" t="s">
        <v>791</v>
      </c>
      <c r="E3" s="71">
        <v>1.635416666666667</v>
      </c>
      <c r="F3" s="61" t="s">
        <v>615</v>
      </c>
      <c r="G3" s="63">
        <v>9</v>
      </c>
      <c r="H3" s="64">
        <v>467</v>
      </c>
    </row>
    <row r="4" spans="1:8" ht="19.8" customHeight="1" x14ac:dyDescent="0.3">
      <c r="A4" s="70">
        <v>45982</v>
      </c>
      <c r="B4" s="61" t="s">
        <v>49</v>
      </c>
      <c r="C4" s="62" t="s">
        <v>799</v>
      </c>
      <c r="D4" s="61" t="s">
        <v>791</v>
      </c>
      <c r="E4" s="71">
        <v>1.1284722222222221</v>
      </c>
      <c r="F4" s="61" t="s">
        <v>51</v>
      </c>
      <c r="G4" s="63">
        <v>7</v>
      </c>
      <c r="H4" s="64">
        <v>489</v>
      </c>
    </row>
    <row r="5" spans="1:8" ht="19.8" customHeight="1" x14ac:dyDescent="0.3">
      <c r="A5" s="70">
        <v>45982</v>
      </c>
      <c r="B5" s="61" t="s">
        <v>285</v>
      </c>
      <c r="C5" s="62" t="s">
        <v>805</v>
      </c>
      <c r="D5" s="61" t="s">
        <v>791</v>
      </c>
      <c r="E5" s="71">
        <v>1.90625</v>
      </c>
      <c r="F5" s="61" t="s">
        <v>279</v>
      </c>
      <c r="G5" s="63">
        <v>2</v>
      </c>
      <c r="H5" s="64">
        <v>521</v>
      </c>
    </row>
    <row r="6" spans="1:8" ht="19.8" customHeight="1" x14ac:dyDescent="0.3">
      <c r="A6" s="72">
        <v>45982</v>
      </c>
      <c r="B6" s="73" t="s">
        <v>243</v>
      </c>
      <c r="C6" s="74" t="s">
        <v>801</v>
      </c>
      <c r="D6" s="73" t="s">
        <v>791</v>
      </c>
      <c r="E6" s="75">
        <v>1.635416666666667</v>
      </c>
      <c r="F6" s="73" t="s">
        <v>47</v>
      </c>
      <c r="G6" s="76">
        <v>9</v>
      </c>
      <c r="H6" s="105">
        <v>693</v>
      </c>
    </row>
    <row r="7" spans="1:8" ht="19.8" customHeight="1" x14ac:dyDescent="0.3">
      <c r="A7" s="70">
        <v>45983</v>
      </c>
      <c r="B7" s="61" t="s">
        <v>277</v>
      </c>
      <c r="C7" s="62" t="s">
        <v>807</v>
      </c>
      <c r="D7" s="61" t="s">
        <v>791</v>
      </c>
      <c r="E7" s="71">
        <v>1.135416666666667</v>
      </c>
      <c r="F7" s="61" t="s">
        <v>178</v>
      </c>
      <c r="G7" s="63">
        <v>7</v>
      </c>
      <c r="H7" s="64">
        <v>355</v>
      </c>
    </row>
    <row r="8" spans="1:8" ht="19.8" customHeight="1" x14ac:dyDescent="0.3">
      <c r="A8" s="189">
        <v>45983</v>
      </c>
      <c r="B8" s="97" t="s">
        <v>78</v>
      </c>
      <c r="C8" s="98" t="s">
        <v>792</v>
      </c>
      <c r="D8" s="97" t="s">
        <v>791</v>
      </c>
      <c r="E8" s="190">
        <v>1.989583333333333</v>
      </c>
      <c r="F8" s="97" t="s">
        <v>178</v>
      </c>
      <c r="G8" s="99">
        <v>9</v>
      </c>
      <c r="H8" s="100">
        <v>400</v>
      </c>
    </row>
    <row r="9" spans="1:8" ht="19.8" customHeight="1" x14ac:dyDescent="0.3">
      <c r="A9" s="72">
        <v>45983</v>
      </c>
      <c r="B9" s="73" t="s">
        <v>49</v>
      </c>
      <c r="C9" s="74" t="s">
        <v>799</v>
      </c>
      <c r="D9" s="73" t="s">
        <v>791</v>
      </c>
      <c r="E9" s="75">
        <v>1.1284722222222221</v>
      </c>
      <c r="F9" s="73" t="s">
        <v>51</v>
      </c>
      <c r="G9" s="76">
        <v>9</v>
      </c>
      <c r="H9" s="105">
        <v>420</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13"/>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272" t="s">
        <v>0</v>
      </c>
      <c r="B1" s="261"/>
      <c r="C1" s="261"/>
      <c r="D1" s="261"/>
      <c r="E1" s="261"/>
      <c r="F1" s="1" t="s">
        <v>819</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45980.492470952413</v>
      </c>
      <c r="H2" s="261"/>
      <c r="I2" s="261"/>
      <c r="J2" s="261"/>
      <c r="K2" s="274">
        <v>45980.492470952617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45982</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96" t="s">
        <v>78</v>
      </c>
      <c r="B6" s="196" t="s">
        <v>820</v>
      </c>
      <c r="C6" s="197">
        <v>0.51736111111111105</v>
      </c>
      <c r="D6" s="196" t="s">
        <v>80</v>
      </c>
      <c r="E6" s="217"/>
      <c r="F6" s="196" t="s">
        <v>821</v>
      </c>
      <c r="G6" s="266"/>
      <c r="H6" s="198" t="s">
        <v>820</v>
      </c>
      <c r="I6" s="218">
        <v>0.38100000000000001</v>
      </c>
      <c r="J6" s="200">
        <v>64</v>
      </c>
      <c r="K6" s="201">
        <v>45980</v>
      </c>
      <c r="L6" s="200">
        <v>31</v>
      </c>
      <c r="M6" s="200">
        <v>6</v>
      </c>
      <c r="N6" s="200">
        <v>5</v>
      </c>
      <c r="O6" s="202" t="s">
        <v>508</v>
      </c>
      <c r="P6" s="203">
        <v>0.51736111111111105</v>
      </c>
      <c r="Q6" s="200">
        <v>168</v>
      </c>
      <c r="R6" s="204" t="s">
        <v>822</v>
      </c>
    </row>
    <row r="7" spans="1:92" ht="18" x14ac:dyDescent="0.3">
      <c r="A7" s="278" t="s">
        <v>823</v>
      </c>
      <c r="B7" s="279"/>
      <c r="C7" s="279"/>
      <c r="D7" s="279"/>
      <c r="E7" s="279"/>
      <c r="F7" s="280"/>
      <c r="G7" s="267"/>
      <c r="H7" s="89"/>
      <c r="I7" s="89"/>
      <c r="J7" s="89"/>
      <c r="K7" s="89"/>
      <c r="L7" s="89"/>
      <c r="M7" s="89"/>
      <c r="N7" s="89"/>
      <c r="O7" s="90"/>
      <c r="P7" s="89"/>
      <c r="Q7" s="56"/>
      <c r="R7" s="56"/>
    </row>
    <row r="8" spans="1:92" ht="49.95" customHeight="1" x14ac:dyDescent="0.3">
      <c r="A8" s="17" t="s">
        <v>243</v>
      </c>
      <c r="B8" s="17" t="s">
        <v>801</v>
      </c>
      <c r="C8" s="18" t="s">
        <v>824</v>
      </c>
      <c r="D8" s="17" t="s">
        <v>615</v>
      </c>
      <c r="E8" s="17" t="s">
        <v>185</v>
      </c>
      <c r="F8" s="17" t="s">
        <v>802</v>
      </c>
      <c r="G8" s="267"/>
      <c r="H8" s="89"/>
      <c r="I8" s="89"/>
      <c r="J8" s="89"/>
      <c r="K8" s="89"/>
      <c r="L8" s="89"/>
      <c r="M8" s="89"/>
      <c r="N8" s="89"/>
      <c r="O8" s="90"/>
      <c r="P8" s="89"/>
      <c r="Q8" s="56"/>
      <c r="R8" s="56"/>
    </row>
    <row r="9" spans="1:92" ht="49.95" customHeight="1" x14ac:dyDescent="0.3">
      <c r="A9" s="17" t="s">
        <v>49</v>
      </c>
      <c r="B9" s="17" t="s">
        <v>799</v>
      </c>
      <c r="C9" s="18" t="s">
        <v>825</v>
      </c>
      <c r="D9" s="17" t="s">
        <v>51</v>
      </c>
      <c r="E9" s="17" t="s">
        <v>461</v>
      </c>
      <c r="F9" s="17" t="s">
        <v>804</v>
      </c>
      <c r="G9" s="267"/>
      <c r="H9" s="89"/>
      <c r="I9" s="89"/>
      <c r="J9" s="89"/>
      <c r="K9" s="89"/>
      <c r="L9" s="89"/>
      <c r="M9" s="89"/>
      <c r="N9" s="89"/>
      <c r="O9" s="90"/>
      <c r="P9" s="89"/>
      <c r="Q9" s="56"/>
      <c r="R9" s="56"/>
    </row>
    <row r="10" spans="1:92" ht="49.95" customHeight="1" x14ac:dyDescent="0.3">
      <c r="A10" s="17" t="s">
        <v>285</v>
      </c>
      <c r="B10" s="17" t="s">
        <v>805</v>
      </c>
      <c r="C10" s="18" t="s">
        <v>826</v>
      </c>
      <c r="D10" s="17" t="s">
        <v>279</v>
      </c>
      <c r="E10" s="17" t="s">
        <v>827</v>
      </c>
      <c r="F10" s="17" t="s">
        <v>806</v>
      </c>
      <c r="G10" s="267"/>
      <c r="H10" s="89"/>
      <c r="I10" s="89"/>
      <c r="J10" s="89"/>
      <c r="K10" s="89"/>
      <c r="L10" s="89"/>
      <c r="M10" s="89"/>
      <c r="N10" s="89"/>
      <c r="O10" s="90"/>
      <c r="P10" s="89"/>
      <c r="Q10" s="56"/>
      <c r="R10" s="56"/>
    </row>
    <row r="11" spans="1:92" ht="49.95" customHeight="1" thickBot="1" x14ac:dyDescent="0.35">
      <c r="A11" s="91" t="s">
        <v>243</v>
      </c>
      <c r="B11" s="91" t="s">
        <v>801</v>
      </c>
      <c r="C11" s="92" t="s">
        <v>824</v>
      </c>
      <c r="D11" s="91" t="s">
        <v>47</v>
      </c>
      <c r="E11" s="91" t="s">
        <v>185</v>
      </c>
      <c r="F11" s="91" t="s">
        <v>803</v>
      </c>
      <c r="G11" s="268"/>
      <c r="H11" s="93"/>
      <c r="I11" s="93"/>
      <c r="J11" s="93"/>
      <c r="K11" s="93"/>
      <c r="L11" s="93"/>
      <c r="M11" s="93"/>
      <c r="N11" s="93"/>
      <c r="O11" s="94"/>
      <c r="P11" s="93"/>
      <c r="Q11" s="95"/>
      <c r="R11" s="95"/>
    </row>
    <row r="12" spans="1:92" ht="17.399999999999999" customHeight="1" thickBot="1" x14ac:dyDescent="0.35">
      <c r="A12" s="295"/>
      <c r="B12" s="296"/>
      <c r="C12" s="296"/>
      <c r="D12" s="296"/>
      <c r="E12" s="296"/>
      <c r="F12" s="296"/>
      <c r="G12" s="296"/>
      <c r="H12" s="296"/>
      <c r="I12" s="296"/>
      <c r="J12" s="296"/>
      <c r="K12" s="296"/>
      <c r="L12" s="296"/>
      <c r="M12" s="296"/>
      <c r="N12" s="296"/>
      <c r="O12" s="296"/>
      <c r="P12" s="296"/>
      <c r="Q12" s="296"/>
      <c r="R12" s="297"/>
    </row>
    <row r="13" spans="1:92" ht="15" thickTop="1" x14ac:dyDescent="0.3"/>
  </sheetData>
  <mergeCells count="12">
    <mergeCell ref="A4:F4"/>
    <mergeCell ref="G6:G11"/>
    <mergeCell ref="H4:R4"/>
    <mergeCell ref="A7:F7"/>
    <mergeCell ref="A12:R12"/>
    <mergeCell ref="A2:F2"/>
    <mergeCell ref="A3:R3"/>
    <mergeCell ref="H1:L1"/>
    <mergeCell ref="A1:E1"/>
    <mergeCell ref="G2:J2"/>
    <mergeCell ref="K2:R2"/>
    <mergeCell ref="N1:R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3"/>
  <sheetViews>
    <sheetView workbookViewId="0"/>
  </sheetViews>
  <sheetFormatPr defaultRowHeight="15.6" outlineLevelCol="1" x14ac:dyDescent="0.3"/>
  <cols>
    <col min="1" max="1" width="6.88671875" style="282" bestFit="1" customWidth="1"/>
    <col min="2" max="2" width="10.44140625" style="282" bestFit="1" customWidth="1"/>
    <col min="3" max="3" width="6.77734375" style="282" bestFit="1" customWidth="1"/>
    <col min="4" max="4" width="5.5546875" style="282" bestFit="1" customWidth="1"/>
    <col min="5" max="5" width="8.55468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6" width="3.88671875" style="282" bestFit="1" customWidth="1"/>
    <col min="27" max="27" width="4" style="282" bestFit="1" customWidth="1"/>
    <col min="28" max="29" width="3.8867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393</v>
      </c>
      <c r="B2" s="284">
        <v>45982</v>
      </c>
      <c r="C2" s="285" t="s">
        <v>820</v>
      </c>
      <c r="D2" s="286" t="s">
        <v>828</v>
      </c>
      <c r="E2" s="285" t="s">
        <v>819</v>
      </c>
      <c r="F2" s="285" t="s">
        <v>136</v>
      </c>
      <c r="G2" s="287">
        <v>0.38100000000000001</v>
      </c>
      <c r="H2" s="288">
        <v>168</v>
      </c>
      <c r="I2" s="288">
        <v>64</v>
      </c>
      <c r="J2" s="288">
        <v>0</v>
      </c>
      <c r="K2" s="285" t="s">
        <v>137</v>
      </c>
      <c r="L2" s="289">
        <v>45980</v>
      </c>
      <c r="M2" s="288">
        <v>6</v>
      </c>
      <c r="N2" s="288">
        <v>5</v>
      </c>
      <c r="O2" s="288">
        <v>31</v>
      </c>
      <c r="P2" s="285" t="s">
        <v>508</v>
      </c>
      <c r="Q2" s="281"/>
      <c r="R2" s="281"/>
      <c r="S2" s="281"/>
      <c r="T2" s="281"/>
      <c r="U2" s="281"/>
      <c r="V2" s="281"/>
      <c r="W2" s="281"/>
      <c r="X2" s="281"/>
      <c r="Y2" s="281"/>
      <c r="Z2" s="288" t="s">
        <v>555</v>
      </c>
      <c r="AA2" s="288" t="s">
        <v>573</v>
      </c>
      <c r="AB2" s="288" t="s">
        <v>829</v>
      </c>
      <c r="AC2" s="288" t="s">
        <v>144</v>
      </c>
      <c r="AD2" s="288" t="s">
        <v>419</v>
      </c>
      <c r="AE2" s="288" t="s">
        <v>830</v>
      </c>
      <c r="AF2" s="288" t="s">
        <v>831</v>
      </c>
      <c r="AG2" s="281"/>
      <c r="AH2" s="281"/>
      <c r="AI2" s="281"/>
      <c r="AJ2" s="281"/>
    </row>
    <row r="3" spans="1:36" ht="21" x14ac:dyDescent="0.3">
      <c r="A3" s="290" t="s">
        <v>976</v>
      </c>
      <c r="B3" s="291"/>
      <c r="C3" s="290">
        <f>SUBTOTAL(103,TUU_ATZ_LF_LEGACY[Flt])</f>
        <v>1</v>
      </c>
      <c r="D3" s="290"/>
      <c r="E3" s="290">
        <f>SUBTOTAL(103,TUU_ATZ_LF_LEGACY[Brd-Off])</f>
        <v>1</v>
      </c>
      <c r="F3" s="290"/>
      <c r="G3" s="292">
        <f>SUBTOTAL(101,TUU_ATZ_LF_LEGACY[LF%])</f>
        <v>0.38100000000000001</v>
      </c>
      <c r="H3" s="293">
        <f>SUBTOTAL(109,TUU_ATZ_LF_LEGACY[CAP])</f>
        <v>168</v>
      </c>
      <c r="I3" s="293">
        <f>SUBTOTAL(109,TUU_ATZ_LF_LEGACY[BKG(Y)])</f>
        <v>64</v>
      </c>
      <c r="J3" s="293">
        <f>SUBTOTAL(109,TUU_ATZ_LF_LEGACY[GRP(Y)])</f>
        <v>0</v>
      </c>
      <c r="K3" s="290"/>
      <c r="L3" s="291"/>
      <c r="M3" s="293">
        <f>SUBTOTAL(109,TUU_ATZ_LF_LEGACY[TO-DAY])</f>
        <v>6</v>
      </c>
      <c r="N3" s="293">
        <f>SUBTOTAL(109,TUU_ATZ_LF_LEGACY[Y-DAY])</f>
        <v>5</v>
      </c>
      <c r="O3" s="293">
        <f>SUBTOTAL(109,TUU_ATZ_LF_LEGACY[WEEKLY])</f>
        <v>31</v>
      </c>
      <c r="P3" s="294"/>
      <c r="Q3" s="293">
        <f>SUBTOTAL(109,TUU_ATZ_LF_LEGACY[Y])</f>
        <v>0</v>
      </c>
      <c r="R3" s="293">
        <f>SUBTOTAL(109,TUU_ATZ_LF_LEGACY[B])</f>
        <v>0</v>
      </c>
      <c r="S3" s="293">
        <f>SUBTOTAL(109,TUU_ATZ_LF_LEGACY[M])</f>
        <v>0</v>
      </c>
      <c r="T3" s="293">
        <f>SUBTOTAL(109,TUU_ATZ_LF_LEGACY[H])</f>
        <v>0</v>
      </c>
      <c r="U3" s="293">
        <f>SUBTOTAL(109,TUU_ATZ_LF_LEGACY[Q])</f>
        <v>0</v>
      </c>
      <c r="V3" s="293">
        <f>SUBTOTAL(109,TUU_ATZ_LF_LEGACY[K])</f>
        <v>0</v>
      </c>
      <c r="W3" s="293">
        <f>SUBTOTAL(109,TUU_ATZ_LF_LEGACY[V])</f>
        <v>0</v>
      </c>
      <c r="X3" s="293">
        <f>SUBTOTAL(109,TUU_ATZ_LF_LEGACY[L])</f>
        <v>0</v>
      </c>
      <c r="Y3" s="293">
        <f>SUBTOTAL(109,TUU_ATZ_LF_LEGACY[G])</f>
        <v>0</v>
      </c>
      <c r="Z3" s="293">
        <f>SUBTOTAL(109,TUU_ATZ_LF_LEGACY[S])</f>
        <v>0</v>
      </c>
      <c r="AA3" s="293">
        <f>SUBTOTAL(109,TUU_ATZ_LF_LEGACY[W])</f>
        <v>0</v>
      </c>
      <c r="AB3" s="293">
        <f>SUBTOTAL(109,TUU_ATZ_LF_LEGACY[T])</f>
        <v>0</v>
      </c>
      <c r="AC3" s="293">
        <f>SUBTOTAL(109,TUU_ATZ_LF_LEGACY[X])</f>
        <v>0</v>
      </c>
      <c r="AD3" s="293">
        <f>SUBTOTAL(109,TUU_ATZ_LF_LEGACY[U])</f>
        <v>0</v>
      </c>
      <c r="AE3" s="293">
        <f>SUBTOTAL(109,TUU_ATZ_LF_LEGACY[O])</f>
        <v>0</v>
      </c>
      <c r="AF3" s="293">
        <f>SUBTOTAL(109,TUU_ATZ_LF_LEGACY[I])</f>
        <v>0</v>
      </c>
      <c r="AG3" s="293">
        <f>SUBTOTAL(109,TUU_ATZ_LF_LEGACY[E])</f>
        <v>0</v>
      </c>
      <c r="AH3" s="293">
        <f>SUBTOTAL(109,TUU_ATZ_LF_LEGACY[A])</f>
        <v>0</v>
      </c>
      <c r="AI3" s="293">
        <f>SUBTOTAL(109,TUU_ATZ_LF_LEGACY[P])</f>
        <v>0</v>
      </c>
      <c r="AJ3" s="293">
        <f>SUBTOTAL(103,TUU_ATZ_LF_LEGACY[N])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8.332031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832</v>
      </c>
      <c r="G2" s="102"/>
      <c r="H2" s="104"/>
    </row>
    <row r="3" spans="1:8" ht="19.8" customHeight="1" x14ac:dyDescent="0.3">
      <c r="A3" s="60" t="s">
        <v>162</v>
      </c>
      <c r="B3" s="61" t="s">
        <v>78</v>
      </c>
      <c r="C3" s="62" t="s">
        <v>792</v>
      </c>
      <c r="D3" s="61" t="s">
        <v>791</v>
      </c>
      <c r="E3" s="61" t="s">
        <v>785</v>
      </c>
      <c r="F3" s="61" t="s">
        <v>178</v>
      </c>
      <c r="G3" s="63">
        <v>2</v>
      </c>
      <c r="H3" s="64">
        <v>850</v>
      </c>
    </row>
    <row r="4" spans="1:8" ht="19.8" customHeight="1" x14ac:dyDescent="0.3">
      <c r="A4" s="60" t="s">
        <v>162</v>
      </c>
      <c r="B4" s="61" t="s">
        <v>285</v>
      </c>
      <c r="C4" s="62" t="s">
        <v>797</v>
      </c>
      <c r="D4" s="61" t="s">
        <v>791</v>
      </c>
      <c r="E4" s="61" t="s">
        <v>826</v>
      </c>
      <c r="F4" s="61" t="s">
        <v>279</v>
      </c>
      <c r="G4" s="63">
        <v>2</v>
      </c>
      <c r="H4" s="65" t="s">
        <v>798</v>
      </c>
    </row>
    <row r="5" spans="1:8" ht="19.8" customHeight="1" x14ac:dyDescent="0.3">
      <c r="A5" s="116" t="s">
        <v>162</v>
      </c>
      <c r="B5" s="73" t="s">
        <v>49</v>
      </c>
      <c r="C5" s="74" t="s">
        <v>799</v>
      </c>
      <c r="D5" s="73" t="s">
        <v>791</v>
      </c>
      <c r="E5" s="73" t="s">
        <v>825</v>
      </c>
      <c r="F5" s="73" t="s">
        <v>51</v>
      </c>
      <c r="G5" s="76">
        <v>1</v>
      </c>
      <c r="H5" s="77" t="s">
        <v>800</v>
      </c>
    </row>
    <row r="6" spans="1:8" ht="19.8" customHeight="1" x14ac:dyDescent="0.3">
      <c r="A6" s="96" t="s">
        <v>214</v>
      </c>
      <c r="B6" s="97" t="s">
        <v>78</v>
      </c>
      <c r="C6" s="98" t="s">
        <v>833</v>
      </c>
      <c r="D6" s="97" t="s">
        <v>819</v>
      </c>
      <c r="E6" s="97" t="s">
        <v>828</v>
      </c>
      <c r="F6" s="97"/>
      <c r="G6" s="97"/>
      <c r="H6" s="117" t="s">
        <v>821</v>
      </c>
    </row>
    <row r="7" spans="1:8" ht="19.8" customHeight="1" x14ac:dyDescent="0.3">
      <c r="A7" s="101"/>
      <c r="B7" s="102"/>
      <c r="C7" s="102"/>
      <c r="D7" s="102"/>
      <c r="E7" s="102"/>
      <c r="F7" s="103" t="s">
        <v>832</v>
      </c>
      <c r="G7" s="102"/>
      <c r="H7" s="104"/>
    </row>
    <row r="8" spans="1:8" ht="19.8" customHeight="1" x14ac:dyDescent="0.3">
      <c r="A8" s="70">
        <v>45982</v>
      </c>
      <c r="B8" s="61" t="s">
        <v>243</v>
      </c>
      <c r="C8" s="62" t="s">
        <v>801</v>
      </c>
      <c r="D8" s="61" t="s">
        <v>791</v>
      </c>
      <c r="E8" s="71">
        <v>1.635416666666667</v>
      </c>
      <c r="F8" s="61" t="s">
        <v>615</v>
      </c>
      <c r="G8" s="63">
        <v>9</v>
      </c>
      <c r="H8" s="64">
        <v>467</v>
      </c>
    </row>
    <row r="9" spans="1:8" ht="19.8" customHeight="1" x14ac:dyDescent="0.3">
      <c r="A9" s="70">
        <v>45982</v>
      </c>
      <c r="B9" s="61" t="s">
        <v>49</v>
      </c>
      <c r="C9" s="62" t="s">
        <v>799</v>
      </c>
      <c r="D9" s="61" t="s">
        <v>791</v>
      </c>
      <c r="E9" s="71">
        <v>1.1284722222222221</v>
      </c>
      <c r="F9" s="61" t="s">
        <v>51</v>
      </c>
      <c r="G9" s="63">
        <v>7</v>
      </c>
      <c r="H9" s="64">
        <v>489</v>
      </c>
    </row>
    <row r="10" spans="1:8" ht="19.8" customHeight="1" x14ac:dyDescent="0.3">
      <c r="A10" s="70">
        <v>45982</v>
      </c>
      <c r="B10" s="61" t="s">
        <v>285</v>
      </c>
      <c r="C10" s="62" t="s">
        <v>805</v>
      </c>
      <c r="D10" s="61" t="s">
        <v>791</v>
      </c>
      <c r="E10" s="71">
        <v>1.90625</v>
      </c>
      <c r="F10" s="61" t="s">
        <v>279</v>
      </c>
      <c r="G10" s="63">
        <v>2</v>
      </c>
      <c r="H10" s="64">
        <v>521</v>
      </c>
    </row>
    <row r="11" spans="1:8" ht="19.8" customHeight="1" x14ac:dyDescent="0.3">
      <c r="A11" s="72">
        <v>45982</v>
      </c>
      <c r="B11" s="73" t="s">
        <v>243</v>
      </c>
      <c r="C11" s="74" t="s">
        <v>801</v>
      </c>
      <c r="D11" s="73" t="s">
        <v>791</v>
      </c>
      <c r="E11" s="75">
        <v>1.635416666666667</v>
      </c>
      <c r="F11" s="73" t="s">
        <v>47</v>
      </c>
      <c r="G11" s="76">
        <v>9</v>
      </c>
      <c r="H11" s="105">
        <v>693</v>
      </c>
    </row>
    <row r="12" spans="1:8" ht="19.8" customHeight="1" x14ac:dyDescent="0.3">
      <c r="A12" s="101"/>
      <c r="B12" s="102"/>
      <c r="C12" s="102"/>
      <c r="D12" s="102"/>
      <c r="E12" s="102"/>
      <c r="F12" s="103" t="s">
        <v>832</v>
      </c>
      <c r="G12" s="102"/>
      <c r="H12" s="104"/>
    </row>
    <row r="13" spans="1:8" ht="19.8" customHeight="1" x14ac:dyDescent="0.3">
      <c r="A13" s="70">
        <v>45983</v>
      </c>
      <c r="B13" s="61" t="s">
        <v>277</v>
      </c>
      <c r="C13" s="62" t="s">
        <v>807</v>
      </c>
      <c r="D13" s="61" t="s">
        <v>791</v>
      </c>
      <c r="E13" s="71">
        <v>1.135416666666667</v>
      </c>
      <c r="F13" s="61" t="s">
        <v>178</v>
      </c>
      <c r="G13" s="63">
        <v>7</v>
      </c>
      <c r="H13" s="64">
        <v>355</v>
      </c>
    </row>
    <row r="14" spans="1:8" ht="19.8" customHeight="1" x14ac:dyDescent="0.3">
      <c r="A14" s="70">
        <v>45983</v>
      </c>
      <c r="B14" s="61" t="s">
        <v>78</v>
      </c>
      <c r="C14" s="62" t="s">
        <v>792</v>
      </c>
      <c r="D14" s="61" t="s">
        <v>791</v>
      </c>
      <c r="E14" s="71">
        <v>1.989583333333333</v>
      </c>
      <c r="F14" s="61" t="s">
        <v>178</v>
      </c>
      <c r="G14" s="63">
        <v>9</v>
      </c>
      <c r="H14" s="64">
        <v>400</v>
      </c>
    </row>
    <row r="15" spans="1:8" ht="19.8" customHeight="1" x14ac:dyDescent="0.3">
      <c r="A15" s="70">
        <v>45983</v>
      </c>
      <c r="B15" s="61" t="s">
        <v>49</v>
      </c>
      <c r="C15" s="62" t="s">
        <v>799</v>
      </c>
      <c r="D15" s="61" t="s">
        <v>791</v>
      </c>
      <c r="E15" s="71">
        <v>1.1284722222222221</v>
      </c>
      <c r="F15" s="61" t="s">
        <v>51</v>
      </c>
      <c r="G15" s="63">
        <v>9</v>
      </c>
      <c r="H15" s="64">
        <v>420</v>
      </c>
    </row>
    <row r="16" spans="1:8" ht="19.8" customHeight="1" x14ac:dyDescent="0.3">
      <c r="A16" s="72">
        <v>45983</v>
      </c>
      <c r="B16" s="73" t="s">
        <v>285</v>
      </c>
      <c r="C16" s="74" t="s">
        <v>797</v>
      </c>
      <c r="D16" s="73" t="s">
        <v>791</v>
      </c>
      <c r="E16" s="75">
        <v>1.90625</v>
      </c>
      <c r="F16" s="73" t="s">
        <v>279</v>
      </c>
      <c r="G16" s="76">
        <v>5</v>
      </c>
      <c r="H16" s="105">
        <v>521</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5.44140625" bestFit="1" customWidth="1"/>
  </cols>
  <sheetData>
    <row r="1" spans="1:92" ht="28.8" customHeight="1" x14ac:dyDescent="0.3">
      <c r="A1" s="272" t="s">
        <v>0</v>
      </c>
      <c r="B1" s="261"/>
      <c r="C1" s="261"/>
      <c r="D1" s="261"/>
      <c r="E1" s="261"/>
      <c r="F1" s="1" t="s">
        <v>834</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45980.492472982463</v>
      </c>
      <c r="H2" s="261"/>
      <c r="I2" s="261"/>
      <c r="J2" s="261"/>
      <c r="K2" s="274">
        <v>45980.49247298274</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285</v>
      </c>
      <c r="B6" s="8" t="s">
        <v>835</v>
      </c>
      <c r="C6" s="9">
        <v>0.85069444444444453</v>
      </c>
      <c r="D6" s="8" t="s">
        <v>279</v>
      </c>
      <c r="E6" s="8" t="s">
        <v>90</v>
      </c>
      <c r="F6" s="8" t="s">
        <v>281</v>
      </c>
      <c r="G6" s="266"/>
      <c r="H6" s="10"/>
      <c r="I6" s="11"/>
      <c r="J6" s="11"/>
      <c r="K6" s="11"/>
      <c r="L6" s="11"/>
      <c r="M6" s="11"/>
      <c r="N6" s="11"/>
      <c r="O6" s="12"/>
      <c r="P6" s="11"/>
      <c r="Q6" s="13"/>
      <c r="R6" s="14"/>
    </row>
    <row r="7" spans="1:92" ht="49.95" customHeight="1" thickTop="1" thickBot="1" x14ac:dyDescent="0.35">
      <c r="A7" s="219" t="s">
        <v>78</v>
      </c>
      <c r="B7" s="219" t="s">
        <v>836</v>
      </c>
      <c r="C7" s="220">
        <v>0.91319444444444453</v>
      </c>
      <c r="D7" s="219" t="s">
        <v>178</v>
      </c>
      <c r="E7" s="219" t="s">
        <v>499</v>
      </c>
      <c r="F7" s="219" t="s">
        <v>837</v>
      </c>
      <c r="G7" s="268"/>
      <c r="H7" s="221" t="s">
        <v>838</v>
      </c>
      <c r="I7" s="222">
        <v>0.92259999999999998</v>
      </c>
      <c r="J7" s="223">
        <v>155</v>
      </c>
      <c r="K7" s="224">
        <v>45979</v>
      </c>
      <c r="L7" s="223">
        <v>41</v>
      </c>
      <c r="M7" s="223">
        <v>0</v>
      </c>
      <c r="N7" s="223">
        <v>15</v>
      </c>
      <c r="O7" s="225" t="s">
        <v>265</v>
      </c>
      <c r="P7" s="226">
        <v>0.91319444444444453</v>
      </c>
      <c r="Q7" s="223">
        <v>168</v>
      </c>
      <c r="R7" s="227" t="s">
        <v>839</v>
      </c>
    </row>
    <row r="8" spans="1:92" ht="17.399999999999999" customHeight="1" thickBot="1" x14ac:dyDescent="0.35">
      <c r="A8" s="295"/>
      <c r="B8" s="296"/>
      <c r="C8" s="296"/>
      <c r="D8" s="296"/>
      <c r="E8" s="296"/>
      <c r="F8" s="296"/>
      <c r="G8" s="296"/>
      <c r="H8" s="296"/>
      <c r="I8" s="296"/>
      <c r="J8" s="296"/>
      <c r="K8" s="296"/>
      <c r="L8" s="296"/>
      <c r="M8" s="296"/>
      <c r="N8" s="296"/>
      <c r="O8" s="296"/>
      <c r="P8" s="296"/>
      <c r="Q8" s="296"/>
      <c r="R8" s="297"/>
    </row>
    <row r="9" spans="1:92" ht="22.05" customHeight="1" thickTop="1" thickBot="1" x14ac:dyDescent="0.35">
      <c r="A9" s="262" t="s">
        <v>6</v>
      </c>
      <c r="B9" s="263"/>
      <c r="C9" s="263"/>
      <c r="D9" s="263"/>
      <c r="E9" s="263"/>
      <c r="F9" s="264"/>
      <c r="G9" s="31">
        <v>45983</v>
      </c>
      <c r="H9" s="270" t="s">
        <v>7</v>
      </c>
      <c r="I9" s="263"/>
      <c r="J9" s="263"/>
      <c r="K9" s="263"/>
      <c r="L9" s="263"/>
      <c r="M9" s="263"/>
      <c r="N9" s="263"/>
      <c r="O9" s="263"/>
      <c r="P9" s="263"/>
      <c r="Q9" s="263"/>
      <c r="R9" s="264"/>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228" t="s">
        <v>78</v>
      </c>
      <c r="B11" s="228" t="s">
        <v>836</v>
      </c>
      <c r="C11" s="229">
        <v>0.86458333333333337</v>
      </c>
      <c r="D11" s="228" t="s">
        <v>178</v>
      </c>
      <c r="E11" s="228" t="s">
        <v>280</v>
      </c>
      <c r="F11" s="228" t="s">
        <v>840</v>
      </c>
      <c r="G11" s="266"/>
      <c r="H11" s="230" t="s">
        <v>838</v>
      </c>
      <c r="I11" s="231">
        <v>0.88100000000000001</v>
      </c>
      <c r="J11" s="232">
        <v>148</v>
      </c>
      <c r="K11" s="233">
        <v>45980</v>
      </c>
      <c r="L11" s="232">
        <v>81</v>
      </c>
      <c r="M11" s="232">
        <v>9</v>
      </c>
      <c r="N11" s="232">
        <v>11</v>
      </c>
      <c r="O11" s="234" t="s">
        <v>141</v>
      </c>
      <c r="P11" s="235">
        <v>0.86458333333333337</v>
      </c>
      <c r="Q11" s="232">
        <v>168</v>
      </c>
      <c r="R11" s="236" t="s">
        <v>841</v>
      </c>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4"/>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7.4414062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2" width="3.88671875" style="282" bestFit="1" customWidth="1"/>
    <col min="23" max="23" width="4.33203125" style="282" bestFit="1" customWidth="1"/>
    <col min="24" max="24" width="3.88671875" style="282" bestFit="1" customWidth="1"/>
    <col min="25" max="25" width="4.44140625" style="282" bestFit="1" customWidth="1"/>
    <col min="26" max="26" width="4.109375" style="282" bestFit="1" customWidth="1"/>
    <col min="27" max="27" width="5" style="282" bestFit="1" customWidth="1"/>
    <col min="28" max="28" width="4.21875" style="282" bestFit="1" customWidth="1"/>
    <col min="29" max="29" width="3.8867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838</v>
      </c>
      <c r="D2" s="286" t="s">
        <v>842</v>
      </c>
      <c r="E2" s="285" t="s">
        <v>834</v>
      </c>
      <c r="F2" s="285" t="s">
        <v>136</v>
      </c>
      <c r="G2" s="287">
        <v>0.92259999999999998</v>
      </c>
      <c r="H2" s="288">
        <v>168</v>
      </c>
      <c r="I2" s="288">
        <v>155</v>
      </c>
      <c r="J2" s="288">
        <v>0</v>
      </c>
      <c r="K2" s="285" t="s">
        <v>137</v>
      </c>
      <c r="L2" s="289">
        <v>45979</v>
      </c>
      <c r="M2" s="288">
        <v>0</v>
      </c>
      <c r="N2" s="288">
        <v>15</v>
      </c>
      <c r="O2" s="288">
        <v>41</v>
      </c>
      <c r="P2" s="285" t="s">
        <v>265</v>
      </c>
      <c r="Q2" s="281"/>
      <c r="R2" s="281"/>
      <c r="S2" s="281"/>
      <c r="T2" s="281"/>
      <c r="U2" s="288" t="s">
        <v>380</v>
      </c>
      <c r="V2" s="288" t="s">
        <v>189</v>
      </c>
      <c r="W2" s="288" t="s">
        <v>843</v>
      </c>
      <c r="X2" s="288" t="s">
        <v>844</v>
      </c>
      <c r="Y2" s="288" t="s">
        <v>390</v>
      </c>
      <c r="Z2" s="288" t="s">
        <v>692</v>
      </c>
      <c r="AA2" s="288" t="s">
        <v>383</v>
      </c>
      <c r="AB2" s="288" t="s">
        <v>700</v>
      </c>
      <c r="AC2" s="288" t="s">
        <v>550</v>
      </c>
      <c r="AD2" s="288" t="s">
        <v>845</v>
      </c>
      <c r="AE2" s="288" t="s">
        <v>846</v>
      </c>
      <c r="AF2" s="288" t="s">
        <v>212</v>
      </c>
      <c r="AG2" s="281"/>
      <c r="AH2" s="281"/>
      <c r="AI2" s="281"/>
      <c r="AJ2" s="281"/>
    </row>
    <row r="3" spans="1:36" x14ac:dyDescent="0.3">
      <c r="A3" s="283" t="s">
        <v>150</v>
      </c>
      <c r="B3" s="284">
        <v>45983</v>
      </c>
      <c r="C3" s="285" t="s">
        <v>838</v>
      </c>
      <c r="D3" s="286" t="s">
        <v>785</v>
      </c>
      <c r="E3" s="285" t="s">
        <v>834</v>
      </c>
      <c r="F3" s="285" t="s">
        <v>136</v>
      </c>
      <c r="G3" s="287">
        <v>0.88100000000000001</v>
      </c>
      <c r="H3" s="288">
        <v>168</v>
      </c>
      <c r="I3" s="288">
        <v>148</v>
      </c>
      <c r="J3" s="288">
        <v>0</v>
      </c>
      <c r="K3" s="285" t="s">
        <v>137</v>
      </c>
      <c r="L3" s="289">
        <v>45980</v>
      </c>
      <c r="M3" s="288">
        <v>9</v>
      </c>
      <c r="N3" s="288">
        <v>11</v>
      </c>
      <c r="O3" s="288">
        <v>81</v>
      </c>
      <c r="P3" s="285" t="s">
        <v>141</v>
      </c>
      <c r="Q3" s="281"/>
      <c r="R3" s="281"/>
      <c r="S3" s="281"/>
      <c r="T3" s="281"/>
      <c r="U3" s="281"/>
      <c r="V3" s="281"/>
      <c r="W3" s="281"/>
      <c r="X3" s="281"/>
      <c r="Y3" s="281"/>
      <c r="Z3" s="288" t="s">
        <v>847</v>
      </c>
      <c r="AA3" s="288" t="s">
        <v>770</v>
      </c>
      <c r="AB3" s="288" t="s">
        <v>848</v>
      </c>
      <c r="AC3" s="288" t="s">
        <v>194</v>
      </c>
      <c r="AD3" s="288" t="s">
        <v>210</v>
      </c>
      <c r="AE3" s="288" t="s">
        <v>849</v>
      </c>
      <c r="AF3" s="288" t="s">
        <v>391</v>
      </c>
      <c r="AG3" s="281"/>
      <c r="AH3" s="281"/>
      <c r="AI3" s="281"/>
      <c r="AJ3" s="281"/>
    </row>
    <row r="4" spans="1:36" ht="21" x14ac:dyDescent="0.3">
      <c r="A4" s="290" t="s">
        <v>976</v>
      </c>
      <c r="B4" s="291"/>
      <c r="C4" s="290">
        <f>SUBTOTAL(103,AJF_CAI_LF_LEGACY[Flt])</f>
        <v>2</v>
      </c>
      <c r="D4" s="290"/>
      <c r="E4" s="290">
        <f>SUBTOTAL(103,AJF_CAI_LF_LEGACY[Brd-Off])</f>
        <v>2</v>
      </c>
      <c r="F4" s="290"/>
      <c r="G4" s="292">
        <f>SUBTOTAL(101,AJF_CAI_LF_LEGACY[LF%])</f>
        <v>0.90179999999999993</v>
      </c>
      <c r="H4" s="293">
        <f>SUBTOTAL(109,AJF_CAI_LF_LEGACY[CAP])</f>
        <v>336</v>
      </c>
      <c r="I4" s="293">
        <f>SUBTOTAL(109,AJF_CAI_LF_LEGACY[BKG(Y)])</f>
        <v>303</v>
      </c>
      <c r="J4" s="293">
        <f>SUBTOTAL(109,AJF_CAI_LF_LEGACY[GRP(Y)])</f>
        <v>0</v>
      </c>
      <c r="K4" s="290"/>
      <c r="L4" s="291"/>
      <c r="M4" s="293">
        <f>SUBTOTAL(109,AJF_CAI_LF_LEGACY[TO-DAY])</f>
        <v>9</v>
      </c>
      <c r="N4" s="293">
        <f>SUBTOTAL(109,AJF_CAI_LF_LEGACY[Y-DAY])</f>
        <v>26</v>
      </c>
      <c r="O4" s="293">
        <f>SUBTOTAL(109,AJF_CAI_LF_LEGACY[WEEKLY])</f>
        <v>122</v>
      </c>
      <c r="P4" s="294"/>
      <c r="Q4" s="293">
        <f>SUBTOTAL(109,AJF_CAI_LF_LEGACY[Y])</f>
        <v>0</v>
      </c>
      <c r="R4" s="293">
        <f>SUBTOTAL(109,AJF_CAI_LF_LEGACY[B])</f>
        <v>0</v>
      </c>
      <c r="S4" s="293">
        <f>SUBTOTAL(109,AJF_CAI_LF_LEGACY[M])</f>
        <v>0</v>
      </c>
      <c r="T4" s="293">
        <f>SUBTOTAL(109,AJF_CAI_LF_LEGACY[H])</f>
        <v>0</v>
      </c>
      <c r="U4" s="293">
        <f>SUBTOTAL(109,AJF_CAI_LF_LEGACY[Q])</f>
        <v>0</v>
      </c>
      <c r="V4" s="293">
        <f>SUBTOTAL(109,AJF_CAI_LF_LEGACY[K])</f>
        <v>0</v>
      </c>
      <c r="W4" s="293">
        <f>SUBTOTAL(109,AJF_CAI_LF_LEGACY[V])</f>
        <v>0</v>
      </c>
      <c r="X4" s="293">
        <f>SUBTOTAL(109,AJF_CAI_LF_LEGACY[L])</f>
        <v>0</v>
      </c>
      <c r="Y4" s="293">
        <f>SUBTOTAL(109,AJF_CAI_LF_LEGACY[G])</f>
        <v>0</v>
      </c>
      <c r="Z4" s="293">
        <f>SUBTOTAL(109,AJF_CAI_LF_LEGACY[S])</f>
        <v>0</v>
      </c>
      <c r="AA4" s="293">
        <f>SUBTOTAL(109,AJF_CAI_LF_LEGACY[W])</f>
        <v>0</v>
      </c>
      <c r="AB4" s="293">
        <f>SUBTOTAL(109,AJF_CAI_LF_LEGACY[T])</f>
        <v>0</v>
      </c>
      <c r="AC4" s="293">
        <f>SUBTOTAL(109,AJF_CAI_LF_LEGACY[X])</f>
        <v>0</v>
      </c>
      <c r="AD4" s="293">
        <f>SUBTOTAL(109,AJF_CAI_LF_LEGACY[U])</f>
        <v>0</v>
      </c>
      <c r="AE4" s="293">
        <f>SUBTOTAL(109,AJF_CAI_LF_LEGACY[O])</f>
        <v>0</v>
      </c>
      <c r="AF4" s="293">
        <f>SUBTOTAL(109,AJF_CAI_LF_LEGACY[I])</f>
        <v>0</v>
      </c>
      <c r="AG4" s="293">
        <f>SUBTOTAL(109,AJF_CAI_LF_LEGACY[E])</f>
        <v>0</v>
      </c>
      <c r="AH4" s="293">
        <f>SUBTOTAL(109,AJF_CAI_LF_LEGACY[A])</f>
        <v>0</v>
      </c>
      <c r="AI4" s="293">
        <f>SUBTOTAL(109,AJF_CAI_LF_LEGACY[P])</f>
        <v>0</v>
      </c>
      <c r="AJ4" s="293">
        <f>SUBTOTAL(103,AJF_CAI_LF_LEGACY[N])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5.2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285</v>
      </c>
      <c r="C2" s="62" t="s">
        <v>835</v>
      </c>
      <c r="D2" s="61" t="s">
        <v>834</v>
      </c>
      <c r="E2" s="61" t="s">
        <v>850</v>
      </c>
      <c r="F2" s="61" t="s">
        <v>279</v>
      </c>
      <c r="G2" s="63">
        <v>4</v>
      </c>
      <c r="H2" s="64">
        <v>745</v>
      </c>
    </row>
    <row r="3" spans="1:8" ht="19.8" customHeight="1" x14ac:dyDescent="0.3">
      <c r="A3" s="66" t="s">
        <v>162</v>
      </c>
      <c r="B3" s="67" t="s">
        <v>78</v>
      </c>
      <c r="C3" s="68" t="s">
        <v>836</v>
      </c>
      <c r="D3" s="67" t="s">
        <v>834</v>
      </c>
      <c r="E3" s="67" t="s">
        <v>842</v>
      </c>
      <c r="F3" s="67" t="s">
        <v>178</v>
      </c>
      <c r="G3" s="213">
        <v>8</v>
      </c>
      <c r="H3" s="214">
        <v>788</v>
      </c>
    </row>
    <row r="4" spans="1:8" ht="19.8" customHeight="1" x14ac:dyDescent="0.3">
      <c r="A4" s="78">
        <v>45983</v>
      </c>
      <c r="B4" s="67" t="s">
        <v>78</v>
      </c>
      <c r="C4" s="68" t="s">
        <v>836</v>
      </c>
      <c r="D4" s="67" t="s">
        <v>834</v>
      </c>
      <c r="E4" s="79">
        <v>1.864583333333333</v>
      </c>
      <c r="F4" s="67" t="s">
        <v>178</v>
      </c>
      <c r="G4" s="213">
        <v>3</v>
      </c>
      <c r="H4" s="214">
        <v>668</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5.2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285</v>
      </c>
      <c r="C2" s="62" t="s">
        <v>835</v>
      </c>
      <c r="D2" s="61" t="s">
        <v>834</v>
      </c>
      <c r="E2" s="61" t="s">
        <v>850</v>
      </c>
      <c r="F2" s="61" t="s">
        <v>279</v>
      </c>
      <c r="G2" s="63">
        <v>4</v>
      </c>
      <c r="H2" s="64">
        <v>745</v>
      </c>
    </row>
    <row r="3" spans="1:8" ht="19.8" customHeight="1" x14ac:dyDescent="0.3">
      <c r="A3" s="66" t="s">
        <v>162</v>
      </c>
      <c r="B3" s="67" t="s">
        <v>78</v>
      </c>
      <c r="C3" s="68" t="s">
        <v>836</v>
      </c>
      <c r="D3" s="67" t="s">
        <v>834</v>
      </c>
      <c r="E3" s="67" t="s">
        <v>842</v>
      </c>
      <c r="F3" s="67" t="s">
        <v>178</v>
      </c>
      <c r="G3" s="213">
        <v>8</v>
      </c>
      <c r="H3" s="214">
        <v>788</v>
      </c>
    </row>
    <row r="4" spans="1:8" ht="19.8" customHeight="1" x14ac:dyDescent="0.3">
      <c r="A4" s="78">
        <v>45983</v>
      </c>
      <c r="B4" s="67" t="s">
        <v>78</v>
      </c>
      <c r="C4" s="68" t="s">
        <v>836</v>
      </c>
      <c r="D4" s="67" t="s">
        <v>834</v>
      </c>
      <c r="E4" s="79">
        <v>1.864583333333333</v>
      </c>
      <c r="F4" s="67" t="s">
        <v>178</v>
      </c>
      <c r="G4" s="213">
        <v>3</v>
      </c>
      <c r="H4" s="214">
        <v>668</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109375" bestFit="1" customWidth="1"/>
  </cols>
  <sheetData>
    <row r="1" spans="1:92" ht="28.8" customHeight="1" x14ac:dyDescent="0.3">
      <c r="A1" s="272" t="s">
        <v>0</v>
      </c>
      <c r="B1" s="261"/>
      <c r="C1" s="261"/>
      <c r="D1" s="261"/>
      <c r="E1" s="261"/>
      <c r="F1" s="1" t="s">
        <v>851</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45980.492474960571</v>
      </c>
      <c r="H2" s="261"/>
      <c r="I2" s="261"/>
      <c r="J2" s="261"/>
      <c r="K2" s="274">
        <v>45980.492474960833</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45982</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58" t="s">
        <v>78</v>
      </c>
      <c r="B6" s="158" t="s">
        <v>852</v>
      </c>
      <c r="C6" s="159">
        <v>0.63541666666666663</v>
      </c>
      <c r="D6" s="158" t="s">
        <v>178</v>
      </c>
      <c r="E6" s="158" t="s">
        <v>499</v>
      </c>
      <c r="F6" s="158" t="s">
        <v>853</v>
      </c>
      <c r="G6" s="266"/>
      <c r="H6" s="24" t="s">
        <v>854</v>
      </c>
      <c r="I6" s="25">
        <v>0.86309999999999998</v>
      </c>
      <c r="J6" s="26">
        <v>145</v>
      </c>
      <c r="K6" s="27">
        <v>45980</v>
      </c>
      <c r="L6" s="26">
        <v>83</v>
      </c>
      <c r="M6" s="26">
        <v>4</v>
      </c>
      <c r="N6" s="26">
        <v>14</v>
      </c>
      <c r="O6" s="28" t="s">
        <v>855</v>
      </c>
      <c r="P6" s="29">
        <v>0.63541666666666663</v>
      </c>
      <c r="Q6" s="26">
        <v>168</v>
      </c>
      <c r="R6" s="30" t="s">
        <v>856</v>
      </c>
    </row>
    <row r="7" spans="1:92" ht="17.399999999999999" customHeight="1" thickBot="1" x14ac:dyDescent="0.35">
      <c r="A7" s="295"/>
      <c r="B7" s="296"/>
      <c r="C7" s="296"/>
      <c r="D7" s="296"/>
      <c r="E7" s="296"/>
      <c r="F7" s="296"/>
      <c r="G7" s="296"/>
      <c r="H7" s="296"/>
      <c r="I7" s="296"/>
      <c r="J7" s="296"/>
      <c r="K7" s="296"/>
      <c r="L7" s="296"/>
      <c r="M7" s="296"/>
      <c r="N7" s="296"/>
      <c r="O7" s="296"/>
      <c r="P7" s="296"/>
      <c r="Q7" s="296"/>
      <c r="R7" s="297"/>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3"/>
  <sheetViews>
    <sheetView workbookViewId="0"/>
  </sheetViews>
  <sheetFormatPr defaultRowHeight="15.6" outlineLevelCol="1" x14ac:dyDescent="0.3"/>
  <cols>
    <col min="1" max="1" width="6.88671875" style="282" bestFit="1" customWidth="1"/>
    <col min="2" max="2" width="10.44140625" style="282" bestFit="1" customWidth="1"/>
    <col min="3" max="3" width="6.77734375" style="282" bestFit="1" customWidth="1"/>
    <col min="4" max="4" width="5.5546875" style="282" bestFit="1" customWidth="1"/>
    <col min="5" max="5" width="7.55468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5" width="3.88671875" style="282" bestFit="1" customWidth="1"/>
    <col min="26" max="26" width="4.109375" style="282" bestFit="1" customWidth="1"/>
    <col min="27" max="27" width="4" style="282" bestFit="1" customWidth="1"/>
    <col min="28" max="28" width="3.88671875" style="282" bestFit="1" customWidth="1"/>
    <col min="29" max="29" width="4.2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393</v>
      </c>
      <c r="B2" s="284">
        <v>45982</v>
      </c>
      <c r="C2" s="285" t="s">
        <v>854</v>
      </c>
      <c r="D2" s="286" t="s">
        <v>824</v>
      </c>
      <c r="E2" s="285" t="s">
        <v>851</v>
      </c>
      <c r="F2" s="285" t="s">
        <v>136</v>
      </c>
      <c r="G2" s="287">
        <v>0.86309999999999998</v>
      </c>
      <c r="H2" s="288">
        <v>168</v>
      </c>
      <c r="I2" s="288">
        <v>145</v>
      </c>
      <c r="J2" s="288">
        <v>0</v>
      </c>
      <c r="K2" s="285" t="s">
        <v>137</v>
      </c>
      <c r="L2" s="289">
        <v>45980</v>
      </c>
      <c r="M2" s="288">
        <v>4</v>
      </c>
      <c r="N2" s="288">
        <v>14</v>
      </c>
      <c r="O2" s="288">
        <v>83</v>
      </c>
      <c r="P2" s="285" t="s">
        <v>855</v>
      </c>
      <c r="Q2" s="281"/>
      <c r="R2" s="281"/>
      <c r="S2" s="281"/>
      <c r="T2" s="281"/>
      <c r="U2" s="281"/>
      <c r="V2" s="281"/>
      <c r="W2" s="288" t="s">
        <v>371</v>
      </c>
      <c r="X2" s="288" t="s">
        <v>857</v>
      </c>
      <c r="Y2" s="288" t="s">
        <v>659</v>
      </c>
      <c r="Z2" s="288" t="s">
        <v>858</v>
      </c>
      <c r="AA2" s="288" t="s">
        <v>566</v>
      </c>
      <c r="AB2" s="288" t="s">
        <v>855</v>
      </c>
      <c r="AC2" s="288" t="s">
        <v>859</v>
      </c>
      <c r="AD2" s="288" t="s">
        <v>860</v>
      </c>
      <c r="AE2" s="288" t="s">
        <v>861</v>
      </c>
      <c r="AF2" s="288" t="s">
        <v>527</v>
      </c>
      <c r="AG2" s="281"/>
      <c r="AH2" s="281"/>
      <c r="AI2" s="281"/>
      <c r="AJ2" s="281"/>
    </row>
    <row r="3" spans="1:36" ht="21" x14ac:dyDescent="0.3">
      <c r="A3" s="290" t="s">
        <v>976</v>
      </c>
      <c r="B3" s="291"/>
      <c r="C3" s="290">
        <f>SUBTOTAL(103,AJF_ATZ_LF_LEGACY[Flt])</f>
        <v>1</v>
      </c>
      <c r="D3" s="290"/>
      <c r="E3" s="290">
        <f>SUBTOTAL(103,AJF_ATZ_LF_LEGACY[Brd-Off])</f>
        <v>1</v>
      </c>
      <c r="F3" s="290"/>
      <c r="G3" s="292">
        <f>SUBTOTAL(101,AJF_ATZ_LF_LEGACY[LF%])</f>
        <v>0.86309999999999998</v>
      </c>
      <c r="H3" s="293">
        <f>SUBTOTAL(109,AJF_ATZ_LF_LEGACY[CAP])</f>
        <v>168</v>
      </c>
      <c r="I3" s="293">
        <f>SUBTOTAL(109,AJF_ATZ_LF_LEGACY[BKG(Y)])</f>
        <v>145</v>
      </c>
      <c r="J3" s="293">
        <f>SUBTOTAL(109,AJF_ATZ_LF_LEGACY[GRP(Y)])</f>
        <v>0</v>
      </c>
      <c r="K3" s="290"/>
      <c r="L3" s="291"/>
      <c r="M3" s="293">
        <f>SUBTOTAL(109,AJF_ATZ_LF_LEGACY[TO-DAY])</f>
        <v>4</v>
      </c>
      <c r="N3" s="293">
        <f>SUBTOTAL(109,AJF_ATZ_LF_LEGACY[Y-DAY])</f>
        <v>14</v>
      </c>
      <c r="O3" s="293">
        <f>SUBTOTAL(109,AJF_ATZ_LF_LEGACY[WEEKLY])</f>
        <v>83</v>
      </c>
      <c r="P3" s="294"/>
      <c r="Q3" s="293">
        <f>SUBTOTAL(109,AJF_ATZ_LF_LEGACY[Y])</f>
        <v>0</v>
      </c>
      <c r="R3" s="293">
        <f>SUBTOTAL(109,AJF_ATZ_LF_LEGACY[B])</f>
        <v>0</v>
      </c>
      <c r="S3" s="293">
        <f>SUBTOTAL(109,AJF_ATZ_LF_LEGACY[M])</f>
        <v>0</v>
      </c>
      <c r="T3" s="293">
        <f>SUBTOTAL(109,AJF_ATZ_LF_LEGACY[H])</f>
        <v>0</v>
      </c>
      <c r="U3" s="293">
        <f>SUBTOTAL(109,AJF_ATZ_LF_LEGACY[Q])</f>
        <v>0</v>
      </c>
      <c r="V3" s="293">
        <f>SUBTOTAL(109,AJF_ATZ_LF_LEGACY[K])</f>
        <v>0</v>
      </c>
      <c r="W3" s="293">
        <f>SUBTOTAL(109,AJF_ATZ_LF_LEGACY[V])</f>
        <v>0</v>
      </c>
      <c r="X3" s="293">
        <f>SUBTOTAL(109,AJF_ATZ_LF_LEGACY[L])</f>
        <v>0</v>
      </c>
      <c r="Y3" s="293">
        <f>SUBTOTAL(109,AJF_ATZ_LF_LEGACY[G])</f>
        <v>0</v>
      </c>
      <c r="Z3" s="293">
        <f>SUBTOTAL(109,AJF_ATZ_LF_LEGACY[S])</f>
        <v>0</v>
      </c>
      <c r="AA3" s="293">
        <f>SUBTOTAL(109,AJF_ATZ_LF_LEGACY[W])</f>
        <v>0</v>
      </c>
      <c r="AB3" s="293">
        <f>SUBTOTAL(109,AJF_ATZ_LF_LEGACY[T])</f>
        <v>0</v>
      </c>
      <c r="AC3" s="293">
        <f>SUBTOTAL(109,AJF_ATZ_LF_LEGACY[X])</f>
        <v>0</v>
      </c>
      <c r="AD3" s="293">
        <f>SUBTOTAL(109,AJF_ATZ_LF_LEGACY[U])</f>
        <v>0</v>
      </c>
      <c r="AE3" s="293">
        <f>SUBTOTAL(109,AJF_ATZ_LF_LEGACY[O])</f>
        <v>0</v>
      </c>
      <c r="AF3" s="293">
        <f>SUBTOTAL(109,AJF_ATZ_LF_LEGACY[I])</f>
        <v>0</v>
      </c>
      <c r="AG3" s="293">
        <f>SUBTOTAL(109,AJF_ATZ_LF_LEGACY[E])</f>
        <v>0</v>
      </c>
      <c r="AH3" s="293">
        <f>SUBTOTAL(109,AJF_ATZ_LF_LEGACY[A])</f>
        <v>0</v>
      </c>
      <c r="AI3" s="293">
        <f>SUBTOTAL(109,AJF_ATZ_LF_LEGACY[P])</f>
        <v>0</v>
      </c>
      <c r="AJ3" s="293">
        <f>SUBTOTAL(103,AJF_ATZ_LF_LEGACY[N])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94.66406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862</v>
      </c>
      <c r="G2" s="102"/>
      <c r="H2" s="104"/>
    </row>
    <row r="3" spans="1:8" ht="19.8" customHeight="1" x14ac:dyDescent="0.3">
      <c r="A3" s="60" t="s">
        <v>162</v>
      </c>
      <c r="B3" s="61" t="s">
        <v>285</v>
      </c>
      <c r="C3" s="62" t="s">
        <v>835</v>
      </c>
      <c r="D3" s="61" t="s">
        <v>834</v>
      </c>
      <c r="E3" s="61" t="s">
        <v>850</v>
      </c>
      <c r="F3" s="61" t="s">
        <v>279</v>
      </c>
      <c r="G3" s="63">
        <v>4</v>
      </c>
      <c r="H3" s="64">
        <v>745</v>
      </c>
    </row>
    <row r="4" spans="1:8" ht="19.8" customHeight="1" x14ac:dyDescent="0.3">
      <c r="A4" s="116" t="s">
        <v>162</v>
      </c>
      <c r="B4" s="73" t="s">
        <v>78</v>
      </c>
      <c r="C4" s="74" t="s">
        <v>836</v>
      </c>
      <c r="D4" s="73" t="s">
        <v>834</v>
      </c>
      <c r="E4" s="73" t="s">
        <v>842</v>
      </c>
      <c r="F4" s="73" t="s">
        <v>178</v>
      </c>
      <c r="G4" s="76">
        <v>8</v>
      </c>
      <c r="H4" s="105">
        <v>788</v>
      </c>
    </row>
    <row r="5" spans="1:8" ht="19.8" customHeight="1" x14ac:dyDescent="0.3">
      <c r="A5" s="66" t="s">
        <v>214</v>
      </c>
      <c r="B5" s="67" t="s">
        <v>78</v>
      </c>
      <c r="C5" s="68" t="s">
        <v>852</v>
      </c>
      <c r="D5" s="67" t="s">
        <v>851</v>
      </c>
      <c r="E5" s="67" t="s">
        <v>824</v>
      </c>
      <c r="F5" s="67" t="s">
        <v>178</v>
      </c>
      <c r="G5" s="213">
        <v>8</v>
      </c>
      <c r="H5" s="214">
        <v>573</v>
      </c>
    </row>
    <row r="6" spans="1:8" ht="19.8" customHeight="1" x14ac:dyDescent="0.3">
      <c r="A6" s="101"/>
      <c r="B6" s="102"/>
      <c r="C6" s="102"/>
      <c r="D6" s="102"/>
      <c r="E6" s="102"/>
      <c r="F6" s="103" t="s">
        <v>862</v>
      </c>
      <c r="G6" s="102"/>
      <c r="H6" s="104"/>
    </row>
    <row r="7" spans="1:8" ht="19.8" customHeight="1" x14ac:dyDescent="0.3">
      <c r="A7" s="72">
        <v>45983</v>
      </c>
      <c r="B7" s="73" t="s">
        <v>78</v>
      </c>
      <c r="C7" s="74" t="s">
        <v>836</v>
      </c>
      <c r="D7" s="73" t="s">
        <v>834</v>
      </c>
      <c r="E7" s="75">
        <v>1.864583333333333</v>
      </c>
      <c r="F7" s="73" t="s">
        <v>178</v>
      </c>
      <c r="G7" s="76">
        <v>3</v>
      </c>
      <c r="H7" s="105">
        <v>668</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88671875" bestFit="1" customWidth="1"/>
  </cols>
  <sheetData>
    <row r="1" spans="1:92" ht="28.8" customHeight="1" x14ac:dyDescent="0.3">
      <c r="A1" s="272" t="s">
        <v>0</v>
      </c>
      <c r="B1" s="261"/>
      <c r="C1" s="261"/>
      <c r="D1" s="261"/>
      <c r="E1" s="261"/>
      <c r="F1" s="1" t="s">
        <v>863</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45980.492476356027</v>
      </c>
      <c r="H2" s="261"/>
      <c r="I2" s="261"/>
      <c r="J2" s="261"/>
      <c r="K2" s="274">
        <v>45980.492476356281</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285</v>
      </c>
      <c r="B6" s="8" t="s">
        <v>864</v>
      </c>
      <c r="C6" s="9">
        <v>0.17708333333333329</v>
      </c>
      <c r="D6" s="8" t="s">
        <v>279</v>
      </c>
      <c r="E6" s="8" t="s">
        <v>179</v>
      </c>
      <c r="F6" s="8" t="s">
        <v>865</v>
      </c>
      <c r="G6" s="266"/>
      <c r="H6" s="10"/>
      <c r="I6" s="11"/>
      <c r="J6" s="11"/>
      <c r="K6" s="11"/>
      <c r="L6" s="11"/>
      <c r="M6" s="11"/>
      <c r="N6" s="11"/>
      <c r="O6" s="12"/>
      <c r="P6" s="11"/>
      <c r="Q6" s="13"/>
      <c r="R6" s="14"/>
    </row>
    <row r="7" spans="1:92" ht="49.95" customHeight="1" x14ac:dyDescent="0.3">
      <c r="A7" s="19" t="s">
        <v>277</v>
      </c>
      <c r="B7" s="19" t="s">
        <v>866</v>
      </c>
      <c r="C7" s="20">
        <v>0.47569444444444442</v>
      </c>
      <c r="D7" s="19" t="s">
        <v>279</v>
      </c>
      <c r="E7" s="19" t="s">
        <v>101</v>
      </c>
      <c r="F7" s="19" t="s">
        <v>281</v>
      </c>
      <c r="G7" s="267"/>
      <c r="H7" s="10"/>
      <c r="I7" s="11"/>
      <c r="J7" s="11"/>
      <c r="K7" s="11"/>
      <c r="L7" s="11"/>
      <c r="M7" s="11"/>
      <c r="N7" s="11"/>
      <c r="O7" s="12"/>
      <c r="P7" s="11"/>
      <c r="Q7" s="13"/>
      <c r="R7" s="14"/>
    </row>
    <row r="8" spans="1:92" ht="49.95" customHeight="1" thickBot="1" x14ac:dyDescent="0.35">
      <c r="A8" s="21" t="s">
        <v>78</v>
      </c>
      <c r="B8" s="21" t="s">
        <v>867</v>
      </c>
      <c r="C8" s="22">
        <v>0.59722222222222221</v>
      </c>
      <c r="D8" s="21" t="s">
        <v>178</v>
      </c>
      <c r="E8" s="21" t="s">
        <v>179</v>
      </c>
      <c r="F8" s="21" t="s">
        <v>868</v>
      </c>
      <c r="G8" s="268"/>
      <c r="H8" s="24" t="s">
        <v>869</v>
      </c>
      <c r="I8" s="25">
        <v>0.98880000000000001</v>
      </c>
      <c r="J8" s="26">
        <v>177</v>
      </c>
      <c r="K8" s="27">
        <v>45980</v>
      </c>
      <c r="L8" s="26">
        <v>34</v>
      </c>
      <c r="M8" s="26">
        <v>2</v>
      </c>
      <c r="N8" s="26">
        <v>0</v>
      </c>
      <c r="O8" s="28" t="s">
        <v>870</v>
      </c>
      <c r="P8" s="29">
        <v>0.59722222222222221</v>
      </c>
      <c r="Q8" s="26">
        <v>179</v>
      </c>
      <c r="R8" s="30" t="s">
        <v>871</v>
      </c>
    </row>
    <row r="9" spans="1:92" ht="17.399999999999999" customHeight="1" thickBot="1" x14ac:dyDescent="0.35">
      <c r="A9" s="295"/>
      <c r="B9" s="296"/>
      <c r="C9" s="296"/>
      <c r="D9" s="296"/>
      <c r="E9" s="296"/>
      <c r="F9" s="296"/>
      <c r="G9" s="296"/>
      <c r="H9" s="296"/>
      <c r="I9" s="296"/>
      <c r="J9" s="296"/>
      <c r="K9" s="296"/>
      <c r="L9" s="296"/>
      <c r="M9" s="296"/>
      <c r="N9" s="296"/>
      <c r="O9" s="296"/>
      <c r="P9" s="296"/>
      <c r="Q9" s="296"/>
      <c r="R9" s="297"/>
    </row>
    <row r="10" spans="1:92" ht="22.05" customHeight="1" thickTop="1" thickBot="1" x14ac:dyDescent="0.35">
      <c r="A10" s="262" t="s">
        <v>6</v>
      </c>
      <c r="B10" s="263"/>
      <c r="C10" s="263"/>
      <c r="D10" s="263"/>
      <c r="E10" s="263"/>
      <c r="F10" s="264"/>
      <c r="G10" s="31">
        <v>45982</v>
      </c>
      <c r="H10" s="270" t="s">
        <v>7</v>
      </c>
      <c r="I10" s="263"/>
      <c r="J10" s="263"/>
      <c r="K10" s="263"/>
      <c r="L10" s="263"/>
      <c r="M10" s="263"/>
      <c r="N10" s="263"/>
      <c r="O10" s="263"/>
      <c r="P10" s="263"/>
      <c r="Q10" s="263"/>
      <c r="R10" s="264"/>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thickTop="1" thickBot="1" x14ac:dyDescent="0.5">
      <c r="A12" s="175" t="s">
        <v>78</v>
      </c>
      <c r="B12" s="175" t="s">
        <v>867</v>
      </c>
      <c r="C12" s="176">
        <v>0.3263888888888889</v>
      </c>
      <c r="D12" s="175" t="s">
        <v>178</v>
      </c>
      <c r="E12" s="175" t="s">
        <v>495</v>
      </c>
      <c r="F12" s="175" t="s">
        <v>868</v>
      </c>
      <c r="G12" s="266"/>
      <c r="H12" s="237" t="s">
        <v>869</v>
      </c>
      <c r="I12" s="238">
        <v>0.94410000000000005</v>
      </c>
      <c r="J12" s="239">
        <v>169</v>
      </c>
      <c r="K12" s="240">
        <v>45980</v>
      </c>
      <c r="L12" s="239">
        <v>31</v>
      </c>
      <c r="M12" s="239">
        <v>2</v>
      </c>
      <c r="N12" s="239">
        <v>1</v>
      </c>
      <c r="O12" s="241" t="s">
        <v>140</v>
      </c>
      <c r="P12" s="242">
        <v>0.3263888888888889</v>
      </c>
      <c r="Q12" s="239">
        <v>179</v>
      </c>
      <c r="R12" s="243" t="s">
        <v>872</v>
      </c>
    </row>
    <row r="13" spans="1:92" ht="17.399999999999999" customHeight="1" thickBot="1" x14ac:dyDescent="0.35">
      <c r="A13" s="295"/>
      <c r="B13" s="296"/>
      <c r="C13" s="296"/>
      <c r="D13" s="296"/>
      <c r="E13" s="296"/>
      <c r="F13" s="296"/>
      <c r="G13" s="296"/>
      <c r="H13" s="296"/>
      <c r="I13" s="296"/>
      <c r="J13" s="296"/>
      <c r="K13" s="296"/>
      <c r="L13" s="296"/>
      <c r="M13" s="296"/>
      <c r="N13" s="296"/>
      <c r="O13" s="296"/>
      <c r="P13" s="296"/>
      <c r="Q13" s="296"/>
      <c r="R13" s="297"/>
    </row>
    <row r="14" spans="1:92" ht="22.05" customHeight="1" thickTop="1" thickBot="1" x14ac:dyDescent="0.35">
      <c r="A14" s="262" t="s">
        <v>6</v>
      </c>
      <c r="B14" s="263"/>
      <c r="C14" s="263"/>
      <c r="D14" s="263"/>
      <c r="E14" s="263"/>
      <c r="F14" s="264"/>
      <c r="G14" s="31">
        <v>45983</v>
      </c>
      <c r="H14" s="270" t="s">
        <v>7</v>
      </c>
      <c r="I14" s="263"/>
      <c r="J14" s="263"/>
      <c r="K14" s="263"/>
      <c r="L14" s="263"/>
      <c r="M14" s="263"/>
      <c r="N14" s="263"/>
      <c r="O14" s="263"/>
      <c r="P14" s="263"/>
      <c r="Q14" s="263"/>
      <c r="R14" s="264"/>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45">
      <c r="A16" s="80" t="s">
        <v>78</v>
      </c>
      <c r="B16" s="80" t="s">
        <v>867</v>
      </c>
      <c r="C16" s="81">
        <v>0.28472222222222221</v>
      </c>
      <c r="D16" s="80" t="s">
        <v>178</v>
      </c>
      <c r="E16" s="80" t="s">
        <v>101</v>
      </c>
      <c r="F16" s="80" t="s">
        <v>873</v>
      </c>
      <c r="G16" s="266"/>
      <c r="H16" s="244" t="s">
        <v>869</v>
      </c>
      <c r="I16" s="245">
        <v>0.93300000000000005</v>
      </c>
      <c r="J16" s="246">
        <v>167</v>
      </c>
      <c r="K16" s="247">
        <v>45979</v>
      </c>
      <c r="L16" s="246">
        <v>32</v>
      </c>
      <c r="M16" s="246">
        <v>0</v>
      </c>
      <c r="N16" s="246">
        <v>5</v>
      </c>
      <c r="O16" s="248" t="s">
        <v>555</v>
      </c>
      <c r="P16" s="249">
        <v>0.28472222222222221</v>
      </c>
      <c r="Q16" s="246">
        <v>179</v>
      </c>
      <c r="R16" s="250" t="s">
        <v>874</v>
      </c>
    </row>
  </sheetData>
  <mergeCells count="18">
    <mergeCell ref="G16"/>
    <mergeCell ref="H4:R4"/>
    <mergeCell ref="H14:R14"/>
    <mergeCell ref="N1:R1"/>
    <mergeCell ref="H1:L1"/>
    <mergeCell ref="A1:E1"/>
    <mergeCell ref="G2:J2"/>
    <mergeCell ref="K2:R2"/>
    <mergeCell ref="A4:F4"/>
    <mergeCell ref="A2:F2"/>
    <mergeCell ref="A3:R3"/>
    <mergeCell ref="A10:F10"/>
    <mergeCell ref="A9:R9"/>
    <mergeCell ref="A14:F14"/>
    <mergeCell ref="G12"/>
    <mergeCell ref="A13:R13"/>
    <mergeCell ref="H10:R10"/>
    <mergeCell ref="G6:G8"/>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5"/>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8.1093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4" width="3.88671875" style="282" bestFit="1" customWidth="1"/>
    <col min="25" max="25" width="4.44140625" style="282" bestFit="1" customWidth="1"/>
    <col min="26" max="26" width="4.109375" style="282" bestFit="1" customWidth="1"/>
    <col min="27" max="27" width="5" style="282" bestFit="1" customWidth="1"/>
    <col min="28" max="29" width="4.21875" style="282" bestFit="1" customWidth="1"/>
    <col min="30" max="31" width="4.5546875" style="282" bestFit="1" customWidth="1"/>
    <col min="32" max="34" width="3.88671875" style="282" bestFit="1" customWidth="1"/>
    <col min="35" max="35" width="4.21875" style="282" bestFit="1" customWidth="1"/>
    <col min="36"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869</v>
      </c>
      <c r="D2" s="286" t="s">
        <v>875</v>
      </c>
      <c r="E2" s="285" t="s">
        <v>863</v>
      </c>
      <c r="F2" s="285" t="s">
        <v>136</v>
      </c>
      <c r="G2" s="287">
        <v>0.98880000000000001</v>
      </c>
      <c r="H2" s="288">
        <v>179</v>
      </c>
      <c r="I2" s="288">
        <v>177</v>
      </c>
      <c r="J2" s="288">
        <v>0</v>
      </c>
      <c r="K2" s="285" t="s">
        <v>137</v>
      </c>
      <c r="L2" s="289">
        <v>45980</v>
      </c>
      <c r="M2" s="288">
        <v>2</v>
      </c>
      <c r="N2" s="288">
        <v>0</v>
      </c>
      <c r="O2" s="288">
        <v>34</v>
      </c>
      <c r="P2" s="285" t="s">
        <v>870</v>
      </c>
      <c r="Q2" s="281"/>
      <c r="R2" s="281"/>
      <c r="S2" s="281"/>
      <c r="T2" s="281"/>
      <c r="U2" s="281"/>
      <c r="V2" s="281"/>
      <c r="W2" s="288" t="s">
        <v>357</v>
      </c>
      <c r="X2" s="281"/>
      <c r="Y2" s="288" t="s">
        <v>686</v>
      </c>
      <c r="Z2" s="288" t="s">
        <v>367</v>
      </c>
      <c r="AA2" s="288" t="s">
        <v>876</v>
      </c>
      <c r="AB2" s="288" t="s">
        <v>877</v>
      </c>
      <c r="AC2" s="288" t="s">
        <v>699</v>
      </c>
      <c r="AD2" s="288" t="s">
        <v>419</v>
      </c>
      <c r="AE2" s="288" t="s">
        <v>195</v>
      </c>
      <c r="AF2" s="288" t="s">
        <v>212</v>
      </c>
      <c r="AG2" s="281"/>
      <c r="AH2" s="281"/>
      <c r="AI2" s="281"/>
      <c r="AJ2" s="281"/>
    </row>
    <row r="3" spans="1:36" x14ac:dyDescent="0.3">
      <c r="A3" s="283" t="s">
        <v>393</v>
      </c>
      <c r="B3" s="284">
        <v>45982</v>
      </c>
      <c r="C3" s="285" t="s">
        <v>869</v>
      </c>
      <c r="D3" s="286" t="s">
        <v>878</v>
      </c>
      <c r="E3" s="285" t="s">
        <v>863</v>
      </c>
      <c r="F3" s="285" t="s">
        <v>136</v>
      </c>
      <c r="G3" s="287">
        <v>0.94410000000000005</v>
      </c>
      <c r="H3" s="288">
        <v>179</v>
      </c>
      <c r="I3" s="288">
        <v>169</v>
      </c>
      <c r="J3" s="288">
        <v>0</v>
      </c>
      <c r="K3" s="285" t="s">
        <v>137</v>
      </c>
      <c r="L3" s="289">
        <v>45980</v>
      </c>
      <c r="M3" s="288">
        <v>2</v>
      </c>
      <c r="N3" s="288">
        <v>1</v>
      </c>
      <c r="O3" s="288">
        <v>31</v>
      </c>
      <c r="P3" s="285" t="s">
        <v>140</v>
      </c>
      <c r="Q3" s="281"/>
      <c r="R3" s="281"/>
      <c r="S3" s="281"/>
      <c r="T3" s="281"/>
      <c r="U3" s="281"/>
      <c r="V3" s="281"/>
      <c r="W3" s="281"/>
      <c r="X3" s="281"/>
      <c r="Y3" s="288" t="s">
        <v>255</v>
      </c>
      <c r="Z3" s="288" t="s">
        <v>879</v>
      </c>
      <c r="AA3" s="288" t="s">
        <v>880</v>
      </c>
      <c r="AB3" s="288" t="s">
        <v>143</v>
      </c>
      <c r="AC3" s="288" t="s">
        <v>881</v>
      </c>
      <c r="AD3" s="288" t="s">
        <v>860</v>
      </c>
      <c r="AE3" s="288" t="s">
        <v>195</v>
      </c>
      <c r="AF3" s="288" t="s">
        <v>196</v>
      </c>
      <c r="AG3" s="281"/>
      <c r="AH3" s="281"/>
      <c r="AI3" s="281"/>
      <c r="AJ3" s="281"/>
    </row>
    <row r="4" spans="1:36" x14ac:dyDescent="0.3">
      <c r="A4" s="283" t="s">
        <v>150</v>
      </c>
      <c r="B4" s="284">
        <v>45983</v>
      </c>
      <c r="C4" s="285" t="s">
        <v>869</v>
      </c>
      <c r="D4" s="286" t="s">
        <v>775</v>
      </c>
      <c r="E4" s="285" t="s">
        <v>863</v>
      </c>
      <c r="F4" s="285" t="s">
        <v>136</v>
      </c>
      <c r="G4" s="287">
        <v>0.93300000000000005</v>
      </c>
      <c r="H4" s="288">
        <v>179</v>
      </c>
      <c r="I4" s="288">
        <v>167</v>
      </c>
      <c r="J4" s="288">
        <v>72</v>
      </c>
      <c r="K4" s="285" t="s">
        <v>137</v>
      </c>
      <c r="L4" s="289">
        <v>45979</v>
      </c>
      <c r="M4" s="288">
        <v>0</v>
      </c>
      <c r="N4" s="288">
        <v>5</v>
      </c>
      <c r="O4" s="288">
        <v>32</v>
      </c>
      <c r="P4" s="285" t="s">
        <v>555</v>
      </c>
      <c r="Q4" s="281"/>
      <c r="R4" s="281"/>
      <c r="S4" s="281"/>
      <c r="T4" s="281"/>
      <c r="U4" s="281"/>
      <c r="V4" s="281"/>
      <c r="W4" s="281"/>
      <c r="X4" s="281"/>
      <c r="Y4" s="288" t="s">
        <v>691</v>
      </c>
      <c r="Z4" s="288" t="s">
        <v>692</v>
      </c>
      <c r="AA4" s="288" t="s">
        <v>882</v>
      </c>
      <c r="AB4" s="288" t="s">
        <v>143</v>
      </c>
      <c r="AC4" s="288" t="s">
        <v>418</v>
      </c>
      <c r="AD4" s="288" t="s">
        <v>883</v>
      </c>
      <c r="AE4" s="281"/>
      <c r="AF4" s="281"/>
      <c r="AG4" s="281"/>
      <c r="AH4" s="281"/>
      <c r="AI4" s="288" t="s">
        <v>884</v>
      </c>
      <c r="AJ4" s="281"/>
    </row>
    <row r="5" spans="1:36" ht="21" x14ac:dyDescent="0.3">
      <c r="A5" s="290" t="s">
        <v>976</v>
      </c>
      <c r="B5" s="291"/>
      <c r="C5" s="290">
        <f>SUBTOTAL(103,YNB_CAI_LF_LEGACY[Flt])</f>
        <v>3</v>
      </c>
      <c r="D5" s="290"/>
      <c r="E5" s="290">
        <f>SUBTOTAL(103,YNB_CAI_LF_LEGACY[Brd-Off])</f>
        <v>3</v>
      </c>
      <c r="F5" s="290"/>
      <c r="G5" s="292">
        <f>SUBTOTAL(101,YNB_CAI_LF_LEGACY[LF%])</f>
        <v>0.95529999999999993</v>
      </c>
      <c r="H5" s="293">
        <f>SUBTOTAL(109,YNB_CAI_LF_LEGACY[CAP])</f>
        <v>537</v>
      </c>
      <c r="I5" s="293">
        <f>SUBTOTAL(109,YNB_CAI_LF_LEGACY[BKG(Y)])</f>
        <v>513</v>
      </c>
      <c r="J5" s="293">
        <f>SUBTOTAL(109,YNB_CAI_LF_LEGACY[GRP(Y)])</f>
        <v>72</v>
      </c>
      <c r="K5" s="290"/>
      <c r="L5" s="291"/>
      <c r="M5" s="293">
        <f>SUBTOTAL(109,YNB_CAI_LF_LEGACY[TO-DAY])</f>
        <v>4</v>
      </c>
      <c r="N5" s="293">
        <f>SUBTOTAL(109,YNB_CAI_LF_LEGACY[Y-DAY])</f>
        <v>6</v>
      </c>
      <c r="O5" s="293">
        <f>SUBTOTAL(109,YNB_CAI_LF_LEGACY[WEEKLY])</f>
        <v>97</v>
      </c>
      <c r="P5" s="294"/>
      <c r="Q5" s="293">
        <f>SUBTOTAL(109,YNB_CAI_LF_LEGACY[Y])</f>
        <v>0</v>
      </c>
      <c r="R5" s="293">
        <f>SUBTOTAL(109,YNB_CAI_LF_LEGACY[B])</f>
        <v>0</v>
      </c>
      <c r="S5" s="293">
        <f>SUBTOTAL(109,YNB_CAI_LF_LEGACY[M])</f>
        <v>0</v>
      </c>
      <c r="T5" s="293">
        <f>SUBTOTAL(109,YNB_CAI_LF_LEGACY[H])</f>
        <v>0</v>
      </c>
      <c r="U5" s="293">
        <f>SUBTOTAL(109,YNB_CAI_LF_LEGACY[Q])</f>
        <v>0</v>
      </c>
      <c r="V5" s="293">
        <f>SUBTOTAL(109,YNB_CAI_LF_LEGACY[K])</f>
        <v>0</v>
      </c>
      <c r="W5" s="293">
        <f>SUBTOTAL(109,YNB_CAI_LF_LEGACY[V])</f>
        <v>0</v>
      </c>
      <c r="X5" s="293">
        <f>SUBTOTAL(109,YNB_CAI_LF_LEGACY[L])</f>
        <v>0</v>
      </c>
      <c r="Y5" s="293">
        <f>SUBTOTAL(109,YNB_CAI_LF_LEGACY[G])</f>
        <v>0</v>
      </c>
      <c r="Z5" s="293">
        <f>SUBTOTAL(109,YNB_CAI_LF_LEGACY[S])</f>
        <v>0</v>
      </c>
      <c r="AA5" s="293">
        <f>SUBTOTAL(109,YNB_CAI_LF_LEGACY[W])</f>
        <v>0</v>
      </c>
      <c r="AB5" s="293">
        <f>SUBTOTAL(109,YNB_CAI_LF_LEGACY[T])</f>
        <v>0</v>
      </c>
      <c r="AC5" s="293">
        <f>SUBTOTAL(109,YNB_CAI_LF_LEGACY[X])</f>
        <v>0</v>
      </c>
      <c r="AD5" s="293">
        <f>SUBTOTAL(109,YNB_CAI_LF_LEGACY[U])</f>
        <v>0</v>
      </c>
      <c r="AE5" s="293">
        <f>SUBTOTAL(109,YNB_CAI_LF_LEGACY[O])</f>
        <v>0</v>
      </c>
      <c r="AF5" s="293">
        <f>SUBTOTAL(109,YNB_CAI_LF_LEGACY[I])</f>
        <v>0</v>
      </c>
      <c r="AG5" s="293">
        <f>SUBTOTAL(109,YNB_CAI_LF_LEGACY[E])</f>
        <v>0</v>
      </c>
      <c r="AH5" s="293">
        <f>SUBTOTAL(109,YNB_CAI_LF_LEGACY[A])</f>
        <v>0</v>
      </c>
      <c r="AI5" s="293">
        <f>SUBTOTAL(109,YNB_CAI_LF_LEGACY[P])</f>
        <v>0</v>
      </c>
      <c r="AJ5" s="293">
        <f>SUBTOTAL(103,YNB_CAI_LF_LEGACY[N])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6"/>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5.5546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285</v>
      </c>
      <c r="C2" s="62" t="s">
        <v>864</v>
      </c>
      <c r="D2" s="61" t="s">
        <v>863</v>
      </c>
      <c r="E2" s="61" t="s">
        <v>885</v>
      </c>
      <c r="F2" s="61" t="s">
        <v>279</v>
      </c>
      <c r="G2" s="63">
        <v>2</v>
      </c>
      <c r="H2" s="64">
        <v>571</v>
      </c>
    </row>
    <row r="3" spans="1:8" ht="19.8" customHeight="1" x14ac:dyDescent="0.3">
      <c r="A3" s="60" t="s">
        <v>162</v>
      </c>
      <c r="B3" s="61" t="s">
        <v>277</v>
      </c>
      <c r="C3" s="62" t="s">
        <v>866</v>
      </c>
      <c r="D3" s="61" t="s">
        <v>863</v>
      </c>
      <c r="E3" s="61" t="s">
        <v>886</v>
      </c>
      <c r="F3" s="61" t="s">
        <v>279</v>
      </c>
      <c r="G3" s="63">
        <v>1</v>
      </c>
      <c r="H3" s="64">
        <v>745</v>
      </c>
    </row>
    <row r="4" spans="1:8" ht="19.8" customHeight="1" x14ac:dyDescent="0.3">
      <c r="A4" s="66" t="s">
        <v>162</v>
      </c>
      <c r="B4" s="67" t="s">
        <v>78</v>
      </c>
      <c r="C4" s="68" t="s">
        <v>867</v>
      </c>
      <c r="D4" s="67" t="s">
        <v>863</v>
      </c>
      <c r="E4" s="67" t="s">
        <v>875</v>
      </c>
      <c r="F4" s="67" t="s">
        <v>178</v>
      </c>
      <c r="G4" s="213">
        <v>2</v>
      </c>
      <c r="H4" s="214">
        <v>868</v>
      </c>
    </row>
    <row r="5" spans="1:8" ht="19.8" customHeight="1" x14ac:dyDescent="0.3">
      <c r="A5" s="78">
        <v>45982</v>
      </c>
      <c r="B5" s="67" t="s">
        <v>78</v>
      </c>
      <c r="C5" s="68" t="s">
        <v>867</v>
      </c>
      <c r="D5" s="67" t="s">
        <v>863</v>
      </c>
      <c r="E5" s="79">
        <v>1.3263888888888891</v>
      </c>
      <c r="F5" s="67" t="s">
        <v>178</v>
      </c>
      <c r="G5" s="213">
        <v>6</v>
      </c>
      <c r="H5" s="214">
        <v>868</v>
      </c>
    </row>
    <row r="6" spans="1:8" ht="19.8" customHeight="1" x14ac:dyDescent="0.3">
      <c r="A6" s="78">
        <v>45983</v>
      </c>
      <c r="B6" s="67" t="s">
        <v>78</v>
      </c>
      <c r="C6" s="68" t="s">
        <v>867</v>
      </c>
      <c r="D6" s="67" t="s">
        <v>863</v>
      </c>
      <c r="E6" s="79">
        <v>1.2847222222222221</v>
      </c>
      <c r="F6" s="67" t="s">
        <v>178</v>
      </c>
      <c r="G6" s="213">
        <v>1</v>
      </c>
      <c r="H6" s="214">
        <v>748</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5.5546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6" t="s">
        <v>162</v>
      </c>
      <c r="B2" s="67" t="s">
        <v>78</v>
      </c>
      <c r="C2" s="68" t="s">
        <v>867</v>
      </c>
      <c r="D2" s="67" t="s">
        <v>863</v>
      </c>
      <c r="E2" s="67" t="s">
        <v>875</v>
      </c>
      <c r="F2" s="67" t="s">
        <v>178</v>
      </c>
      <c r="G2" s="213">
        <v>2</v>
      </c>
      <c r="H2" s="214">
        <v>868</v>
      </c>
    </row>
    <row r="3" spans="1:8" ht="19.8" customHeight="1" x14ac:dyDescent="0.3">
      <c r="A3" s="78">
        <v>45982</v>
      </c>
      <c r="B3" s="67" t="s">
        <v>78</v>
      </c>
      <c r="C3" s="68" t="s">
        <v>867</v>
      </c>
      <c r="D3" s="67" t="s">
        <v>863</v>
      </c>
      <c r="E3" s="79">
        <v>1.3263888888888891</v>
      </c>
      <c r="F3" s="67" t="s">
        <v>178</v>
      </c>
      <c r="G3" s="213">
        <v>6</v>
      </c>
      <c r="H3" s="214">
        <v>868</v>
      </c>
    </row>
    <row r="4" spans="1:8" ht="19.8" customHeight="1" x14ac:dyDescent="0.3">
      <c r="A4" s="78">
        <v>45983</v>
      </c>
      <c r="B4" s="67" t="s">
        <v>78</v>
      </c>
      <c r="C4" s="68" t="s">
        <v>867</v>
      </c>
      <c r="D4" s="67" t="s">
        <v>863</v>
      </c>
      <c r="E4" s="79">
        <v>1.2847222222222221</v>
      </c>
      <c r="F4" s="67" t="s">
        <v>178</v>
      </c>
      <c r="G4" s="213">
        <v>1</v>
      </c>
      <c r="H4" s="214">
        <v>748</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3.88671875" bestFit="1" customWidth="1"/>
  </cols>
  <sheetData>
    <row r="1" spans="1:92" ht="28.8" customHeight="1" x14ac:dyDescent="0.3">
      <c r="A1" s="272" t="s">
        <v>0</v>
      </c>
      <c r="B1" s="261"/>
      <c r="C1" s="261"/>
      <c r="D1" s="261"/>
      <c r="E1" s="261"/>
      <c r="F1" s="1" t="s">
        <v>887</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45980.492478888023</v>
      </c>
      <c r="H2" s="261"/>
      <c r="I2" s="261"/>
      <c r="J2" s="261"/>
      <c r="K2" s="274">
        <v>45980.492478888278</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80" t="s">
        <v>78</v>
      </c>
      <c r="B6" s="80" t="s">
        <v>888</v>
      </c>
      <c r="C6" s="81">
        <v>4.5138888888888888E-2</v>
      </c>
      <c r="D6" s="80" t="s">
        <v>178</v>
      </c>
      <c r="E6" s="80" t="s">
        <v>52</v>
      </c>
      <c r="F6" s="80" t="s">
        <v>889</v>
      </c>
      <c r="G6" s="266"/>
      <c r="H6" s="244" t="s">
        <v>890</v>
      </c>
      <c r="I6" s="251">
        <v>0.61309999999999998</v>
      </c>
      <c r="J6" s="246">
        <v>103</v>
      </c>
      <c r="K6" s="247">
        <v>45980</v>
      </c>
      <c r="L6" s="246">
        <v>49</v>
      </c>
      <c r="M6" s="246">
        <v>7</v>
      </c>
      <c r="N6" s="246">
        <v>8</v>
      </c>
      <c r="O6" s="248" t="s">
        <v>891</v>
      </c>
      <c r="P6" s="249">
        <v>4.5138888888888888E-2</v>
      </c>
      <c r="Q6" s="246">
        <v>168</v>
      </c>
      <c r="R6" s="250" t="s">
        <v>892</v>
      </c>
    </row>
    <row r="7" spans="1:92" ht="17.399999999999999" customHeight="1" thickBot="1" x14ac:dyDescent="0.35">
      <c r="A7" s="295"/>
      <c r="B7" s="296"/>
      <c r="C7" s="296"/>
      <c r="D7" s="296"/>
      <c r="E7" s="296"/>
      <c r="F7" s="296"/>
      <c r="G7" s="296"/>
      <c r="H7" s="296"/>
      <c r="I7" s="296"/>
      <c r="J7" s="296"/>
      <c r="K7" s="296"/>
      <c r="L7" s="296"/>
      <c r="M7" s="296"/>
      <c r="N7" s="296"/>
      <c r="O7" s="296"/>
      <c r="P7" s="296"/>
      <c r="Q7" s="296"/>
      <c r="R7" s="297"/>
    </row>
    <row r="8" spans="1:92" ht="22.05" customHeight="1" thickTop="1" thickBot="1" x14ac:dyDescent="0.35">
      <c r="A8" s="262" t="s">
        <v>6</v>
      </c>
      <c r="B8" s="263"/>
      <c r="C8" s="263"/>
      <c r="D8" s="263"/>
      <c r="E8" s="263"/>
      <c r="F8" s="264"/>
      <c r="G8" s="31">
        <v>45982</v>
      </c>
      <c r="H8" s="270" t="s">
        <v>7</v>
      </c>
      <c r="I8" s="263"/>
      <c r="J8" s="263"/>
      <c r="K8" s="263"/>
      <c r="L8" s="263"/>
      <c r="M8" s="263"/>
      <c r="N8" s="263"/>
      <c r="O8" s="263"/>
      <c r="P8" s="263"/>
      <c r="Q8" s="263"/>
      <c r="R8" s="264"/>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8" t="s">
        <v>285</v>
      </c>
      <c r="B10" s="8" t="s">
        <v>893</v>
      </c>
      <c r="C10" s="9">
        <v>0.1145833333333333</v>
      </c>
      <c r="D10" s="8" t="s">
        <v>279</v>
      </c>
      <c r="E10" s="8" t="s">
        <v>52</v>
      </c>
      <c r="F10" s="8" t="s">
        <v>894</v>
      </c>
      <c r="G10" s="266"/>
      <c r="H10" s="10"/>
      <c r="I10" s="11"/>
      <c r="J10" s="11"/>
      <c r="K10" s="11"/>
      <c r="L10" s="11"/>
      <c r="M10" s="11"/>
      <c r="N10" s="11"/>
      <c r="O10" s="12"/>
      <c r="P10" s="11"/>
      <c r="Q10" s="13"/>
      <c r="R10" s="14"/>
    </row>
    <row r="11" spans="1:92" ht="49.95" customHeight="1" thickTop="1" thickBot="1" x14ac:dyDescent="0.35">
      <c r="A11" s="21" t="s">
        <v>78</v>
      </c>
      <c r="B11" s="21" t="s">
        <v>895</v>
      </c>
      <c r="C11" s="22">
        <v>3.472222222222222E-3</v>
      </c>
      <c r="D11" s="21" t="s">
        <v>178</v>
      </c>
      <c r="E11" s="21" t="s">
        <v>52</v>
      </c>
      <c r="F11" s="21" t="s">
        <v>889</v>
      </c>
      <c r="G11" s="268"/>
      <c r="H11" s="24" t="s">
        <v>896</v>
      </c>
      <c r="I11" s="252">
        <v>0.65480000000000005</v>
      </c>
      <c r="J11" s="26">
        <v>110</v>
      </c>
      <c r="K11" s="27">
        <v>45980</v>
      </c>
      <c r="L11" s="26">
        <v>28</v>
      </c>
      <c r="M11" s="26">
        <v>2</v>
      </c>
      <c r="N11" s="26">
        <v>5</v>
      </c>
      <c r="O11" s="28" t="s">
        <v>891</v>
      </c>
      <c r="P11" s="29">
        <v>3.472222222222222E-3</v>
      </c>
      <c r="Q11" s="26">
        <v>168</v>
      </c>
      <c r="R11" s="30" t="s">
        <v>897</v>
      </c>
    </row>
    <row r="12" spans="1:92" ht="17.399999999999999" customHeight="1" thickBot="1" x14ac:dyDescent="0.35">
      <c r="A12" s="295"/>
      <c r="B12" s="296"/>
      <c r="C12" s="296"/>
      <c r="D12" s="296"/>
      <c r="E12" s="296"/>
      <c r="F12" s="296"/>
      <c r="G12" s="296"/>
      <c r="H12" s="296"/>
      <c r="I12" s="296"/>
      <c r="J12" s="296"/>
      <c r="K12" s="296"/>
      <c r="L12" s="296"/>
      <c r="M12" s="296"/>
      <c r="N12" s="296"/>
      <c r="O12" s="296"/>
      <c r="P12" s="296"/>
      <c r="Q12" s="296"/>
      <c r="R12" s="297"/>
    </row>
    <row r="13" spans="1:92" ht="22.05" customHeight="1" thickTop="1" thickBot="1" x14ac:dyDescent="0.35">
      <c r="A13" s="262" t="s">
        <v>6</v>
      </c>
      <c r="B13" s="263"/>
      <c r="C13" s="263"/>
      <c r="D13" s="263"/>
      <c r="E13" s="263"/>
      <c r="F13" s="264"/>
      <c r="G13" s="31">
        <v>45983</v>
      </c>
      <c r="H13" s="270" t="s">
        <v>7</v>
      </c>
      <c r="I13" s="263"/>
      <c r="J13" s="263"/>
      <c r="K13" s="263"/>
      <c r="L13" s="263"/>
      <c r="M13" s="263"/>
      <c r="N13" s="263"/>
      <c r="O13" s="263"/>
      <c r="P13" s="263"/>
      <c r="Q13" s="263"/>
      <c r="R13" s="264"/>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45">
      <c r="A15" s="253" t="s">
        <v>285</v>
      </c>
      <c r="B15" s="253" t="s">
        <v>898</v>
      </c>
      <c r="C15" s="254">
        <v>0.19791666666666671</v>
      </c>
      <c r="D15" s="253" t="s">
        <v>279</v>
      </c>
      <c r="E15" s="253" t="s">
        <v>101</v>
      </c>
      <c r="F15" s="253" t="s">
        <v>899</v>
      </c>
      <c r="G15" s="266"/>
      <c r="H15" s="41"/>
      <c r="I15" s="42"/>
      <c r="J15" s="42"/>
      <c r="K15" s="42"/>
      <c r="L15" s="42"/>
      <c r="M15" s="42"/>
      <c r="N15" s="42"/>
      <c r="O15" s="43"/>
      <c r="P15" s="42"/>
      <c r="Q15" s="44"/>
      <c r="R15" s="45"/>
    </row>
  </sheetData>
  <mergeCells count="18">
    <mergeCell ref="G15"/>
    <mergeCell ref="G10:G11"/>
    <mergeCell ref="H4:R4"/>
    <mergeCell ref="G6"/>
    <mergeCell ref="A12:R12"/>
    <mergeCell ref="H1:L1"/>
    <mergeCell ref="A1:E1"/>
    <mergeCell ref="G2:J2"/>
    <mergeCell ref="K2:R2"/>
    <mergeCell ref="A4:F4"/>
    <mergeCell ref="N1:R1"/>
    <mergeCell ref="A2:F2"/>
    <mergeCell ref="A3:R3"/>
    <mergeCell ref="H8:R8"/>
    <mergeCell ref="A7:R7"/>
    <mergeCell ref="A13:F13"/>
    <mergeCell ref="H13:R13"/>
    <mergeCell ref="A8:F8"/>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4"/>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8.1093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0" width="3.88671875" style="282" bestFit="1" customWidth="1"/>
    <col min="21" max="21" width="4.5546875" style="282" bestFit="1" customWidth="1"/>
    <col min="22" max="22" width="4.21875" style="282" bestFit="1" customWidth="1"/>
    <col min="23" max="23" width="4.33203125" style="282" bestFit="1" customWidth="1"/>
    <col min="24" max="24" width="4.109375" style="282" bestFit="1" customWidth="1"/>
    <col min="25" max="26" width="3.88671875" style="282" bestFit="1" customWidth="1"/>
    <col min="27" max="27" width="4" style="282" bestFit="1" customWidth="1"/>
    <col min="28"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890</v>
      </c>
      <c r="D2" s="286" t="s">
        <v>900</v>
      </c>
      <c r="E2" s="285" t="s">
        <v>887</v>
      </c>
      <c r="F2" s="285" t="s">
        <v>136</v>
      </c>
      <c r="G2" s="287">
        <v>0.61309999999999998</v>
      </c>
      <c r="H2" s="288">
        <v>168</v>
      </c>
      <c r="I2" s="288">
        <v>103</v>
      </c>
      <c r="J2" s="288">
        <v>0</v>
      </c>
      <c r="K2" s="285" t="s">
        <v>137</v>
      </c>
      <c r="L2" s="289">
        <v>45980</v>
      </c>
      <c r="M2" s="288">
        <v>7</v>
      </c>
      <c r="N2" s="288">
        <v>8</v>
      </c>
      <c r="O2" s="288">
        <v>49</v>
      </c>
      <c r="P2" s="285" t="s">
        <v>891</v>
      </c>
      <c r="Q2" s="281"/>
      <c r="R2" s="281"/>
      <c r="S2" s="281"/>
      <c r="T2" s="281"/>
      <c r="U2" s="288" t="s">
        <v>901</v>
      </c>
      <c r="V2" s="288" t="s">
        <v>902</v>
      </c>
      <c r="W2" s="288" t="s">
        <v>412</v>
      </c>
      <c r="X2" s="288" t="s">
        <v>903</v>
      </c>
      <c r="Y2" s="288" t="s">
        <v>265</v>
      </c>
      <c r="Z2" s="288" t="s">
        <v>250</v>
      </c>
      <c r="AA2" s="288" t="s">
        <v>556</v>
      </c>
      <c r="AB2" s="281"/>
      <c r="AC2" s="281"/>
      <c r="AD2" s="281"/>
      <c r="AE2" s="281"/>
      <c r="AF2" s="281"/>
      <c r="AG2" s="281"/>
      <c r="AH2" s="281"/>
      <c r="AI2" s="281"/>
      <c r="AJ2" s="281"/>
    </row>
    <row r="3" spans="1:36" x14ac:dyDescent="0.3">
      <c r="A3" s="283" t="s">
        <v>393</v>
      </c>
      <c r="B3" s="284">
        <v>45982</v>
      </c>
      <c r="C3" s="285" t="s">
        <v>896</v>
      </c>
      <c r="D3" s="286" t="s">
        <v>904</v>
      </c>
      <c r="E3" s="285" t="s">
        <v>887</v>
      </c>
      <c r="F3" s="285" t="s">
        <v>136</v>
      </c>
      <c r="G3" s="287">
        <v>0.65480000000000005</v>
      </c>
      <c r="H3" s="288">
        <v>168</v>
      </c>
      <c r="I3" s="288">
        <v>110</v>
      </c>
      <c r="J3" s="288">
        <v>0</v>
      </c>
      <c r="K3" s="285" t="s">
        <v>137</v>
      </c>
      <c r="L3" s="289">
        <v>45980</v>
      </c>
      <c r="M3" s="288">
        <v>2</v>
      </c>
      <c r="N3" s="288">
        <v>5</v>
      </c>
      <c r="O3" s="288">
        <v>28</v>
      </c>
      <c r="P3" s="285" t="s">
        <v>891</v>
      </c>
      <c r="Q3" s="281"/>
      <c r="R3" s="281"/>
      <c r="S3" s="281"/>
      <c r="T3" s="281"/>
      <c r="U3" s="288" t="s">
        <v>905</v>
      </c>
      <c r="V3" s="288" t="s">
        <v>906</v>
      </c>
      <c r="W3" s="288" t="s">
        <v>907</v>
      </c>
      <c r="X3" s="288" t="s">
        <v>857</v>
      </c>
      <c r="Y3" s="288" t="s">
        <v>659</v>
      </c>
      <c r="Z3" s="288" t="s">
        <v>555</v>
      </c>
      <c r="AA3" s="288" t="s">
        <v>142</v>
      </c>
      <c r="AB3" s="281"/>
      <c r="AC3" s="281"/>
      <c r="AD3" s="281"/>
      <c r="AE3" s="281"/>
      <c r="AF3" s="281"/>
      <c r="AG3" s="281"/>
      <c r="AH3" s="281"/>
      <c r="AI3" s="281"/>
      <c r="AJ3" s="281"/>
    </row>
    <row r="4" spans="1:36" ht="21" x14ac:dyDescent="0.3">
      <c r="A4" s="290" t="s">
        <v>976</v>
      </c>
      <c r="B4" s="291"/>
      <c r="C4" s="290">
        <f>SUBTOTAL(103,AHB_CAI_LF_LEGACY[Flt])</f>
        <v>2</v>
      </c>
      <c r="D4" s="290"/>
      <c r="E4" s="290">
        <f>SUBTOTAL(103,AHB_CAI_LF_LEGACY[Brd-Off])</f>
        <v>2</v>
      </c>
      <c r="F4" s="290"/>
      <c r="G4" s="292">
        <f>SUBTOTAL(101,AHB_CAI_LF_LEGACY[LF%])</f>
        <v>0.63395000000000001</v>
      </c>
      <c r="H4" s="293">
        <f>SUBTOTAL(109,AHB_CAI_LF_LEGACY[CAP])</f>
        <v>336</v>
      </c>
      <c r="I4" s="293">
        <f>SUBTOTAL(109,AHB_CAI_LF_LEGACY[BKG(Y)])</f>
        <v>213</v>
      </c>
      <c r="J4" s="293">
        <f>SUBTOTAL(109,AHB_CAI_LF_LEGACY[GRP(Y)])</f>
        <v>0</v>
      </c>
      <c r="K4" s="290"/>
      <c r="L4" s="291"/>
      <c r="M4" s="293">
        <f>SUBTOTAL(109,AHB_CAI_LF_LEGACY[TO-DAY])</f>
        <v>9</v>
      </c>
      <c r="N4" s="293">
        <f>SUBTOTAL(109,AHB_CAI_LF_LEGACY[Y-DAY])</f>
        <v>13</v>
      </c>
      <c r="O4" s="293">
        <f>SUBTOTAL(109,AHB_CAI_LF_LEGACY[WEEKLY])</f>
        <v>77</v>
      </c>
      <c r="P4" s="294"/>
      <c r="Q4" s="293">
        <f>SUBTOTAL(109,AHB_CAI_LF_LEGACY[Y])</f>
        <v>0</v>
      </c>
      <c r="R4" s="293">
        <f>SUBTOTAL(109,AHB_CAI_LF_LEGACY[B])</f>
        <v>0</v>
      </c>
      <c r="S4" s="293">
        <f>SUBTOTAL(109,AHB_CAI_LF_LEGACY[M])</f>
        <v>0</v>
      </c>
      <c r="T4" s="293">
        <f>SUBTOTAL(109,AHB_CAI_LF_LEGACY[H])</f>
        <v>0</v>
      </c>
      <c r="U4" s="293">
        <f>SUBTOTAL(109,AHB_CAI_LF_LEGACY[Q])</f>
        <v>0</v>
      </c>
      <c r="V4" s="293">
        <f>SUBTOTAL(109,AHB_CAI_LF_LEGACY[K])</f>
        <v>0</v>
      </c>
      <c r="W4" s="293">
        <f>SUBTOTAL(109,AHB_CAI_LF_LEGACY[V])</f>
        <v>0</v>
      </c>
      <c r="X4" s="293">
        <f>SUBTOTAL(109,AHB_CAI_LF_LEGACY[L])</f>
        <v>0</v>
      </c>
      <c r="Y4" s="293">
        <f>SUBTOTAL(109,AHB_CAI_LF_LEGACY[G])</f>
        <v>0</v>
      </c>
      <c r="Z4" s="293">
        <f>SUBTOTAL(109,AHB_CAI_LF_LEGACY[S])</f>
        <v>0</v>
      </c>
      <c r="AA4" s="293">
        <f>SUBTOTAL(109,AHB_CAI_LF_LEGACY[W])</f>
        <v>0</v>
      </c>
      <c r="AB4" s="293">
        <f>SUBTOTAL(109,AHB_CAI_LF_LEGACY[T])</f>
        <v>0</v>
      </c>
      <c r="AC4" s="293">
        <f>SUBTOTAL(109,AHB_CAI_LF_LEGACY[X])</f>
        <v>0</v>
      </c>
      <c r="AD4" s="293">
        <f>SUBTOTAL(109,AHB_CAI_LF_LEGACY[U])</f>
        <v>0</v>
      </c>
      <c r="AE4" s="293">
        <f>SUBTOTAL(109,AHB_CAI_LF_LEGACY[O])</f>
        <v>0</v>
      </c>
      <c r="AF4" s="293">
        <f>SUBTOTAL(109,AHB_CAI_LF_LEGACY[I])</f>
        <v>0</v>
      </c>
      <c r="AG4" s="293">
        <f>SUBTOTAL(109,AHB_CAI_LF_LEGACY[E])</f>
        <v>0</v>
      </c>
      <c r="AH4" s="293">
        <f>SUBTOTAL(109,AHB_CAI_LF_LEGACY[A])</f>
        <v>0</v>
      </c>
      <c r="AI4" s="293">
        <f>SUBTOTAL(109,AHB_CAI_LF_LEGACY[P])</f>
        <v>0</v>
      </c>
      <c r="AJ4" s="293">
        <f>SUBTOTAL(103,AHB_CAI_LF_LEGACY[N])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1"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6" t="s">
        <v>162</v>
      </c>
      <c r="B2" s="67" t="s">
        <v>78</v>
      </c>
      <c r="C2" s="68" t="s">
        <v>888</v>
      </c>
      <c r="D2" s="67" t="s">
        <v>887</v>
      </c>
      <c r="E2" s="67" t="s">
        <v>900</v>
      </c>
      <c r="F2" s="67" t="s">
        <v>178</v>
      </c>
      <c r="G2" s="213">
        <v>9</v>
      </c>
      <c r="H2" s="69" t="s">
        <v>889</v>
      </c>
    </row>
    <row r="3" spans="1:8" ht="19.8" customHeight="1" x14ac:dyDescent="0.3">
      <c r="A3" s="70">
        <v>45982</v>
      </c>
      <c r="B3" s="61" t="s">
        <v>285</v>
      </c>
      <c r="C3" s="62" t="s">
        <v>893</v>
      </c>
      <c r="D3" s="61" t="s">
        <v>887</v>
      </c>
      <c r="E3" s="71">
        <v>1.114583333333333</v>
      </c>
      <c r="F3" s="61" t="s">
        <v>279</v>
      </c>
      <c r="G3" s="63">
        <v>9</v>
      </c>
      <c r="H3" s="65" t="s">
        <v>894</v>
      </c>
    </row>
    <row r="4" spans="1:8" ht="19.8" customHeight="1" x14ac:dyDescent="0.3">
      <c r="A4" s="78">
        <v>45982</v>
      </c>
      <c r="B4" s="67" t="s">
        <v>78</v>
      </c>
      <c r="C4" s="68" t="s">
        <v>895</v>
      </c>
      <c r="D4" s="67" t="s">
        <v>887</v>
      </c>
      <c r="E4" s="79">
        <v>1.0034722222222221</v>
      </c>
      <c r="F4" s="67" t="s">
        <v>178</v>
      </c>
      <c r="G4" s="213">
        <v>9</v>
      </c>
      <c r="H4" s="69" t="s">
        <v>889</v>
      </c>
    </row>
    <row r="5" spans="1:8" ht="19.8" customHeight="1" x14ac:dyDescent="0.3">
      <c r="A5" s="72">
        <v>45983</v>
      </c>
      <c r="B5" s="73" t="s">
        <v>285</v>
      </c>
      <c r="C5" s="74" t="s">
        <v>898</v>
      </c>
      <c r="D5" s="73" t="s">
        <v>887</v>
      </c>
      <c r="E5" s="75">
        <v>1.197916666666667</v>
      </c>
      <c r="F5" s="73" t="s">
        <v>279</v>
      </c>
      <c r="G5" s="76">
        <v>1</v>
      </c>
      <c r="H5" s="105">
        <v>971</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1"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6" t="s">
        <v>162</v>
      </c>
      <c r="B2" s="67" t="s">
        <v>78</v>
      </c>
      <c r="C2" s="68" t="s">
        <v>888</v>
      </c>
      <c r="D2" s="67" t="s">
        <v>887</v>
      </c>
      <c r="E2" s="67" t="s">
        <v>900</v>
      </c>
      <c r="F2" s="67" t="s">
        <v>178</v>
      </c>
      <c r="G2" s="213">
        <v>9</v>
      </c>
      <c r="H2" s="69" t="s">
        <v>889</v>
      </c>
    </row>
    <row r="3" spans="1:8" ht="19.8" customHeight="1" x14ac:dyDescent="0.3">
      <c r="A3" s="70">
        <v>45982</v>
      </c>
      <c r="B3" s="61" t="s">
        <v>285</v>
      </c>
      <c r="C3" s="62" t="s">
        <v>893</v>
      </c>
      <c r="D3" s="61" t="s">
        <v>887</v>
      </c>
      <c r="E3" s="71">
        <v>1.114583333333333</v>
      </c>
      <c r="F3" s="61" t="s">
        <v>279</v>
      </c>
      <c r="G3" s="63">
        <v>9</v>
      </c>
      <c r="H3" s="65" t="s">
        <v>894</v>
      </c>
    </row>
    <row r="4" spans="1:8" ht="19.8" customHeight="1" x14ac:dyDescent="0.3">
      <c r="A4" s="78">
        <v>45982</v>
      </c>
      <c r="B4" s="67" t="s">
        <v>78</v>
      </c>
      <c r="C4" s="68" t="s">
        <v>895</v>
      </c>
      <c r="D4" s="67" t="s">
        <v>887</v>
      </c>
      <c r="E4" s="79">
        <v>1.0034722222222221</v>
      </c>
      <c r="F4" s="67" t="s">
        <v>178</v>
      </c>
      <c r="G4" s="213">
        <v>9</v>
      </c>
      <c r="H4" s="69" t="s">
        <v>889</v>
      </c>
    </row>
    <row r="5" spans="1:8" ht="19.8" customHeight="1" x14ac:dyDescent="0.3">
      <c r="A5" s="72">
        <v>45983</v>
      </c>
      <c r="B5" s="73" t="s">
        <v>285</v>
      </c>
      <c r="C5" s="74" t="s">
        <v>898</v>
      </c>
      <c r="D5" s="73" t="s">
        <v>887</v>
      </c>
      <c r="E5" s="75">
        <v>1.197916666666667</v>
      </c>
      <c r="F5" s="73" t="s">
        <v>279</v>
      </c>
      <c r="G5" s="76">
        <v>1</v>
      </c>
      <c r="H5" s="105">
        <v>971</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44140625" bestFit="1" customWidth="1"/>
  </cols>
  <sheetData>
    <row r="1" spans="1:92" ht="28.8" customHeight="1" x14ac:dyDescent="0.3">
      <c r="A1" s="272" t="s">
        <v>0</v>
      </c>
      <c r="B1" s="261"/>
      <c r="C1" s="261"/>
      <c r="D1" s="261"/>
      <c r="E1" s="261"/>
      <c r="F1" s="1" t="s">
        <v>908</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45980.492481244393</v>
      </c>
      <c r="H2" s="261"/>
      <c r="I2" s="261"/>
      <c r="J2" s="261"/>
      <c r="K2" s="274">
        <v>45980.492481244619</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45982</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228" t="s">
        <v>78</v>
      </c>
      <c r="B6" s="228" t="s">
        <v>909</v>
      </c>
      <c r="C6" s="229">
        <v>0.76041666666666663</v>
      </c>
      <c r="D6" s="228" t="s">
        <v>80</v>
      </c>
      <c r="E6" s="255"/>
      <c r="F6" s="228" t="s">
        <v>821</v>
      </c>
      <c r="G6" s="266"/>
      <c r="H6" s="129" t="s">
        <v>909</v>
      </c>
      <c r="I6" s="256">
        <v>0.36309999999999998</v>
      </c>
      <c r="J6" s="131">
        <v>61</v>
      </c>
      <c r="K6" s="132">
        <v>45980</v>
      </c>
      <c r="L6" s="131">
        <v>23</v>
      </c>
      <c r="M6" s="131">
        <v>3</v>
      </c>
      <c r="N6" s="131">
        <v>2</v>
      </c>
      <c r="O6" s="133" t="s">
        <v>381</v>
      </c>
      <c r="P6" s="134">
        <v>0.76041666666666663</v>
      </c>
      <c r="Q6" s="131">
        <v>168</v>
      </c>
      <c r="R6" s="135" t="s">
        <v>910</v>
      </c>
    </row>
    <row r="7" spans="1:92" ht="18" x14ac:dyDescent="0.3">
      <c r="A7" s="278" t="s">
        <v>911</v>
      </c>
      <c r="B7" s="279"/>
      <c r="C7" s="279"/>
      <c r="D7" s="279"/>
      <c r="E7" s="279"/>
      <c r="F7" s="280"/>
      <c r="G7" s="267"/>
      <c r="H7" s="89"/>
      <c r="I7" s="89"/>
      <c r="J7" s="89"/>
      <c r="K7" s="89"/>
      <c r="L7" s="89"/>
      <c r="M7" s="89"/>
      <c r="N7" s="89"/>
      <c r="O7" s="90"/>
      <c r="P7" s="89"/>
      <c r="Q7" s="56"/>
      <c r="R7" s="56"/>
    </row>
    <row r="8" spans="1:92" ht="49.95" customHeight="1" x14ac:dyDescent="0.3">
      <c r="A8" s="17" t="s">
        <v>285</v>
      </c>
      <c r="B8" s="17" t="s">
        <v>893</v>
      </c>
      <c r="C8" s="18" t="s">
        <v>348</v>
      </c>
      <c r="D8" s="17" t="s">
        <v>279</v>
      </c>
      <c r="E8" s="17" t="s">
        <v>187</v>
      </c>
      <c r="F8" s="17" t="s">
        <v>894</v>
      </c>
      <c r="G8" s="267"/>
      <c r="H8" s="89"/>
      <c r="I8" s="89"/>
      <c r="J8" s="89"/>
      <c r="K8" s="89"/>
      <c r="L8" s="89"/>
      <c r="M8" s="89"/>
      <c r="N8" s="89"/>
      <c r="O8" s="90"/>
      <c r="P8" s="89"/>
      <c r="Q8" s="56"/>
      <c r="R8" s="56"/>
    </row>
    <row r="9" spans="1:92" ht="49.95" customHeight="1" thickBot="1" x14ac:dyDescent="0.35">
      <c r="A9" s="91" t="s">
        <v>78</v>
      </c>
      <c r="B9" s="91" t="s">
        <v>895</v>
      </c>
      <c r="C9" s="92" t="s">
        <v>904</v>
      </c>
      <c r="D9" s="91" t="s">
        <v>178</v>
      </c>
      <c r="E9" s="91" t="s">
        <v>187</v>
      </c>
      <c r="F9" s="91" t="s">
        <v>889</v>
      </c>
      <c r="G9" s="268"/>
      <c r="H9" s="93"/>
      <c r="I9" s="93"/>
      <c r="J9" s="93"/>
      <c r="K9" s="93"/>
      <c r="L9" s="93"/>
      <c r="M9" s="93"/>
      <c r="N9" s="93"/>
      <c r="O9" s="94"/>
      <c r="P9" s="93"/>
      <c r="Q9" s="95"/>
      <c r="R9" s="95"/>
    </row>
    <row r="10" spans="1:92" ht="17.399999999999999" customHeight="1" thickBot="1" x14ac:dyDescent="0.35">
      <c r="A10" s="295"/>
      <c r="B10" s="296"/>
      <c r="C10" s="296"/>
      <c r="D10" s="296"/>
      <c r="E10" s="296"/>
      <c r="F10" s="296"/>
      <c r="G10" s="296"/>
      <c r="H10" s="296"/>
      <c r="I10" s="296"/>
      <c r="J10" s="296"/>
      <c r="K10" s="296"/>
      <c r="L10" s="296"/>
      <c r="M10" s="296"/>
      <c r="N10" s="296"/>
      <c r="O10" s="296"/>
      <c r="P10" s="296"/>
      <c r="Q10" s="296"/>
      <c r="R10" s="297"/>
    </row>
    <row r="11" spans="1:92" ht="15" thickTop="1" x14ac:dyDescent="0.3"/>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6.88671875" style="282" bestFit="1" customWidth="1"/>
    <col min="2" max="2" width="10.44140625" style="282" bestFit="1" customWidth="1"/>
    <col min="3" max="3" width="6.77734375" style="282" bestFit="1" customWidth="1"/>
    <col min="4" max="4" width="5.5546875" style="282" bestFit="1" customWidth="1"/>
    <col min="5" max="5" width="8.3320312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5" width="3.88671875" style="282" bestFit="1" customWidth="1"/>
    <col min="26" max="26" width="4.109375" style="282" bestFit="1" customWidth="1"/>
    <col min="27" max="27" width="5" style="282" bestFit="1" customWidth="1"/>
    <col min="28"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393</v>
      </c>
      <c r="B2" s="284">
        <v>45982</v>
      </c>
      <c r="C2" s="285" t="s">
        <v>909</v>
      </c>
      <c r="D2" s="286" t="s">
        <v>713</v>
      </c>
      <c r="E2" s="285" t="s">
        <v>908</v>
      </c>
      <c r="F2" s="285" t="s">
        <v>136</v>
      </c>
      <c r="G2" s="287">
        <v>0.36309999999999998</v>
      </c>
      <c r="H2" s="288">
        <v>168</v>
      </c>
      <c r="I2" s="288">
        <v>61</v>
      </c>
      <c r="J2" s="288">
        <v>0</v>
      </c>
      <c r="K2" s="285" t="s">
        <v>137</v>
      </c>
      <c r="L2" s="289">
        <v>45980</v>
      </c>
      <c r="M2" s="288">
        <v>3</v>
      </c>
      <c r="N2" s="288">
        <v>2</v>
      </c>
      <c r="O2" s="288">
        <v>23</v>
      </c>
      <c r="P2" s="285" t="s">
        <v>381</v>
      </c>
      <c r="Q2" s="281"/>
      <c r="R2" s="281"/>
      <c r="S2" s="281"/>
      <c r="T2" s="281"/>
      <c r="U2" s="281"/>
      <c r="V2" s="288" t="s">
        <v>469</v>
      </c>
      <c r="W2" s="288" t="s">
        <v>270</v>
      </c>
      <c r="X2" s="288" t="s">
        <v>912</v>
      </c>
      <c r="Y2" s="288" t="s">
        <v>255</v>
      </c>
      <c r="Z2" s="288" t="s">
        <v>913</v>
      </c>
      <c r="AA2" s="288" t="s">
        <v>914</v>
      </c>
      <c r="AB2" s="281"/>
      <c r="AC2" s="281"/>
      <c r="AD2" s="281"/>
      <c r="AE2" s="281"/>
      <c r="AF2" s="281"/>
      <c r="AG2" s="281"/>
      <c r="AH2" s="281"/>
      <c r="AI2" s="281"/>
      <c r="AJ2" s="281"/>
    </row>
    <row r="3" spans="1:36" ht="21" x14ac:dyDescent="0.3">
      <c r="A3" s="290" t="s">
        <v>976</v>
      </c>
      <c r="B3" s="291"/>
      <c r="C3" s="290">
        <f>SUBTOTAL(103,AHB_ATZ_LF_LEGACY[Flt])</f>
        <v>1</v>
      </c>
      <c r="D3" s="290"/>
      <c r="E3" s="290">
        <f>SUBTOTAL(103,AHB_ATZ_LF_LEGACY[Brd-Off])</f>
        <v>1</v>
      </c>
      <c r="F3" s="290"/>
      <c r="G3" s="292">
        <f>SUBTOTAL(101,AHB_ATZ_LF_LEGACY[LF%])</f>
        <v>0.36309999999999998</v>
      </c>
      <c r="H3" s="293">
        <f>SUBTOTAL(109,AHB_ATZ_LF_LEGACY[CAP])</f>
        <v>168</v>
      </c>
      <c r="I3" s="293">
        <f>SUBTOTAL(109,AHB_ATZ_LF_LEGACY[BKG(Y)])</f>
        <v>61</v>
      </c>
      <c r="J3" s="293">
        <f>SUBTOTAL(109,AHB_ATZ_LF_LEGACY[GRP(Y)])</f>
        <v>0</v>
      </c>
      <c r="K3" s="290"/>
      <c r="L3" s="291"/>
      <c r="M3" s="293">
        <f>SUBTOTAL(109,AHB_ATZ_LF_LEGACY[TO-DAY])</f>
        <v>3</v>
      </c>
      <c r="N3" s="293">
        <f>SUBTOTAL(109,AHB_ATZ_LF_LEGACY[Y-DAY])</f>
        <v>2</v>
      </c>
      <c r="O3" s="293">
        <f>SUBTOTAL(109,AHB_ATZ_LF_LEGACY[WEEKLY])</f>
        <v>23</v>
      </c>
      <c r="P3" s="294"/>
      <c r="Q3" s="293">
        <f>SUBTOTAL(109,AHB_ATZ_LF_LEGACY[Y])</f>
        <v>0</v>
      </c>
      <c r="R3" s="293">
        <f>SUBTOTAL(109,AHB_ATZ_LF_LEGACY[B])</f>
        <v>0</v>
      </c>
      <c r="S3" s="293">
        <f>SUBTOTAL(109,AHB_ATZ_LF_LEGACY[M])</f>
        <v>0</v>
      </c>
      <c r="T3" s="293">
        <f>SUBTOTAL(109,AHB_ATZ_LF_LEGACY[H])</f>
        <v>0</v>
      </c>
      <c r="U3" s="293">
        <f>SUBTOTAL(109,AHB_ATZ_LF_LEGACY[Q])</f>
        <v>0</v>
      </c>
      <c r="V3" s="293">
        <f>SUBTOTAL(109,AHB_ATZ_LF_LEGACY[K])</f>
        <v>0</v>
      </c>
      <c r="W3" s="293">
        <f>SUBTOTAL(109,AHB_ATZ_LF_LEGACY[V])</f>
        <v>0</v>
      </c>
      <c r="X3" s="293">
        <f>SUBTOTAL(109,AHB_ATZ_LF_LEGACY[L])</f>
        <v>0</v>
      </c>
      <c r="Y3" s="293">
        <f>SUBTOTAL(109,AHB_ATZ_LF_LEGACY[G])</f>
        <v>0</v>
      </c>
      <c r="Z3" s="293">
        <f>SUBTOTAL(109,AHB_ATZ_LF_LEGACY[S])</f>
        <v>0</v>
      </c>
      <c r="AA3" s="293">
        <f>SUBTOTAL(109,AHB_ATZ_LF_LEGACY[W])</f>
        <v>0</v>
      </c>
      <c r="AB3" s="293">
        <f>SUBTOTAL(109,AHB_ATZ_LF_LEGACY[T])</f>
        <v>0</v>
      </c>
      <c r="AC3" s="293">
        <f>SUBTOTAL(109,AHB_ATZ_LF_LEGACY[X])</f>
        <v>0</v>
      </c>
      <c r="AD3" s="293">
        <f>SUBTOTAL(109,AHB_ATZ_LF_LEGACY[U])</f>
        <v>0</v>
      </c>
      <c r="AE3" s="293">
        <f>SUBTOTAL(109,AHB_ATZ_LF_LEGACY[O])</f>
        <v>0</v>
      </c>
      <c r="AF3" s="293">
        <f>SUBTOTAL(109,AHB_ATZ_LF_LEGACY[I])</f>
        <v>0</v>
      </c>
      <c r="AG3" s="293">
        <f>SUBTOTAL(109,AHB_ATZ_LF_LEGACY[E])</f>
        <v>0</v>
      </c>
      <c r="AH3" s="293">
        <f>SUBTOTAL(109,AHB_ATZ_LF_LEGACY[A])</f>
        <v>0</v>
      </c>
      <c r="AI3" s="293">
        <f>SUBTOTAL(109,AHB_ATZ_LF_LEGACY[P])</f>
        <v>0</v>
      </c>
      <c r="AJ3" s="293">
        <f>SUBTOTAL(103,AHB_ATZ_LF_LEGACY[N])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72.886718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915</v>
      </c>
      <c r="G2" s="102"/>
      <c r="H2" s="104"/>
    </row>
    <row r="3" spans="1:8" ht="19.8" customHeight="1" x14ac:dyDescent="0.3">
      <c r="A3" s="116" t="s">
        <v>162</v>
      </c>
      <c r="B3" s="73" t="s">
        <v>78</v>
      </c>
      <c r="C3" s="74" t="s">
        <v>888</v>
      </c>
      <c r="D3" s="73" t="s">
        <v>887</v>
      </c>
      <c r="E3" s="73" t="s">
        <v>900</v>
      </c>
      <c r="F3" s="73" t="s">
        <v>178</v>
      </c>
      <c r="G3" s="76">
        <v>9</v>
      </c>
      <c r="H3" s="77" t="s">
        <v>889</v>
      </c>
    </row>
    <row r="4" spans="1:8" ht="19.8" customHeight="1" x14ac:dyDescent="0.3">
      <c r="A4" s="96" t="s">
        <v>214</v>
      </c>
      <c r="B4" s="97" t="s">
        <v>78</v>
      </c>
      <c r="C4" s="98" t="s">
        <v>916</v>
      </c>
      <c r="D4" s="97" t="s">
        <v>908</v>
      </c>
      <c r="E4" s="97" t="s">
        <v>713</v>
      </c>
      <c r="F4" s="97"/>
      <c r="G4" s="97"/>
      <c r="H4" s="117" t="s">
        <v>821</v>
      </c>
    </row>
    <row r="5" spans="1:8" ht="19.8" customHeight="1" x14ac:dyDescent="0.3">
      <c r="A5" s="101"/>
      <c r="B5" s="102"/>
      <c r="C5" s="102"/>
      <c r="D5" s="102"/>
      <c r="E5" s="102"/>
      <c r="F5" s="103" t="s">
        <v>915</v>
      </c>
      <c r="G5" s="102"/>
      <c r="H5" s="104"/>
    </row>
    <row r="6" spans="1:8" ht="19.8" customHeight="1" x14ac:dyDescent="0.3">
      <c r="A6" s="70">
        <v>45982</v>
      </c>
      <c r="B6" s="61" t="s">
        <v>285</v>
      </c>
      <c r="C6" s="62" t="s">
        <v>893</v>
      </c>
      <c r="D6" s="61" t="s">
        <v>887</v>
      </c>
      <c r="E6" s="71">
        <v>1.114583333333333</v>
      </c>
      <c r="F6" s="61" t="s">
        <v>279</v>
      </c>
      <c r="G6" s="63">
        <v>9</v>
      </c>
      <c r="H6" s="65" t="s">
        <v>894</v>
      </c>
    </row>
    <row r="7" spans="1:8" ht="19.8" customHeight="1" x14ac:dyDescent="0.3">
      <c r="A7" s="72">
        <v>45982</v>
      </c>
      <c r="B7" s="73" t="s">
        <v>78</v>
      </c>
      <c r="C7" s="74" t="s">
        <v>895</v>
      </c>
      <c r="D7" s="73" t="s">
        <v>887</v>
      </c>
      <c r="E7" s="75">
        <v>1.0034722222222221</v>
      </c>
      <c r="F7" s="73" t="s">
        <v>178</v>
      </c>
      <c r="G7" s="76">
        <v>9</v>
      </c>
      <c r="H7" s="77" t="s">
        <v>889</v>
      </c>
    </row>
    <row r="8" spans="1:8" ht="19.8" customHeight="1" x14ac:dyDescent="0.3">
      <c r="A8" s="101"/>
      <c r="B8" s="102"/>
      <c r="C8" s="102"/>
      <c r="D8" s="102"/>
      <c r="E8" s="102"/>
      <c r="F8" s="103" t="s">
        <v>915</v>
      </c>
      <c r="G8" s="102"/>
      <c r="H8" s="104"/>
    </row>
    <row r="9" spans="1:8" ht="19.8" customHeight="1" x14ac:dyDescent="0.3">
      <c r="A9" s="72">
        <v>45983</v>
      </c>
      <c r="B9" s="73" t="s">
        <v>285</v>
      </c>
      <c r="C9" s="74" t="s">
        <v>898</v>
      </c>
      <c r="D9" s="73" t="s">
        <v>887</v>
      </c>
      <c r="E9" s="75">
        <v>1.197916666666667</v>
      </c>
      <c r="F9" s="73" t="s">
        <v>279</v>
      </c>
      <c r="G9" s="76">
        <v>1</v>
      </c>
      <c r="H9" s="105">
        <v>971</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25"/>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5546875" bestFit="1" customWidth="1"/>
  </cols>
  <sheetData>
    <row r="1" spans="1:92" ht="28.8" customHeight="1" x14ac:dyDescent="0.3">
      <c r="A1" s="272" t="s">
        <v>0</v>
      </c>
      <c r="B1" s="261"/>
      <c r="C1" s="261"/>
      <c r="D1" s="261"/>
      <c r="E1" s="261"/>
      <c r="F1" s="1" t="s">
        <v>917</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45980.492482781643</v>
      </c>
      <c r="H2" s="261"/>
      <c r="I2" s="261"/>
      <c r="J2" s="261"/>
      <c r="K2" s="274">
        <v>45980.492482781861</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243</v>
      </c>
      <c r="B6" s="8" t="s">
        <v>918</v>
      </c>
      <c r="C6" s="9">
        <v>0.9375</v>
      </c>
      <c r="D6" s="8" t="s">
        <v>615</v>
      </c>
      <c r="E6" s="8" t="s">
        <v>29</v>
      </c>
      <c r="F6" s="8" t="s">
        <v>919</v>
      </c>
      <c r="G6" s="269"/>
      <c r="H6" s="10"/>
      <c r="I6" s="11"/>
      <c r="J6" s="11"/>
      <c r="K6" s="11"/>
      <c r="L6" s="11"/>
      <c r="M6" s="11"/>
      <c r="N6" s="11"/>
      <c r="O6" s="12"/>
      <c r="P6" s="11"/>
      <c r="Q6" s="13"/>
      <c r="R6" s="14"/>
    </row>
    <row r="7" spans="1:92" ht="15" customHeight="1" x14ac:dyDescent="0.3">
      <c r="A7" s="15" t="s">
        <v>243</v>
      </c>
      <c r="B7" s="15" t="s">
        <v>918</v>
      </c>
      <c r="C7" s="16">
        <v>0.9375</v>
      </c>
      <c r="D7" s="15" t="s">
        <v>47</v>
      </c>
      <c r="E7" s="15" t="s">
        <v>32</v>
      </c>
      <c r="F7" s="15" t="s">
        <v>920</v>
      </c>
      <c r="G7" s="267"/>
      <c r="H7" s="10"/>
      <c r="I7" s="11"/>
      <c r="J7" s="11"/>
      <c r="K7" s="11"/>
      <c r="L7" s="11"/>
      <c r="M7" s="11"/>
      <c r="N7" s="11"/>
      <c r="O7" s="12"/>
      <c r="P7" s="11"/>
      <c r="Q7" s="13"/>
      <c r="R7" s="14"/>
    </row>
    <row r="8" spans="1:92" ht="15" customHeight="1" x14ac:dyDescent="0.3">
      <c r="A8" s="19" t="s">
        <v>277</v>
      </c>
      <c r="B8" s="19" t="s">
        <v>921</v>
      </c>
      <c r="C8" s="20">
        <v>0.625</v>
      </c>
      <c r="D8" s="19" t="s">
        <v>279</v>
      </c>
      <c r="E8" s="19" t="s">
        <v>52</v>
      </c>
      <c r="F8" s="19" t="s">
        <v>922</v>
      </c>
      <c r="G8" s="267"/>
      <c r="H8" s="10"/>
      <c r="I8" s="11"/>
      <c r="J8" s="11"/>
      <c r="K8" s="11"/>
      <c r="L8" s="11"/>
      <c r="M8" s="11"/>
      <c r="N8" s="11"/>
      <c r="O8" s="12"/>
      <c r="P8" s="11"/>
      <c r="Q8" s="13"/>
      <c r="R8" s="14"/>
    </row>
    <row r="9" spans="1:92" ht="15" customHeight="1" x14ac:dyDescent="0.3">
      <c r="A9" s="17" t="s">
        <v>277</v>
      </c>
      <c r="B9" s="17" t="s">
        <v>923</v>
      </c>
      <c r="C9" s="18">
        <v>0.73611111111111116</v>
      </c>
      <c r="D9" s="17" t="s">
        <v>279</v>
      </c>
      <c r="E9" s="17" t="s">
        <v>55</v>
      </c>
      <c r="F9" s="17" t="s">
        <v>924</v>
      </c>
      <c r="G9" s="267"/>
      <c r="H9" s="10"/>
      <c r="I9" s="11"/>
      <c r="J9" s="11"/>
      <c r="K9" s="11"/>
      <c r="L9" s="11"/>
      <c r="M9" s="11"/>
      <c r="N9" s="11"/>
      <c r="O9" s="12"/>
      <c r="P9" s="11"/>
      <c r="Q9" s="13"/>
      <c r="R9" s="14"/>
    </row>
    <row r="10" spans="1:92" ht="15" customHeight="1" x14ac:dyDescent="0.3">
      <c r="A10" s="175" t="s">
        <v>78</v>
      </c>
      <c r="B10" s="175" t="s">
        <v>925</v>
      </c>
      <c r="C10" s="176">
        <v>0.79861111111111116</v>
      </c>
      <c r="D10" s="175" t="s">
        <v>178</v>
      </c>
      <c r="E10" s="175" t="s">
        <v>499</v>
      </c>
      <c r="F10" s="175" t="s">
        <v>926</v>
      </c>
      <c r="G10" s="267"/>
      <c r="H10" s="149" t="s">
        <v>927</v>
      </c>
      <c r="I10" s="172">
        <v>0.66069999999999995</v>
      </c>
      <c r="J10" s="151">
        <v>111</v>
      </c>
      <c r="K10" s="152">
        <v>45980</v>
      </c>
      <c r="L10" s="151">
        <v>34</v>
      </c>
      <c r="M10" s="151">
        <v>4</v>
      </c>
      <c r="N10" s="151">
        <v>12</v>
      </c>
      <c r="O10" s="153" t="s">
        <v>687</v>
      </c>
      <c r="P10" s="154">
        <v>0.79861111111111116</v>
      </c>
      <c r="Q10" s="151">
        <v>168</v>
      </c>
      <c r="R10" s="155" t="s">
        <v>928</v>
      </c>
    </row>
    <row r="11" spans="1:92" ht="15" customHeight="1" x14ac:dyDescent="0.3">
      <c r="A11" s="19" t="s">
        <v>285</v>
      </c>
      <c r="B11" s="19" t="s">
        <v>929</v>
      </c>
      <c r="C11" s="20">
        <v>0.65625</v>
      </c>
      <c r="D11" s="19" t="s">
        <v>279</v>
      </c>
      <c r="E11" s="19" t="s">
        <v>321</v>
      </c>
      <c r="F11" s="19" t="s">
        <v>924</v>
      </c>
      <c r="G11" s="267"/>
      <c r="H11" s="10"/>
      <c r="I11" s="11"/>
      <c r="J11" s="11"/>
      <c r="K11" s="11"/>
      <c r="L11" s="11"/>
      <c r="M11" s="11"/>
      <c r="N11" s="11"/>
      <c r="O11" s="12"/>
      <c r="P11" s="11"/>
      <c r="Q11" s="13"/>
      <c r="R11" s="14"/>
    </row>
    <row r="12" spans="1:92" ht="15" customHeight="1" thickBot="1" x14ac:dyDescent="0.35">
      <c r="A12" s="215" t="s">
        <v>49</v>
      </c>
      <c r="B12" s="215" t="s">
        <v>930</v>
      </c>
      <c r="C12" s="216">
        <v>4.5138888888888888E-2</v>
      </c>
      <c r="D12" s="215" t="s">
        <v>51</v>
      </c>
      <c r="E12" s="215" t="s">
        <v>52</v>
      </c>
      <c r="F12" s="215" t="s">
        <v>931</v>
      </c>
      <c r="G12" s="268"/>
      <c r="H12" s="41"/>
      <c r="I12" s="42"/>
      <c r="J12" s="42"/>
      <c r="K12" s="42"/>
      <c r="L12" s="42"/>
      <c r="M12" s="42"/>
      <c r="N12" s="42"/>
      <c r="O12" s="43"/>
      <c r="P12" s="42"/>
      <c r="Q12" s="44"/>
      <c r="R12" s="45"/>
    </row>
    <row r="13" spans="1:92" ht="17.399999999999999" customHeight="1" thickBot="1" x14ac:dyDescent="0.35">
      <c r="A13" s="295"/>
      <c r="B13" s="296"/>
      <c r="C13" s="296"/>
      <c r="D13" s="296"/>
      <c r="E13" s="296"/>
      <c r="F13" s="296"/>
      <c r="G13" s="296"/>
      <c r="H13" s="296"/>
      <c r="I13" s="296"/>
      <c r="J13" s="296"/>
      <c r="K13" s="296"/>
      <c r="L13" s="296"/>
      <c r="M13" s="296"/>
      <c r="N13" s="296"/>
      <c r="O13" s="296"/>
      <c r="P13" s="296"/>
      <c r="Q13" s="296"/>
      <c r="R13" s="297"/>
    </row>
    <row r="14" spans="1:92" ht="22.05" customHeight="1" thickTop="1" thickBot="1" x14ac:dyDescent="0.35">
      <c r="A14" s="262" t="s">
        <v>6</v>
      </c>
      <c r="B14" s="263"/>
      <c r="C14" s="263"/>
      <c r="D14" s="263"/>
      <c r="E14" s="263"/>
      <c r="F14" s="264"/>
      <c r="G14" s="31">
        <v>45982</v>
      </c>
      <c r="H14" s="270" t="s">
        <v>7</v>
      </c>
      <c r="I14" s="263"/>
      <c r="J14" s="263"/>
      <c r="K14" s="263"/>
      <c r="L14" s="263"/>
      <c r="M14" s="263"/>
      <c r="N14" s="263"/>
      <c r="O14" s="263"/>
      <c r="P14" s="263"/>
      <c r="Q14" s="263"/>
      <c r="R14" s="264"/>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8" t="s">
        <v>277</v>
      </c>
      <c r="B16" s="8" t="s">
        <v>921</v>
      </c>
      <c r="C16" s="9">
        <v>0.86805555555555547</v>
      </c>
      <c r="D16" s="8" t="s">
        <v>279</v>
      </c>
      <c r="E16" s="8" t="s">
        <v>321</v>
      </c>
      <c r="F16" s="8" t="s">
        <v>924</v>
      </c>
      <c r="G16" s="266"/>
      <c r="H16" s="10"/>
      <c r="I16" s="11"/>
      <c r="J16" s="11"/>
      <c r="K16" s="11"/>
      <c r="L16" s="11"/>
      <c r="M16" s="11"/>
      <c r="N16" s="11"/>
      <c r="O16" s="12"/>
      <c r="P16" s="11"/>
      <c r="Q16" s="13"/>
      <c r="R16" s="14"/>
    </row>
    <row r="17" spans="1:18" ht="49.95" customHeight="1" x14ac:dyDescent="0.3">
      <c r="A17" s="19" t="s">
        <v>285</v>
      </c>
      <c r="B17" s="19" t="s">
        <v>929</v>
      </c>
      <c r="C17" s="20">
        <v>0.65625</v>
      </c>
      <c r="D17" s="19" t="s">
        <v>279</v>
      </c>
      <c r="E17" s="19" t="s">
        <v>179</v>
      </c>
      <c r="F17" s="19" t="s">
        <v>281</v>
      </c>
      <c r="G17" s="267"/>
      <c r="H17" s="10"/>
      <c r="I17" s="11"/>
      <c r="J17" s="11"/>
      <c r="K17" s="11"/>
      <c r="L17" s="11"/>
      <c r="M17" s="11"/>
      <c r="N17" s="11"/>
      <c r="O17" s="12"/>
      <c r="P17" s="11"/>
      <c r="Q17" s="13"/>
      <c r="R17" s="14"/>
    </row>
    <row r="18" spans="1:18" ht="49.95" customHeight="1" thickBot="1" x14ac:dyDescent="0.35">
      <c r="A18" s="215" t="s">
        <v>49</v>
      </c>
      <c r="B18" s="215" t="s">
        <v>930</v>
      </c>
      <c r="C18" s="216">
        <v>3.4722222222222217E-2</v>
      </c>
      <c r="D18" s="215" t="s">
        <v>51</v>
      </c>
      <c r="E18" s="215" t="s">
        <v>495</v>
      </c>
      <c r="F18" s="215" t="s">
        <v>94</v>
      </c>
      <c r="G18" s="268"/>
      <c r="H18" s="41"/>
      <c r="I18" s="42"/>
      <c r="J18" s="42"/>
      <c r="K18" s="42"/>
      <c r="L18" s="42"/>
      <c r="M18" s="42"/>
      <c r="N18" s="42"/>
      <c r="O18" s="43"/>
      <c r="P18" s="42"/>
      <c r="Q18" s="44"/>
      <c r="R18" s="45"/>
    </row>
    <row r="19" spans="1:18" ht="17.399999999999999" customHeight="1" thickBot="1" x14ac:dyDescent="0.35">
      <c r="A19" s="295"/>
      <c r="B19" s="296"/>
      <c r="C19" s="296"/>
      <c r="D19" s="296"/>
      <c r="E19" s="296"/>
      <c r="F19" s="296"/>
      <c r="G19" s="296"/>
      <c r="H19" s="296"/>
      <c r="I19" s="296"/>
      <c r="J19" s="296"/>
      <c r="K19" s="296"/>
      <c r="L19" s="296"/>
      <c r="M19" s="296"/>
      <c r="N19" s="296"/>
      <c r="O19" s="296"/>
      <c r="P19" s="296"/>
      <c r="Q19" s="296"/>
      <c r="R19" s="297"/>
    </row>
    <row r="20" spans="1:18" ht="22.05" customHeight="1" thickTop="1" thickBot="1" x14ac:dyDescent="0.35">
      <c r="A20" s="262" t="s">
        <v>6</v>
      </c>
      <c r="B20" s="263"/>
      <c r="C20" s="263"/>
      <c r="D20" s="263"/>
      <c r="E20" s="263"/>
      <c r="F20" s="264"/>
      <c r="G20" s="31">
        <v>45983</v>
      </c>
      <c r="H20" s="270" t="s">
        <v>7</v>
      </c>
      <c r="I20" s="263"/>
      <c r="J20" s="263"/>
      <c r="K20" s="263"/>
      <c r="L20" s="263"/>
      <c r="M20" s="263"/>
      <c r="N20" s="263"/>
      <c r="O20" s="263"/>
      <c r="P20" s="263"/>
      <c r="Q20" s="263"/>
      <c r="R20" s="264"/>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285</v>
      </c>
      <c r="B22" s="8" t="s">
        <v>932</v>
      </c>
      <c r="C22" s="9">
        <v>0.97916666666666663</v>
      </c>
      <c r="D22" s="8" t="s">
        <v>279</v>
      </c>
      <c r="E22" s="8" t="s">
        <v>90</v>
      </c>
      <c r="F22" s="8" t="s">
        <v>933</v>
      </c>
      <c r="G22" s="266"/>
      <c r="H22" s="10"/>
      <c r="I22" s="11"/>
      <c r="J22" s="11"/>
      <c r="K22" s="11"/>
      <c r="L22" s="11"/>
      <c r="M22" s="11"/>
      <c r="N22" s="11"/>
      <c r="O22" s="12"/>
      <c r="P22" s="11"/>
      <c r="Q22" s="13"/>
      <c r="R22" s="14"/>
    </row>
    <row r="23" spans="1:18" ht="49.95" customHeight="1" x14ac:dyDescent="0.3">
      <c r="A23" s="196" t="s">
        <v>78</v>
      </c>
      <c r="B23" s="196" t="s">
        <v>925</v>
      </c>
      <c r="C23" s="197">
        <v>6.9444444444444447E-4</v>
      </c>
      <c r="D23" s="196" t="s">
        <v>178</v>
      </c>
      <c r="E23" s="196" t="s">
        <v>495</v>
      </c>
      <c r="F23" s="196" t="s">
        <v>934</v>
      </c>
      <c r="G23" s="267"/>
      <c r="H23" s="198" t="s">
        <v>927</v>
      </c>
      <c r="I23" s="199">
        <v>0.64880000000000004</v>
      </c>
      <c r="J23" s="200">
        <v>109</v>
      </c>
      <c r="K23" s="201">
        <v>45980</v>
      </c>
      <c r="L23" s="200">
        <v>45</v>
      </c>
      <c r="M23" s="200">
        <v>1</v>
      </c>
      <c r="N23" s="200">
        <v>12</v>
      </c>
      <c r="O23" s="202" t="s">
        <v>556</v>
      </c>
      <c r="P23" s="203">
        <v>6.9444444444444447E-4</v>
      </c>
      <c r="Q23" s="200">
        <v>168</v>
      </c>
      <c r="R23" s="204" t="s">
        <v>935</v>
      </c>
    </row>
    <row r="24" spans="1:18" ht="49.95" customHeight="1" x14ac:dyDescent="0.3">
      <c r="A24" s="19" t="s">
        <v>277</v>
      </c>
      <c r="B24" s="19" t="s">
        <v>921</v>
      </c>
      <c r="C24" s="20">
        <v>0.60763888888888895</v>
      </c>
      <c r="D24" s="19" t="s">
        <v>279</v>
      </c>
      <c r="E24" s="19" t="s">
        <v>280</v>
      </c>
      <c r="F24" s="19" t="s">
        <v>936</v>
      </c>
      <c r="G24" s="267"/>
      <c r="H24" s="10"/>
      <c r="I24" s="11"/>
      <c r="J24" s="11"/>
      <c r="K24" s="11"/>
      <c r="L24" s="11"/>
      <c r="M24" s="11"/>
      <c r="N24" s="11"/>
      <c r="O24" s="12"/>
      <c r="P24" s="11"/>
      <c r="Q24" s="13"/>
      <c r="R24" s="14"/>
    </row>
    <row r="25" spans="1:18" ht="49.95" customHeight="1" x14ac:dyDescent="0.3">
      <c r="A25" s="215" t="s">
        <v>49</v>
      </c>
      <c r="B25" s="215" t="s">
        <v>930</v>
      </c>
      <c r="C25" s="216">
        <v>3.125E-2</v>
      </c>
      <c r="D25" s="215" t="s">
        <v>51</v>
      </c>
      <c r="E25" s="215" t="s">
        <v>52</v>
      </c>
      <c r="F25" s="215" t="s">
        <v>937</v>
      </c>
      <c r="G25" s="268"/>
      <c r="H25" s="41"/>
      <c r="I25" s="42"/>
      <c r="J25" s="42"/>
      <c r="K25" s="42"/>
      <c r="L25" s="42"/>
      <c r="M25" s="42"/>
      <c r="N25" s="42"/>
      <c r="O25" s="43"/>
      <c r="P25" s="42"/>
      <c r="Q25" s="44"/>
      <c r="R25" s="45"/>
    </row>
  </sheetData>
  <mergeCells count="18">
    <mergeCell ref="H1:L1"/>
    <mergeCell ref="A1:E1"/>
    <mergeCell ref="G2:J2"/>
    <mergeCell ref="K2:R2"/>
    <mergeCell ref="A4:F4"/>
    <mergeCell ref="H4:R4"/>
    <mergeCell ref="N1:R1"/>
    <mergeCell ref="A2:F2"/>
    <mergeCell ref="A3:R3"/>
    <mergeCell ref="G22:G25"/>
    <mergeCell ref="A14:F14"/>
    <mergeCell ref="A19:R19"/>
    <mergeCell ref="H20:R20"/>
    <mergeCell ref="G16:G18"/>
    <mergeCell ref="G6:G12"/>
    <mergeCell ref="A13:R13"/>
    <mergeCell ref="A20:F20"/>
    <mergeCell ref="H14:R1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4"/>
  <sheetViews>
    <sheetView workbookViewId="0"/>
  </sheetViews>
  <sheetFormatPr defaultRowHeight="15.6" outlineLevelCol="1" x14ac:dyDescent="0.3"/>
  <cols>
    <col min="1" max="1" width="9.88671875" style="282" bestFit="1" customWidth="1"/>
    <col min="2" max="2" width="10.44140625" style="282" bestFit="1" customWidth="1"/>
    <col min="3" max="3" width="6.77734375" style="282" bestFit="1" customWidth="1"/>
    <col min="4" max="4" width="5.5546875" style="282" bestFit="1" customWidth="1"/>
    <col min="5" max="5" width="7.886718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2" width="3.88671875" style="282" bestFit="1" customWidth="1"/>
    <col min="23" max="23" width="4.33203125" style="282" bestFit="1" customWidth="1"/>
    <col min="24" max="24" width="4.109375" style="282" bestFit="1" customWidth="1"/>
    <col min="25" max="25" width="4.44140625" style="282" bestFit="1" customWidth="1"/>
    <col min="26" max="26" width="4.109375" style="282" bestFit="1" customWidth="1"/>
    <col min="27" max="27" width="5" style="282" bestFit="1" customWidth="1"/>
    <col min="28" max="29" width="4.2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134</v>
      </c>
      <c r="B2" s="284">
        <v>45981</v>
      </c>
      <c r="C2" s="285" t="s">
        <v>927</v>
      </c>
      <c r="D2" s="286" t="s">
        <v>443</v>
      </c>
      <c r="E2" s="285" t="s">
        <v>917</v>
      </c>
      <c r="F2" s="285" t="s">
        <v>136</v>
      </c>
      <c r="G2" s="287">
        <v>0.66069999999999995</v>
      </c>
      <c r="H2" s="288">
        <v>168</v>
      </c>
      <c r="I2" s="288">
        <v>111</v>
      </c>
      <c r="J2" s="288">
        <v>0</v>
      </c>
      <c r="K2" s="285" t="s">
        <v>137</v>
      </c>
      <c r="L2" s="289">
        <v>45980</v>
      </c>
      <c r="M2" s="288">
        <v>4</v>
      </c>
      <c r="N2" s="288">
        <v>12</v>
      </c>
      <c r="O2" s="288">
        <v>34</v>
      </c>
      <c r="P2" s="285" t="s">
        <v>687</v>
      </c>
      <c r="Q2" s="281"/>
      <c r="R2" s="281"/>
      <c r="S2" s="281"/>
      <c r="T2" s="281"/>
      <c r="U2" s="281"/>
      <c r="V2" s="288" t="s">
        <v>182</v>
      </c>
      <c r="W2" s="288" t="s">
        <v>938</v>
      </c>
      <c r="X2" s="288" t="s">
        <v>939</v>
      </c>
      <c r="Y2" s="288" t="s">
        <v>940</v>
      </c>
      <c r="Z2" s="288" t="s">
        <v>941</v>
      </c>
      <c r="AA2" s="281"/>
      <c r="AB2" s="281"/>
      <c r="AC2" s="288" t="s">
        <v>550</v>
      </c>
      <c r="AD2" s="288" t="s">
        <v>401</v>
      </c>
      <c r="AE2" s="288" t="s">
        <v>558</v>
      </c>
      <c r="AF2" s="288" t="s">
        <v>391</v>
      </c>
      <c r="AG2" s="281"/>
      <c r="AH2" s="281"/>
      <c r="AI2" s="281"/>
      <c r="AJ2" s="288" t="s">
        <v>149</v>
      </c>
    </row>
    <row r="3" spans="1:36" x14ac:dyDescent="0.3">
      <c r="A3" s="283" t="s">
        <v>150</v>
      </c>
      <c r="B3" s="284">
        <v>45983</v>
      </c>
      <c r="C3" s="285" t="s">
        <v>927</v>
      </c>
      <c r="D3" s="286" t="s">
        <v>942</v>
      </c>
      <c r="E3" s="285" t="s">
        <v>917</v>
      </c>
      <c r="F3" s="285" t="s">
        <v>136</v>
      </c>
      <c r="G3" s="287">
        <v>0.64880000000000004</v>
      </c>
      <c r="H3" s="288">
        <v>168</v>
      </c>
      <c r="I3" s="288">
        <v>109</v>
      </c>
      <c r="J3" s="288">
        <v>0</v>
      </c>
      <c r="K3" s="285" t="s">
        <v>137</v>
      </c>
      <c r="L3" s="289">
        <v>45980</v>
      </c>
      <c r="M3" s="288">
        <v>1</v>
      </c>
      <c r="N3" s="288">
        <v>12</v>
      </c>
      <c r="O3" s="288">
        <v>45</v>
      </c>
      <c r="P3" s="285" t="s">
        <v>556</v>
      </c>
      <c r="Q3" s="281"/>
      <c r="R3" s="281"/>
      <c r="S3" s="281"/>
      <c r="T3" s="281"/>
      <c r="U3" s="281"/>
      <c r="V3" s="281"/>
      <c r="W3" s="281"/>
      <c r="X3" s="281"/>
      <c r="Y3" s="288" t="s">
        <v>416</v>
      </c>
      <c r="Z3" s="288" t="s">
        <v>847</v>
      </c>
      <c r="AA3" s="288" t="s">
        <v>512</v>
      </c>
      <c r="AB3" s="288" t="s">
        <v>352</v>
      </c>
      <c r="AC3" s="288" t="s">
        <v>789</v>
      </c>
      <c r="AD3" s="288" t="s">
        <v>943</v>
      </c>
      <c r="AE3" s="288" t="s">
        <v>944</v>
      </c>
      <c r="AF3" s="281"/>
      <c r="AG3" s="281"/>
      <c r="AH3" s="281"/>
      <c r="AI3" s="281"/>
      <c r="AJ3" s="281"/>
    </row>
    <row r="4" spans="1:36" ht="21" x14ac:dyDescent="0.3">
      <c r="A4" s="290" t="s">
        <v>976</v>
      </c>
      <c r="B4" s="291"/>
      <c r="C4" s="290">
        <f>SUBTOTAL(103,ELQ_CAI_LF_LEGACY[Flt])</f>
        <v>2</v>
      </c>
      <c r="D4" s="290"/>
      <c r="E4" s="290">
        <f>SUBTOTAL(103,ELQ_CAI_LF_LEGACY[Brd-Off])</f>
        <v>2</v>
      </c>
      <c r="F4" s="290"/>
      <c r="G4" s="292">
        <f>SUBTOTAL(101,ELQ_CAI_LF_LEGACY[LF%])</f>
        <v>0.65474999999999994</v>
      </c>
      <c r="H4" s="293">
        <f>SUBTOTAL(109,ELQ_CAI_LF_LEGACY[CAP])</f>
        <v>336</v>
      </c>
      <c r="I4" s="293">
        <f>SUBTOTAL(109,ELQ_CAI_LF_LEGACY[BKG(Y)])</f>
        <v>220</v>
      </c>
      <c r="J4" s="293">
        <f>SUBTOTAL(109,ELQ_CAI_LF_LEGACY[GRP(Y)])</f>
        <v>0</v>
      </c>
      <c r="K4" s="290"/>
      <c r="L4" s="291"/>
      <c r="M4" s="293">
        <f>SUBTOTAL(109,ELQ_CAI_LF_LEGACY[TO-DAY])</f>
        <v>5</v>
      </c>
      <c r="N4" s="293">
        <f>SUBTOTAL(109,ELQ_CAI_LF_LEGACY[Y-DAY])</f>
        <v>24</v>
      </c>
      <c r="O4" s="293">
        <f>SUBTOTAL(109,ELQ_CAI_LF_LEGACY[WEEKLY])</f>
        <v>79</v>
      </c>
      <c r="P4" s="294"/>
      <c r="Q4" s="293">
        <f>SUBTOTAL(109,ELQ_CAI_LF_LEGACY[Y])</f>
        <v>0</v>
      </c>
      <c r="R4" s="293">
        <f>SUBTOTAL(109,ELQ_CAI_LF_LEGACY[B])</f>
        <v>0</v>
      </c>
      <c r="S4" s="293">
        <f>SUBTOTAL(109,ELQ_CAI_LF_LEGACY[M])</f>
        <v>0</v>
      </c>
      <c r="T4" s="293">
        <f>SUBTOTAL(109,ELQ_CAI_LF_LEGACY[H])</f>
        <v>0</v>
      </c>
      <c r="U4" s="293">
        <f>SUBTOTAL(109,ELQ_CAI_LF_LEGACY[Q])</f>
        <v>0</v>
      </c>
      <c r="V4" s="293">
        <f>SUBTOTAL(109,ELQ_CAI_LF_LEGACY[K])</f>
        <v>0</v>
      </c>
      <c r="W4" s="293">
        <f>SUBTOTAL(109,ELQ_CAI_LF_LEGACY[V])</f>
        <v>0</v>
      </c>
      <c r="X4" s="293">
        <f>SUBTOTAL(109,ELQ_CAI_LF_LEGACY[L])</f>
        <v>0</v>
      </c>
      <c r="Y4" s="293">
        <f>SUBTOTAL(109,ELQ_CAI_LF_LEGACY[G])</f>
        <v>0</v>
      </c>
      <c r="Z4" s="293">
        <f>SUBTOTAL(109,ELQ_CAI_LF_LEGACY[S])</f>
        <v>0</v>
      </c>
      <c r="AA4" s="293">
        <f>SUBTOTAL(109,ELQ_CAI_LF_LEGACY[W])</f>
        <v>0</v>
      </c>
      <c r="AB4" s="293">
        <f>SUBTOTAL(109,ELQ_CAI_LF_LEGACY[T])</f>
        <v>0</v>
      </c>
      <c r="AC4" s="293">
        <f>SUBTOTAL(109,ELQ_CAI_LF_LEGACY[X])</f>
        <v>0</v>
      </c>
      <c r="AD4" s="293">
        <f>SUBTOTAL(109,ELQ_CAI_LF_LEGACY[U])</f>
        <v>0</v>
      </c>
      <c r="AE4" s="293">
        <f>SUBTOTAL(109,ELQ_CAI_LF_LEGACY[O])</f>
        <v>0</v>
      </c>
      <c r="AF4" s="293">
        <f>SUBTOTAL(109,ELQ_CAI_LF_LEGACY[I])</f>
        <v>0</v>
      </c>
      <c r="AG4" s="293">
        <f>SUBTOTAL(109,ELQ_CAI_LF_LEGACY[E])</f>
        <v>0</v>
      </c>
      <c r="AH4" s="293">
        <f>SUBTOTAL(109,ELQ_CAI_LF_LEGACY[A])</f>
        <v>0</v>
      </c>
      <c r="AI4" s="293">
        <f>SUBTOTAL(109,ELQ_CAI_LF_LEGACY[P])</f>
        <v>0</v>
      </c>
      <c r="AJ4" s="293">
        <f>SUBTOTAL(103,ELQ_CAI_LF_LEGACY[N])</f>
        <v>1</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109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243</v>
      </c>
      <c r="C2" s="62" t="s">
        <v>918</v>
      </c>
      <c r="D2" s="61" t="s">
        <v>917</v>
      </c>
      <c r="E2" s="61" t="s">
        <v>415</v>
      </c>
      <c r="F2" s="61" t="s">
        <v>615</v>
      </c>
      <c r="G2" s="63">
        <v>9</v>
      </c>
      <c r="H2" s="64">
        <v>532</v>
      </c>
    </row>
    <row r="3" spans="1:8" ht="19.8" customHeight="1" x14ac:dyDescent="0.3">
      <c r="A3" s="60" t="s">
        <v>162</v>
      </c>
      <c r="B3" s="61" t="s">
        <v>277</v>
      </c>
      <c r="C3" s="62" t="s">
        <v>921</v>
      </c>
      <c r="D3" s="61" t="s">
        <v>917</v>
      </c>
      <c r="E3" s="61" t="s">
        <v>945</v>
      </c>
      <c r="F3" s="61" t="s">
        <v>279</v>
      </c>
      <c r="G3" s="63">
        <v>9</v>
      </c>
      <c r="H3" s="64">
        <v>600</v>
      </c>
    </row>
    <row r="4" spans="1:8" ht="19.8" customHeight="1" x14ac:dyDescent="0.3">
      <c r="A4" s="96" t="s">
        <v>162</v>
      </c>
      <c r="B4" s="97" t="s">
        <v>78</v>
      </c>
      <c r="C4" s="98" t="s">
        <v>925</v>
      </c>
      <c r="D4" s="97" t="s">
        <v>917</v>
      </c>
      <c r="E4" s="97" t="s">
        <v>443</v>
      </c>
      <c r="F4" s="97" t="s">
        <v>178</v>
      </c>
      <c r="G4" s="99">
        <v>8</v>
      </c>
      <c r="H4" s="100">
        <v>622</v>
      </c>
    </row>
    <row r="5" spans="1:8" ht="19.8" customHeight="1" x14ac:dyDescent="0.3">
      <c r="A5" s="70">
        <v>45981</v>
      </c>
      <c r="B5" s="61" t="s">
        <v>277</v>
      </c>
      <c r="C5" s="62" t="s">
        <v>923</v>
      </c>
      <c r="D5" s="61" t="s">
        <v>917</v>
      </c>
      <c r="E5" s="71">
        <v>1.7361111111111109</v>
      </c>
      <c r="F5" s="61" t="s">
        <v>279</v>
      </c>
      <c r="G5" s="63">
        <v>9</v>
      </c>
      <c r="H5" s="64">
        <v>650</v>
      </c>
    </row>
    <row r="6" spans="1:8" ht="19.8" customHeight="1" x14ac:dyDescent="0.3">
      <c r="A6" s="70">
        <v>45981</v>
      </c>
      <c r="B6" s="61" t="s">
        <v>285</v>
      </c>
      <c r="C6" s="62" t="s">
        <v>929</v>
      </c>
      <c r="D6" s="61" t="s">
        <v>917</v>
      </c>
      <c r="E6" s="71">
        <v>1.65625</v>
      </c>
      <c r="F6" s="61" t="s">
        <v>279</v>
      </c>
      <c r="G6" s="63">
        <v>5</v>
      </c>
      <c r="H6" s="64">
        <v>650</v>
      </c>
    </row>
    <row r="7" spans="1:8" ht="19.8" customHeight="1" x14ac:dyDescent="0.3">
      <c r="A7" s="70">
        <v>45981</v>
      </c>
      <c r="B7" s="61" t="s">
        <v>243</v>
      </c>
      <c r="C7" s="62" t="s">
        <v>918</v>
      </c>
      <c r="D7" s="61" t="s">
        <v>917</v>
      </c>
      <c r="E7" s="71">
        <v>1.9375</v>
      </c>
      <c r="F7" s="61" t="s">
        <v>47</v>
      </c>
      <c r="G7" s="63">
        <v>9</v>
      </c>
      <c r="H7" s="64">
        <v>655</v>
      </c>
    </row>
    <row r="8" spans="1:8" ht="19.8" customHeight="1" x14ac:dyDescent="0.3">
      <c r="A8" s="72">
        <v>45981</v>
      </c>
      <c r="B8" s="73" t="s">
        <v>49</v>
      </c>
      <c r="C8" s="74" t="s">
        <v>930</v>
      </c>
      <c r="D8" s="73" t="s">
        <v>917</v>
      </c>
      <c r="E8" s="75">
        <v>1.0451388888888891</v>
      </c>
      <c r="F8" s="73" t="s">
        <v>51</v>
      </c>
      <c r="G8" s="76">
        <v>9</v>
      </c>
      <c r="H8" s="77" t="s">
        <v>931</v>
      </c>
    </row>
    <row r="9" spans="1:8" ht="19.8" customHeight="1" x14ac:dyDescent="0.3">
      <c r="A9" s="70">
        <v>45982</v>
      </c>
      <c r="B9" s="61" t="s">
        <v>277</v>
      </c>
      <c r="C9" s="62" t="s">
        <v>921</v>
      </c>
      <c r="D9" s="61" t="s">
        <v>917</v>
      </c>
      <c r="E9" s="71">
        <v>1.868055555555556</v>
      </c>
      <c r="F9" s="61" t="s">
        <v>279</v>
      </c>
      <c r="G9" s="63">
        <v>5</v>
      </c>
      <c r="H9" s="64">
        <v>650</v>
      </c>
    </row>
    <row r="10" spans="1:8" ht="19.8" customHeight="1" x14ac:dyDescent="0.3">
      <c r="A10" s="70">
        <v>45982</v>
      </c>
      <c r="B10" s="61" t="s">
        <v>285</v>
      </c>
      <c r="C10" s="62" t="s">
        <v>929</v>
      </c>
      <c r="D10" s="61" t="s">
        <v>917</v>
      </c>
      <c r="E10" s="71">
        <v>1.65625</v>
      </c>
      <c r="F10" s="61" t="s">
        <v>279</v>
      </c>
      <c r="G10" s="63">
        <v>2</v>
      </c>
      <c r="H10" s="64">
        <v>745</v>
      </c>
    </row>
    <row r="11" spans="1:8" ht="19.8" customHeight="1" x14ac:dyDescent="0.3">
      <c r="A11" s="72">
        <v>45982</v>
      </c>
      <c r="B11" s="73" t="s">
        <v>49</v>
      </c>
      <c r="C11" s="74" t="s">
        <v>930</v>
      </c>
      <c r="D11" s="73" t="s">
        <v>917</v>
      </c>
      <c r="E11" s="75">
        <v>1.0347222222222221</v>
      </c>
      <c r="F11" s="73" t="s">
        <v>51</v>
      </c>
      <c r="G11" s="76">
        <v>6</v>
      </c>
      <c r="H11" s="77" t="s">
        <v>94</v>
      </c>
    </row>
    <row r="12" spans="1:8" ht="19.8" customHeight="1" x14ac:dyDescent="0.3">
      <c r="A12" s="70">
        <v>45983</v>
      </c>
      <c r="B12" s="61" t="s">
        <v>285</v>
      </c>
      <c r="C12" s="62" t="s">
        <v>932</v>
      </c>
      <c r="D12" s="61" t="s">
        <v>917</v>
      </c>
      <c r="E12" s="71">
        <v>1.979166666666667</v>
      </c>
      <c r="F12" s="61" t="s">
        <v>279</v>
      </c>
      <c r="G12" s="63">
        <v>4</v>
      </c>
      <c r="H12" s="64">
        <v>550</v>
      </c>
    </row>
    <row r="13" spans="1:8" ht="19.8" customHeight="1" x14ac:dyDescent="0.3">
      <c r="A13" s="189">
        <v>45983</v>
      </c>
      <c r="B13" s="97" t="s">
        <v>78</v>
      </c>
      <c r="C13" s="98" t="s">
        <v>925</v>
      </c>
      <c r="D13" s="97" t="s">
        <v>917</v>
      </c>
      <c r="E13" s="190">
        <v>1.000694444444445</v>
      </c>
      <c r="F13" s="97" t="s">
        <v>178</v>
      </c>
      <c r="G13" s="99">
        <v>6</v>
      </c>
      <c r="H13" s="100">
        <v>562</v>
      </c>
    </row>
    <row r="14" spans="1:8" ht="19.8" customHeight="1" x14ac:dyDescent="0.3">
      <c r="A14" s="70">
        <v>45983</v>
      </c>
      <c r="B14" s="61" t="s">
        <v>277</v>
      </c>
      <c r="C14" s="62" t="s">
        <v>921</v>
      </c>
      <c r="D14" s="61" t="s">
        <v>917</v>
      </c>
      <c r="E14" s="71">
        <v>1.6076388888888891</v>
      </c>
      <c r="F14" s="61" t="s">
        <v>279</v>
      </c>
      <c r="G14" s="63">
        <v>3</v>
      </c>
      <c r="H14" s="64">
        <v>950</v>
      </c>
    </row>
    <row r="15" spans="1:8" ht="19.8" customHeight="1" x14ac:dyDescent="0.3">
      <c r="A15" s="72">
        <v>45983</v>
      </c>
      <c r="B15" s="73" t="s">
        <v>49</v>
      </c>
      <c r="C15" s="74" t="s">
        <v>930</v>
      </c>
      <c r="D15" s="73" t="s">
        <v>917</v>
      </c>
      <c r="E15" s="75">
        <v>1.03125</v>
      </c>
      <c r="F15" s="73" t="s">
        <v>51</v>
      </c>
      <c r="G15" s="76">
        <v>9</v>
      </c>
      <c r="H15" s="105">
        <v>984</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94.109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60" t="s">
        <v>162</v>
      </c>
      <c r="B2" s="61" t="s">
        <v>243</v>
      </c>
      <c r="C2" s="62" t="s">
        <v>918</v>
      </c>
      <c r="D2" s="61" t="s">
        <v>917</v>
      </c>
      <c r="E2" s="61" t="s">
        <v>415</v>
      </c>
      <c r="F2" s="61" t="s">
        <v>615</v>
      </c>
      <c r="G2" s="63">
        <v>9</v>
      </c>
      <c r="H2" s="64">
        <v>532</v>
      </c>
    </row>
    <row r="3" spans="1:8" ht="19.8" customHeight="1" x14ac:dyDescent="0.3">
      <c r="A3" s="60" t="s">
        <v>162</v>
      </c>
      <c r="B3" s="61" t="s">
        <v>277</v>
      </c>
      <c r="C3" s="62" t="s">
        <v>921</v>
      </c>
      <c r="D3" s="61" t="s">
        <v>917</v>
      </c>
      <c r="E3" s="61" t="s">
        <v>945</v>
      </c>
      <c r="F3" s="61" t="s">
        <v>279</v>
      </c>
      <c r="G3" s="63">
        <v>9</v>
      </c>
      <c r="H3" s="64">
        <v>600</v>
      </c>
    </row>
    <row r="4" spans="1:8" ht="19.8" customHeight="1" x14ac:dyDescent="0.3">
      <c r="A4" s="66" t="s">
        <v>162</v>
      </c>
      <c r="B4" s="67" t="s">
        <v>78</v>
      </c>
      <c r="C4" s="68" t="s">
        <v>925</v>
      </c>
      <c r="D4" s="67" t="s">
        <v>917</v>
      </c>
      <c r="E4" s="67" t="s">
        <v>443</v>
      </c>
      <c r="F4" s="67" t="s">
        <v>178</v>
      </c>
      <c r="G4" s="213">
        <v>8</v>
      </c>
      <c r="H4" s="214">
        <v>622</v>
      </c>
    </row>
    <row r="5" spans="1:8" ht="19.8" customHeight="1" x14ac:dyDescent="0.3">
      <c r="A5" s="70">
        <v>45982</v>
      </c>
      <c r="B5" s="61" t="s">
        <v>277</v>
      </c>
      <c r="C5" s="62" t="s">
        <v>921</v>
      </c>
      <c r="D5" s="61" t="s">
        <v>917</v>
      </c>
      <c r="E5" s="71">
        <v>1.868055555555556</v>
      </c>
      <c r="F5" s="61" t="s">
        <v>279</v>
      </c>
      <c r="G5" s="63">
        <v>5</v>
      </c>
      <c r="H5" s="64">
        <v>650</v>
      </c>
    </row>
    <row r="6" spans="1:8" ht="19.8" customHeight="1" x14ac:dyDescent="0.3">
      <c r="A6" s="70">
        <v>45982</v>
      </c>
      <c r="B6" s="61" t="s">
        <v>285</v>
      </c>
      <c r="C6" s="62" t="s">
        <v>929</v>
      </c>
      <c r="D6" s="61" t="s">
        <v>917</v>
      </c>
      <c r="E6" s="71">
        <v>1.65625</v>
      </c>
      <c r="F6" s="61" t="s">
        <v>279</v>
      </c>
      <c r="G6" s="63">
        <v>2</v>
      </c>
      <c r="H6" s="64">
        <v>745</v>
      </c>
    </row>
    <row r="7" spans="1:8" ht="19.8" customHeight="1" x14ac:dyDescent="0.3">
      <c r="A7" s="72">
        <v>45982</v>
      </c>
      <c r="B7" s="73" t="s">
        <v>49</v>
      </c>
      <c r="C7" s="74" t="s">
        <v>930</v>
      </c>
      <c r="D7" s="73" t="s">
        <v>917</v>
      </c>
      <c r="E7" s="75">
        <v>1.0347222222222221</v>
      </c>
      <c r="F7" s="73" t="s">
        <v>51</v>
      </c>
      <c r="G7" s="76">
        <v>6</v>
      </c>
      <c r="H7" s="77" t="s">
        <v>94</v>
      </c>
    </row>
    <row r="8" spans="1:8" ht="19.8" customHeight="1" x14ac:dyDescent="0.3">
      <c r="A8" s="70">
        <v>45983</v>
      </c>
      <c r="B8" s="61" t="s">
        <v>285</v>
      </c>
      <c r="C8" s="62" t="s">
        <v>932</v>
      </c>
      <c r="D8" s="61" t="s">
        <v>917</v>
      </c>
      <c r="E8" s="71">
        <v>1.979166666666667</v>
      </c>
      <c r="F8" s="61" t="s">
        <v>279</v>
      </c>
      <c r="G8" s="63">
        <v>4</v>
      </c>
      <c r="H8" s="64">
        <v>550</v>
      </c>
    </row>
    <row r="9" spans="1:8" ht="19.8" customHeight="1" x14ac:dyDescent="0.3">
      <c r="A9" s="78">
        <v>45983</v>
      </c>
      <c r="B9" s="67" t="s">
        <v>78</v>
      </c>
      <c r="C9" s="68" t="s">
        <v>925</v>
      </c>
      <c r="D9" s="67" t="s">
        <v>917</v>
      </c>
      <c r="E9" s="79">
        <v>1.000694444444445</v>
      </c>
      <c r="F9" s="67" t="s">
        <v>178</v>
      </c>
      <c r="G9" s="213">
        <v>6</v>
      </c>
      <c r="H9" s="214">
        <v>562</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1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8.5546875" bestFit="1" customWidth="1"/>
  </cols>
  <sheetData>
    <row r="1" spans="1:92" ht="28.8" customHeight="1" x14ac:dyDescent="0.3">
      <c r="A1" s="272" t="s">
        <v>0</v>
      </c>
      <c r="B1" s="261"/>
      <c r="C1" s="261"/>
      <c r="D1" s="261"/>
      <c r="E1" s="261"/>
      <c r="F1" s="1" t="s">
        <v>946</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45980.492486481402</v>
      </c>
      <c r="H2" s="261"/>
      <c r="I2" s="261"/>
      <c r="J2" s="261"/>
      <c r="K2" s="274">
        <v>45980.492486481657</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45983</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0" t="s">
        <v>78</v>
      </c>
      <c r="B6" s="80" t="s">
        <v>947</v>
      </c>
      <c r="C6" s="81">
        <v>0.85416666666666663</v>
      </c>
      <c r="D6" s="80" t="s">
        <v>178</v>
      </c>
      <c r="E6" s="80" t="s">
        <v>52</v>
      </c>
      <c r="F6" s="80" t="s">
        <v>948</v>
      </c>
      <c r="G6" s="266"/>
      <c r="H6" s="82" t="s">
        <v>949</v>
      </c>
      <c r="I6" s="257">
        <v>0.47020000000000001</v>
      </c>
      <c r="J6" s="84">
        <v>79</v>
      </c>
      <c r="K6" s="85">
        <v>45980</v>
      </c>
      <c r="L6" s="84">
        <v>45</v>
      </c>
      <c r="M6" s="84">
        <v>2</v>
      </c>
      <c r="N6" s="84">
        <v>6</v>
      </c>
      <c r="O6" s="86" t="s">
        <v>547</v>
      </c>
      <c r="P6" s="87">
        <v>0.85416666666666663</v>
      </c>
      <c r="Q6" s="84">
        <v>168</v>
      </c>
      <c r="R6" s="88" t="s">
        <v>950</v>
      </c>
    </row>
    <row r="7" spans="1:92" ht="18" x14ac:dyDescent="0.3">
      <c r="A7" s="278" t="s">
        <v>951</v>
      </c>
      <c r="B7" s="279"/>
      <c r="C7" s="279"/>
      <c r="D7" s="279"/>
      <c r="E7" s="279"/>
      <c r="F7" s="280"/>
      <c r="G7" s="267"/>
      <c r="H7" s="89"/>
      <c r="I7" s="89"/>
      <c r="J7" s="89"/>
      <c r="K7" s="89"/>
      <c r="L7" s="89"/>
      <c r="M7" s="89"/>
      <c r="N7" s="89"/>
      <c r="O7" s="90"/>
      <c r="P7" s="89"/>
      <c r="Q7" s="56"/>
      <c r="R7" s="56"/>
    </row>
    <row r="8" spans="1:92" ht="49.95" customHeight="1" x14ac:dyDescent="0.3">
      <c r="A8" s="17" t="s">
        <v>285</v>
      </c>
      <c r="B8" s="17" t="s">
        <v>932</v>
      </c>
      <c r="C8" s="18" t="s">
        <v>952</v>
      </c>
      <c r="D8" s="17" t="s">
        <v>279</v>
      </c>
      <c r="E8" s="17" t="s">
        <v>462</v>
      </c>
      <c r="F8" s="17" t="s">
        <v>933</v>
      </c>
      <c r="G8" s="267"/>
      <c r="H8" s="89"/>
      <c r="I8" s="89"/>
      <c r="J8" s="89"/>
      <c r="K8" s="89"/>
      <c r="L8" s="89"/>
      <c r="M8" s="89"/>
      <c r="N8" s="89"/>
      <c r="O8" s="90"/>
      <c r="P8" s="89"/>
      <c r="Q8" s="56"/>
      <c r="R8" s="56"/>
    </row>
    <row r="9" spans="1:92" ht="49.95" customHeight="1" x14ac:dyDescent="0.3">
      <c r="A9" s="17" t="s">
        <v>78</v>
      </c>
      <c r="B9" s="17" t="s">
        <v>925</v>
      </c>
      <c r="C9" s="18" t="s">
        <v>942</v>
      </c>
      <c r="D9" s="17" t="s">
        <v>178</v>
      </c>
      <c r="E9" s="17" t="s">
        <v>477</v>
      </c>
      <c r="F9" s="17" t="s">
        <v>934</v>
      </c>
      <c r="G9" s="267"/>
      <c r="H9" s="89"/>
      <c r="I9" s="89"/>
      <c r="J9" s="89"/>
      <c r="K9" s="89"/>
      <c r="L9" s="89"/>
      <c r="M9" s="89"/>
      <c r="N9" s="89"/>
      <c r="O9" s="90"/>
      <c r="P9" s="89"/>
      <c r="Q9" s="56"/>
      <c r="R9" s="56"/>
    </row>
    <row r="10" spans="1:92" ht="49.95" customHeight="1" x14ac:dyDescent="0.3">
      <c r="A10" s="17" t="s">
        <v>277</v>
      </c>
      <c r="B10" s="17" t="s">
        <v>921</v>
      </c>
      <c r="C10" s="18" t="s">
        <v>953</v>
      </c>
      <c r="D10" s="17" t="s">
        <v>279</v>
      </c>
      <c r="E10" s="17" t="s">
        <v>476</v>
      </c>
      <c r="F10" s="17" t="s">
        <v>936</v>
      </c>
      <c r="G10" s="267"/>
      <c r="H10" s="89"/>
      <c r="I10" s="89"/>
      <c r="J10" s="89"/>
      <c r="K10" s="89"/>
      <c r="L10" s="89"/>
      <c r="M10" s="89"/>
      <c r="N10" s="89"/>
      <c r="O10" s="90"/>
      <c r="P10" s="89"/>
      <c r="Q10" s="56"/>
      <c r="R10" s="56"/>
    </row>
    <row r="11" spans="1:92" ht="49.95" customHeight="1" x14ac:dyDescent="0.3">
      <c r="A11" s="91" t="s">
        <v>49</v>
      </c>
      <c r="B11" s="91" t="s">
        <v>930</v>
      </c>
      <c r="C11" s="92" t="s">
        <v>954</v>
      </c>
      <c r="D11" s="91" t="s">
        <v>51</v>
      </c>
      <c r="E11" s="91" t="s">
        <v>187</v>
      </c>
      <c r="F11" s="91" t="s">
        <v>937</v>
      </c>
      <c r="G11" s="268"/>
      <c r="H11" s="93"/>
      <c r="I11" s="93"/>
      <c r="J11" s="93"/>
      <c r="K11" s="93"/>
      <c r="L11" s="93"/>
      <c r="M11" s="93"/>
      <c r="N11" s="93"/>
      <c r="O11" s="94"/>
      <c r="P11" s="93"/>
      <c r="Q11" s="95"/>
      <c r="R11" s="95"/>
    </row>
  </sheetData>
  <mergeCells count="11">
    <mergeCell ref="A4:F4"/>
    <mergeCell ref="G6:G11"/>
    <mergeCell ref="H4:R4"/>
    <mergeCell ref="A7:F7"/>
    <mergeCell ref="N1:R1"/>
    <mergeCell ref="A2:F2"/>
    <mergeCell ref="A3:R3"/>
    <mergeCell ref="H1:L1"/>
    <mergeCell ref="A1:E1"/>
    <mergeCell ref="G2:J2"/>
    <mergeCell ref="K2:R2"/>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3"/>
  <sheetViews>
    <sheetView workbookViewId="0"/>
  </sheetViews>
  <sheetFormatPr defaultRowHeight="15.6" outlineLevelCol="1" x14ac:dyDescent="0.3"/>
  <cols>
    <col min="1" max="1" width="9.77734375" style="282" bestFit="1" customWidth="1"/>
    <col min="2" max="2" width="10.44140625" style="282" bestFit="1" customWidth="1"/>
    <col min="3" max="3" width="6.77734375" style="282" bestFit="1" customWidth="1"/>
    <col min="4" max="4" width="5.5546875" style="282" bestFit="1" customWidth="1"/>
    <col min="5" max="5" width="8.10937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9" width="3.88671875" style="282" bestFit="1" customWidth="1"/>
    <col min="30" max="31" width="4.5546875" style="282" bestFit="1" customWidth="1"/>
    <col min="32"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150</v>
      </c>
      <c r="B2" s="284">
        <v>45983</v>
      </c>
      <c r="C2" s="285" t="s">
        <v>949</v>
      </c>
      <c r="D2" s="286" t="s">
        <v>169</v>
      </c>
      <c r="E2" s="285" t="s">
        <v>946</v>
      </c>
      <c r="F2" s="285" t="s">
        <v>136</v>
      </c>
      <c r="G2" s="287">
        <v>0.47020000000000001</v>
      </c>
      <c r="H2" s="288">
        <v>168</v>
      </c>
      <c r="I2" s="288">
        <v>79</v>
      </c>
      <c r="J2" s="288">
        <v>0</v>
      </c>
      <c r="K2" s="285" t="s">
        <v>137</v>
      </c>
      <c r="L2" s="289">
        <v>45980</v>
      </c>
      <c r="M2" s="288">
        <v>2</v>
      </c>
      <c r="N2" s="288">
        <v>6</v>
      </c>
      <c r="O2" s="288">
        <v>45</v>
      </c>
      <c r="P2" s="285" t="s">
        <v>547</v>
      </c>
      <c r="Q2" s="281"/>
      <c r="R2" s="281"/>
      <c r="S2" s="281"/>
      <c r="T2" s="281"/>
      <c r="U2" s="281"/>
      <c r="V2" s="281"/>
      <c r="W2" s="281"/>
      <c r="X2" s="281"/>
      <c r="Y2" s="281"/>
      <c r="Z2" s="281"/>
      <c r="AA2" s="281"/>
      <c r="AB2" s="281"/>
      <c r="AC2" s="288" t="s">
        <v>547</v>
      </c>
      <c r="AD2" s="288" t="s">
        <v>210</v>
      </c>
      <c r="AE2" s="288" t="s">
        <v>955</v>
      </c>
      <c r="AF2" s="281"/>
      <c r="AG2" s="281"/>
      <c r="AH2" s="281"/>
      <c r="AI2" s="281"/>
      <c r="AJ2" s="281"/>
    </row>
    <row r="3" spans="1:36" ht="21" x14ac:dyDescent="0.3">
      <c r="A3" s="290" t="s">
        <v>976</v>
      </c>
      <c r="B3" s="291"/>
      <c r="C3" s="290">
        <f>SUBTOTAL(103,ELQ_ATZ_LF_LEGACY[Flt])</f>
        <v>1</v>
      </c>
      <c r="D3" s="290"/>
      <c r="E3" s="290">
        <f>SUBTOTAL(103,ELQ_ATZ_LF_LEGACY[Brd-Off])</f>
        <v>1</v>
      </c>
      <c r="F3" s="290"/>
      <c r="G3" s="292">
        <f>SUBTOTAL(101,ELQ_ATZ_LF_LEGACY[LF%])</f>
        <v>0.47020000000000001</v>
      </c>
      <c r="H3" s="293">
        <f>SUBTOTAL(109,ELQ_ATZ_LF_LEGACY[CAP])</f>
        <v>168</v>
      </c>
      <c r="I3" s="293">
        <f>SUBTOTAL(109,ELQ_ATZ_LF_LEGACY[BKG(Y)])</f>
        <v>79</v>
      </c>
      <c r="J3" s="293">
        <f>SUBTOTAL(109,ELQ_ATZ_LF_LEGACY[GRP(Y)])</f>
        <v>0</v>
      </c>
      <c r="K3" s="290"/>
      <c r="L3" s="291"/>
      <c r="M3" s="293">
        <f>SUBTOTAL(109,ELQ_ATZ_LF_LEGACY[TO-DAY])</f>
        <v>2</v>
      </c>
      <c r="N3" s="293">
        <f>SUBTOTAL(109,ELQ_ATZ_LF_LEGACY[Y-DAY])</f>
        <v>6</v>
      </c>
      <c r="O3" s="293">
        <f>SUBTOTAL(109,ELQ_ATZ_LF_LEGACY[WEEKLY])</f>
        <v>45</v>
      </c>
      <c r="P3" s="294"/>
      <c r="Q3" s="293">
        <f>SUBTOTAL(109,ELQ_ATZ_LF_LEGACY[Y])</f>
        <v>0</v>
      </c>
      <c r="R3" s="293">
        <f>SUBTOTAL(109,ELQ_ATZ_LF_LEGACY[B])</f>
        <v>0</v>
      </c>
      <c r="S3" s="293">
        <f>SUBTOTAL(109,ELQ_ATZ_LF_LEGACY[M])</f>
        <v>0</v>
      </c>
      <c r="T3" s="293">
        <f>SUBTOTAL(109,ELQ_ATZ_LF_LEGACY[H])</f>
        <v>0</v>
      </c>
      <c r="U3" s="293">
        <f>SUBTOTAL(109,ELQ_ATZ_LF_LEGACY[Q])</f>
        <v>0</v>
      </c>
      <c r="V3" s="293">
        <f>SUBTOTAL(109,ELQ_ATZ_LF_LEGACY[K])</f>
        <v>0</v>
      </c>
      <c r="W3" s="293">
        <f>SUBTOTAL(109,ELQ_ATZ_LF_LEGACY[V])</f>
        <v>0</v>
      </c>
      <c r="X3" s="293">
        <f>SUBTOTAL(109,ELQ_ATZ_LF_LEGACY[L])</f>
        <v>0</v>
      </c>
      <c r="Y3" s="293">
        <f>SUBTOTAL(109,ELQ_ATZ_LF_LEGACY[G])</f>
        <v>0</v>
      </c>
      <c r="Z3" s="293">
        <f>SUBTOTAL(109,ELQ_ATZ_LF_LEGACY[S])</f>
        <v>0</v>
      </c>
      <c r="AA3" s="293">
        <f>SUBTOTAL(109,ELQ_ATZ_LF_LEGACY[W])</f>
        <v>0</v>
      </c>
      <c r="AB3" s="293">
        <f>SUBTOTAL(109,ELQ_ATZ_LF_LEGACY[T])</f>
        <v>0</v>
      </c>
      <c r="AC3" s="293">
        <f>SUBTOTAL(109,ELQ_ATZ_LF_LEGACY[X])</f>
        <v>0</v>
      </c>
      <c r="AD3" s="293">
        <f>SUBTOTAL(109,ELQ_ATZ_LF_LEGACY[U])</f>
        <v>0</v>
      </c>
      <c r="AE3" s="293">
        <f>SUBTOTAL(109,ELQ_ATZ_LF_LEGACY[O])</f>
        <v>0</v>
      </c>
      <c r="AF3" s="293">
        <f>SUBTOTAL(109,ELQ_ATZ_LF_LEGACY[I])</f>
        <v>0</v>
      </c>
      <c r="AG3" s="293">
        <f>SUBTOTAL(109,ELQ_ATZ_LF_LEGACY[E])</f>
        <v>0</v>
      </c>
      <c r="AH3" s="293">
        <f>SUBTOTAL(109,ELQ_ATZ_LF_LEGACY[A])</f>
        <v>0</v>
      </c>
      <c r="AI3" s="293">
        <f>SUBTOTAL(109,ELQ_ATZ_LF_LEGACY[P])</f>
        <v>0</v>
      </c>
      <c r="AJ3" s="293">
        <f>SUBTOTAL(103,ELQ_ATZ_LF_LEGACY[N])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1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9.664062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01"/>
      <c r="B2" s="102"/>
      <c r="C2" s="102"/>
      <c r="D2" s="102"/>
      <c r="E2" s="102"/>
      <c r="F2" s="103" t="s">
        <v>956</v>
      </c>
      <c r="G2" s="102"/>
      <c r="H2" s="104"/>
    </row>
    <row r="3" spans="1:8" ht="19.8" customHeight="1" x14ac:dyDescent="0.3">
      <c r="A3" s="60" t="s">
        <v>162</v>
      </c>
      <c r="B3" s="61" t="s">
        <v>243</v>
      </c>
      <c r="C3" s="62" t="s">
        <v>918</v>
      </c>
      <c r="D3" s="61" t="s">
        <v>917</v>
      </c>
      <c r="E3" s="61" t="s">
        <v>415</v>
      </c>
      <c r="F3" s="61" t="s">
        <v>615</v>
      </c>
      <c r="G3" s="63">
        <v>9</v>
      </c>
      <c r="H3" s="64">
        <v>532</v>
      </c>
    </row>
    <row r="4" spans="1:8" ht="19.8" customHeight="1" x14ac:dyDescent="0.3">
      <c r="A4" s="60" t="s">
        <v>162</v>
      </c>
      <c r="B4" s="61" t="s">
        <v>277</v>
      </c>
      <c r="C4" s="62" t="s">
        <v>921</v>
      </c>
      <c r="D4" s="61" t="s">
        <v>917</v>
      </c>
      <c r="E4" s="61" t="s">
        <v>945</v>
      </c>
      <c r="F4" s="61" t="s">
        <v>279</v>
      </c>
      <c r="G4" s="63">
        <v>9</v>
      </c>
      <c r="H4" s="64">
        <v>600</v>
      </c>
    </row>
    <row r="5" spans="1:8" ht="19.8" customHeight="1" x14ac:dyDescent="0.3">
      <c r="A5" s="60" t="s">
        <v>162</v>
      </c>
      <c r="B5" s="61" t="s">
        <v>78</v>
      </c>
      <c r="C5" s="62" t="s">
        <v>925</v>
      </c>
      <c r="D5" s="61" t="s">
        <v>917</v>
      </c>
      <c r="E5" s="61" t="s">
        <v>443</v>
      </c>
      <c r="F5" s="61" t="s">
        <v>178</v>
      </c>
      <c r="G5" s="63">
        <v>8</v>
      </c>
      <c r="H5" s="64">
        <v>622</v>
      </c>
    </row>
    <row r="6" spans="1:8" ht="19.8" customHeight="1" x14ac:dyDescent="0.3">
      <c r="A6" s="60" t="s">
        <v>162</v>
      </c>
      <c r="B6" s="61" t="s">
        <v>277</v>
      </c>
      <c r="C6" s="62" t="s">
        <v>923</v>
      </c>
      <c r="D6" s="61" t="s">
        <v>917</v>
      </c>
      <c r="E6" s="61" t="s">
        <v>411</v>
      </c>
      <c r="F6" s="61" t="s">
        <v>279</v>
      </c>
      <c r="G6" s="63">
        <v>9</v>
      </c>
      <c r="H6" s="64">
        <v>650</v>
      </c>
    </row>
    <row r="7" spans="1:8" ht="19.8" customHeight="1" x14ac:dyDescent="0.3">
      <c r="A7" s="60" t="s">
        <v>162</v>
      </c>
      <c r="B7" s="61" t="s">
        <v>285</v>
      </c>
      <c r="C7" s="62" t="s">
        <v>929</v>
      </c>
      <c r="D7" s="61" t="s">
        <v>917</v>
      </c>
      <c r="E7" s="61" t="s">
        <v>957</v>
      </c>
      <c r="F7" s="61" t="s">
        <v>279</v>
      </c>
      <c r="G7" s="63">
        <v>5</v>
      </c>
      <c r="H7" s="64">
        <v>650</v>
      </c>
    </row>
    <row r="8" spans="1:8" ht="19.8" customHeight="1" x14ac:dyDescent="0.3">
      <c r="A8" s="60" t="s">
        <v>162</v>
      </c>
      <c r="B8" s="61" t="s">
        <v>243</v>
      </c>
      <c r="C8" s="62" t="s">
        <v>918</v>
      </c>
      <c r="D8" s="61" t="s">
        <v>917</v>
      </c>
      <c r="E8" s="61" t="s">
        <v>415</v>
      </c>
      <c r="F8" s="61" t="s">
        <v>47</v>
      </c>
      <c r="G8" s="63">
        <v>9</v>
      </c>
      <c r="H8" s="64">
        <v>655</v>
      </c>
    </row>
    <row r="9" spans="1:8" ht="19.8" customHeight="1" x14ac:dyDescent="0.3">
      <c r="A9" s="116" t="s">
        <v>162</v>
      </c>
      <c r="B9" s="73" t="s">
        <v>49</v>
      </c>
      <c r="C9" s="74" t="s">
        <v>930</v>
      </c>
      <c r="D9" s="73" t="s">
        <v>917</v>
      </c>
      <c r="E9" s="73" t="s">
        <v>900</v>
      </c>
      <c r="F9" s="73" t="s">
        <v>51</v>
      </c>
      <c r="G9" s="76">
        <v>9</v>
      </c>
      <c r="H9" s="77" t="s">
        <v>931</v>
      </c>
    </row>
    <row r="10" spans="1:8" ht="19.8" customHeight="1" x14ac:dyDescent="0.3">
      <c r="A10" s="101"/>
      <c r="B10" s="102"/>
      <c r="C10" s="102"/>
      <c r="D10" s="102"/>
      <c r="E10" s="102"/>
      <c r="F10" s="103" t="s">
        <v>956</v>
      </c>
      <c r="G10" s="102"/>
      <c r="H10" s="104"/>
    </row>
    <row r="11" spans="1:8" ht="19.8" customHeight="1" x14ac:dyDescent="0.3">
      <c r="A11" s="60" t="s">
        <v>214</v>
      </c>
      <c r="B11" s="61" t="s">
        <v>277</v>
      </c>
      <c r="C11" s="62" t="s">
        <v>921</v>
      </c>
      <c r="D11" s="61" t="s">
        <v>917</v>
      </c>
      <c r="E11" s="61" t="s">
        <v>958</v>
      </c>
      <c r="F11" s="61" t="s">
        <v>279</v>
      </c>
      <c r="G11" s="63">
        <v>5</v>
      </c>
      <c r="H11" s="64">
        <v>650</v>
      </c>
    </row>
    <row r="12" spans="1:8" ht="19.8" customHeight="1" x14ac:dyDescent="0.3">
      <c r="A12" s="60" t="s">
        <v>214</v>
      </c>
      <c r="B12" s="61" t="s">
        <v>285</v>
      </c>
      <c r="C12" s="62" t="s">
        <v>929</v>
      </c>
      <c r="D12" s="61" t="s">
        <v>917</v>
      </c>
      <c r="E12" s="61" t="s">
        <v>957</v>
      </c>
      <c r="F12" s="61" t="s">
        <v>279</v>
      </c>
      <c r="G12" s="63">
        <v>2</v>
      </c>
      <c r="H12" s="64">
        <v>745</v>
      </c>
    </row>
    <row r="13" spans="1:8" ht="19.8" customHeight="1" x14ac:dyDescent="0.3">
      <c r="A13" s="116" t="s">
        <v>214</v>
      </c>
      <c r="B13" s="73" t="s">
        <v>49</v>
      </c>
      <c r="C13" s="74" t="s">
        <v>930</v>
      </c>
      <c r="D13" s="73" t="s">
        <v>917</v>
      </c>
      <c r="E13" s="73" t="s">
        <v>959</v>
      </c>
      <c r="F13" s="73" t="s">
        <v>51</v>
      </c>
      <c r="G13" s="76">
        <v>6</v>
      </c>
      <c r="H13" s="77" t="s">
        <v>94</v>
      </c>
    </row>
    <row r="14" spans="1:8" ht="19.8" customHeight="1" x14ac:dyDescent="0.3">
      <c r="A14" s="96" t="s">
        <v>216</v>
      </c>
      <c r="B14" s="97" t="s">
        <v>78</v>
      </c>
      <c r="C14" s="98" t="s">
        <v>947</v>
      </c>
      <c r="D14" s="97" t="s">
        <v>946</v>
      </c>
      <c r="E14" s="97" t="s">
        <v>169</v>
      </c>
      <c r="F14" s="97" t="s">
        <v>178</v>
      </c>
      <c r="G14" s="99">
        <v>9</v>
      </c>
      <c r="H14" s="100">
        <v>500</v>
      </c>
    </row>
    <row r="15" spans="1:8" ht="19.8" customHeight="1" x14ac:dyDescent="0.3">
      <c r="A15" s="101"/>
      <c r="B15" s="102"/>
      <c r="C15" s="102"/>
      <c r="D15" s="102"/>
      <c r="E15" s="102"/>
      <c r="F15" s="103" t="s">
        <v>956</v>
      </c>
      <c r="G15" s="102"/>
      <c r="H15" s="104"/>
    </row>
    <row r="16" spans="1:8" ht="19.8" customHeight="1" x14ac:dyDescent="0.3">
      <c r="A16" s="70">
        <v>45983</v>
      </c>
      <c r="B16" s="61" t="s">
        <v>285</v>
      </c>
      <c r="C16" s="62" t="s">
        <v>932</v>
      </c>
      <c r="D16" s="61" t="s">
        <v>917</v>
      </c>
      <c r="E16" s="71">
        <v>1.979166666666667</v>
      </c>
      <c r="F16" s="61" t="s">
        <v>279</v>
      </c>
      <c r="G16" s="63">
        <v>4</v>
      </c>
      <c r="H16" s="64">
        <v>550</v>
      </c>
    </row>
    <row r="17" spans="1:8" ht="19.8" customHeight="1" x14ac:dyDescent="0.3">
      <c r="A17" s="70">
        <v>45983</v>
      </c>
      <c r="B17" s="61" t="s">
        <v>78</v>
      </c>
      <c r="C17" s="62" t="s">
        <v>925</v>
      </c>
      <c r="D17" s="61" t="s">
        <v>917</v>
      </c>
      <c r="E17" s="71">
        <v>1.000694444444445</v>
      </c>
      <c r="F17" s="61" t="s">
        <v>178</v>
      </c>
      <c r="G17" s="63">
        <v>6</v>
      </c>
      <c r="H17" s="64">
        <v>562</v>
      </c>
    </row>
    <row r="18" spans="1:8" ht="19.8" customHeight="1" x14ac:dyDescent="0.3">
      <c r="A18" s="70">
        <v>45983</v>
      </c>
      <c r="B18" s="61" t="s">
        <v>277</v>
      </c>
      <c r="C18" s="62" t="s">
        <v>921</v>
      </c>
      <c r="D18" s="61" t="s">
        <v>917</v>
      </c>
      <c r="E18" s="71">
        <v>1.6076388888888891</v>
      </c>
      <c r="F18" s="61" t="s">
        <v>279</v>
      </c>
      <c r="G18" s="63">
        <v>3</v>
      </c>
      <c r="H18" s="64">
        <v>950</v>
      </c>
    </row>
    <row r="19" spans="1:8" ht="19.8" customHeight="1" x14ac:dyDescent="0.3">
      <c r="A19" s="72">
        <v>45983</v>
      </c>
      <c r="B19" s="73" t="s">
        <v>49</v>
      </c>
      <c r="C19" s="74" t="s">
        <v>930</v>
      </c>
      <c r="D19" s="73" t="s">
        <v>917</v>
      </c>
      <c r="E19" s="75">
        <v>1.03125</v>
      </c>
      <c r="F19" s="73" t="s">
        <v>51</v>
      </c>
      <c r="G19" s="76">
        <v>9</v>
      </c>
      <c r="H19" s="105">
        <v>984</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16"/>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7.21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5.109375" bestFit="1" customWidth="1"/>
  </cols>
  <sheetData>
    <row r="1" spans="1:92" ht="28.8" customHeight="1" x14ac:dyDescent="0.3">
      <c r="A1" s="272" t="s">
        <v>0</v>
      </c>
      <c r="B1" s="261"/>
      <c r="C1" s="261"/>
      <c r="D1" s="261"/>
      <c r="E1" s="261"/>
      <c r="F1" s="1" t="s">
        <v>960</v>
      </c>
      <c r="G1" s="2" t="s">
        <v>2</v>
      </c>
      <c r="H1" s="271">
        <v>45981</v>
      </c>
      <c r="I1" s="261"/>
      <c r="J1" s="261"/>
      <c r="K1" s="261"/>
      <c r="L1" s="261"/>
      <c r="M1" s="1" t="s">
        <v>3</v>
      </c>
      <c r="N1" s="277">
        <v>45983</v>
      </c>
      <c r="O1" s="261"/>
      <c r="P1" s="261"/>
      <c r="Q1" s="261"/>
      <c r="R1" s="261"/>
      <c r="CA1" s="3"/>
      <c r="CB1" s="3"/>
      <c r="CC1" s="3"/>
      <c r="CD1" s="3"/>
      <c r="CE1" s="3"/>
      <c r="CF1" s="3"/>
      <c r="CG1" s="3"/>
      <c r="CH1" s="3"/>
      <c r="CI1" s="3"/>
      <c r="CJ1" s="3"/>
      <c r="CK1" s="3"/>
      <c r="CL1" s="3"/>
      <c r="CM1" s="3"/>
      <c r="CN1" s="3"/>
    </row>
    <row r="2" spans="1:92" ht="23.4" customHeight="1" x14ac:dyDescent="0.3">
      <c r="A2" s="260" t="s">
        <v>4</v>
      </c>
      <c r="B2" s="261"/>
      <c r="C2" s="261"/>
      <c r="D2" s="261"/>
      <c r="E2" s="261"/>
      <c r="F2" s="261"/>
      <c r="G2" s="273">
        <v>45980.492488415301</v>
      </c>
      <c r="H2" s="261"/>
      <c r="I2" s="261"/>
      <c r="J2" s="261"/>
      <c r="K2" s="274">
        <v>45980.492488415533</v>
      </c>
      <c r="L2" s="261"/>
      <c r="M2" s="261"/>
      <c r="N2" s="261"/>
      <c r="O2" s="261"/>
      <c r="P2" s="261"/>
      <c r="Q2" s="261"/>
      <c r="R2" s="261"/>
      <c r="CA2" s="3"/>
      <c r="CB2" s="3"/>
      <c r="CC2" s="3"/>
      <c r="CD2" s="3"/>
      <c r="CE2" s="3"/>
      <c r="CF2" s="3"/>
      <c r="CG2" s="3"/>
      <c r="CH2" s="3"/>
      <c r="CI2" s="3"/>
      <c r="CJ2" s="3"/>
      <c r="CK2" s="3"/>
      <c r="CL2" s="3"/>
      <c r="CM2" s="3"/>
      <c r="CN2" s="3"/>
    </row>
    <row r="3" spans="1:92" ht="24" customHeight="1" x14ac:dyDescent="0.3">
      <c r="A3" s="265" t="s">
        <v>5</v>
      </c>
      <c r="B3" s="261"/>
      <c r="C3" s="261"/>
      <c r="D3" s="261"/>
      <c r="E3" s="261"/>
      <c r="F3" s="261"/>
      <c r="G3" s="261"/>
      <c r="H3" s="261"/>
      <c r="I3" s="261"/>
      <c r="J3" s="261"/>
      <c r="K3" s="261"/>
      <c r="L3" s="261"/>
      <c r="M3" s="261"/>
      <c r="N3" s="261"/>
      <c r="O3" s="261"/>
      <c r="P3" s="261"/>
      <c r="Q3" s="261"/>
      <c r="R3" s="261"/>
      <c r="CA3" s="3"/>
      <c r="CB3" s="3"/>
      <c r="CC3" s="3"/>
      <c r="CD3" s="3"/>
      <c r="CE3" s="3"/>
      <c r="CF3" s="3"/>
      <c r="CG3" s="3"/>
      <c r="CH3" s="3"/>
      <c r="CI3" s="3"/>
      <c r="CJ3" s="3"/>
      <c r="CK3" s="3"/>
      <c r="CL3" s="3"/>
      <c r="CM3" s="3"/>
      <c r="CN3" s="3"/>
    </row>
    <row r="4" spans="1:92" ht="22.05" customHeight="1" x14ac:dyDescent="0.3">
      <c r="A4" s="275" t="s">
        <v>6</v>
      </c>
      <c r="B4" s="263"/>
      <c r="C4" s="263"/>
      <c r="D4" s="263"/>
      <c r="E4" s="263"/>
      <c r="F4" s="264"/>
      <c r="G4" s="4">
        <v>45981</v>
      </c>
      <c r="H4" s="276" t="s">
        <v>7</v>
      </c>
      <c r="I4" s="263"/>
      <c r="J4" s="263"/>
      <c r="K4" s="263"/>
      <c r="L4" s="263"/>
      <c r="M4" s="263"/>
      <c r="N4" s="263"/>
      <c r="O4" s="263"/>
      <c r="P4" s="263"/>
      <c r="Q4" s="263"/>
      <c r="R4" s="26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253" t="s">
        <v>285</v>
      </c>
      <c r="B6" s="253" t="s">
        <v>961</v>
      </c>
      <c r="C6" s="254">
        <v>0.54166666666666663</v>
      </c>
      <c r="D6" s="253" t="s">
        <v>279</v>
      </c>
      <c r="E6" s="253" t="s">
        <v>495</v>
      </c>
      <c r="F6" s="253" t="s">
        <v>962</v>
      </c>
      <c r="G6" s="266"/>
      <c r="H6" s="41"/>
      <c r="I6" s="42"/>
      <c r="J6" s="42"/>
      <c r="K6" s="42"/>
      <c r="L6" s="42"/>
      <c r="M6" s="42"/>
      <c r="N6" s="42"/>
      <c r="O6" s="43"/>
      <c r="P6" s="42"/>
      <c r="Q6" s="44"/>
      <c r="R6" s="45"/>
    </row>
    <row r="7" spans="1:92" ht="17.399999999999999" customHeight="1" thickBot="1" x14ac:dyDescent="0.35">
      <c r="A7" s="295"/>
      <c r="B7" s="296"/>
      <c r="C7" s="296"/>
      <c r="D7" s="296"/>
      <c r="E7" s="296"/>
      <c r="F7" s="296"/>
      <c r="G7" s="296"/>
      <c r="H7" s="296"/>
      <c r="I7" s="296"/>
      <c r="J7" s="296"/>
      <c r="K7" s="296"/>
      <c r="L7" s="296"/>
      <c r="M7" s="296"/>
      <c r="N7" s="296"/>
      <c r="O7" s="296"/>
      <c r="P7" s="296"/>
      <c r="Q7" s="296"/>
      <c r="R7" s="297"/>
    </row>
    <row r="8" spans="1:92" ht="22.05" customHeight="1" thickTop="1" thickBot="1" x14ac:dyDescent="0.35">
      <c r="A8" s="262" t="s">
        <v>6</v>
      </c>
      <c r="B8" s="263"/>
      <c r="C8" s="263"/>
      <c r="D8" s="263"/>
      <c r="E8" s="263"/>
      <c r="F8" s="264"/>
      <c r="G8" s="31">
        <v>45982</v>
      </c>
      <c r="H8" s="270" t="s">
        <v>7</v>
      </c>
      <c r="I8" s="263"/>
      <c r="J8" s="263"/>
      <c r="K8" s="263"/>
      <c r="L8" s="263"/>
      <c r="M8" s="263"/>
      <c r="N8" s="263"/>
      <c r="O8" s="263"/>
      <c r="P8" s="263"/>
      <c r="Q8" s="263"/>
      <c r="R8" s="264"/>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8" t="s">
        <v>243</v>
      </c>
      <c r="B10" s="8" t="s">
        <v>963</v>
      </c>
      <c r="C10" s="9">
        <v>0.1736111111111111</v>
      </c>
      <c r="D10" s="8" t="s">
        <v>615</v>
      </c>
      <c r="E10" s="8" t="s">
        <v>29</v>
      </c>
      <c r="F10" s="8" t="s">
        <v>964</v>
      </c>
      <c r="G10" s="266"/>
      <c r="H10" s="10"/>
      <c r="I10" s="11"/>
      <c r="J10" s="11"/>
      <c r="K10" s="11"/>
      <c r="L10" s="11"/>
      <c r="M10" s="11"/>
      <c r="N10" s="11"/>
      <c r="O10" s="12"/>
      <c r="P10" s="11"/>
      <c r="Q10" s="13"/>
      <c r="R10" s="14"/>
    </row>
    <row r="11" spans="1:92" ht="49.95" customHeight="1" x14ac:dyDescent="0.3">
      <c r="A11" s="15" t="s">
        <v>243</v>
      </c>
      <c r="B11" s="15" t="s">
        <v>963</v>
      </c>
      <c r="C11" s="16">
        <v>0.1736111111111111</v>
      </c>
      <c r="D11" s="15" t="s">
        <v>47</v>
      </c>
      <c r="E11" s="15" t="s">
        <v>32</v>
      </c>
      <c r="F11" s="15" t="s">
        <v>965</v>
      </c>
      <c r="G11" s="267"/>
      <c r="H11" s="10"/>
      <c r="I11" s="11"/>
      <c r="J11" s="11"/>
      <c r="K11" s="11"/>
      <c r="L11" s="11"/>
      <c r="M11" s="11"/>
      <c r="N11" s="11"/>
      <c r="O11" s="12"/>
      <c r="P11" s="11"/>
      <c r="Q11" s="13"/>
      <c r="R11" s="14"/>
    </row>
    <row r="12" spans="1:92" ht="49.95" customHeight="1" thickBot="1" x14ac:dyDescent="0.35">
      <c r="A12" s="219" t="s">
        <v>78</v>
      </c>
      <c r="B12" s="219" t="s">
        <v>966</v>
      </c>
      <c r="C12" s="220">
        <v>2.0833333333333329E-2</v>
      </c>
      <c r="D12" s="219" t="s">
        <v>178</v>
      </c>
      <c r="E12" s="219" t="s">
        <v>90</v>
      </c>
      <c r="F12" s="219" t="s">
        <v>967</v>
      </c>
      <c r="G12" s="268"/>
      <c r="H12" s="221" t="s">
        <v>968</v>
      </c>
      <c r="I12" s="258">
        <v>0.61309999999999998</v>
      </c>
      <c r="J12" s="223">
        <v>103</v>
      </c>
      <c r="K12" s="224">
        <v>45980</v>
      </c>
      <c r="L12" s="223">
        <v>31</v>
      </c>
      <c r="M12" s="223">
        <v>1</v>
      </c>
      <c r="N12" s="223">
        <v>6</v>
      </c>
      <c r="O12" s="225" t="s">
        <v>152</v>
      </c>
      <c r="P12" s="226">
        <v>2.0833333333333329E-2</v>
      </c>
      <c r="Q12" s="223">
        <v>168</v>
      </c>
      <c r="R12" s="227" t="s">
        <v>969</v>
      </c>
    </row>
    <row r="13" spans="1:92" ht="17.399999999999999" customHeight="1" thickBot="1" x14ac:dyDescent="0.35">
      <c r="A13" s="295"/>
      <c r="B13" s="296"/>
      <c r="C13" s="296"/>
      <c r="D13" s="296"/>
      <c r="E13" s="296"/>
      <c r="F13" s="296"/>
      <c r="G13" s="296"/>
      <c r="H13" s="296"/>
      <c r="I13" s="296"/>
      <c r="J13" s="296"/>
      <c r="K13" s="296"/>
      <c r="L13" s="296"/>
      <c r="M13" s="296"/>
      <c r="N13" s="296"/>
      <c r="O13" s="296"/>
      <c r="P13" s="296"/>
      <c r="Q13" s="296"/>
      <c r="R13" s="297"/>
    </row>
    <row r="14" spans="1:92" ht="22.05" customHeight="1" thickTop="1" thickBot="1" x14ac:dyDescent="0.35">
      <c r="A14" s="262" t="s">
        <v>6</v>
      </c>
      <c r="B14" s="263"/>
      <c r="C14" s="263"/>
      <c r="D14" s="263"/>
      <c r="E14" s="263"/>
      <c r="F14" s="264"/>
      <c r="G14" s="31">
        <v>45983</v>
      </c>
      <c r="H14" s="270" t="s">
        <v>7</v>
      </c>
      <c r="I14" s="263"/>
      <c r="J14" s="263"/>
      <c r="K14" s="263"/>
      <c r="L14" s="263"/>
      <c r="M14" s="263"/>
      <c r="N14" s="263"/>
      <c r="O14" s="263"/>
      <c r="P14" s="263"/>
      <c r="Q14" s="263"/>
      <c r="R14" s="264"/>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45">
      <c r="A16" s="253" t="s">
        <v>285</v>
      </c>
      <c r="B16" s="253" t="s">
        <v>961</v>
      </c>
      <c r="C16" s="254">
        <v>0.54166666666666663</v>
      </c>
      <c r="D16" s="253" t="s">
        <v>279</v>
      </c>
      <c r="E16" s="253" t="s">
        <v>179</v>
      </c>
      <c r="F16" s="253" t="s">
        <v>970</v>
      </c>
      <c r="G16" s="266"/>
      <c r="H16" s="41"/>
      <c r="I16" s="42"/>
      <c r="J16" s="42"/>
      <c r="K16" s="42"/>
      <c r="L16" s="42"/>
      <c r="M16" s="42"/>
      <c r="N16" s="42"/>
      <c r="O16" s="43"/>
      <c r="P16" s="42"/>
      <c r="Q16" s="44"/>
      <c r="R16" s="45"/>
    </row>
  </sheetData>
  <mergeCells count="18">
    <mergeCell ref="G16"/>
    <mergeCell ref="H4:R4"/>
    <mergeCell ref="H14:R14"/>
    <mergeCell ref="G6"/>
    <mergeCell ref="N1:R1"/>
    <mergeCell ref="A14:F14"/>
    <mergeCell ref="A8:F8"/>
    <mergeCell ref="A13:R13"/>
    <mergeCell ref="H1:L1"/>
    <mergeCell ref="A1:E1"/>
    <mergeCell ref="G2:J2"/>
    <mergeCell ref="K2:R2"/>
    <mergeCell ref="A4:F4"/>
    <mergeCell ref="G10:G12"/>
    <mergeCell ref="A2:F2"/>
    <mergeCell ref="A3:R3"/>
    <mergeCell ref="H8:R8"/>
    <mergeCell ref="A7:R7"/>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3"/>
  <sheetViews>
    <sheetView workbookViewId="0"/>
  </sheetViews>
  <sheetFormatPr defaultRowHeight="15.6" outlineLevelCol="1" x14ac:dyDescent="0.3"/>
  <cols>
    <col min="1" max="1" width="6.88671875" style="282" bestFit="1" customWidth="1"/>
    <col min="2" max="2" width="10.44140625" style="282" bestFit="1" customWidth="1"/>
    <col min="3" max="3" width="6.77734375" style="282" bestFit="1" customWidth="1"/>
    <col min="4" max="4" width="5.5546875" style="282" bestFit="1" customWidth="1"/>
    <col min="5" max="5" width="7.44140625" style="282" bestFit="1" customWidth="1"/>
    <col min="6" max="6" width="4.21875" style="282" bestFit="1" customWidth="1"/>
    <col min="7" max="7" width="10" style="282" bestFit="1" customWidth="1"/>
    <col min="8" max="10" width="7" style="282" bestFit="1" customWidth="1"/>
    <col min="11" max="11" width="10.5546875" style="282" bestFit="1" customWidth="1"/>
    <col min="12" max="12" width="9.109375" style="282" bestFit="1" customWidth="1"/>
    <col min="13" max="13" width="7.6640625" style="282" bestFit="1" customWidth="1" outlineLevel="1"/>
    <col min="14" max="14" width="6.33203125" style="282" bestFit="1" customWidth="1" outlineLevel="1"/>
    <col min="15" max="15" width="8" style="282" bestFit="1" customWidth="1" outlineLevel="1"/>
    <col min="16" max="16" width="13.6640625" style="282" bestFit="1" customWidth="1"/>
    <col min="17" max="20" width="3.88671875" style="282" bestFit="1" customWidth="1"/>
    <col min="21" max="21" width="4.5546875" style="282" bestFit="1" customWidth="1"/>
    <col min="22" max="22" width="4.21875" style="282" bestFit="1" customWidth="1"/>
    <col min="23" max="23" width="4.33203125" style="282" bestFit="1" customWidth="1"/>
    <col min="24" max="24" width="4.109375" style="282" bestFit="1" customWidth="1"/>
    <col min="25" max="25" width="4.44140625" style="282" bestFit="1" customWidth="1"/>
    <col min="26" max="26" width="3.88671875" style="282" bestFit="1" customWidth="1"/>
    <col min="27" max="27" width="4" style="282" bestFit="1" customWidth="1"/>
    <col min="28" max="36" width="3.88671875" style="282" bestFit="1" customWidth="1"/>
    <col min="37" max="16384" width="8.88671875" style="282"/>
  </cols>
  <sheetData>
    <row r="1" spans="1:36" x14ac:dyDescent="0.3">
      <c r="A1" s="281" t="s">
        <v>105</v>
      </c>
      <c r="B1" s="281" t="s">
        <v>106</v>
      </c>
      <c r="C1" s="281" t="s">
        <v>107</v>
      </c>
      <c r="D1" s="281" t="s">
        <v>23</v>
      </c>
      <c r="E1" s="281" t="s">
        <v>108</v>
      </c>
      <c r="F1" s="281" t="s">
        <v>109</v>
      </c>
      <c r="G1" s="281" t="s">
        <v>16</v>
      </c>
      <c r="H1" s="281" t="s">
        <v>110</v>
      </c>
      <c r="I1" s="281" t="s">
        <v>111</v>
      </c>
      <c r="J1" s="281" t="s">
        <v>112</v>
      </c>
      <c r="K1" s="281" t="s">
        <v>113</v>
      </c>
      <c r="L1" s="281" t="s">
        <v>18</v>
      </c>
      <c r="M1" s="281" t="s">
        <v>20</v>
      </c>
      <c r="N1" s="281" t="s">
        <v>21</v>
      </c>
      <c r="O1" s="281" t="s">
        <v>19</v>
      </c>
      <c r="P1" s="281" t="s">
        <v>22</v>
      </c>
      <c r="Q1" s="281" t="s">
        <v>114</v>
      </c>
      <c r="R1" s="281" t="s">
        <v>115</v>
      </c>
      <c r="S1" s="281" t="s">
        <v>116</v>
      </c>
      <c r="T1" s="281" t="s">
        <v>117</v>
      </c>
      <c r="U1" s="281" t="s">
        <v>118</v>
      </c>
      <c r="V1" s="281" t="s">
        <v>119</v>
      </c>
      <c r="W1" s="281" t="s">
        <v>120</v>
      </c>
      <c r="X1" s="281" t="s">
        <v>121</v>
      </c>
      <c r="Y1" s="281" t="s">
        <v>122</v>
      </c>
      <c r="Z1" s="281" t="s">
        <v>123</v>
      </c>
      <c r="AA1" s="281" t="s">
        <v>124</v>
      </c>
      <c r="AB1" s="281" t="s">
        <v>125</v>
      </c>
      <c r="AC1" s="281" t="s">
        <v>126</v>
      </c>
      <c r="AD1" s="281" t="s">
        <v>127</v>
      </c>
      <c r="AE1" s="281" t="s">
        <v>128</v>
      </c>
      <c r="AF1" s="281" t="s">
        <v>129</v>
      </c>
      <c r="AG1" s="281" t="s">
        <v>130</v>
      </c>
      <c r="AH1" s="281" t="s">
        <v>131</v>
      </c>
      <c r="AI1" s="281" t="s">
        <v>132</v>
      </c>
      <c r="AJ1" s="281" t="s">
        <v>133</v>
      </c>
    </row>
    <row r="2" spans="1:36" x14ac:dyDescent="0.3">
      <c r="A2" s="283" t="s">
        <v>393</v>
      </c>
      <c r="B2" s="284">
        <v>45982</v>
      </c>
      <c r="C2" s="285" t="s">
        <v>968</v>
      </c>
      <c r="D2" s="286" t="s">
        <v>971</v>
      </c>
      <c r="E2" s="285" t="s">
        <v>960</v>
      </c>
      <c r="F2" s="285" t="s">
        <v>136</v>
      </c>
      <c r="G2" s="287">
        <v>0.61309999999999998</v>
      </c>
      <c r="H2" s="288">
        <v>168</v>
      </c>
      <c r="I2" s="288">
        <v>103</v>
      </c>
      <c r="J2" s="288">
        <v>0</v>
      </c>
      <c r="K2" s="285" t="s">
        <v>137</v>
      </c>
      <c r="L2" s="289">
        <v>45980</v>
      </c>
      <c r="M2" s="288">
        <v>1</v>
      </c>
      <c r="N2" s="288">
        <v>6</v>
      </c>
      <c r="O2" s="288">
        <v>31</v>
      </c>
      <c r="P2" s="285" t="s">
        <v>152</v>
      </c>
      <c r="Q2" s="281"/>
      <c r="R2" s="281"/>
      <c r="S2" s="281"/>
      <c r="T2" s="281"/>
      <c r="U2" s="288" t="s">
        <v>138</v>
      </c>
      <c r="V2" s="288" t="s">
        <v>972</v>
      </c>
      <c r="W2" s="288" t="s">
        <v>766</v>
      </c>
      <c r="X2" s="288" t="s">
        <v>973</v>
      </c>
      <c r="Y2" s="288" t="s">
        <v>396</v>
      </c>
      <c r="Z2" s="288" t="s">
        <v>847</v>
      </c>
      <c r="AA2" s="288" t="s">
        <v>142</v>
      </c>
      <c r="AB2" s="281"/>
      <c r="AC2" s="281"/>
      <c r="AD2" s="281"/>
      <c r="AE2" s="281"/>
      <c r="AF2" s="281"/>
      <c r="AG2" s="281"/>
      <c r="AH2" s="281"/>
      <c r="AI2" s="281"/>
      <c r="AJ2" s="281"/>
    </row>
    <row r="3" spans="1:36" ht="21" x14ac:dyDescent="0.3">
      <c r="A3" s="290" t="s">
        <v>976</v>
      </c>
      <c r="B3" s="291"/>
      <c r="C3" s="290">
        <f>SUBTOTAL(103,GIZ_CAI_LF_LEGACY[Flt])</f>
        <v>1</v>
      </c>
      <c r="D3" s="290"/>
      <c r="E3" s="290">
        <f>SUBTOTAL(103,GIZ_CAI_LF_LEGACY[Brd-Off])</f>
        <v>1</v>
      </c>
      <c r="F3" s="290"/>
      <c r="G3" s="292">
        <f>SUBTOTAL(101,GIZ_CAI_LF_LEGACY[LF%])</f>
        <v>0.61309999999999998</v>
      </c>
      <c r="H3" s="293">
        <f>SUBTOTAL(109,GIZ_CAI_LF_LEGACY[CAP])</f>
        <v>168</v>
      </c>
      <c r="I3" s="293">
        <f>SUBTOTAL(109,GIZ_CAI_LF_LEGACY[BKG(Y)])</f>
        <v>103</v>
      </c>
      <c r="J3" s="293">
        <f>SUBTOTAL(109,GIZ_CAI_LF_LEGACY[GRP(Y)])</f>
        <v>0</v>
      </c>
      <c r="K3" s="290"/>
      <c r="L3" s="291"/>
      <c r="M3" s="293">
        <f>SUBTOTAL(109,GIZ_CAI_LF_LEGACY[TO-DAY])</f>
        <v>1</v>
      </c>
      <c r="N3" s="293">
        <f>SUBTOTAL(109,GIZ_CAI_LF_LEGACY[Y-DAY])</f>
        <v>6</v>
      </c>
      <c r="O3" s="293">
        <f>SUBTOTAL(109,GIZ_CAI_LF_LEGACY[WEEKLY])</f>
        <v>31</v>
      </c>
      <c r="P3" s="294"/>
      <c r="Q3" s="293">
        <f>SUBTOTAL(109,GIZ_CAI_LF_LEGACY[Y])</f>
        <v>0</v>
      </c>
      <c r="R3" s="293">
        <f>SUBTOTAL(109,GIZ_CAI_LF_LEGACY[B])</f>
        <v>0</v>
      </c>
      <c r="S3" s="293">
        <f>SUBTOTAL(109,GIZ_CAI_LF_LEGACY[M])</f>
        <v>0</v>
      </c>
      <c r="T3" s="293">
        <f>SUBTOTAL(109,GIZ_CAI_LF_LEGACY[H])</f>
        <v>0</v>
      </c>
      <c r="U3" s="293">
        <f>SUBTOTAL(109,GIZ_CAI_LF_LEGACY[Q])</f>
        <v>0</v>
      </c>
      <c r="V3" s="293">
        <f>SUBTOTAL(109,GIZ_CAI_LF_LEGACY[K])</f>
        <v>0</v>
      </c>
      <c r="W3" s="293">
        <f>SUBTOTAL(109,GIZ_CAI_LF_LEGACY[V])</f>
        <v>0</v>
      </c>
      <c r="X3" s="293">
        <f>SUBTOTAL(109,GIZ_CAI_LF_LEGACY[L])</f>
        <v>0</v>
      </c>
      <c r="Y3" s="293">
        <f>SUBTOTAL(109,GIZ_CAI_LF_LEGACY[G])</f>
        <v>0</v>
      </c>
      <c r="Z3" s="293">
        <f>SUBTOTAL(109,GIZ_CAI_LF_LEGACY[S])</f>
        <v>0</v>
      </c>
      <c r="AA3" s="293">
        <f>SUBTOTAL(109,GIZ_CAI_LF_LEGACY[W])</f>
        <v>0</v>
      </c>
      <c r="AB3" s="293">
        <f>SUBTOTAL(109,GIZ_CAI_LF_LEGACY[T])</f>
        <v>0</v>
      </c>
      <c r="AC3" s="293">
        <f>SUBTOTAL(109,GIZ_CAI_LF_LEGACY[X])</f>
        <v>0</v>
      </c>
      <c r="AD3" s="293">
        <f>SUBTOTAL(109,GIZ_CAI_LF_LEGACY[U])</f>
        <v>0</v>
      </c>
      <c r="AE3" s="293">
        <f>SUBTOTAL(109,GIZ_CAI_LF_LEGACY[O])</f>
        <v>0</v>
      </c>
      <c r="AF3" s="293">
        <f>SUBTOTAL(109,GIZ_CAI_LF_LEGACY[I])</f>
        <v>0</v>
      </c>
      <c r="AG3" s="293">
        <f>SUBTOTAL(109,GIZ_CAI_LF_LEGACY[E])</f>
        <v>0</v>
      </c>
      <c r="AH3" s="293">
        <f>SUBTOTAL(109,GIZ_CAI_LF_LEGACY[A])</f>
        <v>0</v>
      </c>
      <c r="AI3" s="293">
        <f>SUBTOTAL(109,GIZ_CAI_LF_LEGACY[P])</f>
        <v>0</v>
      </c>
      <c r="AJ3" s="293">
        <f>SUBTOTAL(103,GIZ_CAI_LF_LEGACY[N])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2.109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16" t="s">
        <v>162</v>
      </c>
      <c r="B2" s="73" t="s">
        <v>285</v>
      </c>
      <c r="C2" s="74" t="s">
        <v>961</v>
      </c>
      <c r="D2" s="73" t="s">
        <v>960</v>
      </c>
      <c r="E2" s="73" t="s">
        <v>974</v>
      </c>
      <c r="F2" s="73" t="s">
        <v>279</v>
      </c>
      <c r="G2" s="76">
        <v>6</v>
      </c>
      <c r="H2" s="77" t="s">
        <v>962</v>
      </c>
    </row>
    <row r="3" spans="1:8" ht="19.8" customHeight="1" x14ac:dyDescent="0.3">
      <c r="A3" s="60" t="s">
        <v>214</v>
      </c>
      <c r="B3" s="61" t="s">
        <v>243</v>
      </c>
      <c r="C3" s="62" t="s">
        <v>963</v>
      </c>
      <c r="D3" s="61" t="s">
        <v>960</v>
      </c>
      <c r="E3" s="61" t="s">
        <v>975</v>
      </c>
      <c r="F3" s="61" t="s">
        <v>615</v>
      </c>
      <c r="G3" s="63">
        <v>9</v>
      </c>
      <c r="H3" s="65" t="s">
        <v>964</v>
      </c>
    </row>
    <row r="4" spans="1:8" ht="19.8" customHeight="1" x14ac:dyDescent="0.3">
      <c r="A4" s="96" t="s">
        <v>214</v>
      </c>
      <c r="B4" s="97" t="s">
        <v>78</v>
      </c>
      <c r="C4" s="98" t="s">
        <v>966</v>
      </c>
      <c r="D4" s="97" t="s">
        <v>960</v>
      </c>
      <c r="E4" s="97" t="s">
        <v>971</v>
      </c>
      <c r="F4" s="97" t="s">
        <v>178</v>
      </c>
      <c r="G4" s="99">
        <v>4</v>
      </c>
      <c r="H4" s="117" t="s">
        <v>967</v>
      </c>
    </row>
    <row r="5" spans="1:8" ht="19.8" customHeight="1" x14ac:dyDescent="0.3">
      <c r="A5" s="72">
        <v>45982</v>
      </c>
      <c r="B5" s="73" t="s">
        <v>243</v>
      </c>
      <c r="C5" s="74" t="s">
        <v>963</v>
      </c>
      <c r="D5" s="73" t="s">
        <v>960</v>
      </c>
      <c r="E5" s="75">
        <v>1.1736111111111109</v>
      </c>
      <c r="F5" s="73" t="s">
        <v>47</v>
      </c>
      <c r="G5" s="76">
        <v>9</v>
      </c>
      <c r="H5" s="77" t="s">
        <v>965</v>
      </c>
    </row>
    <row r="6" spans="1:8" ht="19.8" customHeight="1" x14ac:dyDescent="0.3">
      <c r="A6" s="72">
        <v>45983</v>
      </c>
      <c r="B6" s="73" t="s">
        <v>285</v>
      </c>
      <c r="C6" s="74" t="s">
        <v>961</v>
      </c>
      <c r="D6" s="73" t="s">
        <v>960</v>
      </c>
      <c r="E6" s="75">
        <v>1.541666666666667</v>
      </c>
      <c r="F6" s="73" t="s">
        <v>279</v>
      </c>
      <c r="G6" s="76">
        <v>2</v>
      </c>
      <c r="H6" s="77" t="s">
        <v>970</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2.109375" hidden="1" customWidth="1"/>
  </cols>
  <sheetData>
    <row r="1" spans="1:8" ht="18" x14ac:dyDescent="0.3">
      <c r="A1" s="57" t="s">
        <v>160</v>
      </c>
      <c r="B1" s="58" t="s">
        <v>8</v>
      </c>
      <c r="C1" s="58" t="s">
        <v>9</v>
      </c>
      <c r="D1" s="58" t="s">
        <v>161</v>
      </c>
      <c r="E1" s="58" t="s">
        <v>10</v>
      </c>
      <c r="F1" s="58" t="s">
        <v>11</v>
      </c>
      <c r="G1" s="58" t="s">
        <v>12</v>
      </c>
      <c r="H1" s="59" t="s">
        <v>13</v>
      </c>
    </row>
    <row r="2" spans="1:8" ht="19.8" customHeight="1" x14ac:dyDescent="0.3">
      <c r="A2" s="116" t="s">
        <v>162</v>
      </c>
      <c r="B2" s="73" t="s">
        <v>285</v>
      </c>
      <c r="C2" s="74" t="s">
        <v>961</v>
      </c>
      <c r="D2" s="73" t="s">
        <v>960</v>
      </c>
      <c r="E2" s="73" t="s">
        <v>974</v>
      </c>
      <c r="F2" s="73" t="s">
        <v>279</v>
      </c>
      <c r="G2" s="76">
        <v>6</v>
      </c>
      <c r="H2" s="77" t="s">
        <v>962</v>
      </c>
    </row>
    <row r="3" spans="1:8" ht="19.8" customHeight="1" x14ac:dyDescent="0.3">
      <c r="A3" s="66" t="s">
        <v>214</v>
      </c>
      <c r="B3" s="67" t="s">
        <v>78</v>
      </c>
      <c r="C3" s="68" t="s">
        <v>966</v>
      </c>
      <c r="D3" s="67" t="s">
        <v>960</v>
      </c>
      <c r="E3" s="67" t="s">
        <v>971</v>
      </c>
      <c r="F3" s="67" t="s">
        <v>178</v>
      </c>
      <c r="G3" s="213">
        <v>4</v>
      </c>
      <c r="H3" s="69" t="s">
        <v>967</v>
      </c>
    </row>
    <row r="4" spans="1:8" ht="19.8" customHeight="1" x14ac:dyDescent="0.3">
      <c r="A4" s="72">
        <v>45983</v>
      </c>
      <c r="B4" s="73" t="s">
        <v>285</v>
      </c>
      <c r="C4" s="74" t="s">
        <v>961</v>
      </c>
      <c r="D4" s="73" t="s">
        <v>960</v>
      </c>
      <c r="E4" s="75">
        <v>1.541666666666667</v>
      </c>
      <c r="F4" s="73" t="s">
        <v>279</v>
      </c>
      <c r="G4" s="76">
        <v>2</v>
      </c>
      <c r="H4" s="77" t="s">
        <v>970</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55"/>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33" width="3" bestFit="1" customWidth="1"/>
    <col min="34" max="34" width="2.21875" bestFit="1" customWidth="1"/>
    <col min="35" max="35" width="4" bestFit="1" customWidth="1"/>
    <col min="36" max="36" width="2.33203125" bestFit="1" customWidth="1"/>
  </cols>
  <sheetData>
    <row r="1" spans="1:36" x14ac:dyDescent="0.3">
      <c r="A1" s="56" t="s">
        <v>105</v>
      </c>
      <c r="B1" s="56" t="s">
        <v>106</v>
      </c>
      <c r="C1" s="56" t="s">
        <v>107</v>
      </c>
      <c r="D1" s="56" t="s">
        <v>23</v>
      </c>
      <c r="E1" s="56" t="s">
        <v>108</v>
      </c>
      <c r="F1" s="56" t="s">
        <v>109</v>
      </c>
      <c r="G1" s="56" t="s">
        <v>16</v>
      </c>
      <c r="H1" s="56" t="s">
        <v>110</v>
      </c>
      <c r="I1" s="56" t="s">
        <v>111</v>
      </c>
      <c r="J1" s="56" t="s">
        <v>112</v>
      </c>
      <c r="K1" s="56" t="s">
        <v>113</v>
      </c>
      <c r="L1" s="56" t="s">
        <v>18</v>
      </c>
      <c r="M1" s="56" t="s">
        <v>20</v>
      </c>
      <c r="N1" s="56" t="s">
        <v>21</v>
      </c>
      <c r="O1" s="56" t="s">
        <v>19</v>
      </c>
      <c r="P1" s="56" t="s">
        <v>22</v>
      </c>
      <c r="Q1" s="56" t="s">
        <v>114</v>
      </c>
      <c r="R1" s="56" t="s">
        <v>115</v>
      </c>
      <c r="S1" s="56" t="s">
        <v>116</v>
      </c>
      <c r="T1" s="56" t="s">
        <v>117</v>
      </c>
      <c r="U1" s="56" t="s">
        <v>118</v>
      </c>
      <c r="V1" s="56" t="s">
        <v>119</v>
      </c>
      <c r="W1" s="56" t="s">
        <v>120</v>
      </c>
      <c r="X1" s="56" t="s">
        <v>121</v>
      </c>
      <c r="Y1" s="56" t="s">
        <v>122</v>
      </c>
      <c r="Z1" s="56" t="s">
        <v>123</v>
      </c>
      <c r="AA1" s="56" t="s">
        <v>124</v>
      </c>
      <c r="AB1" s="56" t="s">
        <v>125</v>
      </c>
      <c r="AC1" s="56" t="s">
        <v>126</v>
      </c>
      <c r="AD1" s="56" t="s">
        <v>127</v>
      </c>
      <c r="AE1" s="56" t="s">
        <v>128</v>
      </c>
      <c r="AF1" s="56" t="s">
        <v>129</v>
      </c>
      <c r="AG1" s="56" t="s">
        <v>130</v>
      </c>
      <c r="AH1" s="56" t="s">
        <v>131</v>
      </c>
      <c r="AI1" s="56" t="s">
        <v>132</v>
      </c>
      <c r="AJ1" s="56" t="s">
        <v>133</v>
      </c>
    </row>
    <row r="2" spans="1:36" x14ac:dyDescent="0.3">
      <c r="A2" t="s">
        <v>134</v>
      </c>
      <c r="B2" s="259">
        <v>45981</v>
      </c>
      <c r="C2" t="s">
        <v>890</v>
      </c>
      <c r="D2" t="s">
        <v>900</v>
      </c>
      <c r="E2" t="s">
        <v>887</v>
      </c>
      <c r="F2" t="s">
        <v>136</v>
      </c>
      <c r="G2">
        <v>0.61309999999999998</v>
      </c>
      <c r="H2">
        <v>168</v>
      </c>
      <c r="I2">
        <v>103</v>
      </c>
      <c r="J2">
        <v>0</v>
      </c>
      <c r="K2" t="s">
        <v>137</v>
      </c>
      <c r="L2" s="259">
        <v>45980</v>
      </c>
      <c r="M2">
        <v>7</v>
      </c>
      <c r="N2">
        <v>8</v>
      </c>
      <c r="O2">
        <v>49</v>
      </c>
      <c r="P2" t="s">
        <v>891</v>
      </c>
      <c r="Q2">
        <v>0</v>
      </c>
      <c r="R2">
        <v>0</v>
      </c>
      <c r="S2">
        <v>0</v>
      </c>
      <c r="T2">
        <v>0</v>
      </c>
      <c r="U2">
        <v>14</v>
      </c>
      <c r="V2">
        <v>18</v>
      </c>
      <c r="W2">
        <v>22</v>
      </c>
      <c r="X2">
        <v>33</v>
      </c>
      <c r="Y2">
        <v>8</v>
      </c>
      <c r="Z2">
        <v>2</v>
      </c>
      <c r="AA2">
        <v>6</v>
      </c>
      <c r="AB2">
        <v>0</v>
      </c>
      <c r="AC2">
        <v>0</v>
      </c>
      <c r="AD2">
        <v>0</v>
      </c>
      <c r="AE2">
        <v>0</v>
      </c>
      <c r="AF2">
        <v>0</v>
      </c>
      <c r="AG2">
        <v>0</v>
      </c>
      <c r="AH2">
        <v>0</v>
      </c>
      <c r="AI2">
        <v>0</v>
      </c>
      <c r="AJ2">
        <v>0</v>
      </c>
    </row>
    <row r="3" spans="1:36" x14ac:dyDescent="0.3">
      <c r="A3" t="s">
        <v>134</v>
      </c>
      <c r="B3" s="259">
        <v>45981</v>
      </c>
      <c r="C3" t="s">
        <v>838</v>
      </c>
      <c r="D3" t="s">
        <v>842</v>
      </c>
      <c r="E3" t="s">
        <v>834</v>
      </c>
      <c r="F3" t="s">
        <v>136</v>
      </c>
      <c r="G3">
        <v>0.92259999999999998</v>
      </c>
      <c r="H3">
        <v>168</v>
      </c>
      <c r="I3">
        <v>155</v>
      </c>
      <c r="J3">
        <v>0</v>
      </c>
      <c r="K3" t="s">
        <v>137</v>
      </c>
      <c r="L3" s="259">
        <v>45979</v>
      </c>
      <c r="M3">
        <v>0</v>
      </c>
      <c r="N3">
        <v>15</v>
      </c>
      <c r="O3">
        <v>41</v>
      </c>
      <c r="P3" t="s">
        <v>265</v>
      </c>
      <c r="Q3">
        <v>0</v>
      </c>
      <c r="R3">
        <v>0</v>
      </c>
      <c r="S3">
        <v>0</v>
      </c>
      <c r="T3">
        <v>0</v>
      </c>
      <c r="U3">
        <v>1</v>
      </c>
      <c r="V3">
        <v>3</v>
      </c>
      <c r="W3">
        <v>42</v>
      </c>
      <c r="X3">
        <v>2</v>
      </c>
      <c r="Y3">
        <v>16</v>
      </c>
      <c r="Z3">
        <v>20</v>
      </c>
      <c r="AA3">
        <v>4</v>
      </c>
      <c r="AB3">
        <v>12</v>
      </c>
      <c r="AC3">
        <v>1</v>
      </c>
      <c r="AD3">
        <v>11</v>
      </c>
      <c r="AE3">
        <v>23</v>
      </c>
      <c r="AF3">
        <v>20</v>
      </c>
      <c r="AG3">
        <v>0</v>
      </c>
      <c r="AH3">
        <v>0</v>
      </c>
      <c r="AI3">
        <v>0</v>
      </c>
      <c r="AJ3">
        <v>0</v>
      </c>
    </row>
    <row r="4" spans="1:36" x14ac:dyDescent="0.3">
      <c r="A4" t="s">
        <v>134</v>
      </c>
      <c r="B4" s="259">
        <v>45981</v>
      </c>
      <c r="C4" t="s">
        <v>735</v>
      </c>
      <c r="D4" t="s">
        <v>695</v>
      </c>
      <c r="E4" t="s">
        <v>717</v>
      </c>
      <c r="F4" t="s">
        <v>136</v>
      </c>
      <c r="G4">
        <v>0.58520000000000005</v>
      </c>
      <c r="H4">
        <v>176</v>
      </c>
      <c r="I4">
        <v>103</v>
      </c>
      <c r="J4">
        <v>0</v>
      </c>
      <c r="K4" t="s">
        <v>137</v>
      </c>
      <c r="L4" s="259">
        <v>45980</v>
      </c>
      <c r="M4">
        <v>1</v>
      </c>
      <c r="N4">
        <v>5</v>
      </c>
      <c r="O4">
        <v>23</v>
      </c>
      <c r="P4" t="s">
        <v>270</v>
      </c>
      <c r="Q4">
        <v>0</v>
      </c>
      <c r="R4">
        <v>0</v>
      </c>
      <c r="S4">
        <v>0</v>
      </c>
      <c r="T4">
        <v>0</v>
      </c>
      <c r="U4">
        <v>0</v>
      </c>
      <c r="V4">
        <v>2</v>
      </c>
      <c r="W4">
        <v>46</v>
      </c>
      <c r="X4">
        <v>16</v>
      </c>
      <c r="Y4">
        <v>13</v>
      </c>
      <c r="Z4">
        <v>10</v>
      </c>
      <c r="AA4">
        <v>3</v>
      </c>
      <c r="AB4">
        <v>0</v>
      </c>
      <c r="AC4">
        <v>4</v>
      </c>
      <c r="AD4">
        <v>5</v>
      </c>
      <c r="AE4">
        <v>4</v>
      </c>
      <c r="AF4">
        <v>0</v>
      </c>
      <c r="AG4">
        <v>0</v>
      </c>
      <c r="AH4">
        <v>0</v>
      </c>
      <c r="AI4">
        <v>0</v>
      </c>
      <c r="AJ4">
        <v>0</v>
      </c>
    </row>
    <row r="5" spans="1:36" x14ac:dyDescent="0.3">
      <c r="A5" t="s">
        <v>134</v>
      </c>
      <c r="B5" s="259">
        <v>45981</v>
      </c>
      <c r="C5" t="s">
        <v>927</v>
      </c>
      <c r="D5" t="s">
        <v>443</v>
      </c>
      <c r="E5" t="s">
        <v>917</v>
      </c>
      <c r="F5" t="s">
        <v>136</v>
      </c>
      <c r="G5">
        <v>0.66069999999999995</v>
      </c>
      <c r="H5">
        <v>168</v>
      </c>
      <c r="I5">
        <v>111</v>
      </c>
      <c r="J5">
        <v>0</v>
      </c>
      <c r="K5" t="s">
        <v>137</v>
      </c>
      <c r="L5" s="259">
        <v>45980</v>
      </c>
      <c r="M5">
        <v>4</v>
      </c>
      <c r="N5">
        <v>12</v>
      </c>
      <c r="O5">
        <v>34</v>
      </c>
      <c r="P5" t="s">
        <v>687</v>
      </c>
      <c r="Q5">
        <v>0</v>
      </c>
      <c r="R5">
        <v>0</v>
      </c>
      <c r="S5">
        <v>0</v>
      </c>
      <c r="T5">
        <v>0</v>
      </c>
      <c r="U5">
        <v>0</v>
      </c>
      <c r="V5">
        <v>2</v>
      </c>
      <c r="W5">
        <v>21</v>
      </c>
      <c r="X5">
        <v>23</v>
      </c>
      <c r="Y5">
        <v>15</v>
      </c>
      <c r="Z5">
        <v>37</v>
      </c>
      <c r="AA5">
        <v>0</v>
      </c>
      <c r="AB5">
        <v>0</v>
      </c>
      <c r="AC5">
        <v>1</v>
      </c>
      <c r="AD5">
        <v>6</v>
      </c>
      <c r="AE5">
        <v>2</v>
      </c>
      <c r="AF5">
        <v>2</v>
      </c>
      <c r="AG5">
        <v>0</v>
      </c>
      <c r="AH5">
        <v>0</v>
      </c>
      <c r="AI5">
        <v>0</v>
      </c>
      <c r="AJ5">
        <v>2</v>
      </c>
    </row>
    <row r="6" spans="1:36" x14ac:dyDescent="0.3">
      <c r="A6" t="s">
        <v>134</v>
      </c>
      <c r="B6" s="259">
        <v>45981</v>
      </c>
      <c r="C6" t="s">
        <v>526</v>
      </c>
      <c r="D6" t="s">
        <v>549</v>
      </c>
      <c r="E6" t="s">
        <v>523</v>
      </c>
      <c r="F6" t="s">
        <v>136</v>
      </c>
      <c r="G6">
        <v>0.58930000000000005</v>
      </c>
      <c r="H6">
        <v>168</v>
      </c>
      <c r="I6">
        <v>99</v>
      </c>
      <c r="J6">
        <v>0</v>
      </c>
      <c r="K6" t="s">
        <v>137</v>
      </c>
      <c r="L6" s="259">
        <v>45980</v>
      </c>
      <c r="M6">
        <v>3</v>
      </c>
      <c r="N6">
        <v>22</v>
      </c>
      <c r="O6">
        <v>57</v>
      </c>
      <c r="P6" t="s">
        <v>527</v>
      </c>
      <c r="Q6">
        <v>0</v>
      </c>
      <c r="R6">
        <v>0</v>
      </c>
      <c r="S6">
        <v>0</v>
      </c>
      <c r="T6">
        <v>0</v>
      </c>
      <c r="U6">
        <v>0</v>
      </c>
      <c r="V6">
        <v>0</v>
      </c>
      <c r="W6">
        <v>0</v>
      </c>
      <c r="X6">
        <v>0</v>
      </c>
      <c r="Y6">
        <v>0</v>
      </c>
      <c r="Z6">
        <v>0</v>
      </c>
      <c r="AA6">
        <v>0</v>
      </c>
      <c r="AB6">
        <v>0</v>
      </c>
      <c r="AC6">
        <v>1</v>
      </c>
      <c r="AD6">
        <v>16</v>
      </c>
      <c r="AE6">
        <v>24</v>
      </c>
      <c r="AF6">
        <v>57</v>
      </c>
      <c r="AG6">
        <v>0</v>
      </c>
      <c r="AH6">
        <v>0</v>
      </c>
      <c r="AI6">
        <v>1</v>
      </c>
      <c r="AJ6">
        <v>0</v>
      </c>
    </row>
    <row r="7" spans="1:36" x14ac:dyDescent="0.3">
      <c r="A7" t="s">
        <v>134</v>
      </c>
      <c r="B7" s="259">
        <v>45981</v>
      </c>
      <c r="C7" t="s">
        <v>531</v>
      </c>
      <c r="D7" t="s">
        <v>554</v>
      </c>
      <c r="E7" t="s">
        <v>523</v>
      </c>
      <c r="F7" t="s">
        <v>136</v>
      </c>
      <c r="G7">
        <v>0.74399999999999999</v>
      </c>
      <c r="H7">
        <v>168</v>
      </c>
      <c r="I7">
        <v>125</v>
      </c>
      <c r="J7">
        <v>92</v>
      </c>
      <c r="K7" t="s">
        <v>137</v>
      </c>
      <c r="L7" s="259">
        <v>45977</v>
      </c>
      <c r="M7">
        <v>0</v>
      </c>
      <c r="N7">
        <v>0</v>
      </c>
      <c r="O7">
        <v>10</v>
      </c>
      <c r="P7" t="s">
        <v>143</v>
      </c>
      <c r="Q7">
        <v>0</v>
      </c>
      <c r="R7">
        <v>0</v>
      </c>
      <c r="S7">
        <v>0</v>
      </c>
      <c r="T7">
        <v>0</v>
      </c>
      <c r="U7">
        <v>0</v>
      </c>
      <c r="V7">
        <v>0</v>
      </c>
      <c r="W7">
        <v>0</v>
      </c>
      <c r="X7">
        <v>0</v>
      </c>
      <c r="Y7">
        <v>0</v>
      </c>
      <c r="Z7">
        <v>1</v>
      </c>
      <c r="AA7">
        <v>6</v>
      </c>
      <c r="AB7">
        <v>17</v>
      </c>
      <c r="AC7">
        <v>0</v>
      </c>
      <c r="AD7">
        <v>2</v>
      </c>
      <c r="AE7">
        <v>2</v>
      </c>
      <c r="AF7">
        <v>5</v>
      </c>
      <c r="AG7">
        <v>1</v>
      </c>
      <c r="AH7">
        <v>0</v>
      </c>
      <c r="AI7">
        <v>91</v>
      </c>
      <c r="AJ7">
        <v>0</v>
      </c>
    </row>
    <row r="8" spans="1:36" x14ac:dyDescent="0.3">
      <c r="A8" t="s">
        <v>134</v>
      </c>
      <c r="B8" s="259">
        <v>45981</v>
      </c>
      <c r="C8" t="s">
        <v>535</v>
      </c>
      <c r="D8" t="s">
        <v>560</v>
      </c>
      <c r="E8" t="s">
        <v>523</v>
      </c>
      <c r="F8" t="s">
        <v>136</v>
      </c>
      <c r="G8">
        <v>0.70830000000000004</v>
      </c>
      <c r="H8">
        <v>168</v>
      </c>
      <c r="I8">
        <v>119</v>
      </c>
      <c r="J8">
        <v>39</v>
      </c>
      <c r="K8" t="s">
        <v>137</v>
      </c>
      <c r="L8" s="259">
        <v>45980</v>
      </c>
      <c r="M8">
        <v>5</v>
      </c>
      <c r="N8">
        <v>13</v>
      </c>
      <c r="O8">
        <v>60</v>
      </c>
      <c r="P8" t="s">
        <v>536</v>
      </c>
      <c r="Q8">
        <v>0</v>
      </c>
      <c r="R8">
        <v>0</v>
      </c>
      <c r="S8">
        <v>0</v>
      </c>
      <c r="T8">
        <v>0</v>
      </c>
      <c r="U8">
        <v>0</v>
      </c>
      <c r="V8">
        <v>0</v>
      </c>
      <c r="W8">
        <v>0</v>
      </c>
      <c r="X8">
        <v>0</v>
      </c>
      <c r="Y8">
        <v>0</v>
      </c>
      <c r="Z8">
        <v>3</v>
      </c>
      <c r="AA8">
        <v>17</v>
      </c>
      <c r="AB8">
        <v>16</v>
      </c>
      <c r="AC8">
        <v>6</v>
      </c>
      <c r="AD8">
        <v>17</v>
      </c>
      <c r="AE8">
        <v>16</v>
      </c>
      <c r="AF8">
        <v>5</v>
      </c>
      <c r="AG8">
        <v>0</v>
      </c>
      <c r="AH8">
        <v>0</v>
      </c>
      <c r="AI8">
        <v>39</v>
      </c>
      <c r="AJ8">
        <v>0</v>
      </c>
    </row>
    <row r="9" spans="1:36" x14ac:dyDescent="0.3">
      <c r="A9" t="s">
        <v>134</v>
      </c>
      <c r="B9" s="259">
        <v>45981</v>
      </c>
      <c r="C9" t="s">
        <v>264</v>
      </c>
      <c r="D9" t="s">
        <v>342</v>
      </c>
      <c r="E9" t="s">
        <v>218</v>
      </c>
      <c r="F9" t="s">
        <v>136</v>
      </c>
      <c r="G9">
        <v>0.76539999999999997</v>
      </c>
      <c r="H9">
        <v>179</v>
      </c>
      <c r="I9">
        <v>137</v>
      </c>
      <c r="J9">
        <v>28</v>
      </c>
      <c r="K9" t="s">
        <v>137</v>
      </c>
      <c r="L9" s="259">
        <v>45980</v>
      </c>
      <c r="M9">
        <v>1</v>
      </c>
      <c r="N9">
        <v>9</v>
      </c>
      <c r="O9">
        <v>36</v>
      </c>
      <c r="P9" t="s">
        <v>265</v>
      </c>
      <c r="Q9">
        <v>0</v>
      </c>
      <c r="R9">
        <v>0</v>
      </c>
      <c r="S9">
        <v>0</v>
      </c>
      <c r="T9">
        <v>0</v>
      </c>
      <c r="U9">
        <v>0</v>
      </c>
      <c r="V9">
        <v>0</v>
      </c>
      <c r="W9">
        <v>0</v>
      </c>
      <c r="X9">
        <v>16</v>
      </c>
      <c r="Y9">
        <v>28</v>
      </c>
      <c r="Z9">
        <v>36</v>
      </c>
      <c r="AA9">
        <v>29</v>
      </c>
      <c r="AB9">
        <v>0</v>
      </c>
      <c r="AC9">
        <v>0</v>
      </c>
      <c r="AD9">
        <v>0</v>
      </c>
      <c r="AE9">
        <v>0</v>
      </c>
      <c r="AF9">
        <v>0</v>
      </c>
      <c r="AG9">
        <v>0</v>
      </c>
      <c r="AH9">
        <v>0</v>
      </c>
      <c r="AI9">
        <v>28</v>
      </c>
      <c r="AJ9">
        <v>0</v>
      </c>
    </row>
    <row r="10" spans="1:36" x14ac:dyDescent="0.3">
      <c r="A10" t="s">
        <v>134</v>
      </c>
      <c r="B10" s="259">
        <v>45981</v>
      </c>
      <c r="C10" t="s">
        <v>254</v>
      </c>
      <c r="D10" t="s">
        <v>370</v>
      </c>
      <c r="E10" t="s">
        <v>218</v>
      </c>
      <c r="F10" t="s">
        <v>136</v>
      </c>
      <c r="G10">
        <v>0.56979999999999997</v>
      </c>
      <c r="H10">
        <v>179</v>
      </c>
      <c r="I10">
        <v>102</v>
      </c>
      <c r="J10">
        <v>2</v>
      </c>
      <c r="K10" t="s">
        <v>137</v>
      </c>
      <c r="L10" s="259">
        <v>45978</v>
      </c>
      <c r="M10">
        <v>0</v>
      </c>
      <c r="N10">
        <v>0</v>
      </c>
      <c r="O10">
        <v>16</v>
      </c>
      <c r="P10" t="s">
        <v>255</v>
      </c>
      <c r="Q10">
        <v>0</v>
      </c>
      <c r="R10">
        <v>0</v>
      </c>
      <c r="S10">
        <v>0</v>
      </c>
      <c r="T10">
        <v>0</v>
      </c>
      <c r="U10">
        <v>0</v>
      </c>
      <c r="V10">
        <v>0</v>
      </c>
      <c r="W10">
        <v>4</v>
      </c>
      <c r="X10">
        <v>28</v>
      </c>
      <c r="Y10">
        <v>19</v>
      </c>
      <c r="Z10">
        <v>10</v>
      </c>
      <c r="AA10">
        <v>10</v>
      </c>
      <c r="AB10">
        <v>9</v>
      </c>
      <c r="AC10">
        <v>6</v>
      </c>
      <c r="AD10">
        <v>1</v>
      </c>
      <c r="AE10">
        <v>5</v>
      </c>
      <c r="AF10">
        <v>6</v>
      </c>
      <c r="AG10">
        <v>0</v>
      </c>
      <c r="AH10">
        <v>0</v>
      </c>
      <c r="AI10">
        <v>2</v>
      </c>
      <c r="AJ10">
        <v>2</v>
      </c>
    </row>
    <row r="11" spans="1:36" x14ac:dyDescent="0.3">
      <c r="A11" t="s">
        <v>134</v>
      </c>
      <c r="B11" s="259">
        <v>45981</v>
      </c>
      <c r="C11" t="s">
        <v>249</v>
      </c>
      <c r="D11" t="s">
        <v>356</v>
      </c>
      <c r="E11" t="s">
        <v>218</v>
      </c>
      <c r="F11" t="s">
        <v>136</v>
      </c>
      <c r="G11">
        <v>0.87150000000000005</v>
      </c>
      <c r="H11">
        <v>179</v>
      </c>
      <c r="I11">
        <v>156</v>
      </c>
      <c r="J11">
        <v>72</v>
      </c>
      <c r="K11" t="s">
        <v>137</v>
      </c>
      <c r="L11" s="259">
        <v>45980</v>
      </c>
      <c r="M11">
        <v>1</v>
      </c>
      <c r="N11">
        <v>5</v>
      </c>
      <c r="O11">
        <v>12</v>
      </c>
      <c r="P11" t="s">
        <v>250</v>
      </c>
      <c r="Q11">
        <v>0</v>
      </c>
      <c r="R11">
        <v>0</v>
      </c>
      <c r="S11">
        <v>0</v>
      </c>
      <c r="T11">
        <v>0</v>
      </c>
      <c r="U11">
        <v>0</v>
      </c>
      <c r="V11">
        <v>0</v>
      </c>
      <c r="W11">
        <v>1</v>
      </c>
      <c r="X11">
        <v>11</v>
      </c>
      <c r="Y11">
        <v>20</v>
      </c>
      <c r="Z11">
        <v>21</v>
      </c>
      <c r="AA11">
        <v>31</v>
      </c>
      <c r="AB11">
        <v>0</v>
      </c>
      <c r="AC11">
        <v>0</v>
      </c>
      <c r="AD11">
        <v>0</v>
      </c>
      <c r="AE11">
        <v>0</v>
      </c>
      <c r="AF11">
        <v>0</v>
      </c>
      <c r="AG11">
        <v>69</v>
      </c>
      <c r="AH11">
        <v>0</v>
      </c>
      <c r="AI11">
        <v>1</v>
      </c>
      <c r="AJ11">
        <v>2</v>
      </c>
    </row>
    <row r="12" spans="1:36" x14ac:dyDescent="0.3">
      <c r="A12" t="s">
        <v>134</v>
      </c>
      <c r="B12" s="259">
        <v>45981</v>
      </c>
      <c r="C12" t="s">
        <v>261</v>
      </c>
      <c r="D12" t="s">
        <v>348</v>
      </c>
      <c r="E12" t="s">
        <v>218</v>
      </c>
      <c r="F12" t="s">
        <v>136</v>
      </c>
      <c r="G12">
        <v>0.92510000000000003</v>
      </c>
      <c r="H12">
        <v>187</v>
      </c>
      <c r="I12">
        <v>173</v>
      </c>
      <c r="J12">
        <v>60</v>
      </c>
      <c r="K12" t="s">
        <v>137</v>
      </c>
      <c r="L12" s="259">
        <v>45979</v>
      </c>
      <c r="M12">
        <v>0</v>
      </c>
      <c r="N12">
        <v>4</v>
      </c>
      <c r="O12">
        <v>15</v>
      </c>
      <c r="P12" t="s">
        <v>140</v>
      </c>
      <c r="Q12">
        <v>0</v>
      </c>
      <c r="R12">
        <v>0</v>
      </c>
      <c r="S12">
        <v>0</v>
      </c>
      <c r="T12">
        <v>0</v>
      </c>
      <c r="U12">
        <v>0</v>
      </c>
      <c r="V12">
        <v>0</v>
      </c>
      <c r="W12">
        <v>0</v>
      </c>
      <c r="X12">
        <v>13</v>
      </c>
      <c r="Y12">
        <v>42</v>
      </c>
      <c r="Z12">
        <v>15</v>
      </c>
      <c r="AA12">
        <v>13</v>
      </c>
      <c r="AB12">
        <v>10</v>
      </c>
      <c r="AC12">
        <v>5</v>
      </c>
      <c r="AD12">
        <v>5</v>
      </c>
      <c r="AE12">
        <v>5</v>
      </c>
      <c r="AF12">
        <v>5</v>
      </c>
      <c r="AG12">
        <v>0</v>
      </c>
      <c r="AH12">
        <v>0</v>
      </c>
      <c r="AI12">
        <v>60</v>
      </c>
      <c r="AJ12">
        <v>0</v>
      </c>
    </row>
    <row r="13" spans="1:36" x14ac:dyDescent="0.3">
      <c r="A13" t="s">
        <v>134</v>
      </c>
      <c r="B13" s="259">
        <v>45981</v>
      </c>
      <c r="C13" t="s">
        <v>258</v>
      </c>
      <c r="D13" t="s">
        <v>364</v>
      </c>
      <c r="E13" t="s">
        <v>218</v>
      </c>
      <c r="F13" t="s">
        <v>136</v>
      </c>
      <c r="G13">
        <v>0.82120000000000004</v>
      </c>
      <c r="H13">
        <v>179</v>
      </c>
      <c r="I13">
        <v>147</v>
      </c>
      <c r="J13">
        <v>104</v>
      </c>
      <c r="K13" t="s">
        <v>137</v>
      </c>
      <c r="L13" s="259">
        <v>45980</v>
      </c>
      <c r="M13">
        <v>3</v>
      </c>
      <c r="N13">
        <v>5</v>
      </c>
      <c r="O13">
        <v>16</v>
      </c>
      <c r="P13" t="s">
        <v>192</v>
      </c>
      <c r="Q13">
        <v>0</v>
      </c>
      <c r="R13">
        <v>0</v>
      </c>
      <c r="S13">
        <v>0</v>
      </c>
      <c r="T13">
        <v>0</v>
      </c>
      <c r="U13">
        <v>0</v>
      </c>
      <c r="V13">
        <v>0</v>
      </c>
      <c r="W13">
        <v>1</v>
      </c>
      <c r="X13">
        <v>10</v>
      </c>
      <c r="Y13">
        <v>11</v>
      </c>
      <c r="Z13">
        <v>16</v>
      </c>
      <c r="AA13">
        <v>5</v>
      </c>
      <c r="AB13">
        <v>0</v>
      </c>
      <c r="AC13">
        <v>0</v>
      </c>
      <c r="AD13">
        <v>0</v>
      </c>
      <c r="AE13">
        <v>0</v>
      </c>
      <c r="AF13">
        <v>0</v>
      </c>
      <c r="AG13">
        <v>0</v>
      </c>
      <c r="AH13">
        <v>0</v>
      </c>
      <c r="AI13">
        <v>104</v>
      </c>
      <c r="AJ13">
        <v>0</v>
      </c>
    </row>
    <row r="14" spans="1:36" x14ac:dyDescent="0.3">
      <c r="A14" t="s">
        <v>134</v>
      </c>
      <c r="B14" s="259">
        <v>45981</v>
      </c>
      <c r="C14" t="s">
        <v>269</v>
      </c>
      <c r="D14" t="s">
        <v>379</v>
      </c>
      <c r="E14" t="s">
        <v>218</v>
      </c>
      <c r="F14" t="s">
        <v>136</v>
      </c>
      <c r="G14">
        <v>0.96089999999999998</v>
      </c>
      <c r="H14">
        <v>179</v>
      </c>
      <c r="I14">
        <v>172</v>
      </c>
      <c r="J14">
        <v>98</v>
      </c>
      <c r="K14" t="s">
        <v>137</v>
      </c>
      <c r="L14" s="259">
        <v>45977</v>
      </c>
      <c r="M14">
        <v>0</v>
      </c>
      <c r="N14">
        <v>0</v>
      </c>
      <c r="O14">
        <v>9</v>
      </c>
      <c r="P14" t="s">
        <v>270</v>
      </c>
      <c r="Q14">
        <v>0</v>
      </c>
      <c r="R14">
        <v>0</v>
      </c>
      <c r="S14">
        <v>0</v>
      </c>
      <c r="T14">
        <v>0</v>
      </c>
      <c r="U14">
        <v>1</v>
      </c>
      <c r="V14">
        <v>6</v>
      </c>
      <c r="W14">
        <v>5</v>
      </c>
      <c r="X14">
        <v>16</v>
      </c>
      <c r="Y14">
        <v>26</v>
      </c>
      <c r="Z14">
        <v>16</v>
      </c>
      <c r="AA14">
        <v>4</v>
      </c>
      <c r="AB14">
        <v>0</v>
      </c>
      <c r="AC14">
        <v>0</v>
      </c>
      <c r="AD14">
        <v>0</v>
      </c>
      <c r="AE14">
        <v>0</v>
      </c>
      <c r="AF14">
        <v>0</v>
      </c>
      <c r="AG14">
        <v>1</v>
      </c>
      <c r="AH14">
        <v>0</v>
      </c>
      <c r="AI14">
        <v>97</v>
      </c>
      <c r="AJ14">
        <v>0</v>
      </c>
    </row>
    <row r="15" spans="1:36" x14ac:dyDescent="0.3">
      <c r="A15" t="s">
        <v>134</v>
      </c>
      <c r="B15" s="259">
        <v>45981</v>
      </c>
      <c r="C15" t="s">
        <v>274</v>
      </c>
      <c r="D15" t="s">
        <v>386</v>
      </c>
      <c r="E15" t="s">
        <v>218</v>
      </c>
      <c r="F15" t="s">
        <v>136</v>
      </c>
      <c r="G15">
        <v>0.96650000000000003</v>
      </c>
      <c r="H15">
        <v>179</v>
      </c>
      <c r="I15">
        <v>173</v>
      </c>
      <c r="J15">
        <v>90</v>
      </c>
      <c r="K15" t="s">
        <v>137</v>
      </c>
      <c r="L15" s="259">
        <v>45978</v>
      </c>
      <c r="M15">
        <v>0</v>
      </c>
      <c r="N15">
        <v>0</v>
      </c>
      <c r="O15">
        <v>3</v>
      </c>
      <c r="P15" t="s">
        <v>275</v>
      </c>
      <c r="Q15">
        <v>0</v>
      </c>
      <c r="R15">
        <v>0</v>
      </c>
      <c r="S15">
        <v>6</v>
      </c>
      <c r="T15">
        <v>0</v>
      </c>
      <c r="U15">
        <v>4</v>
      </c>
      <c r="V15">
        <v>4</v>
      </c>
      <c r="W15">
        <v>14</v>
      </c>
      <c r="X15">
        <v>16</v>
      </c>
      <c r="Y15">
        <v>16</v>
      </c>
      <c r="Z15">
        <v>16</v>
      </c>
      <c r="AA15">
        <v>5</v>
      </c>
      <c r="AB15">
        <v>0</v>
      </c>
      <c r="AC15">
        <v>0</v>
      </c>
      <c r="AD15">
        <v>0</v>
      </c>
      <c r="AE15">
        <v>0</v>
      </c>
      <c r="AF15">
        <v>2</v>
      </c>
      <c r="AG15">
        <v>0</v>
      </c>
      <c r="AH15">
        <v>0</v>
      </c>
      <c r="AI15">
        <v>90</v>
      </c>
      <c r="AJ15">
        <v>0</v>
      </c>
    </row>
    <row r="16" spans="1:36" x14ac:dyDescent="0.3">
      <c r="A16" t="s">
        <v>134</v>
      </c>
      <c r="B16" s="259">
        <v>45981</v>
      </c>
      <c r="C16" t="s">
        <v>458</v>
      </c>
      <c r="D16" t="s">
        <v>507</v>
      </c>
      <c r="E16" t="s">
        <v>447</v>
      </c>
      <c r="F16" t="s">
        <v>136</v>
      </c>
      <c r="G16">
        <v>1</v>
      </c>
      <c r="H16">
        <v>179</v>
      </c>
      <c r="I16">
        <v>179</v>
      </c>
      <c r="J16">
        <v>134</v>
      </c>
      <c r="K16" t="s">
        <v>137</v>
      </c>
      <c r="L16" s="259">
        <v>45979</v>
      </c>
      <c r="M16">
        <v>0</v>
      </c>
      <c r="N16">
        <v>1</v>
      </c>
      <c r="O16">
        <v>7</v>
      </c>
      <c r="P16" t="s">
        <v>82</v>
      </c>
      <c r="Q16">
        <v>0</v>
      </c>
      <c r="R16">
        <v>0</v>
      </c>
      <c r="S16">
        <v>0</v>
      </c>
      <c r="T16">
        <v>0</v>
      </c>
      <c r="U16">
        <v>0</v>
      </c>
      <c r="V16">
        <v>1</v>
      </c>
      <c r="W16">
        <v>5</v>
      </c>
      <c r="X16">
        <v>15</v>
      </c>
      <c r="Y16">
        <v>3</v>
      </c>
      <c r="Z16">
        <v>4</v>
      </c>
      <c r="AA16">
        <v>0</v>
      </c>
      <c r="AB16">
        <v>0</v>
      </c>
      <c r="AC16">
        <v>2</v>
      </c>
      <c r="AD16">
        <v>5</v>
      </c>
      <c r="AE16">
        <v>5</v>
      </c>
      <c r="AF16">
        <v>5</v>
      </c>
      <c r="AG16">
        <v>0</v>
      </c>
      <c r="AH16">
        <v>0</v>
      </c>
      <c r="AI16">
        <v>134</v>
      </c>
      <c r="AJ16">
        <v>0</v>
      </c>
    </row>
    <row r="17" spans="1:36" x14ac:dyDescent="0.3">
      <c r="A17" t="s">
        <v>134</v>
      </c>
      <c r="B17" s="259">
        <v>45981</v>
      </c>
      <c r="C17" t="s">
        <v>79</v>
      </c>
      <c r="D17" t="s">
        <v>135</v>
      </c>
      <c r="E17" t="s">
        <v>1</v>
      </c>
      <c r="F17" t="s">
        <v>136</v>
      </c>
      <c r="G17">
        <v>1.0169999999999999</v>
      </c>
      <c r="H17">
        <v>176</v>
      </c>
      <c r="I17">
        <v>179</v>
      </c>
      <c r="J17">
        <v>92</v>
      </c>
      <c r="K17" t="s">
        <v>137</v>
      </c>
      <c r="L17" s="259">
        <v>45976</v>
      </c>
      <c r="M17">
        <v>0</v>
      </c>
      <c r="N17">
        <v>0</v>
      </c>
      <c r="O17">
        <v>6</v>
      </c>
      <c r="P17" t="s">
        <v>82</v>
      </c>
      <c r="Q17">
        <v>0</v>
      </c>
      <c r="R17">
        <v>0</v>
      </c>
      <c r="S17">
        <v>0</v>
      </c>
      <c r="T17">
        <v>0</v>
      </c>
      <c r="U17">
        <v>11</v>
      </c>
      <c r="V17">
        <v>0</v>
      </c>
      <c r="W17">
        <v>0</v>
      </c>
      <c r="X17">
        <v>4</v>
      </c>
      <c r="Y17">
        <v>6</v>
      </c>
      <c r="Z17">
        <v>6</v>
      </c>
      <c r="AA17">
        <v>8</v>
      </c>
      <c r="AB17">
        <v>9</v>
      </c>
      <c r="AC17">
        <v>8</v>
      </c>
      <c r="AD17">
        <v>8</v>
      </c>
      <c r="AE17">
        <v>9</v>
      </c>
      <c r="AF17">
        <v>16</v>
      </c>
      <c r="AG17">
        <v>0</v>
      </c>
      <c r="AH17">
        <v>0</v>
      </c>
      <c r="AI17">
        <v>92</v>
      </c>
      <c r="AJ17">
        <v>2</v>
      </c>
    </row>
    <row r="18" spans="1:36" x14ac:dyDescent="0.3">
      <c r="A18" t="s">
        <v>134</v>
      </c>
      <c r="B18" s="259">
        <v>45981</v>
      </c>
      <c r="C18" t="s">
        <v>181</v>
      </c>
      <c r="D18" t="s">
        <v>188</v>
      </c>
      <c r="E18" t="s">
        <v>174</v>
      </c>
      <c r="F18" t="s">
        <v>136</v>
      </c>
      <c r="G18">
        <v>0.9385</v>
      </c>
      <c r="H18">
        <v>179</v>
      </c>
      <c r="I18">
        <v>168</v>
      </c>
      <c r="J18">
        <v>110</v>
      </c>
      <c r="K18" t="s">
        <v>137</v>
      </c>
      <c r="L18" s="259">
        <v>45980</v>
      </c>
      <c r="M18">
        <v>1</v>
      </c>
      <c r="N18">
        <v>1</v>
      </c>
      <c r="O18">
        <v>13</v>
      </c>
      <c r="P18" t="s">
        <v>182</v>
      </c>
      <c r="Q18">
        <v>0</v>
      </c>
      <c r="R18">
        <v>0</v>
      </c>
      <c r="S18">
        <v>0</v>
      </c>
      <c r="T18">
        <v>0</v>
      </c>
      <c r="U18">
        <v>0</v>
      </c>
      <c r="V18">
        <v>3</v>
      </c>
      <c r="W18">
        <v>5</v>
      </c>
      <c r="X18">
        <v>13</v>
      </c>
      <c r="Y18">
        <v>4</v>
      </c>
      <c r="Z18">
        <v>5</v>
      </c>
      <c r="AA18">
        <v>0</v>
      </c>
      <c r="AB18">
        <v>0</v>
      </c>
      <c r="AC18">
        <v>4</v>
      </c>
      <c r="AD18">
        <v>9</v>
      </c>
      <c r="AE18">
        <v>10</v>
      </c>
      <c r="AF18">
        <v>5</v>
      </c>
      <c r="AG18">
        <v>0</v>
      </c>
      <c r="AH18">
        <v>0</v>
      </c>
      <c r="AI18">
        <v>110</v>
      </c>
      <c r="AJ18">
        <v>0</v>
      </c>
    </row>
    <row r="19" spans="1:36" x14ac:dyDescent="0.3">
      <c r="A19" t="s">
        <v>134</v>
      </c>
      <c r="B19" s="259">
        <v>45981</v>
      </c>
      <c r="C19" t="s">
        <v>622</v>
      </c>
      <c r="D19" t="s">
        <v>683</v>
      </c>
      <c r="E19" t="s">
        <v>582</v>
      </c>
      <c r="F19" t="s">
        <v>136</v>
      </c>
      <c r="G19">
        <v>0.76190000000000002</v>
      </c>
      <c r="H19">
        <v>168</v>
      </c>
      <c r="I19">
        <v>128</v>
      </c>
      <c r="J19">
        <v>0</v>
      </c>
      <c r="K19" t="s">
        <v>137</v>
      </c>
      <c r="L19" s="259">
        <v>45980</v>
      </c>
      <c r="M19">
        <v>4</v>
      </c>
      <c r="N19">
        <v>10</v>
      </c>
      <c r="O19">
        <v>40</v>
      </c>
      <c r="P19" t="s">
        <v>383</v>
      </c>
      <c r="Q19">
        <v>0</v>
      </c>
      <c r="R19">
        <v>0</v>
      </c>
      <c r="S19">
        <v>0</v>
      </c>
      <c r="T19">
        <v>0</v>
      </c>
      <c r="U19">
        <v>1</v>
      </c>
      <c r="V19">
        <v>6</v>
      </c>
      <c r="W19">
        <v>6</v>
      </c>
      <c r="X19">
        <v>37</v>
      </c>
      <c r="Y19">
        <v>12</v>
      </c>
      <c r="Z19">
        <v>8</v>
      </c>
      <c r="AA19">
        <v>25</v>
      </c>
      <c r="AB19">
        <v>0</v>
      </c>
      <c r="AC19">
        <v>1</v>
      </c>
      <c r="AD19">
        <v>9</v>
      </c>
      <c r="AE19">
        <v>18</v>
      </c>
      <c r="AF19">
        <v>3</v>
      </c>
      <c r="AG19">
        <v>0</v>
      </c>
      <c r="AH19">
        <v>0</v>
      </c>
      <c r="AI19">
        <v>0</v>
      </c>
      <c r="AJ19">
        <v>2</v>
      </c>
    </row>
    <row r="20" spans="1:36" x14ac:dyDescent="0.3">
      <c r="A20" t="s">
        <v>134</v>
      </c>
      <c r="B20" s="259">
        <v>45981</v>
      </c>
      <c r="C20" t="s">
        <v>794</v>
      </c>
      <c r="D20" t="s">
        <v>785</v>
      </c>
      <c r="E20" t="s">
        <v>791</v>
      </c>
      <c r="F20" t="s">
        <v>136</v>
      </c>
      <c r="G20">
        <v>0.88690000000000002</v>
      </c>
      <c r="H20">
        <v>168</v>
      </c>
      <c r="I20">
        <v>149</v>
      </c>
      <c r="J20">
        <v>0</v>
      </c>
      <c r="K20" t="s">
        <v>137</v>
      </c>
      <c r="L20" s="259">
        <v>45980</v>
      </c>
      <c r="M20">
        <v>10</v>
      </c>
      <c r="N20">
        <v>16</v>
      </c>
      <c r="O20">
        <v>32</v>
      </c>
      <c r="P20" t="s">
        <v>795</v>
      </c>
      <c r="Q20">
        <v>0</v>
      </c>
      <c r="R20">
        <v>0</v>
      </c>
      <c r="S20">
        <v>0</v>
      </c>
      <c r="T20">
        <v>0</v>
      </c>
      <c r="U20">
        <v>0</v>
      </c>
      <c r="V20">
        <v>1</v>
      </c>
      <c r="W20">
        <v>8</v>
      </c>
      <c r="X20">
        <v>20</v>
      </c>
      <c r="Y20">
        <v>22</v>
      </c>
      <c r="Z20">
        <v>20</v>
      </c>
      <c r="AA20">
        <v>10</v>
      </c>
      <c r="AB20">
        <v>16</v>
      </c>
      <c r="AC20">
        <v>7</v>
      </c>
      <c r="AD20">
        <v>10</v>
      </c>
      <c r="AE20">
        <v>17</v>
      </c>
      <c r="AF20">
        <v>18</v>
      </c>
      <c r="AG20">
        <v>0</v>
      </c>
      <c r="AH20">
        <v>0</v>
      </c>
      <c r="AI20">
        <v>0</v>
      </c>
      <c r="AJ20">
        <v>0</v>
      </c>
    </row>
    <row r="21" spans="1:36" x14ac:dyDescent="0.3">
      <c r="A21" t="s">
        <v>134</v>
      </c>
      <c r="B21" s="259">
        <v>45981</v>
      </c>
      <c r="C21" t="s">
        <v>869</v>
      </c>
      <c r="D21" t="s">
        <v>875</v>
      </c>
      <c r="E21" t="s">
        <v>863</v>
      </c>
      <c r="F21" t="s">
        <v>136</v>
      </c>
      <c r="G21">
        <v>0.98880000000000001</v>
      </c>
      <c r="H21">
        <v>179</v>
      </c>
      <c r="I21">
        <v>177</v>
      </c>
      <c r="J21">
        <v>0</v>
      </c>
      <c r="K21" t="s">
        <v>137</v>
      </c>
      <c r="L21" s="259">
        <v>45980</v>
      </c>
      <c r="M21">
        <v>2</v>
      </c>
      <c r="N21">
        <v>0</v>
      </c>
      <c r="O21">
        <v>34</v>
      </c>
      <c r="P21" t="s">
        <v>870</v>
      </c>
      <c r="Q21">
        <v>0</v>
      </c>
      <c r="R21">
        <v>0</v>
      </c>
      <c r="S21">
        <v>0</v>
      </c>
      <c r="T21">
        <v>0</v>
      </c>
      <c r="U21">
        <v>0</v>
      </c>
      <c r="V21">
        <v>0</v>
      </c>
      <c r="W21">
        <v>1</v>
      </c>
      <c r="X21">
        <v>0</v>
      </c>
      <c r="Y21">
        <v>12</v>
      </c>
      <c r="Z21">
        <v>16</v>
      </c>
      <c r="AA21">
        <v>30</v>
      </c>
      <c r="AB21">
        <v>43</v>
      </c>
      <c r="AC21">
        <v>35</v>
      </c>
      <c r="AD21">
        <v>10</v>
      </c>
      <c r="AE21">
        <v>10</v>
      </c>
      <c r="AF21">
        <v>20</v>
      </c>
      <c r="AG21">
        <v>0</v>
      </c>
      <c r="AH21">
        <v>0</v>
      </c>
      <c r="AI21">
        <v>0</v>
      </c>
      <c r="AJ21">
        <v>0</v>
      </c>
    </row>
    <row r="22" spans="1:36" x14ac:dyDescent="0.3">
      <c r="A22" t="s">
        <v>393</v>
      </c>
      <c r="B22" s="259">
        <v>45982</v>
      </c>
      <c r="C22" t="s">
        <v>909</v>
      </c>
      <c r="D22" t="s">
        <v>713</v>
      </c>
      <c r="E22" t="s">
        <v>908</v>
      </c>
      <c r="F22" t="s">
        <v>136</v>
      </c>
      <c r="G22">
        <v>0.36309999999999998</v>
      </c>
      <c r="H22">
        <v>168</v>
      </c>
      <c r="I22">
        <v>61</v>
      </c>
      <c r="J22">
        <v>0</v>
      </c>
      <c r="K22" t="s">
        <v>137</v>
      </c>
      <c r="L22" s="259">
        <v>45980</v>
      </c>
      <c r="M22">
        <v>3</v>
      </c>
      <c r="N22">
        <v>2</v>
      </c>
      <c r="O22">
        <v>23</v>
      </c>
      <c r="P22" t="s">
        <v>381</v>
      </c>
      <c r="Q22">
        <v>0</v>
      </c>
      <c r="R22">
        <v>0</v>
      </c>
      <c r="S22">
        <v>0</v>
      </c>
      <c r="T22">
        <v>0</v>
      </c>
      <c r="U22">
        <v>0</v>
      </c>
      <c r="V22">
        <v>1</v>
      </c>
      <c r="W22">
        <v>7</v>
      </c>
      <c r="X22">
        <v>8</v>
      </c>
      <c r="Y22">
        <v>7</v>
      </c>
      <c r="Z22">
        <v>27</v>
      </c>
      <c r="AA22">
        <v>11</v>
      </c>
      <c r="AB22">
        <v>0</v>
      </c>
      <c r="AC22">
        <v>0</v>
      </c>
      <c r="AD22">
        <v>0</v>
      </c>
      <c r="AE22">
        <v>0</v>
      </c>
      <c r="AF22">
        <v>0</v>
      </c>
      <c r="AG22">
        <v>0</v>
      </c>
      <c r="AH22">
        <v>0</v>
      </c>
      <c r="AI22">
        <v>0</v>
      </c>
      <c r="AJ22">
        <v>0</v>
      </c>
    </row>
    <row r="23" spans="1:36" x14ac:dyDescent="0.3">
      <c r="A23" t="s">
        <v>393</v>
      </c>
      <c r="B23" s="259">
        <v>45982</v>
      </c>
      <c r="C23" t="s">
        <v>896</v>
      </c>
      <c r="D23" t="s">
        <v>904</v>
      </c>
      <c r="E23" t="s">
        <v>887</v>
      </c>
      <c r="F23" t="s">
        <v>136</v>
      </c>
      <c r="G23">
        <v>0.65480000000000005</v>
      </c>
      <c r="H23">
        <v>168</v>
      </c>
      <c r="I23">
        <v>110</v>
      </c>
      <c r="J23">
        <v>0</v>
      </c>
      <c r="K23" t="s">
        <v>137</v>
      </c>
      <c r="L23" s="259">
        <v>45980</v>
      </c>
      <c r="M23">
        <v>2</v>
      </c>
      <c r="N23">
        <v>5</v>
      </c>
      <c r="O23">
        <v>28</v>
      </c>
      <c r="P23" t="s">
        <v>891</v>
      </c>
      <c r="Q23">
        <v>0</v>
      </c>
      <c r="R23">
        <v>0</v>
      </c>
      <c r="S23">
        <v>0</v>
      </c>
      <c r="T23">
        <v>0</v>
      </c>
      <c r="U23">
        <v>15</v>
      </c>
      <c r="V23">
        <v>32</v>
      </c>
      <c r="W23">
        <v>36</v>
      </c>
      <c r="X23">
        <v>9</v>
      </c>
      <c r="Y23">
        <v>9</v>
      </c>
      <c r="Z23">
        <v>1</v>
      </c>
      <c r="AA23">
        <v>8</v>
      </c>
      <c r="AB23">
        <v>0</v>
      </c>
      <c r="AC23">
        <v>0</v>
      </c>
      <c r="AD23">
        <v>0</v>
      </c>
      <c r="AE23">
        <v>0</v>
      </c>
      <c r="AF23">
        <v>0</v>
      </c>
      <c r="AG23">
        <v>0</v>
      </c>
      <c r="AH23">
        <v>0</v>
      </c>
      <c r="AI23">
        <v>0</v>
      </c>
      <c r="AJ23">
        <v>0</v>
      </c>
    </row>
    <row r="24" spans="1:36" x14ac:dyDescent="0.3">
      <c r="A24" t="s">
        <v>393</v>
      </c>
      <c r="B24" s="259">
        <v>45982</v>
      </c>
      <c r="C24" t="s">
        <v>854</v>
      </c>
      <c r="D24" t="s">
        <v>824</v>
      </c>
      <c r="E24" t="s">
        <v>851</v>
      </c>
      <c r="F24" t="s">
        <v>136</v>
      </c>
      <c r="G24">
        <v>0.86309999999999998</v>
      </c>
      <c r="H24">
        <v>168</v>
      </c>
      <c r="I24">
        <v>145</v>
      </c>
      <c r="J24">
        <v>0</v>
      </c>
      <c r="K24" t="s">
        <v>137</v>
      </c>
      <c r="L24" s="259">
        <v>45980</v>
      </c>
      <c r="M24">
        <v>4</v>
      </c>
      <c r="N24">
        <v>14</v>
      </c>
      <c r="O24">
        <v>83</v>
      </c>
      <c r="P24" t="s">
        <v>855</v>
      </c>
      <c r="Q24">
        <v>0</v>
      </c>
      <c r="R24">
        <v>0</v>
      </c>
      <c r="S24">
        <v>0</v>
      </c>
      <c r="T24">
        <v>0</v>
      </c>
      <c r="U24">
        <v>0</v>
      </c>
      <c r="V24">
        <v>0</v>
      </c>
      <c r="W24">
        <v>4</v>
      </c>
      <c r="X24">
        <v>9</v>
      </c>
      <c r="Y24">
        <v>9</v>
      </c>
      <c r="Z24">
        <v>12</v>
      </c>
      <c r="AA24">
        <v>3</v>
      </c>
      <c r="AB24">
        <v>8</v>
      </c>
      <c r="AC24">
        <v>25</v>
      </c>
      <c r="AD24">
        <v>15</v>
      </c>
      <c r="AE24">
        <v>52</v>
      </c>
      <c r="AF24">
        <v>8</v>
      </c>
      <c r="AG24">
        <v>0</v>
      </c>
      <c r="AH24">
        <v>0</v>
      </c>
      <c r="AI24">
        <v>0</v>
      </c>
      <c r="AJ24">
        <v>0</v>
      </c>
    </row>
    <row r="25" spans="1:36" x14ac:dyDescent="0.3">
      <c r="A25" t="s">
        <v>393</v>
      </c>
      <c r="B25" s="259">
        <v>45982</v>
      </c>
      <c r="C25" t="s">
        <v>781</v>
      </c>
      <c r="D25" t="s">
        <v>565</v>
      </c>
      <c r="E25" t="s">
        <v>778</v>
      </c>
      <c r="F25" t="s">
        <v>136</v>
      </c>
      <c r="G25">
        <v>0.8155</v>
      </c>
      <c r="H25">
        <v>168</v>
      </c>
      <c r="I25">
        <v>137</v>
      </c>
      <c r="J25">
        <v>0</v>
      </c>
      <c r="K25" t="s">
        <v>137</v>
      </c>
      <c r="L25" s="259">
        <v>45980</v>
      </c>
      <c r="M25">
        <v>4</v>
      </c>
      <c r="N25">
        <v>16</v>
      </c>
      <c r="O25">
        <v>62</v>
      </c>
      <c r="P25" t="s">
        <v>433</v>
      </c>
      <c r="Q25">
        <v>0</v>
      </c>
      <c r="R25">
        <v>0</v>
      </c>
      <c r="S25">
        <v>0</v>
      </c>
      <c r="T25">
        <v>0</v>
      </c>
      <c r="U25">
        <v>0</v>
      </c>
      <c r="V25">
        <v>0</v>
      </c>
      <c r="W25">
        <v>0</v>
      </c>
      <c r="X25">
        <v>0</v>
      </c>
      <c r="Y25">
        <v>0</v>
      </c>
      <c r="Z25">
        <v>17</v>
      </c>
      <c r="AA25">
        <v>20</v>
      </c>
      <c r="AB25">
        <v>20</v>
      </c>
      <c r="AC25">
        <v>20</v>
      </c>
      <c r="AD25">
        <v>20</v>
      </c>
      <c r="AE25">
        <v>20</v>
      </c>
      <c r="AF25">
        <v>20</v>
      </c>
      <c r="AG25">
        <v>0</v>
      </c>
      <c r="AH25">
        <v>0</v>
      </c>
      <c r="AI25">
        <v>0</v>
      </c>
      <c r="AJ25">
        <v>0</v>
      </c>
    </row>
    <row r="26" spans="1:36" x14ac:dyDescent="0.3">
      <c r="A26" t="s">
        <v>393</v>
      </c>
      <c r="B26" s="259">
        <v>45982</v>
      </c>
      <c r="C26" t="s">
        <v>735</v>
      </c>
      <c r="D26" t="s">
        <v>763</v>
      </c>
      <c r="E26" t="s">
        <v>717</v>
      </c>
      <c r="F26" t="s">
        <v>136</v>
      </c>
      <c r="G26">
        <v>0.58330000000000004</v>
      </c>
      <c r="H26">
        <v>168</v>
      </c>
      <c r="I26">
        <v>98</v>
      </c>
      <c r="J26">
        <v>0</v>
      </c>
      <c r="K26" t="s">
        <v>137</v>
      </c>
      <c r="L26" s="259">
        <v>45978</v>
      </c>
      <c r="M26">
        <v>0</v>
      </c>
      <c r="N26">
        <v>0</v>
      </c>
      <c r="O26">
        <v>14</v>
      </c>
      <c r="P26" t="s">
        <v>747</v>
      </c>
      <c r="Q26">
        <v>0</v>
      </c>
      <c r="R26">
        <v>0</v>
      </c>
      <c r="S26">
        <v>0</v>
      </c>
      <c r="T26">
        <v>0</v>
      </c>
      <c r="U26">
        <v>3</v>
      </c>
      <c r="V26">
        <v>19</v>
      </c>
      <c r="W26">
        <v>10</v>
      </c>
      <c r="X26">
        <v>17</v>
      </c>
      <c r="Y26">
        <v>35</v>
      </c>
      <c r="Z26">
        <v>10</v>
      </c>
      <c r="AA26">
        <v>3</v>
      </c>
      <c r="AB26">
        <v>0</v>
      </c>
      <c r="AC26">
        <v>0</v>
      </c>
      <c r="AD26">
        <v>0</v>
      </c>
      <c r="AE26">
        <v>1</v>
      </c>
      <c r="AF26">
        <v>0</v>
      </c>
      <c r="AG26">
        <v>0</v>
      </c>
      <c r="AH26">
        <v>0</v>
      </c>
      <c r="AI26">
        <v>0</v>
      </c>
      <c r="AJ26">
        <v>0</v>
      </c>
    </row>
    <row r="27" spans="1:36" x14ac:dyDescent="0.3">
      <c r="A27" t="s">
        <v>393</v>
      </c>
      <c r="B27" s="259">
        <v>45982</v>
      </c>
      <c r="C27" t="s">
        <v>968</v>
      </c>
      <c r="D27" t="s">
        <v>971</v>
      </c>
      <c r="E27" t="s">
        <v>960</v>
      </c>
      <c r="F27" t="s">
        <v>136</v>
      </c>
      <c r="G27">
        <v>0.61309999999999998</v>
      </c>
      <c r="H27">
        <v>168</v>
      </c>
      <c r="I27">
        <v>103</v>
      </c>
      <c r="J27">
        <v>0</v>
      </c>
      <c r="K27" t="s">
        <v>137</v>
      </c>
      <c r="L27" s="259">
        <v>45980</v>
      </c>
      <c r="M27">
        <v>1</v>
      </c>
      <c r="N27">
        <v>6</v>
      </c>
      <c r="O27">
        <v>31</v>
      </c>
      <c r="P27" t="s">
        <v>152</v>
      </c>
      <c r="Q27">
        <v>0</v>
      </c>
      <c r="R27">
        <v>0</v>
      </c>
      <c r="S27">
        <v>0</v>
      </c>
      <c r="T27">
        <v>0</v>
      </c>
      <c r="U27">
        <v>11</v>
      </c>
      <c r="V27">
        <v>30</v>
      </c>
      <c r="W27">
        <v>10</v>
      </c>
      <c r="X27">
        <v>18</v>
      </c>
      <c r="Y27">
        <v>17</v>
      </c>
      <c r="Z27">
        <v>9</v>
      </c>
      <c r="AA27">
        <v>8</v>
      </c>
      <c r="AB27">
        <v>0</v>
      </c>
      <c r="AC27">
        <v>0</v>
      </c>
      <c r="AD27">
        <v>0</v>
      </c>
      <c r="AE27">
        <v>0</v>
      </c>
      <c r="AF27">
        <v>0</v>
      </c>
      <c r="AG27">
        <v>0</v>
      </c>
      <c r="AH27">
        <v>0</v>
      </c>
      <c r="AI27">
        <v>0</v>
      </c>
      <c r="AJ27">
        <v>0</v>
      </c>
    </row>
    <row r="28" spans="1:36" x14ac:dyDescent="0.3">
      <c r="A28" t="s">
        <v>393</v>
      </c>
      <c r="B28" s="259">
        <v>45982</v>
      </c>
      <c r="C28" t="s">
        <v>543</v>
      </c>
      <c r="D28" t="s">
        <v>565</v>
      </c>
      <c r="E28" t="s">
        <v>523</v>
      </c>
      <c r="F28" t="s">
        <v>136</v>
      </c>
      <c r="G28">
        <v>0.66069999999999995</v>
      </c>
      <c r="H28">
        <v>168</v>
      </c>
      <c r="I28">
        <v>111</v>
      </c>
      <c r="J28">
        <v>3</v>
      </c>
      <c r="K28" t="s">
        <v>137</v>
      </c>
      <c r="L28" s="259">
        <v>45980</v>
      </c>
      <c r="M28">
        <v>1</v>
      </c>
      <c r="N28">
        <v>12</v>
      </c>
      <c r="O28">
        <v>75</v>
      </c>
      <c r="P28" t="s">
        <v>353</v>
      </c>
      <c r="Q28">
        <v>0</v>
      </c>
      <c r="R28">
        <v>0</v>
      </c>
      <c r="S28">
        <v>0</v>
      </c>
      <c r="T28">
        <v>0</v>
      </c>
      <c r="U28">
        <v>0</v>
      </c>
      <c r="V28">
        <v>0</v>
      </c>
      <c r="W28">
        <v>0</v>
      </c>
      <c r="X28">
        <v>0</v>
      </c>
      <c r="Y28">
        <v>0</v>
      </c>
      <c r="Z28">
        <v>5</v>
      </c>
      <c r="AA28">
        <v>3</v>
      </c>
      <c r="AB28">
        <v>4</v>
      </c>
      <c r="AC28">
        <v>17</v>
      </c>
      <c r="AD28">
        <v>13</v>
      </c>
      <c r="AE28">
        <v>38</v>
      </c>
      <c r="AF28">
        <v>28</v>
      </c>
      <c r="AG28">
        <v>0</v>
      </c>
      <c r="AH28">
        <v>0</v>
      </c>
      <c r="AI28">
        <v>3</v>
      </c>
      <c r="AJ28">
        <v>0</v>
      </c>
    </row>
    <row r="29" spans="1:36" x14ac:dyDescent="0.3">
      <c r="A29" t="s">
        <v>393</v>
      </c>
      <c r="B29" s="259">
        <v>45982</v>
      </c>
      <c r="C29" t="s">
        <v>264</v>
      </c>
      <c r="D29" t="s">
        <v>348</v>
      </c>
      <c r="E29" t="s">
        <v>218</v>
      </c>
      <c r="F29" t="s">
        <v>136</v>
      </c>
      <c r="G29">
        <v>0.50839999999999996</v>
      </c>
      <c r="H29">
        <v>179</v>
      </c>
      <c r="I29">
        <v>91</v>
      </c>
      <c r="J29">
        <v>0</v>
      </c>
      <c r="K29" t="s">
        <v>137</v>
      </c>
      <c r="L29" s="259">
        <v>45980</v>
      </c>
      <c r="M29">
        <v>1</v>
      </c>
      <c r="N29">
        <v>7</v>
      </c>
      <c r="O29">
        <v>24</v>
      </c>
      <c r="P29" t="s">
        <v>325</v>
      </c>
      <c r="Q29">
        <v>0</v>
      </c>
      <c r="R29">
        <v>0</v>
      </c>
      <c r="S29">
        <v>0</v>
      </c>
      <c r="T29">
        <v>0</v>
      </c>
      <c r="U29">
        <v>0</v>
      </c>
      <c r="V29">
        <v>3</v>
      </c>
      <c r="W29">
        <v>30</v>
      </c>
      <c r="X29">
        <v>20</v>
      </c>
      <c r="Y29">
        <v>17</v>
      </c>
      <c r="Z29">
        <v>16</v>
      </c>
      <c r="AA29">
        <v>5</v>
      </c>
      <c r="AB29">
        <v>0</v>
      </c>
      <c r="AC29">
        <v>0</v>
      </c>
      <c r="AD29">
        <v>0</v>
      </c>
      <c r="AE29">
        <v>0</v>
      </c>
      <c r="AF29">
        <v>0</v>
      </c>
      <c r="AG29">
        <v>0</v>
      </c>
      <c r="AH29">
        <v>0</v>
      </c>
      <c r="AI29">
        <v>0</v>
      </c>
      <c r="AJ29">
        <v>0</v>
      </c>
    </row>
    <row r="30" spans="1:36" x14ac:dyDescent="0.3">
      <c r="A30" t="s">
        <v>393</v>
      </c>
      <c r="B30" s="259">
        <v>45982</v>
      </c>
      <c r="C30" t="s">
        <v>332</v>
      </c>
      <c r="D30" t="s">
        <v>415</v>
      </c>
      <c r="E30" t="s">
        <v>218</v>
      </c>
      <c r="F30" t="s">
        <v>136</v>
      </c>
      <c r="G30">
        <v>1.0172000000000001</v>
      </c>
      <c r="H30">
        <v>174</v>
      </c>
      <c r="I30">
        <v>177</v>
      </c>
      <c r="J30">
        <v>92</v>
      </c>
      <c r="K30" t="s">
        <v>137</v>
      </c>
      <c r="L30" s="259">
        <v>45979</v>
      </c>
      <c r="M30">
        <v>0</v>
      </c>
      <c r="N30">
        <v>1</v>
      </c>
      <c r="O30">
        <v>7</v>
      </c>
      <c r="P30" t="s">
        <v>82</v>
      </c>
      <c r="Q30">
        <v>0</v>
      </c>
      <c r="R30">
        <v>0</v>
      </c>
      <c r="S30">
        <v>0</v>
      </c>
      <c r="T30">
        <v>0</v>
      </c>
      <c r="U30">
        <v>0</v>
      </c>
      <c r="V30">
        <v>0</v>
      </c>
      <c r="W30">
        <v>7</v>
      </c>
      <c r="X30">
        <v>0</v>
      </c>
      <c r="Y30">
        <v>1</v>
      </c>
      <c r="Z30">
        <v>17</v>
      </c>
      <c r="AA30">
        <v>10</v>
      </c>
      <c r="AB30">
        <v>10</v>
      </c>
      <c r="AC30">
        <v>10</v>
      </c>
      <c r="AD30">
        <v>10</v>
      </c>
      <c r="AE30">
        <v>10</v>
      </c>
      <c r="AF30">
        <v>10</v>
      </c>
      <c r="AG30">
        <v>0</v>
      </c>
      <c r="AH30">
        <v>0</v>
      </c>
      <c r="AI30">
        <v>92</v>
      </c>
      <c r="AJ30">
        <v>0</v>
      </c>
    </row>
    <row r="31" spans="1:36" x14ac:dyDescent="0.3">
      <c r="A31" t="s">
        <v>393</v>
      </c>
      <c r="B31" s="259">
        <v>45982</v>
      </c>
      <c r="C31" t="s">
        <v>261</v>
      </c>
      <c r="D31" t="s">
        <v>411</v>
      </c>
      <c r="E31" t="s">
        <v>218</v>
      </c>
      <c r="F31" t="s">
        <v>136</v>
      </c>
      <c r="G31">
        <v>0.5363</v>
      </c>
      <c r="H31">
        <v>179</v>
      </c>
      <c r="I31">
        <v>96</v>
      </c>
      <c r="J31">
        <v>0</v>
      </c>
      <c r="K31" t="s">
        <v>137</v>
      </c>
      <c r="L31" s="259">
        <v>45979</v>
      </c>
      <c r="M31">
        <v>0</v>
      </c>
      <c r="N31">
        <v>3</v>
      </c>
      <c r="O31">
        <v>15</v>
      </c>
      <c r="P31" t="s">
        <v>323</v>
      </c>
      <c r="Q31">
        <v>0</v>
      </c>
      <c r="R31">
        <v>0</v>
      </c>
      <c r="S31">
        <v>0</v>
      </c>
      <c r="T31">
        <v>0</v>
      </c>
      <c r="U31">
        <v>0</v>
      </c>
      <c r="V31">
        <v>0</v>
      </c>
      <c r="W31">
        <v>22</v>
      </c>
      <c r="X31">
        <v>16</v>
      </c>
      <c r="Y31">
        <v>22</v>
      </c>
      <c r="Z31">
        <v>31</v>
      </c>
      <c r="AA31">
        <v>5</v>
      </c>
      <c r="AB31">
        <v>0</v>
      </c>
      <c r="AC31">
        <v>0</v>
      </c>
      <c r="AD31">
        <v>0</v>
      </c>
      <c r="AE31">
        <v>0</v>
      </c>
      <c r="AF31">
        <v>0</v>
      </c>
      <c r="AG31">
        <v>0</v>
      </c>
      <c r="AH31">
        <v>0</v>
      </c>
      <c r="AI31">
        <v>0</v>
      </c>
      <c r="AJ31">
        <v>0</v>
      </c>
    </row>
    <row r="32" spans="1:36" x14ac:dyDescent="0.3">
      <c r="A32" t="s">
        <v>393</v>
      </c>
      <c r="B32" s="259">
        <v>45982</v>
      </c>
      <c r="C32" t="s">
        <v>258</v>
      </c>
      <c r="D32" t="s">
        <v>397</v>
      </c>
      <c r="E32" t="s">
        <v>218</v>
      </c>
      <c r="F32" t="s">
        <v>136</v>
      </c>
      <c r="G32">
        <v>0.5978</v>
      </c>
      <c r="H32">
        <v>179</v>
      </c>
      <c r="I32">
        <v>107</v>
      </c>
      <c r="J32">
        <v>1</v>
      </c>
      <c r="K32" t="s">
        <v>137</v>
      </c>
      <c r="L32" s="259">
        <v>45978</v>
      </c>
      <c r="M32">
        <v>0</v>
      </c>
      <c r="N32">
        <v>0</v>
      </c>
      <c r="O32">
        <v>21</v>
      </c>
      <c r="P32" t="s">
        <v>270</v>
      </c>
      <c r="Q32">
        <v>0</v>
      </c>
      <c r="R32">
        <v>0</v>
      </c>
      <c r="S32">
        <v>0</v>
      </c>
      <c r="T32">
        <v>0</v>
      </c>
      <c r="U32">
        <v>0</v>
      </c>
      <c r="V32">
        <v>6</v>
      </c>
      <c r="W32">
        <v>30</v>
      </c>
      <c r="X32">
        <v>15</v>
      </c>
      <c r="Y32">
        <v>17</v>
      </c>
      <c r="Z32">
        <v>11</v>
      </c>
      <c r="AA32">
        <v>5</v>
      </c>
      <c r="AB32">
        <v>2</v>
      </c>
      <c r="AC32">
        <v>5</v>
      </c>
      <c r="AD32">
        <v>6</v>
      </c>
      <c r="AE32">
        <v>4</v>
      </c>
      <c r="AF32">
        <v>5</v>
      </c>
      <c r="AG32">
        <v>0</v>
      </c>
      <c r="AH32">
        <v>0</v>
      </c>
      <c r="AI32">
        <v>1</v>
      </c>
      <c r="AJ32">
        <v>0</v>
      </c>
    </row>
    <row r="33" spans="1:36" x14ac:dyDescent="0.3">
      <c r="A33" t="s">
        <v>393</v>
      </c>
      <c r="B33" s="259">
        <v>45982</v>
      </c>
      <c r="C33" t="s">
        <v>269</v>
      </c>
      <c r="D33" t="s">
        <v>403</v>
      </c>
      <c r="E33" t="s">
        <v>218</v>
      </c>
      <c r="F33" t="s">
        <v>136</v>
      </c>
      <c r="G33">
        <v>0.54190000000000005</v>
      </c>
      <c r="H33">
        <v>179</v>
      </c>
      <c r="I33">
        <v>97</v>
      </c>
      <c r="J33">
        <v>0</v>
      </c>
      <c r="K33" t="s">
        <v>137</v>
      </c>
      <c r="L33" s="259">
        <v>45976</v>
      </c>
      <c r="M33">
        <v>0</v>
      </c>
      <c r="N33">
        <v>0</v>
      </c>
      <c r="O33">
        <v>7</v>
      </c>
      <c r="P33" t="s">
        <v>329</v>
      </c>
      <c r="Q33">
        <v>0</v>
      </c>
      <c r="R33">
        <v>0</v>
      </c>
      <c r="S33">
        <v>0</v>
      </c>
      <c r="T33">
        <v>0</v>
      </c>
      <c r="U33">
        <v>0</v>
      </c>
      <c r="V33">
        <v>0</v>
      </c>
      <c r="W33">
        <v>20</v>
      </c>
      <c r="X33">
        <v>16</v>
      </c>
      <c r="Y33">
        <v>24</v>
      </c>
      <c r="Z33">
        <v>32</v>
      </c>
      <c r="AA33">
        <v>5</v>
      </c>
      <c r="AB33">
        <v>0</v>
      </c>
      <c r="AC33">
        <v>0</v>
      </c>
      <c r="AD33">
        <v>0</v>
      </c>
      <c r="AE33">
        <v>0</v>
      </c>
      <c r="AF33">
        <v>0</v>
      </c>
      <c r="AG33">
        <v>0</v>
      </c>
      <c r="AH33">
        <v>0</v>
      </c>
      <c r="AI33">
        <v>0</v>
      </c>
      <c r="AJ33">
        <v>0</v>
      </c>
    </row>
    <row r="34" spans="1:36" x14ac:dyDescent="0.3">
      <c r="A34" t="s">
        <v>393</v>
      </c>
      <c r="B34" s="259">
        <v>45982</v>
      </c>
      <c r="C34" t="s">
        <v>274</v>
      </c>
      <c r="D34" t="s">
        <v>407</v>
      </c>
      <c r="E34" t="s">
        <v>218</v>
      </c>
      <c r="F34" t="s">
        <v>136</v>
      </c>
      <c r="G34">
        <v>0.53069999999999995</v>
      </c>
      <c r="H34">
        <v>179</v>
      </c>
      <c r="I34">
        <v>95</v>
      </c>
      <c r="J34">
        <v>0</v>
      </c>
      <c r="K34" t="s">
        <v>137</v>
      </c>
      <c r="L34" s="259">
        <v>45979</v>
      </c>
      <c r="M34">
        <v>0</v>
      </c>
      <c r="N34">
        <v>1</v>
      </c>
      <c r="O34">
        <v>19</v>
      </c>
      <c r="P34" t="s">
        <v>327</v>
      </c>
      <c r="Q34">
        <v>0</v>
      </c>
      <c r="R34">
        <v>0</v>
      </c>
      <c r="S34">
        <v>0</v>
      </c>
      <c r="T34">
        <v>0</v>
      </c>
      <c r="U34">
        <v>0</v>
      </c>
      <c r="V34">
        <v>0</v>
      </c>
      <c r="W34">
        <v>16</v>
      </c>
      <c r="X34">
        <v>44</v>
      </c>
      <c r="Y34">
        <v>17</v>
      </c>
      <c r="Z34">
        <v>13</v>
      </c>
      <c r="AA34">
        <v>5</v>
      </c>
      <c r="AB34">
        <v>0</v>
      </c>
      <c r="AC34">
        <v>0</v>
      </c>
      <c r="AD34">
        <v>0</v>
      </c>
      <c r="AE34">
        <v>0</v>
      </c>
      <c r="AF34">
        <v>0</v>
      </c>
      <c r="AG34">
        <v>0</v>
      </c>
      <c r="AH34">
        <v>0</v>
      </c>
      <c r="AI34">
        <v>0</v>
      </c>
      <c r="AJ34">
        <v>0</v>
      </c>
    </row>
    <row r="35" spans="1:36" x14ac:dyDescent="0.3">
      <c r="A35" t="s">
        <v>393</v>
      </c>
      <c r="B35" s="259">
        <v>45982</v>
      </c>
      <c r="C35" t="s">
        <v>458</v>
      </c>
      <c r="D35" t="s">
        <v>478</v>
      </c>
      <c r="E35" t="s">
        <v>447</v>
      </c>
      <c r="F35" t="s">
        <v>136</v>
      </c>
      <c r="G35">
        <v>0.98880000000000001</v>
      </c>
      <c r="H35">
        <v>179</v>
      </c>
      <c r="I35">
        <v>177</v>
      </c>
      <c r="J35">
        <v>83</v>
      </c>
      <c r="K35" t="s">
        <v>137</v>
      </c>
      <c r="L35" s="259">
        <v>45979</v>
      </c>
      <c r="M35">
        <v>0</v>
      </c>
      <c r="N35">
        <v>3</v>
      </c>
      <c r="O35">
        <v>10</v>
      </c>
      <c r="P35" t="s">
        <v>469</v>
      </c>
      <c r="Q35">
        <v>0</v>
      </c>
      <c r="R35">
        <v>0</v>
      </c>
      <c r="S35">
        <v>0</v>
      </c>
      <c r="T35">
        <v>0</v>
      </c>
      <c r="U35">
        <v>5</v>
      </c>
      <c r="V35">
        <v>6</v>
      </c>
      <c r="W35">
        <v>0</v>
      </c>
      <c r="X35">
        <v>3</v>
      </c>
      <c r="Y35">
        <v>18</v>
      </c>
      <c r="Z35">
        <v>13</v>
      </c>
      <c r="AA35">
        <v>14</v>
      </c>
      <c r="AB35">
        <v>17</v>
      </c>
      <c r="AC35">
        <v>17</v>
      </c>
      <c r="AD35">
        <v>0</v>
      </c>
      <c r="AE35">
        <v>0</v>
      </c>
      <c r="AF35">
        <v>0</v>
      </c>
      <c r="AG35">
        <v>0</v>
      </c>
      <c r="AH35">
        <v>0</v>
      </c>
      <c r="AI35">
        <v>84</v>
      </c>
      <c r="AJ35">
        <v>0</v>
      </c>
    </row>
    <row r="36" spans="1:36" x14ac:dyDescent="0.3">
      <c r="A36" t="s">
        <v>393</v>
      </c>
      <c r="B36" s="259">
        <v>45982</v>
      </c>
      <c r="C36" t="s">
        <v>622</v>
      </c>
      <c r="D36" t="s">
        <v>170</v>
      </c>
      <c r="E36" t="s">
        <v>582</v>
      </c>
      <c r="F36" t="s">
        <v>136</v>
      </c>
      <c r="G36">
        <v>0.8155</v>
      </c>
      <c r="H36">
        <v>168</v>
      </c>
      <c r="I36">
        <v>137</v>
      </c>
      <c r="J36">
        <v>0</v>
      </c>
      <c r="K36" t="s">
        <v>137</v>
      </c>
      <c r="L36" s="259">
        <v>45980</v>
      </c>
      <c r="M36">
        <v>1</v>
      </c>
      <c r="N36">
        <v>6</v>
      </c>
      <c r="O36">
        <v>35</v>
      </c>
      <c r="P36" t="s">
        <v>659</v>
      </c>
      <c r="Q36">
        <v>0</v>
      </c>
      <c r="R36">
        <v>0</v>
      </c>
      <c r="S36">
        <v>0</v>
      </c>
      <c r="T36">
        <v>0</v>
      </c>
      <c r="U36">
        <v>0</v>
      </c>
      <c r="V36">
        <v>4</v>
      </c>
      <c r="W36">
        <v>0</v>
      </c>
      <c r="X36">
        <v>0</v>
      </c>
      <c r="Y36">
        <v>5</v>
      </c>
      <c r="Z36">
        <v>20</v>
      </c>
      <c r="AA36">
        <v>39</v>
      </c>
      <c r="AB36">
        <v>10</v>
      </c>
      <c r="AC36">
        <v>10</v>
      </c>
      <c r="AD36">
        <v>9</v>
      </c>
      <c r="AE36">
        <v>10</v>
      </c>
      <c r="AF36">
        <v>30</v>
      </c>
      <c r="AG36">
        <v>0</v>
      </c>
      <c r="AH36">
        <v>0</v>
      </c>
      <c r="AI36">
        <v>0</v>
      </c>
      <c r="AJ36">
        <v>0</v>
      </c>
    </row>
    <row r="37" spans="1:36" x14ac:dyDescent="0.3">
      <c r="A37" t="s">
        <v>393</v>
      </c>
      <c r="B37" s="259">
        <v>45982</v>
      </c>
      <c r="C37" t="s">
        <v>656</v>
      </c>
      <c r="D37" t="s">
        <v>695</v>
      </c>
      <c r="E37" t="s">
        <v>582</v>
      </c>
      <c r="F37" t="s">
        <v>136</v>
      </c>
      <c r="G37">
        <v>0.75600000000000001</v>
      </c>
      <c r="H37">
        <v>168</v>
      </c>
      <c r="I37">
        <v>127</v>
      </c>
      <c r="J37">
        <v>0</v>
      </c>
      <c r="K37" t="s">
        <v>137</v>
      </c>
      <c r="L37" s="259">
        <v>45980</v>
      </c>
      <c r="M37">
        <v>1</v>
      </c>
      <c r="N37">
        <v>11</v>
      </c>
      <c r="O37">
        <v>46</v>
      </c>
      <c r="P37" t="s">
        <v>400</v>
      </c>
      <c r="Q37">
        <v>0</v>
      </c>
      <c r="R37">
        <v>0</v>
      </c>
      <c r="S37">
        <v>0</v>
      </c>
      <c r="T37">
        <v>0</v>
      </c>
      <c r="U37">
        <v>0</v>
      </c>
      <c r="V37">
        <v>0</v>
      </c>
      <c r="W37">
        <v>0</v>
      </c>
      <c r="X37">
        <v>0</v>
      </c>
      <c r="Y37">
        <v>0</v>
      </c>
      <c r="Z37">
        <v>19</v>
      </c>
      <c r="AA37">
        <v>15</v>
      </c>
      <c r="AB37">
        <v>58</v>
      </c>
      <c r="AC37">
        <v>35</v>
      </c>
      <c r="AD37">
        <v>0</v>
      </c>
      <c r="AE37">
        <v>0</v>
      </c>
      <c r="AF37">
        <v>0</v>
      </c>
      <c r="AG37">
        <v>0</v>
      </c>
      <c r="AH37">
        <v>0</v>
      </c>
      <c r="AI37">
        <v>0</v>
      </c>
      <c r="AJ37">
        <v>0</v>
      </c>
    </row>
    <row r="38" spans="1:36" x14ac:dyDescent="0.3">
      <c r="A38" t="s">
        <v>393</v>
      </c>
      <c r="B38" s="259">
        <v>45982</v>
      </c>
      <c r="C38" t="s">
        <v>820</v>
      </c>
      <c r="D38" t="s">
        <v>828</v>
      </c>
      <c r="E38" t="s">
        <v>819</v>
      </c>
      <c r="F38" t="s">
        <v>136</v>
      </c>
      <c r="G38">
        <v>0.38100000000000001</v>
      </c>
      <c r="H38">
        <v>168</v>
      </c>
      <c r="I38">
        <v>64</v>
      </c>
      <c r="J38">
        <v>0</v>
      </c>
      <c r="K38" t="s">
        <v>137</v>
      </c>
      <c r="L38" s="259">
        <v>45980</v>
      </c>
      <c r="M38">
        <v>6</v>
      </c>
      <c r="N38">
        <v>5</v>
      </c>
      <c r="O38">
        <v>31</v>
      </c>
      <c r="P38" t="s">
        <v>508</v>
      </c>
      <c r="Q38">
        <v>0</v>
      </c>
      <c r="R38">
        <v>0</v>
      </c>
      <c r="S38">
        <v>0</v>
      </c>
      <c r="T38">
        <v>0</v>
      </c>
      <c r="U38">
        <v>0</v>
      </c>
      <c r="V38">
        <v>0</v>
      </c>
      <c r="W38">
        <v>0</v>
      </c>
      <c r="X38">
        <v>0</v>
      </c>
      <c r="Y38">
        <v>0</v>
      </c>
      <c r="Z38">
        <v>1</v>
      </c>
      <c r="AA38">
        <v>1</v>
      </c>
      <c r="AB38">
        <v>6</v>
      </c>
      <c r="AC38">
        <v>8</v>
      </c>
      <c r="AD38">
        <v>10</v>
      </c>
      <c r="AE38">
        <v>11</v>
      </c>
      <c r="AF38">
        <v>27</v>
      </c>
      <c r="AG38">
        <v>0</v>
      </c>
      <c r="AH38">
        <v>0</v>
      </c>
      <c r="AI38">
        <v>0</v>
      </c>
      <c r="AJ38">
        <v>0</v>
      </c>
    </row>
    <row r="39" spans="1:36" x14ac:dyDescent="0.3">
      <c r="A39" t="s">
        <v>393</v>
      </c>
      <c r="B39" s="259">
        <v>45982</v>
      </c>
      <c r="C39" t="s">
        <v>869</v>
      </c>
      <c r="D39" t="s">
        <v>878</v>
      </c>
      <c r="E39" t="s">
        <v>863</v>
      </c>
      <c r="F39" t="s">
        <v>136</v>
      </c>
      <c r="G39">
        <v>0.94410000000000005</v>
      </c>
      <c r="H39">
        <v>179</v>
      </c>
      <c r="I39">
        <v>169</v>
      </c>
      <c r="J39">
        <v>0</v>
      </c>
      <c r="K39" t="s">
        <v>137</v>
      </c>
      <c r="L39" s="259">
        <v>45980</v>
      </c>
      <c r="M39">
        <v>2</v>
      </c>
      <c r="N39">
        <v>1</v>
      </c>
      <c r="O39">
        <v>31</v>
      </c>
      <c r="P39" t="s">
        <v>140</v>
      </c>
      <c r="Q39">
        <v>0</v>
      </c>
      <c r="R39">
        <v>0</v>
      </c>
      <c r="S39">
        <v>0</v>
      </c>
      <c r="T39">
        <v>0</v>
      </c>
      <c r="U39">
        <v>0</v>
      </c>
      <c r="V39">
        <v>0</v>
      </c>
      <c r="W39">
        <v>0</v>
      </c>
      <c r="X39">
        <v>0</v>
      </c>
      <c r="Y39">
        <v>7</v>
      </c>
      <c r="Z39">
        <v>58</v>
      </c>
      <c r="AA39">
        <v>47</v>
      </c>
      <c r="AB39">
        <v>9</v>
      </c>
      <c r="AC39">
        <v>18</v>
      </c>
      <c r="AD39">
        <v>15</v>
      </c>
      <c r="AE39">
        <v>10</v>
      </c>
      <c r="AF39">
        <v>5</v>
      </c>
      <c r="AG39">
        <v>0</v>
      </c>
      <c r="AH39">
        <v>0</v>
      </c>
      <c r="AI39">
        <v>0</v>
      </c>
      <c r="AJ39">
        <v>0</v>
      </c>
    </row>
    <row r="40" spans="1:36" x14ac:dyDescent="0.3">
      <c r="A40" t="s">
        <v>150</v>
      </c>
      <c r="B40" s="259">
        <v>45983</v>
      </c>
      <c r="C40" t="s">
        <v>838</v>
      </c>
      <c r="D40" t="s">
        <v>785</v>
      </c>
      <c r="E40" t="s">
        <v>834</v>
      </c>
      <c r="F40" t="s">
        <v>136</v>
      </c>
      <c r="G40">
        <v>0.88100000000000001</v>
      </c>
      <c r="H40">
        <v>168</v>
      </c>
      <c r="I40">
        <v>148</v>
      </c>
      <c r="J40">
        <v>0</v>
      </c>
      <c r="K40" t="s">
        <v>137</v>
      </c>
      <c r="L40" s="259">
        <v>45980</v>
      </c>
      <c r="M40">
        <v>9</v>
      </c>
      <c r="N40">
        <v>11</v>
      </c>
      <c r="O40">
        <v>81</v>
      </c>
      <c r="P40" t="s">
        <v>141</v>
      </c>
      <c r="Q40">
        <v>0</v>
      </c>
      <c r="R40">
        <v>0</v>
      </c>
      <c r="S40">
        <v>0</v>
      </c>
      <c r="T40">
        <v>0</v>
      </c>
      <c r="U40">
        <v>0</v>
      </c>
      <c r="V40">
        <v>0</v>
      </c>
      <c r="W40">
        <v>0</v>
      </c>
      <c r="X40">
        <v>0</v>
      </c>
      <c r="Y40">
        <v>0</v>
      </c>
      <c r="Z40">
        <v>9</v>
      </c>
      <c r="AA40">
        <v>12</v>
      </c>
      <c r="AB40">
        <v>24</v>
      </c>
      <c r="AC40">
        <v>4</v>
      </c>
      <c r="AD40">
        <v>20</v>
      </c>
      <c r="AE40">
        <v>77</v>
      </c>
      <c r="AF40">
        <v>2</v>
      </c>
      <c r="AG40">
        <v>0</v>
      </c>
      <c r="AH40">
        <v>0</v>
      </c>
      <c r="AI40">
        <v>0</v>
      </c>
      <c r="AJ40">
        <v>0</v>
      </c>
    </row>
    <row r="41" spans="1:36" x14ac:dyDescent="0.3">
      <c r="A41" t="s">
        <v>150</v>
      </c>
      <c r="B41" s="259">
        <v>45983</v>
      </c>
      <c r="C41" t="s">
        <v>735</v>
      </c>
      <c r="D41" t="s">
        <v>695</v>
      </c>
      <c r="E41" t="s">
        <v>717</v>
      </c>
      <c r="F41" t="s">
        <v>136</v>
      </c>
      <c r="G41">
        <v>0.48809999999999998</v>
      </c>
      <c r="H41">
        <v>168</v>
      </c>
      <c r="I41">
        <v>82</v>
      </c>
      <c r="J41">
        <v>0</v>
      </c>
      <c r="K41" t="s">
        <v>137</v>
      </c>
      <c r="L41" s="259">
        <v>45978</v>
      </c>
      <c r="M41">
        <v>0</v>
      </c>
      <c r="N41">
        <v>0</v>
      </c>
      <c r="O41">
        <v>7</v>
      </c>
      <c r="P41" t="s">
        <v>555</v>
      </c>
      <c r="Q41">
        <v>0</v>
      </c>
      <c r="R41">
        <v>0</v>
      </c>
      <c r="S41">
        <v>0</v>
      </c>
      <c r="T41">
        <v>0</v>
      </c>
      <c r="U41">
        <v>0</v>
      </c>
      <c r="V41">
        <v>0</v>
      </c>
      <c r="W41">
        <v>0</v>
      </c>
      <c r="X41">
        <v>0</v>
      </c>
      <c r="Y41">
        <v>1</v>
      </c>
      <c r="Z41">
        <v>19</v>
      </c>
      <c r="AA41">
        <v>12</v>
      </c>
      <c r="AB41">
        <v>0</v>
      </c>
      <c r="AC41">
        <v>8</v>
      </c>
      <c r="AD41">
        <v>8</v>
      </c>
      <c r="AE41">
        <v>8</v>
      </c>
      <c r="AF41">
        <v>26</v>
      </c>
      <c r="AG41">
        <v>0</v>
      </c>
      <c r="AH41">
        <v>0</v>
      </c>
      <c r="AI41">
        <v>0</v>
      </c>
      <c r="AJ41">
        <v>0</v>
      </c>
    </row>
    <row r="42" spans="1:36" x14ac:dyDescent="0.3">
      <c r="A42" t="s">
        <v>150</v>
      </c>
      <c r="B42" s="259">
        <v>45983</v>
      </c>
      <c r="C42" t="s">
        <v>949</v>
      </c>
      <c r="D42" t="s">
        <v>169</v>
      </c>
      <c r="E42" t="s">
        <v>946</v>
      </c>
      <c r="F42" t="s">
        <v>136</v>
      </c>
      <c r="G42">
        <v>0.47020000000000001</v>
      </c>
      <c r="H42">
        <v>168</v>
      </c>
      <c r="I42">
        <v>79</v>
      </c>
      <c r="J42">
        <v>0</v>
      </c>
      <c r="K42" t="s">
        <v>137</v>
      </c>
      <c r="L42" s="259">
        <v>45980</v>
      </c>
      <c r="M42">
        <v>2</v>
      </c>
      <c r="N42">
        <v>6</v>
      </c>
      <c r="O42">
        <v>45</v>
      </c>
      <c r="P42" t="s">
        <v>547</v>
      </c>
      <c r="Q42">
        <v>0</v>
      </c>
      <c r="R42">
        <v>0</v>
      </c>
      <c r="S42">
        <v>0</v>
      </c>
      <c r="T42">
        <v>0</v>
      </c>
      <c r="U42">
        <v>0</v>
      </c>
      <c r="V42">
        <v>0</v>
      </c>
      <c r="W42">
        <v>0</v>
      </c>
      <c r="X42">
        <v>0</v>
      </c>
      <c r="Y42">
        <v>0</v>
      </c>
      <c r="Z42">
        <v>0</v>
      </c>
      <c r="AA42">
        <v>0</v>
      </c>
      <c r="AB42">
        <v>0</v>
      </c>
      <c r="AC42">
        <v>9</v>
      </c>
      <c r="AD42">
        <v>20</v>
      </c>
      <c r="AE42">
        <v>50</v>
      </c>
      <c r="AF42">
        <v>0</v>
      </c>
      <c r="AG42">
        <v>0</v>
      </c>
      <c r="AH42">
        <v>0</v>
      </c>
      <c r="AI42">
        <v>0</v>
      </c>
      <c r="AJ42">
        <v>0</v>
      </c>
    </row>
    <row r="43" spans="1:36" x14ac:dyDescent="0.3">
      <c r="A43" t="s">
        <v>150</v>
      </c>
      <c r="B43" s="259">
        <v>45983</v>
      </c>
      <c r="C43" t="s">
        <v>927</v>
      </c>
      <c r="D43" t="s">
        <v>942</v>
      </c>
      <c r="E43" t="s">
        <v>917</v>
      </c>
      <c r="F43" t="s">
        <v>136</v>
      </c>
      <c r="G43">
        <v>0.64880000000000004</v>
      </c>
      <c r="H43">
        <v>168</v>
      </c>
      <c r="I43">
        <v>109</v>
      </c>
      <c r="J43">
        <v>0</v>
      </c>
      <c r="K43" t="s">
        <v>137</v>
      </c>
      <c r="L43" s="259">
        <v>45980</v>
      </c>
      <c r="M43">
        <v>1</v>
      </c>
      <c r="N43">
        <v>12</v>
      </c>
      <c r="O43">
        <v>45</v>
      </c>
      <c r="P43" t="s">
        <v>556</v>
      </c>
      <c r="Q43">
        <v>0</v>
      </c>
      <c r="R43">
        <v>0</v>
      </c>
      <c r="S43">
        <v>0</v>
      </c>
      <c r="T43">
        <v>0</v>
      </c>
      <c r="U43">
        <v>0</v>
      </c>
      <c r="V43">
        <v>0</v>
      </c>
      <c r="W43">
        <v>0</v>
      </c>
      <c r="X43">
        <v>0</v>
      </c>
      <c r="Y43">
        <v>1</v>
      </c>
      <c r="Z43">
        <v>9</v>
      </c>
      <c r="AA43">
        <v>14</v>
      </c>
      <c r="AB43">
        <v>10</v>
      </c>
      <c r="AC43">
        <v>20</v>
      </c>
      <c r="AD43">
        <v>36</v>
      </c>
      <c r="AE43">
        <v>19</v>
      </c>
      <c r="AF43">
        <v>0</v>
      </c>
      <c r="AG43">
        <v>0</v>
      </c>
      <c r="AH43">
        <v>0</v>
      </c>
      <c r="AI43">
        <v>0</v>
      </c>
      <c r="AJ43">
        <v>0</v>
      </c>
    </row>
    <row r="44" spans="1:36" x14ac:dyDescent="0.3">
      <c r="A44" t="s">
        <v>150</v>
      </c>
      <c r="B44" s="259">
        <v>45983</v>
      </c>
      <c r="C44" t="s">
        <v>531</v>
      </c>
      <c r="D44" t="s">
        <v>572</v>
      </c>
      <c r="E44" t="s">
        <v>523</v>
      </c>
      <c r="F44" t="s">
        <v>136</v>
      </c>
      <c r="G44">
        <v>0.73209999999999997</v>
      </c>
      <c r="H44">
        <v>168</v>
      </c>
      <c r="I44">
        <v>123</v>
      </c>
      <c r="J44">
        <v>34</v>
      </c>
      <c r="K44" t="s">
        <v>137</v>
      </c>
      <c r="L44" s="259">
        <v>45979</v>
      </c>
      <c r="M44">
        <v>0</v>
      </c>
      <c r="N44">
        <v>7</v>
      </c>
      <c r="O44">
        <v>47</v>
      </c>
      <c r="P44" t="s">
        <v>547</v>
      </c>
      <c r="Q44">
        <v>0</v>
      </c>
      <c r="R44">
        <v>0</v>
      </c>
      <c r="S44">
        <v>0</v>
      </c>
      <c r="T44">
        <v>0</v>
      </c>
      <c r="U44">
        <v>0</v>
      </c>
      <c r="V44">
        <v>0</v>
      </c>
      <c r="W44">
        <v>0</v>
      </c>
      <c r="X44">
        <v>0</v>
      </c>
      <c r="Y44">
        <v>0</v>
      </c>
      <c r="Z44">
        <v>2</v>
      </c>
      <c r="AA44">
        <v>1</v>
      </c>
      <c r="AB44">
        <v>0</v>
      </c>
      <c r="AC44">
        <v>6</v>
      </c>
      <c r="AD44">
        <v>20</v>
      </c>
      <c r="AE44">
        <v>40</v>
      </c>
      <c r="AF44">
        <v>20</v>
      </c>
      <c r="AG44">
        <v>0</v>
      </c>
      <c r="AH44">
        <v>0</v>
      </c>
      <c r="AI44">
        <v>34</v>
      </c>
      <c r="AJ44">
        <v>0</v>
      </c>
    </row>
    <row r="45" spans="1:36" x14ac:dyDescent="0.3">
      <c r="A45" t="s">
        <v>150</v>
      </c>
      <c r="B45" s="259">
        <v>45983</v>
      </c>
      <c r="C45" t="s">
        <v>535</v>
      </c>
      <c r="D45" t="s">
        <v>576</v>
      </c>
      <c r="E45" t="s">
        <v>523</v>
      </c>
      <c r="F45" t="s">
        <v>136</v>
      </c>
      <c r="G45">
        <v>0.70830000000000004</v>
      </c>
      <c r="H45">
        <v>168</v>
      </c>
      <c r="I45">
        <v>119</v>
      </c>
      <c r="J45">
        <v>89</v>
      </c>
      <c r="K45" t="s">
        <v>137</v>
      </c>
      <c r="L45" s="259">
        <v>45980</v>
      </c>
      <c r="M45">
        <v>1</v>
      </c>
      <c r="N45">
        <v>4</v>
      </c>
      <c r="O45">
        <v>8</v>
      </c>
      <c r="P45" t="s">
        <v>508</v>
      </c>
      <c r="Q45">
        <v>0</v>
      </c>
      <c r="R45">
        <v>0</v>
      </c>
      <c r="S45">
        <v>0</v>
      </c>
      <c r="T45">
        <v>0</v>
      </c>
      <c r="U45">
        <v>0</v>
      </c>
      <c r="V45">
        <v>0</v>
      </c>
      <c r="W45">
        <v>0</v>
      </c>
      <c r="X45">
        <v>0</v>
      </c>
      <c r="Y45">
        <v>1</v>
      </c>
      <c r="Z45">
        <v>2</v>
      </c>
      <c r="AA45">
        <v>0</v>
      </c>
      <c r="AB45">
        <v>0</v>
      </c>
      <c r="AC45">
        <v>6</v>
      </c>
      <c r="AD45">
        <v>19</v>
      </c>
      <c r="AE45">
        <v>0</v>
      </c>
      <c r="AF45">
        <v>0</v>
      </c>
      <c r="AG45">
        <v>0</v>
      </c>
      <c r="AH45">
        <v>0</v>
      </c>
      <c r="AI45">
        <v>91</v>
      </c>
      <c r="AJ45">
        <v>0</v>
      </c>
    </row>
    <row r="46" spans="1:36" x14ac:dyDescent="0.3">
      <c r="A46" t="s">
        <v>150</v>
      </c>
      <c r="B46" s="259">
        <v>45983</v>
      </c>
      <c r="C46" t="s">
        <v>249</v>
      </c>
      <c r="D46" t="s">
        <v>421</v>
      </c>
      <c r="E46" t="s">
        <v>218</v>
      </c>
      <c r="F46" t="s">
        <v>136</v>
      </c>
      <c r="G46">
        <v>1</v>
      </c>
      <c r="H46">
        <v>179</v>
      </c>
      <c r="I46">
        <v>179</v>
      </c>
      <c r="J46">
        <v>50</v>
      </c>
      <c r="K46" t="s">
        <v>137</v>
      </c>
      <c r="L46" s="259">
        <v>45971</v>
      </c>
      <c r="M46">
        <v>0</v>
      </c>
      <c r="N46">
        <v>0</v>
      </c>
      <c r="O46">
        <v>0</v>
      </c>
      <c r="P46" t="s">
        <v>82</v>
      </c>
      <c r="Q46">
        <v>0</v>
      </c>
      <c r="R46">
        <v>0</v>
      </c>
      <c r="S46">
        <v>0</v>
      </c>
      <c r="T46">
        <v>0</v>
      </c>
      <c r="U46">
        <v>0</v>
      </c>
      <c r="V46">
        <v>0</v>
      </c>
      <c r="W46">
        <v>3</v>
      </c>
      <c r="X46">
        <v>0</v>
      </c>
      <c r="Y46">
        <v>16</v>
      </c>
      <c r="Z46">
        <v>17</v>
      </c>
      <c r="AA46">
        <v>22</v>
      </c>
      <c r="AB46">
        <v>10</v>
      </c>
      <c r="AC46">
        <v>10</v>
      </c>
      <c r="AD46">
        <v>17</v>
      </c>
      <c r="AE46">
        <v>17</v>
      </c>
      <c r="AF46">
        <v>17</v>
      </c>
      <c r="AG46">
        <v>0</v>
      </c>
      <c r="AH46">
        <v>0</v>
      </c>
      <c r="AI46">
        <v>50</v>
      </c>
      <c r="AJ46">
        <v>0</v>
      </c>
    </row>
    <row r="47" spans="1:36" x14ac:dyDescent="0.3">
      <c r="A47" t="s">
        <v>150</v>
      </c>
      <c r="B47" s="259">
        <v>45983</v>
      </c>
      <c r="C47" t="s">
        <v>258</v>
      </c>
      <c r="D47" t="s">
        <v>364</v>
      </c>
      <c r="E47" t="s">
        <v>218</v>
      </c>
      <c r="F47" t="s">
        <v>136</v>
      </c>
      <c r="G47">
        <v>1</v>
      </c>
      <c r="H47">
        <v>179</v>
      </c>
      <c r="I47">
        <v>179</v>
      </c>
      <c r="J47">
        <v>134</v>
      </c>
      <c r="K47" t="s">
        <v>137</v>
      </c>
      <c r="L47" s="259">
        <v>45979</v>
      </c>
      <c r="M47">
        <v>0</v>
      </c>
      <c r="N47">
        <v>4</v>
      </c>
      <c r="O47">
        <v>6</v>
      </c>
      <c r="P47" t="s">
        <v>82</v>
      </c>
      <c r="Q47">
        <v>0</v>
      </c>
      <c r="R47">
        <v>0</v>
      </c>
      <c r="S47">
        <v>0</v>
      </c>
      <c r="T47">
        <v>0</v>
      </c>
      <c r="U47">
        <v>0</v>
      </c>
      <c r="V47">
        <v>5</v>
      </c>
      <c r="W47">
        <v>0</v>
      </c>
      <c r="X47">
        <v>6</v>
      </c>
      <c r="Y47">
        <v>0</v>
      </c>
      <c r="Z47">
        <v>24</v>
      </c>
      <c r="AA47">
        <v>5</v>
      </c>
      <c r="AB47">
        <v>0</v>
      </c>
      <c r="AC47">
        <v>0</v>
      </c>
      <c r="AD47">
        <v>0</v>
      </c>
      <c r="AE47">
        <v>0</v>
      </c>
      <c r="AF47">
        <v>0</v>
      </c>
      <c r="AG47">
        <v>0</v>
      </c>
      <c r="AH47">
        <v>0</v>
      </c>
      <c r="AI47">
        <v>135</v>
      </c>
      <c r="AJ47">
        <v>4</v>
      </c>
    </row>
    <row r="48" spans="1:36" x14ac:dyDescent="0.3">
      <c r="A48" t="s">
        <v>150</v>
      </c>
      <c r="B48" s="259">
        <v>45983</v>
      </c>
      <c r="C48" t="s">
        <v>269</v>
      </c>
      <c r="D48" t="s">
        <v>430</v>
      </c>
      <c r="E48" t="s">
        <v>218</v>
      </c>
      <c r="F48" t="s">
        <v>136</v>
      </c>
      <c r="G48">
        <v>1</v>
      </c>
      <c r="H48">
        <v>179</v>
      </c>
      <c r="I48">
        <v>179</v>
      </c>
      <c r="J48">
        <v>127</v>
      </c>
      <c r="K48" t="s">
        <v>137</v>
      </c>
      <c r="L48" s="259">
        <v>45980</v>
      </c>
      <c r="M48">
        <v>1</v>
      </c>
      <c r="N48">
        <v>0</v>
      </c>
      <c r="O48">
        <v>4</v>
      </c>
      <c r="P48" t="s">
        <v>82</v>
      </c>
      <c r="Q48">
        <v>0</v>
      </c>
      <c r="R48">
        <v>0</v>
      </c>
      <c r="S48">
        <v>0</v>
      </c>
      <c r="T48">
        <v>0</v>
      </c>
      <c r="U48">
        <v>0</v>
      </c>
      <c r="V48">
        <v>3</v>
      </c>
      <c r="W48">
        <v>0</v>
      </c>
      <c r="X48">
        <v>1</v>
      </c>
      <c r="Y48">
        <v>3</v>
      </c>
      <c r="Z48">
        <v>3</v>
      </c>
      <c r="AA48">
        <v>4</v>
      </c>
      <c r="AB48">
        <v>10</v>
      </c>
      <c r="AC48">
        <v>12</v>
      </c>
      <c r="AD48">
        <v>5</v>
      </c>
      <c r="AE48">
        <v>6</v>
      </c>
      <c r="AF48">
        <v>4</v>
      </c>
      <c r="AG48">
        <v>45</v>
      </c>
      <c r="AH48">
        <v>0</v>
      </c>
      <c r="AI48">
        <v>82</v>
      </c>
      <c r="AJ48">
        <v>1</v>
      </c>
    </row>
    <row r="49" spans="1:36" x14ac:dyDescent="0.3">
      <c r="A49" t="s">
        <v>150</v>
      </c>
      <c r="B49" s="259">
        <v>45983</v>
      </c>
      <c r="C49" t="s">
        <v>458</v>
      </c>
      <c r="D49" t="s">
        <v>481</v>
      </c>
      <c r="E49" t="s">
        <v>447</v>
      </c>
      <c r="F49" t="s">
        <v>136</v>
      </c>
      <c r="G49">
        <v>0.98880000000000001</v>
      </c>
      <c r="H49">
        <v>179</v>
      </c>
      <c r="I49">
        <v>177</v>
      </c>
      <c r="J49">
        <v>136</v>
      </c>
      <c r="K49" t="s">
        <v>137</v>
      </c>
      <c r="L49" s="259">
        <v>45979</v>
      </c>
      <c r="M49">
        <v>0</v>
      </c>
      <c r="N49">
        <v>3</v>
      </c>
      <c r="O49">
        <v>6</v>
      </c>
      <c r="P49" t="s">
        <v>357</v>
      </c>
      <c r="Q49">
        <v>0</v>
      </c>
      <c r="R49">
        <v>0</v>
      </c>
      <c r="S49">
        <v>0</v>
      </c>
      <c r="T49">
        <v>0</v>
      </c>
      <c r="U49">
        <v>0</v>
      </c>
      <c r="V49">
        <v>2</v>
      </c>
      <c r="W49">
        <v>4</v>
      </c>
      <c r="X49">
        <v>14</v>
      </c>
      <c r="Y49">
        <v>0</v>
      </c>
      <c r="Z49">
        <v>7</v>
      </c>
      <c r="AA49">
        <v>0</v>
      </c>
      <c r="AB49">
        <v>0</v>
      </c>
      <c r="AC49">
        <v>14</v>
      </c>
      <c r="AD49">
        <v>0</v>
      </c>
      <c r="AE49">
        <v>0</v>
      </c>
      <c r="AF49">
        <v>0</v>
      </c>
      <c r="AG49">
        <v>0</v>
      </c>
      <c r="AH49">
        <v>0</v>
      </c>
      <c r="AI49">
        <v>136</v>
      </c>
      <c r="AJ49">
        <v>0</v>
      </c>
    </row>
    <row r="50" spans="1:36" x14ac:dyDescent="0.3">
      <c r="A50" t="s">
        <v>150</v>
      </c>
      <c r="B50" s="259">
        <v>45983</v>
      </c>
      <c r="C50" t="s">
        <v>489</v>
      </c>
      <c r="D50" t="s">
        <v>403</v>
      </c>
      <c r="E50" t="s">
        <v>447</v>
      </c>
      <c r="F50" t="s">
        <v>136</v>
      </c>
      <c r="G50">
        <v>0.99439999999999995</v>
      </c>
      <c r="H50">
        <v>179</v>
      </c>
      <c r="I50">
        <v>178</v>
      </c>
      <c r="J50">
        <v>118</v>
      </c>
      <c r="K50" t="s">
        <v>137</v>
      </c>
      <c r="L50" s="259">
        <v>45978</v>
      </c>
      <c r="M50">
        <v>0</v>
      </c>
      <c r="N50">
        <v>0</v>
      </c>
      <c r="O50">
        <v>10</v>
      </c>
      <c r="P50" t="s">
        <v>431</v>
      </c>
      <c r="Q50">
        <v>0</v>
      </c>
      <c r="R50">
        <v>0</v>
      </c>
      <c r="S50">
        <v>0</v>
      </c>
      <c r="T50">
        <v>0</v>
      </c>
      <c r="U50">
        <v>0</v>
      </c>
      <c r="V50">
        <v>0</v>
      </c>
      <c r="W50">
        <v>0</v>
      </c>
      <c r="X50">
        <v>10</v>
      </c>
      <c r="Y50">
        <v>0</v>
      </c>
      <c r="Z50">
        <v>16</v>
      </c>
      <c r="AA50">
        <v>2</v>
      </c>
      <c r="AB50">
        <v>15</v>
      </c>
      <c r="AC50">
        <v>17</v>
      </c>
      <c r="AD50">
        <v>0</v>
      </c>
      <c r="AE50">
        <v>0</v>
      </c>
      <c r="AF50">
        <v>0</v>
      </c>
      <c r="AG50">
        <v>0</v>
      </c>
      <c r="AH50">
        <v>0</v>
      </c>
      <c r="AI50">
        <v>118</v>
      </c>
      <c r="AJ50">
        <v>0</v>
      </c>
    </row>
    <row r="51" spans="1:36" x14ac:dyDescent="0.3">
      <c r="A51" t="s">
        <v>150</v>
      </c>
      <c r="B51" s="259">
        <v>45983</v>
      </c>
      <c r="C51" t="s">
        <v>201</v>
      </c>
      <c r="D51" t="s">
        <v>207</v>
      </c>
      <c r="E51" t="s">
        <v>200</v>
      </c>
      <c r="F51" t="s">
        <v>136</v>
      </c>
      <c r="G51">
        <v>0.96430000000000005</v>
      </c>
      <c r="H51">
        <v>168</v>
      </c>
      <c r="I51">
        <v>162</v>
      </c>
      <c r="J51">
        <v>84</v>
      </c>
      <c r="K51" t="s">
        <v>137</v>
      </c>
      <c r="L51" s="259">
        <v>45979</v>
      </c>
      <c r="M51">
        <v>0</v>
      </c>
      <c r="N51">
        <v>7</v>
      </c>
      <c r="O51">
        <v>50</v>
      </c>
      <c r="P51" t="s">
        <v>203</v>
      </c>
      <c r="Q51">
        <v>0</v>
      </c>
      <c r="R51">
        <v>0</v>
      </c>
      <c r="S51">
        <v>0</v>
      </c>
      <c r="T51">
        <v>0</v>
      </c>
      <c r="U51">
        <v>0</v>
      </c>
      <c r="V51">
        <v>0</v>
      </c>
      <c r="W51">
        <v>0</v>
      </c>
      <c r="X51">
        <v>0</v>
      </c>
      <c r="Y51">
        <v>0</v>
      </c>
      <c r="Z51">
        <v>4</v>
      </c>
      <c r="AA51">
        <v>0</v>
      </c>
      <c r="AB51">
        <v>0</v>
      </c>
      <c r="AC51">
        <v>14</v>
      </c>
      <c r="AD51">
        <v>20</v>
      </c>
      <c r="AE51">
        <v>20</v>
      </c>
      <c r="AF51">
        <v>20</v>
      </c>
      <c r="AG51">
        <v>0</v>
      </c>
      <c r="AH51">
        <v>0</v>
      </c>
      <c r="AI51">
        <v>84</v>
      </c>
      <c r="AJ51">
        <v>0</v>
      </c>
    </row>
    <row r="52" spans="1:36" x14ac:dyDescent="0.3">
      <c r="A52" t="s">
        <v>150</v>
      </c>
      <c r="B52" s="259">
        <v>45983</v>
      </c>
      <c r="C52" t="s">
        <v>79</v>
      </c>
      <c r="D52" t="s">
        <v>151</v>
      </c>
      <c r="E52" t="s">
        <v>1</v>
      </c>
      <c r="F52" t="s">
        <v>136</v>
      </c>
      <c r="G52">
        <v>1</v>
      </c>
      <c r="H52">
        <v>179</v>
      </c>
      <c r="I52">
        <v>179</v>
      </c>
      <c r="J52">
        <v>130</v>
      </c>
      <c r="K52" t="s">
        <v>137</v>
      </c>
      <c r="L52" s="259">
        <v>45974</v>
      </c>
      <c r="M52">
        <v>0</v>
      </c>
      <c r="N52">
        <v>0</v>
      </c>
      <c r="O52">
        <v>1</v>
      </c>
      <c r="P52" t="s">
        <v>82</v>
      </c>
      <c r="Q52">
        <v>0</v>
      </c>
      <c r="R52">
        <v>0</v>
      </c>
      <c r="S52">
        <v>0</v>
      </c>
      <c r="T52">
        <v>0</v>
      </c>
      <c r="U52">
        <v>4</v>
      </c>
      <c r="V52">
        <v>0</v>
      </c>
      <c r="W52">
        <v>0</v>
      </c>
      <c r="X52">
        <v>0</v>
      </c>
      <c r="Y52">
        <v>0</v>
      </c>
      <c r="Z52">
        <v>0</v>
      </c>
      <c r="AA52">
        <v>0</v>
      </c>
      <c r="AB52">
        <v>3</v>
      </c>
      <c r="AC52">
        <v>5</v>
      </c>
      <c r="AD52">
        <v>9</v>
      </c>
      <c r="AE52">
        <v>7</v>
      </c>
      <c r="AF52">
        <v>17</v>
      </c>
      <c r="AG52">
        <v>0</v>
      </c>
      <c r="AH52">
        <v>0</v>
      </c>
      <c r="AI52">
        <v>130</v>
      </c>
      <c r="AJ52">
        <v>4</v>
      </c>
    </row>
    <row r="53" spans="1:36" x14ac:dyDescent="0.3">
      <c r="A53" t="s">
        <v>150</v>
      </c>
      <c r="B53" s="259">
        <v>45983</v>
      </c>
      <c r="C53" t="s">
        <v>622</v>
      </c>
      <c r="D53" t="s">
        <v>683</v>
      </c>
      <c r="E53" t="s">
        <v>582</v>
      </c>
      <c r="F53" t="s">
        <v>136</v>
      </c>
      <c r="G53">
        <v>0.57140000000000002</v>
      </c>
      <c r="H53">
        <v>168</v>
      </c>
      <c r="I53">
        <v>96</v>
      </c>
      <c r="J53">
        <v>0</v>
      </c>
      <c r="K53" t="s">
        <v>137</v>
      </c>
      <c r="L53" s="259">
        <v>45980</v>
      </c>
      <c r="M53">
        <v>1</v>
      </c>
      <c r="N53">
        <v>1</v>
      </c>
      <c r="O53">
        <v>10</v>
      </c>
      <c r="P53" t="s">
        <v>143</v>
      </c>
      <c r="Q53">
        <v>0</v>
      </c>
      <c r="R53">
        <v>0</v>
      </c>
      <c r="S53">
        <v>0</v>
      </c>
      <c r="T53">
        <v>0</v>
      </c>
      <c r="U53">
        <v>0</v>
      </c>
      <c r="V53">
        <v>2</v>
      </c>
      <c r="W53">
        <v>0</v>
      </c>
      <c r="X53">
        <v>0</v>
      </c>
      <c r="Y53">
        <v>0</v>
      </c>
      <c r="Z53">
        <v>0</v>
      </c>
      <c r="AA53">
        <v>2</v>
      </c>
      <c r="AB53">
        <v>12</v>
      </c>
      <c r="AC53">
        <v>45</v>
      </c>
      <c r="AD53">
        <v>5</v>
      </c>
      <c r="AE53">
        <v>25</v>
      </c>
      <c r="AF53">
        <v>5</v>
      </c>
      <c r="AG53">
        <v>0</v>
      </c>
      <c r="AH53">
        <v>0</v>
      </c>
      <c r="AI53">
        <v>0</v>
      </c>
      <c r="AJ53">
        <v>0</v>
      </c>
    </row>
    <row r="54" spans="1:36" x14ac:dyDescent="0.3">
      <c r="A54" t="s">
        <v>150</v>
      </c>
      <c r="B54" s="259">
        <v>45983</v>
      </c>
      <c r="C54" t="s">
        <v>794</v>
      </c>
      <c r="D54" t="s">
        <v>815</v>
      </c>
      <c r="E54" t="s">
        <v>791</v>
      </c>
      <c r="F54" t="s">
        <v>816</v>
      </c>
      <c r="G54">
        <v>0.69069999999999998</v>
      </c>
      <c r="H54">
        <v>97</v>
      </c>
      <c r="I54">
        <v>67</v>
      </c>
      <c r="J54">
        <v>0</v>
      </c>
      <c r="K54" t="s">
        <v>137</v>
      </c>
      <c r="L54" s="259">
        <v>45979</v>
      </c>
      <c r="M54">
        <v>0</v>
      </c>
      <c r="N54">
        <v>7</v>
      </c>
      <c r="O54">
        <v>20</v>
      </c>
      <c r="P54" t="s">
        <v>146</v>
      </c>
      <c r="Q54">
        <v>0</v>
      </c>
      <c r="R54">
        <v>0</v>
      </c>
      <c r="S54">
        <v>0</v>
      </c>
      <c r="T54">
        <v>0</v>
      </c>
      <c r="U54">
        <v>0</v>
      </c>
      <c r="V54">
        <v>0</v>
      </c>
      <c r="W54">
        <v>0</v>
      </c>
      <c r="X54">
        <v>0</v>
      </c>
      <c r="Y54">
        <v>0</v>
      </c>
      <c r="Z54">
        <v>0</v>
      </c>
      <c r="AA54">
        <v>0</v>
      </c>
      <c r="AB54">
        <v>0</v>
      </c>
      <c r="AC54">
        <v>0</v>
      </c>
      <c r="AD54">
        <v>3</v>
      </c>
      <c r="AE54">
        <v>46</v>
      </c>
      <c r="AF54">
        <v>18</v>
      </c>
      <c r="AG54">
        <v>0</v>
      </c>
      <c r="AH54">
        <v>0</v>
      </c>
      <c r="AI54">
        <v>0</v>
      </c>
      <c r="AJ54">
        <v>0</v>
      </c>
    </row>
    <row r="55" spans="1:36" x14ac:dyDescent="0.3">
      <c r="A55" t="s">
        <v>150</v>
      </c>
      <c r="B55" s="259">
        <v>45983</v>
      </c>
      <c r="C55" t="s">
        <v>869</v>
      </c>
      <c r="D55" t="s">
        <v>775</v>
      </c>
      <c r="E55" t="s">
        <v>863</v>
      </c>
      <c r="F55" t="s">
        <v>136</v>
      </c>
      <c r="G55">
        <v>0.93300000000000005</v>
      </c>
      <c r="H55">
        <v>179</v>
      </c>
      <c r="I55">
        <v>167</v>
      </c>
      <c r="J55">
        <v>72</v>
      </c>
      <c r="K55" t="s">
        <v>137</v>
      </c>
      <c r="L55" s="259">
        <v>45979</v>
      </c>
      <c r="M55">
        <v>0</v>
      </c>
      <c r="N55">
        <v>5</v>
      </c>
      <c r="O55">
        <v>32</v>
      </c>
      <c r="P55" t="s">
        <v>555</v>
      </c>
      <c r="Q55">
        <v>0</v>
      </c>
      <c r="R55">
        <v>0</v>
      </c>
      <c r="S55">
        <v>0</v>
      </c>
      <c r="T55">
        <v>0</v>
      </c>
      <c r="U55">
        <v>0</v>
      </c>
      <c r="V55">
        <v>0</v>
      </c>
      <c r="W55">
        <v>0</v>
      </c>
      <c r="X55">
        <v>0</v>
      </c>
      <c r="Y55">
        <v>5</v>
      </c>
      <c r="Z55">
        <v>20</v>
      </c>
      <c r="AA55">
        <v>32</v>
      </c>
      <c r="AB55">
        <v>9</v>
      </c>
      <c r="AC55">
        <v>10</v>
      </c>
      <c r="AD55">
        <v>18</v>
      </c>
      <c r="AE55">
        <v>0</v>
      </c>
      <c r="AF55">
        <v>0</v>
      </c>
      <c r="AG55">
        <v>0</v>
      </c>
      <c r="AH55">
        <v>0</v>
      </c>
      <c r="AI55">
        <v>73</v>
      </c>
      <c r="AJ55">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MED-CAI</vt:lpstr>
      <vt:lpstr>MED-CAI LF LEGACY</vt:lpstr>
      <vt:lpstr>MED-CAI - FOCUS MODE</vt:lpstr>
      <vt:lpstr>MED-CAI - OAL Threats Alert</vt:lpstr>
      <vt:lpstr>MED-HBE</vt:lpstr>
      <vt:lpstr>MED-HBE LF LEGACY</vt:lpstr>
      <vt:lpstr>MED-HBE - FOCUS MODE</vt:lpstr>
      <vt:lpstr>MED-ATZ</vt:lpstr>
      <vt:lpstr>MED-ATZ LF LEGACY</vt:lpstr>
      <vt:lpstr>MED-ATZ - FOCUS MODE</vt: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RUH-CAI - OAL Threats Alert</vt:lpstr>
      <vt:lpstr>RUH-ATZ</vt:lpstr>
      <vt:lpstr>RUH-ATZ LF LEGACY</vt:lpstr>
      <vt:lpstr>RUH-ATZ - FOCUS MODE</vt:lpstr>
      <vt:lpstr>DMM-CAI</vt:lpstr>
      <vt:lpstr>DMM-CAI LF LEGACY</vt:lpstr>
      <vt:lpstr>DMM-CAI - FOCUS MODE</vt:lpstr>
      <vt:lpstr>DMM-CAI - OAL Threats Alert</vt:lpstr>
      <vt:lpstr>DMM-ATZ</vt:lpstr>
      <vt:lpstr>DMM-ATZ LF LEGACY</vt:lpstr>
      <vt:lpstr>DMM-ATZ - FOCUS MODE</vt:lpstr>
      <vt:lpstr>TUU-CAI</vt:lpstr>
      <vt:lpstr>TUU-CAI LF LEGACY</vt:lpstr>
      <vt:lpstr>TUU-CAI - FOCUS MODE</vt:lpstr>
      <vt:lpstr>TUU-CAI - OAL Threats Alert</vt:lpstr>
      <vt:lpstr>TUU-ATZ</vt:lpstr>
      <vt:lpstr>TUU-ATZ LF LEGACY</vt:lpstr>
      <vt:lpstr>TUU-ATZ - FOCUS MODE</vt:lpstr>
      <vt:lpstr>AJF-CAI</vt:lpstr>
      <vt:lpstr>AJF-CAI LF LEGACY</vt:lpstr>
      <vt:lpstr>AJF-CAI - FOCUS MODE</vt:lpstr>
      <vt:lpstr>AJF-CAI - OAL Threats Alert</vt:lpstr>
      <vt:lpstr>AJF-ATZ</vt:lpstr>
      <vt:lpstr>AJF-ATZ LF LEGACY</vt:lpstr>
      <vt:lpstr>AJF-ATZ - FOCUS MODE</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ELQ-CAI</vt:lpstr>
      <vt:lpstr>ELQ-CAI LF LEGACY</vt:lpstr>
      <vt:lpstr>ELQ-CAI - FOCUS MODE</vt:lpstr>
      <vt:lpstr>ELQ-CAI - OAL Threats Alert</vt:lpstr>
      <vt:lpstr>ELQ-ATZ</vt:lpstr>
      <vt:lpstr>ELQ-ATZ LF LEGACY</vt:lpstr>
      <vt:lpstr>ELQ-ATZ - FOCUS MODE</vt:lpstr>
      <vt:lpstr>GIZ-CAI</vt:lpstr>
      <vt:lpstr>GIZ-CAI LF LEGACY</vt:lpstr>
      <vt:lpstr>GIZ-CAI - FOCUS MODE</vt:lpstr>
      <vt:lpstr>GIZ-CAI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2025-11-19T08:49:11Z</dcterms:created>
  <dcterms:modified xsi:type="dcterms:W3CDTF">2025-11-19T08:49:48Z</dcterms:modified>
</cp:coreProperties>
</file>