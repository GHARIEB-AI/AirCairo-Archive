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6391FE6-9A5B-4017-9A5C-3136291BEA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6" i="1" l="1"/>
  <c r="E56" i="1"/>
  <c r="C56" i="1"/>
  <c r="AJ56" i="1"/>
</calcChain>
</file>

<file path=xl/sharedStrings.xml><?xml version="1.0" encoding="utf-8"?>
<sst xmlns="http://schemas.openxmlformats.org/spreadsheetml/2006/main" count="415" uniqueCount="179">
  <si>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</si>
  <si>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</si>
  <si>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</si>
  <si>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</si>
  <si>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</si>
  <si>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</si>
  <si>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</si>
  <si>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</si>
  <si>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</si>
  <si>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</si>
  <si>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</si>
  <si>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</si>
  <si>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</si>
  <si>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</si>
  <si>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</si>
  <si>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</si>
  <si>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</si>
  <si>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</si>
  <si>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</si>
  <si>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</si>
  <si>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</si>
  <si>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</si>
  <si>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</si>
  <si>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</si>
  <si>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</si>
  <si>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</si>
  <si>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</si>
  <si>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</si>
  <si>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</si>
  <si>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</si>
  <si>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</si>
  <si>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</si>
  <si>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</si>
  <si>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</si>
  <si>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</si>
  <si>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</si>
  <si>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</si>
  <si>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SM326</t>
  </si>
  <si>
    <t>20:45</t>
  </si>
  <si>
    <t>TUU-CAI</t>
  </si>
  <si>
    <t>320</t>
  </si>
  <si>
    <t>UPCOMING</t>
  </si>
  <si>
    <t>V2</t>
  </si>
  <si>
    <t>SM422</t>
  </si>
  <si>
    <t>02:00</t>
  </si>
  <si>
    <t>JED-ATZ</t>
  </si>
  <si>
    <t>I9</t>
  </si>
  <si>
    <t>SM424</t>
  </si>
  <si>
    <t>01:10</t>
  </si>
  <si>
    <t>JED-CAI</t>
  </si>
  <si>
    <t>G8</t>
  </si>
  <si>
    <t>SM428</t>
  </si>
  <si>
    <t>19:10</t>
  </si>
  <si>
    <t>ELQ-CAI</t>
  </si>
  <si>
    <t>S8</t>
  </si>
  <si>
    <t>SM432</t>
  </si>
  <si>
    <t>08:45</t>
  </si>
  <si>
    <t>G7</t>
  </si>
  <si>
    <t>SM434</t>
  </si>
  <si>
    <t>22:10</t>
  </si>
  <si>
    <t>DMM-CAI</t>
  </si>
  <si>
    <t>V7</t>
  </si>
  <si>
    <t>SM442</t>
  </si>
  <si>
    <t>14:20</t>
  </si>
  <si>
    <t>YNB-CAI</t>
  </si>
  <si>
    <t>G2</t>
  </si>
  <si>
    <t>SM448</t>
  </si>
  <si>
    <t>01:05</t>
  </si>
  <si>
    <t>AHB-CAI</t>
  </si>
  <si>
    <t>Q9</t>
  </si>
  <si>
    <t>SM450</t>
  </si>
  <si>
    <t>06:05</t>
  </si>
  <si>
    <t>S1</t>
  </si>
  <si>
    <t>SM452</t>
  </si>
  <si>
    <t>06:35</t>
  </si>
  <si>
    <t>JED-HBE</t>
  </si>
  <si>
    <t>CLOSED</t>
  </si>
  <si>
    <t>SM454</t>
  </si>
  <si>
    <t>11:45</t>
  </si>
  <si>
    <t>T9</t>
  </si>
  <si>
    <t>SM456</t>
  </si>
  <si>
    <t>17:00</t>
  </si>
  <si>
    <t>W9</t>
  </si>
  <si>
    <t>SM462</t>
  </si>
  <si>
    <t>14:40</t>
  </si>
  <si>
    <t>RUH-CAI</t>
  </si>
  <si>
    <t>W2</t>
  </si>
  <si>
    <t>SM472</t>
  </si>
  <si>
    <t>02:45</t>
  </si>
  <si>
    <t>G6</t>
  </si>
  <si>
    <t>SM476</t>
  </si>
  <si>
    <t>08:00</t>
  </si>
  <si>
    <t>G4</t>
  </si>
  <si>
    <t>SM478</t>
  </si>
  <si>
    <t>14:00</t>
  </si>
  <si>
    <t>SM480</t>
  </si>
  <si>
    <t>17:45</t>
  </si>
  <si>
    <t>H6</t>
  </si>
  <si>
    <t>SM486</t>
  </si>
  <si>
    <t>15:30</t>
  </si>
  <si>
    <t>MED-HBE</t>
  </si>
  <si>
    <t>K2</t>
  </si>
  <si>
    <t>SM494</t>
  </si>
  <si>
    <t>12:55</t>
  </si>
  <si>
    <t>MED-CAI</t>
  </si>
  <si>
    <t>SM322</t>
  </si>
  <si>
    <t>21:55</t>
  </si>
  <si>
    <t>AJF-CAI</t>
  </si>
  <si>
    <t>S2</t>
  </si>
  <si>
    <t>FRIDAY</t>
  </si>
  <si>
    <t>SM328</t>
  </si>
  <si>
    <t>12:25</t>
  </si>
  <si>
    <t>TUU-ATZ</t>
  </si>
  <si>
    <t>X1</t>
  </si>
  <si>
    <t>SM330</t>
  </si>
  <si>
    <t>00:30</t>
  </si>
  <si>
    <t>GIZ-CAI</t>
  </si>
  <si>
    <t>Q4</t>
  </si>
  <si>
    <t>L3</t>
  </si>
  <si>
    <t>13:55</t>
  </si>
  <si>
    <t>Q7</t>
  </si>
  <si>
    <t>SM438</t>
  </si>
  <si>
    <t>07:00</t>
  </si>
  <si>
    <t>DMM-ATZ</t>
  </si>
  <si>
    <t>S3</t>
  </si>
  <si>
    <t>07:50</t>
  </si>
  <si>
    <t>SM444</t>
  </si>
  <si>
    <t>00:05</t>
  </si>
  <si>
    <t>SM446</t>
  </si>
  <si>
    <t>18:15</t>
  </si>
  <si>
    <t>AHB-ATZ</t>
  </si>
  <si>
    <t>K5</t>
  </si>
  <si>
    <t>10:00</t>
  </si>
  <si>
    <t>H1</t>
  </si>
  <si>
    <t>SM460</t>
  </si>
  <si>
    <t>22:30</t>
  </si>
  <si>
    <t>14:30</t>
  </si>
  <si>
    <t>G9</t>
  </si>
  <si>
    <t>SM470</t>
  </si>
  <si>
    <t>W5</t>
  </si>
  <si>
    <t>17:40</t>
  </si>
  <si>
    <t>L5</t>
  </si>
  <si>
    <t>07:40</t>
  </si>
  <si>
    <t>11:00</t>
  </si>
  <si>
    <t>L4</t>
  </si>
  <si>
    <t>14:45</t>
  </si>
  <si>
    <t>L6</t>
  </si>
  <si>
    <t>SM492</t>
  </si>
  <si>
    <t>U4</t>
  </si>
  <si>
    <t>SM324</t>
  </si>
  <si>
    <t>15:15</t>
  </si>
  <si>
    <t>AJF-ATZ</t>
  </si>
  <si>
    <t>T8</t>
  </si>
  <si>
    <t>SATURDAY</t>
  </si>
  <si>
    <t>23:45</t>
  </si>
  <si>
    <t>E90</t>
  </si>
  <si>
    <t>O9</t>
  </si>
  <si>
    <t>00:01</t>
  </si>
  <si>
    <t>W6</t>
  </si>
  <si>
    <t>SM436</t>
  </si>
  <si>
    <t>20:30</t>
  </si>
  <si>
    <t>ELQ-ATZ</t>
  </si>
  <si>
    <t>X9</t>
  </si>
  <si>
    <t>06:50</t>
  </si>
  <si>
    <t>05:40</t>
  </si>
  <si>
    <t>19:00</t>
  </si>
  <si>
    <t>V1</t>
  </si>
  <si>
    <t>11:05</t>
  </si>
  <si>
    <t>16:30</t>
  </si>
  <si>
    <t>X2</t>
  </si>
  <si>
    <t>SM458</t>
  </si>
  <si>
    <t>L1</t>
  </si>
  <si>
    <t>16:20</t>
  </si>
  <si>
    <t>SM488</t>
  </si>
  <si>
    <t>22:55</t>
  </si>
  <si>
    <t>MED-ATZ</t>
  </si>
  <si>
    <t>X6</t>
  </si>
  <si>
    <t>09:30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</si>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</sst>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827B5-1DAC-4C81-8C97-19B32372772B}" name="LF_ALL_ROUTES" displayName="LF_ALL_ROUTES" ref="A1:AJ56" totalsRowCount="1" headerRowDxfId="37" totalsRowDxfId="0">
  <autoFilter ref="A1:AJ55" xr:uid="{0F6827B5-1DAC-4C81-8C97-19B32372772B}"/>
  <tableColumns count="36">
    <tableColumn id="1" xr3:uid="{1D9B13FC-43E4-4120-8362-DE58C625CACE}" name="Day" totalsRowLabel="TOTAL" totalsRowDxfId="36"/>
    <tableColumn id="2" xr3:uid="{2B175001-BCFE-4DD1-B0DD-E5A1CB991B17}" name="Flt Dt" dataDxfId="39" totalsRowDxfId="35"/>
    <tableColumn id="3" xr3:uid="{AB36F753-F5E2-46E9-854B-B96FDD2545B2}" name="Flt" totalsRowFunction="count" totalsRowDxfId="34"/>
    <tableColumn id="4" xr3:uid="{EC199877-030E-44E1-8DFC-37370E8F7BC9}" name="DEP" totalsRowDxfId="33"/>
    <tableColumn id="5" xr3:uid="{C72695F1-E9BB-4DE2-BF61-0B842A39D62B}" name="Brd-Off" totalsRowFunction="count" totalsRowDxfId="32"/>
    <tableColumn id="6" xr3:uid="{49D81FC3-FE92-47D2-A2F7-2984F98CFCE5}" name="Eqp" totalsRowDxfId="31"/>
    <tableColumn id="7" xr3:uid="{CA4E263B-8C43-4C98-8053-D89FB5C959DC}" name="LF%" totalsRowFunction="average" totalsRowDxfId="30"/>
    <tableColumn id="8" xr3:uid="{DB78C617-3663-4C1E-BC24-01AF097BFB59}" name="CAP" totalsRowDxfId="29"/>
    <tableColumn id="9" xr3:uid="{0F7BD4AF-9075-44F6-8AC9-80E854753D58}" name="BKG(Y)" totalsRowDxfId="28"/>
    <tableColumn id="10" xr3:uid="{1D28D60F-05B2-43B2-82EB-0974DA7AA15D}" name="GRP(Y)" totalsRowDxfId="27"/>
    <tableColumn id="11" xr3:uid="{24F758A4-5FE0-4BCF-98EC-99DE841D6392}" name="FLT ST" totalsRowDxfId="26"/>
    <tableColumn id="12" xr3:uid="{A8639B1D-7781-4B1F-96F3-DDED54FEE3B2}" name="LST-SOLD" dataDxfId="38" totalsRowDxfId="25"/>
    <tableColumn id="13" xr3:uid="{2DA5CA18-D7B9-4D06-A10F-872CA74B41BE}" name="TO-DAY" totalsRowDxfId="24"/>
    <tableColumn id="14" xr3:uid="{508FEA08-7D66-4C6D-B00B-86DDCCCB1AAE}" name="Y-DAY" totalsRowDxfId="23"/>
    <tableColumn id="15" xr3:uid="{BA5944F1-8B1E-43F4-A060-FBE64DB516F8}" name="WEEKLY" totalsRowDxfId="22"/>
    <tableColumn id="16" xr3:uid="{25C1FD0F-9BE7-439C-BAD5-A416A9369A87}" name="LOWEST AVAIL" totalsRowDxfId="21"/>
    <tableColumn id="17" xr3:uid="{5E3932C3-6B5B-4BDE-8BCD-C81E35D8E644}" name="Y" totalsRowDxfId="20"/>
    <tableColumn id="18" xr3:uid="{F1452F22-D398-4602-8377-44D7A178CDE0}" name="B" totalsRowDxfId="19"/>
    <tableColumn id="19" xr3:uid="{3CF997C0-BB43-467E-BB1E-F73A4171C2B8}" name="M" totalsRowDxfId="18"/>
    <tableColumn id="20" xr3:uid="{459A2AC1-313A-491B-B73C-30CE3BCC9267}" name="H" totalsRowDxfId="17"/>
    <tableColumn id="21" xr3:uid="{D892DFE6-6C0A-403B-948F-131FACE3493B}" name="Q" totalsRowDxfId="16"/>
    <tableColumn id="22" xr3:uid="{5724B0D9-1792-47C2-809C-0FD89B50C086}" name="K" totalsRowDxfId="15"/>
    <tableColumn id="23" xr3:uid="{01B70C8E-CF72-408A-9351-F9F0B1E92196}" name="V" totalsRowDxfId="14"/>
    <tableColumn id="24" xr3:uid="{5FC7FF6B-B6F6-4389-9B44-0F59A5A399E4}" name="L" totalsRowDxfId="13"/>
    <tableColumn id="25" xr3:uid="{5394145B-789C-4DBD-8F60-4A6F75D35B62}" name="G" totalsRowDxfId="12"/>
    <tableColumn id="26" xr3:uid="{0E1EF6D5-0F5F-4B80-A392-39D255D1A1FD}" name="S" totalsRowDxfId="11"/>
    <tableColumn id="27" xr3:uid="{DFDD60AC-E2FE-4212-AC11-84B8BD815126}" name="W" totalsRowDxfId="10"/>
    <tableColumn id="28" xr3:uid="{3E87C93A-E40F-43BE-8477-F6290E53FB9B}" name="T" totalsRowDxfId="9"/>
    <tableColumn id="29" xr3:uid="{42E68285-ABF3-44AA-BCFE-FB0E58EA2CA4}" name="X" totalsRowDxfId="8"/>
    <tableColumn id="30" xr3:uid="{1C172D48-8C3E-4BDA-9616-079B20F4ECC3}" name="U" totalsRowDxfId="7"/>
    <tableColumn id="31" xr3:uid="{8F59E55A-5AD0-486D-A942-DDD0911BBA3B}" name="O" totalsRowDxfId="6"/>
    <tableColumn id="32" xr3:uid="{B3719ED4-967E-4AA4-B293-C74385600662}" name="I" totalsRowDxfId="5"/>
    <tableColumn id="33" xr3:uid="{07D18321-7457-4ABD-B61B-435CCC06D305}" name="E" totalsRowDxfId="4"/>
    <tableColumn id="34" xr3:uid="{74317C6C-2BCE-4C13-AFA9-96D861932C64}" name="A" totalsRowDxfId="3"/>
    <tableColumn id="35" xr3:uid="{9B02ABFD-353C-4424-9022-F4002592034E}" name="P" totalsRowDxfId="2"/>
    <tableColumn id="36" xr3:uid="{E5CDBB95-CDD9-4059-BA86-72FA1CD785C5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abSelected="1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0.88690000000000002</v>
      </c>
      <c r="H2">
        <v>168</v>
      </c>
      <c r="I2">
        <v>149</v>
      </c>
      <c r="J2">
        <v>0</v>
      </c>
      <c r="K2" t="s">
        <v>41</v>
      </c>
      <c r="L2" s="2">
        <v>45980</v>
      </c>
      <c r="M2">
        <v>10</v>
      </c>
      <c r="N2">
        <v>16</v>
      </c>
      <c r="O2">
        <v>32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8</v>
      </c>
      <c r="X2">
        <v>20</v>
      </c>
      <c r="Y2">
        <v>22</v>
      </c>
      <c r="Z2">
        <v>20</v>
      </c>
      <c r="AA2">
        <v>10</v>
      </c>
      <c r="AB2">
        <v>16</v>
      </c>
      <c r="AC2">
        <v>7</v>
      </c>
      <c r="AD2">
        <v>10</v>
      </c>
      <c r="AE2">
        <v>17</v>
      </c>
      <c r="AF2">
        <v>18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45</v>
      </c>
      <c r="F3" t="s">
        <v>40</v>
      </c>
      <c r="G3">
        <v>0.57740000000000002</v>
      </c>
      <c r="H3">
        <v>168</v>
      </c>
      <c r="I3">
        <v>97</v>
      </c>
      <c r="J3">
        <v>0</v>
      </c>
      <c r="K3" t="s">
        <v>41</v>
      </c>
      <c r="L3" s="2">
        <v>45980</v>
      </c>
      <c r="M3">
        <v>4</v>
      </c>
      <c r="N3">
        <v>22</v>
      </c>
      <c r="O3">
        <v>58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16</v>
      </c>
      <c r="AE3">
        <v>24</v>
      </c>
      <c r="AF3">
        <v>55</v>
      </c>
      <c r="AG3">
        <v>0</v>
      </c>
      <c r="AH3">
        <v>0</v>
      </c>
      <c r="AI3">
        <v>1</v>
      </c>
      <c r="AJ3">
        <v>0</v>
      </c>
    </row>
    <row r="4" spans="1:36" x14ac:dyDescent="0.3">
      <c r="A4" t="s">
        <v>36</v>
      </c>
      <c r="B4" s="2">
        <v>45981</v>
      </c>
      <c r="C4" t="s">
        <v>47</v>
      </c>
      <c r="D4" t="s">
        <v>48</v>
      </c>
      <c r="E4" t="s">
        <v>49</v>
      </c>
      <c r="F4" t="s">
        <v>40</v>
      </c>
      <c r="G4">
        <v>0.76539999999999997</v>
      </c>
      <c r="H4">
        <v>179</v>
      </c>
      <c r="I4">
        <v>137</v>
      </c>
      <c r="J4">
        <v>28</v>
      </c>
      <c r="K4" t="s">
        <v>41</v>
      </c>
      <c r="L4" s="2">
        <v>45980</v>
      </c>
      <c r="M4">
        <v>1</v>
      </c>
      <c r="N4">
        <v>9</v>
      </c>
      <c r="O4">
        <v>36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16</v>
      </c>
      <c r="Y4">
        <v>28</v>
      </c>
      <c r="Z4">
        <v>36</v>
      </c>
      <c r="AA4">
        <v>29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28</v>
      </c>
      <c r="AJ4">
        <v>0</v>
      </c>
    </row>
    <row r="5" spans="1:36" x14ac:dyDescent="0.3">
      <c r="A5" t="s">
        <v>36</v>
      </c>
      <c r="B5" s="2">
        <v>45981</v>
      </c>
      <c r="C5" t="s">
        <v>51</v>
      </c>
      <c r="D5" t="s">
        <v>52</v>
      </c>
      <c r="E5" t="s">
        <v>53</v>
      </c>
      <c r="F5" t="s">
        <v>40</v>
      </c>
      <c r="G5">
        <v>0.66069999999999995</v>
      </c>
      <c r="H5">
        <v>168</v>
      </c>
      <c r="I5">
        <v>111</v>
      </c>
      <c r="J5">
        <v>0</v>
      </c>
      <c r="K5" t="s">
        <v>41</v>
      </c>
      <c r="L5" s="2">
        <v>45980</v>
      </c>
      <c r="M5">
        <v>4</v>
      </c>
      <c r="N5">
        <v>12</v>
      </c>
      <c r="O5">
        <v>34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21</v>
      </c>
      <c r="X5">
        <v>23</v>
      </c>
      <c r="Y5">
        <v>15</v>
      </c>
      <c r="Z5">
        <v>37</v>
      </c>
      <c r="AA5">
        <v>0</v>
      </c>
      <c r="AB5">
        <v>0</v>
      </c>
      <c r="AC5">
        <v>1</v>
      </c>
      <c r="AD5">
        <v>6</v>
      </c>
      <c r="AE5">
        <v>2</v>
      </c>
      <c r="AF5">
        <v>2</v>
      </c>
      <c r="AG5">
        <v>0</v>
      </c>
      <c r="AH5">
        <v>0</v>
      </c>
      <c r="AI5">
        <v>0</v>
      </c>
      <c r="AJ5">
        <v>2</v>
      </c>
    </row>
    <row r="6" spans="1:36" x14ac:dyDescent="0.3">
      <c r="A6" t="s">
        <v>36</v>
      </c>
      <c r="B6" s="2">
        <v>45981</v>
      </c>
      <c r="C6" t="s">
        <v>55</v>
      </c>
      <c r="D6" t="s">
        <v>56</v>
      </c>
      <c r="E6" t="s">
        <v>49</v>
      </c>
      <c r="F6" t="s">
        <v>40</v>
      </c>
      <c r="G6">
        <v>0.56979999999999997</v>
      </c>
      <c r="H6">
        <v>179</v>
      </c>
      <c r="I6">
        <v>102</v>
      </c>
      <c r="J6">
        <v>2</v>
      </c>
      <c r="K6" t="s">
        <v>41</v>
      </c>
      <c r="L6" s="2">
        <v>45978</v>
      </c>
      <c r="M6">
        <v>0</v>
      </c>
      <c r="N6">
        <v>0</v>
      </c>
      <c r="O6">
        <v>16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28</v>
      </c>
      <c r="Y6">
        <v>19</v>
      </c>
      <c r="Z6">
        <v>10</v>
      </c>
      <c r="AA6">
        <v>10</v>
      </c>
      <c r="AB6">
        <v>9</v>
      </c>
      <c r="AC6">
        <v>6</v>
      </c>
      <c r="AD6">
        <v>1</v>
      </c>
      <c r="AE6">
        <v>5</v>
      </c>
      <c r="AF6">
        <v>6</v>
      </c>
      <c r="AG6">
        <v>0</v>
      </c>
      <c r="AH6">
        <v>0</v>
      </c>
      <c r="AI6">
        <v>2</v>
      </c>
      <c r="AJ6">
        <v>2</v>
      </c>
    </row>
    <row r="7" spans="1:36" x14ac:dyDescent="0.3">
      <c r="A7" t="s">
        <v>36</v>
      </c>
      <c r="B7" s="2">
        <v>45981</v>
      </c>
      <c r="C7" t="s">
        <v>58</v>
      </c>
      <c r="D7" t="s">
        <v>59</v>
      </c>
      <c r="E7" t="s">
        <v>60</v>
      </c>
      <c r="F7" t="s">
        <v>40</v>
      </c>
      <c r="G7">
        <v>0.58520000000000005</v>
      </c>
      <c r="H7">
        <v>176</v>
      </c>
      <c r="I7">
        <v>103</v>
      </c>
      <c r="J7">
        <v>0</v>
      </c>
      <c r="K7" t="s">
        <v>41</v>
      </c>
      <c r="L7" s="2">
        <v>45980</v>
      </c>
      <c r="M7">
        <v>1</v>
      </c>
      <c r="N7">
        <v>5</v>
      </c>
      <c r="O7">
        <v>23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46</v>
      </c>
      <c r="X7">
        <v>16</v>
      </c>
      <c r="Y7">
        <v>13</v>
      </c>
      <c r="Z7">
        <v>10</v>
      </c>
      <c r="AA7">
        <v>3</v>
      </c>
      <c r="AB7">
        <v>0</v>
      </c>
      <c r="AC7">
        <v>4</v>
      </c>
      <c r="AD7">
        <v>5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62</v>
      </c>
      <c r="D8" t="s">
        <v>63</v>
      </c>
      <c r="E8" t="s">
        <v>64</v>
      </c>
      <c r="F8" t="s">
        <v>40</v>
      </c>
      <c r="G8">
        <v>0.98880000000000001</v>
      </c>
      <c r="H8">
        <v>179</v>
      </c>
      <c r="I8">
        <v>177</v>
      </c>
      <c r="J8">
        <v>0</v>
      </c>
      <c r="K8" t="s">
        <v>41</v>
      </c>
      <c r="L8" s="2">
        <v>45980</v>
      </c>
      <c r="M8">
        <v>2</v>
      </c>
      <c r="N8">
        <v>0</v>
      </c>
      <c r="O8">
        <v>34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12</v>
      </c>
      <c r="Z8">
        <v>16</v>
      </c>
      <c r="AA8">
        <v>30</v>
      </c>
      <c r="AB8">
        <v>43</v>
      </c>
      <c r="AC8">
        <v>35</v>
      </c>
      <c r="AD8">
        <v>10</v>
      </c>
      <c r="AE8">
        <v>10</v>
      </c>
      <c r="AF8">
        <v>20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36</v>
      </c>
      <c r="B9" s="2">
        <v>45981</v>
      </c>
      <c r="C9" t="s">
        <v>66</v>
      </c>
      <c r="D9" t="s">
        <v>67</v>
      </c>
      <c r="E9" t="s">
        <v>68</v>
      </c>
      <c r="F9" t="s">
        <v>40</v>
      </c>
      <c r="G9">
        <v>0.61309999999999998</v>
      </c>
      <c r="H9">
        <v>168</v>
      </c>
      <c r="I9">
        <v>103</v>
      </c>
      <c r="J9">
        <v>0</v>
      </c>
      <c r="K9" t="s">
        <v>41</v>
      </c>
      <c r="L9" s="2">
        <v>45980</v>
      </c>
      <c r="M9">
        <v>7</v>
      </c>
      <c r="N9">
        <v>8</v>
      </c>
      <c r="O9">
        <v>49</v>
      </c>
      <c r="P9" t="s">
        <v>69</v>
      </c>
      <c r="Q9">
        <v>0</v>
      </c>
      <c r="R9">
        <v>0</v>
      </c>
      <c r="S9">
        <v>0</v>
      </c>
      <c r="T9">
        <v>0</v>
      </c>
      <c r="U9">
        <v>14</v>
      </c>
      <c r="V9">
        <v>18</v>
      </c>
      <c r="W9">
        <v>22</v>
      </c>
      <c r="X9">
        <v>33</v>
      </c>
      <c r="Y9">
        <v>8</v>
      </c>
      <c r="Z9">
        <v>2</v>
      </c>
      <c r="AA9">
        <v>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70</v>
      </c>
      <c r="D10" t="s">
        <v>71</v>
      </c>
      <c r="E10" t="s">
        <v>49</v>
      </c>
      <c r="F10" t="s">
        <v>40</v>
      </c>
      <c r="G10">
        <v>0.87709999999999999</v>
      </c>
      <c r="H10">
        <v>179</v>
      </c>
      <c r="I10">
        <v>157</v>
      </c>
      <c r="J10">
        <v>72</v>
      </c>
      <c r="K10" t="s">
        <v>41</v>
      </c>
      <c r="L10" s="2">
        <v>45980</v>
      </c>
      <c r="M10">
        <v>2</v>
      </c>
      <c r="N10">
        <v>5</v>
      </c>
      <c r="O10">
        <v>13</v>
      </c>
      <c r="P10" t="s">
        <v>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11</v>
      </c>
      <c r="Y10">
        <v>20</v>
      </c>
      <c r="Z10">
        <v>22</v>
      </c>
      <c r="AA10">
        <v>31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69</v>
      </c>
      <c r="AH10">
        <v>0</v>
      </c>
      <c r="AI10">
        <v>1</v>
      </c>
      <c r="AJ10">
        <v>2</v>
      </c>
    </row>
    <row r="11" spans="1:36" x14ac:dyDescent="0.3">
      <c r="A11" t="s">
        <v>36</v>
      </c>
      <c r="B11" s="2">
        <v>45981</v>
      </c>
      <c r="C11" t="s">
        <v>73</v>
      </c>
      <c r="D11" t="s">
        <v>74</v>
      </c>
      <c r="E11" t="s">
        <v>75</v>
      </c>
      <c r="F11" t="s">
        <v>40</v>
      </c>
      <c r="G11">
        <v>1</v>
      </c>
      <c r="H11">
        <v>179</v>
      </c>
      <c r="I11">
        <v>179</v>
      </c>
      <c r="J11">
        <v>134</v>
      </c>
      <c r="K11" t="s">
        <v>41</v>
      </c>
      <c r="L11" s="2">
        <v>45979</v>
      </c>
      <c r="M11">
        <v>0</v>
      </c>
      <c r="N11">
        <v>1</v>
      </c>
      <c r="O11">
        <v>7</v>
      </c>
      <c r="P11" t="s">
        <v>76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5</v>
      </c>
      <c r="X11">
        <v>15</v>
      </c>
      <c r="Y11">
        <v>3</v>
      </c>
      <c r="Z11">
        <v>4</v>
      </c>
      <c r="AA11">
        <v>0</v>
      </c>
      <c r="AB11">
        <v>0</v>
      </c>
      <c r="AC11">
        <v>2</v>
      </c>
      <c r="AD11">
        <v>5</v>
      </c>
      <c r="AE11">
        <v>5</v>
      </c>
      <c r="AF11">
        <v>5</v>
      </c>
      <c r="AG11">
        <v>0</v>
      </c>
      <c r="AH11">
        <v>0</v>
      </c>
      <c r="AI11">
        <v>134</v>
      </c>
      <c r="AJ11">
        <v>0</v>
      </c>
    </row>
    <row r="12" spans="1:36" x14ac:dyDescent="0.3">
      <c r="A12" t="s">
        <v>36</v>
      </c>
      <c r="B12" s="2">
        <v>45981</v>
      </c>
      <c r="C12" t="s">
        <v>77</v>
      </c>
      <c r="D12" t="s">
        <v>78</v>
      </c>
      <c r="E12" t="s">
        <v>45</v>
      </c>
      <c r="F12" t="s">
        <v>40</v>
      </c>
      <c r="G12">
        <v>0.73809999999999998</v>
      </c>
      <c r="H12">
        <v>168</v>
      </c>
      <c r="I12">
        <v>124</v>
      </c>
      <c r="J12">
        <v>92</v>
      </c>
      <c r="K12" t="s">
        <v>41</v>
      </c>
      <c r="L12" s="2">
        <v>45977</v>
      </c>
      <c r="M12">
        <v>0</v>
      </c>
      <c r="N12">
        <v>0</v>
      </c>
      <c r="O12">
        <v>9</v>
      </c>
      <c r="P12" t="s">
        <v>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6</v>
      </c>
      <c r="AB12">
        <v>16</v>
      </c>
      <c r="AC12">
        <v>0</v>
      </c>
      <c r="AD12">
        <v>2</v>
      </c>
      <c r="AE12">
        <v>2</v>
      </c>
      <c r="AF12">
        <v>5</v>
      </c>
      <c r="AG12">
        <v>1</v>
      </c>
      <c r="AH12">
        <v>0</v>
      </c>
      <c r="AI12">
        <v>91</v>
      </c>
      <c r="AJ12">
        <v>0</v>
      </c>
    </row>
    <row r="13" spans="1:36" x14ac:dyDescent="0.3">
      <c r="A13" t="s">
        <v>36</v>
      </c>
      <c r="B13" s="2">
        <v>45981</v>
      </c>
      <c r="C13" t="s">
        <v>80</v>
      </c>
      <c r="D13" t="s">
        <v>81</v>
      </c>
      <c r="E13" t="s">
        <v>45</v>
      </c>
      <c r="F13" t="s">
        <v>40</v>
      </c>
      <c r="G13">
        <v>0.70830000000000004</v>
      </c>
      <c r="H13">
        <v>168</v>
      </c>
      <c r="I13">
        <v>119</v>
      </c>
      <c r="J13">
        <v>39</v>
      </c>
      <c r="K13" t="s">
        <v>41</v>
      </c>
      <c r="L13" s="2">
        <v>45980</v>
      </c>
      <c r="M13">
        <v>5</v>
      </c>
      <c r="N13">
        <v>13</v>
      </c>
      <c r="O13">
        <v>60</v>
      </c>
      <c r="P13" t="s">
        <v>82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17</v>
      </c>
      <c r="AB13">
        <v>16</v>
      </c>
      <c r="AC13">
        <v>6</v>
      </c>
      <c r="AD13">
        <v>17</v>
      </c>
      <c r="AE13">
        <v>16</v>
      </c>
      <c r="AF13">
        <v>5</v>
      </c>
      <c r="AG13">
        <v>0</v>
      </c>
      <c r="AH13">
        <v>0</v>
      </c>
      <c r="AI13">
        <v>39</v>
      </c>
      <c r="AJ13">
        <v>0</v>
      </c>
    </row>
    <row r="14" spans="1:36" x14ac:dyDescent="0.3">
      <c r="A14" t="s">
        <v>36</v>
      </c>
      <c r="B14" s="2">
        <v>45981</v>
      </c>
      <c r="C14" t="s">
        <v>83</v>
      </c>
      <c r="D14" t="s">
        <v>84</v>
      </c>
      <c r="E14" t="s">
        <v>85</v>
      </c>
      <c r="F14" t="s">
        <v>40</v>
      </c>
      <c r="G14">
        <v>0.77380000000000004</v>
      </c>
      <c r="H14">
        <v>168</v>
      </c>
      <c r="I14">
        <v>130</v>
      </c>
      <c r="J14">
        <v>0</v>
      </c>
      <c r="K14" t="s">
        <v>41</v>
      </c>
      <c r="L14" s="2">
        <v>45980</v>
      </c>
      <c r="M14">
        <v>5</v>
      </c>
      <c r="N14">
        <v>10</v>
      </c>
      <c r="O14">
        <v>41</v>
      </c>
      <c r="P14" t="s">
        <v>86</v>
      </c>
      <c r="Q14">
        <v>0</v>
      </c>
      <c r="R14">
        <v>0</v>
      </c>
      <c r="S14">
        <v>0</v>
      </c>
      <c r="T14">
        <v>0</v>
      </c>
      <c r="U14">
        <v>1</v>
      </c>
      <c r="V14">
        <v>6</v>
      </c>
      <c r="W14">
        <v>6</v>
      </c>
      <c r="X14">
        <v>37</v>
      </c>
      <c r="Y14">
        <v>12</v>
      </c>
      <c r="Z14">
        <v>8</v>
      </c>
      <c r="AA14">
        <v>27</v>
      </c>
      <c r="AB14">
        <v>0</v>
      </c>
      <c r="AC14">
        <v>1</v>
      </c>
      <c r="AD14">
        <v>9</v>
      </c>
      <c r="AE14">
        <v>18</v>
      </c>
      <c r="AF14">
        <v>3</v>
      </c>
      <c r="AG14">
        <v>0</v>
      </c>
      <c r="AH14">
        <v>0</v>
      </c>
      <c r="AI14">
        <v>0</v>
      </c>
      <c r="AJ14">
        <v>2</v>
      </c>
    </row>
    <row r="15" spans="1:36" x14ac:dyDescent="0.3">
      <c r="A15" t="s">
        <v>36</v>
      </c>
      <c r="B15" s="2">
        <v>45981</v>
      </c>
      <c r="C15" t="s">
        <v>87</v>
      </c>
      <c r="D15" t="s">
        <v>88</v>
      </c>
      <c r="E15" t="s">
        <v>49</v>
      </c>
      <c r="F15" t="s">
        <v>40</v>
      </c>
      <c r="G15">
        <v>0.92510000000000003</v>
      </c>
      <c r="H15">
        <v>187</v>
      </c>
      <c r="I15">
        <v>173</v>
      </c>
      <c r="J15">
        <v>60</v>
      </c>
      <c r="K15" t="s">
        <v>41</v>
      </c>
      <c r="L15" s="2">
        <v>45979</v>
      </c>
      <c r="M15">
        <v>0</v>
      </c>
      <c r="N15">
        <v>4</v>
      </c>
      <c r="O15">
        <v>15</v>
      </c>
      <c r="P15" t="s">
        <v>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13</v>
      </c>
      <c r="Y15">
        <v>42</v>
      </c>
      <c r="Z15">
        <v>15</v>
      </c>
      <c r="AA15">
        <v>13</v>
      </c>
      <c r="AB15">
        <v>10</v>
      </c>
      <c r="AC15">
        <v>5</v>
      </c>
      <c r="AD15">
        <v>5</v>
      </c>
      <c r="AE15">
        <v>5</v>
      </c>
      <c r="AF15">
        <v>5</v>
      </c>
      <c r="AG15">
        <v>0</v>
      </c>
      <c r="AH15">
        <v>0</v>
      </c>
      <c r="AI15">
        <v>60</v>
      </c>
      <c r="AJ15">
        <v>0</v>
      </c>
    </row>
    <row r="16" spans="1:36" x14ac:dyDescent="0.3">
      <c r="A16" t="s">
        <v>36</v>
      </c>
      <c r="B16" s="2">
        <v>45981</v>
      </c>
      <c r="C16" t="s">
        <v>90</v>
      </c>
      <c r="D16" t="s">
        <v>91</v>
      </c>
      <c r="E16" t="s">
        <v>49</v>
      </c>
      <c r="F16" t="s">
        <v>40</v>
      </c>
      <c r="G16">
        <v>0.82120000000000004</v>
      </c>
      <c r="H16">
        <v>179</v>
      </c>
      <c r="I16">
        <v>147</v>
      </c>
      <c r="J16">
        <v>104</v>
      </c>
      <c r="K16" t="s">
        <v>41</v>
      </c>
      <c r="L16" s="2">
        <v>45980</v>
      </c>
      <c r="M16">
        <v>3</v>
      </c>
      <c r="N16">
        <v>5</v>
      </c>
      <c r="O16">
        <v>16</v>
      </c>
      <c r="P16" t="s">
        <v>92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10</v>
      </c>
      <c r="Y16">
        <v>11</v>
      </c>
      <c r="Z16">
        <v>16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104</v>
      </c>
      <c r="AJ16">
        <v>0</v>
      </c>
    </row>
    <row r="17" spans="1:36" x14ac:dyDescent="0.3">
      <c r="A17" t="s">
        <v>36</v>
      </c>
      <c r="B17" s="2">
        <v>45981</v>
      </c>
      <c r="C17" t="s">
        <v>93</v>
      </c>
      <c r="D17" t="s">
        <v>94</v>
      </c>
      <c r="E17" t="s">
        <v>49</v>
      </c>
      <c r="F17" t="s">
        <v>40</v>
      </c>
      <c r="G17">
        <v>0.96089999999999998</v>
      </c>
      <c r="H17">
        <v>179</v>
      </c>
      <c r="I17">
        <v>172</v>
      </c>
      <c r="J17">
        <v>98</v>
      </c>
      <c r="K17" t="s">
        <v>41</v>
      </c>
      <c r="L17" s="2">
        <v>45977</v>
      </c>
      <c r="M17">
        <v>0</v>
      </c>
      <c r="N17">
        <v>0</v>
      </c>
      <c r="O17">
        <v>9</v>
      </c>
      <c r="P17" t="s">
        <v>61</v>
      </c>
      <c r="Q17">
        <v>0</v>
      </c>
      <c r="R17">
        <v>0</v>
      </c>
      <c r="S17">
        <v>0</v>
      </c>
      <c r="T17">
        <v>0</v>
      </c>
      <c r="U17">
        <v>1</v>
      </c>
      <c r="V17">
        <v>6</v>
      </c>
      <c r="W17">
        <v>5</v>
      </c>
      <c r="X17">
        <v>16</v>
      </c>
      <c r="Y17">
        <v>26</v>
      </c>
      <c r="Z17">
        <v>16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97</v>
      </c>
      <c r="AJ17">
        <v>0</v>
      </c>
    </row>
    <row r="18" spans="1:36" x14ac:dyDescent="0.3">
      <c r="A18" t="s">
        <v>36</v>
      </c>
      <c r="B18" s="2">
        <v>45981</v>
      </c>
      <c r="C18" t="s">
        <v>95</v>
      </c>
      <c r="D18" t="s">
        <v>96</v>
      </c>
      <c r="E18" t="s">
        <v>49</v>
      </c>
      <c r="F18" t="s">
        <v>40</v>
      </c>
      <c r="G18">
        <v>0.96650000000000003</v>
      </c>
      <c r="H18">
        <v>179</v>
      </c>
      <c r="I18">
        <v>173</v>
      </c>
      <c r="J18">
        <v>90</v>
      </c>
      <c r="K18" t="s">
        <v>41</v>
      </c>
      <c r="L18" s="2">
        <v>45978</v>
      </c>
      <c r="M18">
        <v>0</v>
      </c>
      <c r="N18">
        <v>0</v>
      </c>
      <c r="O18">
        <v>3</v>
      </c>
      <c r="P18" t="s">
        <v>97</v>
      </c>
      <c r="Q18">
        <v>0</v>
      </c>
      <c r="R18">
        <v>0</v>
      </c>
      <c r="S18">
        <v>6</v>
      </c>
      <c r="T18">
        <v>0</v>
      </c>
      <c r="U18">
        <v>4</v>
      </c>
      <c r="V18">
        <v>4</v>
      </c>
      <c r="W18">
        <v>14</v>
      </c>
      <c r="X18">
        <v>16</v>
      </c>
      <c r="Y18">
        <v>16</v>
      </c>
      <c r="Z18">
        <v>16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98</v>
      </c>
      <c r="D19" t="s">
        <v>99</v>
      </c>
      <c r="E19" t="s">
        <v>100</v>
      </c>
      <c r="F19" t="s">
        <v>40</v>
      </c>
      <c r="G19">
        <v>0.9385</v>
      </c>
      <c r="H19">
        <v>179</v>
      </c>
      <c r="I19">
        <v>168</v>
      </c>
      <c r="J19">
        <v>110</v>
      </c>
      <c r="K19" t="s">
        <v>41</v>
      </c>
      <c r="L19" s="2">
        <v>45980</v>
      </c>
      <c r="M19">
        <v>1</v>
      </c>
      <c r="N19">
        <v>1</v>
      </c>
      <c r="O19">
        <v>13</v>
      </c>
      <c r="P19" t="s">
        <v>101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5</v>
      </c>
      <c r="X19">
        <v>13</v>
      </c>
      <c r="Y19">
        <v>4</v>
      </c>
      <c r="Z19">
        <v>5</v>
      </c>
      <c r="AA19">
        <v>0</v>
      </c>
      <c r="AB19">
        <v>0</v>
      </c>
      <c r="AC19">
        <v>4</v>
      </c>
      <c r="AD19">
        <v>9</v>
      </c>
      <c r="AE19">
        <v>10</v>
      </c>
      <c r="AF19">
        <v>5</v>
      </c>
      <c r="AG19">
        <v>0</v>
      </c>
      <c r="AH19">
        <v>0</v>
      </c>
      <c r="AI19">
        <v>110</v>
      </c>
      <c r="AJ19">
        <v>0</v>
      </c>
    </row>
    <row r="20" spans="1:36" x14ac:dyDescent="0.3">
      <c r="A20" t="s">
        <v>36</v>
      </c>
      <c r="B20" s="2">
        <v>45981</v>
      </c>
      <c r="C20" t="s">
        <v>102</v>
      </c>
      <c r="D20" t="s">
        <v>103</v>
      </c>
      <c r="E20" t="s">
        <v>104</v>
      </c>
      <c r="F20" t="s">
        <v>40</v>
      </c>
      <c r="G20">
        <v>1.0169999999999999</v>
      </c>
      <c r="H20">
        <v>176</v>
      </c>
      <c r="I20">
        <v>179</v>
      </c>
      <c r="J20">
        <v>92</v>
      </c>
      <c r="K20" t="s">
        <v>41</v>
      </c>
      <c r="L20" s="2">
        <v>45976</v>
      </c>
      <c r="M20">
        <v>0</v>
      </c>
      <c r="N20">
        <v>0</v>
      </c>
      <c r="O20">
        <v>6</v>
      </c>
      <c r="P20" t="s">
        <v>76</v>
      </c>
      <c r="Q20">
        <v>0</v>
      </c>
      <c r="R20">
        <v>0</v>
      </c>
      <c r="S20">
        <v>0</v>
      </c>
      <c r="T20">
        <v>0</v>
      </c>
      <c r="U20">
        <v>11</v>
      </c>
      <c r="V20">
        <v>0</v>
      </c>
      <c r="W20">
        <v>0</v>
      </c>
      <c r="X20">
        <v>4</v>
      </c>
      <c r="Y20">
        <v>6</v>
      </c>
      <c r="Z20">
        <v>6</v>
      </c>
      <c r="AA20">
        <v>8</v>
      </c>
      <c r="AB20">
        <v>9</v>
      </c>
      <c r="AC20">
        <v>8</v>
      </c>
      <c r="AD20">
        <v>8</v>
      </c>
      <c r="AE20">
        <v>9</v>
      </c>
      <c r="AF20">
        <v>16</v>
      </c>
      <c r="AG20">
        <v>0</v>
      </c>
      <c r="AH20">
        <v>0</v>
      </c>
      <c r="AI20">
        <v>92</v>
      </c>
      <c r="AJ20">
        <v>2</v>
      </c>
    </row>
    <row r="21" spans="1:36" x14ac:dyDescent="0.3">
      <c r="A21" t="s">
        <v>36</v>
      </c>
      <c r="B21" s="2">
        <v>45981</v>
      </c>
      <c r="C21" t="s">
        <v>105</v>
      </c>
      <c r="D21" t="s">
        <v>106</v>
      </c>
      <c r="E21" t="s">
        <v>107</v>
      </c>
      <c r="F21" t="s">
        <v>40</v>
      </c>
      <c r="G21">
        <v>0.89880000000000004</v>
      </c>
      <c r="H21">
        <v>168</v>
      </c>
      <c r="I21">
        <v>151</v>
      </c>
      <c r="J21">
        <v>0</v>
      </c>
      <c r="K21" t="s">
        <v>41</v>
      </c>
      <c r="L21" s="2">
        <v>45979</v>
      </c>
      <c r="M21">
        <v>0</v>
      </c>
      <c r="N21">
        <v>15</v>
      </c>
      <c r="O21">
        <v>41</v>
      </c>
      <c r="P21" t="s">
        <v>108</v>
      </c>
      <c r="Q21">
        <v>0</v>
      </c>
      <c r="R21">
        <v>0</v>
      </c>
      <c r="S21">
        <v>0</v>
      </c>
      <c r="T21">
        <v>0</v>
      </c>
      <c r="U21">
        <v>1</v>
      </c>
      <c r="V21">
        <v>3</v>
      </c>
      <c r="W21">
        <v>42</v>
      </c>
      <c r="X21">
        <v>2</v>
      </c>
      <c r="Y21">
        <v>14</v>
      </c>
      <c r="Z21">
        <v>18</v>
      </c>
      <c r="AA21">
        <v>4</v>
      </c>
      <c r="AB21">
        <v>12</v>
      </c>
      <c r="AC21">
        <v>1</v>
      </c>
      <c r="AD21">
        <v>11</v>
      </c>
      <c r="AE21">
        <v>23</v>
      </c>
      <c r="AF21">
        <v>20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109</v>
      </c>
      <c r="B22" s="2">
        <v>45982</v>
      </c>
      <c r="C22" t="s">
        <v>110</v>
      </c>
      <c r="D22" t="s">
        <v>111</v>
      </c>
      <c r="E22" t="s">
        <v>112</v>
      </c>
      <c r="F22" t="s">
        <v>40</v>
      </c>
      <c r="G22">
        <v>0.38690000000000002</v>
      </c>
      <c r="H22">
        <v>168</v>
      </c>
      <c r="I22">
        <v>65</v>
      </c>
      <c r="J22">
        <v>0</v>
      </c>
      <c r="K22" t="s">
        <v>41</v>
      </c>
      <c r="L22" s="2">
        <v>45980</v>
      </c>
      <c r="M22">
        <v>7</v>
      </c>
      <c r="N22">
        <v>5</v>
      </c>
      <c r="O22">
        <v>32</v>
      </c>
      <c r="P22" t="s">
        <v>113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6</v>
      </c>
      <c r="AC22">
        <v>9</v>
      </c>
      <c r="AD22">
        <v>10</v>
      </c>
      <c r="AE22">
        <v>11</v>
      </c>
      <c r="AF22">
        <v>27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109</v>
      </c>
      <c r="B23" s="2">
        <v>45982</v>
      </c>
      <c r="C23" t="s">
        <v>114</v>
      </c>
      <c r="D23" t="s">
        <v>115</v>
      </c>
      <c r="E23" t="s">
        <v>116</v>
      </c>
      <c r="F23" t="s">
        <v>40</v>
      </c>
      <c r="G23">
        <v>0.61309999999999998</v>
      </c>
      <c r="H23">
        <v>168</v>
      </c>
      <c r="I23">
        <v>103</v>
      </c>
      <c r="J23">
        <v>0</v>
      </c>
      <c r="K23" t="s">
        <v>41</v>
      </c>
      <c r="L23" s="2">
        <v>45980</v>
      </c>
      <c r="M23">
        <v>1</v>
      </c>
      <c r="N23">
        <v>6</v>
      </c>
      <c r="O23">
        <v>31</v>
      </c>
      <c r="P23" t="s">
        <v>117</v>
      </c>
      <c r="Q23">
        <v>0</v>
      </c>
      <c r="R23">
        <v>0</v>
      </c>
      <c r="S23">
        <v>0</v>
      </c>
      <c r="T23">
        <v>0</v>
      </c>
      <c r="U23">
        <v>11</v>
      </c>
      <c r="V23">
        <v>30</v>
      </c>
      <c r="W23">
        <v>10</v>
      </c>
      <c r="X23">
        <v>18</v>
      </c>
      <c r="Y23">
        <v>17</v>
      </c>
      <c r="Z23">
        <v>9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109</v>
      </c>
      <c r="B24" s="2">
        <v>45982</v>
      </c>
      <c r="C24" t="s">
        <v>47</v>
      </c>
      <c r="D24" t="s">
        <v>88</v>
      </c>
      <c r="E24" t="s">
        <v>49</v>
      </c>
      <c r="F24" t="s">
        <v>40</v>
      </c>
      <c r="G24">
        <v>0.50839999999999996</v>
      </c>
      <c r="H24">
        <v>179</v>
      </c>
      <c r="I24">
        <v>91</v>
      </c>
      <c r="J24">
        <v>0</v>
      </c>
      <c r="K24" t="s">
        <v>41</v>
      </c>
      <c r="L24" s="2">
        <v>45980</v>
      </c>
      <c r="M24">
        <v>1</v>
      </c>
      <c r="N24">
        <v>7</v>
      </c>
      <c r="O24">
        <v>24</v>
      </c>
      <c r="P24" t="s">
        <v>118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30</v>
      </c>
      <c r="X24">
        <v>20</v>
      </c>
      <c r="Y24">
        <v>17</v>
      </c>
      <c r="Z24">
        <v>16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109</v>
      </c>
      <c r="B25" s="2">
        <v>45982</v>
      </c>
      <c r="C25" t="s">
        <v>58</v>
      </c>
      <c r="D25" t="s">
        <v>119</v>
      </c>
      <c r="E25" t="s">
        <v>60</v>
      </c>
      <c r="F25" t="s">
        <v>40</v>
      </c>
      <c r="G25">
        <v>0.58330000000000004</v>
      </c>
      <c r="H25">
        <v>168</v>
      </c>
      <c r="I25">
        <v>98</v>
      </c>
      <c r="J25">
        <v>0</v>
      </c>
      <c r="K25" t="s">
        <v>41</v>
      </c>
      <c r="L25" s="2">
        <v>45978</v>
      </c>
      <c r="M25">
        <v>0</v>
      </c>
      <c r="N25">
        <v>0</v>
      </c>
      <c r="O25">
        <v>14</v>
      </c>
      <c r="P25" t="s">
        <v>120</v>
      </c>
      <c r="Q25">
        <v>0</v>
      </c>
      <c r="R25">
        <v>0</v>
      </c>
      <c r="S25">
        <v>0</v>
      </c>
      <c r="T25">
        <v>0</v>
      </c>
      <c r="U25">
        <v>3</v>
      </c>
      <c r="V25">
        <v>19</v>
      </c>
      <c r="W25">
        <v>10</v>
      </c>
      <c r="X25">
        <v>17</v>
      </c>
      <c r="Y25">
        <v>35</v>
      </c>
      <c r="Z25">
        <v>10</v>
      </c>
      <c r="AA25">
        <v>3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109</v>
      </c>
      <c r="B26" s="2">
        <v>45982</v>
      </c>
      <c r="C26" t="s">
        <v>121</v>
      </c>
      <c r="D26" t="s">
        <v>122</v>
      </c>
      <c r="E26" t="s">
        <v>123</v>
      </c>
      <c r="F26" t="s">
        <v>40</v>
      </c>
      <c r="G26">
        <v>0.8155</v>
      </c>
      <c r="H26">
        <v>168</v>
      </c>
      <c r="I26">
        <v>137</v>
      </c>
      <c r="J26">
        <v>0</v>
      </c>
      <c r="K26" t="s">
        <v>41</v>
      </c>
      <c r="L26" s="2">
        <v>45980</v>
      </c>
      <c r="M26">
        <v>4</v>
      </c>
      <c r="N26">
        <v>16</v>
      </c>
      <c r="O26">
        <v>62</v>
      </c>
      <c r="P26" t="s">
        <v>124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17</v>
      </c>
      <c r="AA26">
        <v>20</v>
      </c>
      <c r="AB26">
        <v>20</v>
      </c>
      <c r="AC26">
        <v>20</v>
      </c>
      <c r="AD26">
        <v>20</v>
      </c>
      <c r="AE26">
        <v>20</v>
      </c>
      <c r="AF26">
        <v>20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109</v>
      </c>
      <c r="B27" s="2">
        <v>45982</v>
      </c>
      <c r="C27" t="s">
        <v>62</v>
      </c>
      <c r="D27" t="s">
        <v>125</v>
      </c>
      <c r="E27" t="s">
        <v>64</v>
      </c>
      <c r="F27" t="s">
        <v>40</v>
      </c>
      <c r="G27">
        <v>0.9385</v>
      </c>
      <c r="H27">
        <v>179</v>
      </c>
      <c r="I27">
        <v>168</v>
      </c>
      <c r="J27">
        <v>0</v>
      </c>
      <c r="K27" t="s">
        <v>41</v>
      </c>
      <c r="L27" s="2">
        <v>45980</v>
      </c>
      <c r="M27">
        <v>2</v>
      </c>
      <c r="N27">
        <v>1</v>
      </c>
      <c r="O27">
        <v>31</v>
      </c>
      <c r="P27" t="s">
        <v>57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</v>
      </c>
      <c r="Z27">
        <v>58</v>
      </c>
      <c r="AA27">
        <v>47</v>
      </c>
      <c r="AB27">
        <v>9</v>
      </c>
      <c r="AC27">
        <v>18</v>
      </c>
      <c r="AD27">
        <v>15</v>
      </c>
      <c r="AE27">
        <v>10</v>
      </c>
      <c r="AF27">
        <v>5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109</v>
      </c>
      <c r="B28" s="2">
        <v>45982</v>
      </c>
      <c r="C28" t="s">
        <v>126</v>
      </c>
      <c r="D28" t="s">
        <v>127</v>
      </c>
      <c r="E28" t="s">
        <v>68</v>
      </c>
      <c r="F28" t="s">
        <v>40</v>
      </c>
      <c r="G28">
        <v>0.65480000000000005</v>
      </c>
      <c r="H28">
        <v>168</v>
      </c>
      <c r="I28">
        <v>110</v>
      </c>
      <c r="J28">
        <v>0</v>
      </c>
      <c r="K28" t="s">
        <v>41</v>
      </c>
      <c r="L28" s="2">
        <v>45980</v>
      </c>
      <c r="M28">
        <v>2</v>
      </c>
      <c r="N28">
        <v>5</v>
      </c>
      <c r="O28">
        <v>28</v>
      </c>
      <c r="P28" t="s">
        <v>69</v>
      </c>
      <c r="Q28">
        <v>0</v>
      </c>
      <c r="R28">
        <v>0</v>
      </c>
      <c r="S28">
        <v>0</v>
      </c>
      <c r="T28">
        <v>0</v>
      </c>
      <c r="U28">
        <v>15</v>
      </c>
      <c r="V28">
        <v>32</v>
      </c>
      <c r="W28">
        <v>36</v>
      </c>
      <c r="X28">
        <v>9</v>
      </c>
      <c r="Y28">
        <v>9</v>
      </c>
      <c r="Z28">
        <v>1</v>
      </c>
      <c r="AA28">
        <v>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109</v>
      </c>
      <c r="B29" s="2">
        <v>45982</v>
      </c>
      <c r="C29" t="s">
        <v>128</v>
      </c>
      <c r="D29" t="s">
        <v>129</v>
      </c>
      <c r="E29" t="s">
        <v>130</v>
      </c>
      <c r="F29" t="s">
        <v>40</v>
      </c>
      <c r="G29">
        <v>0.36899999999999999</v>
      </c>
      <c r="H29">
        <v>168</v>
      </c>
      <c r="I29">
        <v>62</v>
      </c>
      <c r="J29">
        <v>0</v>
      </c>
      <c r="K29" t="s">
        <v>41</v>
      </c>
      <c r="L29" s="2">
        <v>45980</v>
      </c>
      <c r="M29">
        <v>3</v>
      </c>
      <c r="N29">
        <v>2</v>
      </c>
      <c r="O29">
        <v>23</v>
      </c>
      <c r="P29" t="s">
        <v>131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7</v>
      </c>
      <c r="X29">
        <v>8</v>
      </c>
      <c r="Y29">
        <v>7</v>
      </c>
      <c r="Z29">
        <v>27</v>
      </c>
      <c r="AA29">
        <v>11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109</v>
      </c>
      <c r="B30" s="2">
        <v>45982</v>
      </c>
      <c r="C30" t="s">
        <v>73</v>
      </c>
      <c r="D30" t="s">
        <v>132</v>
      </c>
      <c r="E30" t="s">
        <v>75</v>
      </c>
      <c r="F30" t="s">
        <v>40</v>
      </c>
      <c r="G30">
        <v>0.99439999999999995</v>
      </c>
      <c r="H30">
        <v>179</v>
      </c>
      <c r="I30">
        <v>178</v>
      </c>
      <c r="J30">
        <v>83</v>
      </c>
      <c r="K30" t="s">
        <v>41</v>
      </c>
      <c r="L30" s="2">
        <v>45980</v>
      </c>
      <c r="M30">
        <v>1</v>
      </c>
      <c r="N30">
        <v>3</v>
      </c>
      <c r="O30">
        <v>11</v>
      </c>
      <c r="P30" t="s">
        <v>133</v>
      </c>
      <c r="Q30">
        <v>0</v>
      </c>
      <c r="R30">
        <v>0</v>
      </c>
      <c r="S30">
        <v>0</v>
      </c>
      <c r="T30">
        <v>0</v>
      </c>
      <c r="U30">
        <v>5</v>
      </c>
      <c r="V30">
        <v>7</v>
      </c>
      <c r="W30">
        <v>0</v>
      </c>
      <c r="X30">
        <v>3</v>
      </c>
      <c r="Y30">
        <v>18</v>
      </c>
      <c r="Z30">
        <v>13</v>
      </c>
      <c r="AA30">
        <v>14</v>
      </c>
      <c r="AB30">
        <v>17</v>
      </c>
      <c r="AC30">
        <v>17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84</v>
      </c>
      <c r="AJ30">
        <v>0</v>
      </c>
    </row>
    <row r="31" spans="1:36" x14ac:dyDescent="0.3">
      <c r="A31" t="s">
        <v>109</v>
      </c>
      <c r="B31" s="2">
        <v>45982</v>
      </c>
      <c r="C31" t="s">
        <v>134</v>
      </c>
      <c r="D31" t="s">
        <v>135</v>
      </c>
      <c r="E31" t="s">
        <v>49</v>
      </c>
      <c r="F31" t="s">
        <v>40</v>
      </c>
      <c r="G31">
        <v>1.0172000000000001</v>
      </c>
      <c r="H31">
        <v>174</v>
      </c>
      <c r="I31">
        <v>177</v>
      </c>
      <c r="J31">
        <v>92</v>
      </c>
      <c r="K31" t="s">
        <v>41</v>
      </c>
      <c r="L31" s="2">
        <v>45979</v>
      </c>
      <c r="M31">
        <v>0</v>
      </c>
      <c r="N31">
        <v>1</v>
      </c>
      <c r="O31">
        <v>7</v>
      </c>
      <c r="P31" t="s">
        <v>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0</v>
      </c>
      <c r="Y31">
        <v>1</v>
      </c>
      <c r="Z31">
        <v>17</v>
      </c>
      <c r="AA31">
        <v>10</v>
      </c>
      <c r="AB31">
        <v>10</v>
      </c>
      <c r="AC31">
        <v>10</v>
      </c>
      <c r="AD31">
        <v>10</v>
      </c>
      <c r="AE31">
        <v>10</v>
      </c>
      <c r="AF31">
        <v>10</v>
      </c>
      <c r="AG31">
        <v>0</v>
      </c>
      <c r="AH31">
        <v>0</v>
      </c>
      <c r="AI31">
        <v>92</v>
      </c>
      <c r="AJ31">
        <v>0</v>
      </c>
    </row>
    <row r="32" spans="1:36" x14ac:dyDescent="0.3">
      <c r="A32" t="s">
        <v>109</v>
      </c>
      <c r="B32" s="2">
        <v>45982</v>
      </c>
      <c r="C32" t="s">
        <v>83</v>
      </c>
      <c r="D32" t="s">
        <v>136</v>
      </c>
      <c r="E32" t="s">
        <v>85</v>
      </c>
      <c r="F32" t="s">
        <v>40</v>
      </c>
      <c r="G32">
        <v>0.8155</v>
      </c>
      <c r="H32">
        <v>168</v>
      </c>
      <c r="I32">
        <v>137</v>
      </c>
      <c r="J32">
        <v>0</v>
      </c>
      <c r="K32" t="s">
        <v>41</v>
      </c>
      <c r="L32" s="2">
        <v>45980</v>
      </c>
      <c r="M32">
        <v>1</v>
      </c>
      <c r="N32">
        <v>6</v>
      </c>
      <c r="O32">
        <v>35</v>
      </c>
      <c r="P32" t="s">
        <v>137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0</v>
      </c>
      <c r="X32">
        <v>0</v>
      </c>
      <c r="Y32">
        <v>5</v>
      </c>
      <c r="Z32">
        <v>20</v>
      </c>
      <c r="AA32">
        <v>39</v>
      </c>
      <c r="AB32">
        <v>10</v>
      </c>
      <c r="AC32">
        <v>10</v>
      </c>
      <c r="AD32">
        <v>9</v>
      </c>
      <c r="AE32">
        <v>10</v>
      </c>
      <c r="AF32">
        <v>30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109</v>
      </c>
      <c r="B33" s="2">
        <v>45982</v>
      </c>
      <c r="C33" t="s">
        <v>138</v>
      </c>
      <c r="D33" t="s">
        <v>59</v>
      </c>
      <c r="E33" t="s">
        <v>85</v>
      </c>
      <c r="F33" t="s">
        <v>40</v>
      </c>
      <c r="G33">
        <v>0.76790000000000003</v>
      </c>
      <c r="H33">
        <v>168</v>
      </c>
      <c r="I33">
        <v>129</v>
      </c>
      <c r="J33">
        <v>0</v>
      </c>
      <c r="K33" t="s">
        <v>41</v>
      </c>
      <c r="L33" s="2">
        <v>45980</v>
      </c>
      <c r="M33">
        <v>3</v>
      </c>
      <c r="N33">
        <v>11</v>
      </c>
      <c r="O33">
        <v>48</v>
      </c>
      <c r="P33" t="s">
        <v>139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19</v>
      </c>
      <c r="AA33">
        <v>15</v>
      </c>
      <c r="AB33">
        <v>60</v>
      </c>
      <c r="AC33">
        <v>35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109</v>
      </c>
      <c r="B34" s="2">
        <v>45982</v>
      </c>
      <c r="C34" t="s">
        <v>87</v>
      </c>
      <c r="D34" t="s">
        <v>140</v>
      </c>
      <c r="E34" t="s">
        <v>49</v>
      </c>
      <c r="F34" t="s">
        <v>40</v>
      </c>
      <c r="G34">
        <v>0.5363</v>
      </c>
      <c r="H34">
        <v>179</v>
      </c>
      <c r="I34">
        <v>96</v>
      </c>
      <c r="J34">
        <v>0</v>
      </c>
      <c r="K34" t="s">
        <v>41</v>
      </c>
      <c r="L34" s="2">
        <v>45979</v>
      </c>
      <c r="M34">
        <v>0</v>
      </c>
      <c r="N34">
        <v>3</v>
      </c>
      <c r="O34">
        <v>15</v>
      </c>
      <c r="P34" t="s">
        <v>141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22</v>
      </c>
      <c r="X34">
        <v>16</v>
      </c>
      <c r="Y34">
        <v>22</v>
      </c>
      <c r="Z34">
        <v>31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109</v>
      </c>
      <c r="B35" s="2">
        <v>45982</v>
      </c>
      <c r="C35" t="s">
        <v>90</v>
      </c>
      <c r="D35" t="s">
        <v>142</v>
      </c>
      <c r="E35" t="s">
        <v>49</v>
      </c>
      <c r="F35" t="s">
        <v>40</v>
      </c>
      <c r="G35">
        <v>0.5978</v>
      </c>
      <c r="H35">
        <v>179</v>
      </c>
      <c r="I35">
        <v>107</v>
      </c>
      <c r="J35">
        <v>1</v>
      </c>
      <c r="K35" t="s">
        <v>41</v>
      </c>
      <c r="L35" s="2">
        <v>45978</v>
      </c>
      <c r="M35">
        <v>0</v>
      </c>
      <c r="N35">
        <v>0</v>
      </c>
      <c r="O35">
        <v>21</v>
      </c>
      <c r="P35" t="s">
        <v>61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30</v>
      </c>
      <c r="X35">
        <v>15</v>
      </c>
      <c r="Y35">
        <v>17</v>
      </c>
      <c r="Z35">
        <v>11</v>
      </c>
      <c r="AA35">
        <v>5</v>
      </c>
      <c r="AB35">
        <v>2</v>
      </c>
      <c r="AC35">
        <v>5</v>
      </c>
      <c r="AD35">
        <v>6</v>
      </c>
      <c r="AE35">
        <v>4</v>
      </c>
      <c r="AF35">
        <v>5</v>
      </c>
      <c r="AG35">
        <v>0</v>
      </c>
      <c r="AH35">
        <v>0</v>
      </c>
      <c r="AI35">
        <v>1</v>
      </c>
      <c r="AJ35">
        <v>0</v>
      </c>
    </row>
    <row r="36" spans="1:36" x14ac:dyDescent="0.3">
      <c r="A36" t="s">
        <v>109</v>
      </c>
      <c r="B36" s="2">
        <v>45982</v>
      </c>
      <c r="C36" t="s">
        <v>93</v>
      </c>
      <c r="D36" t="s">
        <v>143</v>
      </c>
      <c r="E36" t="s">
        <v>49</v>
      </c>
      <c r="F36" t="s">
        <v>40</v>
      </c>
      <c r="G36">
        <v>0.55869999999999997</v>
      </c>
      <c r="H36">
        <v>179</v>
      </c>
      <c r="I36">
        <v>100</v>
      </c>
      <c r="J36">
        <v>0</v>
      </c>
      <c r="K36" t="s">
        <v>41</v>
      </c>
      <c r="L36" s="2">
        <v>45976</v>
      </c>
      <c r="M36">
        <v>0</v>
      </c>
      <c r="N36">
        <v>0</v>
      </c>
      <c r="O36">
        <v>7</v>
      </c>
      <c r="P36" t="s">
        <v>144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19</v>
      </c>
      <c r="Y36">
        <v>24</v>
      </c>
      <c r="Z36">
        <v>32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109</v>
      </c>
      <c r="B37" s="2">
        <v>45982</v>
      </c>
      <c r="C37" t="s">
        <v>95</v>
      </c>
      <c r="D37" t="s">
        <v>145</v>
      </c>
      <c r="E37" t="s">
        <v>49</v>
      </c>
      <c r="F37" t="s">
        <v>40</v>
      </c>
      <c r="G37">
        <v>0.53069999999999995</v>
      </c>
      <c r="H37">
        <v>179</v>
      </c>
      <c r="I37">
        <v>95</v>
      </c>
      <c r="J37">
        <v>0</v>
      </c>
      <c r="K37" t="s">
        <v>41</v>
      </c>
      <c r="L37" s="2">
        <v>45979</v>
      </c>
      <c r="M37">
        <v>0</v>
      </c>
      <c r="N37">
        <v>1</v>
      </c>
      <c r="O37">
        <v>19</v>
      </c>
      <c r="P37" t="s">
        <v>146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16</v>
      </c>
      <c r="X37">
        <v>44</v>
      </c>
      <c r="Y37">
        <v>17</v>
      </c>
      <c r="Z37">
        <v>13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109</v>
      </c>
      <c r="B38" s="2">
        <v>45982</v>
      </c>
      <c r="C38" t="s">
        <v>147</v>
      </c>
      <c r="D38" t="s">
        <v>122</v>
      </c>
      <c r="E38" t="s">
        <v>45</v>
      </c>
      <c r="F38" t="s">
        <v>40</v>
      </c>
      <c r="G38">
        <v>0.66669999999999996</v>
      </c>
      <c r="H38">
        <v>168</v>
      </c>
      <c r="I38">
        <v>112</v>
      </c>
      <c r="J38">
        <v>3</v>
      </c>
      <c r="K38" t="s">
        <v>41</v>
      </c>
      <c r="L38" s="2">
        <v>45980</v>
      </c>
      <c r="M38">
        <v>2</v>
      </c>
      <c r="N38">
        <v>12</v>
      </c>
      <c r="O38">
        <v>76</v>
      </c>
      <c r="P38" t="s">
        <v>148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</v>
      </c>
      <c r="AA38">
        <v>3</v>
      </c>
      <c r="AB38">
        <v>4</v>
      </c>
      <c r="AC38">
        <v>17</v>
      </c>
      <c r="AD38">
        <v>14</v>
      </c>
      <c r="AE38">
        <v>38</v>
      </c>
      <c r="AF38">
        <v>28</v>
      </c>
      <c r="AG38">
        <v>0</v>
      </c>
      <c r="AH38">
        <v>0</v>
      </c>
      <c r="AI38">
        <v>3</v>
      </c>
      <c r="AJ38">
        <v>0</v>
      </c>
    </row>
    <row r="39" spans="1:36" x14ac:dyDescent="0.3">
      <c r="A39" t="s">
        <v>109</v>
      </c>
      <c r="B39" s="2">
        <v>45982</v>
      </c>
      <c r="C39" t="s">
        <v>149</v>
      </c>
      <c r="D39" t="s">
        <v>150</v>
      </c>
      <c r="E39" t="s">
        <v>151</v>
      </c>
      <c r="F39" t="s">
        <v>40</v>
      </c>
      <c r="G39">
        <v>0.86309999999999998</v>
      </c>
      <c r="H39">
        <v>168</v>
      </c>
      <c r="I39">
        <v>145</v>
      </c>
      <c r="J39">
        <v>0</v>
      </c>
      <c r="K39" t="s">
        <v>41</v>
      </c>
      <c r="L39" s="2">
        <v>45980</v>
      </c>
      <c r="M39">
        <v>4</v>
      </c>
      <c r="N39">
        <v>14</v>
      </c>
      <c r="O39">
        <v>83</v>
      </c>
      <c r="P39" t="s">
        <v>152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</v>
      </c>
      <c r="X39">
        <v>9</v>
      </c>
      <c r="Y39">
        <v>9</v>
      </c>
      <c r="Z39">
        <v>12</v>
      </c>
      <c r="AA39">
        <v>3</v>
      </c>
      <c r="AB39">
        <v>8</v>
      </c>
      <c r="AC39">
        <v>25</v>
      </c>
      <c r="AD39">
        <v>15</v>
      </c>
      <c r="AE39">
        <v>52</v>
      </c>
      <c r="AF39">
        <v>8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153</v>
      </c>
      <c r="B40" s="2">
        <v>45983</v>
      </c>
      <c r="C40" t="s">
        <v>37</v>
      </c>
      <c r="D40" t="s">
        <v>154</v>
      </c>
      <c r="E40" t="s">
        <v>39</v>
      </c>
      <c r="F40" t="s">
        <v>155</v>
      </c>
      <c r="G40">
        <v>0.69069999999999998</v>
      </c>
      <c r="H40">
        <v>97</v>
      </c>
      <c r="I40">
        <v>67</v>
      </c>
      <c r="J40">
        <v>0</v>
      </c>
      <c r="K40" t="s">
        <v>41</v>
      </c>
      <c r="L40" s="2">
        <v>45979</v>
      </c>
      <c r="M40">
        <v>0</v>
      </c>
      <c r="N40">
        <v>7</v>
      </c>
      <c r="O40">
        <v>20</v>
      </c>
      <c r="P40" t="s">
        <v>156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46</v>
      </c>
      <c r="AF40">
        <v>18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153</v>
      </c>
      <c r="B41" s="2">
        <v>45983</v>
      </c>
      <c r="C41" t="s">
        <v>51</v>
      </c>
      <c r="D41" t="s">
        <v>157</v>
      </c>
      <c r="E41" t="s">
        <v>53</v>
      </c>
      <c r="F41" t="s">
        <v>40</v>
      </c>
      <c r="G41">
        <v>0.64880000000000004</v>
      </c>
      <c r="H41">
        <v>168</v>
      </c>
      <c r="I41">
        <v>109</v>
      </c>
      <c r="J41">
        <v>0</v>
      </c>
      <c r="K41" t="s">
        <v>41</v>
      </c>
      <c r="L41" s="2">
        <v>45980</v>
      </c>
      <c r="M41">
        <v>1</v>
      </c>
      <c r="N41">
        <v>12</v>
      </c>
      <c r="O41">
        <v>45</v>
      </c>
      <c r="P41" t="s">
        <v>158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9</v>
      </c>
      <c r="AA41">
        <v>14</v>
      </c>
      <c r="AB41">
        <v>10</v>
      </c>
      <c r="AC41">
        <v>20</v>
      </c>
      <c r="AD41">
        <v>36</v>
      </c>
      <c r="AE41">
        <v>19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153</v>
      </c>
      <c r="B42" s="2">
        <v>45983</v>
      </c>
      <c r="C42" t="s">
        <v>58</v>
      </c>
      <c r="D42" t="s">
        <v>59</v>
      </c>
      <c r="E42" t="s">
        <v>60</v>
      </c>
      <c r="F42" t="s">
        <v>40</v>
      </c>
      <c r="G42">
        <v>0.48809999999999998</v>
      </c>
      <c r="H42">
        <v>168</v>
      </c>
      <c r="I42">
        <v>82</v>
      </c>
      <c r="J42">
        <v>0</v>
      </c>
      <c r="K42" t="s">
        <v>41</v>
      </c>
      <c r="L42" s="2">
        <v>45978</v>
      </c>
      <c r="M42">
        <v>0</v>
      </c>
      <c r="N42">
        <v>0</v>
      </c>
      <c r="O42">
        <v>7</v>
      </c>
      <c r="P42" t="s">
        <v>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19</v>
      </c>
      <c r="AA42">
        <v>12</v>
      </c>
      <c r="AB42">
        <v>0</v>
      </c>
      <c r="AC42">
        <v>8</v>
      </c>
      <c r="AD42">
        <v>8</v>
      </c>
      <c r="AE42">
        <v>8</v>
      </c>
      <c r="AF42">
        <v>26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153</v>
      </c>
      <c r="B43" s="2">
        <v>45983</v>
      </c>
      <c r="C43" t="s">
        <v>159</v>
      </c>
      <c r="D43" t="s">
        <v>160</v>
      </c>
      <c r="E43" t="s">
        <v>161</v>
      </c>
      <c r="F43" t="s">
        <v>40</v>
      </c>
      <c r="G43">
        <v>0.47020000000000001</v>
      </c>
      <c r="H43">
        <v>168</v>
      </c>
      <c r="I43">
        <v>79</v>
      </c>
      <c r="J43">
        <v>0</v>
      </c>
      <c r="K43" t="s">
        <v>41</v>
      </c>
      <c r="L43" s="2">
        <v>45980</v>
      </c>
      <c r="M43">
        <v>2</v>
      </c>
      <c r="N43">
        <v>6</v>
      </c>
      <c r="O43">
        <v>45</v>
      </c>
      <c r="P43" t="s">
        <v>162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</v>
      </c>
      <c r="AD43">
        <v>20</v>
      </c>
      <c r="AE43">
        <v>50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153</v>
      </c>
      <c r="B44" s="2">
        <v>45983</v>
      </c>
      <c r="C44" t="s">
        <v>62</v>
      </c>
      <c r="D44" t="s">
        <v>163</v>
      </c>
      <c r="E44" t="s">
        <v>64</v>
      </c>
      <c r="F44" t="s">
        <v>40</v>
      </c>
      <c r="G44">
        <v>0.93300000000000005</v>
      </c>
      <c r="H44">
        <v>179</v>
      </c>
      <c r="I44">
        <v>167</v>
      </c>
      <c r="J44">
        <v>72</v>
      </c>
      <c r="K44" t="s">
        <v>41</v>
      </c>
      <c r="L44" s="2">
        <v>45979</v>
      </c>
      <c r="M44">
        <v>0</v>
      </c>
      <c r="N44">
        <v>5</v>
      </c>
      <c r="O44">
        <v>32</v>
      </c>
      <c r="P44" t="s">
        <v>72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20</v>
      </c>
      <c r="AA44">
        <v>32</v>
      </c>
      <c r="AB44">
        <v>9</v>
      </c>
      <c r="AC44">
        <v>10</v>
      </c>
      <c r="AD44">
        <v>18</v>
      </c>
      <c r="AE44">
        <v>0</v>
      </c>
      <c r="AF44">
        <v>0</v>
      </c>
      <c r="AG44">
        <v>0</v>
      </c>
      <c r="AH44">
        <v>0</v>
      </c>
      <c r="AI44">
        <v>73</v>
      </c>
      <c r="AJ44">
        <v>0</v>
      </c>
    </row>
    <row r="45" spans="1:36" x14ac:dyDescent="0.3">
      <c r="A45" t="s">
        <v>153</v>
      </c>
      <c r="B45" s="2">
        <v>45983</v>
      </c>
      <c r="C45" t="s">
        <v>70</v>
      </c>
      <c r="D45" t="s">
        <v>164</v>
      </c>
      <c r="E45" t="s">
        <v>49</v>
      </c>
      <c r="F45" t="s">
        <v>40</v>
      </c>
      <c r="G45">
        <v>1</v>
      </c>
      <c r="H45">
        <v>179</v>
      </c>
      <c r="I45">
        <v>179</v>
      </c>
      <c r="J45">
        <v>50</v>
      </c>
      <c r="K45" t="s">
        <v>41</v>
      </c>
      <c r="L45" s="2">
        <v>45971</v>
      </c>
      <c r="M45">
        <v>0</v>
      </c>
      <c r="N45">
        <v>0</v>
      </c>
      <c r="O45">
        <v>0</v>
      </c>
      <c r="P45" t="s">
        <v>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0</v>
      </c>
      <c r="Y45">
        <v>16</v>
      </c>
      <c r="Z45">
        <v>17</v>
      </c>
      <c r="AA45">
        <v>22</v>
      </c>
      <c r="AB45">
        <v>10</v>
      </c>
      <c r="AC45">
        <v>10</v>
      </c>
      <c r="AD45">
        <v>17</v>
      </c>
      <c r="AE45">
        <v>17</v>
      </c>
      <c r="AF45">
        <v>17</v>
      </c>
      <c r="AG45">
        <v>0</v>
      </c>
      <c r="AH45">
        <v>0</v>
      </c>
      <c r="AI45">
        <v>50</v>
      </c>
      <c r="AJ45">
        <v>0</v>
      </c>
    </row>
    <row r="46" spans="1:36" x14ac:dyDescent="0.3">
      <c r="A46" t="s">
        <v>153</v>
      </c>
      <c r="B46" s="2">
        <v>45983</v>
      </c>
      <c r="C46" t="s">
        <v>73</v>
      </c>
      <c r="D46" t="s">
        <v>165</v>
      </c>
      <c r="E46" t="s">
        <v>75</v>
      </c>
      <c r="F46" t="s">
        <v>40</v>
      </c>
      <c r="G46">
        <v>0.98880000000000001</v>
      </c>
      <c r="H46">
        <v>179</v>
      </c>
      <c r="I46">
        <v>177</v>
      </c>
      <c r="J46">
        <v>136</v>
      </c>
      <c r="K46" t="s">
        <v>41</v>
      </c>
      <c r="L46" s="2">
        <v>45979</v>
      </c>
      <c r="M46">
        <v>0</v>
      </c>
      <c r="N46">
        <v>3</v>
      </c>
      <c r="O46">
        <v>6</v>
      </c>
      <c r="P46" t="s">
        <v>166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4</v>
      </c>
      <c r="X46">
        <v>14</v>
      </c>
      <c r="Y46">
        <v>0</v>
      </c>
      <c r="Z46">
        <v>7</v>
      </c>
      <c r="AA46">
        <v>0</v>
      </c>
      <c r="AB46">
        <v>0</v>
      </c>
      <c r="AC46">
        <v>14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136</v>
      </c>
      <c r="AJ46">
        <v>0</v>
      </c>
    </row>
    <row r="47" spans="1:36" x14ac:dyDescent="0.3">
      <c r="A47" t="s">
        <v>153</v>
      </c>
      <c r="B47" s="2">
        <v>45983</v>
      </c>
      <c r="C47" t="s">
        <v>77</v>
      </c>
      <c r="D47" t="s">
        <v>167</v>
      </c>
      <c r="E47" t="s">
        <v>45</v>
      </c>
      <c r="F47" t="s">
        <v>40</v>
      </c>
      <c r="G47">
        <v>0.73209999999999997</v>
      </c>
      <c r="H47">
        <v>168</v>
      </c>
      <c r="I47">
        <v>123</v>
      </c>
      <c r="J47">
        <v>34</v>
      </c>
      <c r="K47" t="s">
        <v>41</v>
      </c>
      <c r="L47" s="2">
        <v>45979</v>
      </c>
      <c r="M47">
        <v>0</v>
      </c>
      <c r="N47">
        <v>7</v>
      </c>
      <c r="O47">
        <v>47</v>
      </c>
      <c r="P47" t="s">
        <v>162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1</v>
      </c>
      <c r="AB47">
        <v>0</v>
      </c>
      <c r="AC47">
        <v>6</v>
      </c>
      <c r="AD47">
        <v>20</v>
      </c>
      <c r="AE47">
        <v>40</v>
      </c>
      <c r="AF47">
        <v>20</v>
      </c>
      <c r="AG47">
        <v>0</v>
      </c>
      <c r="AH47">
        <v>0</v>
      </c>
      <c r="AI47">
        <v>34</v>
      </c>
      <c r="AJ47">
        <v>0</v>
      </c>
    </row>
    <row r="48" spans="1:36" x14ac:dyDescent="0.3">
      <c r="A48" t="s">
        <v>153</v>
      </c>
      <c r="B48" s="2">
        <v>45983</v>
      </c>
      <c r="C48" t="s">
        <v>80</v>
      </c>
      <c r="D48" t="s">
        <v>168</v>
      </c>
      <c r="E48" t="s">
        <v>45</v>
      </c>
      <c r="F48" t="s">
        <v>40</v>
      </c>
      <c r="G48">
        <v>0.70830000000000004</v>
      </c>
      <c r="H48">
        <v>168</v>
      </c>
      <c r="I48">
        <v>119</v>
      </c>
      <c r="J48">
        <v>89</v>
      </c>
      <c r="K48" t="s">
        <v>41</v>
      </c>
      <c r="L48" s="2">
        <v>45980</v>
      </c>
      <c r="M48">
        <v>1</v>
      </c>
      <c r="N48">
        <v>4</v>
      </c>
      <c r="O48">
        <v>8</v>
      </c>
      <c r="P48" t="s">
        <v>169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</v>
      </c>
      <c r="AA48">
        <v>0</v>
      </c>
      <c r="AB48">
        <v>0</v>
      </c>
      <c r="AC48">
        <v>6</v>
      </c>
      <c r="AD48">
        <v>19</v>
      </c>
      <c r="AE48">
        <v>0</v>
      </c>
      <c r="AF48">
        <v>0</v>
      </c>
      <c r="AG48">
        <v>0</v>
      </c>
      <c r="AH48">
        <v>0</v>
      </c>
      <c r="AI48">
        <v>91</v>
      </c>
      <c r="AJ48">
        <v>0</v>
      </c>
    </row>
    <row r="49" spans="1:36" x14ac:dyDescent="0.3">
      <c r="A49" t="s">
        <v>153</v>
      </c>
      <c r="B49" s="2">
        <v>45983</v>
      </c>
      <c r="C49" t="s">
        <v>170</v>
      </c>
      <c r="D49" t="s">
        <v>143</v>
      </c>
      <c r="E49" t="s">
        <v>75</v>
      </c>
      <c r="F49" t="s">
        <v>40</v>
      </c>
      <c r="G49">
        <v>0.99439999999999995</v>
      </c>
      <c r="H49">
        <v>179</v>
      </c>
      <c r="I49">
        <v>178</v>
      </c>
      <c r="J49">
        <v>118</v>
      </c>
      <c r="K49" t="s">
        <v>41</v>
      </c>
      <c r="L49" s="2">
        <v>45978</v>
      </c>
      <c r="M49">
        <v>0</v>
      </c>
      <c r="N49">
        <v>0</v>
      </c>
      <c r="O49">
        <v>10</v>
      </c>
      <c r="P49" t="s">
        <v>171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10</v>
      </c>
      <c r="Y49">
        <v>0</v>
      </c>
      <c r="Z49">
        <v>16</v>
      </c>
      <c r="AA49">
        <v>2</v>
      </c>
      <c r="AB49">
        <v>15</v>
      </c>
      <c r="AC49">
        <v>17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118</v>
      </c>
      <c r="AJ49">
        <v>0</v>
      </c>
    </row>
    <row r="50" spans="1:36" x14ac:dyDescent="0.3">
      <c r="A50" t="s">
        <v>153</v>
      </c>
      <c r="B50" s="2">
        <v>45983</v>
      </c>
      <c r="C50" t="s">
        <v>83</v>
      </c>
      <c r="D50" t="s">
        <v>84</v>
      </c>
      <c r="E50" t="s">
        <v>85</v>
      </c>
      <c r="F50" t="s">
        <v>40</v>
      </c>
      <c r="G50">
        <v>0.57140000000000002</v>
      </c>
      <c r="H50">
        <v>168</v>
      </c>
      <c r="I50">
        <v>96</v>
      </c>
      <c r="J50">
        <v>0</v>
      </c>
      <c r="K50" t="s">
        <v>41</v>
      </c>
      <c r="L50" s="2">
        <v>45980</v>
      </c>
      <c r="M50">
        <v>1</v>
      </c>
      <c r="N50">
        <v>1</v>
      </c>
      <c r="O50">
        <v>10</v>
      </c>
      <c r="P50" t="s">
        <v>79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2</v>
      </c>
      <c r="AB50">
        <v>12</v>
      </c>
      <c r="AC50">
        <v>45</v>
      </c>
      <c r="AD50">
        <v>5</v>
      </c>
      <c r="AE50">
        <v>25</v>
      </c>
      <c r="AF50">
        <v>5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153</v>
      </c>
      <c r="B51" s="2">
        <v>45983</v>
      </c>
      <c r="C51" t="s">
        <v>90</v>
      </c>
      <c r="D51" t="s">
        <v>91</v>
      </c>
      <c r="E51" t="s">
        <v>49</v>
      </c>
      <c r="F51" t="s">
        <v>40</v>
      </c>
      <c r="G51">
        <v>1</v>
      </c>
      <c r="H51">
        <v>179</v>
      </c>
      <c r="I51">
        <v>179</v>
      </c>
      <c r="J51">
        <v>134</v>
      </c>
      <c r="K51" t="s">
        <v>41</v>
      </c>
      <c r="L51" s="2">
        <v>45979</v>
      </c>
      <c r="M51">
        <v>0</v>
      </c>
      <c r="N51">
        <v>4</v>
      </c>
      <c r="O51">
        <v>6</v>
      </c>
      <c r="P51" t="s">
        <v>76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0</v>
      </c>
      <c r="X51">
        <v>6</v>
      </c>
      <c r="Y51">
        <v>0</v>
      </c>
      <c r="Z51">
        <v>24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135</v>
      </c>
      <c r="AJ51">
        <v>4</v>
      </c>
    </row>
    <row r="52" spans="1:36" x14ac:dyDescent="0.3">
      <c r="A52" t="s">
        <v>153</v>
      </c>
      <c r="B52" s="2">
        <v>45983</v>
      </c>
      <c r="C52" t="s">
        <v>93</v>
      </c>
      <c r="D52" t="s">
        <v>172</v>
      </c>
      <c r="E52" t="s">
        <v>49</v>
      </c>
      <c r="F52" t="s">
        <v>40</v>
      </c>
      <c r="G52">
        <v>1</v>
      </c>
      <c r="H52">
        <v>179</v>
      </c>
      <c r="I52">
        <v>179</v>
      </c>
      <c r="J52">
        <v>127</v>
      </c>
      <c r="K52" t="s">
        <v>41</v>
      </c>
      <c r="L52" s="2">
        <v>45980</v>
      </c>
      <c r="M52">
        <v>1</v>
      </c>
      <c r="N52">
        <v>0</v>
      </c>
      <c r="O52">
        <v>4</v>
      </c>
      <c r="P52" t="s">
        <v>76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0</v>
      </c>
      <c r="X52">
        <v>1</v>
      </c>
      <c r="Y52">
        <v>3</v>
      </c>
      <c r="Z52">
        <v>3</v>
      </c>
      <c r="AA52">
        <v>4</v>
      </c>
      <c r="AB52">
        <v>10</v>
      </c>
      <c r="AC52">
        <v>12</v>
      </c>
      <c r="AD52">
        <v>5</v>
      </c>
      <c r="AE52">
        <v>6</v>
      </c>
      <c r="AF52">
        <v>4</v>
      </c>
      <c r="AG52">
        <v>45</v>
      </c>
      <c r="AH52">
        <v>0</v>
      </c>
      <c r="AI52">
        <v>82</v>
      </c>
      <c r="AJ52">
        <v>1</v>
      </c>
    </row>
    <row r="53" spans="1:36" x14ac:dyDescent="0.3">
      <c r="A53" t="s">
        <v>153</v>
      </c>
      <c r="B53" s="2">
        <v>45983</v>
      </c>
      <c r="C53" t="s">
        <v>173</v>
      </c>
      <c r="D53" t="s">
        <v>174</v>
      </c>
      <c r="E53" t="s">
        <v>175</v>
      </c>
      <c r="F53" t="s">
        <v>40</v>
      </c>
      <c r="G53">
        <v>0.96430000000000005</v>
      </c>
      <c r="H53">
        <v>168</v>
      </c>
      <c r="I53">
        <v>162</v>
      </c>
      <c r="J53">
        <v>84</v>
      </c>
      <c r="K53" t="s">
        <v>41</v>
      </c>
      <c r="L53" s="2">
        <v>45979</v>
      </c>
      <c r="M53">
        <v>0</v>
      </c>
      <c r="N53">
        <v>7</v>
      </c>
      <c r="O53">
        <v>50</v>
      </c>
      <c r="P53" t="s">
        <v>176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14</v>
      </c>
      <c r="AD53">
        <v>20</v>
      </c>
      <c r="AE53">
        <v>20</v>
      </c>
      <c r="AF53">
        <v>20</v>
      </c>
      <c r="AG53">
        <v>0</v>
      </c>
      <c r="AH53">
        <v>0</v>
      </c>
      <c r="AI53">
        <v>84</v>
      </c>
      <c r="AJ53">
        <v>0</v>
      </c>
    </row>
    <row r="54" spans="1:36" x14ac:dyDescent="0.3">
      <c r="A54" t="s">
        <v>153</v>
      </c>
      <c r="B54" s="2">
        <v>45983</v>
      </c>
      <c r="C54" t="s">
        <v>102</v>
      </c>
      <c r="D54" t="s">
        <v>177</v>
      </c>
      <c r="E54" t="s">
        <v>104</v>
      </c>
      <c r="F54" t="s">
        <v>40</v>
      </c>
      <c r="G54">
        <v>1</v>
      </c>
      <c r="H54">
        <v>179</v>
      </c>
      <c r="I54">
        <v>179</v>
      </c>
      <c r="J54">
        <v>130</v>
      </c>
      <c r="K54" t="s">
        <v>41</v>
      </c>
      <c r="L54" s="2">
        <v>45974</v>
      </c>
      <c r="M54">
        <v>0</v>
      </c>
      <c r="N54">
        <v>0</v>
      </c>
      <c r="O54">
        <v>1</v>
      </c>
      <c r="P54" t="s">
        <v>76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5</v>
      </c>
      <c r="AD54">
        <v>9</v>
      </c>
      <c r="AE54">
        <v>7</v>
      </c>
      <c r="AF54">
        <v>17</v>
      </c>
      <c r="AG54">
        <v>0</v>
      </c>
      <c r="AH54">
        <v>0</v>
      </c>
      <c r="AI54">
        <v>130</v>
      </c>
      <c r="AJ54">
        <v>4</v>
      </c>
    </row>
    <row r="55" spans="1:36" x14ac:dyDescent="0.3">
      <c r="A55" t="s">
        <v>153</v>
      </c>
      <c r="B55" s="2">
        <v>45983</v>
      </c>
      <c r="C55" t="s">
        <v>105</v>
      </c>
      <c r="D55" t="s">
        <v>38</v>
      </c>
      <c r="E55" t="s">
        <v>107</v>
      </c>
      <c r="F55" t="s">
        <v>40</v>
      </c>
      <c r="G55">
        <v>0.79759999999999998</v>
      </c>
      <c r="H55">
        <v>168</v>
      </c>
      <c r="I55">
        <v>134</v>
      </c>
      <c r="J55">
        <v>0</v>
      </c>
      <c r="K55" t="s">
        <v>41</v>
      </c>
      <c r="L55" s="2">
        <v>45980</v>
      </c>
      <c r="M55">
        <v>14</v>
      </c>
      <c r="N55">
        <v>11</v>
      </c>
      <c r="O55">
        <v>86</v>
      </c>
      <c r="P55" t="s">
        <v>158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6</v>
      </c>
      <c r="AB55">
        <v>24</v>
      </c>
      <c r="AC55">
        <v>4</v>
      </c>
      <c r="AD55">
        <v>20</v>
      </c>
      <c r="AE55">
        <v>77</v>
      </c>
      <c r="AF55">
        <v>2</v>
      </c>
      <c r="AG55">
        <v>0</v>
      </c>
      <c r="AH55">
        <v>0</v>
      </c>
      <c r="AI55">
        <v>0</v>
      </c>
      <c r="AJ55">
        <v>0</v>
      </c>
    </row>
    <row r="56" spans="1:36" ht="18" x14ac:dyDescent="0.35">
      <c r="A56" s="3" t="s">
        <v>178</v>
      </c>
      <c r="B56" s="4"/>
      <c r="C56" s="3">
        <f>SUBTOTAL(103,LF_ALL_ROUTES[Flt])</f>
        <v>54</v>
      </c>
      <c r="D56" s="3"/>
      <c r="E56" s="3">
        <f>SUBTOTAL(103,LF_ALL_ROUTES[Brd-Off])</f>
        <v>54</v>
      </c>
      <c r="F56" s="3"/>
      <c r="G56" s="5">
        <f>SUBTOTAL(101,LF_ALL_ROUTES[LF%])</f>
        <v>0.76811296296296294</v>
      </c>
      <c r="H56" s="3"/>
      <c r="I56" s="3"/>
      <c r="J56" s="3"/>
      <c r="K56" s="3"/>
      <c r="L56" s="4"/>
      <c r="M56" s="3"/>
      <c r="N56" s="3"/>
      <c r="O56" s="3"/>
      <c r="P56" s="3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f>SUBTOTAL(109,LF_ALL_ROUTES[N])</f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2025-11-19T09:21:55Z</dcterms:created>
  <dcterms:modified xsi:type="dcterms:W3CDTF">2025-11-19T09:21:56Z</dcterms:modified>
</cp:coreProperties>
</file>