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25CF3BC-628A-42DD-BA96-9A3A574F0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5" l="1"/>
  <c r="E5" i="5"/>
  <c r="G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C5" i="2"/>
  <c r="E5" i="2"/>
  <c r="G5" i="2"/>
  <c r="H5" i="2"/>
  <c r="I5" i="2"/>
  <c r="J5" i="2"/>
  <c r="M5" i="2"/>
  <c r="N5" i="2"/>
  <c r="O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N5" i="5"/>
  <c r="N4" i="5"/>
  <c r="I5" i="5"/>
  <c r="I4" i="5"/>
  <c r="J5" i="5"/>
  <c r="J4" i="5"/>
  <c r="H5" i="5"/>
  <c r="H4" i="5"/>
  <c r="M4" i="5"/>
  <c r="M5" i="5"/>
  <c r="O5" i="5"/>
  <c r="O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0" authorId="0" shapeId="0" xr:uid="{799A9C43-8838-4ACE-8762-8773A869837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G3 &amp; S3 &amp; W4 &amp; T10 &amp; X12 &amp; U5 &amp; O6 &amp; I4 &amp; E45 &amp; P82 &amp; N1</t>
        </r>
      </text>
    </comment>
    <comment ref="F58" authorId="0" shapeId="0" xr:uid="{5972655C-9AFB-469A-8143-57275552808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9]_x000D_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V7 &amp; G16 &amp; S17 &amp; W21 &amp; T10 &amp; X9 &amp; U17 &amp; O16 &amp; I16 &amp; P50</t>
        </r>
      </text>
    </comment>
    <comment ref="F59" authorId="0" shapeId="0" xr:uid="{CD4882BC-9926-40B7-815A-2B79ABEA96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K5 &amp; L6 &amp; S24 &amp; W5 &amp; P135 &amp; N4</t>
        </r>
      </text>
    </comment>
  </commentList>
</comments>
</file>

<file path=xl/sharedStrings.xml><?xml version="1.0" encoding="utf-8"?>
<sst xmlns="http://schemas.openxmlformats.org/spreadsheetml/2006/main" count="1155" uniqueCount="240">
  <si>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</si>
  <si>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</si>
  <si>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</si>
  <si>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</si>
  <si>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</si>
  <si>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</si>
  <si>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</si>
  <si>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</si>
  <si>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</si>
  <si>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</si>
  <si>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</si>
  <si>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</si>
  <si>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</si>
  <si>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</si>
  <si>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</si>
  <si>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</si>
  <si>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</si>
  <si>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</si>
  <si>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</si>
  <si>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</si>
  <si>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</si>
  <si>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</si>
  <si>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</si>
  <si>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</si>
  <si>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</si>
  <si>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</si>
  <si>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</si>
  <si>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F3-763</t>
  </si>
  <si>
    <t>Cabin: 0 KG | Check-in: 15 KG</t>
  </si>
  <si>
    <r>
      <rPr>
        <b/>
        <i/>
        <sz val="13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</si>
  <si>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639 SAR</t>
  </si>
  <si>
    <t>F3-753</t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</si>
  <si>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</si>
  <si>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t>689 SAR</t>
  </si>
  <si>
    <t>F3-755</t>
  </si>
  <si>
    <r>
      <rPr>
        <b/>
        <i/>
        <sz val="13"/>
        <rFont val="Calibri"/>
      </rPr>
      <t>13</t>
    </r>
    <r>
      <rPr>
        <b/>
        <i/>
        <sz val="10"/>
        <rFont val="Calibri"/>
      </rPr>
      <t xml:space="preserve"> FOR SAME CLASS</t>
    </r>
  </si>
  <si>
    <t>F3-761</t>
  </si>
  <si>
    <r>
      <rPr>
        <b/>
        <i/>
        <sz val="13"/>
        <rFont val="Calibri"/>
      </rPr>
      <t>10</t>
    </r>
    <r>
      <rPr>
        <b/>
        <i/>
        <sz val="10"/>
        <rFont val="Calibri"/>
      </rPr>
      <t xml:space="preserve"> FOR SAME CLASS</t>
    </r>
  </si>
  <si>
    <t>flynas</t>
  </si>
  <si>
    <t>XY-565</t>
  </si>
  <si>
    <t>Cabin: 7 KG / Check-in: 20 KG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</si>
  <si>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</si>
  <si>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669 SAR</t>
  </si>
  <si>
    <t>Cabin: 7 KG / Check-in: 30 KG</t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</si>
  <si>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</si>
  <si>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769 SAR</t>
  </si>
  <si>
    <t>Cabin: 7 KG / Check-in: 2 x 40 KG</t>
  </si>
  <si>
    <t>859 SAR</t>
  </si>
  <si>
    <t>XY-567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</si>
  <si>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</si>
  <si>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</si>
  <si>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XY-573</t>
  </si>
  <si>
    <t>XY-589</t>
  </si>
  <si>
    <t>XY-569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</si>
  <si>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</si>
  <si>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t>719 SAR</t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</si>
  <si>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</si>
  <si>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819 SAR</t>
  </si>
  <si>
    <t>909 SAR</t>
  </si>
  <si>
    <t>XY-571</t>
  </si>
  <si>
    <t>XY-577</t>
  </si>
  <si>
    <t>Air Arabia Egypt</t>
  </si>
  <si>
    <t>E5-362</t>
  </si>
  <si>
    <t>Cabin: 10 KG |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</si>
  <si>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</si>
  <si>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671 SAR</t>
  </si>
  <si>
    <t>E5-328</t>
  </si>
  <si>
    <t>679 SAR</t>
  </si>
  <si>
    <t>Nile Air</t>
  </si>
  <si>
    <t>NP-128</t>
  </si>
  <si>
    <t>Cabin: 7 KG | Check-in: 30 KG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</si>
  <si>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</si>
  <si>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691 SAR</t>
  </si>
  <si>
    <t>Air Cairo</t>
  </si>
  <si>
    <t>SM-478</t>
  </si>
  <si>
    <t>Cabin: 7 KG | Check-in: 40 KG</t>
  </si>
  <si>
    <t>1,066 SAR</t>
  </si>
  <si>
    <t>SM478</t>
  </si>
  <si>
    <t>K1</t>
  </si>
  <si>
    <t>K3 &amp; G3 &amp; S3 &amp; W4 &amp; T10 &amp; X12 &amp; U5 &amp; O6 &amp; I4 &amp; E45 &amp; P82 &amp; N1</t>
  </si>
  <si>
    <t>SM450</t>
  </si>
  <si>
    <t>30KG + 7KG CABIN</t>
  </si>
  <si>
    <t>FULLY BOOKED</t>
  </si>
  <si>
    <t>CLOSED</t>
  </si>
  <si>
    <t>V7 &amp; G16 &amp; S17 &amp; W21 &amp; T10 &amp; X9 &amp; U17 &amp; O16 &amp; I16 &amp; P50</t>
  </si>
  <si>
    <t>SM476</t>
  </si>
  <si>
    <t>K5 &amp; L6 &amp; S24 &amp; W5 &amp; P135 &amp; N4</t>
  </si>
  <si>
    <t>Saudia</t>
  </si>
  <si>
    <t>SV-301</t>
  </si>
  <si>
    <t>Cabin: 7 KG / Check-in: 23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</si>
  <si>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</si>
  <si>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1,193 SAR</t>
  </si>
  <si>
    <t>Cabin: 7 KG / Check-in: 2 x 46 KG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</si>
  <si>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</si>
  <si>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1,326 SAR</t>
  </si>
  <si>
    <t>SV-303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</si>
  <si>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</si>
  <si>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</si>
  <si>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t>SV-335</t>
  </si>
  <si>
    <t>SV-383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</si>
  <si>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</si>
  <si>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SV-387</t>
  </si>
  <si>
    <t>SV-309</t>
  </si>
  <si>
    <t>1,586 SAR</t>
  </si>
  <si>
    <t>1,719 SAR</t>
  </si>
  <si>
    <t>SV-6664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</si>
  <si>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</si>
  <si>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1,721 SAR</t>
  </si>
  <si>
    <t>SV-305</t>
  </si>
  <si>
    <t>1,828 SAR</t>
  </si>
  <si>
    <t>1,961 SAR</t>
  </si>
  <si>
    <t>SV-389</t>
  </si>
  <si>
    <t>SV-6891</t>
  </si>
  <si>
    <t>1,944 SAR</t>
  </si>
  <si>
    <t>SV-6893</t>
  </si>
  <si>
    <t>SV-6895</t>
  </si>
  <si>
    <t>EgyptAir</t>
  </si>
  <si>
    <t>MS-666</t>
  </si>
  <si>
    <t>Cabin: 7 KG | Check-in: 2 PIECE</t>
  </si>
  <si>
    <t>1,260 SAR</t>
  </si>
  <si>
    <t>MS-674</t>
  </si>
  <si>
    <t>MS-644</t>
  </si>
  <si>
    <t>1,264 SAR</t>
  </si>
  <si>
    <t>MS-662</t>
  </si>
  <si>
    <t>1,642 SAR</t>
  </si>
  <si>
    <t>MS-664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</si>
  <si>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</si>
  <si>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MS-670</t>
  </si>
  <si>
    <t>MS-668</t>
  </si>
  <si>
    <t>1,844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</si>
  <si>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</si>
  <si>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</si>
  <si>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</si>
  <si>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</si>
  <si>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</si>
  <si>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</si>
  <si>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</si>
  <si>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</si>
  <si>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</si>
  <si>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</si>
  <si>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</si>
  <si>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</si>
  <si>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</si>
  <si>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</si>
  <si>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</si>
  <si>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</si>
  <si>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</si>
  <si>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</si>
  <si>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</si>
  <si>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</si>
  <si>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</si>
  <si>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</si>
  <si>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</si>
  <si>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</si>
  <si>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</si>
  <si>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</si>
  <si>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</si>
  <si>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</si>
  <si>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</si>
  <si>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</si>
  <si>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05:40</t>
  </si>
  <si>
    <t>320</t>
  </si>
  <si>
    <t>UPCOMING</t>
  </si>
  <si>
    <t>V7</t>
  </si>
  <si>
    <t>G16</t>
  </si>
  <si>
    <t>S17</t>
  </si>
  <si>
    <t>W21</t>
  </si>
  <si>
    <t>T10</t>
  </si>
  <si>
    <t>X9</t>
  </si>
  <si>
    <t>U17</t>
  </si>
  <si>
    <t>O16</t>
  </si>
  <si>
    <t>I16</t>
  </si>
  <si>
    <t>P50</t>
  </si>
  <si>
    <t>08:00</t>
  </si>
  <si>
    <t>K5</t>
  </si>
  <si>
    <t>L6</t>
  </si>
  <si>
    <t>S24</t>
  </si>
  <si>
    <t>W5</t>
  </si>
  <si>
    <t>P135</t>
  </si>
  <si>
    <t>N4</t>
  </si>
  <si>
    <t>16:20</t>
  </si>
  <si>
    <t>K3</t>
  </si>
  <si>
    <t>G3</t>
  </si>
  <si>
    <t>S3</t>
  </si>
  <si>
    <t>W4</t>
  </si>
  <si>
    <t>X12</t>
  </si>
  <si>
    <t>U5</t>
  </si>
  <si>
    <t>O6</t>
  </si>
  <si>
    <t>I4</t>
  </si>
  <si>
    <t>E45</t>
  </si>
  <si>
    <t>P82</t>
  </si>
  <si>
    <t>N1</t>
  </si>
  <si>
    <t>DATE</t>
  </si>
  <si>
    <t>ROUTE</t>
  </si>
  <si>
    <t>2025-11-22</t>
  </si>
  <si>
    <t>21:20</t>
  </si>
  <si>
    <t>06:10</t>
  </si>
  <si>
    <t>21:40</t>
  </si>
  <si>
    <t>20:30</t>
  </si>
  <si>
    <t>19:10</t>
  </si>
  <si>
    <t>05:10</t>
  </si>
  <si>
    <t>06:55</t>
  </si>
  <si>
    <t>07:15</t>
  </si>
  <si>
    <t>03:05</t>
  </si>
  <si>
    <t>18:55</t>
  </si>
  <si>
    <t>16:00</t>
  </si>
  <si>
    <t>15:50</t>
  </si>
  <si>
    <t>12:25</t>
  </si>
  <si>
    <t>09:30</t>
  </si>
  <si>
    <t>THREAT STATUS</t>
  </si>
  <si>
    <t>1 FOR SAME CLASS</t>
  </si>
  <si>
    <t>REF</t>
  </si>
  <si>
    <t>16 FOR SAME CLASS</t>
  </si>
  <si>
    <t>AHEAD (+0.5)</t>
  </si>
  <si>
    <t>AHEAD (+1.0)</t>
  </si>
  <si>
    <t>9 FOR SAME CLASS</t>
  </si>
  <si>
    <t>THREAT (+2.5)</t>
  </si>
  <si>
    <t>THREAT (+2.4)</t>
  </si>
  <si>
    <t>AHEAD (+0.0)</t>
  </si>
  <si>
    <t>13 FOR SAME CLASS</t>
  </si>
  <si>
    <t>10 FOR SAME CLASS</t>
  </si>
  <si>
    <t>7 FOR SAME CLASS</t>
  </si>
  <si>
    <t>THREAT (+2.2)</t>
  </si>
  <si>
    <t>2 FOR SAME CLASS</t>
  </si>
  <si>
    <t>THREAT (+1.5)</t>
  </si>
  <si>
    <t>THREAT (+8.1)</t>
  </si>
  <si>
    <t>THREAT (+7.6)</t>
  </si>
  <si>
    <t>09:05</t>
  </si>
  <si>
    <t>+9 FOR SAME CLASS</t>
  </si>
  <si>
    <t>THREAT (+5.2)</t>
  </si>
  <si>
    <t>17:15</t>
  </si>
  <si>
    <t>05:50</t>
  </si>
  <si>
    <t>03:25</t>
  </si>
  <si>
    <t>22:20</t>
  </si>
  <si>
    <t>00:10</t>
  </si>
  <si>
    <t>THREAT (+1.3)</t>
  </si>
  <si>
    <t>4 FOR SAME CLASS</t>
  </si>
  <si>
    <t>THREAT (+1.2)</t>
  </si>
  <si>
    <t>CLOSE (-1.0)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</si>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</sst>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  <numFmt numFmtId="175" formatCode="[$-409]d\-mmm\-yy;@"/>
    <numFmt numFmtId="176" formatCode="[$-409]d\-mmm;@"/>
    <numFmt numFmtId="177" formatCode="[$-F400]h:mm:ss\ AM/PM"/>
  </numFmts>
  <fonts count="4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color rgb="FF006100"/>
      <name val="Calibri"/>
    </font>
    <font>
      <i/>
      <sz val="18"/>
      <color rgb="FFFF0000"/>
      <name val="Calibri"/>
    </font>
    <font>
      <b/>
      <i/>
      <sz val="20"/>
      <color theme="1"/>
      <name val="Calibri"/>
    </font>
    <font>
      <b/>
      <i/>
      <sz val="2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sz val="11"/>
      <color rgb="FF008800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b/>
      <i/>
      <sz val="1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B4C7DC"/>
        <bgColor rgb="FFB4C7DC"/>
      </patternFill>
    </fill>
    <fill>
      <patternFill patternType="solid">
        <fgColor rgb="FF36549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70" fontId="15" fillId="0" borderId="14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170" fontId="12" fillId="0" borderId="14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170" fontId="16" fillId="0" borderId="14" xfId="0" applyNumberFormat="1" applyFont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17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17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17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170" fontId="15" fillId="0" borderId="15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21" xfId="0" applyFont="1" applyFill="1" applyBorder="1" applyAlignment="1">
      <alignment horizontal="center" vertical="center"/>
    </xf>
    <xf numFmtId="0" fontId="21" fillId="11" borderId="25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172" fontId="22" fillId="0" borderId="26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73" fontId="23" fillId="0" borderId="23" xfId="0" applyNumberFormat="1" applyFont="1" applyBorder="1" applyAlignment="1">
      <alignment horizontal="center" vertical="center"/>
    </xf>
    <xf numFmtId="174" fontId="23" fillId="0" borderId="19" xfId="0" applyNumberFormat="1" applyFont="1" applyBorder="1" applyAlignment="1">
      <alignment horizontal="center" vertical="center"/>
    </xf>
    <xf numFmtId="173" fontId="23" fillId="0" borderId="24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174" fontId="23" fillId="0" borderId="20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65" fontId="24" fillId="14" borderId="0" xfId="0" applyNumberFormat="1" applyFont="1" applyFill="1" applyAlignment="1">
      <alignment horizontal="center" vertical="center"/>
    </xf>
    <xf numFmtId="175" fontId="24" fillId="14" borderId="0" xfId="0" applyNumberFormat="1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177" fontId="24" fillId="14" borderId="0" xfId="0" applyNumberFormat="1" applyFont="1" applyFill="1" applyAlignment="1">
      <alignment horizontal="center" vertical="center"/>
    </xf>
    <xf numFmtId="9" fontId="24" fillId="14" borderId="0" xfId="0" applyNumberFormat="1" applyFont="1" applyFill="1" applyAlignment="1">
      <alignment horizontal="center" vertical="center"/>
    </xf>
    <xf numFmtId="1" fontId="24" fillId="14" borderId="0" xfId="0" applyNumberFormat="1" applyFont="1" applyFill="1" applyAlignment="1">
      <alignment horizontal="center" vertical="center"/>
    </xf>
    <xf numFmtId="176" fontId="24" fillId="14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18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165" fontId="2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5" fillId="0" borderId="0" xfId="0" applyFont="1"/>
    <xf numFmtId="171" fontId="35" fillId="0" borderId="0" xfId="0" applyNumberFormat="1" applyFont="1" applyAlignment="1">
      <alignment horizontal="center" vertical="center"/>
    </xf>
    <xf numFmtId="15" fontId="35" fillId="0" borderId="0" xfId="0" applyNumberFormat="1" applyFont="1" applyAlignment="1">
      <alignment horizontal="center" vertical="center"/>
    </xf>
    <xf numFmtId="49" fontId="35" fillId="0" borderId="0" xfId="0" applyNumberFormat="1" applyFont="1" applyAlignment="1">
      <alignment horizontal="center" vertical="center"/>
    </xf>
    <xf numFmtId="170" fontId="35" fillId="0" borderId="0" xfId="0" applyNumberFormat="1" applyFont="1" applyAlignment="1">
      <alignment horizontal="center" vertical="center"/>
    </xf>
    <xf numFmtId="168" fontId="35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6" fontId="35" fillId="0" borderId="0" xfId="0" applyNumberFormat="1" applyFont="1" applyAlignment="1">
      <alignment horizontal="center" vertical="center"/>
    </xf>
    <xf numFmtId="0" fontId="36" fillId="15" borderId="0" xfId="0" applyFont="1" applyFill="1" applyAlignment="1">
      <alignment horizontal="center" vertical="center"/>
    </xf>
    <xf numFmtId="15" fontId="36" fillId="15" borderId="0" xfId="0" applyNumberFormat="1" applyFont="1" applyFill="1" applyAlignment="1">
      <alignment horizontal="center" vertical="center"/>
    </xf>
    <xf numFmtId="168" fontId="36" fillId="15" borderId="0" xfId="0" applyNumberFormat="1" applyFont="1" applyFill="1" applyAlignment="1">
      <alignment horizontal="center" vertical="center"/>
    </xf>
    <xf numFmtId="1" fontId="36" fillId="15" borderId="0" xfId="0" applyNumberFormat="1" applyFont="1" applyFill="1" applyAlignment="1">
      <alignment horizontal="center" vertical="center"/>
    </xf>
    <xf numFmtId="0" fontId="36" fillId="15" borderId="0" xfId="0" applyNumberFormat="1" applyFont="1" applyFill="1" applyAlignment="1">
      <alignment horizontal="center" vertical="center"/>
    </xf>
    <xf numFmtId="0" fontId="37" fillId="15" borderId="0" xfId="0" applyFont="1" applyFill="1" applyAlignment="1">
      <alignment horizontal="center"/>
    </xf>
    <xf numFmtId="15" fontId="37" fillId="15" borderId="0" xfId="0" applyNumberFormat="1" applyFont="1" applyFill="1" applyAlignment="1">
      <alignment horizontal="center"/>
    </xf>
    <xf numFmtId="168" fontId="37" fillId="15" borderId="0" xfId="0" applyNumberFormat="1" applyFont="1" applyFill="1" applyAlignment="1">
      <alignment horizontal="center"/>
    </xf>
    <xf numFmtId="1" fontId="37" fillId="15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5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59" totalsRowShown="0">
  <autoFilter ref="A1:H5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40">
  <autoFilter ref="A1:I40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5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3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5546875" bestFit="1" customWidth="1"/>
    <col min="6" max="6" width="23.77734375" bestFit="1" customWidth="1"/>
    <col min="7" max="7" width="48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6640625" bestFit="1" customWidth="1"/>
  </cols>
  <sheetData>
    <row r="1" spans="1:92" ht="28.8" customHeight="1" x14ac:dyDescent="0.3">
      <c r="A1" s="107" t="s">
        <v>0</v>
      </c>
      <c r="B1" s="106"/>
      <c r="C1" s="106"/>
      <c r="D1" s="106"/>
      <c r="E1" s="106"/>
      <c r="F1" s="1" t="s">
        <v>1</v>
      </c>
      <c r="G1" s="1" t="s">
        <v>2</v>
      </c>
      <c r="H1" s="105">
        <v>45983</v>
      </c>
      <c r="I1" s="106"/>
      <c r="J1" s="106"/>
      <c r="K1" s="106"/>
      <c r="L1" s="106"/>
      <c r="M1" s="1" t="s">
        <v>3</v>
      </c>
      <c r="N1" s="118">
        <v>45983</v>
      </c>
      <c r="O1" s="106"/>
      <c r="P1" s="106"/>
      <c r="Q1" s="106"/>
      <c r="R1" s="10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01" t="s">
        <v>4</v>
      </c>
      <c r="B2" s="102"/>
      <c r="C2" s="102"/>
      <c r="D2" s="102"/>
      <c r="E2" s="102"/>
      <c r="F2" s="102"/>
      <c r="G2" s="108">
        <v>45982.128156666113</v>
      </c>
      <c r="H2" s="102"/>
      <c r="I2" s="102"/>
      <c r="J2" s="102"/>
      <c r="K2" s="109">
        <v>45982.128156666433</v>
      </c>
      <c r="L2" s="102"/>
      <c r="M2" s="102"/>
      <c r="N2" s="102"/>
      <c r="O2" s="102"/>
      <c r="P2" s="102"/>
      <c r="Q2" s="110"/>
      <c r="R2" s="110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03" t="s">
        <v>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11" t="s">
        <v>6</v>
      </c>
      <c r="B4" s="112"/>
      <c r="C4" s="112"/>
      <c r="D4" s="112"/>
      <c r="E4" s="112"/>
      <c r="F4" s="112"/>
      <c r="G4" s="5">
        <v>45983</v>
      </c>
      <c r="H4" s="116" t="s">
        <v>7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0.88888888888888884</v>
      </c>
      <c r="D6" s="9" t="s">
        <v>28</v>
      </c>
      <c r="E6" s="9" t="s">
        <v>29</v>
      </c>
      <c r="F6" s="9" t="s">
        <v>30</v>
      </c>
      <c r="G6" s="113"/>
      <c r="H6" s="11"/>
      <c r="I6" s="12"/>
      <c r="J6" s="12"/>
      <c r="K6" s="12"/>
      <c r="L6" s="12"/>
      <c r="M6" s="12"/>
      <c r="N6" s="12"/>
      <c r="O6" s="13"/>
      <c r="P6" s="12"/>
      <c r="Q6" s="14"/>
      <c r="R6" s="15"/>
    </row>
    <row r="7" spans="1:92" ht="15" customHeight="1" x14ac:dyDescent="0.3">
      <c r="A7" s="16" t="s">
        <v>26</v>
      </c>
      <c r="B7" s="16" t="s">
        <v>31</v>
      </c>
      <c r="C7" s="17">
        <v>0.30208333333333331</v>
      </c>
      <c r="D7" s="16" t="s">
        <v>28</v>
      </c>
      <c r="E7" s="16" t="s">
        <v>32</v>
      </c>
      <c r="F7" s="16" t="s">
        <v>33</v>
      </c>
      <c r="G7" s="114"/>
      <c r="H7" s="11"/>
      <c r="I7" s="12"/>
      <c r="J7" s="12"/>
      <c r="K7" s="12"/>
      <c r="L7" s="12"/>
      <c r="M7" s="12"/>
      <c r="N7" s="12"/>
      <c r="O7" s="13"/>
      <c r="P7" s="12"/>
      <c r="Q7" s="14"/>
      <c r="R7" s="15"/>
    </row>
    <row r="8" spans="1:92" ht="15" customHeight="1" x14ac:dyDescent="0.3">
      <c r="A8" s="16" t="s">
        <v>26</v>
      </c>
      <c r="B8" s="16" t="s">
        <v>34</v>
      </c>
      <c r="C8" s="17">
        <v>0.12847222222222221</v>
      </c>
      <c r="D8" s="16" t="s">
        <v>28</v>
      </c>
      <c r="E8" s="16" t="s">
        <v>35</v>
      </c>
      <c r="F8" s="16" t="s">
        <v>33</v>
      </c>
      <c r="G8" s="114"/>
      <c r="H8" s="11"/>
      <c r="I8" s="12"/>
      <c r="J8" s="12"/>
      <c r="K8" s="12"/>
      <c r="L8" s="12"/>
      <c r="M8" s="12"/>
      <c r="N8" s="12"/>
      <c r="O8" s="13"/>
      <c r="P8" s="12"/>
      <c r="Q8" s="14"/>
      <c r="R8" s="15"/>
    </row>
    <row r="9" spans="1:92" ht="15" customHeight="1" x14ac:dyDescent="0.3">
      <c r="A9" s="16" t="s">
        <v>26</v>
      </c>
      <c r="B9" s="16" t="s">
        <v>36</v>
      </c>
      <c r="C9" s="17">
        <v>0.78819444444444453</v>
      </c>
      <c r="D9" s="16" t="s">
        <v>28</v>
      </c>
      <c r="E9" s="16" t="s">
        <v>37</v>
      </c>
      <c r="F9" s="16" t="s">
        <v>33</v>
      </c>
      <c r="G9" s="114"/>
      <c r="H9" s="11"/>
      <c r="I9" s="12"/>
      <c r="J9" s="12"/>
      <c r="K9" s="12"/>
      <c r="L9" s="12"/>
      <c r="M9" s="12"/>
      <c r="N9" s="12"/>
      <c r="O9" s="13"/>
      <c r="P9" s="12"/>
      <c r="Q9" s="14"/>
      <c r="R9" s="15"/>
    </row>
    <row r="10" spans="1:92" ht="15" customHeight="1" x14ac:dyDescent="0.3">
      <c r="A10" s="18" t="s">
        <v>38</v>
      </c>
      <c r="B10" s="18" t="s">
        <v>39</v>
      </c>
      <c r="C10" s="19">
        <v>0.25694444444444448</v>
      </c>
      <c r="D10" s="18" t="s">
        <v>40</v>
      </c>
      <c r="E10" s="18" t="s">
        <v>41</v>
      </c>
      <c r="F10" s="18" t="s">
        <v>42</v>
      </c>
      <c r="G10" s="114"/>
      <c r="H10" s="11"/>
      <c r="I10" s="12"/>
      <c r="J10" s="12"/>
      <c r="K10" s="12"/>
      <c r="L10" s="12"/>
      <c r="M10" s="12"/>
      <c r="N10" s="12"/>
      <c r="O10" s="13"/>
      <c r="P10" s="12"/>
      <c r="Q10" s="14"/>
      <c r="R10" s="15"/>
    </row>
    <row r="11" spans="1:92" ht="15" customHeight="1" x14ac:dyDescent="0.3">
      <c r="A11" s="20" t="s">
        <v>38</v>
      </c>
      <c r="B11" s="20" t="s">
        <v>39</v>
      </c>
      <c r="C11" s="21">
        <v>0.25694444444444448</v>
      </c>
      <c r="D11" s="20" t="s">
        <v>43</v>
      </c>
      <c r="E11" s="20" t="s">
        <v>44</v>
      </c>
      <c r="F11" s="20" t="s">
        <v>45</v>
      </c>
      <c r="G11" s="114"/>
      <c r="H11" s="11"/>
      <c r="I11" s="12"/>
      <c r="J11" s="12"/>
      <c r="K11" s="12"/>
      <c r="L11" s="12"/>
      <c r="M11" s="12"/>
      <c r="N11" s="12"/>
      <c r="O11" s="13"/>
      <c r="P11" s="12"/>
      <c r="Q11" s="14"/>
      <c r="R11" s="15"/>
    </row>
    <row r="12" spans="1:92" ht="15" customHeight="1" x14ac:dyDescent="0.3">
      <c r="A12" s="20" t="s">
        <v>38</v>
      </c>
      <c r="B12" s="20" t="s">
        <v>39</v>
      </c>
      <c r="C12" s="21">
        <v>0.25694444444444448</v>
      </c>
      <c r="D12" s="20" t="s">
        <v>46</v>
      </c>
      <c r="E12" s="20" t="s">
        <v>44</v>
      </c>
      <c r="F12" s="20" t="s">
        <v>47</v>
      </c>
      <c r="G12" s="114"/>
      <c r="H12" s="11"/>
      <c r="I12" s="12"/>
      <c r="J12" s="12"/>
      <c r="K12" s="12"/>
      <c r="L12" s="12"/>
      <c r="M12" s="12"/>
      <c r="N12" s="12"/>
      <c r="O12" s="13"/>
      <c r="P12" s="12"/>
      <c r="Q12" s="14"/>
      <c r="R12" s="15"/>
    </row>
    <row r="13" spans="1:92" ht="15" customHeight="1" x14ac:dyDescent="0.3">
      <c r="A13" s="16" t="s">
        <v>38</v>
      </c>
      <c r="B13" s="16" t="s">
        <v>48</v>
      </c>
      <c r="C13" s="17">
        <v>0.90277777777777779</v>
      </c>
      <c r="D13" s="16" t="s">
        <v>40</v>
      </c>
      <c r="E13" s="16" t="s">
        <v>49</v>
      </c>
      <c r="F13" s="16" t="s">
        <v>42</v>
      </c>
      <c r="G13" s="114"/>
      <c r="H13" s="11"/>
      <c r="I13" s="12"/>
      <c r="J13" s="12"/>
      <c r="K13" s="12"/>
      <c r="L13" s="12"/>
      <c r="M13" s="12"/>
      <c r="N13" s="12"/>
      <c r="O13" s="13"/>
      <c r="P13" s="12"/>
      <c r="Q13" s="14"/>
      <c r="R13" s="15"/>
    </row>
    <row r="14" spans="1:92" ht="15" customHeight="1" x14ac:dyDescent="0.3">
      <c r="A14" s="20" t="s">
        <v>38</v>
      </c>
      <c r="B14" s="20" t="s">
        <v>48</v>
      </c>
      <c r="C14" s="21">
        <v>0.90277777777777779</v>
      </c>
      <c r="D14" s="20" t="s">
        <v>43</v>
      </c>
      <c r="E14" s="20" t="s">
        <v>50</v>
      </c>
      <c r="F14" s="20" t="s">
        <v>45</v>
      </c>
      <c r="G14" s="114"/>
      <c r="H14" s="11"/>
      <c r="I14" s="12"/>
      <c r="J14" s="12"/>
      <c r="K14" s="12"/>
      <c r="L14" s="12"/>
      <c r="M14" s="12"/>
      <c r="N14" s="12"/>
      <c r="O14" s="13"/>
      <c r="P14" s="12"/>
      <c r="Q14" s="14"/>
      <c r="R14" s="15"/>
    </row>
    <row r="15" spans="1:92" ht="15" customHeight="1" x14ac:dyDescent="0.3">
      <c r="A15" s="20" t="s">
        <v>38</v>
      </c>
      <c r="B15" s="20" t="s">
        <v>48</v>
      </c>
      <c r="C15" s="21">
        <v>0.90277777777777779</v>
      </c>
      <c r="D15" s="20" t="s">
        <v>46</v>
      </c>
      <c r="E15" s="20" t="s">
        <v>50</v>
      </c>
      <c r="F15" s="20" t="s">
        <v>47</v>
      </c>
      <c r="G15" s="114"/>
      <c r="H15" s="11"/>
      <c r="I15" s="12"/>
      <c r="J15" s="12"/>
      <c r="K15" s="12"/>
      <c r="L15" s="12"/>
      <c r="M15" s="12"/>
      <c r="N15" s="12"/>
      <c r="O15" s="13"/>
      <c r="P15" s="12"/>
      <c r="Q15" s="14"/>
      <c r="R15" s="15"/>
    </row>
    <row r="16" spans="1:92" ht="15" customHeight="1" x14ac:dyDescent="0.3">
      <c r="A16" s="16" t="s">
        <v>38</v>
      </c>
      <c r="B16" s="16" t="s">
        <v>51</v>
      </c>
      <c r="C16" s="17">
        <v>0.85416666666666663</v>
      </c>
      <c r="D16" s="16" t="s">
        <v>40</v>
      </c>
      <c r="E16" s="16" t="s">
        <v>49</v>
      </c>
      <c r="F16" s="16" t="s">
        <v>42</v>
      </c>
      <c r="G16" s="114"/>
      <c r="H16" s="11"/>
      <c r="I16" s="12"/>
      <c r="J16" s="12"/>
      <c r="K16" s="12"/>
      <c r="L16" s="12"/>
      <c r="M16" s="12"/>
      <c r="N16" s="12"/>
      <c r="O16" s="13"/>
      <c r="P16" s="12"/>
      <c r="Q16" s="14"/>
      <c r="R16" s="15"/>
    </row>
    <row r="17" spans="1:18" ht="15" customHeight="1" x14ac:dyDescent="0.3">
      <c r="A17" s="20" t="s">
        <v>38</v>
      </c>
      <c r="B17" s="20" t="s">
        <v>51</v>
      </c>
      <c r="C17" s="21">
        <v>0.85416666666666663</v>
      </c>
      <c r="D17" s="20" t="s">
        <v>43</v>
      </c>
      <c r="E17" s="20" t="s">
        <v>50</v>
      </c>
      <c r="F17" s="20" t="s">
        <v>45</v>
      </c>
      <c r="G17" s="114"/>
      <c r="H17" s="11"/>
      <c r="I17" s="12"/>
      <c r="J17" s="12"/>
      <c r="K17" s="12"/>
      <c r="L17" s="12"/>
      <c r="M17" s="12"/>
      <c r="N17" s="12"/>
      <c r="O17" s="13"/>
      <c r="P17" s="12"/>
      <c r="Q17" s="14"/>
      <c r="R17" s="15"/>
    </row>
    <row r="18" spans="1:18" ht="15" customHeight="1" x14ac:dyDescent="0.3">
      <c r="A18" s="20" t="s">
        <v>38</v>
      </c>
      <c r="B18" s="20" t="s">
        <v>51</v>
      </c>
      <c r="C18" s="21">
        <v>0.85416666666666663</v>
      </c>
      <c r="D18" s="20" t="s">
        <v>46</v>
      </c>
      <c r="E18" s="20" t="s">
        <v>50</v>
      </c>
      <c r="F18" s="20" t="s">
        <v>47</v>
      </c>
      <c r="G18" s="114"/>
      <c r="H18" s="11"/>
      <c r="I18" s="12"/>
      <c r="J18" s="12"/>
      <c r="K18" s="12"/>
      <c r="L18" s="12"/>
      <c r="M18" s="12"/>
      <c r="N18" s="12"/>
      <c r="O18" s="13"/>
      <c r="P18" s="12"/>
      <c r="Q18" s="14"/>
      <c r="R18" s="15"/>
    </row>
    <row r="19" spans="1:18" ht="15" customHeight="1" x14ac:dyDescent="0.3">
      <c r="A19" s="16" t="s">
        <v>38</v>
      </c>
      <c r="B19" s="16" t="s">
        <v>52</v>
      </c>
      <c r="C19" s="17">
        <v>0.79861111111111116</v>
      </c>
      <c r="D19" s="16" t="s">
        <v>40</v>
      </c>
      <c r="E19" s="16" t="s">
        <v>49</v>
      </c>
      <c r="F19" s="16" t="s">
        <v>42</v>
      </c>
      <c r="G19" s="114"/>
      <c r="H19" s="11"/>
      <c r="I19" s="12"/>
      <c r="J19" s="12"/>
      <c r="K19" s="12"/>
      <c r="L19" s="12"/>
      <c r="M19" s="12"/>
      <c r="N19" s="12"/>
      <c r="O19" s="13"/>
      <c r="P19" s="12"/>
      <c r="Q19" s="14"/>
      <c r="R19" s="15"/>
    </row>
    <row r="20" spans="1:18" ht="15" customHeight="1" x14ac:dyDescent="0.3">
      <c r="A20" s="20" t="s">
        <v>38</v>
      </c>
      <c r="B20" s="20" t="s">
        <v>52</v>
      </c>
      <c r="C20" s="21">
        <v>0.79861111111111116</v>
      </c>
      <c r="D20" s="20" t="s">
        <v>43</v>
      </c>
      <c r="E20" s="20" t="s">
        <v>50</v>
      </c>
      <c r="F20" s="20" t="s">
        <v>45</v>
      </c>
      <c r="G20" s="114"/>
      <c r="H20" s="11"/>
      <c r="I20" s="12"/>
      <c r="J20" s="12"/>
      <c r="K20" s="12"/>
      <c r="L20" s="12"/>
      <c r="M20" s="12"/>
      <c r="N20" s="12"/>
      <c r="O20" s="13"/>
      <c r="P20" s="12"/>
      <c r="Q20" s="14"/>
      <c r="R20" s="15"/>
    </row>
    <row r="21" spans="1:18" ht="15" customHeight="1" x14ac:dyDescent="0.3">
      <c r="A21" s="20" t="s">
        <v>38</v>
      </c>
      <c r="B21" s="20" t="s">
        <v>52</v>
      </c>
      <c r="C21" s="21">
        <v>0.79861111111111116</v>
      </c>
      <c r="D21" s="20" t="s">
        <v>46</v>
      </c>
      <c r="E21" s="20" t="s">
        <v>50</v>
      </c>
      <c r="F21" s="20" t="s">
        <v>47</v>
      </c>
      <c r="G21" s="114"/>
      <c r="H21" s="11"/>
      <c r="I21" s="12"/>
      <c r="J21" s="12"/>
      <c r="K21" s="12"/>
      <c r="L21" s="12"/>
      <c r="M21" s="12"/>
      <c r="N21" s="12"/>
      <c r="O21" s="13"/>
      <c r="P21" s="12"/>
      <c r="Q21" s="14"/>
      <c r="R21" s="15"/>
    </row>
    <row r="22" spans="1:18" ht="15" customHeight="1" x14ac:dyDescent="0.3">
      <c r="A22" s="16" t="s">
        <v>38</v>
      </c>
      <c r="B22" s="16" t="s">
        <v>53</v>
      </c>
      <c r="C22" s="17">
        <v>0.65972222222222221</v>
      </c>
      <c r="D22" s="16" t="s">
        <v>40</v>
      </c>
      <c r="E22" s="16" t="s">
        <v>54</v>
      </c>
      <c r="F22" s="16" t="s">
        <v>55</v>
      </c>
      <c r="G22" s="114"/>
      <c r="H22" s="11"/>
      <c r="I22" s="12"/>
      <c r="J22" s="12"/>
      <c r="K22" s="12"/>
      <c r="L22" s="12"/>
      <c r="M22" s="12"/>
      <c r="N22" s="12"/>
      <c r="O22" s="13"/>
      <c r="P22" s="12"/>
      <c r="Q22" s="14"/>
      <c r="R22" s="15"/>
    </row>
    <row r="23" spans="1:18" ht="15" customHeight="1" x14ac:dyDescent="0.3">
      <c r="A23" s="20" t="s">
        <v>38</v>
      </c>
      <c r="B23" s="20" t="s">
        <v>53</v>
      </c>
      <c r="C23" s="21">
        <v>0.65972222222222221</v>
      </c>
      <c r="D23" s="20" t="s">
        <v>43</v>
      </c>
      <c r="E23" s="20" t="s">
        <v>56</v>
      </c>
      <c r="F23" s="20" t="s">
        <v>57</v>
      </c>
      <c r="G23" s="114"/>
      <c r="H23" s="11"/>
      <c r="I23" s="12"/>
      <c r="J23" s="12"/>
      <c r="K23" s="12"/>
      <c r="L23" s="12"/>
      <c r="M23" s="12"/>
      <c r="N23" s="12"/>
      <c r="O23" s="13"/>
      <c r="P23" s="12"/>
      <c r="Q23" s="14"/>
      <c r="R23" s="15"/>
    </row>
    <row r="24" spans="1:18" ht="15" customHeight="1" x14ac:dyDescent="0.3">
      <c r="A24" s="20" t="s">
        <v>38</v>
      </c>
      <c r="B24" s="20" t="s">
        <v>53</v>
      </c>
      <c r="C24" s="21">
        <v>0.65972222222222221</v>
      </c>
      <c r="D24" s="20" t="s">
        <v>46</v>
      </c>
      <c r="E24" s="20" t="s">
        <v>56</v>
      </c>
      <c r="F24" s="20" t="s">
        <v>58</v>
      </c>
      <c r="G24" s="114"/>
      <c r="H24" s="11"/>
      <c r="I24" s="12"/>
      <c r="J24" s="12"/>
      <c r="K24" s="12"/>
      <c r="L24" s="12"/>
      <c r="M24" s="12"/>
      <c r="N24" s="12"/>
      <c r="O24" s="13"/>
      <c r="P24" s="12"/>
      <c r="Q24" s="14"/>
      <c r="R24" s="15"/>
    </row>
    <row r="25" spans="1:18" ht="15" customHeight="1" x14ac:dyDescent="0.3">
      <c r="A25" s="16" t="s">
        <v>38</v>
      </c>
      <c r="B25" s="16" t="s">
        <v>59</v>
      </c>
      <c r="C25" s="17">
        <v>0.51736111111111105</v>
      </c>
      <c r="D25" s="16" t="s">
        <v>40</v>
      </c>
      <c r="E25" s="16" t="s">
        <v>54</v>
      </c>
      <c r="F25" s="16" t="s">
        <v>55</v>
      </c>
      <c r="G25" s="114"/>
      <c r="H25" s="11"/>
      <c r="I25" s="12"/>
      <c r="J25" s="12"/>
      <c r="K25" s="12"/>
      <c r="L25" s="12"/>
      <c r="M25" s="12"/>
      <c r="N25" s="12"/>
      <c r="O25" s="13"/>
      <c r="P25" s="12"/>
      <c r="Q25" s="14"/>
      <c r="R25" s="15"/>
    </row>
    <row r="26" spans="1:18" ht="15" customHeight="1" x14ac:dyDescent="0.3">
      <c r="A26" s="20" t="s">
        <v>38</v>
      </c>
      <c r="B26" s="20" t="s">
        <v>59</v>
      </c>
      <c r="C26" s="21">
        <v>0.51736111111111105</v>
      </c>
      <c r="D26" s="20" t="s">
        <v>43</v>
      </c>
      <c r="E26" s="20" t="s">
        <v>56</v>
      </c>
      <c r="F26" s="20" t="s">
        <v>57</v>
      </c>
      <c r="G26" s="114"/>
      <c r="H26" s="11"/>
      <c r="I26" s="12"/>
      <c r="J26" s="12"/>
      <c r="K26" s="12"/>
      <c r="L26" s="12"/>
      <c r="M26" s="12"/>
      <c r="N26" s="12"/>
      <c r="O26" s="13"/>
      <c r="P26" s="12"/>
      <c r="Q26" s="14"/>
      <c r="R26" s="15"/>
    </row>
    <row r="27" spans="1:18" ht="15" customHeight="1" x14ac:dyDescent="0.3">
      <c r="A27" s="20" t="s">
        <v>38</v>
      </c>
      <c r="B27" s="20" t="s">
        <v>59</v>
      </c>
      <c r="C27" s="21">
        <v>0.51736111111111105</v>
      </c>
      <c r="D27" s="20" t="s">
        <v>46</v>
      </c>
      <c r="E27" s="20" t="s">
        <v>56</v>
      </c>
      <c r="F27" s="20" t="s">
        <v>58</v>
      </c>
      <c r="G27" s="114"/>
      <c r="H27" s="11"/>
      <c r="I27" s="12"/>
      <c r="J27" s="12"/>
      <c r="K27" s="12"/>
      <c r="L27" s="12"/>
      <c r="M27" s="12"/>
      <c r="N27" s="12"/>
      <c r="O27" s="13"/>
      <c r="P27" s="12"/>
      <c r="Q27" s="14"/>
      <c r="R27" s="15"/>
    </row>
    <row r="28" spans="1:18" ht="15" customHeight="1" x14ac:dyDescent="0.3">
      <c r="A28" s="16" t="s">
        <v>38</v>
      </c>
      <c r="B28" s="16" t="s">
        <v>60</v>
      </c>
      <c r="C28" s="17">
        <v>0.39583333333333331</v>
      </c>
      <c r="D28" s="16" t="s">
        <v>40</v>
      </c>
      <c r="E28" s="16" t="s">
        <v>49</v>
      </c>
      <c r="F28" s="16" t="s">
        <v>55</v>
      </c>
      <c r="G28" s="114"/>
      <c r="H28" s="11"/>
      <c r="I28" s="12"/>
      <c r="J28" s="12"/>
      <c r="K28" s="12"/>
      <c r="L28" s="12"/>
      <c r="M28" s="12"/>
      <c r="N28" s="12"/>
      <c r="O28" s="13"/>
      <c r="P28" s="12"/>
      <c r="Q28" s="14"/>
      <c r="R28" s="15"/>
    </row>
    <row r="29" spans="1:18" ht="15" customHeight="1" x14ac:dyDescent="0.3">
      <c r="A29" s="20" t="s">
        <v>38</v>
      </c>
      <c r="B29" s="20" t="s">
        <v>60</v>
      </c>
      <c r="C29" s="21">
        <v>0.39583333333333331</v>
      </c>
      <c r="D29" s="20" t="s">
        <v>43</v>
      </c>
      <c r="E29" s="20" t="s">
        <v>50</v>
      </c>
      <c r="F29" s="20" t="s">
        <v>57</v>
      </c>
      <c r="G29" s="114"/>
      <c r="H29" s="11"/>
      <c r="I29" s="12"/>
      <c r="J29" s="12"/>
      <c r="K29" s="12"/>
      <c r="L29" s="12"/>
      <c r="M29" s="12"/>
      <c r="N29" s="12"/>
      <c r="O29" s="13"/>
      <c r="P29" s="12"/>
      <c r="Q29" s="14"/>
      <c r="R29" s="15"/>
    </row>
    <row r="30" spans="1:18" ht="15" customHeight="1" x14ac:dyDescent="0.3">
      <c r="A30" s="20" t="s">
        <v>38</v>
      </c>
      <c r="B30" s="20" t="s">
        <v>60</v>
      </c>
      <c r="C30" s="21">
        <v>0.39583333333333331</v>
      </c>
      <c r="D30" s="20" t="s">
        <v>46</v>
      </c>
      <c r="E30" s="20" t="s">
        <v>50</v>
      </c>
      <c r="F30" s="20" t="s">
        <v>58</v>
      </c>
      <c r="G30" s="114"/>
      <c r="H30" s="11"/>
      <c r="I30" s="12"/>
      <c r="J30" s="12"/>
      <c r="K30" s="12"/>
      <c r="L30" s="12"/>
      <c r="M30" s="12"/>
      <c r="N30" s="12"/>
      <c r="O30" s="13"/>
      <c r="P30" s="12"/>
      <c r="Q30" s="14"/>
      <c r="R30" s="15"/>
    </row>
    <row r="31" spans="1:18" ht="15" customHeight="1" x14ac:dyDescent="0.3">
      <c r="A31" s="18" t="s">
        <v>61</v>
      </c>
      <c r="B31" s="18" t="s">
        <v>62</v>
      </c>
      <c r="C31" s="19">
        <v>0.21527777777777779</v>
      </c>
      <c r="D31" s="18" t="s">
        <v>63</v>
      </c>
      <c r="E31" s="18" t="s">
        <v>64</v>
      </c>
      <c r="F31" s="18" t="s">
        <v>65</v>
      </c>
      <c r="G31" s="114"/>
      <c r="H31" s="11"/>
      <c r="I31" s="12"/>
      <c r="J31" s="12"/>
      <c r="K31" s="12"/>
      <c r="L31" s="12"/>
      <c r="M31" s="12"/>
      <c r="N31" s="12"/>
      <c r="O31" s="13"/>
      <c r="P31" s="12"/>
      <c r="Q31" s="14"/>
      <c r="R31" s="15"/>
    </row>
    <row r="32" spans="1:18" ht="15" customHeight="1" x14ac:dyDescent="0.3">
      <c r="A32" s="16" t="s">
        <v>61</v>
      </c>
      <c r="B32" s="16" t="s">
        <v>66</v>
      </c>
      <c r="C32" s="17">
        <v>0.28819444444444448</v>
      </c>
      <c r="D32" s="16" t="s">
        <v>63</v>
      </c>
      <c r="E32" s="16" t="s">
        <v>49</v>
      </c>
      <c r="F32" s="16" t="s">
        <v>67</v>
      </c>
      <c r="G32" s="114"/>
      <c r="H32" s="11"/>
      <c r="I32" s="12"/>
      <c r="J32" s="12"/>
      <c r="K32" s="12"/>
      <c r="L32" s="12"/>
      <c r="M32" s="12"/>
      <c r="N32" s="12"/>
      <c r="O32" s="13"/>
      <c r="P32" s="12"/>
      <c r="Q32" s="14"/>
      <c r="R32" s="15"/>
    </row>
    <row r="33" spans="1:18" ht="15" customHeight="1" x14ac:dyDescent="0.3">
      <c r="A33" s="18" t="s">
        <v>68</v>
      </c>
      <c r="B33" s="18" t="s">
        <v>69</v>
      </c>
      <c r="C33" s="19">
        <v>0.66666666666666663</v>
      </c>
      <c r="D33" s="18" t="s">
        <v>70</v>
      </c>
      <c r="E33" s="18" t="s">
        <v>71</v>
      </c>
      <c r="F33" s="18" t="s">
        <v>72</v>
      </c>
      <c r="G33" s="114"/>
      <c r="H33" s="11"/>
      <c r="I33" s="12"/>
      <c r="J33" s="12"/>
      <c r="K33" s="12"/>
      <c r="L33" s="12"/>
      <c r="M33" s="12"/>
      <c r="N33" s="12"/>
      <c r="O33" s="13"/>
      <c r="P33" s="12"/>
      <c r="Q33" s="14"/>
      <c r="R33" s="15"/>
    </row>
    <row r="34" spans="1:18" ht="15" customHeight="1" x14ac:dyDescent="0.3">
      <c r="A34" s="22" t="s">
        <v>73</v>
      </c>
      <c r="B34" s="22" t="s">
        <v>74</v>
      </c>
      <c r="C34" s="23">
        <v>0.68055555555555547</v>
      </c>
      <c r="D34" s="22" t="s">
        <v>75</v>
      </c>
      <c r="E34" s="22" t="s">
        <v>41</v>
      </c>
      <c r="F34" s="22" t="s">
        <v>76</v>
      </c>
      <c r="G34" s="114"/>
      <c r="H34" s="24" t="s">
        <v>77</v>
      </c>
      <c r="I34" s="25">
        <v>0.99439999999999995</v>
      </c>
      <c r="J34" s="26">
        <v>178</v>
      </c>
      <c r="K34" s="27">
        <v>45981</v>
      </c>
      <c r="L34" s="26">
        <v>6</v>
      </c>
      <c r="M34" s="26">
        <v>0</v>
      </c>
      <c r="N34" s="26">
        <v>3</v>
      </c>
      <c r="O34" s="28" t="s">
        <v>78</v>
      </c>
      <c r="P34" s="29">
        <v>0.68055555555555547</v>
      </c>
      <c r="Q34" s="26">
        <v>179</v>
      </c>
      <c r="R34" s="30" t="s">
        <v>79</v>
      </c>
    </row>
    <row r="35" spans="1:18" ht="15" customHeight="1" x14ac:dyDescent="0.3">
      <c r="A35" s="31" t="s">
        <v>73</v>
      </c>
      <c r="B35" s="31" t="s">
        <v>80</v>
      </c>
      <c r="C35" s="32">
        <v>0.2361111111111111</v>
      </c>
      <c r="D35" s="31" t="s">
        <v>81</v>
      </c>
      <c r="E35" s="33"/>
      <c r="F35" s="31" t="s">
        <v>82</v>
      </c>
      <c r="G35" s="114"/>
      <c r="H35" s="34" t="s">
        <v>80</v>
      </c>
      <c r="I35" s="35">
        <v>1</v>
      </c>
      <c r="J35" s="36">
        <v>179</v>
      </c>
      <c r="K35" s="37">
        <v>45981</v>
      </c>
      <c r="L35" s="36">
        <v>9</v>
      </c>
      <c r="M35" s="36">
        <v>0</v>
      </c>
      <c r="N35" s="36">
        <v>9</v>
      </c>
      <c r="O35" s="38" t="s">
        <v>83</v>
      </c>
      <c r="P35" s="39">
        <v>0.2361111111111111</v>
      </c>
      <c r="Q35" s="36">
        <v>179</v>
      </c>
      <c r="R35" s="40" t="s">
        <v>84</v>
      </c>
    </row>
    <row r="36" spans="1:18" ht="15" customHeight="1" x14ac:dyDescent="0.3">
      <c r="A36" s="41" t="s">
        <v>73</v>
      </c>
      <c r="B36" s="41" t="s">
        <v>85</v>
      </c>
      <c r="C36" s="42">
        <v>0.33333333333333331</v>
      </c>
      <c r="D36" s="41" t="s">
        <v>81</v>
      </c>
      <c r="E36" s="43"/>
      <c r="F36" s="41" t="s">
        <v>82</v>
      </c>
      <c r="G36" s="114"/>
      <c r="H36" s="44" t="s">
        <v>85</v>
      </c>
      <c r="I36" s="45">
        <v>1</v>
      </c>
      <c r="J36" s="46">
        <v>179</v>
      </c>
      <c r="K36" s="47">
        <v>45979</v>
      </c>
      <c r="L36" s="46">
        <v>4</v>
      </c>
      <c r="M36" s="46">
        <v>0</v>
      </c>
      <c r="N36" s="46">
        <v>0</v>
      </c>
      <c r="O36" s="48" t="s">
        <v>83</v>
      </c>
      <c r="P36" s="49">
        <v>0.33333333333333331</v>
      </c>
      <c r="Q36" s="46">
        <v>179</v>
      </c>
      <c r="R36" s="50" t="s">
        <v>86</v>
      </c>
    </row>
    <row r="37" spans="1:18" ht="15" customHeight="1" x14ac:dyDescent="0.3">
      <c r="A37" s="18" t="s">
        <v>87</v>
      </c>
      <c r="B37" s="18" t="s">
        <v>88</v>
      </c>
      <c r="C37" s="19">
        <v>0.37847222222222232</v>
      </c>
      <c r="D37" s="18" t="s">
        <v>89</v>
      </c>
      <c r="E37" s="18" t="s">
        <v>90</v>
      </c>
      <c r="F37" s="18" t="s">
        <v>91</v>
      </c>
      <c r="G37" s="114"/>
      <c r="H37" s="11"/>
      <c r="I37" s="12"/>
      <c r="J37" s="12"/>
      <c r="K37" s="12"/>
      <c r="L37" s="12"/>
      <c r="M37" s="12"/>
      <c r="N37" s="12"/>
      <c r="O37" s="13"/>
      <c r="P37" s="12"/>
      <c r="Q37" s="14"/>
      <c r="R37" s="15"/>
    </row>
    <row r="38" spans="1:18" ht="15" customHeight="1" x14ac:dyDescent="0.3">
      <c r="A38" s="20" t="s">
        <v>87</v>
      </c>
      <c r="B38" s="20" t="s">
        <v>88</v>
      </c>
      <c r="C38" s="21">
        <v>0.37847222222222232</v>
      </c>
      <c r="D38" s="20" t="s">
        <v>92</v>
      </c>
      <c r="E38" s="20" t="s">
        <v>93</v>
      </c>
      <c r="F38" s="20" t="s">
        <v>94</v>
      </c>
      <c r="G38" s="114"/>
      <c r="H38" s="11"/>
      <c r="I38" s="12"/>
      <c r="J38" s="12"/>
      <c r="K38" s="12"/>
      <c r="L38" s="12"/>
      <c r="M38" s="12"/>
      <c r="N38" s="12"/>
      <c r="O38" s="13"/>
      <c r="P38" s="12"/>
      <c r="Q38" s="14"/>
      <c r="R38" s="15"/>
    </row>
    <row r="39" spans="1:18" ht="15" customHeight="1" x14ac:dyDescent="0.3">
      <c r="A39" s="16" t="s">
        <v>87</v>
      </c>
      <c r="B39" s="16" t="s">
        <v>95</v>
      </c>
      <c r="C39" s="17">
        <v>0.71875</v>
      </c>
      <c r="D39" s="16" t="s">
        <v>89</v>
      </c>
      <c r="E39" s="16" t="s">
        <v>96</v>
      </c>
      <c r="F39" s="16" t="s">
        <v>91</v>
      </c>
      <c r="G39" s="114"/>
      <c r="H39" s="11"/>
      <c r="I39" s="12"/>
      <c r="J39" s="12"/>
      <c r="K39" s="12"/>
      <c r="L39" s="12"/>
      <c r="M39" s="12"/>
      <c r="N39" s="12"/>
      <c r="O39" s="13"/>
      <c r="P39" s="12"/>
      <c r="Q39" s="14"/>
      <c r="R39" s="15"/>
    </row>
    <row r="40" spans="1:18" ht="15" customHeight="1" x14ac:dyDescent="0.3">
      <c r="A40" s="20" t="s">
        <v>87</v>
      </c>
      <c r="B40" s="20" t="s">
        <v>95</v>
      </c>
      <c r="C40" s="21">
        <v>0.71875</v>
      </c>
      <c r="D40" s="20" t="s">
        <v>92</v>
      </c>
      <c r="E40" s="20" t="s">
        <v>97</v>
      </c>
      <c r="F40" s="20" t="s">
        <v>94</v>
      </c>
      <c r="G40" s="114"/>
      <c r="H40" s="11"/>
      <c r="I40" s="12"/>
      <c r="J40" s="12"/>
      <c r="K40" s="12"/>
      <c r="L40" s="12"/>
      <c r="M40" s="12"/>
      <c r="N40" s="12"/>
      <c r="O40" s="13"/>
      <c r="P40" s="12"/>
      <c r="Q40" s="14"/>
      <c r="R40" s="15"/>
    </row>
    <row r="41" spans="1:18" ht="15" customHeight="1" x14ac:dyDescent="0.3">
      <c r="A41" s="16" t="s">
        <v>87</v>
      </c>
      <c r="B41" s="16" t="s">
        <v>98</v>
      </c>
      <c r="C41" s="17">
        <v>0.24305555555555561</v>
      </c>
      <c r="D41" s="16" t="s">
        <v>89</v>
      </c>
      <c r="E41" s="16" t="s">
        <v>32</v>
      </c>
      <c r="F41" s="16" t="s">
        <v>91</v>
      </c>
      <c r="G41" s="114"/>
      <c r="H41" s="11"/>
      <c r="I41" s="12"/>
      <c r="J41" s="12"/>
      <c r="K41" s="12"/>
      <c r="L41" s="12"/>
      <c r="M41" s="12"/>
      <c r="N41" s="12"/>
      <c r="O41" s="13"/>
      <c r="P41" s="12"/>
      <c r="Q41" s="14"/>
      <c r="R41" s="15"/>
    </row>
    <row r="42" spans="1:18" ht="15" customHeight="1" x14ac:dyDescent="0.3">
      <c r="A42" s="20" t="s">
        <v>87</v>
      </c>
      <c r="B42" s="20" t="s">
        <v>98</v>
      </c>
      <c r="C42" s="21">
        <v>0.24305555555555561</v>
      </c>
      <c r="D42" s="20" t="s">
        <v>92</v>
      </c>
      <c r="E42" s="20" t="s">
        <v>44</v>
      </c>
      <c r="F42" s="20" t="s">
        <v>94</v>
      </c>
      <c r="G42" s="114"/>
      <c r="H42" s="11"/>
      <c r="I42" s="12"/>
      <c r="J42" s="12"/>
      <c r="K42" s="12"/>
      <c r="L42" s="12"/>
      <c r="M42" s="12"/>
      <c r="N42" s="12"/>
      <c r="O42" s="13"/>
      <c r="P42" s="12"/>
      <c r="Q42" s="14"/>
      <c r="R42" s="15"/>
    </row>
    <row r="43" spans="1:18" ht="15" customHeight="1" x14ac:dyDescent="0.3">
      <c r="A43" s="16" t="s">
        <v>87</v>
      </c>
      <c r="B43" s="16" t="s">
        <v>99</v>
      </c>
      <c r="C43" s="17">
        <v>0.1423611111111111</v>
      </c>
      <c r="D43" s="16" t="s">
        <v>89</v>
      </c>
      <c r="E43" s="16" t="s">
        <v>100</v>
      </c>
      <c r="F43" s="16" t="s">
        <v>91</v>
      </c>
      <c r="G43" s="114"/>
      <c r="H43" s="11"/>
      <c r="I43" s="12"/>
      <c r="J43" s="12"/>
      <c r="K43" s="12"/>
      <c r="L43" s="12"/>
      <c r="M43" s="12"/>
      <c r="N43" s="12"/>
      <c r="O43" s="13"/>
      <c r="P43" s="12"/>
      <c r="Q43" s="14"/>
      <c r="R43" s="15"/>
    </row>
    <row r="44" spans="1:18" ht="15" customHeight="1" x14ac:dyDescent="0.3">
      <c r="A44" s="20" t="s">
        <v>87</v>
      </c>
      <c r="B44" s="20" t="s">
        <v>99</v>
      </c>
      <c r="C44" s="21">
        <v>0.1423611111111111</v>
      </c>
      <c r="D44" s="20" t="s">
        <v>92</v>
      </c>
      <c r="E44" s="20" t="s">
        <v>93</v>
      </c>
      <c r="F44" s="20" t="s">
        <v>94</v>
      </c>
      <c r="G44" s="114"/>
      <c r="H44" s="11"/>
      <c r="I44" s="12"/>
      <c r="J44" s="12"/>
      <c r="K44" s="12"/>
      <c r="L44" s="12"/>
      <c r="M44" s="12"/>
      <c r="N44" s="12"/>
      <c r="O44" s="13"/>
      <c r="P44" s="12"/>
      <c r="Q44" s="14"/>
      <c r="R44" s="15"/>
    </row>
    <row r="45" spans="1:18" ht="15" customHeight="1" x14ac:dyDescent="0.3">
      <c r="A45" s="16" t="s">
        <v>87</v>
      </c>
      <c r="B45" s="16" t="s">
        <v>101</v>
      </c>
      <c r="C45" s="17">
        <v>0.93055555555555547</v>
      </c>
      <c r="D45" s="16" t="s">
        <v>89</v>
      </c>
      <c r="E45" s="16" t="s">
        <v>100</v>
      </c>
      <c r="F45" s="16" t="s">
        <v>91</v>
      </c>
      <c r="G45" s="114"/>
      <c r="H45" s="11"/>
      <c r="I45" s="12"/>
      <c r="J45" s="12"/>
      <c r="K45" s="12"/>
      <c r="L45" s="12"/>
      <c r="M45" s="12"/>
      <c r="N45" s="12"/>
      <c r="O45" s="13"/>
      <c r="P45" s="12"/>
      <c r="Q45" s="14"/>
      <c r="R45" s="15"/>
    </row>
    <row r="46" spans="1:18" ht="15" customHeight="1" x14ac:dyDescent="0.3">
      <c r="A46" s="20" t="s">
        <v>87</v>
      </c>
      <c r="B46" s="20" t="s">
        <v>101</v>
      </c>
      <c r="C46" s="21">
        <v>0.93055555555555547</v>
      </c>
      <c r="D46" s="20" t="s">
        <v>92</v>
      </c>
      <c r="E46" s="20" t="s">
        <v>93</v>
      </c>
      <c r="F46" s="20" t="s">
        <v>94</v>
      </c>
      <c r="G46" s="114"/>
      <c r="H46" s="11"/>
      <c r="I46" s="12"/>
      <c r="J46" s="12"/>
      <c r="K46" s="12"/>
      <c r="L46" s="12"/>
      <c r="M46" s="12"/>
      <c r="N46" s="12"/>
      <c r="O46" s="13"/>
      <c r="P46" s="12"/>
      <c r="Q46" s="14"/>
      <c r="R46" s="15"/>
    </row>
    <row r="47" spans="1:18" ht="15" customHeight="1" x14ac:dyDescent="0.3">
      <c r="A47" s="16" t="s">
        <v>87</v>
      </c>
      <c r="B47" s="16" t="s">
        <v>102</v>
      </c>
      <c r="C47" s="17">
        <v>6.9444444444444441E-3</v>
      </c>
      <c r="D47" s="16" t="s">
        <v>89</v>
      </c>
      <c r="E47" s="16" t="s">
        <v>100</v>
      </c>
      <c r="F47" s="16" t="s">
        <v>103</v>
      </c>
      <c r="G47" s="114"/>
      <c r="H47" s="11"/>
      <c r="I47" s="12"/>
      <c r="J47" s="12"/>
      <c r="K47" s="12"/>
      <c r="L47" s="12"/>
      <c r="M47" s="12"/>
      <c r="N47" s="12"/>
      <c r="O47" s="13"/>
      <c r="P47" s="12"/>
      <c r="Q47" s="14"/>
      <c r="R47" s="15"/>
    </row>
    <row r="48" spans="1:18" ht="15" customHeight="1" x14ac:dyDescent="0.3">
      <c r="A48" s="20" t="s">
        <v>87</v>
      </c>
      <c r="B48" s="20" t="s">
        <v>102</v>
      </c>
      <c r="C48" s="21">
        <v>6.9444444444444441E-3</v>
      </c>
      <c r="D48" s="20" t="s">
        <v>92</v>
      </c>
      <c r="E48" s="20" t="s">
        <v>93</v>
      </c>
      <c r="F48" s="20" t="s">
        <v>104</v>
      </c>
      <c r="G48" s="114"/>
      <c r="H48" s="11"/>
      <c r="I48" s="12"/>
      <c r="J48" s="12"/>
      <c r="K48" s="12"/>
      <c r="L48" s="12"/>
      <c r="M48" s="12"/>
      <c r="N48" s="12"/>
      <c r="O48" s="13"/>
      <c r="P48" s="12"/>
      <c r="Q48" s="14"/>
      <c r="R48" s="15"/>
    </row>
    <row r="49" spans="1:18" ht="15" customHeight="1" x14ac:dyDescent="0.3">
      <c r="A49" s="16" t="s">
        <v>87</v>
      </c>
      <c r="B49" s="16" t="s">
        <v>105</v>
      </c>
      <c r="C49" s="17">
        <v>0.88888888888888884</v>
      </c>
      <c r="D49" s="16" t="s">
        <v>92</v>
      </c>
      <c r="E49" s="16" t="s">
        <v>106</v>
      </c>
      <c r="F49" s="16" t="s">
        <v>107</v>
      </c>
      <c r="G49" s="114"/>
      <c r="H49" s="11"/>
      <c r="I49" s="12"/>
      <c r="J49" s="12"/>
      <c r="K49" s="12"/>
      <c r="L49" s="12"/>
      <c r="M49" s="12"/>
      <c r="N49" s="12"/>
      <c r="O49" s="13"/>
      <c r="P49" s="12"/>
      <c r="Q49" s="14"/>
      <c r="R49" s="15"/>
    </row>
    <row r="50" spans="1:18" ht="15" customHeight="1" x14ac:dyDescent="0.3">
      <c r="A50" s="16" t="s">
        <v>87</v>
      </c>
      <c r="B50" s="16" t="s">
        <v>108</v>
      </c>
      <c r="C50" s="17">
        <v>0.61111111111111105</v>
      </c>
      <c r="D50" s="16" t="s">
        <v>89</v>
      </c>
      <c r="E50" s="16" t="s">
        <v>100</v>
      </c>
      <c r="F50" s="16" t="s">
        <v>109</v>
      </c>
      <c r="G50" s="114"/>
      <c r="H50" s="11"/>
      <c r="I50" s="12"/>
      <c r="J50" s="12"/>
      <c r="K50" s="12"/>
      <c r="L50" s="12"/>
      <c r="M50" s="12"/>
      <c r="N50" s="12"/>
      <c r="O50" s="13"/>
      <c r="P50" s="12"/>
      <c r="Q50" s="14"/>
      <c r="R50" s="15"/>
    </row>
    <row r="51" spans="1:18" ht="15" customHeight="1" x14ac:dyDescent="0.3">
      <c r="A51" s="20" t="s">
        <v>87</v>
      </c>
      <c r="B51" s="20" t="s">
        <v>108</v>
      </c>
      <c r="C51" s="21">
        <v>0.61111111111111105</v>
      </c>
      <c r="D51" s="20" t="s">
        <v>92</v>
      </c>
      <c r="E51" s="20" t="s">
        <v>93</v>
      </c>
      <c r="F51" s="20" t="s">
        <v>110</v>
      </c>
      <c r="G51" s="114"/>
      <c r="H51" s="11"/>
      <c r="I51" s="12"/>
      <c r="J51" s="12"/>
      <c r="K51" s="12"/>
      <c r="L51" s="12"/>
      <c r="M51" s="12"/>
      <c r="N51" s="12"/>
      <c r="O51" s="13"/>
      <c r="P51" s="12"/>
      <c r="Q51" s="14"/>
      <c r="R51" s="15"/>
    </row>
    <row r="52" spans="1:18" ht="15" customHeight="1" x14ac:dyDescent="0.3">
      <c r="A52" s="16" t="s">
        <v>87</v>
      </c>
      <c r="B52" s="16" t="s">
        <v>111</v>
      </c>
      <c r="C52" s="17">
        <v>0.82986111111111116</v>
      </c>
      <c r="D52" s="16" t="s">
        <v>89</v>
      </c>
      <c r="E52" s="16" t="s">
        <v>100</v>
      </c>
      <c r="F52" s="16" t="s">
        <v>109</v>
      </c>
      <c r="G52" s="114"/>
      <c r="H52" s="11"/>
      <c r="I52" s="12"/>
      <c r="J52" s="12"/>
      <c r="K52" s="12"/>
      <c r="L52" s="12"/>
      <c r="M52" s="12"/>
      <c r="N52" s="12"/>
      <c r="O52" s="13"/>
      <c r="P52" s="12"/>
      <c r="Q52" s="14"/>
      <c r="R52" s="15"/>
    </row>
    <row r="53" spans="1:18" ht="15" customHeight="1" x14ac:dyDescent="0.3">
      <c r="A53" s="20" t="s">
        <v>87</v>
      </c>
      <c r="B53" s="20" t="s">
        <v>111</v>
      </c>
      <c r="C53" s="21">
        <v>0.82986111111111116</v>
      </c>
      <c r="D53" s="20" t="s">
        <v>92</v>
      </c>
      <c r="E53" s="20" t="s">
        <v>93</v>
      </c>
      <c r="F53" s="20" t="s">
        <v>110</v>
      </c>
      <c r="G53" s="114"/>
      <c r="H53" s="11"/>
      <c r="I53" s="12"/>
      <c r="J53" s="12"/>
      <c r="K53" s="12"/>
      <c r="L53" s="12"/>
      <c r="M53" s="12"/>
      <c r="N53" s="12"/>
      <c r="O53" s="13"/>
      <c r="P53" s="12"/>
      <c r="Q53" s="14"/>
      <c r="R53" s="15"/>
    </row>
    <row r="54" spans="1:18" ht="15" customHeight="1" x14ac:dyDescent="0.3">
      <c r="A54" s="16" t="s">
        <v>87</v>
      </c>
      <c r="B54" s="16" t="s">
        <v>112</v>
      </c>
      <c r="C54" s="17">
        <v>0.30208333333333331</v>
      </c>
      <c r="D54" s="16" t="s">
        <v>92</v>
      </c>
      <c r="E54" s="16" t="s">
        <v>106</v>
      </c>
      <c r="F54" s="16" t="s">
        <v>113</v>
      </c>
      <c r="G54" s="114"/>
      <c r="H54" s="11"/>
      <c r="I54" s="12"/>
      <c r="J54" s="12"/>
      <c r="K54" s="12"/>
      <c r="L54" s="12"/>
      <c r="M54" s="12"/>
      <c r="N54" s="12"/>
      <c r="O54" s="13"/>
      <c r="P54" s="12"/>
      <c r="Q54" s="14"/>
      <c r="R54" s="15"/>
    </row>
    <row r="55" spans="1:18" ht="15" customHeight="1" x14ac:dyDescent="0.3">
      <c r="A55" s="16" t="s">
        <v>87</v>
      </c>
      <c r="B55" s="16" t="s">
        <v>114</v>
      </c>
      <c r="C55" s="17">
        <v>0.12847222222222221</v>
      </c>
      <c r="D55" s="16" t="s">
        <v>92</v>
      </c>
      <c r="E55" s="16" t="s">
        <v>106</v>
      </c>
      <c r="F55" s="16" t="s">
        <v>113</v>
      </c>
      <c r="G55" s="114"/>
      <c r="H55" s="11"/>
      <c r="I55" s="12"/>
      <c r="J55" s="12"/>
      <c r="K55" s="12"/>
      <c r="L55" s="12"/>
      <c r="M55" s="12"/>
      <c r="N55" s="12"/>
      <c r="O55" s="13"/>
      <c r="P55" s="12"/>
      <c r="Q55" s="14"/>
      <c r="R55" s="15"/>
    </row>
    <row r="56" spans="1:18" ht="15" customHeight="1" x14ac:dyDescent="0.3">
      <c r="A56" s="16" t="s">
        <v>87</v>
      </c>
      <c r="B56" s="16" t="s">
        <v>115</v>
      </c>
      <c r="C56" s="17">
        <v>0.78819444444444453</v>
      </c>
      <c r="D56" s="16" t="s">
        <v>92</v>
      </c>
      <c r="E56" s="16" t="s">
        <v>106</v>
      </c>
      <c r="F56" s="16" t="s">
        <v>113</v>
      </c>
      <c r="G56" s="114"/>
      <c r="H56" s="11"/>
      <c r="I56" s="12"/>
      <c r="J56" s="12"/>
      <c r="K56" s="12"/>
      <c r="L56" s="12"/>
      <c r="M56" s="12"/>
      <c r="N56" s="12"/>
      <c r="O56" s="13"/>
      <c r="P56" s="12"/>
      <c r="Q56" s="14"/>
      <c r="R56" s="15"/>
    </row>
    <row r="57" spans="1:18" ht="15" customHeight="1" x14ac:dyDescent="0.3">
      <c r="A57" s="18" t="s">
        <v>116</v>
      </c>
      <c r="B57" s="18" t="s">
        <v>117</v>
      </c>
      <c r="C57" s="19">
        <v>0.27777777777777779</v>
      </c>
      <c r="D57" s="18" t="s">
        <v>118</v>
      </c>
      <c r="E57" s="18" t="s">
        <v>90</v>
      </c>
      <c r="F57" s="18" t="s">
        <v>119</v>
      </c>
      <c r="G57" s="114"/>
      <c r="H57" s="11"/>
      <c r="I57" s="12"/>
      <c r="J57" s="12"/>
      <c r="K57" s="12"/>
      <c r="L57" s="12"/>
      <c r="M57" s="12"/>
      <c r="N57" s="12"/>
      <c r="O57" s="13"/>
      <c r="P57" s="12"/>
      <c r="Q57" s="14"/>
      <c r="R57" s="15"/>
    </row>
    <row r="58" spans="1:18" ht="15" customHeight="1" x14ac:dyDescent="0.3">
      <c r="A58" s="16" t="s">
        <v>116</v>
      </c>
      <c r="B58" s="16" t="s">
        <v>120</v>
      </c>
      <c r="C58" s="17">
        <v>0.22916666666666671</v>
      </c>
      <c r="D58" s="16" t="s">
        <v>118</v>
      </c>
      <c r="E58" s="16" t="s">
        <v>100</v>
      </c>
      <c r="F58" s="16" t="s">
        <v>119</v>
      </c>
      <c r="G58" s="114"/>
      <c r="H58" s="11"/>
      <c r="I58" s="12"/>
      <c r="J58" s="12"/>
      <c r="K58" s="12"/>
      <c r="L58" s="12"/>
      <c r="M58" s="12"/>
      <c r="N58" s="12"/>
      <c r="O58" s="13"/>
      <c r="P58" s="12"/>
      <c r="Q58" s="14"/>
      <c r="R58" s="15"/>
    </row>
    <row r="59" spans="1:18" ht="15" customHeight="1" x14ac:dyDescent="0.3">
      <c r="A59" s="16" t="s">
        <v>116</v>
      </c>
      <c r="B59" s="16" t="s">
        <v>121</v>
      </c>
      <c r="C59" s="17">
        <v>2.0833333333333329E-2</v>
      </c>
      <c r="D59" s="16" t="s">
        <v>118</v>
      </c>
      <c r="E59" s="16" t="s">
        <v>100</v>
      </c>
      <c r="F59" s="16" t="s">
        <v>122</v>
      </c>
      <c r="G59" s="114"/>
      <c r="H59" s="11"/>
      <c r="I59" s="12"/>
      <c r="J59" s="12"/>
      <c r="K59" s="12"/>
      <c r="L59" s="12"/>
      <c r="M59" s="12"/>
      <c r="N59" s="12"/>
      <c r="O59" s="13"/>
      <c r="P59" s="12"/>
      <c r="Q59" s="14"/>
      <c r="R59" s="15"/>
    </row>
    <row r="60" spans="1:18" ht="15" customHeight="1" x14ac:dyDescent="0.3">
      <c r="A60" s="16" t="s">
        <v>116</v>
      </c>
      <c r="B60" s="16" t="s">
        <v>123</v>
      </c>
      <c r="C60" s="17">
        <v>0.4861111111111111</v>
      </c>
      <c r="D60" s="16" t="s">
        <v>118</v>
      </c>
      <c r="E60" s="16" t="s">
        <v>54</v>
      </c>
      <c r="F60" s="16" t="s">
        <v>124</v>
      </c>
      <c r="G60" s="114"/>
      <c r="H60" s="11"/>
      <c r="I60" s="12"/>
      <c r="J60" s="12"/>
      <c r="K60" s="12"/>
      <c r="L60" s="12"/>
      <c r="M60" s="12"/>
      <c r="N60" s="12"/>
      <c r="O60" s="13"/>
      <c r="P60" s="12"/>
      <c r="Q60" s="14"/>
      <c r="R60" s="15"/>
    </row>
    <row r="61" spans="1:18" ht="15" customHeight="1" x14ac:dyDescent="0.3">
      <c r="A61" s="16" t="s">
        <v>116</v>
      </c>
      <c r="B61" s="16" t="s">
        <v>125</v>
      </c>
      <c r="C61" s="17">
        <v>0.14583333333333329</v>
      </c>
      <c r="D61" s="16" t="s">
        <v>118</v>
      </c>
      <c r="E61" s="16" t="s">
        <v>126</v>
      </c>
      <c r="F61" s="16" t="s">
        <v>124</v>
      </c>
      <c r="G61" s="114"/>
      <c r="H61" s="11"/>
      <c r="I61" s="12"/>
      <c r="J61" s="12"/>
      <c r="K61" s="12"/>
      <c r="L61" s="12"/>
      <c r="M61" s="12"/>
      <c r="N61" s="12"/>
      <c r="O61" s="13"/>
      <c r="P61" s="12"/>
      <c r="Q61" s="14"/>
      <c r="R61" s="15"/>
    </row>
    <row r="62" spans="1:18" ht="15" customHeight="1" x14ac:dyDescent="0.3">
      <c r="A62" s="16" t="s">
        <v>116</v>
      </c>
      <c r="B62" s="16" t="s">
        <v>127</v>
      </c>
      <c r="C62" s="17">
        <v>0.95833333333333337</v>
      </c>
      <c r="D62" s="16" t="s">
        <v>118</v>
      </c>
      <c r="E62" s="16" t="s">
        <v>106</v>
      </c>
      <c r="F62" s="16" t="s">
        <v>124</v>
      </c>
      <c r="G62" s="114"/>
      <c r="H62" s="11"/>
      <c r="I62" s="12"/>
      <c r="J62" s="12"/>
      <c r="K62" s="12"/>
      <c r="L62" s="12"/>
      <c r="M62" s="12"/>
      <c r="N62" s="12"/>
      <c r="O62" s="13"/>
      <c r="P62" s="12"/>
      <c r="Q62" s="14"/>
      <c r="R62" s="15"/>
    </row>
    <row r="63" spans="1:18" ht="15" customHeight="1" x14ac:dyDescent="0.3">
      <c r="A63" s="51" t="s">
        <v>116</v>
      </c>
      <c r="B63" s="51" t="s">
        <v>128</v>
      </c>
      <c r="C63" s="52">
        <v>0.54166666666666663</v>
      </c>
      <c r="D63" s="51" t="s">
        <v>118</v>
      </c>
      <c r="E63" s="51" t="s">
        <v>54</v>
      </c>
      <c r="F63" s="51" t="s">
        <v>129</v>
      </c>
      <c r="G63" s="115"/>
      <c r="H63" s="53"/>
      <c r="I63" s="54"/>
      <c r="J63" s="54"/>
      <c r="K63" s="54"/>
      <c r="L63" s="54"/>
      <c r="M63" s="54"/>
      <c r="N63" s="54"/>
      <c r="O63" s="55"/>
      <c r="P63" s="54"/>
      <c r="Q63" s="56"/>
      <c r="R63" s="57"/>
    </row>
  </sheetData>
  <mergeCells count="10">
    <mergeCell ref="A4:F4"/>
    <mergeCell ref="G6:G63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"/>
  <sheetViews>
    <sheetView workbookViewId="0"/>
  </sheetViews>
  <sheetFormatPr defaultRowHeight="15.6" outlineLevelCol="1" x14ac:dyDescent="0.3"/>
  <cols>
    <col min="1" max="1" width="9.77734375" style="120" bestFit="1" customWidth="1"/>
    <col min="2" max="2" width="10.44140625" style="120" bestFit="1" customWidth="1"/>
    <col min="3" max="3" width="6.77734375" style="120" bestFit="1" customWidth="1"/>
    <col min="4" max="4" width="5.5546875" style="120" bestFit="1" customWidth="1"/>
    <col min="5" max="5" width="7.5546875" style="120" bestFit="1" customWidth="1"/>
    <col min="6" max="6" width="4.21875" style="120" bestFit="1" customWidth="1"/>
    <col min="7" max="7" width="10" style="120" bestFit="1" customWidth="1"/>
    <col min="8" max="10" width="7" style="120" bestFit="1" customWidth="1"/>
    <col min="11" max="11" width="10.5546875" style="120" bestFit="1" customWidth="1"/>
    <col min="12" max="12" width="9.109375" style="120" bestFit="1" customWidth="1"/>
    <col min="13" max="13" width="7.6640625" style="120" bestFit="1" customWidth="1" outlineLevel="1"/>
    <col min="14" max="14" width="6.33203125" style="120" bestFit="1" customWidth="1" outlineLevel="1"/>
    <col min="15" max="15" width="8" style="120" bestFit="1" customWidth="1" outlineLevel="1"/>
    <col min="16" max="16" width="13.6640625" style="120" bestFit="1" customWidth="1"/>
    <col min="17" max="24" width="3.88671875" style="120" bestFit="1" customWidth="1"/>
    <col min="25" max="25" width="4.44140625" style="120" bestFit="1" customWidth="1"/>
    <col min="26" max="26" width="4.109375" style="120" bestFit="1" customWidth="1"/>
    <col min="27" max="27" width="5" style="120" bestFit="1" customWidth="1"/>
    <col min="28" max="29" width="4.21875" style="120" bestFit="1" customWidth="1"/>
    <col min="30" max="31" width="4.5546875" style="120" bestFit="1" customWidth="1"/>
    <col min="32" max="32" width="3.88671875" style="120" bestFit="1" customWidth="1"/>
    <col min="33" max="33" width="4.21875" style="120" bestFit="1" customWidth="1"/>
    <col min="34" max="34" width="3.88671875" style="120" bestFit="1" customWidth="1"/>
    <col min="35" max="35" width="5.21875" style="120" bestFit="1" customWidth="1"/>
    <col min="36" max="36" width="3.88671875" style="120" bestFit="1" customWidth="1"/>
    <col min="37" max="16384" width="8.88671875" style="120"/>
  </cols>
  <sheetData>
    <row r="1" spans="1:36" x14ac:dyDescent="0.3">
      <c r="A1" s="119" t="s">
        <v>130</v>
      </c>
      <c r="B1" s="119" t="s">
        <v>131</v>
      </c>
      <c r="C1" s="119" t="s">
        <v>132</v>
      </c>
      <c r="D1" s="119" t="s">
        <v>23</v>
      </c>
      <c r="E1" s="119" t="s">
        <v>133</v>
      </c>
      <c r="F1" s="119" t="s">
        <v>134</v>
      </c>
      <c r="G1" s="119" t="s">
        <v>16</v>
      </c>
      <c r="H1" s="119" t="s">
        <v>135</v>
      </c>
      <c r="I1" s="119" t="s">
        <v>136</v>
      </c>
      <c r="J1" s="119" t="s">
        <v>137</v>
      </c>
      <c r="K1" s="119" t="s">
        <v>138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139</v>
      </c>
      <c r="R1" s="119" t="s">
        <v>140</v>
      </c>
      <c r="S1" s="119" t="s">
        <v>141</v>
      </c>
      <c r="T1" s="119" t="s">
        <v>142</v>
      </c>
      <c r="U1" s="119" t="s">
        <v>143</v>
      </c>
      <c r="V1" s="119" t="s">
        <v>144</v>
      </c>
      <c r="W1" s="119" t="s">
        <v>145</v>
      </c>
      <c r="X1" s="119" t="s">
        <v>146</v>
      </c>
      <c r="Y1" s="119" t="s">
        <v>147</v>
      </c>
      <c r="Z1" s="119" t="s">
        <v>148</v>
      </c>
      <c r="AA1" s="119" t="s">
        <v>149</v>
      </c>
      <c r="AB1" s="119" t="s">
        <v>150</v>
      </c>
      <c r="AC1" s="119" t="s">
        <v>151</v>
      </c>
      <c r="AD1" s="119" t="s">
        <v>152</v>
      </c>
      <c r="AE1" s="119" t="s">
        <v>153</v>
      </c>
      <c r="AF1" s="119" t="s">
        <v>154</v>
      </c>
      <c r="AG1" s="119" t="s">
        <v>155</v>
      </c>
      <c r="AH1" s="119" t="s">
        <v>156</v>
      </c>
      <c r="AI1" s="119" t="s">
        <v>157</v>
      </c>
      <c r="AJ1" s="119" t="s">
        <v>158</v>
      </c>
    </row>
    <row r="2" spans="1:36" x14ac:dyDescent="0.3">
      <c r="A2" s="121" t="s">
        <v>159</v>
      </c>
      <c r="B2" s="122">
        <v>45983</v>
      </c>
      <c r="C2" s="123" t="s">
        <v>80</v>
      </c>
      <c r="D2" s="124" t="s">
        <v>160</v>
      </c>
      <c r="E2" s="123" t="s">
        <v>1</v>
      </c>
      <c r="F2" s="123" t="s">
        <v>161</v>
      </c>
      <c r="G2" s="125">
        <v>1</v>
      </c>
      <c r="H2" s="126">
        <v>179</v>
      </c>
      <c r="I2" s="126">
        <v>179</v>
      </c>
      <c r="J2" s="126">
        <v>50</v>
      </c>
      <c r="K2" s="123" t="s">
        <v>162</v>
      </c>
      <c r="L2" s="127">
        <v>45981</v>
      </c>
      <c r="M2" s="126">
        <v>0</v>
      </c>
      <c r="N2" s="126">
        <v>9</v>
      </c>
      <c r="O2" s="126">
        <v>9</v>
      </c>
      <c r="P2" s="123" t="s">
        <v>83</v>
      </c>
      <c r="Q2" s="119"/>
      <c r="R2" s="119"/>
      <c r="S2" s="119"/>
      <c r="T2" s="119"/>
      <c r="U2" s="119"/>
      <c r="V2" s="119"/>
      <c r="W2" s="126" t="s">
        <v>163</v>
      </c>
      <c r="X2" s="119"/>
      <c r="Y2" s="126" t="s">
        <v>164</v>
      </c>
      <c r="Z2" s="126" t="s">
        <v>165</v>
      </c>
      <c r="AA2" s="126" t="s">
        <v>166</v>
      </c>
      <c r="AB2" s="126" t="s">
        <v>167</v>
      </c>
      <c r="AC2" s="126" t="s">
        <v>168</v>
      </c>
      <c r="AD2" s="126" t="s">
        <v>169</v>
      </c>
      <c r="AE2" s="126" t="s">
        <v>170</v>
      </c>
      <c r="AF2" s="126" t="s">
        <v>171</v>
      </c>
      <c r="AG2" s="119"/>
      <c r="AH2" s="119"/>
      <c r="AI2" s="126" t="s">
        <v>172</v>
      </c>
      <c r="AJ2" s="119"/>
    </row>
    <row r="3" spans="1:36" x14ac:dyDescent="0.3">
      <c r="A3" s="121" t="s">
        <v>159</v>
      </c>
      <c r="B3" s="122">
        <v>45983</v>
      </c>
      <c r="C3" s="123" t="s">
        <v>85</v>
      </c>
      <c r="D3" s="124" t="s">
        <v>173</v>
      </c>
      <c r="E3" s="123" t="s">
        <v>1</v>
      </c>
      <c r="F3" s="123" t="s">
        <v>161</v>
      </c>
      <c r="G3" s="125">
        <v>1</v>
      </c>
      <c r="H3" s="126">
        <v>179</v>
      </c>
      <c r="I3" s="126">
        <v>179</v>
      </c>
      <c r="J3" s="126">
        <v>134</v>
      </c>
      <c r="K3" s="123" t="s">
        <v>162</v>
      </c>
      <c r="L3" s="127">
        <v>45979</v>
      </c>
      <c r="M3" s="126">
        <v>0</v>
      </c>
      <c r="N3" s="126">
        <v>0</v>
      </c>
      <c r="O3" s="126">
        <v>4</v>
      </c>
      <c r="P3" s="123" t="s">
        <v>83</v>
      </c>
      <c r="Q3" s="119"/>
      <c r="R3" s="119"/>
      <c r="S3" s="119"/>
      <c r="T3" s="119"/>
      <c r="U3" s="119"/>
      <c r="V3" s="126" t="s">
        <v>174</v>
      </c>
      <c r="W3" s="119"/>
      <c r="X3" s="126" t="s">
        <v>175</v>
      </c>
      <c r="Y3" s="119"/>
      <c r="Z3" s="126" t="s">
        <v>176</v>
      </c>
      <c r="AA3" s="126" t="s">
        <v>177</v>
      </c>
      <c r="AB3" s="119"/>
      <c r="AC3" s="119"/>
      <c r="AD3" s="119"/>
      <c r="AE3" s="119"/>
      <c r="AF3" s="119"/>
      <c r="AG3" s="119"/>
      <c r="AH3" s="119"/>
      <c r="AI3" s="126" t="s">
        <v>178</v>
      </c>
      <c r="AJ3" s="126" t="s">
        <v>179</v>
      </c>
    </row>
    <row r="4" spans="1:36" x14ac:dyDescent="0.3">
      <c r="A4" s="121" t="s">
        <v>159</v>
      </c>
      <c r="B4" s="122">
        <v>45983</v>
      </c>
      <c r="C4" s="123" t="s">
        <v>77</v>
      </c>
      <c r="D4" s="124" t="s">
        <v>180</v>
      </c>
      <c r="E4" s="123" t="s">
        <v>1</v>
      </c>
      <c r="F4" s="123" t="s">
        <v>161</v>
      </c>
      <c r="G4" s="125">
        <v>0.99439999999999995</v>
      </c>
      <c r="H4" s="126">
        <v>179</v>
      </c>
      <c r="I4" s="126">
        <v>178</v>
      </c>
      <c r="J4" s="126">
        <v>127</v>
      </c>
      <c r="K4" s="123" t="s">
        <v>162</v>
      </c>
      <c r="L4" s="127">
        <v>45981</v>
      </c>
      <c r="M4" s="126">
        <v>0</v>
      </c>
      <c r="N4" s="126">
        <v>3</v>
      </c>
      <c r="O4" s="126">
        <v>6</v>
      </c>
      <c r="P4" s="123" t="s">
        <v>78</v>
      </c>
      <c r="Q4" s="119"/>
      <c r="R4" s="119"/>
      <c r="S4" s="119"/>
      <c r="T4" s="119"/>
      <c r="U4" s="119"/>
      <c r="V4" s="126" t="s">
        <v>181</v>
      </c>
      <c r="W4" s="119"/>
      <c r="X4" s="119"/>
      <c r="Y4" s="126" t="s">
        <v>182</v>
      </c>
      <c r="Z4" s="126" t="s">
        <v>183</v>
      </c>
      <c r="AA4" s="126" t="s">
        <v>184</v>
      </c>
      <c r="AB4" s="126" t="s">
        <v>167</v>
      </c>
      <c r="AC4" s="126" t="s">
        <v>185</v>
      </c>
      <c r="AD4" s="126" t="s">
        <v>186</v>
      </c>
      <c r="AE4" s="126" t="s">
        <v>187</v>
      </c>
      <c r="AF4" s="126" t="s">
        <v>188</v>
      </c>
      <c r="AG4" s="126" t="s">
        <v>189</v>
      </c>
      <c r="AH4" s="119"/>
      <c r="AI4" s="126" t="s">
        <v>190</v>
      </c>
      <c r="AJ4" s="126" t="s">
        <v>191</v>
      </c>
    </row>
    <row r="5" spans="1:36" ht="21" x14ac:dyDescent="0.3">
      <c r="A5" s="128" t="s">
        <v>239</v>
      </c>
      <c r="B5" s="129"/>
      <c r="C5" s="128">
        <f>SUBTOTAL(103,JED_CAI_LF_LEGACY[Flt])</f>
        <v>3</v>
      </c>
      <c r="D5" s="128"/>
      <c r="E5" s="128">
        <f>SUBTOTAL(103,JED_CAI_LF_LEGACY[Brd-Off])</f>
        <v>3</v>
      </c>
      <c r="F5" s="128"/>
      <c r="G5" s="130">
        <f>SUBTOTAL(101,JED_CAI_LF_LEGACY[LF%])</f>
        <v>0.99813333333333321</v>
      </c>
      <c r="H5" s="131">
        <f>SUBTOTAL(109,JED_CAI_LF_LEGACY[CAP])</f>
        <v>537</v>
      </c>
      <c r="I5" s="131">
        <f>SUBTOTAL(109,JED_CAI_LF_LEGACY[BKG(Y)])</f>
        <v>536</v>
      </c>
      <c r="J5" s="131">
        <f>SUBTOTAL(109,JED_CAI_LF_LEGACY[GRP(Y)])</f>
        <v>311</v>
      </c>
      <c r="K5" s="128"/>
      <c r="L5" s="129"/>
      <c r="M5" s="131">
        <f>SUBTOTAL(109,JED_CAI_LF_LEGACY[TO-DAY])</f>
        <v>0</v>
      </c>
      <c r="N5" s="131">
        <f>SUBTOTAL(109,JED_CAI_LF_LEGACY[Y-DAY])</f>
        <v>12</v>
      </c>
      <c r="O5" s="131">
        <f>SUBTOTAL(109,JED_CAI_LF_LEGACY[WEEKLY])</f>
        <v>19</v>
      </c>
      <c r="P5" s="132"/>
      <c r="Q5" s="131">
        <f>SUBTOTAL(109,JED_CAI_LF_LEGACY[Y])</f>
        <v>0</v>
      </c>
      <c r="R5" s="131">
        <f>SUBTOTAL(109,JED_CAI_LF_LEGACY[B])</f>
        <v>0</v>
      </c>
      <c r="S5" s="131">
        <f>SUBTOTAL(109,JED_CAI_LF_LEGACY[M])</f>
        <v>0</v>
      </c>
      <c r="T5" s="131">
        <f>SUBTOTAL(109,JED_CAI_LF_LEGACY[H])</f>
        <v>0</v>
      </c>
      <c r="U5" s="131">
        <f>SUBTOTAL(109,JED_CAI_LF_LEGACY[Q])</f>
        <v>0</v>
      </c>
      <c r="V5" s="131">
        <f>SUBTOTAL(109,JED_CAI_LF_LEGACY[K])</f>
        <v>0</v>
      </c>
      <c r="W5" s="131">
        <f>SUBTOTAL(109,JED_CAI_LF_LEGACY[V])</f>
        <v>0</v>
      </c>
      <c r="X5" s="131">
        <f>SUBTOTAL(109,JED_CAI_LF_LEGACY[L])</f>
        <v>0</v>
      </c>
      <c r="Y5" s="131">
        <f>SUBTOTAL(109,JED_CAI_LF_LEGACY[G])</f>
        <v>0</v>
      </c>
      <c r="Z5" s="131">
        <f>SUBTOTAL(109,JED_CAI_LF_LEGACY[S])</f>
        <v>0</v>
      </c>
      <c r="AA5" s="131">
        <f>SUBTOTAL(109,JED_CAI_LF_LEGACY[W])</f>
        <v>0</v>
      </c>
      <c r="AB5" s="131">
        <f>SUBTOTAL(109,JED_CAI_LF_LEGACY[T])</f>
        <v>0</v>
      </c>
      <c r="AC5" s="131">
        <f>SUBTOTAL(109,JED_CAI_LF_LEGACY[X])</f>
        <v>0</v>
      </c>
      <c r="AD5" s="131">
        <f>SUBTOTAL(109,JED_CAI_LF_LEGACY[U])</f>
        <v>0</v>
      </c>
      <c r="AE5" s="131">
        <f>SUBTOTAL(109,JED_CAI_LF_LEGACY[O])</f>
        <v>0</v>
      </c>
      <c r="AF5" s="131">
        <f>SUBTOTAL(109,JED_CAI_LF_LEGACY[I])</f>
        <v>0</v>
      </c>
      <c r="AG5" s="131">
        <f>SUBTOTAL(109,JED_CAI_LF_LEGACY[E])</f>
        <v>0</v>
      </c>
      <c r="AH5" s="131">
        <f>SUBTOTAL(109,JED_CAI_LF_LEGACY[A])</f>
        <v>0</v>
      </c>
      <c r="AI5" s="131">
        <f>SUBTOTAL(109,JED_CAI_LF_LEGACY[P])</f>
        <v>0</v>
      </c>
      <c r="AJ5" s="131">
        <f>SUBTOTAL(103,JED_CAI_LF_LEGACY[N])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  <col min="9" max="9" width="202.5546875" hidden="1" customWidth="1"/>
  </cols>
  <sheetData>
    <row r="1" spans="1:9" ht="18" x14ac:dyDescent="0.3">
      <c r="A1" s="59" t="s">
        <v>192</v>
      </c>
      <c r="B1" s="60" t="s">
        <v>8</v>
      </c>
      <c r="C1" s="60" t="s">
        <v>9</v>
      </c>
      <c r="D1" s="60" t="s">
        <v>193</v>
      </c>
      <c r="E1" s="60" t="s">
        <v>10</v>
      </c>
      <c r="F1" s="60" t="s">
        <v>11</v>
      </c>
      <c r="G1" s="60" t="s">
        <v>12</v>
      </c>
      <c r="H1" s="61" t="s">
        <v>13</v>
      </c>
      <c r="I1" s="2"/>
    </row>
    <row r="2" spans="1:9" ht="19.8" customHeight="1" x14ac:dyDescent="0.3">
      <c r="A2" s="62" t="s">
        <v>194</v>
      </c>
      <c r="B2" s="63" t="s">
        <v>26</v>
      </c>
      <c r="C2" s="64" t="s">
        <v>27</v>
      </c>
      <c r="D2" s="63" t="s">
        <v>1</v>
      </c>
      <c r="E2" s="63" t="s">
        <v>195</v>
      </c>
      <c r="F2" s="63" t="s">
        <v>28</v>
      </c>
      <c r="G2" s="65">
        <v>16</v>
      </c>
      <c r="H2" s="66">
        <v>639</v>
      </c>
      <c r="I2" s="2"/>
    </row>
    <row r="3" spans="1:9" ht="19.8" customHeight="1" x14ac:dyDescent="0.3">
      <c r="A3" s="62" t="s">
        <v>194</v>
      </c>
      <c r="B3" s="63" t="s">
        <v>38</v>
      </c>
      <c r="C3" s="64" t="s">
        <v>39</v>
      </c>
      <c r="D3" s="63" t="s">
        <v>1</v>
      </c>
      <c r="E3" s="63" t="s">
        <v>196</v>
      </c>
      <c r="F3" s="63" t="s">
        <v>40</v>
      </c>
      <c r="G3" s="65">
        <v>1</v>
      </c>
      <c r="H3" s="66">
        <v>669</v>
      </c>
      <c r="I3" s="2"/>
    </row>
    <row r="4" spans="1:9" ht="19.8" customHeight="1" x14ac:dyDescent="0.3">
      <c r="A4" s="62" t="s">
        <v>194</v>
      </c>
      <c r="B4" s="63" t="s">
        <v>38</v>
      </c>
      <c r="C4" s="64" t="s">
        <v>48</v>
      </c>
      <c r="D4" s="63" t="s">
        <v>1</v>
      </c>
      <c r="E4" s="63" t="s">
        <v>197</v>
      </c>
      <c r="F4" s="63" t="s">
        <v>40</v>
      </c>
      <c r="G4" s="65">
        <v>9</v>
      </c>
      <c r="H4" s="66">
        <v>669</v>
      </c>
      <c r="I4" s="2"/>
    </row>
    <row r="5" spans="1:9" ht="19.8" customHeight="1" x14ac:dyDescent="0.3">
      <c r="A5" s="62" t="s">
        <v>194</v>
      </c>
      <c r="B5" s="63" t="s">
        <v>38</v>
      </c>
      <c r="C5" s="64" t="s">
        <v>51</v>
      </c>
      <c r="D5" s="63" t="s">
        <v>1</v>
      </c>
      <c r="E5" s="63" t="s">
        <v>198</v>
      </c>
      <c r="F5" s="63" t="s">
        <v>40</v>
      </c>
      <c r="G5" s="65">
        <v>9</v>
      </c>
      <c r="H5" s="66">
        <v>669</v>
      </c>
      <c r="I5" s="2"/>
    </row>
    <row r="6" spans="1:9" ht="19.8" customHeight="1" x14ac:dyDescent="0.3">
      <c r="A6" s="62" t="s">
        <v>194</v>
      </c>
      <c r="B6" s="63" t="s">
        <v>38</v>
      </c>
      <c r="C6" s="64" t="s">
        <v>52</v>
      </c>
      <c r="D6" s="63" t="s">
        <v>1</v>
      </c>
      <c r="E6" s="63" t="s">
        <v>199</v>
      </c>
      <c r="F6" s="63" t="s">
        <v>40</v>
      </c>
      <c r="G6" s="65">
        <v>9</v>
      </c>
      <c r="H6" s="66">
        <v>669</v>
      </c>
      <c r="I6" s="2"/>
    </row>
    <row r="7" spans="1:9" ht="19.8" customHeight="1" x14ac:dyDescent="0.3">
      <c r="A7" s="62" t="s">
        <v>194</v>
      </c>
      <c r="B7" s="63" t="s">
        <v>61</v>
      </c>
      <c r="C7" s="64" t="s">
        <v>62</v>
      </c>
      <c r="D7" s="63" t="s">
        <v>1</v>
      </c>
      <c r="E7" s="63" t="s">
        <v>200</v>
      </c>
      <c r="F7" s="63" t="s">
        <v>63</v>
      </c>
      <c r="G7" s="65">
        <v>9</v>
      </c>
      <c r="H7" s="66">
        <v>671</v>
      </c>
      <c r="I7" s="2"/>
    </row>
    <row r="8" spans="1:9" ht="19.8" customHeight="1" x14ac:dyDescent="0.3">
      <c r="A8" s="62" t="s">
        <v>194</v>
      </c>
      <c r="B8" s="63" t="s">
        <v>61</v>
      </c>
      <c r="C8" s="64" t="s">
        <v>66</v>
      </c>
      <c r="D8" s="63" t="s">
        <v>1</v>
      </c>
      <c r="E8" s="63" t="s">
        <v>201</v>
      </c>
      <c r="F8" s="63" t="s">
        <v>63</v>
      </c>
      <c r="G8" s="65">
        <v>9</v>
      </c>
      <c r="H8" s="66">
        <v>679</v>
      </c>
      <c r="I8" s="2"/>
    </row>
    <row r="9" spans="1:9" ht="19.8" customHeight="1" x14ac:dyDescent="0.3">
      <c r="A9" s="62" t="s">
        <v>194</v>
      </c>
      <c r="B9" s="63" t="s">
        <v>26</v>
      </c>
      <c r="C9" s="64" t="s">
        <v>31</v>
      </c>
      <c r="D9" s="63" t="s">
        <v>1</v>
      </c>
      <c r="E9" s="63" t="s">
        <v>202</v>
      </c>
      <c r="F9" s="63" t="s">
        <v>28</v>
      </c>
      <c r="G9" s="65">
        <v>1</v>
      </c>
      <c r="H9" s="66">
        <v>689</v>
      </c>
      <c r="I9" s="2"/>
    </row>
    <row r="10" spans="1:9" ht="19.8" customHeight="1" x14ac:dyDescent="0.3">
      <c r="A10" s="62" t="s">
        <v>194</v>
      </c>
      <c r="B10" s="63" t="s">
        <v>26</v>
      </c>
      <c r="C10" s="64" t="s">
        <v>34</v>
      </c>
      <c r="D10" s="63" t="s">
        <v>1</v>
      </c>
      <c r="E10" s="63" t="s">
        <v>203</v>
      </c>
      <c r="F10" s="63" t="s">
        <v>28</v>
      </c>
      <c r="G10" s="65">
        <v>13</v>
      </c>
      <c r="H10" s="66">
        <v>689</v>
      </c>
      <c r="I10" s="2"/>
    </row>
    <row r="11" spans="1:9" ht="19.8" customHeight="1" x14ac:dyDescent="0.3">
      <c r="A11" s="62" t="s">
        <v>194</v>
      </c>
      <c r="B11" s="63" t="s">
        <v>26</v>
      </c>
      <c r="C11" s="64" t="s">
        <v>36</v>
      </c>
      <c r="D11" s="63" t="s">
        <v>1</v>
      </c>
      <c r="E11" s="63" t="s">
        <v>204</v>
      </c>
      <c r="F11" s="63" t="s">
        <v>28</v>
      </c>
      <c r="G11" s="65">
        <v>10</v>
      </c>
      <c r="H11" s="66">
        <v>689</v>
      </c>
      <c r="I11" s="2"/>
    </row>
    <row r="12" spans="1:9" ht="19.8" customHeight="1" x14ac:dyDescent="0.3">
      <c r="A12" s="62" t="s">
        <v>194</v>
      </c>
      <c r="B12" s="63" t="s">
        <v>68</v>
      </c>
      <c r="C12" s="64" t="s">
        <v>69</v>
      </c>
      <c r="D12" s="63" t="s">
        <v>1</v>
      </c>
      <c r="E12" s="63" t="s">
        <v>205</v>
      </c>
      <c r="F12" s="63" t="s">
        <v>70</v>
      </c>
      <c r="G12" s="65">
        <v>7</v>
      </c>
      <c r="H12" s="66">
        <v>691</v>
      </c>
      <c r="I12" s="2"/>
    </row>
    <row r="13" spans="1:9" ht="19.8" customHeight="1" x14ac:dyDescent="0.3">
      <c r="A13" s="62" t="s">
        <v>194</v>
      </c>
      <c r="B13" s="63" t="s">
        <v>38</v>
      </c>
      <c r="C13" s="64" t="s">
        <v>53</v>
      </c>
      <c r="D13" s="63" t="s">
        <v>1</v>
      </c>
      <c r="E13" s="63" t="s">
        <v>206</v>
      </c>
      <c r="F13" s="63" t="s">
        <v>40</v>
      </c>
      <c r="G13" s="65">
        <v>2</v>
      </c>
      <c r="H13" s="66">
        <v>719</v>
      </c>
      <c r="I13" s="2"/>
    </row>
    <row r="14" spans="1:9" ht="19.8" customHeight="1" x14ac:dyDescent="0.3">
      <c r="A14" s="62" t="s">
        <v>194</v>
      </c>
      <c r="B14" s="63" t="s">
        <v>38</v>
      </c>
      <c r="C14" s="64" t="s">
        <v>59</v>
      </c>
      <c r="D14" s="63" t="s">
        <v>1</v>
      </c>
      <c r="E14" s="63" t="s">
        <v>207</v>
      </c>
      <c r="F14" s="63" t="s">
        <v>40</v>
      </c>
      <c r="G14" s="65">
        <v>2</v>
      </c>
      <c r="H14" s="66">
        <v>719</v>
      </c>
      <c r="I14" s="2"/>
    </row>
    <row r="15" spans="1:9" ht="19.8" customHeight="1" x14ac:dyDescent="0.3">
      <c r="A15" s="62" t="s">
        <v>194</v>
      </c>
      <c r="B15" s="63" t="s">
        <v>38</v>
      </c>
      <c r="C15" s="64" t="s">
        <v>60</v>
      </c>
      <c r="D15" s="63" t="s">
        <v>1</v>
      </c>
      <c r="E15" s="63" t="s">
        <v>208</v>
      </c>
      <c r="F15" s="63" t="s">
        <v>40</v>
      </c>
      <c r="G15" s="65">
        <v>9</v>
      </c>
      <c r="H15" s="66">
        <v>719</v>
      </c>
      <c r="I15" s="2"/>
    </row>
    <row r="16" spans="1:9" ht="19.8" customHeight="1" x14ac:dyDescent="0.3">
      <c r="A16" s="62" t="s">
        <v>194</v>
      </c>
      <c r="B16" s="63" t="s">
        <v>38</v>
      </c>
      <c r="C16" s="64" t="s">
        <v>39</v>
      </c>
      <c r="D16" s="63" t="s">
        <v>1</v>
      </c>
      <c r="E16" s="63" t="s">
        <v>196</v>
      </c>
      <c r="F16" s="63" t="s">
        <v>43</v>
      </c>
      <c r="G16" s="65">
        <v>1</v>
      </c>
      <c r="H16" s="66">
        <v>769</v>
      </c>
      <c r="I16" s="2"/>
    </row>
    <row r="17" spans="1:9" ht="19.8" customHeight="1" x14ac:dyDescent="0.3">
      <c r="A17" s="62" t="s">
        <v>194</v>
      </c>
      <c r="B17" s="63" t="s">
        <v>38</v>
      </c>
      <c r="C17" s="64" t="s">
        <v>48</v>
      </c>
      <c r="D17" s="63" t="s">
        <v>1</v>
      </c>
      <c r="E17" s="63" t="s">
        <v>197</v>
      </c>
      <c r="F17" s="63" t="s">
        <v>43</v>
      </c>
      <c r="G17" s="65">
        <v>9</v>
      </c>
      <c r="H17" s="66">
        <v>769</v>
      </c>
      <c r="I17" s="2"/>
    </row>
    <row r="18" spans="1:9" ht="19.8" customHeight="1" x14ac:dyDescent="0.3">
      <c r="A18" s="62" t="s">
        <v>194</v>
      </c>
      <c r="B18" s="63" t="s">
        <v>38</v>
      </c>
      <c r="C18" s="64" t="s">
        <v>51</v>
      </c>
      <c r="D18" s="63" t="s">
        <v>1</v>
      </c>
      <c r="E18" s="63" t="s">
        <v>198</v>
      </c>
      <c r="F18" s="63" t="s">
        <v>43</v>
      </c>
      <c r="G18" s="65">
        <v>9</v>
      </c>
      <c r="H18" s="66">
        <v>769</v>
      </c>
      <c r="I18" s="2"/>
    </row>
    <row r="19" spans="1:9" ht="19.8" customHeight="1" x14ac:dyDescent="0.3">
      <c r="A19" s="62" t="s">
        <v>194</v>
      </c>
      <c r="B19" s="63" t="s">
        <v>38</v>
      </c>
      <c r="C19" s="64" t="s">
        <v>52</v>
      </c>
      <c r="D19" s="63" t="s">
        <v>1</v>
      </c>
      <c r="E19" s="63" t="s">
        <v>199</v>
      </c>
      <c r="F19" s="63" t="s">
        <v>43</v>
      </c>
      <c r="G19" s="65">
        <v>9</v>
      </c>
      <c r="H19" s="66">
        <v>769</v>
      </c>
      <c r="I19" s="2"/>
    </row>
    <row r="20" spans="1:9" ht="19.8" customHeight="1" x14ac:dyDescent="0.3">
      <c r="A20" s="62" t="s">
        <v>194</v>
      </c>
      <c r="B20" s="63" t="s">
        <v>38</v>
      </c>
      <c r="C20" s="64" t="s">
        <v>53</v>
      </c>
      <c r="D20" s="63" t="s">
        <v>1</v>
      </c>
      <c r="E20" s="63" t="s">
        <v>206</v>
      </c>
      <c r="F20" s="63" t="s">
        <v>43</v>
      </c>
      <c r="G20" s="65">
        <v>2</v>
      </c>
      <c r="H20" s="66">
        <v>819</v>
      </c>
      <c r="I20" s="2"/>
    </row>
    <row r="21" spans="1:9" ht="19.8" customHeight="1" x14ac:dyDescent="0.3">
      <c r="A21" s="62" t="s">
        <v>194</v>
      </c>
      <c r="B21" s="63" t="s">
        <v>38</v>
      </c>
      <c r="C21" s="64" t="s">
        <v>59</v>
      </c>
      <c r="D21" s="63" t="s">
        <v>1</v>
      </c>
      <c r="E21" s="63" t="s">
        <v>207</v>
      </c>
      <c r="F21" s="63" t="s">
        <v>43</v>
      </c>
      <c r="G21" s="65">
        <v>2</v>
      </c>
      <c r="H21" s="66">
        <v>819</v>
      </c>
      <c r="I21" s="2"/>
    </row>
    <row r="22" spans="1:9" ht="19.8" customHeight="1" x14ac:dyDescent="0.3">
      <c r="A22" s="62" t="s">
        <v>194</v>
      </c>
      <c r="B22" s="63" t="s">
        <v>38</v>
      </c>
      <c r="C22" s="64" t="s">
        <v>60</v>
      </c>
      <c r="D22" s="63" t="s">
        <v>1</v>
      </c>
      <c r="E22" s="63" t="s">
        <v>208</v>
      </c>
      <c r="F22" s="63" t="s">
        <v>43</v>
      </c>
      <c r="G22" s="65">
        <v>9</v>
      </c>
      <c r="H22" s="66">
        <v>819</v>
      </c>
      <c r="I22" s="2"/>
    </row>
    <row r="23" spans="1:9" ht="19.8" customHeight="1" x14ac:dyDescent="0.3">
      <c r="A23" s="62" t="s">
        <v>194</v>
      </c>
      <c r="B23" s="63" t="s">
        <v>38</v>
      </c>
      <c r="C23" s="64" t="s">
        <v>39</v>
      </c>
      <c r="D23" s="63" t="s">
        <v>1</v>
      </c>
      <c r="E23" s="63" t="s">
        <v>196</v>
      </c>
      <c r="F23" s="63" t="s">
        <v>46</v>
      </c>
      <c r="G23" s="65">
        <v>1</v>
      </c>
      <c r="H23" s="66">
        <v>859</v>
      </c>
      <c r="I23" s="2"/>
    </row>
    <row r="24" spans="1:9" ht="19.8" customHeight="1" x14ac:dyDescent="0.3">
      <c r="A24" s="62" t="s">
        <v>194</v>
      </c>
      <c r="B24" s="63" t="s">
        <v>38</v>
      </c>
      <c r="C24" s="64" t="s">
        <v>48</v>
      </c>
      <c r="D24" s="63" t="s">
        <v>1</v>
      </c>
      <c r="E24" s="63" t="s">
        <v>197</v>
      </c>
      <c r="F24" s="63" t="s">
        <v>46</v>
      </c>
      <c r="G24" s="65">
        <v>9</v>
      </c>
      <c r="H24" s="66">
        <v>859</v>
      </c>
      <c r="I24" s="2"/>
    </row>
    <row r="25" spans="1:9" ht="19.8" customHeight="1" x14ac:dyDescent="0.3">
      <c r="A25" s="62" t="s">
        <v>194</v>
      </c>
      <c r="B25" s="63" t="s">
        <v>38</v>
      </c>
      <c r="C25" s="64" t="s">
        <v>51</v>
      </c>
      <c r="D25" s="63" t="s">
        <v>1</v>
      </c>
      <c r="E25" s="63" t="s">
        <v>198</v>
      </c>
      <c r="F25" s="63" t="s">
        <v>46</v>
      </c>
      <c r="G25" s="65">
        <v>9</v>
      </c>
      <c r="H25" s="66">
        <v>859</v>
      </c>
      <c r="I25" s="2"/>
    </row>
    <row r="26" spans="1:9" ht="19.8" customHeight="1" x14ac:dyDescent="0.3">
      <c r="A26" s="62" t="s">
        <v>194</v>
      </c>
      <c r="B26" s="63" t="s">
        <v>38</v>
      </c>
      <c r="C26" s="64" t="s">
        <v>52</v>
      </c>
      <c r="D26" s="63" t="s">
        <v>1</v>
      </c>
      <c r="E26" s="63" t="s">
        <v>199</v>
      </c>
      <c r="F26" s="63" t="s">
        <v>46</v>
      </c>
      <c r="G26" s="65">
        <v>9</v>
      </c>
      <c r="H26" s="66">
        <v>859</v>
      </c>
      <c r="I26" s="2"/>
    </row>
    <row r="27" spans="1:9" ht="19.8" customHeight="1" x14ac:dyDescent="0.3">
      <c r="A27" s="62" t="s">
        <v>194</v>
      </c>
      <c r="B27" s="63" t="s">
        <v>38</v>
      </c>
      <c r="C27" s="64" t="s">
        <v>53</v>
      </c>
      <c r="D27" s="63" t="s">
        <v>1</v>
      </c>
      <c r="E27" s="63" t="s">
        <v>206</v>
      </c>
      <c r="F27" s="63" t="s">
        <v>46</v>
      </c>
      <c r="G27" s="65">
        <v>2</v>
      </c>
      <c r="H27" s="66">
        <v>909</v>
      </c>
      <c r="I27" s="2"/>
    </row>
    <row r="28" spans="1:9" ht="19.8" customHeight="1" x14ac:dyDescent="0.3">
      <c r="A28" s="62" t="s">
        <v>194</v>
      </c>
      <c r="B28" s="63" t="s">
        <v>38</v>
      </c>
      <c r="C28" s="64" t="s">
        <v>59</v>
      </c>
      <c r="D28" s="63" t="s">
        <v>1</v>
      </c>
      <c r="E28" s="63" t="s">
        <v>207</v>
      </c>
      <c r="F28" s="63" t="s">
        <v>46</v>
      </c>
      <c r="G28" s="65">
        <v>2</v>
      </c>
      <c r="H28" s="66">
        <v>909</v>
      </c>
      <c r="I28" s="2"/>
    </row>
    <row r="29" spans="1:9" ht="19.8" customHeight="1" x14ac:dyDescent="0.3">
      <c r="A29" s="62" t="s">
        <v>194</v>
      </c>
      <c r="B29" s="63" t="s">
        <v>38</v>
      </c>
      <c r="C29" s="64" t="s">
        <v>60</v>
      </c>
      <c r="D29" s="63" t="s">
        <v>1</v>
      </c>
      <c r="E29" s="63" t="s">
        <v>208</v>
      </c>
      <c r="F29" s="63" t="s">
        <v>46</v>
      </c>
      <c r="G29" s="65">
        <v>9</v>
      </c>
      <c r="H29" s="66">
        <v>909</v>
      </c>
      <c r="I29" s="2"/>
    </row>
    <row r="30" spans="1:9" ht="19.8" customHeight="1" x14ac:dyDescent="0.3">
      <c r="A30" s="67" t="s">
        <v>194</v>
      </c>
      <c r="B30" s="68" t="s">
        <v>73</v>
      </c>
      <c r="C30" s="69" t="s">
        <v>74</v>
      </c>
      <c r="D30" s="68" t="s">
        <v>1</v>
      </c>
      <c r="E30" s="68" t="s">
        <v>180</v>
      </c>
      <c r="F30" s="68" t="s">
        <v>75</v>
      </c>
      <c r="G30" s="70">
        <v>1</v>
      </c>
      <c r="H30" s="71" t="s">
        <v>76</v>
      </c>
      <c r="I30" s="2"/>
    </row>
    <row r="31" spans="1:9" ht="19.8" customHeight="1" x14ac:dyDescent="0.3">
      <c r="A31" s="72">
        <v>45983</v>
      </c>
      <c r="B31" s="63" t="s">
        <v>87</v>
      </c>
      <c r="C31" s="64" t="s">
        <v>88</v>
      </c>
      <c r="D31" s="63" t="s">
        <v>1</v>
      </c>
      <c r="E31" s="73">
        <v>1.3784722222222221</v>
      </c>
      <c r="F31" s="63" t="s">
        <v>89</v>
      </c>
      <c r="G31" s="65">
        <v>9</v>
      </c>
      <c r="H31" s="74" t="s">
        <v>91</v>
      </c>
      <c r="I31" s="2"/>
    </row>
    <row r="32" spans="1:9" ht="19.8" customHeight="1" x14ac:dyDescent="0.3">
      <c r="A32" s="72">
        <v>45983</v>
      </c>
      <c r="B32" s="63" t="s">
        <v>87</v>
      </c>
      <c r="C32" s="64" t="s">
        <v>95</v>
      </c>
      <c r="D32" s="63" t="s">
        <v>1</v>
      </c>
      <c r="E32" s="73">
        <v>1.71875</v>
      </c>
      <c r="F32" s="63" t="s">
        <v>89</v>
      </c>
      <c r="G32" s="65">
        <v>7</v>
      </c>
      <c r="H32" s="74" t="s">
        <v>91</v>
      </c>
      <c r="I32" s="2"/>
    </row>
    <row r="33" spans="1:9" ht="19.8" customHeight="1" x14ac:dyDescent="0.3">
      <c r="A33" s="72">
        <v>45983</v>
      </c>
      <c r="B33" s="63" t="s">
        <v>87</v>
      </c>
      <c r="C33" s="64" t="s">
        <v>98</v>
      </c>
      <c r="D33" s="63" t="s">
        <v>1</v>
      </c>
      <c r="E33" s="73">
        <v>1.243055555555556</v>
      </c>
      <c r="F33" s="63" t="s">
        <v>89</v>
      </c>
      <c r="G33" s="65">
        <v>1</v>
      </c>
      <c r="H33" s="74" t="s">
        <v>91</v>
      </c>
      <c r="I33" s="2"/>
    </row>
    <row r="34" spans="1:9" ht="19.8" customHeight="1" x14ac:dyDescent="0.3">
      <c r="A34" s="72">
        <v>45983</v>
      </c>
      <c r="B34" s="63" t="s">
        <v>87</v>
      </c>
      <c r="C34" s="64" t="s">
        <v>99</v>
      </c>
      <c r="D34" s="63" t="s">
        <v>1</v>
      </c>
      <c r="E34" s="73">
        <v>1.1423611111111109</v>
      </c>
      <c r="F34" s="63" t="s">
        <v>89</v>
      </c>
      <c r="G34" s="65">
        <v>9</v>
      </c>
      <c r="H34" s="74" t="s">
        <v>91</v>
      </c>
      <c r="I34" s="2"/>
    </row>
    <row r="35" spans="1:9" ht="19.8" customHeight="1" x14ac:dyDescent="0.3">
      <c r="A35" s="72">
        <v>45983</v>
      </c>
      <c r="B35" s="63" t="s">
        <v>87</v>
      </c>
      <c r="C35" s="64" t="s">
        <v>101</v>
      </c>
      <c r="D35" s="63" t="s">
        <v>1</v>
      </c>
      <c r="E35" s="73">
        <v>1.930555555555556</v>
      </c>
      <c r="F35" s="63" t="s">
        <v>89</v>
      </c>
      <c r="G35" s="65">
        <v>9</v>
      </c>
      <c r="H35" s="74" t="s">
        <v>91</v>
      </c>
      <c r="I35" s="2"/>
    </row>
    <row r="36" spans="1:9" ht="19.8" customHeight="1" x14ac:dyDescent="0.3">
      <c r="A36" s="72">
        <v>45983</v>
      </c>
      <c r="B36" s="63" t="s">
        <v>116</v>
      </c>
      <c r="C36" s="64" t="s">
        <v>117</v>
      </c>
      <c r="D36" s="63" t="s">
        <v>1</v>
      </c>
      <c r="E36" s="73">
        <v>1.2777777777777779</v>
      </c>
      <c r="F36" s="63" t="s">
        <v>118</v>
      </c>
      <c r="G36" s="65">
        <v>9</v>
      </c>
      <c r="H36" s="74" t="s">
        <v>119</v>
      </c>
      <c r="I36" s="2"/>
    </row>
    <row r="37" spans="1:9" ht="19.8" customHeight="1" x14ac:dyDescent="0.3">
      <c r="A37" s="72">
        <v>45983</v>
      </c>
      <c r="B37" s="63" t="s">
        <v>116</v>
      </c>
      <c r="C37" s="64" t="s">
        <v>120</v>
      </c>
      <c r="D37" s="63" t="s">
        <v>1</v>
      </c>
      <c r="E37" s="73">
        <v>1.229166666666667</v>
      </c>
      <c r="F37" s="63" t="s">
        <v>118</v>
      </c>
      <c r="G37" s="65">
        <v>9</v>
      </c>
      <c r="H37" s="74" t="s">
        <v>119</v>
      </c>
      <c r="I37" s="2"/>
    </row>
    <row r="38" spans="1:9" ht="19.8" customHeight="1" x14ac:dyDescent="0.3">
      <c r="A38" s="72">
        <v>45983</v>
      </c>
      <c r="B38" s="63" t="s">
        <v>116</v>
      </c>
      <c r="C38" s="64" t="s">
        <v>121</v>
      </c>
      <c r="D38" s="63" t="s">
        <v>1</v>
      </c>
      <c r="E38" s="73">
        <v>1.020833333333333</v>
      </c>
      <c r="F38" s="63" t="s">
        <v>118</v>
      </c>
      <c r="G38" s="65">
        <v>9</v>
      </c>
      <c r="H38" s="74" t="s">
        <v>122</v>
      </c>
      <c r="I38" s="2"/>
    </row>
    <row r="39" spans="1:9" ht="19.8" customHeight="1" x14ac:dyDescent="0.3">
      <c r="A39" s="72">
        <v>45983</v>
      </c>
      <c r="B39" s="63" t="s">
        <v>87</v>
      </c>
      <c r="C39" s="64" t="s">
        <v>88</v>
      </c>
      <c r="D39" s="63" t="s">
        <v>1</v>
      </c>
      <c r="E39" s="73">
        <v>1.3784722222222221</v>
      </c>
      <c r="F39" s="63" t="s">
        <v>92</v>
      </c>
      <c r="G39" s="65">
        <v>9</v>
      </c>
      <c r="H39" s="74" t="s">
        <v>94</v>
      </c>
      <c r="I39" s="2"/>
    </row>
    <row r="40" spans="1:9" ht="19.8" customHeight="1" x14ac:dyDescent="0.3">
      <c r="A40" s="72">
        <v>45983</v>
      </c>
      <c r="B40" s="63" t="s">
        <v>87</v>
      </c>
      <c r="C40" s="64" t="s">
        <v>95</v>
      </c>
      <c r="D40" s="63" t="s">
        <v>1</v>
      </c>
      <c r="E40" s="73">
        <v>1.71875</v>
      </c>
      <c r="F40" s="63" t="s">
        <v>92</v>
      </c>
      <c r="G40" s="65">
        <v>7</v>
      </c>
      <c r="H40" s="74" t="s">
        <v>94</v>
      </c>
      <c r="I40" s="2"/>
    </row>
    <row r="41" spans="1:9" ht="19.8" customHeight="1" x14ac:dyDescent="0.3">
      <c r="A41" s="72">
        <v>45983</v>
      </c>
      <c r="B41" s="63" t="s">
        <v>87</v>
      </c>
      <c r="C41" s="64" t="s">
        <v>98</v>
      </c>
      <c r="D41" s="63" t="s">
        <v>1</v>
      </c>
      <c r="E41" s="73">
        <v>1.243055555555556</v>
      </c>
      <c r="F41" s="63" t="s">
        <v>92</v>
      </c>
      <c r="G41" s="65">
        <v>1</v>
      </c>
      <c r="H41" s="74" t="s">
        <v>94</v>
      </c>
      <c r="I41" s="2"/>
    </row>
    <row r="42" spans="1:9" ht="19.8" customHeight="1" x14ac:dyDescent="0.3">
      <c r="A42" s="72">
        <v>45983</v>
      </c>
      <c r="B42" s="63" t="s">
        <v>87</v>
      </c>
      <c r="C42" s="64" t="s">
        <v>99</v>
      </c>
      <c r="D42" s="63" t="s">
        <v>1</v>
      </c>
      <c r="E42" s="73">
        <v>1.1423611111111109</v>
      </c>
      <c r="F42" s="63" t="s">
        <v>92</v>
      </c>
      <c r="G42" s="65">
        <v>9</v>
      </c>
      <c r="H42" s="74" t="s">
        <v>94</v>
      </c>
      <c r="I42" s="2"/>
    </row>
    <row r="43" spans="1:9" ht="19.8" customHeight="1" x14ac:dyDescent="0.3">
      <c r="A43" s="72">
        <v>45983</v>
      </c>
      <c r="B43" s="63" t="s">
        <v>87</v>
      </c>
      <c r="C43" s="64" t="s">
        <v>101</v>
      </c>
      <c r="D43" s="63" t="s">
        <v>1</v>
      </c>
      <c r="E43" s="73">
        <v>1.930555555555556</v>
      </c>
      <c r="F43" s="63" t="s">
        <v>92</v>
      </c>
      <c r="G43" s="65">
        <v>9</v>
      </c>
      <c r="H43" s="74" t="s">
        <v>94</v>
      </c>
      <c r="I43" s="2"/>
    </row>
    <row r="44" spans="1:9" ht="19.8" customHeight="1" x14ac:dyDescent="0.3">
      <c r="A44" s="72">
        <v>45983</v>
      </c>
      <c r="B44" s="63" t="s">
        <v>87</v>
      </c>
      <c r="C44" s="64" t="s">
        <v>102</v>
      </c>
      <c r="D44" s="63" t="s">
        <v>1</v>
      </c>
      <c r="E44" s="73">
        <v>1.006944444444444</v>
      </c>
      <c r="F44" s="63" t="s">
        <v>89</v>
      </c>
      <c r="G44" s="65">
        <v>9</v>
      </c>
      <c r="H44" s="74" t="s">
        <v>103</v>
      </c>
      <c r="I44" s="2"/>
    </row>
    <row r="45" spans="1:9" ht="19.8" customHeight="1" x14ac:dyDescent="0.3">
      <c r="A45" s="72">
        <v>45983</v>
      </c>
      <c r="B45" s="63" t="s">
        <v>116</v>
      </c>
      <c r="C45" s="64" t="s">
        <v>123</v>
      </c>
      <c r="D45" s="63" t="s">
        <v>1</v>
      </c>
      <c r="E45" s="73">
        <v>1.4861111111111109</v>
      </c>
      <c r="F45" s="63" t="s">
        <v>118</v>
      </c>
      <c r="G45" s="65">
        <v>2</v>
      </c>
      <c r="H45" s="74" t="s">
        <v>124</v>
      </c>
      <c r="I45" s="2"/>
    </row>
    <row r="46" spans="1:9" ht="19.8" customHeight="1" x14ac:dyDescent="0.3">
      <c r="A46" s="72">
        <v>45983</v>
      </c>
      <c r="B46" s="63" t="s">
        <v>116</v>
      </c>
      <c r="C46" s="64" t="s">
        <v>125</v>
      </c>
      <c r="D46" s="63" t="s">
        <v>1</v>
      </c>
      <c r="E46" s="73">
        <v>1.145833333333333</v>
      </c>
      <c r="F46" s="63" t="s">
        <v>118</v>
      </c>
      <c r="G46" s="65">
        <v>6</v>
      </c>
      <c r="H46" s="74" t="s">
        <v>124</v>
      </c>
      <c r="I46" s="2"/>
    </row>
    <row r="47" spans="1:9" ht="19.8" customHeight="1" x14ac:dyDescent="0.3">
      <c r="A47" s="72">
        <v>45983</v>
      </c>
      <c r="B47" s="63" t="s">
        <v>116</v>
      </c>
      <c r="C47" s="64" t="s">
        <v>127</v>
      </c>
      <c r="D47" s="63" t="s">
        <v>1</v>
      </c>
      <c r="E47" s="73">
        <v>1.958333333333333</v>
      </c>
      <c r="F47" s="63" t="s">
        <v>118</v>
      </c>
      <c r="G47" s="65">
        <v>4</v>
      </c>
      <c r="H47" s="74" t="s">
        <v>124</v>
      </c>
      <c r="I47" s="2"/>
    </row>
    <row r="48" spans="1:9" ht="19.8" customHeight="1" x14ac:dyDescent="0.3">
      <c r="A48" s="72">
        <v>45983</v>
      </c>
      <c r="B48" s="63" t="s">
        <v>87</v>
      </c>
      <c r="C48" s="64" t="s">
        <v>102</v>
      </c>
      <c r="D48" s="63" t="s">
        <v>1</v>
      </c>
      <c r="E48" s="73">
        <v>1.006944444444444</v>
      </c>
      <c r="F48" s="63" t="s">
        <v>92</v>
      </c>
      <c r="G48" s="65">
        <v>9</v>
      </c>
      <c r="H48" s="74" t="s">
        <v>104</v>
      </c>
      <c r="I48" s="2"/>
    </row>
    <row r="49" spans="1:9" ht="19.8" customHeight="1" x14ac:dyDescent="0.3">
      <c r="A49" s="72">
        <v>45983</v>
      </c>
      <c r="B49" s="63" t="s">
        <v>87</v>
      </c>
      <c r="C49" s="64" t="s">
        <v>105</v>
      </c>
      <c r="D49" s="63" t="s">
        <v>1</v>
      </c>
      <c r="E49" s="73">
        <v>1.8888888888888891</v>
      </c>
      <c r="F49" s="63" t="s">
        <v>92</v>
      </c>
      <c r="G49" s="65">
        <v>4</v>
      </c>
      <c r="H49" s="74" t="s">
        <v>107</v>
      </c>
      <c r="I49" s="2"/>
    </row>
    <row r="50" spans="1:9" ht="19.8" customHeight="1" x14ac:dyDescent="0.3">
      <c r="A50" s="72">
        <v>45983</v>
      </c>
      <c r="B50" s="63" t="s">
        <v>87</v>
      </c>
      <c r="C50" s="64" t="s">
        <v>108</v>
      </c>
      <c r="D50" s="63" t="s">
        <v>1</v>
      </c>
      <c r="E50" s="73">
        <v>1.6111111111111109</v>
      </c>
      <c r="F50" s="63" t="s">
        <v>89</v>
      </c>
      <c r="G50" s="65">
        <v>9</v>
      </c>
      <c r="H50" s="74" t="s">
        <v>109</v>
      </c>
      <c r="I50" s="2"/>
    </row>
    <row r="51" spans="1:9" ht="19.8" customHeight="1" x14ac:dyDescent="0.3">
      <c r="A51" s="72">
        <v>45983</v>
      </c>
      <c r="B51" s="63" t="s">
        <v>87</v>
      </c>
      <c r="C51" s="64" t="s">
        <v>111</v>
      </c>
      <c r="D51" s="63" t="s">
        <v>1</v>
      </c>
      <c r="E51" s="73">
        <v>1.8298611111111109</v>
      </c>
      <c r="F51" s="63" t="s">
        <v>89</v>
      </c>
      <c r="G51" s="65">
        <v>9</v>
      </c>
      <c r="H51" s="74" t="s">
        <v>109</v>
      </c>
      <c r="I51" s="2"/>
    </row>
    <row r="52" spans="1:9" ht="19.8" customHeight="1" x14ac:dyDescent="0.3">
      <c r="A52" s="72">
        <v>45983</v>
      </c>
      <c r="B52" s="63" t="s">
        <v>116</v>
      </c>
      <c r="C52" s="64" t="s">
        <v>128</v>
      </c>
      <c r="D52" s="63" t="s">
        <v>1</v>
      </c>
      <c r="E52" s="73">
        <v>1.541666666666667</v>
      </c>
      <c r="F52" s="63" t="s">
        <v>118</v>
      </c>
      <c r="G52" s="65">
        <v>2</v>
      </c>
      <c r="H52" s="74" t="s">
        <v>129</v>
      </c>
      <c r="I52" s="2"/>
    </row>
    <row r="53" spans="1:9" ht="19.8" customHeight="1" x14ac:dyDescent="0.3">
      <c r="A53" s="72">
        <v>45983</v>
      </c>
      <c r="B53" s="63" t="s">
        <v>87</v>
      </c>
      <c r="C53" s="64" t="s">
        <v>112</v>
      </c>
      <c r="D53" s="63" t="s">
        <v>1</v>
      </c>
      <c r="E53" s="73">
        <v>1.302083333333333</v>
      </c>
      <c r="F53" s="63" t="s">
        <v>92</v>
      </c>
      <c r="G53" s="65">
        <v>4</v>
      </c>
      <c r="H53" s="74" t="s">
        <v>113</v>
      </c>
      <c r="I53" s="2"/>
    </row>
    <row r="54" spans="1:9" ht="19.8" customHeight="1" x14ac:dyDescent="0.3">
      <c r="A54" s="72">
        <v>45983</v>
      </c>
      <c r="B54" s="63" t="s">
        <v>87</v>
      </c>
      <c r="C54" s="64" t="s">
        <v>114</v>
      </c>
      <c r="D54" s="63" t="s">
        <v>1</v>
      </c>
      <c r="E54" s="73">
        <v>1.1284722222222221</v>
      </c>
      <c r="F54" s="63" t="s">
        <v>92</v>
      </c>
      <c r="G54" s="65">
        <v>4</v>
      </c>
      <c r="H54" s="74" t="s">
        <v>113</v>
      </c>
      <c r="I54" s="2"/>
    </row>
    <row r="55" spans="1:9" ht="19.8" customHeight="1" x14ac:dyDescent="0.3">
      <c r="A55" s="72">
        <v>45983</v>
      </c>
      <c r="B55" s="63" t="s">
        <v>87</v>
      </c>
      <c r="C55" s="64" t="s">
        <v>115</v>
      </c>
      <c r="D55" s="63" t="s">
        <v>1</v>
      </c>
      <c r="E55" s="73">
        <v>1.788194444444444</v>
      </c>
      <c r="F55" s="63" t="s">
        <v>92</v>
      </c>
      <c r="G55" s="65">
        <v>4</v>
      </c>
      <c r="H55" s="74" t="s">
        <v>113</v>
      </c>
      <c r="I55" s="2"/>
    </row>
    <row r="56" spans="1:9" ht="19.8" customHeight="1" x14ac:dyDescent="0.3">
      <c r="A56" s="72">
        <v>45983</v>
      </c>
      <c r="B56" s="63" t="s">
        <v>87</v>
      </c>
      <c r="C56" s="64" t="s">
        <v>108</v>
      </c>
      <c r="D56" s="63" t="s">
        <v>1</v>
      </c>
      <c r="E56" s="73">
        <v>1.6111111111111109</v>
      </c>
      <c r="F56" s="63" t="s">
        <v>92</v>
      </c>
      <c r="G56" s="65">
        <v>9</v>
      </c>
      <c r="H56" s="74" t="s">
        <v>110</v>
      </c>
      <c r="I56" s="2"/>
    </row>
    <row r="57" spans="1:9" ht="19.8" customHeight="1" x14ac:dyDescent="0.3">
      <c r="A57" s="72">
        <v>45983</v>
      </c>
      <c r="B57" s="63" t="s">
        <v>87</v>
      </c>
      <c r="C57" s="64" t="s">
        <v>111</v>
      </c>
      <c r="D57" s="63" t="s">
        <v>1</v>
      </c>
      <c r="E57" s="73">
        <v>1.8298611111111109</v>
      </c>
      <c r="F57" s="63" t="s">
        <v>92</v>
      </c>
      <c r="G57" s="65">
        <v>9</v>
      </c>
      <c r="H57" s="74" t="s">
        <v>110</v>
      </c>
      <c r="I57" s="2"/>
    </row>
    <row r="58" spans="1:9" ht="19.8" customHeight="1" x14ac:dyDescent="0.3">
      <c r="A58" s="75">
        <v>45983</v>
      </c>
      <c r="B58" s="68" t="s">
        <v>73</v>
      </c>
      <c r="C58" s="69" t="s">
        <v>80</v>
      </c>
      <c r="D58" s="68" t="s">
        <v>1</v>
      </c>
      <c r="E58" s="76">
        <v>1.2361111111111109</v>
      </c>
      <c r="F58" s="68" t="s">
        <v>81</v>
      </c>
      <c r="G58" s="68"/>
      <c r="H58" s="71" t="s">
        <v>82</v>
      </c>
      <c r="I58" s="2"/>
    </row>
    <row r="59" spans="1:9" ht="19.8" customHeight="1" x14ac:dyDescent="0.3">
      <c r="A59" s="77">
        <v>45983</v>
      </c>
      <c r="B59" s="78" t="s">
        <v>73</v>
      </c>
      <c r="C59" s="79" t="s">
        <v>85</v>
      </c>
      <c r="D59" s="78" t="s">
        <v>1</v>
      </c>
      <c r="E59" s="80">
        <v>1.333333333333333</v>
      </c>
      <c r="F59" s="78" t="s">
        <v>81</v>
      </c>
      <c r="G59" s="78"/>
      <c r="H59" s="81" t="s">
        <v>82</v>
      </c>
      <c r="I59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1.777343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82" t="s">
        <v>192</v>
      </c>
      <c r="B1" s="82" t="s">
        <v>8</v>
      </c>
      <c r="C1" s="82" t="s">
        <v>9</v>
      </c>
      <c r="D1" s="82" t="s">
        <v>193</v>
      </c>
      <c r="E1" s="82" t="s">
        <v>10</v>
      </c>
      <c r="F1" s="82" t="s">
        <v>11</v>
      </c>
      <c r="G1" s="82" t="s">
        <v>12</v>
      </c>
      <c r="H1" s="82" t="s">
        <v>13</v>
      </c>
      <c r="I1" s="82" t="s">
        <v>209</v>
      </c>
    </row>
    <row r="2" spans="1:9" ht="15.6" x14ac:dyDescent="0.3">
      <c r="A2" s="83" t="s">
        <v>194</v>
      </c>
      <c r="B2" s="83" t="s">
        <v>73</v>
      </c>
      <c r="C2" s="83" t="s">
        <v>74</v>
      </c>
      <c r="D2" s="83" t="s">
        <v>1</v>
      </c>
      <c r="E2" s="83" t="s">
        <v>180</v>
      </c>
      <c r="F2" s="83" t="s">
        <v>75</v>
      </c>
      <c r="G2" s="83" t="s">
        <v>210</v>
      </c>
      <c r="H2" s="83" t="s">
        <v>76</v>
      </c>
      <c r="I2" s="84" t="s">
        <v>211</v>
      </c>
    </row>
    <row r="3" spans="1:9" ht="15.6" x14ac:dyDescent="0.3">
      <c r="A3" s="85" t="s">
        <v>194</v>
      </c>
      <c r="B3" s="85" t="s">
        <v>26</v>
      </c>
      <c r="C3" s="85" t="s">
        <v>27</v>
      </c>
      <c r="D3" s="85" t="s">
        <v>1</v>
      </c>
      <c r="E3" s="85" t="s">
        <v>195</v>
      </c>
      <c r="F3" s="85" t="s">
        <v>28</v>
      </c>
      <c r="G3" s="85" t="s">
        <v>212</v>
      </c>
      <c r="H3" s="85" t="s">
        <v>30</v>
      </c>
      <c r="I3" s="86" t="s">
        <v>213</v>
      </c>
    </row>
    <row r="4" spans="1:9" ht="15.6" x14ac:dyDescent="0.3">
      <c r="A4" s="85" t="s">
        <v>194</v>
      </c>
      <c r="B4" s="85" t="s">
        <v>38</v>
      </c>
      <c r="C4" s="85" t="s">
        <v>39</v>
      </c>
      <c r="D4" s="85" t="s">
        <v>1</v>
      </c>
      <c r="E4" s="85" t="s">
        <v>196</v>
      </c>
      <c r="F4" s="85" t="s">
        <v>40</v>
      </c>
      <c r="G4" s="85" t="s">
        <v>210</v>
      </c>
      <c r="H4" s="85" t="s">
        <v>42</v>
      </c>
      <c r="I4" s="86" t="s">
        <v>214</v>
      </c>
    </row>
    <row r="5" spans="1:9" ht="15.6" x14ac:dyDescent="0.3">
      <c r="A5" s="85" t="s">
        <v>194</v>
      </c>
      <c r="B5" s="85" t="s">
        <v>38</v>
      </c>
      <c r="C5" s="85" t="s">
        <v>48</v>
      </c>
      <c r="D5" s="85" t="s">
        <v>1</v>
      </c>
      <c r="E5" s="85" t="s">
        <v>197</v>
      </c>
      <c r="F5" s="85" t="s">
        <v>40</v>
      </c>
      <c r="G5" s="85" t="s">
        <v>215</v>
      </c>
      <c r="H5" s="85" t="s">
        <v>42</v>
      </c>
      <c r="I5" s="86" t="s">
        <v>214</v>
      </c>
    </row>
    <row r="6" spans="1:9" ht="15.6" x14ac:dyDescent="0.3">
      <c r="A6" s="85" t="s">
        <v>194</v>
      </c>
      <c r="B6" s="85" t="s">
        <v>38</v>
      </c>
      <c r="C6" s="85" t="s">
        <v>51</v>
      </c>
      <c r="D6" s="85" t="s">
        <v>1</v>
      </c>
      <c r="E6" s="85" t="s">
        <v>198</v>
      </c>
      <c r="F6" s="85" t="s">
        <v>40</v>
      </c>
      <c r="G6" s="85" t="s">
        <v>215</v>
      </c>
      <c r="H6" s="85" t="s">
        <v>42</v>
      </c>
      <c r="I6" s="86" t="s">
        <v>214</v>
      </c>
    </row>
    <row r="7" spans="1:9" ht="15.6" x14ac:dyDescent="0.3">
      <c r="A7" s="85" t="s">
        <v>194</v>
      </c>
      <c r="B7" s="85" t="s">
        <v>38</v>
      </c>
      <c r="C7" s="85" t="s">
        <v>52</v>
      </c>
      <c r="D7" s="85" t="s">
        <v>1</v>
      </c>
      <c r="E7" s="85" t="s">
        <v>199</v>
      </c>
      <c r="F7" s="85" t="s">
        <v>40</v>
      </c>
      <c r="G7" s="85" t="s">
        <v>215</v>
      </c>
      <c r="H7" s="85" t="s">
        <v>42</v>
      </c>
      <c r="I7" s="86" t="s">
        <v>214</v>
      </c>
    </row>
    <row r="8" spans="1:9" ht="15.6" x14ac:dyDescent="0.3">
      <c r="A8" s="85" t="s">
        <v>194</v>
      </c>
      <c r="B8" s="85" t="s">
        <v>61</v>
      </c>
      <c r="C8" s="85" t="s">
        <v>62</v>
      </c>
      <c r="D8" s="85" t="s">
        <v>1</v>
      </c>
      <c r="E8" s="85" t="s">
        <v>200</v>
      </c>
      <c r="F8" s="85" t="s">
        <v>63</v>
      </c>
      <c r="G8" s="85" t="s">
        <v>215</v>
      </c>
      <c r="H8" s="85" t="s">
        <v>65</v>
      </c>
      <c r="I8" s="87" t="s">
        <v>216</v>
      </c>
    </row>
    <row r="9" spans="1:9" ht="15.6" x14ac:dyDescent="0.3">
      <c r="A9" s="85" t="s">
        <v>194</v>
      </c>
      <c r="B9" s="85" t="s">
        <v>61</v>
      </c>
      <c r="C9" s="85" t="s">
        <v>66</v>
      </c>
      <c r="D9" s="85" t="s">
        <v>1</v>
      </c>
      <c r="E9" s="85" t="s">
        <v>201</v>
      </c>
      <c r="F9" s="85" t="s">
        <v>63</v>
      </c>
      <c r="G9" s="85" t="s">
        <v>215</v>
      </c>
      <c r="H9" s="85" t="s">
        <v>67</v>
      </c>
      <c r="I9" s="87" t="s">
        <v>217</v>
      </c>
    </row>
    <row r="10" spans="1:9" ht="15.6" x14ac:dyDescent="0.3">
      <c r="A10" s="85" t="s">
        <v>194</v>
      </c>
      <c r="B10" s="85" t="s">
        <v>26</v>
      </c>
      <c r="C10" s="85" t="s">
        <v>31</v>
      </c>
      <c r="D10" s="85" t="s">
        <v>1</v>
      </c>
      <c r="E10" s="85" t="s">
        <v>202</v>
      </c>
      <c r="F10" s="85" t="s">
        <v>28</v>
      </c>
      <c r="G10" s="85" t="s">
        <v>210</v>
      </c>
      <c r="H10" s="85" t="s">
        <v>33</v>
      </c>
      <c r="I10" s="86" t="s">
        <v>218</v>
      </c>
    </row>
    <row r="11" spans="1:9" ht="15.6" x14ac:dyDescent="0.3">
      <c r="A11" s="85" t="s">
        <v>194</v>
      </c>
      <c r="B11" s="85" t="s">
        <v>26</v>
      </c>
      <c r="C11" s="85" t="s">
        <v>34</v>
      </c>
      <c r="D11" s="85" t="s">
        <v>1</v>
      </c>
      <c r="E11" s="85" t="s">
        <v>203</v>
      </c>
      <c r="F11" s="85" t="s">
        <v>28</v>
      </c>
      <c r="G11" s="85" t="s">
        <v>219</v>
      </c>
      <c r="H11" s="85" t="s">
        <v>33</v>
      </c>
      <c r="I11" s="86" t="s">
        <v>218</v>
      </c>
    </row>
    <row r="12" spans="1:9" ht="15.6" x14ac:dyDescent="0.3">
      <c r="A12" s="85" t="s">
        <v>194</v>
      </c>
      <c r="B12" s="85" t="s">
        <v>26</v>
      </c>
      <c r="C12" s="85" t="s">
        <v>36</v>
      </c>
      <c r="D12" s="85" t="s">
        <v>1</v>
      </c>
      <c r="E12" s="85" t="s">
        <v>204</v>
      </c>
      <c r="F12" s="85" t="s">
        <v>28</v>
      </c>
      <c r="G12" s="85" t="s">
        <v>220</v>
      </c>
      <c r="H12" s="85" t="s">
        <v>33</v>
      </c>
      <c r="I12" s="86" t="s">
        <v>218</v>
      </c>
    </row>
    <row r="13" spans="1:9" ht="15.6" x14ac:dyDescent="0.3">
      <c r="A13" s="85" t="s">
        <v>194</v>
      </c>
      <c r="B13" s="85" t="s">
        <v>68</v>
      </c>
      <c r="C13" s="85" t="s">
        <v>69</v>
      </c>
      <c r="D13" s="85" t="s">
        <v>1</v>
      </c>
      <c r="E13" s="85" t="s">
        <v>205</v>
      </c>
      <c r="F13" s="85" t="s">
        <v>70</v>
      </c>
      <c r="G13" s="85" t="s">
        <v>221</v>
      </c>
      <c r="H13" s="85" t="s">
        <v>72</v>
      </c>
      <c r="I13" s="87" t="s">
        <v>222</v>
      </c>
    </row>
    <row r="14" spans="1:9" ht="15.6" x14ac:dyDescent="0.3">
      <c r="A14" s="85" t="s">
        <v>194</v>
      </c>
      <c r="B14" s="85" t="s">
        <v>38</v>
      </c>
      <c r="C14" s="85" t="s">
        <v>53</v>
      </c>
      <c r="D14" s="85" t="s">
        <v>1</v>
      </c>
      <c r="E14" s="85" t="s">
        <v>206</v>
      </c>
      <c r="F14" s="85" t="s">
        <v>40</v>
      </c>
      <c r="G14" s="85" t="s">
        <v>223</v>
      </c>
      <c r="H14" s="85" t="s">
        <v>55</v>
      </c>
      <c r="I14" s="86" t="s">
        <v>213</v>
      </c>
    </row>
    <row r="15" spans="1:9" ht="15.6" x14ac:dyDescent="0.3">
      <c r="A15" s="85" t="s">
        <v>194</v>
      </c>
      <c r="B15" s="85" t="s">
        <v>38</v>
      </c>
      <c r="C15" s="85" t="s">
        <v>59</v>
      </c>
      <c r="D15" s="85" t="s">
        <v>1</v>
      </c>
      <c r="E15" s="85" t="s">
        <v>207</v>
      </c>
      <c r="F15" s="85" t="s">
        <v>40</v>
      </c>
      <c r="G15" s="85" t="s">
        <v>223</v>
      </c>
      <c r="H15" s="85" t="s">
        <v>55</v>
      </c>
      <c r="I15" s="86" t="s">
        <v>213</v>
      </c>
    </row>
    <row r="16" spans="1:9" ht="15.6" x14ac:dyDescent="0.3">
      <c r="A16" s="85" t="s">
        <v>194</v>
      </c>
      <c r="B16" s="85" t="s">
        <v>38</v>
      </c>
      <c r="C16" s="85" t="s">
        <v>60</v>
      </c>
      <c r="D16" s="85" t="s">
        <v>1</v>
      </c>
      <c r="E16" s="85" t="s">
        <v>208</v>
      </c>
      <c r="F16" s="85" t="s">
        <v>40</v>
      </c>
      <c r="G16" s="85" t="s">
        <v>215</v>
      </c>
      <c r="H16" s="85" t="s">
        <v>55</v>
      </c>
      <c r="I16" s="86" t="s">
        <v>213</v>
      </c>
    </row>
    <row r="17" spans="1:9" ht="15.6" x14ac:dyDescent="0.3">
      <c r="A17" s="85" t="s">
        <v>194</v>
      </c>
      <c r="B17" s="85" t="s">
        <v>38</v>
      </c>
      <c r="C17" s="85" t="s">
        <v>39</v>
      </c>
      <c r="D17" s="85" t="s">
        <v>1</v>
      </c>
      <c r="E17" s="85" t="s">
        <v>196</v>
      </c>
      <c r="F17" s="85" t="s">
        <v>43</v>
      </c>
      <c r="G17" s="85" t="s">
        <v>210</v>
      </c>
      <c r="H17" s="85" t="s">
        <v>45</v>
      </c>
      <c r="I17" s="87" t="s">
        <v>224</v>
      </c>
    </row>
    <row r="18" spans="1:9" ht="15.6" x14ac:dyDescent="0.3">
      <c r="A18" s="85" t="s">
        <v>194</v>
      </c>
      <c r="B18" s="85" t="s">
        <v>38</v>
      </c>
      <c r="C18" s="85" t="s">
        <v>48</v>
      </c>
      <c r="D18" s="85" t="s">
        <v>1</v>
      </c>
      <c r="E18" s="85" t="s">
        <v>197</v>
      </c>
      <c r="F18" s="85" t="s">
        <v>43</v>
      </c>
      <c r="G18" s="85" t="s">
        <v>215</v>
      </c>
      <c r="H18" s="85" t="s">
        <v>45</v>
      </c>
      <c r="I18" s="87" t="s">
        <v>224</v>
      </c>
    </row>
    <row r="19" spans="1:9" ht="15.6" x14ac:dyDescent="0.3">
      <c r="A19" s="85" t="s">
        <v>194</v>
      </c>
      <c r="B19" s="85" t="s">
        <v>38</v>
      </c>
      <c r="C19" s="85" t="s">
        <v>51</v>
      </c>
      <c r="D19" s="85" t="s">
        <v>1</v>
      </c>
      <c r="E19" s="85" t="s">
        <v>198</v>
      </c>
      <c r="F19" s="85" t="s">
        <v>43</v>
      </c>
      <c r="G19" s="85" t="s">
        <v>215</v>
      </c>
      <c r="H19" s="85" t="s">
        <v>45</v>
      </c>
      <c r="I19" s="87" t="s">
        <v>224</v>
      </c>
    </row>
    <row r="20" spans="1:9" ht="15.6" x14ac:dyDescent="0.3">
      <c r="A20" s="85" t="s">
        <v>194</v>
      </c>
      <c r="B20" s="85" t="s">
        <v>38</v>
      </c>
      <c r="C20" s="85" t="s">
        <v>52</v>
      </c>
      <c r="D20" s="85" t="s">
        <v>1</v>
      </c>
      <c r="E20" s="85" t="s">
        <v>199</v>
      </c>
      <c r="F20" s="85" t="s">
        <v>43</v>
      </c>
      <c r="G20" s="85" t="s">
        <v>215</v>
      </c>
      <c r="H20" s="85" t="s">
        <v>45</v>
      </c>
      <c r="I20" s="87" t="s">
        <v>224</v>
      </c>
    </row>
    <row r="21" spans="1:9" ht="15.6" x14ac:dyDescent="0.3">
      <c r="A21" s="85" t="s">
        <v>194</v>
      </c>
      <c r="B21" s="85" t="s">
        <v>38</v>
      </c>
      <c r="C21" s="85" t="s">
        <v>53</v>
      </c>
      <c r="D21" s="85" t="s">
        <v>1</v>
      </c>
      <c r="E21" s="85" t="s">
        <v>206</v>
      </c>
      <c r="F21" s="85" t="s">
        <v>43</v>
      </c>
      <c r="G21" s="85" t="s">
        <v>223</v>
      </c>
      <c r="H21" s="85" t="s">
        <v>57</v>
      </c>
      <c r="I21" s="86" t="s">
        <v>214</v>
      </c>
    </row>
    <row r="22" spans="1:9" ht="15.6" x14ac:dyDescent="0.3">
      <c r="A22" s="85" t="s">
        <v>194</v>
      </c>
      <c r="B22" s="85" t="s">
        <v>38</v>
      </c>
      <c r="C22" s="85" t="s">
        <v>59</v>
      </c>
      <c r="D22" s="85" t="s">
        <v>1</v>
      </c>
      <c r="E22" s="85" t="s">
        <v>207</v>
      </c>
      <c r="F22" s="85" t="s">
        <v>43</v>
      </c>
      <c r="G22" s="85" t="s">
        <v>223</v>
      </c>
      <c r="H22" s="85" t="s">
        <v>57</v>
      </c>
      <c r="I22" s="86" t="s">
        <v>214</v>
      </c>
    </row>
    <row r="23" spans="1:9" ht="15.6" x14ac:dyDescent="0.3">
      <c r="A23" s="85" t="s">
        <v>194</v>
      </c>
      <c r="B23" s="85" t="s">
        <v>38</v>
      </c>
      <c r="C23" s="85" t="s">
        <v>60</v>
      </c>
      <c r="D23" s="85" t="s">
        <v>1</v>
      </c>
      <c r="E23" s="85" t="s">
        <v>208</v>
      </c>
      <c r="F23" s="85" t="s">
        <v>43</v>
      </c>
      <c r="G23" s="85" t="s">
        <v>215</v>
      </c>
      <c r="H23" s="85" t="s">
        <v>57</v>
      </c>
      <c r="I23" s="86" t="s">
        <v>214</v>
      </c>
    </row>
    <row r="24" spans="1:9" ht="15.6" x14ac:dyDescent="0.3">
      <c r="A24" s="85" t="s">
        <v>194</v>
      </c>
      <c r="B24" s="85" t="s">
        <v>38</v>
      </c>
      <c r="C24" s="85" t="s">
        <v>39</v>
      </c>
      <c r="D24" s="85" t="s">
        <v>1</v>
      </c>
      <c r="E24" s="85" t="s">
        <v>196</v>
      </c>
      <c r="F24" s="85" t="s">
        <v>46</v>
      </c>
      <c r="G24" s="85" t="s">
        <v>210</v>
      </c>
      <c r="H24" s="85" t="s">
        <v>47</v>
      </c>
      <c r="I24" s="87" t="s">
        <v>225</v>
      </c>
    </row>
    <row r="25" spans="1:9" ht="15.6" x14ac:dyDescent="0.3">
      <c r="A25" s="85" t="s">
        <v>194</v>
      </c>
      <c r="B25" s="85" t="s">
        <v>38</v>
      </c>
      <c r="C25" s="85" t="s">
        <v>48</v>
      </c>
      <c r="D25" s="85" t="s">
        <v>1</v>
      </c>
      <c r="E25" s="85" t="s">
        <v>197</v>
      </c>
      <c r="F25" s="85" t="s">
        <v>46</v>
      </c>
      <c r="G25" s="85" t="s">
        <v>215</v>
      </c>
      <c r="H25" s="85" t="s">
        <v>47</v>
      </c>
      <c r="I25" s="87" t="s">
        <v>225</v>
      </c>
    </row>
    <row r="26" spans="1:9" ht="15.6" x14ac:dyDescent="0.3">
      <c r="A26" s="85" t="s">
        <v>194</v>
      </c>
      <c r="B26" s="85" t="s">
        <v>38</v>
      </c>
      <c r="C26" s="85" t="s">
        <v>51</v>
      </c>
      <c r="D26" s="85" t="s">
        <v>1</v>
      </c>
      <c r="E26" s="85" t="s">
        <v>198</v>
      </c>
      <c r="F26" s="85" t="s">
        <v>46</v>
      </c>
      <c r="G26" s="85" t="s">
        <v>215</v>
      </c>
      <c r="H26" s="85" t="s">
        <v>47</v>
      </c>
      <c r="I26" s="87" t="s">
        <v>225</v>
      </c>
    </row>
    <row r="27" spans="1:9" ht="15.6" x14ac:dyDescent="0.3">
      <c r="A27" s="85" t="s">
        <v>194</v>
      </c>
      <c r="B27" s="85" t="s">
        <v>38</v>
      </c>
      <c r="C27" s="85" t="s">
        <v>52</v>
      </c>
      <c r="D27" s="85" t="s">
        <v>1</v>
      </c>
      <c r="E27" s="85" t="s">
        <v>199</v>
      </c>
      <c r="F27" s="85" t="s">
        <v>46</v>
      </c>
      <c r="G27" s="85" t="s">
        <v>215</v>
      </c>
      <c r="H27" s="85" t="s">
        <v>47</v>
      </c>
      <c r="I27" s="87" t="s">
        <v>225</v>
      </c>
    </row>
    <row r="28" spans="1:9" ht="15.6" x14ac:dyDescent="0.3">
      <c r="A28" s="85" t="s">
        <v>194</v>
      </c>
      <c r="B28" s="85" t="s">
        <v>38</v>
      </c>
      <c r="C28" s="85" t="s">
        <v>53</v>
      </c>
      <c r="D28" s="85" t="s">
        <v>1</v>
      </c>
      <c r="E28" s="85" t="s">
        <v>206</v>
      </c>
      <c r="F28" s="85" t="s">
        <v>46</v>
      </c>
      <c r="G28" s="85" t="s">
        <v>223</v>
      </c>
      <c r="H28" s="85" t="s">
        <v>58</v>
      </c>
      <c r="I28" s="87" t="s">
        <v>226</v>
      </c>
    </row>
    <row r="29" spans="1:9" ht="15.6" x14ac:dyDescent="0.3">
      <c r="A29" s="85" t="s">
        <v>194</v>
      </c>
      <c r="B29" s="85" t="s">
        <v>38</v>
      </c>
      <c r="C29" s="85" t="s">
        <v>59</v>
      </c>
      <c r="D29" s="85" t="s">
        <v>1</v>
      </c>
      <c r="E29" s="85" t="s">
        <v>207</v>
      </c>
      <c r="F29" s="85" t="s">
        <v>46</v>
      </c>
      <c r="G29" s="85" t="s">
        <v>223</v>
      </c>
      <c r="H29" s="85" t="s">
        <v>58</v>
      </c>
      <c r="I29" s="87" t="s">
        <v>226</v>
      </c>
    </row>
    <row r="30" spans="1:9" ht="15.6" x14ac:dyDescent="0.3">
      <c r="A30" s="85" t="s">
        <v>194</v>
      </c>
      <c r="B30" s="85" t="s">
        <v>38</v>
      </c>
      <c r="C30" s="85" t="s">
        <v>60</v>
      </c>
      <c r="D30" s="85" t="s">
        <v>1</v>
      </c>
      <c r="E30" s="85" t="s">
        <v>208</v>
      </c>
      <c r="F30" s="85" t="s">
        <v>46</v>
      </c>
      <c r="G30" s="85" t="s">
        <v>215</v>
      </c>
      <c r="H30" s="85" t="s">
        <v>58</v>
      </c>
      <c r="I30" s="87" t="s">
        <v>226</v>
      </c>
    </row>
    <row r="31" spans="1:9" ht="15.6" x14ac:dyDescent="0.3">
      <c r="A31" s="85" t="s">
        <v>194</v>
      </c>
      <c r="B31" s="85" t="s">
        <v>87</v>
      </c>
      <c r="C31" s="85" t="s">
        <v>88</v>
      </c>
      <c r="D31" s="85" t="s">
        <v>1</v>
      </c>
      <c r="E31" s="85" t="s">
        <v>227</v>
      </c>
      <c r="F31" s="85" t="s">
        <v>92</v>
      </c>
      <c r="G31" s="85" t="s">
        <v>228</v>
      </c>
      <c r="H31" s="85" t="s">
        <v>94</v>
      </c>
      <c r="I31" s="87" t="s">
        <v>229</v>
      </c>
    </row>
    <row r="32" spans="1:9" ht="15.6" x14ac:dyDescent="0.3">
      <c r="A32" s="85" t="s">
        <v>194</v>
      </c>
      <c r="B32" s="85" t="s">
        <v>87</v>
      </c>
      <c r="C32" s="85" t="s">
        <v>95</v>
      </c>
      <c r="D32" s="85" t="s">
        <v>1</v>
      </c>
      <c r="E32" s="85" t="s">
        <v>230</v>
      </c>
      <c r="F32" s="85" t="s">
        <v>92</v>
      </c>
      <c r="G32" s="85" t="s">
        <v>221</v>
      </c>
      <c r="H32" s="85" t="s">
        <v>94</v>
      </c>
      <c r="I32" s="87" t="s">
        <v>229</v>
      </c>
    </row>
    <row r="33" spans="1:9" ht="15.6" x14ac:dyDescent="0.3">
      <c r="A33" s="85" t="s">
        <v>194</v>
      </c>
      <c r="B33" s="85" t="s">
        <v>87</v>
      </c>
      <c r="C33" s="85" t="s">
        <v>98</v>
      </c>
      <c r="D33" s="85" t="s">
        <v>1</v>
      </c>
      <c r="E33" s="85" t="s">
        <v>231</v>
      </c>
      <c r="F33" s="85" t="s">
        <v>92</v>
      </c>
      <c r="G33" s="85" t="s">
        <v>210</v>
      </c>
      <c r="H33" s="85" t="s">
        <v>94</v>
      </c>
      <c r="I33" s="87" t="s">
        <v>229</v>
      </c>
    </row>
    <row r="34" spans="1:9" ht="15.6" x14ac:dyDescent="0.3">
      <c r="A34" s="85" t="s">
        <v>194</v>
      </c>
      <c r="B34" s="85" t="s">
        <v>87</v>
      </c>
      <c r="C34" s="85" t="s">
        <v>99</v>
      </c>
      <c r="D34" s="85" t="s">
        <v>1</v>
      </c>
      <c r="E34" s="85" t="s">
        <v>232</v>
      </c>
      <c r="F34" s="85" t="s">
        <v>92</v>
      </c>
      <c r="G34" s="85" t="s">
        <v>228</v>
      </c>
      <c r="H34" s="85" t="s">
        <v>94</v>
      </c>
      <c r="I34" s="87" t="s">
        <v>229</v>
      </c>
    </row>
    <row r="35" spans="1:9" ht="15.6" x14ac:dyDescent="0.3">
      <c r="A35" s="85" t="s">
        <v>194</v>
      </c>
      <c r="B35" s="85" t="s">
        <v>87</v>
      </c>
      <c r="C35" s="85" t="s">
        <v>101</v>
      </c>
      <c r="D35" s="85" t="s">
        <v>1</v>
      </c>
      <c r="E35" s="85" t="s">
        <v>233</v>
      </c>
      <c r="F35" s="85" t="s">
        <v>92</v>
      </c>
      <c r="G35" s="85" t="s">
        <v>228</v>
      </c>
      <c r="H35" s="85" t="s">
        <v>94</v>
      </c>
      <c r="I35" s="87" t="s">
        <v>229</v>
      </c>
    </row>
    <row r="36" spans="1:9" ht="15.6" x14ac:dyDescent="0.3">
      <c r="A36" s="85" t="s">
        <v>194</v>
      </c>
      <c r="B36" s="85" t="s">
        <v>87</v>
      </c>
      <c r="C36" s="85" t="s">
        <v>102</v>
      </c>
      <c r="D36" s="85" t="s">
        <v>1</v>
      </c>
      <c r="E36" s="85" t="s">
        <v>234</v>
      </c>
      <c r="F36" s="85" t="s">
        <v>92</v>
      </c>
      <c r="G36" s="85" t="s">
        <v>228</v>
      </c>
      <c r="H36" s="85" t="s">
        <v>104</v>
      </c>
      <c r="I36" s="87" t="s">
        <v>235</v>
      </c>
    </row>
    <row r="37" spans="1:9" ht="15.6" x14ac:dyDescent="0.3">
      <c r="A37" s="85" t="s">
        <v>194</v>
      </c>
      <c r="B37" s="85" t="s">
        <v>87</v>
      </c>
      <c r="C37" s="85" t="s">
        <v>105</v>
      </c>
      <c r="D37" s="85" t="s">
        <v>1</v>
      </c>
      <c r="E37" s="85" t="s">
        <v>195</v>
      </c>
      <c r="F37" s="85" t="s">
        <v>92</v>
      </c>
      <c r="G37" s="85" t="s">
        <v>236</v>
      </c>
      <c r="H37" s="85" t="s">
        <v>107</v>
      </c>
      <c r="I37" s="87" t="s">
        <v>237</v>
      </c>
    </row>
    <row r="38" spans="1:9" ht="15.6" x14ac:dyDescent="0.3">
      <c r="A38" s="85" t="s">
        <v>194</v>
      </c>
      <c r="B38" s="85" t="s">
        <v>87</v>
      </c>
      <c r="C38" s="85" t="s">
        <v>112</v>
      </c>
      <c r="D38" s="85" t="s">
        <v>1</v>
      </c>
      <c r="E38" s="85" t="s">
        <v>202</v>
      </c>
      <c r="F38" s="85" t="s">
        <v>92</v>
      </c>
      <c r="G38" s="85" t="s">
        <v>236</v>
      </c>
      <c r="H38" s="85" t="s">
        <v>113</v>
      </c>
      <c r="I38" s="88" t="s">
        <v>238</v>
      </c>
    </row>
    <row r="39" spans="1:9" ht="15.6" x14ac:dyDescent="0.3">
      <c r="A39" s="85" t="s">
        <v>194</v>
      </c>
      <c r="B39" s="85" t="s">
        <v>87</v>
      </c>
      <c r="C39" s="85" t="s">
        <v>114</v>
      </c>
      <c r="D39" s="85" t="s">
        <v>1</v>
      </c>
      <c r="E39" s="85" t="s">
        <v>203</v>
      </c>
      <c r="F39" s="85" t="s">
        <v>92</v>
      </c>
      <c r="G39" s="85" t="s">
        <v>236</v>
      </c>
      <c r="H39" s="85" t="s">
        <v>113</v>
      </c>
      <c r="I39" s="88" t="s">
        <v>238</v>
      </c>
    </row>
    <row r="40" spans="1:9" ht="15.6" x14ac:dyDescent="0.3">
      <c r="A40" s="85" t="s">
        <v>194</v>
      </c>
      <c r="B40" s="85" t="s">
        <v>87</v>
      </c>
      <c r="C40" s="85" t="s">
        <v>115</v>
      </c>
      <c r="D40" s="85" t="s">
        <v>1</v>
      </c>
      <c r="E40" s="85" t="s">
        <v>204</v>
      </c>
      <c r="F40" s="85" t="s">
        <v>92</v>
      </c>
      <c r="G40" s="85" t="s">
        <v>236</v>
      </c>
      <c r="H40" s="85" t="s">
        <v>113</v>
      </c>
      <c r="I40" s="88" t="s">
        <v>238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outlineLevelCol="1" x14ac:dyDescent="0.3"/>
  <cols>
    <col min="1" max="1" width="11" bestFit="1" customWidth="1"/>
    <col min="2" max="2" width="10.44140625" bestFit="1" customWidth="1"/>
    <col min="3" max="3" width="7.33203125" bestFit="1" customWidth="1"/>
    <col min="4" max="4" width="6.109375" bestFit="1" customWidth="1"/>
    <col min="5" max="5" width="8.21875" bestFit="1" customWidth="1"/>
    <col min="6" max="6" width="4.33203125" bestFit="1" customWidth="1"/>
    <col min="7" max="7" width="7.5546875" bestFit="1" customWidth="1"/>
    <col min="8" max="8" width="4.5546875" bestFit="1" customWidth="1"/>
    <col min="9" max="10" width="6.88671875" bestFit="1" customWidth="1"/>
    <col min="11" max="11" width="11.777343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4" width="2.33203125" bestFit="1" customWidth="1"/>
    <col min="25" max="33" width="3.6640625" bestFit="1" customWidth="1"/>
    <col min="34" max="34" width="2.33203125" bestFit="1" customWidth="1"/>
    <col min="35" max="35" width="5" bestFit="1" customWidth="1"/>
    <col min="36" max="36" width="2.44140625" bestFit="1" customWidth="1"/>
  </cols>
  <sheetData>
    <row r="1" spans="1:36" x14ac:dyDescent="0.3">
      <c r="A1" s="2" t="s">
        <v>130</v>
      </c>
      <c r="B1" s="2" t="s">
        <v>131</v>
      </c>
      <c r="C1" s="2" t="s">
        <v>132</v>
      </c>
      <c r="D1" s="2" t="s">
        <v>23</v>
      </c>
      <c r="E1" s="2" t="s">
        <v>133</v>
      </c>
      <c r="F1" s="2" t="s">
        <v>134</v>
      </c>
      <c r="G1" s="2" t="s">
        <v>16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139</v>
      </c>
      <c r="R1" s="2" t="s">
        <v>140</v>
      </c>
      <c r="S1" s="2" t="s">
        <v>141</v>
      </c>
      <c r="T1" s="2" t="s">
        <v>142</v>
      </c>
      <c r="U1" s="2" t="s">
        <v>143</v>
      </c>
      <c r="V1" s="2" t="s">
        <v>144</v>
      </c>
      <c r="W1" s="2" t="s">
        <v>145</v>
      </c>
      <c r="X1" s="2" t="s">
        <v>146</v>
      </c>
      <c r="Y1" s="2" t="s">
        <v>147</v>
      </c>
      <c r="Z1" s="2" t="s">
        <v>148</v>
      </c>
      <c r="AA1" s="2" t="s">
        <v>149</v>
      </c>
      <c r="AB1" s="2" t="s">
        <v>150</v>
      </c>
      <c r="AC1" s="2" t="s">
        <v>151</v>
      </c>
      <c r="AD1" s="2" t="s">
        <v>152</v>
      </c>
      <c r="AE1" s="2" t="s">
        <v>153</v>
      </c>
      <c r="AF1" s="2" t="s">
        <v>154</v>
      </c>
      <c r="AG1" s="2" t="s">
        <v>155</v>
      </c>
      <c r="AH1" s="2" t="s">
        <v>156</v>
      </c>
      <c r="AI1" s="2" t="s">
        <v>157</v>
      </c>
      <c r="AJ1" s="2" t="s">
        <v>158</v>
      </c>
    </row>
    <row r="2" spans="1:36" x14ac:dyDescent="0.3">
      <c r="A2" s="89" t="s">
        <v>159</v>
      </c>
      <c r="B2" s="90">
        <v>45983</v>
      </c>
      <c r="C2" s="2" t="s">
        <v>80</v>
      </c>
      <c r="D2" s="91" t="s">
        <v>160</v>
      </c>
      <c r="E2" s="2" t="s">
        <v>1</v>
      </c>
      <c r="F2" s="2" t="s">
        <v>161</v>
      </c>
      <c r="G2" s="92">
        <v>1</v>
      </c>
      <c r="H2" s="58">
        <v>179</v>
      </c>
      <c r="I2" s="58">
        <v>179</v>
      </c>
      <c r="J2" s="58">
        <v>50</v>
      </c>
      <c r="K2" s="58" t="s">
        <v>162</v>
      </c>
      <c r="L2" s="93">
        <v>45981</v>
      </c>
      <c r="M2" s="58">
        <v>0</v>
      </c>
      <c r="N2" s="58">
        <v>9</v>
      </c>
      <c r="O2" s="58">
        <v>9</v>
      </c>
      <c r="P2" s="58" t="s">
        <v>83</v>
      </c>
      <c r="Q2" s="58">
        <v>0</v>
      </c>
      <c r="R2" s="58">
        <v>0</v>
      </c>
      <c r="S2" s="58">
        <v>0</v>
      </c>
      <c r="T2" s="58">
        <v>0</v>
      </c>
      <c r="U2" s="58">
        <v>0</v>
      </c>
      <c r="V2" s="58">
        <v>0</v>
      </c>
      <c r="W2" s="58">
        <v>7</v>
      </c>
      <c r="X2" s="58">
        <v>0</v>
      </c>
      <c r="Y2" s="58">
        <v>16</v>
      </c>
      <c r="Z2" s="58">
        <v>17</v>
      </c>
      <c r="AA2" s="58">
        <v>21</v>
      </c>
      <c r="AB2" s="58">
        <v>10</v>
      </c>
      <c r="AC2" s="58">
        <v>9</v>
      </c>
      <c r="AD2" s="58">
        <v>17</v>
      </c>
      <c r="AE2" s="58">
        <v>16</v>
      </c>
      <c r="AF2" s="58">
        <v>16</v>
      </c>
      <c r="AG2" s="58">
        <v>0</v>
      </c>
      <c r="AH2" s="58">
        <v>0</v>
      </c>
      <c r="AI2" s="58">
        <v>50</v>
      </c>
      <c r="AJ2" s="58">
        <v>0</v>
      </c>
    </row>
    <row r="3" spans="1:36" x14ac:dyDescent="0.3">
      <c r="A3" s="89" t="s">
        <v>159</v>
      </c>
      <c r="B3" s="90">
        <v>45983</v>
      </c>
      <c r="C3" s="2" t="s">
        <v>85</v>
      </c>
      <c r="D3" s="91" t="s">
        <v>173</v>
      </c>
      <c r="E3" s="2" t="s">
        <v>1</v>
      </c>
      <c r="F3" s="2" t="s">
        <v>161</v>
      </c>
      <c r="G3" s="92">
        <v>1</v>
      </c>
      <c r="H3" s="58">
        <v>179</v>
      </c>
      <c r="I3" s="58">
        <v>179</v>
      </c>
      <c r="J3" s="58">
        <v>134</v>
      </c>
      <c r="K3" s="58" t="s">
        <v>162</v>
      </c>
      <c r="L3" s="93">
        <v>45979</v>
      </c>
      <c r="M3" s="58">
        <v>0</v>
      </c>
      <c r="N3" s="58">
        <v>0</v>
      </c>
      <c r="O3" s="58">
        <v>4</v>
      </c>
      <c r="P3" s="58" t="s">
        <v>83</v>
      </c>
      <c r="Q3" s="58">
        <v>0</v>
      </c>
      <c r="R3" s="58">
        <v>0</v>
      </c>
      <c r="S3" s="58">
        <v>0</v>
      </c>
      <c r="T3" s="58">
        <v>0</v>
      </c>
      <c r="U3" s="58">
        <v>0</v>
      </c>
      <c r="V3" s="58">
        <v>5</v>
      </c>
      <c r="W3" s="58">
        <v>0</v>
      </c>
      <c r="X3" s="58">
        <v>6</v>
      </c>
      <c r="Y3" s="58">
        <v>0</v>
      </c>
      <c r="Z3" s="58">
        <v>24</v>
      </c>
      <c r="AA3" s="58">
        <v>5</v>
      </c>
      <c r="AB3" s="58">
        <v>0</v>
      </c>
      <c r="AC3" s="58">
        <v>0</v>
      </c>
      <c r="AD3" s="58">
        <v>0</v>
      </c>
      <c r="AE3" s="58">
        <v>0</v>
      </c>
      <c r="AF3" s="58">
        <v>0</v>
      </c>
      <c r="AG3" s="58">
        <v>0</v>
      </c>
      <c r="AH3" s="58">
        <v>0</v>
      </c>
      <c r="AI3" s="58">
        <v>135</v>
      </c>
      <c r="AJ3" s="58">
        <v>4</v>
      </c>
    </row>
    <row r="4" spans="1:36" ht="15.6" x14ac:dyDescent="0.3">
      <c r="A4" s="94" t="s">
        <v>159</v>
      </c>
      <c r="B4" s="95">
        <v>45983</v>
      </c>
      <c r="C4" s="96" t="s">
        <v>77</v>
      </c>
      <c r="D4" s="97" t="s">
        <v>180</v>
      </c>
      <c r="E4" s="96" t="s">
        <v>1</v>
      </c>
      <c r="F4" s="96" t="s">
        <v>161</v>
      </c>
      <c r="G4" s="98">
        <v>0.99439999999999995</v>
      </c>
      <c r="H4" s="99" t="str">
        <f ca="1">SUBTOTAL(109,LF_ALL_ROUTES[CAP])</f>
        <v/>
      </c>
      <c r="I4" s="99" t="str">
        <f ca="1">SUBTOTAL(109,LF_ALL_ROUTES[BKG(Y)])</f>
        <v/>
      </c>
      <c r="J4" s="99" t="str">
        <f ca="1">SUBTOTAL(109,LF_ALL_ROUTES[GRP(Y)])</f>
        <v/>
      </c>
      <c r="K4" s="99" t="s">
        <v>162</v>
      </c>
      <c r="L4" s="100">
        <v>45981</v>
      </c>
      <c r="M4" s="99" t="str">
        <f ca="1">SUBTOTAL(109,LF_ALL_ROUTES[TO-DAY])</f>
        <v/>
      </c>
      <c r="N4" s="99" t="str">
        <f ca="1">SUBTOTAL(109,LF_ALL_ROUTES[Y-DAY])</f>
        <v/>
      </c>
      <c r="O4" s="99" t="str">
        <f ca="1">SUBTOTAL(109,LF_ALL_ROUTES[WEEKLY])</f>
        <v/>
      </c>
      <c r="P4" s="99" t="s">
        <v>78</v>
      </c>
      <c r="Q4" s="99">
        <v>0</v>
      </c>
      <c r="R4" s="99">
        <v>0</v>
      </c>
      <c r="S4" s="99">
        <v>0</v>
      </c>
      <c r="T4" s="99">
        <v>0</v>
      </c>
      <c r="U4" s="99">
        <v>0</v>
      </c>
      <c r="V4" s="99">
        <v>3</v>
      </c>
      <c r="W4" s="99">
        <v>0</v>
      </c>
      <c r="X4" s="99">
        <v>0</v>
      </c>
      <c r="Y4" s="99">
        <v>3</v>
      </c>
      <c r="Z4" s="99">
        <v>3</v>
      </c>
      <c r="AA4" s="99">
        <v>4</v>
      </c>
      <c r="AB4" s="99">
        <v>10</v>
      </c>
      <c r="AC4" s="99">
        <v>12</v>
      </c>
      <c r="AD4" s="99">
        <v>5</v>
      </c>
      <c r="AE4" s="99">
        <v>6</v>
      </c>
      <c r="AF4" s="99">
        <v>4</v>
      </c>
      <c r="AG4" s="99">
        <v>45</v>
      </c>
      <c r="AH4" s="99">
        <v>0</v>
      </c>
      <c r="AI4" s="99">
        <v>82</v>
      </c>
      <c r="AJ4" s="99">
        <v>1</v>
      </c>
    </row>
    <row r="5" spans="1:36" ht="18" x14ac:dyDescent="0.35">
      <c r="A5" s="133" t="s">
        <v>239</v>
      </c>
      <c r="B5" s="134"/>
      <c r="C5" s="133">
        <f>SUBTOTAL(103,LF_ALL_ROUTES[Flt])</f>
        <v>3</v>
      </c>
      <c r="D5" s="133"/>
      <c r="E5" s="133">
        <f>SUBTOTAL(103,LF_ALL_ROUTES[Brd-Off])</f>
        <v>3</v>
      </c>
      <c r="F5" s="133"/>
      <c r="G5" s="135">
        <f>SUBTOTAL(101,LF_ALL_ROUTES[LF%])</f>
        <v>0.99813333333333321</v>
      </c>
      <c r="H5" s="136">
        <f ca="1">SUBTOTAL(109,LF_ALL_ROUTES[CAP])</f>
        <v>0</v>
      </c>
      <c r="I5" s="136">
        <f ca="1">SUBTOTAL(109,LF_ALL_ROUTES[BKG(Y)])</f>
        <v>0</v>
      </c>
      <c r="J5" s="136">
        <f ca="1">SUBTOTAL(109,LF_ALL_ROUTES[GRP(Y)])</f>
        <v>0</v>
      </c>
      <c r="K5" s="133"/>
      <c r="L5" s="134"/>
      <c r="M5" s="136">
        <f ca="1">SUBTOTAL(109,LF_ALL_ROUTES[TO-DAY])</f>
        <v>0</v>
      </c>
      <c r="N5" s="136">
        <f ca="1">SUBTOTAL(109,LF_ALL_ROUTES[Y-DAY])</f>
        <v>0</v>
      </c>
      <c r="O5" s="136">
        <f ca="1">SUBTOTAL(109,LF_ALL_ROUTES[WEEKLY])</f>
        <v>0</v>
      </c>
      <c r="P5" s="136"/>
      <c r="Q5" s="136">
        <f>SUBTOTAL(109,LF_ALL_ROUTES[Y])</f>
        <v>0</v>
      </c>
      <c r="R5" s="136">
        <f>SUBTOTAL(109,LF_ALL_ROUTES[B])</f>
        <v>0</v>
      </c>
      <c r="S5" s="136">
        <f>SUBTOTAL(109,LF_ALL_ROUTES[M])</f>
        <v>0</v>
      </c>
      <c r="T5" s="136">
        <f>SUBTOTAL(109,LF_ALL_ROUTES[H])</f>
        <v>0</v>
      </c>
      <c r="U5" s="136">
        <f>SUBTOTAL(109,LF_ALL_ROUTES[Q])</f>
        <v>0</v>
      </c>
      <c r="V5" s="136">
        <f>SUBTOTAL(109,LF_ALL_ROUTES[K])</f>
        <v>8</v>
      </c>
      <c r="W5" s="136">
        <f>SUBTOTAL(109,LF_ALL_ROUTES[V])</f>
        <v>7</v>
      </c>
      <c r="X5" s="136">
        <f>SUBTOTAL(109,LF_ALL_ROUTES[L])</f>
        <v>6</v>
      </c>
      <c r="Y5" s="136">
        <f>SUBTOTAL(109,LF_ALL_ROUTES[G])</f>
        <v>19</v>
      </c>
      <c r="Z5" s="136">
        <f>SUBTOTAL(109,LF_ALL_ROUTES[S])</f>
        <v>44</v>
      </c>
      <c r="AA5" s="136">
        <f>SUBTOTAL(109,LF_ALL_ROUTES[W])</f>
        <v>30</v>
      </c>
      <c r="AB5" s="136">
        <f>SUBTOTAL(109,LF_ALL_ROUTES[T])</f>
        <v>20</v>
      </c>
      <c r="AC5" s="136">
        <f>SUBTOTAL(109,LF_ALL_ROUTES[X])</f>
        <v>21</v>
      </c>
      <c r="AD5" s="136">
        <f>SUBTOTAL(109,LF_ALL_ROUTES[U])</f>
        <v>22</v>
      </c>
      <c r="AE5" s="136">
        <f>SUBTOTAL(109,LF_ALL_ROUTES[O])</f>
        <v>22</v>
      </c>
      <c r="AF5" s="136">
        <f>SUBTOTAL(109,LF_ALL_ROUTES[I])</f>
        <v>20</v>
      </c>
      <c r="AG5" s="136">
        <f>SUBTOTAL(109,LF_ALL_ROUTES[E])</f>
        <v>45</v>
      </c>
      <c r="AH5" s="136">
        <f>SUBTOTAL(109,LF_ALL_ROUTES[A])</f>
        <v>0</v>
      </c>
      <c r="AI5" s="136">
        <f>SUBTOTAL(109,LF_ALL_ROUTES[P])</f>
        <v>267</v>
      </c>
      <c r="AJ5" s="136">
        <f>SUBTOTAL(109,LF_ALL_ROUTES[N])</f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2025-11-21T00:04:32Z</dcterms:created>
  <dcterms:modified xsi:type="dcterms:W3CDTF">2025-11-21T00:04:37Z</dcterms:modified>
</cp:coreProperties>
</file>